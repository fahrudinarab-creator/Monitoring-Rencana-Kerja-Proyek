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tor\RKP\Gabungan\"/>
    </mc:Choice>
  </mc:AlternateContent>
  <xr:revisionPtr revIDLastSave="0" documentId="13_ncr:1_{2160369F-9BDA-4EE6-ACE0-F8914910D8F5}" xr6:coauthVersionLast="47" xr6:coauthVersionMax="47" xr10:uidLastSave="{00000000-0000-0000-0000-000000000000}"/>
  <bookViews>
    <workbookView xWindow="-110" yWindow="-110" windowWidth="19420" windowHeight="10300" xr2:uid="{8F6C511D-0E96-4CD3-B161-92C3AE76C923}"/>
  </bookViews>
  <sheets>
    <sheet name="RKP" sheetId="1" r:id="rId1"/>
    <sheet name="REKAP BIAYA" sheetId="2" r:id="rId2"/>
    <sheet name="SI TB LC" sheetId="3" r:id="rId3"/>
    <sheet name="S1 TBM 1" sheetId="4" r:id="rId4"/>
    <sheet name="S1 TBM 2" sheetId="5" r:id="rId5"/>
    <sheet name="S1 TBM 3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0">#REF!</definedName>
    <definedName name="\a">#N/A</definedName>
    <definedName name="\b">#N/A</definedName>
    <definedName name="\g">#N/A</definedName>
    <definedName name="\n">#N/A</definedName>
    <definedName name="__123Graph_A" hidden="1">'[3]data-hujan'!$E$8:$AC$8</definedName>
    <definedName name="__123Graph_ACURAH" hidden="1">[4]CH!#REF!</definedName>
    <definedName name="__123Graph_AHARI" hidden="1">[5]hal_8!$AD$12:$AD$23</definedName>
    <definedName name="__123Graph_B" hidden="1">'[3]data-hujan'!$E$14:$AC$14</definedName>
    <definedName name="__123Graph_BCURAH" hidden="1">[4]CH!#REF!</definedName>
    <definedName name="__123Graph_BHARI" hidden="1">[5]hal_8!$AC$12:$AC$23</definedName>
    <definedName name="__123Graph_C" hidden="1">'[3]data-hujan'!$E$15:$AC$15</definedName>
    <definedName name="__123Graph_CCURAH" hidden="1">[4]CH!#REF!</definedName>
    <definedName name="__123Graph_CHARI" hidden="1">[5]hal_8!$AB$12:$AB$23</definedName>
    <definedName name="__123Graph_D" hidden="1">'[3]data-hujan'!$E$16:$AC$16</definedName>
    <definedName name="__123Graph_DCURAH" hidden="1">[4]CH!#REF!</definedName>
    <definedName name="__123Graph_DHARI" hidden="1">[5]hal_8!$AA$12:$AA$23</definedName>
    <definedName name="__123Graph_E" hidden="1">'[3]data-hujan'!$E$17:$AC$17</definedName>
    <definedName name="__123Graph_ECURAH" hidden="1">[4]CH!#REF!</definedName>
    <definedName name="__123Graph_EHARI" hidden="1">[5]hal_8!$Z$12:$Z$23</definedName>
    <definedName name="__123Graph_F" hidden="1">'[3]data-hujan'!$E$18:$K$18</definedName>
    <definedName name="__123Graph_X" hidden="1">'[3]data-hujan'!$E$3:$AC$3</definedName>
    <definedName name="__123Graph_XCURAH" hidden="1">[5]hal_8!$AF$12:$AF$23</definedName>
    <definedName name="__123Graph_XHARI" hidden="1">[5]hal_8!$AF$12:$AF$23</definedName>
    <definedName name="__kop2">#REF!</definedName>
    <definedName name="__s2">#REF!</definedName>
    <definedName name="__SKF1">#REF!</definedName>
    <definedName name="__SKF2">#REF!</definedName>
    <definedName name="_0">#REF!</definedName>
    <definedName name="_1__123Graph_AGAE_2" hidden="1">'[3]data-hujan'!$E$8:$AC$8</definedName>
    <definedName name="_10_b_1">#REF!</definedName>
    <definedName name="_11_g_1">#REF!</definedName>
    <definedName name="_12_n_1">#REF!</definedName>
    <definedName name="_13Excel_BuiltIn_Database_1">#REF!</definedName>
    <definedName name="_14Excel_BuiltIn_Print_Area_1">#REF!</definedName>
    <definedName name="_15Excel_BuiltIn_Print_Area_31_1">'[6]Kap Rinci'!#REF!</definedName>
    <definedName name="_16Excel_BuiltIn_Print_Titles_1">#REF!</definedName>
    <definedName name="_2__123Graph_BGAE_2" hidden="1">'[3]data-hujan'!$E$14:$AC$14</definedName>
    <definedName name="_3__123Graph_CGAE_2" hidden="1">'[3]data-hujan'!$E$15:$AC$15</definedName>
    <definedName name="_4__123Graph_DGAE_2" hidden="1">'[3]data-hujan'!$E$16:$AC$16</definedName>
    <definedName name="_432">432</definedName>
    <definedName name="_5__123Graph_EGAE_2" hidden="1">'[3]data-hujan'!$E$17:$AC$17</definedName>
    <definedName name="_6__123Graph_FGAE_2" hidden="1">'[3]data-hujan'!$E$18:$K$18</definedName>
    <definedName name="_7__123Graph_XGAE_2" hidden="1">'[3]data-hujan'!$E$3:$AC$3</definedName>
    <definedName name="_8_0_1">#REF!</definedName>
    <definedName name="_8311">#REF!</definedName>
    <definedName name="_9_A_1">#REF!</definedName>
    <definedName name="_A">#REF!</definedName>
    <definedName name="_A_1">#REF!</definedName>
    <definedName name="_A_2">#REF!</definedName>
    <definedName name="_A_28">#REF!</definedName>
    <definedName name="_A_3">#REF!</definedName>
    <definedName name="_A_31">#REF!</definedName>
    <definedName name="_A_58">#REF!</definedName>
    <definedName name="_A_7">#REF!</definedName>
    <definedName name="_A_8">#REF!</definedName>
    <definedName name="_A_86">#REF!</definedName>
    <definedName name="_A_87">#REF!</definedName>
    <definedName name="_A_9">#REF!</definedName>
    <definedName name="_b">#REF!</definedName>
    <definedName name="_Fill" hidden="1">#REF!</definedName>
    <definedName name="_g">#REF!</definedName>
    <definedName name="_HOME___FR_PGSE">#REF!</definedName>
    <definedName name="_HOME___PG_FRSE">#REF!</definedName>
    <definedName name="_Key1" hidden="1">#REF!</definedName>
    <definedName name="_Key2" hidden="1">#REF!</definedName>
    <definedName name="_kop2">#REF!</definedName>
    <definedName name="_n">#REF!</definedName>
    <definedName name="_Order1" hidden="1">255</definedName>
    <definedName name="_Order2" hidden="1">0</definedName>
    <definedName name="_PG">[7]XXXXXXXXXXXX!#REF!</definedName>
    <definedName name="_Regression_Int">1</definedName>
    <definedName name="_s2">#REF!</definedName>
    <definedName name="_SKF1">#REF!</definedName>
    <definedName name="_SKF2">#REF!</definedName>
    <definedName name="_Sort" hidden="1">#REF!</definedName>
    <definedName name="A">#N/A</definedName>
    <definedName name="aa">#N/A</definedName>
    <definedName name="are">#REF!</definedName>
    <definedName name="ari">#REF!</definedName>
    <definedName name="ASE" hidden="1">#REF!</definedName>
    <definedName name="bab" hidden="1">'[8]data-hujan'!$E$14:$AC$14</definedName>
    <definedName name="BBB" hidden="1">#REF!</definedName>
    <definedName name="bln">#N/A</definedName>
    <definedName name="bulanan" hidden="1">'[8]data-hujan'!$E$17:$AC$17</definedName>
    <definedName name="capital">#N/A</definedName>
    <definedName name="CC">#REF!</definedName>
    <definedName name="CC_31">#REF!</definedName>
    <definedName name="CC_7">#REF!</definedName>
    <definedName name="CCC">#REF!</definedName>
    <definedName name="Cetak">'[9]Pk prod'!#REF!</definedName>
    <definedName name="_xlnm.Database">#REF!</definedName>
    <definedName name="dea">#N/A</definedName>
    <definedName name="df">'[10]GRFK BJR_SBH_02'!#REF!</definedName>
    <definedName name="edar">#N/A</definedName>
    <definedName name="ee" hidden="1">#REF!</definedName>
    <definedName name="er">#REF!</definedName>
    <definedName name="Excel_BuiltIn_Database">#REF!</definedName>
    <definedName name="Excel_BuiltIn_Print_Area">#REF!</definedName>
    <definedName name="Excel_BuiltIn_Print_Area_1">"$#REF!.$A$2:$R$24"</definedName>
    <definedName name="Excel_BuiltIn_Print_Area_18">'[11]GRFK BJR_TT_00'!#REF!</definedName>
    <definedName name="Excel_BuiltIn_Print_Area_19">'[11]GRFK BJR_TT_01'!#REF!</definedName>
    <definedName name="Excel_BuiltIn_Print_Area_20">'[11]GRFK BJR_TT_02'!#REF!</definedName>
    <definedName name="Excel_BuiltIn_Print_Area_21">'[11]GRFK BJR_TT_03'!#REF!</definedName>
    <definedName name="Excel_BuiltIn_Print_Area_22">'[11]GRFK BJR_TT_04'!#REF!</definedName>
    <definedName name="Excel_BuiltIn_Print_Area_23">'[11]GRFK BJR_SBB_00'!#REF!</definedName>
    <definedName name="Excel_BuiltIn_Print_Area_24">'[11]GRFK BJR_SBB_01'!#REF!</definedName>
    <definedName name="Excel_BuiltIn_Print_Area_25">'[11]GRFK BJR_SBB_02'!#REF!</definedName>
    <definedName name="Excel_BuiltIn_Print_Area_26">'[11]GRFK BJR_TGS_01'!#REF!</definedName>
    <definedName name="Excel_BuiltIn_Print_Area_27">'[11]GRFK BJR_TGS_02'!#REF!</definedName>
    <definedName name="Excel_BuiltIn_Print_Area_28">'[11]GRFK BJR_TGS_03'!#REF!</definedName>
    <definedName name="Excel_BuiltIn_Print_Area_29">'[11]GRFK BJR_SK1_01'!#REF!</definedName>
    <definedName name="Excel_BuiltIn_Print_Area_30">'[11]GRFK BJR_SKB_03'!#REF!</definedName>
    <definedName name="Excel_BuiltIn_Print_Area_31">'[11]GRFK BJR_SKC_03'!#REF!</definedName>
    <definedName name="Excel_BuiltIn_Print_Area_32">'[11]GRFK BJR_MTL_02'!#REF!</definedName>
    <definedName name="Excel_BuiltIn_Print_Area_33">'[11]GRFK BJR_SBH_02'!#REF!</definedName>
    <definedName name="Excel_BuiltIn_Print_Area_34">'[11]GRFK BJR_SBH_03'!#REF!</definedName>
    <definedName name="Excel_BuiltIn_Print_Area_35">'[11]GRFK BJR_TNB_04'!#REF!</definedName>
    <definedName name="Excel_BuiltIn_Print_Area_36">'[11]GRFK BJR_SBU_04'!#REF!</definedName>
    <definedName name="Excel_BuiltIn_Print_Area_38">'[11]tonper Ha-TT 2000'!#REF!</definedName>
    <definedName name="Excel_BuiltIn_Print_Area_84">'[11]DATA _TM _2_'!#REF!</definedName>
    <definedName name="Excel_BuiltIn_Print_Titles">#REF!</definedName>
    <definedName name="Excel_BuiltIn_Print_Titles_7">'[11]DATA TAHUN TANAM'!#REF!</definedName>
    <definedName name="f">#REF!</definedName>
    <definedName name="f_2">#REF!</definedName>
    <definedName name="f_28">#REF!</definedName>
    <definedName name="f_3">#REF!</definedName>
    <definedName name="f_31">#REF!</definedName>
    <definedName name="f_58">#REF!</definedName>
    <definedName name="f_7">#REF!</definedName>
    <definedName name="f_8">#REF!</definedName>
    <definedName name="f_86">#REF!</definedName>
    <definedName name="f_87">#REF!</definedName>
    <definedName name="f_9">#REF!</definedName>
    <definedName name="ffff">#REF!</definedName>
    <definedName name="FFFFFFFFFFFFFFFFFFFFFFFFFFFFFFFFF">#REF!</definedName>
    <definedName name="FORM">#REF!</definedName>
    <definedName name="FORM_31">#REF!</definedName>
    <definedName name="gae">#REF!</definedName>
    <definedName name="gae_2">#REF!</definedName>
    <definedName name="gae_28">#REF!</definedName>
    <definedName name="gae_3">#REF!</definedName>
    <definedName name="gae_31">#REF!</definedName>
    <definedName name="gae_58">#REF!</definedName>
    <definedName name="gae_7">#REF!</definedName>
    <definedName name="gae_8">#REF!</definedName>
    <definedName name="gae_86">#REF!</definedName>
    <definedName name="gae_87">#REF!</definedName>
    <definedName name="gae_9">#REF!</definedName>
    <definedName name="gusdur">#REF!</definedName>
    <definedName name="gusdur2">#REF!</definedName>
    <definedName name="H">#REF!</definedName>
    <definedName name="Harga">#REF!</definedName>
    <definedName name="HGB" hidden="1">#REF!</definedName>
    <definedName name="hh">#REF!</definedName>
    <definedName name="HHHHHHHHH">#REF!</definedName>
    <definedName name="HHHHHHHHH_2">#REF!</definedName>
    <definedName name="HHHHHHHHH_3">#REF!</definedName>
    <definedName name="HHHHHHHHH_31">#REF!</definedName>
    <definedName name="HHHHHHHHH_7">#REF!</definedName>
    <definedName name="HHHHHHHHH_8">#REF!</definedName>
    <definedName name="HHHHHHHHH_86">#REF!</definedName>
    <definedName name="HHHHHHHHH_9">#REF!</definedName>
    <definedName name="I">#REF!</definedName>
    <definedName name="I_26">#REF!</definedName>
    <definedName name="I_27">#REF!</definedName>
    <definedName name="I_28">#REF!</definedName>
    <definedName name="I_31">#REF!</definedName>
    <definedName name="I_7">#REF!</definedName>
    <definedName name="jj">#N/A</definedName>
    <definedName name="JUDUL">#REF!</definedName>
    <definedName name="JUDUL_2">#REF!</definedName>
    <definedName name="JUDUL_28">#REF!</definedName>
    <definedName name="JUDUL_3">#REF!</definedName>
    <definedName name="JUDUL_31">#REF!</definedName>
    <definedName name="JUDUL_58">#REF!</definedName>
    <definedName name="JUDUL_7">#REF!</definedName>
    <definedName name="JUDUL_8">#REF!</definedName>
    <definedName name="JUDUL_86">#REF!</definedName>
    <definedName name="JUDUL_87">#REF!</definedName>
    <definedName name="JUDUL_9">#REF!</definedName>
    <definedName name="kajfak">#REF!</definedName>
    <definedName name="kap" hidden="1">#REF!</definedName>
    <definedName name="kapital" hidden="1">[12]CH!#REF!</definedName>
    <definedName name="Kd_Acc">#REF!</definedName>
    <definedName name="Kd_Afd">#REF!</definedName>
    <definedName name="knj">#REF!</definedName>
    <definedName name="knj_2">#REF!</definedName>
    <definedName name="knj_28">#REF!</definedName>
    <definedName name="knj_3">#REF!</definedName>
    <definedName name="knj_31">#REF!</definedName>
    <definedName name="knj_58">#REF!</definedName>
    <definedName name="knj_7">#REF!</definedName>
    <definedName name="knj_8">#REF!</definedName>
    <definedName name="knj_86">#REF!</definedName>
    <definedName name="knj_87">#REF!</definedName>
    <definedName name="knj_9">#REF!</definedName>
    <definedName name="kop">#REF!</definedName>
    <definedName name="kop_2">#REF!</definedName>
    <definedName name="kop_28">#REF!</definedName>
    <definedName name="kop_3">#REF!</definedName>
    <definedName name="kop_31">#REF!</definedName>
    <definedName name="kop_58">#REF!</definedName>
    <definedName name="kop_7">#REF!</definedName>
    <definedName name="kop_8">#REF!</definedName>
    <definedName name="kop_86">#REF!</definedName>
    <definedName name="kop_87">#REF!</definedName>
    <definedName name="kop_9">#REF!</definedName>
    <definedName name="kop2_2">#REF!</definedName>
    <definedName name="kop2_28">#REF!</definedName>
    <definedName name="kop2_3">#REF!</definedName>
    <definedName name="kop2_31">#REF!</definedName>
    <definedName name="kop2_58">#REF!</definedName>
    <definedName name="kop2_7">#REF!</definedName>
    <definedName name="kop2_8">#REF!</definedName>
    <definedName name="kop2_86">#REF!</definedName>
    <definedName name="kop2_87">#REF!</definedName>
    <definedName name="kop2_9">#REF!</definedName>
    <definedName name="LINE">#REF!</definedName>
    <definedName name="LINE_31">#REF!</definedName>
    <definedName name="M" hidden="1">#REF!</definedName>
    <definedName name="mmmmmmmmmm">#REF!</definedName>
    <definedName name="ok">'[13]tonper Ha-TT 2000'!#REF!</definedName>
    <definedName name="peot">#REF!</definedName>
    <definedName name="pr">#REF!</definedName>
    <definedName name="pr_2">#REF!</definedName>
    <definedName name="pr_28">#REF!</definedName>
    <definedName name="pr_3">#REF!</definedName>
    <definedName name="pr_31">#REF!</definedName>
    <definedName name="pr_58">#REF!</definedName>
    <definedName name="pr_7">#REF!</definedName>
    <definedName name="pr_8">#REF!</definedName>
    <definedName name="pr_86">#REF!</definedName>
    <definedName name="pr_87">#REF!</definedName>
    <definedName name="pr_9">#REF!</definedName>
    <definedName name="print">#N/A</definedName>
    <definedName name="PRINT_A">#REF!</definedName>
    <definedName name="_xlnm.Print_Area" localSheetId="1">'REKAP BIAYA'!$Z$3:$AF$47</definedName>
    <definedName name="_xlnm.Print_Area" localSheetId="0">RKP!$A$1:$BK$23</definedName>
    <definedName name="_xlnm.Print_Area" localSheetId="3">'S1 TBM 1'!$A$2:$Z$410</definedName>
    <definedName name="_xlnm.Print_Area" localSheetId="4">'S1 TBM 2'!$A$1:$Z$421</definedName>
    <definedName name="_xlnm.Print_Area" localSheetId="5">'S1 TBM 3'!$A$1:$Z$404</definedName>
    <definedName name="_xlnm.Print_Area" localSheetId="2">'SI TB LC'!$B$2:$Z$359</definedName>
    <definedName name="_xlnm.Print_Area">#REF!</definedName>
    <definedName name="Print_Area_MI">#REF!</definedName>
    <definedName name="Print_Area_MI_26">#REF!</definedName>
    <definedName name="Print_Area_MI_27">#REF!</definedName>
    <definedName name="Print_Area_MI_28">[14]KEB_RMH!$B$1:$P$43</definedName>
    <definedName name="Print_Area_MI_31">#REF!</definedName>
    <definedName name="Print_Area_MI_7">#REF!</definedName>
    <definedName name="_xlnm.Print_Titles" localSheetId="3">'S1 TBM 1'!$2:$4</definedName>
    <definedName name="_xlnm.Print_Titles" localSheetId="4">'S1 TBM 2'!$2:$4</definedName>
    <definedName name="_xlnm.Print_Titles" localSheetId="5">'S1 TBM 3'!$2:$4</definedName>
    <definedName name="_xlnm.Print_Titles" localSheetId="2">'SI TB LC'!$2:$4</definedName>
    <definedName name="_xlnm.Print_Titles">#N/A</definedName>
    <definedName name="PRINT_TITLES_MI">#N/A</definedName>
    <definedName name="q" hidden="1">#REF!</definedName>
    <definedName name="QQ">#REF!</definedName>
    <definedName name="QQ_31">#REF!</definedName>
    <definedName name="QQ_7">#REF!</definedName>
    <definedName name="rar">#REF!</definedName>
    <definedName name="RAY">#REF!</definedName>
    <definedName name="raye">#REF!</definedName>
    <definedName name="re">#REF!</definedName>
    <definedName name="rr">#REF!</definedName>
    <definedName name="s">'[15]data-hujan'!$E$17:$AC$17</definedName>
    <definedName name="sde">#N/A</definedName>
    <definedName name="SDER">#REF!</definedName>
    <definedName name="sgsgs">#REF!</definedName>
    <definedName name="SKF1_2">#REF!</definedName>
    <definedName name="SKF1_28">#REF!</definedName>
    <definedName name="SKF1_3">#REF!</definedName>
    <definedName name="SKF1_31">#REF!</definedName>
    <definedName name="SKF1_58">#REF!</definedName>
    <definedName name="SKF1_7">#REF!</definedName>
    <definedName name="SKF1_8">#REF!</definedName>
    <definedName name="SKF1_86">#REF!</definedName>
    <definedName name="SKF1_87">#REF!</definedName>
    <definedName name="SKF1_9">#REF!</definedName>
    <definedName name="SKF2_2">#REF!</definedName>
    <definedName name="SKF2_28">#REF!</definedName>
    <definedName name="SKF2_3">#REF!</definedName>
    <definedName name="SKF2_31">#REF!</definedName>
    <definedName name="SKF2_58">#REF!</definedName>
    <definedName name="SKF2_7">#REF!</definedName>
    <definedName name="SKF2_8">#REF!</definedName>
    <definedName name="SKF2_86">#REF!</definedName>
    <definedName name="SKF2_87">#REF!</definedName>
    <definedName name="SKF2_9">#REF!</definedName>
    <definedName name="sku" hidden="1">'[8]data-hujan'!$E$15:$AC$15</definedName>
    <definedName name="SPACE">#REF!</definedName>
    <definedName name="SPACE_31">#REF!</definedName>
    <definedName name="SS">#REF!</definedName>
    <definedName name="SS_7">#REF!</definedName>
    <definedName name="sss">#REF!</definedName>
    <definedName name="TES" hidden="1">#REF!</definedName>
    <definedName name="TT">#REF!</definedName>
    <definedName name="twr">#N/A</definedName>
    <definedName name="upah">#N/A</definedName>
    <definedName name="v">#REF!</definedName>
    <definedName name="v_2">#REF!</definedName>
    <definedName name="v_28">#REF!</definedName>
    <definedName name="v_3">#REF!</definedName>
    <definedName name="v_31">#REF!</definedName>
    <definedName name="v_58">#REF!</definedName>
    <definedName name="v_7">#REF!</definedName>
    <definedName name="v_8">#REF!</definedName>
    <definedName name="v_86">#REF!</definedName>
    <definedName name="v_87">#REF!</definedName>
    <definedName name="v_9">#REF!</definedName>
    <definedName name="VV">#REF!</definedName>
    <definedName name="VV_28">#REF!</definedName>
    <definedName name="VV_31">#REF!</definedName>
    <definedName name="vvvvvvvvvvvvvvvvvvv">#REF!</definedName>
    <definedName name="wewewe">#REF!</definedName>
    <definedName name="ww">#REF!</definedName>
    <definedName name="ww_7">#REF!</definedName>
    <definedName name="www">#REF!</definedName>
    <definedName name="www_7">#REF!</definedName>
    <definedName name="X">#REF!</definedName>
    <definedName name="xx">'[10]GRFK BJR_TGS_01'!#REF!</definedName>
    <definedName name="xxxxx">'[10]GRFK BJR_SKC_03'!#REF!</definedName>
    <definedName name="XXXXXX">#REF!</definedName>
    <definedName name="XXXXXX_31">#REF!</definedName>
    <definedName name="XXXXXX_7">#REF!</definedName>
    <definedName name="XXXXXXXXXXXXXXXXXXXXXX" hidden="1">#REF!</definedName>
    <definedName name="zzzzz">[16]Ulasan!$A$1:$L$31</definedName>
    <definedName name="zzzzz_31">[17]Ulasan!$A$1:$L$31</definedName>
    <definedName name="ZZZZZZZ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07" i="6" l="1"/>
  <c r="W408" i="6"/>
  <c r="W409" i="6"/>
  <c r="W412" i="6"/>
  <c r="W411" i="6"/>
  <c r="W410" i="6"/>
  <c r="Q35" i="6"/>
  <c r="P44" i="6"/>
  <c r="L44" i="6"/>
  <c r="M44" i="6"/>
  <c r="O44" i="6"/>
  <c r="Q44" i="6"/>
  <c r="P45" i="6"/>
  <c r="L45" i="6"/>
  <c r="O45" i="6"/>
  <c r="Q45" i="6"/>
  <c r="P46" i="6"/>
  <c r="L46" i="6"/>
  <c r="O46" i="6"/>
  <c r="Q46" i="6"/>
  <c r="Q47" i="6"/>
  <c r="P48" i="6"/>
  <c r="L48" i="6"/>
  <c r="O48" i="6"/>
  <c r="Q48" i="6"/>
  <c r="P49" i="6"/>
  <c r="L49" i="6"/>
  <c r="O49" i="6"/>
  <c r="Q49" i="6"/>
  <c r="P50" i="6"/>
  <c r="L50" i="6"/>
  <c r="O50" i="6"/>
  <c r="Q50" i="6"/>
  <c r="P53" i="6"/>
  <c r="L53" i="6"/>
  <c r="O53" i="6"/>
  <c r="Q53" i="6"/>
  <c r="P52" i="6"/>
  <c r="L52" i="6"/>
  <c r="O52" i="6"/>
  <c r="Q52" i="6"/>
  <c r="P51" i="6"/>
  <c r="L51" i="6"/>
  <c r="O51" i="6"/>
  <c r="Q51" i="6"/>
  <c r="Q57" i="6"/>
  <c r="P60" i="6"/>
  <c r="L60" i="6"/>
  <c r="O60" i="6"/>
  <c r="Q60" i="6"/>
  <c r="P61" i="6"/>
  <c r="L61" i="6"/>
  <c r="O61" i="6"/>
  <c r="Q61" i="6"/>
  <c r="P62" i="6"/>
  <c r="L62" i="6"/>
  <c r="M62" i="6"/>
  <c r="O62" i="6"/>
  <c r="Q62" i="6"/>
  <c r="Q63" i="6"/>
  <c r="P64" i="6"/>
  <c r="L64" i="6"/>
  <c r="O64" i="6"/>
  <c r="Q64" i="6"/>
  <c r="P65" i="6"/>
  <c r="L65" i="6"/>
  <c r="O65" i="6"/>
  <c r="Q65" i="6"/>
  <c r="P66" i="6"/>
  <c r="L66" i="6"/>
  <c r="O66" i="6"/>
  <c r="Q66" i="6"/>
  <c r="P67" i="6"/>
  <c r="L67" i="6"/>
  <c r="O67" i="6"/>
  <c r="Q67" i="6"/>
  <c r="P69" i="6"/>
  <c r="L69" i="6"/>
  <c r="M69" i="6"/>
  <c r="O69" i="6"/>
  <c r="Q69" i="6"/>
  <c r="P68" i="6"/>
  <c r="L68" i="6"/>
  <c r="O68" i="6"/>
  <c r="Q68" i="6"/>
  <c r="Q71" i="6"/>
  <c r="P73" i="6"/>
  <c r="L73" i="6"/>
  <c r="O73" i="6"/>
  <c r="Q73" i="6"/>
  <c r="P74" i="6"/>
  <c r="L74" i="6"/>
  <c r="O74" i="6"/>
  <c r="Q74" i="6"/>
  <c r="P75" i="6"/>
  <c r="L75" i="6"/>
  <c r="M75" i="6"/>
  <c r="O75" i="6"/>
  <c r="Q75" i="6"/>
  <c r="P76" i="6"/>
  <c r="L76" i="6"/>
  <c r="O76" i="6"/>
  <c r="Q76" i="6"/>
  <c r="P84" i="6"/>
  <c r="L84" i="6"/>
  <c r="M84" i="6"/>
  <c r="O84" i="6"/>
  <c r="Q84" i="6"/>
  <c r="P83" i="6"/>
  <c r="L83" i="6"/>
  <c r="M83" i="6"/>
  <c r="O83" i="6"/>
  <c r="Q83" i="6"/>
  <c r="P82" i="6"/>
  <c r="L82" i="6"/>
  <c r="M82" i="6"/>
  <c r="O82" i="6"/>
  <c r="Q82" i="6"/>
  <c r="P81" i="6"/>
  <c r="L81" i="6"/>
  <c r="M81" i="6"/>
  <c r="O81" i="6"/>
  <c r="Q81" i="6"/>
  <c r="P80" i="6"/>
  <c r="L80" i="6"/>
  <c r="M80" i="6"/>
  <c r="O80" i="6"/>
  <c r="Q80" i="6"/>
  <c r="P79" i="6"/>
  <c r="L79" i="6"/>
  <c r="M79" i="6"/>
  <c r="O79" i="6"/>
  <c r="Q79" i="6"/>
  <c r="P78" i="6"/>
  <c r="L78" i="6"/>
  <c r="M78" i="6"/>
  <c r="O78" i="6"/>
  <c r="Q78" i="6"/>
  <c r="L77" i="6"/>
  <c r="O77" i="6"/>
  <c r="Q77" i="6"/>
  <c r="Q85" i="6"/>
  <c r="P108" i="6"/>
  <c r="L108" i="6"/>
  <c r="O108" i="6"/>
  <c r="Q108" i="6"/>
  <c r="P109" i="6"/>
  <c r="L109" i="6"/>
  <c r="O109" i="6"/>
  <c r="Q109" i="6"/>
  <c r="P110" i="6"/>
  <c r="L110" i="6"/>
  <c r="O110" i="6"/>
  <c r="Q110" i="6"/>
  <c r="Q111" i="6"/>
  <c r="P128" i="6"/>
  <c r="L128" i="6"/>
  <c r="O128" i="6"/>
  <c r="Q128" i="6"/>
  <c r="P129" i="6"/>
  <c r="L129" i="6"/>
  <c r="O129" i="6"/>
  <c r="Q129" i="6"/>
  <c r="P130" i="6"/>
  <c r="L130" i="6"/>
  <c r="O130" i="6"/>
  <c r="Q130" i="6"/>
  <c r="P131" i="6"/>
  <c r="L131" i="6"/>
  <c r="O131" i="6"/>
  <c r="Q131" i="6"/>
  <c r="P139" i="6"/>
  <c r="L139" i="6"/>
  <c r="O139" i="6"/>
  <c r="Q139" i="6"/>
  <c r="P138" i="6"/>
  <c r="L138" i="6"/>
  <c r="O138" i="6"/>
  <c r="Q138" i="6"/>
  <c r="P137" i="6"/>
  <c r="L137" i="6"/>
  <c r="O137" i="6"/>
  <c r="Q137" i="6"/>
  <c r="P136" i="6"/>
  <c r="L136" i="6"/>
  <c r="O136" i="6"/>
  <c r="Q136" i="6"/>
  <c r="P135" i="6"/>
  <c r="L135" i="6"/>
  <c r="O135" i="6"/>
  <c r="Q135" i="6"/>
  <c r="P134" i="6"/>
  <c r="L134" i="6"/>
  <c r="O134" i="6"/>
  <c r="Q134" i="6"/>
  <c r="P133" i="6"/>
  <c r="L133" i="6"/>
  <c r="M133" i="6"/>
  <c r="O133" i="6"/>
  <c r="Q133" i="6"/>
  <c r="P132" i="6"/>
  <c r="L132" i="6"/>
  <c r="O132" i="6"/>
  <c r="Q132" i="6"/>
  <c r="Q140" i="6"/>
  <c r="P142" i="6"/>
  <c r="L142" i="6"/>
  <c r="O142" i="6"/>
  <c r="Q142" i="6"/>
  <c r="P143" i="6"/>
  <c r="L143" i="6"/>
  <c r="O143" i="6"/>
  <c r="Q143" i="6"/>
  <c r="P144" i="6"/>
  <c r="L144" i="6"/>
  <c r="O144" i="6"/>
  <c r="Q144" i="6"/>
  <c r="P145" i="6"/>
  <c r="L145" i="6"/>
  <c r="O145" i="6"/>
  <c r="Q145" i="6"/>
  <c r="P173" i="6"/>
  <c r="L173" i="6"/>
  <c r="O173" i="6"/>
  <c r="Q173" i="6"/>
  <c r="P170" i="6"/>
  <c r="L170" i="6"/>
  <c r="M170" i="6"/>
  <c r="O170" i="6"/>
  <c r="Q170" i="6"/>
  <c r="P169" i="6"/>
  <c r="L169" i="6"/>
  <c r="M169" i="6"/>
  <c r="O169" i="6"/>
  <c r="Q169" i="6"/>
  <c r="P168" i="6"/>
  <c r="L168" i="6"/>
  <c r="M168" i="6"/>
  <c r="O168" i="6"/>
  <c r="Q168" i="6"/>
  <c r="P167" i="6"/>
  <c r="L167" i="6"/>
  <c r="M167" i="6"/>
  <c r="O167" i="6"/>
  <c r="Q167" i="6"/>
  <c r="P166" i="6"/>
  <c r="L166" i="6"/>
  <c r="M166" i="6"/>
  <c r="O166" i="6"/>
  <c r="Q166" i="6"/>
  <c r="P165" i="6"/>
  <c r="L165" i="6"/>
  <c r="M165" i="6"/>
  <c r="O165" i="6"/>
  <c r="Q165" i="6"/>
  <c r="P164" i="6"/>
  <c r="L164" i="6"/>
  <c r="O164" i="6"/>
  <c r="Q164" i="6"/>
  <c r="P163" i="6"/>
  <c r="L163" i="6"/>
  <c r="O163" i="6"/>
  <c r="Q163" i="6"/>
  <c r="P162" i="6"/>
  <c r="L162" i="6"/>
  <c r="O162" i="6"/>
  <c r="Q162" i="6"/>
  <c r="P161" i="6"/>
  <c r="L161" i="6"/>
  <c r="M161" i="6"/>
  <c r="O161" i="6"/>
  <c r="Q161" i="6"/>
  <c r="P160" i="6"/>
  <c r="L160" i="6"/>
  <c r="M160" i="6"/>
  <c r="O160" i="6"/>
  <c r="Q160" i="6"/>
  <c r="P159" i="6"/>
  <c r="L159" i="6"/>
  <c r="M159" i="6"/>
  <c r="O159" i="6"/>
  <c r="Q159" i="6"/>
  <c r="P158" i="6"/>
  <c r="L158" i="6"/>
  <c r="M158" i="6"/>
  <c r="O158" i="6"/>
  <c r="Q158" i="6"/>
  <c r="P157" i="6"/>
  <c r="L157" i="6"/>
  <c r="M157" i="6"/>
  <c r="O157" i="6"/>
  <c r="Q157" i="6"/>
  <c r="P156" i="6"/>
  <c r="L156" i="6"/>
  <c r="O156" i="6"/>
  <c r="Q156" i="6"/>
  <c r="P155" i="6"/>
  <c r="L155" i="6"/>
  <c r="O155" i="6"/>
  <c r="Q155" i="6"/>
  <c r="P154" i="6"/>
  <c r="L154" i="6"/>
  <c r="O154" i="6"/>
  <c r="Q154" i="6"/>
  <c r="P153" i="6"/>
  <c r="L153" i="6"/>
  <c r="O153" i="6"/>
  <c r="Q153" i="6"/>
  <c r="P152" i="6"/>
  <c r="L152" i="6"/>
  <c r="O152" i="6"/>
  <c r="Q152" i="6"/>
  <c r="P151" i="6"/>
  <c r="L151" i="6"/>
  <c r="M151" i="6"/>
  <c r="O151" i="6"/>
  <c r="Q151" i="6"/>
  <c r="P150" i="6"/>
  <c r="L150" i="6"/>
  <c r="M150" i="6"/>
  <c r="O150" i="6"/>
  <c r="Q150" i="6"/>
  <c r="P149" i="6"/>
  <c r="L149" i="6"/>
  <c r="M149" i="6"/>
  <c r="O149" i="6"/>
  <c r="Q149" i="6"/>
  <c r="P148" i="6"/>
  <c r="L148" i="6"/>
  <c r="M148" i="6"/>
  <c r="O148" i="6"/>
  <c r="Q148" i="6"/>
  <c r="P147" i="6"/>
  <c r="L147" i="6"/>
  <c r="M147" i="6"/>
  <c r="O147" i="6"/>
  <c r="Q147" i="6"/>
  <c r="P146" i="6"/>
  <c r="L146" i="6"/>
  <c r="M146" i="6"/>
  <c r="O146" i="6"/>
  <c r="Q146" i="6"/>
  <c r="Q174" i="6"/>
  <c r="P115" i="6"/>
  <c r="L115" i="6"/>
  <c r="O115" i="6"/>
  <c r="Q115" i="6"/>
  <c r="P116" i="6"/>
  <c r="L116" i="6"/>
  <c r="O116" i="6"/>
  <c r="Q116" i="6"/>
  <c r="P117" i="6"/>
  <c r="L117" i="6"/>
  <c r="O117" i="6"/>
  <c r="Q117" i="6"/>
  <c r="P118" i="6"/>
  <c r="L118" i="6"/>
  <c r="O118" i="6"/>
  <c r="Q118" i="6"/>
  <c r="P126" i="6"/>
  <c r="L126" i="6"/>
  <c r="M126" i="6"/>
  <c r="O126" i="6"/>
  <c r="Q126" i="6"/>
  <c r="P125" i="6"/>
  <c r="L125" i="6"/>
  <c r="M125" i="6"/>
  <c r="O125" i="6"/>
  <c r="Q125" i="6"/>
  <c r="P124" i="6"/>
  <c r="L124" i="6"/>
  <c r="M124" i="6"/>
  <c r="O124" i="6"/>
  <c r="Q124" i="6"/>
  <c r="P123" i="6"/>
  <c r="L123" i="6"/>
  <c r="M123" i="6"/>
  <c r="O123" i="6"/>
  <c r="Q123" i="6"/>
  <c r="P122" i="6"/>
  <c r="L122" i="6"/>
  <c r="M122" i="6"/>
  <c r="O122" i="6"/>
  <c r="Q122" i="6"/>
  <c r="P121" i="6"/>
  <c r="L121" i="6"/>
  <c r="O121" i="6"/>
  <c r="Q121" i="6"/>
  <c r="P120" i="6"/>
  <c r="L120" i="6"/>
  <c r="M120" i="6"/>
  <c r="O120" i="6"/>
  <c r="Q120" i="6"/>
  <c r="P119" i="6"/>
  <c r="L119" i="6"/>
  <c r="O119" i="6"/>
  <c r="Q119" i="6"/>
  <c r="Q127" i="6"/>
  <c r="Q175" i="6"/>
  <c r="P177" i="6"/>
  <c r="L177" i="6"/>
  <c r="O177" i="6"/>
  <c r="Q177" i="6"/>
  <c r="P178" i="6"/>
  <c r="L178" i="6"/>
  <c r="O178" i="6"/>
  <c r="Q178" i="6"/>
  <c r="P179" i="6"/>
  <c r="L179" i="6"/>
  <c r="O179" i="6"/>
  <c r="Q179" i="6"/>
  <c r="P180" i="6"/>
  <c r="L180" i="6"/>
  <c r="O180" i="6"/>
  <c r="Q180" i="6"/>
  <c r="Q181" i="6"/>
  <c r="P182" i="6"/>
  <c r="L182" i="6"/>
  <c r="O182" i="6"/>
  <c r="Q182" i="6"/>
  <c r="P183" i="6"/>
  <c r="L183" i="6"/>
  <c r="M183" i="6"/>
  <c r="O183" i="6"/>
  <c r="Q183" i="6"/>
  <c r="P184" i="6"/>
  <c r="L184" i="6"/>
  <c r="M184" i="6"/>
  <c r="O184" i="6"/>
  <c r="Q184" i="6"/>
  <c r="P185" i="6"/>
  <c r="L185" i="6"/>
  <c r="M185" i="6"/>
  <c r="O185" i="6"/>
  <c r="Q185" i="6"/>
  <c r="P186" i="6"/>
  <c r="L186" i="6"/>
  <c r="M186" i="6"/>
  <c r="O186" i="6"/>
  <c r="Q186" i="6"/>
  <c r="Q187" i="6"/>
  <c r="P189" i="6"/>
  <c r="L189" i="6"/>
  <c r="O189" i="6"/>
  <c r="Q189" i="6"/>
  <c r="P190" i="6"/>
  <c r="L190" i="6"/>
  <c r="O190" i="6"/>
  <c r="Q190" i="6"/>
  <c r="P191" i="6"/>
  <c r="L191" i="6"/>
  <c r="O191" i="6"/>
  <c r="Q191" i="6"/>
  <c r="P192" i="6"/>
  <c r="L192" i="6"/>
  <c r="M192" i="6"/>
  <c r="O192" i="6"/>
  <c r="Q192" i="6"/>
  <c r="Q194" i="6"/>
  <c r="P195" i="6"/>
  <c r="L195" i="6"/>
  <c r="O195" i="6"/>
  <c r="Q195" i="6"/>
  <c r="P196" i="6"/>
  <c r="L196" i="6"/>
  <c r="M196" i="6"/>
  <c r="O196" i="6"/>
  <c r="Q196" i="6"/>
  <c r="P197" i="6"/>
  <c r="L197" i="6"/>
  <c r="O197" i="6"/>
  <c r="Q197" i="6"/>
  <c r="P198" i="6"/>
  <c r="L198" i="6"/>
  <c r="O198" i="6"/>
  <c r="Q198" i="6"/>
  <c r="Q199" i="6"/>
  <c r="Q200" i="6"/>
  <c r="P397" i="6"/>
  <c r="L397" i="6"/>
  <c r="M397" i="6"/>
  <c r="O397" i="6"/>
  <c r="Q397" i="6"/>
  <c r="P398" i="6"/>
  <c r="L398" i="6"/>
  <c r="O398" i="6"/>
  <c r="Q398" i="6"/>
  <c r="P399" i="6"/>
  <c r="L399" i="6"/>
  <c r="O399" i="6"/>
  <c r="Q399" i="6"/>
  <c r="P401" i="6"/>
  <c r="L401" i="6"/>
  <c r="M401" i="6"/>
  <c r="O401" i="6"/>
  <c r="Q401" i="6"/>
  <c r="P402" i="6"/>
  <c r="L402" i="6"/>
  <c r="O402" i="6"/>
  <c r="Q402" i="6"/>
  <c r="Q403" i="6"/>
  <c r="P329" i="6"/>
  <c r="L329" i="6"/>
  <c r="O329" i="6"/>
  <c r="Q329" i="6"/>
  <c r="P330" i="6"/>
  <c r="L330" i="6"/>
  <c r="N330" i="6"/>
  <c r="O330" i="6"/>
  <c r="Q330" i="6"/>
  <c r="P331" i="6"/>
  <c r="L331" i="6"/>
  <c r="M331" i="6"/>
  <c r="N331" i="6"/>
  <c r="O331" i="6"/>
  <c r="Q331" i="6"/>
  <c r="P332" i="6"/>
  <c r="L332" i="6"/>
  <c r="N332" i="6"/>
  <c r="M332" i="6"/>
  <c r="O332" i="6"/>
  <c r="Q332" i="6"/>
  <c r="P337" i="6"/>
  <c r="L337" i="6"/>
  <c r="M337" i="6"/>
  <c r="N333" i="6"/>
  <c r="N334" i="6"/>
  <c r="N335" i="6"/>
  <c r="N336" i="6"/>
  <c r="N337" i="6"/>
  <c r="O337" i="6"/>
  <c r="Q337" i="6"/>
  <c r="P336" i="6"/>
  <c r="L336" i="6"/>
  <c r="N350" i="6"/>
  <c r="N351" i="6"/>
  <c r="N352" i="6"/>
  <c r="N353" i="6"/>
  <c r="N354" i="6"/>
  <c r="M354" i="6"/>
  <c r="N340" i="6"/>
  <c r="N341" i="6"/>
  <c r="N342" i="6"/>
  <c r="N343" i="6"/>
  <c r="N344" i="6"/>
  <c r="M344" i="6"/>
  <c r="M336" i="6"/>
  <c r="O336" i="6"/>
  <c r="Q336" i="6"/>
  <c r="P335" i="6"/>
  <c r="L335" i="6"/>
  <c r="M335" i="6"/>
  <c r="O335" i="6"/>
  <c r="Q335" i="6"/>
  <c r="P334" i="6"/>
  <c r="L334" i="6"/>
  <c r="M334" i="6"/>
  <c r="O334" i="6"/>
  <c r="Q334" i="6"/>
  <c r="P333" i="6"/>
  <c r="L333" i="6"/>
  <c r="M333" i="6"/>
  <c r="O333" i="6"/>
  <c r="Q333" i="6"/>
  <c r="Q338" i="6"/>
  <c r="P339" i="6"/>
  <c r="L339" i="6"/>
  <c r="O339" i="6"/>
  <c r="Q339" i="6"/>
  <c r="P340" i="6"/>
  <c r="L340" i="6"/>
  <c r="O340" i="6"/>
  <c r="Q340" i="6"/>
  <c r="P341" i="6"/>
  <c r="L341" i="6"/>
  <c r="M341" i="6"/>
  <c r="O341" i="6"/>
  <c r="Q341" i="6"/>
  <c r="P342" i="6"/>
  <c r="L342" i="6"/>
  <c r="M342" i="6"/>
  <c r="O342" i="6"/>
  <c r="Q342" i="6"/>
  <c r="P347" i="6"/>
  <c r="L347" i="6"/>
  <c r="M347" i="6"/>
  <c r="O347" i="6"/>
  <c r="Q347" i="6"/>
  <c r="P346" i="6"/>
  <c r="L346" i="6"/>
  <c r="N345" i="6"/>
  <c r="N346" i="6"/>
  <c r="M346" i="6"/>
  <c r="O346" i="6"/>
  <c r="Q346" i="6"/>
  <c r="P345" i="6"/>
  <c r="L345" i="6"/>
  <c r="M345" i="6"/>
  <c r="O345" i="6"/>
  <c r="Q345" i="6"/>
  <c r="P344" i="6"/>
  <c r="L344" i="6"/>
  <c r="O344" i="6"/>
  <c r="Q344" i="6"/>
  <c r="P343" i="6"/>
  <c r="L343" i="6"/>
  <c r="M343" i="6"/>
  <c r="O343" i="6"/>
  <c r="Q343" i="6"/>
  <c r="Q348" i="6"/>
  <c r="P349" i="6"/>
  <c r="L349" i="6"/>
  <c r="O349" i="6"/>
  <c r="Q349" i="6"/>
  <c r="P350" i="6"/>
  <c r="L350" i="6"/>
  <c r="O350" i="6"/>
  <c r="Q350" i="6"/>
  <c r="P351" i="6"/>
  <c r="L351" i="6"/>
  <c r="M351" i="6"/>
  <c r="O351" i="6"/>
  <c r="Q351" i="6"/>
  <c r="P352" i="6"/>
  <c r="L352" i="6"/>
  <c r="M352" i="6"/>
  <c r="O352" i="6"/>
  <c r="Q352" i="6"/>
  <c r="P357" i="6"/>
  <c r="L357" i="6"/>
  <c r="M357" i="6"/>
  <c r="O357" i="6"/>
  <c r="Q357" i="6"/>
  <c r="P356" i="6"/>
  <c r="L356" i="6"/>
  <c r="N355" i="6"/>
  <c r="N356" i="6"/>
  <c r="M356" i="6"/>
  <c r="O356" i="6"/>
  <c r="Q356" i="6"/>
  <c r="P355" i="6"/>
  <c r="L355" i="6"/>
  <c r="M355" i="6"/>
  <c r="O355" i="6"/>
  <c r="Q355" i="6"/>
  <c r="P354" i="6"/>
  <c r="L354" i="6"/>
  <c r="O354" i="6"/>
  <c r="Q354" i="6"/>
  <c r="P353" i="6"/>
  <c r="L353" i="6"/>
  <c r="M353" i="6"/>
  <c r="O353" i="6"/>
  <c r="Q353" i="6"/>
  <c r="Q358" i="6"/>
  <c r="P359" i="6"/>
  <c r="L359" i="6"/>
  <c r="O359" i="6"/>
  <c r="Q359" i="6"/>
  <c r="P360" i="6"/>
  <c r="L360" i="6"/>
  <c r="N360" i="6"/>
  <c r="O360" i="6"/>
  <c r="Q360" i="6"/>
  <c r="P361" i="6"/>
  <c r="L361" i="6"/>
  <c r="M361" i="6"/>
  <c r="N361" i="6"/>
  <c r="O361" i="6"/>
  <c r="Q361" i="6"/>
  <c r="P362" i="6"/>
  <c r="L362" i="6"/>
  <c r="N362" i="6"/>
  <c r="M362" i="6"/>
  <c r="O362" i="6"/>
  <c r="Q362" i="6"/>
  <c r="P367" i="6"/>
  <c r="L367" i="6"/>
  <c r="M367" i="6"/>
  <c r="O367" i="6"/>
  <c r="Q367" i="6"/>
  <c r="P366" i="6"/>
  <c r="L366" i="6"/>
  <c r="N363" i="6"/>
  <c r="N364" i="6"/>
  <c r="N365" i="6"/>
  <c r="N366" i="6"/>
  <c r="M366" i="6"/>
  <c r="O366" i="6"/>
  <c r="Q366" i="6"/>
  <c r="P365" i="6"/>
  <c r="L365" i="6"/>
  <c r="M365" i="6"/>
  <c r="O365" i="6"/>
  <c r="Q365" i="6"/>
  <c r="P364" i="6"/>
  <c r="L364" i="6"/>
  <c r="M364" i="6"/>
  <c r="O364" i="6"/>
  <c r="Q364" i="6"/>
  <c r="P363" i="6"/>
  <c r="L363" i="6"/>
  <c r="M363" i="6"/>
  <c r="O363" i="6"/>
  <c r="Q363" i="6"/>
  <c r="Q368" i="6"/>
  <c r="P380" i="6"/>
  <c r="L380" i="6"/>
  <c r="O380" i="6"/>
  <c r="Q380" i="6"/>
  <c r="P382" i="6"/>
  <c r="L382" i="6"/>
  <c r="O382" i="6"/>
  <c r="Q382" i="6"/>
  <c r="P383" i="6"/>
  <c r="L383" i="6"/>
  <c r="O383" i="6"/>
  <c r="Q383" i="6"/>
  <c r="Q385" i="6"/>
  <c r="P369" i="6"/>
  <c r="L369" i="6"/>
  <c r="O369" i="6"/>
  <c r="Q369" i="6"/>
  <c r="P370" i="6"/>
  <c r="L370" i="6"/>
  <c r="M370" i="6"/>
  <c r="O370" i="6"/>
  <c r="Q370" i="6"/>
  <c r="P371" i="6"/>
  <c r="L371" i="6"/>
  <c r="O371" i="6"/>
  <c r="Q371" i="6"/>
  <c r="P373" i="6"/>
  <c r="L373" i="6"/>
  <c r="O373" i="6"/>
  <c r="Q373" i="6"/>
  <c r="Q374" i="6"/>
  <c r="Q386" i="6"/>
  <c r="P288" i="6"/>
  <c r="L288" i="6"/>
  <c r="O288" i="6"/>
  <c r="Q288" i="6"/>
  <c r="P289" i="6"/>
  <c r="L289" i="6"/>
  <c r="O289" i="6"/>
  <c r="Q289" i="6"/>
  <c r="Q290" i="6"/>
  <c r="P292" i="6"/>
  <c r="L292" i="6"/>
  <c r="O292" i="6"/>
  <c r="Q292" i="6"/>
  <c r="P293" i="6"/>
  <c r="L293" i="6"/>
  <c r="O293" i="6"/>
  <c r="Q293" i="6"/>
  <c r="P294" i="6"/>
  <c r="L294" i="6"/>
  <c r="M294" i="6"/>
  <c r="O294" i="6"/>
  <c r="Q294" i="6"/>
  <c r="P295" i="6"/>
  <c r="L295" i="6"/>
  <c r="M295" i="6"/>
  <c r="O295" i="6"/>
  <c r="Q295" i="6"/>
  <c r="P300" i="6"/>
  <c r="L300" i="6"/>
  <c r="M300" i="6"/>
  <c r="O300" i="6"/>
  <c r="Q300" i="6"/>
  <c r="P299" i="6"/>
  <c r="L299" i="6"/>
  <c r="M299" i="6"/>
  <c r="O299" i="6"/>
  <c r="Q299" i="6"/>
  <c r="P298" i="6"/>
  <c r="L298" i="6"/>
  <c r="M298" i="6"/>
  <c r="O298" i="6"/>
  <c r="Q298" i="6"/>
  <c r="P297" i="6"/>
  <c r="L297" i="6"/>
  <c r="M297" i="6"/>
  <c r="O297" i="6"/>
  <c r="Q297" i="6"/>
  <c r="P296" i="6"/>
  <c r="L296" i="6"/>
  <c r="O296" i="6"/>
  <c r="Q296" i="6"/>
  <c r="Q301" i="6"/>
  <c r="P304" i="6"/>
  <c r="L304" i="6"/>
  <c r="O304" i="6"/>
  <c r="Q304" i="6"/>
  <c r="P305" i="6"/>
  <c r="L305" i="6"/>
  <c r="M305" i="6"/>
  <c r="O305" i="6"/>
  <c r="Q305" i="6"/>
  <c r="P306" i="6"/>
  <c r="L306" i="6"/>
  <c r="M306" i="6"/>
  <c r="O306" i="6"/>
  <c r="Q306" i="6"/>
  <c r="L307" i="6"/>
  <c r="O307" i="6"/>
  <c r="P307" i="6"/>
  <c r="Q307" i="6"/>
  <c r="P318" i="6"/>
  <c r="L318" i="6"/>
  <c r="O318" i="6"/>
  <c r="Q318" i="6"/>
  <c r="P317" i="6"/>
  <c r="L317" i="6"/>
  <c r="M317" i="6"/>
  <c r="O317" i="6"/>
  <c r="Q317" i="6"/>
  <c r="P316" i="6"/>
  <c r="L316" i="6"/>
  <c r="O316" i="6"/>
  <c r="Q316" i="6"/>
  <c r="L315" i="6"/>
  <c r="M315" i="6"/>
  <c r="O315" i="6"/>
  <c r="P315" i="6"/>
  <c r="Q315" i="6"/>
  <c r="L314" i="6"/>
  <c r="O314" i="6"/>
  <c r="P314" i="6"/>
  <c r="Q314" i="6"/>
  <c r="L313" i="6"/>
  <c r="O313" i="6"/>
  <c r="P313" i="6"/>
  <c r="Q313" i="6"/>
  <c r="L312" i="6"/>
  <c r="O312" i="6"/>
  <c r="P312" i="6"/>
  <c r="Q312" i="6"/>
  <c r="L311" i="6"/>
  <c r="O311" i="6"/>
  <c r="P311" i="6"/>
  <c r="Q311" i="6"/>
  <c r="L310" i="6"/>
  <c r="O310" i="6"/>
  <c r="P310" i="6"/>
  <c r="Q310" i="6"/>
  <c r="L309" i="6"/>
  <c r="O309" i="6"/>
  <c r="P309" i="6"/>
  <c r="Q309" i="6"/>
  <c r="L308" i="6"/>
  <c r="O308" i="6"/>
  <c r="P308" i="6"/>
  <c r="Q308" i="6"/>
  <c r="Q319" i="6"/>
  <c r="Q326" i="6"/>
  <c r="P278" i="6"/>
  <c r="L278" i="6"/>
  <c r="O278" i="6"/>
  <c r="Q278" i="6"/>
  <c r="P280" i="6"/>
  <c r="L280" i="6"/>
  <c r="O280" i="6"/>
  <c r="Q280" i="6"/>
  <c r="Q286" i="6"/>
  <c r="P203" i="6"/>
  <c r="L203" i="6"/>
  <c r="O203" i="6"/>
  <c r="Q203" i="6"/>
  <c r="P204" i="6"/>
  <c r="L204" i="6"/>
  <c r="M205" i="6"/>
  <c r="M204" i="6"/>
  <c r="O204" i="6"/>
  <c r="Q204" i="6"/>
  <c r="P205" i="6"/>
  <c r="L205" i="6"/>
  <c r="O205" i="6"/>
  <c r="Q205" i="6"/>
  <c r="P206" i="6"/>
  <c r="L206" i="6"/>
  <c r="O206" i="6"/>
  <c r="Q206" i="6"/>
  <c r="P231" i="6"/>
  <c r="M231" i="6"/>
  <c r="O231" i="6"/>
  <c r="Q231" i="6"/>
  <c r="P230" i="6"/>
  <c r="M230" i="6"/>
  <c r="O230" i="6"/>
  <c r="Q230" i="6"/>
  <c r="P229" i="6"/>
  <c r="O229" i="6"/>
  <c r="Q229" i="6"/>
  <c r="P228" i="6"/>
  <c r="M228" i="6"/>
  <c r="O228" i="6"/>
  <c r="Q228" i="6"/>
  <c r="P227" i="6"/>
  <c r="O227" i="6"/>
  <c r="Q227" i="6"/>
  <c r="P226" i="6"/>
  <c r="L226" i="6"/>
  <c r="M226" i="6"/>
  <c r="O226" i="6"/>
  <c r="Q226" i="6"/>
  <c r="P225" i="6"/>
  <c r="L225" i="6"/>
  <c r="M225" i="6"/>
  <c r="O225" i="6"/>
  <c r="Q225" i="6"/>
  <c r="P224" i="6"/>
  <c r="L224" i="6"/>
  <c r="O224" i="6"/>
  <c r="Q224" i="6"/>
  <c r="P223" i="6"/>
  <c r="L223" i="6"/>
  <c r="M223" i="6"/>
  <c r="O223" i="6"/>
  <c r="Q223" i="6"/>
  <c r="P222" i="6"/>
  <c r="Q222" i="6"/>
  <c r="P221" i="6"/>
  <c r="L221" i="6"/>
  <c r="O221" i="6"/>
  <c r="Q221" i="6"/>
  <c r="P220" i="6"/>
  <c r="L91" i="3"/>
  <c r="L220" i="6"/>
  <c r="M220" i="6"/>
  <c r="O220" i="6"/>
  <c r="Q220" i="6"/>
  <c r="P219" i="6"/>
  <c r="L219" i="6"/>
  <c r="M219" i="6"/>
  <c r="O219" i="6"/>
  <c r="Q219" i="6"/>
  <c r="P218" i="6"/>
  <c r="L218" i="6"/>
  <c r="O218" i="6"/>
  <c r="Q218" i="6"/>
  <c r="P217" i="6"/>
  <c r="L217" i="6"/>
  <c r="M217" i="6"/>
  <c r="O217" i="6"/>
  <c r="Q217" i="6"/>
  <c r="P215" i="6"/>
  <c r="L215" i="6"/>
  <c r="O215" i="6"/>
  <c r="Q215" i="6"/>
  <c r="P214" i="6"/>
  <c r="L87" i="3"/>
  <c r="L214" i="6"/>
  <c r="M214" i="6"/>
  <c r="O214" i="6"/>
  <c r="Q214" i="6"/>
  <c r="P213" i="6"/>
  <c r="L213" i="6"/>
  <c r="M213" i="6"/>
  <c r="O213" i="6"/>
  <c r="Q213" i="6"/>
  <c r="P212" i="6"/>
  <c r="L212" i="6"/>
  <c r="O212" i="6"/>
  <c r="Q212" i="6"/>
  <c r="P211" i="6"/>
  <c r="L211" i="6"/>
  <c r="M211" i="6"/>
  <c r="O211" i="6"/>
  <c r="Q211" i="6"/>
  <c r="P209" i="6"/>
  <c r="L209" i="6"/>
  <c r="O209" i="6"/>
  <c r="Q209" i="6"/>
  <c r="P208" i="6"/>
  <c r="L208" i="6"/>
  <c r="M208" i="6"/>
  <c r="O208" i="6"/>
  <c r="Q208" i="6"/>
  <c r="P207" i="6"/>
  <c r="L207" i="6"/>
  <c r="M207" i="6"/>
  <c r="O207" i="6"/>
  <c r="Q207" i="6"/>
  <c r="Q232" i="6"/>
  <c r="P234" i="6"/>
  <c r="O234" i="6"/>
  <c r="Q234" i="6"/>
  <c r="P235" i="6"/>
  <c r="O235" i="6"/>
  <c r="Q235" i="6"/>
  <c r="P236" i="6"/>
  <c r="O236" i="6"/>
  <c r="Q236" i="6"/>
  <c r="P237" i="6"/>
  <c r="O237" i="6"/>
  <c r="Q237" i="6"/>
  <c r="P258" i="6"/>
  <c r="L258" i="6"/>
  <c r="O258" i="6"/>
  <c r="Q258" i="6"/>
  <c r="P257" i="6"/>
  <c r="L257" i="6"/>
  <c r="O257" i="6"/>
  <c r="Q257" i="6"/>
  <c r="P256" i="6"/>
  <c r="L256" i="6"/>
  <c r="O256" i="6"/>
  <c r="Q256" i="6"/>
  <c r="P255" i="6"/>
  <c r="L255" i="6"/>
  <c r="O255" i="6"/>
  <c r="Q255" i="6"/>
  <c r="P254" i="6"/>
  <c r="L254" i="6"/>
  <c r="O254" i="6"/>
  <c r="Q254" i="6"/>
  <c r="P253" i="6"/>
  <c r="L253" i="6"/>
  <c r="O253" i="6"/>
  <c r="Q253" i="6"/>
  <c r="P252" i="6"/>
  <c r="L252" i="6"/>
  <c r="O252" i="6"/>
  <c r="Q252" i="6"/>
  <c r="P251" i="6"/>
  <c r="L251" i="6"/>
  <c r="O251" i="6"/>
  <c r="Q251" i="6"/>
  <c r="P250" i="6"/>
  <c r="L250" i="6"/>
  <c r="O250" i="6"/>
  <c r="Q250" i="6"/>
  <c r="P246" i="6"/>
  <c r="L246" i="6"/>
  <c r="O246" i="6"/>
  <c r="Q246" i="6"/>
  <c r="P245" i="6"/>
  <c r="L245" i="6"/>
  <c r="O245" i="6"/>
  <c r="Q245" i="6"/>
  <c r="P244" i="6"/>
  <c r="O244" i="6"/>
  <c r="Q244" i="6"/>
  <c r="P243" i="6"/>
  <c r="O243" i="6"/>
  <c r="Q243" i="6"/>
  <c r="P242" i="6"/>
  <c r="O242" i="6"/>
  <c r="Q242" i="6"/>
  <c r="P241" i="6"/>
  <c r="O241" i="6"/>
  <c r="Q241" i="6"/>
  <c r="P240" i="6"/>
  <c r="O240" i="6"/>
  <c r="Q240" i="6"/>
  <c r="P239" i="6"/>
  <c r="O239" i="6"/>
  <c r="Q239" i="6"/>
  <c r="P238" i="6"/>
  <c r="O238" i="6"/>
  <c r="Q238" i="6"/>
  <c r="Q259" i="6"/>
  <c r="P261" i="6"/>
  <c r="O261" i="6"/>
  <c r="Q261" i="6"/>
  <c r="P262" i="6"/>
  <c r="O262" i="6"/>
  <c r="Q262" i="6"/>
  <c r="P275" i="6"/>
  <c r="O275" i="6"/>
  <c r="Q275" i="6"/>
  <c r="P274" i="6"/>
  <c r="O274" i="6"/>
  <c r="Q274" i="6"/>
  <c r="P273" i="6"/>
  <c r="O273" i="6"/>
  <c r="Q273" i="6"/>
  <c r="P272" i="6"/>
  <c r="O272" i="6"/>
  <c r="Q272" i="6"/>
  <c r="P271" i="6"/>
  <c r="M271" i="6"/>
  <c r="O271" i="6"/>
  <c r="Q271" i="6"/>
  <c r="P270" i="6"/>
  <c r="O270" i="6"/>
  <c r="Q270" i="6"/>
  <c r="P267" i="6"/>
  <c r="L267" i="6"/>
  <c r="O267" i="6"/>
  <c r="Q267" i="6"/>
  <c r="P266" i="6"/>
  <c r="L132" i="3"/>
  <c r="L265" i="6"/>
  <c r="L266" i="6"/>
  <c r="M266" i="6"/>
  <c r="O266" i="6"/>
  <c r="Q266" i="6"/>
  <c r="P265" i="6"/>
  <c r="M265" i="6"/>
  <c r="O265" i="6"/>
  <c r="Q265" i="6"/>
  <c r="P264" i="6"/>
  <c r="L89" i="3"/>
  <c r="L129" i="3"/>
  <c r="L264" i="6"/>
  <c r="M264" i="6"/>
  <c r="O264" i="6"/>
  <c r="Q264" i="6"/>
  <c r="P263" i="6"/>
  <c r="O263" i="6"/>
  <c r="Q263" i="6"/>
  <c r="Q276" i="6"/>
  <c r="Q404" i="6"/>
  <c r="Y404" i="6"/>
  <c r="Z404" i="6"/>
  <c r="R397" i="6"/>
  <c r="S397" i="6"/>
  <c r="R398" i="6"/>
  <c r="S398" i="6"/>
  <c r="R399" i="6"/>
  <c r="S399" i="6"/>
  <c r="R401" i="6"/>
  <c r="S401" i="6"/>
  <c r="Y403" i="6"/>
  <c r="Z403" i="6"/>
  <c r="Y402" i="6"/>
  <c r="T402" i="6"/>
  <c r="U402" i="6"/>
  <c r="R402" i="6"/>
  <c r="Y401" i="6"/>
  <c r="T401" i="6"/>
  <c r="U401" i="6"/>
  <c r="W401" i="6"/>
  <c r="V401" i="6"/>
  <c r="Y400" i="6"/>
  <c r="Y399" i="6"/>
  <c r="T399" i="6"/>
  <c r="U399" i="6"/>
  <c r="W399" i="6"/>
  <c r="V399" i="6"/>
  <c r="Y398" i="6"/>
  <c r="T398" i="6"/>
  <c r="U398" i="6"/>
  <c r="W398" i="6"/>
  <c r="V398" i="6"/>
  <c r="Y397" i="6"/>
  <c r="T397" i="6"/>
  <c r="U397" i="6"/>
  <c r="W397" i="6"/>
  <c r="V397" i="6"/>
  <c r="Y396" i="6"/>
  <c r="T396" i="6"/>
  <c r="U396" i="6"/>
  <c r="Y395" i="6"/>
  <c r="Y394" i="6"/>
  <c r="Y393" i="6"/>
  <c r="Y392" i="6"/>
  <c r="M392" i="6"/>
  <c r="Y391" i="6"/>
  <c r="Y390" i="6"/>
  <c r="Y389" i="6"/>
  <c r="Y388" i="6"/>
  <c r="Y387" i="6"/>
  <c r="Y386" i="6"/>
  <c r="Z386" i="6"/>
  <c r="R380" i="6"/>
  <c r="S380" i="6"/>
  <c r="R382" i="6"/>
  <c r="S382" i="6"/>
  <c r="R383" i="6"/>
  <c r="S383" i="6"/>
  <c r="R384" i="6"/>
  <c r="L384" i="6"/>
  <c r="O384" i="6"/>
  <c r="S384" i="6"/>
  <c r="R357" i="6"/>
  <c r="S357" i="6"/>
  <c r="R347" i="6"/>
  <c r="S347" i="6"/>
  <c r="R337" i="6"/>
  <c r="S337" i="6"/>
  <c r="R329" i="6"/>
  <c r="S329" i="6"/>
  <c r="R330" i="6"/>
  <c r="S330" i="6"/>
  <c r="R331" i="6"/>
  <c r="S331" i="6"/>
  <c r="R332" i="6"/>
  <c r="S332" i="6"/>
  <c r="R336" i="6"/>
  <c r="S336" i="6"/>
  <c r="R335" i="6"/>
  <c r="S335" i="6"/>
  <c r="R334" i="6"/>
  <c r="S334" i="6"/>
  <c r="R333" i="6"/>
  <c r="S333" i="6"/>
  <c r="S338" i="6"/>
  <c r="R339" i="6"/>
  <c r="S339" i="6"/>
  <c r="R340" i="6"/>
  <c r="S340" i="6"/>
  <c r="R346" i="6"/>
  <c r="S346" i="6"/>
  <c r="R345" i="6"/>
  <c r="S345" i="6"/>
  <c r="R344" i="6"/>
  <c r="S344" i="6"/>
  <c r="R343" i="6"/>
  <c r="S343" i="6"/>
  <c r="R342" i="6"/>
  <c r="S342" i="6"/>
  <c r="R341" i="6"/>
  <c r="S341" i="6"/>
  <c r="S348" i="6"/>
  <c r="R349" i="6"/>
  <c r="S349" i="6"/>
  <c r="R350" i="6"/>
  <c r="S350" i="6"/>
  <c r="R356" i="6"/>
  <c r="S356" i="6"/>
  <c r="R355" i="6"/>
  <c r="S355" i="6"/>
  <c r="R354" i="6"/>
  <c r="S354" i="6"/>
  <c r="R353" i="6"/>
  <c r="S353" i="6"/>
  <c r="R352" i="6"/>
  <c r="S352" i="6"/>
  <c r="R351" i="6"/>
  <c r="S351" i="6"/>
  <c r="S358" i="6"/>
  <c r="S368" i="6"/>
  <c r="S374" i="6"/>
  <c r="S385" i="6"/>
  <c r="S386" i="6"/>
  <c r="Y385" i="6"/>
  <c r="Z385" i="6"/>
  <c r="Y384" i="6"/>
  <c r="T384" i="6"/>
  <c r="U384" i="6"/>
  <c r="P384" i="6"/>
  <c r="Y383" i="6"/>
  <c r="T383" i="6"/>
  <c r="U383" i="6"/>
  <c r="W383" i="6"/>
  <c r="V383" i="6"/>
  <c r="Y382" i="6"/>
  <c r="T382" i="6"/>
  <c r="U382" i="6"/>
  <c r="W382" i="6"/>
  <c r="V382" i="6"/>
  <c r="Y381" i="6"/>
  <c r="V381" i="6"/>
  <c r="Y380" i="6"/>
  <c r="T380" i="6"/>
  <c r="U380" i="6"/>
  <c r="W380" i="6"/>
  <c r="V380" i="6"/>
  <c r="Y379" i="6"/>
  <c r="Y378" i="6"/>
  <c r="Q377" i="6"/>
  <c r="Y377" i="6"/>
  <c r="Y376" i="6"/>
  <c r="Y375" i="6"/>
  <c r="Y374" i="6"/>
  <c r="Z374" i="6"/>
  <c r="Y373" i="6"/>
  <c r="Y372" i="6"/>
  <c r="P372" i="6"/>
  <c r="L372" i="6"/>
  <c r="O372" i="6"/>
  <c r="Y371" i="6"/>
  <c r="Y370" i="6"/>
  <c r="Y369" i="6"/>
  <c r="Y368" i="6"/>
  <c r="Z368" i="6"/>
  <c r="Y367" i="6"/>
  <c r="Y366" i="6"/>
  <c r="Y365" i="6"/>
  <c r="Y364" i="6"/>
  <c r="Y363" i="6"/>
  <c r="Y362" i="6"/>
  <c r="Y361" i="6"/>
  <c r="Y360" i="6"/>
  <c r="Y359" i="6"/>
  <c r="Y358" i="6"/>
  <c r="Z358" i="6"/>
  <c r="Y357" i="6"/>
  <c r="T357" i="6"/>
  <c r="U357" i="6"/>
  <c r="W357" i="6"/>
  <c r="V357" i="6"/>
  <c r="Y356" i="6"/>
  <c r="T356" i="6"/>
  <c r="U356" i="6"/>
  <c r="W356" i="6"/>
  <c r="V356" i="6"/>
  <c r="Y355" i="6"/>
  <c r="T355" i="6"/>
  <c r="U355" i="6"/>
  <c r="W355" i="6"/>
  <c r="V355" i="6"/>
  <c r="Y354" i="6"/>
  <c r="T354" i="6"/>
  <c r="U354" i="6"/>
  <c r="W354" i="6"/>
  <c r="V354" i="6"/>
  <c r="Y353" i="6"/>
  <c r="T353" i="6"/>
  <c r="U353" i="6"/>
  <c r="W353" i="6"/>
  <c r="V353" i="6"/>
  <c r="Y352" i="6"/>
  <c r="T352" i="6"/>
  <c r="U352" i="6"/>
  <c r="W352" i="6"/>
  <c r="V352" i="6"/>
  <c r="Y351" i="6"/>
  <c r="T351" i="6"/>
  <c r="U351" i="6"/>
  <c r="W351" i="6"/>
  <c r="V351" i="6"/>
  <c r="Y350" i="6"/>
  <c r="T350" i="6"/>
  <c r="U350" i="6"/>
  <c r="W350" i="6"/>
  <c r="V350" i="6"/>
  <c r="Y349" i="6"/>
  <c r="T349" i="6"/>
  <c r="U349" i="6"/>
  <c r="W349" i="6"/>
  <c r="V349" i="6"/>
  <c r="Y348" i="6"/>
  <c r="Z348" i="6"/>
  <c r="Y347" i="6"/>
  <c r="T347" i="6"/>
  <c r="U347" i="6"/>
  <c r="W347" i="6"/>
  <c r="V347" i="6"/>
  <c r="Y346" i="6"/>
  <c r="T346" i="6"/>
  <c r="U346" i="6"/>
  <c r="W346" i="6"/>
  <c r="V346" i="6"/>
  <c r="Y345" i="6"/>
  <c r="T345" i="6"/>
  <c r="U345" i="6"/>
  <c r="W345" i="6"/>
  <c r="V345" i="6"/>
  <c r="Y344" i="6"/>
  <c r="T344" i="6"/>
  <c r="U344" i="6"/>
  <c r="W344" i="6"/>
  <c r="V344" i="6"/>
  <c r="Y343" i="6"/>
  <c r="T343" i="6"/>
  <c r="U343" i="6"/>
  <c r="W343" i="6"/>
  <c r="V343" i="6"/>
  <c r="Y342" i="6"/>
  <c r="T342" i="6"/>
  <c r="U342" i="6"/>
  <c r="W342" i="6"/>
  <c r="V342" i="6"/>
  <c r="Y341" i="6"/>
  <c r="T341" i="6"/>
  <c r="U341" i="6"/>
  <c r="W341" i="6"/>
  <c r="V341" i="6"/>
  <c r="Y340" i="6"/>
  <c r="T340" i="6"/>
  <c r="U340" i="6"/>
  <c r="W340" i="6"/>
  <c r="V340" i="6"/>
  <c r="Y339" i="6"/>
  <c r="T339" i="6"/>
  <c r="U339" i="6"/>
  <c r="W339" i="6"/>
  <c r="V339" i="6"/>
  <c r="Y338" i="6"/>
  <c r="Z338" i="6"/>
  <c r="Y337" i="6"/>
  <c r="T337" i="6"/>
  <c r="U337" i="6"/>
  <c r="W337" i="6"/>
  <c r="V337" i="6"/>
  <c r="Y336" i="6"/>
  <c r="T336" i="6"/>
  <c r="U336" i="6"/>
  <c r="W336" i="6"/>
  <c r="V336" i="6"/>
  <c r="Y335" i="6"/>
  <c r="T335" i="6"/>
  <c r="U335" i="6"/>
  <c r="W335" i="6"/>
  <c r="V335" i="6"/>
  <c r="Y334" i="6"/>
  <c r="T334" i="6"/>
  <c r="U334" i="6"/>
  <c r="W334" i="6"/>
  <c r="V334" i="6"/>
  <c r="Y333" i="6"/>
  <c r="T333" i="6"/>
  <c r="U333" i="6"/>
  <c r="W333" i="6"/>
  <c r="V333" i="6"/>
  <c r="Y332" i="6"/>
  <c r="T332" i="6"/>
  <c r="U332" i="6"/>
  <c r="W332" i="6"/>
  <c r="V332" i="6"/>
  <c r="Y331" i="6"/>
  <c r="T331" i="6"/>
  <c r="U331" i="6"/>
  <c r="W331" i="6"/>
  <c r="V331" i="6"/>
  <c r="Y330" i="6"/>
  <c r="T330" i="6"/>
  <c r="U330" i="6"/>
  <c r="W330" i="6"/>
  <c r="V330" i="6"/>
  <c r="Y329" i="6"/>
  <c r="T329" i="6"/>
  <c r="U329" i="6"/>
  <c r="W329" i="6"/>
  <c r="V329" i="6"/>
  <c r="Y328" i="6"/>
  <c r="Y327" i="6"/>
  <c r="Y326" i="6"/>
  <c r="Z326" i="6"/>
  <c r="R292" i="6"/>
  <c r="S292" i="6"/>
  <c r="R293" i="6"/>
  <c r="S293" i="6"/>
  <c r="R294" i="6"/>
  <c r="S294" i="6"/>
  <c r="R295" i="6"/>
  <c r="S295" i="6"/>
  <c r="S301" i="6"/>
  <c r="R304" i="6"/>
  <c r="S304" i="6"/>
  <c r="R305" i="6"/>
  <c r="S305" i="6"/>
  <c r="R306" i="6"/>
  <c r="S306" i="6"/>
  <c r="S319" i="6"/>
  <c r="S326" i="6"/>
  <c r="Y325" i="6"/>
  <c r="Y324" i="6"/>
  <c r="M324" i="6"/>
  <c r="Y323" i="6"/>
  <c r="M323" i="6"/>
  <c r="Y322" i="6"/>
  <c r="Y321" i="6"/>
  <c r="Y320" i="6"/>
  <c r="Y319" i="6"/>
  <c r="Z319" i="6"/>
  <c r="Y318" i="6"/>
  <c r="Y317" i="6"/>
  <c r="Y316" i="6"/>
  <c r="Y315" i="6"/>
  <c r="Y314" i="6"/>
  <c r="Y313" i="6"/>
  <c r="Y312" i="6"/>
  <c r="Y311" i="6"/>
  <c r="Y310" i="6"/>
  <c r="Y309" i="6"/>
  <c r="Y308" i="6"/>
  <c r="Y307" i="6"/>
  <c r="Y306" i="6"/>
  <c r="T306" i="6"/>
  <c r="U306" i="6"/>
  <c r="W306" i="6"/>
  <c r="V306" i="6"/>
  <c r="Y305" i="6"/>
  <c r="T305" i="6"/>
  <c r="U305" i="6"/>
  <c r="W305" i="6"/>
  <c r="V305" i="6"/>
  <c r="Y304" i="6"/>
  <c r="T304" i="6"/>
  <c r="U304" i="6"/>
  <c r="W304" i="6"/>
  <c r="V304" i="6"/>
  <c r="Y303" i="6"/>
  <c r="Y302" i="6"/>
  <c r="Y301" i="6"/>
  <c r="Z301" i="6"/>
  <c r="Y300" i="6"/>
  <c r="Y299" i="6"/>
  <c r="Y298" i="6"/>
  <c r="Y297" i="6"/>
  <c r="Y296" i="6"/>
  <c r="Y295" i="6"/>
  <c r="T295" i="6"/>
  <c r="U295" i="6"/>
  <c r="W295" i="6"/>
  <c r="V295" i="6"/>
  <c r="Y294" i="6"/>
  <c r="T294" i="6"/>
  <c r="U294" i="6"/>
  <c r="W294" i="6"/>
  <c r="V294" i="6"/>
  <c r="Y293" i="6"/>
  <c r="T293" i="6"/>
  <c r="U293" i="6"/>
  <c r="W293" i="6"/>
  <c r="V293" i="6"/>
  <c r="Y292" i="6"/>
  <c r="T292" i="6"/>
  <c r="U292" i="6"/>
  <c r="W292" i="6"/>
  <c r="V292" i="6"/>
  <c r="Y291" i="6"/>
  <c r="Y290" i="6"/>
  <c r="Z290" i="6"/>
  <c r="R267" i="6"/>
  <c r="S267" i="6"/>
  <c r="S276" i="6"/>
  <c r="S286" i="6"/>
  <c r="R288" i="6"/>
  <c r="S288" i="6"/>
  <c r="R289" i="6"/>
  <c r="S289" i="6"/>
  <c r="S290" i="6"/>
  <c r="Y289" i="6"/>
  <c r="T289" i="6"/>
  <c r="U289" i="6"/>
  <c r="W289" i="6"/>
  <c r="V289" i="6"/>
  <c r="Y288" i="6"/>
  <c r="T288" i="6"/>
  <c r="U288" i="6"/>
  <c r="W288" i="6"/>
  <c r="V288" i="6"/>
  <c r="Y287" i="6"/>
  <c r="Y286" i="6"/>
  <c r="Z286" i="6"/>
  <c r="Y285" i="6"/>
  <c r="Y284" i="6"/>
  <c r="Y283" i="6"/>
  <c r="Y282" i="6"/>
  <c r="M282" i="6"/>
  <c r="Y281" i="6"/>
  <c r="Y280" i="6"/>
  <c r="Y279" i="6"/>
  <c r="Y278" i="6"/>
  <c r="Y277" i="6"/>
  <c r="Y276" i="6"/>
  <c r="Z276" i="6"/>
  <c r="Y275" i="6"/>
  <c r="Y274" i="6"/>
  <c r="Y273" i="6"/>
  <c r="Y272" i="6"/>
  <c r="Y271" i="6"/>
  <c r="Y270" i="6"/>
  <c r="Y269" i="6"/>
  <c r="L269" i="6"/>
  <c r="Y268" i="6"/>
  <c r="L268" i="6"/>
  <c r="Y267" i="6"/>
  <c r="Y266" i="6"/>
  <c r="Y265" i="6"/>
  <c r="Y264" i="6"/>
  <c r="Y263" i="6"/>
  <c r="Y262" i="6"/>
  <c r="Y261" i="6"/>
  <c r="Y260" i="6"/>
  <c r="Y259" i="6"/>
  <c r="Z259" i="6"/>
  <c r="R257" i="6"/>
  <c r="S257" i="6"/>
  <c r="R258" i="6"/>
  <c r="S258" i="6"/>
  <c r="S259" i="6"/>
  <c r="Y258" i="6"/>
  <c r="T258" i="6"/>
  <c r="U258" i="6"/>
  <c r="W258" i="6"/>
  <c r="V258" i="6"/>
  <c r="Y257" i="6"/>
  <c r="T257" i="6"/>
  <c r="U257" i="6"/>
  <c r="W257" i="6"/>
  <c r="V257" i="6"/>
  <c r="Y256" i="6"/>
  <c r="Y255" i="6"/>
  <c r="Y254" i="6"/>
  <c r="Y253" i="6"/>
  <c r="Y252" i="6"/>
  <c r="Y251" i="6"/>
  <c r="Y250" i="6"/>
  <c r="Y249" i="6"/>
  <c r="Y248" i="6"/>
  <c r="Y247" i="6"/>
  <c r="Y246" i="6"/>
  <c r="Y245" i="6"/>
  <c r="Y244" i="6"/>
  <c r="Y243" i="6"/>
  <c r="Y242" i="6"/>
  <c r="Y241" i="6"/>
  <c r="Y240" i="6"/>
  <c r="Y239" i="6"/>
  <c r="R239" i="6"/>
  <c r="S239" i="6"/>
  <c r="W239" i="6"/>
  <c r="V239" i="6"/>
  <c r="T239" i="6"/>
  <c r="U239" i="6"/>
  <c r="Y238" i="6"/>
  <c r="Y237" i="6"/>
  <c r="Y236" i="6"/>
  <c r="Y235" i="6"/>
  <c r="Y234" i="6"/>
  <c r="Y233" i="6"/>
  <c r="Y232" i="6"/>
  <c r="Z232" i="6"/>
  <c r="R227" i="6"/>
  <c r="S227" i="6"/>
  <c r="S232" i="6"/>
  <c r="Y231" i="6"/>
  <c r="Y230" i="6"/>
  <c r="Y229" i="6"/>
  <c r="Y228" i="6"/>
  <c r="Y227" i="6"/>
  <c r="T227" i="6"/>
  <c r="U227" i="6"/>
  <c r="W227" i="6"/>
  <c r="V227" i="6"/>
  <c r="Y226" i="6"/>
  <c r="Y225" i="6"/>
  <c r="Y224" i="6"/>
  <c r="Y223" i="6"/>
  <c r="Y222" i="6"/>
  <c r="L222" i="6"/>
  <c r="Y221" i="6"/>
  <c r="Y220" i="6"/>
  <c r="R220" i="6"/>
  <c r="S220" i="6"/>
  <c r="T220" i="6"/>
  <c r="U220" i="6"/>
  <c r="W220" i="6"/>
  <c r="V220" i="6"/>
  <c r="Y219" i="6"/>
  <c r="R219" i="6"/>
  <c r="S219" i="6"/>
  <c r="T219" i="6"/>
  <c r="U219" i="6"/>
  <c r="W219" i="6"/>
  <c r="V219" i="6"/>
  <c r="Y218" i="6"/>
  <c r="Y217" i="6"/>
  <c r="R217" i="6"/>
  <c r="S217" i="6"/>
  <c r="T217" i="6"/>
  <c r="U217" i="6"/>
  <c r="W217" i="6"/>
  <c r="V217" i="6"/>
  <c r="Y216" i="6"/>
  <c r="L216" i="6"/>
  <c r="Y215" i="6"/>
  <c r="R215" i="6"/>
  <c r="S215" i="6"/>
  <c r="T215" i="6"/>
  <c r="U215" i="6"/>
  <c r="W215" i="6"/>
  <c r="V215" i="6"/>
  <c r="Y214" i="6"/>
  <c r="R214" i="6"/>
  <c r="S214" i="6"/>
  <c r="T214" i="6"/>
  <c r="U214" i="6"/>
  <c r="W214" i="6"/>
  <c r="V214" i="6"/>
  <c r="Y213" i="6"/>
  <c r="R213" i="6"/>
  <c r="S213" i="6"/>
  <c r="T213" i="6"/>
  <c r="U213" i="6"/>
  <c r="W213" i="6"/>
  <c r="V213" i="6"/>
  <c r="Y212" i="6"/>
  <c r="Y211" i="6"/>
  <c r="R211" i="6"/>
  <c r="S211" i="6"/>
  <c r="T211" i="6"/>
  <c r="U211" i="6"/>
  <c r="W211" i="6"/>
  <c r="V211" i="6"/>
  <c r="Y210" i="6"/>
  <c r="L210" i="6"/>
  <c r="Y209" i="6"/>
  <c r="R209" i="6"/>
  <c r="S209" i="6"/>
  <c r="T209" i="6"/>
  <c r="U209" i="6"/>
  <c r="W209" i="6"/>
  <c r="V209" i="6"/>
  <c r="Y208" i="6"/>
  <c r="Y207" i="6"/>
  <c r="Y206" i="6"/>
  <c r="Y205" i="6"/>
  <c r="Y204" i="6"/>
  <c r="Y203" i="6"/>
  <c r="Y202" i="6"/>
  <c r="Y201" i="6"/>
  <c r="Y200" i="6"/>
  <c r="Z200" i="6"/>
  <c r="R189" i="6"/>
  <c r="S189" i="6"/>
  <c r="R190" i="6"/>
  <c r="S190" i="6"/>
  <c r="R191" i="6"/>
  <c r="S191" i="6"/>
  <c r="R183" i="6"/>
  <c r="S183" i="6"/>
  <c r="R184" i="6"/>
  <c r="S184" i="6"/>
  <c r="R185" i="6"/>
  <c r="S185" i="6"/>
  <c r="R186" i="6"/>
  <c r="S186" i="6"/>
  <c r="R177" i="6"/>
  <c r="S177" i="6"/>
  <c r="R178" i="6"/>
  <c r="S178" i="6"/>
  <c r="R179" i="6"/>
  <c r="S179" i="6"/>
  <c r="R180" i="6"/>
  <c r="S180" i="6"/>
  <c r="R182" i="6"/>
  <c r="S182" i="6"/>
  <c r="R170" i="6"/>
  <c r="S170" i="6"/>
  <c r="R173" i="6"/>
  <c r="S173" i="6"/>
  <c r="R163" i="6"/>
  <c r="S163" i="6"/>
  <c r="R164" i="6"/>
  <c r="S164" i="6"/>
  <c r="R165" i="6"/>
  <c r="S165" i="6"/>
  <c r="R166" i="6"/>
  <c r="S166" i="6"/>
  <c r="R169" i="6"/>
  <c r="S169" i="6"/>
  <c r="R168" i="6"/>
  <c r="S168" i="6"/>
  <c r="R167" i="6"/>
  <c r="S167" i="6"/>
  <c r="S174" i="6"/>
  <c r="S175" i="6"/>
  <c r="S181" i="6"/>
  <c r="S187" i="6"/>
  <c r="S194" i="6"/>
  <c r="Y199" i="6"/>
  <c r="Z199" i="6"/>
  <c r="Y198" i="6"/>
  <c r="Y197" i="6"/>
  <c r="T197" i="6"/>
  <c r="U197" i="6"/>
  <c r="R197" i="6"/>
  <c r="Y196" i="6"/>
  <c r="Y195" i="6"/>
  <c r="Y194" i="6"/>
  <c r="Z194" i="6"/>
  <c r="Y193" i="6"/>
  <c r="Y192" i="6"/>
  <c r="Y191" i="6"/>
  <c r="T191" i="6"/>
  <c r="U191" i="6"/>
  <c r="W191" i="6"/>
  <c r="V191" i="6"/>
  <c r="Y190" i="6"/>
  <c r="T190" i="6"/>
  <c r="U190" i="6"/>
  <c r="W190" i="6"/>
  <c r="V190" i="6"/>
  <c r="Y189" i="6"/>
  <c r="T189" i="6"/>
  <c r="U189" i="6"/>
  <c r="W189" i="6"/>
  <c r="V189" i="6"/>
  <c r="Y188" i="6"/>
  <c r="Y187" i="6"/>
  <c r="Z187" i="6"/>
  <c r="Y186" i="6"/>
  <c r="T186" i="6"/>
  <c r="U186" i="6"/>
  <c r="W186" i="6"/>
  <c r="V186" i="6"/>
  <c r="Y185" i="6"/>
  <c r="T185" i="6"/>
  <c r="U185" i="6"/>
  <c r="W185" i="6"/>
  <c r="V185" i="6"/>
  <c r="Y184" i="6"/>
  <c r="T184" i="6"/>
  <c r="U184" i="6"/>
  <c r="W184" i="6"/>
  <c r="V184" i="6"/>
  <c r="Y183" i="6"/>
  <c r="T183" i="6"/>
  <c r="U183" i="6"/>
  <c r="W183" i="6"/>
  <c r="V183" i="6"/>
  <c r="Y182" i="6"/>
  <c r="T182" i="6"/>
  <c r="U182" i="6"/>
  <c r="W182" i="6"/>
  <c r="V182" i="6"/>
  <c r="Y181" i="6"/>
  <c r="Z181" i="6"/>
  <c r="Y180" i="6"/>
  <c r="T180" i="6"/>
  <c r="U180" i="6"/>
  <c r="W180" i="6"/>
  <c r="V180" i="6"/>
  <c r="Y179" i="6"/>
  <c r="T179" i="6"/>
  <c r="U179" i="6"/>
  <c r="W179" i="6"/>
  <c r="V179" i="6"/>
  <c r="Y178" i="6"/>
  <c r="T178" i="6"/>
  <c r="U178" i="6"/>
  <c r="W178" i="6"/>
  <c r="V178" i="6"/>
  <c r="Y177" i="6"/>
  <c r="T177" i="6"/>
  <c r="U177" i="6"/>
  <c r="W177" i="6"/>
  <c r="V177" i="6"/>
  <c r="Y176" i="6"/>
  <c r="Y175" i="6"/>
  <c r="Z175" i="6"/>
  <c r="Y174" i="6"/>
  <c r="Z174" i="6"/>
  <c r="Y173" i="6"/>
  <c r="T173" i="6"/>
  <c r="U173" i="6"/>
  <c r="W173" i="6"/>
  <c r="V173" i="6"/>
  <c r="Y172" i="6"/>
  <c r="L172" i="6"/>
  <c r="Y171" i="6"/>
  <c r="L171" i="6"/>
  <c r="Y170" i="6"/>
  <c r="T170" i="6"/>
  <c r="U170" i="6"/>
  <c r="W170" i="6"/>
  <c r="V170" i="6"/>
  <c r="Y169" i="6"/>
  <c r="T169" i="6"/>
  <c r="U169" i="6"/>
  <c r="W169" i="6"/>
  <c r="V169" i="6"/>
  <c r="Y168" i="6"/>
  <c r="T168" i="6"/>
  <c r="U168" i="6"/>
  <c r="W168" i="6"/>
  <c r="V168" i="6"/>
  <c r="Y167" i="6"/>
  <c r="T167" i="6"/>
  <c r="U167" i="6"/>
  <c r="W167" i="6"/>
  <c r="V167" i="6"/>
  <c r="Y166" i="6"/>
  <c r="T166" i="6"/>
  <c r="U166" i="6"/>
  <c r="W166" i="6"/>
  <c r="V166" i="6"/>
  <c r="Y165" i="6"/>
  <c r="T165" i="6"/>
  <c r="U165" i="6"/>
  <c r="W165" i="6"/>
  <c r="V165" i="6"/>
  <c r="Y164" i="6"/>
  <c r="T164" i="6"/>
  <c r="U164" i="6"/>
  <c r="W164" i="6"/>
  <c r="V164" i="6"/>
  <c r="Y163" i="6"/>
  <c r="T163" i="6"/>
  <c r="U163" i="6"/>
  <c r="W163" i="6"/>
  <c r="V163" i="6"/>
  <c r="Y162" i="6"/>
  <c r="R162" i="6"/>
  <c r="S162" i="6"/>
  <c r="T162" i="6"/>
  <c r="U162" i="6"/>
  <c r="W162" i="6"/>
  <c r="V162" i="6"/>
  <c r="Y161" i="6"/>
  <c r="R161" i="6"/>
  <c r="S161" i="6"/>
  <c r="T161" i="6"/>
  <c r="U161" i="6"/>
  <c r="W161" i="6"/>
  <c r="V161" i="6"/>
  <c r="Y160" i="6"/>
  <c r="R160" i="6"/>
  <c r="S160" i="6"/>
  <c r="T160" i="6"/>
  <c r="U160" i="6"/>
  <c r="W160" i="6"/>
  <c r="V160" i="6"/>
  <c r="Y159" i="6"/>
  <c r="R159" i="6"/>
  <c r="S159" i="6"/>
  <c r="T159" i="6"/>
  <c r="U159" i="6"/>
  <c r="W159" i="6"/>
  <c r="V159" i="6"/>
  <c r="Y158" i="6"/>
  <c r="R158" i="6"/>
  <c r="S158" i="6"/>
  <c r="T158" i="6"/>
  <c r="U158" i="6"/>
  <c r="W158" i="6"/>
  <c r="V158" i="6"/>
  <c r="Y157" i="6"/>
  <c r="R157" i="6"/>
  <c r="S157" i="6"/>
  <c r="T157" i="6"/>
  <c r="U157" i="6"/>
  <c r="W157" i="6"/>
  <c r="V157" i="6"/>
  <c r="Y156" i="6"/>
  <c r="R156" i="6"/>
  <c r="S156" i="6"/>
  <c r="T156" i="6"/>
  <c r="U156" i="6"/>
  <c r="W156" i="6"/>
  <c r="V156" i="6"/>
  <c r="Y155" i="6"/>
  <c r="R155" i="6"/>
  <c r="S155" i="6"/>
  <c r="T155" i="6"/>
  <c r="U155" i="6"/>
  <c r="W155" i="6"/>
  <c r="V155" i="6"/>
  <c r="Y154" i="6"/>
  <c r="R154" i="6"/>
  <c r="S154" i="6"/>
  <c r="T154" i="6"/>
  <c r="U154" i="6"/>
  <c r="W154" i="6"/>
  <c r="V154" i="6"/>
  <c r="Y153" i="6"/>
  <c r="R153" i="6"/>
  <c r="S153" i="6"/>
  <c r="T153" i="6"/>
  <c r="U153" i="6"/>
  <c r="W153" i="6"/>
  <c r="V153" i="6"/>
  <c r="Y152" i="6"/>
  <c r="R152" i="6"/>
  <c r="S152" i="6"/>
  <c r="T152" i="6"/>
  <c r="U152" i="6"/>
  <c r="W152" i="6"/>
  <c r="V152" i="6"/>
  <c r="Y151" i="6"/>
  <c r="Y150" i="6"/>
  <c r="Y149" i="6"/>
  <c r="Y148" i="6"/>
  <c r="Y147" i="6"/>
  <c r="Y146" i="6"/>
  <c r="Y145" i="6"/>
  <c r="Y144" i="6"/>
  <c r="Y143" i="6"/>
  <c r="Y142" i="6"/>
  <c r="Y141" i="6"/>
  <c r="Y140" i="6"/>
  <c r="Y139" i="6"/>
  <c r="Y138" i="6"/>
  <c r="Y137" i="6"/>
  <c r="Y136" i="6"/>
  <c r="Y135" i="6"/>
  <c r="Y134" i="6"/>
  <c r="Y133" i="6"/>
  <c r="Y132" i="6"/>
  <c r="Y131" i="6"/>
  <c r="Y130" i="6"/>
  <c r="Y129" i="6"/>
  <c r="Y128" i="6"/>
  <c r="Y127" i="6"/>
  <c r="Z127" i="6"/>
  <c r="R116" i="6"/>
  <c r="S116" i="6"/>
  <c r="R117" i="6"/>
  <c r="S117" i="6"/>
  <c r="R118" i="6"/>
  <c r="S118" i="6"/>
  <c r="R119" i="6"/>
  <c r="S119" i="6"/>
  <c r="R126" i="6"/>
  <c r="S126" i="6"/>
  <c r="R125" i="6"/>
  <c r="S125" i="6"/>
  <c r="R124" i="6"/>
  <c r="S124" i="6"/>
  <c r="R123" i="6"/>
  <c r="S123" i="6"/>
  <c r="R122" i="6"/>
  <c r="S122" i="6"/>
  <c r="R121" i="6"/>
  <c r="S121" i="6"/>
  <c r="R120" i="6"/>
  <c r="S120" i="6"/>
  <c r="S127" i="6"/>
  <c r="Y126" i="6"/>
  <c r="T126" i="6"/>
  <c r="U126" i="6"/>
  <c r="W126" i="6"/>
  <c r="V126" i="6"/>
  <c r="Y125" i="6"/>
  <c r="T125" i="6"/>
  <c r="U125" i="6"/>
  <c r="W125" i="6"/>
  <c r="V125" i="6"/>
  <c r="Y124" i="6"/>
  <c r="T124" i="6"/>
  <c r="U124" i="6"/>
  <c r="W124" i="6"/>
  <c r="V124" i="6"/>
  <c r="Y123" i="6"/>
  <c r="T123" i="6"/>
  <c r="U123" i="6"/>
  <c r="W123" i="6"/>
  <c r="V123" i="6"/>
  <c r="Y122" i="6"/>
  <c r="T122" i="6"/>
  <c r="U122" i="6"/>
  <c r="W122" i="6"/>
  <c r="V122" i="6"/>
  <c r="Y121" i="6"/>
  <c r="T121" i="6"/>
  <c r="U121" i="6"/>
  <c r="W121" i="6"/>
  <c r="V121" i="6"/>
  <c r="Y120" i="6"/>
  <c r="T120" i="6"/>
  <c r="U120" i="6"/>
  <c r="W120" i="6"/>
  <c r="V120" i="6"/>
  <c r="Y119" i="6"/>
  <c r="T119" i="6"/>
  <c r="U119" i="6"/>
  <c r="W119" i="6"/>
  <c r="V119" i="6"/>
  <c r="Y118" i="6"/>
  <c r="T118" i="6"/>
  <c r="U118" i="6"/>
  <c r="W118" i="6"/>
  <c r="V118" i="6"/>
  <c r="Y117" i="6"/>
  <c r="T117" i="6"/>
  <c r="U117" i="6"/>
  <c r="W117" i="6"/>
  <c r="V117" i="6"/>
  <c r="Y116" i="6"/>
  <c r="T116" i="6"/>
  <c r="U116" i="6"/>
  <c r="W116" i="6"/>
  <c r="V116" i="6"/>
  <c r="Y115" i="6"/>
  <c r="R115" i="6"/>
  <c r="S115" i="6"/>
  <c r="T115" i="6"/>
  <c r="U115" i="6"/>
  <c r="W115" i="6"/>
  <c r="V115" i="6"/>
  <c r="P114" i="6"/>
  <c r="L114" i="6"/>
  <c r="M114" i="6"/>
  <c r="O114" i="6"/>
  <c r="Q114" i="6"/>
  <c r="Y114" i="6"/>
  <c r="P113" i="6"/>
  <c r="L113" i="6"/>
  <c r="O113" i="6"/>
  <c r="Q113" i="6"/>
  <c r="Y113" i="6"/>
  <c r="P112" i="6"/>
  <c r="L112" i="6"/>
  <c r="O112" i="6"/>
  <c r="Q112" i="6"/>
  <c r="Y112" i="6"/>
  <c r="Y111" i="6"/>
  <c r="Z111" i="6"/>
  <c r="R108" i="6"/>
  <c r="S108" i="6"/>
  <c r="R109" i="6"/>
  <c r="S109" i="6"/>
  <c r="R110" i="6"/>
  <c r="S110" i="6"/>
  <c r="S111" i="6"/>
  <c r="Y110" i="6"/>
  <c r="T110" i="6"/>
  <c r="U110" i="6"/>
  <c r="W110" i="6"/>
  <c r="V110" i="6"/>
  <c r="Y109" i="6"/>
  <c r="T109" i="6"/>
  <c r="U109" i="6"/>
  <c r="W109" i="6"/>
  <c r="V109" i="6"/>
  <c r="Y108" i="6"/>
  <c r="T108" i="6"/>
  <c r="U108" i="6"/>
  <c r="W108" i="6"/>
  <c r="V108" i="6"/>
  <c r="Y107" i="6"/>
  <c r="Y106" i="6"/>
  <c r="Y105" i="6"/>
  <c r="Y104" i="6"/>
  <c r="Y103" i="6"/>
  <c r="Y102" i="6"/>
  <c r="Y101" i="6"/>
  <c r="Y100" i="6"/>
  <c r="Y99" i="6"/>
  <c r="Y98" i="6"/>
  <c r="Y97" i="6"/>
  <c r="Y96" i="6"/>
  <c r="Y95" i="6"/>
  <c r="Y94" i="6"/>
  <c r="Y93" i="6"/>
  <c r="Y92" i="6"/>
  <c r="Y91" i="6"/>
  <c r="Y90" i="6"/>
  <c r="Y89" i="6"/>
  <c r="Y88" i="6"/>
  <c r="Y87" i="6"/>
  <c r="Y86" i="6"/>
  <c r="Y85" i="6"/>
  <c r="Z85" i="6"/>
  <c r="R73" i="6"/>
  <c r="S73" i="6"/>
  <c r="R74" i="6"/>
  <c r="S74" i="6"/>
  <c r="R75" i="6"/>
  <c r="S75" i="6"/>
  <c r="R76" i="6"/>
  <c r="S76" i="6"/>
  <c r="R84" i="6"/>
  <c r="S84" i="6"/>
  <c r="R83" i="6"/>
  <c r="S83" i="6"/>
  <c r="R82" i="6"/>
  <c r="S82" i="6"/>
  <c r="R81" i="6"/>
  <c r="S81" i="6"/>
  <c r="R80" i="6"/>
  <c r="S80" i="6"/>
  <c r="R79" i="6"/>
  <c r="S79" i="6"/>
  <c r="R78" i="6"/>
  <c r="S78" i="6"/>
  <c r="S85" i="6"/>
  <c r="Y84" i="6"/>
  <c r="T84" i="6"/>
  <c r="U84" i="6"/>
  <c r="W84" i="6"/>
  <c r="V84" i="6"/>
  <c r="Y83" i="6"/>
  <c r="T83" i="6"/>
  <c r="U83" i="6"/>
  <c r="W83" i="6"/>
  <c r="V83" i="6"/>
  <c r="Y82" i="6"/>
  <c r="T82" i="6"/>
  <c r="U82" i="6"/>
  <c r="W82" i="6"/>
  <c r="V82" i="6"/>
  <c r="Y81" i="6"/>
  <c r="T81" i="6"/>
  <c r="U81" i="6"/>
  <c r="W81" i="6"/>
  <c r="V81" i="6"/>
  <c r="Y80" i="6"/>
  <c r="T80" i="6"/>
  <c r="U80" i="6"/>
  <c r="W80" i="6"/>
  <c r="V80" i="6"/>
  <c r="Y79" i="6"/>
  <c r="T79" i="6"/>
  <c r="U79" i="6"/>
  <c r="W79" i="6"/>
  <c r="V79" i="6"/>
  <c r="Y78" i="6"/>
  <c r="T78" i="6"/>
  <c r="U78" i="6"/>
  <c r="W78" i="6"/>
  <c r="V78" i="6"/>
  <c r="Y77" i="6"/>
  <c r="Y76" i="6"/>
  <c r="T76" i="6"/>
  <c r="U76" i="6"/>
  <c r="W76" i="6"/>
  <c r="V76" i="6"/>
  <c r="Y75" i="6"/>
  <c r="T75" i="6"/>
  <c r="U75" i="6"/>
  <c r="W75" i="6"/>
  <c r="V75" i="6"/>
  <c r="Y74" i="6"/>
  <c r="T74" i="6"/>
  <c r="U74" i="6"/>
  <c r="W74" i="6"/>
  <c r="V74" i="6"/>
  <c r="Y73" i="6"/>
  <c r="T73" i="6"/>
  <c r="U73" i="6"/>
  <c r="W73" i="6"/>
  <c r="V73" i="6"/>
  <c r="Y72" i="6"/>
  <c r="Y71" i="6"/>
  <c r="Z71" i="6"/>
  <c r="R60" i="6"/>
  <c r="S60" i="6"/>
  <c r="R38" i="6"/>
  <c r="O38" i="6"/>
  <c r="S38" i="6"/>
  <c r="R44" i="6"/>
  <c r="S44" i="6"/>
  <c r="S47" i="6"/>
  <c r="R48" i="6"/>
  <c r="S48" i="6"/>
  <c r="R49" i="6"/>
  <c r="S49" i="6"/>
  <c r="S57" i="6"/>
  <c r="S63" i="6"/>
  <c r="R67" i="6"/>
  <c r="S67" i="6"/>
  <c r="S71" i="6"/>
  <c r="Y70" i="6"/>
  <c r="Y69" i="6"/>
  <c r="Y68" i="6"/>
  <c r="Y67" i="6"/>
  <c r="T67" i="6"/>
  <c r="U67" i="6"/>
  <c r="W67" i="6"/>
  <c r="V67" i="6"/>
  <c r="Y66" i="6"/>
  <c r="Y65" i="6"/>
  <c r="Y64" i="6"/>
  <c r="Y63" i="6"/>
  <c r="Z63" i="6"/>
  <c r="Y62" i="6"/>
  <c r="Y61" i="6"/>
  <c r="Y60" i="6"/>
  <c r="T60" i="6"/>
  <c r="U60" i="6"/>
  <c r="W60" i="6"/>
  <c r="V60" i="6"/>
  <c r="Y59" i="6"/>
  <c r="Y58" i="6"/>
  <c r="Y57" i="6"/>
  <c r="Z57" i="6"/>
  <c r="Y56" i="6"/>
  <c r="Y55" i="6"/>
  <c r="Y54" i="6"/>
  <c r="Y53" i="6"/>
  <c r="Y52" i="6"/>
  <c r="Y51" i="6"/>
  <c r="Y50" i="6"/>
  <c r="Y49" i="6"/>
  <c r="T49" i="6"/>
  <c r="U49" i="6"/>
  <c r="W49" i="6"/>
  <c r="V49" i="6"/>
  <c r="Y48" i="6"/>
  <c r="T48" i="6"/>
  <c r="U48" i="6"/>
  <c r="W48" i="6"/>
  <c r="V48" i="6"/>
  <c r="Y47" i="6"/>
  <c r="Z47" i="6"/>
  <c r="Y46" i="6"/>
  <c r="Y45" i="6"/>
  <c r="Y44" i="6"/>
  <c r="T44" i="6"/>
  <c r="U44" i="6"/>
  <c r="W44" i="6"/>
  <c r="V44" i="6"/>
  <c r="Y43" i="6"/>
  <c r="Y42" i="6"/>
  <c r="Y41" i="6"/>
  <c r="Y40" i="6"/>
  <c r="Y39" i="6"/>
  <c r="P38" i="6"/>
  <c r="Q38" i="6"/>
  <c r="Y38" i="6"/>
  <c r="T38" i="6"/>
  <c r="U38" i="6"/>
  <c r="W38" i="6"/>
  <c r="V38" i="6"/>
  <c r="Y37" i="6"/>
  <c r="Y36" i="6"/>
  <c r="Y35" i="6"/>
  <c r="S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Q35" i="5"/>
  <c r="P38" i="5"/>
  <c r="O38" i="5"/>
  <c r="Q38" i="5"/>
  <c r="P41" i="5"/>
  <c r="L59" i="5"/>
  <c r="L41" i="5"/>
  <c r="O41" i="5"/>
  <c r="Q41" i="5"/>
  <c r="P42" i="5"/>
  <c r="L42" i="5"/>
  <c r="O42" i="5"/>
  <c r="Q42" i="5"/>
  <c r="P43" i="5"/>
  <c r="L43" i="5"/>
  <c r="O43" i="5"/>
  <c r="Q43" i="5"/>
  <c r="P52" i="5"/>
  <c r="L52" i="5"/>
  <c r="M52" i="5"/>
  <c r="O52" i="5"/>
  <c r="Q52" i="5"/>
  <c r="P51" i="5"/>
  <c r="L51" i="5"/>
  <c r="O51" i="5"/>
  <c r="Q51" i="5"/>
  <c r="P50" i="5"/>
  <c r="L50" i="5"/>
  <c r="O50" i="5"/>
  <c r="Q50" i="5"/>
  <c r="P48" i="5"/>
  <c r="L48" i="5"/>
  <c r="O48" i="5"/>
  <c r="Q48" i="5"/>
  <c r="P47" i="5"/>
  <c r="L47" i="5"/>
  <c r="O47" i="5"/>
  <c r="Q47" i="5"/>
  <c r="Q56" i="5"/>
  <c r="P59" i="5"/>
  <c r="O59" i="5"/>
  <c r="Q59" i="5"/>
  <c r="P60" i="5"/>
  <c r="L60" i="5"/>
  <c r="O60" i="5"/>
  <c r="Q60" i="5"/>
  <c r="P61" i="5"/>
  <c r="L61" i="5"/>
  <c r="M61" i="5"/>
  <c r="O61" i="5"/>
  <c r="Q61" i="5"/>
  <c r="P65" i="5"/>
  <c r="L65" i="5"/>
  <c r="O65" i="5"/>
  <c r="Q65" i="5"/>
  <c r="Q69" i="5"/>
  <c r="P71" i="5"/>
  <c r="L71" i="5"/>
  <c r="O71" i="5"/>
  <c r="Q71" i="5"/>
  <c r="P72" i="5"/>
  <c r="L72" i="5"/>
  <c r="O72" i="5"/>
  <c r="Q72" i="5"/>
  <c r="P73" i="5"/>
  <c r="L73" i="5"/>
  <c r="M73" i="5"/>
  <c r="O73" i="5"/>
  <c r="Q73" i="5"/>
  <c r="P74" i="5"/>
  <c r="L74" i="5"/>
  <c r="O74" i="5"/>
  <c r="Q74" i="5"/>
  <c r="P82" i="5"/>
  <c r="L82" i="5"/>
  <c r="M82" i="5"/>
  <c r="O82" i="5"/>
  <c r="Q82" i="5"/>
  <c r="P81" i="5"/>
  <c r="L81" i="5"/>
  <c r="M81" i="5"/>
  <c r="O81" i="5"/>
  <c r="Q81" i="5"/>
  <c r="P80" i="5"/>
  <c r="L80" i="5"/>
  <c r="M80" i="5"/>
  <c r="O80" i="5"/>
  <c r="Q80" i="5"/>
  <c r="P79" i="5"/>
  <c r="L79" i="5"/>
  <c r="M79" i="5"/>
  <c r="O79" i="5"/>
  <c r="Q79" i="5"/>
  <c r="P78" i="5"/>
  <c r="L78" i="5"/>
  <c r="M78" i="5"/>
  <c r="O78" i="5"/>
  <c r="Q78" i="5"/>
  <c r="P77" i="5"/>
  <c r="L77" i="5"/>
  <c r="M77" i="5"/>
  <c r="O77" i="5"/>
  <c r="Q77" i="5"/>
  <c r="P76" i="5"/>
  <c r="L76" i="5"/>
  <c r="M76" i="5"/>
  <c r="O76" i="5"/>
  <c r="Q76" i="5"/>
  <c r="L75" i="5"/>
  <c r="O75" i="5"/>
  <c r="Q75" i="5"/>
  <c r="Q83" i="5"/>
  <c r="P106" i="5"/>
  <c r="L106" i="5"/>
  <c r="O106" i="5"/>
  <c r="Q106" i="5"/>
  <c r="P107" i="5"/>
  <c r="L107" i="5"/>
  <c r="M107" i="5"/>
  <c r="O107" i="5"/>
  <c r="Q107" i="5"/>
  <c r="P108" i="5"/>
  <c r="L108" i="5"/>
  <c r="M108" i="5"/>
  <c r="O108" i="5"/>
  <c r="Q108" i="5"/>
  <c r="Q109" i="5"/>
  <c r="P113" i="5"/>
  <c r="L113" i="5"/>
  <c r="O113" i="5"/>
  <c r="Q113" i="5"/>
  <c r="P114" i="5"/>
  <c r="L114" i="5"/>
  <c r="O114" i="5"/>
  <c r="Q114" i="5"/>
  <c r="P115" i="5"/>
  <c r="L115" i="5"/>
  <c r="M115" i="5"/>
  <c r="O115" i="5"/>
  <c r="Q115" i="5"/>
  <c r="P116" i="5"/>
  <c r="L116" i="5"/>
  <c r="O116" i="5"/>
  <c r="Q116" i="5"/>
  <c r="P124" i="5"/>
  <c r="L124" i="5"/>
  <c r="M124" i="5"/>
  <c r="O124" i="5"/>
  <c r="Q124" i="5"/>
  <c r="P123" i="5"/>
  <c r="L123" i="5"/>
  <c r="M123" i="5"/>
  <c r="O123" i="5"/>
  <c r="Q123" i="5"/>
  <c r="P122" i="5"/>
  <c r="L122" i="5"/>
  <c r="M122" i="5"/>
  <c r="O122" i="5"/>
  <c r="Q122" i="5"/>
  <c r="P121" i="5"/>
  <c r="L121" i="5"/>
  <c r="M121" i="5"/>
  <c r="O121" i="5"/>
  <c r="Q121" i="5"/>
  <c r="P120" i="5"/>
  <c r="L120" i="5"/>
  <c r="M120" i="5"/>
  <c r="O120" i="5"/>
  <c r="Q120" i="5"/>
  <c r="P119" i="5"/>
  <c r="L119" i="5"/>
  <c r="M119" i="5"/>
  <c r="O119" i="5"/>
  <c r="Q119" i="5"/>
  <c r="P118" i="5"/>
  <c r="L118" i="5"/>
  <c r="M118" i="5"/>
  <c r="O118" i="5"/>
  <c r="Q118" i="5"/>
  <c r="P117" i="5"/>
  <c r="L117" i="5"/>
  <c r="O117" i="5"/>
  <c r="Q117" i="5"/>
  <c r="Q125" i="5"/>
  <c r="P126" i="5"/>
  <c r="L126" i="5"/>
  <c r="O126" i="5"/>
  <c r="Q126" i="5"/>
  <c r="P127" i="5"/>
  <c r="L127" i="5"/>
  <c r="O127" i="5"/>
  <c r="Q127" i="5"/>
  <c r="P128" i="5"/>
  <c r="L128" i="5"/>
  <c r="M128" i="5"/>
  <c r="O128" i="5"/>
  <c r="Q128" i="5"/>
  <c r="P129" i="5"/>
  <c r="L129" i="5"/>
  <c r="O129" i="5"/>
  <c r="Q129" i="5"/>
  <c r="P137" i="5"/>
  <c r="L137" i="5"/>
  <c r="M137" i="5"/>
  <c r="O137" i="5"/>
  <c r="Q137" i="5"/>
  <c r="P136" i="5"/>
  <c r="L136" i="5"/>
  <c r="M136" i="5"/>
  <c r="O136" i="5"/>
  <c r="Q136" i="5"/>
  <c r="P135" i="5"/>
  <c r="L135" i="5"/>
  <c r="M135" i="5"/>
  <c r="O135" i="5"/>
  <c r="Q135" i="5"/>
  <c r="P134" i="5"/>
  <c r="L134" i="5"/>
  <c r="M134" i="5"/>
  <c r="O134" i="5"/>
  <c r="Q134" i="5"/>
  <c r="P133" i="5"/>
  <c r="L133" i="5"/>
  <c r="M133" i="5"/>
  <c r="O133" i="5"/>
  <c r="Q133" i="5"/>
  <c r="P132" i="5"/>
  <c r="L132" i="5"/>
  <c r="M132" i="5"/>
  <c r="O132" i="5"/>
  <c r="Q132" i="5"/>
  <c r="P131" i="5"/>
  <c r="L131" i="5"/>
  <c r="O131" i="5"/>
  <c r="Q131" i="5"/>
  <c r="P130" i="5"/>
  <c r="L130" i="5"/>
  <c r="O130" i="5"/>
  <c r="Q130" i="5"/>
  <c r="Q138" i="5"/>
  <c r="P150" i="5"/>
  <c r="L150" i="5"/>
  <c r="O150" i="5"/>
  <c r="Q150" i="5"/>
  <c r="P151" i="5"/>
  <c r="L151" i="5"/>
  <c r="O151" i="5"/>
  <c r="Q151" i="5"/>
  <c r="P152" i="5"/>
  <c r="L152" i="5"/>
  <c r="O152" i="5"/>
  <c r="Q152" i="5"/>
  <c r="P153" i="5"/>
  <c r="L153" i="5"/>
  <c r="O153" i="5"/>
  <c r="Q153" i="5"/>
  <c r="P171" i="5"/>
  <c r="L171" i="5"/>
  <c r="M171" i="5"/>
  <c r="O171" i="5"/>
  <c r="Q171" i="5"/>
  <c r="P168" i="5"/>
  <c r="L168" i="5"/>
  <c r="M168" i="5"/>
  <c r="O168" i="5"/>
  <c r="Q168" i="5"/>
  <c r="P167" i="5"/>
  <c r="L167" i="5"/>
  <c r="M167" i="5"/>
  <c r="O167" i="5"/>
  <c r="Q167" i="5"/>
  <c r="P166" i="5"/>
  <c r="L166" i="5"/>
  <c r="M166" i="5"/>
  <c r="O166" i="5"/>
  <c r="Q166" i="5"/>
  <c r="P165" i="5"/>
  <c r="L165" i="5"/>
  <c r="M165" i="5"/>
  <c r="O165" i="5"/>
  <c r="Q165" i="5"/>
  <c r="P164" i="5"/>
  <c r="L164" i="5"/>
  <c r="M164" i="5"/>
  <c r="O164" i="5"/>
  <c r="Q164" i="5"/>
  <c r="P163" i="5"/>
  <c r="L163" i="5"/>
  <c r="M163" i="5"/>
  <c r="O163" i="5"/>
  <c r="Q163" i="5"/>
  <c r="P162" i="5"/>
  <c r="L162" i="5"/>
  <c r="O162" i="5"/>
  <c r="Q162" i="5"/>
  <c r="P161" i="5"/>
  <c r="L161" i="5"/>
  <c r="O161" i="5"/>
  <c r="Q161" i="5"/>
  <c r="P160" i="5"/>
  <c r="L160" i="5"/>
  <c r="O160" i="5"/>
  <c r="Q160" i="5"/>
  <c r="P159" i="5"/>
  <c r="L159" i="5"/>
  <c r="M159" i="5"/>
  <c r="O159" i="5"/>
  <c r="Q159" i="5"/>
  <c r="P158" i="5"/>
  <c r="L158" i="5"/>
  <c r="M158" i="5"/>
  <c r="O158" i="5"/>
  <c r="Q158" i="5"/>
  <c r="P157" i="5"/>
  <c r="L157" i="5"/>
  <c r="M157" i="5"/>
  <c r="O157" i="5"/>
  <c r="Q157" i="5"/>
  <c r="P156" i="5"/>
  <c r="L156" i="5"/>
  <c r="M156" i="5"/>
  <c r="O156" i="5"/>
  <c r="Q156" i="5"/>
  <c r="P155" i="5"/>
  <c r="L155" i="5"/>
  <c r="M155" i="5"/>
  <c r="O155" i="5"/>
  <c r="Q155" i="5"/>
  <c r="P154" i="5"/>
  <c r="L154" i="5"/>
  <c r="O154" i="5"/>
  <c r="Q154" i="5"/>
  <c r="Q172" i="5"/>
  <c r="Q173" i="5"/>
  <c r="P179" i="5"/>
  <c r="L179" i="5"/>
  <c r="O179" i="5"/>
  <c r="Q179" i="5"/>
  <c r="P180" i="5"/>
  <c r="L180" i="5"/>
  <c r="M180" i="5"/>
  <c r="O180" i="5"/>
  <c r="Q180" i="5"/>
  <c r="P181" i="5"/>
  <c r="L181" i="5"/>
  <c r="M181" i="5"/>
  <c r="O181" i="5"/>
  <c r="Q181" i="5"/>
  <c r="P182" i="5"/>
  <c r="L182" i="5"/>
  <c r="M182" i="5"/>
  <c r="O182" i="5"/>
  <c r="Q182" i="5"/>
  <c r="P183" i="5"/>
  <c r="L183" i="5"/>
  <c r="M183" i="5"/>
  <c r="O183" i="5"/>
  <c r="Q183" i="5"/>
  <c r="Q184" i="5"/>
  <c r="P186" i="5"/>
  <c r="L186" i="5"/>
  <c r="O186" i="5"/>
  <c r="Q186" i="5"/>
  <c r="P187" i="5"/>
  <c r="L187" i="5"/>
  <c r="O187" i="5"/>
  <c r="Q187" i="5"/>
  <c r="P188" i="5"/>
  <c r="L188" i="5"/>
  <c r="O188" i="5"/>
  <c r="Q188" i="5"/>
  <c r="P189" i="5"/>
  <c r="L189" i="5"/>
  <c r="M189" i="5"/>
  <c r="O189" i="5"/>
  <c r="Q189" i="5"/>
  <c r="Q191" i="5"/>
  <c r="P194" i="5"/>
  <c r="L194" i="5"/>
  <c r="O194" i="5"/>
  <c r="Q194" i="5"/>
  <c r="P195" i="5"/>
  <c r="L195" i="5"/>
  <c r="M195" i="5"/>
  <c r="O195" i="5"/>
  <c r="Q195" i="5"/>
  <c r="Q196" i="5"/>
  <c r="Q197" i="5"/>
  <c r="P413" i="5"/>
  <c r="L413" i="5"/>
  <c r="M413" i="5"/>
  <c r="O413" i="5"/>
  <c r="Q413" i="5"/>
  <c r="P414" i="5"/>
  <c r="L414" i="5"/>
  <c r="O414" i="5"/>
  <c r="Q414" i="5"/>
  <c r="P415" i="5"/>
  <c r="L415" i="5"/>
  <c r="O415" i="5"/>
  <c r="Q415" i="5"/>
  <c r="P417" i="5"/>
  <c r="L417" i="5"/>
  <c r="M417" i="5"/>
  <c r="O417" i="5"/>
  <c r="Q417" i="5"/>
  <c r="P418" i="5"/>
  <c r="L418" i="5"/>
  <c r="O418" i="5"/>
  <c r="Q418" i="5"/>
  <c r="Q420" i="5"/>
  <c r="P340" i="5"/>
  <c r="L340" i="5"/>
  <c r="O340" i="5"/>
  <c r="Q340" i="5"/>
  <c r="P341" i="5"/>
  <c r="L341" i="5"/>
  <c r="N341" i="5"/>
  <c r="O341" i="5"/>
  <c r="Q341" i="5"/>
  <c r="P342" i="5"/>
  <c r="L342" i="5"/>
  <c r="M342" i="5"/>
  <c r="N342" i="5"/>
  <c r="O342" i="5"/>
  <c r="Q342" i="5"/>
  <c r="P343" i="5"/>
  <c r="L343" i="5"/>
  <c r="N343" i="5"/>
  <c r="M343" i="5"/>
  <c r="O343" i="5"/>
  <c r="Q343" i="5"/>
  <c r="P348" i="5"/>
  <c r="L348" i="5"/>
  <c r="M348" i="5"/>
  <c r="N344" i="5"/>
  <c r="N345" i="5"/>
  <c r="N346" i="5"/>
  <c r="N347" i="5"/>
  <c r="N348" i="5"/>
  <c r="O348" i="5"/>
  <c r="Q348" i="5"/>
  <c r="P347" i="5"/>
  <c r="L347" i="5"/>
  <c r="M347" i="5"/>
  <c r="O347" i="5"/>
  <c r="Q347" i="5"/>
  <c r="P346" i="5"/>
  <c r="L346" i="5"/>
  <c r="M346" i="5"/>
  <c r="O346" i="5"/>
  <c r="Q346" i="5"/>
  <c r="P345" i="5"/>
  <c r="L345" i="5"/>
  <c r="M345" i="5"/>
  <c r="O345" i="5"/>
  <c r="Q345" i="5"/>
  <c r="P344" i="5"/>
  <c r="L344" i="5"/>
  <c r="M344" i="5"/>
  <c r="O344" i="5"/>
  <c r="Q344" i="5"/>
  <c r="Q349" i="5"/>
  <c r="P350" i="5"/>
  <c r="L350" i="5"/>
  <c r="O350" i="5"/>
  <c r="Q350" i="5"/>
  <c r="P351" i="5"/>
  <c r="L351" i="5"/>
  <c r="N351" i="5"/>
  <c r="O351" i="5"/>
  <c r="Q351" i="5"/>
  <c r="P352" i="5"/>
  <c r="L352" i="5"/>
  <c r="M352" i="5"/>
  <c r="N352" i="5"/>
  <c r="O352" i="5"/>
  <c r="Q352" i="5"/>
  <c r="P353" i="5"/>
  <c r="L353" i="5"/>
  <c r="N353" i="5"/>
  <c r="M353" i="5"/>
  <c r="O353" i="5"/>
  <c r="Q353" i="5"/>
  <c r="P358" i="5"/>
  <c r="L358" i="5"/>
  <c r="M358" i="5"/>
  <c r="O358" i="5"/>
  <c r="Q358" i="5"/>
  <c r="P357" i="5"/>
  <c r="L357" i="5"/>
  <c r="N354" i="5"/>
  <c r="N355" i="5"/>
  <c r="N356" i="5"/>
  <c r="N357" i="5"/>
  <c r="M357" i="5"/>
  <c r="O357" i="5"/>
  <c r="Q357" i="5"/>
  <c r="P356" i="5"/>
  <c r="L356" i="5"/>
  <c r="M356" i="5"/>
  <c r="O356" i="5"/>
  <c r="Q356" i="5"/>
  <c r="P355" i="5"/>
  <c r="L355" i="5"/>
  <c r="M355" i="5"/>
  <c r="O355" i="5"/>
  <c r="Q355" i="5"/>
  <c r="P354" i="5"/>
  <c r="L354" i="5"/>
  <c r="M354" i="5"/>
  <c r="O354" i="5"/>
  <c r="Q354" i="5"/>
  <c r="Q359" i="5"/>
  <c r="P360" i="5"/>
  <c r="L360" i="5"/>
  <c r="O360" i="5"/>
  <c r="Q360" i="5"/>
  <c r="P361" i="5"/>
  <c r="L361" i="5"/>
  <c r="N361" i="5"/>
  <c r="O361" i="5"/>
  <c r="Q361" i="5"/>
  <c r="P362" i="5"/>
  <c r="L362" i="5"/>
  <c r="M362" i="5"/>
  <c r="N362" i="5"/>
  <c r="O362" i="5"/>
  <c r="Q362" i="5"/>
  <c r="P363" i="5"/>
  <c r="L363" i="5"/>
  <c r="N363" i="5"/>
  <c r="M363" i="5"/>
  <c r="O363" i="5"/>
  <c r="Q363" i="5"/>
  <c r="P368" i="5"/>
  <c r="L368" i="5"/>
  <c r="M368" i="5"/>
  <c r="O368" i="5"/>
  <c r="Q368" i="5"/>
  <c r="P367" i="5"/>
  <c r="L367" i="5"/>
  <c r="N364" i="5"/>
  <c r="N365" i="5"/>
  <c r="N366" i="5"/>
  <c r="N367" i="5"/>
  <c r="M367" i="5"/>
  <c r="O367" i="5"/>
  <c r="Q367" i="5"/>
  <c r="P366" i="5"/>
  <c r="L366" i="5"/>
  <c r="M366" i="5"/>
  <c r="O366" i="5"/>
  <c r="Q366" i="5"/>
  <c r="P365" i="5"/>
  <c r="L365" i="5"/>
  <c r="M365" i="5"/>
  <c r="O365" i="5"/>
  <c r="Q365" i="5"/>
  <c r="P364" i="5"/>
  <c r="L364" i="5"/>
  <c r="M364" i="5"/>
  <c r="O364" i="5"/>
  <c r="Q364" i="5"/>
  <c r="Q369" i="5"/>
  <c r="P370" i="5"/>
  <c r="L370" i="5"/>
  <c r="O370" i="5"/>
  <c r="Q370" i="5"/>
  <c r="P371" i="5"/>
  <c r="L371" i="5"/>
  <c r="N371" i="5"/>
  <c r="O371" i="5"/>
  <c r="Q371" i="5"/>
  <c r="P372" i="5"/>
  <c r="L372" i="5"/>
  <c r="M372" i="5"/>
  <c r="N372" i="5"/>
  <c r="O372" i="5"/>
  <c r="Q372" i="5"/>
  <c r="P373" i="5"/>
  <c r="L373" i="5"/>
  <c r="N373" i="5"/>
  <c r="M373" i="5"/>
  <c r="O373" i="5"/>
  <c r="Q373" i="5"/>
  <c r="P378" i="5"/>
  <c r="L378" i="5"/>
  <c r="M378" i="5"/>
  <c r="O378" i="5"/>
  <c r="Q378" i="5"/>
  <c r="P377" i="5"/>
  <c r="L377" i="5"/>
  <c r="N374" i="5"/>
  <c r="N375" i="5"/>
  <c r="N376" i="5"/>
  <c r="N377" i="5"/>
  <c r="M377" i="5"/>
  <c r="O377" i="5"/>
  <c r="Q377" i="5"/>
  <c r="P376" i="5"/>
  <c r="L376" i="5"/>
  <c r="M376" i="5"/>
  <c r="O376" i="5"/>
  <c r="Q376" i="5"/>
  <c r="P375" i="5"/>
  <c r="L375" i="5"/>
  <c r="M375" i="5"/>
  <c r="O375" i="5"/>
  <c r="Q375" i="5"/>
  <c r="P374" i="5"/>
  <c r="L374" i="5"/>
  <c r="M374" i="5"/>
  <c r="O374" i="5"/>
  <c r="Q374" i="5"/>
  <c r="Q380" i="5"/>
  <c r="P392" i="5"/>
  <c r="L392" i="5"/>
  <c r="O392" i="5"/>
  <c r="Q392" i="5"/>
  <c r="P394" i="5"/>
  <c r="L394" i="5"/>
  <c r="O394" i="5"/>
  <c r="Q394" i="5"/>
  <c r="P395" i="5"/>
  <c r="L395" i="5"/>
  <c r="O395" i="5"/>
  <c r="Q395" i="5"/>
  <c r="P396" i="5"/>
  <c r="L396" i="5"/>
  <c r="O396" i="5"/>
  <c r="Q396" i="5"/>
  <c r="Q397" i="5"/>
  <c r="P381" i="5"/>
  <c r="L381" i="5"/>
  <c r="O381" i="5"/>
  <c r="Q381" i="5"/>
  <c r="P382" i="5"/>
  <c r="L382" i="5"/>
  <c r="M382" i="5"/>
  <c r="O382" i="5"/>
  <c r="Q382" i="5"/>
  <c r="P383" i="5"/>
  <c r="L383" i="5"/>
  <c r="O383" i="5"/>
  <c r="Q383" i="5"/>
  <c r="P384" i="5"/>
  <c r="L384" i="5"/>
  <c r="O384" i="5"/>
  <c r="Q384" i="5"/>
  <c r="P385" i="5"/>
  <c r="L385" i="5"/>
  <c r="O385" i="5"/>
  <c r="Q385" i="5"/>
  <c r="Q386" i="5"/>
  <c r="Q398" i="5"/>
  <c r="P296" i="5"/>
  <c r="L296" i="5"/>
  <c r="O296" i="5"/>
  <c r="Q296" i="5"/>
  <c r="P297" i="5"/>
  <c r="L297" i="5"/>
  <c r="O297" i="5"/>
  <c r="Q297" i="5"/>
  <c r="Q298" i="5"/>
  <c r="P301" i="5"/>
  <c r="L301" i="5"/>
  <c r="O301" i="5"/>
  <c r="Q301" i="5"/>
  <c r="P302" i="5"/>
  <c r="L302" i="5"/>
  <c r="O302" i="5"/>
  <c r="Q302" i="5"/>
  <c r="P303" i="5"/>
  <c r="L303" i="5"/>
  <c r="M303" i="5"/>
  <c r="O303" i="5"/>
  <c r="Q303" i="5"/>
  <c r="P304" i="5"/>
  <c r="L304" i="5"/>
  <c r="M304" i="5"/>
  <c r="O304" i="5"/>
  <c r="Q304" i="5"/>
  <c r="P309" i="5"/>
  <c r="L309" i="5"/>
  <c r="M309" i="5"/>
  <c r="O309" i="5"/>
  <c r="Q309" i="5"/>
  <c r="P308" i="5"/>
  <c r="L308" i="5"/>
  <c r="M308" i="5"/>
  <c r="O308" i="5"/>
  <c r="Q308" i="5"/>
  <c r="P307" i="5"/>
  <c r="L307" i="5"/>
  <c r="M307" i="5"/>
  <c r="O307" i="5"/>
  <c r="Q307" i="5"/>
  <c r="P306" i="5"/>
  <c r="L306" i="5"/>
  <c r="M306" i="5"/>
  <c r="O306" i="5"/>
  <c r="Q306" i="5"/>
  <c r="P305" i="5"/>
  <c r="L305" i="5"/>
  <c r="O305" i="5"/>
  <c r="Q305" i="5"/>
  <c r="Q311" i="5"/>
  <c r="P314" i="5"/>
  <c r="L314" i="5"/>
  <c r="O314" i="5"/>
  <c r="Q314" i="5"/>
  <c r="P315" i="5"/>
  <c r="L315" i="5"/>
  <c r="M315" i="5"/>
  <c r="O315" i="5"/>
  <c r="Q315" i="5"/>
  <c r="P316" i="5"/>
  <c r="L316" i="5"/>
  <c r="M316" i="5"/>
  <c r="O316" i="5"/>
  <c r="Q316" i="5"/>
  <c r="P317" i="5"/>
  <c r="L317" i="5"/>
  <c r="O317" i="5"/>
  <c r="Q317" i="5"/>
  <c r="P327" i="5"/>
  <c r="L327" i="5"/>
  <c r="M327" i="5"/>
  <c r="O327" i="5"/>
  <c r="Q327" i="5"/>
  <c r="P326" i="5"/>
  <c r="L326" i="5"/>
  <c r="O326" i="5"/>
  <c r="Q326" i="5"/>
  <c r="P325" i="5"/>
  <c r="L325" i="5"/>
  <c r="M325" i="5"/>
  <c r="O325" i="5"/>
  <c r="Q325" i="5"/>
  <c r="P324" i="5"/>
  <c r="L324" i="5"/>
  <c r="M324" i="5"/>
  <c r="O324" i="5"/>
  <c r="Q324" i="5"/>
  <c r="P323" i="5"/>
  <c r="L323" i="5"/>
  <c r="M323" i="5"/>
  <c r="O323" i="5"/>
  <c r="Q323" i="5"/>
  <c r="P322" i="5"/>
  <c r="L322" i="5"/>
  <c r="M322" i="5"/>
  <c r="O322" i="5"/>
  <c r="Q322" i="5"/>
  <c r="P321" i="5"/>
  <c r="L321" i="5"/>
  <c r="M321" i="5"/>
  <c r="O321" i="5"/>
  <c r="Q321" i="5"/>
  <c r="P320" i="5"/>
  <c r="L320" i="5"/>
  <c r="O320" i="5"/>
  <c r="Q320" i="5"/>
  <c r="P319" i="5"/>
  <c r="L319" i="5"/>
  <c r="M319" i="5"/>
  <c r="O319" i="5"/>
  <c r="Q319" i="5"/>
  <c r="P318" i="5"/>
  <c r="L318" i="5"/>
  <c r="O318" i="5"/>
  <c r="Q318" i="5"/>
  <c r="Q328" i="5"/>
  <c r="Q337" i="5"/>
  <c r="P286" i="5"/>
  <c r="O286" i="5"/>
  <c r="Q286" i="5"/>
  <c r="P288" i="5"/>
  <c r="L288" i="5"/>
  <c r="O288" i="5"/>
  <c r="Q288" i="5"/>
  <c r="Q294" i="5"/>
  <c r="P200" i="5"/>
  <c r="L200" i="5"/>
  <c r="O200" i="5"/>
  <c r="Q200" i="5"/>
  <c r="P201" i="5"/>
  <c r="L201" i="5"/>
  <c r="M202" i="5"/>
  <c r="M201" i="5"/>
  <c r="O201" i="5"/>
  <c r="Q201" i="5"/>
  <c r="P202" i="5"/>
  <c r="L202" i="5"/>
  <c r="O202" i="5"/>
  <c r="Q202" i="5"/>
  <c r="P203" i="5"/>
  <c r="L203" i="5"/>
  <c r="O203" i="5"/>
  <c r="Q203" i="5"/>
  <c r="P228" i="5"/>
  <c r="M228" i="5"/>
  <c r="O228" i="5"/>
  <c r="Q228" i="5"/>
  <c r="P227" i="5"/>
  <c r="M227" i="5"/>
  <c r="O227" i="5"/>
  <c r="Q227" i="5"/>
  <c r="P226" i="5"/>
  <c r="O226" i="5"/>
  <c r="Q226" i="5"/>
  <c r="P225" i="5"/>
  <c r="M225" i="5"/>
  <c r="O225" i="5"/>
  <c r="Q225" i="5"/>
  <c r="P224" i="5"/>
  <c r="O224" i="5"/>
  <c r="Q224" i="5"/>
  <c r="P223" i="5"/>
  <c r="L218" i="5"/>
  <c r="L223" i="5"/>
  <c r="M223" i="5"/>
  <c r="O223" i="5"/>
  <c r="Q223" i="5"/>
  <c r="P222" i="5"/>
  <c r="L222" i="5"/>
  <c r="M222" i="5"/>
  <c r="O222" i="5"/>
  <c r="Q222" i="5"/>
  <c r="P221" i="5"/>
  <c r="L221" i="5"/>
  <c r="O221" i="5"/>
  <c r="Q221" i="5"/>
  <c r="P220" i="5"/>
  <c r="L220" i="5"/>
  <c r="M220" i="5"/>
  <c r="O220" i="5"/>
  <c r="Q220" i="5"/>
  <c r="P219" i="5"/>
  <c r="Q219" i="5"/>
  <c r="P218" i="5"/>
  <c r="O218" i="5"/>
  <c r="Q218" i="5"/>
  <c r="P217" i="5"/>
  <c r="L213" i="4"/>
  <c r="L215" i="4"/>
  <c r="L212" i="5"/>
  <c r="L217" i="5"/>
  <c r="M217" i="5"/>
  <c r="O217" i="5"/>
  <c r="Q217" i="5"/>
  <c r="P216" i="5"/>
  <c r="L216" i="5"/>
  <c r="M216" i="5"/>
  <c r="O216" i="5"/>
  <c r="Q216" i="5"/>
  <c r="P215" i="5"/>
  <c r="L215" i="5"/>
  <c r="O215" i="5"/>
  <c r="Q215" i="5"/>
  <c r="P214" i="5"/>
  <c r="L214" i="5"/>
  <c r="M214" i="5"/>
  <c r="O214" i="5"/>
  <c r="Q214" i="5"/>
  <c r="P212" i="5"/>
  <c r="O212" i="5"/>
  <c r="Q212" i="5"/>
  <c r="P211" i="5"/>
  <c r="L207" i="4"/>
  <c r="L206" i="5"/>
  <c r="L211" i="5"/>
  <c r="M211" i="5"/>
  <c r="O211" i="5"/>
  <c r="Q211" i="5"/>
  <c r="P210" i="5"/>
  <c r="L210" i="5"/>
  <c r="M210" i="5"/>
  <c r="O210" i="5"/>
  <c r="Q210" i="5"/>
  <c r="P209" i="5"/>
  <c r="L209" i="5"/>
  <c r="O209" i="5"/>
  <c r="Q209" i="5"/>
  <c r="P208" i="5"/>
  <c r="L208" i="5"/>
  <c r="M208" i="5"/>
  <c r="O208" i="5"/>
  <c r="Q208" i="5"/>
  <c r="P206" i="5"/>
  <c r="O206" i="5"/>
  <c r="Q206" i="5"/>
  <c r="P205" i="5"/>
  <c r="L205" i="5"/>
  <c r="M205" i="5"/>
  <c r="O205" i="5"/>
  <c r="Q205" i="5"/>
  <c r="P204" i="5"/>
  <c r="L204" i="5"/>
  <c r="M204" i="5"/>
  <c r="O204" i="5"/>
  <c r="Q204" i="5"/>
  <c r="Q235" i="5"/>
  <c r="P239" i="5"/>
  <c r="O239" i="5"/>
  <c r="Q239" i="5"/>
  <c r="P240" i="5"/>
  <c r="O240" i="5"/>
  <c r="Q240" i="5"/>
  <c r="P241" i="5"/>
  <c r="O241" i="5"/>
  <c r="Q241" i="5"/>
  <c r="P242" i="5"/>
  <c r="O242" i="5"/>
  <c r="Q242" i="5"/>
  <c r="P261" i="5"/>
  <c r="O261" i="5"/>
  <c r="Q261" i="5"/>
  <c r="P260" i="5"/>
  <c r="O260" i="5"/>
  <c r="Q260" i="5"/>
  <c r="P259" i="5"/>
  <c r="O259" i="5"/>
  <c r="Q259" i="5"/>
  <c r="P258" i="5"/>
  <c r="O258" i="5"/>
  <c r="Q258" i="5"/>
  <c r="P257" i="5"/>
  <c r="O257" i="5"/>
  <c r="Q257" i="5"/>
  <c r="P256" i="5"/>
  <c r="O256" i="5"/>
  <c r="Q256" i="5"/>
  <c r="P255" i="5"/>
  <c r="O255" i="5"/>
  <c r="Q255" i="5"/>
  <c r="P254" i="5"/>
  <c r="O254" i="5"/>
  <c r="Q254" i="5"/>
  <c r="P253" i="5"/>
  <c r="O253" i="5"/>
  <c r="Q253" i="5"/>
  <c r="P249" i="5"/>
  <c r="O249" i="5"/>
  <c r="Q249" i="5"/>
  <c r="P248" i="5"/>
  <c r="O248" i="5"/>
  <c r="Q248" i="5"/>
  <c r="P247" i="5"/>
  <c r="O247" i="5"/>
  <c r="Q247" i="5"/>
  <c r="P245" i="5"/>
  <c r="O245" i="5"/>
  <c r="Q245" i="5"/>
  <c r="P244" i="5"/>
  <c r="O244" i="5"/>
  <c r="Q244" i="5"/>
  <c r="P243" i="5"/>
  <c r="O243" i="5"/>
  <c r="Q243" i="5"/>
  <c r="Q262" i="5"/>
  <c r="Q284" i="5"/>
  <c r="Q421" i="5"/>
  <c r="Y421" i="5"/>
  <c r="Z421" i="5"/>
  <c r="R413" i="5"/>
  <c r="S413" i="5"/>
  <c r="R414" i="5"/>
  <c r="S414" i="5"/>
  <c r="R415" i="5"/>
  <c r="S415" i="5"/>
  <c r="R417" i="5"/>
  <c r="S417" i="5"/>
  <c r="Y420" i="5"/>
  <c r="Z420" i="5"/>
  <c r="Y419" i="5"/>
  <c r="Y418" i="5"/>
  <c r="T418" i="5"/>
  <c r="U418" i="5"/>
  <c r="R418" i="5"/>
  <c r="Y417" i="5"/>
  <c r="T417" i="5"/>
  <c r="U417" i="5"/>
  <c r="W417" i="5"/>
  <c r="V417" i="5"/>
  <c r="Y416" i="5"/>
  <c r="Y415" i="5"/>
  <c r="T415" i="5"/>
  <c r="U415" i="5"/>
  <c r="W415" i="5"/>
  <c r="V415" i="5"/>
  <c r="Y414" i="5"/>
  <c r="T414" i="5"/>
  <c r="U414" i="5"/>
  <c r="W414" i="5"/>
  <c r="V414" i="5"/>
  <c r="Y413" i="5"/>
  <c r="T413" i="5"/>
  <c r="U413" i="5"/>
  <c r="W413" i="5"/>
  <c r="V413" i="5"/>
  <c r="Y412" i="5"/>
  <c r="T412" i="5"/>
  <c r="U412" i="5"/>
  <c r="Y411" i="5"/>
  <c r="Y410" i="5"/>
  <c r="Y409" i="5"/>
  <c r="Y408" i="5"/>
  <c r="Y407" i="5"/>
  <c r="M407" i="5"/>
  <c r="Y406" i="5"/>
  <c r="Y405" i="5"/>
  <c r="Y404" i="5"/>
  <c r="Y403" i="5"/>
  <c r="Y402" i="5"/>
  <c r="Y401" i="5"/>
  <c r="Y400" i="5"/>
  <c r="Y399" i="5"/>
  <c r="Y398" i="5"/>
  <c r="Z398" i="5"/>
  <c r="R392" i="5"/>
  <c r="S392" i="5"/>
  <c r="R394" i="5"/>
  <c r="S394" i="5"/>
  <c r="R395" i="5"/>
  <c r="S395" i="5"/>
  <c r="R396" i="5"/>
  <c r="S396" i="5"/>
  <c r="R358" i="5"/>
  <c r="S358" i="5"/>
  <c r="R348" i="5"/>
  <c r="S348" i="5"/>
  <c r="R340" i="5"/>
  <c r="S340" i="5"/>
  <c r="R341" i="5"/>
  <c r="S341" i="5"/>
  <c r="R342" i="5"/>
  <c r="S342" i="5"/>
  <c r="R343" i="5"/>
  <c r="S343" i="5"/>
  <c r="R347" i="5"/>
  <c r="S347" i="5"/>
  <c r="R346" i="5"/>
  <c r="S346" i="5"/>
  <c r="R345" i="5"/>
  <c r="S345" i="5"/>
  <c r="R344" i="5"/>
  <c r="S344" i="5"/>
  <c r="S349" i="5"/>
  <c r="R350" i="5"/>
  <c r="S350" i="5"/>
  <c r="R351" i="5"/>
  <c r="S351" i="5"/>
  <c r="R357" i="5"/>
  <c r="S357" i="5"/>
  <c r="R356" i="5"/>
  <c r="S356" i="5"/>
  <c r="R355" i="5"/>
  <c r="S355" i="5"/>
  <c r="R354" i="5"/>
  <c r="S354" i="5"/>
  <c r="R353" i="5"/>
  <c r="S353" i="5"/>
  <c r="R352" i="5"/>
  <c r="S352" i="5"/>
  <c r="S359" i="5"/>
  <c r="R360" i="5"/>
  <c r="S360" i="5"/>
  <c r="R361" i="5"/>
  <c r="S361" i="5"/>
  <c r="R368" i="5"/>
  <c r="S368" i="5"/>
  <c r="R367" i="5"/>
  <c r="S367" i="5"/>
  <c r="R366" i="5"/>
  <c r="S366" i="5"/>
  <c r="R365" i="5"/>
  <c r="S365" i="5"/>
  <c r="R364" i="5"/>
  <c r="S364" i="5"/>
  <c r="R363" i="5"/>
  <c r="S363" i="5"/>
  <c r="R362" i="5"/>
  <c r="S362" i="5"/>
  <c r="S369" i="5"/>
  <c r="S380" i="5"/>
  <c r="S386" i="5"/>
  <c r="S397" i="5"/>
  <c r="S398" i="5"/>
  <c r="Y397" i="5"/>
  <c r="Z397" i="5"/>
  <c r="Y396" i="5"/>
  <c r="T396" i="5"/>
  <c r="U396" i="5"/>
  <c r="Y395" i="5"/>
  <c r="T395" i="5"/>
  <c r="U395" i="5"/>
  <c r="W395" i="5"/>
  <c r="V395" i="5"/>
  <c r="Y394" i="5"/>
  <c r="T394" i="5"/>
  <c r="U394" i="5"/>
  <c r="W394" i="5"/>
  <c r="V394" i="5"/>
  <c r="Y393" i="5"/>
  <c r="V393" i="5"/>
  <c r="Y392" i="5"/>
  <c r="T392" i="5"/>
  <c r="U392" i="5"/>
  <c r="W392" i="5"/>
  <c r="V392" i="5"/>
  <c r="Y391" i="5"/>
  <c r="Y390" i="5"/>
  <c r="Y389" i="5"/>
  <c r="Y388" i="5"/>
  <c r="Y387" i="5"/>
  <c r="Y386" i="5"/>
  <c r="Z386" i="5"/>
  <c r="Y385" i="5"/>
  <c r="Y384" i="5"/>
  <c r="Y383" i="5"/>
  <c r="Y382" i="5"/>
  <c r="Y381" i="5"/>
  <c r="X381" i="5"/>
  <c r="Y380" i="5"/>
  <c r="Z380" i="5"/>
  <c r="Y379" i="5"/>
  <c r="Y378" i="5"/>
  <c r="Y377" i="5"/>
  <c r="Y376" i="5"/>
  <c r="Y375" i="5"/>
  <c r="Y374" i="5"/>
  <c r="Y373" i="5"/>
  <c r="Y372" i="5"/>
  <c r="Y371" i="5"/>
  <c r="Y370" i="5"/>
  <c r="Y369" i="5"/>
  <c r="Z369" i="5"/>
  <c r="Y368" i="5"/>
  <c r="T368" i="5"/>
  <c r="U368" i="5"/>
  <c r="W368" i="5"/>
  <c r="V368" i="5"/>
  <c r="Y367" i="5"/>
  <c r="T367" i="5"/>
  <c r="U367" i="5"/>
  <c r="W367" i="5"/>
  <c r="V367" i="5"/>
  <c r="Y366" i="5"/>
  <c r="T366" i="5"/>
  <c r="U366" i="5"/>
  <c r="W366" i="5"/>
  <c r="V366" i="5"/>
  <c r="Y365" i="5"/>
  <c r="T365" i="5"/>
  <c r="U365" i="5"/>
  <c r="W365" i="5"/>
  <c r="V365" i="5"/>
  <c r="Y364" i="5"/>
  <c r="T364" i="5"/>
  <c r="U364" i="5"/>
  <c r="W364" i="5"/>
  <c r="V364" i="5"/>
  <c r="Y363" i="5"/>
  <c r="T363" i="5"/>
  <c r="U363" i="5"/>
  <c r="W363" i="5"/>
  <c r="V363" i="5"/>
  <c r="Y362" i="5"/>
  <c r="T362" i="5"/>
  <c r="U362" i="5"/>
  <c r="W362" i="5"/>
  <c r="V362" i="5"/>
  <c r="Y361" i="5"/>
  <c r="T361" i="5"/>
  <c r="U361" i="5"/>
  <c r="W361" i="5"/>
  <c r="V361" i="5"/>
  <c r="Y360" i="5"/>
  <c r="T360" i="5"/>
  <c r="U360" i="5"/>
  <c r="W360" i="5"/>
  <c r="V360" i="5"/>
  <c r="Y359" i="5"/>
  <c r="Z359" i="5"/>
  <c r="Y358" i="5"/>
  <c r="T358" i="5"/>
  <c r="U358" i="5"/>
  <c r="W358" i="5"/>
  <c r="V358" i="5"/>
  <c r="Y357" i="5"/>
  <c r="T357" i="5"/>
  <c r="U357" i="5"/>
  <c r="W357" i="5"/>
  <c r="V357" i="5"/>
  <c r="Y356" i="5"/>
  <c r="T356" i="5"/>
  <c r="U356" i="5"/>
  <c r="W356" i="5"/>
  <c r="V356" i="5"/>
  <c r="Y355" i="5"/>
  <c r="T355" i="5"/>
  <c r="U355" i="5"/>
  <c r="W355" i="5"/>
  <c r="V355" i="5"/>
  <c r="Y354" i="5"/>
  <c r="T354" i="5"/>
  <c r="U354" i="5"/>
  <c r="W354" i="5"/>
  <c r="V354" i="5"/>
  <c r="Y353" i="5"/>
  <c r="T353" i="5"/>
  <c r="U353" i="5"/>
  <c r="W353" i="5"/>
  <c r="V353" i="5"/>
  <c r="Y352" i="5"/>
  <c r="T352" i="5"/>
  <c r="U352" i="5"/>
  <c r="W352" i="5"/>
  <c r="V352" i="5"/>
  <c r="Y351" i="5"/>
  <c r="T351" i="5"/>
  <c r="U351" i="5"/>
  <c r="W351" i="5"/>
  <c r="V351" i="5"/>
  <c r="Y350" i="5"/>
  <c r="T350" i="5"/>
  <c r="U350" i="5"/>
  <c r="W350" i="5"/>
  <c r="V350" i="5"/>
  <c r="Y349" i="5"/>
  <c r="Z349" i="5"/>
  <c r="Y348" i="5"/>
  <c r="T348" i="5"/>
  <c r="U348" i="5"/>
  <c r="W348" i="5"/>
  <c r="V348" i="5"/>
  <c r="Y347" i="5"/>
  <c r="T347" i="5"/>
  <c r="U347" i="5"/>
  <c r="W347" i="5"/>
  <c r="V347" i="5"/>
  <c r="Y346" i="5"/>
  <c r="T346" i="5"/>
  <c r="U346" i="5"/>
  <c r="W346" i="5"/>
  <c r="V346" i="5"/>
  <c r="Y345" i="5"/>
  <c r="T345" i="5"/>
  <c r="U345" i="5"/>
  <c r="W345" i="5"/>
  <c r="V345" i="5"/>
  <c r="Y344" i="5"/>
  <c r="T344" i="5"/>
  <c r="U344" i="5"/>
  <c r="W344" i="5"/>
  <c r="V344" i="5"/>
  <c r="Y343" i="5"/>
  <c r="T343" i="5"/>
  <c r="U343" i="5"/>
  <c r="W343" i="5"/>
  <c r="V343" i="5"/>
  <c r="Y342" i="5"/>
  <c r="T342" i="5"/>
  <c r="U342" i="5"/>
  <c r="W342" i="5"/>
  <c r="V342" i="5"/>
  <c r="Y341" i="5"/>
  <c r="T341" i="5"/>
  <c r="U341" i="5"/>
  <c r="W341" i="5"/>
  <c r="V341" i="5"/>
  <c r="Y340" i="5"/>
  <c r="T340" i="5"/>
  <c r="U340" i="5"/>
  <c r="W340" i="5"/>
  <c r="V340" i="5"/>
  <c r="Y339" i="5"/>
  <c r="Y338" i="5"/>
  <c r="Y337" i="5"/>
  <c r="Z337" i="5"/>
  <c r="R327" i="5"/>
  <c r="S327" i="5"/>
  <c r="S328" i="5"/>
  <c r="S337" i="5"/>
  <c r="Y336" i="5"/>
  <c r="Y335" i="5"/>
  <c r="Y334" i="5"/>
  <c r="M334" i="5"/>
  <c r="Y333" i="5"/>
  <c r="M333" i="5"/>
  <c r="Y332" i="5"/>
  <c r="Y331" i="5"/>
  <c r="Y330" i="5"/>
  <c r="Y329" i="5"/>
  <c r="Y328" i="5"/>
  <c r="Z328" i="5"/>
  <c r="Y327" i="5"/>
  <c r="T327" i="5"/>
  <c r="U327" i="5"/>
  <c r="W327" i="5"/>
  <c r="V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R315" i="5"/>
  <c r="S315" i="5"/>
  <c r="T315" i="5"/>
  <c r="U315" i="5"/>
  <c r="W315" i="5"/>
  <c r="V315" i="5"/>
  <c r="Y314" i="5"/>
  <c r="R314" i="5"/>
  <c r="S314" i="5"/>
  <c r="T314" i="5"/>
  <c r="U314" i="5"/>
  <c r="W314" i="5"/>
  <c r="V314" i="5"/>
  <c r="Y313" i="5"/>
  <c r="Y312" i="5"/>
  <c r="Y311" i="5"/>
  <c r="Z311" i="5"/>
  <c r="R301" i="5"/>
  <c r="S301" i="5"/>
  <c r="R302" i="5"/>
  <c r="S302" i="5"/>
  <c r="R303" i="5"/>
  <c r="S303" i="5"/>
  <c r="R304" i="5"/>
  <c r="S304" i="5"/>
  <c r="S311" i="5"/>
  <c r="Y310" i="5"/>
  <c r="Y309" i="5"/>
  <c r="Y308" i="5"/>
  <c r="Y307" i="5"/>
  <c r="Y306" i="5"/>
  <c r="Y305" i="5"/>
  <c r="Y304" i="5"/>
  <c r="T304" i="5"/>
  <c r="U304" i="5"/>
  <c r="W304" i="5"/>
  <c r="V304" i="5"/>
  <c r="Y303" i="5"/>
  <c r="T303" i="5"/>
  <c r="U303" i="5"/>
  <c r="W303" i="5"/>
  <c r="V303" i="5"/>
  <c r="Y302" i="5"/>
  <c r="T302" i="5"/>
  <c r="U302" i="5"/>
  <c r="W302" i="5"/>
  <c r="V302" i="5"/>
  <c r="Y301" i="5"/>
  <c r="T301" i="5"/>
  <c r="U301" i="5"/>
  <c r="W301" i="5"/>
  <c r="V301" i="5"/>
  <c r="Y300" i="5"/>
  <c r="Y299" i="5"/>
  <c r="Y298" i="5"/>
  <c r="Z298" i="5"/>
  <c r="R288" i="5"/>
  <c r="S288" i="5"/>
  <c r="R273" i="5"/>
  <c r="L273" i="5"/>
  <c r="O273" i="5"/>
  <c r="S273" i="5"/>
  <c r="S284" i="5"/>
  <c r="R286" i="5"/>
  <c r="S286" i="5"/>
  <c r="S294" i="5"/>
  <c r="R296" i="5"/>
  <c r="S296" i="5"/>
  <c r="R297" i="5"/>
  <c r="S297" i="5"/>
  <c r="S298" i="5"/>
  <c r="Y297" i="5"/>
  <c r="T297" i="5"/>
  <c r="U297" i="5"/>
  <c r="W297" i="5"/>
  <c r="V297" i="5"/>
  <c r="Y296" i="5"/>
  <c r="T296" i="5"/>
  <c r="U296" i="5"/>
  <c r="W296" i="5"/>
  <c r="V296" i="5"/>
  <c r="Y295" i="5"/>
  <c r="Y294" i="5"/>
  <c r="Z294" i="5"/>
  <c r="Y293" i="5"/>
  <c r="Y292" i="5"/>
  <c r="Y291" i="5"/>
  <c r="Y290" i="5"/>
  <c r="M290" i="5"/>
  <c r="Y289" i="5"/>
  <c r="Y288" i="5"/>
  <c r="T288" i="5"/>
  <c r="U288" i="5"/>
  <c r="W288" i="5"/>
  <c r="V288" i="5"/>
  <c r="Y287" i="5"/>
  <c r="Y286" i="5"/>
  <c r="T286" i="5"/>
  <c r="U286" i="5"/>
  <c r="W286" i="5"/>
  <c r="V286" i="5"/>
  <c r="Y285" i="5"/>
  <c r="Y284" i="5"/>
  <c r="Z284" i="5"/>
  <c r="Y283" i="5"/>
  <c r="Y282" i="5"/>
  <c r="Y281" i="5"/>
  <c r="Y280" i="5"/>
  <c r="Y279" i="5"/>
  <c r="Y278" i="5"/>
  <c r="Y277" i="5"/>
  <c r="M277" i="5"/>
  <c r="Y276" i="5"/>
  <c r="Y275" i="5"/>
  <c r="L275" i="5"/>
  <c r="Y274" i="5"/>
  <c r="L274" i="5"/>
  <c r="P273" i="5"/>
  <c r="Q273" i="5"/>
  <c r="Y273" i="5"/>
  <c r="Y272" i="5"/>
  <c r="P271" i="5"/>
  <c r="L270" i="5"/>
  <c r="L271" i="5"/>
  <c r="M271" i="5"/>
  <c r="O271" i="5"/>
  <c r="Q271" i="5"/>
  <c r="Y271" i="5"/>
  <c r="P270" i="5"/>
  <c r="M270" i="5"/>
  <c r="O270" i="5"/>
  <c r="Q270" i="5"/>
  <c r="Y270" i="5"/>
  <c r="Y269" i="5"/>
  <c r="P268" i="5"/>
  <c r="L268" i="5"/>
  <c r="M268" i="5"/>
  <c r="O268" i="5"/>
  <c r="Q268" i="5"/>
  <c r="Y268" i="5"/>
  <c r="Y267" i="5"/>
  <c r="Y266" i="5"/>
  <c r="Y265" i="5"/>
  <c r="M265" i="5"/>
  <c r="Y264" i="5"/>
  <c r="Y263" i="5"/>
  <c r="Y262" i="5"/>
  <c r="Z262" i="5"/>
  <c r="R260" i="5"/>
  <c r="S260" i="5"/>
  <c r="R261" i="5"/>
  <c r="S261" i="5"/>
  <c r="S262" i="5"/>
  <c r="Y261" i="5"/>
  <c r="T261" i="5"/>
  <c r="U261" i="5"/>
  <c r="W261" i="5"/>
  <c r="V261" i="5"/>
  <c r="Y260" i="5"/>
  <c r="T260" i="5"/>
  <c r="U260" i="5"/>
  <c r="W260" i="5"/>
  <c r="V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O246" i="5"/>
  <c r="Y245" i="5"/>
  <c r="R245" i="5"/>
  <c r="S245" i="5"/>
  <c r="T245" i="5"/>
  <c r="U245" i="5"/>
  <c r="W245" i="5"/>
  <c r="V245" i="5"/>
  <c r="Y244" i="5"/>
  <c r="Y243" i="5"/>
  <c r="Y242" i="5"/>
  <c r="R242" i="5"/>
  <c r="S242" i="5"/>
  <c r="W242" i="5"/>
  <c r="V242" i="5"/>
  <c r="T242" i="5"/>
  <c r="U242" i="5"/>
  <c r="Y241" i="5"/>
  <c r="Y240" i="5"/>
  <c r="Y239" i="5"/>
  <c r="Y238" i="5"/>
  <c r="O238" i="5"/>
  <c r="Y237" i="5"/>
  <c r="O237" i="5"/>
  <c r="Y236" i="5"/>
  <c r="Y235" i="5"/>
  <c r="Z235" i="5"/>
  <c r="R224" i="5"/>
  <c r="S224" i="5"/>
  <c r="R225" i="5"/>
  <c r="S225" i="5"/>
  <c r="R228" i="5"/>
  <c r="S228" i="5"/>
  <c r="R230" i="5"/>
  <c r="M230" i="5"/>
  <c r="O230" i="5"/>
  <c r="S230" i="5"/>
  <c r="R234" i="5"/>
  <c r="M234" i="5"/>
  <c r="O234" i="5"/>
  <c r="S234" i="5"/>
  <c r="R233" i="5"/>
  <c r="M233" i="5"/>
  <c r="O233" i="5"/>
  <c r="S233" i="5"/>
  <c r="R231" i="5"/>
  <c r="M231" i="5"/>
  <c r="O231" i="5"/>
  <c r="S231" i="5"/>
  <c r="S235" i="5"/>
  <c r="P234" i="5"/>
  <c r="Q234" i="5"/>
  <c r="Y234" i="5"/>
  <c r="T234" i="5"/>
  <c r="U234" i="5"/>
  <c r="W234" i="5"/>
  <c r="V234" i="5"/>
  <c r="P233" i="5"/>
  <c r="Q233" i="5"/>
  <c r="Y233" i="5"/>
  <c r="T233" i="5"/>
  <c r="U233" i="5"/>
  <c r="W233" i="5"/>
  <c r="V233" i="5"/>
  <c r="Y232" i="5"/>
  <c r="M232" i="5"/>
  <c r="P231" i="5"/>
  <c r="Q231" i="5"/>
  <c r="Y231" i="5"/>
  <c r="T231" i="5"/>
  <c r="U231" i="5"/>
  <c r="W231" i="5"/>
  <c r="V231" i="5"/>
  <c r="P230" i="5"/>
  <c r="Q230" i="5"/>
  <c r="Y230" i="5"/>
  <c r="T230" i="5"/>
  <c r="U230" i="5"/>
  <c r="W230" i="5"/>
  <c r="V230" i="5"/>
  <c r="Y229" i="5"/>
  <c r="M229" i="5"/>
  <c r="Y228" i="5"/>
  <c r="T228" i="5"/>
  <c r="U228" i="5"/>
  <c r="W228" i="5"/>
  <c r="V228" i="5"/>
  <c r="Y227" i="5"/>
  <c r="Y226" i="5"/>
  <c r="Y225" i="5"/>
  <c r="T225" i="5"/>
  <c r="U225" i="5"/>
  <c r="W225" i="5"/>
  <c r="V225" i="5"/>
  <c r="Y224" i="5"/>
  <c r="T224" i="5"/>
  <c r="U224" i="5"/>
  <c r="W224" i="5"/>
  <c r="V224" i="5"/>
  <c r="Y223" i="5"/>
  <c r="Y222" i="5"/>
  <c r="Y221" i="5"/>
  <c r="Y220" i="5"/>
  <c r="Y219" i="5"/>
  <c r="Y218" i="5"/>
  <c r="Y217" i="5"/>
  <c r="R217" i="5"/>
  <c r="S217" i="5"/>
  <c r="T217" i="5"/>
  <c r="U217" i="5"/>
  <c r="W217" i="5"/>
  <c r="V217" i="5"/>
  <c r="Y216" i="5"/>
  <c r="R216" i="5"/>
  <c r="S216" i="5"/>
  <c r="T216" i="5"/>
  <c r="U216" i="5"/>
  <c r="W216" i="5"/>
  <c r="V216" i="5"/>
  <c r="Y215" i="5"/>
  <c r="Y214" i="5"/>
  <c r="R214" i="5"/>
  <c r="S214" i="5"/>
  <c r="T214" i="5"/>
  <c r="U214" i="5"/>
  <c r="W214" i="5"/>
  <c r="V214" i="5"/>
  <c r="Y213" i="5"/>
  <c r="Y212" i="5"/>
  <c r="R212" i="5"/>
  <c r="S212" i="5"/>
  <c r="T212" i="5"/>
  <c r="U212" i="5"/>
  <c r="W212" i="5"/>
  <c r="V212" i="5"/>
  <c r="Y211" i="5"/>
  <c r="R211" i="5"/>
  <c r="S211" i="5"/>
  <c r="T211" i="5"/>
  <c r="U211" i="5"/>
  <c r="W211" i="5"/>
  <c r="V211" i="5"/>
  <c r="Y210" i="5"/>
  <c r="R210" i="5"/>
  <c r="S210" i="5"/>
  <c r="T210" i="5"/>
  <c r="U210" i="5"/>
  <c r="W210" i="5"/>
  <c r="V210" i="5"/>
  <c r="Y209" i="5"/>
  <c r="Y208" i="5"/>
  <c r="R208" i="5"/>
  <c r="S208" i="5"/>
  <c r="T208" i="5"/>
  <c r="U208" i="5"/>
  <c r="W208" i="5"/>
  <c r="V208" i="5"/>
  <c r="Y207" i="5"/>
  <c r="Y206" i="5"/>
  <c r="R206" i="5"/>
  <c r="S206" i="5"/>
  <c r="T206" i="5"/>
  <c r="U206" i="5"/>
  <c r="W206" i="5"/>
  <c r="V206" i="5"/>
  <c r="Y205" i="5"/>
  <c r="Y204" i="5"/>
  <c r="Y203" i="5"/>
  <c r="Y202" i="5"/>
  <c r="Y201" i="5"/>
  <c r="Y200" i="5"/>
  <c r="Y199" i="5"/>
  <c r="Y198" i="5"/>
  <c r="Y197" i="5"/>
  <c r="Z197" i="5"/>
  <c r="R186" i="5"/>
  <c r="S186" i="5"/>
  <c r="R187" i="5"/>
  <c r="S187" i="5"/>
  <c r="R188" i="5"/>
  <c r="S188" i="5"/>
  <c r="R180" i="5"/>
  <c r="S180" i="5"/>
  <c r="R181" i="5"/>
  <c r="S181" i="5"/>
  <c r="R182" i="5"/>
  <c r="S182" i="5"/>
  <c r="R183" i="5"/>
  <c r="S183" i="5"/>
  <c r="R161" i="5"/>
  <c r="S161" i="5"/>
  <c r="R162" i="5"/>
  <c r="S162" i="5"/>
  <c r="R163" i="5"/>
  <c r="S163" i="5"/>
  <c r="R164" i="5"/>
  <c r="S164" i="5"/>
  <c r="R171" i="5"/>
  <c r="S171" i="5"/>
  <c r="R168" i="5"/>
  <c r="S168" i="5"/>
  <c r="R167" i="5"/>
  <c r="S167" i="5"/>
  <c r="R166" i="5"/>
  <c r="S166" i="5"/>
  <c r="R165" i="5"/>
  <c r="S165" i="5"/>
  <c r="S172" i="5"/>
  <c r="S173" i="5"/>
  <c r="R179" i="5"/>
  <c r="S179" i="5"/>
  <c r="S184" i="5"/>
  <c r="S191" i="5"/>
  <c r="Y196" i="5"/>
  <c r="Z196" i="5"/>
  <c r="Y195" i="5"/>
  <c r="Y194" i="5"/>
  <c r="T194" i="5"/>
  <c r="U194" i="5"/>
  <c r="R194" i="5"/>
  <c r="Y193" i="5"/>
  <c r="M192" i="5"/>
  <c r="M193" i="5"/>
  <c r="Y192" i="5"/>
  <c r="Y191" i="5"/>
  <c r="Z191" i="5"/>
  <c r="Y190" i="5"/>
  <c r="Y189" i="5"/>
  <c r="Y188" i="5"/>
  <c r="T188" i="5"/>
  <c r="U188" i="5"/>
  <c r="W188" i="5"/>
  <c r="V188" i="5"/>
  <c r="Y187" i="5"/>
  <c r="T187" i="5"/>
  <c r="U187" i="5"/>
  <c r="W187" i="5"/>
  <c r="V187" i="5"/>
  <c r="Y186" i="5"/>
  <c r="T186" i="5"/>
  <c r="U186" i="5"/>
  <c r="W186" i="5"/>
  <c r="V186" i="5"/>
  <c r="Y185" i="5"/>
  <c r="Y184" i="5"/>
  <c r="Z184" i="5"/>
  <c r="Y183" i="5"/>
  <c r="T183" i="5"/>
  <c r="U183" i="5"/>
  <c r="W183" i="5"/>
  <c r="V183" i="5"/>
  <c r="Y182" i="5"/>
  <c r="T182" i="5"/>
  <c r="U182" i="5"/>
  <c r="W182" i="5"/>
  <c r="V182" i="5"/>
  <c r="Y181" i="5"/>
  <c r="T181" i="5"/>
  <c r="U181" i="5"/>
  <c r="W181" i="5"/>
  <c r="V181" i="5"/>
  <c r="Y180" i="5"/>
  <c r="T180" i="5"/>
  <c r="U180" i="5"/>
  <c r="W180" i="5"/>
  <c r="V180" i="5"/>
  <c r="Y179" i="5"/>
  <c r="T179" i="5"/>
  <c r="U179" i="5"/>
  <c r="W179" i="5"/>
  <c r="V179" i="5"/>
  <c r="Y178" i="5"/>
  <c r="Y177" i="5"/>
  <c r="Y176" i="5"/>
  <c r="Y175" i="5"/>
  <c r="Y174" i="5"/>
  <c r="Y173" i="5"/>
  <c r="Z173" i="5"/>
  <c r="Y172" i="5"/>
  <c r="Z172" i="5"/>
  <c r="Y171" i="5"/>
  <c r="T171" i="5"/>
  <c r="U171" i="5"/>
  <c r="W171" i="5"/>
  <c r="V171" i="5"/>
  <c r="Y170" i="5"/>
  <c r="Y169" i="5"/>
  <c r="Y168" i="5"/>
  <c r="T168" i="5"/>
  <c r="U168" i="5"/>
  <c r="W168" i="5"/>
  <c r="V168" i="5"/>
  <c r="Y167" i="5"/>
  <c r="T167" i="5"/>
  <c r="U167" i="5"/>
  <c r="W167" i="5"/>
  <c r="V167" i="5"/>
  <c r="Y166" i="5"/>
  <c r="T166" i="5"/>
  <c r="U166" i="5"/>
  <c r="W166" i="5"/>
  <c r="V166" i="5"/>
  <c r="Y165" i="5"/>
  <c r="T165" i="5"/>
  <c r="U165" i="5"/>
  <c r="W165" i="5"/>
  <c r="V165" i="5"/>
  <c r="Y164" i="5"/>
  <c r="T164" i="5"/>
  <c r="U164" i="5"/>
  <c r="W164" i="5"/>
  <c r="V164" i="5"/>
  <c r="Y163" i="5"/>
  <c r="T163" i="5"/>
  <c r="U163" i="5"/>
  <c r="W163" i="5"/>
  <c r="V163" i="5"/>
  <c r="Y162" i="5"/>
  <c r="T162" i="5"/>
  <c r="U162" i="5"/>
  <c r="W162" i="5"/>
  <c r="V162" i="5"/>
  <c r="Y161" i="5"/>
  <c r="T161" i="5"/>
  <c r="U161" i="5"/>
  <c r="W161" i="5"/>
  <c r="V161" i="5"/>
  <c r="Y160" i="5"/>
  <c r="R160" i="5"/>
  <c r="S160" i="5"/>
  <c r="T160" i="5"/>
  <c r="U160" i="5"/>
  <c r="W160" i="5"/>
  <c r="V160" i="5"/>
  <c r="Y159" i="5"/>
  <c r="R159" i="5"/>
  <c r="S159" i="5"/>
  <c r="T159" i="5"/>
  <c r="U159" i="5"/>
  <c r="W159" i="5"/>
  <c r="V159" i="5"/>
  <c r="Y158" i="5"/>
  <c r="R158" i="5"/>
  <c r="S158" i="5"/>
  <c r="T158" i="5"/>
  <c r="U158" i="5"/>
  <c r="W158" i="5"/>
  <c r="V158" i="5"/>
  <c r="Y157" i="5"/>
  <c r="R157" i="5"/>
  <c r="S157" i="5"/>
  <c r="T157" i="5"/>
  <c r="U157" i="5"/>
  <c r="W157" i="5"/>
  <c r="V157" i="5"/>
  <c r="Y156" i="5"/>
  <c r="R156" i="5"/>
  <c r="S156" i="5"/>
  <c r="T156" i="5"/>
  <c r="U156" i="5"/>
  <c r="W156" i="5"/>
  <c r="V156" i="5"/>
  <c r="Y155" i="5"/>
  <c r="R155" i="5"/>
  <c r="S155" i="5"/>
  <c r="T155" i="5"/>
  <c r="U155" i="5"/>
  <c r="W155" i="5"/>
  <c r="V155" i="5"/>
  <c r="Y154" i="5"/>
  <c r="R154" i="5"/>
  <c r="S154" i="5"/>
  <c r="T154" i="5"/>
  <c r="U154" i="5"/>
  <c r="W154" i="5"/>
  <c r="V154" i="5"/>
  <c r="Y153" i="5"/>
  <c r="R153" i="5"/>
  <c r="S153" i="5"/>
  <c r="T153" i="5"/>
  <c r="U153" i="5"/>
  <c r="W153" i="5"/>
  <c r="V153" i="5"/>
  <c r="Y152" i="5"/>
  <c r="R152" i="5"/>
  <c r="S152" i="5"/>
  <c r="T152" i="5"/>
  <c r="U152" i="5"/>
  <c r="W152" i="5"/>
  <c r="V152" i="5"/>
  <c r="Y151" i="5"/>
  <c r="R151" i="5"/>
  <c r="S151" i="5"/>
  <c r="T151" i="5"/>
  <c r="U151" i="5"/>
  <c r="W151" i="5"/>
  <c r="V151" i="5"/>
  <c r="Y150" i="5"/>
  <c r="R150" i="5"/>
  <c r="S150" i="5"/>
  <c r="T150" i="5"/>
  <c r="U150" i="5"/>
  <c r="W150" i="5"/>
  <c r="V150" i="5"/>
  <c r="Y149" i="5"/>
  <c r="M149" i="5"/>
  <c r="Y148" i="5"/>
  <c r="M148" i="5"/>
  <c r="Y147" i="5"/>
  <c r="M147" i="5"/>
  <c r="Y146" i="5"/>
  <c r="M146" i="5"/>
  <c r="Y145" i="5"/>
  <c r="M145" i="5"/>
  <c r="Y144" i="5"/>
  <c r="M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Z125" i="5"/>
  <c r="R114" i="5"/>
  <c r="S114" i="5"/>
  <c r="R115" i="5"/>
  <c r="S115" i="5"/>
  <c r="R116" i="5"/>
  <c r="S116" i="5"/>
  <c r="R117" i="5"/>
  <c r="S117" i="5"/>
  <c r="R124" i="5"/>
  <c r="S124" i="5"/>
  <c r="R123" i="5"/>
  <c r="S123" i="5"/>
  <c r="R122" i="5"/>
  <c r="S122" i="5"/>
  <c r="R121" i="5"/>
  <c r="S121" i="5"/>
  <c r="R120" i="5"/>
  <c r="S120" i="5"/>
  <c r="R119" i="5"/>
  <c r="S119" i="5"/>
  <c r="R118" i="5"/>
  <c r="S118" i="5"/>
  <c r="S125" i="5"/>
  <c r="Y124" i="5"/>
  <c r="T124" i="5"/>
  <c r="U124" i="5"/>
  <c r="W124" i="5"/>
  <c r="V124" i="5"/>
  <c r="Y123" i="5"/>
  <c r="T123" i="5"/>
  <c r="U123" i="5"/>
  <c r="W123" i="5"/>
  <c r="V123" i="5"/>
  <c r="Y122" i="5"/>
  <c r="T122" i="5"/>
  <c r="U122" i="5"/>
  <c r="W122" i="5"/>
  <c r="V122" i="5"/>
  <c r="Y121" i="5"/>
  <c r="T121" i="5"/>
  <c r="U121" i="5"/>
  <c r="W121" i="5"/>
  <c r="V121" i="5"/>
  <c r="Y120" i="5"/>
  <c r="T120" i="5"/>
  <c r="U120" i="5"/>
  <c r="W120" i="5"/>
  <c r="V120" i="5"/>
  <c r="Y119" i="5"/>
  <c r="T119" i="5"/>
  <c r="U119" i="5"/>
  <c r="W119" i="5"/>
  <c r="V119" i="5"/>
  <c r="Y118" i="5"/>
  <c r="T118" i="5"/>
  <c r="U118" i="5"/>
  <c r="W118" i="5"/>
  <c r="V118" i="5"/>
  <c r="Y117" i="5"/>
  <c r="T117" i="5"/>
  <c r="U117" i="5"/>
  <c r="W117" i="5"/>
  <c r="V117" i="5"/>
  <c r="Y116" i="5"/>
  <c r="T116" i="5"/>
  <c r="U116" i="5"/>
  <c r="W116" i="5"/>
  <c r="V116" i="5"/>
  <c r="Y115" i="5"/>
  <c r="T115" i="5"/>
  <c r="U115" i="5"/>
  <c r="W115" i="5"/>
  <c r="V115" i="5"/>
  <c r="Y114" i="5"/>
  <c r="T114" i="5"/>
  <c r="U114" i="5"/>
  <c r="W114" i="5"/>
  <c r="V114" i="5"/>
  <c r="Y113" i="5"/>
  <c r="R113" i="5"/>
  <c r="S113" i="5"/>
  <c r="T113" i="5"/>
  <c r="U113" i="5"/>
  <c r="W113" i="5"/>
  <c r="V113" i="5"/>
  <c r="Y112" i="5"/>
  <c r="M112" i="5"/>
  <c r="Y111" i="5"/>
  <c r="Y110" i="5"/>
  <c r="Y109" i="5"/>
  <c r="Z109" i="5"/>
  <c r="R106" i="5"/>
  <c r="S106" i="5"/>
  <c r="R107" i="5"/>
  <c r="S107" i="5"/>
  <c r="R108" i="5"/>
  <c r="S108" i="5"/>
  <c r="S109" i="5"/>
  <c r="Y108" i="5"/>
  <c r="T108" i="5"/>
  <c r="U108" i="5"/>
  <c r="W108" i="5"/>
  <c r="V108" i="5"/>
  <c r="Y107" i="5"/>
  <c r="T107" i="5"/>
  <c r="U107" i="5"/>
  <c r="W107" i="5"/>
  <c r="V107" i="5"/>
  <c r="Y106" i="5"/>
  <c r="T106" i="5"/>
  <c r="U106" i="5"/>
  <c r="W106" i="5"/>
  <c r="V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Z83" i="5"/>
  <c r="R71" i="5"/>
  <c r="S71" i="5"/>
  <c r="R72" i="5"/>
  <c r="S72" i="5"/>
  <c r="R73" i="5"/>
  <c r="S73" i="5"/>
  <c r="R74" i="5"/>
  <c r="S74" i="5"/>
  <c r="R82" i="5"/>
  <c r="S82" i="5"/>
  <c r="R81" i="5"/>
  <c r="S81" i="5"/>
  <c r="R80" i="5"/>
  <c r="S80" i="5"/>
  <c r="R79" i="5"/>
  <c r="S79" i="5"/>
  <c r="R78" i="5"/>
  <c r="S78" i="5"/>
  <c r="R77" i="5"/>
  <c r="S77" i="5"/>
  <c r="R76" i="5"/>
  <c r="S76" i="5"/>
  <c r="S83" i="5"/>
  <c r="Y82" i="5"/>
  <c r="T82" i="5"/>
  <c r="U82" i="5"/>
  <c r="W82" i="5"/>
  <c r="V82" i="5"/>
  <c r="Y81" i="5"/>
  <c r="T81" i="5"/>
  <c r="U81" i="5"/>
  <c r="W81" i="5"/>
  <c r="V81" i="5"/>
  <c r="Y80" i="5"/>
  <c r="T80" i="5"/>
  <c r="U80" i="5"/>
  <c r="W80" i="5"/>
  <c r="V80" i="5"/>
  <c r="Y79" i="5"/>
  <c r="T79" i="5"/>
  <c r="U79" i="5"/>
  <c r="W79" i="5"/>
  <c r="V79" i="5"/>
  <c r="Y78" i="5"/>
  <c r="T78" i="5"/>
  <c r="U78" i="5"/>
  <c r="W78" i="5"/>
  <c r="V78" i="5"/>
  <c r="Y77" i="5"/>
  <c r="T77" i="5"/>
  <c r="U77" i="5"/>
  <c r="W77" i="5"/>
  <c r="V77" i="5"/>
  <c r="Y76" i="5"/>
  <c r="T76" i="5"/>
  <c r="U76" i="5"/>
  <c r="W76" i="5"/>
  <c r="V76" i="5"/>
  <c r="Y75" i="5"/>
  <c r="Y74" i="5"/>
  <c r="T74" i="5"/>
  <c r="U74" i="5"/>
  <c r="W74" i="5"/>
  <c r="V74" i="5"/>
  <c r="Y73" i="5"/>
  <c r="T73" i="5"/>
  <c r="U73" i="5"/>
  <c r="W73" i="5"/>
  <c r="V73" i="5"/>
  <c r="Y72" i="5"/>
  <c r="T72" i="5"/>
  <c r="U72" i="5"/>
  <c r="W72" i="5"/>
  <c r="V72" i="5"/>
  <c r="Y71" i="5"/>
  <c r="T71" i="5"/>
  <c r="U71" i="5"/>
  <c r="W71" i="5"/>
  <c r="V71" i="5"/>
  <c r="Y70" i="5"/>
  <c r="Y69" i="5"/>
  <c r="Z69" i="5"/>
  <c r="R59" i="5"/>
  <c r="S59" i="5"/>
  <c r="R65" i="5"/>
  <c r="S65" i="5"/>
  <c r="S69" i="5"/>
  <c r="Y68" i="5"/>
  <c r="Y67" i="5"/>
  <c r="M67" i="5"/>
  <c r="Y66" i="5"/>
  <c r="Y65" i="5"/>
  <c r="T65" i="5"/>
  <c r="U65" i="5"/>
  <c r="W65" i="5"/>
  <c r="V65" i="5"/>
  <c r="Y64" i="5"/>
  <c r="Y63" i="5"/>
  <c r="Y62" i="5"/>
  <c r="Y61" i="5"/>
  <c r="Y60" i="5"/>
  <c r="Y59" i="5"/>
  <c r="T59" i="5"/>
  <c r="U59" i="5"/>
  <c r="W59" i="5"/>
  <c r="V59" i="5"/>
  <c r="Y58" i="5"/>
  <c r="Y57" i="5"/>
  <c r="Y56" i="5"/>
  <c r="Z56" i="5"/>
  <c r="S56" i="5"/>
  <c r="Y55" i="5"/>
  <c r="Y54" i="5"/>
  <c r="Y53" i="5"/>
  <c r="Y52" i="5"/>
  <c r="R52" i="5"/>
  <c r="S52" i="5"/>
  <c r="T52" i="5"/>
  <c r="U52" i="5"/>
  <c r="W52" i="5"/>
  <c r="V52" i="5"/>
  <c r="Y51" i="5"/>
  <c r="R51" i="5"/>
  <c r="S51" i="5"/>
  <c r="T51" i="5"/>
  <c r="U51" i="5"/>
  <c r="W51" i="5"/>
  <c r="V51" i="5"/>
  <c r="Y50" i="5"/>
  <c r="R50" i="5"/>
  <c r="S50" i="5"/>
  <c r="T50" i="5"/>
  <c r="U50" i="5"/>
  <c r="W50" i="5"/>
  <c r="V50" i="5"/>
  <c r="Y49" i="5"/>
  <c r="L49" i="5"/>
  <c r="Y48" i="5"/>
  <c r="R48" i="5"/>
  <c r="S48" i="5"/>
  <c r="T48" i="5"/>
  <c r="U48" i="5"/>
  <c r="W48" i="5"/>
  <c r="V48" i="5"/>
  <c r="Y47" i="5"/>
  <c r="R47" i="5"/>
  <c r="S47" i="5"/>
  <c r="T47" i="5"/>
  <c r="U47" i="5"/>
  <c r="W47" i="5"/>
  <c r="V47" i="5"/>
  <c r="Y46" i="5"/>
  <c r="Y45" i="5"/>
  <c r="Y44" i="5"/>
  <c r="Y43" i="5"/>
  <c r="Y42" i="5"/>
  <c r="Y41" i="5"/>
  <c r="Y40" i="5"/>
  <c r="Y39" i="5"/>
  <c r="Y38" i="5"/>
  <c r="R38" i="5"/>
  <c r="S38" i="5"/>
  <c r="T38" i="5"/>
  <c r="U38" i="5"/>
  <c r="W38" i="5"/>
  <c r="V38" i="5"/>
  <c r="Y37" i="5"/>
  <c r="Y36" i="5"/>
  <c r="Y35" i="5"/>
  <c r="S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L6" i="4"/>
  <c r="O6" i="4"/>
  <c r="R6" i="4"/>
  <c r="S6" i="4"/>
  <c r="L7" i="4"/>
  <c r="O7" i="4"/>
  <c r="R7" i="4"/>
  <c r="S7" i="4"/>
  <c r="L8" i="4"/>
  <c r="O8" i="4"/>
  <c r="R8" i="4"/>
  <c r="S8" i="4"/>
  <c r="L9" i="4"/>
  <c r="O9" i="4"/>
  <c r="R9" i="4"/>
  <c r="S9" i="4"/>
  <c r="L34" i="4"/>
  <c r="M34" i="4"/>
  <c r="O34" i="4"/>
  <c r="R34" i="4"/>
  <c r="S34" i="4"/>
  <c r="L33" i="4"/>
  <c r="M33" i="4"/>
  <c r="O33" i="4"/>
  <c r="R33" i="4"/>
  <c r="S33" i="4"/>
  <c r="L32" i="4"/>
  <c r="M32" i="4"/>
  <c r="O32" i="4"/>
  <c r="R32" i="4"/>
  <c r="S32" i="4"/>
  <c r="L31" i="4"/>
  <c r="M31" i="4"/>
  <c r="O31" i="4"/>
  <c r="R31" i="4"/>
  <c r="S31" i="4"/>
  <c r="L30" i="4"/>
  <c r="M30" i="4"/>
  <c r="O30" i="4"/>
  <c r="R30" i="4"/>
  <c r="S30" i="4"/>
  <c r="L29" i="4"/>
  <c r="O29" i="4"/>
  <c r="R29" i="4"/>
  <c r="S29" i="4"/>
  <c r="L28" i="4"/>
  <c r="O28" i="4"/>
  <c r="R28" i="4"/>
  <c r="S28" i="4"/>
  <c r="L27" i="4"/>
  <c r="O27" i="4"/>
  <c r="R27" i="4"/>
  <c r="S27" i="4"/>
  <c r="L26" i="4"/>
  <c r="O26" i="4"/>
  <c r="R26" i="4"/>
  <c r="S26" i="4"/>
  <c r="L25" i="4"/>
  <c r="O25" i="4"/>
  <c r="R25" i="4"/>
  <c r="S25" i="4"/>
  <c r="L24" i="4"/>
  <c r="M24" i="4"/>
  <c r="O24" i="4"/>
  <c r="R24" i="4"/>
  <c r="S24" i="4"/>
  <c r="L23" i="4"/>
  <c r="M23" i="4"/>
  <c r="O23" i="4"/>
  <c r="R23" i="4"/>
  <c r="S23" i="4"/>
  <c r="L22" i="4"/>
  <c r="M22" i="4"/>
  <c r="O22" i="4"/>
  <c r="R22" i="4"/>
  <c r="S22" i="4"/>
  <c r="L21" i="4"/>
  <c r="M21" i="4"/>
  <c r="O21" i="4"/>
  <c r="R21" i="4"/>
  <c r="S21" i="4"/>
  <c r="L20" i="4"/>
  <c r="M20" i="4"/>
  <c r="O20" i="4"/>
  <c r="R20" i="4"/>
  <c r="S20" i="4"/>
  <c r="L19" i="4"/>
  <c r="O19" i="4"/>
  <c r="R19" i="4"/>
  <c r="S19" i="4"/>
  <c r="L18" i="4"/>
  <c r="O18" i="4"/>
  <c r="R18" i="4"/>
  <c r="S18" i="4"/>
  <c r="L17" i="4"/>
  <c r="O17" i="4"/>
  <c r="R17" i="4"/>
  <c r="S17" i="4"/>
  <c r="L16" i="4"/>
  <c r="M16" i="4"/>
  <c r="O16" i="4"/>
  <c r="R16" i="4"/>
  <c r="S16" i="4"/>
  <c r="L15" i="4"/>
  <c r="O15" i="4"/>
  <c r="R15" i="4"/>
  <c r="S15" i="4"/>
  <c r="L14" i="4"/>
  <c r="O14" i="4"/>
  <c r="R14" i="4"/>
  <c r="S14" i="4"/>
  <c r="L13" i="4"/>
  <c r="O13" i="4"/>
  <c r="R13" i="4"/>
  <c r="S13" i="4"/>
  <c r="L12" i="4"/>
  <c r="M12" i="4"/>
  <c r="O12" i="4"/>
  <c r="R12" i="4"/>
  <c r="S12" i="4"/>
  <c r="L11" i="4"/>
  <c r="O11" i="4"/>
  <c r="R11" i="4"/>
  <c r="S11" i="4"/>
  <c r="L10" i="4"/>
  <c r="O10" i="4"/>
  <c r="R10" i="4"/>
  <c r="S10" i="4"/>
  <c r="S35" i="4"/>
  <c r="R42" i="4"/>
  <c r="L38" i="4"/>
  <c r="L42" i="4"/>
  <c r="O42" i="4"/>
  <c r="S42" i="4"/>
  <c r="R43" i="4"/>
  <c r="L43" i="4"/>
  <c r="O43" i="4"/>
  <c r="S43" i="4"/>
  <c r="R44" i="4"/>
  <c r="L44" i="4"/>
  <c r="O44" i="4"/>
  <c r="S44" i="4"/>
  <c r="R48" i="4"/>
  <c r="L48" i="4"/>
  <c r="O48" i="4"/>
  <c r="S48" i="4"/>
  <c r="R50" i="4"/>
  <c r="L50" i="4"/>
  <c r="O50" i="4"/>
  <c r="S50" i="4"/>
  <c r="R49" i="4"/>
  <c r="L49" i="4"/>
  <c r="O49" i="4"/>
  <c r="S49" i="4"/>
  <c r="S51" i="4"/>
  <c r="R38" i="4"/>
  <c r="O38" i="4"/>
  <c r="S38" i="4"/>
  <c r="R39" i="4"/>
  <c r="L39" i="4"/>
  <c r="O39" i="4"/>
  <c r="S39" i="4"/>
  <c r="R40" i="4"/>
  <c r="L40" i="4"/>
  <c r="O40" i="4"/>
  <c r="S40" i="4"/>
  <c r="S41" i="4"/>
  <c r="R52" i="4"/>
  <c r="L52" i="4"/>
  <c r="O52" i="4"/>
  <c r="S52" i="4"/>
  <c r="R53" i="4"/>
  <c r="L53" i="4"/>
  <c r="O53" i="4"/>
  <c r="S53" i="4"/>
  <c r="R54" i="4"/>
  <c r="L54" i="4"/>
  <c r="M54" i="4"/>
  <c r="O54" i="4"/>
  <c r="S54" i="4"/>
  <c r="S58" i="4"/>
  <c r="R61" i="4"/>
  <c r="L61" i="4"/>
  <c r="O61" i="4"/>
  <c r="S61" i="4"/>
  <c r="R62" i="4"/>
  <c r="L62" i="4"/>
  <c r="O62" i="4"/>
  <c r="S62" i="4"/>
  <c r="R63" i="4"/>
  <c r="L63" i="4"/>
  <c r="M63" i="4"/>
  <c r="O63" i="4"/>
  <c r="S63" i="4"/>
  <c r="S71" i="4"/>
  <c r="R73" i="4"/>
  <c r="L73" i="4"/>
  <c r="O73" i="4"/>
  <c r="S73" i="4"/>
  <c r="R74" i="4"/>
  <c r="L74" i="4"/>
  <c r="O74" i="4"/>
  <c r="S74" i="4"/>
  <c r="R75" i="4"/>
  <c r="L75" i="4"/>
  <c r="M75" i="4"/>
  <c r="O75" i="4"/>
  <c r="S75" i="4"/>
  <c r="R76" i="4"/>
  <c r="L76" i="4"/>
  <c r="O76" i="4"/>
  <c r="S76" i="4"/>
  <c r="R83" i="4"/>
  <c r="L83" i="4"/>
  <c r="M83" i="4"/>
  <c r="O83" i="4"/>
  <c r="S83" i="4"/>
  <c r="R82" i="4"/>
  <c r="L82" i="4"/>
  <c r="M82" i="4"/>
  <c r="O82" i="4"/>
  <c r="S82" i="4"/>
  <c r="R81" i="4"/>
  <c r="L81" i="4"/>
  <c r="M81" i="4"/>
  <c r="O81" i="4"/>
  <c r="S81" i="4"/>
  <c r="R80" i="4"/>
  <c r="L80" i="4"/>
  <c r="M80" i="4"/>
  <c r="O80" i="4"/>
  <c r="S80" i="4"/>
  <c r="R79" i="4"/>
  <c r="L79" i="4"/>
  <c r="M79" i="4"/>
  <c r="O79" i="4"/>
  <c r="S79" i="4"/>
  <c r="R78" i="4"/>
  <c r="L78" i="4"/>
  <c r="M78" i="4"/>
  <c r="O78" i="4"/>
  <c r="S78" i="4"/>
  <c r="R77" i="4"/>
  <c r="L77" i="4"/>
  <c r="O77" i="4"/>
  <c r="S77" i="4"/>
  <c r="S84" i="4"/>
  <c r="R107" i="4"/>
  <c r="L107" i="4"/>
  <c r="O107" i="4"/>
  <c r="S107" i="4"/>
  <c r="R108" i="4"/>
  <c r="L108" i="4"/>
  <c r="M108" i="4"/>
  <c r="O108" i="4"/>
  <c r="S108" i="4"/>
  <c r="R109" i="4"/>
  <c r="L109" i="4"/>
  <c r="M109" i="4"/>
  <c r="O109" i="4"/>
  <c r="S109" i="4"/>
  <c r="S113" i="4"/>
  <c r="R114" i="4"/>
  <c r="L114" i="4"/>
  <c r="O114" i="4"/>
  <c r="S114" i="4"/>
  <c r="R115" i="4"/>
  <c r="L115" i="4"/>
  <c r="O115" i="4"/>
  <c r="S115" i="4"/>
  <c r="R116" i="4"/>
  <c r="L116" i="4"/>
  <c r="M116" i="4"/>
  <c r="O116" i="4"/>
  <c r="S116" i="4"/>
  <c r="R117" i="4"/>
  <c r="L117" i="4"/>
  <c r="O117" i="4"/>
  <c r="S117" i="4"/>
  <c r="R125" i="4"/>
  <c r="L125" i="4"/>
  <c r="M125" i="4"/>
  <c r="O125" i="4"/>
  <c r="S125" i="4"/>
  <c r="R124" i="4"/>
  <c r="L124" i="4"/>
  <c r="M124" i="4"/>
  <c r="O124" i="4"/>
  <c r="S124" i="4"/>
  <c r="R123" i="4"/>
  <c r="L123" i="4"/>
  <c r="M123" i="4"/>
  <c r="O123" i="4"/>
  <c r="S123" i="4"/>
  <c r="R122" i="4"/>
  <c r="L122" i="4"/>
  <c r="M122" i="4"/>
  <c r="O122" i="4"/>
  <c r="S122" i="4"/>
  <c r="R121" i="4"/>
  <c r="L121" i="4"/>
  <c r="M121" i="4"/>
  <c r="O121" i="4"/>
  <c r="S121" i="4"/>
  <c r="R120" i="4"/>
  <c r="L120" i="4"/>
  <c r="M120" i="4"/>
  <c r="O120" i="4"/>
  <c r="S120" i="4"/>
  <c r="R119" i="4"/>
  <c r="L119" i="4"/>
  <c r="O119" i="4"/>
  <c r="S119" i="4"/>
  <c r="R118" i="4"/>
  <c r="L118" i="4"/>
  <c r="O118" i="4"/>
  <c r="S118" i="4"/>
  <c r="S126" i="4"/>
  <c r="R127" i="4"/>
  <c r="L127" i="4"/>
  <c r="O127" i="4"/>
  <c r="S127" i="4"/>
  <c r="R128" i="4"/>
  <c r="L128" i="4"/>
  <c r="O128" i="4"/>
  <c r="S128" i="4"/>
  <c r="R129" i="4"/>
  <c r="L129" i="4"/>
  <c r="M129" i="4"/>
  <c r="O129" i="4"/>
  <c r="S129" i="4"/>
  <c r="R130" i="4"/>
  <c r="L130" i="4"/>
  <c r="O130" i="4"/>
  <c r="S130" i="4"/>
  <c r="R138" i="4"/>
  <c r="L138" i="4"/>
  <c r="M138" i="4"/>
  <c r="O138" i="4"/>
  <c r="S138" i="4"/>
  <c r="R137" i="4"/>
  <c r="L137" i="4"/>
  <c r="M137" i="4"/>
  <c r="O137" i="4"/>
  <c r="S137" i="4"/>
  <c r="R136" i="4"/>
  <c r="L136" i="4"/>
  <c r="M136" i="4"/>
  <c r="O136" i="4"/>
  <c r="S136" i="4"/>
  <c r="R135" i="4"/>
  <c r="L135" i="4"/>
  <c r="M135" i="4"/>
  <c r="O135" i="4"/>
  <c r="S135" i="4"/>
  <c r="R134" i="4"/>
  <c r="L134" i="4"/>
  <c r="M134" i="4"/>
  <c r="O134" i="4"/>
  <c r="S134" i="4"/>
  <c r="R133" i="4"/>
  <c r="L133" i="4"/>
  <c r="M133" i="4"/>
  <c r="O133" i="4"/>
  <c r="S133" i="4"/>
  <c r="R132" i="4"/>
  <c r="L132" i="4"/>
  <c r="O132" i="4"/>
  <c r="S132" i="4"/>
  <c r="R131" i="4"/>
  <c r="L131" i="4"/>
  <c r="O131" i="4"/>
  <c r="S131" i="4"/>
  <c r="S139" i="4"/>
  <c r="R141" i="4"/>
  <c r="L141" i="4"/>
  <c r="O141" i="4"/>
  <c r="S141" i="4"/>
  <c r="R142" i="4"/>
  <c r="L142" i="4"/>
  <c r="O142" i="4"/>
  <c r="S142" i="4"/>
  <c r="R143" i="4"/>
  <c r="L143" i="4"/>
  <c r="O143" i="4"/>
  <c r="S143" i="4"/>
  <c r="R144" i="4"/>
  <c r="L144" i="4"/>
  <c r="O144" i="4"/>
  <c r="S144" i="4"/>
  <c r="R173" i="4"/>
  <c r="L173" i="4"/>
  <c r="M173" i="4"/>
  <c r="O173" i="4"/>
  <c r="S173" i="4"/>
  <c r="R172" i="4"/>
  <c r="L172" i="4"/>
  <c r="O172" i="4"/>
  <c r="S172" i="4"/>
  <c r="R171" i="4"/>
  <c r="L171" i="4"/>
  <c r="O171" i="4"/>
  <c r="S171" i="4"/>
  <c r="R170" i="4"/>
  <c r="L170" i="4"/>
  <c r="M170" i="4"/>
  <c r="O170" i="4"/>
  <c r="S170" i="4"/>
  <c r="R169" i="4"/>
  <c r="L169" i="4"/>
  <c r="M169" i="4"/>
  <c r="O169" i="4"/>
  <c r="S169" i="4"/>
  <c r="R168" i="4"/>
  <c r="L168" i="4"/>
  <c r="M168" i="4"/>
  <c r="O168" i="4"/>
  <c r="S168" i="4"/>
  <c r="R167" i="4"/>
  <c r="L167" i="4"/>
  <c r="M167" i="4"/>
  <c r="O167" i="4"/>
  <c r="S167" i="4"/>
  <c r="R166" i="4"/>
  <c r="L166" i="4"/>
  <c r="M166" i="4"/>
  <c r="O166" i="4"/>
  <c r="S166" i="4"/>
  <c r="R165" i="4"/>
  <c r="L165" i="4"/>
  <c r="O165" i="4"/>
  <c r="S165" i="4"/>
  <c r="R164" i="4"/>
  <c r="L164" i="4"/>
  <c r="M164" i="4"/>
  <c r="O164" i="4"/>
  <c r="S164" i="4"/>
  <c r="R163" i="4"/>
  <c r="L163" i="4"/>
  <c r="O163" i="4"/>
  <c r="S163" i="4"/>
  <c r="R162" i="4"/>
  <c r="L162" i="4"/>
  <c r="O162" i="4"/>
  <c r="S162" i="4"/>
  <c r="R161" i="4"/>
  <c r="L161" i="4"/>
  <c r="O161" i="4"/>
  <c r="S161" i="4"/>
  <c r="R160" i="4"/>
  <c r="L160" i="4"/>
  <c r="M160" i="4"/>
  <c r="O160" i="4"/>
  <c r="S160" i="4"/>
  <c r="R159" i="4"/>
  <c r="L159" i="4"/>
  <c r="M159" i="4"/>
  <c r="O159" i="4"/>
  <c r="S159" i="4"/>
  <c r="R158" i="4"/>
  <c r="L158" i="4"/>
  <c r="M158" i="4"/>
  <c r="O158" i="4"/>
  <c r="S158" i="4"/>
  <c r="R157" i="4"/>
  <c r="L157" i="4"/>
  <c r="M157" i="4"/>
  <c r="O157" i="4"/>
  <c r="S157" i="4"/>
  <c r="R156" i="4"/>
  <c r="L156" i="4"/>
  <c r="M156" i="4"/>
  <c r="O156" i="4"/>
  <c r="S156" i="4"/>
  <c r="R155" i="4"/>
  <c r="L155" i="4"/>
  <c r="O155" i="4"/>
  <c r="S155" i="4"/>
  <c r="R154" i="4"/>
  <c r="L154" i="4"/>
  <c r="O154" i="4"/>
  <c r="S154" i="4"/>
  <c r="R153" i="4"/>
  <c r="L153" i="4"/>
  <c r="O153" i="4"/>
  <c r="S153" i="4"/>
  <c r="R152" i="4"/>
  <c r="L152" i="4"/>
  <c r="O152" i="4"/>
  <c r="S152" i="4"/>
  <c r="R151" i="4"/>
  <c r="L151" i="4"/>
  <c r="O151" i="4"/>
  <c r="S151" i="4"/>
  <c r="R150" i="4"/>
  <c r="L150" i="4"/>
  <c r="M150" i="4"/>
  <c r="O150" i="4"/>
  <c r="S150" i="4"/>
  <c r="R149" i="4"/>
  <c r="L149" i="4"/>
  <c r="M149" i="4"/>
  <c r="O149" i="4"/>
  <c r="S149" i="4"/>
  <c r="R148" i="4"/>
  <c r="L148" i="4"/>
  <c r="M148" i="4"/>
  <c r="O148" i="4"/>
  <c r="S148" i="4"/>
  <c r="R147" i="4"/>
  <c r="L147" i="4"/>
  <c r="M147" i="4"/>
  <c r="O147" i="4"/>
  <c r="S147" i="4"/>
  <c r="R146" i="4"/>
  <c r="L146" i="4"/>
  <c r="M146" i="4"/>
  <c r="O146" i="4"/>
  <c r="S146" i="4"/>
  <c r="R145" i="4"/>
  <c r="L145" i="4"/>
  <c r="M145" i="4"/>
  <c r="O145" i="4"/>
  <c r="S145" i="4"/>
  <c r="S174" i="4"/>
  <c r="S175" i="4"/>
  <c r="R187" i="4"/>
  <c r="L187" i="4"/>
  <c r="O187" i="4"/>
  <c r="S187" i="4"/>
  <c r="R188" i="4"/>
  <c r="L188" i="4"/>
  <c r="O188" i="4"/>
  <c r="S188" i="4"/>
  <c r="R189" i="4"/>
  <c r="L189" i="4"/>
  <c r="O189" i="4"/>
  <c r="S189" i="4"/>
  <c r="R190" i="4"/>
  <c r="L190" i="4"/>
  <c r="M190" i="4"/>
  <c r="O190" i="4"/>
  <c r="S190" i="4"/>
  <c r="R193" i="4"/>
  <c r="L193" i="4"/>
  <c r="M192" i="4"/>
  <c r="M193" i="4"/>
  <c r="O193" i="4"/>
  <c r="S193" i="4"/>
  <c r="R192" i="4"/>
  <c r="L192" i="4"/>
  <c r="O192" i="4"/>
  <c r="S192" i="4"/>
  <c r="S194" i="4"/>
  <c r="R195" i="4"/>
  <c r="L195" i="4"/>
  <c r="O195" i="4"/>
  <c r="S195" i="4"/>
  <c r="R196" i="4"/>
  <c r="L196" i="4"/>
  <c r="M196" i="4"/>
  <c r="O196" i="4"/>
  <c r="S196" i="4"/>
  <c r="S197" i="4"/>
  <c r="R181" i="4"/>
  <c r="L181" i="4"/>
  <c r="O181" i="4"/>
  <c r="S181" i="4"/>
  <c r="R182" i="4"/>
  <c r="L182" i="4"/>
  <c r="M182" i="4"/>
  <c r="O182" i="4"/>
  <c r="S182" i="4"/>
  <c r="R183" i="4"/>
  <c r="L183" i="4"/>
  <c r="M183" i="4"/>
  <c r="O183" i="4"/>
  <c r="S183" i="4"/>
  <c r="R184" i="4"/>
  <c r="L184" i="4"/>
  <c r="M184" i="4"/>
  <c r="O184" i="4"/>
  <c r="S184" i="4"/>
  <c r="R185" i="4"/>
  <c r="L185" i="4"/>
  <c r="M185" i="4"/>
  <c r="O185" i="4"/>
  <c r="S185" i="4"/>
  <c r="S186" i="4"/>
  <c r="S198" i="4"/>
  <c r="R403" i="4"/>
  <c r="L403" i="4"/>
  <c r="M403" i="4"/>
  <c r="O403" i="4"/>
  <c r="S403" i="4"/>
  <c r="R404" i="4"/>
  <c r="L404" i="4"/>
  <c r="O404" i="4"/>
  <c r="S404" i="4"/>
  <c r="R405" i="4"/>
  <c r="L405" i="4"/>
  <c r="O405" i="4"/>
  <c r="S405" i="4"/>
  <c r="R407" i="4"/>
  <c r="L407" i="4"/>
  <c r="M407" i="4"/>
  <c r="O407" i="4"/>
  <c r="S407" i="4"/>
  <c r="R408" i="4"/>
  <c r="L408" i="4"/>
  <c r="O408" i="4"/>
  <c r="S408" i="4"/>
  <c r="S409" i="4"/>
  <c r="R341" i="4"/>
  <c r="L341" i="4"/>
  <c r="O341" i="4"/>
  <c r="S341" i="4"/>
  <c r="R342" i="4"/>
  <c r="L342" i="4"/>
  <c r="O342" i="4"/>
  <c r="S342" i="4"/>
  <c r="R343" i="4"/>
  <c r="L343" i="4"/>
  <c r="M343" i="4"/>
  <c r="O343" i="4"/>
  <c r="S343" i="4"/>
  <c r="R344" i="4"/>
  <c r="L344" i="4"/>
  <c r="M344" i="4"/>
  <c r="O344" i="4"/>
  <c r="S344" i="4"/>
  <c r="R349" i="4"/>
  <c r="L349" i="4"/>
  <c r="M349" i="4"/>
  <c r="O349" i="4"/>
  <c r="S349" i="4"/>
  <c r="R348" i="4"/>
  <c r="L348" i="4"/>
  <c r="M348" i="4"/>
  <c r="O348" i="4"/>
  <c r="S348" i="4"/>
  <c r="R347" i="4"/>
  <c r="L347" i="4"/>
  <c r="M347" i="4"/>
  <c r="O347" i="4"/>
  <c r="S347" i="4"/>
  <c r="R346" i="4"/>
  <c r="L346" i="4"/>
  <c r="M346" i="4"/>
  <c r="O346" i="4"/>
  <c r="S346" i="4"/>
  <c r="R345" i="4"/>
  <c r="L345" i="4"/>
  <c r="M345" i="4"/>
  <c r="O345" i="4"/>
  <c r="S345" i="4"/>
  <c r="S350" i="4"/>
  <c r="R351" i="4"/>
  <c r="L351" i="4"/>
  <c r="O351" i="4"/>
  <c r="S351" i="4"/>
  <c r="R352" i="4"/>
  <c r="L352" i="4"/>
  <c r="O352" i="4"/>
  <c r="S352" i="4"/>
  <c r="R353" i="4"/>
  <c r="L353" i="4"/>
  <c r="M353" i="4"/>
  <c r="O353" i="4"/>
  <c r="S353" i="4"/>
  <c r="R354" i="4"/>
  <c r="L354" i="4"/>
  <c r="M354" i="4"/>
  <c r="O354" i="4"/>
  <c r="S354" i="4"/>
  <c r="R359" i="4"/>
  <c r="L359" i="4"/>
  <c r="M359" i="4"/>
  <c r="O359" i="4"/>
  <c r="S359" i="4"/>
  <c r="R358" i="4"/>
  <c r="L358" i="4"/>
  <c r="M358" i="4"/>
  <c r="O358" i="4"/>
  <c r="S358" i="4"/>
  <c r="R357" i="4"/>
  <c r="L357" i="4"/>
  <c r="M357" i="4"/>
  <c r="O357" i="4"/>
  <c r="S357" i="4"/>
  <c r="R356" i="4"/>
  <c r="L356" i="4"/>
  <c r="M356" i="4"/>
  <c r="O356" i="4"/>
  <c r="S356" i="4"/>
  <c r="R355" i="4"/>
  <c r="L355" i="4"/>
  <c r="M355" i="4"/>
  <c r="O355" i="4"/>
  <c r="S355" i="4"/>
  <c r="S360" i="4"/>
  <c r="R361" i="4"/>
  <c r="L361" i="4"/>
  <c r="O361" i="4"/>
  <c r="S361" i="4"/>
  <c r="R362" i="4"/>
  <c r="L362" i="4"/>
  <c r="N362" i="4"/>
  <c r="O362" i="4"/>
  <c r="S362" i="4"/>
  <c r="R363" i="4"/>
  <c r="L363" i="4"/>
  <c r="M363" i="4"/>
  <c r="N363" i="4"/>
  <c r="O363" i="4"/>
  <c r="S363" i="4"/>
  <c r="R364" i="4"/>
  <c r="L364" i="4"/>
  <c r="N364" i="4"/>
  <c r="M364" i="4"/>
  <c r="O364" i="4"/>
  <c r="S364" i="4"/>
  <c r="R369" i="4"/>
  <c r="L369" i="4"/>
  <c r="M369" i="4"/>
  <c r="O369" i="4"/>
  <c r="S369" i="4"/>
  <c r="R368" i="4"/>
  <c r="L368" i="4"/>
  <c r="N365" i="4"/>
  <c r="N366" i="4"/>
  <c r="N367" i="4"/>
  <c r="N368" i="4"/>
  <c r="M368" i="4"/>
  <c r="O368" i="4"/>
  <c r="S368" i="4"/>
  <c r="R367" i="4"/>
  <c r="L367" i="4"/>
  <c r="M367" i="4"/>
  <c r="O367" i="4"/>
  <c r="S367" i="4"/>
  <c r="R366" i="4"/>
  <c r="L366" i="4"/>
  <c r="M366" i="4"/>
  <c r="O366" i="4"/>
  <c r="S366" i="4"/>
  <c r="R365" i="4"/>
  <c r="L365" i="4"/>
  <c r="M365" i="4"/>
  <c r="O365" i="4"/>
  <c r="S365" i="4"/>
  <c r="S370" i="4"/>
  <c r="R371" i="4"/>
  <c r="L371" i="4"/>
  <c r="O371" i="4"/>
  <c r="S371" i="4"/>
  <c r="R372" i="4"/>
  <c r="L372" i="4"/>
  <c r="M372" i="4"/>
  <c r="O372" i="4"/>
  <c r="S372" i="4"/>
  <c r="R373" i="4"/>
  <c r="L373" i="4"/>
  <c r="O373" i="4"/>
  <c r="S373" i="4"/>
  <c r="R374" i="4"/>
  <c r="L374" i="4"/>
  <c r="O374" i="4"/>
  <c r="S374" i="4"/>
  <c r="R375" i="4"/>
  <c r="L375" i="4"/>
  <c r="O375" i="4"/>
  <c r="S375" i="4"/>
  <c r="S376" i="4"/>
  <c r="R382" i="4"/>
  <c r="L382" i="4"/>
  <c r="O382" i="4"/>
  <c r="S382" i="4"/>
  <c r="R384" i="4"/>
  <c r="L384" i="4"/>
  <c r="O384" i="4"/>
  <c r="S384" i="4"/>
  <c r="R385" i="4"/>
  <c r="L385" i="4"/>
  <c r="O385" i="4"/>
  <c r="S385" i="4"/>
  <c r="R386" i="4"/>
  <c r="L386" i="4"/>
  <c r="O386" i="4"/>
  <c r="S386" i="4"/>
  <c r="S387" i="4"/>
  <c r="S388" i="4"/>
  <c r="R297" i="4"/>
  <c r="L297" i="4"/>
  <c r="O297" i="4"/>
  <c r="S297" i="4"/>
  <c r="R298" i="4"/>
  <c r="L298" i="4"/>
  <c r="O298" i="4"/>
  <c r="S298" i="4"/>
  <c r="S300" i="4"/>
  <c r="R303" i="4"/>
  <c r="L303" i="4"/>
  <c r="O303" i="4"/>
  <c r="S303" i="4"/>
  <c r="R304" i="4"/>
  <c r="L304" i="4"/>
  <c r="O304" i="4"/>
  <c r="S304" i="4"/>
  <c r="R305" i="4"/>
  <c r="L305" i="4"/>
  <c r="M305" i="4"/>
  <c r="O305" i="4"/>
  <c r="S305" i="4"/>
  <c r="R306" i="4"/>
  <c r="L306" i="4"/>
  <c r="M306" i="4"/>
  <c r="O306" i="4"/>
  <c r="S306" i="4"/>
  <c r="R311" i="4"/>
  <c r="L311" i="4"/>
  <c r="M311" i="4"/>
  <c r="O311" i="4"/>
  <c r="S311" i="4"/>
  <c r="R310" i="4"/>
  <c r="L310" i="4"/>
  <c r="M310" i="4"/>
  <c r="O310" i="4"/>
  <c r="S310" i="4"/>
  <c r="R309" i="4"/>
  <c r="L309" i="4"/>
  <c r="M309" i="4"/>
  <c r="O309" i="4"/>
  <c r="S309" i="4"/>
  <c r="R308" i="4"/>
  <c r="L308" i="4"/>
  <c r="M308" i="4"/>
  <c r="O308" i="4"/>
  <c r="S308" i="4"/>
  <c r="R307" i="4"/>
  <c r="L307" i="4"/>
  <c r="O307" i="4"/>
  <c r="S307" i="4"/>
  <c r="S312" i="4"/>
  <c r="R316" i="4"/>
  <c r="L316" i="4"/>
  <c r="O316" i="4"/>
  <c r="S316" i="4"/>
  <c r="R317" i="4"/>
  <c r="L317" i="4"/>
  <c r="M317" i="4"/>
  <c r="O317" i="4"/>
  <c r="S317" i="4"/>
  <c r="R318" i="4"/>
  <c r="L318" i="4"/>
  <c r="M318" i="4"/>
  <c r="O318" i="4"/>
  <c r="S318" i="4"/>
  <c r="R319" i="4"/>
  <c r="L319" i="4"/>
  <c r="O319" i="4"/>
  <c r="S319" i="4"/>
  <c r="R327" i="4"/>
  <c r="L327" i="4"/>
  <c r="M327" i="4"/>
  <c r="O327" i="4"/>
  <c r="S327" i="4"/>
  <c r="R326" i="4"/>
  <c r="L326" i="4"/>
  <c r="M326" i="4"/>
  <c r="O326" i="4"/>
  <c r="S326" i="4"/>
  <c r="R325" i="4"/>
  <c r="L325" i="4"/>
  <c r="M325" i="4"/>
  <c r="O325" i="4"/>
  <c r="S325" i="4"/>
  <c r="R324" i="4"/>
  <c r="L324" i="4"/>
  <c r="M324" i="4"/>
  <c r="O324" i="4"/>
  <c r="S324" i="4"/>
  <c r="R323" i="4"/>
  <c r="L323" i="4"/>
  <c r="M323" i="4"/>
  <c r="O323" i="4"/>
  <c r="S323" i="4"/>
  <c r="R322" i="4"/>
  <c r="L322" i="4"/>
  <c r="O322" i="4"/>
  <c r="S322" i="4"/>
  <c r="R321" i="4"/>
  <c r="L321" i="4"/>
  <c r="M321" i="4"/>
  <c r="O321" i="4"/>
  <c r="S321" i="4"/>
  <c r="R320" i="4"/>
  <c r="L320" i="4"/>
  <c r="O320" i="4"/>
  <c r="S320" i="4"/>
  <c r="S328" i="4"/>
  <c r="S338" i="4"/>
  <c r="R287" i="4"/>
  <c r="L287" i="4"/>
  <c r="M287" i="4"/>
  <c r="O287" i="4"/>
  <c r="S287" i="4"/>
  <c r="R289" i="4"/>
  <c r="L289" i="4"/>
  <c r="M289" i="4"/>
  <c r="O289" i="4"/>
  <c r="S289" i="4"/>
  <c r="S295" i="4"/>
  <c r="R238" i="4"/>
  <c r="O238" i="4"/>
  <c r="S238" i="4"/>
  <c r="R239" i="4"/>
  <c r="O239" i="4"/>
  <c r="S239" i="4"/>
  <c r="O240" i="4"/>
  <c r="S240" i="4"/>
  <c r="R241" i="4"/>
  <c r="O241" i="4"/>
  <c r="S241" i="4"/>
  <c r="R262" i="4"/>
  <c r="O262" i="4"/>
  <c r="S262" i="4"/>
  <c r="R261" i="4"/>
  <c r="O261" i="4"/>
  <c r="S261" i="4"/>
  <c r="R260" i="4"/>
  <c r="O260" i="4"/>
  <c r="S260" i="4"/>
  <c r="R259" i="4"/>
  <c r="O259" i="4"/>
  <c r="S259" i="4"/>
  <c r="R258" i="4"/>
  <c r="O258" i="4"/>
  <c r="S258" i="4"/>
  <c r="R257" i="4"/>
  <c r="O257" i="4"/>
  <c r="S257" i="4"/>
  <c r="R256" i="4"/>
  <c r="O256" i="4"/>
  <c r="S256" i="4"/>
  <c r="R255" i="4"/>
  <c r="O255" i="4"/>
  <c r="S255" i="4"/>
  <c r="R254" i="4"/>
  <c r="O254" i="4"/>
  <c r="S254" i="4"/>
  <c r="R250" i="4"/>
  <c r="L114" i="3"/>
  <c r="L250" i="4"/>
  <c r="O250" i="4"/>
  <c r="S250" i="4"/>
  <c r="R249" i="4"/>
  <c r="L249" i="4"/>
  <c r="O249" i="4"/>
  <c r="S249" i="4"/>
  <c r="O248" i="4"/>
  <c r="S248" i="4"/>
  <c r="R247" i="4"/>
  <c r="O247" i="4"/>
  <c r="S247" i="4"/>
  <c r="R246" i="4"/>
  <c r="O246" i="4"/>
  <c r="S246" i="4"/>
  <c r="O245" i="4"/>
  <c r="S245" i="4"/>
  <c r="R244" i="4"/>
  <c r="O244" i="4"/>
  <c r="S244" i="4"/>
  <c r="R243" i="4"/>
  <c r="O243" i="4"/>
  <c r="S243" i="4"/>
  <c r="R242" i="4"/>
  <c r="O242" i="4"/>
  <c r="S242" i="4"/>
  <c r="S263" i="4"/>
  <c r="R201" i="4"/>
  <c r="L201" i="4"/>
  <c r="O201" i="4"/>
  <c r="S201" i="4"/>
  <c r="R202" i="4"/>
  <c r="L202" i="4"/>
  <c r="M202" i="4"/>
  <c r="O202" i="4"/>
  <c r="S202" i="4"/>
  <c r="R203" i="4"/>
  <c r="L203" i="4"/>
  <c r="M203" i="4"/>
  <c r="O203" i="4"/>
  <c r="S203" i="4"/>
  <c r="R204" i="4"/>
  <c r="L204" i="4"/>
  <c r="O204" i="4"/>
  <c r="S204" i="4"/>
  <c r="R229" i="4"/>
  <c r="M229" i="4"/>
  <c r="O229" i="4"/>
  <c r="S229" i="4"/>
  <c r="R228" i="4"/>
  <c r="M228" i="4"/>
  <c r="O228" i="4"/>
  <c r="S228" i="4"/>
  <c r="R227" i="4"/>
  <c r="O227" i="4"/>
  <c r="S227" i="4"/>
  <c r="R226" i="4"/>
  <c r="M226" i="4"/>
  <c r="O226" i="4"/>
  <c r="S226" i="4"/>
  <c r="R225" i="4"/>
  <c r="O225" i="4"/>
  <c r="S225" i="4"/>
  <c r="R224" i="4"/>
  <c r="M224" i="4"/>
  <c r="O224" i="4"/>
  <c r="S224" i="4"/>
  <c r="R223" i="4"/>
  <c r="M223" i="4"/>
  <c r="O223" i="4"/>
  <c r="S223" i="4"/>
  <c r="R222" i="4"/>
  <c r="O222" i="4"/>
  <c r="S222" i="4"/>
  <c r="R221" i="4"/>
  <c r="M221" i="4"/>
  <c r="O221" i="4"/>
  <c r="S221" i="4"/>
  <c r="R219" i="4"/>
  <c r="L219" i="4"/>
  <c r="O219" i="4"/>
  <c r="S219" i="4"/>
  <c r="R218" i="4"/>
  <c r="L218" i="4"/>
  <c r="M218" i="4"/>
  <c r="O218" i="4"/>
  <c r="S218" i="4"/>
  <c r="R217" i="4"/>
  <c r="L217" i="4"/>
  <c r="M217" i="4"/>
  <c r="O217" i="4"/>
  <c r="S217" i="4"/>
  <c r="R216" i="4"/>
  <c r="L216" i="4"/>
  <c r="O216" i="4"/>
  <c r="S216" i="4"/>
  <c r="R215" i="4"/>
  <c r="M215" i="4"/>
  <c r="O215" i="4"/>
  <c r="S215" i="4"/>
  <c r="R213" i="4"/>
  <c r="O213" i="4"/>
  <c r="S213" i="4"/>
  <c r="R212" i="4"/>
  <c r="L212" i="4"/>
  <c r="M212" i="4"/>
  <c r="O212" i="4"/>
  <c r="S212" i="4"/>
  <c r="R211" i="4"/>
  <c r="L211" i="4"/>
  <c r="M211" i="4"/>
  <c r="O211" i="4"/>
  <c r="S211" i="4"/>
  <c r="R210" i="4"/>
  <c r="L210" i="4"/>
  <c r="O210" i="4"/>
  <c r="S210" i="4"/>
  <c r="R209" i="4"/>
  <c r="L209" i="4"/>
  <c r="M209" i="4"/>
  <c r="O209" i="4"/>
  <c r="S209" i="4"/>
  <c r="R207" i="4"/>
  <c r="O207" i="4"/>
  <c r="S207" i="4"/>
  <c r="R206" i="4"/>
  <c r="L206" i="4"/>
  <c r="M206" i="4"/>
  <c r="O206" i="4"/>
  <c r="S206" i="4"/>
  <c r="R205" i="4"/>
  <c r="L205" i="4"/>
  <c r="M205" i="4"/>
  <c r="O205" i="4"/>
  <c r="S205" i="4"/>
  <c r="S236" i="4"/>
  <c r="S285" i="4"/>
  <c r="S410" i="4"/>
  <c r="Y410" i="4"/>
  <c r="Z410" i="4"/>
  <c r="P38" i="4"/>
  <c r="Q38" i="4"/>
  <c r="T38" i="4"/>
  <c r="U38" i="4"/>
  <c r="W38" i="4"/>
  <c r="T42" i="4"/>
  <c r="U42" i="4"/>
  <c r="W42" i="4"/>
  <c r="T43" i="4"/>
  <c r="U43" i="4"/>
  <c r="W43" i="4"/>
  <c r="T44" i="4"/>
  <c r="U44" i="4"/>
  <c r="W44" i="4"/>
  <c r="P408" i="4"/>
  <c r="Q408" i="4"/>
  <c r="T408" i="4"/>
  <c r="U408" i="4"/>
  <c r="W408" i="4"/>
  <c r="P407" i="4"/>
  <c r="Q407" i="4"/>
  <c r="T407" i="4"/>
  <c r="U407" i="4"/>
  <c r="W407" i="4"/>
  <c r="P405" i="4"/>
  <c r="Q405" i="4"/>
  <c r="T405" i="4"/>
  <c r="U405" i="4"/>
  <c r="W405" i="4"/>
  <c r="P404" i="4"/>
  <c r="Q404" i="4"/>
  <c r="T404" i="4"/>
  <c r="U404" i="4"/>
  <c r="W404" i="4"/>
  <c r="P403" i="4"/>
  <c r="Q403" i="4"/>
  <c r="T403" i="4"/>
  <c r="U403" i="4"/>
  <c r="W403" i="4"/>
  <c r="P385" i="4"/>
  <c r="Q385" i="4"/>
  <c r="T385" i="4"/>
  <c r="U385" i="4"/>
  <c r="W385" i="4"/>
  <c r="P384" i="4"/>
  <c r="Q384" i="4"/>
  <c r="T384" i="4"/>
  <c r="U384" i="4"/>
  <c r="W384" i="4"/>
  <c r="P382" i="4"/>
  <c r="Q382" i="4"/>
  <c r="T382" i="4"/>
  <c r="U382" i="4"/>
  <c r="W382" i="4"/>
  <c r="P375" i="4"/>
  <c r="Q375" i="4"/>
  <c r="T375" i="4"/>
  <c r="U375" i="4"/>
  <c r="W375" i="4"/>
  <c r="P374" i="4"/>
  <c r="Q374" i="4"/>
  <c r="T374" i="4"/>
  <c r="U374" i="4"/>
  <c r="W374" i="4"/>
  <c r="P373" i="4"/>
  <c r="Q373" i="4"/>
  <c r="T373" i="4"/>
  <c r="U373" i="4"/>
  <c r="W373" i="4"/>
  <c r="P372" i="4"/>
  <c r="Q372" i="4"/>
  <c r="T372" i="4"/>
  <c r="U372" i="4"/>
  <c r="W372" i="4"/>
  <c r="P371" i="4"/>
  <c r="Q371" i="4"/>
  <c r="T371" i="4"/>
  <c r="U371" i="4"/>
  <c r="W371" i="4"/>
  <c r="P369" i="4"/>
  <c r="Q369" i="4"/>
  <c r="T369" i="4"/>
  <c r="U369" i="4"/>
  <c r="W369" i="4"/>
  <c r="P368" i="4"/>
  <c r="Q368" i="4"/>
  <c r="T368" i="4"/>
  <c r="U368" i="4"/>
  <c r="W368" i="4"/>
  <c r="P367" i="4"/>
  <c r="Q367" i="4"/>
  <c r="T367" i="4"/>
  <c r="U367" i="4"/>
  <c r="W367" i="4"/>
  <c r="P366" i="4"/>
  <c r="Q366" i="4"/>
  <c r="T366" i="4"/>
  <c r="U366" i="4"/>
  <c r="W366" i="4"/>
  <c r="P365" i="4"/>
  <c r="Q365" i="4"/>
  <c r="T365" i="4"/>
  <c r="U365" i="4"/>
  <c r="W365" i="4"/>
  <c r="P364" i="4"/>
  <c r="Q364" i="4"/>
  <c r="T364" i="4"/>
  <c r="U364" i="4"/>
  <c r="W364" i="4"/>
  <c r="P363" i="4"/>
  <c r="Q363" i="4"/>
  <c r="T363" i="4"/>
  <c r="U363" i="4"/>
  <c r="W363" i="4"/>
  <c r="P362" i="4"/>
  <c r="Q362" i="4"/>
  <c r="T362" i="4"/>
  <c r="U362" i="4"/>
  <c r="W362" i="4"/>
  <c r="P361" i="4"/>
  <c r="Q361" i="4"/>
  <c r="T361" i="4"/>
  <c r="U361" i="4"/>
  <c r="W361" i="4"/>
  <c r="P359" i="4"/>
  <c r="Q359" i="4"/>
  <c r="T359" i="4"/>
  <c r="U359" i="4"/>
  <c r="W359" i="4"/>
  <c r="P358" i="4"/>
  <c r="Q358" i="4"/>
  <c r="T358" i="4"/>
  <c r="U358" i="4"/>
  <c r="W358" i="4"/>
  <c r="P357" i="4"/>
  <c r="Q357" i="4"/>
  <c r="T357" i="4"/>
  <c r="U357" i="4"/>
  <c r="W357" i="4"/>
  <c r="P356" i="4"/>
  <c r="Q356" i="4"/>
  <c r="T356" i="4"/>
  <c r="U356" i="4"/>
  <c r="W356" i="4"/>
  <c r="P355" i="4"/>
  <c r="Q355" i="4"/>
  <c r="T355" i="4"/>
  <c r="U355" i="4"/>
  <c r="W355" i="4"/>
  <c r="P354" i="4"/>
  <c r="Q354" i="4"/>
  <c r="T354" i="4"/>
  <c r="U354" i="4"/>
  <c r="W354" i="4"/>
  <c r="P353" i="4"/>
  <c r="Q353" i="4"/>
  <c r="T353" i="4"/>
  <c r="U353" i="4"/>
  <c r="W353" i="4"/>
  <c r="P352" i="4"/>
  <c r="Q352" i="4"/>
  <c r="T352" i="4"/>
  <c r="U352" i="4"/>
  <c r="W352" i="4"/>
  <c r="P351" i="4"/>
  <c r="Q351" i="4"/>
  <c r="T351" i="4"/>
  <c r="U351" i="4"/>
  <c r="W351" i="4"/>
  <c r="P349" i="4"/>
  <c r="Q349" i="4"/>
  <c r="T349" i="4"/>
  <c r="U349" i="4"/>
  <c r="W349" i="4"/>
  <c r="P348" i="4"/>
  <c r="Q348" i="4"/>
  <c r="T348" i="4"/>
  <c r="U348" i="4"/>
  <c r="W348" i="4"/>
  <c r="P347" i="4"/>
  <c r="Q347" i="4"/>
  <c r="T347" i="4"/>
  <c r="U347" i="4"/>
  <c r="W347" i="4"/>
  <c r="P346" i="4"/>
  <c r="Q346" i="4"/>
  <c r="T346" i="4"/>
  <c r="U346" i="4"/>
  <c r="W346" i="4"/>
  <c r="P345" i="4"/>
  <c r="Q345" i="4"/>
  <c r="T345" i="4"/>
  <c r="U345" i="4"/>
  <c r="W345" i="4"/>
  <c r="P344" i="4"/>
  <c r="Q344" i="4"/>
  <c r="T344" i="4"/>
  <c r="U344" i="4"/>
  <c r="W344" i="4"/>
  <c r="P343" i="4"/>
  <c r="Q343" i="4"/>
  <c r="T343" i="4"/>
  <c r="U343" i="4"/>
  <c r="W343" i="4"/>
  <c r="P342" i="4"/>
  <c r="Q342" i="4"/>
  <c r="T342" i="4"/>
  <c r="U342" i="4"/>
  <c r="W342" i="4"/>
  <c r="P341" i="4"/>
  <c r="Q341" i="4"/>
  <c r="T341" i="4"/>
  <c r="U341" i="4"/>
  <c r="W341" i="4"/>
  <c r="P322" i="4"/>
  <c r="Q322" i="4"/>
  <c r="T322" i="4"/>
  <c r="U322" i="4"/>
  <c r="W322" i="4"/>
  <c r="P318" i="4"/>
  <c r="Q318" i="4"/>
  <c r="T318" i="4"/>
  <c r="U318" i="4"/>
  <c r="W318" i="4"/>
  <c r="P317" i="4"/>
  <c r="Q317" i="4"/>
  <c r="T317" i="4"/>
  <c r="U317" i="4"/>
  <c r="W317" i="4"/>
  <c r="P316" i="4"/>
  <c r="Q316" i="4"/>
  <c r="T316" i="4"/>
  <c r="U316" i="4"/>
  <c r="W316" i="4"/>
  <c r="P305" i="4"/>
  <c r="Q305" i="4"/>
  <c r="T305" i="4"/>
  <c r="U305" i="4"/>
  <c r="W305" i="4"/>
  <c r="P304" i="4"/>
  <c r="Q304" i="4"/>
  <c r="T304" i="4"/>
  <c r="U304" i="4"/>
  <c r="W304" i="4"/>
  <c r="P303" i="4"/>
  <c r="Q303" i="4"/>
  <c r="T303" i="4"/>
  <c r="U303" i="4"/>
  <c r="W303" i="4"/>
  <c r="P298" i="4"/>
  <c r="Q298" i="4"/>
  <c r="T298" i="4"/>
  <c r="U298" i="4"/>
  <c r="W298" i="4"/>
  <c r="P297" i="4"/>
  <c r="Q297" i="4"/>
  <c r="T297" i="4"/>
  <c r="U297" i="4"/>
  <c r="W297" i="4"/>
  <c r="P262" i="4"/>
  <c r="Q262" i="4"/>
  <c r="T262" i="4"/>
  <c r="U262" i="4"/>
  <c r="W262" i="4"/>
  <c r="P261" i="4"/>
  <c r="Q261" i="4"/>
  <c r="T261" i="4"/>
  <c r="U261" i="4"/>
  <c r="W261" i="4"/>
  <c r="P235" i="4"/>
  <c r="M235" i="4"/>
  <c r="O235" i="4"/>
  <c r="Q235" i="4"/>
  <c r="R235" i="4"/>
  <c r="S235" i="4"/>
  <c r="T235" i="4"/>
  <c r="U235" i="4"/>
  <c r="W235" i="4"/>
  <c r="P234" i="4"/>
  <c r="M234" i="4"/>
  <c r="O234" i="4"/>
  <c r="Q234" i="4"/>
  <c r="R234" i="4"/>
  <c r="S234" i="4"/>
  <c r="T234" i="4"/>
  <c r="U234" i="4"/>
  <c r="W234" i="4"/>
  <c r="P232" i="4"/>
  <c r="M232" i="4"/>
  <c r="O232" i="4"/>
  <c r="Q232" i="4"/>
  <c r="R232" i="4"/>
  <c r="S232" i="4"/>
  <c r="T232" i="4"/>
  <c r="U232" i="4"/>
  <c r="W232" i="4"/>
  <c r="P231" i="4"/>
  <c r="M231" i="4"/>
  <c r="O231" i="4"/>
  <c r="Q231" i="4"/>
  <c r="R231" i="4"/>
  <c r="S231" i="4"/>
  <c r="T231" i="4"/>
  <c r="U231" i="4"/>
  <c r="W231" i="4"/>
  <c r="P218" i="4"/>
  <c r="Q218" i="4"/>
  <c r="T218" i="4"/>
  <c r="U218" i="4"/>
  <c r="W218" i="4"/>
  <c r="P217" i="4"/>
  <c r="Q217" i="4"/>
  <c r="T217" i="4"/>
  <c r="U217" i="4"/>
  <c r="W217" i="4"/>
  <c r="P215" i="4"/>
  <c r="Q215" i="4"/>
  <c r="T215" i="4"/>
  <c r="U215" i="4"/>
  <c r="W215" i="4"/>
  <c r="P213" i="4"/>
  <c r="Q213" i="4"/>
  <c r="T213" i="4"/>
  <c r="U213" i="4"/>
  <c r="W213" i="4"/>
  <c r="P212" i="4"/>
  <c r="Q212" i="4"/>
  <c r="T212" i="4"/>
  <c r="U212" i="4"/>
  <c r="W212" i="4"/>
  <c r="P211" i="4"/>
  <c r="Q211" i="4"/>
  <c r="T211" i="4"/>
  <c r="U211" i="4"/>
  <c r="W211" i="4"/>
  <c r="P209" i="4"/>
  <c r="Q209" i="4"/>
  <c r="T209" i="4"/>
  <c r="U209" i="4"/>
  <c r="W209" i="4"/>
  <c r="P207" i="4"/>
  <c r="Q207" i="4"/>
  <c r="T207" i="4"/>
  <c r="U207" i="4"/>
  <c r="W207" i="4"/>
  <c r="P195" i="4"/>
  <c r="Q195" i="4"/>
  <c r="T195" i="4"/>
  <c r="U195" i="4"/>
  <c r="W195" i="4"/>
  <c r="P190" i="4"/>
  <c r="Q190" i="4"/>
  <c r="T190" i="4"/>
  <c r="U190" i="4"/>
  <c r="W190" i="4"/>
  <c r="P189" i="4"/>
  <c r="Q189" i="4"/>
  <c r="T189" i="4"/>
  <c r="U189" i="4"/>
  <c r="W189" i="4"/>
  <c r="P188" i="4"/>
  <c r="Q188" i="4"/>
  <c r="T188" i="4"/>
  <c r="U188" i="4"/>
  <c r="W188" i="4"/>
  <c r="P187" i="4"/>
  <c r="Q187" i="4"/>
  <c r="T187" i="4"/>
  <c r="U187" i="4"/>
  <c r="W187" i="4"/>
  <c r="P185" i="4"/>
  <c r="Q185" i="4"/>
  <c r="T185" i="4"/>
  <c r="U185" i="4"/>
  <c r="W185" i="4"/>
  <c r="P184" i="4"/>
  <c r="Q184" i="4"/>
  <c r="T184" i="4"/>
  <c r="U184" i="4"/>
  <c r="W184" i="4"/>
  <c r="P183" i="4"/>
  <c r="Q183" i="4"/>
  <c r="T183" i="4"/>
  <c r="U183" i="4"/>
  <c r="W183" i="4"/>
  <c r="P182" i="4"/>
  <c r="Q182" i="4"/>
  <c r="T182" i="4"/>
  <c r="U182" i="4"/>
  <c r="W182" i="4"/>
  <c r="P181" i="4"/>
  <c r="Q181" i="4"/>
  <c r="T181" i="4"/>
  <c r="U181" i="4"/>
  <c r="W181" i="4"/>
  <c r="P173" i="4"/>
  <c r="Q173" i="4"/>
  <c r="T173" i="4"/>
  <c r="U173" i="4"/>
  <c r="W173" i="4"/>
  <c r="P170" i="4"/>
  <c r="Q170" i="4"/>
  <c r="T170" i="4"/>
  <c r="U170" i="4"/>
  <c r="W170" i="4"/>
  <c r="P169" i="4"/>
  <c r="Q169" i="4"/>
  <c r="T169" i="4"/>
  <c r="U169" i="4"/>
  <c r="W169" i="4"/>
  <c r="P168" i="4"/>
  <c r="Q168" i="4"/>
  <c r="T168" i="4"/>
  <c r="U168" i="4"/>
  <c r="W168" i="4"/>
  <c r="P167" i="4"/>
  <c r="Q167" i="4"/>
  <c r="T167" i="4"/>
  <c r="U167" i="4"/>
  <c r="W167" i="4"/>
  <c r="P166" i="4"/>
  <c r="Q166" i="4"/>
  <c r="T166" i="4"/>
  <c r="U166" i="4"/>
  <c r="W166" i="4"/>
  <c r="P165" i="4"/>
  <c r="Q165" i="4"/>
  <c r="T165" i="4"/>
  <c r="U165" i="4"/>
  <c r="W165" i="4"/>
  <c r="P164" i="4"/>
  <c r="Q164" i="4"/>
  <c r="T164" i="4"/>
  <c r="U164" i="4"/>
  <c r="W164" i="4"/>
  <c r="P163" i="4"/>
  <c r="Q163" i="4"/>
  <c r="T163" i="4"/>
  <c r="U163" i="4"/>
  <c r="W163" i="4"/>
  <c r="P162" i="4"/>
  <c r="Q162" i="4"/>
  <c r="T162" i="4"/>
  <c r="U162" i="4"/>
  <c r="W162" i="4"/>
  <c r="P161" i="4"/>
  <c r="Q161" i="4"/>
  <c r="T161" i="4"/>
  <c r="U161" i="4"/>
  <c r="W161" i="4"/>
  <c r="P160" i="4"/>
  <c r="Q160" i="4"/>
  <c r="T160" i="4"/>
  <c r="U160" i="4"/>
  <c r="W160" i="4"/>
  <c r="P159" i="4"/>
  <c r="Q159" i="4"/>
  <c r="T159" i="4"/>
  <c r="U159" i="4"/>
  <c r="W159" i="4"/>
  <c r="P158" i="4"/>
  <c r="Q158" i="4"/>
  <c r="T158" i="4"/>
  <c r="U158" i="4"/>
  <c r="W158" i="4"/>
  <c r="P157" i="4"/>
  <c r="Q157" i="4"/>
  <c r="T157" i="4"/>
  <c r="U157" i="4"/>
  <c r="W157" i="4"/>
  <c r="P156" i="4"/>
  <c r="Q156" i="4"/>
  <c r="T156" i="4"/>
  <c r="U156" i="4"/>
  <c r="W156" i="4"/>
  <c r="P155" i="4"/>
  <c r="Q155" i="4"/>
  <c r="T155" i="4"/>
  <c r="U155" i="4"/>
  <c r="W155" i="4"/>
  <c r="P154" i="4"/>
  <c r="Q154" i="4"/>
  <c r="T154" i="4"/>
  <c r="U154" i="4"/>
  <c r="W154" i="4"/>
  <c r="P153" i="4"/>
  <c r="Q153" i="4"/>
  <c r="T153" i="4"/>
  <c r="U153" i="4"/>
  <c r="W153" i="4"/>
  <c r="P152" i="4"/>
  <c r="Q152" i="4"/>
  <c r="T152" i="4"/>
  <c r="U152" i="4"/>
  <c r="W152" i="4"/>
  <c r="P151" i="4"/>
  <c r="Q151" i="4"/>
  <c r="T151" i="4"/>
  <c r="U151" i="4"/>
  <c r="W151" i="4"/>
  <c r="P150" i="4"/>
  <c r="Q150" i="4"/>
  <c r="T150" i="4"/>
  <c r="U150" i="4"/>
  <c r="W150" i="4"/>
  <c r="P149" i="4"/>
  <c r="Q149" i="4"/>
  <c r="T149" i="4"/>
  <c r="U149" i="4"/>
  <c r="W149" i="4"/>
  <c r="P148" i="4"/>
  <c r="Q148" i="4"/>
  <c r="T148" i="4"/>
  <c r="U148" i="4"/>
  <c r="W148" i="4"/>
  <c r="P147" i="4"/>
  <c r="Q147" i="4"/>
  <c r="T147" i="4"/>
  <c r="U147" i="4"/>
  <c r="W147" i="4"/>
  <c r="P146" i="4"/>
  <c r="Q146" i="4"/>
  <c r="T146" i="4"/>
  <c r="U146" i="4"/>
  <c r="W146" i="4"/>
  <c r="P145" i="4"/>
  <c r="Q145" i="4"/>
  <c r="T145" i="4"/>
  <c r="U145" i="4"/>
  <c r="W145" i="4"/>
  <c r="P144" i="4"/>
  <c r="Q144" i="4"/>
  <c r="T144" i="4"/>
  <c r="U144" i="4"/>
  <c r="W144" i="4"/>
  <c r="P143" i="4"/>
  <c r="Q143" i="4"/>
  <c r="T143" i="4"/>
  <c r="U143" i="4"/>
  <c r="W143" i="4"/>
  <c r="P142" i="4"/>
  <c r="Q142" i="4"/>
  <c r="T142" i="4"/>
  <c r="U142" i="4"/>
  <c r="W142" i="4"/>
  <c r="P141" i="4"/>
  <c r="Q141" i="4"/>
  <c r="T141" i="4"/>
  <c r="U141" i="4"/>
  <c r="W141" i="4"/>
  <c r="P125" i="4"/>
  <c r="Q125" i="4"/>
  <c r="T125" i="4"/>
  <c r="U125" i="4"/>
  <c r="W125" i="4"/>
  <c r="P124" i="4"/>
  <c r="Q124" i="4"/>
  <c r="T124" i="4"/>
  <c r="U124" i="4"/>
  <c r="W124" i="4"/>
  <c r="P123" i="4"/>
  <c r="Q123" i="4"/>
  <c r="T123" i="4"/>
  <c r="U123" i="4"/>
  <c r="W123" i="4"/>
  <c r="P122" i="4"/>
  <c r="Q122" i="4"/>
  <c r="T122" i="4"/>
  <c r="U122" i="4"/>
  <c r="W122" i="4"/>
  <c r="P121" i="4"/>
  <c r="Q121" i="4"/>
  <c r="T121" i="4"/>
  <c r="U121" i="4"/>
  <c r="W121" i="4"/>
  <c r="P120" i="4"/>
  <c r="Q120" i="4"/>
  <c r="T120" i="4"/>
  <c r="U120" i="4"/>
  <c r="W120" i="4"/>
  <c r="P119" i="4"/>
  <c r="Q119" i="4"/>
  <c r="T119" i="4"/>
  <c r="U119" i="4"/>
  <c r="W119" i="4"/>
  <c r="P118" i="4"/>
  <c r="Q118" i="4"/>
  <c r="T118" i="4"/>
  <c r="U118" i="4"/>
  <c r="W118" i="4"/>
  <c r="P117" i="4"/>
  <c r="Q117" i="4"/>
  <c r="T117" i="4"/>
  <c r="U117" i="4"/>
  <c r="W117" i="4"/>
  <c r="P116" i="4"/>
  <c r="Q116" i="4"/>
  <c r="T116" i="4"/>
  <c r="U116" i="4"/>
  <c r="W116" i="4"/>
  <c r="P115" i="4"/>
  <c r="Q115" i="4"/>
  <c r="T115" i="4"/>
  <c r="U115" i="4"/>
  <c r="W115" i="4"/>
  <c r="P114" i="4"/>
  <c r="Q114" i="4"/>
  <c r="T114" i="4"/>
  <c r="U114" i="4"/>
  <c r="W114" i="4"/>
  <c r="P109" i="4"/>
  <c r="Q109" i="4"/>
  <c r="T109" i="4"/>
  <c r="U109" i="4"/>
  <c r="W109" i="4"/>
  <c r="P108" i="4"/>
  <c r="Q108" i="4"/>
  <c r="T108" i="4"/>
  <c r="U108" i="4"/>
  <c r="W108" i="4"/>
  <c r="P107" i="4"/>
  <c r="Q107" i="4"/>
  <c r="T107" i="4"/>
  <c r="U107" i="4"/>
  <c r="W107" i="4"/>
  <c r="P83" i="4"/>
  <c r="Q83" i="4"/>
  <c r="T83" i="4"/>
  <c r="U83" i="4"/>
  <c r="W83" i="4"/>
  <c r="P82" i="4"/>
  <c r="Q82" i="4"/>
  <c r="T82" i="4"/>
  <c r="U82" i="4"/>
  <c r="W82" i="4"/>
  <c r="P81" i="4"/>
  <c r="Q81" i="4"/>
  <c r="T81" i="4"/>
  <c r="U81" i="4"/>
  <c r="W81" i="4"/>
  <c r="P80" i="4"/>
  <c r="Q80" i="4"/>
  <c r="T80" i="4"/>
  <c r="U80" i="4"/>
  <c r="W80" i="4"/>
  <c r="P79" i="4"/>
  <c r="Q79" i="4"/>
  <c r="T79" i="4"/>
  <c r="U79" i="4"/>
  <c r="W79" i="4"/>
  <c r="P78" i="4"/>
  <c r="Q78" i="4"/>
  <c r="T78" i="4"/>
  <c r="U78" i="4"/>
  <c r="W78" i="4"/>
  <c r="P77" i="4"/>
  <c r="Q77" i="4"/>
  <c r="T77" i="4"/>
  <c r="U77" i="4"/>
  <c r="W77" i="4"/>
  <c r="P76" i="4"/>
  <c r="Q76" i="4"/>
  <c r="T76" i="4"/>
  <c r="U76" i="4"/>
  <c r="W76" i="4"/>
  <c r="P75" i="4"/>
  <c r="Q75" i="4"/>
  <c r="T75" i="4"/>
  <c r="U75" i="4"/>
  <c r="W75" i="4"/>
  <c r="P74" i="4"/>
  <c r="Q74" i="4"/>
  <c r="T74" i="4"/>
  <c r="U74" i="4"/>
  <c r="W74" i="4"/>
  <c r="P73" i="4"/>
  <c r="Q73" i="4"/>
  <c r="T73" i="4"/>
  <c r="U73" i="4"/>
  <c r="W73" i="4"/>
  <c r="P61" i="4"/>
  <c r="Q61" i="4"/>
  <c r="T61" i="4"/>
  <c r="U61" i="4"/>
  <c r="W61" i="4"/>
  <c r="P49" i="4"/>
  <c r="Q49" i="4"/>
  <c r="T49" i="4"/>
  <c r="U49" i="4"/>
  <c r="W49" i="4"/>
  <c r="P48" i="4"/>
  <c r="Q48" i="4"/>
  <c r="T48" i="4"/>
  <c r="U48" i="4"/>
  <c r="W48" i="4"/>
  <c r="W410" i="4"/>
  <c r="U410" i="4"/>
  <c r="P62" i="4"/>
  <c r="Q62" i="4"/>
  <c r="P63" i="4"/>
  <c r="Q63" i="4"/>
  <c r="P127" i="4"/>
  <c r="Q127" i="4"/>
  <c r="P128" i="4"/>
  <c r="Q128" i="4"/>
  <c r="P386" i="4"/>
  <c r="Q386" i="4"/>
  <c r="P326" i="4"/>
  <c r="Q326" i="4"/>
  <c r="P325" i="4"/>
  <c r="Q325" i="4"/>
  <c r="P324" i="4"/>
  <c r="Q324" i="4"/>
  <c r="P323" i="4"/>
  <c r="Q323" i="4"/>
  <c r="P321" i="4"/>
  <c r="Q321" i="4"/>
  <c r="P320" i="4"/>
  <c r="Q320" i="4"/>
  <c r="P289" i="4"/>
  <c r="Q289" i="4"/>
  <c r="P287" i="4"/>
  <c r="Q287" i="4"/>
  <c r="P274" i="4"/>
  <c r="L274" i="4"/>
  <c r="O274" i="4"/>
  <c r="Q274" i="4"/>
  <c r="P272" i="4"/>
  <c r="L271" i="4"/>
  <c r="L272" i="4"/>
  <c r="M272" i="4"/>
  <c r="O272" i="4"/>
  <c r="Q272" i="4"/>
  <c r="P271" i="4"/>
  <c r="M271" i="4"/>
  <c r="O271" i="4"/>
  <c r="Q271" i="4"/>
  <c r="P269" i="4"/>
  <c r="L269" i="4"/>
  <c r="M269" i="4"/>
  <c r="O269" i="4"/>
  <c r="Q269" i="4"/>
  <c r="P266" i="4"/>
  <c r="M266" i="4"/>
  <c r="O266" i="4"/>
  <c r="Q266" i="4"/>
  <c r="P260" i="4"/>
  <c r="Q260" i="4"/>
  <c r="P259" i="4"/>
  <c r="Q259" i="4"/>
  <c r="P258" i="4"/>
  <c r="Q258" i="4"/>
  <c r="P257" i="4"/>
  <c r="Q257" i="4"/>
  <c r="P256" i="4"/>
  <c r="Q256" i="4"/>
  <c r="P255" i="4"/>
  <c r="Q255" i="4"/>
  <c r="P254" i="4"/>
  <c r="Q254" i="4"/>
  <c r="P196" i="4"/>
  <c r="Q196" i="4"/>
  <c r="P192" i="4"/>
  <c r="Q192" i="4"/>
  <c r="P172" i="4"/>
  <c r="Q172" i="4"/>
  <c r="P171" i="4"/>
  <c r="Q171" i="4"/>
  <c r="P138" i="4"/>
  <c r="Q138" i="4"/>
  <c r="P137" i="4"/>
  <c r="Q137" i="4"/>
  <c r="P136" i="4"/>
  <c r="Q136" i="4"/>
  <c r="P135" i="4"/>
  <c r="Q135" i="4"/>
  <c r="P134" i="4"/>
  <c r="Q134" i="4"/>
  <c r="P133" i="4"/>
  <c r="Q133" i="4"/>
  <c r="P132" i="4"/>
  <c r="Q132" i="4"/>
  <c r="P131" i="4"/>
  <c r="Q131" i="4"/>
  <c r="P130" i="4"/>
  <c r="Q130" i="4"/>
  <c r="P129" i="4"/>
  <c r="Q129" i="4"/>
  <c r="Q410" i="4"/>
  <c r="Y409" i="4"/>
  <c r="Z409" i="4"/>
  <c r="Y408" i="4"/>
  <c r="V408" i="4"/>
  <c r="Y407" i="4"/>
  <c r="V407" i="4"/>
  <c r="Y406" i="4"/>
  <c r="Y405" i="4"/>
  <c r="V405" i="4"/>
  <c r="Y404" i="4"/>
  <c r="V404" i="4"/>
  <c r="Y403" i="4"/>
  <c r="V403" i="4"/>
  <c r="Y402" i="4"/>
  <c r="T402" i="4"/>
  <c r="U402" i="4"/>
  <c r="Y401" i="4"/>
  <c r="Y400" i="4"/>
  <c r="Y399" i="4"/>
  <c r="Y398" i="4"/>
  <c r="Y397" i="4"/>
  <c r="M397" i="4"/>
  <c r="Y396" i="4"/>
  <c r="Y395" i="4"/>
  <c r="Y394" i="4"/>
  <c r="Y393" i="4"/>
  <c r="Y392" i="4"/>
  <c r="Y391" i="4"/>
  <c r="Y390" i="4"/>
  <c r="Y389" i="4"/>
  <c r="Y388" i="4"/>
  <c r="Z388" i="4"/>
  <c r="Y387" i="4"/>
  <c r="Z387" i="4"/>
  <c r="Y386" i="4"/>
  <c r="T386" i="4"/>
  <c r="U386" i="4"/>
  <c r="Y385" i="4"/>
  <c r="V385" i="4"/>
  <c r="Y384" i="4"/>
  <c r="V384" i="4"/>
  <c r="Y383" i="4"/>
  <c r="Y382" i="4"/>
  <c r="V382" i="4"/>
  <c r="Y381" i="4"/>
  <c r="Y380" i="4"/>
  <c r="Y379" i="4"/>
  <c r="Y378" i="4"/>
  <c r="AC377" i="4"/>
  <c r="Y377" i="4"/>
  <c r="Y376" i="4"/>
  <c r="Z376" i="4"/>
  <c r="Y375" i="4"/>
  <c r="V375" i="4"/>
  <c r="Y374" i="4"/>
  <c r="V374" i="4"/>
  <c r="Y373" i="4"/>
  <c r="V373" i="4"/>
  <c r="Y372" i="4"/>
  <c r="V372" i="4"/>
  <c r="Y371" i="4"/>
  <c r="V371" i="4"/>
  <c r="Y370" i="4"/>
  <c r="Z370" i="4"/>
  <c r="Y369" i="4"/>
  <c r="V369" i="4"/>
  <c r="Y368" i="4"/>
  <c r="V368" i="4"/>
  <c r="Y367" i="4"/>
  <c r="V367" i="4"/>
  <c r="Y366" i="4"/>
  <c r="V366" i="4"/>
  <c r="Y365" i="4"/>
  <c r="V365" i="4"/>
  <c r="Y364" i="4"/>
  <c r="V364" i="4"/>
  <c r="Y363" i="4"/>
  <c r="V363" i="4"/>
  <c r="Y362" i="4"/>
  <c r="V362" i="4"/>
  <c r="Y361" i="4"/>
  <c r="V361" i="4"/>
  <c r="Y360" i="4"/>
  <c r="Z360" i="4"/>
  <c r="Y359" i="4"/>
  <c r="V359" i="4"/>
  <c r="Y358" i="4"/>
  <c r="V358" i="4"/>
  <c r="Y357" i="4"/>
  <c r="V357" i="4"/>
  <c r="Y356" i="4"/>
  <c r="V356" i="4"/>
  <c r="Y355" i="4"/>
  <c r="V355" i="4"/>
  <c r="Y354" i="4"/>
  <c r="V354" i="4"/>
  <c r="Y353" i="4"/>
  <c r="V353" i="4"/>
  <c r="Y352" i="4"/>
  <c r="V352" i="4"/>
  <c r="Y351" i="4"/>
  <c r="V351" i="4"/>
  <c r="Y350" i="4"/>
  <c r="Z350" i="4"/>
  <c r="Y349" i="4"/>
  <c r="V349" i="4"/>
  <c r="Y348" i="4"/>
  <c r="V348" i="4"/>
  <c r="Y347" i="4"/>
  <c r="V347" i="4"/>
  <c r="Y346" i="4"/>
  <c r="V346" i="4"/>
  <c r="Y345" i="4"/>
  <c r="V345" i="4"/>
  <c r="Y344" i="4"/>
  <c r="V344" i="4"/>
  <c r="Y343" i="4"/>
  <c r="V343" i="4"/>
  <c r="Y342" i="4"/>
  <c r="Y341" i="4"/>
  <c r="V341" i="4"/>
  <c r="Y340" i="4"/>
  <c r="Y339" i="4"/>
  <c r="Y338" i="4"/>
  <c r="Z338" i="4"/>
  <c r="Y337" i="4"/>
  <c r="Y336" i="4"/>
  <c r="Y335" i="4"/>
  <c r="M335" i="4"/>
  <c r="Y334" i="4"/>
  <c r="M334" i="4"/>
  <c r="Y333" i="4"/>
  <c r="Y332" i="4"/>
  <c r="Y331" i="4"/>
  <c r="Y330" i="4"/>
  <c r="Y329" i="4"/>
  <c r="Y328" i="4"/>
  <c r="Z328" i="4"/>
  <c r="Y327" i="4"/>
  <c r="Y326" i="4"/>
  <c r="Y325" i="4"/>
  <c r="Y324" i="4"/>
  <c r="Y323" i="4"/>
  <c r="Y322" i="4"/>
  <c r="V322" i="4"/>
  <c r="Y321" i="4"/>
  <c r="Y320" i="4"/>
  <c r="Y319" i="4"/>
  <c r="Y318" i="4"/>
  <c r="V318" i="4"/>
  <c r="Y317" i="4"/>
  <c r="V317" i="4"/>
  <c r="Y316" i="4"/>
  <c r="V316" i="4"/>
  <c r="Y315" i="4"/>
  <c r="Y314" i="4"/>
  <c r="Y313" i="4"/>
  <c r="Y312" i="4"/>
  <c r="Z312" i="4"/>
  <c r="Y311" i="4"/>
  <c r="Y310" i="4"/>
  <c r="Y309" i="4"/>
  <c r="Y308" i="4"/>
  <c r="Y307" i="4"/>
  <c r="Y306" i="4"/>
  <c r="Y305" i="4"/>
  <c r="V305" i="4"/>
  <c r="Y304" i="4"/>
  <c r="V304" i="4"/>
  <c r="Y303" i="4"/>
  <c r="V303" i="4"/>
  <c r="Y302" i="4"/>
  <c r="Y301" i="4"/>
  <c r="Y300" i="4"/>
  <c r="Z300" i="4"/>
  <c r="Y299" i="4"/>
  <c r="Y298" i="4"/>
  <c r="V298" i="4"/>
  <c r="Y297" i="4"/>
  <c r="V297" i="4"/>
  <c r="Y296" i="4"/>
  <c r="Y295" i="4"/>
  <c r="Z295" i="4"/>
  <c r="Y294" i="4"/>
  <c r="Y293" i="4"/>
  <c r="Y292" i="4"/>
  <c r="Y291" i="4"/>
  <c r="M291" i="4"/>
  <c r="Y290" i="4"/>
  <c r="Y289" i="4"/>
  <c r="Y288" i="4"/>
  <c r="Y287" i="4"/>
  <c r="Y286" i="4"/>
  <c r="Y285" i="4"/>
  <c r="Z285" i="4"/>
  <c r="Y284" i="4"/>
  <c r="Y283" i="4"/>
  <c r="Y282" i="4"/>
  <c r="Y281" i="4"/>
  <c r="Y280" i="4"/>
  <c r="Y279" i="4"/>
  <c r="Y278" i="4"/>
  <c r="M278" i="4"/>
  <c r="Y277" i="4"/>
  <c r="Y276" i="4"/>
  <c r="L276" i="4"/>
  <c r="Y275" i="4"/>
  <c r="L275" i="4"/>
  <c r="R274" i="4"/>
  <c r="S274" i="4"/>
  <c r="Y274" i="4"/>
  <c r="Y273" i="4"/>
  <c r="R272" i="4"/>
  <c r="S272" i="4"/>
  <c r="Y272" i="4"/>
  <c r="R271" i="4"/>
  <c r="S271" i="4"/>
  <c r="Y271" i="4"/>
  <c r="Y270" i="4"/>
  <c r="R269" i="4"/>
  <c r="S269" i="4"/>
  <c r="Y269" i="4"/>
  <c r="Y268" i="4"/>
  <c r="Y267" i="4"/>
  <c r="R266" i="4"/>
  <c r="S266" i="4"/>
  <c r="Y266" i="4"/>
  <c r="Y265" i="4"/>
  <c r="Y264" i="4"/>
  <c r="Y263" i="4"/>
  <c r="Z263" i="4"/>
  <c r="Y262" i="4"/>
  <c r="V262" i="4"/>
  <c r="Y261" i="4"/>
  <c r="V261" i="4"/>
  <c r="Y260" i="4"/>
  <c r="Y259" i="4"/>
  <c r="Y258" i="4"/>
  <c r="Y257" i="4"/>
  <c r="Y256" i="4"/>
  <c r="Y255" i="4"/>
  <c r="Y254" i="4"/>
  <c r="Y253" i="4"/>
  <c r="Y252" i="4"/>
  <c r="Y251" i="4"/>
  <c r="Y250" i="4"/>
  <c r="Y249" i="4"/>
  <c r="Y248" i="4"/>
  <c r="Y247" i="4"/>
  <c r="Y246" i="4"/>
  <c r="Y245" i="4"/>
  <c r="Y244" i="4"/>
  <c r="Y243" i="4"/>
  <c r="Y242" i="4"/>
  <c r="Y241" i="4"/>
  <c r="Y240" i="4"/>
  <c r="Y239" i="4"/>
  <c r="Y238" i="4"/>
  <c r="Y237" i="4"/>
  <c r="Y236" i="4"/>
  <c r="Z236" i="4"/>
  <c r="Y235" i="4"/>
  <c r="V235" i="4"/>
  <c r="Y234" i="4"/>
  <c r="V234" i="4"/>
  <c r="Y233" i="4"/>
  <c r="M233" i="4"/>
  <c r="Y232" i="4"/>
  <c r="V232" i="4"/>
  <c r="Y231" i="4"/>
  <c r="V231" i="4"/>
  <c r="Y230" i="4"/>
  <c r="M230" i="4"/>
  <c r="Y229" i="4"/>
  <c r="Y228" i="4"/>
  <c r="Y227" i="4"/>
  <c r="Y226" i="4"/>
  <c r="Y225" i="4"/>
  <c r="Y224" i="4"/>
  <c r="Y223" i="4"/>
  <c r="Y222" i="4"/>
  <c r="Y221" i="4"/>
  <c r="Y220" i="4"/>
  <c r="R220" i="4"/>
  <c r="Y219" i="4"/>
  <c r="Y218" i="4"/>
  <c r="V218" i="4"/>
  <c r="Y217" i="4"/>
  <c r="V217" i="4"/>
  <c r="Y216" i="4"/>
  <c r="Y215" i="4"/>
  <c r="V215" i="4"/>
  <c r="Y214" i="4"/>
  <c r="R214" i="4"/>
  <c r="Y213" i="4"/>
  <c r="V213" i="4"/>
  <c r="Y212" i="4"/>
  <c r="V212" i="4"/>
  <c r="Y211" i="4"/>
  <c r="V211" i="4"/>
  <c r="Y210" i="4"/>
  <c r="Y209" i="4"/>
  <c r="V209" i="4"/>
  <c r="Y208" i="4"/>
  <c r="Y207" i="4"/>
  <c r="V207" i="4"/>
  <c r="Y206" i="4"/>
  <c r="Y205" i="4"/>
  <c r="Y204" i="4"/>
  <c r="Y203" i="4"/>
  <c r="Y202" i="4"/>
  <c r="Y201" i="4"/>
  <c r="Y200" i="4"/>
  <c r="Y199" i="4"/>
  <c r="Y198" i="4"/>
  <c r="Z198" i="4"/>
  <c r="Y197" i="4"/>
  <c r="Z197" i="4"/>
  <c r="Y196" i="4"/>
  <c r="Y195" i="4"/>
  <c r="V195" i="4"/>
  <c r="Y194" i="4"/>
  <c r="Z194" i="4"/>
  <c r="Y193" i="4"/>
  <c r="Y192" i="4"/>
  <c r="Y191" i="4"/>
  <c r="Y190" i="4"/>
  <c r="V190" i="4"/>
  <c r="Y189" i="4"/>
  <c r="V189" i="4"/>
  <c r="Y188" i="4"/>
  <c r="V188" i="4"/>
  <c r="Y187" i="4"/>
  <c r="V187" i="4"/>
  <c r="Y186" i="4"/>
  <c r="Z186" i="4"/>
  <c r="Y185" i="4"/>
  <c r="V185" i="4"/>
  <c r="Y184" i="4"/>
  <c r="V184" i="4"/>
  <c r="Y183" i="4"/>
  <c r="V183" i="4"/>
  <c r="Y182" i="4"/>
  <c r="V182" i="4"/>
  <c r="Y181" i="4"/>
  <c r="V181" i="4"/>
  <c r="Y180" i="4"/>
  <c r="Y179" i="4"/>
  <c r="Y178" i="4"/>
  <c r="Y177" i="4"/>
  <c r="Y176" i="4"/>
  <c r="Y175" i="4"/>
  <c r="Z175" i="4"/>
  <c r="Y174" i="4"/>
  <c r="Z174" i="4"/>
  <c r="Y173" i="4"/>
  <c r="V173" i="4"/>
  <c r="Y172" i="4"/>
  <c r="Y171" i="4"/>
  <c r="Y170" i="4"/>
  <c r="V170" i="4"/>
  <c r="Y169" i="4"/>
  <c r="V169" i="4"/>
  <c r="Y168" i="4"/>
  <c r="V168" i="4"/>
  <c r="Y167" i="4"/>
  <c r="V167" i="4"/>
  <c r="Y166" i="4"/>
  <c r="V166" i="4"/>
  <c r="Y165" i="4"/>
  <c r="V165" i="4"/>
  <c r="Y164" i="4"/>
  <c r="V164" i="4"/>
  <c r="Y163" i="4"/>
  <c r="V163" i="4"/>
  <c r="Y162" i="4"/>
  <c r="V162" i="4"/>
  <c r="Y161" i="4"/>
  <c r="V161" i="4"/>
  <c r="Y160" i="4"/>
  <c r="V160" i="4"/>
  <c r="Y159" i="4"/>
  <c r="V159" i="4"/>
  <c r="Y158" i="4"/>
  <c r="V158" i="4"/>
  <c r="Y157" i="4"/>
  <c r="V157" i="4"/>
  <c r="Y156" i="4"/>
  <c r="V156" i="4"/>
  <c r="Y155" i="4"/>
  <c r="V155" i="4"/>
  <c r="Y154" i="4"/>
  <c r="V154" i="4"/>
  <c r="Y153" i="4"/>
  <c r="V153" i="4"/>
  <c r="Y152" i="4"/>
  <c r="V152" i="4"/>
  <c r="Y151" i="4"/>
  <c r="V151" i="4"/>
  <c r="Y150" i="4"/>
  <c r="V150" i="4"/>
  <c r="Y149" i="4"/>
  <c r="V149" i="4"/>
  <c r="Y148" i="4"/>
  <c r="V148" i="4"/>
  <c r="Y147" i="4"/>
  <c r="V147" i="4"/>
  <c r="Y146" i="4"/>
  <c r="V146" i="4"/>
  <c r="Y145" i="4"/>
  <c r="V145" i="4"/>
  <c r="Y144" i="4"/>
  <c r="V144" i="4"/>
  <c r="Y143" i="4"/>
  <c r="V143" i="4"/>
  <c r="Y142" i="4"/>
  <c r="V142" i="4"/>
  <c r="Y141" i="4"/>
  <c r="V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127" i="4"/>
  <c r="Y126" i="4"/>
  <c r="Z126" i="4"/>
  <c r="Y125" i="4"/>
  <c r="V125" i="4"/>
  <c r="Y124" i="4"/>
  <c r="V124" i="4"/>
  <c r="Y123" i="4"/>
  <c r="V123" i="4"/>
  <c r="Y122" i="4"/>
  <c r="V122" i="4"/>
  <c r="Y121" i="4"/>
  <c r="V121" i="4"/>
  <c r="Y120" i="4"/>
  <c r="V120" i="4"/>
  <c r="Y119" i="4"/>
  <c r="V119" i="4"/>
  <c r="Y118" i="4"/>
  <c r="V118" i="4"/>
  <c r="Y117" i="4"/>
  <c r="V117" i="4"/>
  <c r="Y116" i="4"/>
  <c r="V116" i="4"/>
  <c r="Y115" i="4"/>
  <c r="V115" i="4"/>
  <c r="Y114" i="4"/>
  <c r="V114" i="4"/>
  <c r="Y113" i="4"/>
  <c r="Z113" i="4"/>
  <c r="Y112" i="4"/>
  <c r="M112" i="4"/>
  <c r="L112" i="4"/>
  <c r="Y111" i="4"/>
  <c r="L111" i="4"/>
  <c r="Y110" i="4"/>
  <c r="L110" i="4"/>
  <c r="Y109" i="4"/>
  <c r="V109" i="4"/>
  <c r="Y108" i="4"/>
  <c r="V108" i="4"/>
  <c r="Y107" i="4"/>
  <c r="V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Z84" i="4"/>
  <c r="Y83" i="4"/>
  <c r="V83" i="4"/>
  <c r="Y82" i="4"/>
  <c r="V82" i="4"/>
  <c r="Y81" i="4"/>
  <c r="V81" i="4"/>
  <c r="Y80" i="4"/>
  <c r="V80" i="4"/>
  <c r="Y79" i="4"/>
  <c r="V79" i="4"/>
  <c r="Y78" i="4"/>
  <c r="V78" i="4"/>
  <c r="Y77" i="4"/>
  <c r="V77" i="4"/>
  <c r="Y76" i="4"/>
  <c r="V76" i="4"/>
  <c r="Y75" i="4"/>
  <c r="V75" i="4"/>
  <c r="Y74" i="4"/>
  <c r="V74" i="4"/>
  <c r="Y73" i="4"/>
  <c r="V73" i="4"/>
  <c r="Y72" i="4"/>
  <c r="Y71" i="4"/>
  <c r="Z71" i="4"/>
  <c r="Y70" i="4"/>
  <c r="Y69" i="4"/>
  <c r="M69" i="4"/>
  <c r="L69" i="4"/>
  <c r="Y68" i="4"/>
  <c r="L68" i="4"/>
  <c r="Y67" i="4"/>
  <c r="L67" i="4"/>
  <c r="Y66" i="4"/>
  <c r="Y65" i="4"/>
  <c r="Y64" i="4"/>
  <c r="Y63" i="4"/>
  <c r="Y62" i="4"/>
  <c r="Y61" i="4"/>
  <c r="V61" i="4"/>
  <c r="Y60" i="4"/>
  <c r="Y59" i="4"/>
  <c r="Y58" i="4"/>
  <c r="Z58" i="4"/>
  <c r="Y57" i="4"/>
  <c r="Y56" i="4"/>
  <c r="Y55" i="4"/>
  <c r="Y54" i="4"/>
  <c r="Y53" i="4"/>
  <c r="Y52" i="4"/>
  <c r="Y51" i="4"/>
  <c r="Z51" i="4"/>
  <c r="Y50" i="4"/>
  <c r="Y49" i="4"/>
  <c r="V49" i="4"/>
  <c r="Y48" i="4"/>
  <c r="V48" i="4"/>
  <c r="Y47" i="4"/>
  <c r="Y46" i="4"/>
  <c r="Y45" i="4"/>
  <c r="O45" i="4"/>
  <c r="Y44" i="4"/>
  <c r="V44" i="4"/>
  <c r="Y43" i="4"/>
  <c r="V43" i="4"/>
  <c r="Y42" i="4"/>
  <c r="V42" i="4"/>
  <c r="Y41" i="4"/>
  <c r="Z41" i="4"/>
  <c r="Y40" i="4"/>
  <c r="Y39" i="4"/>
  <c r="Y38" i="4"/>
  <c r="V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W366" i="3"/>
  <c r="W376" i="3"/>
  <c r="W367" i="3"/>
  <c r="W377" i="3"/>
  <c r="W368" i="3"/>
  <c r="W378" i="3"/>
  <c r="W379" i="3"/>
  <c r="P7" i="3"/>
  <c r="L7" i="3"/>
  <c r="O7" i="3"/>
  <c r="Q7" i="3"/>
  <c r="R7" i="3"/>
  <c r="S7" i="3"/>
  <c r="T7" i="3"/>
  <c r="U7" i="3"/>
  <c r="W7" i="3"/>
  <c r="P26" i="3"/>
  <c r="O26" i="3"/>
  <c r="Q26" i="3"/>
  <c r="R26" i="3"/>
  <c r="S26" i="3"/>
  <c r="T26" i="3"/>
  <c r="U26" i="3"/>
  <c r="W26" i="3"/>
  <c r="P30" i="3"/>
  <c r="O30" i="3"/>
  <c r="Q30" i="3"/>
  <c r="R30" i="3"/>
  <c r="S30" i="3"/>
  <c r="T30" i="3"/>
  <c r="U30" i="3"/>
  <c r="W30" i="3"/>
  <c r="P31" i="3"/>
  <c r="O31" i="3"/>
  <c r="Q31" i="3"/>
  <c r="R31" i="3"/>
  <c r="S31" i="3"/>
  <c r="T31" i="3"/>
  <c r="U31" i="3"/>
  <c r="W31" i="3"/>
  <c r="P172" i="3"/>
  <c r="L172" i="3"/>
  <c r="M172" i="3"/>
  <c r="O172" i="3"/>
  <c r="Q172" i="3"/>
  <c r="R172" i="3"/>
  <c r="S172" i="3"/>
  <c r="T172" i="3"/>
  <c r="U172" i="3"/>
  <c r="W172" i="3"/>
  <c r="P171" i="3"/>
  <c r="M171" i="3"/>
  <c r="O171" i="3"/>
  <c r="Q171" i="3"/>
  <c r="R171" i="3"/>
  <c r="S171" i="3"/>
  <c r="T171" i="3"/>
  <c r="U171" i="3"/>
  <c r="W171" i="3"/>
  <c r="P142" i="3"/>
  <c r="M142" i="3"/>
  <c r="O142" i="3"/>
  <c r="Q142" i="3"/>
  <c r="R142" i="3"/>
  <c r="S142" i="3"/>
  <c r="T142" i="3"/>
  <c r="U142" i="3"/>
  <c r="W142" i="3"/>
  <c r="P140" i="3"/>
  <c r="M140" i="3"/>
  <c r="O140" i="3"/>
  <c r="Q140" i="3"/>
  <c r="R140" i="3"/>
  <c r="S140" i="3"/>
  <c r="T140" i="3"/>
  <c r="U140" i="3"/>
  <c r="W140" i="3"/>
  <c r="P138" i="3"/>
  <c r="M138" i="3"/>
  <c r="O138" i="3"/>
  <c r="Q138" i="3"/>
  <c r="R138" i="3"/>
  <c r="S138" i="3"/>
  <c r="T138" i="3"/>
  <c r="U138" i="3"/>
  <c r="W138" i="3"/>
  <c r="P134" i="3"/>
  <c r="L134" i="3"/>
  <c r="M134" i="3"/>
  <c r="O134" i="3"/>
  <c r="Q134" i="3"/>
  <c r="R134" i="3"/>
  <c r="S134" i="3"/>
  <c r="T134" i="3"/>
  <c r="U134" i="3"/>
  <c r="W134" i="3"/>
  <c r="P60" i="3"/>
  <c r="L60" i="3"/>
  <c r="O60" i="3"/>
  <c r="Q60" i="3"/>
  <c r="R60" i="3"/>
  <c r="S60" i="3"/>
  <c r="T60" i="3"/>
  <c r="U60" i="3"/>
  <c r="W60" i="3"/>
  <c r="P59" i="3"/>
  <c r="L59" i="3"/>
  <c r="M59" i="3"/>
  <c r="O59" i="3"/>
  <c r="Q59" i="3"/>
  <c r="R59" i="3"/>
  <c r="S59" i="3"/>
  <c r="T59" i="3"/>
  <c r="U59" i="3"/>
  <c r="W59" i="3"/>
  <c r="P58" i="3"/>
  <c r="L58" i="3"/>
  <c r="M58" i="3"/>
  <c r="O58" i="3"/>
  <c r="Q58" i="3"/>
  <c r="R58" i="3"/>
  <c r="S58" i="3"/>
  <c r="T58" i="3"/>
  <c r="U58" i="3"/>
  <c r="W58" i="3"/>
  <c r="P57" i="3"/>
  <c r="L57" i="3"/>
  <c r="M57" i="3"/>
  <c r="O57" i="3"/>
  <c r="Q57" i="3"/>
  <c r="R57" i="3"/>
  <c r="S57" i="3"/>
  <c r="T57" i="3"/>
  <c r="U57" i="3"/>
  <c r="W57" i="3"/>
  <c r="P56" i="3"/>
  <c r="L56" i="3"/>
  <c r="M56" i="3"/>
  <c r="O56" i="3"/>
  <c r="Q56" i="3"/>
  <c r="R56" i="3"/>
  <c r="S56" i="3"/>
  <c r="T56" i="3"/>
  <c r="U56" i="3"/>
  <c r="W56" i="3"/>
  <c r="P55" i="3"/>
  <c r="L55" i="3"/>
  <c r="M55" i="3"/>
  <c r="O55" i="3"/>
  <c r="Q55" i="3"/>
  <c r="R55" i="3"/>
  <c r="S55" i="3"/>
  <c r="T55" i="3"/>
  <c r="U55" i="3"/>
  <c r="W55" i="3"/>
  <c r="P54" i="3"/>
  <c r="L54" i="3"/>
  <c r="M54" i="3"/>
  <c r="O54" i="3"/>
  <c r="Q54" i="3"/>
  <c r="R54" i="3"/>
  <c r="S54" i="3"/>
  <c r="T54" i="3"/>
  <c r="U54" i="3"/>
  <c r="W54" i="3"/>
  <c r="P53" i="3"/>
  <c r="L53" i="3"/>
  <c r="O53" i="3"/>
  <c r="Q53" i="3"/>
  <c r="R53" i="3"/>
  <c r="S53" i="3"/>
  <c r="T53" i="3"/>
  <c r="U53" i="3"/>
  <c r="W53" i="3"/>
  <c r="P52" i="3"/>
  <c r="L52" i="3"/>
  <c r="O52" i="3"/>
  <c r="Q52" i="3"/>
  <c r="R52" i="3"/>
  <c r="S52" i="3"/>
  <c r="T52" i="3"/>
  <c r="U52" i="3"/>
  <c r="W52" i="3"/>
  <c r="P51" i="3"/>
  <c r="L51" i="3"/>
  <c r="O51" i="3"/>
  <c r="Q51" i="3"/>
  <c r="R51" i="3"/>
  <c r="S51" i="3"/>
  <c r="T51" i="3"/>
  <c r="U51" i="3"/>
  <c r="W51" i="3"/>
  <c r="P50" i="3"/>
  <c r="L50" i="3"/>
  <c r="O50" i="3"/>
  <c r="Q50" i="3"/>
  <c r="R50" i="3"/>
  <c r="S50" i="3"/>
  <c r="T50" i="3"/>
  <c r="U50" i="3"/>
  <c r="W50" i="3"/>
  <c r="P48" i="3"/>
  <c r="L48" i="3"/>
  <c r="O48" i="3"/>
  <c r="Q48" i="3"/>
  <c r="R48" i="3"/>
  <c r="S48" i="3"/>
  <c r="T48" i="3"/>
  <c r="U48" i="3"/>
  <c r="W48" i="3"/>
  <c r="P47" i="3"/>
  <c r="L47" i="3"/>
  <c r="O47" i="3"/>
  <c r="Q47" i="3"/>
  <c r="R47" i="3"/>
  <c r="S47" i="3"/>
  <c r="T47" i="3"/>
  <c r="U47" i="3"/>
  <c r="W47" i="3"/>
  <c r="P44" i="3"/>
  <c r="O44" i="3"/>
  <c r="Q44" i="3"/>
  <c r="R44" i="3"/>
  <c r="S44" i="3"/>
  <c r="T44" i="3"/>
  <c r="U44" i="3"/>
  <c r="W44" i="3"/>
  <c r="P43" i="3"/>
  <c r="O43" i="3"/>
  <c r="Q43" i="3"/>
  <c r="R43" i="3"/>
  <c r="S43" i="3"/>
  <c r="T43" i="3"/>
  <c r="U43" i="3"/>
  <c r="W43" i="3"/>
  <c r="P39" i="3"/>
  <c r="M39" i="3"/>
  <c r="O39" i="3"/>
  <c r="Q39" i="3"/>
  <c r="R39" i="3"/>
  <c r="S39" i="3"/>
  <c r="T39" i="3"/>
  <c r="U39" i="3"/>
  <c r="W39" i="3"/>
  <c r="P35" i="3"/>
  <c r="O35" i="3"/>
  <c r="Q35" i="3"/>
  <c r="R35" i="3"/>
  <c r="S35" i="3"/>
  <c r="T35" i="3"/>
  <c r="U35" i="3"/>
  <c r="W35" i="3"/>
  <c r="W176" i="3"/>
  <c r="W372" i="3"/>
  <c r="W375" i="3"/>
  <c r="W380" i="3"/>
  <c r="U366" i="3"/>
  <c r="U376" i="3"/>
  <c r="U367" i="3"/>
  <c r="U377" i="3"/>
  <c r="U368" i="3"/>
  <c r="U378" i="3"/>
  <c r="U379" i="3"/>
  <c r="U176" i="3"/>
  <c r="U372" i="3"/>
  <c r="U375" i="3"/>
  <c r="U380" i="3"/>
  <c r="S366" i="3"/>
  <c r="S376" i="3"/>
  <c r="S367" i="3"/>
  <c r="S377" i="3"/>
  <c r="S368" i="3"/>
  <c r="S378" i="3"/>
  <c r="S379" i="3"/>
  <c r="S176" i="3"/>
  <c r="S372" i="3"/>
  <c r="S375" i="3"/>
  <c r="S380" i="3"/>
  <c r="Q366" i="3"/>
  <c r="Q376" i="3"/>
  <c r="Q367" i="3"/>
  <c r="Q377" i="3"/>
  <c r="Q368" i="3"/>
  <c r="Q378" i="3"/>
  <c r="Q379" i="3"/>
  <c r="Q372" i="3"/>
  <c r="P238" i="3"/>
  <c r="L238" i="3"/>
  <c r="O238" i="3"/>
  <c r="Q238" i="3"/>
  <c r="P239" i="3"/>
  <c r="L239" i="3"/>
  <c r="N239" i="3"/>
  <c r="O239" i="3"/>
  <c r="Q239" i="3"/>
  <c r="P240" i="3"/>
  <c r="L240" i="3"/>
  <c r="N240" i="3"/>
  <c r="O240" i="3"/>
  <c r="Q240" i="3"/>
  <c r="P241" i="3"/>
  <c r="L241" i="3"/>
  <c r="M241" i="3"/>
  <c r="O241" i="3"/>
  <c r="Q241" i="3"/>
  <c r="P256" i="3"/>
  <c r="L247" i="3"/>
  <c r="M247" i="3"/>
  <c r="O247" i="3"/>
  <c r="L252" i="3"/>
  <c r="L255" i="3"/>
  <c r="L256" i="3"/>
  <c r="O256" i="3"/>
  <c r="Q256" i="3"/>
  <c r="P255" i="3"/>
  <c r="O255" i="3"/>
  <c r="Q255" i="3"/>
  <c r="L253" i="3"/>
  <c r="L254" i="3"/>
  <c r="M254" i="3"/>
  <c r="O254" i="3"/>
  <c r="Q254" i="3"/>
  <c r="O253" i="3"/>
  <c r="Q253" i="3"/>
  <c r="P252" i="3"/>
  <c r="O252" i="3"/>
  <c r="Q252" i="3"/>
  <c r="P247" i="3"/>
  <c r="Q247" i="3"/>
  <c r="P246" i="3"/>
  <c r="L246" i="3"/>
  <c r="M246" i="3"/>
  <c r="O246" i="3"/>
  <c r="Q246" i="3"/>
  <c r="P245" i="3"/>
  <c r="L245" i="3"/>
  <c r="M245" i="3"/>
  <c r="O245" i="3"/>
  <c r="Q245" i="3"/>
  <c r="P244" i="3"/>
  <c r="L244" i="3"/>
  <c r="M244" i="3"/>
  <c r="O244" i="3"/>
  <c r="Q244" i="3"/>
  <c r="P243" i="3"/>
  <c r="L243" i="3"/>
  <c r="M243" i="3"/>
  <c r="O243" i="3"/>
  <c r="Q243" i="3"/>
  <c r="P242" i="3"/>
  <c r="L242" i="3"/>
  <c r="M242" i="3"/>
  <c r="O242" i="3"/>
  <c r="Q242" i="3"/>
  <c r="Q258" i="3"/>
  <c r="Q373" i="3"/>
  <c r="P179" i="3"/>
  <c r="L179" i="3"/>
  <c r="O179" i="3"/>
  <c r="Q179" i="3"/>
  <c r="P182" i="3"/>
  <c r="L185" i="3"/>
  <c r="E182" i="3"/>
  <c r="E183" i="3"/>
  <c r="E184" i="3"/>
  <c r="M185" i="3"/>
  <c r="O185" i="3"/>
  <c r="L182" i="3"/>
  <c r="M182" i="3"/>
  <c r="O182" i="3"/>
  <c r="Q182" i="3"/>
  <c r="L183" i="3"/>
  <c r="O183" i="3"/>
  <c r="Q183" i="3"/>
  <c r="P184" i="3"/>
  <c r="L184" i="3"/>
  <c r="M184" i="3"/>
  <c r="O184" i="3"/>
  <c r="Q184" i="3"/>
  <c r="P234" i="3"/>
  <c r="L234" i="3"/>
  <c r="O234" i="3"/>
  <c r="Q234" i="3"/>
  <c r="P233" i="3"/>
  <c r="L233" i="3"/>
  <c r="M233" i="3"/>
  <c r="O233" i="3"/>
  <c r="Q233" i="3"/>
  <c r="P232" i="3"/>
  <c r="L232" i="3"/>
  <c r="O232" i="3"/>
  <c r="Q232" i="3"/>
  <c r="P231" i="3"/>
  <c r="L231" i="3"/>
  <c r="O231" i="3"/>
  <c r="Q231" i="3"/>
  <c r="P260" i="3"/>
  <c r="L260" i="3"/>
  <c r="O260" i="3"/>
  <c r="Q260" i="3"/>
  <c r="R260" i="3"/>
  <c r="S260" i="3"/>
  <c r="T260" i="3"/>
  <c r="U260" i="3"/>
  <c r="W260" i="3"/>
  <c r="P261" i="3"/>
  <c r="L261" i="3"/>
  <c r="O261" i="3"/>
  <c r="Q261" i="3"/>
  <c r="R261" i="3"/>
  <c r="S261" i="3"/>
  <c r="T261" i="3"/>
  <c r="U261" i="3"/>
  <c r="W261" i="3"/>
  <c r="P264" i="3"/>
  <c r="L264" i="3"/>
  <c r="O264" i="3"/>
  <c r="Q264" i="3"/>
  <c r="R264" i="3"/>
  <c r="S264" i="3"/>
  <c r="T264" i="3"/>
  <c r="U264" i="3"/>
  <c r="W264" i="3"/>
  <c r="P267" i="3"/>
  <c r="L267" i="3"/>
  <c r="M267" i="3"/>
  <c r="O267" i="3"/>
  <c r="Q267" i="3"/>
  <c r="R267" i="3"/>
  <c r="S267" i="3"/>
  <c r="T267" i="3"/>
  <c r="U267" i="3"/>
  <c r="W267" i="3"/>
  <c r="P348" i="3"/>
  <c r="L304" i="3"/>
  <c r="L312" i="3"/>
  <c r="M312" i="3"/>
  <c r="N305" i="3"/>
  <c r="N306" i="3"/>
  <c r="N307" i="3"/>
  <c r="N308" i="3"/>
  <c r="N309" i="3"/>
  <c r="N310" i="3"/>
  <c r="N311" i="3"/>
  <c r="N312" i="3"/>
  <c r="O312" i="3"/>
  <c r="L329" i="3"/>
  <c r="L337" i="3"/>
  <c r="M337" i="3"/>
  <c r="O337" i="3"/>
  <c r="L344" i="3"/>
  <c r="L348" i="3"/>
  <c r="O348" i="3"/>
  <c r="Q348" i="3"/>
  <c r="R348" i="3"/>
  <c r="S348" i="3"/>
  <c r="T348" i="3"/>
  <c r="U348" i="3"/>
  <c r="W348" i="3"/>
  <c r="P347" i="3"/>
  <c r="L347" i="3"/>
  <c r="O347" i="3"/>
  <c r="Q347" i="3"/>
  <c r="R347" i="3"/>
  <c r="S347" i="3"/>
  <c r="T347" i="3"/>
  <c r="U347" i="3"/>
  <c r="W347" i="3"/>
  <c r="P346" i="3"/>
  <c r="L346" i="3"/>
  <c r="O346" i="3"/>
  <c r="Q346" i="3"/>
  <c r="R346" i="3"/>
  <c r="S346" i="3"/>
  <c r="T346" i="3"/>
  <c r="U346" i="3"/>
  <c r="W346" i="3"/>
  <c r="P345" i="3"/>
  <c r="L345" i="3"/>
  <c r="O345" i="3"/>
  <c r="Q345" i="3"/>
  <c r="R345" i="3"/>
  <c r="S345" i="3"/>
  <c r="T345" i="3"/>
  <c r="U345" i="3"/>
  <c r="W345" i="3"/>
  <c r="P344" i="3"/>
  <c r="O344" i="3"/>
  <c r="Q344" i="3"/>
  <c r="R344" i="3"/>
  <c r="S344" i="3"/>
  <c r="T344" i="3"/>
  <c r="U344" i="3"/>
  <c r="W344" i="3"/>
  <c r="P337" i="3"/>
  <c r="Q337" i="3"/>
  <c r="R337" i="3"/>
  <c r="S337" i="3"/>
  <c r="T337" i="3"/>
  <c r="U337" i="3"/>
  <c r="W337" i="3"/>
  <c r="P336" i="3"/>
  <c r="L336" i="3"/>
  <c r="O336" i="3"/>
  <c r="Q336" i="3"/>
  <c r="R336" i="3"/>
  <c r="S336" i="3"/>
  <c r="T336" i="3"/>
  <c r="U336" i="3"/>
  <c r="W336" i="3"/>
  <c r="P335" i="3"/>
  <c r="L335" i="3"/>
  <c r="O335" i="3"/>
  <c r="Q335" i="3"/>
  <c r="R335" i="3"/>
  <c r="S335" i="3"/>
  <c r="T335" i="3"/>
  <c r="U335" i="3"/>
  <c r="W335" i="3"/>
  <c r="P334" i="3"/>
  <c r="L334" i="3"/>
  <c r="O334" i="3"/>
  <c r="Q334" i="3"/>
  <c r="R334" i="3"/>
  <c r="S334" i="3"/>
  <c r="T334" i="3"/>
  <c r="U334" i="3"/>
  <c r="W334" i="3"/>
  <c r="P333" i="3"/>
  <c r="L333" i="3"/>
  <c r="O333" i="3"/>
  <c r="Q333" i="3"/>
  <c r="R333" i="3"/>
  <c r="S333" i="3"/>
  <c r="T333" i="3"/>
  <c r="U333" i="3"/>
  <c r="W333" i="3"/>
  <c r="P332" i="3"/>
  <c r="L332" i="3"/>
  <c r="O332" i="3"/>
  <c r="Q332" i="3"/>
  <c r="R332" i="3"/>
  <c r="S332" i="3"/>
  <c r="T332" i="3"/>
  <c r="U332" i="3"/>
  <c r="W332" i="3"/>
  <c r="P331" i="3"/>
  <c r="L331" i="3"/>
  <c r="M331" i="3"/>
  <c r="O331" i="3"/>
  <c r="Q331" i="3"/>
  <c r="R331" i="3"/>
  <c r="S331" i="3"/>
  <c r="T331" i="3"/>
  <c r="U331" i="3"/>
  <c r="W331" i="3"/>
  <c r="P330" i="3"/>
  <c r="L330" i="3"/>
  <c r="O330" i="3"/>
  <c r="Q330" i="3"/>
  <c r="R330" i="3"/>
  <c r="S330" i="3"/>
  <c r="T330" i="3"/>
  <c r="U330" i="3"/>
  <c r="W330" i="3"/>
  <c r="P329" i="3"/>
  <c r="O329" i="3"/>
  <c r="Q329" i="3"/>
  <c r="R329" i="3"/>
  <c r="S329" i="3"/>
  <c r="T329" i="3"/>
  <c r="U329" i="3"/>
  <c r="W329" i="3"/>
  <c r="P312" i="3"/>
  <c r="Q312" i="3"/>
  <c r="R312" i="3"/>
  <c r="S312" i="3"/>
  <c r="T312" i="3"/>
  <c r="U312" i="3"/>
  <c r="W312" i="3"/>
  <c r="P311" i="3"/>
  <c r="L311" i="3"/>
  <c r="M311" i="3"/>
  <c r="O311" i="3"/>
  <c r="Q311" i="3"/>
  <c r="R311" i="3"/>
  <c r="S311" i="3"/>
  <c r="T311" i="3"/>
  <c r="U311" i="3"/>
  <c r="W311" i="3"/>
  <c r="P310" i="3"/>
  <c r="L310" i="3"/>
  <c r="M310" i="3"/>
  <c r="O310" i="3"/>
  <c r="Q310" i="3"/>
  <c r="R310" i="3"/>
  <c r="S310" i="3"/>
  <c r="T310" i="3"/>
  <c r="U310" i="3"/>
  <c r="W310" i="3"/>
  <c r="P309" i="3"/>
  <c r="L309" i="3"/>
  <c r="M309" i="3"/>
  <c r="O309" i="3"/>
  <c r="Q309" i="3"/>
  <c r="R309" i="3"/>
  <c r="S309" i="3"/>
  <c r="T309" i="3"/>
  <c r="U309" i="3"/>
  <c r="W309" i="3"/>
  <c r="P308" i="3"/>
  <c r="L308" i="3"/>
  <c r="M308" i="3"/>
  <c r="O308" i="3"/>
  <c r="Q308" i="3"/>
  <c r="R308" i="3"/>
  <c r="S308" i="3"/>
  <c r="T308" i="3"/>
  <c r="U308" i="3"/>
  <c r="W308" i="3"/>
  <c r="P307" i="3"/>
  <c r="L307" i="3"/>
  <c r="M307" i="3"/>
  <c r="O307" i="3"/>
  <c r="Q307" i="3"/>
  <c r="R307" i="3"/>
  <c r="S307" i="3"/>
  <c r="T307" i="3"/>
  <c r="U307" i="3"/>
  <c r="W307" i="3"/>
  <c r="P306" i="3"/>
  <c r="L306" i="3"/>
  <c r="M306" i="3"/>
  <c r="O306" i="3"/>
  <c r="Q306" i="3"/>
  <c r="R306" i="3"/>
  <c r="S306" i="3"/>
  <c r="T306" i="3"/>
  <c r="U306" i="3"/>
  <c r="W306" i="3"/>
  <c r="P305" i="3"/>
  <c r="L305" i="3"/>
  <c r="O305" i="3"/>
  <c r="Q305" i="3"/>
  <c r="R305" i="3"/>
  <c r="S305" i="3"/>
  <c r="T305" i="3"/>
  <c r="U305" i="3"/>
  <c r="W305" i="3"/>
  <c r="P304" i="3"/>
  <c r="O304" i="3"/>
  <c r="Q304" i="3"/>
  <c r="R304" i="3"/>
  <c r="S304" i="3"/>
  <c r="T304" i="3"/>
  <c r="U304" i="3"/>
  <c r="W304" i="3"/>
  <c r="T268" i="3"/>
  <c r="M268" i="3"/>
  <c r="O268" i="3"/>
  <c r="U268" i="3"/>
  <c r="T271" i="3"/>
  <c r="L271" i="3"/>
  <c r="M271" i="3"/>
  <c r="O271" i="3"/>
  <c r="U271" i="3"/>
  <c r="T272" i="3"/>
  <c r="M272" i="3"/>
  <c r="O272" i="3"/>
  <c r="U272" i="3"/>
  <c r="T273" i="3"/>
  <c r="L273" i="3"/>
  <c r="O273" i="3"/>
  <c r="U273" i="3"/>
  <c r="T218" i="3"/>
  <c r="O218" i="3"/>
  <c r="U218" i="3"/>
  <c r="T219" i="3"/>
  <c r="O219" i="3"/>
  <c r="U219" i="3"/>
  <c r="T220" i="3"/>
  <c r="O220" i="3"/>
  <c r="U220" i="3"/>
  <c r="T221" i="3"/>
  <c r="O221" i="3"/>
  <c r="U221" i="3"/>
  <c r="T179" i="3"/>
  <c r="U179" i="3"/>
  <c r="T185" i="3"/>
  <c r="U185" i="3"/>
  <c r="T190" i="3"/>
  <c r="O190" i="3"/>
  <c r="U190" i="3"/>
  <c r="U258" i="3"/>
  <c r="T256" i="3"/>
  <c r="U256" i="3"/>
  <c r="T255" i="3"/>
  <c r="U255" i="3"/>
  <c r="T252" i="3"/>
  <c r="U252" i="3"/>
  <c r="T247" i="3"/>
  <c r="U247" i="3"/>
  <c r="T238" i="3"/>
  <c r="U238" i="3"/>
  <c r="T226" i="3"/>
  <c r="M226" i="3"/>
  <c r="O226" i="3"/>
  <c r="U226" i="3"/>
  <c r="T225" i="3"/>
  <c r="M225" i="3"/>
  <c r="O225" i="3"/>
  <c r="U225" i="3"/>
  <c r="T224" i="3"/>
  <c r="M224" i="3"/>
  <c r="O224" i="3"/>
  <c r="U224" i="3"/>
  <c r="T223" i="3"/>
  <c r="M223" i="3"/>
  <c r="O223" i="3"/>
  <c r="U223" i="3"/>
  <c r="T222" i="3"/>
  <c r="M222" i="3"/>
  <c r="O222" i="3"/>
  <c r="U222" i="3"/>
  <c r="U301" i="3"/>
  <c r="T297" i="3"/>
  <c r="L297" i="3"/>
  <c r="O297" i="3"/>
  <c r="U297" i="3"/>
  <c r="T285" i="3"/>
  <c r="L284" i="3"/>
  <c r="L285" i="3"/>
  <c r="O285" i="3"/>
  <c r="U285" i="3"/>
  <c r="T284" i="3"/>
  <c r="O284" i="3"/>
  <c r="U284" i="3"/>
  <c r="T205" i="3"/>
  <c r="L205" i="3"/>
  <c r="O205" i="3"/>
  <c r="U205" i="3"/>
  <c r="T217" i="3"/>
  <c r="O217" i="3"/>
  <c r="U217" i="3"/>
  <c r="U278" i="3"/>
  <c r="T277" i="3"/>
  <c r="L277" i="3"/>
  <c r="O277" i="3"/>
  <c r="U277" i="3"/>
  <c r="T276" i="3"/>
  <c r="L276" i="3"/>
  <c r="M276" i="3"/>
  <c r="O276" i="3"/>
  <c r="U276" i="3"/>
  <c r="T275" i="3"/>
  <c r="L275" i="3"/>
  <c r="M275" i="3"/>
  <c r="O275" i="3"/>
  <c r="U275" i="3"/>
  <c r="U350" i="3"/>
  <c r="T352" i="3"/>
  <c r="L352" i="3"/>
  <c r="O352" i="3"/>
  <c r="U352" i="3"/>
  <c r="T353" i="3"/>
  <c r="L353" i="3"/>
  <c r="O353" i="3"/>
  <c r="U353" i="3"/>
  <c r="T354" i="3"/>
  <c r="L354" i="3"/>
  <c r="O354" i="3"/>
  <c r="U354" i="3"/>
  <c r="U358" i="3"/>
  <c r="U374" i="3"/>
  <c r="R268" i="3"/>
  <c r="S268" i="3"/>
  <c r="R271" i="3"/>
  <c r="S271" i="3"/>
  <c r="R272" i="3"/>
  <c r="S272" i="3"/>
  <c r="R273" i="3"/>
  <c r="S273" i="3"/>
  <c r="R218" i="3"/>
  <c r="S218" i="3"/>
  <c r="R219" i="3"/>
  <c r="S219" i="3"/>
  <c r="R220" i="3"/>
  <c r="S220" i="3"/>
  <c r="R221" i="3"/>
  <c r="S221" i="3"/>
  <c r="R179" i="3"/>
  <c r="S179" i="3"/>
  <c r="R185" i="3"/>
  <c r="S185" i="3"/>
  <c r="R190" i="3"/>
  <c r="S190" i="3"/>
  <c r="S258" i="3"/>
  <c r="R256" i="3"/>
  <c r="S256" i="3"/>
  <c r="R255" i="3"/>
  <c r="S255" i="3"/>
  <c r="R252" i="3"/>
  <c r="S252" i="3"/>
  <c r="R247" i="3"/>
  <c r="S247" i="3"/>
  <c r="R238" i="3"/>
  <c r="S238" i="3"/>
  <c r="R234" i="3"/>
  <c r="S234" i="3"/>
  <c r="R233" i="3"/>
  <c r="S233" i="3"/>
  <c r="R232" i="3"/>
  <c r="S232" i="3"/>
  <c r="R231" i="3"/>
  <c r="S231" i="3"/>
  <c r="L230" i="3"/>
  <c r="M230" i="3"/>
  <c r="O230" i="3"/>
  <c r="R230" i="3"/>
  <c r="S230" i="3"/>
  <c r="L229" i="3"/>
  <c r="O229" i="3"/>
  <c r="R229" i="3"/>
  <c r="S229" i="3"/>
  <c r="L228" i="3"/>
  <c r="O228" i="3"/>
  <c r="R228" i="3"/>
  <c r="S228" i="3"/>
  <c r="L227" i="3"/>
  <c r="O227" i="3"/>
  <c r="R227" i="3"/>
  <c r="S227" i="3"/>
  <c r="R226" i="3"/>
  <c r="S226" i="3"/>
  <c r="R225" i="3"/>
  <c r="S225" i="3"/>
  <c r="R224" i="3"/>
  <c r="S224" i="3"/>
  <c r="R223" i="3"/>
  <c r="S223" i="3"/>
  <c r="R222" i="3"/>
  <c r="S222" i="3"/>
  <c r="S301" i="3"/>
  <c r="R297" i="3"/>
  <c r="S297" i="3"/>
  <c r="R285" i="3"/>
  <c r="S285" i="3"/>
  <c r="R284" i="3"/>
  <c r="S284" i="3"/>
  <c r="R205" i="3"/>
  <c r="S205" i="3"/>
  <c r="R217" i="3"/>
  <c r="S217" i="3"/>
  <c r="S278" i="3"/>
  <c r="R277" i="3"/>
  <c r="S277" i="3"/>
  <c r="R276" i="3"/>
  <c r="S276" i="3"/>
  <c r="R275" i="3"/>
  <c r="S275" i="3"/>
  <c r="S350" i="3"/>
  <c r="R352" i="3"/>
  <c r="S352" i="3"/>
  <c r="R353" i="3"/>
  <c r="S353" i="3"/>
  <c r="R354" i="3"/>
  <c r="S354" i="3"/>
  <c r="R355" i="3"/>
  <c r="L355" i="3"/>
  <c r="O355" i="3"/>
  <c r="S355" i="3"/>
  <c r="R356" i="3"/>
  <c r="L356" i="3"/>
  <c r="O356" i="3"/>
  <c r="S356" i="3"/>
  <c r="S358" i="3"/>
  <c r="S374" i="3"/>
  <c r="W179" i="3"/>
  <c r="U373" i="3"/>
  <c r="S373" i="3"/>
  <c r="W369" i="3"/>
  <c r="W175" i="3"/>
  <c r="W362" i="3"/>
  <c r="U369" i="3"/>
  <c r="U175" i="3"/>
  <c r="U362" i="3"/>
  <c r="U363" i="3"/>
  <c r="U365" i="3"/>
  <c r="U370" i="3"/>
  <c r="S369" i="3"/>
  <c r="S175" i="3"/>
  <c r="S362" i="3"/>
  <c r="S363" i="3"/>
  <c r="S365" i="3"/>
  <c r="S370" i="3"/>
  <c r="Q369" i="3"/>
  <c r="L13" i="3"/>
  <c r="O13" i="3"/>
  <c r="P13" i="3"/>
  <c r="Q13" i="3"/>
  <c r="P20" i="3"/>
  <c r="L20" i="3"/>
  <c r="M20" i="3"/>
  <c r="O20" i="3"/>
  <c r="Q20" i="3"/>
  <c r="P21" i="3"/>
  <c r="L21" i="3"/>
  <c r="O21" i="3"/>
  <c r="Q21" i="3"/>
  <c r="L22" i="3"/>
  <c r="O22" i="3"/>
  <c r="Q22" i="3"/>
  <c r="P71" i="3"/>
  <c r="O71" i="3"/>
  <c r="Q71" i="3"/>
  <c r="P70" i="3"/>
  <c r="O70" i="3"/>
  <c r="Q70" i="3"/>
  <c r="P69" i="3"/>
  <c r="O69" i="3"/>
  <c r="Q69" i="3"/>
  <c r="P68" i="3"/>
  <c r="O68" i="3"/>
  <c r="Q68" i="3"/>
  <c r="P67" i="3"/>
  <c r="O67" i="3"/>
  <c r="Q67" i="3"/>
  <c r="P66" i="3"/>
  <c r="O66" i="3"/>
  <c r="Q66" i="3"/>
  <c r="P65" i="3"/>
  <c r="O65" i="3"/>
  <c r="Q65" i="3"/>
  <c r="P64" i="3"/>
  <c r="O64" i="3"/>
  <c r="Q64" i="3"/>
  <c r="P63" i="3"/>
  <c r="O63" i="3"/>
  <c r="Q63" i="3"/>
  <c r="P62" i="3"/>
  <c r="O62" i="3"/>
  <c r="Q62" i="3"/>
  <c r="P61" i="3"/>
  <c r="O61" i="3"/>
  <c r="Q61" i="3"/>
  <c r="P49" i="3"/>
  <c r="L49" i="3"/>
  <c r="O49" i="3"/>
  <c r="Q49" i="3"/>
  <c r="P46" i="3"/>
  <c r="L46" i="3"/>
  <c r="O46" i="3"/>
  <c r="Q46" i="3"/>
  <c r="P45" i="3"/>
  <c r="L45" i="3"/>
  <c r="M45" i="3"/>
  <c r="O45" i="3"/>
  <c r="Q45" i="3"/>
  <c r="P41" i="3"/>
  <c r="L41" i="3"/>
  <c r="O41" i="3"/>
  <c r="Q41" i="3"/>
  <c r="P40" i="3"/>
  <c r="L40" i="3"/>
  <c r="M40" i="3"/>
  <c r="O40" i="3"/>
  <c r="Q40" i="3"/>
  <c r="P38" i="3"/>
  <c r="O36" i="3"/>
  <c r="L38" i="3"/>
  <c r="O38" i="3"/>
  <c r="Q38" i="3"/>
  <c r="P37" i="3"/>
  <c r="L37" i="3"/>
  <c r="M37" i="3"/>
  <c r="O37" i="3"/>
  <c r="Q37" i="3"/>
  <c r="P36" i="3"/>
  <c r="Q36" i="3"/>
  <c r="P34" i="3"/>
  <c r="O34" i="3"/>
  <c r="Q34" i="3"/>
  <c r="P33" i="3"/>
  <c r="L33" i="3"/>
  <c r="O33" i="3"/>
  <c r="Q33" i="3"/>
  <c r="P32" i="3"/>
  <c r="L32" i="3"/>
  <c r="M32" i="3"/>
  <c r="O32" i="3"/>
  <c r="Q32" i="3"/>
  <c r="P28" i="3"/>
  <c r="L28" i="3"/>
  <c r="O28" i="3"/>
  <c r="Q28" i="3"/>
  <c r="P27" i="3"/>
  <c r="L27" i="3"/>
  <c r="M27" i="3"/>
  <c r="O27" i="3"/>
  <c r="Q27" i="3"/>
  <c r="O25" i="3"/>
  <c r="P25" i="3"/>
  <c r="Q25" i="3"/>
  <c r="L23" i="3"/>
  <c r="O23" i="3"/>
  <c r="P23" i="3"/>
  <c r="Q23" i="3"/>
  <c r="Q80" i="3"/>
  <c r="L84" i="3"/>
  <c r="L83" i="3"/>
  <c r="O83" i="3"/>
  <c r="P83" i="3"/>
  <c r="Q83" i="3"/>
  <c r="M84" i="3"/>
  <c r="O84" i="3"/>
  <c r="P84" i="3"/>
  <c r="Q84" i="3"/>
  <c r="L86" i="3"/>
  <c r="O86" i="3"/>
  <c r="P86" i="3"/>
  <c r="Q86" i="3"/>
  <c r="O87" i="3"/>
  <c r="P87" i="3"/>
  <c r="Q87" i="3"/>
  <c r="O95" i="3"/>
  <c r="P95" i="3"/>
  <c r="Q95" i="3"/>
  <c r="L94" i="3"/>
  <c r="O94" i="3"/>
  <c r="P94" i="3"/>
  <c r="Q94" i="3"/>
  <c r="L93" i="3"/>
  <c r="O93" i="3"/>
  <c r="P93" i="3"/>
  <c r="Q93" i="3"/>
  <c r="L92" i="3"/>
  <c r="O92" i="3"/>
  <c r="P92" i="3"/>
  <c r="Q92" i="3"/>
  <c r="M91" i="3"/>
  <c r="O91" i="3"/>
  <c r="P91" i="3"/>
  <c r="Q91" i="3"/>
  <c r="O89" i="3"/>
  <c r="P89" i="3"/>
  <c r="Q89" i="3"/>
  <c r="Q97" i="3"/>
  <c r="O110" i="3"/>
  <c r="L108" i="3"/>
  <c r="O108" i="3"/>
  <c r="P108" i="3"/>
  <c r="Q108" i="3"/>
  <c r="O109" i="3"/>
  <c r="P109" i="3"/>
  <c r="Q109" i="3"/>
  <c r="P110" i="3"/>
  <c r="Q110" i="3"/>
  <c r="L111" i="3"/>
  <c r="O111" i="3"/>
  <c r="P111" i="3"/>
  <c r="Q111" i="3"/>
  <c r="O124" i="3"/>
  <c r="P124" i="3"/>
  <c r="Q124" i="3"/>
  <c r="O123" i="3"/>
  <c r="P123" i="3"/>
  <c r="Q123" i="3"/>
  <c r="L122" i="3"/>
  <c r="O122" i="3"/>
  <c r="P122" i="3"/>
  <c r="Q122" i="3"/>
  <c r="O121" i="3"/>
  <c r="P121" i="3"/>
  <c r="Q121" i="3"/>
  <c r="O120" i="3"/>
  <c r="P120" i="3"/>
  <c r="Q120" i="3"/>
  <c r="O119" i="3"/>
  <c r="P119" i="3"/>
  <c r="Q119" i="3"/>
  <c r="O118" i="3"/>
  <c r="P118" i="3"/>
  <c r="Q118" i="3"/>
  <c r="O117" i="3"/>
  <c r="P117" i="3"/>
  <c r="Q117" i="3"/>
  <c r="O116" i="3"/>
  <c r="P116" i="3"/>
  <c r="Q116" i="3"/>
  <c r="O115" i="3"/>
  <c r="P115" i="3"/>
  <c r="Q115" i="3"/>
  <c r="O114" i="3"/>
  <c r="P114" i="3"/>
  <c r="Q114" i="3"/>
  <c r="L113" i="3"/>
  <c r="O113" i="3"/>
  <c r="P113" i="3"/>
  <c r="Q113" i="3"/>
  <c r="L112" i="3"/>
  <c r="O112" i="3"/>
  <c r="P112" i="3"/>
  <c r="Q112" i="3"/>
  <c r="Q125" i="3"/>
  <c r="P127" i="3"/>
  <c r="O127" i="3"/>
  <c r="Q127" i="3"/>
  <c r="P128" i="3"/>
  <c r="M128" i="3"/>
  <c r="O128" i="3"/>
  <c r="Q128" i="3"/>
  <c r="P129" i="3"/>
  <c r="M129" i="3"/>
  <c r="O129" i="3"/>
  <c r="Q129" i="3"/>
  <c r="L131" i="3"/>
  <c r="M131" i="3"/>
  <c r="O131" i="3"/>
  <c r="L130" i="3"/>
  <c r="O130" i="3"/>
  <c r="P130" i="3"/>
  <c r="Q130" i="3"/>
  <c r="L133" i="3"/>
  <c r="O133" i="3"/>
  <c r="P133" i="3"/>
  <c r="Q133" i="3"/>
  <c r="P132" i="3"/>
  <c r="M132" i="3"/>
  <c r="O132" i="3"/>
  <c r="Q132" i="3"/>
  <c r="P131" i="3"/>
  <c r="Q131" i="3"/>
  <c r="Q135" i="3"/>
  <c r="P169" i="3"/>
  <c r="L169" i="3"/>
  <c r="O169" i="3"/>
  <c r="Q169" i="3"/>
  <c r="Q174" i="3"/>
  <c r="Q167" i="3"/>
  <c r="M150" i="3"/>
  <c r="O150" i="3"/>
  <c r="P150" i="3"/>
  <c r="Q150" i="3"/>
  <c r="M151" i="3"/>
  <c r="O151" i="3"/>
  <c r="P151" i="3"/>
  <c r="Q151" i="3"/>
  <c r="O154" i="3"/>
  <c r="P154" i="3"/>
  <c r="Q154" i="3"/>
  <c r="O155" i="3"/>
  <c r="P155" i="3"/>
  <c r="Q155" i="3"/>
  <c r="M158" i="3"/>
  <c r="O158" i="3"/>
  <c r="P158" i="3"/>
  <c r="Q158" i="3"/>
  <c r="L157" i="3"/>
  <c r="O157" i="3"/>
  <c r="P157" i="3"/>
  <c r="Q157" i="3"/>
  <c r="O156" i="3"/>
  <c r="P156" i="3"/>
  <c r="Q156" i="3"/>
  <c r="Q159" i="3"/>
  <c r="P144" i="3"/>
  <c r="O144" i="3"/>
  <c r="Q144" i="3"/>
  <c r="O147" i="3"/>
  <c r="L145" i="3"/>
  <c r="O145" i="3"/>
  <c r="P145" i="3"/>
  <c r="Q145" i="3"/>
  <c r="P146" i="3"/>
  <c r="O146" i="3"/>
  <c r="Q146" i="3"/>
  <c r="P147" i="3"/>
  <c r="Q147" i="3"/>
  <c r="Q148" i="3"/>
  <c r="P139" i="3"/>
  <c r="O139" i="3"/>
  <c r="Q139" i="3"/>
  <c r="P141" i="3"/>
  <c r="O141" i="3"/>
  <c r="Q141" i="3"/>
  <c r="Q143" i="3"/>
  <c r="Q175" i="3"/>
  <c r="Q362" i="3"/>
  <c r="Q363" i="3"/>
  <c r="X364" i="3"/>
  <c r="U364" i="3"/>
  <c r="S364" i="3"/>
  <c r="U360" i="3"/>
  <c r="S360" i="3"/>
  <c r="U359" i="3"/>
  <c r="S359" i="3"/>
  <c r="P352" i="3"/>
  <c r="Q352" i="3"/>
  <c r="P353" i="3"/>
  <c r="Q353" i="3"/>
  <c r="P354" i="3"/>
  <c r="Q354" i="3"/>
  <c r="P355" i="3"/>
  <c r="Q355" i="3"/>
  <c r="P356" i="3"/>
  <c r="Q356" i="3"/>
  <c r="Q358" i="3"/>
  <c r="Y358" i="3"/>
  <c r="W352" i="3"/>
  <c r="W353" i="3"/>
  <c r="W354" i="3"/>
  <c r="W358" i="3"/>
  <c r="Y357" i="3"/>
  <c r="Y356" i="3"/>
  <c r="Y355" i="3"/>
  <c r="Y354" i="3"/>
  <c r="V354" i="3"/>
  <c r="Y353" i="3"/>
  <c r="V353" i="3"/>
  <c r="Y352" i="3"/>
  <c r="V352" i="3"/>
  <c r="Y351" i="3"/>
  <c r="P326" i="3"/>
  <c r="L326" i="3"/>
  <c r="O326" i="3"/>
  <c r="Q326" i="3"/>
  <c r="P327" i="3"/>
  <c r="L327" i="3"/>
  <c r="M327" i="3"/>
  <c r="O327" i="3"/>
  <c r="Q327" i="3"/>
  <c r="Q349" i="3"/>
  <c r="Y349" i="3"/>
  <c r="U349" i="3"/>
  <c r="S349" i="3"/>
  <c r="Y348" i="3"/>
  <c r="V348" i="3"/>
  <c r="Y347" i="3"/>
  <c r="V347" i="3"/>
  <c r="Y346" i="3"/>
  <c r="V346" i="3"/>
  <c r="Y345" i="3"/>
  <c r="V345" i="3"/>
  <c r="Y344" i="3"/>
  <c r="V344" i="3"/>
  <c r="Y343" i="3"/>
  <c r="Y342" i="3"/>
  <c r="Y341" i="3"/>
  <c r="Y340" i="3"/>
  <c r="Y339" i="3"/>
  <c r="Y338" i="3"/>
  <c r="Y337" i="3"/>
  <c r="V337" i="3"/>
  <c r="Y336" i="3"/>
  <c r="V336" i="3"/>
  <c r="Y335" i="3"/>
  <c r="V335" i="3"/>
  <c r="Y334" i="3"/>
  <c r="V334" i="3"/>
  <c r="Y333" i="3"/>
  <c r="V333" i="3"/>
  <c r="Y332" i="3"/>
  <c r="V332" i="3"/>
  <c r="Y331" i="3"/>
  <c r="V331" i="3"/>
  <c r="Y330" i="3"/>
  <c r="V330" i="3"/>
  <c r="Y329" i="3"/>
  <c r="V329" i="3"/>
  <c r="Y328" i="3"/>
  <c r="Y327" i="3"/>
  <c r="Y326" i="3"/>
  <c r="Y325" i="3"/>
  <c r="Y324" i="3"/>
  <c r="Y323" i="3"/>
  <c r="Y322" i="3"/>
  <c r="Y321" i="3"/>
  <c r="Y320" i="3"/>
  <c r="Y319" i="3"/>
  <c r="Y318" i="3"/>
  <c r="Y317" i="3"/>
  <c r="Y316" i="3"/>
  <c r="Y315" i="3"/>
  <c r="Y314" i="3"/>
  <c r="Y313" i="3"/>
  <c r="Y312" i="3"/>
  <c r="V312" i="3"/>
  <c r="Y311" i="3"/>
  <c r="V311" i="3"/>
  <c r="Y310" i="3"/>
  <c r="V310" i="3"/>
  <c r="Y309" i="3"/>
  <c r="V309" i="3"/>
  <c r="Y308" i="3"/>
  <c r="V308" i="3"/>
  <c r="Y307" i="3"/>
  <c r="V307" i="3"/>
  <c r="Y306" i="3"/>
  <c r="V306" i="3"/>
  <c r="Y305" i="3"/>
  <c r="V305" i="3"/>
  <c r="Y304" i="3"/>
  <c r="V304" i="3"/>
  <c r="Y303" i="3"/>
  <c r="Y302" i="3"/>
  <c r="P284" i="3"/>
  <c r="Q284" i="3"/>
  <c r="P285" i="3"/>
  <c r="Q285" i="3"/>
  <c r="P286" i="3"/>
  <c r="L286" i="3"/>
  <c r="O286" i="3"/>
  <c r="Q286" i="3"/>
  <c r="P287" i="3"/>
  <c r="L287" i="3"/>
  <c r="O287" i="3"/>
  <c r="Q287" i="3"/>
  <c r="P300" i="3"/>
  <c r="L299" i="3"/>
  <c r="L300" i="3"/>
  <c r="O300" i="3"/>
  <c r="Q300" i="3"/>
  <c r="P299" i="3"/>
  <c r="O299" i="3"/>
  <c r="Q299" i="3"/>
  <c r="P298" i="3"/>
  <c r="O298" i="3"/>
  <c r="Q298" i="3"/>
  <c r="P297" i="3"/>
  <c r="Q297" i="3"/>
  <c r="P293" i="3"/>
  <c r="L293" i="3"/>
  <c r="M293" i="3"/>
  <c r="O293" i="3"/>
  <c r="Q293" i="3"/>
  <c r="P292" i="3"/>
  <c r="L292" i="3"/>
  <c r="M292" i="3"/>
  <c r="O292" i="3"/>
  <c r="Q292" i="3"/>
  <c r="L291" i="3"/>
  <c r="O291" i="3"/>
  <c r="Q291" i="3"/>
  <c r="P290" i="3"/>
  <c r="O290" i="3"/>
  <c r="Q290" i="3"/>
  <c r="P289" i="3"/>
  <c r="L289" i="3"/>
  <c r="O289" i="3"/>
  <c r="Q289" i="3"/>
  <c r="Q301" i="3"/>
  <c r="Y301" i="3"/>
  <c r="Y300" i="3"/>
  <c r="Y299" i="3"/>
  <c r="Y298" i="3"/>
  <c r="Y297" i="3"/>
  <c r="Y296" i="3"/>
  <c r="Y295" i="3"/>
  <c r="Y294" i="3"/>
  <c r="Y293" i="3"/>
  <c r="Y292" i="3"/>
  <c r="Y291" i="3"/>
  <c r="Y290" i="3"/>
  <c r="Y289" i="3"/>
  <c r="Y288" i="3"/>
  <c r="Y287" i="3"/>
  <c r="Y286" i="3"/>
  <c r="Y285" i="3"/>
  <c r="Y284" i="3"/>
  <c r="Y283" i="3"/>
  <c r="Y282" i="3"/>
  <c r="Y281" i="3"/>
  <c r="Y280" i="3"/>
  <c r="Y279" i="3"/>
  <c r="P262" i="3"/>
  <c r="L262" i="3"/>
  <c r="O262" i="3"/>
  <c r="Q262" i="3"/>
  <c r="P263" i="3"/>
  <c r="L263" i="3"/>
  <c r="M263" i="3"/>
  <c r="O263" i="3"/>
  <c r="Q263" i="3"/>
  <c r="L269" i="3"/>
  <c r="M269" i="3"/>
  <c r="O269" i="3"/>
  <c r="L265" i="3"/>
  <c r="N265" i="3"/>
  <c r="O265" i="3"/>
  <c r="Q265" i="3"/>
  <c r="L266" i="3"/>
  <c r="N266" i="3"/>
  <c r="O266" i="3"/>
  <c r="Q266" i="3"/>
  <c r="P277" i="3"/>
  <c r="Q277" i="3"/>
  <c r="P276" i="3"/>
  <c r="Q276" i="3"/>
  <c r="P275" i="3"/>
  <c r="Q275" i="3"/>
  <c r="L274" i="3"/>
  <c r="M274" i="3"/>
  <c r="O274" i="3"/>
  <c r="Q274" i="3"/>
  <c r="P273" i="3"/>
  <c r="Q273" i="3"/>
  <c r="P272" i="3"/>
  <c r="Q272" i="3"/>
  <c r="P271" i="3"/>
  <c r="Q271" i="3"/>
  <c r="P270" i="3"/>
  <c r="L270" i="3"/>
  <c r="M270" i="3"/>
  <c r="O270" i="3"/>
  <c r="Q270" i="3"/>
  <c r="P269" i="3"/>
  <c r="Q269" i="3"/>
  <c r="P268" i="3"/>
  <c r="Q268" i="3"/>
  <c r="Q278" i="3"/>
  <c r="Y278" i="3"/>
  <c r="Y277" i="3"/>
  <c r="Y276" i="3"/>
  <c r="Y275" i="3"/>
  <c r="Y274" i="3"/>
  <c r="Y273" i="3"/>
  <c r="Y272" i="3"/>
  <c r="Y271" i="3"/>
  <c r="Y270" i="3"/>
  <c r="Y269" i="3"/>
  <c r="Y268" i="3"/>
  <c r="Y267" i="3"/>
  <c r="V267" i="3"/>
  <c r="Y266" i="3"/>
  <c r="Y265" i="3"/>
  <c r="Y264" i="3"/>
  <c r="V264" i="3"/>
  <c r="Y263" i="3"/>
  <c r="Y262" i="3"/>
  <c r="Y261" i="3"/>
  <c r="V261" i="3"/>
  <c r="Y260" i="3"/>
  <c r="V260" i="3"/>
  <c r="Y259" i="3"/>
  <c r="Y258" i="3"/>
  <c r="Y257" i="3"/>
  <c r="Y256" i="3"/>
  <c r="W256" i="3"/>
  <c r="V256" i="3"/>
  <c r="Y255" i="3"/>
  <c r="W255" i="3"/>
  <c r="V255" i="3"/>
  <c r="Y254" i="3"/>
  <c r="Y253" i="3"/>
  <c r="Y252" i="3"/>
  <c r="W252" i="3"/>
  <c r="V252" i="3"/>
  <c r="Y251" i="3"/>
  <c r="Y250" i="3"/>
  <c r="Y249" i="3"/>
  <c r="Y248" i="3"/>
  <c r="Y247" i="3"/>
  <c r="W247" i="3"/>
  <c r="V247" i="3"/>
  <c r="Y246" i="3"/>
  <c r="Y245" i="3"/>
  <c r="Y244" i="3"/>
  <c r="Y243" i="3"/>
  <c r="Y242" i="3"/>
  <c r="Y241" i="3"/>
  <c r="Y240" i="3"/>
  <c r="Y239" i="3"/>
  <c r="Y238" i="3"/>
  <c r="W238" i="3"/>
  <c r="V238" i="3"/>
  <c r="Y237" i="3"/>
  <c r="Y236" i="3"/>
  <c r="Y234" i="3"/>
  <c r="Y233" i="3"/>
  <c r="Y232" i="3"/>
  <c r="Y231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Y216" i="3"/>
  <c r="M216" i="3"/>
  <c r="Y215" i="3"/>
  <c r="M215" i="3"/>
  <c r="Y214" i="3"/>
  <c r="M214" i="3"/>
  <c r="Y213" i="3"/>
  <c r="M213" i="3"/>
  <c r="Y212" i="3"/>
  <c r="M212" i="3"/>
  <c r="Y211" i="3"/>
  <c r="Y210" i="3"/>
  <c r="Y209" i="3"/>
  <c r="Y208" i="3"/>
  <c r="M208" i="3"/>
  <c r="Y207" i="3"/>
  <c r="Y206" i="3"/>
  <c r="P205" i="3"/>
  <c r="O204" i="3"/>
  <c r="P203" i="3"/>
  <c r="L194" i="3"/>
  <c r="L203" i="3"/>
  <c r="M203" i="3"/>
  <c r="O203" i="3"/>
  <c r="P202" i="3"/>
  <c r="L202" i="3"/>
  <c r="M202" i="3"/>
  <c r="O202" i="3"/>
  <c r="Y201" i="3"/>
  <c r="P200" i="3"/>
  <c r="L200" i="3"/>
  <c r="O200" i="3"/>
  <c r="P199" i="3"/>
  <c r="L199" i="3"/>
  <c r="M199" i="3"/>
  <c r="O199" i="3"/>
  <c r="P198" i="3"/>
  <c r="L198" i="3"/>
  <c r="O198" i="3"/>
  <c r="P197" i="3"/>
  <c r="L197" i="3"/>
  <c r="O197" i="3"/>
  <c r="P196" i="3"/>
  <c r="L196" i="3"/>
  <c r="M196" i="3"/>
  <c r="O196" i="3"/>
  <c r="P195" i="3"/>
  <c r="L195" i="3"/>
  <c r="M195" i="3"/>
  <c r="O195" i="3"/>
  <c r="P194" i="3"/>
  <c r="O194" i="3"/>
  <c r="P193" i="3"/>
  <c r="L186" i="3"/>
  <c r="L191" i="3"/>
  <c r="L193" i="3"/>
  <c r="M193" i="3"/>
  <c r="O193" i="3"/>
  <c r="P192" i="3"/>
  <c r="M192" i="3"/>
  <c r="O192" i="3"/>
  <c r="P191" i="3"/>
  <c r="M191" i="3"/>
  <c r="O191" i="3"/>
  <c r="P189" i="3"/>
  <c r="L187" i="3"/>
  <c r="L188" i="3"/>
  <c r="M188" i="3"/>
  <c r="O188" i="3"/>
  <c r="L189" i="3"/>
  <c r="O189" i="3"/>
  <c r="M187" i="3"/>
  <c r="O187" i="3"/>
  <c r="O186" i="3"/>
  <c r="P185" i="3"/>
  <c r="Y184" i="3"/>
  <c r="Y183" i="3"/>
  <c r="Y182" i="3"/>
  <c r="Y181" i="3"/>
  <c r="Y180" i="3"/>
  <c r="Y179" i="3"/>
  <c r="V179" i="3"/>
  <c r="Y178" i="3"/>
  <c r="Y177" i="3"/>
  <c r="Y176" i="3"/>
  <c r="Y175" i="3"/>
  <c r="Y174" i="3"/>
  <c r="Y173" i="3"/>
  <c r="Y172" i="3"/>
  <c r="V172" i="3"/>
  <c r="Y171" i="3"/>
  <c r="V171" i="3"/>
  <c r="Y170" i="3"/>
  <c r="O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V142" i="3"/>
  <c r="Y141" i="3"/>
  <c r="Y140" i="3"/>
  <c r="V140" i="3"/>
  <c r="Y139" i="3"/>
  <c r="Y138" i="3"/>
  <c r="V138" i="3"/>
  <c r="Y137" i="3"/>
  <c r="Y136" i="3"/>
  <c r="Y135" i="3"/>
  <c r="Y134" i="3"/>
  <c r="Z134" i="3"/>
  <c r="V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P90" i="3"/>
  <c r="Y89" i="3"/>
  <c r="Y88" i="3"/>
  <c r="Y87" i="3"/>
  <c r="Y86" i="3"/>
  <c r="Y85" i="3"/>
  <c r="M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V60" i="3"/>
  <c r="Y59" i="3"/>
  <c r="V59" i="3"/>
  <c r="Y58" i="3"/>
  <c r="V58" i="3"/>
  <c r="Y57" i="3"/>
  <c r="V57" i="3"/>
  <c r="Y56" i="3"/>
  <c r="V56" i="3"/>
  <c r="Y55" i="3"/>
  <c r="V55" i="3"/>
  <c r="Y54" i="3"/>
  <c r="V54" i="3"/>
  <c r="Y53" i="3"/>
  <c r="V53" i="3"/>
  <c r="Y52" i="3"/>
  <c r="V52" i="3"/>
  <c r="Y51" i="3"/>
  <c r="V51" i="3"/>
  <c r="Y50" i="3"/>
  <c r="V50" i="3"/>
  <c r="Y49" i="3"/>
  <c r="Y48" i="3"/>
  <c r="V48" i="3"/>
  <c r="Y47" i="3"/>
  <c r="V47" i="3"/>
  <c r="Y46" i="3"/>
  <c r="Y45" i="3"/>
  <c r="Y44" i="3"/>
  <c r="V44" i="3"/>
  <c r="Y43" i="3"/>
  <c r="V43" i="3"/>
  <c r="Y42" i="3"/>
  <c r="Y41" i="3"/>
  <c r="Y40" i="3"/>
  <c r="Y39" i="3"/>
  <c r="V39" i="3"/>
  <c r="Y38" i="3"/>
  <c r="Y37" i="3"/>
  <c r="Y36" i="3"/>
  <c r="Y35" i="3"/>
  <c r="V35" i="3"/>
  <c r="Y34" i="3"/>
  <c r="Y33" i="3"/>
  <c r="Y32" i="3"/>
  <c r="Y31" i="3"/>
  <c r="V31" i="3"/>
  <c r="Y30" i="3"/>
  <c r="V30" i="3"/>
  <c r="Y29" i="3"/>
  <c r="Y28" i="3"/>
  <c r="Y27" i="3"/>
  <c r="Y26" i="3"/>
  <c r="V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V7" i="3"/>
  <c r="AK4" i="3"/>
  <c r="AC6" i="2"/>
  <c r="AC7" i="2"/>
  <c r="AC8" i="2"/>
  <c r="AC9" i="2"/>
  <c r="AC10" i="2"/>
  <c r="AD6" i="2"/>
  <c r="AC11" i="2"/>
  <c r="AC12" i="2"/>
  <c r="AC13" i="2"/>
  <c r="AC14" i="2"/>
  <c r="AC15" i="2"/>
  <c r="AD11" i="2"/>
  <c r="AC17" i="2"/>
  <c r="AC18" i="2"/>
  <c r="AD17" i="2"/>
  <c r="AC19" i="2"/>
  <c r="AC20" i="2"/>
  <c r="AC21" i="2"/>
  <c r="AD19" i="2"/>
  <c r="AC44" i="2"/>
  <c r="AC45" i="2"/>
  <c r="AD44" i="2"/>
  <c r="AC37" i="2"/>
  <c r="AC38" i="2"/>
  <c r="AC39" i="2"/>
  <c r="AC40" i="2"/>
  <c r="AC43" i="2"/>
  <c r="AC42" i="2"/>
  <c r="AC41" i="2"/>
  <c r="AD37" i="2"/>
  <c r="AC34" i="2"/>
  <c r="AC35" i="2"/>
  <c r="AC36" i="2"/>
  <c r="AD34" i="2"/>
  <c r="AC32" i="2"/>
  <c r="AC33" i="2"/>
  <c r="AD32" i="2"/>
  <c r="AC23" i="2"/>
  <c r="AC24" i="2"/>
  <c r="AC25" i="2"/>
  <c r="AC26" i="2"/>
  <c r="AC31" i="2"/>
  <c r="AC30" i="2"/>
  <c r="AC29" i="2"/>
  <c r="AC28" i="2"/>
  <c r="AC27" i="2"/>
  <c r="AD23" i="2"/>
  <c r="AD46" i="2"/>
  <c r="AD47" i="2"/>
  <c r="E6" i="2"/>
  <c r="E7" i="2"/>
  <c r="E8" i="2"/>
  <c r="E9" i="2"/>
  <c r="E10" i="2"/>
  <c r="F6" i="2"/>
  <c r="E12" i="2"/>
  <c r="E13" i="2"/>
  <c r="E14" i="2"/>
  <c r="E15" i="2"/>
  <c r="E17" i="2"/>
  <c r="E16" i="2"/>
  <c r="F12" i="2"/>
  <c r="M6" i="2"/>
  <c r="M7" i="2"/>
  <c r="M8" i="2"/>
  <c r="M9" i="2"/>
  <c r="N6" i="2"/>
  <c r="M10" i="2"/>
  <c r="M11" i="2"/>
  <c r="N10" i="2"/>
  <c r="M12" i="2"/>
  <c r="M13" i="2"/>
  <c r="M14" i="2"/>
  <c r="M15" i="2"/>
  <c r="N12" i="2"/>
  <c r="M16" i="2"/>
  <c r="M17" i="2"/>
  <c r="M18" i="2"/>
  <c r="M19" i="2"/>
  <c r="N16" i="2"/>
  <c r="M43" i="2"/>
  <c r="M44" i="2"/>
  <c r="N43" i="2"/>
  <c r="M37" i="2"/>
  <c r="M38" i="2"/>
  <c r="M39" i="2"/>
  <c r="M40" i="2"/>
  <c r="M42" i="2"/>
  <c r="M41" i="2"/>
  <c r="N37" i="2"/>
  <c r="M34" i="2"/>
  <c r="M35" i="2"/>
  <c r="M36" i="2"/>
  <c r="N34" i="2"/>
  <c r="M32" i="2"/>
  <c r="M33" i="2"/>
  <c r="N32" i="2"/>
  <c r="M23" i="2"/>
  <c r="M24" i="2"/>
  <c r="M25" i="2"/>
  <c r="M26" i="2"/>
  <c r="M31" i="2"/>
  <c r="M30" i="2"/>
  <c r="M29" i="2"/>
  <c r="M28" i="2"/>
  <c r="M27" i="2"/>
  <c r="N23" i="2"/>
  <c r="M20" i="2"/>
  <c r="M21" i="2"/>
  <c r="M22" i="2"/>
  <c r="N20" i="2"/>
  <c r="N45" i="2"/>
  <c r="N46" i="2"/>
  <c r="U6" i="2"/>
  <c r="U7" i="2"/>
  <c r="U8" i="2"/>
  <c r="U9" i="2"/>
  <c r="U10" i="2"/>
  <c r="V6" i="2"/>
  <c r="U11" i="2"/>
  <c r="U12" i="2"/>
  <c r="U13" i="2"/>
  <c r="U14" i="2"/>
  <c r="V11" i="2"/>
  <c r="U15" i="2"/>
  <c r="U16" i="2"/>
  <c r="U17" i="2"/>
  <c r="V15" i="2"/>
  <c r="U18" i="2"/>
  <c r="U19" i="2"/>
  <c r="U20" i="2"/>
  <c r="V18" i="2"/>
  <c r="U42" i="2"/>
  <c r="U43" i="2"/>
  <c r="V42" i="2"/>
  <c r="U35" i="2"/>
  <c r="U36" i="2"/>
  <c r="U37" i="2"/>
  <c r="U38" i="2"/>
  <c r="U41" i="2"/>
  <c r="U40" i="2"/>
  <c r="U39" i="2"/>
  <c r="V35" i="2"/>
  <c r="U32" i="2"/>
  <c r="U33" i="2"/>
  <c r="U34" i="2"/>
  <c r="V32" i="2"/>
  <c r="U30" i="2"/>
  <c r="U31" i="2"/>
  <c r="V30" i="2"/>
  <c r="U21" i="2"/>
  <c r="U22" i="2"/>
  <c r="U23" i="2"/>
  <c r="U24" i="2"/>
  <c r="U29" i="2"/>
  <c r="U28" i="2"/>
  <c r="U27" i="2"/>
  <c r="U26" i="2"/>
  <c r="U25" i="2"/>
  <c r="V21" i="2"/>
  <c r="V44" i="2"/>
  <c r="V45" i="2"/>
  <c r="E45" i="2"/>
  <c r="AF44" i="2"/>
  <c r="AE44" i="2"/>
  <c r="E44" i="2"/>
  <c r="F44" i="2"/>
  <c r="G44" i="2"/>
  <c r="P43" i="2"/>
  <c r="O43" i="2"/>
  <c r="E43" i="2"/>
  <c r="X42" i="2"/>
  <c r="W42" i="2"/>
  <c r="E42" i="2"/>
  <c r="E41" i="2"/>
  <c r="E40" i="2"/>
  <c r="F40" i="2"/>
  <c r="G40" i="2"/>
  <c r="E38" i="2"/>
  <c r="AF37" i="2"/>
  <c r="AE37" i="2"/>
  <c r="P37" i="2"/>
  <c r="O37" i="2"/>
  <c r="E37" i="2"/>
  <c r="E36" i="2"/>
  <c r="X35" i="2"/>
  <c r="W35" i="2"/>
  <c r="E35" i="2"/>
  <c r="F35" i="2"/>
  <c r="G35" i="2"/>
  <c r="AF34" i="2"/>
  <c r="AE34" i="2"/>
  <c r="P34" i="2"/>
  <c r="O34" i="2"/>
  <c r="E34" i="2"/>
  <c r="E33" i="2"/>
  <c r="AF32" i="2"/>
  <c r="AE32" i="2"/>
  <c r="X32" i="2"/>
  <c r="W32" i="2"/>
  <c r="P32" i="2"/>
  <c r="O32" i="2"/>
  <c r="E32" i="2"/>
  <c r="E31" i="2"/>
  <c r="F31" i="2"/>
  <c r="G31" i="2"/>
  <c r="X30" i="2"/>
  <c r="W30" i="2"/>
  <c r="E30" i="2"/>
  <c r="E29" i="2"/>
  <c r="F29" i="2"/>
  <c r="G29" i="2"/>
  <c r="E28" i="2"/>
  <c r="F28" i="2"/>
  <c r="G28" i="2"/>
  <c r="E27" i="2"/>
  <c r="AF23" i="2"/>
  <c r="AE23" i="2"/>
  <c r="P23" i="2"/>
  <c r="O23" i="2"/>
  <c r="X21" i="2"/>
  <c r="W21" i="2"/>
  <c r="P20" i="2"/>
  <c r="O20" i="2"/>
  <c r="AF19" i="2"/>
  <c r="AE19" i="2"/>
  <c r="X18" i="2"/>
  <c r="W18" i="2"/>
  <c r="AF17" i="2"/>
  <c r="AE17" i="2"/>
  <c r="P16" i="2"/>
  <c r="O16" i="2"/>
  <c r="X15" i="2"/>
  <c r="W15" i="2"/>
  <c r="P12" i="2"/>
  <c r="O12" i="2"/>
  <c r="J10" i="2"/>
  <c r="J12" i="2"/>
  <c r="G12" i="2"/>
  <c r="AF11" i="2"/>
  <c r="AE11" i="2"/>
  <c r="X11" i="2"/>
  <c r="W11" i="2"/>
  <c r="P10" i="2"/>
  <c r="O10" i="2"/>
  <c r="AF6" i="2"/>
  <c r="AE6" i="2"/>
  <c r="X6" i="2"/>
  <c r="W6" i="2"/>
  <c r="P6" i="2"/>
  <c r="O6" i="2"/>
  <c r="G6" i="2"/>
  <c r="G10" i="1"/>
  <c r="AX10" i="1"/>
  <c r="AZ10" i="1"/>
  <c r="BB10" i="1"/>
  <c r="BD10" i="1"/>
  <c r="AN10" i="1"/>
  <c r="AP10" i="1"/>
  <c r="AR10" i="1"/>
  <c r="AT10" i="1"/>
  <c r="T10" i="1"/>
  <c r="V10" i="1"/>
  <c r="X10" i="1"/>
  <c r="Z10" i="1"/>
  <c r="R10" i="1"/>
  <c r="AB10" i="1"/>
  <c r="AL10" i="1"/>
  <c r="AV10" i="1"/>
  <c r="BF10" i="1"/>
  <c r="AD11" i="1"/>
  <c r="AJ11" i="1"/>
  <c r="V11" i="1"/>
  <c r="Z11" i="1"/>
  <c r="AB11" i="1"/>
  <c r="AL11" i="1"/>
  <c r="AV11" i="1"/>
  <c r="BF11" i="1"/>
  <c r="BC10" i="1"/>
  <c r="BC12" i="1"/>
  <c r="BC13" i="1"/>
  <c r="M14" i="1"/>
  <c r="O14" i="1"/>
  <c r="AW14" i="1"/>
  <c r="AY14" i="1"/>
  <c r="BA14" i="1"/>
  <c r="BC14" i="1"/>
  <c r="E15" i="1"/>
  <c r="AW15" i="1"/>
  <c r="AY15" i="1"/>
  <c r="BA15" i="1"/>
  <c r="BC15" i="1"/>
  <c r="BC16" i="1"/>
  <c r="BA16" i="1"/>
  <c r="AY16" i="1"/>
  <c r="AW16" i="1"/>
  <c r="Q10" i="1"/>
  <c r="S10" i="1"/>
  <c r="Y10" i="1"/>
  <c r="AA10" i="1"/>
  <c r="AK10" i="1"/>
  <c r="AS10" i="1"/>
  <c r="AU10" i="1"/>
  <c r="Y11" i="1"/>
  <c r="AA11" i="1"/>
  <c r="AI11" i="1"/>
  <c r="AK11" i="1"/>
  <c r="AU11" i="1"/>
  <c r="O12" i="1"/>
  <c r="Q12" i="1"/>
  <c r="Y12" i="1"/>
  <c r="AA12" i="1"/>
  <c r="AK12" i="1"/>
  <c r="AS12" i="1"/>
  <c r="AU12" i="1"/>
  <c r="O13" i="1"/>
  <c r="Q13" i="1"/>
  <c r="S13" i="1"/>
  <c r="Y13" i="1"/>
  <c r="AA13" i="1"/>
  <c r="E13" i="1"/>
  <c r="AC13" i="1"/>
  <c r="AE13" i="1"/>
  <c r="AG13" i="1"/>
  <c r="AI13" i="1"/>
  <c r="AK13" i="1"/>
  <c r="AS13" i="1"/>
  <c r="AU13" i="1"/>
  <c r="AI14" i="1"/>
  <c r="AM15" i="1"/>
  <c r="AS15" i="1"/>
  <c r="S14" i="1"/>
  <c r="AC15" i="1"/>
  <c r="AE15" i="1"/>
  <c r="AG15" i="1"/>
  <c r="AI15" i="1"/>
  <c r="Y15" i="1"/>
  <c r="O15" i="1"/>
  <c r="Q15" i="1"/>
  <c r="AA15" i="1"/>
  <c r="AK15" i="1"/>
  <c r="AU15" i="1"/>
  <c r="E14" i="1"/>
  <c r="AM14" i="1"/>
  <c r="AO14" i="1"/>
  <c r="AQ14" i="1"/>
  <c r="AS14" i="1"/>
  <c r="W14" i="1"/>
  <c r="Y14" i="1"/>
  <c r="Q14" i="1"/>
  <c r="AA14" i="1"/>
  <c r="AK14" i="1"/>
  <c r="AU14" i="1"/>
  <c r="AU16" i="1"/>
  <c r="AS16" i="1"/>
  <c r="AQ16" i="1"/>
  <c r="AO16" i="1"/>
  <c r="AM16" i="1"/>
  <c r="AK16" i="1"/>
  <c r="G13" i="1"/>
  <c r="AD13" i="1"/>
  <c r="AF13" i="1"/>
  <c r="AH13" i="1"/>
  <c r="AJ13" i="1"/>
  <c r="AC14" i="1"/>
  <c r="G14" i="1"/>
  <c r="AD14" i="1"/>
  <c r="AF14" i="1"/>
  <c r="AH14" i="1"/>
  <c r="AJ14" i="1"/>
  <c r="G15" i="1"/>
  <c r="AD15" i="1"/>
  <c r="AF15" i="1"/>
  <c r="AH15" i="1"/>
  <c r="AJ15" i="1"/>
  <c r="AJ16" i="1"/>
  <c r="AI16" i="1"/>
  <c r="AH10" i="1"/>
  <c r="AG16" i="1"/>
  <c r="AF10" i="1"/>
  <c r="AE16" i="1"/>
  <c r="AD10" i="1"/>
  <c r="AC16" i="1"/>
  <c r="AA16" i="1"/>
  <c r="Y16" i="1"/>
  <c r="W16" i="1"/>
  <c r="U16" i="1"/>
  <c r="S16" i="1"/>
  <c r="Q16" i="1"/>
  <c r="J10" i="1"/>
  <c r="L10" i="1"/>
  <c r="N10" i="1"/>
  <c r="P10" i="1"/>
  <c r="P11" i="1"/>
  <c r="O10" i="1"/>
  <c r="O11" i="1"/>
  <c r="O16" i="1"/>
  <c r="M16" i="1"/>
  <c r="K16" i="1"/>
  <c r="I16" i="1"/>
  <c r="F10" i="1"/>
  <c r="F11" i="1"/>
  <c r="E16" i="1"/>
  <c r="AX15" i="1"/>
  <c r="AZ15" i="1"/>
  <c r="BB15" i="1"/>
  <c r="BD15" i="1"/>
  <c r="AN15" i="1"/>
  <c r="AP15" i="1"/>
  <c r="AR15" i="1"/>
  <c r="AT15" i="1"/>
  <c r="T15" i="1"/>
  <c r="V15" i="1"/>
  <c r="X15" i="1"/>
  <c r="Z15" i="1"/>
  <c r="J15" i="1"/>
  <c r="L15" i="1"/>
  <c r="N15" i="1"/>
  <c r="P15" i="1"/>
  <c r="R15" i="1"/>
  <c r="AB15" i="1"/>
  <c r="AL15" i="1"/>
  <c r="AV15" i="1"/>
  <c r="BF15" i="1"/>
  <c r="BE15" i="1"/>
  <c r="F15" i="1"/>
  <c r="B11" i="1"/>
  <c r="B12" i="1"/>
  <c r="B13" i="1"/>
  <c r="B14" i="1"/>
  <c r="B15" i="1"/>
  <c r="AX14" i="1"/>
  <c r="AZ14" i="1"/>
  <c r="BB14" i="1"/>
  <c r="BD14" i="1"/>
  <c r="AN14" i="1"/>
  <c r="AP14" i="1"/>
  <c r="AR14" i="1"/>
  <c r="AT14" i="1"/>
  <c r="T14" i="1"/>
  <c r="V14" i="1"/>
  <c r="X14" i="1"/>
  <c r="Z14" i="1"/>
  <c r="J14" i="1"/>
  <c r="L14" i="1"/>
  <c r="N14" i="1"/>
  <c r="P14" i="1"/>
  <c r="R14" i="1"/>
  <c r="AB14" i="1"/>
  <c r="AL14" i="1"/>
  <c r="AV14" i="1"/>
  <c r="BF14" i="1"/>
  <c r="BE14" i="1"/>
  <c r="F14" i="1"/>
  <c r="AX13" i="1"/>
  <c r="AZ13" i="1"/>
  <c r="BB13" i="1"/>
  <c r="BD13" i="1"/>
  <c r="AN13" i="1"/>
  <c r="AP13" i="1"/>
  <c r="AR13" i="1"/>
  <c r="AT13" i="1"/>
  <c r="T13" i="1"/>
  <c r="V13" i="1"/>
  <c r="X13" i="1"/>
  <c r="Z13" i="1"/>
  <c r="J13" i="1"/>
  <c r="L13" i="1"/>
  <c r="N13" i="1"/>
  <c r="P13" i="1"/>
  <c r="R13" i="1"/>
  <c r="AB13" i="1"/>
  <c r="AL13" i="1"/>
  <c r="AV13" i="1"/>
  <c r="BF13" i="1"/>
  <c r="BE13" i="1"/>
  <c r="F13" i="1"/>
  <c r="BE12" i="1"/>
  <c r="E12" i="1"/>
  <c r="BE11" i="1"/>
  <c r="G11" i="1"/>
  <c r="E11" i="1"/>
  <c r="BE10" i="1"/>
  <c r="E10" i="1"/>
  <c r="S402" i="6"/>
  <c r="S403" i="6"/>
  <c r="S404" i="6"/>
  <c r="W402" i="6"/>
  <c r="V402" i="6"/>
  <c r="S197" i="6"/>
  <c r="S199" i="6"/>
  <c r="S200" i="6"/>
  <c r="W197" i="6"/>
  <c r="V197" i="6"/>
  <c r="S418" i="5"/>
  <c r="S420" i="5"/>
  <c r="S421" i="5"/>
  <c r="W418" i="5"/>
  <c r="V418" i="5"/>
  <c r="S194" i="5"/>
  <c r="S196" i="5"/>
  <c r="S197" i="5"/>
  <c r="W194" i="5"/>
  <c r="V194" i="5"/>
  <c r="Q185" i="3"/>
  <c r="Q186" i="3"/>
  <c r="Q187" i="3"/>
  <c r="Q188" i="3"/>
  <c r="Q205" i="3"/>
  <c r="Q204" i="3"/>
  <c r="Q203" i="3"/>
  <c r="Q202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P230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35" i="3"/>
  <c r="Q350" i="3"/>
  <c r="Q374" i="3"/>
  <c r="Q375" i="3"/>
  <c r="Q380" i="3"/>
  <c r="W218" i="3"/>
  <c r="W219" i="3"/>
  <c r="W220" i="3"/>
  <c r="W221" i="3"/>
  <c r="W222" i="3"/>
  <c r="W297" i="3"/>
  <c r="W285" i="3"/>
  <c r="W284" i="3"/>
  <c r="W205" i="3"/>
  <c r="W217" i="3"/>
  <c r="W185" i="3"/>
  <c r="Q364" i="3"/>
  <c r="Q365" i="3"/>
  <c r="Q370" i="3"/>
  <c r="Q359" i="3"/>
  <c r="Z359" i="3"/>
  <c r="Y359" i="3"/>
  <c r="Z358" i="3"/>
  <c r="Z350" i="3"/>
  <c r="Y350" i="3"/>
  <c r="Z349" i="3"/>
  <c r="Z301" i="3"/>
  <c r="V297" i="3"/>
  <c r="V285" i="3"/>
  <c r="V284" i="3"/>
  <c r="Z278" i="3"/>
  <c r="Z258" i="3"/>
  <c r="Z235" i="3"/>
  <c r="Y235" i="3"/>
  <c r="Y230" i="3"/>
  <c r="Y229" i="3"/>
  <c r="Y228" i="3"/>
  <c r="Y227" i="3"/>
  <c r="Y226" i="3"/>
  <c r="Y225" i="3"/>
  <c r="Y224" i="3"/>
  <c r="Y223" i="3"/>
  <c r="Y222" i="3"/>
  <c r="V222" i="3"/>
  <c r="Y221" i="3"/>
  <c r="V221" i="3"/>
  <c r="Y220" i="3"/>
  <c r="V220" i="3"/>
  <c r="Y219" i="3"/>
  <c r="V219" i="3"/>
  <c r="Y218" i="3"/>
  <c r="V218" i="3"/>
  <c r="Y217" i="3"/>
  <c r="V217" i="3"/>
  <c r="Y205" i="3"/>
  <c r="V205" i="3"/>
  <c r="Y204" i="3"/>
  <c r="Y203" i="3"/>
  <c r="Y202" i="3"/>
  <c r="Y200" i="3"/>
  <c r="Y199" i="3"/>
  <c r="Y198" i="3"/>
  <c r="Y197" i="3"/>
  <c r="Y196" i="3"/>
  <c r="Y195" i="3"/>
  <c r="Y194" i="3"/>
  <c r="Y193" i="3"/>
  <c r="Y192" i="3"/>
  <c r="Y191" i="3"/>
  <c r="Y190" i="3"/>
  <c r="W190" i="3"/>
  <c r="V190" i="3"/>
  <c r="Y189" i="3"/>
  <c r="Y188" i="3"/>
  <c r="Y187" i="3"/>
  <c r="Y186" i="3"/>
  <c r="Y185" i="3"/>
  <c r="V185" i="3"/>
  <c r="Z175" i="3"/>
  <c r="Z174" i="3"/>
  <c r="Z167" i="3"/>
  <c r="Z159" i="3"/>
  <c r="Z148" i="3"/>
  <c r="Z143" i="3"/>
  <c r="Z135" i="3"/>
  <c r="Z125" i="3"/>
  <c r="Z97" i="3"/>
  <c r="Z80" i="3"/>
  <c r="E18" i="2"/>
  <c r="E19" i="2"/>
  <c r="E20" i="2"/>
  <c r="E21" i="2"/>
  <c r="E22" i="2"/>
  <c r="E26" i="2"/>
  <c r="E25" i="2"/>
  <c r="E24" i="2"/>
  <c r="E23" i="2"/>
  <c r="F18" i="2"/>
  <c r="F46" i="2"/>
  <c r="F47" i="2"/>
  <c r="H44" i="2"/>
  <c r="H40" i="2"/>
  <c r="H35" i="2"/>
  <c r="H31" i="2"/>
  <c r="H29" i="2"/>
  <c r="H28" i="2"/>
  <c r="H18" i="2"/>
  <c r="G18" i="2"/>
  <c r="H12" i="2"/>
  <c r="H6" i="2"/>
  <c r="G12" i="1"/>
  <c r="AX12" i="1"/>
  <c r="AZ12" i="1"/>
  <c r="BB12" i="1"/>
  <c r="BD12" i="1"/>
  <c r="AN12" i="1"/>
  <c r="AP12" i="1"/>
  <c r="AR12" i="1"/>
  <c r="AT12" i="1"/>
  <c r="T12" i="1"/>
  <c r="V12" i="1"/>
  <c r="X12" i="1"/>
  <c r="Z12" i="1"/>
  <c r="J12" i="1"/>
  <c r="L12" i="1"/>
  <c r="N12" i="1"/>
  <c r="P12" i="1"/>
  <c r="R12" i="1"/>
  <c r="AB12" i="1"/>
  <c r="AL12" i="1"/>
  <c r="AV12" i="1"/>
  <c r="BF12" i="1"/>
  <c r="BF16" i="1"/>
  <c r="BD16" i="1"/>
  <c r="BB16" i="1"/>
  <c r="AZ16" i="1"/>
  <c r="AX16" i="1"/>
  <c r="AV16" i="1"/>
  <c r="AT16" i="1"/>
  <c r="AR16" i="1"/>
  <c r="AP16" i="1"/>
  <c r="AN16" i="1"/>
  <c r="AL16" i="1"/>
  <c r="AH12" i="1"/>
  <c r="AH16" i="1"/>
  <c r="AF12" i="1"/>
  <c r="AF16" i="1"/>
  <c r="AD12" i="1"/>
  <c r="AD16" i="1"/>
  <c r="AB16" i="1"/>
  <c r="Z16" i="1"/>
  <c r="X16" i="1"/>
  <c r="V16" i="1"/>
  <c r="T16" i="1"/>
  <c r="R16" i="1"/>
  <c r="P16" i="1"/>
  <c r="N16" i="1"/>
  <c r="L16" i="1"/>
  <c r="J16" i="1"/>
  <c r="F12" i="1"/>
  <c r="F16" i="1"/>
  <c r="G16" i="1"/>
  <c r="H10" i="1"/>
  <c r="H11" i="1"/>
  <c r="H12" i="1"/>
  <c r="H13" i="1"/>
  <c r="H14" i="1"/>
  <c r="H15" i="1"/>
  <c r="H16" i="1"/>
  <c r="W223" i="3"/>
  <c r="W224" i="3"/>
  <c r="W225" i="3"/>
  <c r="W226" i="3"/>
  <c r="W277" i="3"/>
  <c r="W276" i="3"/>
  <c r="W275" i="3"/>
  <c r="W273" i="3"/>
  <c r="W272" i="3"/>
  <c r="W271" i="3"/>
  <c r="W268" i="3"/>
  <c r="W258" i="3"/>
  <c r="W278" i="3"/>
  <c r="W301" i="3"/>
  <c r="W350" i="3"/>
  <c r="W374" i="3"/>
  <c r="W373" i="3"/>
  <c r="W363" i="3"/>
  <c r="W365" i="3"/>
  <c r="W370" i="3"/>
  <c r="W364" i="3"/>
  <c r="W360" i="3"/>
  <c r="W359" i="3"/>
  <c r="W349" i="3"/>
  <c r="V277" i="3"/>
  <c r="V276" i="3"/>
  <c r="V275" i="3"/>
  <c r="V273" i="3"/>
  <c r="V272" i="3"/>
  <c r="V271" i="3"/>
  <c r="V268" i="3"/>
  <c r="V226" i="3"/>
  <c r="V225" i="3"/>
  <c r="V224" i="3"/>
  <c r="V223" i="3"/>
</calcChain>
</file>

<file path=xl/sharedStrings.xml><?xml version="1.0" encoding="utf-8"?>
<sst xmlns="http://schemas.openxmlformats.org/spreadsheetml/2006/main" count="4442" uniqueCount="572">
  <si>
    <t xml:space="preserve">RENCANA KERJA PROYEK ( RKP ) </t>
  </si>
  <si>
    <t>PT. BUANA KARYA BHAKTI</t>
  </si>
  <si>
    <t>KEBUN SATUI TIMUR</t>
  </si>
  <si>
    <t>LUAS :</t>
  </si>
  <si>
    <t>400.8 Ha</t>
  </si>
  <si>
    <t>Tahun Tanam 2025/2026/2027/2028/202-29</t>
  </si>
  <si>
    <t>No.</t>
  </si>
  <si>
    <t>Pekerjaan</t>
  </si>
  <si>
    <t>Rencana</t>
  </si>
  <si>
    <t>Harga
Satuan 
(Per/Ha)</t>
  </si>
  <si>
    <t>Prosentase (%)</t>
  </si>
  <si>
    <t>TAHUN I ( 2025 )</t>
  </si>
  <si>
    <t>TAHUN II ( 2026 )</t>
  </si>
  <si>
    <t>TAHUN III ( 2027 )</t>
  </si>
  <si>
    <t>TAHUN IV ( 2028 )</t>
  </si>
  <si>
    <t>TAHUN IV ( 2029 )</t>
  </si>
  <si>
    <t>Proyek 4 Tahun</t>
  </si>
  <si>
    <t>Catur Wulan 1</t>
  </si>
  <si>
    <t>Catur Wulan 2</t>
  </si>
  <si>
    <t>Catur Wulan 3</t>
  </si>
  <si>
    <t>Jumlah Tahun I</t>
  </si>
  <si>
    <t>Jumlah S/d Tahun I</t>
  </si>
  <si>
    <t>Jumlah Tahun II</t>
  </si>
  <si>
    <t>Jumlah S/d Tahun II</t>
  </si>
  <si>
    <t>Jumlah Tahun III</t>
  </si>
  <si>
    <t>Jumlah S/d Tahun III</t>
  </si>
  <si>
    <t>Jumlah Tahun IV</t>
  </si>
  <si>
    <t>Jumlah S/d Tahun IV</t>
  </si>
  <si>
    <t>Volume</t>
  </si>
  <si>
    <t>Biaya</t>
  </si>
  <si>
    <t>Fisik</t>
  </si>
  <si>
    <t>( Ha )</t>
  </si>
  <si>
    <t>( Rp )</t>
  </si>
  <si>
    <t>Perizinan &amp; lainnya</t>
  </si>
  <si>
    <t>Biaya Non Tanaman</t>
  </si>
  <si>
    <t>Land Clearing &amp; TB</t>
  </si>
  <si>
    <t>Pemeliharaan TBM-1</t>
  </si>
  <si>
    <t>Pemeliharaan TBM-2</t>
  </si>
  <si>
    <t>Pemeliharaan TBM-3</t>
  </si>
  <si>
    <t xml:space="preserve">GRAND TOTAL BIAYA </t>
  </si>
  <si>
    <t>Satui, 30 September 2025</t>
  </si>
  <si>
    <t>Diketahui Oleh ;</t>
  </si>
  <si>
    <t>Disetujui Oleh ;</t>
  </si>
  <si>
    <t>Diperiksa Oleh ;</t>
  </si>
  <si>
    <t>Disusun Oleh ;</t>
  </si>
  <si>
    <t>Imam Satoto Yudiono</t>
  </si>
  <si>
    <t>Hairul Amri</t>
  </si>
  <si>
    <t>A r i f</t>
  </si>
  <si>
    <t>Joko Purwoto</t>
  </si>
  <si>
    <t>Direktur Utama</t>
  </si>
  <si>
    <t>Direktur</t>
  </si>
  <si>
    <t>Pjs. GM Agronomy</t>
  </si>
  <si>
    <t>Manager Kebun Inti BKB</t>
  </si>
  <si>
    <t>REKAPITULASI RENCANA BIAYA LAND CLEARING DAN TANAM BARU AFD9 - SATUI TIMUR</t>
  </si>
  <si>
    <t>REKAPITULASI RENCANA BIAYA TBM 1 AFD9 - SATUI TIMUR</t>
  </si>
  <si>
    <t>REKAPITULASI RENCANA BIAYA TBM 2 AFD9 - SATUI TIMUR</t>
  </si>
  <si>
    <t>REKAPITULASI RENCANA BIAYA TBM 3 AFD9 - SATUI TIMUR</t>
  </si>
  <si>
    <t>TB</t>
  </si>
  <si>
    <t>TBM 1</t>
  </si>
  <si>
    <t>TBM 2</t>
  </si>
  <si>
    <t>TBM 3</t>
  </si>
  <si>
    <t>No</t>
  </si>
  <si>
    <t>Jumlah Rp</t>
  </si>
  <si>
    <t>Total Rp</t>
  </si>
  <si>
    <t>Rp/Ha</t>
  </si>
  <si>
    <t>Persentase
(%)</t>
  </si>
  <si>
    <t>Imas Tumbang Perun</t>
  </si>
  <si>
    <t>Identifikasi Blok</t>
  </si>
  <si>
    <t>Tanam Kacangan</t>
  </si>
  <si>
    <t>Tanam kacangan</t>
  </si>
  <si>
    <t>Pembuatan Piringan,Pasar Rintis,Dan Titi Pasar Rintis</t>
  </si>
  <si>
    <t>Pembuatan Piringan</t>
  </si>
  <si>
    <t>Imas</t>
  </si>
  <si>
    <t>Pemeliharaan Kacangan</t>
  </si>
  <si>
    <t>Pembuatan Pasar Rintis</t>
  </si>
  <si>
    <t>Perun Mekanis</t>
  </si>
  <si>
    <t>Bongkar tanaman pengganggu</t>
  </si>
  <si>
    <t>Pembuatan TPH</t>
  </si>
  <si>
    <t>Lubang Tanam Mekanis Auger</t>
  </si>
  <si>
    <t>Pemberantasan lalang</t>
  </si>
  <si>
    <t>Pembuatan Titi Pasar Rintis</t>
  </si>
  <si>
    <t>Pemberantasan Lalang &amp; Gulma</t>
  </si>
  <si>
    <t>Pembuatan Piringan &amp; Titi Pasar Rintis</t>
  </si>
  <si>
    <t>Pembuatan Pasar Tengah</t>
  </si>
  <si>
    <t>Pembuatan Pasar Rintis &amp; Titi Pasar Rintis</t>
  </si>
  <si>
    <t>Pemeliharaan Piringan Gawangan Manual &amp; Chemist</t>
  </si>
  <si>
    <t>Pemeliharaan Piringan Manual</t>
  </si>
  <si>
    <t>Pembuatan Sarana &amp; Prasarana</t>
  </si>
  <si>
    <t>Pembuatan Jalan</t>
  </si>
  <si>
    <t>Pemeliharaan Piringan /Pasar Rintis(Chemist)</t>
  </si>
  <si>
    <t>Pembuatan Jembatan</t>
  </si>
  <si>
    <t>Pemeliharaan Gawangan Manual</t>
  </si>
  <si>
    <t>Pemeliharaan TPH &amp; Pasar Rintis Manual</t>
  </si>
  <si>
    <t>Pembuatan Parit</t>
  </si>
  <si>
    <t>Pemeliharaan Gawangan Chemist</t>
  </si>
  <si>
    <t>Pemeliharaan Titi Pasar Rintis</t>
  </si>
  <si>
    <t>Pemberantasan Lalang</t>
  </si>
  <si>
    <t>Spot Lalang</t>
  </si>
  <si>
    <t>Pengawetan Tanah</t>
  </si>
  <si>
    <t>Sheet Lalang</t>
  </si>
  <si>
    <t>Wipping</t>
  </si>
  <si>
    <t>Pemeliharaan Pintu Air</t>
  </si>
  <si>
    <t>Transport Air</t>
  </si>
  <si>
    <t>Tanam Kacangan &amp; Pemeliharaan</t>
  </si>
  <si>
    <t>Penanaman Kacangan</t>
  </si>
  <si>
    <t>Pemeliharaan Pokok</t>
  </si>
  <si>
    <t>Kastrasi</t>
  </si>
  <si>
    <t>Pembuatan Bedengan</t>
  </si>
  <si>
    <t>Penyisipan</t>
  </si>
  <si>
    <t>Sanitasi &amp; Kastrasi</t>
  </si>
  <si>
    <t>Perakitan Instalasi Air</t>
  </si>
  <si>
    <t>Survey dan Sensus</t>
  </si>
  <si>
    <t>Penyisipan &amp; Konsolidasi</t>
  </si>
  <si>
    <t>Pemeliharaan Weeding Atas</t>
  </si>
  <si>
    <t>Pemeliharaan Prasarana</t>
  </si>
  <si>
    <t>Jalan Utama / Jalan Akses</t>
  </si>
  <si>
    <t>PHPT Insek</t>
  </si>
  <si>
    <t>Jalan Produksi</t>
  </si>
  <si>
    <t>PHPT Fungi</t>
  </si>
  <si>
    <t>Jalan Koleksi</t>
  </si>
  <si>
    <t>Penyiraman Bibit</t>
  </si>
  <si>
    <t>Jalan Pringgan / Ring</t>
  </si>
  <si>
    <t>Pemeliharaan Semai Kacangan</t>
  </si>
  <si>
    <t>Jalan Liung</t>
  </si>
  <si>
    <t>Jembatan Permanen</t>
  </si>
  <si>
    <t>Gorong-gorong 40 cm</t>
  </si>
  <si>
    <t>Pemupukkan Kacangan</t>
  </si>
  <si>
    <t>Pemupukkan NPK Granule &amp; RP</t>
  </si>
  <si>
    <t>Gorong-gorong 60 CM</t>
  </si>
  <si>
    <t>Angkutan Pupuk</t>
  </si>
  <si>
    <t>Angkutan Pupuk Intern</t>
  </si>
  <si>
    <t>Gorong-gorong 80 CM</t>
  </si>
  <si>
    <t>Parit 2x2</t>
  </si>
  <si>
    <t>Angkutan Pupuk Ekstern</t>
  </si>
  <si>
    <t>Tapak Kuda</t>
  </si>
  <si>
    <t>Parit 1x1</t>
  </si>
  <si>
    <t>Tanam Pokok Sawit</t>
  </si>
  <si>
    <t>Memancang</t>
  </si>
  <si>
    <t>Tapak Timbun</t>
  </si>
  <si>
    <t>Pintu Air</t>
  </si>
  <si>
    <t>Perbaikkan Struktur Tanah Titik Tanam</t>
  </si>
  <si>
    <t>Pengendalian Hama dan Penyakit</t>
  </si>
  <si>
    <t>Hama Tikus</t>
  </si>
  <si>
    <t>Pupuk Lubang Tanam</t>
  </si>
  <si>
    <t>Hama Ulat Api</t>
  </si>
  <si>
    <t>Penanaman Kelapa Sawit</t>
  </si>
  <si>
    <t>Hama (Oryctes)</t>
  </si>
  <si>
    <t>Pemeliharaan Pokok Sawit</t>
  </si>
  <si>
    <t>PHPT Tikus</t>
  </si>
  <si>
    <t>Pemupukkan Kelapa Sawit</t>
  </si>
  <si>
    <t>Pemupukkan Hayati</t>
  </si>
  <si>
    <t>PHPT Kumbang Tanduk</t>
  </si>
  <si>
    <t>Pemupukkan NPK 12-12-17-2+0,65B</t>
  </si>
  <si>
    <t>Konsolidasi Pokok</t>
  </si>
  <si>
    <t>Pemupukkan Dolomite</t>
  </si>
  <si>
    <t>Pemupukkan Borate</t>
  </si>
  <si>
    <t>Janjang Kosong</t>
  </si>
  <si>
    <t>Pemupukkan Sawit</t>
  </si>
  <si>
    <t>Pemupukkan Urea</t>
  </si>
  <si>
    <t>Pengangkutan Pupuk Intern</t>
  </si>
  <si>
    <t>Pemupukan Dolomit</t>
  </si>
  <si>
    <t>Pengangkutan Pupuk Ekstern</t>
  </si>
  <si>
    <t>Pemupukan NPK</t>
  </si>
  <si>
    <t>Pengawasan dan Administrasi</t>
  </si>
  <si>
    <t>Pengawasan</t>
  </si>
  <si>
    <t>Administrasi</t>
  </si>
  <si>
    <t>Pengawasan &amp; Administrasi</t>
  </si>
  <si>
    <t>Total</t>
  </si>
  <si>
    <t>Rp/HA</t>
  </si>
  <si>
    <t>Luas :</t>
  </si>
  <si>
    <t>Ha</t>
  </si>
  <si>
    <t>Material</t>
  </si>
  <si>
    <t>Rotasi APD</t>
  </si>
  <si>
    <t>TB/LC</t>
  </si>
  <si>
    <t>Rata-rata</t>
  </si>
  <si>
    <t>Keterangan</t>
  </si>
  <si>
    <t>Jenis</t>
  </si>
  <si>
    <t>Sat</t>
  </si>
  <si>
    <t>Vol</t>
  </si>
  <si>
    <t>Norma</t>
  </si>
  <si>
    <t>Rotasi</t>
  </si>
  <si>
    <t>Jumlah Unit</t>
  </si>
  <si>
    <t>Rp Sat</t>
  </si>
  <si>
    <t>Jumlah RP</t>
  </si>
  <si>
    <t>%</t>
  </si>
  <si>
    <t>Luas/Mtr/Pkk/Unit</t>
  </si>
  <si>
    <t>PEMBUKAAN LAHAN</t>
  </si>
  <si>
    <t>s/d Feb'26</t>
  </si>
  <si>
    <t>IMAS,TUMBANG, PERUN</t>
  </si>
  <si>
    <t>Upah PHL</t>
  </si>
  <si>
    <t>HK</t>
  </si>
  <si>
    <t>Cat</t>
  </si>
  <si>
    <t>Kg</t>
  </si>
  <si>
    <t>Kuas</t>
  </si>
  <si>
    <t>Buah</t>
  </si>
  <si>
    <t>Kompas</t>
  </si>
  <si>
    <t>GPS</t>
  </si>
  <si>
    <t>Hutan Primer</t>
  </si>
  <si>
    <t>Hutan Sekunder</t>
  </si>
  <si>
    <t>Semak Belukar</t>
  </si>
  <si>
    <t>Tumbang</t>
  </si>
  <si>
    <t>Cincang</t>
  </si>
  <si>
    <t>Buldozer 1</t>
  </si>
  <si>
    <t>HM</t>
  </si>
  <si>
    <t xml:space="preserve">Excavator 2 </t>
  </si>
  <si>
    <t xml:space="preserve">Matting </t>
  </si>
  <si>
    <t>Bh</t>
  </si>
  <si>
    <t>Reklamasi</t>
  </si>
  <si>
    <t>Pengolahan Tanah (Ripping)</t>
  </si>
  <si>
    <t>HM/Ha</t>
  </si>
  <si>
    <t>Angkutan Material</t>
  </si>
  <si>
    <t>RIT</t>
  </si>
  <si>
    <t>Tumbang Chipping</t>
  </si>
  <si>
    <t>Pancang Chiping</t>
  </si>
  <si>
    <t>Tumbang Chiping</t>
  </si>
  <si>
    <t>Excavator 1</t>
  </si>
  <si>
    <t>Aplikasi Metharizium</t>
  </si>
  <si>
    <t>Metharizium</t>
  </si>
  <si>
    <t>Parit CECT</t>
  </si>
  <si>
    <t>Tutup Lubang CECT dan Perataan Tanah</t>
  </si>
  <si>
    <t>Lubang Tanam Mekanis/Auger</t>
  </si>
  <si>
    <t>Pancang Kepala</t>
  </si>
  <si>
    <t>Lubang Tanah Mekanis/Auger</t>
  </si>
  <si>
    <t>Pemberantasan Lalang dan Gulma Lainnya</t>
  </si>
  <si>
    <t>Sprayer (Inter)</t>
  </si>
  <si>
    <t>Glyphosate</t>
  </si>
  <si>
    <t>Liter</t>
  </si>
  <si>
    <t>Metil Metsulfuron</t>
  </si>
  <si>
    <t>Parakuat</t>
  </si>
  <si>
    <t>Triclophir</t>
  </si>
  <si>
    <t>Perekat</t>
  </si>
  <si>
    <t>Premi Extra Fooding</t>
  </si>
  <si>
    <t>Celemek</t>
  </si>
  <si>
    <t>X</t>
  </si>
  <si>
    <t>Masker Chemical</t>
  </si>
  <si>
    <t>Kaca mata</t>
  </si>
  <si>
    <t>Sarung Tangan Karet</t>
  </si>
  <si>
    <t>Sepatu Boots</t>
  </si>
  <si>
    <t>Transportasi Air</t>
  </si>
  <si>
    <t>TUS 1</t>
  </si>
  <si>
    <t>Penyemprotan Pasar Rintis</t>
  </si>
  <si>
    <t>Becano</t>
  </si>
  <si>
    <t>Pasang</t>
  </si>
  <si>
    <t>Pemadatan Tanah</t>
  </si>
  <si>
    <t>Pembersihan Jalur Tanam</t>
  </si>
  <si>
    <t>Biaya Lainnya / Survey</t>
  </si>
  <si>
    <t>Meteran</t>
  </si>
  <si>
    <t>SUB JUMLAH IMAS TUMBANG PERUN</t>
  </si>
  <si>
    <t>PEMBUATAN SARANA PRASARANA</t>
  </si>
  <si>
    <t>PEMBUATAN JALAN</t>
  </si>
  <si>
    <t>Pembuatan Jalan Utama</t>
  </si>
  <si>
    <t>Greader 1</t>
  </si>
  <si>
    <t>Pembuatan Jalan Produksi</t>
  </si>
  <si>
    <t>Mtr</t>
  </si>
  <si>
    <t>Pembuatan Jalan Koleksi</t>
  </si>
  <si>
    <t>Batu 1</t>
  </si>
  <si>
    <t>M3</t>
  </si>
  <si>
    <t xml:space="preserve">Laterit </t>
  </si>
  <si>
    <t>Compactor 1</t>
  </si>
  <si>
    <t>Pembuatan Jalan Pringgan</t>
  </si>
  <si>
    <t>SUB JUMLAH PEMBUATAN JALAN</t>
  </si>
  <si>
    <t>PEMBUATAN JEMBATAN</t>
  </si>
  <si>
    <t>Jembatan Permanen s/d 3 Mtr</t>
  </si>
  <si>
    <t>Bahan Jembatan Permanen 1</t>
  </si>
  <si>
    <t>Unit</t>
  </si>
  <si>
    <t>TLB 1</t>
  </si>
  <si>
    <t>Jembatan Permanen 4-6 Mtr</t>
  </si>
  <si>
    <t>Bahan Jembatan Permanen 2</t>
  </si>
  <si>
    <t>Jembatan Permanen 6-9 mtr</t>
  </si>
  <si>
    <t>Bahan Jembatan Permanen 3</t>
  </si>
  <si>
    <t>Pembuatan Jembatan Semi Permanen &gt; 2 Mtr</t>
  </si>
  <si>
    <t>Bahan Jembatan Semi Permanen 2</t>
  </si>
  <si>
    <t>HDPE Culvert 1.5X6 Triplewall</t>
  </si>
  <si>
    <t>Gorong-Gorong 40 CM</t>
  </si>
  <si>
    <t>Gorong-Gorong 60 CM</t>
  </si>
  <si>
    <t>Gorong-Gorong 80 CM</t>
  </si>
  <si>
    <t>SUB JUMLAH PEMBUATAN JEMBATAN</t>
  </si>
  <si>
    <t>PEMBUATAN PARIT</t>
  </si>
  <si>
    <t>Pembuatan Parit Primer (4x4)</t>
  </si>
  <si>
    <t>Pembuatan Parit Sekunder (2x2)</t>
  </si>
  <si>
    <t>65 meter/HM</t>
  </si>
  <si>
    <t>Pembuatan Parit Tersier (1x1)</t>
  </si>
  <si>
    <t>SUB JUMLAH PEMBUATAN PARIT</t>
  </si>
  <si>
    <t>CUCI PARIT</t>
  </si>
  <si>
    <t>Cuci Parit Primer (4X4)</t>
  </si>
  <si>
    <t>Cuci Parit Sekunder (2X2) Parit Alam</t>
  </si>
  <si>
    <t>Cuci Parit Tersier (1X1)</t>
  </si>
  <si>
    <t>SUB JUMLAH CUCI PARIT</t>
  </si>
  <si>
    <t>PEMELIHARAAN PINTU AIR</t>
  </si>
  <si>
    <t>Material Pintu Air 1</t>
  </si>
  <si>
    <t>HDPE Flap Gate 1,5 Mtr x 6 Mtr</t>
  </si>
  <si>
    <t>SUB JUMLAH PEMELIHARAAN PINTU AIR</t>
  </si>
  <si>
    <t>PENGAWETAN TANAH</t>
  </si>
  <si>
    <t>Cangkul</t>
  </si>
  <si>
    <t>Rorak / Benteng</t>
  </si>
  <si>
    <t>Kontur / Teras</t>
  </si>
  <si>
    <t>Jalan</t>
  </si>
  <si>
    <t>MTR/HM</t>
  </si>
  <si>
    <t>SUB JUMLAH PENGAWETAN TANAH</t>
  </si>
  <si>
    <t>PEMBUATAN BARAK</t>
  </si>
  <si>
    <t>Pembuatan Barak Tipe A</t>
  </si>
  <si>
    <t>G 10A Kayu</t>
  </si>
  <si>
    <t>Pembuatan Barak Tipe B</t>
  </si>
  <si>
    <t>G 10B Kayu</t>
  </si>
  <si>
    <t>Pembuatan Barak Tipe C</t>
  </si>
  <si>
    <t>G 10C Kayu</t>
  </si>
  <si>
    <t>SUB JUMLAH PEMBUATAN BARAK</t>
  </si>
  <si>
    <t>PEMELIHARAAN TITI PASAR RINTIS</t>
  </si>
  <si>
    <t>Titi Panen 2</t>
  </si>
  <si>
    <t>Pembuatan Pasar Pikul (Mekanis)</t>
  </si>
  <si>
    <t>Timbun &amp; Benam Batang Kelapa Sawit</t>
  </si>
  <si>
    <t>SUB JUMLAH PEMBUATAN SARANA PRASARANA</t>
  </si>
  <si>
    <t>SUB TOTAL PEMBUKAAN LAHAN</t>
  </si>
  <si>
    <t>TANAM DAN PEMELIHARAAN AWAL</t>
  </si>
  <si>
    <t>TANAM KACANGAN</t>
  </si>
  <si>
    <t>Semai Kacangan</t>
  </si>
  <si>
    <t>PJ</t>
  </si>
  <si>
    <t>Populasi</t>
  </si>
  <si>
    <t>CM</t>
  </si>
  <si>
    <t>Populasi MB</t>
  </si>
  <si>
    <t>Upah Semai MB Bibitan</t>
  </si>
  <si>
    <t>Benih MB</t>
  </si>
  <si>
    <t>Upah Isi Tanah</t>
  </si>
  <si>
    <t>Kg Benih MB</t>
  </si>
  <si>
    <t>Rock Phosphate</t>
  </si>
  <si>
    <t>MB (Mocuna Bracteata)</t>
  </si>
  <si>
    <t>Kg/Ha</t>
  </si>
  <si>
    <t xml:space="preserve">Plastik Gula </t>
  </si>
  <si>
    <t>Pcs</t>
  </si>
  <si>
    <t>Angkutan Ke Lapangan</t>
  </si>
  <si>
    <t>Rit</t>
  </si>
  <si>
    <t>Angkutan Tanah</t>
  </si>
  <si>
    <t>Papan</t>
  </si>
  <si>
    <t>Bedeng</t>
  </si>
  <si>
    <t>PHPT Insect</t>
  </si>
  <si>
    <t>Cypermethrin</t>
  </si>
  <si>
    <t>Bibit</t>
  </si>
  <si>
    <t>PHPT Fungisida</t>
  </si>
  <si>
    <t>Antracol</t>
  </si>
  <si>
    <t>Perakitan Instalasi Air MB</t>
  </si>
  <si>
    <t>Instalasi Air</t>
  </si>
  <si>
    <t>Set</t>
  </si>
  <si>
    <t>Bongkar Tumbuhan Pengganggu (Chemist)</t>
  </si>
  <si>
    <t>Pkk</t>
  </si>
  <si>
    <t>Rizhobium</t>
  </si>
  <si>
    <t>SUB TOTAL TANAM KACANGAN &amp; PEMELIHARAAN</t>
  </si>
  <si>
    <t>PEMUPUKAN KACANGAN</t>
  </si>
  <si>
    <t>ANORGANIK</t>
  </si>
  <si>
    <t>- NPK Granule dan RP</t>
  </si>
  <si>
    <t>Upah PHL Until Pupuk</t>
  </si>
  <si>
    <t>Takaran Pupuk</t>
  </si>
  <si>
    <t>NPK 15-15-6-4+TE</t>
  </si>
  <si>
    <t>Pemupukan Lainnya</t>
  </si>
  <si>
    <t>Bahan</t>
  </si>
  <si>
    <t>Farm Traktor 1</t>
  </si>
  <si>
    <t>Angkutan Pupuk (Intern/Ekstern)</t>
  </si>
  <si>
    <t>Ton</t>
  </si>
  <si>
    <t>Upah BM Pupuk Intern</t>
  </si>
  <si>
    <t>Ecer Pupuk</t>
  </si>
  <si>
    <t>Angkutan Pupuk 1</t>
  </si>
  <si>
    <t>Upah BM Pupuk Ekstern</t>
  </si>
  <si>
    <t>SUB TOTAL PEMUPUKKAN KACANGAN</t>
  </si>
  <si>
    <t>TANAM SAWIT</t>
  </si>
  <si>
    <t>Anak Pancang</t>
  </si>
  <si>
    <t>Plastik Gula</t>
  </si>
  <si>
    <t>Trichoderma</t>
  </si>
  <si>
    <t>Hayati</t>
  </si>
  <si>
    <t>Zincopper</t>
  </si>
  <si>
    <t>DOLOMITE</t>
  </si>
  <si>
    <t>Farm Traktor 2</t>
  </si>
  <si>
    <t>Bongkar Muat Bibit</t>
  </si>
  <si>
    <t>Pokok</t>
  </si>
  <si>
    <t xml:space="preserve">Bibit KS </t>
  </si>
  <si>
    <t>Angkutan Bibit KS</t>
  </si>
  <si>
    <t>SUB TOTAL TANAM SAWIT</t>
  </si>
  <si>
    <t>PEMELIHARAAN SAWIT</t>
  </si>
  <si>
    <t>PHPT</t>
  </si>
  <si>
    <t>Ulat Api</t>
  </si>
  <si>
    <t>Decis</t>
  </si>
  <si>
    <t xml:space="preserve">Sprayer </t>
  </si>
  <si>
    <t>Tikus</t>
  </si>
  <si>
    <t>Rodentisida</t>
  </si>
  <si>
    <t>Kumbang Tanduk</t>
  </si>
  <si>
    <t>Marshal</t>
  </si>
  <si>
    <t>KG</t>
  </si>
  <si>
    <t>Kapur Barus</t>
  </si>
  <si>
    <t>Pak</t>
  </si>
  <si>
    <t>Furadan</t>
  </si>
  <si>
    <t>Ember</t>
  </si>
  <si>
    <t>Ganoderma</t>
  </si>
  <si>
    <t>Mikoriza</t>
  </si>
  <si>
    <t>Crown Dease</t>
  </si>
  <si>
    <t>Dithan</t>
  </si>
  <si>
    <t>Ltr</t>
  </si>
  <si>
    <t>Kuproxite</t>
  </si>
  <si>
    <t>Buat Piringan</t>
  </si>
  <si>
    <t>SUB TOTAL PEMELIHARAAN SAWIT</t>
  </si>
  <si>
    <t>PEMUPUKAN SAWIT</t>
  </si>
  <si>
    <t>Urea</t>
  </si>
  <si>
    <t>Pemupukan Urea</t>
  </si>
  <si>
    <t>Pemupukan Rock Phosphate</t>
  </si>
  <si>
    <t>Pemupukan MOP</t>
  </si>
  <si>
    <t>MOP</t>
  </si>
  <si>
    <t>Pemupukan Kieserite</t>
  </si>
  <si>
    <t>Kieserite</t>
  </si>
  <si>
    <t>Pemupukan Dolomite</t>
  </si>
  <si>
    <t>Dolomite</t>
  </si>
  <si>
    <t>Pemupukan NPK Tablet 15-15-15</t>
  </si>
  <si>
    <t>Pemupukan Organik (Janjang Kosong)</t>
  </si>
  <si>
    <t>Angkutan JJK 1</t>
  </si>
  <si>
    <t>Organik</t>
  </si>
  <si>
    <t>Angkutan Pupuk 2</t>
  </si>
  <si>
    <t>SUB TOTAL PEMUPUKKAN SAWIT</t>
  </si>
  <si>
    <t>SUB TOTAL TANAM+PEMELIHARAAN</t>
  </si>
  <si>
    <t>PENGAWASAN DAN ADMINISTRASI</t>
  </si>
  <si>
    <t>Unit Manager 1</t>
  </si>
  <si>
    <t>HA</t>
  </si>
  <si>
    <t>Unit Askep 1</t>
  </si>
  <si>
    <t>Adminitrasi</t>
  </si>
  <si>
    <t>ATK</t>
  </si>
  <si>
    <t>Lainnya</t>
  </si>
  <si>
    <t>SUB TOTAL PENGAWASAN</t>
  </si>
  <si>
    <t>GRAND TOTAL TB</t>
  </si>
  <si>
    <t>AREAL MINERAL</t>
  </si>
  <si>
    <t>LC</t>
  </si>
  <si>
    <t>LCC</t>
  </si>
  <si>
    <t>TOTAL LC-TB</t>
  </si>
  <si>
    <t>TBM1</t>
  </si>
  <si>
    <t>TBM2</t>
  </si>
  <si>
    <t>TBM3</t>
  </si>
  <si>
    <t>GRAND TOTAL AREAL MINERAL</t>
  </si>
  <si>
    <t>AREAL RENDAHAN</t>
  </si>
  <si>
    <t>GRAND TOTAL AREAL RENDAHAN</t>
  </si>
  <si>
    <t>Bongkar Tumbuhan Pengganggu</t>
  </si>
  <si>
    <t>SUB TOTAL TANAMAN KACANGAN</t>
  </si>
  <si>
    <t>TANAMAN BELUM MENGHASILKAN</t>
  </si>
  <si>
    <t>PEMBUATAN PIRINGAN, PASAR RINTIS, TPH DAN TITI PASAR RINTIS</t>
  </si>
  <si>
    <t>SUB TOTAL PEMBUATAN PIRINGAN</t>
  </si>
  <si>
    <t>Titi Pasar Rintis 1</t>
  </si>
  <si>
    <t>SUB TOTAL PEMBUATAN TITI PASAR RINTIS</t>
  </si>
  <si>
    <t>Pembuatan Pasar Pasar Tengah</t>
  </si>
  <si>
    <t>Parang</t>
  </si>
  <si>
    <t>SUB TOTAL PEMBUATAN PIRINGAN,PASAR RINTIS,DAN TITI PASAR RINTIS</t>
  </si>
  <si>
    <t>PENGENDALIAN GULMA</t>
  </si>
  <si>
    <t>Pemel. Piringan, TPH dan Pasar Rintis (Manual)</t>
  </si>
  <si>
    <t>Pemeliharaan TPH Manual</t>
  </si>
  <si>
    <t>Pemeliharaan Pasar Rintis Manual</t>
  </si>
  <si>
    <t>SUB TOTAL PEMELIHARAAN PIRINGAN,TPH,PASAR RINTIS</t>
  </si>
  <si>
    <t>Pemel. Piringan, TPH dan Pasar Rintis (Chemis)</t>
  </si>
  <si>
    <t>Micron Herbi (MHS)</t>
  </si>
  <si>
    <t>Pemeliharaan TPH (Chemist)</t>
  </si>
  <si>
    <t>Masker</t>
  </si>
  <si>
    <t>Pemeliharaan Pasar Rintis (Chemist)</t>
  </si>
  <si>
    <t>Basmi Bambu</t>
  </si>
  <si>
    <t>SUB TOTAL PEMELIHARAAN GAWANGAN MANUAL</t>
  </si>
  <si>
    <t>SUB TOTAL PEMELIHARAAN GAWANGAN CHEMIST</t>
  </si>
  <si>
    <t>(AREAL RENDAHAN)</t>
  </si>
  <si>
    <t>SUB TOTAL GAWANGAN CHEMIST AREAL RENDAHAN</t>
  </si>
  <si>
    <t>Pemberantasan Lalang (Spraying/Spot/Wiping)</t>
  </si>
  <si>
    <t>z</t>
  </si>
  <si>
    <t>Rit/Ha</t>
  </si>
  <si>
    <t>SUB TOTAL PEMBERANTASAN LALANG</t>
  </si>
  <si>
    <t>SUB TOTAL PENGENDALIAN GULMA</t>
  </si>
  <si>
    <t>PEMELIHARAAN POKOK</t>
  </si>
  <si>
    <t>Sanitasi</t>
  </si>
  <si>
    <t>Dodos 4"</t>
  </si>
  <si>
    <t>Batu Asah</t>
  </si>
  <si>
    <t>Sarung Dodos</t>
  </si>
  <si>
    <t>Dodos 3"</t>
  </si>
  <si>
    <t>Penyisipan dan Konsolidasi</t>
  </si>
  <si>
    <t>Konsolidasi</t>
  </si>
  <si>
    <t>SUB TOTAL PENYISIPAN DAN KONSOLIDASI</t>
  </si>
  <si>
    <t>Alat Sensus</t>
  </si>
  <si>
    <t>SUB TOTAL SURVEY DAN SENSUS</t>
  </si>
  <si>
    <t>SUB TOTAL PEMELIHARAAN POKOK</t>
  </si>
  <si>
    <t>PEMELIHARAAN PRASARANA</t>
  </si>
  <si>
    <t>SUB TOTAL JALAN</t>
  </si>
  <si>
    <t>Jembatan</t>
  </si>
  <si>
    <t>Jembatan 1 Meter</t>
  </si>
  <si>
    <t>Jembatan 3 x 4 Meter</t>
  </si>
  <si>
    <t>Jembatan 4 x 4 Meter</t>
  </si>
  <si>
    <t>Jembatan 4 x 6 Meter</t>
  </si>
  <si>
    <t>Jembatan 4 x 8 Meter</t>
  </si>
  <si>
    <t>HDPE Culvert 1.0 X6 Triplewall</t>
  </si>
  <si>
    <t>HDPE Culvert 1.8X6 Triplewall</t>
  </si>
  <si>
    <t>HDPE Culvert 2.3X6 Triplewall</t>
  </si>
  <si>
    <t>Box Culvert 1 Meter</t>
  </si>
  <si>
    <t>Jembatan Semi Permanen</t>
  </si>
  <si>
    <t>Bahan Jembatan Semi Permanen 1</t>
  </si>
  <si>
    <t>Gorong-gorong 60 cm</t>
  </si>
  <si>
    <t>Gorong-gorong 80 cm</t>
  </si>
  <si>
    <t>SUB TOTAL JEMBATAN DAN GORONG-GORONG</t>
  </si>
  <si>
    <t>Parit</t>
  </si>
  <si>
    <t>Parit 4 X 4</t>
  </si>
  <si>
    <t>Parit 2 X 2</t>
  </si>
  <si>
    <t>Parit 1 X 1</t>
  </si>
  <si>
    <t>Perbatasan Pringgan</t>
  </si>
  <si>
    <t>Galangan Api</t>
  </si>
  <si>
    <t>Barak Karyawan / Pondok Hujan</t>
  </si>
  <si>
    <t>Material Pondok Hujan</t>
  </si>
  <si>
    <t>SUB TOTAL PEMELIHARAAN PRASARANA</t>
  </si>
  <si>
    <t>Kontur</t>
  </si>
  <si>
    <t>SUB TOTAL PENGAWETAN TANAH</t>
  </si>
  <si>
    <t>PENGENDALIAN HAMA DAN PENYAKIT</t>
  </si>
  <si>
    <t>SUB TOTAL HAMA TIKUS</t>
  </si>
  <si>
    <t>Hama Babi</t>
  </si>
  <si>
    <t>SUB TOTAL HAMA ULAT API</t>
  </si>
  <si>
    <t>Rayap</t>
  </si>
  <si>
    <t>Hama Lainnya (Oryctes)</t>
  </si>
  <si>
    <t>Pheromone</t>
  </si>
  <si>
    <t>Sct</t>
  </si>
  <si>
    <t>Ferotrap</t>
  </si>
  <si>
    <t>CYPERMETHRIN</t>
  </si>
  <si>
    <t>SUB TOTAL PENGENDALIAN ORYCTES</t>
  </si>
  <si>
    <t>Busuk Batang</t>
  </si>
  <si>
    <t>Marfu</t>
  </si>
  <si>
    <t>Batang/Crown Disease</t>
  </si>
  <si>
    <t>Vol disesuaikan</t>
  </si>
  <si>
    <t>Penyakit Lainnya</t>
  </si>
  <si>
    <t>SUB TOTAL PENGENDALIAN HAMA DAN PENYAKIT</t>
  </si>
  <si>
    <t>PEMUPUKAN KELAPA SAWIT</t>
  </si>
  <si>
    <t>Anorganik</t>
  </si>
  <si>
    <t>- NPK Granule</t>
  </si>
  <si>
    <t>NPK 12-12-17-2+TE</t>
  </si>
  <si>
    <t>SUB TOTAL NPK 12</t>
  </si>
  <si>
    <t>- Dolomite</t>
  </si>
  <si>
    <t>SUB TOTAL DOLOMITE</t>
  </si>
  <si>
    <t>- Borate</t>
  </si>
  <si>
    <t>Umur 12 Bulan=20 gram</t>
  </si>
  <si>
    <t>Borate</t>
  </si>
  <si>
    <t>SUB TOTAL BORATE</t>
  </si>
  <si>
    <t>Aplikasi Jangkos start awal setelah kegiatan tanam KS khusus untuk areal reklamasi</t>
  </si>
  <si>
    <t>Angkong</t>
  </si>
  <si>
    <t>Gancu</t>
  </si>
  <si>
    <t>SUB TOTAL JANJANG KOSONG</t>
  </si>
  <si>
    <t>Mill Effluent (Limbah Pabrik)</t>
  </si>
  <si>
    <t>SUB TOTAL PENGANGKUTAN PUPUK</t>
  </si>
  <si>
    <t>SUB TOTAL PEMUPUKKAN KELAPA SAWIT</t>
  </si>
  <si>
    <t>KM</t>
  </si>
  <si>
    <t>SUB TOTAL PENGAWASAN DAN ADMINISTRASI</t>
  </si>
  <si>
    <t>GRAND TOTAL TBM 1</t>
  </si>
  <si>
    <t>TOTAL</t>
  </si>
  <si>
    <t>Pembuatan Pasar Pikul / Pasar Tengah</t>
  </si>
  <si>
    <t>FLUROXYPYR</t>
  </si>
  <si>
    <t>SUB TOTAL PEMELIHARAAN PIRINGAN/PASAR RINTIS CHEMIST</t>
  </si>
  <si>
    <t>SUB TOTAL KASTRASI</t>
  </si>
  <si>
    <t>SUB TOTAL PENYISIPAN</t>
  </si>
  <si>
    <t>SUB TOTAL PENGENDALIAN HAMA &amp; PENYAKIT</t>
  </si>
  <si>
    <t>SUB TOTAL PEMUPUKKAN HAYATI</t>
  </si>
  <si>
    <t>SUB TOTAL PEMUPUKKAN DOLOMITE</t>
  </si>
  <si>
    <t>-NPK 12-12-17-2+0,65B</t>
  </si>
  <si>
    <t>SUB TOTAL PEMUPUKKAN NPK 12</t>
  </si>
  <si>
    <t>SUB TOTAL PEMUPUKKAN BORATE</t>
  </si>
  <si>
    <t>78 Kg/Pkk</t>
  </si>
  <si>
    <t>32000 per ton</t>
  </si>
  <si>
    <t>SUB TOTAL JANGKOS</t>
  </si>
  <si>
    <t>SUB TOTAL PENGAWASAN &amp; ADMINISTRASI</t>
  </si>
  <si>
    <t>GRAND TOTAL TBM 2</t>
  </si>
  <si>
    <t>SUB TOTAL TANAM KACANGAN</t>
  </si>
  <si>
    <t>SUB TOTAL PEMBUATAN TPH</t>
  </si>
  <si>
    <t>SUB TOTAL PEMBUATAN PIRINGAN,PASAR RINTIS,TPH &amp; TITI PASAR RINTIS</t>
  </si>
  <si>
    <t>SUB TOTAL PEMEL PIRINGAN MANUAL</t>
  </si>
  <si>
    <t>SUB TOTAL PEMEL PASAR RINTIS MANUAL</t>
  </si>
  <si>
    <t>SUB TOTAL PEMEL PIRINGAN/PASAR RINTIS CHEMIST</t>
  </si>
  <si>
    <t>SUB TOTAL PEMEL GAWANGAN MANUAL</t>
  </si>
  <si>
    <t>SUB TOTAL PEMEL GAWANGAN CHEMIST</t>
  </si>
  <si>
    <t>SUB TOTAL SANITASI</t>
  </si>
  <si>
    <t>SUB TOTAL KONSOLIDASI, SURVEY, &amp; SENSUS</t>
  </si>
  <si>
    <t>SUB TOTAL JEMBATAN &amp; GORONG-GORONG</t>
  </si>
  <si>
    <t>Umur 28 Bulan=750 gram</t>
  </si>
  <si>
    <t>SUB TOTAL PEMUPUKKAN DOLOMIT</t>
  </si>
  <si>
    <t>GRAND TOTAL JUMLAH BIAYA TBM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</si>
</sst>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0\ &quot; Ha&quot;"/>
    <numFmt numFmtId="168" formatCode="_(* #,##0_);_(* \(#,##0\);_(* &quot;-&quot;_);_(@_)"/>
    <numFmt numFmtId="169" formatCode="_(* #,##0.00_);_(* \(#,##0.00\);_(* &quot;-&quot;_);_(@_)"/>
    <numFmt numFmtId="170" formatCode="_(* #,##0.0000_);_(* \(#,##0.0000\);_(* &quot;-&quot;??_);_(@_)"/>
    <numFmt numFmtId="171" formatCode="_(* #,##0.000_);_(* \(#,##0.000\);_(* &quot;-&quot;??_);_(@_)"/>
    <numFmt numFmtId="172" formatCode="_-* #,##0_-;\-* #,##0_-;_-* &quot;-&quot;??_-;_-@_-"/>
    <numFmt numFmtId="173" formatCode="0.000"/>
    <numFmt numFmtId="174" formatCode="_(* #,##0.0000_);_(* \(#,##0.0000\);_(* &quot;-&quot;_);_(@_)"/>
    <numFmt numFmtId="175" formatCode="_(* #,##0.0_);_(* \(#,##0.0\);_(* &quot;-&quot;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indexed="8"/>
      <name val="Calibri"/>
      <family val="2"/>
    </font>
    <font>
      <sz val="11"/>
      <color indexed="10"/>
      <name val="Cambria"/>
      <family val="1"/>
      <scheme val="major"/>
    </font>
    <font>
      <b/>
      <sz val="10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8"/>
      <color indexed="10"/>
      <name val="Arial"/>
      <family val="2"/>
    </font>
    <font>
      <sz val="10"/>
      <color theme="0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sz val="10"/>
      <color indexed="10"/>
      <name val="Cambria"/>
      <family val="1"/>
      <scheme val="major"/>
    </font>
    <font>
      <sz val="11"/>
      <color theme="1"/>
      <name val="Calibri"/>
      <family val="2"/>
      <charset val="1"/>
      <scheme val="minor"/>
    </font>
    <font>
      <sz val="10"/>
      <name val="Arial"/>
      <family val="2"/>
      <charset val="1"/>
    </font>
    <font>
      <b/>
      <sz val="10"/>
      <color indexed="10"/>
      <name val="Cambria"/>
      <family val="1"/>
      <scheme val="major"/>
    </font>
    <font>
      <b/>
      <u/>
      <sz val="10"/>
      <name val="Cambria"/>
      <family val="1"/>
      <scheme val="major"/>
    </font>
    <font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indexed="8"/>
      <name val="Cambria"/>
      <family val="1"/>
      <scheme val="major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7" fillId="0" borderId="0" applyFont="0" applyFill="0" applyBorder="0" applyAlignment="0" applyProtection="0"/>
    <xf numFmtId="168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8" fillId="0" borderId="0"/>
  </cellStyleXfs>
  <cellXfs count="954">
    <xf numFmtId="0" fontId="0" fillId="0" borderId="0" xfId="0"/>
    <xf numFmtId="0" fontId="5" fillId="0" borderId="0" xfId="4" applyFont="1"/>
    <xf numFmtId="0" fontId="6" fillId="0" borderId="0" xfId="4" applyFont="1" applyAlignment="1">
      <alignment horizontal="left"/>
    </xf>
    <xf numFmtId="165" fontId="5" fillId="0" borderId="0" xfId="1" applyNumberFormat="1" applyFont="1"/>
    <xf numFmtId="166" fontId="5" fillId="0" borderId="0" xfId="1" applyNumberFormat="1" applyFont="1"/>
    <xf numFmtId="0" fontId="6" fillId="0" borderId="0" xfId="4" applyFont="1" applyAlignment="1">
      <alignment horizontal="left"/>
    </xf>
    <xf numFmtId="165" fontId="6" fillId="0" borderId="0" xfId="1" applyNumberFormat="1" applyFont="1" applyAlignment="1">
      <alignment horizontal="left"/>
    </xf>
    <xf numFmtId="165" fontId="6" fillId="0" borderId="0" xfId="1" applyNumberFormat="1" applyFont="1" applyFill="1" applyAlignment="1">
      <alignment horizontal="left"/>
    </xf>
    <xf numFmtId="166" fontId="6" fillId="0" borderId="0" xfId="1" applyNumberFormat="1" applyFont="1" applyFill="1" applyAlignment="1">
      <alignment horizontal="left"/>
    </xf>
    <xf numFmtId="166" fontId="6" fillId="0" borderId="0" xfId="1" applyNumberFormat="1" applyFont="1" applyAlignment="1">
      <alignment horizontal="left"/>
    </xf>
    <xf numFmtId="166" fontId="6" fillId="0" borderId="0" xfId="4" applyNumberFormat="1" applyFont="1" applyAlignment="1">
      <alignment horizontal="left"/>
    </xf>
    <xf numFmtId="166" fontId="5" fillId="0" borderId="0" xfId="4" applyNumberFormat="1" applyFont="1"/>
    <xf numFmtId="0" fontId="6" fillId="0" borderId="0" xfId="4" applyFont="1"/>
    <xf numFmtId="166" fontId="6" fillId="0" borderId="0" xfId="4" applyNumberFormat="1" applyFont="1"/>
    <xf numFmtId="165" fontId="5" fillId="0" borderId="0" xfId="1" applyNumberFormat="1" applyFont="1" applyFill="1"/>
    <xf numFmtId="166" fontId="5" fillId="0" borderId="0" xfId="1" applyNumberFormat="1" applyFont="1" applyFill="1"/>
    <xf numFmtId="165" fontId="8" fillId="0" borderId="0" xfId="1" applyNumberFormat="1" applyFont="1"/>
    <xf numFmtId="0" fontId="4" fillId="0" borderId="0" xfId="4"/>
    <xf numFmtId="0" fontId="9" fillId="0" borderId="0" xfId="4" applyFont="1"/>
    <xf numFmtId="0" fontId="10" fillId="0" borderId="0" xfId="4" applyFont="1"/>
    <xf numFmtId="0" fontId="11" fillId="0" borderId="0" xfId="4" applyFont="1"/>
    <xf numFmtId="165" fontId="11" fillId="0" borderId="0" xfId="1" applyNumberFormat="1" applyFont="1"/>
    <xf numFmtId="165" fontId="4" fillId="0" borderId="0" xfId="1" applyNumberFormat="1" applyFont="1"/>
    <xf numFmtId="165" fontId="4" fillId="0" borderId="0" xfId="1" applyNumberFormat="1" applyFont="1" applyFill="1"/>
    <xf numFmtId="166" fontId="4" fillId="0" borderId="0" xfId="1" applyNumberFormat="1" applyFont="1" applyFill="1"/>
    <xf numFmtId="165" fontId="12" fillId="0" borderId="0" xfId="1" applyNumberFormat="1" applyFont="1"/>
    <xf numFmtId="166" fontId="4" fillId="0" borderId="0" xfId="1" applyNumberFormat="1" applyFont="1"/>
    <xf numFmtId="166" fontId="4" fillId="0" borderId="0" xfId="4" applyNumberFormat="1"/>
    <xf numFmtId="0" fontId="13" fillId="0" borderId="0" xfId="4" applyFont="1"/>
    <xf numFmtId="0" fontId="14" fillId="0" borderId="0" xfId="4" applyFont="1"/>
    <xf numFmtId="167" fontId="14" fillId="0" borderId="0" xfId="4" applyNumberFormat="1" applyFont="1" applyAlignment="1">
      <alignment horizontal="left"/>
    </xf>
    <xf numFmtId="0" fontId="15" fillId="0" borderId="0" xfId="4" applyFont="1"/>
    <xf numFmtId="165" fontId="15" fillId="0" borderId="0" xfId="1" applyNumberFormat="1" applyFont="1"/>
    <xf numFmtId="166" fontId="15" fillId="0" borderId="0" xfId="1" applyNumberFormat="1" applyFont="1"/>
    <xf numFmtId="165" fontId="16" fillId="0" borderId="0" xfId="1" applyNumberFormat="1" applyFont="1"/>
    <xf numFmtId="0" fontId="14" fillId="0" borderId="1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 wrapText="1"/>
    </xf>
    <xf numFmtId="0" fontId="14" fillId="0" borderId="3" xfId="4" applyFont="1" applyBorder="1" applyAlignment="1">
      <alignment horizontal="center" vertical="center" wrapText="1"/>
    </xf>
    <xf numFmtId="165" fontId="14" fillId="0" borderId="4" xfId="1" applyNumberFormat="1" applyFont="1" applyBorder="1" applyAlignment="1">
      <alignment horizontal="center"/>
    </xf>
    <xf numFmtId="165" fontId="14" fillId="0" borderId="2" xfId="1" applyNumberFormat="1" applyFont="1" applyBorder="1" applyAlignment="1">
      <alignment horizontal="center"/>
    </xf>
    <xf numFmtId="0" fontId="14" fillId="0" borderId="2" xfId="4" applyFont="1" applyBorder="1" applyAlignment="1">
      <alignment horizontal="center"/>
    </xf>
    <xf numFmtId="0" fontId="14" fillId="0" borderId="3" xfId="4" applyFont="1" applyBorder="1" applyAlignment="1">
      <alignment horizontal="center"/>
    </xf>
    <xf numFmtId="0" fontId="14" fillId="0" borderId="5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165" fontId="14" fillId="0" borderId="8" xfId="1" applyNumberFormat="1" applyFont="1" applyBorder="1" applyAlignment="1">
      <alignment horizontal="center"/>
    </xf>
    <xf numFmtId="165" fontId="14" fillId="0" borderId="6" xfId="1" applyNumberFormat="1" applyFont="1" applyBorder="1" applyAlignment="1">
      <alignment horizontal="center"/>
    </xf>
    <xf numFmtId="0" fontId="14" fillId="0" borderId="6" xfId="4" applyFont="1" applyBorder="1" applyAlignment="1">
      <alignment horizontal="center"/>
    </xf>
    <xf numFmtId="0" fontId="14" fillId="0" borderId="7" xfId="4" applyFont="1" applyBorder="1" applyAlignment="1">
      <alignment horizontal="center"/>
    </xf>
    <xf numFmtId="0" fontId="14" fillId="0" borderId="6" xfId="4" applyFont="1" applyBorder="1" applyAlignment="1">
      <alignment horizontal="center" vertical="center"/>
    </xf>
    <xf numFmtId="165" fontId="14" fillId="0" borderId="8" xfId="1" applyNumberFormat="1" applyFont="1" applyBorder="1" applyAlignment="1">
      <alignment horizontal="center"/>
    </xf>
    <xf numFmtId="165" fontId="14" fillId="0" borderId="6" xfId="1" applyNumberFormat="1" applyFont="1" applyBorder="1" applyAlignment="1">
      <alignment horizontal="center"/>
    </xf>
    <xf numFmtId="166" fontId="14" fillId="0" borderId="6" xfId="1" applyNumberFormat="1" applyFont="1" applyBorder="1" applyAlignment="1">
      <alignment horizontal="center"/>
    </xf>
    <xf numFmtId="0" fontId="14" fillId="0" borderId="6" xfId="4" applyFont="1" applyBorder="1" applyAlignment="1">
      <alignment horizontal="center"/>
    </xf>
    <xf numFmtId="166" fontId="14" fillId="0" borderId="7" xfId="1" applyNumberFormat="1" applyFont="1" applyBorder="1" applyAlignment="1">
      <alignment horizontal="center"/>
    </xf>
    <xf numFmtId="0" fontId="14" fillId="0" borderId="9" xfId="4" applyFont="1" applyBorder="1" applyAlignment="1">
      <alignment horizontal="center" vertical="center"/>
    </xf>
    <xf numFmtId="0" fontId="14" fillId="0" borderId="10" xfId="4" applyFont="1" applyBorder="1" applyAlignment="1">
      <alignment horizontal="center" vertical="center"/>
    </xf>
    <xf numFmtId="0" fontId="14" fillId="0" borderId="10" xfId="4" applyFont="1" applyBorder="1" applyAlignment="1">
      <alignment horizontal="center" vertical="center"/>
    </xf>
    <xf numFmtId="0" fontId="14" fillId="0" borderId="11" xfId="4" applyFont="1" applyBorder="1" applyAlignment="1">
      <alignment horizontal="center" vertical="center"/>
    </xf>
    <xf numFmtId="165" fontId="14" fillId="0" borderId="12" xfId="1" applyNumberFormat="1" applyFont="1" applyBorder="1" applyAlignment="1">
      <alignment horizontal="center"/>
    </xf>
    <xf numFmtId="165" fontId="14" fillId="0" borderId="10" xfId="1" applyNumberFormat="1" applyFont="1" applyBorder="1" applyAlignment="1">
      <alignment horizontal="center"/>
    </xf>
    <xf numFmtId="166" fontId="14" fillId="0" borderId="10" xfId="1" applyNumberFormat="1" applyFont="1" applyBorder="1" applyAlignment="1">
      <alignment horizontal="center"/>
    </xf>
    <xf numFmtId="0" fontId="14" fillId="0" borderId="10" xfId="4" applyFont="1" applyBorder="1" applyAlignment="1">
      <alignment horizontal="center"/>
    </xf>
    <xf numFmtId="166" fontId="14" fillId="0" borderId="11" xfId="1" applyNumberFormat="1" applyFont="1" applyBorder="1" applyAlignment="1">
      <alignment horizontal="center"/>
    </xf>
    <xf numFmtId="0" fontId="15" fillId="0" borderId="13" xfId="4" applyFont="1" applyBorder="1" applyAlignment="1">
      <alignment horizontal="center" vertical="center"/>
    </xf>
    <xf numFmtId="0" fontId="15" fillId="0" borderId="14" xfId="4" applyFont="1" applyBorder="1" applyAlignment="1">
      <alignment horizontal="left" vertical="center"/>
    </xf>
    <xf numFmtId="169" fontId="15" fillId="0" borderId="14" xfId="2" applyNumberFormat="1" applyFont="1" applyBorder="1" applyAlignment="1">
      <alignment horizontal="center"/>
    </xf>
    <xf numFmtId="166" fontId="15" fillId="0" borderId="14" xfId="4" applyNumberFormat="1" applyFont="1" applyBorder="1"/>
    <xf numFmtId="166" fontId="15" fillId="0" borderId="14" xfId="1" applyNumberFormat="1" applyFont="1" applyFill="1" applyBorder="1"/>
    <xf numFmtId="164" fontId="15" fillId="0" borderId="15" xfId="1" applyFont="1" applyFill="1" applyBorder="1"/>
    <xf numFmtId="165" fontId="15" fillId="0" borderId="16" xfId="1" applyNumberFormat="1" applyFont="1" applyFill="1" applyBorder="1"/>
    <xf numFmtId="165" fontId="15" fillId="0" borderId="14" xfId="1" applyNumberFormat="1" applyFont="1" applyFill="1" applyBorder="1"/>
    <xf numFmtId="164" fontId="15" fillId="0" borderId="14" xfId="1" applyFont="1" applyFill="1" applyBorder="1"/>
    <xf numFmtId="166" fontId="15" fillId="0" borderId="15" xfId="1" applyNumberFormat="1" applyFont="1" applyFill="1" applyBorder="1"/>
    <xf numFmtId="0" fontId="15" fillId="0" borderId="5" xfId="4" applyFont="1" applyBorder="1" applyAlignment="1">
      <alignment horizontal="center" vertical="center"/>
    </xf>
    <xf numFmtId="0" fontId="15" fillId="0" borderId="6" xfId="4" applyFont="1" applyBorder="1" applyAlignment="1">
      <alignment horizontal="left" vertical="center"/>
    </xf>
    <xf numFmtId="169" fontId="15" fillId="0" borderId="6" xfId="2" applyNumberFormat="1" applyFont="1" applyBorder="1" applyAlignment="1">
      <alignment horizontal="center"/>
    </xf>
    <xf numFmtId="166" fontId="15" fillId="0" borderId="6" xfId="4" applyNumberFormat="1" applyFont="1" applyBorder="1"/>
    <xf numFmtId="166" fontId="15" fillId="0" borderId="6" xfId="1" applyNumberFormat="1" applyFont="1" applyFill="1" applyBorder="1"/>
    <xf numFmtId="164" fontId="15" fillId="0" borderId="7" xfId="1" applyFont="1" applyFill="1" applyBorder="1"/>
    <xf numFmtId="165" fontId="15" fillId="0" borderId="8" xfId="1" applyNumberFormat="1" applyFont="1" applyFill="1" applyBorder="1"/>
    <xf numFmtId="165" fontId="15" fillId="0" borderId="6" xfId="1" applyNumberFormat="1" applyFont="1" applyFill="1" applyBorder="1"/>
    <xf numFmtId="164" fontId="15" fillId="0" borderId="6" xfId="1" applyFont="1" applyFill="1" applyBorder="1"/>
    <xf numFmtId="166" fontId="15" fillId="0" borderId="7" xfId="1" applyNumberFormat="1" applyFont="1" applyFill="1" applyBorder="1"/>
    <xf numFmtId="0" fontId="15" fillId="0" borderId="6" xfId="4" applyFont="1" applyBorder="1"/>
    <xf numFmtId="169" fontId="15" fillId="0" borderId="6" xfId="2" applyNumberFormat="1" applyFont="1" applyFill="1" applyBorder="1"/>
    <xf numFmtId="0" fontId="15" fillId="0" borderId="17" xfId="4" applyFont="1" applyBorder="1" applyAlignment="1">
      <alignment horizontal="center" vertical="center"/>
    </xf>
    <xf numFmtId="0" fontId="15" fillId="0" borderId="18" xfId="4" applyFont="1" applyBorder="1"/>
    <xf numFmtId="169" fontId="15" fillId="0" borderId="18" xfId="2" applyNumberFormat="1" applyFont="1" applyFill="1" applyBorder="1"/>
    <xf numFmtId="166" fontId="15" fillId="0" borderId="18" xfId="1" applyNumberFormat="1" applyFont="1" applyFill="1" applyBorder="1"/>
    <xf numFmtId="164" fontId="15" fillId="0" borderId="19" xfId="1" applyFont="1" applyFill="1" applyBorder="1"/>
    <xf numFmtId="165" fontId="15" fillId="0" borderId="20" xfId="1" applyNumberFormat="1" applyFont="1" applyFill="1" applyBorder="1"/>
    <xf numFmtId="165" fontId="15" fillId="0" borderId="18" xfId="1" applyNumberFormat="1" applyFont="1" applyFill="1" applyBorder="1"/>
    <xf numFmtId="164" fontId="15" fillId="0" borderId="18" xfId="1" applyFont="1" applyFill="1" applyBorder="1"/>
    <xf numFmtId="166" fontId="15" fillId="0" borderId="19" xfId="1" applyNumberFormat="1" applyFont="1" applyFill="1" applyBorder="1"/>
    <xf numFmtId="0" fontId="14" fillId="0" borderId="21" xfId="4" applyFont="1" applyBorder="1"/>
    <xf numFmtId="0" fontId="14" fillId="0" borderId="22" xfId="4" applyFont="1" applyBorder="1"/>
    <xf numFmtId="169" fontId="14" fillId="0" borderId="22" xfId="2" applyNumberFormat="1" applyFont="1" applyBorder="1"/>
    <xf numFmtId="166" fontId="14" fillId="0" borderId="22" xfId="4" applyNumberFormat="1" applyFont="1" applyBorder="1"/>
    <xf numFmtId="164" fontId="14" fillId="0" borderId="23" xfId="1" applyFont="1" applyBorder="1"/>
    <xf numFmtId="165" fontId="14" fillId="0" borderId="24" xfId="1" applyNumberFormat="1" applyFont="1" applyBorder="1"/>
    <xf numFmtId="165" fontId="14" fillId="0" borderId="22" xfId="1" applyNumberFormat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166" fontId="15" fillId="0" borderId="0" xfId="1" applyNumberFormat="1" applyFont="1" applyFill="1"/>
    <xf numFmtId="165" fontId="15" fillId="0" borderId="0" xfId="1" applyNumberFormat="1" applyFont="1" applyFill="1"/>
    <xf numFmtId="165" fontId="16" fillId="0" borderId="0" xfId="1" applyNumberFormat="1" applyFont="1" applyFill="1"/>
    <xf numFmtId="164" fontId="15" fillId="0" borderId="0" xfId="1" applyFont="1"/>
    <xf numFmtId="166" fontId="14" fillId="0" borderId="0" xfId="4" applyNumberFormat="1" applyFont="1"/>
    <xf numFmtId="164" fontId="14" fillId="0" borderId="0" xfId="1" applyFont="1" applyFill="1"/>
    <xf numFmtId="166" fontId="14" fillId="0" borderId="0" xfId="1" applyNumberFormat="1" applyFont="1" applyFill="1"/>
    <xf numFmtId="165" fontId="14" fillId="0" borderId="0" xfId="1" applyNumberFormat="1" applyFont="1"/>
    <xf numFmtId="166" fontId="14" fillId="0" borderId="0" xfId="1" applyNumberFormat="1" applyFont="1"/>
    <xf numFmtId="0" fontId="15" fillId="2" borderId="0" xfId="5" applyFont="1" applyFill="1" applyAlignment="1">
      <alignment horizontal="center" vertical="center" wrapText="1"/>
    </xf>
    <xf numFmtId="0" fontId="15" fillId="2" borderId="0" xfId="5" applyFont="1" applyFill="1" applyAlignment="1">
      <alignment vertical="center" wrapText="1"/>
    </xf>
    <xf numFmtId="164" fontId="15" fillId="0" borderId="0" xfId="1" applyFont="1" applyFill="1"/>
    <xf numFmtId="165" fontId="15" fillId="2" borderId="0" xfId="1" applyNumberFormat="1" applyFont="1" applyFill="1" applyAlignment="1">
      <alignment vertical="center" wrapText="1"/>
    </xf>
    <xf numFmtId="166" fontId="15" fillId="2" borderId="0" xfId="1" applyNumberFormat="1" applyFont="1" applyFill="1" applyAlignment="1">
      <alignment vertical="center" wrapText="1"/>
    </xf>
    <xf numFmtId="165" fontId="19" fillId="0" borderId="0" xfId="1" applyNumberFormat="1" applyFont="1" applyFill="1"/>
    <xf numFmtId="165" fontId="14" fillId="0" borderId="0" xfId="1" applyNumberFormat="1" applyFont="1" applyFill="1"/>
    <xf numFmtId="165" fontId="15" fillId="2" borderId="0" xfId="1" applyNumberFormat="1" applyFont="1" applyFill="1" applyAlignment="1">
      <alignment horizontal="center" vertical="center" wrapText="1"/>
    </xf>
    <xf numFmtId="0" fontId="15" fillId="0" borderId="0" xfId="4" quotePrefix="1" applyFont="1"/>
    <xf numFmtId="166" fontId="15" fillId="2" borderId="0" xfId="1" applyNumberFormat="1" applyFont="1" applyFill="1" applyAlignment="1">
      <alignment horizontal="center" vertical="center" wrapText="1"/>
    </xf>
    <xf numFmtId="165" fontId="15" fillId="2" borderId="0" xfId="1" applyNumberFormat="1" applyFont="1" applyFill="1" applyAlignment="1">
      <alignment horizontal="center" vertical="center" wrapText="1"/>
    </xf>
    <xf numFmtId="166" fontId="15" fillId="0" borderId="0" xfId="1" applyNumberFormat="1" applyFont="1" applyFill="1" applyAlignment="1">
      <alignment horizontal="center"/>
    </xf>
    <xf numFmtId="0" fontId="20" fillId="2" borderId="0" xfId="5" applyFont="1" applyFill="1" applyAlignment="1">
      <alignment wrapText="1"/>
    </xf>
    <xf numFmtId="165" fontId="15" fillId="2" borderId="0" xfId="1" applyNumberFormat="1" applyFont="1" applyFill="1" applyAlignment="1">
      <alignment horizontal="left" vertical="center" wrapText="1"/>
    </xf>
    <xf numFmtId="165" fontId="20" fillId="2" borderId="0" xfId="1" applyNumberFormat="1" applyFont="1" applyFill="1" applyAlignment="1">
      <alignment vertical="center" wrapText="1"/>
    </xf>
    <xf numFmtId="166" fontId="20" fillId="2" borderId="0" xfId="1" applyNumberFormat="1" applyFont="1" applyFill="1" applyAlignment="1">
      <alignment vertical="center" wrapText="1"/>
    </xf>
    <xf numFmtId="165" fontId="20" fillId="2" borderId="0" xfId="1" applyNumberFormat="1" applyFont="1" applyFill="1" applyAlignment="1">
      <alignment horizontal="center" vertical="center" wrapText="1"/>
    </xf>
    <xf numFmtId="0" fontId="20" fillId="2" borderId="0" xfId="5" applyFont="1" applyFill="1" applyAlignment="1">
      <alignment vertical="center" wrapText="1"/>
    </xf>
    <xf numFmtId="0" fontId="20" fillId="2" borderId="0" xfId="5" applyFont="1" applyFill="1" applyAlignment="1">
      <alignment horizontal="center" vertical="center" wrapText="1"/>
    </xf>
    <xf numFmtId="0" fontId="20" fillId="2" borderId="0" xfId="5" applyFont="1" applyFill="1" applyAlignment="1">
      <alignment horizontal="center" wrapText="1"/>
    </xf>
    <xf numFmtId="165" fontId="15" fillId="2" borderId="0" xfId="1" applyNumberFormat="1" applyFont="1" applyFill="1" applyAlignment="1">
      <alignment vertical="top"/>
    </xf>
    <xf numFmtId="166" fontId="15" fillId="2" borderId="0" xfId="1" applyNumberFormat="1" applyFont="1" applyFill="1" applyAlignment="1">
      <alignment vertical="top"/>
    </xf>
    <xf numFmtId="165" fontId="15" fillId="2" borderId="0" xfId="1" applyNumberFormat="1" applyFont="1" applyFill="1" applyAlignment="1">
      <alignment horizontal="center" vertical="top"/>
    </xf>
    <xf numFmtId="0" fontId="15" fillId="2" borderId="0" xfId="5" applyFont="1" applyFill="1" applyAlignment="1">
      <alignment vertical="top"/>
    </xf>
    <xf numFmtId="0" fontId="15" fillId="2" borderId="0" xfId="5" applyFont="1" applyFill="1" applyAlignment="1">
      <alignment horizontal="center" vertical="top"/>
    </xf>
    <xf numFmtId="0" fontId="15" fillId="2" borderId="0" xfId="5" applyFont="1" applyFill="1" applyAlignment="1">
      <alignment horizontal="center" vertical="top" wrapText="1"/>
    </xf>
    <xf numFmtId="0" fontId="15" fillId="2" borderId="0" xfId="5" applyFont="1" applyFill="1" applyAlignment="1">
      <alignment vertical="top" wrapText="1"/>
    </xf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0" fontId="24" fillId="0" borderId="25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3" borderId="6" xfId="0" applyFont="1" applyFill="1" applyBorder="1" applyAlignment="1">
      <alignment horizontal="center"/>
    </xf>
    <xf numFmtId="0" fontId="27" fillId="3" borderId="26" xfId="0" applyFont="1" applyFill="1" applyBorder="1" applyAlignment="1">
      <alignment horizontal="center"/>
    </xf>
    <xf numFmtId="0" fontId="27" fillId="3" borderId="27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64" fontId="28" fillId="0" borderId="6" xfId="1" applyFont="1" applyFill="1" applyBorder="1" applyAlignment="1">
      <alignment horizontal="left"/>
    </xf>
    <xf numFmtId="168" fontId="22" fillId="0" borderId="6" xfId="2" applyFont="1" applyBorder="1" applyAlignment="1">
      <alignment horizontal="center"/>
    </xf>
    <xf numFmtId="168" fontId="22" fillId="0" borderId="6" xfId="0" applyNumberFormat="1" applyFont="1" applyBorder="1" applyAlignment="1">
      <alignment horizontal="center" vertical="center"/>
    </xf>
    <xf numFmtId="166" fontId="22" fillId="0" borderId="6" xfId="1" applyNumberFormat="1" applyFont="1" applyBorder="1" applyAlignment="1">
      <alignment horizontal="center" vertical="center"/>
    </xf>
    <xf numFmtId="4" fontId="22" fillId="0" borderId="18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164" fontId="22" fillId="0" borderId="6" xfId="0" applyNumberFormat="1" applyFont="1" applyBorder="1" applyAlignment="1">
      <alignment vertical="center"/>
    </xf>
    <xf numFmtId="164" fontId="22" fillId="0" borderId="18" xfId="0" applyNumberFormat="1" applyFont="1" applyBorder="1" applyAlignment="1">
      <alignment horizontal="center" vertical="center"/>
    </xf>
    <xf numFmtId="169" fontId="22" fillId="0" borderId="18" xfId="2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 wrapText="1"/>
    </xf>
    <xf numFmtId="4" fontId="22" fillId="0" borderId="28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69" fontId="22" fillId="0" borderId="28" xfId="2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 wrapText="1"/>
    </xf>
    <xf numFmtId="168" fontId="22" fillId="0" borderId="0" xfId="0" applyNumberFormat="1" applyFont="1"/>
    <xf numFmtId="0" fontId="22" fillId="0" borderId="14" xfId="0" applyFont="1" applyBorder="1" applyAlignment="1">
      <alignment horizontal="center" vertical="center"/>
    </xf>
    <xf numFmtId="169" fontId="22" fillId="0" borderId="14" xfId="2" applyNumberFormat="1" applyFont="1" applyBorder="1" applyAlignment="1">
      <alignment horizontal="center" vertical="center"/>
    </xf>
    <xf numFmtId="168" fontId="22" fillId="0" borderId="6" xfId="2" applyFont="1" applyBorder="1" applyAlignment="1">
      <alignment vertical="center"/>
    </xf>
    <xf numFmtId="168" fontId="22" fillId="0" borderId="18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4" fontId="22" fillId="0" borderId="14" xfId="0" applyNumberFormat="1" applyFont="1" applyBorder="1" applyAlignment="1">
      <alignment horizontal="center" vertical="center"/>
    </xf>
    <xf numFmtId="0" fontId="22" fillId="0" borderId="6" xfId="0" applyFont="1" applyBorder="1"/>
    <xf numFmtId="168" fontId="22" fillId="0" borderId="6" xfId="2" applyFont="1" applyBorder="1"/>
    <xf numFmtId="168" fontId="22" fillId="0" borderId="14" xfId="0" applyNumberFormat="1" applyFont="1" applyBorder="1" applyAlignment="1">
      <alignment horizontal="center" vertical="center"/>
    </xf>
    <xf numFmtId="168" fontId="22" fillId="2" borderId="6" xfId="2" applyFont="1" applyFill="1" applyBorder="1"/>
    <xf numFmtId="2" fontId="22" fillId="0" borderId="18" xfId="0" applyNumberFormat="1" applyFont="1" applyBorder="1" applyAlignment="1">
      <alignment horizontal="center" vertical="center"/>
    </xf>
    <xf numFmtId="168" fontId="22" fillId="0" borderId="28" xfId="0" applyNumberFormat="1" applyFont="1" applyBorder="1" applyAlignment="1">
      <alignment horizontal="center" vertical="center"/>
    </xf>
    <xf numFmtId="2" fontId="22" fillId="0" borderId="28" xfId="0" applyNumberFormat="1" applyFont="1" applyBorder="1" applyAlignment="1">
      <alignment horizontal="center" vertical="center"/>
    </xf>
    <xf numFmtId="0" fontId="22" fillId="2" borderId="29" xfId="0" applyFont="1" applyFill="1" applyBorder="1"/>
    <xf numFmtId="164" fontId="28" fillId="2" borderId="6" xfId="1" applyFont="1" applyFill="1" applyBorder="1"/>
    <xf numFmtId="164" fontId="22" fillId="0" borderId="6" xfId="0" applyNumberFormat="1" applyFont="1" applyBorder="1"/>
    <xf numFmtId="2" fontId="22" fillId="0" borderId="14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168" fontId="22" fillId="2" borderId="6" xfId="2" applyFont="1" applyFill="1" applyBorder="1" applyAlignment="1">
      <alignment vertical="center"/>
    </xf>
    <xf numFmtId="4" fontId="22" fillId="0" borderId="6" xfId="0" applyNumberFormat="1" applyFont="1" applyBorder="1" applyAlignment="1">
      <alignment horizontal="center" vertical="center"/>
    </xf>
    <xf numFmtId="0" fontId="22" fillId="0" borderId="29" xfId="0" applyFont="1" applyBorder="1"/>
    <xf numFmtId="0" fontId="22" fillId="0" borderId="31" xfId="0" applyFont="1" applyBorder="1" applyAlignment="1">
      <alignment horizontal="center" vertical="center"/>
    </xf>
    <xf numFmtId="0" fontId="22" fillId="2" borderId="0" xfId="0" applyFont="1" applyFill="1"/>
    <xf numFmtId="0" fontId="22" fillId="0" borderId="3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68" fontId="22" fillId="0" borderId="6" xfId="0" applyNumberFormat="1" applyFont="1" applyBorder="1" applyAlignment="1">
      <alignment horizontal="center" vertical="center"/>
    </xf>
    <xf numFmtId="168" fontId="22" fillId="0" borderId="6" xfId="0" applyNumberFormat="1" applyFont="1" applyBorder="1" applyAlignment="1">
      <alignment vertical="center"/>
    </xf>
    <xf numFmtId="4" fontId="22" fillId="0" borderId="6" xfId="0" applyNumberFormat="1" applyFont="1" applyBorder="1" applyAlignment="1">
      <alignment horizontal="center" vertical="center"/>
    </xf>
    <xf numFmtId="4" fontId="22" fillId="0" borderId="18" xfId="0" applyNumberFormat="1" applyFont="1" applyBorder="1" applyAlignment="1">
      <alignment horizontal="center" vertical="center"/>
    </xf>
    <xf numFmtId="4" fontId="22" fillId="0" borderId="14" xfId="0" applyNumberFormat="1" applyFont="1" applyBorder="1" applyAlignment="1">
      <alignment horizontal="center" vertical="center"/>
    </xf>
    <xf numFmtId="168" fontId="22" fillId="0" borderId="6" xfId="2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68" fontId="22" fillId="0" borderId="18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68" fontId="22" fillId="0" borderId="28" xfId="0" applyNumberFormat="1" applyFont="1" applyBorder="1" applyAlignment="1">
      <alignment horizontal="center" vertical="center"/>
    </xf>
    <xf numFmtId="4" fontId="22" fillId="0" borderId="28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68" fontId="22" fillId="0" borderId="14" xfId="0" applyNumberFormat="1" applyFont="1" applyBorder="1" applyAlignment="1">
      <alignment horizontal="center" vertical="center"/>
    </xf>
    <xf numFmtId="0" fontId="22" fillId="0" borderId="29" xfId="0" quotePrefix="1" applyFont="1" applyBorder="1"/>
    <xf numFmtId="0" fontId="22" fillId="0" borderId="14" xfId="0" applyFont="1" applyBorder="1"/>
    <xf numFmtId="164" fontId="22" fillId="0" borderId="14" xfId="0" applyNumberFormat="1" applyFont="1" applyBorder="1"/>
    <xf numFmtId="0" fontId="27" fillId="3" borderId="27" xfId="0" applyFont="1" applyFill="1" applyBorder="1" applyAlignment="1">
      <alignment horizontal="center" vertical="center"/>
    </xf>
    <xf numFmtId="168" fontId="27" fillId="3" borderId="6" xfId="0" applyNumberFormat="1" applyFont="1" applyFill="1" applyBorder="1"/>
    <xf numFmtId="0" fontId="22" fillId="3" borderId="6" xfId="0" applyFont="1" applyFill="1" applyBorder="1"/>
    <xf numFmtId="0" fontId="27" fillId="3" borderId="26" xfId="0" applyFont="1" applyFill="1" applyBorder="1" applyAlignment="1">
      <alignment horizontal="center" vertical="center"/>
    </xf>
    <xf numFmtId="0" fontId="27" fillId="3" borderId="2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26" xfId="0" applyFont="1" applyFill="1" applyBorder="1" applyAlignment="1">
      <alignment horizontal="center"/>
    </xf>
    <xf numFmtId="0" fontId="27" fillId="3" borderId="27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164" fontId="7" fillId="0" borderId="0" xfId="1" applyFont="1"/>
    <xf numFmtId="164" fontId="7" fillId="0" borderId="0" xfId="1" applyFont="1" applyAlignment="1">
      <alignment horizontal="center"/>
    </xf>
    <xf numFmtId="0" fontId="7" fillId="0" borderId="0" xfId="1" applyNumberFormat="1" applyFont="1" applyAlignment="1">
      <alignment horizontal="center"/>
    </xf>
    <xf numFmtId="170" fontId="1" fillId="0" borderId="0" xfId="1" applyNumberFormat="1" applyFont="1"/>
    <xf numFmtId="164" fontId="0" fillId="0" borderId="0" xfId="1" applyFont="1"/>
    <xf numFmtId="164" fontId="29" fillId="4" borderId="30" xfId="1" applyFont="1" applyFill="1" applyBorder="1" applyAlignment="1">
      <alignment horizontal="center" vertical="center"/>
    </xf>
    <xf numFmtId="164" fontId="29" fillId="4" borderId="29" xfId="1" applyFont="1" applyFill="1" applyBorder="1" applyAlignment="1">
      <alignment horizontal="center" vertical="center"/>
    </xf>
    <xf numFmtId="164" fontId="29" fillId="4" borderId="20" xfId="1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29" fillId="4" borderId="26" xfId="1" applyNumberFormat="1" applyFont="1" applyFill="1" applyBorder="1" applyAlignment="1">
      <alignment horizontal="center"/>
    </xf>
    <xf numFmtId="0" fontId="29" fillId="4" borderId="27" xfId="1" applyNumberFormat="1" applyFont="1" applyFill="1" applyBorder="1" applyAlignment="1">
      <alignment horizontal="center"/>
    </xf>
    <xf numFmtId="0" fontId="29" fillId="4" borderId="8" xfId="1" applyNumberFormat="1" applyFont="1" applyFill="1" applyBorder="1" applyAlignment="1">
      <alignment horizontal="center"/>
    </xf>
    <xf numFmtId="0" fontId="29" fillId="5" borderId="26" xfId="1" applyNumberFormat="1" applyFont="1" applyFill="1" applyBorder="1" applyAlignment="1">
      <alignment horizontal="center" vertical="center"/>
    </xf>
    <xf numFmtId="0" fontId="29" fillId="5" borderId="8" xfId="1" applyNumberFormat="1" applyFont="1" applyFill="1" applyBorder="1" applyAlignment="1">
      <alignment horizontal="center" vertical="center"/>
    </xf>
    <xf numFmtId="0" fontId="29" fillId="4" borderId="26" xfId="1" applyNumberFormat="1" applyFont="1" applyFill="1" applyBorder="1" applyAlignment="1">
      <alignment horizontal="center" vertical="center"/>
    </xf>
    <xf numFmtId="0" fontId="29" fillId="4" borderId="8" xfId="1" applyNumberFormat="1" applyFont="1" applyFill="1" applyBorder="1" applyAlignment="1">
      <alignment horizontal="center" vertical="center"/>
    </xf>
    <xf numFmtId="0" fontId="29" fillId="6" borderId="26" xfId="1" applyNumberFormat="1" applyFont="1" applyFill="1" applyBorder="1" applyAlignment="1">
      <alignment horizontal="center" vertical="center"/>
    </xf>
    <xf numFmtId="0" fontId="29" fillId="6" borderId="8" xfId="1" applyNumberFormat="1" applyFont="1" applyFill="1" applyBorder="1" applyAlignment="1">
      <alignment horizontal="center" vertical="center"/>
    </xf>
    <xf numFmtId="0" fontId="29" fillId="7" borderId="26" xfId="1" applyNumberFormat="1" applyFont="1" applyFill="1" applyBorder="1" applyAlignment="1">
      <alignment horizontal="center" vertical="center"/>
    </xf>
    <xf numFmtId="0" fontId="29" fillId="7" borderId="8" xfId="1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 wrapText="1"/>
    </xf>
    <xf numFmtId="164" fontId="29" fillId="4" borderId="31" xfId="1" applyFont="1" applyFill="1" applyBorder="1" applyAlignment="1">
      <alignment horizontal="center" vertical="center"/>
    </xf>
    <xf numFmtId="164" fontId="29" fillId="4" borderId="0" xfId="1" applyFont="1" applyFill="1" applyBorder="1" applyAlignment="1">
      <alignment horizontal="center" vertical="center"/>
    </xf>
    <xf numFmtId="164" fontId="29" fillId="4" borderId="33" xfId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170" fontId="3" fillId="4" borderId="18" xfId="1" applyNumberFormat="1" applyFont="1" applyFill="1" applyBorder="1" applyAlignment="1">
      <alignment horizontal="center" vertical="center"/>
    </xf>
    <xf numFmtId="164" fontId="29" fillId="4" borderId="18" xfId="1" applyFont="1" applyFill="1" applyBorder="1" applyAlignment="1">
      <alignment horizontal="center" vertical="center" wrapText="1"/>
    </xf>
    <xf numFmtId="0" fontId="29" fillId="5" borderId="18" xfId="1" applyNumberFormat="1" applyFont="1" applyFill="1" applyBorder="1" applyAlignment="1">
      <alignment horizontal="center" vertical="center"/>
    </xf>
    <xf numFmtId="0" fontId="29" fillId="5" borderId="20" xfId="1" applyNumberFormat="1" applyFont="1" applyFill="1" applyBorder="1" applyAlignment="1">
      <alignment horizontal="center" vertical="center"/>
    </xf>
    <xf numFmtId="0" fontId="29" fillId="4" borderId="18" xfId="1" applyNumberFormat="1" applyFont="1" applyFill="1" applyBorder="1" applyAlignment="1">
      <alignment horizontal="center" vertical="center"/>
    </xf>
    <xf numFmtId="0" fontId="29" fillId="6" borderId="18" xfId="1" applyNumberFormat="1" applyFont="1" applyFill="1" applyBorder="1" applyAlignment="1">
      <alignment horizontal="center" vertical="center"/>
    </xf>
    <xf numFmtId="0" fontId="29" fillId="7" borderId="18" xfId="1" applyNumberFormat="1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 wrapText="1"/>
    </xf>
    <xf numFmtId="164" fontId="29" fillId="4" borderId="32" xfId="1" applyFont="1" applyFill="1" applyBorder="1" applyAlignment="1">
      <alignment horizontal="center" vertical="center"/>
    </xf>
    <xf numFmtId="164" fontId="29" fillId="4" borderId="25" xfId="1" applyFont="1" applyFill="1" applyBorder="1" applyAlignment="1">
      <alignment horizontal="center" vertical="center"/>
    </xf>
    <xf numFmtId="164" fontId="29" fillId="4" borderId="16" xfId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170" fontId="3" fillId="4" borderId="14" xfId="1" applyNumberFormat="1" applyFont="1" applyFill="1" applyBorder="1" applyAlignment="1">
      <alignment horizontal="center" vertical="center"/>
    </xf>
    <xf numFmtId="164" fontId="29" fillId="4" borderId="14" xfId="1" applyFont="1" applyFill="1" applyBorder="1" applyAlignment="1">
      <alignment horizontal="center" vertical="center" wrapText="1"/>
    </xf>
    <xf numFmtId="0" fontId="29" fillId="5" borderId="14" xfId="1" applyNumberFormat="1" applyFont="1" applyFill="1" applyBorder="1" applyAlignment="1">
      <alignment horizontal="center" vertical="center"/>
    </xf>
    <xf numFmtId="0" fontId="29" fillId="5" borderId="16" xfId="1" applyNumberFormat="1" applyFont="1" applyFill="1" applyBorder="1" applyAlignment="1">
      <alignment horizontal="center" vertical="center"/>
    </xf>
    <xf numFmtId="0" fontId="29" fillId="4" borderId="14" xfId="1" applyNumberFormat="1" applyFont="1" applyFill="1" applyBorder="1" applyAlignment="1">
      <alignment horizontal="center" vertical="center"/>
    </xf>
    <xf numFmtId="0" fontId="29" fillId="6" borderId="14" xfId="1" applyNumberFormat="1" applyFont="1" applyFill="1" applyBorder="1" applyAlignment="1">
      <alignment horizontal="center" vertical="center"/>
    </xf>
    <xf numFmtId="0" fontId="29" fillId="7" borderId="14" xfId="1" applyNumberFormat="1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 wrapText="1"/>
    </xf>
    <xf numFmtId="164" fontId="30" fillId="0" borderId="26" xfId="1" applyFont="1" applyBorder="1"/>
    <xf numFmtId="164" fontId="29" fillId="0" borderId="27" xfId="1" applyFont="1" applyBorder="1"/>
    <xf numFmtId="164" fontId="29" fillId="0" borderId="8" xfId="1" applyFont="1" applyBorder="1"/>
    <xf numFmtId="0" fontId="7" fillId="0" borderId="6" xfId="1" applyNumberFormat="1" applyFont="1" applyBorder="1"/>
    <xf numFmtId="164" fontId="7" fillId="0" borderId="6" xfId="1" applyFont="1" applyBorder="1" applyAlignment="1">
      <alignment horizontal="center"/>
    </xf>
    <xf numFmtId="164" fontId="7" fillId="0" borderId="26" xfId="1" applyFont="1" applyBorder="1"/>
    <xf numFmtId="164" fontId="7" fillId="0" borderId="27" xfId="1" applyFont="1" applyBorder="1"/>
    <xf numFmtId="0" fontId="7" fillId="0" borderId="8" xfId="1" applyNumberFormat="1" applyFont="1" applyBorder="1" applyAlignment="1">
      <alignment horizontal="center"/>
    </xf>
    <xf numFmtId="166" fontId="7" fillId="0" borderId="8" xfId="1" applyNumberFormat="1" applyFont="1" applyBorder="1" applyAlignment="1">
      <alignment horizontal="center"/>
    </xf>
    <xf numFmtId="171" fontId="1" fillId="0" borderId="6" xfId="1" applyNumberFormat="1" applyFont="1" applyBorder="1"/>
    <xf numFmtId="0" fontId="0" fillId="0" borderId="6" xfId="0" applyBorder="1"/>
    <xf numFmtId="164" fontId="0" fillId="0" borderId="6" xfId="1" applyFont="1" applyBorder="1"/>
    <xf numFmtId="0" fontId="3" fillId="0" borderId="6" xfId="0" applyFont="1" applyBorder="1" applyAlignment="1">
      <alignment horizontal="center"/>
    </xf>
    <xf numFmtId="164" fontId="29" fillId="0" borderId="26" xfId="1" applyFont="1" applyBorder="1"/>
    <xf numFmtId="166" fontId="0" fillId="0" borderId="6" xfId="1" applyNumberFormat="1" applyFont="1" applyBorder="1"/>
    <xf numFmtId="0" fontId="3" fillId="0" borderId="6" xfId="0" applyFont="1" applyBorder="1" applyAlignment="1">
      <alignment horizontal="center"/>
    </xf>
    <xf numFmtId="164" fontId="7" fillId="0" borderId="30" xfId="1" applyFont="1" applyBorder="1"/>
    <xf numFmtId="164" fontId="7" fillId="0" borderId="29" xfId="1" applyFont="1" applyBorder="1"/>
    <xf numFmtId="164" fontId="7" fillId="0" borderId="20" xfId="1" applyFont="1" applyBorder="1"/>
    <xf numFmtId="9" fontId="7" fillId="0" borderId="8" xfId="1" applyNumberFormat="1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168" fontId="0" fillId="0" borderId="6" xfId="2" applyFont="1" applyBorder="1"/>
    <xf numFmtId="164" fontId="29" fillId="2" borderId="30" xfId="1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164" fontId="7" fillId="2" borderId="31" xfId="1" applyFont="1" applyFill="1" applyBorder="1"/>
    <xf numFmtId="164" fontId="7" fillId="2" borderId="0" xfId="1" applyFont="1" applyFill="1" applyBorder="1"/>
    <xf numFmtId="164" fontId="7" fillId="2" borderId="33" xfId="1" applyFont="1" applyFill="1" applyBorder="1"/>
    <xf numFmtId="164" fontId="7" fillId="10" borderId="30" xfId="1" applyFont="1" applyFill="1" applyBorder="1"/>
    <xf numFmtId="164" fontId="7" fillId="10" borderId="29" xfId="1" applyFont="1" applyFill="1" applyBorder="1"/>
    <xf numFmtId="164" fontId="7" fillId="10" borderId="20" xfId="1" applyFont="1" applyFill="1" applyBorder="1"/>
    <xf numFmtId="164" fontId="7" fillId="0" borderId="31" xfId="1" applyFont="1" applyBorder="1"/>
    <xf numFmtId="164" fontId="7" fillId="0" borderId="0" xfId="1" applyFont="1" applyBorder="1"/>
    <xf numFmtId="164" fontId="7" fillId="0" borderId="33" xfId="1" applyFont="1" applyBorder="1"/>
    <xf numFmtId="9" fontId="7" fillId="2" borderId="8" xfId="1" applyNumberFormat="1" applyFont="1" applyFill="1" applyBorder="1" applyAlignment="1">
      <alignment horizontal="center"/>
    </xf>
    <xf numFmtId="166" fontId="0" fillId="0" borderId="6" xfId="1" applyNumberFormat="1" applyFont="1" applyBorder="1" applyAlignment="1">
      <alignment vertical="center"/>
    </xf>
    <xf numFmtId="164" fontId="7" fillId="10" borderId="32" xfId="1" applyFont="1" applyFill="1" applyBorder="1"/>
    <xf numFmtId="164" fontId="7" fillId="10" borderId="25" xfId="1" applyFont="1" applyFill="1" applyBorder="1"/>
    <xf numFmtId="164" fontId="7" fillId="10" borderId="16" xfId="1" applyFont="1" applyFill="1" applyBorder="1"/>
    <xf numFmtId="171" fontId="1" fillId="0" borderId="6" xfId="1" applyNumberFormat="1" applyFont="1" applyFill="1" applyBorder="1"/>
    <xf numFmtId="164" fontId="7" fillId="10" borderId="29" xfId="1" applyFont="1" applyFill="1" applyBorder="1" applyAlignment="1">
      <alignment vertical="center"/>
    </xf>
    <xf numFmtId="164" fontId="7" fillId="10" borderId="20" xfId="1" applyFont="1" applyFill="1" applyBorder="1" applyAlignment="1">
      <alignment vertical="center"/>
    </xf>
    <xf numFmtId="0" fontId="7" fillId="0" borderId="6" xfId="1" applyNumberFormat="1" applyFont="1" applyFill="1" applyBorder="1" applyAlignment="1">
      <alignment vertical="center"/>
    </xf>
    <xf numFmtId="164" fontId="7" fillId="2" borderId="6" xfId="1" applyFont="1" applyFill="1" applyBorder="1" applyAlignment="1">
      <alignment horizontal="center" vertical="center"/>
    </xf>
    <xf numFmtId="164" fontId="7" fillId="2" borderId="26" xfId="1" applyFont="1" applyFill="1" applyBorder="1" applyAlignment="1">
      <alignment vertical="center"/>
    </xf>
    <xf numFmtId="164" fontId="7" fillId="2" borderId="27" xfId="1" applyFont="1" applyFill="1" applyBorder="1" applyAlignment="1">
      <alignment vertical="center"/>
    </xf>
    <xf numFmtId="9" fontId="7" fillId="2" borderId="8" xfId="1" applyNumberFormat="1" applyFont="1" applyFill="1" applyBorder="1" applyAlignment="1">
      <alignment horizontal="center" vertical="center"/>
    </xf>
    <xf numFmtId="165" fontId="7" fillId="0" borderId="8" xfId="1" applyNumberFormat="1" applyFont="1" applyBorder="1" applyAlignment="1">
      <alignment horizontal="center" vertical="center"/>
    </xf>
    <xf numFmtId="171" fontId="1" fillId="0" borderId="6" xfId="1" applyNumberFormat="1" applyFont="1" applyBorder="1" applyAlignment="1">
      <alignment vertical="center"/>
    </xf>
    <xf numFmtId="164" fontId="0" fillId="0" borderId="6" xfId="1" applyFont="1" applyBorder="1" applyAlignment="1">
      <alignment vertical="center"/>
    </xf>
    <xf numFmtId="0" fontId="0" fillId="0" borderId="6" xfId="0" applyBorder="1" applyAlignment="1">
      <alignment wrapText="1"/>
    </xf>
    <xf numFmtId="168" fontId="0" fillId="0" borderId="6" xfId="2" applyFont="1" applyBorder="1" applyAlignment="1">
      <alignment vertical="center"/>
    </xf>
    <xf numFmtId="166" fontId="0" fillId="0" borderId="6" xfId="0" applyNumberFormat="1" applyBorder="1" applyAlignment="1">
      <alignment vertical="center"/>
    </xf>
    <xf numFmtId="166" fontId="0" fillId="0" borderId="6" xfId="0" applyNumberFormat="1" applyBorder="1" applyAlignment="1">
      <alignment horizontal="center" vertical="center"/>
    </xf>
    <xf numFmtId="164" fontId="7" fillId="10" borderId="31" xfId="1" applyFont="1" applyFill="1" applyBorder="1"/>
    <xf numFmtId="164" fontId="7" fillId="10" borderId="0" xfId="1" applyFont="1" applyFill="1" applyBorder="1" applyAlignment="1">
      <alignment vertical="center"/>
    </xf>
    <xf numFmtId="164" fontId="7" fillId="10" borderId="33" xfId="1" applyFont="1" applyFill="1" applyBorder="1" applyAlignment="1">
      <alignment vertical="center"/>
    </xf>
    <xf numFmtId="0" fontId="7" fillId="0" borderId="6" xfId="1" applyNumberFormat="1" applyFont="1" applyFill="1" applyBorder="1"/>
    <xf numFmtId="164" fontId="7" fillId="2" borderId="6" xfId="1" applyFont="1" applyFill="1" applyBorder="1" applyAlignment="1">
      <alignment horizontal="center"/>
    </xf>
    <xf numFmtId="164" fontId="7" fillId="2" borderId="26" xfId="1" applyFont="1" applyFill="1" applyBorder="1"/>
    <xf numFmtId="164" fontId="7" fillId="2" borderId="27" xfId="1" applyFont="1" applyFill="1" applyBorder="1"/>
    <xf numFmtId="165" fontId="7" fillId="2" borderId="8" xfId="1" applyNumberFormat="1" applyFont="1" applyFill="1" applyBorder="1" applyAlignment="1">
      <alignment horizontal="center"/>
    </xf>
    <xf numFmtId="164" fontId="7" fillId="10" borderId="25" xfId="1" applyFont="1" applyFill="1" applyBorder="1" applyAlignment="1">
      <alignment vertical="center"/>
    </xf>
    <xf numFmtId="164" fontId="7" fillId="10" borderId="16" xfId="1" applyFont="1" applyFill="1" applyBorder="1" applyAlignment="1">
      <alignment vertical="center"/>
    </xf>
    <xf numFmtId="0" fontId="7" fillId="2" borderId="6" xfId="1" applyNumberFormat="1" applyFont="1" applyFill="1" applyBorder="1"/>
    <xf numFmtId="0" fontId="7" fillId="2" borderId="8" xfId="1" applyNumberFormat="1" applyFont="1" applyFill="1" applyBorder="1" applyAlignment="1">
      <alignment horizontal="center"/>
    </xf>
    <xf numFmtId="164" fontId="7" fillId="10" borderId="0" xfId="1" applyFont="1" applyFill="1" applyBorder="1"/>
    <xf numFmtId="164" fontId="7" fillId="10" borderId="33" xfId="1" applyFont="1" applyFill="1" applyBorder="1"/>
    <xf numFmtId="165" fontId="7" fillId="2" borderId="8" xfId="1" applyNumberFormat="1" applyFont="1" applyFill="1" applyBorder="1" applyAlignment="1">
      <alignment horizontal="center" vertical="center"/>
    </xf>
    <xf numFmtId="166" fontId="0" fillId="0" borderId="6" xfId="0" applyNumberFormat="1" applyBorder="1"/>
    <xf numFmtId="166" fontId="0" fillId="0" borderId="6" xfId="0" applyNumberFormat="1" applyBorder="1" applyAlignment="1">
      <alignment horizontal="center"/>
    </xf>
    <xf numFmtId="0" fontId="7" fillId="2" borderId="6" xfId="1" applyNumberFormat="1" applyFont="1" applyFill="1" applyBorder="1" applyAlignment="1">
      <alignment vertical="center"/>
    </xf>
    <xf numFmtId="165" fontId="0" fillId="0" borderId="6" xfId="1" applyNumberFormat="1" applyFont="1" applyBorder="1" applyAlignment="1">
      <alignment horizontal="center"/>
    </xf>
    <xf numFmtId="0" fontId="0" fillId="2" borderId="0" xfId="0" applyFill="1"/>
    <xf numFmtId="0" fontId="7" fillId="2" borderId="8" xfId="1" applyNumberFormat="1" applyFont="1" applyFill="1" applyBorder="1"/>
    <xf numFmtId="0" fontId="7" fillId="0" borderId="8" xfId="1" applyNumberFormat="1" applyFont="1" applyFill="1" applyBorder="1"/>
    <xf numFmtId="164" fontId="7" fillId="2" borderId="30" xfId="1" applyFont="1" applyFill="1" applyBorder="1"/>
    <xf numFmtId="164" fontId="7" fillId="2" borderId="29" xfId="1" applyFont="1" applyFill="1" applyBorder="1"/>
    <xf numFmtId="164" fontId="7" fillId="2" borderId="20" xfId="1" applyFont="1" applyFill="1" applyBorder="1"/>
    <xf numFmtId="171" fontId="1" fillId="2" borderId="6" xfId="1" applyNumberFormat="1" applyFont="1" applyFill="1" applyBorder="1"/>
    <xf numFmtId="0" fontId="0" fillId="0" borderId="26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164" fontId="7" fillId="0" borderId="32" xfId="1" applyFont="1" applyBorder="1"/>
    <xf numFmtId="164" fontId="7" fillId="0" borderId="25" xfId="1" applyFont="1" applyBorder="1"/>
    <xf numFmtId="164" fontId="0" fillId="0" borderId="16" xfId="1" applyFont="1" applyBorder="1"/>
    <xf numFmtId="0" fontId="0" fillId="0" borderId="6" xfId="1" applyNumberFormat="1" applyFont="1" applyBorder="1"/>
    <xf numFmtId="164" fontId="0" fillId="10" borderId="20" xfId="1" applyFont="1" applyFill="1" applyBorder="1"/>
    <xf numFmtId="166" fontId="7" fillId="2" borderId="8" xfId="1" applyNumberFormat="1" applyFont="1" applyFill="1" applyBorder="1" applyAlignment="1">
      <alignment horizontal="center"/>
    </xf>
    <xf numFmtId="164" fontId="0" fillId="10" borderId="33" xfId="1" applyFont="1" applyFill="1" applyBorder="1"/>
    <xf numFmtId="166" fontId="0" fillId="0" borderId="6" xfId="1" applyNumberFormat="1" applyFont="1" applyBorder="1" applyAlignment="1">
      <alignment horizontal="center"/>
    </xf>
    <xf numFmtId="164" fontId="0" fillId="10" borderId="16" xfId="1" applyFont="1" applyFill="1" applyBorder="1"/>
    <xf numFmtId="0" fontId="0" fillId="0" borderId="8" xfId="1" applyNumberFormat="1" applyFont="1" applyBorder="1"/>
    <xf numFmtId="164" fontId="7" fillId="11" borderId="32" xfId="1" applyFont="1" applyFill="1" applyBorder="1"/>
    <xf numFmtId="164" fontId="7" fillId="11" borderId="25" xfId="1" applyFont="1" applyFill="1" applyBorder="1"/>
    <xf numFmtId="164" fontId="29" fillId="11" borderId="25" xfId="1" applyFont="1" applyFill="1" applyBorder="1"/>
    <xf numFmtId="164" fontId="7" fillId="11" borderId="16" xfId="1" applyFont="1" applyFill="1" applyBorder="1"/>
    <xf numFmtId="0" fontId="7" fillId="11" borderId="6" xfId="1" applyNumberFormat="1" applyFont="1" applyFill="1" applyBorder="1"/>
    <xf numFmtId="164" fontId="7" fillId="11" borderId="6" xfId="1" applyFont="1" applyFill="1" applyBorder="1" applyAlignment="1">
      <alignment horizontal="center"/>
    </xf>
    <xf numFmtId="164" fontId="7" fillId="11" borderId="26" xfId="1" applyFont="1" applyFill="1" applyBorder="1"/>
    <xf numFmtId="164" fontId="7" fillId="11" borderId="27" xfId="1" applyFont="1" applyFill="1" applyBorder="1"/>
    <xf numFmtId="0" fontId="7" fillId="11" borderId="8" xfId="1" applyNumberFormat="1" applyFont="1" applyFill="1" applyBorder="1" applyAlignment="1">
      <alignment horizontal="center"/>
    </xf>
    <xf numFmtId="166" fontId="7" fillId="11" borderId="8" xfId="1" applyNumberFormat="1" applyFont="1" applyFill="1" applyBorder="1" applyAlignment="1">
      <alignment horizontal="center"/>
    </xf>
    <xf numFmtId="171" fontId="1" fillId="11" borderId="6" xfId="1" applyNumberFormat="1" applyFont="1" applyFill="1" applyBorder="1"/>
    <xf numFmtId="164" fontId="0" fillId="11" borderId="6" xfId="1" applyFont="1" applyFill="1" applyBorder="1"/>
    <xf numFmtId="168" fontId="0" fillId="11" borderId="6" xfId="2" applyFont="1" applyFill="1" applyBorder="1"/>
    <xf numFmtId="164" fontId="3" fillId="11" borderId="6" xfId="1" applyFont="1" applyFill="1" applyBorder="1"/>
    <xf numFmtId="43" fontId="3" fillId="11" borderId="6" xfId="0" applyNumberFormat="1" applyFont="1" applyFill="1" applyBorder="1"/>
    <xf numFmtId="168" fontId="3" fillId="11" borderId="6" xfId="2" applyFont="1" applyFill="1" applyBorder="1"/>
    <xf numFmtId="164" fontId="3" fillId="0" borderId="6" xfId="1" applyFont="1" applyBorder="1" applyAlignment="1">
      <alignment horizontal="center"/>
    </xf>
    <xf numFmtId="164" fontId="0" fillId="0" borderId="6" xfId="1" applyFont="1" applyBorder="1" applyAlignment="1">
      <alignment horizontal="center"/>
    </xf>
    <xf numFmtId="164" fontId="0" fillId="0" borderId="0" xfId="0" applyNumberFormat="1"/>
    <xf numFmtId="164" fontId="7" fillId="0" borderId="8" xfId="1" applyFont="1" applyBorder="1"/>
    <xf numFmtId="164" fontId="7" fillId="0" borderId="30" xfId="1" applyFont="1" applyFill="1" applyBorder="1"/>
    <xf numFmtId="164" fontId="7" fillId="0" borderId="29" xfId="1" applyFont="1" applyFill="1" applyBorder="1"/>
    <xf numFmtId="164" fontId="7" fillId="0" borderId="20" xfId="1" applyFont="1" applyFill="1" applyBorder="1"/>
    <xf numFmtId="9" fontId="0" fillId="2" borderId="6" xfId="0" applyNumberFormat="1" applyFill="1" applyBorder="1" applyAlignment="1">
      <alignment horizontal="center"/>
    </xf>
    <xf numFmtId="164" fontId="0" fillId="0" borderId="26" xfId="0" applyNumberFormat="1" applyBorder="1"/>
    <xf numFmtId="171" fontId="7" fillId="0" borderId="31" xfId="1" applyNumberFormat="1" applyFont="1" applyFill="1" applyBorder="1"/>
    <xf numFmtId="171" fontId="7" fillId="0" borderId="0" xfId="1" applyNumberFormat="1" applyFont="1" applyFill="1" applyBorder="1"/>
    <xf numFmtId="171" fontId="7" fillId="0" borderId="33" xfId="1" applyNumberFormat="1" applyFont="1" applyFill="1" applyBorder="1"/>
    <xf numFmtId="171" fontId="7" fillId="0" borderId="32" xfId="1" applyNumberFormat="1" applyFont="1" applyFill="1" applyBorder="1"/>
    <xf numFmtId="171" fontId="7" fillId="0" borderId="25" xfId="1" applyNumberFormat="1" applyFont="1" applyFill="1" applyBorder="1"/>
    <xf numFmtId="171" fontId="7" fillId="0" borderId="16" xfId="1" applyNumberFormat="1" applyFont="1" applyFill="1" applyBorder="1"/>
    <xf numFmtId="164" fontId="7" fillId="0" borderId="16" xfId="1" applyFont="1" applyBorder="1"/>
    <xf numFmtId="166" fontId="0" fillId="0" borderId="8" xfId="1" applyNumberFormat="1" applyFont="1" applyBorder="1" applyAlignment="1">
      <alignment horizontal="center"/>
    </xf>
    <xf numFmtId="166" fontId="7" fillId="0" borderId="8" xfId="1" applyNumberFormat="1" applyFont="1" applyFill="1" applyBorder="1" applyAlignment="1">
      <alignment horizontal="center"/>
    </xf>
    <xf numFmtId="164" fontId="0" fillId="0" borderId="6" xfId="1" applyFont="1" applyFill="1" applyBorder="1"/>
    <xf numFmtId="164" fontId="29" fillId="11" borderId="26" xfId="1" applyFont="1" applyFill="1" applyBorder="1" applyAlignment="1">
      <alignment horizontal="center"/>
    </xf>
    <xf numFmtId="164" fontId="29" fillId="11" borderId="27" xfId="1" applyFont="1" applyFill="1" applyBorder="1" applyAlignment="1">
      <alignment horizontal="center"/>
    </xf>
    <xf numFmtId="164" fontId="29" fillId="11" borderId="8" xfId="1" applyFont="1" applyFill="1" applyBorder="1" applyAlignment="1">
      <alignment horizontal="center"/>
    </xf>
    <xf numFmtId="0" fontId="0" fillId="11" borderId="6" xfId="0" applyFill="1" applyBorder="1"/>
    <xf numFmtId="169" fontId="3" fillId="11" borderId="6" xfId="2" applyNumberFormat="1" applyFont="1" applyFill="1" applyBorder="1"/>
    <xf numFmtId="164" fontId="7" fillId="0" borderId="29" xfId="1" applyFont="1" applyBorder="1" applyAlignment="1">
      <alignment horizontal="left" vertical="top" wrapText="1"/>
    </xf>
    <xf numFmtId="164" fontId="7" fillId="0" borderId="20" xfId="1" applyFont="1" applyBorder="1" applyAlignment="1">
      <alignment horizontal="left" vertical="top" wrapText="1"/>
    </xf>
    <xf numFmtId="164" fontId="7" fillId="0" borderId="0" xfId="1" applyFont="1" applyBorder="1" applyAlignment="1">
      <alignment horizontal="left" vertical="top" wrapText="1"/>
    </xf>
    <xf numFmtId="164" fontId="7" fillId="0" borderId="33" xfId="1" applyFont="1" applyBorder="1" applyAlignment="1">
      <alignment horizontal="left" vertical="top" wrapText="1"/>
    </xf>
    <xf numFmtId="164" fontId="7" fillId="0" borderId="0" xfId="1" applyFont="1" applyBorder="1" applyAlignment="1">
      <alignment vertical="center"/>
    </xf>
    <xf numFmtId="164" fontId="7" fillId="0" borderId="33" xfId="1" applyFont="1" applyBorder="1" applyAlignment="1">
      <alignment vertical="center"/>
    </xf>
    <xf numFmtId="9" fontId="7" fillId="0" borderId="8" xfId="1" applyNumberFormat="1" applyFont="1" applyBorder="1" applyAlignment="1">
      <alignment horizontal="center" vertical="center"/>
    </xf>
    <xf numFmtId="166" fontId="1" fillId="0" borderId="6" xfId="1" applyNumberFormat="1" applyFont="1" applyFill="1" applyBorder="1" applyAlignment="1">
      <alignment horizontal="center" vertical="center"/>
    </xf>
    <xf numFmtId="171" fontId="1" fillId="2" borderId="6" xfId="1" applyNumberFormat="1" applyFont="1" applyFill="1" applyBorder="1" applyAlignment="1">
      <alignment vertical="center"/>
    </xf>
    <xf numFmtId="164" fontId="0" fillId="2" borderId="6" xfId="1" applyFont="1" applyFill="1" applyBorder="1" applyAlignment="1">
      <alignment vertical="center"/>
    </xf>
    <xf numFmtId="0" fontId="0" fillId="0" borderId="6" xfId="0" applyBorder="1" applyAlignment="1">
      <alignment vertical="center" wrapText="1"/>
    </xf>
    <xf numFmtId="164" fontId="7" fillId="0" borderId="31" xfId="1" applyFont="1" applyFill="1" applyBorder="1"/>
    <xf numFmtId="164" fontId="7" fillId="0" borderId="0" xfId="1" applyFont="1" applyFill="1" applyBorder="1"/>
    <xf numFmtId="164" fontId="7" fillId="0" borderId="33" xfId="1" applyFont="1" applyFill="1" applyBorder="1"/>
    <xf numFmtId="164" fontId="7" fillId="0" borderId="6" xfId="1" applyFont="1" applyFill="1" applyBorder="1" applyAlignment="1">
      <alignment horizontal="center"/>
    </xf>
    <xf numFmtId="164" fontId="7" fillId="0" borderId="26" xfId="1" applyFont="1" applyFill="1" applyBorder="1"/>
    <xf numFmtId="164" fontId="7" fillId="0" borderId="27" xfId="1" applyFont="1" applyFill="1" applyBorder="1"/>
    <xf numFmtId="9" fontId="7" fillId="0" borderId="8" xfId="1" applyNumberFormat="1" applyFont="1" applyFill="1" applyBorder="1" applyAlignment="1">
      <alignment horizontal="center"/>
    </xf>
    <xf numFmtId="168" fontId="0" fillId="0" borderId="6" xfId="2" applyFont="1" applyFill="1" applyBorder="1"/>
    <xf numFmtId="0" fontId="0" fillId="2" borderId="6" xfId="0" applyFill="1" applyBorder="1"/>
    <xf numFmtId="164" fontId="0" fillId="2" borderId="6" xfId="1" applyFont="1" applyFill="1" applyBorder="1"/>
    <xf numFmtId="164" fontId="3" fillId="2" borderId="6" xfId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7" fillId="2" borderId="32" xfId="1" applyFont="1" applyFill="1" applyBorder="1"/>
    <xf numFmtId="164" fontId="7" fillId="2" borderId="25" xfId="1" applyFont="1" applyFill="1" applyBorder="1"/>
    <xf numFmtId="164" fontId="7" fillId="2" borderId="16" xfId="1" applyFont="1" applyFill="1" applyBorder="1"/>
    <xf numFmtId="164" fontId="29" fillId="2" borderId="27" xfId="1" applyFont="1" applyFill="1" applyBorder="1"/>
    <xf numFmtId="164" fontId="7" fillId="2" borderId="8" xfId="1" applyFont="1" applyFill="1" applyBorder="1"/>
    <xf numFmtId="168" fontId="0" fillId="2" borderId="6" xfId="2" applyFont="1" applyFill="1" applyBorder="1"/>
    <xf numFmtId="164" fontId="7" fillId="0" borderId="29" xfId="1" applyFont="1" applyFill="1" applyBorder="1" applyAlignment="1">
      <alignment vertical="center"/>
    </xf>
    <xf numFmtId="164" fontId="7" fillId="0" borderId="20" xfId="1" applyFont="1" applyFill="1" applyBorder="1" applyAlignment="1">
      <alignment vertical="center"/>
    </xf>
    <xf numFmtId="166" fontId="0" fillId="2" borderId="6" xfId="1" applyNumberFormat="1" applyFont="1" applyFill="1" applyBorder="1" applyAlignment="1">
      <alignment vertical="center"/>
    </xf>
    <xf numFmtId="164" fontId="0" fillId="0" borderId="6" xfId="0" applyNumberFormat="1" applyBorder="1"/>
    <xf numFmtId="9" fontId="7" fillId="11" borderId="8" xfId="1" applyNumberFormat="1" applyFont="1" applyFill="1" applyBorder="1" applyAlignment="1">
      <alignment horizontal="center"/>
    </xf>
    <xf numFmtId="166" fontId="0" fillId="11" borderId="6" xfId="1" applyNumberFormat="1" applyFont="1" applyFill="1" applyBorder="1"/>
    <xf numFmtId="164" fontId="29" fillId="11" borderId="30" xfId="1" applyFont="1" applyFill="1" applyBorder="1" applyAlignment="1">
      <alignment vertical="center"/>
    </xf>
    <xf numFmtId="166" fontId="7" fillId="2" borderId="8" xfId="1" applyNumberFormat="1" applyFont="1" applyFill="1" applyBorder="1" applyAlignment="1">
      <alignment horizontal="center" vertical="center"/>
    </xf>
    <xf numFmtId="166" fontId="0" fillId="2" borderId="6" xfId="1" applyNumberFormat="1" applyFont="1" applyFill="1" applyBorder="1"/>
    <xf numFmtId="164" fontId="29" fillId="2" borderId="0" xfId="1" applyFont="1" applyFill="1" applyBorder="1"/>
    <xf numFmtId="9" fontId="7" fillId="2" borderId="8" xfId="3" applyFont="1" applyFill="1" applyBorder="1" applyAlignment="1">
      <alignment horizontal="center"/>
    </xf>
    <xf numFmtId="0" fontId="29" fillId="11" borderId="6" xfId="1" applyNumberFormat="1" applyFont="1" applyFill="1" applyBorder="1"/>
    <xf numFmtId="164" fontId="29" fillId="11" borderId="6" xfId="1" applyFont="1" applyFill="1" applyBorder="1" applyAlignment="1">
      <alignment horizontal="center"/>
    </xf>
    <xf numFmtId="164" fontId="29" fillId="11" borderId="26" xfId="1" applyFont="1" applyFill="1" applyBorder="1"/>
    <xf numFmtId="164" fontId="29" fillId="11" borderId="27" xfId="1" applyFont="1" applyFill="1" applyBorder="1"/>
    <xf numFmtId="0" fontId="29" fillId="11" borderId="8" xfId="1" applyNumberFormat="1" applyFont="1" applyFill="1" applyBorder="1" applyAlignment="1">
      <alignment horizontal="center"/>
    </xf>
    <xf numFmtId="166" fontId="29" fillId="11" borderId="8" xfId="1" applyNumberFormat="1" applyFont="1" applyFill="1" applyBorder="1" applyAlignment="1">
      <alignment horizontal="center"/>
    </xf>
    <xf numFmtId="171" fontId="3" fillId="11" borderId="6" xfId="1" applyNumberFormat="1" applyFont="1" applyFill="1" applyBorder="1"/>
    <xf numFmtId="0" fontId="3" fillId="11" borderId="6" xfId="0" applyFont="1" applyFill="1" applyBorder="1"/>
    <xf numFmtId="164" fontId="29" fillId="10" borderId="25" xfId="1" applyFont="1" applyFill="1" applyBorder="1"/>
    <xf numFmtId="164" fontId="7" fillId="0" borderId="32" xfId="1" applyFont="1" applyFill="1" applyBorder="1"/>
    <xf numFmtId="164" fontId="29" fillId="0" borderId="25" xfId="1" applyFont="1" applyFill="1" applyBorder="1"/>
    <xf numFmtId="164" fontId="7" fillId="0" borderId="25" xfId="1" applyFont="1" applyFill="1" applyBorder="1"/>
    <xf numFmtId="164" fontId="7" fillId="0" borderId="16" xfId="1" applyFont="1" applyFill="1" applyBorder="1"/>
    <xf numFmtId="171" fontId="0" fillId="0" borderId="6" xfId="1" applyNumberFormat="1" applyFont="1" applyFill="1" applyBorder="1"/>
    <xf numFmtId="166" fontId="0" fillId="0" borderId="6" xfId="1" applyNumberFormat="1" applyFont="1" applyFill="1" applyBorder="1"/>
    <xf numFmtId="164" fontId="29" fillId="0" borderId="30" xfId="1" applyFont="1" applyFill="1" applyBorder="1" applyAlignment="1">
      <alignment vertical="center"/>
    </xf>
    <xf numFmtId="164" fontId="29" fillId="2" borderId="25" xfId="1" applyFont="1" applyFill="1" applyBorder="1"/>
    <xf numFmtId="43" fontId="0" fillId="11" borderId="6" xfId="0" applyNumberFormat="1" applyFill="1" applyBorder="1"/>
    <xf numFmtId="164" fontId="29" fillId="12" borderId="26" xfId="1" applyFont="1" applyFill="1" applyBorder="1" applyAlignment="1">
      <alignment horizontal="center"/>
    </xf>
    <xf numFmtId="164" fontId="29" fillId="12" borderId="27" xfId="1" applyFont="1" applyFill="1" applyBorder="1" applyAlignment="1">
      <alignment horizontal="center"/>
    </xf>
    <xf numFmtId="164" fontId="29" fillId="12" borderId="8" xfId="1" applyFont="1" applyFill="1" applyBorder="1" applyAlignment="1">
      <alignment horizontal="center"/>
    </xf>
    <xf numFmtId="0" fontId="29" fillId="12" borderId="6" xfId="1" applyNumberFormat="1" applyFont="1" applyFill="1" applyBorder="1"/>
    <xf numFmtId="164" fontId="29" fillId="12" borderId="6" xfId="1" applyFont="1" applyFill="1" applyBorder="1" applyAlignment="1">
      <alignment horizontal="center"/>
    </xf>
    <xf numFmtId="164" fontId="29" fillId="12" borderId="26" xfId="1" applyFont="1" applyFill="1" applyBorder="1"/>
    <xf numFmtId="164" fontId="29" fillId="12" borderId="27" xfId="1" applyFont="1" applyFill="1" applyBorder="1"/>
    <xf numFmtId="0" fontId="29" fillId="12" borderId="8" xfId="1" applyNumberFormat="1" applyFont="1" applyFill="1" applyBorder="1" applyAlignment="1">
      <alignment horizontal="center"/>
    </xf>
    <xf numFmtId="166" fontId="29" fillId="12" borderId="8" xfId="1" applyNumberFormat="1" applyFont="1" applyFill="1" applyBorder="1" applyAlignment="1">
      <alignment horizontal="center"/>
    </xf>
    <xf numFmtId="171" fontId="3" fillId="12" borderId="6" xfId="1" applyNumberFormat="1" applyFont="1" applyFill="1" applyBorder="1"/>
    <xf numFmtId="164" fontId="3" fillId="12" borderId="6" xfId="1" applyFont="1" applyFill="1" applyBorder="1"/>
    <xf numFmtId="168" fontId="3" fillId="12" borderId="6" xfId="2" applyFont="1" applyFill="1" applyBorder="1"/>
    <xf numFmtId="0" fontId="3" fillId="12" borderId="6" xfId="0" applyFont="1" applyFill="1" applyBorder="1"/>
    <xf numFmtId="43" fontId="3" fillId="12" borderId="6" xfId="0" applyNumberFormat="1" applyFont="1" applyFill="1" applyBorder="1"/>
    <xf numFmtId="0" fontId="3" fillId="0" borderId="0" xfId="0" applyFont="1"/>
    <xf numFmtId="164" fontId="29" fillId="13" borderId="26" xfId="1" applyFont="1" applyFill="1" applyBorder="1" applyAlignment="1">
      <alignment horizontal="center"/>
    </xf>
    <xf numFmtId="164" fontId="29" fillId="13" borderId="27" xfId="1" applyFont="1" applyFill="1" applyBorder="1" applyAlignment="1">
      <alignment horizontal="center"/>
    </xf>
    <xf numFmtId="164" fontId="29" fillId="13" borderId="8" xfId="1" applyFont="1" applyFill="1" applyBorder="1" applyAlignment="1">
      <alignment horizontal="center"/>
    </xf>
    <xf numFmtId="0" fontId="29" fillId="13" borderId="6" xfId="1" applyNumberFormat="1" applyFont="1" applyFill="1" applyBorder="1"/>
    <xf numFmtId="164" fontId="29" fillId="13" borderId="6" xfId="1" applyFont="1" applyFill="1" applyBorder="1" applyAlignment="1">
      <alignment horizontal="center"/>
    </xf>
    <xf numFmtId="164" fontId="29" fillId="13" borderId="26" xfId="1" applyFont="1" applyFill="1" applyBorder="1"/>
    <xf numFmtId="164" fontId="29" fillId="13" borderId="27" xfId="1" applyFont="1" applyFill="1" applyBorder="1"/>
    <xf numFmtId="0" fontId="29" fillId="13" borderId="8" xfId="1" applyNumberFormat="1" applyFont="1" applyFill="1" applyBorder="1" applyAlignment="1">
      <alignment horizontal="center"/>
    </xf>
    <xf numFmtId="166" fontId="29" fillId="13" borderId="8" xfId="1" applyNumberFormat="1" applyFont="1" applyFill="1" applyBorder="1" applyAlignment="1">
      <alignment horizontal="center"/>
    </xf>
    <xf numFmtId="171" fontId="3" fillId="13" borderId="6" xfId="1" applyNumberFormat="1" applyFont="1" applyFill="1" applyBorder="1"/>
    <xf numFmtId="164" fontId="3" fillId="13" borderId="6" xfId="1" applyFont="1" applyFill="1" applyBorder="1"/>
    <xf numFmtId="168" fontId="3" fillId="13" borderId="6" xfId="2" applyFont="1" applyFill="1" applyBorder="1"/>
    <xf numFmtId="0" fontId="3" fillId="13" borderId="6" xfId="0" applyFont="1" applyFill="1" applyBorder="1"/>
    <xf numFmtId="168" fontId="3" fillId="14" borderId="6" xfId="2" applyFont="1" applyFill="1" applyBorder="1"/>
    <xf numFmtId="0" fontId="3" fillId="0" borderId="6" xfId="0" applyFont="1" applyBorder="1"/>
    <xf numFmtId="164" fontId="0" fillId="0" borderId="30" xfId="1" applyFont="1" applyBorder="1"/>
    <xf numFmtId="171" fontId="1" fillId="2" borderId="6" xfId="2" applyNumberFormat="1" applyFont="1" applyFill="1" applyBorder="1"/>
    <xf numFmtId="164" fontId="1" fillId="0" borderId="6" xfId="1" applyFont="1" applyBorder="1"/>
    <xf numFmtId="166" fontId="1" fillId="0" borderId="6" xfId="1" applyNumberFormat="1" applyFont="1" applyBorder="1"/>
    <xf numFmtId="164" fontId="7" fillId="2" borderId="8" xfId="1" applyFont="1" applyFill="1" applyBorder="1" applyAlignment="1">
      <alignment horizontal="center"/>
    </xf>
    <xf numFmtId="165" fontId="0" fillId="2" borderId="6" xfId="1" applyNumberFormat="1" applyFont="1" applyFill="1" applyBorder="1"/>
    <xf numFmtId="164" fontId="7" fillId="0" borderId="30" xfId="1" applyFont="1" applyBorder="1" applyAlignment="1">
      <alignment vertical="center"/>
    </xf>
    <xf numFmtId="164" fontId="7" fillId="0" borderId="29" xfId="1" applyFont="1" applyBorder="1" applyAlignment="1">
      <alignment vertical="center"/>
    </xf>
    <xf numFmtId="164" fontId="7" fillId="0" borderId="20" xfId="1" applyFont="1" applyBorder="1" applyAlignment="1">
      <alignment vertical="center"/>
    </xf>
    <xf numFmtId="164" fontId="7" fillId="0" borderId="32" xfId="1" applyFont="1" applyBorder="1" applyAlignment="1">
      <alignment vertical="center"/>
    </xf>
    <xf numFmtId="164" fontId="7" fillId="0" borderId="25" xfId="1" applyFont="1" applyBorder="1" applyAlignment="1">
      <alignment vertical="center"/>
    </xf>
    <xf numFmtId="164" fontId="7" fillId="0" borderId="16" xfId="1" applyFont="1" applyBorder="1" applyAlignment="1">
      <alignment vertical="center"/>
    </xf>
    <xf numFmtId="164" fontId="7" fillId="0" borderId="30" xfId="1" applyFont="1" applyFill="1" applyBorder="1" applyAlignment="1">
      <alignment horizontal="left" vertical="center"/>
    </xf>
    <xf numFmtId="164" fontId="7" fillId="0" borderId="29" xfId="1" applyFont="1" applyFill="1" applyBorder="1" applyAlignment="1">
      <alignment horizontal="left" vertical="center"/>
    </xf>
    <xf numFmtId="164" fontId="7" fillId="0" borderId="20" xfId="1" applyFont="1" applyFill="1" applyBorder="1" applyAlignment="1">
      <alignment horizontal="left" vertical="center"/>
    </xf>
    <xf numFmtId="164" fontId="7" fillId="0" borderId="31" xfId="1" applyFont="1" applyFill="1" applyBorder="1" applyAlignment="1">
      <alignment horizontal="left" vertical="center"/>
    </xf>
    <xf numFmtId="164" fontId="7" fillId="0" borderId="0" xfId="1" applyFont="1" applyFill="1" applyBorder="1" applyAlignment="1">
      <alignment horizontal="left" vertical="center"/>
    </xf>
    <xf numFmtId="164" fontId="7" fillId="0" borderId="33" xfId="1" applyFont="1" applyFill="1" applyBorder="1" applyAlignment="1">
      <alignment horizontal="left" vertical="center"/>
    </xf>
    <xf numFmtId="164" fontId="7" fillId="0" borderId="32" xfId="1" applyFont="1" applyFill="1" applyBorder="1" applyAlignment="1">
      <alignment horizontal="left" vertical="center"/>
    </xf>
    <xf numFmtId="164" fontId="7" fillId="0" borderId="25" xfId="1" applyFont="1" applyFill="1" applyBorder="1" applyAlignment="1">
      <alignment horizontal="left" vertical="center"/>
    </xf>
    <xf numFmtId="164" fontId="7" fillId="0" borderId="16" xfId="1" applyFont="1" applyFill="1" applyBorder="1" applyAlignment="1">
      <alignment horizontal="left" vertical="center"/>
    </xf>
    <xf numFmtId="164" fontId="7" fillId="0" borderId="32" xfId="1" applyFont="1" applyFill="1" applyBorder="1" applyAlignment="1">
      <alignment vertical="center"/>
    </xf>
    <xf numFmtId="164" fontId="7" fillId="0" borderId="25" xfId="1" applyFont="1" applyFill="1" applyBorder="1" applyAlignment="1">
      <alignment vertical="center"/>
    </xf>
    <xf numFmtId="164" fontId="7" fillId="0" borderId="31" xfId="1" applyFont="1" applyFill="1" applyBorder="1" applyAlignment="1">
      <alignment vertical="center"/>
    </xf>
    <xf numFmtId="164" fontId="7" fillId="0" borderId="0" xfId="1" applyFont="1" applyFill="1" applyBorder="1" applyAlignment="1">
      <alignment vertical="center"/>
    </xf>
    <xf numFmtId="164" fontId="7" fillId="0" borderId="16" xfId="1" applyFont="1" applyFill="1" applyBorder="1" applyAlignment="1">
      <alignment vertical="center"/>
    </xf>
    <xf numFmtId="0" fontId="7" fillId="0" borderId="6" xfId="1" applyNumberFormat="1" applyFont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7" fillId="0" borderId="26" xfId="1" applyFont="1" applyBorder="1" applyAlignment="1">
      <alignment vertical="center"/>
    </xf>
    <xf numFmtId="164" fontId="7" fillId="0" borderId="27" xfId="1" applyFont="1" applyBorder="1" applyAlignment="1">
      <alignment vertical="center"/>
    </xf>
    <xf numFmtId="166" fontId="7" fillId="0" borderId="8" xfId="1" applyNumberFormat="1" applyFont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  <xf numFmtId="166" fontId="7" fillId="0" borderId="6" xfId="1" applyNumberFormat="1" applyFont="1" applyBorder="1" applyAlignment="1">
      <alignment horizontal="center"/>
    </xf>
    <xf numFmtId="0" fontId="0" fillId="0" borderId="30" xfId="0" applyBorder="1"/>
    <xf numFmtId="0" fontId="0" fillId="0" borderId="29" xfId="0" applyBorder="1"/>
    <xf numFmtId="0" fontId="0" fillId="0" borderId="20" xfId="0" applyBorder="1"/>
    <xf numFmtId="170" fontId="1" fillId="0" borderId="6" xfId="1" applyNumberFormat="1" applyFont="1" applyBorder="1"/>
    <xf numFmtId="164" fontId="0" fillId="0" borderId="26" xfId="1" applyFont="1" applyBorder="1"/>
    <xf numFmtId="164" fontId="0" fillId="0" borderId="26" xfId="1" applyFont="1" applyBorder="1" applyAlignment="1"/>
    <xf numFmtId="0" fontId="0" fillId="2" borderId="26" xfId="0" applyFill="1" applyBorder="1"/>
    <xf numFmtId="0" fontId="0" fillId="0" borderId="31" xfId="0" applyBorder="1"/>
    <xf numFmtId="0" fontId="0" fillId="0" borderId="33" xfId="0" applyBorder="1"/>
    <xf numFmtId="9" fontId="0" fillId="0" borderId="6" xfId="0" applyNumberFormat="1" applyBorder="1" applyAlignment="1">
      <alignment horizontal="center"/>
    </xf>
    <xf numFmtId="0" fontId="0" fillId="0" borderId="32" xfId="0" applyBorder="1"/>
    <xf numFmtId="0" fontId="0" fillId="0" borderId="25" xfId="0" applyBorder="1"/>
    <xf numFmtId="0" fontId="0" fillId="0" borderId="16" xfId="0" applyBorder="1"/>
    <xf numFmtId="170" fontId="1" fillId="2" borderId="6" xfId="1" applyNumberFormat="1" applyFont="1" applyFill="1" applyBorder="1"/>
    <xf numFmtId="0" fontId="0" fillId="0" borderId="8" xfId="0" applyBorder="1"/>
    <xf numFmtId="0" fontId="0" fillId="11" borderId="26" xfId="0" applyFill="1" applyBorder="1" applyAlignment="1">
      <alignment horizontal="center"/>
    </xf>
    <xf numFmtId="0" fontId="0" fillId="11" borderId="26" xfId="0" applyFill="1" applyBorder="1"/>
    <xf numFmtId="0" fontId="0" fillId="11" borderId="27" xfId="0" applyFill="1" applyBorder="1"/>
    <xf numFmtId="0" fontId="0" fillId="11" borderId="6" xfId="0" applyFill="1" applyBorder="1" applyAlignment="1">
      <alignment horizontal="center"/>
    </xf>
    <xf numFmtId="0" fontId="0" fillId="9" borderId="6" xfId="0" applyFill="1" applyBorder="1"/>
    <xf numFmtId="168" fontId="3" fillId="9" borderId="6" xfId="2" applyFont="1" applyFill="1" applyBorder="1" applyAlignment="1">
      <alignment vertical="center"/>
    </xf>
    <xf numFmtId="43" fontId="3" fillId="9" borderId="6" xfId="0" applyNumberFormat="1" applyFont="1" applyFill="1" applyBorder="1"/>
    <xf numFmtId="0" fontId="3" fillId="0" borderId="31" xfId="0" quotePrefix="1" applyFont="1" applyBorder="1"/>
    <xf numFmtId="0" fontId="3" fillId="0" borderId="0" xfId="0" quotePrefix="1" applyFont="1"/>
    <xf numFmtId="0" fontId="3" fillId="0" borderId="33" xfId="0" quotePrefix="1" applyFont="1" applyBorder="1"/>
    <xf numFmtId="164" fontId="7" fillId="0" borderId="8" xfId="1" applyFont="1" applyBorder="1" applyAlignment="1">
      <alignment horizontal="center"/>
    </xf>
    <xf numFmtId="171" fontId="1" fillId="0" borderId="6" xfId="2" applyNumberFormat="1" applyFont="1" applyBorder="1"/>
    <xf numFmtId="164" fontId="1" fillId="0" borderId="30" xfId="1" applyFont="1" applyBorder="1"/>
    <xf numFmtId="0" fontId="7" fillId="0" borderId="6" xfId="1" applyNumberFormat="1" applyFont="1" applyBorder="1" applyAlignment="1">
      <alignment horizontal="center"/>
    </xf>
    <xf numFmtId="0" fontId="3" fillId="9" borderId="6" xfId="0" applyFont="1" applyFill="1" applyBorder="1"/>
    <xf numFmtId="168" fontId="3" fillId="9" borderId="6" xfId="2" applyFont="1" applyFill="1" applyBorder="1"/>
    <xf numFmtId="172" fontId="0" fillId="0" borderId="6" xfId="0" applyNumberFormat="1" applyBorder="1" applyAlignment="1">
      <alignment horizontal="left" vertical="center"/>
    </xf>
    <xf numFmtId="168" fontId="1" fillId="0" borderId="6" xfId="2" applyFont="1" applyBorder="1"/>
    <xf numFmtId="4" fontId="0" fillId="0" borderId="0" xfId="0" applyNumberFormat="1"/>
    <xf numFmtId="165" fontId="1" fillId="2" borderId="6" xfId="1" applyNumberFormat="1" applyFont="1" applyFill="1" applyBorder="1"/>
    <xf numFmtId="172" fontId="0" fillId="0" borderId="6" xfId="0" applyNumberFormat="1" applyBorder="1" applyAlignment="1">
      <alignment horizontal="left"/>
    </xf>
    <xf numFmtId="164" fontId="1" fillId="0" borderId="6" xfId="1" applyFont="1" applyBorder="1" applyAlignment="1">
      <alignment vertical="center"/>
    </xf>
    <xf numFmtId="172" fontId="0" fillId="0" borderId="6" xfId="0" applyNumberFormat="1" applyBorder="1" applyAlignment="1">
      <alignment horizontal="left" wrapText="1"/>
    </xf>
    <xf numFmtId="168" fontId="1" fillId="0" borderId="6" xfId="2" applyFont="1" applyBorder="1" applyAlignment="1">
      <alignment vertical="center"/>
    </xf>
    <xf numFmtId="43" fontId="0" fillId="0" borderId="0" xfId="0" applyNumberFormat="1"/>
    <xf numFmtId="0" fontId="0" fillId="2" borderId="26" xfId="0" applyFill="1" applyBorder="1" applyAlignment="1">
      <alignment horizontal="center"/>
    </xf>
    <xf numFmtId="0" fontId="0" fillId="2" borderId="27" xfId="0" applyFill="1" applyBorder="1"/>
    <xf numFmtId="168" fontId="1" fillId="0" borderId="6" xfId="1" applyNumberFormat="1" applyFont="1" applyBorder="1"/>
    <xf numFmtId="165" fontId="1" fillId="0" borderId="6" xfId="1" applyNumberFormat="1" applyFont="1" applyBorder="1"/>
    <xf numFmtId="168" fontId="0" fillId="0" borderId="6" xfId="0" applyNumberFormat="1" applyBorder="1"/>
    <xf numFmtId="165" fontId="0" fillId="0" borderId="6" xfId="1" applyNumberFormat="1" applyFont="1" applyBorder="1"/>
    <xf numFmtId="168" fontId="1" fillId="0" borderId="8" xfId="2" applyFont="1" applyBorder="1"/>
    <xf numFmtId="166" fontId="0" fillId="0" borderId="0" xfId="0" applyNumberFormat="1"/>
    <xf numFmtId="164" fontId="29" fillId="0" borderId="29" xfId="1" applyFont="1" applyBorder="1"/>
    <xf numFmtId="164" fontId="29" fillId="0" borderId="0" xfId="1" applyFont="1" applyBorder="1"/>
    <xf numFmtId="164" fontId="1" fillId="2" borderId="6" xfId="1" applyFont="1" applyFill="1" applyBorder="1"/>
    <xf numFmtId="164" fontId="0" fillId="2" borderId="26" xfId="0" applyNumberFormat="1" applyFill="1" applyBorder="1"/>
    <xf numFmtId="164" fontId="7" fillId="0" borderId="30" xfId="1" applyFont="1" applyFill="1" applyBorder="1" applyAlignment="1">
      <alignment horizontal="center"/>
    </xf>
    <xf numFmtId="164" fontId="7" fillId="0" borderId="29" xfId="1" applyFont="1" applyFill="1" applyBorder="1" applyAlignment="1">
      <alignment horizontal="center"/>
    </xf>
    <xf numFmtId="164" fontId="7" fillId="0" borderId="20" xfId="1" applyFont="1" applyFill="1" applyBorder="1" applyAlignment="1">
      <alignment horizontal="center"/>
    </xf>
    <xf numFmtId="171" fontId="1" fillId="0" borderId="6" xfId="2" applyNumberFormat="1" applyFont="1" applyFill="1" applyBorder="1"/>
    <xf numFmtId="164" fontId="1" fillId="0" borderId="6" xfId="1" applyFont="1" applyFill="1" applyBorder="1"/>
    <xf numFmtId="0" fontId="7" fillId="0" borderId="8" xfId="1" applyNumberFormat="1" applyFont="1" applyFill="1" applyBorder="1" applyAlignment="1">
      <alignment horizontal="center"/>
    </xf>
    <xf numFmtId="164" fontId="7" fillId="0" borderId="30" xfId="1" applyFont="1" applyBorder="1" applyAlignment="1">
      <alignment horizontal="center"/>
    </xf>
    <xf numFmtId="164" fontId="7" fillId="0" borderId="29" xfId="1" applyFont="1" applyBorder="1" applyAlignment="1">
      <alignment horizontal="center"/>
    </xf>
    <xf numFmtId="164" fontId="7" fillId="0" borderId="20" xfId="1" applyFont="1" applyBorder="1" applyAlignment="1">
      <alignment horizontal="center"/>
    </xf>
    <xf numFmtId="164" fontId="7" fillId="0" borderId="20" xfId="1" applyFont="1" applyBorder="1" applyAlignment="1">
      <alignment horizontal="left"/>
    </xf>
    <xf numFmtId="0" fontId="7" fillId="12" borderId="6" xfId="1" applyNumberFormat="1" applyFont="1" applyFill="1" applyBorder="1"/>
    <xf numFmtId="164" fontId="7" fillId="12" borderId="6" xfId="1" applyFont="1" applyFill="1" applyBorder="1" applyAlignment="1">
      <alignment horizontal="center"/>
    </xf>
    <xf numFmtId="164" fontId="7" fillId="12" borderId="26" xfId="1" applyFont="1" applyFill="1" applyBorder="1"/>
    <xf numFmtId="164" fontId="7" fillId="12" borderId="27" xfId="1" applyFont="1" applyFill="1" applyBorder="1"/>
    <xf numFmtId="0" fontId="7" fillId="12" borderId="8" xfId="1" applyNumberFormat="1" applyFont="1" applyFill="1" applyBorder="1" applyAlignment="1">
      <alignment horizontal="center"/>
    </xf>
    <xf numFmtId="166" fontId="7" fillId="12" borderId="8" xfId="1" applyNumberFormat="1" applyFont="1" applyFill="1" applyBorder="1" applyAlignment="1">
      <alignment horizontal="center"/>
    </xf>
    <xf numFmtId="171" fontId="1" fillId="12" borderId="6" xfId="1" applyNumberFormat="1" applyFont="1" applyFill="1" applyBorder="1"/>
    <xf numFmtId="164" fontId="0" fillId="12" borderId="6" xfId="1" applyFont="1" applyFill="1" applyBorder="1"/>
    <xf numFmtId="0" fontId="0" fillId="12" borderId="6" xfId="0" applyFill="1" applyBorder="1"/>
    <xf numFmtId="164" fontId="29" fillId="15" borderId="26" xfId="1" applyFont="1" applyFill="1" applyBorder="1" applyAlignment="1">
      <alignment horizontal="center"/>
    </xf>
    <xf numFmtId="164" fontId="29" fillId="15" borderId="27" xfId="1" applyFont="1" applyFill="1" applyBorder="1" applyAlignment="1">
      <alignment horizontal="center"/>
    </xf>
    <xf numFmtId="164" fontId="29" fillId="15" borderId="8" xfId="1" applyFont="1" applyFill="1" applyBorder="1" applyAlignment="1">
      <alignment horizontal="center"/>
    </xf>
    <xf numFmtId="0" fontId="7" fillId="15" borderId="6" xfId="1" applyNumberFormat="1" applyFont="1" applyFill="1" applyBorder="1"/>
    <xf numFmtId="164" fontId="7" fillId="15" borderId="6" xfId="1" applyFont="1" applyFill="1" applyBorder="1" applyAlignment="1">
      <alignment horizontal="center"/>
    </xf>
    <xf numFmtId="164" fontId="7" fillId="15" borderId="26" xfId="1" applyFont="1" applyFill="1" applyBorder="1"/>
    <xf numFmtId="164" fontId="7" fillId="15" borderId="27" xfId="1" applyFont="1" applyFill="1" applyBorder="1"/>
    <xf numFmtId="0" fontId="7" fillId="15" borderId="8" xfId="1" applyNumberFormat="1" applyFont="1" applyFill="1" applyBorder="1" applyAlignment="1">
      <alignment horizontal="center"/>
    </xf>
    <xf numFmtId="166" fontId="7" fillId="15" borderId="8" xfId="1" applyNumberFormat="1" applyFont="1" applyFill="1" applyBorder="1" applyAlignment="1">
      <alignment horizontal="center"/>
    </xf>
    <xf numFmtId="171" fontId="1" fillId="15" borderId="6" xfId="1" applyNumberFormat="1" applyFont="1" applyFill="1" applyBorder="1"/>
    <xf numFmtId="164" fontId="0" fillId="15" borderId="6" xfId="1" applyFont="1" applyFill="1" applyBorder="1"/>
    <xf numFmtId="164" fontId="3" fillId="15" borderId="6" xfId="1" applyFont="1" applyFill="1" applyBorder="1"/>
    <xf numFmtId="0" fontId="0" fillId="15" borderId="6" xfId="0" applyFill="1" applyBorder="1"/>
    <xf numFmtId="168" fontId="3" fillId="15" borderId="6" xfId="2" applyFont="1" applyFill="1" applyBorder="1"/>
    <xf numFmtId="172" fontId="3" fillId="15" borderId="6" xfId="0" applyNumberFormat="1" applyFont="1" applyFill="1" applyBorder="1"/>
    <xf numFmtId="164" fontId="3" fillId="0" borderId="6" xfId="1" applyFont="1" applyBorder="1"/>
    <xf numFmtId="168" fontId="0" fillId="0" borderId="0" xfId="2" applyFont="1"/>
    <xf numFmtId="168" fontId="0" fillId="0" borderId="0" xfId="0" applyNumberFormat="1"/>
    <xf numFmtId="164" fontId="29" fillId="0" borderId="0" xfId="1" applyFont="1"/>
    <xf numFmtId="164" fontId="3" fillId="0" borderId="0" xfId="0" applyNumberFormat="1" applyFont="1"/>
    <xf numFmtId="0" fontId="0" fillId="0" borderId="0" xfId="0" applyAlignment="1">
      <alignment horizont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/>
    </xf>
    <xf numFmtId="0" fontId="0" fillId="8" borderId="27" xfId="0" applyFill="1" applyBorder="1" applyAlignment="1">
      <alignment vertical="center"/>
    </xf>
    <xf numFmtId="0" fontId="3" fillId="9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31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18" xfId="1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4" xfId="1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70" fontId="1" fillId="2" borderId="14" xfId="1" applyNumberFormat="1" applyFont="1" applyFill="1" applyBorder="1" applyAlignment="1">
      <alignment horizontal="center" vertical="center"/>
    </xf>
    <xf numFmtId="164" fontId="0" fillId="2" borderId="14" xfId="1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 wrapText="1"/>
    </xf>
    <xf numFmtId="164" fontId="29" fillId="2" borderId="30" xfId="1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0" borderId="8" xfId="1" applyFont="1" applyBorder="1" applyAlignment="1">
      <alignment horizontal="center"/>
    </xf>
    <xf numFmtId="170" fontId="1" fillId="11" borderId="6" xfId="1" applyNumberFormat="1" applyFont="1" applyFill="1" applyBorder="1"/>
    <xf numFmtId="173" fontId="0" fillId="2" borderId="26" xfId="0" applyNumberFormat="1" applyFill="1" applyBorder="1"/>
    <xf numFmtId="0" fontId="3" fillId="14" borderId="26" xfId="0" applyFont="1" applyFill="1" applyBorder="1" applyAlignment="1">
      <alignment horizontal="center"/>
    </xf>
    <xf numFmtId="0" fontId="3" fillId="14" borderId="27" xfId="0" applyFont="1" applyFill="1" applyBorder="1" applyAlignment="1">
      <alignment horizontal="center"/>
    </xf>
    <xf numFmtId="0" fontId="0" fillId="14" borderId="16" xfId="0" applyFill="1" applyBorder="1"/>
    <xf numFmtId="0" fontId="0" fillId="14" borderId="6" xfId="0" applyFill="1" applyBorder="1"/>
    <xf numFmtId="0" fontId="0" fillId="14" borderId="26" xfId="0" applyFill="1" applyBorder="1" applyAlignment="1">
      <alignment horizontal="center"/>
    </xf>
    <xf numFmtId="0" fontId="0" fillId="14" borderId="26" xfId="0" applyFill="1" applyBorder="1"/>
    <xf numFmtId="0" fontId="0" fillId="14" borderId="27" xfId="0" applyFill="1" applyBorder="1"/>
    <xf numFmtId="0" fontId="0" fillId="14" borderId="6" xfId="0" applyFill="1" applyBorder="1" applyAlignment="1">
      <alignment horizontal="center"/>
    </xf>
    <xf numFmtId="164" fontId="0" fillId="14" borderId="8" xfId="1" applyFont="1" applyFill="1" applyBorder="1" applyAlignment="1">
      <alignment horizontal="center"/>
    </xf>
    <xf numFmtId="170" fontId="1" fillId="14" borderId="6" xfId="1" applyNumberFormat="1" applyFont="1" applyFill="1" applyBorder="1"/>
    <xf numFmtId="164" fontId="0" fillId="14" borderId="6" xfId="1" applyFont="1" applyFill="1" applyBorder="1"/>
    <xf numFmtId="164" fontId="0" fillId="14" borderId="26" xfId="1" applyFont="1" applyFill="1" applyBorder="1"/>
    <xf numFmtId="164" fontId="0" fillId="14" borderId="26" xfId="1" applyFont="1" applyFill="1" applyBorder="1" applyAlignment="1"/>
    <xf numFmtId="0" fontId="3" fillId="0" borderId="26" xfId="0" applyFont="1" applyBorder="1"/>
    <xf numFmtId="0" fontId="3" fillId="0" borderId="31" xfId="0" applyFont="1" applyBorder="1"/>
    <xf numFmtId="0" fontId="0" fillId="2" borderId="32" xfId="0" applyFill="1" applyBorder="1"/>
    <xf numFmtId="0" fontId="0" fillId="2" borderId="25" xfId="0" applyFill="1" applyBorder="1"/>
    <xf numFmtId="0" fontId="0" fillId="2" borderId="16" xfId="0" applyFill="1" applyBorder="1"/>
    <xf numFmtId="164" fontId="0" fillId="2" borderId="26" xfId="1" applyFont="1" applyFill="1" applyBorder="1"/>
    <xf numFmtId="164" fontId="0" fillId="2" borderId="26" xfId="1" applyFont="1" applyFill="1" applyBorder="1" applyAlignment="1"/>
    <xf numFmtId="0" fontId="3" fillId="16" borderId="26" xfId="0" applyFont="1" applyFill="1" applyBorder="1" applyAlignment="1">
      <alignment horizontal="center" vertical="center" wrapText="1"/>
    </xf>
    <xf numFmtId="0" fontId="0" fillId="16" borderId="27" xfId="0" applyFill="1" applyBorder="1" applyAlignment="1">
      <alignment horizontal="center" vertical="center" wrapText="1"/>
    </xf>
    <xf numFmtId="0" fontId="0" fillId="16" borderId="33" xfId="0" applyFill="1" applyBorder="1"/>
    <xf numFmtId="0" fontId="0" fillId="16" borderId="6" xfId="0" applyFill="1" applyBorder="1"/>
    <xf numFmtId="0" fontId="0" fillId="16" borderId="26" xfId="0" applyFill="1" applyBorder="1" applyAlignment="1">
      <alignment horizontal="center"/>
    </xf>
    <xf numFmtId="0" fontId="0" fillId="16" borderId="26" xfId="0" applyFill="1" applyBorder="1"/>
    <xf numFmtId="0" fontId="0" fillId="16" borderId="27" xfId="0" applyFill="1" applyBorder="1"/>
    <xf numFmtId="0" fontId="0" fillId="16" borderId="6" xfId="0" applyFill="1" applyBorder="1" applyAlignment="1">
      <alignment horizontal="center"/>
    </xf>
    <xf numFmtId="164" fontId="0" fillId="16" borderId="8" xfId="1" applyFont="1" applyFill="1" applyBorder="1" applyAlignment="1">
      <alignment horizontal="center"/>
    </xf>
    <xf numFmtId="170" fontId="1" fillId="16" borderId="6" xfId="1" applyNumberFormat="1" applyFont="1" applyFill="1" applyBorder="1"/>
    <xf numFmtId="164" fontId="0" fillId="16" borderId="6" xfId="1" applyFont="1" applyFill="1" applyBorder="1"/>
    <xf numFmtId="164" fontId="0" fillId="16" borderId="26" xfId="1" applyFont="1" applyFill="1" applyBorder="1"/>
    <xf numFmtId="164" fontId="3" fillId="16" borderId="26" xfId="1" applyFont="1" applyFill="1" applyBorder="1" applyAlignment="1">
      <alignment vertical="center"/>
    </xf>
    <xf numFmtId="164" fontId="3" fillId="16" borderId="6" xfId="1" applyFont="1" applyFill="1" applyBorder="1"/>
    <xf numFmtId="164" fontId="3" fillId="16" borderId="6" xfId="0" applyNumberFormat="1" applyFont="1" applyFill="1" applyBorder="1"/>
    <xf numFmtId="0" fontId="0" fillId="2" borderId="31" xfId="0" applyFill="1" applyBorder="1"/>
    <xf numFmtId="0" fontId="0" fillId="2" borderId="33" xfId="0" applyFill="1" applyBorder="1"/>
    <xf numFmtId="164" fontId="0" fillId="2" borderId="8" xfId="1" applyFont="1" applyFill="1" applyBorder="1" applyAlignment="1">
      <alignment horizontal="center"/>
    </xf>
    <xf numFmtId="170" fontId="1" fillId="17" borderId="6" xfId="1" applyNumberFormat="1" applyFont="1" applyFill="1" applyBorder="1"/>
    <xf numFmtId="0" fontId="0" fillId="18" borderId="20" xfId="0" applyFill="1" applyBorder="1"/>
    <xf numFmtId="0" fontId="0" fillId="18" borderId="33" xfId="0" applyFill="1" applyBorder="1"/>
    <xf numFmtId="0" fontId="0" fillId="18" borderId="16" xfId="0" applyFill="1" applyBorder="1"/>
    <xf numFmtId="164" fontId="29" fillId="0" borderId="0" xfId="1" applyFont="1" applyFill="1" applyBorder="1"/>
    <xf numFmtId="164" fontId="7" fillId="18" borderId="33" xfId="1" applyFont="1" applyFill="1" applyBorder="1"/>
    <xf numFmtId="164" fontId="7" fillId="0" borderId="6" xfId="1" applyFont="1" applyBorder="1"/>
    <xf numFmtId="164" fontId="0" fillId="0" borderId="26" xfId="1" applyFont="1" applyFill="1" applyBorder="1"/>
    <xf numFmtId="164" fontId="0" fillId="0" borderId="26" xfId="1" applyFont="1" applyFill="1" applyBorder="1" applyAlignment="1"/>
    <xf numFmtId="164" fontId="7" fillId="18" borderId="16" xfId="1" applyFont="1" applyFill="1" applyBorder="1"/>
    <xf numFmtId="0" fontId="3" fillId="14" borderId="26" xfId="0" applyFont="1" applyFill="1" applyBorder="1" applyAlignment="1">
      <alignment horizontal="center" wrapText="1"/>
    </xf>
    <xf numFmtId="0" fontId="0" fillId="14" borderId="27" xfId="0" applyFill="1" applyBorder="1" applyAlignment="1">
      <alignment horizontal="center" wrapText="1"/>
    </xf>
    <xf numFmtId="164" fontId="7" fillId="14" borderId="16" xfId="1" applyFont="1" applyFill="1" applyBorder="1"/>
    <xf numFmtId="0" fontId="7" fillId="14" borderId="6" xfId="1" applyNumberFormat="1" applyFont="1" applyFill="1" applyBorder="1"/>
    <xf numFmtId="164" fontId="7" fillId="14" borderId="6" xfId="1" applyFont="1" applyFill="1" applyBorder="1" applyAlignment="1">
      <alignment horizontal="center"/>
    </xf>
    <xf numFmtId="164" fontId="7" fillId="14" borderId="6" xfId="1" applyFont="1" applyFill="1" applyBorder="1"/>
    <xf numFmtId="0" fontId="7" fillId="14" borderId="6" xfId="1" applyNumberFormat="1" applyFont="1" applyFill="1" applyBorder="1" applyAlignment="1">
      <alignment horizontal="center"/>
    </xf>
    <xf numFmtId="164" fontId="3" fillId="14" borderId="6" xfId="1" applyFont="1" applyFill="1" applyBorder="1" applyAlignment="1">
      <alignment vertical="center"/>
    </xf>
    <xf numFmtId="164" fontId="3" fillId="14" borderId="6" xfId="0" applyNumberFormat="1" applyFont="1" applyFill="1" applyBorder="1" applyAlignment="1">
      <alignment vertical="center"/>
    </xf>
    <xf numFmtId="0" fontId="3" fillId="2" borderId="26" xfId="0" applyFont="1" applyFill="1" applyBorder="1"/>
    <xf numFmtId="0" fontId="0" fillId="2" borderId="8" xfId="0" applyFill="1" applyBorder="1"/>
    <xf numFmtId="0" fontId="3" fillId="2" borderId="31" xfId="0" applyFont="1" applyFill="1" applyBorder="1"/>
    <xf numFmtId="164" fontId="0" fillId="10" borderId="26" xfId="1" applyFont="1" applyFill="1" applyBorder="1" applyAlignment="1"/>
    <xf numFmtId="0" fontId="3" fillId="16" borderId="26" xfId="0" applyFont="1" applyFill="1" applyBorder="1"/>
    <xf numFmtId="164" fontId="3" fillId="16" borderId="6" xfId="1" applyFont="1" applyFill="1" applyBorder="1" applyAlignment="1">
      <alignment vertical="center"/>
    </xf>
    <xf numFmtId="164" fontId="3" fillId="16" borderId="6" xfId="0" applyNumberFormat="1" applyFont="1" applyFill="1" applyBorder="1" applyAlignment="1">
      <alignment vertical="center"/>
    </xf>
    <xf numFmtId="170" fontId="1" fillId="0" borderId="6" xfId="1" applyNumberFormat="1" applyFont="1" applyFill="1" applyBorder="1"/>
    <xf numFmtId="164" fontId="7" fillId="0" borderId="8" xfId="1" applyFont="1" applyFill="1" applyBorder="1" applyAlignment="1">
      <alignment horizontal="center"/>
    </xf>
    <xf numFmtId="170" fontId="1" fillId="2" borderId="26" xfId="1" applyNumberFormat="1" applyFont="1" applyFill="1" applyBorder="1"/>
    <xf numFmtId="0" fontId="0" fillId="4" borderId="30" xfId="0" applyFill="1" applyBorder="1"/>
    <xf numFmtId="0" fontId="0" fillId="4" borderId="29" xfId="0" applyFill="1" applyBorder="1"/>
    <xf numFmtId="0" fontId="0" fillId="4" borderId="20" xfId="0" applyFill="1" applyBorder="1"/>
    <xf numFmtId="0" fontId="3" fillId="4" borderId="31" xfId="0" applyFont="1" applyFill="1" applyBorder="1"/>
    <xf numFmtId="0" fontId="3" fillId="4" borderId="0" xfId="0" applyFont="1" applyFill="1"/>
    <xf numFmtId="0" fontId="3" fillId="4" borderId="33" xfId="0" applyFont="1" applyFill="1" applyBorder="1"/>
    <xf numFmtId="0" fontId="0" fillId="4" borderId="31" xfId="0" applyFill="1" applyBorder="1"/>
    <xf numFmtId="0" fontId="0" fillId="4" borderId="0" xfId="0" applyFill="1"/>
    <xf numFmtId="0" fontId="0" fillId="4" borderId="33" xfId="0" applyFill="1" applyBorder="1"/>
    <xf numFmtId="0" fontId="3" fillId="16" borderId="33" xfId="0" applyFont="1" applyFill="1" applyBorder="1"/>
    <xf numFmtId="0" fontId="3" fillId="16" borderId="6" xfId="0" applyFont="1" applyFill="1" applyBorder="1"/>
    <xf numFmtId="0" fontId="3" fillId="16" borderId="26" xfId="0" applyFont="1" applyFill="1" applyBorder="1" applyAlignment="1">
      <alignment horizontal="center"/>
    </xf>
    <xf numFmtId="0" fontId="3" fillId="16" borderId="27" xfId="0" applyFont="1" applyFill="1" applyBorder="1"/>
    <xf numFmtId="0" fontId="3" fillId="16" borderId="6" xfId="0" applyFont="1" applyFill="1" applyBorder="1" applyAlignment="1">
      <alignment horizontal="center"/>
    </xf>
    <xf numFmtId="164" fontId="3" fillId="16" borderId="8" xfId="1" applyFont="1" applyFill="1" applyBorder="1" applyAlignment="1">
      <alignment horizontal="center"/>
    </xf>
    <xf numFmtId="170" fontId="3" fillId="16" borderId="6" xfId="1" applyNumberFormat="1" applyFont="1" applyFill="1" applyBorder="1"/>
    <xf numFmtId="164" fontId="3" fillId="16" borderId="26" xfId="1" applyFont="1" applyFill="1" applyBorder="1"/>
    <xf numFmtId="164" fontId="3" fillId="16" borderId="26" xfId="1" applyFont="1" applyFill="1" applyBorder="1" applyAlignment="1"/>
    <xf numFmtId="166" fontId="0" fillId="0" borderId="26" xfId="1" applyNumberFormat="1" applyFont="1" applyBorder="1"/>
    <xf numFmtId="166" fontId="0" fillId="2" borderId="26" xfId="0" applyNumberFormat="1" applyFill="1" applyBorder="1"/>
    <xf numFmtId="43" fontId="0" fillId="2" borderId="26" xfId="0" applyNumberFormat="1" applyFill="1" applyBorder="1"/>
    <xf numFmtId="0" fontId="3" fillId="14" borderId="26" xfId="0" applyFont="1" applyFill="1" applyBorder="1" applyAlignment="1">
      <alignment horizontal="center" vertical="center" wrapText="1"/>
    </xf>
    <xf numFmtId="0" fontId="0" fillId="14" borderId="27" xfId="0" applyFill="1" applyBorder="1" applyAlignment="1">
      <alignment horizontal="center" vertical="center" wrapText="1"/>
    </xf>
    <xf numFmtId="0" fontId="0" fillId="14" borderId="33" xfId="0" applyFill="1" applyBorder="1"/>
    <xf numFmtId="164" fontId="3" fillId="14" borderId="26" xfId="1" applyFont="1" applyFill="1" applyBorder="1" applyAlignment="1">
      <alignment vertical="center"/>
    </xf>
    <xf numFmtId="164" fontId="3" fillId="14" borderId="6" xfId="1" applyFont="1" applyFill="1" applyBorder="1"/>
    <xf numFmtId="164" fontId="3" fillId="14" borderId="6" xfId="0" applyNumberFormat="1" applyFont="1" applyFill="1" applyBorder="1"/>
    <xf numFmtId="0" fontId="3" fillId="16" borderId="8" xfId="0" applyFont="1" applyFill="1" applyBorder="1"/>
    <xf numFmtId="170" fontId="3" fillId="16" borderId="26" xfId="1" applyNumberFormat="1" applyFont="1" applyFill="1" applyBorder="1"/>
    <xf numFmtId="0" fontId="3" fillId="0" borderId="30" xfId="0" applyFont="1" applyBorder="1"/>
    <xf numFmtId="0" fontId="0" fillId="0" borderId="14" xfId="0" applyBorder="1"/>
    <xf numFmtId="0" fontId="0" fillId="2" borderId="29" xfId="0" applyFill="1" applyBorder="1"/>
    <xf numFmtId="0" fontId="0" fillId="2" borderId="20" xfId="0" applyFill="1" applyBorder="1"/>
    <xf numFmtId="0" fontId="0" fillId="19" borderId="6" xfId="0" applyFill="1" applyBorder="1"/>
    <xf numFmtId="0" fontId="0" fillId="19" borderId="26" xfId="0" applyFill="1" applyBorder="1" applyAlignment="1">
      <alignment horizontal="center"/>
    </xf>
    <xf numFmtId="0" fontId="0" fillId="19" borderId="26" xfId="0" applyFill="1" applyBorder="1"/>
    <xf numFmtId="0" fontId="0" fillId="19" borderId="27" xfId="0" applyFill="1" applyBorder="1"/>
    <xf numFmtId="164" fontId="0" fillId="19" borderId="8" xfId="1" applyFont="1" applyFill="1" applyBorder="1" applyAlignment="1">
      <alignment horizontal="center"/>
    </xf>
    <xf numFmtId="166" fontId="1" fillId="19" borderId="6" xfId="2" applyNumberFormat="1" applyFont="1" applyFill="1" applyBorder="1"/>
    <xf numFmtId="166" fontId="1" fillId="19" borderId="6" xfId="1" applyNumberFormat="1" applyFont="1" applyFill="1" applyBorder="1"/>
    <xf numFmtId="164" fontId="1" fillId="19" borderId="26" xfId="1" applyFont="1" applyFill="1" applyBorder="1"/>
    <xf numFmtId="164" fontId="1" fillId="19" borderId="26" xfId="1" applyFont="1" applyFill="1" applyBorder="1" applyAlignment="1"/>
    <xf numFmtId="166" fontId="1" fillId="19" borderId="8" xfId="1" applyNumberFormat="1" applyFont="1" applyFill="1" applyBorder="1"/>
    <xf numFmtId="166" fontId="1" fillId="2" borderId="8" xfId="1" applyNumberFormat="1" applyFont="1" applyFill="1" applyBorder="1"/>
    <xf numFmtId="166" fontId="1" fillId="2" borderId="6" xfId="1" applyNumberFormat="1" applyFont="1" applyFill="1" applyBorder="1"/>
    <xf numFmtId="166" fontId="0" fillId="0" borderId="26" xfId="0" applyNumberFormat="1" applyBorder="1"/>
    <xf numFmtId="0" fontId="0" fillId="0" borderId="18" xfId="0" applyBorder="1"/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20" xfId="1" applyFont="1" applyBorder="1" applyAlignment="1">
      <alignment horizontal="center"/>
    </xf>
    <xf numFmtId="170" fontId="1" fillId="0" borderId="18" xfId="1" applyNumberFormat="1" applyFont="1" applyBorder="1"/>
    <xf numFmtId="164" fontId="0" fillId="0" borderId="18" xfId="1" applyFont="1" applyBorder="1"/>
    <xf numFmtId="164" fontId="0" fillId="0" borderId="30" xfId="1" applyFont="1" applyBorder="1" applyAlignment="1"/>
    <xf numFmtId="0" fontId="0" fillId="2" borderId="30" xfId="0" applyFill="1" applyBorder="1"/>
    <xf numFmtId="168" fontId="1" fillId="0" borderId="26" xfId="2" applyFont="1" applyBorder="1"/>
    <xf numFmtId="164" fontId="1" fillId="0" borderId="26" xfId="1" applyFont="1" applyBorder="1"/>
    <xf numFmtId="164" fontId="1" fillId="0" borderId="26" xfId="1" applyFont="1" applyBorder="1" applyAlignment="1"/>
    <xf numFmtId="170" fontId="0" fillId="0" borderId="6" xfId="1" applyNumberFormat="1" applyFont="1" applyBorder="1"/>
    <xf numFmtId="0" fontId="0" fillId="2" borderId="30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 wrapText="1"/>
    </xf>
    <xf numFmtId="164" fontId="0" fillId="2" borderId="20" xfId="1" applyFont="1" applyFill="1" applyBorder="1" applyAlignment="1">
      <alignment horizontal="center" vertical="center" wrapText="1"/>
    </xf>
    <xf numFmtId="168" fontId="1" fillId="2" borderId="6" xfId="2" applyFont="1" applyFill="1" applyBorder="1"/>
    <xf numFmtId="164" fontId="1" fillId="19" borderId="6" xfId="1" applyFont="1" applyFill="1" applyBorder="1" applyAlignment="1"/>
    <xf numFmtId="0" fontId="0" fillId="2" borderId="28" xfId="0" applyFill="1" applyBorder="1" applyAlignment="1">
      <alignment horizontal="center" vertical="center" wrapText="1"/>
    </xf>
    <xf numFmtId="164" fontId="0" fillId="2" borderId="6" xfId="1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164" fontId="0" fillId="2" borderId="16" xfId="1" applyFont="1" applyFill="1" applyBorder="1" applyAlignment="1">
      <alignment horizontal="center" vertical="center" wrapText="1"/>
    </xf>
    <xf numFmtId="166" fontId="3" fillId="20" borderId="6" xfId="1" applyNumberFormat="1" applyFont="1" applyFill="1" applyBorder="1"/>
    <xf numFmtId="0" fontId="3" fillId="0" borderId="29" xfId="0" quotePrefix="1" applyFont="1" applyBorder="1"/>
    <xf numFmtId="0" fontId="3" fillId="0" borderId="20" xfId="0" quotePrefix="1" applyFont="1" applyBorder="1"/>
    <xf numFmtId="174" fontId="1" fillId="0" borderId="6" xfId="2" applyNumberFormat="1" applyFont="1" applyBorder="1"/>
    <xf numFmtId="174" fontId="1" fillId="2" borderId="6" xfId="2" applyNumberFormat="1" applyFont="1" applyFill="1" applyBorder="1"/>
    <xf numFmtId="169" fontId="1" fillId="0" borderId="6" xfId="2" applyNumberFormat="1" applyFont="1" applyBorder="1"/>
    <xf numFmtId="0" fontId="0" fillId="2" borderId="29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9" fontId="0" fillId="0" borderId="6" xfId="0" applyNumberFormat="1" applyBorder="1" applyAlignment="1">
      <alignment horizontal="center" vertical="center"/>
    </xf>
    <xf numFmtId="164" fontId="7" fillId="0" borderId="8" xfId="1" applyFont="1" applyBorder="1" applyAlignment="1">
      <alignment horizontal="center" vertical="center"/>
    </xf>
    <xf numFmtId="164" fontId="1" fillId="2" borderId="6" xfId="1" applyFont="1" applyFill="1" applyBorder="1" applyAlignment="1">
      <alignment vertical="center"/>
    </xf>
    <xf numFmtId="164" fontId="0" fillId="0" borderId="26" xfId="0" applyNumberFormat="1" applyBorder="1" applyAlignment="1">
      <alignment vertical="center"/>
    </xf>
    <xf numFmtId="164" fontId="0" fillId="0" borderId="26" xfId="1" applyFont="1" applyBorder="1" applyAlignment="1">
      <alignment vertical="center"/>
    </xf>
    <xf numFmtId="0" fontId="0" fillId="2" borderId="26" xfId="0" applyFill="1" applyBorder="1" applyAlignment="1">
      <alignment vertical="center" wrapText="1"/>
    </xf>
    <xf numFmtId="43" fontId="0" fillId="0" borderId="6" xfId="0" applyNumberFormat="1" applyBorder="1"/>
    <xf numFmtId="166" fontId="1" fillId="2" borderId="6" xfId="2" applyNumberFormat="1" applyFont="1" applyFill="1" applyBorder="1"/>
    <xf numFmtId="164" fontId="1" fillId="2" borderId="6" xfId="1" applyFont="1" applyFill="1" applyBorder="1" applyAlignment="1"/>
    <xf numFmtId="164" fontId="1" fillId="0" borderId="6" xfId="1" applyFont="1" applyBorder="1" applyAlignment="1"/>
    <xf numFmtId="0" fontId="3" fillId="14" borderId="8" xfId="0" applyFont="1" applyFill="1" applyBorder="1" applyAlignment="1">
      <alignment horizontal="center"/>
    </xf>
    <xf numFmtId="164" fontId="3" fillId="14" borderId="26" xfId="1" applyFont="1" applyFill="1" applyBorder="1"/>
    <xf numFmtId="0" fontId="0" fillId="8" borderId="32" xfId="0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70" fontId="1" fillId="11" borderId="18" xfId="1" applyNumberFormat="1" applyFont="1" applyFill="1" applyBorder="1"/>
    <xf numFmtId="0" fontId="3" fillId="14" borderId="34" xfId="0" applyFont="1" applyFill="1" applyBorder="1" applyAlignment="1">
      <alignment horizontal="center"/>
    </xf>
    <xf numFmtId="0" fontId="3" fillId="14" borderId="35" xfId="0" applyFont="1" applyFill="1" applyBorder="1" applyAlignment="1">
      <alignment horizontal="center"/>
    </xf>
    <xf numFmtId="0" fontId="0" fillId="14" borderId="24" xfId="0" applyFill="1" applyBorder="1"/>
    <xf numFmtId="0" fontId="0" fillId="14" borderId="22" xfId="0" applyFill="1" applyBorder="1"/>
    <xf numFmtId="0" fontId="0" fillId="14" borderId="34" xfId="0" applyFill="1" applyBorder="1" applyAlignment="1">
      <alignment horizontal="center"/>
    </xf>
    <xf numFmtId="0" fontId="0" fillId="14" borderId="34" xfId="0" applyFill="1" applyBorder="1"/>
    <xf numFmtId="0" fontId="0" fillId="14" borderId="35" xfId="0" applyFill="1" applyBorder="1"/>
    <xf numFmtId="0" fontId="0" fillId="14" borderId="22" xfId="0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170" fontId="1" fillId="14" borderId="22" xfId="1" applyNumberFormat="1" applyFont="1" applyFill="1" applyBorder="1"/>
    <xf numFmtId="164" fontId="0" fillId="14" borderId="22" xfId="1" applyFont="1" applyFill="1" applyBorder="1"/>
    <xf numFmtId="164" fontId="0" fillId="14" borderId="34" xfId="1" applyFont="1" applyFill="1" applyBorder="1"/>
    <xf numFmtId="164" fontId="0" fillId="14" borderId="34" xfId="1" applyFont="1" applyFill="1" applyBorder="1" applyAlignment="1"/>
    <xf numFmtId="0" fontId="3" fillId="0" borderId="32" xfId="0" applyFont="1" applyBorder="1"/>
    <xf numFmtId="0" fontId="0" fillId="0" borderId="3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170" fontId="1" fillId="2" borderId="14" xfId="1" applyNumberFormat="1" applyFont="1" applyFill="1" applyBorder="1"/>
    <xf numFmtId="164" fontId="0" fillId="0" borderId="14" xfId="1" applyFont="1" applyBorder="1"/>
    <xf numFmtId="164" fontId="0" fillId="0" borderId="32" xfId="1" applyFont="1" applyBorder="1"/>
    <xf numFmtId="164" fontId="0" fillId="0" borderId="32" xfId="1" applyFont="1" applyBorder="1" applyAlignment="1"/>
    <xf numFmtId="0" fontId="0" fillId="2" borderId="8" xfId="0" applyFill="1" applyBorder="1" applyAlignment="1">
      <alignment horizontal="center"/>
    </xf>
    <xf numFmtId="164" fontId="29" fillId="18" borderId="0" xfId="1" applyFont="1" applyFill="1" applyBorder="1"/>
    <xf numFmtId="164" fontId="7" fillId="18" borderId="0" xfId="1" applyFont="1" applyFill="1" applyBorder="1"/>
    <xf numFmtId="164" fontId="7" fillId="18" borderId="25" xfId="1" applyFont="1" applyFill="1" applyBorder="1"/>
    <xf numFmtId="0" fontId="3" fillId="14" borderId="27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7" fillId="14" borderId="6" xfId="1" applyNumberFormat="1" applyFont="1" applyFill="1" applyBorder="1" applyAlignment="1">
      <alignment vertical="center"/>
    </xf>
    <xf numFmtId="164" fontId="7" fillId="14" borderId="6" xfId="1" applyFont="1" applyFill="1" applyBorder="1" applyAlignment="1">
      <alignment horizontal="center" vertical="center"/>
    </xf>
    <xf numFmtId="164" fontId="7" fillId="14" borderId="6" xfId="1" applyFont="1" applyFill="1" applyBorder="1" applyAlignment="1">
      <alignment vertical="center"/>
    </xf>
    <xf numFmtId="0" fontId="7" fillId="14" borderId="6" xfId="1" applyNumberFormat="1" applyFont="1" applyFill="1" applyBorder="1" applyAlignment="1">
      <alignment horizontal="center" vertical="center"/>
    </xf>
    <xf numFmtId="170" fontId="1" fillId="14" borderId="6" xfId="1" applyNumberFormat="1" applyFont="1" applyFill="1" applyBorder="1" applyAlignment="1">
      <alignment vertical="center"/>
    </xf>
    <xf numFmtId="164" fontId="0" fillId="14" borderId="6" xfId="1" applyFont="1" applyFill="1" applyBorder="1" applyAlignment="1">
      <alignment vertical="center"/>
    </xf>
    <xf numFmtId="164" fontId="0" fillId="14" borderId="26" xfId="1" applyFont="1" applyFill="1" applyBorder="1" applyAlignment="1">
      <alignment vertical="center"/>
    </xf>
    <xf numFmtId="0" fontId="0" fillId="14" borderId="26" xfId="0" applyFill="1" applyBorder="1" applyAlignment="1">
      <alignment vertical="center"/>
    </xf>
    <xf numFmtId="0" fontId="0" fillId="0" borderId="0" xfId="0" applyAlignment="1">
      <alignment vertical="center"/>
    </xf>
    <xf numFmtId="0" fontId="3" fillId="16" borderId="2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/>
    </xf>
    <xf numFmtId="43" fontId="3" fillId="16" borderId="6" xfId="0" applyNumberFormat="1" applyFont="1" applyFill="1" applyBorder="1" applyAlignment="1">
      <alignment horizontal="center" vertical="center"/>
    </xf>
    <xf numFmtId="0" fontId="0" fillId="4" borderId="32" xfId="0" applyFill="1" applyBorder="1"/>
    <xf numFmtId="0" fontId="0" fillId="4" borderId="25" xfId="0" applyFill="1" applyBorder="1"/>
    <xf numFmtId="0" fontId="0" fillId="4" borderId="16" xfId="0" applyFill="1" applyBorder="1"/>
    <xf numFmtId="0" fontId="3" fillId="16" borderId="32" xfId="0" applyFont="1" applyFill="1" applyBorder="1" applyAlignment="1">
      <alignment horizontal="center"/>
    </xf>
    <xf numFmtId="0" fontId="3" fillId="16" borderId="25" xfId="0" applyFont="1" applyFill="1" applyBorder="1" applyAlignment="1">
      <alignment horizontal="center"/>
    </xf>
    <xf numFmtId="0" fontId="3" fillId="16" borderId="16" xfId="0" applyFont="1" applyFill="1" applyBorder="1" applyAlignment="1">
      <alignment horizontal="center"/>
    </xf>
    <xf numFmtId="164" fontId="0" fillId="16" borderId="26" xfId="1" applyFont="1" applyFill="1" applyBorder="1" applyAlignment="1"/>
    <xf numFmtId="43" fontId="3" fillId="16" borderId="6" xfId="0" applyNumberFormat="1" applyFont="1" applyFill="1" applyBorder="1"/>
    <xf numFmtId="0" fontId="0" fillId="14" borderId="8" xfId="0" applyFill="1" applyBorder="1" applyAlignment="1">
      <alignment horizontal="center"/>
    </xf>
    <xf numFmtId="43" fontId="3" fillId="14" borderId="6" xfId="0" applyNumberFormat="1" applyFont="1" applyFill="1" applyBorder="1"/>
    <xf numFmtId="1" fontId="0" fillId="0" borderId="8" xfId="0" applyNumberFormat="1" applyBorder="1" applyAlignment="1">
      <alignment horizontal="center"/>
    </xf>
    <xf numFmtId="43" fontId="3" fillId="16" borderId="6" xfId="0" applyNumberFormat="1" applyFont="1" applyFill="1" applyBorder="1" applyAlignment="1">
      <alignment vertical="center"/>
    </xf>
    <xf numFmtId="0" fontId="0" fillId="19" borderId="8" xfId="0" applyFill="1" applyBorder="1" applyAlignment="1">
      <alignment horizontal="center"/>
    </xf>
    <xf numFmtId="170" fontId="1" fillId="19" borderId="6" xfId="1" applyNumberFormat="1" applyFont="1" applyFill="1" applyBorder="1"/>
    <xf numFmtId="164" fontId="0" fillId="19" borderId="26" xfId="1" applyFont="1" applyFill="1" applyBorder="1"/>
    <xf numFmtId="164" fontId="0" fillId="19" borderId="6" xfId="1" applyFont="1" applyFill="1" applyBorder="1"/>
    <xf numFmtId="164" fontId="0" fillId="19" borderId="26" xfId="1" applyFont="1" applyFill="1" applyBorder="1" applyAlignment="1"/>
    <xf numFmtId="164" fontId="29" fillId="19" borderId="30" xfId="1" applyFont="1" applyFill="1" applyBorder="1" applyAlignment="1">
      <alignment vertical="center"/>
    </xf>
    <xf numFmtId="170" fontId="1" fillId="19" borderId="8" xfId="1" applyNumberFormat="1" applyFont="1" applyFill="1" applyBorder="1"/>
    <xf numFmtId="0" fontId="0" fillId="2" borderId="8" xfId="1" applyNumberFormat="1" applyFon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43" fontId="3" fillId="14" borderId="6" xfId="0" applyNumberFormat="1" applyFont="1" applyFill="1" applyBorder="1" applyAlignment="1">
      <alignment vertical="center"/>
    </xf>
    <xf numFmtId="9" fontId="31" fillId="0" borderId="6" xfId="0" applyNumberFormat="1" applyFont="1" applyBorder="1" applyAlignment="1">
      <alignment horizontal="center"/>
    </xf>
    <xf numFmtId="170" fontId="31" fillId="0" borderId="6" xfId="1" applyNumberFormat="1" applyFont="1" applyBorder="1"/>
    <xf numFmtId="164" fontId="31" fillId="0" borderId="6" xfId="1" applyFont="1" applyBorder="1"/>
    <xf numFmtId="164" fontId="31" fillId="0" borderId="26" xfId="0" applyNumberFormat="1" applyFont="1" applyBorder="1"/>
    <xf numFmtId="166" fontId="31" fillId="0" borderId="6" xfId="1" applyNumberFormat="1" applyFont="1" applyBorder="1"/>
    <xf numFmtId="164" fontId="31" fillId="0" borderId="26" xfId="1" applyFont="1" applyBorder="1"/>
    <xf numFmtId="164" fontId="2" fillId="0" borderId="6" xfId="1" applyFont="1" applyBorder="1"/>
    <xf numFmtId="164" fontId="2" fillId="0" borderId="26" xfId="1" applyFont="1" applyBorder="1"/>
    <xf numFmtId="164" fontId="2" fillId="0" borderId="26" xfId="1" applyFont="1" applyBorder="1" applyAlignment="1"/>
    <xf numFmtId="164" fontId="32" fillId="2" borderId="30" xfId="1" applyFont="1" applyFill="1" applyBorder="1" applyAlignment="1">
      <alignment vertical="center"/>
    </xf>
    <xf numFmtId="0" fontId="31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1" fillId="0" borderId="26" xfId="0" applyFont="1" applyBorder="1"/>
    <xf numFmtId="43" fontId="0" fillId="0" borderId="8" xfId="0" applyNumberFormat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30" xfId="0" applyFill="1" applyBorder="1"/>
    <xf numFmtId="0" fontId="0" fillId="19" borderId="29" xfId="0" applyFill="1" applyBorder="1"/>
    <xf numFmtId="0" fontId="0" fillId="19" borderId="30" xfId="0" applyFill="1" applyBorder="1" applyAlignment="1">
      <alignment horizontal="center"/>
    </xf>
    <xf numFmtId="0" fontId="0" fillId="19" borderId="18" xfId="0" applyFill="1" applyBorder="1" applyAlignment="1">
      <alignment horizontal="center" vertical="center" wrapText="1"/>
    </xf>
    <xf numFmtId="0" fontId="0" fillId="19" borderId="20" xfId="0" applyFill="1" applyBorder="1" applyAlignment="1">
      <alignment horizontal="center" vertical="center" wrapText="1"/>
    </xf>
    <xf numFmtId="164" fontId="1" fillId="19" borderId="6" xfId="1" applyFont="1" applyFill="1" applyBorder="1"/>
    <xf numFmtId="168" fontId="1" fillId="19" borderId="6" xfId="2" applyFont="1" applyFill="1" applyBorder="1"/>
    <xf numFmtId="0" fontId="0" fillId="19" borderId="31" xfId="0" applyFill="1" applyBorder="1"/>
    <xf numFmtId="0" fontId="0" fillId="19" borderId="0" xfId="0" applyFill="1"/>
    <xf numFmtId="0" fontId="0" fillId="19" borderId="31" xfId="0" applyFill="1" applyBorder="1" applyAlignment="1">
      <alignment horizontal="center"/>
    </xf>
    <xf numFmtId="0" fontId="0" fillId="19" borderId="28" xfId="0" applyFill="1" applyBorder="1" applyAlignment="1">
      <alignment horizontal="center" vertical="center" wrapText="1"/>
    </xf>
    <xf numFmtId="0" fontId="0" fillId="19" borderId="33" xfId="0" applyFill="1" applyBorder="1" applyAlignment="1">
      <alignment horizontal="center" vertical="center" wrapText="1"/>
    </xf>
    <xf numFmtId="0" fontId="0" fillId="19" borderId="32" xfId="0" applyFill="1" applyBorder="1"/>
    <xf numFmtId="0" fontId="0" fillId="19" borderId="25" xfId="0" applyFill="1" applyBorder="1"/>
    <xf numFmtId="0" fontId="0" fillId="19" borderId="32" xfId="0" applyFill="1" applyBorder="1" applyAlignment="1">
      <alignment horizontal="center"/>
    </xf>
    <xf numFmtId="0" fontId="0" fillId="19" borderId="14" xfId="0" applyFill="1" applyBorder="1" applyAlignment="1">
      <alignment horizontal="center" vertical="center" wrapText="1"/>
    </xf>
    <xf numFmtId="0" fontId="0" fillId="19" borderId="16" xfId="0" applyFill="1" applyBorder="1" applyAlignment="1">
      <alignment horizontal="center" vertical="center" wrapText="1"/>
    </xf>
    <xf numFmtId="168" fontId="0" fillId="2" borderId="26" xfId="2" applyFont="1" applyFill="1" applyBorder="1"/>
    <xf numFmtId="164" fontId="3" fillId="14" borderId="6" xfId="1" applyFont="1" applyFill="1" applyBorder="1" applyAlignment="1">
      <alignment horizontal="center" vertical="center"/>
    </xf>
    <xf numFmtId="43" fontId="3" fillId="14" borderId="6" xfId="0" applyNumberFormat="1" applyFont="1" applyFill="1" applyBorder="1" applyAlignment="1">
      <alignment horizontal="center" vertical="center"/>
    </xf>
    <xf numFmtId="164" fontId="0" fillId="2" borderId="6" xfId="0" applyNumberFormat="1" applyFill="1" applyBorder="1"/>
    <xf numFmtId="0" fontId="3" fillId="16" borderId="31" xfId="0" applyFont="1" applyFill="1" applyBorder="1"/>
    <xf numFmtId="0" fontId="0" fillId="16" borderId="0" xfId="0" applyFill="1"/>
    <xf numFmtId="164" fontId="0" fillId="0" borderId="8" xfId="0" applyNumberFormat="1" applyBorder="1" applyAlignment="1">
      <alignment horizontal="center"/>
    </xf>
    <xf numFmtId="43" fontId="33" fillId="16" borderId="6" xfId="0" applyNumberFormat="1" applyFont="1" applyFill="1" applyBorder="1"/>
    <xf numFmtId="164" fontId="1" fillId="2" borderId="26" xfId="1" applyFont="1" applyFill="1" applyBorder="1"/>
    <xf numFmtId="164" fontId="1" fillId="2" borderId="26" xfId="1" applyFont="1" applyFill="1" applyBorder="1" applyAlignment="1"/>
    <xf numFmtId="164" fontId="1" fillId="2" borderId="30" xfId="1" applyFont="1" applyFill="1" applyBorder="1" applyAlignment="1"/>
    <xf numFmtId="166" fontId="0" fillId="2" borderId="8" xfId="1" applyNumberFormat="1" applyFont="1" applyFill="1" applyBorder="1" applyAlignment="1">
      <alignment horizontal="center"/>
    </xf>
    <xf numFmtId="3" fontId="0" fillId="2" borderId="8" xfId="0" applyNumberFormat="1" applyFill="1" applyBorder="1" applyAlignment="1">
      <alignment horizontal="center"/>
    </xf>
    <xf numFmtId="168" fontId="1" fillId="2" borderId="26" xfId="2" applyFont="1" applyFill="1" applyBorder="1"/>
    <xf numFmtId="164" fontId="0" fillId="2" borderId="0" xfId="0" applyNumberFormat="1" applyFill="1"/>
    <xf numFmtId="9" fontId="7" fillId="0" borderId="6" xfId="1" applyNumberFormat="1" applyFont="1" applyBorder="1" applyAlignment="1">
      <alignment horizontal="center"/>
    </xf>
    <xf numFmtId="0" fontId="0" fillId="2" borderId="2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/>
    </xf>
    <xf numFmtId="0" fontId="0" fillId="2" borderId="33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165" fontId="3" fillId="2" borderId="6" xfId="1" applyNumberFormat="1" applyFont="1" applyFill="1" applyBorder="1"/>
    <xf numFmtId="0" fontId="3" fillId="2" borderId="31" xfId="0" quotePrefix="1" applyFont="1" applyFill="1" applyBorder="1"/>
    <xf numFmtId="0" fontId="3" fillId="2" borderId="0" xfId="0" quotePrefix="1" applyFont="1" applyFill="1"/>
    <xf numFmtId="0" fontId="3" fillId="2" borderId="33" xfId="0" quotePrefix="1" applyFont="1" applyFill="1" applyBorder="1"/>
    <xf numFmtId="174" fontId="1" fillId="11" borderId="6" xfId="2" applyNumberFormat="1" applyFont="1" applyFill="1" applyBorder="1"/>
    <xf numFmtId="175" fontId="1" fillId="0" borderId="6" xfId="2" applyNumberFormat="1" applyFont="1" applyBorder="1"/>
    <xf numFmtId="0" fontId="3" fillId="2" borderId="29" xfId="0" quotePrefix="1" applyFont="1" applyFill="1" applyBorder="1"/>
    <xf numFmtId="0" fontId="3" fillId="2" borderId="20" xfId="0" quotePrefix="1" applyFont="1" applyFill="1" applyBorder="1"/>
    <xf numFmtId="173" fontId="0" fillId="2" borderId="8" xfId="0" applyNumberFormat="1" applyFill="1" applyBorder="1" applyAlignment="1">
      <alignment horizontal="center"/>
    </xf>
    <xf numFmtId="170" fontId="1" fillId="2" borderId="0" xfId="1" applyNumberFormat="1" applyFont="1" applyFill="1"/>
    <xf numFmtId="164" fontId="0" fillId="2" borderId="0" xfId="1" applyFont="1" applyFill="1"/>
    <xf numFmtId="43" fontId="3" fillId="2" borderId="0" xfId="0" applyNumberFormat="1" applyFont="1" applyFill="1"/>
  </cellXfs>
  <cellStyles count="6">
    <cellStyle name="Comma" xfId="1" builtinId="3"/>
    <cellStyle name="Comma [0]" xfId="2" builtinId="6"/>
    <cellStyle name="Normal" xfId="0" builtinId="0"/>
    <cellStyle name="Normal_Form Budget 2008 Non Biaya Rev01" xfId="5" xr:uid="{E57A221B-BF61-437D-AAF2-06B2F4F497A0}"/>
    <cellStyle name="Normal_RKP FFD 5 Tahun 2008-2012" xfId="4" xr:uid="{EEBE6ED5-9A53-4ABE-90EE-E3155992269A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RKP%20Satui%20Timur%202025-2028%20(143)-Fix%20Luas%20400,8%20Ha%20(5)%20(2).xlsx" TargetMode="External"/><Relationship Id="rId1" Type="http://schemas.openxmlformats.org/officeDocument/2006/relationships/externalLinkPath" Target="file:///C:\Users\LENOVO\Downloads\RKP%20Satui%20Timur%202025-2028%20(143)-Fix%20Luas%20400,8%20Ha%20(5)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%20REPLANTING\RKP%20PLASMA\Rev%201%20RKP%20REPLANTING%20-%20PUPUK%20PPKS%20-%20-%202025%20-%20(Pak%20Arif)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mi\umum\CH3-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BUDGET\MSOFFICE\EXCEL\MGR-2000\AGST\MGR_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MSOFFICE\EXCEL\AGRONOMY\LAP_SKT\SRH_TRM\2001_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14.58\Agronomi%202014\Data%20kerja\Agronomi%20Staff\Budget\2009\Budget%202009%20OK\PLASMA%201\BUDGET%20KAPIT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2000\Upah%20SKU%20Budget%20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aataaa\hujan\CH3-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an\MY%20DOCUMENTS\DOCUME~1\Aan\LOCALS~1\Temp\Agro%2003%20-%201997\Excel\Manager%20Rep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b-po1\ojeng_folder_share\F\BUDGET%202008\BGT%202008_INTI\BGT%20KPTL%20IT%2024_09_07_KOREKSI\PLANTATION%20OPERATION%20F\PRESENTASI%202006\PRESENTASI%20PROGRESS%202006_MANAGER_DATA_BLANGKO%2020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UDGET%20INTI%20TA%202008\PLANTATION%20OPERATION%20F\PRESENTASI%202006\PRESENTASI%20PROGRESS%202006_MANAGER_DATA_BLANGKO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BGT-2003\pres\MSOFFICE\EXCEL\MGR-2000\AGST\MGR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udget%20P2%202008%20edit%20ok\P2%20Lama\data%20link\TITIPAN\TITIPAN%20TANAMAN\Yitno\DATA%20Utk%20MEETING%20TGL%2007-0-2007\PRESENTASI%20PROGRESS%202006_MANAGER_DATA_BLANGKO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GT_2008_PLASMA%201-REVISI\BUDGET%20KAPIT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e-01\data-off\data-off\budget-03\prabudget\daaataaa\hujan\CH3-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rkebun\C\Documents%20and%20Settings\Ojeng\My%20Documents\DOKUMEN%20DARI%20PKS\CONTOH%20BUDGET%20P%20SYOFNIR\6.%20%20%20BUDGET%20-%202007\Presentasi-Totalitas-Estate-Bgt2007%20as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sma3\c\Documents%20and%20Settings\Ojeng\My%20Documents\DOKUMEN%20DARI%20PKS\CONTOH%20BUDGET%20P%20SYOFNIR\6.%20%20%20BUDGET%20-%202007\Presentasi-Totalitas-Estate-Bgt2007%20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oh Hit LA"/>
      <sheetName val="RKP (2)"/>
      <sheetName val="RKP Print"/>
      <sheetName val="Master Harga"/>
      <sheetName val="SAMPUL"/>
      <sheetName val="Staff"/>
      <sheetName val="Non Tanaman"/>
      <sheetName val="Rekap Non Tanaman"/>
      <sheetName val="Lampiran"/>
      <sheetName val="PN"/>
      <sheetName val="MN"/>
      <sheetName val="LC-RENDAHAN"/>
      <sheetName val="LCC"/>
      <sheetName val="TB"/>
      <sheetName val="TBM1"/>
      <sheetName val="TBM2"/>
      <sheetName val="TBM3"/>
      <sheetName val="Rekapitulasi Biaya-Minreal"/>
      <sheetName val="Rekapitulasi Biaya-rendahan"/>
      <sheetName val="DATA RE PLANTING"/>
      <sheetName val="Instalasi Air"/>
      <sheetName val="Kapita"/>
      <sheetName val="SARANA PRASARAN"/>
      <sheetName val="KECAMBAH"/>
      <sheetName val="SI BBT"/>
      <sheetName val="Ringkasan"/>
      <sheetName val="Analisa"/>
      <sheetName val="RKP"/>
      <sheetName val="Forcast Biaya TM"/>
      <sheetName val="Potensi Prod &amp; Harga TBS"/>
      <sheetName val="Forecast Pendapatan TBS"/>
      <sheetName val="Estimasi Biaya TM"/>
      <sheetName val="REKAP BIAYA"/>
      <sheetName val="By Pra Operasional"/>
      <sheetName val="By Non Tanaman"/>
      <sheetName val="SI TB LC"/>
      <sheetName val="SI TB SERAK"/>
      <sheetName val="SI TB Rev 2"/>
      <sheetName val="LC-MINERAL"/>
      <sheetName val="SI TB"/>
      <sheetName val="S1 TBM 1"/>
      <sheetName val="S1 TBM 2"/>
      <sheetName val="S1 TBM 3"/>
      <sheetName val="SCHEDULE 2025-2026"/>
      <sheetName val="LIST LAMPIRAN"/>
      <sheetName val="PETA"/>
      <sheetName val="SI TB Coretan"/>
      <sheetName val="SI TBM 1"/>
      <sheetName val="SI TBM 2"/>
      <sheetName val="SI TBM 3"/>
      <sheetName val="Sheet5"/>
      <sheetName val="TB-SMM"/>
      <sheetName val="TBM1-SMM"/>
      <sheetName val="TBM2-SMM"/>
      <sheetName val="TBM3-SMM"/>
      <sheetName val="SKEMA LC"/>
      <sheetName val="Sheet1"/>
      <sheetName val="Sheet2"/>
      <sheetName val="SI TBM"/>
    </sheetNames>
    <sheetDataSet>
      <sheetData sheetId="0"/>
      <sheetData sheetId="1"/>
      <sheetData sheetId="2"/>
      <sheetData sheetId="3">
        <row r="5">
          <cell r="E5" t="str">
            <v>SKU Panen</v>
          </cell>
          <cell r="F5" t="str">
            <v>HK</v>
          </cell>
        </row>
        <row r="6">
          <cell r="E6" t="str">
            <v>Upah PHL</v>
          </cell>
          <cell r="F6" t="str">
            <v>HK</v>
          </cell>
          <cell r="G6">
            <v>126080</v>
          </cell>
          <cell r="H6">
            <v>136166.40000000002</v>
          </cell>
          <cell r="I6">
            <v>140008</v>
          </cell>
          <cell r="J6">
            <v>149108.51999999999</v>
          </cell>
          <cell r="K6">
            <v>158800.57379999998</v>
          </cell>
          <cell r="L6">
            <v>169122.61109699999</v>
          </cell>
        </row>
        <row r="7">
          <cell r="E7" t="str">
            <v>Biaya Konsultan</v>
          </cell>
          <cell r="F7" t="str">
            <v>Rp/Ha</v>
          </cell>
        </row>
        <row r="8">
          <cell r="E8" t="str">
            <v>Muat TBS</v>
          </cell>
          <cell r="F8" t="str">
            <v>Kg</v>
          </cell>
        </row>
        <row r="9">
          <cell r="E9" t="str">
            <v>Upah BM Pupuk Intern</v>
          </cell>
          <cell r="F9" t="str">
            <v>Ton</v>
          </cell>
          <cell r="G9">
            <v>16600</v>
          </cell>
          <cell r="H9">
            <v>16600</v>
          </cell>
          <cell r="I9">
            <v>19500</v>
          </cell>
          <cell r="J9">
            <v>20475</v>
          </cell>
          <cell r="K9">
            <v>21498.75</v>
          </cell>
          <cell r="L9">
            <v>22573.6875</v>
          </cell>
        </row>
        <row r="10">
          <cell r="E10" t="str">
            <v>Upah BM Pupuk Ekstern</v>
          </cell>
          <cell r="F10" t="str">
            <v>Ton</v>
          </cell>
          <cell r="G10">
            <v>14000</v>
          </cell>
          <cell r="H10">
            <v>14000</v>
          </cell>
          <cell r="I10">
            <v>32000</v>
          </cell>
          <cell r="J10">
            <v>33600</v>
          </cell>
          <cell r="K10">
            <v>35280</v>
          </cell>
          <cell r="L10">
            <v>37044</v>
          </cell>
        </row>
        <row r="11">
          <cell r="E11" t="str">
            <v>Borongan Pembuatan Parit</v>
          </cell>
          <cell r="F11" t="str">
            <v>HK</v>
          </cell>
          <cell r="G11">
            <v>20000</v>
          </cell>
          <cell r="H11">
            <v>10000</v>
          </cell>
          <cell r="I11">
            <v>10000</v>
          </cell>
          <cell r="J11">
            <v>10500</v>
          </cell>
          <cell r="K11">
            <v>11025</v>
          </cell>
          <cell r="L11">
            <v>11576.25</v>
          </cell>
        </row>
        <row r="12">
          <cell r="E12" t="str">
            <v>Borongan Pancang</v>
          </cell>
          <cell r="F12" t="str">
            <v>HK</v>
          </cell>
          <cell r="G12">
            <v>350000</v>
          </cell>
          <cell r="H12">
            <v>350000</v>
          </cell>
          <cell r="I12">
            <v>350000</v>
          </cell>
          <cell r="J12">
            <v>367500</v>
          </cell>
          <cell r="K12">
            <v>385875</v>
          </cell>
          <cell r="L12">
            <v>405168.75</v>
          </cell>
        </row>
        <row r="13">
          <cell r="E13" t="str">
            <v>Ecer Pupuk</v>
          </cell>
          <cell r="I13">
            <v>19500</v>
          </cell>
          <cell r="J13">
            <v>20475</v>
          </cell>
          <cell r="K13">
            <v>21498.75</v>
          </cell>
          <cell r="L13">
            <v>22573.6875</v>
          </cell>
        </row>
        <row r="14">
          <cell r="E14" t="str">
            <v>Upah Supervisi Panen 3</v>
          </cell>
          <cell r="F14" t="str">
            <v>HK</v>
          </cell>
        </row>
        <row r="15">
          <cell r="E15" t="str">
            <v>Upah Supervisi Panen 4</v>
          </cell>
          <cell r="F15" t="str">
            <v>HK</v>
          </cell>
        </row>
        <row r="16">
          <cell r="E16" t="str">
            <v>Upah Supervisi Perawatan 1</v>
          </cell>
          <cell r="F16" t="str">
            <v>HK</v>
          </cell>
        </row>
        <row r="17">
          <cell r="E17" t="str">
            <v>Upah Supervisi Perawatan 2</v>
          </cell>
          <cell r="F17" t="str">
            <v>HK</v>
          </cell>
        </row>
        <row r="18">
          <cell r="E18" t="str">
            <v>Upah Supervisi Perawatan 3</v>
          </cell>
          <cell r="F18" t="str">
            <v>HK</v>
          </cell>
        </row>
        <row r="19">
          <cell r="E19" t="str">
            <v>Upah Supervisi Perawatan 4</v>
          </cell>
          <cell r="F19" t="str">
            <v>HK</v>
          </cell>
        </row>
        <row r="20">
          <cell r="E20" t="str">
            <v>Lain-lain Spv Perawatan 1</v>
          </cell>
          <cell r="F20" t="str">
            <v>HK</v>
          </cell>
        </row>
        <row r="21">
          <cell r="E21" t="str">
            <v>Lain-lain Spv Perawatan 2</v>
          </cell>
          <cell r="F21" t="str">
            <v>HK</v>
          </cell>
        </row>
        <row r="22">
          <cell r="E22" t="str">
            <v>Lain-lain Spv Perawatan 3</v>
          </cell>
          <cell r="F22" t="str">
            <v>HK</v>
          </cell>
        </row>
        <row r="23">
          <cell r="E23" t="str">
            <v>Alokasi</v>
          </cell>
          <cell r="F23" t="str">
            <v>Unit</v>
          </cell>
        </row>
        <row r="24">
          <cell r="E24" t="str">
            <v>HDPE Culvert 1.5X6 Triplewall 2</v>
          </cell>
          <cell r="F24" t="str">
            <v>Unit</v>
          </cell>
        </row>
        <row r="25">
          <cell r="E25" t="str">
            <v>HDPE Culvert 1.8X6 Triplewall 3</v>
          </cell>
          <cell r="F25" t="str">
            <v>Unit</v>
          </cell>
        </row>
        <row r="26">
          <cell r="E26" t="str">
            <v>HDPE Culvert 2.3X6 Triplewall 4</v>
          </cell>
          <cell r="F26" t="str">
            <v>Unit</v>
          </cell>
        </row>
        <row r="28">
          <cell r="E28" t="str">
            <v>Premi Panen 1</v>
          </cell>
          <cell r="F28" t="str">
            <v>HK</v>
          </cell>
        </row>
        <row r="29">
          <cell r="E29" t="str">
            <v>Premi Panen 2</v>
          </cell>
          <cell r="F29" t="str">
            <v>HK</v>
          </cell>
        </row>
        <row r="30">
          <cell r="E30" t="str">
            <v>Premi Panen 3</v>
          </cell>
          <cell r="F30" t="str">
            <v>HK</v>
          </cell>
        </row>
        <row r="31">
          <cell r="E31" t="str">
            <v>Premi Panen 4</v>
          </cell>
          <cell r="F31" t="str">
            <v>HK</v>
          </cell>
        </row>
        <row r="32">
          <cell r="E32" t="str">
            <v>Premi Extra Fooding</v>
          </cell>
          <cell r="F32" t="str">
            <v>HK</v>
          </cell>
          <cell r="G32">
            <v>5000</v>
          </cell>
          <cell r="H32">
            <v>5000</v>
          </cell>
          <cell r="I32">
            <v>3850</v>
          </cell>
          <cell r="J32">
            <v>4042.5</v>
          </cell>
          <cell r="K32">
            <v>4244.625</v>
          </cell>
          <cell r="L32">
            <v>4456.8562499999998</v>
          </cell>
        </row>
        <row r="33">
          <cell r="E33" t="str">
            <v>Premi Supervisi Panen</v>
          </cell>
          <cell r="F33" t="str">
            <v>HK</v>
          </cell>
        </row>
        <row r="34">
          <cell r="E34" t="str">
            <v>Premi Supervisi Perawatan</v>
          </cell>
          <cell r="F34" t="str">
            <v>HK</v>
          </cell>
        </row>
        <row r="35">
          <cell r="E35" t="str">
            <v>Premi Kerani Panen</v>
          </cell>
          <cell r="F35" t="str">
            <v>HK</v>
          </cell>
        </row>
        <row r="36">
          <cell r="E36" t="str">
            <v>Premi Kerani Perawatan</v>
          </cell>
          <cell r="F36" t="str">
            <v>HK</v>
          </cell>
        </row>
        <row r="37">
          <cell r="E37" t="str">
            <v>Upah PHL Until Pupuk</v>
          </cell>
          <cell r="F37" t="str">
            <v>HK</v>
          </cell>
          <cell r="G37">
            <v>126080</v>
          </cell>
          <cell r="H37">
            <v>136166.40000000002</v>
          </cell>
          <cell r="I37">
            <v>140008</v>
          </cell>
          <cell r="J37">
            <v>149108.51999999999</v>
          </cell>
          <cell r="K37">
            <v>158800.57379999998</v>
          </cell>
          <cell r="L37">
            <v>169122.61109699999</v>
          </cell>
        </row>
        <row r="39">
          <cell r="E39" t="str">
            <v>Alat Sensus</v>
          </cell>
          <cell r="F39" t="str">
            <v>Set</v>
          </cell>
          <cell r="I39">
            <v>30250</v>
          </cell>
          <cell r="J39">
            <v>31762.5</v>
          </cell>
          <cell r="K39">
            <v>33350.625</v>
          </cell>
          <cell r="L39">
            <v>35018.15625</v>
          </cell>
        </row>
        <row r="40">
          <cell r="E40" t="str">
            <v>Anak Pancang</v>
          </cell>
          <cell r="F40" t="str">
            <v>Buah</v>
          </cell>
          <cell r="G40">
            <v>100</v>
          </cell>
          <cell r="H40">
            <v>100</v>
          </cell>
          <cell r="I40">
            <v>100</v>
          </cell>
          <cell r="J40">
            <v>105</v>
          </cell>
          <cell r="K40">
            <v>110.25</v>
          </cell>
          <cell r="L40">
            <v>115.7625</v>
          </cell>
        </row>
        <row r="41">
          <cell r="E41" t="str">
            <v>Angkong</v>
          </cell>
          <cell r="F41" t="str">
            <v>Buah</v>
          </cell>
          <cell r="H41">
            <v>573750</v>
          </cell>
          <cell r="I41">
            <v>537481</v>
          </cell>
          <cell r="J41">
            <v>564355.05000000005</v>
          </cell>
          <cell r="K41">
            <v>592572.80250000011</v>
          </cell>
          <cell r="L41">
            <v>622201.44262500014</v>
          </cell>
        </row>
        <row r="42">
          <cell r="E42" t="str">
            <v>ATK</v>
          </cell>
          <cell r="F42" t="str">
            <v>Set</v>
          </cell>
          <cell r="G42">
            <v>20000</v>
          </cell>
          <cell r="H42">
            <v>20000</v>
          </cell>
          <cell r="I42">
            <v>20000</v>
          </cell>
          <cell r="J42">
            <v>21000</v>
          </cell>
          <cell r="K42">
            <v>22050</v>
          </cell>
          <cell r="L42">
            <v>23152.5</v>
          </cell>
        </row>
        <row r="43">
          <cell r="E43" t="str">
            <v>Baby Bag</v>
          </cell>
          <cell r="F43" t="str">
            <v>Kg</v>
          </cell>
          <cell r="H43">
            <v>22500</v>
          </cell>
          <cell r="I43">
            <v>23523</v>
          </cell>
          <cell r="J43">
            <v>24699.15</v>
          </cell>
          <cell r="K43">
            <v>25934.107500000002</v>
          </cell>
          <cell r="L43">
            <v>27230.812875000003</v>
          </cell>
        </row>
        <row r="44">
          <cell r="E44" t="str">
            <v>Batu Asah</v>
          </cell>
          <cell r="F44" t="str">
            <v>Buah</v>
          </cell>
          <cell r="H44">
            <v>8160</v>
          </cell>
          <cell r="I44">
            <v>7841.25</v>
          </cell>
          <cell r="J44">
            <v>8233.3125</v>
          </cell>
          <cell r="K44">
            <v>8644.9781249999996</v>
          </cell>
          <cell r="L44">
            <v>9077.2270312500004</v>
          </cell>
        </row>
        <row r="45">
          <cell r="E45" t="str">
            <v>Cados</v>
          </cell>
          <cell r="F45" t="str">
            <v>Buah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E46" t="str">
            <v>Cangkul</v>
          </cell>
          <cell r="F46" t="str">
            <v>Buah</v>
          </cell>
          <cell r="H46">
            <v>73950</v>
          </cell>
          <cell r="I46">
            <v>75798.75</v>
          </cell>
          <cell r="J46">
            <v>79588.6875</v>
          </cell>
          <cell r="K46">
            <v>83568.121874999997</v>
          </cell>
          <cell r="L46">
            <v>87746.527968750001</v>
          </cell>
        </row>
        <row r="47">
          <cell r="E47" t="str">
            <v>Cat</v>
          </cell>
          <cell r="F47" t="str">
            <v>Kg</v>
          </cell>
          <cell r="H47">
            <v>63000</v>
          </cell>
          <cell r="I47">
            <v>65790</v>
          </cell>
          <cell r="J47">
            <v>69079.5</v>
          </cell>
          <cell r="K47">
            <v>72533.475000000006</v>
          </cell>
          <cell r="L47">
            <v>76160.148750000008</v>
          </cell>
        </row>
        <row r="48">
          <cell r="E48" t="str">
            <v>Celemek</v>
          </cell>
          <cell r="F48" t="str">
            <v>Buah</v>
          </cell>
          <cell r="G48">
            <v>44300</v>
          </cell>
          <cell r="H48">
            <v>42840</v>
          </cell>
          <cell r="I48">
            <v>42840</v>
          </cell>
          <cell r="J48">
            <v>44982</v>
          </cell>
          <cell r="K48">
            <v>47231.1</v>
          </cell>
          <cell r="L48">
            <v>49592.654999999999</v>
          </cell>
        </row>
        <row r="49">
          <cell r="E49" t="str">
            <v>Dodos 3"</v>
          </cell>
          <cell r="F49" t="str">
            <v>Buah</v>
          </cell>
          <cell r="H49">
            <v>73930</v>
          </cell>
          <cell r="I49">
            <v>66380.89</v>
          </cell>
          <cell r="J49">
            <v>69699.934500000003</v>
          </cell>
          <cell r="K49">
            <v>73184.931225000008</v>
          </cell>
          <cell r="L49">
            <v>76844.177786250017</v>
          </cell>
        </row>
        <row r="50">
          <cell r="E50" t="str">
            <v>Dodos 4"</v>
          </cell>
          <cell r="F50" t="str">
            <v>Buah</v>
          </cell>
          <cell r="H50">
            <v>82620</v>
          </cell>
          <cell r="I50">
            <v>94513.2</v>
          </cell>
          <cell r="J50">
            <v>99238.86</v>
          </cell>
          <cell r="K50">
            <v>104200.803</v>
          </cell>
          <cell r="L50">
            <v>109410.84315</v>
          </cell>
        </row>
        <row r="51">
          <cell r="E51" t="str">
            <v>Dodos 5"</v>
          </cell>
          <cell r="F51" t="str">
            <v>Buah</v>
          </cell>
          <cell r="H51">
            <v>91800</v>
          </cell>
          <cell r="I51">
            <v>107163.75</v>
          </cell>
          <cell r="J51">
            <v>112521.9375</v>
          </cell>
          <cell r="K51">
            <v>118148.034375</v>
          </cell>
          <cell r="L51">
            <v>124055.43609375</v>
          </cell>
        </row>
        <row r="52">
          <cell r="E52" t="str">
            <v>Egrek Set Pool</v>
          </cell>
          <cell r="F52" t="str">
            <v>Set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E53" t="str">
            <v>Egrek Sikles</v>
          </cell>
          <cell r="F53" t="str">
            <v>Buah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E54" t="str">
            <v>Ember</v>
          </cell>
          <cell r="F54" t="str">
            <v>Buah</v>
          </cell>
          <cell r="G54">
            <v>20000</v>
          </cell>
          <cell r="H54">
            <v>20000</v>
          </cell>
          <cell r="I54">
            <v>7675.5</v>
          </cell>
          <cell r="J54">
            <v>8059.2750000000005</v>
          </cell>
          <cell r="K54">
            <v>8462.2387500000004</v>
          </cell>
          <cell r="L54">
            <v>8885.3506875000003</v>
          </cell>
        </row>
        <row r="55">
          <cell r="E55" t="str">
            <v>Galapool</v>
          </cell>
          <cell r="F55" t="str">
            <v>Buah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E56" t="str">
            <v>Gancu</v>
          </cell>
          <cell r="F56" t="str">
            <v>Buah</v>
          </cell>
          <cell r="H56">
            <v>0</v>
          </cell>
          <cell r="I56">
            <v>48195</v>
          </cell>
          <cell r="J56">
            <v>48195</v>
          </cell>
          <cell r="K56">
            <v>48195</v>
          </cell>
          <cell r="L56">
            <v>48195</v>
          </cell>
        </row>
        <row r="57">
          <cell r="E57" t="str">
            <v>Garuk Brondolan</v>
          </cell>
          <cell r="F57" t="str">
            <v>Buah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E58" t="str">
            <v>GPS</v>
          </cell>
          <cell r="F58" t="str">
            <v>Buah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E59" t="str">
            <v>Helm</v>
          </cell>
          <cell r="F59" t="str">
            <v>Buah</v>
          </cell>
          <cell r="G59">
            <v>47250</v>
          </cell>
          <cell r="H59">
            <v>47250</v>
          </cell>
          <cell r="I59">
            <v>47124</v>
          </cell>
          <cell r="J59">
            <v>49480.200000000004</v>
          </cell>
          <cell r="K59">
            <v>51954.210000000006</v>
          </cell>
          <cell r="L59">
            <v>54551.920500000007</v>
          </cell>
        </row>
        <row r="60">
          <cell r="E60" t="str">
            <v>Jas Hujan</v>
          </cell>
          <cell r="F60" t="str">
            <v>Buah</v>
          </cell>
          <cell r="H60">
            <v>0</v>
          </cell>
          <cell r="I60">
            <v>283815</v>
          </cell>
          <cell r="J60">
            <v>298005.75</v>
          </cell>
          <cell r="K60">
            <v>312906.03750000003</v>
          </cell>
          <cell r="L60">
            <v>328551.33937500004</v>
          </cell>
        </row>
        <row r="61">
          <cell r="E61" t="str">
            <v>Kaca Mata</v>
          </cell>
          <cell r="F61" t="str">
            <v>Buah</v>
          </cell>
          <cell r="H61">
            <v>20400</v>
          </cell>
          <cell r="I61">
            <v>37485</v>
          </cell>
          <cell r="J61">
            <v>39359.25</v>
          </cell>
          <cell r="K61">
            <v>41327.212500000001</v>
          </cell>
          <cell r="L61">
            <v>43393.573125000003</v>
          </cell>
        </row>
        <row r="62">
          <cell r="E62" t="str">
            <v>Kapak Panen</v>
          </cell>
          <cell r="F62" t="str">
            <v>Buah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E63" t="str">
            <v>Kompas</v>
          </cell>
          <cell r="F63" t="str">
            <v>Buah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E64" t="str">
            <v>Kuas</v>
          </cell>
          <cell r="F64" t="str">
            <v>Buah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E65" t="str">
            <v>Large Bag</v>
          </cell>
          <cell r="F65" t="str">
            <v>Kg</v>
          </cell>
          <cell r="H65">
            <v>45000</v>
          </cell>
          <cell r="I65">
            <v>22478.25</v>
          </cell>
          <cell r="J65">
            <v>23602.162500000002</v>
          </cell>
          <cell r="K65">
            <v>24782.270625000005</v>
          </cell>
          <cell r="L65">
            <v>26021.384156250006</v>
          </cell>
        </row>
        <row r="66">
          <cell r="E66" t="str">
            <v>Masker Chemical</v>
          </cell>
          <cell r="F66" t="str">
            <v>Buah</v>
          </cell>
          <cell r="H66">
            <v>2040</v>
          </cell>
          <cell r="I66">
            <v>14000</v>
          </cell>
          <cell r="J66">
            <v>14700</v>
          </cell>
          <cell r="K66">
            <v>15435</v>
          </cell>
          <cell r="L66">
            <v>16206.75</v>
          </cell>
        </row>
        <row r="67">
          <cell r="E67" t="str">
            <v>Material Instalasi Air</v>
          </cell>
          <cell r="F67" t="str">
            <v>Set</v>
          </cell>
          <cell r="H67">
            <v>40436631.571428575</v>
          </cell>
          <cell r="I67">
            <v>40436631.571428575</v>
          </cell>
          <cell r="J67">
            <v>42458463.150000006</v>
          </cell>
          <cell r="K67">
            <v>44581386.307500005</v>
          </cell>
          <cell r="L67">
            <v>46810455.622875005</v>
          </cell>
        </row>
        <row r="68">
          <cell r="E68" t="str">
            <v>Material Pondok Hujan</v>
          </cell>
          <cell r="F68" t="str">
            <v>Unit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E69" t="str">
            <v>Meteran</v>
          </cell>
          <cell r="F69" t="str">
            <v>Buah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E70" t="str">
            <v>Micron Herbi (MHS)</v>
          </cell>
          <cell r="F70" t="str">
            <v>Buah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E71" t="str">
            <v>Paku Ulin</v>
          </cell>
          <cell r="F71" t="str">
            <v>Kg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E72" t="str">
            <v>Papan</v>
          </cell>
          <cell r="F72" t="str">
            <v>M3</v>
          </cell>
          <cell r="H72">
            <v>2025000</v>
          </cell>
          <cell r="I72">
            <v>2025000</v>
          </cell>
          <cell r="J72">
            <v>2126250</v>
          </cell>
          <cell r="K72">
            <v>2232562.5</v>
          </cell>
          <cell r="L72">
            <v>2344190.625</v>
          </cell>
        </row>
        <row r="73">
          <cell r="E73" t="str">
            <v>Paranet</v>
          </cell>
          <cell r="F73" t="str">
            <v>Rol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E74" t="str">
            <v>Parang</v>
          </cell>
          <cell r="F74" t="str">
            <v>Buah</v>
          </cell>
          <cell r="H74">
            <v>0</v>
          </cell>
          <cell r="I74">
            <v>120232.5</v>
          </cell>
          <cell r="J74">
            <v>126244.125</v>
          </cell>
          <cell r="K74">
            <v>132556.33125000002</v>
          </cell>
          <cell r="L74">
            <v>139184.14781250001</v>
          </cell>
        </row>
        <row r="75">
          <cell r="E75" t="str">
            <v>Pengki Brondolan</v>
          </cell>
          <cell r="F75" t="str">
            <v>Buah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E76" t="str">
            <v>Sarung Dodos</v>
          </cell>
          <cell r="F76" t="str">
            <v>Buah</v>
          </cell>
          <cell r="H76">
            <v>37434</v>
          </cell>
          <cell r="I76">
            <v>51229.5</v>
          </cell>
          <cell r="J76">
            <v>53790.975000000006</v>
          </cell>
          <cell r="K76">
            <v>56480.523750000008</v>
          </cell>
          <cell r="L76">
            <v>59304.549937500007</v>
          </cell>
        </row>
        <row r="77">
          <cell r="E77" t="str">
            <v>Sarung Egrek</v>
          </cell>
          <cell r="F77" t="str">
            <v>Buah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E78" t="str">
            <v>Sarung Tangan Kain</v>
          </cell>
          <cell r="F78" t="str">
            <v>Buah</v>
          </cell>
          <cell r="H78">
            <v>0</v>
          </cell>
          <cell r="I78">
            <v>2677.5</v>
          </cell>
          <cell r="J78">
            <v>2811.375</v>
          </cell>
          <cell r="K78">
            <v>2951.9437499999999</v>
          </cell>
          <cell r="L78">
            <v>3099.5409374999999</v>
          </cell>
        </row>
        <row r="79">
          <cell r="E79" t="str">
            <v>Sarung Tangan Karet</v>
          </cell>
          <cell r="F79" t="str">
            <v>Buah</v>
          </cell>
          <cell r="H79">
            <v>30600</v>
          </cell>
          <cell r="I79">
            <v>32130</v>
          </cell>
          <cell r="J79">
            <v>33736.5</v>
          </cell>
          <cell r="K79">
            <v>35423.325000000004</v>
          </cell>
          <cell r="L79">
            <v>37194.491250000006</v>
          </cell>
        </row>
        <row r="80">
          <cell r="E80" t="str">
            <v>Sepatu Boots</v>
          </cell>
          <cell r="F80" t="str">
            <v>Buah</v>
          </cell>
          <cell r="H80">
            <v>77520</v>
          </cell>
          <cell r="I80">
            <v>85680</v>
          </cell>
          <cell r="J80">
            <v>89964</v>
          </cell>
          <cell r="K80">
            <v>94462.2</v>
          </cell>
          <cell r="L80">
            <v>99185.31</v>
          </cell>
        </row>
        <row r="81">
          <cell r="E81" t="str">
            <v>Sepatu Safety</v>
          </cell>
          <cell r="F81" t="str">
            <v>Buah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E82" t="str">
            <v>Sprayer (Inter)</v>
          </cell>
          <cell r="F82" t="str">
            <v>Buah</v>
          </cell>
          <cell r="H82">
            <v>1333140</v>
          </cell>
          <cell r="I82">
            <v>1366468.5</v>
          </cell>
          <cell r="J82">
            <v>1434791.925</v>
          </cell>
          <cell r="K82">
            <v>1506531.5212500002</v>
          </cell>
          <cell r="L82">
            <v>1581858.0973125002</v>
          </cell>
        </row>
        <row r="83">
          <cell r="E83" t="str">
            <v>Sprayer (Solo)</v>
          </cell>
          <cell r="F83" t="str">
            <v>Buah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E84" t="str">
            <v>Takaran Pupuk</v>
          </cell>
          <cell r="F84" t="str">
            <v>Buah</v>
          </cell>
          <cell r="G84">
            <v>5000</v>
          </cell>
          <cell r="H84">
            <v>5000</v>
          </cell>
          <cell r="I84">
            <v>5000</v>
          </cell>
          <cell r="J84">
            <v>5250</v>
          </cell>
          <cell r="K84">
            <v>5512.5</v>
          </cell>
          <cell r="L84">
            <v>5788.125</v>
          </cell>
        </row>
        <row r="85">
          <cell r="E85" t="str">
            <v>Tiang Kayu Bibitan</v>
          </cell>
          <cell r="F85" t="str">
            <v>Batang</v>
          </cell>
          <cell r="H85">
            <v>20000</v>
          </cell>
          <cell r="I85">
            <v>30000</v>
          </cell>
          <cell r="J85">
            <v>31500</v>
          </cell>
          <cell r="K85">
            <v>33075</v>
          </cell>
          <cell r="L85">
            <v>34728.75</v>
          </cell>
        </row>
        <row r="86">
          <cell r="E86" t="str">
            <v>Tojok</v>
          </cell>
          <cell r="F86" t="str">
            <v>Buah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E87" t="str">
            <v>Marshal</v>
          </cell>
          <cell r="H87">
            <v>0</v>
          </cell>
          <cell r="I87">
            <v>30844.799999999999</v>
          </cell>
          <cell r="J87">
            <v>32387.040000000001</v>
          </cell>
          <cell r="K87">
            <v>34006.392</v>
          </cell>
          <cell r="L87">
            <v>35026.583760000001</v>
          </cell>
        </row>
        <row r="88">
          <cell r="E88" t="str">
            <v>Ferotrap</v>
          </cell>
          <cell r="F88" t="str">
            <v>Buah</v>
          </cell>
          <cell r="G88">
            <v>50000</v>
          </cell>
          <cell r="H88">
            <v>50000</v>
          </cell>
          <cell r="I88">
            <v>50000</v>
          </cell>
          <cell r="J88">
            <v>52500</v>
          </cell>
          <cell r="K88">
            <v>55125</v>
          </cell>
          <cell r="L88">
            <v>57881.25</v>
          </cell>
        </row>
        <row r="89">
          <cell r="E89" t="str">
            <v>Plastik Hitam</v>
          </cell>
          <cell r="F89" t="str">
            <v>Mtr</v>
          </cell>
          <cell r="H89">
            <v>2332</v>
          </cell>
          <cell r="I89">
            <v>3000</v>
          </cell>
          <cell r="J89">
            <v>3150</v>
          </cell>
          <cell r="K89">
            <v>3307.5</v>
          </cell>
          <cell r="L89">
            <v>3472.875</v>
          </cell>
        </row>
        <row r="90">
          <cell r="E90" t="str">
            <v>Patok Kayu</v>
          </cell>
          <cell r="F90" t="str">
            <v>Btg</v>
          </cell>
          <cell r="H90">
            <v>2120</v>
          </cell>
          <cell r="I90">
            <v>20000</v>
          </cell>
          <cell r="J90">
            <v>21000</v>
          </cell>
          <cell r="K90">
            <v>22050</v>
          </cell>
          <cell r="L90">
            <v>23152.5</v>
          </cell>
        </row>
        <row r="91">
          <cell r="E91" t="str">
            <v>Kawat Duri</v>
          </cell>
          <cell r="F91" t="str">
            <v>Mtr</v>
          </cell>
          <cell r="H91">
            <v>2320</v>
          </cell>
          <cell r="I91">
            <v>158992.5</v>
          </cell>
          <cell r="J91">
            <v>166942.125</v>
          </cell>
          <cell r="K91">
            <v>175289.23125000001</v>
          </cell>
          <cell r="L91">
            <v>184053.69281250003</v>
          </cell>
        </row>
        <row r="92">
          <cell r="E92" t="str">
            <v>Paku 1"</v>
          </cell>
          <cell r="F92" t="str">
            <v>Kg</v>
          </cell>
          <cell r="H92">
            <v>11000</v>
          </cell>
          <cell r="I92">
            <v>18092.25</v>
          </cell>
          <cell r="J92">
            <v>18996.862499999999</v>
          </cell>
          <cell r="K92">
            <v>19946.705624999999</v>
          </cell>
          <cell r="L92">
            <v>20944.04090625</v>
          </cell>
        </row>
        <row r="93">
          <cell r="E93" t="str">
            <v>Paku 2.5"</v>
          </cell>
          <cell r="F93" t="str">
            <v>Kg</v>
          </cell>
          <cell r="H93">
            <v>11000</v>
          </cell>
          <cell r="I93">
            <v>16447.5</v>
          </cell>
          <cell r="J93">
            <v>17269.875</v>
          </cell>
          <cell r="K93">
            <v>18133.368750000001</v>
          </cell>
          <cell r="L93">
            <v>19040.037187500002</v>
          </cell>
        </row>
        <row r="94">
          <cell r="E94" t="str">
            <v>Paranet</v>
          </cell>
          <cell r="F94" t="str">
            <v>Rol</v>
          </cell>
          <cell r="H94">
            <v>850000</v>
          </cell>
          <cell r="I94">
            <v>1130270.29</v>
          </cell>
          <cell r="J94">
            <v>1157837.8581000001</v>
          </cell>
          <cell r="K94">
            <v>1186077.523459059</v>
          </cell>
          <cell r="L94">
            <v>1215005.9542562254</v>
          </cell>
        </row>
        <row r="98">
          <cell r="E98" t="str">
            <v>Glyphosate</v>
          </cell>
          <cell r="F98" t="str">
            <v>Liter</v>
          </cell>
          <cell r="G98">
            <v>32000</v>
          </cell>
          <cell r="H98">
            <v>77112</v>
          </cell>
          <cell r="I98">
            <v>36352.800000000003</v>
          </cell>
          <cell r="J98">
            <v>35343</v>
          </cell>
          <cell r="K98">
            <v>37110.15</v>
          </cell>
          <cell r="L98">
            <v>38223.4545</v>
          </cell>
        </row>
        <row r="99">
          <cell r="E99" t="str">
            <v>Metil Metsulfuron</v>
          </cell>
          <cell r="F99" t="str">
            <v>Kg</v>
          </cell>
          <cell r="G99">
            <v>145000</v>
          </cell>
          <cell r="H99">
            <v>107100</v>
          </cell>
          <cell r="I99">
            <v>99144</v>
          </cell>
          <cell r="J99">
            <v>96390</v>
          </cell>
          <cell r="K99">
            <v>101209.5</v>
          </cell>
          <cell r="L99">
            <v>104245.785</v>
          </cell>
        </row>
        <row r="100">
          <cell r="E100" t="str">
            <v>Perekat</v>
          </cell>
          <cell r="F100" t="str">
            <v>Liter</v>
          </cell>
          <cell r="G100">
            <v>65000</v>
          </cell>
          <cell r="H100">
            <v>70311.149999999994</v>
          </cell>
          <cell r="I100">
            <v>46267.199999999997</v>
          </cell>
          <cell r="J100">
            <v>44982</v>
          </cell>
          <cell r="K100">
            <v>47231.1</v>
          </cell>
          <cell r="L100">
            <v>48648.033000000003</v>
          </cell>
        </row>
        <row r="101">
          <cell r="E101" t="str">
            <v>Parakuat</v>
          </cell>
          <cell r="F101" t="str">
            <v>Liter</v>
          </cell>
          <cell r="G101">
            <v>40500</v>
          </cell>
          <cell r="H101">
            <v>48730.5</v>
          </cell>
          <cell r="I101">
            <v>29192.400000000001</v>
          </cell>
          <cell r="J101">
            <v>28381.5</v>
          </cell>
          <cell r="K101">
            <v>29800.575000000001</v>
          </cell>
          <cell r="L101">
            <v>30694.592250000002</v>
          </cell>
        </row>
        <row r="102">
          <cell r="E102" t="str">
            <v>Triclophir</v>
          </cell>
          <cell r="F102" t="str">
            <v>Liter</v>
          </cell>
          <cell r="G102">
            <v>165000</v>
          </cell>
          <cell r="H102">
            <v>174573</v>
          </cell>
          <cell r="I102">
            <v>194983.2</v>
          </cell>
          <cell r="J102">
            <v>189567</v>
          </cell>
          <cell r="K102">
            <v>199045.35</v>
          </cell>
          <cell r="L102">
            <v>205016.71050000002</v>
          </cell>
        </row>
        <row r="103">
          <cell r="E103" t="str">
            <v>Rodentisida</v>
          </cell>
          <cell r="F103" t="str">
            <v>Kg</v>
          </cell>
          <cell r="G103">
            <v>29500</v>
          </cell>
          <cell r="H103">
            <v>29988</v>
          </cell>
          <cell r="I103">
            <v>35251.199999999997</v>
          </cell>
          <cell r="J103">
            <v>34272</v>
          </cell>
          <cell r="K103">
            <v>35985.599999999999</v>
          </cell>
          <cell r="L103">
            <v>37065.167999999998</v>
          </cell>
        </row>
        <row r="104">
          <cell r="E104" t="str">
            <v>Decis</v>
          </cell>
          <cell r="F104" t="str">
            <v>Liter</v>
          </cell>
          <cell r="G104">
            <v>175000</v>
          </cell>
          <cell r="H104">
            <v>187425</v>
          </cell>
          <cell r="I104">
            <v>107100</v>
          </cell>
          <cell r="J104">
            <v>112455</v>
          </cell>
          <cell r="K104">
            <v>118077.75</v>
          </cell>
          <cell r="L104">
            <v>121620.0825</v>
          </cell>
        </row>
        <row r="105">
          <cell r="E105" t="str">
            <v>Becano</v>
          </cell>
          <cell r="F105" t="str">
            <v>Liter</v>
          </cell>
          <cell r="G105">
            <v>1467000</v>
          </cell>
          <cell r="H105">
            <v>1606500</v>
          </cell>
          <cell r="I105">
            <v>1652400</v>
          </cell>
          <cell r="J105">
            <v>1606500</v>
          </cell>
          <cell r="K105">
            <v>1686825</v>
          </cell>
          <cell r="L105">
            <v>1771166.25</v>
          </cell>
        </row>
        <row r="106">
          <cell r="E106" t="str">
            <v>Furadan</v>
          </cell>
          <cell r="F106" t="str">
            <v>Kg</v>
          </cell>
          <cell r="G106">
            <v>15250</v>
          </cell>
          <cell r="H106">
            <v>16012.5</v>
          </cell>
          <cell r="I106">
            <v>21398.58</v>
          </cell>
          <cell r="J106">
            <v>20804.174999999999</v>
          </cell>
          <cell r="K106">
            <v>21844.383750000001</v>
          </cell>
          <cell r="L106">
            <v>22936.602937500003</v>
          </cell>
        </row>
        <row r="107">
          <cell r="E107" t="str">
            <v>Marfu</v>
          </cell>
          <cell r="F107" t="str">
            <v>Liter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E108" t="str">
            <v>Asefat</v>
          </cell>
          <cell r="F108" t="str">
            <v>Kg</v>
          </cell>
          <cell r="G108">
            <v>209000</v>
          </cell>
          <cell r="H108">
            <v>219450</v>
          </cell>
          <cell r="I108">
            <v>140619.24</v>
          </cell>
          <cell r="J108">
            <v>136713.15</v>
          </cell>
          <cell r="K108">
            <v>143548.8075</v>
          </cell>
          <cell r="L108">
            <v>147855.271725</v>
          </cell>
        </row>
        <row r="109">
          <cell r="E109" t="str">
            <v>Dithane</v>
          </cell>
          <cell r="F109" t="str">
            <v>Ltr</v>
          </cell>
          <cell r="H109">
            <v>150000</v>
          </cell>
          <cell r="I109">
            <v>92000</v>
          </cell>
          <cell r="J109">
            <v>96600</v>
          </cell>
          <cell r="K109">
            <v>101430</v>
          </cell>
          <cell r="L109">
            <v>104472.90000000001</v>
          </cell>
        </row>
        <row r="110">
          <cell r="E110" t="str">
            <v>Sevin</v>
          </cell>
          <cell r="F110" t="str">
            <v>Liter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E111" t="str">
            <v>Pheromone</v>
          </cell>
          <cell r="F111" t="str">
            <v>Sct</v>
          </cell>
          <cell r="G111">
            <v>78100</v>
          </cell>
          <cell r="H111">
            <v>83538</v>
          </cell>
          <cell r="I111">
            <v>73807.199999999997</v>
          </cell>
          <cell r="J111">
            <v>77497.56</v>
          </cell>
          <cell r="K111">
            <v>81372.437999999995</v>
          </cell>
          <cell r="L111">
            <v>83813.611139999994</v>
          </cell>
        </row>
        <row r="112">
          <cell r="E112" t="str">
            <v>Cypermethrin</v>
          </cell>
          <cell r="F112" t="str">
            <v>Liter</v>
          </cell>
          <cell r="H112">
            <v>0</v>
          </cell>
          <cell r="I112">
            <v>55024.92</v>
          </cell>
          <cell r="J112">
            <v>53496.45</v>
          </cell>
          <cell r="K112">
            <v>56171.272499999999</v>
          </cell>
          <cell r="L112">
            <v>57856.410674999999</v>
          </cell>
        </row>
        <row r="113">
          <cell r="E113" t="str">
            <v>Bayleton</v>
          </cell>
          <cell r="F113" t="str">
            <v>Liter</v>
          </cell>
          <cell r="H113">
            <v>0</v>
          </cell>
          <cell r="J113">
            <v>148601.25</v>
          </cell>
          <cell r="K113">
            <v>156031.3125</v>
          </cell>
          <cell r="L113">
            <v>160712.25187500002</v>
          </cell>
        </row>
        <row r="114">
          <cell r="E114" t="str">
            <v>Omite</v>
          </cell>
          <cell r="F114" t="str">
            <v>Liter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E115" t="str">
            <v>Kapur Barus</v>
          </cell>
          <cell r="F115" t="str">
            <v>Pak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E116" t="str">
            <v>Deltametrin</v>
          </cell>
          <cell r="F116" t="str">
            <v>Liter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E117" t="str">
            <v>Harad</v>
          </cell>
          <cell r="F117" t="str">
            <v>Kg</v>
          </cell>
          <cell r="H117">
            <v>150000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E118" t="str">
            <v>Antracol</v>
          </cell>
          <cell r="F118" t="str">
            <v>Liter</v>
          </cell>
          <cell r="H118">
            <v>108000</v>
          </cell>
          <cell r="I118">
            <v>150000</v>
          </cell>
          <cell r="J118">
            <v>157500</v>
          </cell>
          <cell r="K118">
            <v>165375</v>
          </cell>
          <cell r="L118">
            <v>170336.25</v>
          </cell>
        </row>
        <row r="119">
          <cell r="E119" t="str">
            <v>Trichoderma</v>
          </cell>
          <cell r="F119" t="str">
            <v>Kg</v>
          </cell>
          <cell r="H119">
            <v>11245.5</v>
          </cell>
          <cell r="I119">
            <v>135000</v>
          </cell>
          <cell r="J119">
            <v>141750</v>
          </cell>
          <cell r="K119">
            <v>148837.5</v>
          </cell>
          <cell r="L119">
            <v>153302.625</v>
          </cell>
        </row>
        <row r="120">
          <cell r="E120" t="str">
            <v>Metharizium</v>
          </cell>
          <cell r="F120" t="str">
            <v>Kg</v>
          </cell>
          <cell r="H120">
            <v>50000</v>
          </cell>
          <cell r="I120">
            <v>24786</v>
          </cell>
          <cell r="J120">
            <v>24097.5</v>
          </cell>
          <cell r="K120">
            <v>25302.375</v>
          </cell>
          <cell r="L120">
            <v>26061.446250000001</v>
          </cell>
        </row>
        <row r="121">
          <cell r="E121" t="str">
            <v>Kuproxite</v>
          </cell>
          <cell r="F121" t="str">
            <v>Kg</v>
          </cell>
          <cell r="I121">
            <v>67000</v>
          </cell>
          <cell r="J121">
            <v>70350</v>
          </cell>
          <cell r="K121">
            <v>73867.5</v>
          </cell>
          <cell r="L121">
            <v>76083.525000000009</v>
          </cell>
        </row>
        <row r="123">
          <cell r="E123" t="str">
            <v>Urea</v>
          </cell>
          <cell r="F123" t="str">
            <v>Kg</v>
          </cell>
          <cell r="H123">
            <v>6600</v>
          </cell>
          <cell r="I123">
            <v>5820</v>
          </cell>
          <cell r="J123">
            <v>5820</v>
          </cell>
          <cell r="K123">
            <v>6111</v>
          </cell>
          <cell r="L123">
            <v>6294.33</v>
          </cell>
        </row>
        <row r="124">
          <cell r="E124" t="str">
            <v>Rock Phosphate</v>
          </cell>
          <cell r="F124" t="str">
            <v>Kg</v>
          </cell>
          <cell r="H124">
            <v>1417.5</v>
          </cell>
          <cell r="I124">
            <v>2300</v>
          </cell>
          <cell r="J124">
            <v>2300</v>
          </cell>
          <cell r="K124">
            <v>2415</v>
          </cell>
          <cell r="L124">
            <v>2487.4500000000003</v>
          </cell>
        </row>
        <row r="125">
          <cell r="E125" t="str">
            <v>MOP</v>
          </cell>
          <cell r="F125" t="str">
            <v>Kg</v>
          </cell>
        </row>
        <row r="126">
          <cell r="E126" t="str">
            <v>Kieserite</v>
          </cell>
          <cell r="F126" t="str">
            <v>Kg</v>
          </cell>
          <cell r="H126">
            <v>0</v>
          </cell>
          <cell r="I126">
            <v>3328.6680000000001</v>
          </cell>
          <cell r="J126">
            <v>3495.1014000000005</v>
          </cell>
          <cell r="K126">
            <v>3669.8564700000006</v>
          </cell>
          <cell r="L126">
            <v>3779.9521641000006</v>
          </cell>
        </row>
        <row r="127">
          <cell r="E127" t="str">
            <v>Hayati</v>
          </cell>
          <cell r="F127" t="str">
            <v>Kg</v>
          </cell>
          <cell r="I127">
            <v>5354.5</v>
          </cell>
          <cell r="J127">
            <v>5040</v>
          </cell>
          <cell r="K127">
            <v>5292</v>
          </cell>
          <cell r="L127">
            <v>5450.76</v>
          </cell>
        </row>
        <row r="128">
          <cell r="E128" t="str">
            <v>Organik</v>
          </cell>
          <cell r="F128" t="str">
            <v>Kg</v>
          </cell>
          <cell r="L128">
            <v>0</v>
          </cell>
        </row>
        <row r="129">
          <cell r="E129" t="str">
            <v>NPK 17.8.19+1.5TE</v>
          </cell>
          <cell r="F129" t="str">
            <v>Kg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E130" t="str">
            <v>NPK 12-12-17-2+TE</v>
          </cell>
          <cell r="F130" t="str">
            <v>Kg</v>
          </cell>
          <cell r="H130">
            <v>8250</v>
          </cell>
          <cell r="I130">
            <v>6152.5</v>
          </cell>
          <cell r="J130">
            <v>6460.125</v>
          </cell>
          <cell r="K130">
            <v>6783.1312500000004</v>
          </cell>
          <cell r="L130">
            <v>6986.6251875000007</v>
          </cell>
        </row>
        <row r="131">
          <cell r="E131" t="str">
            <v>NPK 13-6-27-4+0.65B</v>
          </cell>
          <cell r="F131" t="str">
            <v>Kg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E132" t="str">
            <v>NPK 15-15-6-4+TE</v>
          </cell>
          <cell r="F132" t="str">
            <v>Kg</v>
          </cell>
          <cell r="H132">
            <v>8000</v>
          </cell>
          <cell r="I132">
            <v>5955.94</v>
          </cell>
          <cell r="J132">
            <v>6253.7370000000001</v>
          </cell>
          <cell r="K132">
            <v>6566.4238500000001</v>
          </cell>
          <cell r="L132">
            <v>6763.4165655000006</v>
          </cell>
        </row>
        <row r="133">
          <cell r="E133" t="str">
            <v>CRF</v>
          </cell>
          <cell r="F133" t="str">
            <v>Kg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E134" t="str">
            <v>Bayfolan</v>
          </cell>
          <cell r="F134" t="str">
            <v>Liter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E135" t="str">
            <v>Mikoriza</v>
          </cell>
          <cell r="F135" t="str">
            <v>Kg</v>
          </cell>
          <cell r="H135">
            <v>0</v>
          </cell>
          <cell r="I135">
            <v>42220</v>
          </cell>
          <cell r="J135">
            <v>44331</v>
          </cell>
          <cell r="K135">
            <v>46547.55</v>
          </cell>
          <cell r="L135">
            <v>47943.976500000004</v>
          </cell>
        </row>
        <row r="136">
          <cell r="E136" t="str">
            <v>Borate</v>
          </cell>
          <cell r="F136" t="str">
            <v>Kg</v>
          </cell>
          <cell r="H136">
            <v>0</v>
          </cell>
          <cell r="I136">
            <v>11120</v>
          </cell>
          <cell r="J136">
            <v>11120</v>
          </cell>
          <cell r="K136">
            <v>11676</v>
          </cell>
          <cell r="L136">
            <v>12026.28</v>
          </cell>
        </row>
        <row r="137">
          <cell r="E137" t="str">
            <v>Zincopper</v>
          </cell>
          <cell r="F137" t="str">
            <v>Kg</v>
          </cell>
          <cell r="H137">
            <v>0</v>
          </cell>
          <cell r="I137">
            <v>29320</v>
          </cell>
          <cell r="J137">
            <v>30786</v>
          </cell>
          <cell r="K137">
            <v>32325.300000000003</v>
          </cell>
          <cell r="L137">
            <v>33295.059000000001</v>
          </cell>
        </row>
        <row r="138">
          <cell r="E138" t="str">
            <v>Dolomite</v>
          </cell>
          <cell r="F138" t="str">
            <v>Kg</v>
          </cell>
          <cell r="H138">
            <v>819</v>
          </cell>
          <cell r="I138">
            <v>870</v>
          </cell>
          <cell r="J138">
            <v>870</v>
          </cell>
          <cell r="K138">
            <v>913.5</v>
          </cell>
          <cell r="L138">
            <v>940.90499999999997</v>
          </cell>
        </row>
        <row r="139">
          <cell r="E139" t="str">
            <v>NPK BRIKET 15-15-6-4</v>
          </cell>
          <cell r="F139" t="str">
            <v>Kg</v>
          </cell>
          <cell r="H139">
            <v>7317</v>
          </cell>
          <cell r="I139">
            <v>5955.94</v>
          </cell>
          <cell r="J139">
            <v>6253.7370000000001</v>
          </cell>
          <cell r="K139">
            <v>6566.4238500000001</v>
          </cell>
          <cell r="L139">
            <v>6763.4165655000006</v>
          </cell>
        </row>
        <row r="140">
          <cell r="E140" t="str">
            <v>NPK TABLET 15-15-15-1-3+TE</v>
          </cell>
          <cell r="F140" t="str">
            <v>Kg</v>
          </cell>
          <cell r="H140">
            <v>16452</v>
          </cell>
          <cell r="I140">
            <v>27310</v>
          </cell>
          <cell r="J140">
            <v>28675.5</v>
          </cell>
          <cell r="K140">
            <v>30109.275000000001</v>
          </cell>
          <cell r="L140">
            <v>31012.553250000001</v>
          </cell>
        </row>
        <row r="141">
          <cell r="E141" t="str">
            <v>EMCOT</v>
          </cell>
          <cell r="F141" t="str">
            <v>Kg</v>
          </cell>
          <cell r="H141">
            <v>44000</v>
          </cell>
          <cell r="I141">
            <v>44000</v>
          </cell>
          <cell r="J141">
            <v>46200</v>
          </cell>
          <cell r="K141">
            <v>48510</v>
          </cell>
          <cell r="L141">
            <v>49965.3</v>
          </cell>
        </row>
        <row r="143">
          <cell r="E143" t="str">
            <v>Titi Panen 1</v>
          </cell>
          <cell r="F143" t="str">
            <v>Buah</v>
          </cell>
          <cell r="I143">
            <v>300000</v>
          </cell>
          <cell r="J143">
            <v>330000</v>
          </cell>
          <cell r="K143">
            <v>363000.00000000006</v>
          </cell>
          <cell r="L143">
            <v>399300.00000000012</v>
          </cell>
        </row>
        <row r="144">
          <cell r="E144" t="str">
            <v>Titi Panen 2</v>
          </cell>
          <cell r="F144" t="str">
            <v>Buah</v>
          </cell>
          <cell r="I144">
            <v>450000</v>
          </cell>
          <cell r="J144">
            <v>495000.00000000006</v>
          </cell>
          <cell r="K144">
            <v>544500.00000000012</v>
          </cell>
          <cell r="L144">
            <v>598950.00000000023</v>
          </cell>
        </row>
        <row r="145">
          <cell r="E145" t="str">
            <v>Titi Panen 3</v>
          </cell>
          <cell r="F145" t="str">
            <v>Buah</v>
          </cell>
        </row>
        <row r="146">
          <cell r="E146" t="str">
            <v>Titi Panen 4</v>
          </cell>
          <cell r="F146" t="str">
            <v>Buah</v>
          </cell>
        </row>
        <row r="147">
          <cell r="E147" t="str">
            <v>Titi Panen 5</v>
          </cell>
          <cell r="F147" t="str">
            <v>Buah</v>
          </cell>
        </row>
        <row r="148">
          <cell r="E148" t="str">
            <v>Titi Panen 6</v>
          </cell>
          <cell r="F148" t="str">
            <v>Buah</v>
          </cell>
        </row>
        <row r="149">
          <cell r="E149" t="str">
            <v>Titi Pasar Rintis 1</v>
          </cell>
          <cell r="F149" t="str">
            <v>Buah</v>
          </cell>
          <cell r="H149">
            <v>450000</v>
          </cell>
          <cell r="I149">
            <v>450000</v>
          </cell>
          <cell r="J149">
            <v>495000.00000000006</v>
          </cell>
          <cell r="K149">
            <v>544500.00000000012</v>
          </cell>
          <cell r="L149">
            <v>598950.00000000023</v>
          </cell>
        </row>
        <row r="150">
          <cell r="E150" t="str">
            <v>Titi Pasar Rintis 2</v>
          </cell>
          <cell r="F150" t="str">
            <v>Buah</v>
          </cell>
        </row>
        <row r="151">
          <cell r="E151" t="str">
            <v>Titi Pasar Rintis 3</v>
          </cell>
          <cell r="F151" t="str">
            <v>Buah</v>
          </cell>
        </row>
        <row r="152">
          <cell r="E152" t="str">
            <v>Titi Pasar Rintis 4</v>
          </cell>
          <cell r="F152" t="str">
            <v>Buah</v>
          </cell>
        </row>
        <row r="153">
          <cell r="E153" t="str">
            <v>Titi Pasar Rintis 5</v>
          </cell>
          <cell r="F153" t="str">
            <v>Buah</v>
          </cell>
        </row>
        <row r="155">
          <cell r="E155" t="str">
            <v>HDPE Culvert 1.0X6 Triplewall</v>
          </cell>
          <cell r="F155" t="str">
            <v>Unit</v>
          </cell>
          <cell r="I155">
            <v>14802750</v>
          </cell>
          <cell r="J155">
            <v>15147000</v>
          </cell>
          <cell r="K155">
            <v>15499167.75</v>
          </cell>
          <cell r="L155">
            <v>15859523.4001875</v>
          </cell>
        </row>
        <row r="156">
          <cell r="E156" t="str">
            <v>HDPE Culvert 1.5X6 Triplewall</v>
          </cell>
          <cell r="F156" t="str">
            <v>Unit</v>
          </cell>
          <cell r="H156">
            <v>69564000</v>
          </cell>
          <cell r="I156">
            <v>49342500</v>
          </cell>
          <cell r="J156">
            <v>50490000</v>
          </cell>
          <cell r="K156">
            <v>51663892.5</v>
          </cell>
          <cell r="L156">
            <v>52865078.000624999</v>
          </cell>
        </row>
        <row r="157">
          <cell r="E157" t="str">
            <v>HDPE Culvert 1.8X6 Triplewall</v>
          </cell>
          <cell r="F157" t="str">
            <v>Unit</v>
          </cell>
          <cell r="H157">
            <v>100609740</v>
          </cell>
          <cell r="I157">
            <v>78948000</v>
          </cell>
          <cell r="J157">
            <v>80784000</v>
          </cell>
          <cell r="K157">
            <v>82662228</v>
          </cell>
          <cell r="L157">
            <v>84584124.800999999</v>
          </cell>
        </row>
        <row r="158">
          <cell r="E158" t="str">
            <v>HDPE Culvert 2.3X6 Triplewall</v>
          </cell>
          <cell r="F158" t="str">
            <v>Unit</v>
          </cell>
          <cell r="H158">
            <v>129858036</v>
          </cell>
          <cell r="I158">
            <v>101974500</v>
          </cell>
          <cell r="J158">
            <v>104346000</v>
          </cell>
          <cell r="K158">
            <v>106772044.5</v>
          </cell>
          <cell r="L158">
            <v>109254494.53462499</v>
          </cell>
        </row>
        <row r="159">
          <cell r="E159" t="str">
            <v>Bahan Jembatan Permanen 1</v>
          </cell>
          <cell r="F159" t="str">
            <v>Unit</v>
          </cell>
          <cell r="I159">
            <v>60500000</v>
          </cell>
          <cell r="J159">
            <v>62315000</v>
          </cell>
          <cell r="K159">
            <v>64184450</v>
          </cell>
          <cell r="L159">
            <v>66109983.5</v>
          </cell>
        </row>
        <row r="160">
          <cell r="E160" t="str">
            <v>Bahan Jembatan Permanen 2</v>
          </cell>
          <cell r="F160" t="str">
            <v>Unit</v>
          </cell>
          <cell r="I160">
            <v>72600000</v>
          </cell>
          <cell r="J160">
            <v>74778000</v>
          </cell>
          <cell r="K160">
            <v>77021340</v>
          </cell>
          <cell r="L160">
            <v>79331980.200000003</v>
          </cell>
        </row>
        <row r="161">
          <cell r="E161" t="str">
            <v>Bahan Jembatan Permanen 3</v>
          </cell>
          <cell r="F161" t="str">
            <v>Unit</v>
          </cell>
          <cell r="I161">
            <v>0</v>
          </cell>
        </row>
        <row r="162">
          <cell r="E162" t="str">
            <v>Bahan Jembatan Semi Permanen 1</v>
          </cell>
          <cell r="F162" t="str">
            <v>Unit</v>
          </cell>
          <cell r="I162">
            <v>145200000</v>
          </cell>
          <cell r="J162">
            <v>152460000</v>
          </cell>
          <cell r="K162">
            <v>160083000</v>
          </cell>
          <cell r="L162">
            <v>168087150</v>
          </cell>
        </row>
        <row r="163">
          <cell r="E163" t="str">
            <v>Bahan Jembatan Semi Permanen 2</v>
          </cell>
          <cell r="F163" t="str">
            <v>Unit</v>
          </cell>
          <cell r="I163">
            <v>412500000</v>
          </cell>
          <cell r="J163">
            <v>433125000</v>
          </cell>
          <cell r="K163">
            <v>454781250</v>
          </cell>
          <cell r="L163">
            <v>477520312.5</v>
          </cell>
        </row>
        <row r="164">
          <cell r="E164" t="str">
            <v>Bahan Jembatan Semi Permanen 3</v>
          </cell>
          <cell r="F164" t="str">
            <v>Unit</v>
          </cell>
        </row>
        <row r="165">
          <cell r="E165" t="str">
            <v>Bahan Jembatan Ulin Bulat</v>
          </cell>
          <cell r="F165" t="str">
            <v>Unit</v>
          </cell>
        </row>
        <row r="166">
          <cell r="E166" t="str">
            <v>Gorong-Gorong 40 Cm</v>
          </cell>
          <cell r="F166" t="str">
            <v>Unit</v>
          </cell>
          <cell r="I166">
            <v>400000</v>
          </cell>
          <cell r="J166">
            <v>420000</v>
          </cell>
          <cell r="K166">
            <v>441000</v>
          </cell>
          <cell r="L166">
            <v>463050</v>
          </cell>
        </row>
        <row r="167">
          <cell r="E167" t="str">
            <v>Gorong-Gorong 60 Cm</v>
          </cell>
          <cell r="F167" t="str">
            <v>Unit</v>
          </cell>
          <cell r="I167">
            <v>550000</v>
          </cell>
          <cell r="J167">
            <v>577500</v>
          </cell>
          <cell r="K167">
            <v>606375</v>
          </cell>
          <cell r="L167">
            <v>636693.75</v>
          </cell>
        </row>
        <row r="168">
          <cell r="E168" t="str">
            <v>Gorong-Gorong 80 Cm</v>
          </cell>
          <cell r="F168" t="str">
            <v>Unit</v>
          </cell>
          <cell r="H168">
            <v>650000</v>
          </cell>
          <cell r="I168">
            <v>650000</v>
          </cell>
          <cell r="J168">
            <v>682500</v>
          </cell>
          <cell r="K168">
            <v>716625</v>
          </cell>
          <cell r="L168">
            <v>752456.25</v>
          </cell>
        </row>
        <row r="169">
          <cell r="E169" t="str">
            <v>Gorong-Gorong 100 Cm</v>
          </cell>
          <cell r="F169" t="str">
            <v>Unit</v>
          </cell>
          <cell r="I169">
            <v>0</v>
          </cell>
        </row>
        <row r="170">
          <cell r="E170" t="str">
            <v>Material Pintu Air 1</v>
          </cell>
          <cell r="F170" t="str">
            <v>Unit</v>
          </cell>
          <cell r="I170">
            <v>94357242</v>
          </cell>
          <cell r="J170">
            <v>76126520</v>
          </cell>
          <cell r="K170">
            <v>79932846</v>
          </cell>
          <cell r="L170">
            <v>83929488.299999997</v>
          </cell>
        </row>
        <row r="171">
          <cell r="E171" t="str">
            <v>Material Pintu Air 2</v>
          </cell>
          <cell r="F171" t="str">
            <v>Unit</v>
          </cell>
        </row>
        <row r="172">
          <cell r="E172" t="str">
            <v>Material Pintu Air 3</v>
          </cell>
          <cell r="F172" t="str">
            <v>Unit</v>
          </cell>
        </row>
        <row r="173">
          <cell r="E173" t="str">
            <v>Material Pintu Air 4</v>
          </cell>
          <cell r="F173" t="str">
            <v>Unit</v>
          </cell>
        </row>
        <row r="175">
          <cell r="E175" t="str">
            <v xml:space="preserve">Bibit KS </v>
          </cell>
          <cell r="F175" t="str">
            <v>Pokok</v>
          </cell>
          <cell r="I175">
            <v>48000</v>
          </cell>
          <cell r="J175">
            <v>50880</v>
          </cell>
          <cell r="K175">
            <v>53932.800000000003</v>
          </cell>
          <cell r="L175">
            <v>57168.768000000004</v>
          </cell>
        </row>
        <row r="176">
          <cell r="E176" t="str">
            <v>Bibit KS 2</v>
          </cell>
          <cell r="F176" t="str">
            <v>Pokok</v>
          </cell>
        </row>
        <row r="177">
          <cell r="E177" t="str">
            <v>PJ</v>
          </cell>
          <cell r="F177" t="str">
            <v>Kg</v>
          </cell>
        </row>
        <row r="178">
          <cell r="E178" t="str">
            <v>CM</v>
          </cell>
          <cell r="F178" t="str">
            <v>Kg</v>
          </cell>
        </row>
        <row r="179">
          <cell r="E179" t="str">
            <v>MB (Mocuna Bracteata)</v>
          </cell>
          <cell r="F179" t="str">
            <v>Kg</v>
          </cell>
          <cell r="H179">
            <v>800000</v>
          </cell>
          <cell r="I179">
            <v>535500</v>
          </cell>
          <cell r="J179">
            <v>535500</v>
          </cell>
          <cell r="K179">
            <v>567630</v>
          </cell>
          <cell r="L179">
            <v>601687.80000000005</v>
          </cell>
        </row>
        <row r="180">
          <cell r="E180" t="str">
            <v>Tunera</v>
          </cell>
          <cell r="F180" t="str">
            <v>Bibit</v>
          </cell>
        </row>
        <row r="181">
          <cell r="E181" t="str">
            <v>Rizhobium</v>
          </cell>
          <cell r="F181" t="str">
            <v>Kg</v>
          </cell>
        </row>
        <row r="182">
          <cell r="E182" t="str">
            <v>Kecambah KS</v>
          </cell>
          <cell r="F182" t="str">
            <v>Btr</v>
          </cell>
          <cell r="H182">
            <v>10000</v>
          </cell>
          <cell r="I182">
            <v>10335.15</v>
          </cell>
          <cell r="J182">
            <v>10335.15</v>
          </cell>
          <cell r="K182">
            <v>11161.962</v>
          </cell>
          <cell r="L182">
            <v>12054.918960000001</v>
          </cell>
        </row>
        <row r="186">
          <cell r="E186" t="str">
            <v>Batu 1</v>
          </cell>
          <cell r="F186" t="str">
            <v>M3</v>
          </cell>
          <cell r="I186">
            <v>180000</v>
          </cell>
          <cell r="J186">
            <v>194400</v>
          </cell>
          <cell r="K186">
            <v>209952</v>
          </cell>
          <cell r="L186">
            <v>226748.16</v>
          </cell>
        </row>
        <row r="187">
          <cell r="E187" t="str">
            <v>Batu 2</v>
          </cell>
          <cell r="F187" t="str">
            <v>M3</v>
          </cell>
        </row>
        <row r="188">
          <cell r="E188" t="str">
            <v>Batu 3</v>
          </cell>
          <cell r="F188" t="str">
            <v>M3</v>
          </cell>
        </row>
        <row r="189">
          <cell r="E189" t="str">
            <v>Batu 4</v>
          </cell>
          <cell r="F189" t="str">
            <v>M3</v>
          </cell>
        </row>
        <row r="192">
          <cell r="E192" t="str">
            <v xml:space="preserve">Laterit </v>
          </cell>
          <cell r="F192" t="str">
            <v>M3</v>
          </cell>
          <cell r="H192">
            <v>101720</v>
          </cell>
          <cell r="I192">
            <v>110590</v>
          </cell>
          <cell r="J192">
            <v>116119.5</v>
          </cell>
          <cell r="K192">
            <v>121925.47500000001</v>
          </cell>
          <cell r="L192">
            <v>128021.74875000001</v>
          </cell>
        </row>
        <row r="193">
          <cell r="E193" t="str">
            <v>Laterit 2</v>
          </cell>
          <cell r="F193" t="str">
            <v>M3</v>
          </cell>
        </row>
        <row r="194">
          <cell r="E194" t="str">
            <v>Laterit 3</v>
          </cell>
          <cell r="F194" t="str">
            <v>M3</v>
          </cell>
        </row>
        <row r="195">
          <cell r="E195" t="str">
            <v>Laterit 4</v>
          </cell>
          <cell r="F195" t="str">
            <v>M3</v>
          </cell>
        </row>
        <row r="196">
          <cell r="E196" t="str">
            <v>Laterit 5</v>
          </cell>
          <cell r="F196" t="str">
            <v>M3</v>
          </cell>
        </row>
        <row r="197">
          <cell r="E197" t="str">
            <v>Laterit 6</v>
          </cell>
          <cell r="F197" t="str">
            <v>M3</v>
          </cell>
        </row>
        <row r="198">
          <cell r="E198" t="str">
            <v>Laterit 7</v>
          </cell>
          <cell r="F198" t="str">
            <v>M3</v>
          </cell>
        </row>
        <row r="199">
          <cell r="E199" t="str">
            <v>Laterit 8</v>
          </cell>
          <cell r="F199" t="str">
            <v>M3</v>
          </cell>
        </row>
        <row r="200">
          <cell r="E200" t="str">
            <v>Laterit 9</v>
          </cell>
          <cell r="F200" t="str">
            <v>M3</v>
          </cell>
        </row>
        <row r="201">
          <cell r="E201" t="str">
            <v>Laterit 10</v>
          </cell>
          <cell r="F201" t="str">
            <v>M3</v>
          </cell>
        </row>
        <row r="203">
          <cell r="E203" t="str">
            <v>Angkutan Material</v>
          </cell>
          <cell r="F203" t="str">
            <v>Rit</v>
          </cell>
          <cell r="H203">
            <v>180800</v>
          </cell>
          <cell r="I203">
            <v>198400</v>
          </cell>
          <cell r="J203">
            <v>207500</v>
          </cell>
          <cell r="K203">
            <v>217003.5</v>
          </cell>
          <cell r="L203">
            <v>226942.26030000002</v>
          </cell>
        </row>
        <row r="204">
          <cell r="E204" t="str">
            <v>Angkutan TBS 2</v>
          </cell>
          <cell r="F204" t="str">
            <v>Ton</v>
          </cell>
        </row>
        <row r="205">
          <cell r="E205" t="str">
            <v>Angkutan TBS 3</v>
          </cell>
          <cell r="F205" t="str">
            <v>Ton</v>
          </cell>
        </row>
        <row r="206">
          <cell r="E206" t="str">
            <v>Angkutan TBS 4</v>
          </cell>
          <cell r="F206" t="str">
            <v>Ton</v>
          </cell>
        </row>
        <row r="207">
          <cell r="E207" t="str">
            <v>Angkutan TBS 5</v>
          </cell>
          <cell r="F207" t="str">
            <v>Ton</v>
          </cell>
        </row>
        <row r="208">
          <cell r="E208" t="str">
            <v>Angkutan TBS 6</v>
          </cell>
          <cell r="F208" t="str">
            <v>Ton</v>
          </cell>
        </row>
        <row r="209">
          <cell r="E209" t="str">
            <v>Angkutan TBS 7</v>
          </cell>
          <cell r="F209" t="str">
            <v>Ton</v>
          </cell>
        </row>
        <row r="210">
          <cell r="E210" t="str">
            <v>Angkutan TBS 8</v>
          </cell>
          <cell r="F210" t="str">
            <v>Ton</v>
          </cell>
        </row>
        <row r="211">
          <cell r="E211" t="str">
            <v>Angkutan TBS 9</v>
          </cell>
          <cell r="F211" t="str">
            <v>Ton</v>
          </cell>
        </row>
        <row r="212">
          <cell r="E212" t="str">
            <v>Angkutan TBS 10</v>
          </cell>
          <cell r="F212" t="str">
            <v>Ton</v>
          </cell>
        </row>
        <row r="213">
          <cell r="E213" t="str">
            <v>Angkutan TBS 11</v>
          </cell>
          <cell r="F213" t="str">
            <v>Ton</v>
          </cell>
        </row>
        <row r="214">
          <cell r="E214" t="str">
            <v>Angkutan TBS 12</v>
          </cell>
          <cell r="F214" t="str">
            <v>Ton</v>
          </cell>
        </row>
        <row r="215">
          <cell r="E215" t="str">
            <v>Angkutan TBS 13</v>
          </cell>
          <cell r="F215" t="str">
            <v>Ton</v>
          </cell>
        </row>
        <row r="216">
          <cell r="E216" t="str">
            <v>Angkutan TBS 14</v>
          </cell>
          <cell r="F216" t="str">
            <v>Ton</v>
          </cell>
        </row>
        <row r="217">
          <cell r="E217" t="str">
            <v>Angkutan TBS 15</v>
          </cell>
          <cell r="F217" t="str">
            <v>Ton</v>
          </cell>
        </row>
        <row r="218">
          <cell r="E218" t="str">
            <v>Angkutan TBS 16</v>
          </cell>
          <cell r="F218" t="str">
            <v>Ton</v>
          </cell>
        </row>
        <row r="219">
          <cell r="E219" t="str">
            <v>Angkutan TBS 17</v>
          </cell>
          <cell r="F219" t="str">
            <v>Ton</v>
          </cell>
        </row>
        <row r="220">
          <cell r="E220" t="str">
            <v>Angkutan TBS 18</v>
          </cell>
          <cell r="F220" t="str">
            <v>Ton</v>
          </cell>
        </row>
        <row r="221">
          <cell r="E221" t="str">
            <v>Transport Kecambah</v>
          </cell>
          <cell r="F221" t="str">
            <v>Bbt</v>
          </cell>
          <cell r="H221">
            <v>50</v>
          </cell>
          <cell r="I221">
            <v>50</v>
          </cell>
          <cell r="J221">
            <v>52.5</v>
          </cell>
          <cell r="K221">
            <v>55.125</v>
          </cell>
          <cell r="L221">
            <v>57.881250000000001</v>
          </cell>
        </row>
        <row r="222">
          <cell r="E222" t="str">
            <v>Angkutan Topsoil</v>
          </cell>
          <cell r="F222" t="str">
            <v>Rit</v>
          </cell>
          <cell r="H222">
            <v>74000</v>
          </cell>
          <cell r="I222">
            <v>74000</v>
          </cell>
          <cell r="J222">
            <v>77700</v>
          </cell>
          <cell r="K222">
            <v>81585</v>
          </cell>
          <cell r="L222">
            <v>85664.25</v>
          </cell>
        </row>
        <row r="223">
          <cell r="E223" t="str">
            <v>Angkutan Bibit KS</v>
          </cell>
          <cell r="F223" t="str">
            <v>Bbt</v>
          </cell>
          <cell r="H223">
            <v>3500</v>
          </cell>
          <cell r="I223">
            <v>4500</v>
          </cell>
          <cell r="J223">
            <v>4725</v>
          </cell>
          <cell r="K223">
            <v>4961.25</v>
          </cell>
          <cell r="L223">
            <v>5209.3125</v>
          </cell>
        </row>
        <row r="225">
          <cell r="E225" t="str">
            <v>Angkutan JJK 1</v>
          </cell>
          <cell r="F225" t="str">
            <v>Ton</v>
          </cell>
          <cell r="H225">
            <v>48578</v>
          </cell>
          <cell r="I225">
            <v>108900</v>
          </cell>
          <cell r="J225">
            <v>117612.00000000001</v>
          </cell>
          <cell r="K225">
            <v>127020.96000000002</v>
          </cell>
          <cell r="L225">
            <v>137182.63680000004</v>
          </cell>
        </row>
        <row r="226">
          <cell r="E226" t="str">
            <v>Angkutan Abu Boiler</v>
          </cell>
          <cell r="F226" t="str">
            <v>Ton</v>
          </cell>
          <cell r="I226">
            <v>108900</v>
          </cell>
          <cell r="J226">
            <v>117612.00000000001</v>
          </cell>
          <cell r="K226">
            <v>127020.96000000002</v>
          </cell>
          <cell r="L226">
            <v>137182.63680000004</v>
          </cell>
        </row>
        <row r="227">
          <cell r="E227" t="str">
            <v>Angkutan JJK 2</v>
          </cell>
          <cell r="F227" t="str">
            <v>Ton</v>
          </cell>
        </row>
        <row r="228">
          <cell r="E228" t="str">
            <v>Angkutan JJK 3</v>
          </cell>
          <cell r="F228" t="str">
            <v>Ton</v>
          </cell>
        </row>
        <row r="229">
          <cell r="E229" t="str">
            <v>Angkutan JJK 4</v>
          </cell>
          <cell r="F229" t="str">
            <v>Ton</v>
          </cell>
        </row>
        <row r="230">
          <cell r="E230" t="str">
            <v>Angkutan JJK 5</v>
          </cell>
          <cell r="F230" t="str">
            <v>Ton</v>
          </cell>
        </row>
        <row r="231">
          <cell r="E231" t="str">
            <v>Angkutan JJK 6</v>
          </cell>
          <cell r="F231" t="str">
            <v>Ton</v>
          </cell>
        </row>
        <row r="232">
          <cell r="E232" t="str">
            <v>Angkutan JJK 7</v>
          </cell>
          <cell r="F232" t="str">
            <v>Ton</v>
          </cell>
        </row>
        <row r="233">
          <cell r="E233" t="str">
            <v>Angkutan JJK 8</v>
          </cell>
          <cell r="F233" t="str">
            <v>Ton</v>
          </cell>
        </row>
        <row r="234">
          <cell r="E234" t="str">
            <v>Angkutan JJK 9</v>
          </cell>
          <cell r="F234" t="str">
            <v>Ton</v>
          </cell>
        </row>
        <row r="235">
          <cell r="E235" t="str">
            <v>Angkutan JJK 10</v>
          </cell>
          <cell r="F235" t="str">
            <v>Ton</v>
          </cell>
        </row>
        <row r="236">
          <cell r="E236" t="str">
            <v>Angkutan JJK 11</v>
          </cell>
          <cell r="F236" t="str">
            <v>Ton</v>
          </cell>
        </row>
        <row r="237">
          <cell r="E237" t="str">
            <v>Angkutan JJK 12</v>
          </cell>
          <cell r="F237" t="str">
            <v>Ton</v>
          </cell>
        </row>
        <row r="238">
          <cell r="E238" t="str">
            <v>Angkutan JJK 13</v>
          </cell>
          <cell r="F238" t="str">
            <v>Ton</v>
          </cell>
        </row>
        <row r="239">
          <cell r="E239" t="str">
            <v>Angkutan JJK 14</v>
          </cell>
          <cell r="F239" t="str">
            <v>Ton</v>
          </cell>
        </row>
        <row r="240">
          <cell r="E240" t="str">
            <v>Angkutan JJK 15</v>
          </cell>
          <cell r="F240" t="str">
            <v>Ton</v>
          </cell>
        </row>
        <row r="241">
          <cell r="E241" t="str">
            <v>Angkutan JJK 16</v>
          </cell>
          <cell r="F241" t="str">
            <v>Ton</v>
          </cell>
        </row>
        <row r="242">
          <cell r="E242" t="str">
            <v>Angkutan JJK 17</v>
          </cell>
          <cell r="F242" t="str">
            <v>Ton</v>
          </cell>
        </row>
        <row r="243">
          <cell r="E243" t="str">
            <v>Angkutan JJK 18</v>
          </cell>
          <cell r="F243" t="str">
            <v>Ton</v>
          </cell>
        </row>
        <row r="244">
          <cell r="E244" t="str">
            <v>Angkutan JJK 19</v>
          </cell>
          <cell r="F244" t="str">
            <v>Ton</v>
          </cell>
        </row>
        <row r="247">
          <cell r="E247" t="str">
            <v>Angkutan Pupuk 1</v>
          </cell>
          <cell r="F247" t="str">
            <v>Ton</v>
          </cell>
          <cell r="H247">
            <v>45100</v>
          </cell>
          <cell r="I247">
            <v>59500</v>
          </cell>
          <cell r="J247">
            <v>62200</v>
          </cell>
          <cell r="K247">
            <v>65017.659999999996</v>
          </cell>
          <cell r="L247">
            <v>67962.959997999991</v>
          </cell>
        </row>
        <row r="248">
          <cell r="E248" t="str">
            <v>Angkutan Pupuk 2</v>
          </cell>
          <cell r="F248" t="str">
            <v>Ton</v>
          </cell>
          <cell r="G248">
            <v>0</v>
          </cell>
        </row>
        <row r="249">
          <cell r="E249" t="str">
            <v>Angkutan Pupuk 3</v>
          </cell>
          <cell r="F249" t="str">
            <v>Ton</v>
          </cell>
        </row>
        <row r="250">
          <cell r="E250" t="str">
            <v>Angkutan Pupuk 4</v>
          </cell>
          <cell r="F250" t="str">
            <v>Ton</v>
          </cell>
        </row>
        <row r="251">
          <cell r="E251" t="str">
            <v>Angkutan Pupuk 5</v>
          </cell>
          <cell r="F251" t="str">
            <v>Ton</v>
          </cell>
        </row>
        <row r="252">
          <cell r="E252" t="str">
            <v>Angkutan Pupuk 6</v>
          </cell>
          <cell r="F252" t="str">
            <v>Ton</v>
          </cell>
        </row>
        <row r="253">
          <cell r="E253" t="str">
            <v>Angkutan Pupuk 7</v>
          </cell>
          <cell r="F253" t="str">
            <v>Ton</v>
          </cell>
        </row>
        <row r="254">
          <cell r="E254" t="str">
            <v>Angkutan Pupuk 8</v>
          </cell>
          <cell r="F254" t="str">
            <v>Ton</v>
          </cell>
        </row>
        <row r="255">
          <cell r="E255" t="str">
            <v>Angkutan Pupuk 9</v>
          </cell>
          <cell r="F255" t="str">
            <v>Ton</v>
          </cell>
        </row>
        <row r="256">
          <cell r="E256" t="str">
            <v>Angkutan Pupuk 10</v>
          </cell>
          <cell r="F256" t="str">
            <v>Ton</v>
          </cell>
        </row>
        <row r="258">
          <cell r="E258" t="str">
            <v>Unit Manager 1</v>
          </cell>
          <cell r="F258" t="str">
            <v>HA</v>
          </cell>
          <cell r="H258">
            <v>2512</v>
          </cell>
          <cell r="I258">
            <v>2498.34</v>
          </cell>
          <cell r="J258">
            <v>2623.2570000000001</v>
          </cell>
          <cell r="K258">
            <v>2754.4198500000002</v>
          </cell>
          <cell r="L258">
            <v>2892.1408425000004</v>
          </cell>
        </row>
        <row r="259">
          <cell r="E259" t="str">
            <v>Unit Manager 2</v>
          </cell>
          <cell r="F259" t="str">
            <v>HA</v>
          </cell>
        </row>
        <row r="260">
          <cell r="E260" t="str">
            <v>Unit Manager 3</v>
          </cell>
          <cell r="F260" t="str">
            <v>HA</v>
          </cell>
        </row>
        <row r="261">
          <cell r="E261" t="str">
            <v>Unit Manager 4</v>
          </cell>
          <cell r="F261" t="str">
            <v>HA</v>
          </cell>
        </row>
        <row r="262">
          <cell r="E262" t="str">
            <v>Unit Askep 1</v>
          </cell>
          <cell r="F262" t="str">
            <v>HA</v>
          </cell>
          <cell r="H262">
            <v>1098</v>
          </cell>
          <cell r="I262">
            <v>1213.03</v>
          </cell>
          <cell r="J262">
            <v>1273.6814999999999</v>
          </cell>
          <cell r="K262">
            <v>1337.365575</v>
          </cell>
          <cell r="L262">
            <v>1404.2338537500002</v>
          </cell>
        </row>
        <row r="263">
          <cell r="E263" t="str">
            <v>Unit Askep 2</v>
          </cell>
          <cell r="F263" t="str">
            <v>HA</v>
          </cell>
        </row>
        <row r="264">
          <cell r="E264" t="str">
            <v>Unit Askep 3</v>
          </cell>
          <cell r="F264" t="str">
            <v>HA</v>
          </cell>
        </row>
        <row r="265">
          <cell r="E265" t="str">
            <v>Unit Askep 4</v>
          </cell>
          <cell r="F265" t="str">
            <v>HA</v>
          </cell>
        </row>
        <row r="266">
          <cell r="E266" t="str">
            <v>Unit Askep 5</v>
          </cell>
          <cell r="F266" t="str">
            <v>KM</v>
          </cell>
        </row>
        <row r="267">
          <cell r="E267" t="str">
            <v>Unit Askep 6</v>
          </cell>
          <cell r="F267" t="str">
            <v>KM</v>
          </cell>
        </row>
        <row r="268">
          <cell r="E268" t="str">
            <v>TUS 1</v>
          </cell>
          <cell r="F268" t="str">
            <v>KM</v>
          </cell>
          <cell r="H268">
            <v>31250</v>
          </cell>
          <cell r="I268">
            <v>65996</v>
          </cell>
          <cell r="J268">
            <v>68635.839999999997</v>
          </cell>
          <cell r="K268">
            <v>71381.2736</v>
          </cell>
          <cell r="L268">
            <v>74236.524544</v>
          </cell>
        </row>
        <row r="269">
          <cell r="E269" t="str">
            <v>TUS 2</v>
          </cell>
          <cell r="F269" t="str">
            <v>KM</v>
          </cell>
        </row>
        <row r="270">
          <cell r="E270" t="str">
            <v>TUS 3</v>
          </cell>
          <cell r="F270" t="str">
            <v>KM</v>
          </cell>
        </row>
        <row r="271">
          <cell r="E271" t="str">
            <v>BKMS</v>
          </cell>
          <cell r="F271" t="str">
            <v>KM</v>
          </cell>
        </row>
        <row r="272">
          <cell r="E272" t="str">
            <v>Transport Karyawan 1</v>
          </cell>
          <cell r="F272" t="str">
            <v>KM</v>
          </cell>
        </row>
        <row r="273">
          <cell r="E273" t="str">
            <v>Transport Karyawan 2</v>
          </cell>
          <cell r="F273" t="str">
            <v>KM</v>
          </cell>
        </row>
        <row r="274">
          <cell r="E274" t="str">
            <v>Transport Karyawan 3</v>
          </cell>
          <cell r="F274" t="str">
            <v>KM</v>
          </cell>
        </row>
        <row r="275">
          <cell r="E275" t="str">
            <v>Transport Karyawan 4</v>
          </cell>
          <cell r="F275" t="str">
            <v>KM</v>
          </cell>
        </row>
        <row r="279">
          <cell r="E279" t="str">
            <v>Farm Traktor 1</v>
          </cell>
          <cell r="F279" t="str">
            <v>HM</v>
          </cell>
          <cell r="H279">
            <v>245290</v>
          </cell>
          <cell r="I279">
            <v>139719</v>
          </cell>
          <cell r="J279">
            <v>146704.95000000001</v>
          </cell>
          <cell r="K279">
            <v>154040.19750000001</v>
          </cell>
          <cell r="L279">
            <v>160201.80540000001</v>
          </cell>
        </row>
        <row r="280">
          <cell r="E280" t="str">
            <v>Farm Traktor 2</v>
          </cell>
          <cell r="F280" t="str">
            <v>HM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</row>
        <row r="281">
          <cell r="E281" t="str">
            <v>Farm Traktor 3</v>
          </cell>
          <cell r="F281" t="str">
            <v>HM</v>
          </cell>
        </row>
        <row r="282">
          <cell r="E282" t="str">
            <v>Farm Traktor 4</v>
          </cell>
          <cell r="F282" t="str">
            <v>HM</v>
          </cell>
        </row>
        <row r="283">
          <cell r="E283" t="str">
            <v>Farm Traktor 5</v>
          </cell>
          <cell r="F283" t="str">
            <v>HM</v>
          </cell>
        </row>
        <row r="284">
          <cell r="E284" t="str">
            <v>Farm Traktor 6</v>
          </cell>
          <cell r="F284" t="str">
            <v>HM</v>
          </cell>
        </row>
        <row r="285">
          <cell r="E285" t="str">
            <v>Farm Traktor 7</v>
          </cell>
          <cell r="F285" t="str">
            <v>HM</v>
          </cell>
        </row>
        <row r="286">
          <cell r="E286" t="str">
            <v>Farm Traktor 8</v>
          </cell>
          <cell r="F286" t="str">
            <v>HM</v>
          </cell>
        </row>
        <row r="287">
          <cell r="E287" t="str">
            <v>Farm Traktor 9</v>
          </cell>
          <cell r="F287" t="str">
            <v>HM</v>
          </cell>
        </row>
        <row r="288">
          <cell r="E288" t="str">
            <v>Farm Traktor 10</v>
          </cell>
          <cell r="F288" t="str">
            <v>HM</v>
          </cell>
        </row>
        <row r="289">
          <cell r="E289" t="str">
            <v>Farm Traktor 11</v>
          </cell>
          <cell r="F289" t="str">
            <v>HM</v>
          </cell>
        </row>
        <row r="290">
          <cell r="E290" t="str">
            <v>Farm Traktor 12</v>
          </cell>
          <cell r="F290" t="str">
            <v>HM</v>
          </cell>
        </row>
        <row r="291">
          <cell r="E291" t="str">
            <v>Farm Traktor 13</v>
          </cell>
          <cell r="F291" t="str">
            <v>HM</v>
          </cell>
        </row>
        <row r="292">
          <cell r="E292" t="str">
            <v>Farm Traktor 14</v>
          </cell>
          <cell r="F292" t="str">
            <v>HM</v>
          </cell>
        </row>
        <row r="293">
          <cell r="E293" t="str">
            <v>Farm Traktor 15</v>
          </cell>
          <cell r="F293" t="str">
            <v>HM</v>
          </cell>
        </row>
        <row r="294">
          <cell r="E294" t="str">
            <v>Farm Traktor 16</v>
          </cell>
          <cell r="F294" t="str">
            <v>HM</v>
          </cell>
        </row>
        <row r="295">
          <cell r="E295" t="str">
            <v>Farm Traktor 17</v>
          </cell>
          <cell r="F295" t="str">
            <v>HM</v>
          </cell>
        </row>
        <row r="296">
          <cell r="I296">
            <v>42500</v>
          </cell>
          <cell r="J296">
            <v>45900</v>
          </cell>
          <cell r="K296">
            <v>49572</v>
          </cell>
          <cell r="L296">
            <v>53537.760000000002</v>
          </cell>
        </row>
        <row r="297">
          <cell r="E297" t="str">
            <v>Excavator 1</v>
          </cell>
          <cell r="F297" t="str">
            <v>HM</v>
          </cell>
          <cell r="H297">
            <v>634000</v>
          </cell>
          <cell r="I297">
            <v>681487.17873333325</v>
          </cell>
          <cell r="J297">
            <v>720338.0730320001</v>
          </cell>
          <cell r="K297">
            <v>761671.70213055995</v>
          </cell>
          <cell r="L297">
            <v>805655.39686222153</v>
          </cell>
        </row>
        <row r="298">
          <cell r="E298" t="str">
            <v xml:space="preserve">Excavator 2 </v>
          </cell>
          <cell r="F298" t="str">
            <v>HM</v>
          </cell>
          <cell r="H298">
            <v>634000</v>
          </cell>
          <cell r="I298">
            <v>723987.17873333325</v>
          </cell>
          <cell r="J298">
            <v>766238.0730320001</v>
          </cell>
          <cell r="K298">
            <v>811243.70213055995</v>
          </cell>
          <cell r="L298">
            <v>859193.15686222154</v>
          </cell>
        </row>
        <row r="299">
          <cell r="E299" t="str">
            <v>Excavator 3</v>
          </cell>
          <cell r="F299" t="str">
            <v>HM</v>
          </cell>
          <cell r="G299">
            <v>1995000</v>
          </cell>
          <cell r="H299">
            <v>1995000</v>
          </cell>
        </row>
        <row r="300">
          <cell r="E300" t="str">
            <v>Excavator 4</v>
          </cell>
          <cell r="F300" t="str">
            <v>HM</v>
          </cell>
          <cell r="G300">
            <v>20000</v>
          </cell>
          <cell r="H300">
            <v>20000</v>
          </cell>
        </row>
        <row r="301">
          <cell r="E301" t="str">
            <v>Excavator 5</v>
          </cell>
          <cell r="F301" t="str">
            <v>HM</v>
          </cell>
          <cell r="H301">
            <v>600000</v>
          </cell>
        </row>
        <row r="302">
          <cell r="E302" t="str">
            <v>Excavator 6</v>
          </cell>
          <cell r="F302" t="str">
            <v>HM</v>
          </cell>
          <cell r="H302">
            <v>10000</v>
          </cell>
        </row>
        <row r="303">
          <cell r="E303" t="str">
            <v>Excavator 7</v>
          </cell>
          <cell r="F303" t="str">
            <v>HM</v>
          </cell>
        </row>
        <row r="304">
          <cell r="E304" t="str">
            <v>Excavator 8</v>
          </cell>
          <cell r="F304" t="str">
            <v>HM</v>
          </cell>
        </row>
        <row r="305">
          <cell r="E305" t="str">
            <v>Excavator 9</v>
          </cell>
          <cell r="F305" t="str">
            <v>HM</v>
          </cell>
        </row>
        <row r="306">
          <cell r="E306" t="str">
            <v>Excavator 10</v>
          </cell>
          <cell r="F306" t="str">
            <v>HM</v>
          </cell>
        </row>
        <row r="307">
          <cell r="E307" t="str">
            <v>Excavator 11</v>
          </cell>
          <cell r="F307" t="str">
            <v>HM</v>
          </cell>
        </row>
        <row r="308">
          <cell r="E308" t="str">
            <v>Excavator Mini</v>
          </cell>
          <cell r="F308" t="str">
            <v>HM</v>
          </cell>
          <cell r="H308">
            <v>269800</v>
          </cell>
          <cell r="I308">
            <v>283290</v>
          </cell>
          <cell r="J308">
            <v>297454.5</v>
          </cell>
          <cell r="K308">
            <v>312327.22500000003</v>
          </cell>
          <cell r="L308">
            <v>324820.31400000007</v>
          </cell>
        </row>
        <row r="310">
          <cell r="E310" t="str">
            <v>Compactor 1</v>
          </cell>
          <cell r="F310" t="str">
            <v>HM</v>
          </cell>
          <cell r="H310">
            <v>504220</v>
          </cell>
          <cell r="I310">
            <v>630976.61249999993</v>
          </cell>
          <cell r="J310">
            <v>662748.2415</v>
          </cell>
          <cell r="K310">
            <v>696305.06082000001</v>
          </cell>
          <cell r="L310">
            <v>731761.67591280001</v>
          </cell>
        </row>
        <row r="311">
          <cell r="E311" t="str">
            <v>Compactor 2</v>
          </cell>
          <cell r="F311" t="str">
            <v>HM</v>
          </cell>
        </row>
        <row r="312">
          <cell r="E312" t="str">
            <v>Compactor 3</v>
          </cell>
          <cell r="F312" t="str">
            <v>HM</v>
          </cell>
        </row>
        <row r="313">
          <cell r="E313" t="str">
            <v>Compactor 4</v>
          </cell>
          <cell r="F313" t="str">
            <v>HM</v>
          </cell>
        </row>
        <row r="314">
          <cell r="E314" t="str">
            <v>Compactor 5</v>
          </cell>
          <cell r="F314" t="str">
            <v>HM</v>
          </cell>
        </row>
        <row r="316">
          <cell r="E316" t="str">
            <v>Greader 1</v>
          </cell>
          <cell r="F316" t="str">
            <v>HM</v>
          </cell>
          <cell r="H316">
            <v>599680</v>
          </cell>
          <cell r="I316">
            <v>680610.48749999993</v>
          </cell>
          <cell r="J316">
            <v>715047.82649999985</v>
          </cell>
          <cell r="K316">
            <v>751428.66536999994</v>
          </cell>
          <cell r="L316">
            <v>789879.97204393509</v>
          </cell>
        </row>
        <row r="317">
          <cell r="E317" t="str">
            <v>Greader 2</v>
          </cell>
          <cell r="F317" t="str">
            <v>HM</v>
          </cell>
        </row>
        <row r="318">
          <cell r="E318" t="str">
            <v>Greader 3</v>
          </cell>
          <cell r="F318" t="str">
            <v>HM</v>
          </cell>
        </row>
        <row r="319">
          <cell r="E319" t="str">
            <v>Greader 4</v>
          </cell>
          <cell r="F319" t="str">
            <v>HM</v>
          </cell>
        </row>
        <row r="320">
          <cell r="E320" t="str">
            <v>Greader 5</v>
          </cell>
          <cell r="F320" t="str">
            <v>HM</v>
          </cell>
        </row>
        <row r="321">
          <cell r="E321" t="str">
            <v>Greader 6</v>
          </cell>
          <cell r="F321" t="str">
            <v>HM</v>
          </cell>
        </row>
        <row r="323">
          <cell r="E323" t="str">
            <v>TLB 1</v>
          </cell>
          <cell r="F323" t="str">
            <v>HM</v>
          </cell>
          <cell r="H323">
            <v>510020</v>
          </cell>
          <cell r="I323">
            <v>647269.96874999988</v>
          </cell>
          <cell r="J323">
            <v>680210.06624999992</v>
          </cell>
          <cell r="K323">
            <v>715015.96154999989</v>
          </cell>
          <cell r="L323">
            <v>751814.04771000007</v>
          </cell>
        </row>
        <row r="324">
          <cell r="E324" t="str">
            <v>TLB 2</v>
          </cell>
          <cell r="F324" t="str">
            <v>HM</v>
          </cell>
        </row>
        <row r="325">
          <cell r="E325" t="str">
            <v>TLB 3</v>
          </cell>
          <cell r="F325" t="str">
            <v>HM</v>
          </cell>
        </row>
        <row r="326">
          <cell r="E326" t="str">
            <v>TLB 4</v>
          </cell>
          <cell r="F326" t="str">
            <v>HM</v>
          </cell>
        </row>
        <row r="327">
          <cell r="E327" t="str">
            <v>TLB 5</v>
          </cell>
          <cell r="F327" t="str">
            <v>HM</v>
          </cell>
        </row>
        <row r="329">
          <cell r="E329" t="str">
            <v>Buldozer 1</v>
          </cell>
          <cell r="F329" t="str">
            <v>HM</v>
          </cell>
          <cell r="H329">
            <v>846000</v>
          </cell>
          <cell r="I329">
            <v>993170.32971428568</v>
          </cell>
          <cell r="J329">
            <v>1051433.6840914285</v>
          </cell>
          <cell r="K329">
            <v>1113470.7641787431</v>
          </cell>
          <cell r="L329">
            <v>1179581.0828030505</v>
          </cell>
        </row>
        <row r="330">
          <cell r="E330" t="str">
            <v>Buldozer 2</v>
          </cell>
          <cell r="F330" t="str">
            <v>HM</v>
          </cell>
        </row>
        <row r="331">
          <cell r="E331" t="str">
            <v>Buldozer 3</v>
          </cell>
          <cell r="F331" t="str">
            <v>HM</v>
          </cell>
        </row>
        <row r="332">
          <cell r="E332" t="str">
            <v>Buldozer 4</v>
          </cell>
          <cell r="F332" t="str">
            <v>HM</v>
          </cell>
        </row>
        <row r="333">
          <cell r="E333" t="str">
            <v>Buldozer 5</v>
          </cell>
          <cell r="F333" t="str">
            <v>HM</v>
          </cell>
        </row>
        <row r="335">
          <cell r="E335" t="str">
            <v>G 10A Kayu</v>
          </cell>
          <cell r="F335" t="str">
            <v>Unit</v>
          </cell>
        </row>
        <row r="336">
          <cell r="E336" t="str">
            <v>G 10B Kayu</v>
          </cell>
          <cell r="F336" t="str">
            <v>Unit</v>
          </cell>
        </row>
        <row r="337">
          <cell r="E337" t="str">
            <v>G 10C Kayu</v>
          </cell>
          <cell r="F337" t="str">
            <v>Unit</v>
          </cell>
        </row>
        <row r="341">
          <cell r="E341" t="str">
            <v>Chain Saw 1</v>
          </cell>
          <cell r="F341" t="str">
            <v>Unit</v>
          </cell>
        </row>
        <row r="342">
          <cell r="E342" t="str">
            <v>Chain Saw 2</v>
          </cell>
          <cell r="F342" t="str">
            <v>Unit</v>
          </cell>
        </row>
        <row r="343">
          <cell r="E343" t="str">
            <v>Chain Saw 3</v>
          </cell>
          <cell r="F343" t="str">
            <v>Unit</v>
          </cell>
        </row>
        <row r="344">
          <cell r="E344" t="str">
            <v>Chain Saw 4</v>
          </cell>
          <cell r="F344" t="str">
            <v>Unit</v>
          </cell>
        </row>
        <row r="347">
          <cell r="E347" t="str">
            <v>Water Pump 1</v>
          </cell>
          <cell r="F347" t="str">
            <v>HM</v>
          </cell>
          <cell r="H347">
            <v>50000</v>
          </cell>
          <cell r="I347">
            <v>50000</v>
          </cell>
          <cell r="J347">
            <v>55000.000000000007</v>
          </cell>
          <cell r="K347">
            <v>60500.000000000015</v>
          </cell>
          <cell r="L347">
            <v>66550.000000000015</v>
          </cell>
        </row>
        <row r="348">
          <cell r="E348" t="str">
            <v>Water Pump 2</v>
          </cell>
          <cell r="F348" t="str">
            <v>HM</v>
          </cell>
        </row>
        <row r="349">
          <cell r="E349" t="str">
            <v>Water Pump 3</v>
          </cell>
          <cell r="F349" t="str">
            <v>HM</v>
          </cell>
        </row>
        <row r="350">
          <cell r="E350" t="str">
            <v>Water Pump 4</v>
          </cell>
          <cell r="F350" t="str">
            <v>HM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6">
          <cell r="K16">
            <v>333.4</v>
          </cell>
          <cell r="L16">
            <v>6988355359.1999998</v>
          </cell>
          <cell r="N16">
            <v>67.400000000000034</v>
          </cell>
          <cell r="O16">
            <v>1408012151.2000008</v>
          </cell>
          <cell r="Q16">
            <v>8396367510.4000006</v>
          </cell>
          <cell r="R16">
            <v>20949020.734530941</v>
          </cell>
        </row>
      </sheetData>
      <sheetData sheetId="34">
        <row r="21">
          <cell r="H21">
            <v>533950000</v>
          </cell>
          <cell r="I21">
            <v>673000000</v>
          </cell>
          <cell r="J21">
            <v>3011352.2954091816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362">
          <cell r="Q362">
            <v>8654805.086013956</v>
          </cell>
          <cell r="S362">
            <v>9165320.8148242794</v>
          </cell>
          <cell r="U362">
            <v>9730367.4049796015</v>
          </cell>
          <cell r="W362">
            <v>9183497.7686059456</v>
          </cell>
        </row>
      </sheetData>
      <sheetData sheetId="48">
        <row r="362">
          <cell r="Q362">
            <v>9197042.0340726674</v>
          </cell>
          <cell r="S362">
            <v>9729773.8709999993</v>
          </cell>
          <cell r="U362">
            <v>10237697.228701947</v>
          </cell>
          <cell r="W362">
            <v>9721504.3779248688</v>
          </cell>
        </row>
      </sheetData>
      <sheetData sheetId="49">
        <row r="362">
          <cell r="Q362">
            <v>10286486.620310416</v>
          </cell>
          <cell r="S362">
            <v>10787636.89939848</v>
          </cell>
          <cell r="U362">
            <v>11316376.468443621</v>
          </cell>
          <cell r="W362">
            <v>10796833.32938417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h Hit LA"/>
      <sheetName val="RKP (2)"/>
      <sheetName val="RKP Print"/>
      <sheetName val="SAMPUL"/>
      <sheetName val="Master Harga"/>
      <sheetName val="RKP"/>
      <sheetName val="Staff"/>
      <sheetName val="Non Tanaman"/>
      <sheetName val="Rekap Non Tanaman"/>
      <sheetName val="Lampiran"/>
      <sheetName val="PN"/>
      <sheetName val="MN"/>
      <sheetName val="LC-MINERAL"/>
      <sheetName val="LC-RENDAHAN"/>
      <sheetName val="LCC"/>
      <sheetName val="TB"/>
      <sheetName val="TBM1"/>
      <sheetName val="TBM2"/>
      <sheetName val="TBM3"/>
      <sheetName val="Rekapitulasi Biaya-Minreal"/>
      <sheetName val="Rekapitulasi Biaya-rendahan"/>
      <sheetName val="DATA RE PLANTING"/>
      <sheetName val="Instalasi Air"/>
      <sheetName val="Kapita"/>
      <sheetName val="SARANA PRASARAN"/>
      <sheetName val="KECAMBAH"/>
      <sheetName val="SI BBT"/>
      <sheetName val="SI TB"/>
      <sheetName val="SI TBM 1"/>
      <sheetName val="SI TBM 2"/>
      <sheetName val="SI TBM 3"/>
      <sheetName val="Sheet5"/>
      <sheetName val="TB-SMM"/>
      <sheetName val="TBM1-SMM"/>
      <sheetName val="TBM2-SMM"/>
      <sheetName val="TBM3-SMM"/>
      <sheetName val="SKEMA LC"/>
      <sheetName val="Sheet1"/>
      <sheetName val="Sheet2"/>
      <sheetName val="SI TBM"/>
      <sheetName val="Pupuk Bibitan"/>
      <sheetName val="Pupuk TBM"/>
      <sheetName val="Metode TU &amp; Biaya"/>
      <sheetName val="Areal Statement Inti"/>
    </sheetNames>
    <sheetDataSet>
      <sheetData sheetId="0"/>
      <sheetData sheetId="1"/>
      <sheetData sheetId="2"/>
      <sheetData sheetId="3"/>
      <sheetData sheetId="4">
        <row r="5">
          <cell r="E5" t="str">
            <v>SKU Panen</v>
          </cell>
          <cell r="F5" t="str">
            <v>HK</v>
          </cell>
          <cell r="G5"/>
          <cell r="H5"/>
          <cell r="I5"/>
          <cell r="J5"/>
          <cell r="K5"/>
          <cell r="L5"/>
          <cell r="M5"/>
        </row>
        <row r="6">
          <cell r="E6" t="str">
            <v>Upah PHL</v>
          </cell>
          <cell r="F6" t="str">
            <v>HK</v>
          </cell>
          <cell r="G6">
            <v>126080</v>
          </cell>
          <cell r="H6">
            <v>136166.40000000002</v>
          </cell>
          <cell r="I6">
            <v>140008</v>
          </cell>
          <cell r="J6">
            <v>151208.64000000001</v>
          </cell>
          <cell r="K6">
            <v>163305.33120000002</v>
          </cell>
          <cell r="L6">
            <v>179635.86432000002</v>
          </cell>
          <cell r="M6">
            <v>197599.45075200003</v>
          </cell>
        </row>
        <row r="7">
          <cell r="E7" t="str">
            <v>Biaya Konsultan</v>
          </cell>
          <cell r="F7" t="str">
            <v>Rp/Ha</v>
          </cell>
          <cell r="G7"/>
          <cell r="H7"/>
          <cell r="I7"/>
          <cell r="J7"/>
          <cell r="K7"/>
          <cell r="L7"/>
          <cell r="M7"/>
        </row>
        <row r="8">
          <cell r="E8" t="str">
            <v>Muat TBS</v>
          </cell>
          <cell r="F8" t="str">
            <v>Kg</v>
          </cell>
          <cell r="G8"/>
          <cell r="H8"/>
          <cell r="I8"/>
          <cell r="J8"/>
          <cell r="K8"/>
          <cell r="L8"/>
          <cell r="M8"/>
        </row>
        <row r="9">
          <cell r="E9" t="str">
            <v>Upah BM Pupuk Intern</v>
          </cell>
          <cell r="F9" t="str">
            <v>Ton</v>
          </cell>
          <cell r="G9">
            <v>16600</v>
          </cell>
          <cell r="H9">
            <v>16600</v>
          </cell>
          <cell r="I9">
            <v>19500</v>
          </cell>
          <cell r="J9">
            <v>21060</v>
          </cell>
          <cell r="K9">
            <v>22744.800000000003</v>
          </cell>
          <cell r="L9">
            <v>24564.384000000005</v>
          </cell>
          <cell r="M9">
            <v>26529.534720000007</v>
          </cell>
        </row>
        <row r="10">
          <cell r="E10" t="str">
            <v>Upah BM Pupuk Ekstern</v>
          </cell>
          <cell r="F10" t="str">
            <v>Ton</v>
          </cell>
          <cell r="G10">
            <v>14000</v>
          </cell>
          <cell r="H10">
            <v>14000</v>
          </cell>
          <cell r="I10">
            <v>32000</v>
          </cell>
          <cell r="J10">
            <v>34560</v>
          </cell>
          <cell r="K10">
            <v>37324.800000000003</v>
          </cell>
          <cell r="L10">
            <v>40310.784000000007</v>
          </cell>
          <cell r="M10">
            <v>43535.646720000012</v>
          </cell>
        </row>
        <row r="11">
          <cell r="E11" t="str">
            <v>Borongan Pembuatan Parit</v>
          </cell>
          <cell r="F11" t="str">
            <v>HK</v>
          </cell>
          <cell r="G11">
            <v>20000</v>
          </cell>
          <cell r="H11">
            <v>10000</v>
          </cell>
          <cell r="I11">
            <v>10000</v>
          </cell>
          <cell r="J11">
            <v>10800</v>
          </cell>
          <cell r="K11">
            <v>11664</v>
          </cell>
          <cell r="L11">
            <v>12597.12</v>
          </cell>
          <cell r="M11">
            <v>13604.889600000002</v>
          </cell>
        </row>
        <row r="12">
          <cell r="E12" t="str">
            <v>Borongan Pancang</v>
          </cell>
          <cell r="F12" t="str">
            <v>HK</v>
          </cell>
          <cell r="G12">
            <v>350000</v>
          </cell>
          <cell r="H12">
            <v>350000</v>
          </cell>
          <cell r="I12">
            <v>350000</v>
          </cell>
          <cell r="J12">
            <v>378000</v>
          </cell>
          <cell r="K12">
            <v>408240</v>
          </cell>
          <cell r="L12">
            <v>440899.2</v>
          </cell>
          <cell r="M12">
            <v>476171.13600000006</v>
          </cell>
        </row>
        <row r="13">
          <cell r="E13" t="str">
            <v>Upah Supervisi Panen 3</v>
          </cell>
          <cell r="F13" t="str">
            <v>HK</v>
          </cell>
          <cell r="G13"/>
          <cell r="H13"/>
          <cell r="I13"/>
          <cell r="J13"/>
          <cell r="K13"/>
          <cell r="L13"/>
          <cell r="M13"/>
        </row>
        <row r="14">
          <cell r="E14" t="str">
            <v>Upah Supervisi Panen 4</v>
          </cell>
          <cell r="F14" t="str">
            <v>HK</v>
          </cell>
          <cell r="G14"/>
          <cell r="H14"/>
          <cell r="I14"/>
          <cell r="J14"/>
          <cell r="K14"/>
          <cell r="L14"/>
          <cell r="M14"/>
        </row>
        <row r="15">
          <cell r="E15" t="str">
            <v>Upah Supervisi Perawatan 1</v>
          </cell>
          <cell r="F15" t="str">
            <v>HK</v>
          </cell>
          <cell r="G15"/>
          <cell r="H15"/>
          <cell r="I15"/>
          <cell r="J15"/>
          <cell r="K15"/>
          <cell r="L15"/>
          <cell r="M15"/>
        </row>
        <row r="16">
          <cell r="E16" t="str">
            <v>Upah Supervisi Perawatan 2</v>
          </cell>
          <cell r="F16" t="str">
            <v>HK</v>
          </cell>
          <cell r="G16"/>
          <cell r="H16"/>
          <cell r="I16"/>
          <cell r="J16"/>
          <cell r="K16"/>
          <cell r="L16"/>
          <cell r="M16"/>
        </row>
        <row r="17">
          <cell r="E17" t="str">
            <v>Upah Supervisi Perawatan 3</v>
          </cell>
          <cell r="F17" t="str">
            <v>HK</v>
          </cell>
          <cell r="G17"/>
          <cell r="H17"/>
          <cell r="I17"/>
          <cell r="J17"/>
          <cell r="K17"/>
          <cell r="L17"/>
          <cell r="M17"/>
        </row>
        <row r="18">
          <cell r="E18" t="str">
            <v>Upah Supervisi Perawatan 4</v>
          </cell>
          <cell r="F18" t="str">
            <v>HK</v>
          </cell>
          <cell r="G18"/>
          <cell r="H18"/>
          <cell r="I18"/>
          <cell r="J18"/>
          <cell r="K18"/>
          <cell r="L18"/>
          <cell r="M18"/>
        </row>
        <row r="19">
          <cell r="E19" t="str">
            <v>Lain-lain Spv Perawatan 1</v>
          </cell>
          <cell r="F19" t="str">
            <v>HK</v>
          </cell>
          <cell r="G19"/>
          <cell r="H19"/>
          <cell r="I19"/>
          <cell r="J19"/>
          <cell r="K19"/>
          <cell r="L19"/>
          <cell r="M19"/>
        </row>
        <row r="20">
          <cell r="E20" t="str">
            <v>Lain-lain Spv Perawatan 2</v>
          </cell>
          <cell r="F20" t="str">
            <v>HK</v>
          </cell>
          <cell r="G20"/>
          <cell r="H20"/>
          <cell r="I20"/>
          <cell r="J20"/>
          <cell r="K20"/>
          <cell r="L20"/>
          <cell r="M20"/>
        </row>
        <row r="21">
          <cell r="E21" t="str">
            <v>Lain-lain Spv Perawatan 3</v>
          </cell>
          <cell r="F21" t="str">
            <v>HK</v>
          </cell>
          <cell r="G21"/>
          <cell r="H21"/>
          <cell r="I21"/>
          <cell r="J21"/>
          <cell r="K21"/>
          <cell r="L21"/>
          <cell r="M21"/>
        </row>
        <row r="22">
          <cell r="E22" t="str">
            <v>Alokasi</v>
          </cell>
          <cell r="F22" t="str">
            <v>Unit</v>
          </cell>
          <cell r="G22"/>
          <cell r="H22"/>
          <cell r="I22"/>
          <cell r="J22"/>
          <cell r="K22"/>
          <cell r="L22"/>
          <cell r="M22"/>
        </row>
        <row r="23">
          <cell r="E23" t="str">
            <v>Pasang Siring HDPE Culvert 1.5X6 Triplewall</v>
          </cell>
          <cell r="F23" t="str">
            <v>Unit</v>
          </cell>
          <cell r="G23"/>
          <cell r="H23"/>
          <cell r="I23"/>
          <cell r="J23"/>
          <cell r="K23"/>
          <cell r="L23"/>
          <cell r="M23"/>
        </row>
        <row r="24">
          <cell r="E24" t="str">
            <v>Pasang Siring HDPE Culvert 1.8X6 Triplewall</v>
          </cell>
          <cell r="F24" t="str">
            <v>Unit</v>
          </cell>
          <cell r="G24"/>
          <cell r="H24"/>
          <cell r="I24"/>
          <cell r="J24"/>
          <cell r="K24"/>
          <cell r="L24"/>
          <cell r="M24"/>
        </row>
        <row r="25">
          <cell r="E25" t="str">
            <v>Pasang Siring HDPE Culvert 2.3X6 Triplewall</v>
          </cell>
          <cell r="F25" t="str">
            <v>Unit</v>
          </cell>
          <cell r="G25"/>
          <cell r="H25"/>
          <cell r="I25"/>
          <cell r="J25"/>
          <cell r="K25"/>
          <cell r="L25"/>
          <cell r="M25"/>
        </row>
        <row r="26">
          <cell r="E26"/>
          <cell r="F26"/>
          <cell r="G26"/>
          <cell r="H26"/>
          <cell r="I26"/>
          <cell r="J26"/>
          <cell r="K26"/>
          <cell r="L26"/>
          <cell r="M26"/>
        </row>
        <row r="27">
          <cell r="E27" t="str">
            <v>Premi Panen 1</v>
          </cell>
          <cell r="F27" t="str">
            <v>HK</v>
          </cell>
          <cell r="G27"/>
          <cell r="H27"/>
          <cell r="I27"/>
          <cell r="J27"/>
          <cell r="K27"/>
          <cell r="L27"/>
          <cell r="M27"/>
        </row>
        <row r="28">
          <cell r="E28" t="str">
            <v>Premi Panen 2</v>
          </cell>
          <cell r="F28" t="str">
            <v>HK</v>
          </cell>
          <cell r="G28"/>
          <cell r="H28"/>
          <cell r="I28"/>
          <cell r="J28"/>
          <cell r="K28"/>
          <cell r="L28"/>
          <cell r="M28"/>
        </row>
        <row r="29">
          <cell r="E29" t="str">
            <v>Premi Panen 3</v>
          </cell>
          <cell r="F29" t="str">
            <v>HK</v>
          </cell>
          <cell r="G29"/>
          <cell r="H29"/>
          <cell r="I29"/>
          <cell r="J29"/>
          <cell r="K29"/>
          <cell r="L29"/>
          <cell r="M29"/>
        </row>
        <row r="30">
          <cell r="E30" t="str">
            <v>Premi Panen 4</v>
          </cell>
          <cell r="F30" t="str">
            <v>HK</v>
          </cell>
          <cell r="G30"/>
          <cell r="H30"/>
          <cell r="I30"/>
          <cell r="J30"/>
          <cell r="K30"/>
          <cell r="L30"/>
          <cell r="M30"/>
        </row>
        <row r="31">
          <cell r="E31" t="str">
            <v>Premi Extra Fooding</v>
          </cell>
          <cell r="F31" t="str">
            <v>HK</v>
          </cell>
          <cell r="G31">
            <v>5000</v>
          </cell>
          <cell r="H31">
            <v>5000</v>
          </cell>
          <cell r="I31">
            <v>3850</v>
          </cell>
          <cell r="J31">
            <v>4158</v>
          </cell>
          <cell r="K31">
            <v>4490.6400000000003</v>
          </cell>
          <cell r="L31">
            <v>4849.8912000000009</v>
          </cell>
          <cell r="M31">
            <v>5237.8824960000011</v>
          </cell>
        </row>
        <row r="32">
          <cell r="E32" t="str">
            <v>Premi Supervisi Panen</v>
          </cell>
          <cell r="F32" t="str">
            <v>HK</v>
          </cell>
          <cell r="G32"/>
          <cell r="H32"/>
          <cell r="I32"/>
          <cell r="J32"/>
          <cell r="K32"/>
          <cell r="L32"/>
          <cell r="M32"/>
        </row>
        <row r="33">
          <cell r="E33" t="str">
            <v>Premi Supervisi Perawatan</v>
          </cell>
          <cell r="F33" t="str">
            <v>HK</v>
          </cell>
          <cell r="G33"/>
          <cell r="H33"/>
          <cell r="I33"/>
          <cell r="J33"/>
          <cell r="K33"/>
          <cell r="L33"/>
          <cell r="M33"/>
        </row>
        <row r="34">
          <cell r="E34" t="str">
            <v>Premi Kerani Panen</v>
          </cell>
          <cell r="F34" t="str">
            <v>HK</v>
          </cell>
          <cell r="G34"/>
          <cell r="H34"/>
          <cell r="I34"/>
          <cell r="J34"/>
          <cell r="K34"/>
          <cell r="L34"/>
          <cell r="M34"/>
        </row>
        <row r="35">
          <cell r="E35" t="str">
            <v>Premi Kerani Perawatan</v>
          </cell>
          <cell r="F35" t="str">
            <v>HK</v>
          </cell>
          <cell r="G35"/>
          <cell r="H35"/>
          <cell r="I35"/>
          <cell r="J35"/>
          <cell r="K35"/>
          <cell r="L35"/>
          <cell r="M35"/>
        </row>
        <row r="36">
          <cell r="E36" t="str">
            <v>Upah PHL Until Pupuk</v>
          </cell>
          <cell r="F36" t="str">
            <v>HK</v>
          </cell>
          <cell r="G36">
            <v>126080</v>
          </cell>
          <cell r="H36">
            <v>136166.40000000002</v>
          </cell>
          <cell r="I36">
            <v>140008</v>
          </cell>
          <cell r="J36">
            <v>151208.64000000001</v>
          </cell>
          <cell r="K36">
            <v>163305.33120000002</v>
          </cell>
          <cell r="L36">
            <v>179635.86432000002</v>
          </cell>
          <cell r="M36">
            <v>197599.45075200003</v>
          </cell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</row>
        <row r="38">
          <cell r="E38" t="str">
            <v>Alat Sensus</v>
          </cell>
          <cell r="F38" t="str">
            <v>Set</v>
          </cell>
          <cell r="G38"/>
          <cell r="H38"/>
          <cell r="I38"/>
          <cell r="J38"/>
          <cell r="K38"/>
          <cell r="L38"/>
          <cell r="M38"/>
        </row>
        <row r="39">
          <cell r="E39" t="str">
            <v>Anak Pancang</v>
          </cell>
          <cell r="F39" t="str">
            <v>Buah</v>
          </cell>
          <cell r="G39">
            <v>100</v>
          </cell>
          <cell r="H39">
            <v>100</v>
          </cell>
          <cell r="I39">
            <v>100</v>
          </cell>
          <cell r="J39">
            <v>108</v>
          </cell>
          <cell r="K39">
            <v>116.64000000000001</v>
          </cell>
          <cell r="L39">
            <v>125.97120000000002</v>
          </cell>
          <cell r="M39">
            <v>136.04889600000004</v>
          </cell>
        </row>
        <row r="40">
          <cell r="E40" t="str">
            <v>Angkong</v>
          </cell>
          <cell r="F40" t="str">
            <v>Buah</v>
          </cell>
          <cell r="G40"/>
          <cell r="H40">
            <v>573750</v>
          </cell>
          <cell r="I40">
            <v>537481</v>
          </cell>
          <cell r="J40">
            <v>580479.48</v>
          </cell>
          <cell r="K40">
            <v>626917.83840000001</v>
          </cell>
          <cell r="L40">
            <v>677071.265472</v>
          </cell>
          <cell r="M40">
            <v>731236.96670976002</v>
          </cell>
        </row>
        <row r="41">
          <cell r="E41" t="str">
            <v>ATK</v>
          </cell>
          <cell r="F41" t="str">
            <v>Set</v>
          </cell>
          <cell r="G41">
            <v>20000</v>
          </cell>
          <cell r="H41">
            <v>20000</v>
          </cell>
          <cell r="I41">
            <v>20000</v>
          </cell>
          <cell r="J41">
            <v>21600</v>
          </cell>
          <cell r="K41">
            <v>23328</v>
          </cell>
          <cell r="L41">
            <v>25194.240000000002</v>
          </cell>
          <cell r="M41">
            <v>27209.779200000004</v>
          </cell>
        </row>
        <row r="42">
          <cell r="E42" t="str">
            <v>Baby Bag</v>
          </cell>
          <cell r="F42" t="str">
            <v>Kg</v>
          </cell>
          <cell r="G42"/>
          <cell r="H42">
            <v>22500</v>
          </cell>
          <cell r="I42">
            <v>23523</v>
          </cell>
          <cell r="J42">
            <v>25404.84</v>
          </cell>
          <cell r="K42">
            <v>27437.227200000001</v>
          </cell>
          <cell r="L42">
            <v>29632.205376000002</v>
          </cell>
          <cell r="M42">
            <v>32002.781806080005</v>
          </cell>
        </row>
        <row r="43">
          <cell r="E43" t="str">
            <v>Batu Asah</v>
          </cell>
          <cell r="F43" t="str">
            <v>Buah</v>
          </cell>
          <cell r="G43"/>
          <cell r="H43">
            <v>8160</v>
          </cell>
          <cell r="I43">
            <v>7841.25</v>
          </cell>
          <cell r="J43">
            <v>8468.5500000000011</v>
          </cell>
          <cell r="K43">
            <v>9146.0340000000015</v>
          </cell>
          <cell r="L43">
            <v>9877.7167200000022</v>
          </cell>
          <cell r="M43">
            <v>10667.934057600003</v>
          </cell>
        </row>
        <row r="44">
          <cell r="E44" t="str">
            <v>Cados</v>
          </cell>
          <cell r="F44" t="str">
            <v>Buah</v>
          </cell>
          <cell r="G44"/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E45" t="str">
            <v>Cangkul</v>
          </cell>
          <cell r="F45" t="str">
            <v>Buah</v>
          </cell>
          <cell r="G45"/>
          <cell r="H45">
            <v>73950</v>
          </cell>
          <cell r="I45">
            <v>75798.75</v>
          </cell>
          <cell r="J45">
            <v>81862.650000000009</v>
          </cell>
          <cell r="K45">
            <v>88411.662000000011</v>
          </cell>
          <cell r="L45">
            <v>95484.594960000017</v>
          </cell>
          <cell r="M45">
            <v>103123.36255680003</v>
          </cell>
        </row>
        <row r="46">
          <cell r="E46" t="str">
            <v>Cat</v>
          </cell>
          <cell r="F46" t="str">
            <v>Kg</v>
          </cell>
          <cell r="G46"/>
          <cell r="H46">
            <v>63000</v>
          </cell>
          <cell r="I46">
            <v>65790</v>
          </cell>
          <cell r="J46">
            <v>71053.200000000012</v>
          </cell>
          <cell r="K46">
            <v>76737.45600000002</v>
          </cell>
          <cell r="L46">
            <v>82876.452480000022</v>
          </cell>
          <cell r="M46">
            <v>89506.568678400028</v>
          </cell>
        </row>
        <row r="47">
          <cell r="E47" t="str">
            <v>Celemek</v>
          </cell>
          <cell r="F47" t="str">
            <v>Buah</v>
          </cell>
          <cell r="G47">
            <v>44300</v>
          </cell>
          <cell r="H47">
            <v>42840</v>
          </cell>
          <cell r="I47">
            <v>42840</v>
          </cell>
          <cell r="J47">
            <v>46267.200000000004</v>
          </cell>
          <cell r="K47">
            <v>49968.576000000008</v>
          </cell>
          <cell r="L47">
            <v>53966.062080000011</v>
          </cell>
          <cell r="M47">
            <v>58283.347046400013</v>
          </cell>
        </row>
        <row r="48">
          <cell r="E48" t="str">
            <v>Dodos 3"</v>
          </cell>
          <cell r="F48" t="str">
            <v>Buah</v>
          </cell>
          <cell r="G48"/>
          <cell r="H48">
            <v>73930</v>
          </cell>
          <cell r="I48">
            <v>66380.89</v>
          </cell>
          <cell r="J48">
            <v>71691.361199999999</v>
          </cell>
          <cell r="K48">
            <v>77426.670096000002</v>
          </cell>
          <cell r="L48">
            <v>83620.803703680009</v>
          </cell>
          <cell r="M48">
            <v>90310.467999974411</v>
          </cell>
        </row>
        <row r="49">
          <cell r="E49" t="str">
            <v>Dodos 4"</v>
          </cell>
          <cell r="F49" t="str">
            <v>Buah</v>
          </cell>
          <cell r="G49"/>
          <cell r="H49">
            <v>82620</v>
          </cell>
          <cell r="I49">
            <v>94513.2</v>
          </cell>
          <cell r="J49">
            <v>102074.25600000001</v>
          </cell>
          <cell r="K49">
            <v>110240.19648000001</v>
          </cell>
          <cell r="L49">
            <v>119059.41219840002</v>
          </cell>
          <cell r="M49">
            <v>128584.16517427203</v>
          </cell>
        </row>
        <row r="50">
          <cell r="E50" t="str">
            <v>Dodos 5"</v>
          </cell>
          <cell r="F50" t="str">
            <v>Buah</v>
          </cell>
          <cell r="G50"/>
          <cell r="H50">
            <v>91800</v>
          </cell>
          <cell r="I50">
            <v>107163.75</v>
          </cell>
          <cell r="J50">
            <v>115736.85</v>
          </cell>
          <cell r="K50">
            <v>124995.79800000001</v>
          </cell>
          <cell r="L50">
            <v>134995.46184000003</v>
          </cell>
          <cell r="M50">
            <v>145795.09878720006</v>
          </cell>
        </row>
        <row r="51">
          <cell r="E51" t="str">
            <v>Egrek Set Pool</v>
          </cell>
          <cell r="F51" t="str">
            <v>Set</v>
          </cell>
          <cell r="G51"/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E52" t="str">
            <v>Egrek Sikles</v>
          </cell>
          <cell r="F52" t="str">
            <v>Buah</v>
          </cell>
          <cell r="G52"/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E53" t="str">
            <v>Ember</v>
          </cell>
          <cell r="F53" t="str">
            <v>Buah</v>
          </cell>
          <cell r="G53">
            <v>20000</v>
          </cell>
          <cell r="H53">
            <v>20000</v>
          </cell>
          <cell r="I53">
            <v>7675.5</v>
          </cell>
          <cell r="J53">
            <v>8289.5400000000009</v>
          </cell>
          <cell r="K53">
            <v>8952.7032000000017</v>
          </cell>
          <cell r="L53">
            <v>9668.9194560000033</v>
          </cell>
          <cell r="M53">
            <v>10442.433012480004</v>
          </cell>
        </row>
        <row r="54">
          <cell r="E54" t="str">
            <v>Galapool</v>
          </cell>
          <cell r="F54" t="str">
            <v>Buah</v>
          </cell>
          <cell r="G54"/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E55" t="str">
            <v>Gancu</v>
          </cell>
          <cell r="F55" t="str">
            <v>Buah</v>
          </cell>
          <cell r="G55"/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E56" t="str">
            <v>Garuk Brondolan</v>
          </cell>
          <cell r="F56" t="str">
            <v>Buah</v>
          </cell>
          <cell r="G56"/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E57" t="str">
            <v>GPS</v>
          </cell>
          <cell r="F57" t="str">
            <v>Buah</v>
          </cell>
          <cell r="G57"/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E58" t="str">
            <v>Helm</v>
          </cell>
          <cell r="F58" t="str">
            <v>Buah</v>
          </cell>
          <cell r="G58">
            <v>47250</v>
          </cell>
          <cell r="H58">
            <v>47250</v>
          </cell>
          <cell r="I58">
            <v>47124</v>
          </cell>
          <cell r="J58">
            <v>50893.920000000006</v>
          </cell>
          <cell r="K58">
            <v>54965.433600000011</v>
          </cell>
          <cell r="L58">
            <v>59362.668288000015</v>
          </cell>
          <cell r="M58">
            <v>64111.681751040021</v>
          </cell>
        </row>
        <row r="59">
          <cell r="E59" t="str">
            <v>Jas Hujan</v>
          </cell>
          <cell r="F59" t="str">
            <v>Buah</v>
          </cell>
          <cell r="G59"/>
          <cell r="H59">
            <v>0</v>
          </cell>
          <cell r="I59">
            <v>283815</v>
          </cell>
          <cell r="J59">
            <v>306520.2</v>
          </cell>
          <cell r="K59">
            <v>331041.81600000005</v>
          </cell>
          <cell r="L59">
            <v>357525.16128000006</v>
          </cell>
          <cell r="M59">
            <v>386127.17418240011</v>
          </cell>
        </row>
        <row r="60">
          <cell r="E60" t="str">
            <v>Kaca Mata</v>
          </cell>
          <cell r="F60" t="str">
            <v>Buah</v>
          </cell>
          <cell r="G60"/>
          <cell r="H60">
            <v>20400</v>
          </cell>
          <cell r="I60">
            <v>37485</v>
          </cell>
          <cell r="J60">
            <v>40483.800000000003</v>
          </cell>
          <cell r="K60">
            <v>43722.504000000008</v>
          </cell>
          <cell r="L60">
            <v>47220.30432000001</v>
          </cell>
          <cell r="M60">
            <v>50997.928665600011</v>
          </cell>
        </row>
        <row r="61">
          <cell r="E61" t="str">
            <v>Kapak Panen</v>
          </cell>
          <cell r="F61" t="str">
            <v>Buah</v>
          </cell>
          <cell r="G61"/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E62" t="str">
            <v>Kompas</v>
          </cell>
          <cell r="F62" t="str">
            <v>Buah</v>
          </cell>
          <cell r="G62"/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E63" t="str">
            <v>Kuas</v>
          </cell>
          <cell r="F63" t="str">
            <v>Buah</v>
          </cell>
          <cell r="G63"/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E64" t="str">
            <v>Large Bag</v>
          </cell>
          <cell r="F64" t="str">
            <v>Kg</v>
          </cell>
          <cell r="G64"/>
          <cell r="H64">
            <v>45000</v>
          </cell>
          <cell r="I64">
            <v>22478.25</v>
          </cell>
          <cell r="J64">
            <v>24276.510000000002</v>
          </cell>
          <cell r="K64">
            <v>26218.630800000003</v>
          </cell>
          <cell r="L64">
            <v>28316.121264000005</v>
          </cell>
          <cell r="M64">
            <v>30581.410965120009</v>
          </cell>
        </row>
        <row r="65">
          <cell r="E65" t="str">
            <v>Masker Chemical</v>
          </cell>
          <cell r="F65" t="str">
            <v>Buah</v>
          </cell>
          <cell r="G65"/>
          <cell r="H65">
            <v>2040</v>
          </cell>
          <cell r="I65">
            <v>14000</v>
          </cell>
          <cell r="J65">
            <v>15120.000000000002</v>
          </cell>
          <cell r="K65">
            <v>16329.600000000002</v>
          </cell>
          <cell r="L65">
            <v>17635.968000000004</v>
          </cell>
          <cell r="M65">
            <v>19046.845440000005</v>
          </cell>
        </row>
        <row r="66">
          <cell r="E66" t="str">
            <v>Material Instalasi Air</v>
          </cell>
          <cell r="F66" t="str">
            <v>Set</v>
          </cell>
          <cell r="G66"/>
          <cell r="H66">
            <v>40436631.571428575</v>
          </cell>
          <cell r="I66">
            <v>40436631.571428575</v>
          </cell>
          <cell r="J66">
            <v>43671562.09714286</v>
          </cell>
          <cell r="K66">
            <v>47165287.064914294</v>
          </cell>
          <cell r="L66">
            <v>50938510.030107439</v>
          </cell>
          <cell r="M66">
            <v>55013590.832516037</v>
          </cell>
        </row>
        <row r="67">
          <cell r="E67" t="str">
            <v>Material Pondok Hujan</v>
          </cell>
          <cell r="F67" t="str">
            <v>Unit</v>
          </cell>
          <cell r="G67"/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E68" t="str">
            <v>Meteran</v>
          </cell>
          <cell r="F68" t="str">
            <v>Buah</v>
          </cell>
          <cell r="G68"/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E69" t="str">
            <v>Micron Herbi (MHS)</v>
          </cell>
          <cell r="F69" t="str">
            <v>Buah</v>
          </cell>
          <cell r="G69"/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E70" t="str">
            <v>Paku Ulin</v>
          </cell>
          <cell r="F70" t="str">
            <v>Kg</v>
          </cell>
          <cell r="G70"/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E71" t="str">
            <v>Papan</v>
          </cell>
          <cell r="F71" t="str">
            <v>M3</v>
          </cell>
          <cell r="G71"/>
          <cell r="H71">
            <v>2025000</v>
          </cell>
          <cell r="I71">
            <v>2025000</v>
          </cell>
          <cell r="J71">
            <v>2187000</v>
          </cell>
          <cell r="K71">
            <v>2361960</v>
          </cell>
          <cell r="L71">
            <v>2550916.8000000003</v>
          </cell>
          <cell r="M71">
            <v>2754990.1440000003</v>
          </cell>
        </row>
        <row r="72">
          <cell r="E72" t="str">
            <v>Paranet</v>
          </cell>
          <cell r="F72" t="str">
            <v>Rol</v>
          </cell>
          <cell r="G72"/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E73" t="str">
            <v>Parang</v>
          </cell>
          <cell r="F73" t="str">
            <v>Buah</v>
          </cell>
          <cell r="G73"/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E74" t="str">
            <v>Pengki Brondolan</v>
          </cell>
          <cell r="F74" t="str">
            <v>Buah</v>
          </cell>
          <cell r="G74"/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E75" t="str">
            <v>Sarung Dodos</v>
          </cell>
          <cell r="F75" t="str">
            <v>Buah</v>
          </cell>
          <cell r="G75"/>
          <cell r="H75">
            <v>37434</v>
          </cell>
          <cell r="I75">
            <v>51229.5</v>
          </cell>
          <cell r="J75">
            <v>55327.86</v>
          </cell>
          <cell r="K75">
            <v>59754.088800000005</v>
          </cell>
          <cell r="L75">
            <v>64534.415904000009</v>
          </cell>
          <cell r="M75">
            <v>69697.169176320007</v>
          </cell>
        </row>
        <row r="76">
          <cell r="E76" t="str">
            <v>Sarung Egrek</v>
          </cell>
          <cell r="F76" t="str">
            <v>Buah</v>
          </cell>
          <cell r="G76"/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E77" t="str">
            <v>Sarung Tangan Kain</v>
          </cell>
          <cell r="F77" t="str">
            <v>Buah</v>
          </cell>
          <cell r="G77"/>
          <cell r="H77">
            <v>0</v>
          </cell>
          <cell r="I77">
            <v>2677.5</v>
          </cell>
          <cell r="J77">
            <v>2891.7000000000003</v>
          </cell>
          <cell r="K77">
            <v>3123.0360000000005</v>
          </cell>
          <cell r="L77">
            <v>3372.8788800000007</v>
          </cell>
          <cell r="M77">
            <v>3642.7091904000008</v>
          </cell>
        </row>
        <row r="78">
          <cell r="E78" t="str">
            <v>Sarung Tangan Karet</v>
          </cell>
          <cell r="F78" t="str">
            <v>Buah</v>
          </cell>
          <cell r="G78"/>
          <cell r="H78">
            <v>30600</v>
          </cell>
          <cell r="I78">
            <v>32130</v>
          </cell>
          <cell r="J78">
            <v>34700.400000000001</v>
          </cell>
          <cell r="K78">
            <v>37476.432000000001</v>
          </cell>
          <cell r="L78">
            <v>40474.546560000003</v>
          </cell>
          <cell r="M78">
            <v>43712.510284800002</v>
          </cell>
        </row>
        <row r="79">
          <cell r="E79" t="str">
            <v>Sepatu Boots</v>
          </cell>
          <cell r="F79" t="str">
            <v>Buah</v>
          </cell>
          <cell r="G79"/>
          <cell r="H79">
            <v>77520</v>
          </cell>
          <cell r="I79">
            <v>85680</v>
          </cell>
          <cell r="J79">
            <v>92534.400000000009</v>
          </cell>
          <cell r="K79">
            <v>99937.152000000016</v>
          </cell>
          <cell r="L79">
            <v>107932.12416000002</v>
          </cell>
          <cell r="M79">
            <v>116566.69409280003</v>
          </cell>
        </row>
        <row r="80">
          <cell r="E80" t="str">
            <v>Sepatu Safety</v>
          </cell>
          <cell r="F80" t="str">
            <v>Buah</v>
          </cell>
          <cell r="G80"/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E81" t="str">
            <v>Sprayer (Inter)</v>
          </cell>
          <cell r="F81" t="str">
            <v>Buah</v>
          </cell>
          <cell r="G81"/>
          <cell r="H81">
            <v>1333140</v>
          </cell>
          <cell r="I81">
            <v>1366468.5</v>
          </cell>
          <cell r="J81">
            <v>1475785.98</v>
          </cell>
          <cell r="K81">
            <v>1593848.8584</v>
          </cell>
          <cell r="L81">
            <v>1721356.7670720001</v>
          </cell>
          <cell r="M81">
            <v>1859065.3084377602</v>
          </cell>
        </row>
        <row r="82">
          <cell r="E82" t="str">
            <v>Sprayer (Solo)</v>
          </cell>
          <cell r="F82" t="str">
            <v>Buah</v>
          </cell>
          <cell r="G82"/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E83" t="str">
            <v>Takaran Pupuk</v>
          </cell>
          <cell r="F83" t="str">
            <v>Buah</v>
          </cell>
          <cell r="G83">
            <v>5000</v>
          </cell>
          <cell r="H83">
            <v>5000</v>
          </cell>
          <cell r="I83">
            <v>5000</v>
          </cell>
          <cell r="J83">
            <v>5400</v>
          </cell>
          <cell r="K83">
            <v>5832</v>
          </cell>
          <cell r="L83">
            <v>6298.56</v>
          </cell>
          <cell r="M83">
            <v>6802.4448000000011</v>
          </cell>
        </row>
        <row r="84">
          <cell r="E84" t="str">
            <v>Tiang Kayu Bibitan</v>
          </cell>
          <cell r="F84" t="str">
            <v>Batang</v>
          </cell>
          <cell r="G84"/>
          <cell r="H84">
            <v>20000</v>
          </cell>
          <cell r="I84">
            <v>30000</v>
          </cell>
          <cell r="J84">
            <v>32400.000000000004</v>
          </cell>
          <cell r="K84">
            <v>34992.000000000007</v>
          </cell>
          <cell r="L84">
            <v>37791.360000000008</v>
          </cell>
          <cell r="M84">
            <v>40814.668800000014</v>
          </cell>
        </row>
        <row r="85">
          <cell r="E85" t="str">
            <v>Tojok</v>
          </cell>
          <cell r="F85" t="str">
            <v>Buah</v>
          </cell>
          <cell r="G85"/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E86" t="str">
            <v>Marshal</v>
          </cell>
          <cell r="F86"/>
          <cell r="G86"/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E87" t="str">
            <v>Ferotrap</v>
          </cell>
          <cell r="F87" t="str">
            <v>Buah</v>
          </cell>
          <cell r="G87">
            <v>50000</v>
          </cell>
          <cell r="H87">
            <v>50000</v>
          </cell>
          <cell r="I87">
            <v>50000</v>
          </cell>
          <cell r="J87">
            <v>54000</v>
          </cell>
          <cell r="K87">
            <v>58320.000000000007</v>
          </cell>
          <cell r="L87">
            <v>62985.600000000013</v>
          </cell>
          <cell r="M87">
            <v>68024.448000000019</v>
          </cell>
        </row>
        <row r="88">
          <cell r="E88" t="str">
            <v>Plastik Hitam</v>
          </cell>
          <cell r="F88" t="str">
            <v>Mtr</v>
          </cell>
          <cell r="G88"/>
          <cell r="H88">
            <v>2332</v>
          </cell>
          <cell r="I88">
            <v>3000</v>
          </cell>
          <cell r="J88">
            <v>3240</v>
          </cell>
          <cell r="K88">
            <v>3499.2000000000003</v>
          </cell>
          <cell r="L88">
            <v>3779.1360000000004</v>
          </cell>
          <cell r="M88">
            <v>4081.4668800000009</v>
          </cell>
        </row>
        <row r="89">
          <cell r="E89" t="str">
            <v>Patok Kayu</v>
          </cell>
          <cell r="F89" t="str">
            <v>Btg</v>
          </cell>
          <cell r="G89"/>
          <cell r="H89">
            <v>2120</v>
          </cell>
          <cell r="I89">
            <v>20000</v>
          </cell>
          <cell r="J89">
            <v>21600</v>
          </cell>
          <cell r="K89">
            <v>23328</v>
          </cell>
          <cell r="L89">
            <v>25194.240000000002</v>
          </cell>
          <cell r="M89">
            <v>27209.779200000004</v>
          </cell>
        </row>
        <row r="90">
          <cell r="E90" t="str">
            <v>Kawat Duri</v>
          </cell>
          <cell r="F90" t="str">
            <v>Mtr</v>
          </cell>
          <cell r="G90"/>
          <cell r="H90">
            <v>2320</v>
          </cell>
          <cell r="I90">
            <v>158992.5</v>
          </cell>
          <cell r="J90">
            <v>171711.90000000002</v>
          </cell>
          <cell r="K90">
            <v>185448.85200000004</v>
          </cell>
          <cell r="L90">
            <v>200284.76016000006</v>
          </cell>
          <cell r="M90">
            <v>216307.54097280008</v>
          </cell>
        </row>
        <row r="91">
          <cell r="E91" t="str">
            <v>Paku 1"</v>
          </cell>
          <cell r="F91" t="str">
            <v>Kg</v>
          </cell>
          <cell r="G91"/>
          <cell r="H91">
            <v>11000</v>
          </cell>
          <cell r="I91">
            <v>18092.25</v>
          </cell>
          <cell r="J91">
            <v>19539.63</v>
          </cell>
          <cell r="K91">
            <v>21102.800400000004</v>
          </cell>
          <cell r="L91">
            <v>22791.024432000006</v>
          </cell>
          <cell r="M91">
            <v>24614.306386560009</v>
          </cell>
        </row>
        <row r="92">
          <cell r="E92" t="str">
            <v>Paku 2.5"</v>
          </cell>
          <cell r="F92" t="str">
            <v>Kg</v>
          </cell>
          <cell r="G92"/>
          <cell r="H92">
            <v>11000</v>
          </cell>
          <cell r="I92">
            <v>16447.5</v>
          </cell>
          <cell r="J92">
            <v>17763.300000000003</v>
          </cell>
          <cell r="K92">
            <v>19184.364000000005</v>
          </cell>
          <cell r="L92">
            <v>20719.113120000005</v>
          </cell>
          <cell r="M92">
            <v>22376.642169600007</v>
          </cell>
        </row>
        <row r="93">
          <cell r="E93" t="str">
            <v>Paranet</v>
          </cell>
          <cell r="F93" t="str">
            <v>Rol</v>
          </cell>
          <cell r="G93"/>
          <cell r="H93">
            <v>850000</v>
          </cell>
          <cell r="I93">
            <v>1130270.29</v>
          </cell>
          <cell r="J93">
            <v>1243297.3190000001</v>
          </cell>
          <cell r="K93">
            <v>1367627.0509000001</v>
          </cell>
          <cell r="L93">
            <v>1504389.7559900002</v>
          </cell>
          <cell r="M93">
            <v>1654828.7315890004</v>
          </cell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</row>
        <row r="97">
          <cell r="E97" t="str">
            <v>Glyphosate</v>
          </cell>
          <cell r="F97" t="str">
            <v>Liter</v>
          </cell>
          <cell r="G97">
            <v>32000</v>
          </cell>
          <cell r="H97">
            <v>77112</v>
          </cell>
          <cell r="I97">
            <v>36352.800000000003</v>
          </cell>
          <cell r="J97">
            <v>38897.496000000006</v>
          </cell>
          <cell r="K97">
            <v>41620.320720000011</v>
          </cell>
          <cell r="L97">
            <v>44533.743170400012</v>
          </cell>
          <cell r="M97">
            <v>47651.105192328017</v>
          </cell>
        </row>
        <row r="98">
          <cell r="E98" t="str">
            <v>Metil Metsulfuron</v>
          </cell>
          <cell r="F98" t="str">
            <v>Kg</v>
          </cell>
          <cell r="G98">
            <v>145000</v>
          </cell>
          <cell r="H98">
            <v>107100</v>
          </cell>
          <cell r="I98">
            <v>99144</v>
          </cell>
          <cell r="J98">
            <v>106084.08</v>
          </cell>
          <cell r="K98">
            <v>113509.96560000001</v>
          </cell>
          <cell r="L98">
            <v>121455.66319200002</v>
          </cell>
          <cell r="M98">
            <v>129957.55961544003</v>
          </cell>
        </row>
        <row r="99">
          <cell r="E99" t="str">
            <v>Perekat</v>
          </cell>
          <cell r="F99" t="str">
            <v>Liter</v>
          </cell>
          <cell r="G99">
            <v>65000</v>
          </cell>
          <cell r="H99">
            <v>70311.149999999994</v>
          </cell>
          <cell r="I99">
            <v>46267.199999999997</v>
          </cell>
          <cell r="J99">
            <v>49505.904000000002</v>
          </cell>
          <cell r="K99">
            <v>52971.317280000003</v>
          </cell>
          <cell r="L99">
            <v>56679.309489600004</v>
          </cell>
          <cell r="M99">
            <v>60646.861153872007</v>
          </cell>
        </row>
        <row r="100">
          <cell r="E100" t="str">
            <v>Parakuat</v>
          </cell>
          <cell r="F100" t="str">
            <v>Liter</v>
          </cell>
          <cell r="G100">
            <v>40500</v>
          </cell>
          <cell r="H100">
            <v>48730.5</v>
          </cell>
          <cell r="I100">
            <v>29192.400000000001</v>
          </cell>
          <cell r="J100">
            <v>31235.868000000002</v>
          </cell>
          <cell r="K100">
            <v>33422.378760000007</v>
          </cell>
          <cell r="L100">
            <v>35761.945273200006</v>
          </cell>
          <cell r="M100">
            <v>38265.281442324012</v>
          </cell>
        </row>
        <row r="101">
          <cell r="E101" t="str">
            <v>Triclophir</v>
          </cell>
          <cell r="F101" t="str">
            <v>Liter</v>
          </cell>
          <cell r="G101">
            <v>165000</v>
          </cell>
          <cell r="H101">
            <v>174573</v>
          </cell>
          <cell r="I101">
            <v>194983.2</v>
          </cell>
          <cell r="J101">
            <v>208632.02400000003</v>
          </cell>
          <cell r="K101">
            <v>223236.26568000004</v>
          </cell>
          <cell r="L101">
            <v>238862.80427760005</v>
          </cell>
          <cell r="M101">
            <v>255583.20057703208</v>
          </cell>
        </row>
        <row r="102">
          <cell r="E102" t="str">
            <v>Rodentisida</v>
          </cell>
          <cell r="F102" t="str">
            <v>Kg</v>
          </cell>
          <cell r="G102">
            <v>29500</v>
          </cell>
          <cell r="H102">
            <v>29988</v>
          </cell>
          <cell r="I102">
            <v>35251.199999999997</v>
          </cell>
          <cell r="J102">
            <v>37718.784</v>
          </cell>
          <cell r="K102">
            <v>40359.098880000005</v>
          </cell>
          <cell r="L102">
            <v>43184.235801600007</v>
          </cell>
          <cell r="M102">
            <v>46207.132307712011</v>
          </cell>
        </row>
        <row r="103">
          <cell r="E103" t="str">
            <v>Decis</v>
          </cell>
          <cell r="F103" t="str">
            <v>Liter</v>
          </cell>
          <cell r="G103">
            <v>175000</v>
          </cell>
          <cell r="H103">
            <v>187425</v>
          </cell>
          <cell r="I103">
            <v>107100</v>
          </cell>
          <cell r="J103">
            <v>114597</v>
          </cell>
          <cell r="K103">
            <v>122618.79000000001</v>
          </cell>
          <cell r="L103">
            <v>131202.10530000002</v>
          </cell>
          <cell r="M103">
            <v>140386.25267100002</v>
          </cell>
        </row>
        <row r="104">
          <cell r="E104" t="str">
            <v>Becano</v>
          </cell>
          <cell r="F104" t="str">
            <v>Liter</v>
          </cell>
          <cell r="G104">
            <v>1467000</v>
          </cell>
          <cell r="H104">
            <v>1606500</v>
          </cell>
          <cell r="I104">
            <v>1652400</v>
          </cell>
          <cell r="J104">
            <v>1768068</v>
          </cell>
          <cell r="K104">
            <v>1891832.76</v>
          </cell>
          <cell r="L104">
            <v>2024261.0532000002</v>
          </cell>
          <cell r="M104">
            <v>2165959.3269240004</v>
          </cell>
        </row>
        <row r="105">
          <cell r="E105" t="str">
            <v>Furadan</v>
          </cell>
          <cell r="F105" t="str">
            <v>Kg</v>
          </cell>
          <cell r="G105">
            <v>15250</v>
          </cell>
          <cell r="H105">
            <v>16012.5</v>
          </cell>
          <cell r="I105">
            <v>21398.58</v>
          </cell>
          <cell r="J105">
            <v>22896.480600000003</v>
          </cell>
          <cell r="K105">
            <v>24499.234242000006</v>
          </cell>
          <cell r="L105">
            <v>26214.180638940008</v>
          </cell>
          <cell r="M105">
            <v>28049.173283665812</v>
          </cell>
        </row>
        <row r="106">
          <cell r="E106" t="str">
            <v>Marfu</v>
          </cell>
          <cell r="F106" t="str">
            <v>Liter</v>
          </cell>
          <cell r="G106"/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E107" t="str">
            <v>Asefat</v>
          </cell>
          <cell r="F107" t="str">
            <v>Kg</v>
          </cell>
          <cell r="G107">
            <v>209000</v>
          </cell>
          <cell r="H107">
            <v>219450</v>
          </cell>
          <cell r="I107">
            <v>140619.24</v>
          </cell>
          <cell r="J107">
            <v>150462.58679999999</v>
          </cell>
          <cell r="K107">
            <v>160994.96787600001</v>
          </cell>
          <cell r="L107">
            <v>172264.61562732002</v>
          </cell>
          <cell r="M107">
            <v>184323.13872123242</v>
          </cell>
        </row>
        <row r="108">
          <cell r="E108" t="str">
            <v>Dithane</v>
          </cell>
          <cell r="F108" t="str">
            <v>Ltr</v>
          </cell>
          <cell r="G108"/>
          <cell r="H108">
            <v>150000</v>
          </cell>
          <cell r="I108">
            <v>92000</v>
          </cell>
          <cell r="J108">
            <v>98440</v>
          </cell>
          <cell r="K108">
            <v>105330.8</v>
          </cell>
          <cell r="L108">
            <v>112703.95600000001</v>
          </cell>
          <cell r="M108">
            <v>120593.23292000001</v>
          </cell>
        </row>
        <row r="109">
          <cell r="E109" t="str">
            <v>Sevin</v>
          </cell>
          <cell r="F109" t="str">
            <v>Liter</v>
          </cell>
          <cell r="G109"/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E110" t="str">
            <v>Pheromone</v>
          </cell>
          <cell r="F110" t="str">
            <v>Sct</v>
          </cell>
          <cell r="G110">
            <v>78100</v>
          </cell>
          <cell r="H110">
            <v>83538</v>
          </cell>
          <cell r="I110">
            <v>73807.199999999997</v>
          </cell>
          <cell r="J110">
            <v>78973.703999999998</v>
          </cell>
          <cell r="K110">
            <v>84501.863280000005</v>
          </cell>
          <cell r="L110">
            <v>90416.993709600007</v>
          </cell>
          <cell r="M110">
            <v>96746.18326927202</v>
          </cell>
        </row>
        <row r="111">
          <cell r="E111" t="str">
            <v>Capture</v>
          </cell>
          <cell r="F111" t="str">
            <v>Liter</v>
          </cell>
          <cell r="G111"/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E112" t="str">
            <v>Bayleton</v>
          </cell>
          <cell r="F112" t="str">
            <v>Liter</v>
          </cell>
          <cell r="G112"/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E113" t="str">
            <v>Omite</v>
          </cell>
          <cell r="F113" t="str">
            <v>Liter</v>
          </cell>
          <cell r="G113"/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E114" t="str">
            <v>Kapur Barus</v>
          </cell>
          <cell r="F114" t="str">
            <v>Pak</v>
          </cell>
          <cell r="G114"/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E115" t="str">
            <v>Deltametrin</v>
          </cell>
          <cell r="F115" t="str">
            <v>Liter</v>
          </cell>
          <cell r="G115"/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E116" t="str">
            <v>Harad</v>
          </cell>
          <cell r="F116" t="str">
            <v>Kg</v>
          </cell>
          <cell r="G116"/>
          <cell r="H116">
            <v>150000</v>
          </cell>
          <cell r="I116">
            <v>150000</v>
          </cell>
          <cell r="J116">
            <v>160500</v>
          </cell>
          <cell r="K116">
            <v>171735</v>
          </cell>
          <cell r="L116">
            <v>183756.45</v>
          </cell>
          <cell r="M116">
            <v>196619.40150000004</v>
          </cell>
        </row>
        <row r="117">
          <cell r="E117" t="str">
            <v>Antracol</v>
          </cell>
          <cell r="F117" t="str">
            <v>Liter</v>
          </cell>
          <cell r="G117"/>
          <cell r="H117">
            <v>108000</v>
          </cell>
          <cell r="I117">
            <v>135000</v>
          </cell>
          <cell r="J117">
            <v>144450</v>
          </cell>
          <cell r="K117">
            <v>154561.5</v>
          </cell>
          <cell r="L117">
            <v>165380.80500000002</v>
          </cell>
          <cell r="M117">
            <v>176957.46135000003</v>
          </cell>
        </row>
        <row r="118">
          <cell r="E118" t="str">
            <v>Trichoderma</v>
          </cell>
          <cell r="F118" t="str">
            <v>Kg</v>
          </cell>
          <cell r="G118"/>
          <cell r="H118">
            <v>11245.5</v>
          </cell>
          <cell r="I118">
            <v>24786</v>
          </cell>
          <cell r="J118">
            <v>26521.02</v>
          </cell>
          <cell r="K118">
            <v>28377.491400000003</v>
          </cell>
          <cell r="L118">
            <v>30363.915798000005</v>
          </cell>
          <cell r="M118">
            <v>32489.389903860007</v>
          </cell>
        </row>
        <row r="119">
          <cell r="E119" t="str">
            <v>Metharizium</v>
          </cell>
          <cell r="F119" t="str">
            <v>Kg</v>
          </cell>
          <cell r="G119"/>
          <cell r="H119">
            <v>50000</v>
          </cell>
          <cell r="I119">
            <v>67000</v>
          </cell>
          <cell r="J119">
            <v>71690</v>
          </cell>
          <cell r="K119">
            <v>76708.3</v>
          </cell>
          <cell r="L119">
            <v>82077.881000000008</v>
          </cell>
          <cell r="M119">
            <v>87823.332670000018</v>
          </cell>
        </row>
        <row r="120">
          <cell r="E120" t="str">
            <v>Kuproxite</v>
          </cell>
          <cell r="F120" t="str">
            <v>Kg</v>
          </cell>
          <cell r="G120"/>
          <cell r="H120"/>
          <cell r="I120"/>
          <cell r="J120"/>
          <cell r="K120"/>
          <cell r="L120"/>
          <cell r="M120"/>
        </row>
        <row r="121">
          <cell r="E121"/>
          <cell r="F121"/>
          <cell r="G121"/>
          <cell r="H121"/>
          <cell r="I121"/>
          <cell r="J121"/>
          <cell r="K121"/>
          <cell r="L121"/>
          <cell r="M121"/>
        </row>
        <row r="122">
          <cell r="E122" t="str">
            <v>Urea</v>
          </cell>
          <cell r="F122" t="str">
            <v>Kg</v>
          </cell>
          <cell r="G122"/>
          <cell r="H122">
            <v>6600</v>
          </cell>
          <cell r="I122">
            <v>5820</v>
          </cell>
          <cell r="J122">
            <v>6402.0000000000009</v>
          </cell>
          <cell r="K122">
            <v>7042.2000000000016</v>
          </cell>
          <cell r="L122">
            <v>7746.4200000000028</v>
          </cell>
          <cell r="M122">
            <v>8521.0620000000035</v>
          </cell>
        </row>
        <row r="123">
          <cell r="E123" t="str">
            <v>Rock Phosphate</v>
          </cell>
          <cell r="F123" t="str">
            <v>Kg</v>
          </cell>
          <cell r="G123"/>
          <cell r="H123">
            <v>1417.5</v>
          </cell>
          <cell r="I123">
            <v>2300</v>
          </cell>
          <cell r="J123">
            <v>2530</v>
          </cell>
          <cell r="K123">
            <v>2783</v>
          </cell>
          <cell r="L123">
            <v>3061.3</v>
          </cell>
          <cell r="M123">
            <v>3367.4300000000003</v>
          </cell>
        </row>
        <row r="124">
          <cell r="E124" t="str">
            <v>MOP</v>
          </cell>
          <cell r="F124" t="str">
            <v>Kg</v>
          </cell>
          <cell r="G124"/>
          <cell r="H124"/>
          <cell r="I124"/>
          <cell r="J124"/>
          <cell r="K124"/>
          <cell r="L124"/>
          <cell r="M124"/>
        </row>
        <row r="125">
          <cell r="E125" t="str">
            <v>Kieserite</v>
          </cell>
          <cell r="F125" t="str">
            <v>Kg</v>
          </cell>
          <cell r="G125"/>
          <cell r="H125">
            <v>0</v>
          </cell>
          <cell r="I125">
            <v>3328.6680000000001</v>
          </cell>
          <cell r="J125">
            <v>3661.5348000000004</v>
          </cell>
          <cell r="K125">
            <v>4027.6882800000008</v>
          </cell>
          <cell r="L125">
            <v>4430.4571080000014</v>
          </cell>
          <cell r="M125">
            <v>4873.5028188000024</v>
          </cell>
        </row>
        <row r="126">
          <cell r="E126" t="str">
            <v>Hayati</v>
          </cell>
          <cell r="F126" t="str">
            <v>Kg</v>
          </cell>
          <cell r="G126"/>
          <cell r="H126"/>
          <cell r="I126">
            <v>5354.5</v>
          </cell>
          <cell r="J126">
            <v>5889.9500000000007</v>
          </cell>
          <cell r="K126">
            <v>6478.9450000000015</v>
          </cell>
          <cell r="L126">
            <v>7126.8395000000019</v>
          </cell>
          <cell r="M126">
            <v>7839.5234500000024</v>
          </cell>
        </row>
        <row r="127">
          <cell r="E127" t="str">
            <v>Organik</v>
          </cell>
          <cell r="F127" t="str">
            <v>Kg</v>
          </cell>
          <cell r="G127"/>
          <cell r="H127"/>
          <cell r="I127"/>
          <cell r="J127"/>
          <cell r="K127"/>
          <cell r="L127"/>
          <cell r="M127"/>
        </row>
        <row r="128">
          <cell r="E128" t="str">
            <v>NPK 17.8.19+1.5TE</v>
          </cell>
          <cell r="F128" t="str">
            <v>Kg</v>
          </cell>
          <cell r="G128"/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E129" t="str">
            <v>NPK 12-12-17-2+TE</v>
          </cell>
          <cell r="F129" t="str">
            <v>Kg</v>
          </cell>
          <cell r="G129"/>
          <cell r="H129">
            <v>8250</v>
          </cell>
          <cell r="I129">
            <v>6152.5</v>
          </cell>
          <cell r="J129">
            <v>6767.7500000000009</v>
          </cell>
          <cell r="K129">
            <v>7444.5250000000015</v>
          </cell>
          <cell r="L129">
            <v>8188.9775000000027</v>
          </cell>
          <cell r="M129">
            <v>9007.8752500000046</v>
          </cell>
        </row>
        <row r="130">
          <cell r="E130" t="str">
            <v>NPK 13-6-27-4+0.65B</v>
          </cell>
          <cell r="F130" t="str">
            <v>Kg</v>
          </cell>
          <cell r="G130"/>
          <cell r="H130"/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E131" t="str">
            <v>NPK 15-15-6-4+TE</v>
          </cell>
          <cell r="F131" t="str">
            <v>Kg</v>
          </cell>
          <cell r="G131"/>
          <cell r="H131">
            <v>8000</v>
          </cell>
          <cell r="I131">
            <v>5955.94</v>
          </cell>
          <cell r="J131">
            <v>6551.5339999999997</v>
          </cell>
          <cell r="K131">
            <v>7206.6873999999998</v>
          </cell>
          <cell r="L131">
            <v>7927.3561400000008</v>
          </cell>
          <cell r="M131">
            <v>8720.0917540000009</v>
          </cell>
        </row>
        <row r="132">
          <cell r="E132" t="str">
            <v>CRF</v>
          </cell>
          <cell r="F132" t="str">
            <v>Kg</v>
          </cell>
          <cell r="G132"/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E133" t="str">
            <v>Bayfolan</v>
          </cell>
          <cell r="F133" t="str">
            <v>Liter</v>
          </cell>
          <cell r="G133"/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E134" t="str">
            <v>Sawitree</v>
          </cell>
          <cell r="F134" t="str">
            <v>Kg</v>
          </cell>
          <cell r="G134"/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E135" t="str">
            <v>Briket</v>
          </cell>
          <cell r="F135" t="str">
            <v>Kg</v>
          </cell>
          <cell r="G135"/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E136" t="str">
            <v>Zincopper</v>
          </cell>
          <cell r="F136" t="str">
            <v>Kg</v>
          </cell>
          <cell r="G136"/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E137" t="str">
            <v>Dolomite</v>
          </cell>
          <cell r="F137" t="str">
            <v>Kg</v>
          </cell>
          <cell r="G137"/>
          <cell r="H137">
            <v>819</v>
          </cell>
          <cell r="I137">
            <v>870</v>
          </cell>
          <cell r="J137">
            <v>957.00000000000011</v>
          </cell>
          <cell r="K137">
            <v>1052.7000000000003</v>
          </cell>
          <cell r="L137">
            <v>1157.9700000000005</v>
          </cell>
          <cell r="M137">
            <v>1273.7670000000007</v>
          </cell>
        </row>
        <row r="138">
          <cell r="E138" t="str">
            <v>NPK BRIKET 15-15-6-4</v>
          </cell>
          <cell r="F138" t="str">
            <v>Kg</v>
          </cell>
          <cell r="G138"/>
          <cell r="H138">
            <v>7317</v>
          </cell>
          <cell r="I138">
            <v>5955.94</v>
          </cell>
          <cell r="J138">
            <v>6551.5339999999997</v>
          </cell>
          <cell r="K138">
            <v>7206.6873999999998</v>
          </cell>
          <cell r="L138">
            <v>7927.3561400000008</v>
          </cell>
          <cell r="M138">
            <v>8720.0917540000009</v>
          </cell>
        </row>
        <row r="139">
          <cell r="E139" t="str">
            <v>NPK TABLET 15-15-15-1-3+TE</v>
          </cell>
          <cell r="F139" t="str">
            <v>Kg</v>
          </cell>
          <cell r="G139"/>
          <cell r="H139">
            <v>16452</v>
          </cell>
          <cell r="I139">
            <v>27310</v>
          </cell>
          <cell r="J139">
            <v>30041.000000000004</v>
          </cell>
          <cell r="K139">
            <v>33045.100000000006</v>
          </cell>
          <cell r="L139">
            <v>36349.610000000008</v>
          </cell>
          <cell r="M139">
            <v>39984.571000000011</v>
          </cell>
        </row>
        <row r="140">
          <cell r="E140" t="str">
            <v>EMCOT</v>
          </cell>
          <cell r="F140" t="str">
            <v>Kg</v>
          </cell>
          <cell r="G140"/>
          <cell r="H140">
            <v>44000</v>
          </cell>
          <cell r="I140">
            <v>44000</v>
          </cell>
          <cell r="J140">
            <v>48400.000000000007</v>
          </cell>
          <cell r="K140">
            <v>53240.000000000015</v>
          </cell>
          <cell r="L140">
            <v>58564.000000000022</v>
          </cell>
          <cell r="M140">
            <v>64420.400000000031</v>
          </cell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</row>
        <row r="142">
          <cell r="E142" t="str">
            <v>Titi Panen 1</v>
          </cell>
          <cell r="F142" t="str">
            <v>Buah</v>
          </cell>
          <cell r="G142"/>
          <cell r="H142"/>
          <cell r="I142">
            <v>300000</v>
          </cell>
          <cell r="J142">
            <v>330000</v>
          </cell>
          <cell r="K142">
            <v>363000.00000000006</v>
          </cell>
          <cell r="L142">
            <v>399300.00000000012</v>
          </cell>
          <cell r="M142">
            <v>439230.00000000017</v>
          </cell>
        </row>
        <row r="143">
          <cell r="E143" t="str">
            <v>Titi Panen 2</v>
          </cell>
          <cell r="F143" t="str">
            <v>Buah</v>
          </cell>
          <cell r="G143"/>
          <cell r="H143"/>
          <cell r="I143">
            <v>450000</v>
          </cell>
          <cell r="J143">
            <v>495000.00000000006</v>
          </cell>
          <cell r="K143">
            <v>544500.00000000012</v>
          </cell>
          <cell r="L143">
            <v>598950.00000000023</v>
          </cell>
          <cell r="M143">
            <v>658845.00000000035</v>
          </cell>
        </row>
        <row r="144">
          <cell r="E144" t="str">
            <v>Titi Panen 3</v>
          </cell>
          <cell r="F144" t="str">
            <v>Buah</v>
          </cell>
          <cell r="G144"/>
          <cell r="H144"/>
          <cell r="I144"/>
          <cell r="J144"/>
          <cell r="K144"/>
          <cell r="L144"/>
          <cell r="M144"/>
        </row>
        <row r="145">
          <cell r="E145" t="str">
            <v>Titi Panen 4</v>
          </cell>
          <cell r="F145" t="str">
            <v>Buah</v>
          </cell>
          <cell r="G145"/>
          <cell r="H145"/>
          <cell r="I145"/>
          <cell r="J145"/>
          <cell r="K145"/>
          <cell r="L145"/>
          <cell r="M145"/>
        </row>
        <row r="146">
          <cell r="E146" t="str">
            <v>Titi Panen 5</v>
          </cell>
          <cell r="F146" t="str">
            <v>Buah</v>
          </cell>
          <cell r="G146"/>
          <cell r="H146"/>
          <cell r="I146"/>
          <cell r="J146"/>
          <cell r="K146"/>
          <cell r="L146"/>
          <cell r="M146"/>
        </row>
        <row r="147">
          <cell r="E147" t="str">
            <v>Titi Panen 6</v>
          </cell>
          <cell r="F147" t="str">
            <v>Buah</v>
          </cell>
          <cell r="G147"/>
          <cell r="H147"/>
          <cell r="I147"/>
          <cell r="J147"/>
          <cell r="K147"/>
          <cell r="L147"/>
          <cell r="M147"/>
        </row>
        <row r="148">
          <cell r="E148" t="str">
            <v>Titi Pasar Rintis 1</v>
          </cell>
          <cell r="F148" t="str">
            <v>Buah</v>
          </cell>
          <cell r="G148"/>
          <cell r="H148">
            <v>450000</v>
          </cell>
          <cell r="I148">
            <v>450000</v>
          </cell>
          <cell r="J148">
            <v>495000.00000000006</v>
          </cell>
          <cell r="K148">
            <v>544500.00000000012</v>
          </cell>
          <cell r="L148">
            <v>598950.00000000023</v>
          </cell>
          <cell r="M148">
            <v>658845.00000000035</v>
          </cell>
        </row>
        <row r="149">
          <cell r="E149" t="str">
            <v>Titi Pasar Rintis 2</v>
          </cell>
          <cell r="F149" t="str">
            <v>Buah</v>
          </cell>
          <cell r="G149"/>
          <cell r="H149"/>
          <cell r="I149"/>
          <cell r="J149"/>
          <cell r="K149"/>
          <cell r="L149"/>
          <cell r="M149"/>
        </row>
        <row r="150">
          <cell r="E150" t="str">
            <v>Titi Pasar Rintis 3</v>
          </cell>
          <cell r="F150" t="str">
            <v>Buah</v>
          </cell>
          <cell r="G150"/>
          <cell r="H150"/>
          <cell r="I150"/>
          <cell r="J150"/>
          <cell r="K150"/>
          <cell r="L150"/>
          <cell r="M150"/>
        </row>
        <row r="151">
          <cell r="E151" t="str">
            <v>Titi Pasar Rintis 4</v>
          </cell>
          <cell r="F151" t="str">
            <v>Buah</v>
          </cell>
          <cell r="G151"/>
          <cell r="H151"/>
          <cell r="I151"/>
          <cell r="J151"/>
          <cell r="K151"/>
          <cell r="L151"/>
          <cell r="M151"/>
        </row>
        <row r="152">
          <cell r="E152" t="str">
            <v>Titi Pasar Rintis 5</v>
          </cell>
          <cell r="F152" t="str">
            <v>Buah</v>
          </cell>
          <cell r="G152"/>
          <cell r="H152"/>
          <cell r="I152"/>
          <cell r="J152"/>
          <cell r="K152"/>
          <cell r="L152"/>
          <cell r="M152"/>
        </row>
        <row r="153">
          <cell r="E153"/>
          <cell r="F153"/>
          <cell r="G153"/>
          <cell r="H153"/>
          <cell r="I153"/>
          <cell r="J153"/>
          <cell r="K153"/>
          <cell r="L153"/>
          <cell r="M153"/>
        </row>
        <row r="154">
          <cell r="E154" t="str">
            <v>HDPE Culvert 1.5X6 Triplewall</v>
          </cell>
          <cell r="F154" t="str">
            <v>Unit</v>
          </cell>
          <cell r="G154"/>
          <cell r="H154">
            <v>69564000</v>
          </cell>
          <cell r="I154">
            <v>49342500</v>
          </cell>
          <cell r="J154">
            <v>51809625</v>
          </cell>
          <cell r="K154">
            <v>54400106.25</v>
          </cell>
          <cell r="L154">
            <v>57120111.5625</v>
          </cell>
          <cell r="M154">
            <v>59976117.140625</v>
          </cell>
        </row>
        <row r="155">
          <cell r="E155" t="str">
            <v>HDPE Culvert 1.8X6 Triplewall</v>
          </cell>
          <cell r="F155" t="str">
            <v>Unit</v>
          </cell>
          <cell r="G155"/>
          <cell r="H155">
            <v>100609740</v>
          </cell>
          <cell r="I155">
            <v>78948000</v>
          </cell>
          <cell r="J155">
            <v>82895400</v>
          </cell>
          <cell r="K155">
            <v>87040170</v>
          </cell>
          <cell r="L155">
            <v>91392178.5</v>
          </cell>
          <cell r="M155">
            <v>95961787.424999997</v>
          </cell>
        </row>
        <row r="156">
          <cell r="E156" t="str">
            <v>HDPE Culvert 2.3X6 Triplewall</v>
          </cell>
          <cell r="F156" t="str">
            <v>Unit</v>
          </cell>
          <cell r="G156"/>
          <cell r="H156">
            <v>129858036</v>
          </cell>
          <cell r="I156">
            <v>101974500</v>
          </cell>
          <cell r="J156">
            <v>107073225</v>
          </cell>
          <cell r="K156">
            <v>112426886.25</v>
          </cell>
          <cell r="L156">
            <v>118048230.5625</v>
          </cell>
          <cell r="M156">
            <v>123950642.090625</v>
          </cell>
        </row>
        <row r="157">
          <cell r="E157" t="str">
            <v>Bahan Jembatan Permanen 1</v>
          </cell>
          <cell r="F157" t="str">
            <v>Unit</v>
          </cell>
          <cell r="G157"/>
          <cell r="H157"/>
          <cell r="I157">
            <v>60500000</v>
          </cell>
          <cell r="J157">
            <v>63525000</v>
          </cell>
          <cell r="K157">
            <v>66701250</v>
          </cell>
          <cell r="L157">
            <v>70036312.5</v>
          </cell>
          <cell r="M157">
            <v>73538128.125</v>
          </cell>
        </row>
        <row r="158">
          <cell r="E158" t="str">
            <v>Bahan Jembatan Permanen 2</v>
          </cell>
          <cell r="F158" t="str">
            <v>Unit</v>
          </cell>
          <cell r="G158"/>
          <cell r="H158"/>
          <cell r="I158">
            <v>72600000</v>
          </cell>
          <cell r="J158">
            <v>76230000</v>
          </cell>
          <cell r="K158">
            <v>80041500</v>
          </cell>
          <cell r="L158">
            <v>84043575</v>
          </cell>
          <cell r="M158">
            <v>88245753.75</v>
          </cell>
        </row>
        <row r="159">
          <cell r="E159" t="str">
            <v>Bahan Jembatan Permanen 3</v>
          </cell>
          <cell r="F159" t="str">
            <v>Unit</v>
          </cell>
          <cell r="G159"/>
          <cell r="H159"/>
          <cell r="I159">
            <v>0</v>
          </cell>
          <cell r="J159"/>
          <cell r="K159"/>
          <cell r="L159"/>
          <cell r="M159"/>
        </row>
        <row r="160">
          <cell r="E160" t="str">
            <v>Bahan Jembatan Semi Permanen 1</v>
          </cell>
          <cell r="F160" t="str">
            <v>Unit</v>
          </cell>
          <cell r="G160"/>
          <cell r="H160"/>
          <cell r="I160"/>
          <cell r="J160"/>
          <cell r="K160"/>
          <cell r="L160"/>
          <cell r="M160"/>
        </row>
        <row r="161">
          <cell r="E161" t="str">
            <v>Bahan Jembatan Semi Permanen 2</v>
          </cell>
          <cell r="F161" t="str">
            <v>Unit</v>
          </cell>
          <cell r="G161"/>
          <cell r="H161"/>
          <cell r="I161"/>
          <cell r="J161"/>
          <cell r="K161"/>
          <cell r="L161"/>
          <cell r="M161"/>
        </row>
        <row r="162">
          <cell r="E162" t="str">
            <v>Bahan Jembatan Semi Permanen 3</v>
          </cell>
          <cell r="F162" t="str">
            <v>Unit</v>
          </cell>
          <cell r="G162"/>
          <cell r="H162"/>
          <cell r="I162"/>
          <cell r="J162"/>
          <cell r="K162"/>
          <cell r="L162"/>
          <cell r="M162"/>
        </row>
        <row r="163">
          <cell r="E163" t="str">
            <v>Bahan Jembatan Ulin Bulat</v>
          </cell>
          <cell r="F163" t="str">
            <v>Unit</v>
          </cell>
          <cell r="G163"/>
          <cell r="H163"/>
          <cell r="I163"/>
          <cell r="J163"/>
          <cell r="K163"/>
          <cell r="L163"/>
          <cell r="M163"/>
        </row>
        <row r="164">
          <cell r="E164" t="str">
            <v>Gorong-Gorong 40 Cm</v>
          </cell>
          <cell r="F164" t="str">
            <v>Unit</v>
          </cell>
          <cell r="G164"/>
          <cell r="H164"/>
          <cell r="I164">
            <v>400000</v>
          </cell>
          <cell r="J164">
            <v>420000</v>
          </cell>
          <cell r="K164">
            <v>441000</v>
          </cell>
          <cell r="L164">
            <v>463050</v>
          </cell>
          <cell r="M164">
            <v>486202.5</v>
          </cell>
        </row>
        <row r="165">
          <cell r="E165" t="str">
            <v>Gorong-Gorong 60 Cm</v>
          </cell>
          <cell r="F165" t="str">
            <v>Unit</v>
          </cell>
          <cell r="G165"/>
          <cell r="H165"/>
          <cell r="I165">
            <v>550000</v>
          </cell>
          <cell r="J165">
            <v>577500</v>
          </cell>
          <cell r="K165">
            <v>606375</v>
          </cell>
          <cell r="L165">
            <v>636693.75</v>
          </cell>
          <cell r="M165">
            <v>668528.4375</v>
          </cell>
        </row>
        <row r="166">
          <cell r="E166" t="str">
            <v>Gorong-Gorong 80 Cm</v>
          </cell>
          <cell r="F166" t="str">
            <v>Unit</v>
          </cell>
          <cell r="G166"/>
          <cell r="H166">
            <v>650000</v>
          </cell>
          <cell r="I166">
            <v>650000</v>
          </cell>
          <cell r="J166">
            <v>682500</v>
          </cell>
          <cell r="K166">
            <v>716625</v>
          </cell>
          <cell r="L166">
            <v>752456.25</v>
          </cell>
          <cell r="M166">
            <v>790079.0625</v>
          </cell>
        </row>
        <row r="167">
          <cell r="E167" t="str">
            <v>Gorong-Gorong 100 Cm</v>
          </cell>
          <cell r="F167" t="str">
            <v>Unit</v>
          </cell>
          <cell r="G167"/>
          <cell r="H167"/>
          <cell r="I167">
            <v>0</v>
          </cell>
          <cell r="J167"/>
          <cell r="K167"/>
          <cell r="L167"/>
          <cell r="M167"/>
        </row>
        <row r="168">
          <cell r="E168" t="str">
            <v>Material Pintu Air 1</v>
          </cell>
          <cell r="F168" t="str">
            <v>Unit</v>
          </cell>
          <cell r="G168"/>
          <cell r="H168"/>
          <cell r="I168"/>
          <cell r="J168"/>
          <cell r="K168"/>
          <cell r="L168"/>
          <cell r="M168"/>
        </row>
        <row r="169">
          <cell r="E169" t="str">
            <v>Material Pintu Air 2</v>
          </cell>
          <cell r="F169" t="str">
            <v>Unit</v>
          </cell>
          <cell r="G169"/>
          <cell r="H169"/>
          <cell r="I169"/>
          <cell r="J169"/>
          <cell r="K169"/>
          <cell r="L169"/>
          <cell r="M169"/>
        </row>
        <row r="170">
          <cell r="E170" t="str">
            <v>Material Pintu Air 3</v>
          </cell>
          <cell r="F170" t="str">
            <v>Unit</v>
          </cell>
          <cell r="G170"/>
          <cell r="H170"/>
          <cell r="I170"/>
          <cell r="J170"/>
          <cell r="K170"/>
          <cell r="L170"/>
          <cell r="M170"/>
        </row>
        <row r="171">
          <cell r="E171" t="str">
            <v>Material Pintu Air 4</v>
          </cell>
          <cell r="F171" t="str">
            <v>Unit</v>
          </cell>
          <cell r="G171"/>
          <cell r="H171"/>
          <cell r="I171"/>
          <cell r="J171"/>
          <cell r="K171"/>
          <cell r="L171"/>
          <cell r="M171"/>
        </row>
        <row r="172">
          <cell r="E172"/>
          <cell r="F172"/>
          <cell r="G172"/>
          <cell r="H172"/>
          <cell r="I172"/>
          <cell r="J172"/>
          <cell r="K172"/>
          <cell r="L172"/>
          <cell r="M172"/>
        </row>
        <row r="173">
          <cell r="E173" t="str">
            <v xml:space="preserve">Bibit KS </v>
          </cell>
          <cell r="F173" t="str">
            <v>Pokok</v>
          </cell>
          <cell r="G173"/>
          <cell r="H173"/>
          <cell r="I173"/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E174" t="str">
            <v>Bibit KS 2</v>
          </cell>
          <cell r="F174" t="str">
            <v>Pokok</v>
          </cell>
          <cell r="G174"/>
          <cell r="H174"/>
          <cell r="I174"/>
          <cell r="J174"/>
          <cell r="K174"/>
          <cell r="L174"/>
          <cell r="M174"/>
        </row>
        <row r="175">
          <cell r="E175" t="str">
            <v>PJ</v>
          </cell>
          <cell r="F175" t="str">
            <v>Kg</v>
          </cell>
          <cell r="G175"/>
          <cell r="H175"/>
          <cell r="I175"/>
          <cell r="J175"/>
          <cell r="K175"/>
          <cell r="L175"/>
          <cell r="M175"/>
        </row>
        <row r="176">
          <cell r="E176" t="str">
            <v>CM</v>
          </cell>
          <cell r="F176" t="str">
            <v>Kg</v>
          </cell>
          <cell r="G176"/>
          <cell r="H176"/>
          <cell r="I176"/>
          <cell r="J176"/>
          <cell r="K176"/>
          <cell r="L176"/>
          <cell r="M176"/>
        </row>
        <row r="177">
          <cell r="E177" t="str">
            <v>MB (Mocuna Bracteata)</v>
          </cell>
          <cell r="F177" t="str">
            <v>Kg</v>
          </cell>
          <cell r="G177"/>
          <cell r="H177">
            <v>800000</v>
          </cell>
          <cell r="I177">
            <v>535500</v>
          </cell>
          <cell r="J177">
            <v>589050</v>
          </cell>
          <cell r="K177">
            <v>647955</v>
          </cell>
          <cell r="L177">
            <v>712750.5</v>
          </cell>
          <cell r="M177">
            <v>784025.55</v>
          </cell>
        </row>
        <row r="178">
          <cell r="E178" t="str">
            <v>Tunera</v>
          </cell>
          <cell r="F178" t="str">
            <v>Bibit</v>
          </cell>
          <cell r="G178"/>
          <cell r="H178"/>
          <cell r="I178"/>
          <cell r="J178"/>
          <cell r="K178"/>
          <cell r="L178"/>
          <cell r="M178"/>
        </row>
        <row r="179">
          <cell r="E179" t="str">
            <v>Rizhobium</v>
          </cell>
          <cell r="F179" t="str">
            <v>Kg</v>
          </cell>
          <cell r="G179"/>
          <cell r="H179"/>
          <cell r="I179"/>
          <cell r="J179"/>
          <cell r="K179"/>
          <cell r="L179"/>
          <cell r="M179"/>
        </row>
        <row r="180">
          <cell r="E180" t="str">
            <v>Kecambah KS</v>
          </cell>
          <cell r="F180" t="str">
            <v>Btr</v>
          </cell>
          <cell r="G180"/>
          <cell r="H180">
            <v>10000</v>
          </cell>
          <cell r="I180">
            <v>10335.15</v>
          </cell>
          <cell r="J180">
            <v>11368.665000000001</v>
          </cell>
          <cell r="K180">
            <v>12505.531500000003</v>
          </cell>
          <cell r="L180">
            <v>13756.084650000004</v>
          </cell>
          <cell r="M180">
            <v>15131.693115000005</v>
          </cell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</row>
        <row r="184">
          <cell r="E184" t="str">
            <v>Batu 1</v>
          </cell>
          <cell r="F184" t="str">
            <v>M3</v>
          </cell>
          <cell r="G184"/>
          <cell r="H184"/>
          <cell r="I184"/>
          <cell r="J184"/>
          <cell r="K184"/>
          <cell r="L184"/>
          <cell r="M184"/>
        </row>
        <row r="185">
          <cell r="E185" t="str">
            <v>Batu 2</v>
          </cell>
          <cell r="F185" t="str">
            <v>M3</v>
          </cell>
          <cell r="G185"/>
          <cell r="H185"/>
          <cell r="I185"/>
          <cell r="J185"/>
          <cell r="K185"/>
          <cell r="L185"/>
          <cell r="M185"/>
        </row>
        <row r="186">
          <cell r="E186" t="str">
            <v>Batu 3</v>
          </cell>
          <cell r="F186" t="str">
            <v>M3</v>
          </cell>
          <cell r="G186"/>
          <cell r="H186"/>
          <cell r="I186"/>
          <cell r="J186"/>
          <cell r="K186"/>
          <cell r="L186"/>
          <cell r="M186"/>
        </row>
        <row r="187">
          <cell r="E187" t="str">
            <v>Batu 4</v>
          </cell>
          <cell r="F187" t="str">
            <v>M3</v>
          </cell>
          <cell r="G187"/>
          <cell r="H187"/>
          <cell r="I187"/>
          <cell r="J187"/>
          <cell r="K187"/>
          <cell r="L187"/>
          <cell r="M187"/>
        </row>
        <row r="188">
          <cell r="E188"/>
          <cell r="F188"/>
          <cell r="G188"/>
          <cell r="H188"/>
          <cell r="I188"/>
          <cell r="J188"/>
          <cell r="K188"/>
          <cell r="L188"/>
          <cell r="M188"/>
        </row>
        <row r="189">
          <cell r="E189"/>
          <cell r="F189"/>
          <cell r="G189"/>
          <cell r="H189"/>
          <cell r="I189"/>
          <cell r="J189"/>
          <cell r="K189"/>
          <cell r="L189"/>
          <cell r="M189"/>
        </row>
        <row r="190">
          <cell r="E190" t="str">
            <v xml:space="preserve">Laterit </v>
          </cell>
          <cell r="F190" t="str">
            <v>M3</v>
          </cell>
          <cell r="G190"/>
          <cell r="H190">
            <v>101720</v>
          </cell>
          <cell r="I190">
            <v>110590</v>
          </cell>
          <cell r="J190">
            <v>121649.00000000001</v>
          </cell>
          <cell r="K190">
            <v>133813.90000000002</v>
          </cell>
          <cell r="L190">
            <v>147195.29000000004</v>
          </cell>
          <cell r="M190">
            <v>161914.81900000005</v>
          </cell>
        </row>
        <row r="191">
          <cell r="E191" t="str">
            <v>Laterit 2</v>
          </cell>
          <cell r="F191" t="str">
            <v>M3</v>
          </cell>
          <cell r="G191"/>
          <cell r="H191"/>
          <cell r="I191"/>
          <cell r="J191"/>
          <cell r="K191"/>
          <cell r="L191"/>
          <cell r="M191"/>
        </row>
        <row r="192">
          <cell r="E192" t="str">
            <v>Laterit 3</v>
          </cell>
          <cell r="F192" t="str">
            <v>M3</v>
          </cell>
          <cell r="G192"/>
          <cell r="H192"/>
          <cell r="I192"/>
          <cell r="J192"/>
          <cell r="K192"/>
          <cell r="L192"/>
          <cell r="M192"/>
        </row>
        <row r="193">
          <cell r="E193" t="str">
            <v>Laterit 4</v>
          </cell>
          <cell r="F193" t="str">
            <v>M3</v>
          </cell>
          <cell r="G193"/>
          <cell r="H193"/>
          <cell r="I193"/>
          <cell r="J193"/>
          <cell r="K193"/>
          <cell r="L193"/>
          <cell r="M193"/>
        </row>
        <row r="194">
          <cell r="E194" t="str">
            <v>Laterit 5</v>
          </cell>
          <cell r="F194" t="str">
            <v>M3</v>
          </cell>
          <cell r="G194"/>
          <cell r="H194"/>
          <cell r="I194"/>
          <cell r="J194"/>
          <cell r="K194"/>
          <cell r="L194"/>
          <cell r="M194"/>
        </row>
        <row r="195">
          <cell r="E195" t="str">
            <v>Laterit 6</v>
          </cell>
          <cell r="F195" t="str">
            <v>M3</v>
          </cell>
          <cell r="G195"/>
          <cell r="H195"/>
          <cell r="I195"/>
          <cell r="J195"/>
          <cell r="K195"/>
          <cell r="L195"/>
          <cell r="M195"/>
        </row>
        <row r="196">
          <cell r="E196" t="str">
            <v>Laterit 7</v>
          </cell>
          <cell r="F196" t="str">
            <v>M3</v>
          </cell>
          <cell r="G196"/>
          <cell r="H196"/>
          <cell r="I196"/>
          <cell r="J196"/>
          <cell r="K196"/>
          <cell r="L196"/>
          <cell r="M196"/>
        </row>
        <row r="197">
          <cell r="E197" t="str">
            <v>Laterit 8</v>
          </cell>
          <cell r="F197" t="str">
            <v>M3</v>
          </cell>
          <cell r="G197"/>
          <cell r="H197"/>
          <cell r="I197"/>
          <cell r="J197"/>
          <cell r="K197"/>
          <cell r="L197"/>
          <cell r="M197"/>
        </row>
        <row r="198">
          <cell r="E198" t="str">
            <v>Laterit 9</v>
          </cell>
          <cell r="F198" t="str">
            <v>M3</v>
          </cell>
          <cell r="G198"/>
          <cell r="H198"/>
          <cell r="I198"/>
          <cell r="J198"/>
          <cell r="K198"/>
          <cell r="L198"/>
          <cell r="M198"/>
        </row>
        <row r="199">
          <cell r="E199" t="str">
            <v>Laterit 10</v>
          </cell>
          <cell r="F199" t="str">
            <v>M3</v>
          </cell>
          <cell r="G199"/>
          <cell r="H199"/>
          <cell r="I199"/>
          <cell r="J199"/>
          <cell r="K199"/>
          <cell r="L199"/>
          <cell r="M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</row>
        <row r="201">
          <cell r="E201" t="str">
            <v>Angkutan Material/Karyawan</v>
          </cell>
          <cell r="F201" t="str">
            <v>Rit</v>
          </cell>
          <cell r="G201"/>
          <cell r="H201">
            <v>180800</v>
          </cell>
          <cell r="I201">
            <v>198400</v>
          </cell>
          <cell r="J201">
            <v>206336</v>
          </cell>
          <cell r="K201">
            <v>214589.44</v>
          </cell>
          <cell r="L201">
            <v>223173.01760000002</v>
          </cell>
          <cell r="M201">
            <v>232099.93830400004</v>
          </cell>
        </row>
        <row r="202">
          <cell r="E202" t="str">
            <v>Angkutan TBS 2</v>
          </cell>
          <cell r="F202" t="str">
            <v>Ton</v>
          </cell>
          <cell r="G202"/>
          <cell r="H202"/>
          <cell r="I202"/>
          <cell r="J202"/>
          <cell r="K202"/>
          <cell r="L202"/>
          <cell r="M202"/>
        </row>
        <row r="203">
          <cell r="E203" t="str">
            <v>Angkutan TBS 3</v>
          </cell>
          <cell r="F203" t="str">
            <v>Ton</v>
          </cell>
          <cell r="G203"/>
          <cell r="H203"/>
          <cell r="I203"/>
          <cell r="J203"/>
          <cell r="K203"/>
          <cell r="L203"/>
          <cell r="M203"/>
        </row>
        <row r="204">
          <cell r="E204" t="str">
            <v>Angkutan TBS 4</v>
          </cell>
          <cell r="F204" t="str">
            <v>Ton</v>
          </cell>
          <cell r="G204"/>
          <cell r="H204"/>
          <cell r="I204"/>
          <cell r="J204"/>
          <cell r="K204"/>
          <cell r="L204"/>
          <cell r="M204"/>
        </row>
        <row r="205">
          <cell r="E205" t="str">
            <v>Angkutan TBS 5</v>
          </cell>
          <cell r="F205" t="str">
            <v>Ton</v>
          </cell>
          <cell r="G205"/>
          <cell r="H205"/>
          <cell r="I205"/>
          <cell r="J205"/>
          <cell r="K205"/>
          <cell r="L205"/>
          <cell r="M205"/>
        </row>
        <row r="206">
          <cell r="E206" t="str">
            <v>Angkutan TBS 6</v>
          </cell>
          <cell r="F206" t="str">
            <v>Ton</v>
          </cell>
          <cell r="G206"/>
          <cell r="H206"/>
          <cell r="I206"/>
          <cell r="J206"/>
          <cell r="K206"/>
          <cell r="L206"/>
          <cell r="M206"/>
        </row>
        <row r="207">
          <cell r="E207" t="str">
            <v>Angkutan TBS 7</v>
          </cell>
          <cell r="F207" t="str">
            <v>Ton</v>
          </cell>
          <cell r="G207"/>
          <cell r="H207"/>
          <cell r="I207"/>
          <cell r="J207"/>
          <cell r="K207"/>
          <cell r="L207"/>
          <cell r="M207"/>
        </row>
        <row r="208">
          <cell r="E208" t="str">
            <v>Angkutan TBS 8</v>
          </cell>
          <cell r="F208" t="str">
            <v>Ton</v>
          </cell>
          <cell r="G208"/>
          <cell r="H208"/>
          <cell r="I208"/>
          <cell r="J208"/>
          <cell r="K208"/>
          <cell r="L208"/>
          <cell r="M208"/>
        </row>
        <row r="209">
          <cell r="E209" t="str">
            <v>Angkutan TBS 9</v>
          </cell>
          <cell r="F209" t="str">
            <v>Ton</v>
          </cell>
          <cell r="G209"/>
          <cell r="H209"/>
          <cell r="I209"/>
          <cell r="J209"/>
          <cell r="K209"/>
          <cell r="L209"/>
          <cell r="M209"/>
        </row>
        <row r="210">
          <cell r="E210" t="str">
            <v>Angkutan TBS 10</v>
          </cell>
          <cell r="F210" t="str">
            <v>Ton</v>
          </cell>
          <cell r="G210"/>
          <cell r="H210"/>
          <cell r="I210"/>
          <cell r="J210"/>
          <cell r="K210"/>
          <cell r="L210"/>
          <cell r="M210"/>
        </row>
        <row r="211">
          <cell r="E211" t="str">
            <v>Angkutan TBS 11</v>
          </cell>
          <cell r="F211" t="str">
            <v>Ton</v>
          </cell>
          <cell r="G211"/>
          <cell r="H211"/>
          <cell r="I211"/>
          <cell r="J211"/>
          <cell r="K211"/>
          <cell r="L211"/>
          <cell r="M211"/>
        </row>
        <row r="212">
          <cell r="E212" t="str">
            <v>Angkutan TBS 12</v>
          </cell>
          <cell r="F212" t="str">
            <v>Ton</v>
          </cell>
          <cell r="G212"/>
          <cell r="H212"/>
          <cell r="I212"/>
          <cell r="J212"/>
          <cell r="K212"/>
          <cell r="L212"/>
          <cell r="M212"/>
        </row>
        <row r="213">
          <cell r="E213" t="str">
            <v>Angkutan TBS 13</v>
          </cell>
          <cell r="F213" t="str">
            <v>Ton</v>
          </cell>
          <cell r="G213"/>
          <cell r="H213"/>
          <cell r="I213"/>
          <cell r="J213"/>
          <cell r="K213"/>
          <cell r="L213"/>
          <cell r="M213"/>
        </row>
        <row r="214">
          <cell r="E214" t="str">
            <v>Angkutan TBS 14</v>
          </cell>
          <cell r="F214" t="str">
            <v>Ton</v>
          </cell>
          <cell r="G214"/>
          <cell r="H214"/>
          <cell r="I214"/>
          <cell r="J214"/>
          <cell r="K214"/>
          <cell r="L214"/>
          <cell r="M214"/>
        </row>
        <row r="215">
          <cell r="E215" t="str">
            <v>Angkutan TBS 15</v>
          </cell>
          <cell r="F215" t="str">
            <v>Ton</v>
          </cell>
          <cell r="G215"/>
          <cell r="H215"/>
          <cell r="I215"/>
          <cell r="J215"/>
          <cell r="K215"/>
          <cell r="L215"/>
          <cell r="M215"/>
        </row>
        <row r="216">
          <cell r="E216" t="str">
            <v>Angkutan TBS 16</v>
          </cell>
          <cell r="F216" t="str">
            <v>Ton</v>
          </cell>
          <cell r="G216"/>
          <cell r="H216"/>
          <cell r="I216"/>
          <cell r="J216"/>
          <cell r="K216"/>
          <cell r="L216"/>
          <cell r="M216"/>
        </row>
        <row r="217">
          <cell r="E217" t="str">
            <v>Angkutan TBS 17</v>
          </cell>
          <cell r="F217" t="str">
            <v>Ton</v>
          </cell>
          <cell r="G217"/>
          <cell r="H217"/>
          <cell r="I217"/>
          <cell r="J217"/>
          <cell r="K217"/>
          <cell r="L217"/>
          <cell r="M217"/>
        </row>
        <row r="218">
          <cell r="E218" t="str">
            <v>Angkutan TBS 18</v>
          </cell>
          <cell r="F218" t="str">
            <v>Ton</v>
          </cell>
          <cell r="G218"/>
          <cell r="H218"/>
          <cell r="I218"/>
          <cell r="J218"/>
          <cell r="K218"/>
          <cell r="L218"/>
          <cell r="M218"/>
        </row>
        <row r="219">
          <cell r="E219" t="str">
            <v>Transport Kecambah</v>
          </cell>
          <cell r="F219" t="str">
            <v>Bbt</v>
          </cell>
          <cell r="G219"/>
          <cell r="H219">
            <v>50</v>
          </cell>
          <cell r="I219">
            <v>50</v>
          </cell>
          <cell r="J219">
            <v>52.5</v>
          </cell>
          <cell r="K219">
            <v>55.125</v>
          </cell>
          <cell r="L219">
            <v>57.881250000000001</v>
          </cell>
          <cell r="M219">
            <v>60.775312500000005</v>
          </cell>
        </row>
        <row r="220">
          <cell r="E220" t="str">
            <v>Angkutan Topsoil</v>
          </cell>
          <cell r="F220" t="str">
            <v>Rit</v>
          </cell>
          <cell r="G220"/>
          <cell r="H220">
            <v>74000</v>
          </cell>
          <cell r="I220">
            <v>74000</v>
          </cell>
          <cell r="J220">
            <v>77700</v>
          </cell>
          <cell r="K220">
            <v>81585</v>
          </cell>
          <cell r="L220">
            <v>85664.25</v>
          </cell>
          <cell r="M220">
            <v>89947.462500000009</v>
          </cell>
        </row>
        <row r="221">
          <cell r="E221" t="str">
            <v>Angkutan Bibit KS</v>
          </cell>
          <cell r="F221" t="str">
            <v>Bbt</v>
          </cell>
          <cell r="G221"/>
          <cell r="H221">
            <v>3500</v>
          </cell>
          <cell r="I221">
            <v>4500</v>
          </cell>
          <cell r="J221">
            <v>4725</v>
          </cell>
          <cell r="K221">
            <v>4961.25</v>
          </cell>
          <cell r="L221">
            <v>5209.3125</v>
          </cell>
          <cell r="M221">
            <v>5469.7781249999998</v>
          </cell>
        </row>
        <row r="222">
          <cell r="E222"/>
          <cell r="F222"/>
          <cell r="G222"/>
          <cell r="H222"/>
          <cell r="I222"/>
          <cell r="J222"/>
          <cell r="K222"/>
          <cell r="L222"/>
          <cell r="M222"/>
        </row>
        <row r="223">
          <cell r="E223" t="str">
            <v>Angkutan JJK 1</v>
          </cell>
          <cell r="F223" t="str">
            <v>Ton</v>
          </cell>
          <cell r="G223"/>
          <cell r="H223">
            <v>48578</v>
          </cell>
          <cell r="I223">
            <v>48400</v>
          </cell>
          <cell r="J223">
            <v>50336</v>
          </cell>
          <cell r="K223">
            <v>52349.440000000002</v>
          </cell>
          <cell r="L223">
            <v>54443.417600000001</v>
          </cell>
          <cell r="M223">
            <v>56621.154304000003</v>
          </cell>
        </row>
        <row r="224">
          <cell r="E224" t="str">
            <v>Angkutan JJK 2</v>
          </cell>
          <cell r="F224" t="str">
            <v>Ton</v>
          </cell>
          <cell r="G224"/>
          <cell r="H224"/>
          <cell r="I224"/>
          <cell r="J224"/>
          <cell r="K224"/>
          <cell r="L224"/>
          <cell r="M224"/>
        </row>
        <row r="225">
          <cell r="E225" t="str">
            <v>Angkutan JJK 3</v>
          </cell>
          <cell r="F225" t="str">
            <v>Ton</v>
          </cell>
          <cell r="G225"/>
          <cell r="H225"/>
          <cell r="I225"/>
          <cell r="J225"/>
          <cell r="K225"/>
          <cell r="L225"/>
          <cell r="M225"/>
        </row>
        <row r="226">
          <cell r="E226" t="str">
            <v>Angkutan JJK 4</v>
          </cell>
          <cell r="F226" t="str">
            <v>Ton</v>
          </cell>
          <cell r="G226"/>
          <cell r="H226"/>
          <cell r="I226"/>
          <cell r="J226"/>
          <cell r="K226"/>
          <cell r="L226"/>
          <cell r="M226"/>
        </row>
        <row r="227">
          <cell r="E227" t="str">
            <v>Angkutan JJK 5</v>
          </cell>
          <cell r="F227" t="str">
            <v>Ton</v>
          </cell>
          <cell r="G227"/>
          <cell r="H227"/>
          <cell r="I227"/>
          <cell r="J227"/>
          <cell r="K227"/>
          <cell r="L227"/>
          <cell r="M227"/>
        </row>
        <row r="228">
          <cell r="E228" t="str">
            <v>Angkutan JJK 6</v>
          </cell>
          <cell r="F228" t="str">
            <v>Ton</v>
          </cell>
          <cell r="G228"/>
          <cell r="H228"/>
          <cell r="I228"/>
          <cell r="J228"/>
          <cell r="K228"/>
          <cell r="L228"/>
          <cell r="M228"/>
        </row>
        <row r="229">
          <cell r="E229" t="str">
            <v>Angkutan JJK 7</v>
          </cell>
          <cell r="F229" t="str">
            <v>Ton</v>
          </cell>
          <cell r="G229"/>
          <cell r="H229"/>
          <cell r="I229"/>
          <cell r="J229"/>
          <cell r="K229"/>
          <cell r="L229"/>
          <cell r="M229"/>
        </row>
        <row r="230">
          <cell r="E230" t="str">
            <v>Angkutan JJK 8</v>
          </cell>
          <cell r="F230" t="str">
            <v>Ton</v>
          </cell>
          <cell r="G230"/>
          <cell r="H230"/>
          <cell r="I230"/>
          <cell r="J230"/>
          <cell r="K230"/>
          <cell r="L230"/>
          <cell r="M230"/>
        </row>
        <row r="231">
          <cell r="E231" t="str">
            <v>Angkutan JJK 9</v>
          </cell>
          <cell r="F231" t="str">
            <v>Ton</v>
          </cell>
          <cell r="G231"/>
          <cell r="H231"/>
          <cell r="I231"/>
          <cell r="J231"/>
          <cell r="K231"/>
          <cell r="L231"/>
          <cell r="M231"/>
        </row>
        <row r="232">
          <cell r="E232" t="str">
            <v>Angkutan JJK 10</v>
          </cell>
          <cell r="F232" t="str">
            <v>Ton</v>
          </cell>
          <cell r="G232"/>
          <cell r="H232"/>
          <cell r="I232"/>
          <cell r="J232"/>
          <cell r="K232"/>
          <cell r="L232"/>
          <cell r="M232"/>
        </row>
        <row r="233">
          <cell r="E233" t="str">
            <v>Angkutan JJK 11</v>
          </cell>
          <cell r="F233" t="str">
            <v>Ton</v>
          </cell>
          <cell r="G233"/>
          <cell r="H233"/>
          <cell r="I233"/>
          <cell r="J233"/>
          <cell r="K233"/>
          <cell r="L233"/>
          <cell r="M233"/>
        </row>
        <row r="234">
          <cell r="E234" t="str">
            <v>Angkutan JJK 12</v>
          </cell>
          <cell r="F234" t="str">
            <v>Ton</v>
          </cell>
          <cell r="G234"/>
          <cell r="H234"/>
          <cell r="I234"/>
          <cell r="J234"/>
          <cell r="K234"/>
          <cell r="L234"/>
          <cell r="M234"/>
        </row>
        <row r="235">
          <cell r="E235" t="str">
            <v>Angkutan JJK 13</v>
          </cell>
          <cell r="F235" t="str">
            <v>Ton</v>
          </cell>
          <cell r="G235"/>
          <cell r="H235"/>
          <cell r="I235"/>
          <cell r="J235"/>
          <cell r="K235"/>
          <cell r="L235"/>
          <cell r="M235"/>
        </row>
        <row r="236">
          <cell r="E236" t="str">
            <v>Angkutan JJK 14</v>
          </cell>
          <cell r="F236" t="str">
            <v>Ton</v>
          </cell>
          <cell r="G236"/>
          <cell r="H236"/>
          <cell r="I236"/>
          <cell r="J236"/>
          <cell r="K236"/>
          <cell r="L236"/>
          <cell r="M236"/>
        </row>
        <row r="237">
          <cell r="E237" t="str">
            <v>Angkutan JJK 15</v>
          </cell>
          <cell r="F237" t="str">
            <v>Ton</v>
          </cell>
          <cell r="G237"/>
          <cell r="H237"/>
          <cell r="I237"/>
          <cell r="J237"/>
          <cell r="K237"/>
          <cell r="L237"/>
          <cell r="M237"/>
        </row>
        <row r="238">
          <cell r="E238" t="str">
            <v>Angkutan JJK 16</v>
          </cell>
          <cell r="F238" t="str">
            <v>Ton</v>
          </cell>
          <cell r="G238"/>
          <cell r="H238"/>
          <cell r="I238"/>
          <cell r="J238"/>
          <cell r="K238"/>
          <cell r="L238"/>
          <cell r="M238"/>
        </row>
        <row r="239">
          <cell r="E239" t="str">
            <v>Angkutan JJK 17</v>
          </cell>
          <cell r="F239" t="str">
            <v>Ton</v>
          </cell>
          <cell r="G239"/>
          <cell r="H239"/>
          <cell r="I239"/>
          <cell r="J239"/>
          <cell r="K239"/>
          <cell r="L239"/>
          <cell r="M239"/>
        </row>
        <row r="240">
          <cell r="E240" t="str">
            <v>Angkutan JJK 18</v>
          </cell>
          <cell r="F240" t="str">
            <v>Ton</v>
          </cell>
          <cell r="G240"/>
          <cell r="H240"/>
          <cell r="I240"/>
          <cell r="J240"/>
          <cell r="K240"/>
          <cell r="L240"/>
          <cell r="M240"/>
        </row>
        <row r="241">
          <cell r="E241" t="str">
            <v>Angkutan JJK 19</v>
          </cell>
          <cell r="F241" t="str">
            <v>Ton</v>
          </cell>
          <cell r="G241"/>
          <cell r="H241"/>
          <cell r="I241"/>
          <cell r="J241"/>
          <cell r="K241"/>
          <cell r="L241"/>
          <cell r="M241"/>
        </row>
        <row r="242">
          <cell r="E242" t="str">
            <v>Angkutan JJK 20</v>
          </cell>
          <cell r="F242" t="str">
            <v>Ton</v>
          </cell>
          <cell r="G242"/>
          <cell r="H242"/>
          <cell r="I242"/>
          <cell r="J242"/>
          <cell r="K242"/>
          <cell r="L242"/>
          <cell r="M242"/>
        </row>
        <row r="243">
          <cell r="E243"/>
          <cell r="F243"/>
          <cell r="G243"/>
          <cell r="H243"/>
          <cell r="I243"/>
          <cell r="J243"/>
          <cell r="K243"/>
          <cell r="L243"/>
          <cell r="M243"/>
        </row>
        <row r="244">
          <cell r="E244" t="str">
            <v>Angkutan Pupuk 1</v>
          </cell>
          <cell r="F244" t="str">
            <v>Ton</v>
          </cell>
          <cell r="G244"/>
          <cell r="H244">
            <v>45100</v>
          </cell>
          <cell r="I244">
            <v>49600</v>
          </cell>
          <cell r="J244">
            <v>51584</v>
          </cell>
          <cell r="K244">
            <v>53647.360000000001</v>
          </cell>
          <cell r="L244">
            <v>55793.254400000005</v>
          </cell>
          <cell r="M244">
            <v>58024.98457600001</v>
          </cell>
        </row>
        <row r="245">
          <cell r="E245" t="str">
            <v>Angkutan Pupuk 2</v>
          </cell>
          <cell r="F245" t="str">
            <v>Ton</v>
          </cell>
          <cell r="G245">
            <v>0</v>
          </cell>
          <cell r="H245"/>
          <cell r="I245"/>
          <cell r="J245"/>
          <cell r="K245"/>
          <cell r="L245"/>
          <cell r="M245"/>
        </row>
        <row r="246">
          <cell r="E246" t="str">
            <v>Angkutan Pupuk 3</v>
          </cell>
          <cell r="F246" t="str">
            <v>Ton</v>
          </cell>
          <cell r="G246"/>
          <cell r="H246"/>
          <cell r="I246"/>
          <cell r="J246"/>
          <cell r="K246"/>
          <cell r="L246"/>
          <cell r="M246"/>
        </row>
        <row r="247">
          <cell r="E247" t="str">
            <v>Angkutan Pupuk 4</v>
          </cell>
          <cell r="F247" t="str">
            <v>Ton</v>
          </cell>
          <cell r="G247"/>
          <cell r="H247"/>
          <cell r="I247"/>
          <cell r="J247"/>
          <cell r="K247"/>
          <cell r="L247"/>
          <cell r="M247"/>
        </row>
        <row r="248">
          <cell r="E248" t="str">
            <v>Angkutan Pupuk 5</v>
          </cell>
          <cell r="F248" t="str">
            <v>Ton</v>
          </cell>
          <cell r="G248"/>
          <cell r="H248"/>
          <cell r="I248"/>
          <cell r="J248"/>
          <cell r="K248"/>
          <cell r="L248"/>
          <cell r="M248"/>
        </row>
        <row r="249">
          <cell r="E249" t="str">
            <v>Angkutan Pupuk 6</v>
          </cell>
          <cell r="F249" t="str">
            <v>Ton</v>
          </cell>
          <cell r="G249"/>
          <cell r="H249"/>
          <cell r="I249"/>
          <cell r="J249"/>
          <cell r="K249"/>
          <cell r="L249"/>
          <cell r="M249"/>
        </row>
        <row r="250">
          <cell r="E250" t="str">
            <v>Angkutan Pupuk 7</v>
          </cell>
          <cell r="F250" t="str">
            <v>Ton</v>
          </cell>
          <cell r="G250"/>
          <cell r="H250"/>
          <cell r="I250"/>
          <cell r="J250"/>
          <cell r="K250"/>
          <cell r="L250"/>
          <cell r="M250"/>
        </row>
        <row r="251">
          <cell r="E251" t="str">
            <v>Angkutan Pupuk 8</v>
          </cell>
          <cell r="F251" t="str">
            <v>Ton</v>
          </cell>
          <cell r="G251"/>
          <cell r="H251"/>
          <cell r="I251"/>
          <cell r="J251"/>
          <cell r="K251"/>
          <cell r="L251"/>
          <cell r="M251"/>
        </row>
        <row r="252">
          <cell r="E252" t="str">
            <v>Angkutan Pupuk 9</v>
          </cell>
          <cell r="F252" t="str">
            <v>Ton</v>
          </cell>
          <cell r="G252"/>
          <cell r="H252"/>
          <cell r="I252"/>
          <cell r="J252"/>
          <cell r="K252"/>
          <cell r="L252"/>
          <cell r="M252"/>
        </row>
        <row r="253">
          <cell r="E253" t="str">
            <v>Angkutan Pupuk 10</v>
          </cell>
          <cell r="F253" t="str">
            <v>Ton</v>
          </cell>
          <cell r="G253"/>
          <cell r="H253"/>
          <cell r="I253"/>
          <cell r="J253"/>
          <cell r="K253"/>
          <cell r="L253"/>
          <cell r="M253"/>
        </row>
        <row r="254">
          <cell r="E254"/>
          <cell r="F254"/>
          <cell r="G254"/>
          <cell r="H254"/>
          <cell r="I254"/>
          <cell r="J254"/>
          <cell r="K254"/>
          <cell r="L254"/>
          <cell r="M254"/>
        </row>
        <row r="255">
          <cell r="E255" t="str">
            <v>Unit Manager 1</v>
          </cell>
          <cell r="F255" t="str">
            <v>HA</v>
          </cell>
          <cell r="G255"/>
          <cell r="H255">
            <v>2512</v>
          </cell>
          <cell r="I255">
            <v>2498.34</v>
          </cell>
          <cell r="J255">
            <v>2623.2570000000001</v>
          </cell>
          <cell r="K255">
            <v>2754.4198500000002</v>
          </cell>
          <cell r="L255">
            <v>2892.1408425000004</v>
          </cell>
          <cell r="M255">
            <v>3036.7478846250006</v>
          </cell>
        </row>
        <row r="256">
          <cell r="E256" t="str">
            <v>Unit Manager 2</v>
          </cell>
          <cell r="F256" t="str">
            <v>HA</v>
          </cell>
          <cell r="G256"/>
          <cell r="H256"/>
          <cell r="I256"/>
          <cell r="J256"/>
          <cell r="K256"/>
          <cell r="L256"/>
          <cell r="M256"/>
        </row>
        <row r="257">
          <cell r="E257" t="str">
            <v>Unit Manager 3</v>
          </cell>
          <cell r="F257" t="str">
            <v>HA</v>
          </cell>
          <cell r="G257"/>
          <cell r="H257"/>
          <cell r="I257"/>
          <cell r="J257"/>
          <cell r="K257"/>
          <cell r="L257"/>
          <cell r="M257"/>
        </row>
        <row r="258">
          <cell r="E258" t="str">
            <v>Unit Manager 4</v>
          </cell>
          <cell r="F258" t="str">
            <v>HA</v>
          </cell>
          <cell r="G258"/>
          <cell r="H258"/>
          <cell r="I258"/>
          <cell r="J258"/>
          <cell r="K258"/>
          <cell r="L258"/>
          <cell r="M258"/>
        </row>
        <row r="259">
          <cell r="E259" t="str">
            <v>Unit Askep 1</v>
          </cell>
          <cell r="F259" t="str">
            <v>HA</v>
          </cell>
          <cell r="G259"/>
          <cell r="H259">
            <v>1098</v>
          </cell>
          <cell r="I259">
            <v>1213.03</v>
          </cell>
          <cell r="J259">
            <v>1273.6814999999999</v>
          </cell>
          <cell r="K259">
            <v>1337.365575</v>
          </cell>
          <cell r="L259">
            <v>1404.2338537500002</v>
          </cell>
          <cell r="M259">
            <v>1474.4455464375003</v>
          </cell>
        </row>
        <row r="260">
          <cell r="E260" t="str">
            <v>Unit Askep 2</v>
          </cell>
          <cell r="F260" t="str">
            <v>HA</v>
          </cell>
          <cell r="G260"/>
          <cell r="H260"/>
          <cell r="I260"/>
          <cell r="J260"/>
          <cell r="K260"/>
          <cell r="L260"/>
          <cell r="M260"/>
        </row>
        <row r="261">
          <cell r="E261" t="str">
            <v>Unit Askep 3</v>
          </cell>
          <cell r="F261" t="str">
            <v>HA</v>
          </cell>
          <cell r="G261"/>
          <cell r="H261"/>
          <cell r="I261"/>
          <cell r="J261"/>
          <cell r="K261"/>
          <cell r="L261"/>
          <cell r="M261"/>
        </row>
        <row r="262">
          <cell r="E262" t="str">
            <v>Unit Askep 4</v>
          </cell>
          <cell r="F262" t="str">
            <v>HA</v>
          </cell>
          <cell r="G262"/>
          <cell r="H262"/>
          <cell r="I262"/>
          <cell r="J262"/>
          <cell r="K262"/>
          <cell r="L262"/>
          <cell r="M262"/>
        </row>
        <row r="263">
          <cell r="E263" t="str">
            <v>Unit Askep 5</v>
          </cell>
          <cell r="F263" t="str">
            <v>KM</v>
          </cell>
          <cell r="G263"/>
          <cell r="H263"/>
          <cell r="I263"/>
          <cell r="J263"/>
          <cell r="K263"/>
          <cell r="L263"/>
          <cell r="M263"/>
        </row>
        <row r="264">
          <cell r="E264" t="str">
            <v>Unit Askep 6</v>
          </cell>
          <cell r="F264" t="str">
            <v>KM</v>
          </cell>
          <cell r="G264"/>
          <cell r="H264"/>
          <cell r="I264"/>
          <cell r="J264"/>
          <cell r="K264"/>
          <cell r="L264"/>
          <cell r="M264"/>
        </row>
        <row r="265">
          <cell r="E265" t="str">
            <v>TUS 1</v>
          </cell>
          <cell r="F265" t="str">
            <v>KM</v>
          </cell>
          <cell r="G265"/>
          <cell r="H265">
            <v>31250</v>
          </cell>
          <cell r="I265">
            <v>65996</v>
          </cell>
          <cell r="J265">
            <v>68635.839999999997</v>
          </cell>
          <cell r="K265">
            <v>71381.2736</v>
          </cell>
          <cell r="L265">
            <v>74236.524544</v>
          </cell>
          <cell r="M265">
            <v>77205.985525759999</v>
          </cell>
        </row>
        <row r="266">
          <cell r="E266" t="str">
            <v>TUS 2</v>
          </cell>
          <cell r="F266" t="str">
            <v>KM</v>
          </cell>
          <cell r="G266"/>
          <cell r="H266"/>
          <cell r="I266"/>
          <cell r="J266"/>
          <cell r="K266"/>
          <cell r="L266"/>
          <cell r="M266"/>
        </row>
        <row r="267">
          <cell r="E267" t="str">
            <v>TUS 3</v>
          </cell>
          <cell r="F267" t="str">
            <v>KM</v>
          </cell>
          <cell r="G267"/>
          <cell r="H267"/>
          <cell r="I267"/>
          <cell r="J267"/>
          <cell r="K267"/>
          <cell r="L267"/>
          <cell r="M267"/>
        </row>
        <row r="268">
          <cell r="E268" t="str">
            <v>BKMS</v>
          </cell>
          <cell r="F268" t="str">
            <v>KM</v>
          </cell>
          <cell r="G268"/>
          <cell r="H268"/>
          <cell r="I268"/>
          <cell r="J268"/>
          <cell r="K268"/>
          <cell r="L268"/>
          <cell r="M268"/>
        </row>
        <row r="269">
          <cell r="E269" t="str">
            <v>Transport Karyawan 1</v>
          </cell>
          <cell r="F269" t="str">
            <v>KM</v>
          </cell>
          <cell r="G269"/>
          <cell r="H269"/>
          <cell r="I269"/>
          <cell r="J269"/>
          <cell r="K269"/>
          <cell r="L269"/>
          <cell r="M269"/>
        </row>
        <row r="270">
          <cell r="E270" t="str">
            <v>Transport Karyawan 2</v>
          </cell>
          <cell r="F270" t="str">
            <v>KM</v>
          </cell>
          <cell r="G270"/>
          <cell r="H270"/>
          <cell r="I270"/>
          <cell r="J270"/>
          <cell r="K270"/>
          <cell r="L270"/>
          <cell r="M270"/>
        </row>
        <row r="271">
          <cell r="E271" t="str">
            <v>Transport Karyawan 3</v>
          </cell>
          <cell r="F271" t="str">
            <v>KM</v>
          </cell>
          <cell r="G271"/>
          <cell r="H271"/>
          <cell r="I271"/>
          <cell r="J271"/>
          <cell r="K271"/>
          <cell r="L271"/>
          <cell r="M271"/>
        </row>
        <row r="272">
          <cell r="E272" t="str">
            <v>Transport Karyawan 4</v>
          </cell>
          <cell r="F272" t="str">
            <v>KM</v>
          </cell>
          <cell r="G272"/>
          <cell r="H272"/>
          <cell r="I272"/>
          <cell r="J272"/>
          <cell r="K272"/>
          <cell r="L272"/>
          <cell r="M272"/>
        </row>
        <row r="273">
          <cell r="E273"/>
          <cell r="F273"/>
          <cell r="G273"/>
          <cell r="H273"/>
          <cell r="I273"/>
          <cell r="J273"/>
          <cell r="K273"/>
          <cell r="L273"/>
          <cell r="M273"/>
        </row>
        <row r="274">
          <cell r="E274"/>
          <cell r="F274"/>
          <cell r="G274"/>
          <cell r="H274"/>
          <cell r="I274"/>
          <cell r="J274"/>
          <cell r="K274"/>
          <cell r="L274"/>
          <cell r="M274"/>
        </row>
        <row r="275">
          <cell r="E275"/>
          <cell r="F275"/>
          <cell r="G275"/>
          <cell r="H275"/>
          <cell r="I275"/>
          <cell r="J275"/>
          <cell r="K275"/>
          <cell r="L275"/>
          <cell r="M275"/>
        </row>
        <row r="276">
          <cell r="E276" t="str">
            <v>Farm Traktor 1</v>
          </cell>
          <cell r="F276" t="str">
            <v>HM</v>
          </cell>
          <cell r="G276"/>
          <cell r="H276">
            <v>245290</v>
          </cell>
          <cell r="I276">
            <v>139719</v>
          </cell>
          <cell r="J276">
            <v>153690.90000000002</v>
          </cell>
          <cell r="K276">
            <v>169059.99000000005</v>
          </cell>
          <cell r="L276">
            <v>185965.98900000006</v>
          </cell>
          <cell r="M276">
            <v>204562.58790000007</v>
          </cell>
        </row>
        <row r="277">
          <cell r="E277" t="str">
            <v>Farm Traktor 2</v>
          </cell>
          <cell r="F277" t="str">
            <v>HM</v>
          </cell>
          <cell r="G277"/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E278" t="str">
            <v>Farm Traktor 3</v>
          </cell>
          <cell r="F278" t="str">
            <v>HM</v>
          </cell>
          <cell r="G278"/>
          <cell r="H278"/>
          <cell r="I278"/>
          <cell r="J278"/>
          <cell r="K278"/>
          <cell r="L278"/>
          <cell r="M278"/>
        </row>
        <row r="279">
          <cell r="E279" t="str">
            <v>Farm Traktor 4</v>
          </cell>
          <cell r="F279" t="str">
            <v>HM</v>
          </cell>
          <cell r="G279"/>
          <cell r="H279"/>
          <cell r="I279"/>
          <cell r="J279"/>
          <cell r="K279"/>
          <cell r="L279"/>
          <cell r="M279"/>
        </row>
        <row r="280">
          <cell r="E280" t="str">
            <v>Farm Traktor 5</v>
          </cell>
          <cell r="F280" t="str">
            <v>HM</v>
          </cell>
          <cell r="G280"/>
          <cell r="H280"/>
          <cell r="I280"/>
          <cell r="J280"/>
          <cell r="K280"/>
          <cell r="L280"/>
          <cell r="M280"/>
        </row>
        <row r="281">
          <cell r="E281" t="str">
            <v>Farm Traktor 6</v>
          </cell>
          <cell r="F281" t="str">
            <v>HM</v>
          </cell>
          <cell r="G281"/>
          <cell r="H281"/>
          <cell r="I281"/>
          <cell r="J281"/>
          <cell r="K281"/>
          <cell r="L281"/>
          <cell r="M281"/>
        </row>
        <row r="282">
          <cell r="E282" t="str">
            <v>Farm Traktor 7</v>
          </cell>
          <cell r="F282" t="str">
            <v>HM</v>
          </cell>
          <cell r="G282"/>
          <cell r="H282"/>
          <cell r="I282"/>
          <cell r="J282"/>
          <cell r="K282"/>
          <cell r="L282"/>
          <cell r="M282"/>
        </row>
        <row r="283">
          <cell r="E283" t="str">
            <v>Farm Traktor 8</v>
          </cell>
          <cell r="F283" t="str">
            <v>HM</v>
          </cell>
          <cell r="G283"/>
          <cell r="H283"/>
          <cell r="I283"/>
          <cell r="J283"/>
          <cell r="K283"/>
          <cell r="L283"/>
          <cell r="M283"/>
        </row>
        <row r="284">
          <cell r="E284" t="str">
            <v>Farm Traktor 9</v>
          </cell>
          <cell r="F284" t="str">
            <v>HM</v>
          </cell>
          <cell r="G284"/>
          <cell r="H284"/>
          <cell r="I284"/>
          <cell r="J284"/>
          <cell r="K284"/>
          <cell r="L284"/>
          <cell r="M284"/>
        </row>
        <row r="285">
          <cell r="E285" t="str">
            <v>Farm Traktor 10</v>
          </cell>
          <cell r="F285" t="str">
            <v>HM</v>
          </cell>
          <cell r="G285"/>
          <cell r="H285"/>
          <cell r="I285"/>
          <cell r="J285"/>
          <cell r="K285"/>
          <cell r="L285"/>
          <cell r="M285"/>
        </row>
        <row r="286">
          <cell r="E286" t="str">
            <v>Farm Traktor 11</v>
          </cell>
          <cell r="F286" t="str">
            <v>HM</v>
          </cell>
          <cell r="G286"/>
          <cell r="H286"/>
          <cell r="I286"/>
          <cell r="J286"/>
          <cell r="K286"/>
          <cell r="L286"/>
          <cell r="M286"/>
        </row>
        <row r="287">
          <cell r="E287" t="str">
            <v>Farm Traktor 12</v>
          </cell>
          <cell r="F287" t="str">
            <v>HM</v>
          </cell>
          <cell r="G287"/>
          <cell r="H287"/>
          <cell r="I287"/>
          <cell r="J287"/>
          <cell r="K287"/>
          <cell r="L287"/>
          <cell r="M287"/>
        </row>
        <row r="288">
          <cell r="E288" t="str">
            <v>Farm Traktor 13</v>
          </cell>
          <cell r="F288" t="str">
            <v>HM</v>
          </cell>
          <cell r="G288"/>
          <cell r="H288"/>
          <cell r="I288"/>
          <cell r="J288"/>
          <cell r="K288"/>
          <cell r="L288"/>
          <cell r="M288"/>
        </row>
        <row r="289">
          <cell r="E289" t="str">
            <v>Farm Traktor 14</v>
          </cell>
          <cell r="F289" t="str">
            <v>HM</v>
          </cell>
          <cell r="G289"/>
          <cell r="H289"/>
          <cell r="I289"/>
          <cell r="J289"/>
          <cell r="K289"/>
          <cell r="L289"/>
          <cell r="M289"/>
        </row>
        <row r="290">
          <cell r="E290" t="str">
            <v>Farm Traktor 15</v>
          </cell>
          <cell r="F290" t="str">
            <v>HM</v>
          </cell>
          <cell r="G290"/>
          <cell r="H290"/>
          <cell r="I290"/>
          <cell r="J290"/>
          <cell r="K290"/>
          <cell r="L290"/>
          <cell r="M290"/>
        </row>
        <row r="291">
          <cell r="E291" t="str">
            <v>Farm Traktor 16</v>
          </cell>
          <cell r="F291" t="str">
            <v>HM</v>
          </cell>
          <cell r="G291"/>
          <cell r="H291"/>
          <cell r="I291"/>
          <cell r="J291"/>
          <cell r="K291"/>
          <cell r="L291"/>
          <cell r="M291"/>
        </row>
        <row r="292">
          <cell r="E292" t="str">
            <v>Farm Traktor 17</v>
          </cell>
          <cell r="F292" t="str">
            <v>HM</v>
          </cell>
          <cell r="G292"/>
          <cell r="H292"/>
          <cell r="I292"/>
          <cell r="J292"/>
          <cell r="K292"/>
          <cell r="L292"/>
          <cell r="M292"/>
        </row>
        <row r="293">
          <cell r="E293"/>
          <cell r="F293"/>
          <cell r="G293"/>
          <cell r="H293"/>
          <cell r="I293"/>
          <cell r="J293"/>
          <cell r="K293"/>
          <cell r="L293"/>
          <cell r="M293"/>
        </row>
        <row r="294">
          <cell r="E294" t="str">
            <v>Excavator 1</v>
          </cell>
          <cell r="F294" t="str">
            <v>HM</v>
          </cell>
          <cell r="G294"/>
          <cell r="H294">
            <v>634000</v>
          </cell>
          <cell r="I294">
            <v>659360</v>
          </cell>
          <cell r="J294">
            <v>685734.40000000002</v>
          </cell>
          <cell r="K294">
            <v>713163.77600000007</v>
          </cell>
          <cell r="L294">
            <v>741690.32704000012</v>
          </cell>
          <cell r="M294">
            <v>771357.94012160017</v>
          </cell>
        </row>
        <row r="295">
          <cell r="E295" t="str">
            <v xml:space="preserve">Excavator 2 </v>
          </cell>
          <cell r="F295" t="str">
            <v>HM</v>
          </cell>
          <cell r="G295"/>
          <cell r="H295">
            <v>634000</v>
          </cell>
          <cell r="I295">
            <v>659360</v>
          </cell>
          <cell r="J295">
            <v>685734.40000000002</v>
          </cell>
          <cell r="K295">
            <v>713163.77600000007</v>
          </cell>
          <cell r="L295">
            <v>741690.32704000012</v>
          </cell>
          <cell r="M295">
            <v>771357.94012160017</v>
          </cell>
        </row>
        <row r="296">
          <cell r="E296" t="str">
            <v>Excavator 3</v>
          </cell>
          <cell r="F296" t="str">
            <v>HM</v>
          </cell>
          <cell r="G296">
            <v>1995000</v>
          </cell>
          <cell r="H296">
            <v>1995000</v>
          </cell>
          <cell r="I296">
            <v>1995000</v>
          </cell>
          <cell r="J296">
            <v>2074800</v>
          </cell>
          <cell r="K296">
            <v>2157792</v>
          </cell>
          <cell r="L296">
            <v>2244103.6800000002</v>
          </cell>
          <cell r="M296">
            <v>2333867.8272000002</v>
          </cell>
        </row>
        <row r="297">
          <cell r="E297" t="str">
            <v>Excavator 4</v>
          </cell>
          <cell r="F297" t="str">
            <v>HM</v>
          </cell>
          <cell r="G297">
            <v>20000</v>
          </cell>
          <cell r="H297">
            <v>20000</v>
          </cell>
          <cell r="I297">
            <v>20000</v>
          </cell>
          <cell r="J297">
            <v>20800</v>
          </cell>
          <cell r="K297">
            <v>21632</v>
          </cell>
          <cell r="L297">
            <v>22497.280000000002</v>
          </cell>
          <cell r="M297">
            <v>23397.171200000004</v>
          </cell>
        </row>
        <row r="298">
          <cell r="E298" t="str">
            <v>Excavator 5</v>
          </cell>
          <cell r="F298" t="str">
            <v>HM</v>
          </cell>
          <cell r="G298"/>
          <cell r="H298">
            <v>600000</v>
          </cell>
          <cell r="I298">
            <v>600000</v>
          </cell>
          <cell r="J298">
            <v>624000</v>
          </cell>
          <cell r="K298">
            <v>648960</v>
          </cell>
          <cell r="L298">
            <v>674918.40000000002</v>
          </cell>
          <cell r="M298">
            <v>701915.13600000006</v>
          </cell>
        </row>
        <row r="299">
          <cell r="E299" t="str">
            <v>Excavator 6</v>
          </cell>
          <cell r="F299" t="str">
            <v>HM</v>
          </cell>
          <cell r="G299"/>
          <cell r="H299">
            <v>10000</v>
          </cell>
          <cell r="I299">
            <v>600000</v>
          </cell>
          <cell r="J299">
            <v>624000</v>
          </cell>
          <cell r="K299">
            <v>648960</v>
          </cell>
          <cell r="L299">
            <v>674918.40000000002</v>
          </cell>
          <cell r="M299">
            <v>701915.13600000006</v>
          </cell>
        </row>
        <row r="300">
          <cell r="E300" t="str">
            <v>Excavator 7</v>
          </cell>
          <cell r="F300" t="str">
            <v>HM</v>
          </cell>
          <cell r="G300"/>
          <cell r="H300"/>
          <cell r="I300"/>
          <cell r="J300"/>
          <cell r="K300"/>
          <cell r="L300"/>
          <cell r="M300"/>
        </row>
        <row r="301">
          <cell r="E301" t="str">
            <v>Excavator 8</v>
          </cell>
          <cell r="F301" t="str">
            <v>HM</v>
          </cell>
          <cell r="G301"/>
          <cell r="H301"/>
          <cell r="I301"/>
          <cell r="J301"/>
          <cell r="K301"/>
          <cell r="L301"/>
          <cell r="M301"/>
        </row>
        <row r="302">
          <cell r="E302" t="str">
            <v>Excavator 9</v>
          </cell>
          <cell r="F302" t="str">
            <v>HM</v>
          </cell>
          <cell r="G302"/>
          <cell r="H302"/>
          <cell r="I302"/>
          <cell r="J302"/>
          <cell r="K302"/>
          <cell r="L302"/>
          <cell r="M302"/>
        </row>
        <row r="303">
          <cell r="E303" t="str">
            <v>Excavator 10</v>
          </cell>
          <cell r="F303" t="str">
            <v>HM</v>
          </cell>
          <cell r="G303"/>
          <cell r="H303"/>
          <cell r="I303"/>
          <cell r="J303"/>
          <cell r="K303"/>
          <cell r="L303"/>
          <cell r="M303"/>
        </row>
        <row r="304">
          <cell r="E304" t="str">
            <v>Excavator 11</v>
          </cell>
          <cell r="F304" t="str">
            <v>HM</v>
          </cell>
          <cell r="G304"/>
          <cell r="H304"/>
          <cell r="I304"/>
          <cell r="J304"/>
          <cell r="K304"/>
          <cell r="L304"/>
          <cell r="M304"/>
        </row>
        <row r="305">
          <cell r="E305" t="str">
            <v>Excavator Mini</v>
          </cell>
          <cell r="F305" t="str">
            <v>HM</v>
          </cell>
          <cell r="G305"/>
          <cell r="H305">
            <v>269800</v>
          </cell>
          <cell r="I305">
            <v>283290</v>
          </cell>
          <cell r="J305">
            <v>297454.5</v>
          </cell>
          <cell r="K305">
            <v>312327.22500000003</v>
          </cell>
          <cell r="L305">
            <v>327943.58625000005</v>
          </cell>
          <cell r="M305">
            <v>344340.76556250005</v>
          </cell>
        </row>
        <row r="306">
          <cell r="E306"/>
          <cell r="F306"/>
          <cell r="G306"/>
          <cell r="H306"/>
          <cell r="I306"/>
          <cell r="J306"/>
          <cell r="K306"/>
          <cell r="L306"/>
          <cell r="M306"/>
        </row>
        <row r="307">
          <cell r="E307" t="str">
            <v>Compactor 1</v>
          </cell>
          <cell r="F307" t="str">
            <v>HM</v>
          </cell>
          <cell r="G307"/>
          <cell r="H307">
            <v>504220</v>
          </cell>
          <cell r="I307">
            <v>534312</v>
          </cell>
          <cell r="J307">
            <v>555684.48</v>
          </cell>
          <cell r="K307">
            <v>577911.85919999995</v>
          </cell>
          <cell r="L307">
            <v>601028.333568</v>
          </cell>
          <cell r="M307">
            <v>625069.46691071999</v>
          </cell>
        </row>
        <row r="308">
          <cell r="E308" t="str">
            <v>Compactor 2</v>
          </cell>
          <cell r="F308" t="str">
            <v>HM</v>
          </cell>
          <cell r="G308"/>
          <cell r="H308"/>
          <cell r="I308"/>
          <cell r="J308"/>
          <cell r="K308"/>
          <cell r="L308"/>
          <cell r="M308"/>
        </row>
        <row r="309">
          <cell r="E309" t="str">
            <v>Compactor 3</v>
          </cell>
          <cell r="F309" t="str">
            <v>HM</v>
          </cell>
          <cell r="G309"/>
          <cell r="H309"/>
          <cell r="I309"/>
          <cell r="J309"/>
          <cell r="K309"/>
          <cell r="L309"/>
          <cell r="M309"/>
        </row>
        <row r="310">
          <cell r="E310" t="str">
            <v>Compactor 4</v>
          </cell>
          <cell r="F310" t="str">
            <v>HM</v>
          </cell>
          <cell r="G310"/>
          <cell r="H310"/>
          <cell r="I310"/>
          <cell r="J310"/>
          <cell r="K310"/>
          <cell r="L310"/>
          <cell r="M310"/>
        </row>
        <row r="311">
          <cell r="E311" t="str">
            <v>Compactor 5</v>
          </cell>
          <cell r="F311" t="str">
            <v>HM</v>
          </cell>
          <cell r="G311"/>
          <cell r="H311"/>
          <cell r="I311"/>
          <cell r="J311"/>
          <cell r="K311"/>
          <cell r="L311"/>
          <cell r="M311"/>
        </row>
        <row r="312">
          <cell r="E312"/>
          <cell r="F312"/>
          <cell r="G312"/>
          <cell r="H312"/>
          <cell r="I312"/>
          <cell r="J312"/>
          <cell r="K312"/>
          <cell r="L312"/>
          <cell r="M312"/>
        </row>
        <row r="313">
          <cell r="E313" t="str">
            <v>Greader 1</v>
          </cell>
          <cell r="F313" t="str">
            <v>HM</v>
          </cell>
          <cell r="G313"/>
          <cell r="H313">
            <v>599680</v>
          </cell>
          <cell r="I313">
            <v>620668</v>
          </cell>
          <cell r="J313">
            <v>645494.72</v>
          </cell>
          <cell r="K313">
            <v>671314.50879999995</v>
          </cell>
          <cell r="L313">
            <v>698167.08915200003</v>
          </cell>
          <cell r="M313">
            <v>726093.77271808009</v>
          </cell>
        </row>
        <row r="314">
          <cell r="E314" t="str">
            <v>Greader 2</v>
          </cell>
          <cell r="F314" t="str">
            <v>HM</v>
          </cell>
          <cell r="G314"/>
          <cell r="H314"/>
          <cell r="I314"/>
          <cell r="J314"/>
          <cell r="K314"/>
          <cell r="L314"/>
          <cell r="M314"/>
        </row>
        <row r="315">
          <cell r="E315" t="str">
            <v>Greader 3</v>
          </cell>
          <cell r="F315" t="str">
            <v>HM</v>
          </cell>
          <cell r="G315"/>
          <cell r="H315"/>
          <cell r="I315"/>
          <cell r="J315"/>
          <cell r="K315"/>
          <cell r="L315"/>
          <cell r="M315"/>
        </row>
        <row r="316">
          <cell r="E316" t="str">
            <v>Greader 4</v>
          </cell>
          <cell r="F316" t="str">
            <v>HM</v>
          </cell>
          <cell r="G316"/>
          <cell r="H316"/>
          <cell r="I316"/>
          <cell r="J316"/>
          <cell r="K316"/>
          <cell r="L316"/>
          <cell r="M316"/>
        </row>
        <row r="317">
          <cell r="E317" t="str">
            <v>Greader 5</v>
          </cell>
          <cell r="F317" t="str">
            <v>HM</v>
          </cell>
          <cell r="G317"/>
          <cell r="H317"/>
          <cell r="I317"/>
          <cell r="J317"/>
          <cell r="K317"/>
          <cell r="L317"/>
          <cell r="M317"/>
        </row>
        <row r="318">
          <cell r="E318" t="str">
            <v>Greader 6</v>
          </cell>
          <cell r="F318" t="str">
            <v>HM</v>
          </cell>
          <cell r="G318"/>
          <cell r="H318"/>
          <cell r="I318"/>
          <cell r="J318"/>
          <cell r="K318"/>
          <cell r="L318"/>
          <cell r="M318"/>
        </row>
        <row r="319">
          <cell r="E319"/>
          <cell r="F319"/>
          <cell r="G319"/>
          <cell r="H319"/>
          <cell r="I319"/>
          <cell r="J319"/>
          <cell r="K319"/>
          <cell r="L319"/>
          <cell r="M319"/>
        </row>
        <row r="320">
          <cell r="E320" t="str">
            <v>TLB 1</v>
          </cell>
          <cell r="F320" t="str">
            <v>HM</v>
          </cell>
          <cell r="G320"/>
          <cell r="H320">
            <v>510020</v>
          </cell>
          <cell r="I320">
            <v>538212</v>
          </cell>
          <cell r="J320">
            <v>559740.48</v>
          </cell>
          <cell r="K320">
            <v>582130.09920000006</v>
          </cell>
          <cell r="L320">
            <v>605415.30316800007</v>
          </cell>
          <cell r="M320">
            <v>629631.91529472009</v>
          </cell>
        </row>
        <row r="321">
          <cell r="E321" t="str">
            <v>TLB 2</v>
          </cell>
          <cell r="F321" t="str">
            <v>HM</v>
          </cell>
          <cell r="G321"/>
          <cell r="H321"/>
          <cell r="I321"/>
          <cell r="J321"/>
          <cell r="K321"/>
          <cell r="L321"/>
          <cell r="M321"/>
        </row>
        <row r="322">
          <cell r="E322" t="str">
            <v>TLB 3</v>
          </cell>
          <cell r="F322" t="str">
            <v>HM</v>
          </cell>
          <cell r="G322"/>
          <cell r="H322"/>
          <cell r="I322"/>
          <cell r="J322"/>
          <cell r="K322"/>
          <cell r="L322"/>
          <cell r="M322"/>
        </row>
        <row r="323">
          <cell r="E323" t="str">
            <v>TLB 4</v>
          </cell>
          <cell r="F323" t="str">
            <v>HM</v>
          </cell>
          <cell r="G323"/>
          <cell r="H323"/>
          <cell r="I323"/>
          <cell r="J323"/>
          <cell r="K323"/>
          <cell r="L323"/>
          <cell r="M323"/>
        </row>
        <row r="324">
          <cell r="E324" t="str">
            <v>TLB 5</v>
          </cell>
          <cell r="F324" t="str">
            <v>HM</v>
          </cell>
          <cell r="G324"/>
          <cell r="H324"/>
          <cell r="I324"/>
          <cell r="J324"/>
          <cell r="K324"/>
          <cell r="L324"/>
          <cell r="M324"/>
        </row>
        <row r="325">
          <cell r="E325"/>
          <cell r="F325"/>
          <cell r="G325"/>
          <cell r="H325"/>
          <cell r="I325"/>
          <cell r="J325"/>
          <cell r="K325"/>
          <cell r="L325"/>
          <cell r="M325"/>
        </row>
        <row r="326">
          <cell r="E326" t="str">
            <v>Buldozer 1</v>
          </cell>
          <cell r="F326" t="str">
            <v>HM</v>
          </cell>
          <cell r="G326"/>
          <cell r="H326">
            <v>846000</v>
          </cell>
          <cell r="I326">
            <v>837750</v>
          </cell>
          <cell r="J326">
            <v>871260</v>
          </cell>
          <cell r="K326">
            <v>906110.4</v>
          </cell>
          <cell r="L326">
            <v>942354.81600000011</v>
          </cell>
          <cell r="M326">
            <v>980049.00864000013</v>
          </cell>
        </row>
        <row r="327">
          <cell r="E327" t="str">
            <v>Buldozer 2</v>
          </cell>
          <cell r="F327" t="str">
            <v>HM</v>
          </cell>
          <cell r="G327"/>
          <cell r="H327"/>
          <cell r="I327"/>
          <cell r="J327"/>
          <cell r="K327"/>
          <cell r="L327"/>
          <cell r="M327"/>
        </row>
        <row r="328">
          <cell r="E328" t="str">
            <v>Buldozer 3</v>
          </cell>
          <cell r="F328" t="str">
            <v>HM</v>
          </cell>
          <cell r="G328"/>
          <cell r="H328"/>
          <cell r="I328"/>
          <cell r="J328"/>
          <cell r="K328"/>
          <cell r="L328"/>
          <cell r="M328"/>
        </row>
        <row r="329">
          <cell r="E329" t="str">
            <v>Buldozer 4</v>
          </cell>
          <cell r="F329" t="str">
            <v>HM</v>
          </cell>
          <cell r="G329"/>
          <cell r="H329"/>
          <cell r="I329"/>
          <cell r="J329"/>
          <cell r="K329"/>
          <cell r="L329"/>
          <cell r="M329"/>
        </row>
        <row r="330">
          <cell r="E330" t="str">
            <v>Buldozer 5</v>
          </cell>
          <cell r="F330" t="str">
            <v>HM</v>
          </cell>
          <cell r="G330"/>
          <cell r="H330"/>
          <cell r="I330"/>
          <cell r="J330"/>
          <cell r="K330"/>
          <cell r="L330"/>
          <cell r="M330"/>
        </row>
        <row r="331">
          <cell r="E331"/>
          <cell r="F331"/>
          <cell r="G331"/>
          <cell r="H331"/>
          <cell r="I331"/>
          <cell r="J331"/>
          <cell r="K331"/>
          <cell r="L331"/>
          <cell r="M331"/>
        </row>
        <row r="332">
          <cell r="E332" t="str">
            <v>G 10A Kayu</v>
          </cell>
          <cell r="F332" t="str">
            <v>Unit</v>
          </cell>
          <cell r="G332"/>
          <cell r="H332"/>
          <cell r="I332"/>
          <cell r="J332"/>
          <cell r="K332"/>
          <cell r="L332"/>
          <cell r="M332"/>
        </row>
        <row r="333">
          <cell r="E333" t="str">
            <v>G 10B Kayu</v>
          </cell>
          <cell r="F333" t="str">
            <v>Unit</v>
          </cell>
          <cell r="G333"/>
          <cell r="H333"/>
          <cell r="I333"/>
          <cell r="J333"/>
          <cell r="K333"/>
          <cell r="L333"/>
          <cell r="M333"/>
        </row>
        <row r="334">
          <cell r="E334" t="str">
            <v>G 10C Kayu</v>
          </cell>
          <cell r="F334" t="str">
            <v>Unit</v>
          </cell>
          <cell r="G334"/>
          <cell r="H334"/>
          <cell r="I334"/>
          <cell r="J334"/>
          <cell r="K334"/>
          <cell r="L334"/>
          <cell r="M334"/>
        </row>
        <row r="335">
          <cell r="E335"/>
          <cell r="F335"/>
          <cell r="G335"/>
          <cell r="H335"/>
          <cell r="I335"/>
          <cell r="J335"/>
          <cell r="K335"/>
          <cell r="L335"/>
          <cell r="M335"/>
        </row>
        <row r="336">
          <cell r="E336"/>
          <cell r="F336"/>
          <cell r="G336"/>
          <cell r="H336"/>
          <cell r="I336"/>
          <cell r="J336"/>
          <cell r="K336"/>
          <cell r="L336"/>
          <cell r="M336"/>
        </row>
        <row r="337">
          <cell r="E337"/>
          <cell r="F337"/>
          <cell r="G337"/>
          <cell r="H337"/>
          <cell r="I337"/>
          <cell r="J337"/>
          <cell r="K337"/>
          <cell r="L337"/>
          <cell r="M337"/>
        </row>
        <row r="338">
          <cell r="E338" t="str">
            <v>Chain Saw 1</v>
          </cell>
          <cell r="F338" t="str">
            <v>Unit</v>
          </cell>
          <cell r="G338"/>
          <cell r="H338"/>
          <cell r="I338"/>
          <cell r="J338"/>
          <cell r="K338"/>
          <cell r="L338"/>
          <cell r="M338"/>
        </row>
        <row r="339">
          <cell r="E339" t="str">
            <v>Chain Saw 2</v>
          </cell>
          <cell r="F339" t="str">
            <v>Unit</v>
          </cell>
          <cell r="G339"/>
          <cell r="H339"/>
          <cell r="I339"/>
          <cell r="J339"/>
          <cell r="K339"/>
          <cell r="L339"/>
          <cell r="M339"/>
        </row>
        <row r="340">
          <cell r="E340" t="str">
            <v>Chain Saw 3</v>
          </cell>
          <cell r="F340" t="str">
            <v>Unit</v>
          </cell>
          <cell r="G340"/>
          <cell r="H340"/>
          <cell r="I340"/>
          <cell r="J340"/>
          <cell r="K340"/>
          <cell r="L340"/>
          <cell r="M340"/>
        </row>
        <row r="341">
          <cell r="E341" t="str">
            <v>Chain Saw 4</v>
          </cell>
          <cell r="F341" t="str">
            <v>Unit</v>
          </cell>
          <cell r="G341"/>
          <cell r="H341"/>
          <cell r="I341"/>
          <cell r="J341"/>
          <cell r="K341"/>
          <cell r="L341"/>
          <cell r="M341"/>
        </row>
        <row r="342">
          <cell r="E342"/>
          <cell r="F342"/>
          <cell r="G342"/>
          <cell r="H342"/>
          <cell r="I342"/>
          <cell r="J342"/>
          <cell r="K342"/>
          <cell r="L342"/>
          <cell r="M342"/>
        </row>
        <row r="343">
          <cell r="E343"/>
          <cell r="F343"/>
          <cell r="G343"/>
          <cell r="H343"/>
          <cell r="I343"/>
          <cell r="J343"/>
          <cell r="K343"/>
          <cell r="L343"/>
          <cell r="M343"/>
        </row>
        <row r="344">
          <cell r="E344" t="str">
            <v>Water Pump 1</v>
          </cell>
          <cell r="F344" t="str">
            <v>HM</v>
          </cell>
          <cell r="G344"/>
          <cell r="H344">
            <v>50000</v>
          </cell>
          <cell r="I344">
            <v>50000</v>
          </cell>
          <cell r="J344">
            <v>55000.000000000007</v>
          </cell>
          <cell r="K344">
            <v>60500.000000000015</v>
          </cell>
          <cell r="L344">
            <v>66550.000000000015</v>
          </cell>
          <cell r="M344">
            <v>73205.000000000029</v>
          </cell>
        </row>
        <row r="345">
          <cell r="E345" t="str">
            <v>Water Pump 2</v>
          </cell>
          <cell r="F345" t="str">
            <v>HM</v>
          </cell>
          <cell r="G345"/>
          <cell r="H345"/>
          <cell r="I345"/>
          <cell r="J345"/>
          <cell r="K345"/>
          <cell r="L345"/>
          <cell r="M345"/>
        </row>
        <row r="346">
          <cell r="E346" t="str">
            <v>Water Pump 3</v>
          </cell>
          <cell r="F346" t="str">
            <v>HM</v>
          </cell>
          <cell r="G346"/>
          <cell r="H346"/>
          <cell r="I346"/>
          <cell r="J346"/>
          <cell r="K346"/>
          <cell r="L346"/>
          <cell r="M346"/>
        </row>
        <row r="347">
          <cell r="E347" t="str">
            <v>Water Pump 4</v>
          </cell>
          <cell r="F347" t="str">
            <v>HM</v>
          </cell>
          <cell r="G347"/>
          <cell r="H347"/>
          <cell r="I347"/>
          <cell r="J347"/>
          <cell r="K347"/>
          <cell r="L347"/>
          <cell r="M347"/>
        </row>
        <row r="348">
          <cell r="E348"/>
          <cell r="F348"/>
          <cell r="G348"/>
          <cell r="H348"/>
          <cell r="I348"/>
          <cell r="J348"/>
          <cell r="K348"/>
          <cell r="L348"/>
          <cell r="M34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1">
          <cell r="G21">
            <v>40436631.571428575</v>
          </cell>
        </row>
      </sheetData>
      <sheetData sheetId="23"/>
      <sheetData sheetId="24"/>
      <sheetData sheetId="25"/>
      <sheetData sheetId="26"/>
      <sheetData sheetId="27">
        <row r="271">
          <cell r="W271">
            <v>14390858.77003853</v>
          </cell>
        </row>
      </sheetData>
      <sheetData sheetId="28">
        <row r="362">
          <cell r="W362">
            <v>8517978.393289011</v>
          </cell>
        </row>
      </sheetData>
      <sheetData sheetId="29">
        <row r="362">
          <cell r="W362">
            <v>10254549.162970908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-2000"/>
      <sheetName val="grafik-99"/>
      <sheetName val="grafik-98"/>
      <sheetName val="grafik-97"/>
      <sheetName val="data-hujan"/>
      <sheetName val="data_hujan"/>
      <sheetName val="12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MUTU BUAH"/>
      <sheetName val="INDIRECT DETAIL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Ex_Rate"/>
      <sheetName val="DIRECT COST"/>
      <sheetName val="OPR-99"/>
      <sheetName val="JSiar"/>
      <sheetName val="Global"/>
      <sheetName val="Pk prod"/>
      <sheetName val="Dumtk"/>
      <sheetName val="F"/>
      <sheetName val="97EST021"/>
      <sheetName val="NK Oct'11"/>
      <sheetName val="BHL"/>
      <sheetName val="grafi聫-98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KGP Thp I"/>
      <sheetName val="KGP Thp II"/>
      <sheetName val="Book1"/>
      <sheetName val="DETAIL"/>
      <sheetName val="#REF"/>
      <sheetName val="Akomodasi"/>
      <sheetName val="Sheet1"/>
      <sheetName val="Daftar Harga Barang"/>
      <sheetName val="INDRCT DTL"/>
      <sheetName val="WIL 1"/>
      <sheetName val="AKTIVA"/>
      <sheetName val="MM.PAGE-2.X"/>
      <sheetName val="HAL10"/>
      <sheetName val="BAB-1"/>
      <sheetName val="REKAP EST PROD 13 edt"/>
      <sheetName val="36"/>
      <sheetName val="aktual"/>
      <sheetName val="Upah SKUB"/>
      <sheetName val="Asumsi"/>
      <sheetName val="ocean voyage"/>
      <sheetName val="2002"/>
      <sheetName val="PO"/>
      <sheetName val="FISIK RAB 2000"/>
      <sheetName val="Karung"/>
      <sheetName val="PBG_2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COA (3)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PABRIK (2)"/>
      <sheetName val="Premi Iuran"/>
      <sheetName val="III"/>
      <sheetName val="Diagnosa"/>
      <sheetName val="Referensi"/>
      <sheetName val="A"/>
      <sheetName val="NK_Oct'11"/>
      <sheetName val="Data"/>
      <sheetName val="list"/>
      <sheetName val="CPO 16-9-TID "/>
      <sheetName val="Bantu"/>
      <sheetName val="Sheet2"/>
      <sheetName val="Sheet3"/>
      <sheetName val="8.Upah rata2"/>
      <sheetName val="LEMBUR 2006"/>
      <sheetName val="Prod. Stats"/>
      <sheetName val="Capital"/>
      <sheetName val="Kualitas TBS"/>
      <sheetName val="Kesegaran TBS"/>
      <sheetName val="GeneralInfo"/>
      <sheetName val="MGR-12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WIL_1"/>
      <sheetName val="MM_PAGE-2_X"/>
      <sheetName val="ocean_voyage"/>
      <sheetName val="FISIK_RAB_2000"/>
      <sheetName val="REKAP_EST_PROD_13_edt"/>
      <sheetName val="General"/>
      <sheetName val="Capex Sum"/>
      <sheetName val="AAL"/>
      <sheetName val="IIS"/>
      <sheetName val="AARJ"/>
      <sheetName val="XXXXXXXXXXXX"/>
      <sheetName val="BJR-JJ"/>
      <sheetName val="BA"/>
      <sheetName val="TBSv"/>
      <sheetName val="1999"/>
      <sheetName val="MASTER_INPUT"/>
      <sheetName val="PREMI"/>
      <sheetName val="Budge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KOMP"/>
      <sheetName val="97EST120-ok"/>
      <sheetName val="Hal-12 "/>
      <sheetName val="PT"/>
      <sheetName val="Bahasa"/>
      <sheetName val="Dkg-16"/>
      <sheetName val="CH"/>
      <sheetName val="keb-bbm"/>
      <sheetName val="MrTong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2600.50 Rincian Credit Card(HO)"/>
      <sheetName val="Fomat  1"/>
      <sheetName val="04NPE025"/>
      <sheetName val="04NPE008F"/>
      <sheetName val="04NPEII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MUTU_BUAH1"/>
      <sheetName val="Pk_prod1"/>
      <sheetName val="NK_Oct'111"/>
      <sheetName val="KGP_Thp_I"/>
      <sheetName val="KGP_Thp_II"/>
      <sheetName val="Daftar_Harga_Barang"/>
      <sheetName val="INDRCT_DTL"/>
      <sheetName val="WIL_11"/>
      <sheetName val="MM_PAGE-2_X1"/>
      <sheetName val="REKAP_EST_PROD_13_edt1"/>
      <sheetName val="Upah_SKUB"/>
      <sheetName val="ocean_voyage1"/>
      <sheetName val="FISIK_RAB_20001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OA_(3)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Premi_Iuran"/>
      <sheetName val="CPO_16-9-TID_"/>
      <sheetName val="8_Upah_rata2"/>
      <sheetName val="LEMBUR_2006"/>
      <sheetName val="Prod__Stats"/>
      <sheetName val="Kualitas_TBS"/>
      <sheetName val="Kesegaran_TBS"/>
      <sheetName val="10__Summary_all"/>
      <sheetName val="Capex_Sum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Atur"/>
      <sheetName val="Account"/>
      <sheetName val="CC_New"/>
      <sheetName val="FA sd APRIL 07"/>
      <sheetName val="fa SD APRIL07"/>
      <sheetName val="Daftar Blok"/>
      <sheetName val="RPT"/>
      <sheetName val="Astek"/>
      <sheetName val="Angkutan"/>
      <sheetName val="Panen"/>
      <sheetName val="RPS"/>
      <sheetName val="Kode Barang"/>
      <sheetName val="DAFISI"/>
      <sheetName val="NoPrint2"/>
      <sheetName val="ACT PROD"/>
      <sheetName val="PLAN PROD"/>
      <sheetName val="Blok"/>
      <sheetName val="39"/>
      <sheetName val=""/>
      <sheetName val="Rinci-Biaya"/>
      <sheetName val="Rinci-Pendapatan"/>
      <sheetName val="LR"/>
      <sheetName val="BTL"/>
      <sheetName val="PT AAM AKT"/>
      <sheetName val="CV.UM-MO"/>
      <sheetName val="CV.UM-RAMP"/>
      <sheetName val="mst_akun"/>
      <sheetName val="MASTER"/>
      <sheetName val="CHART SAMPLES RECEIVED"/>
      <sheetName val="材料汇总表"/>
      <sheetName val="Rincian Iuran"/>
      <sheetName val="dft bns"/>
      <sheetName val="4.1"/>
      <sheetName val="Daftar_Barang"/>
      <sheetName val="Master_Akun"/>
      <sheetName val="HO"/>
      <sheetName val="TBM 3"/>
      <sheetName val="MILL-EXP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97EST120_ok"/>
      <sheetName val="Form"/>
      <sheetName val="WRKP TM"/>
      <sheetName val="Production S2"/>
      <sheetName val="Production S3"/>
      <sheetName val="Rawat"/>
      <sheetName val="Lookup"/>
      <sheetName val="(43)9.1"/>
      <sheetName val="HK Effektif &amp; Rate Upah"/>
      <sheetName val="Harga 2011"/>
      <sheetName val="Kend"/>
      <sheetName val="TRAIL"/>
      <sheetName val="Tabel"/>
      <sheetName val="TBM 0"/>
      <sheetName val="BJ &amp; Koreksi"/>
      <sheetName val="Air Limbah"/>
      <sheetName val="Water Analisis"/>
      <sheetName val="PAGE 1.X"/>
      <sheetName val="Peralatan"/>
      <sheetName val="Basic Price"/>
      <sheetName val="Perhitungan Penalty"/>
      <sheetName val="Rekap Bulanan"/>
      <sheetName val="Program Pupuk Inti"/>
      <sheetName val="RKP 1"/>
      <sheetName val="KOMEN"/>
      <sheetName val="ALAT1"/>
      <sheetName val="ALAT"/>
      <sheetName val="ANA-HRG"/>
      <sheetName val="prod"/>
      <sheetName val="2001"/>
      <sheetName val="CSH12"/>
      <sheetName val="CSH7A"/>
      <sheetName val="SD"/>
      <sheetName val="L-PCR08"/>
      <sheetName val="L-PCR03"/>
      <sheetName val="L-PCR04"/>
      <sheetName val="L-PCR05"/>
      <sheetName val="L-PCR06"/>
      <sheetName val="L-PCR09"/>
      <sheetName val="L-PCR02"/>
      <sheetName val="SUM"/>
      <sheetName val="SUM-INTI"/>
      <sheetName val="SUM-PERBLN"/>
      <sheetName val="cov"/>
      <sheetName val="daftar"/>
      <sheetName val="pss-KB"/>
      <sheetName val="YMHB"/>
      <sheetName val="rekap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Langsir"/>
      <sheetName val="LTW"/>
      <sheetName val="asmp1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C"/>
      <sheetName val="3a"/>
      <sheetName val="3b"/>
      <sheetName val="3c"/>
      <sheetName val="11Rp"/>
      <sheetName val="11$"/>
      <sheetName val="13a"/>
      <sheetName val="13b"/>
      <sheetName val="13c"/>
      <sheetName val="16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Dosis"/>
      <sheetName val="Lookup2"/>
      <sheetName val="CIP_USD"/>
      <sheetName val="SUMMFA-USD"/>
      <sheetName val="Investment"/>
      <sheetName val="A3_USD_PL02"/>
      <sheetName val="Inventories"/>
      <sheetName val="Attn"/>
      <sheetName val="% Lbr vs GP"/>
      <sheetName val="UPDATE KUOTA (VERIFIKASI)"/>
      <sheetName val="Financials"/>
      <sheetName val="10 yr val"/>
      <sheetName val="Input"/>
      <sheetName val="Gaji"/>
      <sheetName val="REKAP OMZET KAPAL"/>
      <sheetName val="PB(B)"/>
      <sheetName val="FORM X COST"/>
      <sheetName val="tonper Ha-TT 2000"/>
      <sheetName val="Trip"/>
      <sheetName val="Data SRL"/>
      <sheetName val="Data Prod_Graf"/>
      <sheetName val="PK RM"/>
      <sheetName val="Dbase TK"/>
      <sheetName val="Dbase AP"/>
      <sheetName val="AGING"/>
      <sheetName val="ISI"/>
      <sheetName val="Fomat__1"/>
      <sheetName val="CHART_SAMPLES_RECEIVED"/>
      <sheetName val="Penjelasan_SCK"/>
      <sheetName val="HET_PBG3"/>
      <sheetName val="Trading_Statement"/>
      <sheetName val="KODE_TRANS"/>
      <sheetName val="Kas_Bank"/>
      <sheetName val="TBM_3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Daftar_Blok"/>
      <sheetName val="Kode_Barang"/>
      <sheetName val="ACT_PROD"/>
      <sheetName val="PLAN_PROD"/>
      <sheetName val="WRKP_TM"/>
      <sheetName val="Production_S2"/>
      <sheetName val="Production_S3"/>
      <sheetName val="HK_Effektif_&amp;_Rate_Upah"/>
      <sheetName val="Harga_2011"/>
      <sheetName val="traksi"/>
      <sheetName val="rkap7"/>
      <sheetName val="Hal-12_"/>
      <sheetName val="87013611"/>
      <sheetName val="Rumus"/>
      <sheetName val="Div01"/>
      <sheetName val="Div02"/>
      <sheetName val="Div03"/>
      <sheetName val="New Position"/>
      <sheetName val="NEW POSITION BD"/>
      <sheetName val="MUTU_BUAH2"/>
      <sheetName val="NK_Oct'112"/>
      <sheetName val="Hal-12_1"/>
      <sheetName val="Pk_prod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Upah_SKUB1"/>
      <sheetName val="Daftar_Harga_Barang1"/>
      <sheetName val="Jenis kendaraan"/>
      <sheetName val="JK"/>
      <sheetName val="UOM-primary"/>
      <sheetName val="Sheet6"/>
      <sheetName val="transport method"/>
      <sheetName val="1. Best Best Estate"/>
      <sheetName val="DP Volume"/>
      <sheetName val="Rekap CROP  OK"/>
      <sheetName val="GL500"/>
      <sheetName val="SISIP"/>
      <sheetName val="TBS BLOK"/>
      <sheetName val="NPK Mg Bo"/>
      <sheetName val="II"/>
      <sheetName val="BP00"/>
      <sheetName val="1.Areal Statemen"/>
      <sheetName val="Database"/>
      <sheetName val="FEB"/>
      <sheetName val="COA (2)"/>
      <sheetName val="LUK(B)-KTR12"/>
      <sheetName val="Properties"/>
      <sheetName val="BBM"/>
      <sheetName val="BIA REKRUTMEN"/>
      <sheetName val="DATA BASE"/>
      <sheetName val="HUTANG DR KBN"/>
      <sheetName val="LAIN2"/>
      <sheetName val="NOP 2010"/>
      <sheetName val="OUTSTANDING"/>
      <sheetName val="POT TOKO"/>
      <sheetName val="RETENSI"/>
      <sheetName val="5.TE2"/>
      <sheetName val="Dasar"/>
      <sheetName val="Aresta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INDIRECT_DETAIL3"/>
      <sheetName val="DIRECT_COST3"/>
      <sheetName val="MUTU_BUAH3"/>
      <sheetName val="Pk_prod3"/>
      <sheetName val="NK_Oct'113"/>
      <sheetName val="KGP_Thp_I2"/>
      <sheetName val="KGP_Thp_II2"/>
      <sheetName val="Daftar_Harga_Barang2"/>
      <sheetName val="INDRCT_DTL1"/>
      <sheetName val="WIL_12"/>
      <sheetName val="MM_PAGE-2_X2"/>
      <sheetName val="REKAP_EST_PROD_13_edt2"/>
      <sheetName val="Upah_SKUB2"/>
      <sheetName val="ocean_voyage2"/>
      <sheetName val="FISIK_RAB_20002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COA_(3)1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Premi_Iuran2"/>
      <sheetName val="CPO_16-9-TID_1"/>
      <sheetName val="8_Upah_rata21"/>
      <sheetName val="LEMBUR_20061"/>
      <sheetName val="Prod__Stats1"/>
      <sheetName val="Kualitas_TBS1"/>
      <sheetName val="Kesegaran_TBS1"/>
      <sheetName val="10__Summary_all1"/>
      <sheetName val="Capex_Sum1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Hal-12_2"/>
      <sheetName val="Penjelasan_SCK1"/>
      <sheetName val="HET_PBG31"/>
      <sheetName val="Trading_Statement1"/>
      <sheetName val="KODE_TRANS1"/>
      <sheetName val="Kas_Bank1"/>
      <sheetName val="2600_50_Rincian_Credit_Card(HO)"/>
      <sheetName val="Fomat__11"/>
      <sheetName val="FA_sd_APRIL_07"/>
      <sheetName val="fa_SD_APRIL07"/>
      <sheetName val="Daftar_Blok1"/>
      <sheetName val="Kode_Barang1"/>
      <sheetName val="ACT_PROD1"/>
      <sheetName val="PLAN_PROD1"/>
      <sheetName val="PT_AAM_AKT"/>
      <sheetName val="CV_UM-MO"/>
      <sheetName val="CV_UM-RAMP"/>
      <sheetName val="CHART_SAMPLES_RECEIVED1"/>
      <sheetName val="Rincian_Iuran"/>
      <sheetName val="dft_bns"/>
      <sheetName val="4_1"/>
      <sheetName val="TBM_3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WRKP_TM1"/>
      <sheetName val="Production_S21"/>
      <sheetName val="Production_S31"/>
      <sheetName val="(43)9_1"/>
      <sheetName val="HK_Effektif_&amp;_Rate_Upah1"/>
      <sheetName val="Harga_20111"/>
      <sheetName val="TBM_0"/>
      <sheetName val="BJ_&amp;_Koreksi"/>
      <sheetName val="Air_Limbah"/>
      <sheetName val="Water_Analisis"/>
      <sheetName val="PAGE_1_X"/>
      <sheetName val="Basic_Price"/>
      <sheetName val="Perhitungan_Penalty"/>
      <sheetName val="Rekap_Bulanan"/>
      <sheetName val="Program_Pupuk_Inti"/>
      <sheetName val="RKP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%_Lbr_vs_GP"/>
      <sheetName val="UPDATE_KUOTA_(VERIFIKASI)"/>
      <sheetName val="10_yr_val"/>
      <sheetName val="REKAP_OMZET_KAPAL"/>
      <sheetName val="FORM_X_COST"/>
      <sheetName val="tonper_Ha-TT_2000"/>
      <sheetName val="Data_SRL"/>
      <sheetName val="Data_Prod_Graf"/>
      <sheetName val="PK_RM"/>
      <sheetName val="Dbase_TK"/>
      <sheetName val="Dbase_AP"/>
      <sheetName val="New_Position"/>
      <sheetName val="NEW_POSITION_BD"/>
      <sheetName val="Jenis_kendaraan"/>
      <sheetName val="transport_method"/>
      <sheetName val="Replanting"/>
      <sheetName val="0IV1000251"/>
      <sheetName val="KETERANGAN PEMAKAIAN"/>
      <sheetName val="Sanggau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Art_22"/>
      <sheetName val="KODE KENDARAAN"/>
      <sheetName val="Ner"/>
      <sheetName val="List PT"/>
      <sheetName val="BUDGET_1999"/>
      <sheetName val="BCA_01"/>
      <sheetName val="HONDA"/>
      <sheetName val="T155"/>
      <sheetName val="T230"/>
      <sheetName val="G45&amp;65"/>
      <sheetName val="G10"/>
      <sheetName val="G15"/>
      <sheetName val="JeP"/>
      <sheetName val="FORD2"/>
      <sheetName val="FORD4"/>
      <sheetName val="TLB"/>
      <sheetName val="EV"/>
      <sheetName val="L3"/>
      <sheetName val="GR"/>
      <sheetName val="TRK"/>
      <sheetName val="WL"/>
      <sheetName val="EBS"/>
      <sheetName val="TRL"/>
      <sheetName val="Alber"/>
      <sheetName val="Olah"/>
      <sheetName val="98MM-COS"/>
      <sheetName val="MN"/>
      <sheetName val="PN"/>
      <sheetName val="KI"/>
      <sheetName val="Sheet20"/>
      <sheetName val="IMD10"/>
      <sheetName val="Overhead"/>
      <sheetName val="MASTER KANTIN"/>
      <sheetName val="BALANCE SHEET"/>
      <sheetName val="jul05 ok"/>
      <sheetName val="Mth-Vana"/>
      <sheetName val="1997"/>
      <sheetName val="Résultats"/>
      <sheetName val="tr-28202"/>
      <sheetName val="OLDMAP"/>
      <sheetName val="annBF"/>
      <sheetName val="FRN"/>
      <sheetName val="Chart-1"/>
      <sheetName val="D"/>
      <sheetName val="ppn-1"/>
      <sheetName val="HS"/>
      <sheetName val="C1 NOV"/>
      <sheetName val="Pricing Summary"/>
      <sheetName val="cilandak payroll"/>
      <sheetName val="Template"/>
      <sheetName val="Acc ALK"/>
      <sheetName val="RUPS"/>
      <sheetName val="Sampul"/>
      <sheetName val="125-TBM-01-05"/>
      <sheetName val="125-TBM-01-07"/>
      <sheetName val="125-TBM-01-06"/>
      <sheetName val="124-LC"/>
      <sheetName val="Recapitulation CTM"/>
      <sheetName val="mapp"/>
      <sheetName val="Harvesting-Total"/>
      <sheetName val="summary-1"/>
      <sheetName val="Produksi Kalsel"/>
      <sheetName val="Biaya Penjualan"/>
      <sheetName val="GRAPH PLANTING PROGRAMME"/>
      <sheetName val="2.1.AS Inti"/>
      <sheetName val="2.2 AS Koperasi Mitra"/>
      <sheetName val="2. AS Total"/>
      <sheetName val="ACT Cashflow"/>
      <sheetName val="ACT Data P&amp;L"/>
      <sheetName val="ACT Data BS"/>
      <sheetName val="Cashflow Report Act vs Bgt"/>
      <sheetName val="Commentary"/>
      <sheetName val="Bgt Data BS"/>
      <sheetName val="Bgt Cashflow"/>
      <sheetName val="BGT Cashflow "/>
      <sheetName val="2003 ACT CFlow"/>
      <sheetName val="2003 BGT C Flow"/>
      <sheetName val="HO Use"/>
      <sheetName val="CRITERIA3"/>
      <sheetName val="AR Days-JHHP Group"/>
      <sheetName val="Salesdata01-10 2004"/>
      <sheetName val="Appendix A"/>
      <sheetName val="FA '00"/>
      <sheetName val="E4.1d"/>
      <sheetName val="Notes to BS"/>
      <sheetName val="Permanent info"/>
      <sheetName val="fiscal depr(E)"/>
      <sheetName val="FX Rates"/>
      <sheetName val="CRITERIA1"/>
      <sheetName val="bdrl-usg"/>
      <sheetName val="data_carloan"/>
      <sheetName val="data_emgloan"/>
      <sheetName val="PRE"/>
      <sheetName val="Data_Umum"/>
      <sheetName val="Unaudited PY TB"/>
      <sheetName val="Data Ben"/>
      <sheetName val="Pengobatan"/>
      <sheetName val="Other charges (income)"/>
      <sheetName val="Profile"/>
      <sheetName val="3.kurdin-Bag"/>
      <sheetName val="2.Gaji-Bag"/>
      <sheetName val="BUT-1"/>
      <sheetName val="HEX-A"/>
      <sheetName val="HEX-E"/>
      <sheetName val="I-BUT"/>
      <sheetName val="RD I-BUT"/>
      <sheetName val="Interactive_Chart1"/>
      <sheetName val="Interactive_Chart2"/>
      <sheetName val="TB2004"/>
      <sheetName val="PPh 21 per GL"/>
      <sheetName val="SFKLN"/>
      <sheetName val="Currency"/>
      <sheetName val="Assets captured in Services"/>
      <sheetName val="N.3_FFB 3rdparties"/>
      <sheetName val="DataC&amp;S"/>
      <sheetName val="BB"/>
      <sheetName val="ACT_Cashflow"/>
      <sheetName val="ACT_Data_P&amp;L"/>
      <sheetName val="ACT_Data_BS"/>
      <sheetName val="Cashflow_Report_Act_vs_Bgt"/>
      <sheetName val="Bgt_Data_BS"/>
      <sheetName val="Bgt_Cashflow"/>
      <sheetName val="C1_NOV"/>
      <sheetName val="BGT_Cashflow_"/>
      <sheetName val="2003_ACT_CFlow"/>
      <sheetName val="2003_BGT_C_Flow"/>
      <sheetName val="HO_Use"/>
      <sheetName val="Salesdata01-10_2004"/>
      <sheetName val="Appendix_A"/>
      <sheetName val="fiscal_depr(E)"/>
      <sheetName val="Permanent_info"/>
      <sheetName val="AR_Days-JHHP_Group"/>
      <sheetName val="FA_'00"/>
      <sheetName val="Notes_to_BS"/>
      <sheetName val="E4_1d"/>
      <sheetName val="Unaudited_PY_TB"/>
      <sheetName val="FX_Rates"/>
      <sheetName val="Data_Ben"/>
      <sheetName val="Other_charges_(income)"/>
      <sheetName val="3_kurdin-Bag"/>
      <sheetName val="2_Gaji-Bag"/>
      <sheetName val="PPh_21_per_GL"/>
      <sheetName val="TB-Dec05 ID2"/>
      <sheetName val="populasi"/>
      <sheetName val="U301"/>
      <sheetName val="PPH GB"/>
      <sheetName val="PCASH"/>
      <sheetName val="Asli"/>
      <sheetName val="worksheet"/>
      <sheetName val="rab_50"/>
      <sheetName val="Data Sheet"/>
      <sheetName val="Non-Statistical Sampling"/>
      <sheetName val="Danamon LK"/>
      <sheetName val="Bantu 1999"/>
      <sheetName val="laporan"/>
      <sheetName val="Triggers"/>
      <sheetName val="Sum All"/>
      <sheetName val="Cutmat"/>
      <sheetName val="Rental"/>
      <sheetName val="3M Indonesia (9011-001)"/>
      <sheetName val="設備費内訳"/>
      <sheetName val="検具"/>
      <sheetName val="仕様確認"/>
      <sheetName val="REv DCR Kar"/>
      <sheetName val="BCA Stat"/>
      <sheetName val="Tabel Kode"/>
      <sheetName val="FC"/>
      <sheetName val="FIXED FLOAT"/>
      <sheetName val="DropDown"/>
      <sheetName val="data kantor"/>
      <sheetName val="SAD"/>
      <sheetName val="per 1 Dec-latest"/>
      <sheetName val="FA Fin"/>
      <sheetName val="Menu"/>
      <sheetName val="Consolidated Forecast"/>
      <sheetName val="Consolidated Actual"/>
      <sheetName val="COGS TP"/>
      <sheetName val="Prex"/>
      <sheetName val="Capex"/>
      <sheetName val="Opex"/>
      <sheetName val="Inventory&amp;Purchases"/>
      <sheetName val="Sales GA"/>
      <sheetName val="COSY"/>
      <sheetName val="HAL-023"/>
      <sheetName val="Company Asset Class Pivot"/>
      <sheetName val="Asset Class List"/>
      <sheetName val="QR"/>
      <sheetName val="BP24"/>
      <sheetName val="Tanda Tangan"/>
      <sheetName val="STKE"/>
      <sheetName val="LAMPIRAN"/>
      <sheetName val="Gambar"/>
      <sheetName val="bgt"/>
      <sheetName val="FOH Details1819"/>
      <sheetName val="vra"/>
      <sheetName val="BLOCK"/>
      <sheetName val="Update CPS"/>
      <sheetName val="Upadate 21 10 2019"/>
      <sheetName val="Stock Take 19092019 30%"/>
      <sheetName val="Press KCP"/>
      <sheetName val="Upadate 21 09 2019"/>
      <sheetName val="GS02 Summary"/>
      <sheetName val="GS02 Distribution"/>
      <sheetName val="VRA Summ"/>
      <sheetName val="EH-12"/>
      <sheetName val="EH-35"/>
      <sheetName val="EH-39"/>
      <sheetName val="EH-60"/>
      <sheetName val="EH-75"/>
      <sheetName val="TM-77"/>
      <sheetName val="TM-83"/>
      <sheetName val="VL-85"/>
      <sheetName val="VL-108"/>
      <sheetName val="VL-113"/>
      <sheetName val="VL-112"/>
      <sheetName val="VL-170"/>
      <sheetName val="Detail_Dist TM77"/>
      <sheetName val="MD13"/>
      <sheetName val="NONCAB"/>
      <sheetName val="LN"/>
      <sheetName val="DKI"/>
      <sheetName val="GABUNGAN"/>
      <sheetName val="LRK"/>
      <sheetName val="NONNRC"/>
      <sheetName val="KURS"/>
      <sheetName val="hal_8"/>
      <sheetName val="Kawala Sawit"/>
      <sheetName val="schbhn"/>
      <sheetName val="schalt"/>
      <sheetName val="schtng"/>
      <sheetName val="SCHEDULE"/>
      <sheetName val="List Jabatan"/>
      <sheetName val="Curah hujan"/>
      <sheetName val="5b.Pemupukan"/>
      <sheetName val="Fisik"/>
      <sheetName val="adj-01"/>
      <sheetName val="GAZALI"/>
      <sheetName val="SMRE"/>
      <sheetName val="Capex-Dept"/>
      <sheetName val="HA-ST"/>
      <sheetName val="REK COST PLS"/>
      <sheetName val="REKAP-KCE"/>
      <sheetName val="UMUM"/>
      <sheetName val="CAPT-TBM-0"/>
      <sheetName val="Rekons.TBM-(18)"/>
      <sheetName val="TBM-1-(18)"/>
      <sheetName val="TBM-2-(18)"/>
      <sheetName val="TBM-3-(18)"/>
      <sheetName val="TBM-4-(18)"/>
      <sheetName val="TBM-5-(18)"/>
      <sheetName val="TBM-6-(18)"/>
      <sheetName val="Rekons.TBM-(17.)"/>
      <sheetName val="TBM-1-(17.)"/>
      <sheetName val="TBM-2-(17.)"/>
      <sheetName val="TBM-3-(17.)"/>
      <sheetName val="TBM-4-(17.)"/>
      <sheetName val="TBM-5-(17.)"/>
      <sheetName val="TBM-6-(17.)"/>
      <sheetName val="Rekons.TBM-(14)"/>
      <sheetName val="TBM-1-(14)"/>
      <sheetName val="TBM-2-(14)"/>
      <sheetName val="TBM-3-(14)"/>
      <sheetName val="TBM-4-(14)"/>
      <sheetName val="TBM-5-(14)"/>
      <sheetName val="TBM-6-(14)"/>
      <sheetName val="Rekons.TM-14"/>
      <sheetName val="TM-1-14"/>
      <sheetName val="TM-2-14"/>
      <sheetName val="TM-3-14"/>
      <sheetName val="TM-4-14"/>
      <sheetName val="TM-5-14"/>
      <sheetName val="TM-6-14"/>
      <sheetName val="Rekons.TM2-80-13"/>
      <sheetName val="TM2 PRW -1-13"/>
      <sheetName val="TM2 PRW -2-13 "/>
      <sheetName val="TM2 PRW -3-13 "/>
      <sheetName val="TM2 PRW -4-13 "/>
      <sheetName val="TM2 PRW -5-13 "/>
      <sheetName val="TM2 PRW -6-13"/>
      <sheetName val="Rekons.TM-13"/>
      <sheetName val="TM-1-13"/>
      <sheetName val="TM-2-13 "/>
      <sheetName val="TM-3-13  "/>
      <sheetName val="TM-4-13  "/>
      <sheetName val="TM-5-13"/>
      <sheetName val="TM-6-13"/>
      <sheetName val="Rekons.TM2-80-12"/>
      <sheetName val="TM2 PRW -1-12"/>
      <sheetName val="TM2 PRW -2-12"/>
      <sheetName val="TM2 PRW -3-12"/>
      <sheetName val="TM2 PRW -4-12"/>
      <sheetName val="TM2 PRW -5-12"/>
      <sheetName val="TM2 PRW -6-12"/>
      <sheetName val="Rekons.TM-12"/>
      <sheetName val="TM-1-12"/>
      <sheetName val="TM-2-12"/>
      <sheetName val="TM-3-12"/>
      <sheetName val="TM-4-12 "/>
      <sheetName val="TM-5-12"/>
      <sheetName val="TM-6-12"/>
      <sheetName val="Rekons.TM2-80-11"/>
      <sheetName val="TM2 PRW -2-11"/>
      <sheetName val="Rekons.TM-11"/>
      <sheetName val="TM-2-11"/>
      <sheetName val="TM-82-15"/>
      <sheetName val="TM-82-14"/>
      <sheetName val="TM-82-13"/>
      <sheetName val="TM-82-12"/>
      <sheetName val="TM-82-11"/>
      <sheetName val="Taksasi Produksi"/>
      <sheetName val="Rekons.Bibitan"/>
      <sheetName val="Bibitan 2012"/>
      <sheetName val="Bibitan 2013"/>
      <sheetName val="Bibitan 2018"/>
      <sheetName val="Rekons.TBM-0"/>
      <sheetName val="TBM-1-0"/>
      <sheetName val="TBM-2-0"/>
      <sheetName val="TBM-3-0"/>
      <sheetName val="TBM-4-0"/>
      <sheetName val="TBM-5-0"/>
      <sheetName val="TBM-6-0"/>
      <sheetName val="MANPOWER"/>
      <sheetName val="Luar"/>
      <sheetName val="Basis Panen"/>
      <sheetName val="Perabot Staff"/>
      <sheetName val="Alokasi Batu"/>
      <sheetName val="Struktur Org"/>
      <sheetName val="PRODUKSI TO 2019"/>
      <sheetName val="DATA WP"/>
      <sheetName val="Running_Acc"/>
      <sheetName val="TM"/>
      <sheetName val="Acc_ALK"/>
      <sheetName val="KODE_KENDARAAN"/>
      <sheetName val="DATA TANAMAN"/>
      <sheetName val="MAR"/>
      <sheetName val="Persatuan"/>
      <sheetName val="Nomenclature CF-Agro"/>
      <sheetName val="MASTER_KANTIN"/>
      <sheetName val="Produksi_Kalsel"/>
      <sheetName val="Biaya_Penjualan"/>
      <sheetName val="TBS_BLOK"/>
      <sheetName val="NPK_Mg_Bo"/>
      <sheetName val="Nomenclature_CF-Agro"/>
      <sheetName val="GRAPH_PLANTING_PROGRAMME"/>
      <sheetName val="2_1_AS_Inti"/>
      <sheetName val="2_2_AS_Koperasi_Mitra"/>
      <sheetName val="2__AS_Total"/>
      <sheetName val="DP_Volume"/>
      <sheetName val="Rekap_CROP__OK"/>
      <sheetName val="Trial Balance Attc.1"/>
      <sheetName val="Kapitalisasi"/>
      <sheetName val="MUTU_BUAH4"/>
      <sheetName val="NK_Oct'114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k_prod4"/>
      <sheetName val="L_BA_blok3"/>
      <sheetName val="fin_pro_centers3"/>
      <sheetName val="REKAP_EST_PROD_13_edt3"/>
      <sheetName val="Upah_SKUB3"/>
      <sheetName val="INDIRECT_DETAIL4"/>
      <sheetName val="tonper_Ha-TT_20001"/>
      <sheetName val="DIRECT_COST4"/>
      <sheetName val="KGP_Thp_I3"/>
      <sheetName val="KGP_Thp_II3"/>
      <sheetName val="Daftar_Harga_Barang3"/>
      <sheetName val="INDRCT_DTL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MASTER_KANTIN1"/>
      <sheetName val="Hal-12_3"/>
      <sheetName val="KK_CFP_JAKARTA3"/>
      <sheetName val="Gaji_Non_Staff3"/>
      <sheetName val="CF_Konsol3"/>
      <sheetName val="_Penjelasan_RKB-PDO3"/>
      <sheetName val="Rekap__Total3"/>
      <sheetName val="CPO_16-9-TID_2"/>
      <sheetName val="Premi_Iuran3"/>
      <sheetName val="PABRIK_(2)3"/>
      <sheetName val="10__Summary_all2"/>
      <sheetName val="Penjelasan_SCK2"/>
      <sheetName val="HET_PBG32"/>
      <sheetName val="Kualitas_TBS2"/>
      <sheetName val="Kesegaran_TBS2"/>
      <sheetName val="8_Upah_rata22"/>
      <sheetName val="LEMBUR_20062"/>
      <sheetName val="Prod__Stats2"/>
      <sheetName val="Capex_Sum2"/>
      <sheetName val="PT_AAM_AKT1"/>
      <sheetName val="CV_UM-MO1"/>
      <sheetName val="CV_UM-RAMP1"/>
      <sheetName val="Produksi_Kalsel1"/>
      <sheetName val="Biaya_Penjualan1"/>
      <sheetName val="dft_bns1"/>
      <sheetName val="Data_SRL1"/>
      <sheetName val="Data_Prod_Graf1"/>
      <sheetName val="PK_RM1"/>
      <sheetName val="TBS_BLOK1"/>
      <sheetName val="NPK_Mg_Bo1"/>
      <sheetName val="TBM_01"/>
      <sheetName val="Nomenclature_CF-Agro1"/>
      <sheetName val="Perhitungan_Penalty1"/>
      <sheetName val="Rekap_Bulanan1"/>
      <sheetName val="Program_Pupuk_Inti1"/>
      <sheetName val="RKP_11"/>
      <sheetName val="BJ_&amp;_Koreksi1"/>
      <sheetName val="Air_Limbah1"/>
      <sheetName val="Water_Analisis1"/>
      <sheetName val="PAGE_1_X1"/>
      <sheetName val="Basic_Price1"/>
      <sheetName val="GRAPH_PLANTING_PROGRAMME1"/>
      <sheetName val="Dbase_TK1"/>
      <sheetName val="Dbase_AP1"/>
      <sheetName val="2_1_AS_Inti1"/>
      <sheetName val="2_2_AS_Koperasi_Mitra1"/>
      <sheetName val="2__AS_Total1"/>
      <sheetName val="Acc_ALK1"/>
      <sheetName val="KODE_KENDARAAN1"/>
      <sheetName val="New_Position1"/>
      <sheetName val="NEW_POSITION_BD1"/>
      <sheetName val="Jenis_kendaraan1"/>
      <sheetName val="transport_method1"/>
      <sheetName val="Rincian_Iuran1"/>
      <sheetName val="4_11"/>
      <sheetName val="DP_Volume1"/>
      <sheetName val="%_Lbr_vs_GP1"/>
      <sheetName val="Rekap_CROP__OK1"/>
      <sheetName val="ABSEN_KHT-KONTRAK"/>
      <sheetName val="MASTER MAPE"/>
      <sheetName val="ALL"/>
      <sheetName val="Premi_Bulanan"/>
      <sheetName val="BPJS_TK_-_KES"/>
      <sheetName val="MUTU_BUAH5"/>
      <sheetName val="NK_Oct'115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Pk_prod5"/>
      <sheetName val="L_BA_blok4"/>
      <sheetName val="fin_pro_centers4"/>
      <sheetName val="REKAP_EST_PROD_13_edt4"/>
      <sheetName val="Upah_SKUB4"/>
      <sheetName val="Daftar_Blok2"/>
      <sheetName val="Kode_Barang2"/>
      <sheetName val="ACT_PROD2"/>
      <sheetName val="PLAN_PROD2"/>
      <sheetName val="INDIRECT_DETAIL5"/>
      <sheetName val="tonper_Ha-TT_20002"/>
      <sheetName val="DIRECT_COST5"/>
      <sheetName val="WIL_13"/>
      <sheetName val="MM_PAGE-2_X3"/>
      <sheetName val="KGP_Thp_I4"/>
      <sheetName val="KGP_Thp_II4"/>
      <sheetName val="Daftar_Harga_Barang4"/>
      <sheetName val="INDRCT_DTL3"/>
      <sheetName val="ocean_voyage3"/>
      <sheetName val="FISIK_RAB_2000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COA_(3)2"/>
      <sheetName val="MASTER_KANTIN2"/>
      <sheetName val="Hal-12_4"/>
      <sheetName val="KK_CFP_JAKARTA4"/>
      <sheetName val="Gaji_Non_Staff4"/>
      <sheetName val="CF_Konsol4"/>
      <sheetName val="_Penjelasan_RKB-PDO4"/>
      <sheetName val="Rekap__Total4"/>
      <sheetName val="CPO_16-9-TID_3"/>
      <sheetName val="Premi_Iuran4"/>
      <sheetName val="PABRIK_(2)4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10__Summary_all3"/>
      <sheetName val="Penjelasan_SCK3"/>
      <sheetName val="HET_PBG33"/>
      <sheetName val="Kualitas_TBS3"/>
      <sheetName val="Kesegaran_TBS3"/>
      <sheetName val="Trading_Statement2"/>
      <sheetName val="KODE_TRANS2"/>
      <sheetName val="Kas_Bank2"/>
      <sheetName val="8_Upah_rata23"/>
      <sheetName val="LEMBUR_20063"/>
      <sheetName val="Prod__Stats3"/>
      <sheetName val="Capex_Sum3"/>
      <sheetName val="PT_AAM_AKT2"/>
      <sheetName val="CV_UM-MO2"/>
      <sheetName val="CV_UM-RAMP2"/>
      <sheetName val="Produksi_Kalsel2"/>
      <sheetName val="Biaya_Penjualan2"/>
      <sheetName val="Fomat__12"/>
      <sheetName val="dft_bns2"/>
      <sheetName val="Data_SRL2"/>
      <sheetName val="Data_Prod_Graf2"/>
      <sheetName val="PK_RM2"/>
      <sheetName val="TBS_BLOK2"/>
      <sheetName val="NPK_Mg_Bo2"/>
      <sheetName val="CHART_SAMPLES_RECEIVED2"/>
      <sheetName val="TBM_3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WRKP_TM2"/>
      <sheetName val="Production_S22"/>
      <sheetName val="Production_S32"/>
      <sheetName val="HK_Effektif_&amp;_Rate_Upah2"/>
      <sheetName val="Harga_20112"/>
      <sheetName val="TBM_02"/>
      <sheetName val="Nomenclature_CF-Agro2"/>
      <sheetName val="Perhitungan_Penalty2"/>
      <sheetName val="Rekap_Bulanan2"/>
      <sheetName val="Program_Pupuk_Inti2"/>
      <sheetName val="RKP_12"/>
      <sheetName val="BJ_&amp;_Koreksi2"/>
      <sheetName val="Air_Limbah2"/>
      <sheetName val="Water_Analisis2"/>
      <sheetName val="PAGE_1_X2"/>
      <sheetName val="Basic_Price2"/>
      <sheetName val="GRAPH_PLANTING_PROGRAMME2"/>
      <sheetName val="Dbase_TK2"/>
      <sheetName val="Dbase_AP2"/>
      <sheetName val="2_1_AS_Inti2"/>
      <sheetName val="2_2_AS_Koperasi_Mitra2"/>
      <sheetName val="2__AS_Total2"/>
      <sheetName val="Acc_ALK2"/>
      <sheetName val="KODE_KENDARAAN2"/>
      <sheetName val="New_Position2"/>
      <sheetName val="NEW_POSITION_BD2"/>
      <sheetName val="Jenis_kendaraan2"/>
      <sheetName val="transport_method2"/>
      <sheetName val="Rincian_Iuran2"/>
      <sheetName val="4_12"/>
      <sheetName val="DP_Volume2"/>
      <sheetName val="%_Lbr_vs_GP2"/>
      <sheetName val="Rekap_CROP__OK2"/>
      <sheetName val="Trial_Balance_Attc_1"/>
      <sheetName val="1.Rollfwd"/>
      <sheetName val="Lead"/>
      <sheetName val="XREF"/>
      <sheetName val="Sheet5"/>
      <sheetName val="_x0000_"/>
      <sheetName val="Site progress"/>
      <sheetName val="Harga Spare Part"/>
      <sheetName val="Jeep"/>
      <sheetName val="Ford"/>
      <sheetName val="Asumsi Budget "/>
      <sheetName val="CH 5 Th"/>
      <sheetName val="RKH 18"/>
      <sheetName val="RKP TT"/>
      <sheetName val="H28,1280409731114"/>
      <sheetName val="Parameter"/>
      <sheetName val="CROP"/>
      <sheetName val="SW1"/>
      <sheetName val="00 received in 01"/>
      <sheetName val="GL 01 report 00"/>
      <sheetName val="2001 per GL (2)"/>
      <sheetName val="2001 per month (2)"/>
      <sheetName val="2001 per GL (1)"/>
      <sheetName val=" 2001 per month (1)"/>
      <sheetName val="Per GL 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Dec"/>
      <sheetName val="Sch 16.1"/>
      <sheetName val="Sch 17.1"/>
      <sheetName val="Sch 14.2"/>
      <sheetName val="Sch 22.2"/>
      <sheetName val="Sch 22.4"/>
      <sheetName val="Sch 3.1"/>
      <sheetName val="ABK.04.AWALR+CO+TAB.RUPS"/>
      <sheetName val="FFB-2003( P ) "/>
      <sheetName val="LHP7"/>
      <sheetName val="Prod &amp; Sales"/>
      <sheetName val="08_Jan_20057"/>
      <sheetName val="15_Jan_20057"/>
      <sheetName val="22_Jan_20057"/>
      <sheetName val="29_Jan_7"/>
      <sheetName val="05_Jan7"/>
      <sheetName val="16_Feb_047"/>
      <sheetName val="23_Feb_04_7"/>
      <sheetName val="01_Mar_047"/>
      <sheetName val="08_Mar_04_7"/>
      <sheetName val="15_Mar_047"/>
      <sheetName val="22__Mar_047"/>
      <sheetName val="28__Mar_047"/>
      <sheetName val="03_April_04_7"/>
      <sheetName val="10_April_04_7"/>
      <sheetName val="17_April_04__7"/>
      <sheetName val="17_April_04_edit7"/>
      <sheetName val="24_April_04_7"/>
      <sheetName val="24_April_04_edit7"/>
      <sheetName val="01_Mei_047"/>
      <sheetName val="08_Mei_047"/>
      <sheetName val="15_Mei_047"/>
      <sheetName val="22_Mei_04_7"/>
      <sheetName val="29_Mei_04_7"/>
      <sheetName val="05_Juni_047"/>
      <sheetName val="12_Juni_04_7"/>
      <sheetName val="19_Juni_04__7"/>
      <sheetName val="26_Juni_04_7"/>
      <sheetName val="_30_Juni_04_7"/>
      <sheetName val="_03_Juli_04__7"/>
      <sheetName val="_10_Juli_04___7"/>
      <sheetName val="_17_Juli_04_7"/>
      <sheetName val="10_Juli_04_Penyesuaian7"/>
      <sheetName val="17_Juli_04_Penyesuaian7"/>
      <sheetName val="_24_Juli_04____7"/>
      <sheetName val="_31_Juli_04_7"/>
      <sheetName val="07_Agustus_047"/>
      <sheetName val="14_Agustus_04_7"/>
      <sheetName val="22_Agustus_04_7"/>
      <sheetName val="28_Agustus_04__7"/>
      <sheetName val="K_025CPO-097"/>
      <sheetName val="WP_7"/>
      <sheetName val="K_002CPO7"/>
      <sheetName val="K_026CPO087"/>
      <sheetName val="INDIRECT_DETAIL6"/>
      <sheetName val="DIRECT_COST6"/>
      <sheetName val="MUTU_BUAH6"/>
      <sheetName val="Pk_prod6"/>
      <sheetName val="NK_Oct'116"/>
      <sheetName val="KGP_Thp_I5"/>
      <sheetName val="KGP_Thp_II5"/>
      <sheetName val="Daftar_Harga_Barang5"/>
      <sheetName val="INDRCT_DTL4"/>
      <sheetName val="WIL_14"/>
      <sheetName val="MM_PAGE-2_X4"/>
      <sheetName val="REKAP_EST_PROD_13_edt5"/>
      <sheetName val="Upah_SKUB5"/>
      <sheetName val="ocean_voyage4"/>
      <sheetName val="FISIK_RAB_20004"/>
      <sheetName val="Daftar_isi4"/>
      <sheetName val="Lbr_Sched_4"/>
      <sheetName val="SKU_BUL_4"/>
      <sheetName val="SKU-HAR_4"/>
      <sheetName val="SKU_KHT4"/>
      <sheetName val="LBR_SLR_DTL4"/>
      <sheetName val="LEMBUR_20074"/>
      <sheetName val="Prod_smry4"/>
      <sheetName val="Rekap_Biaya4"/>
      <sheetName val="Expens&amp;Rnue_(2)4"/>
      <sheetName val="DIRECT_SMR4"/>
      <sheetName val="DIRECT_DETAIL4"/>
      <sheetName val="INDIRECT_SMR4"/>
      <sheetName val="INDIRECT_COST4"/>
      <sheetName val="SE_SMR4"/>
      <sheetName val="SE_COST4"/>
      <sheetName val="SE_Detail4"/>
      <sheetName val="TRANS_PWR_4"/>
      <sheetName val="TRANS_VEHICL4"/>
      <sheetName val="TRANS_WATER4"/>
      <sheetName val="TRANS_WORKM&amp;R4"/>
      <sheetName val="TRANS_RMH4"/>
      <sheetName val="TRANS_ALT_BERAT4"/>
      <sheetName val="COA_(3)3"/>
      <sheetName val="L_BA_blok5"/>
      <sheetName val="fin_pro_centers5"/>
      <sheetName val="KK_CFP_JAKARTA5"/>
      <sheetName val="Gaji_Non_Staff5"/>
      <sheetName val="CF_Konsol5"/>
      <sheetName val="_Penjelasan_RKB-PDO5"/>
      <sheetName val="Rekap__Total5"/>
      <sheetName val="PABRIK_(2)5"/>
      <sheetName val="Premi_Iuran5"/>
      <sheetName val="CPO_16-9-TID_4"/>
      <sheetName val="8_Upah_rata24"/>
      <sheetName val="LEMBUR_20064"/>
      <sheetName val="Prod__Stats4"/>
      <sheetName val="Kualitas_TBS4"/>
      <sheetName val="Kesegaran_TBS4"/>
      <sheetName val="10__Summary_all4"/>
      <sheetName val="Capex_Sum4"/>
      <sheetName val="MASTER_PJCM3"/>
      <sheetName val="MASTER_MB3"/>
      <sheetName val="UMUR_KOMPLEK_PJCM3"/>
      <sheetName val="UMUR_KOMPLEK_IU_MB3"/>
      <sheetName val="IU_PJCM3"/>
      <sheetName val="IU_MB3"/>
      <sheetName val="DAFTAR_NAMA_KOMPLEK3"/>
      <sheetName val="Hal-12_5"/>
      <sheetName val="Penjelasan_SCK4"/>
      <sheetName val="HET_PBG34"/>
      <sheetName val="Trading_Statement3"/>
      <sheetName val="KODE_TRANS3"/>
      <sheetName val="Kas_Bank3"/>
      <sheetName val="2600_50_Rincian_Credit_Card(HO1"/>
      <sheetName val="Fomat__13"/>
      <sheetName val="FA_sd_APRIL_071"/>
      <sheetName val="fa_SD_APRIL071"/>
      <sheetName val="Daftar_Blok3"/>
      <sheetName val="Kode_Barang3"/>
      <sheetName val="ACT_PROD3"/>
      <sheetName val="PLAN_PROD3"/>
      <sheetName val="PT_AAM_AKT3"/>
      <sheetName val="CV_UM-MO3"/>
      <sheetName val="CV_UM-RAMP3"/>
      <sheetName val="CHART_SAMPLES_RECEIVED3"/>
      <sheetName val="Rincian_Iuran3"/>
      <sheetName val="dft_bns3"/>
      <sheetName val="4_13"/>
      <sheetName val="TBM_33"/>
      <sheetName val="List_Rayon3"/>
      <sheetName val="List_Department3"/>
      <sheetName val="Palm_Prod3"/>
      <sheetName val="Data_Kar3"/>
      <sheetName val="Data_Rekon3"/>
      <sheetName val="renc__kerja_LC3"/>
      <sheetName val="SASARAN_3"/>
      <sheetName val="LOCAL_GOVT_TAX3"/>
      <sheetName val="Sheet1_(3)3"/>
      <sheetName val="BY_TM_99_3"/>
      <sheetName val="_45KVA-13"/>
      <sheetName val="DATA_LTW3"/>
      <sheetName val="WRKP_TM3"/>
      <sheetName val="Production_S23"/>
      <sheetName val="Production_S33"/>
      <sheetName val="(43)9_11"/>
      <sheetName val="HK_Effektif_&amp;_Rate_Upah3"/>
      <sheetName val="Harga_20113"/>
      <sheetName val="TBM_03"/>
      <sheetName val="BJ_&amp;_Koreksi3"/>
      <sheetName val="Air_Limbah3"/>
      <sheetName val="Water_Analisis3"/>
      <sheetName val="PAGE_1_X3"/>
      <sheetName val="Basic_Price3"/>
      <sheetName val="Perhitungan_Penalty3"/>
      <sheetName val="Rekap_Bulanan3"/>
      <sheetName val="Program_Pupuk_Inti3"/>
      <sheetName val="RKP_13"/>
      <sheetName val="SKU_Inti1"/>
      <sheetName val="PHL_Inti_+_Borongan1"/>
      <sheetName val="SKU_-H_Plasma_1"/>
      <sheetName val="PHL_Plasma_+_Borongan1"/>
      <sheetName val="BPE1_vs_BNI1"/>
      <sheetName val="BPE1_vs_Mandiri1"/>
      <sheetName val="bantu_Tunai1"/>
      <sheetName val="Borongan_Pakai1"/>
      <sheetName val="A_Harian_&amp;_Bulanan1"/>
      <sheetName val="MASTER_KARYAWAN1"/>
      <sheetName val="BS_$1"/>
      <sheetName val="P&amp;L_$1"/>
      <sheetName val="POM_$1"/>
      <sheetName val="OP_$1"/>
      <sheetName val="Rub_$1"/>
      <sheetName val="Staff__Cost1"/>
      <sheetName val="TAX_LIST1"/>
      <sheetName val="data_(2)1"/>
      <sheetName val="CA_PROD_A-11"/>
      <sheetName val="Gaji_Bersih_GW1"/>
      <sheetName val="%_Lbr_vs_GP3"/>
      <sheetName val="UPDATE_KUOTA_(VERIFIKASI)1"/>
      <sheetName val="10_yr_val1"/>
      <sheetName val="REKAP_OMZET_KAPAL1"/>
      <sheetName val="FORM_X_COST1"/>
      <sheetName val="tonper_Ha-TT_20003"/>
      <sheetName val="Data_SRL3"/>
      <sheetName val="Data_Prod_Graf3"/>
      <sheetName val="PK_RM3"/>
      <sheetName val="Dbase_TK3"/>
      <sheetName val="Dbase_AP3"/>
      <sheetName val="New_Position3"/>
      <sheetName val="NEW_POSITION_BD3"/>
      <sheetName val="Jenis_kendaraan3"/>
      <sheetName val="transport_method3"/>
      <sheetName val="1__Best_Best_Estate"/>
      <sheetName val="DP_Volume3"/>
      <sheetName val="Rekap_CROP__OK3"/>
      <sheetName val="TBS_BLOK3"/>
      <sheetName val="NPK_Mg_Bo3"/>
      <sheetName val="1_Areal_Statemen"/>
      <sheetName val="COA_(2)"/>
      <sheetName val="BIA_REKRUTMEN"/>
      <sheetName val="DATA_BASE"/>
      <sheetName val="HUTANG_DR_KBN"/>
      <sheetName val="NOP_2010"/>
      <sheetName val="POT_TOKO"/>
      <sheetName val="5_TE2"/>
      <sheetName val="KETERANGAN_PEMAKAIA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KODE_KENDARAAN3"/>
      <sheetName val="List_PT"/>
      <sheetName val="MASTER_KANTIN3"/>
      <sheetName val="BALANCE_SHEET"/>
      <sheetName val="jul05_ok"/>
      <sheetName val="C1_NOV1"/>
      <sheetName val="Pricing_Summary"/>
      <sheetName val="cilandak_payroll"/>
      <sheetName val="Acc_ALK3"/>
      <sheetName val="Recapitulation_CTM"/>
      <sheetName val="Produksi_Kalsel3"/>
      <sheetName val="Biaya_Penjualan3"/>
      <sheetName val="GRAPH_PLANTING_PROGRAMME3"/>
      <sheetName val="2_1_AS_Inti3"/>
      <sheetName val="2_2_AS_Koperasi_Mitra3"/>
      <sheetName val="2__AS_Total3"/>
      <sheetName val="ACT_Cashflow1"/>
      <sheetName val="ACT_Data_P&amp;L1"/>
      <sheetName val="ACT_Data_BS1"/>
      <sheetName val="Cashflow_Report_Act_vs_Bgt1"/>
      <sheetName val="Bgt_Data_BS1"/>
      <sheetName val="Bgt_Cashflow1"/>
      <sheetName val="BGT_Cashflow_1"/>
      <sheetName val="2003_ACT_CFlow1"/>
      <sheetName val="2003_BGT_C_Flow1"/>
      <sheetName val="HO_Use1"/>
      <sheetName val="AR_Days-JHHP_Group1"/>
      <sheetName val="Salesdata01-10_20041"/>
      <sheetName val="Appendix_A1"/>
      <sheetName val="FA_'001"/>
      <sheetName val="E4_1d1"/>
      <sheetName val="Notes_to_BS1"/>
      <sheetName val="Permanent_info1"/>
      <sheetName val="fiscal_depr(E)1"/>
      <sheetName val="FX_Rates1"/>
      <sheetName val="Unaudited_PY_TB1"/>
      <sheetName val="Data_Ben1"/>
      <sheetName val="Other_charges_(income)1"/>
      <sheetName val="3_kurdin-Bag1"/>
      <sheetName val="2_Gaji-Bag1"/>
      <sheetName val="RD_I-BUT"/>
      <sheetName val="PPh_21_per_GL1"/>
      <sheetName val="Assets_captured_in_Services"/>
      <sheetName val="N_3_FFB_3rdparties"/>
      <sheetName val="TB-Dec05_ID2"/>
      <sheetName val="PPH_GB"/>
      <sheetName val="Data_Sheet"/>
      <sheetName val="Non-Statistical_Sampling"/>
      <sheetName val="Danamon_LK"/>
      <sheetName val="Bantu_1999"/>
      <sheetName val="Sum_All"/>
      <sheetName val="3M_Indonesia_(9011-001)"/>
      <sheetName val="REv_DCR_Kar"/>
      <sheetName val="BCA_Stat"/>
      <sheetName val="Tabel_Kode"/>
      <sheetName val="FIXED_FLOAT"/>
      <sheetName val="data_kantor"/>
      <sheetName val="per_1_Dec-latest"/>
      <sheetName val="FA_Fin"/>
      <sheetName val="Consolidated_Forecast"/>
      <sheetName val="Consolidated_Actual"/>
      <sheetName val="COGS_TP"/>
      <sheetName val="Sales_GA"/>
      <sheetName val="Company_Asset_Class_Pivot"/>
      <sheetName val="Asset_Class_List"/>
      <sheetName val="Tanda_Tangan"/>
      <sheetName val="FOH_Details1819"/>
      <sheetName val="Update_CPS"/>
      <sheetName val="Upadate_21_10_2019"/>
      <sheetName val="Stock_Take_19092019_30%"/>
      <sheetName val="Press_KCP"/>
      <sheetName val="Upadate_21_09_2019"/>
      <sheetName val="GS02_Summary"/>
      <sheetName val="GS02_Distribution"/>
      <sheetName val="VRA_Summ"/>
      <sheetName val="Detail_Dist_TM77"/>
      <sheetName val="Kawala_Sawit"/>
      <sheetName val="List_Jabatan"/>
      <sheetName val="Curah_hujan"/>
      <sheetName val="5b_Pemupukan"/>
      <sheetName val="REK_COST_PLS"/>
      <sheetName val="Rekons_TBM-(18)"/>
      <sheetName val="Rekons_TBM-(17_)"/>
      <sheetName val="TBM-1-(17_)"/>
      <sheetName val="TBM-2-(17_)"/>
      <sheetName val="TBM-3-(17_)"/>
      <sheetName val="TBM-4-(17_)"/>
      <sheetName val="TBM-5-(17_)"/>
      <sheetName val="TBM-6-(17_)"/>
      <sheetName val="Rekons_TBM-(14)"/>
      <sheetName val="Rekons_TM-14"/>
      <sheetName val="Rekons_TM2-80-13"/>
      <sheetName val="TM2_PRW_-1-13"/>
      <sheetName val="TM2_PRW_-2-13_"/>
      <sheetName val="TM2_PRW_-3-13_"/>
      <sheetName val="TM2_PRW_-4-13_"/>
      <sheetName val="TM2_PRW_-5-13_"/>
      <sheetName val="TM2_PRW_-6-13"/>
      <sheetName val="Rekons_TM-13"/>
      <sheetName val="TM-2-13_"/>
      <sheetName val="TM-3-13__"/>
      <sheetName val="TM-4-13__"/>
      <sheetName val="Rekons_TM2-80-12"/>
      <sheetName val="TM2_PRW_-1-12"/>
      <sheetName val="TM2_PRW_-2-12"/>
      <sheetName val="TM2_PRW_-3-12"/>
      <sheetName val="TM2_PRW_-4-12"/>
      <sheetName val="TM2_PRW_-5-12"/>
      <sheetName val="TM2_PRW_-6-12"/>
      <sheetName val="Rekons_TM-12"/>
      <sheetName val="TM-4-12_"/>
      <sheetName val="Rekons_TM2-80-11"/>
      <sheetName val="TM2_PRW_-2-11"/>
      <sheetName val="Rekons_TM-11"/>
      <sheetName val="Taksasi_Produksi"/>
      <sheetName val="Rekons_Bibitan"/>
      <sheetName val="Bibitan_2012"/>
      <sheetName val="Bibitan_2013"/>
      <sheetName val="Bibitan_2018"/>
      <sheetName val="Rekons_TBM-0"/>
      <sheetName val="Basis_Panen"/>
      <sheetName val="Perabot_Staff"/>
      <sheetName val="Alokasi_Batu"/>
      <sheetName val="Struktur_Org"/>
      <sheetName val="PRODUKSI_TO_2019"/>
      <sheetName val="DATA_WP"/>
      <sheetName val="DATA_TANAMAN"/>
      <sheetName val="Nomenclature_CF-Agro3"/>
      <sheetName val="Trial_Balance_Attc_11"/>
      <sheetName val="MASTER_MAPE"/>
      <sheetName val="1_Rollfwd"/>
      <sheetName val="Site_progress"/>
      <sheetName val="Harga_Spare_Part"/>
      <sheetName val="Asumsi_Budget_"/>
      <sheetName val="CH_5_Th"/>
      <sheetName val="RKH_18"/>
      <sheetName val="RKP_TT"/>
      <sheetName val="00_received_in_01"/>
      <sheetName val="GL_01_report_00"/>
      <sheetName val="2001_per_GL_(2)"/>
      <sheetName val="2001_per_month_(2)"/>
      <sheetName val="2001_per_GL_(1)"/>
      <sheetName val="_2001_per_month_(1)"/>
      <sheetName val="Per_GL_J_a_n"/>
      <sheetName val="F_e_b"/>
      <sheetName val="M_a_r"/>
      <sheetName val="A_p_r"/>
      <sheetName val="M_a_y"/>
      <sheetName val="J_u_n"/>
      <sheetName val="J_u_l"/>
      <sheetName val="A_u_g"/>
      <sheetName val="S_e_p"/>
      <sheetName val="O_c_t"/>
      <sheetName val="N_o_v"/>
      <sheetName val="Sch_16_1"/>
      <sheetName val="Sch_17_1"/>
      <sheetName val="Sch_14_2"/>
      <sheetName val="Sch_22_2"/>
      <sheetName val="Sch_22_4"/>
      <sheetName val="Sch_3_1"/>
      <sheetName val="ABK_04_AWALR+CO+TAB_RUPS"/>
      <sheetName val="FFB-2003(_P_)_"/>
      <sheetName val="Prod_&amp;_Sales"/>
      <sheetName val="MASTER 1"/>
      <sheetName val="4-Basic Price"/>
      <sheetName val="5-ALAT(1)"/>
      <sheetName val="D7(1)"/>
      <sheetName val="Sat. Pek."/>
      <sheetName val="Sat_ Pek_"/>
      <sheetName val="Model"/>
      <sheetName val="CH3-0"/>
      <sheetName val="Exlfoxpro final"/>
      <sheetName val="Kerj_alat"/>
      <sheetName val="MA-Detail"/>
      <sheetName val="JENIS WS"/>
      <sheetName val="Option"/>
      <sheetName val="ﾙｰﾄ別販売(概況3)"/>
      <sheetName val="jgn d hpus"/>
      <sheetName val="SBY2"/>
      <sheetName val="pw dept awd"/>
      <sheetName val="Akun"/>
      <sheetName val="Tran0104"/>
      <sheetName val="XIII ALAT KERJA"/>
      <sheetName val="OFF"/>
      <sheetName val="TB_WM"/>
      <sheetName val="fisik 94"/>
      <sheetName val="may_03"/>
      <sheetName val="OH"/>
      <sheetName val="Gaji Bersih Pemanen"/>
      <sheetName val="TB BS"/>
      <sheetName val="TB P&amp;L"/>
      <sheetName val="OPN203"/>
      <sheetName val="TRX IMPORT"/>
      <sheetName val="REKAP BARANG"/>
      <sheetName val="assets"/>
      <sheetName val="Penjumlahan"/>
      <sheetName val="Teso"/>
      <sheetName val="Exlfoxpro_final"/>
      <sheetName val="flow-wrk"/>
      <sheetName val="Unit"/>
      <sheetName val="Vendor"/>
      <sheetName val="Cal"/>
      <sheetName val="PLA"/>
      <sheetName val="Estate"/>
      <sheetName val="Key Data"/>
      <sheetName val="Input2"/>
      <sheetName val="JENIS_WS"/>
      <sheetName val="Ketentuan Rotasi"/>
      <sheetName val="transp2"/>
      <sheetName val="Item Kerja"/>
      <sheetName val="Mapping"/>
      <sheetName val="1_Areal_Statemen1"/>
      <sheetName val="1__Best_Best_Estate1"/>
      <sheetName val="Company_Asset_Class_Pivot1"/>
      <sheetName val="Asset_Class_List1"/>
      <sheetName val="BIA_REKRUTMEN1"/>
      <sheetName val="DATA_BASE1"/>
      <sheetName val="HUTANG_DR_KBN1"/>
      <sheetName val="NOP_20101"/>
      <sheetName val="POT_TOKO1"/>
      <sheetName val="KETERANGAN_PEMAKAIAN1"/>
      <sheetName val="List_PT1"/>
      <sheetName val="JENIS_WS1"/>
      <sheetName val="1_Rollfwd1"/>
      <sheetName val="FFB-2003(_P_)_1"/>
      <sheetName val="Prod_&amp;_Sales1"/>
      <sheetName val="5_TE21"/>
      <sheetName val="Ketentuan_Rotasi"/>
      <sheetName val="2600_50_Rincian_Credit_Card(HO2"/>
      <sheetName val="UPDATE_KUOTA_(VERIFIKASI)2"/>
      <sheetName val="10_yr_val2"/>
      <sheetName val="REKAP_OMZET_KAPAL2"/>
      <sheetName val="FORM_X_COST2"/>
      <sheetName val="1__Best_Best_Estate2"/>
      <sheetName val="1_Areal_Statemen2"/>
      <sheetName val="Company_Asset_Class_Pivot2"/>
      <sheetName val="Asset_Class_List2"/>
      <sheetName val="BIA_REKRUTMEN2"/>
      <sheetName val="DATA_BASE2"/>
      <sheetName val="HUTANG_DR_KBN2"/>
      <sheetName val="NOP_20102"/>
      <sheetName val="POT_TOKO2"/>
      <sheetName val="KETERANGAN_PEMAKAIAN2"/>
      <sheetName val="List_PT2"/>
      <sheetName val="SKU_Inti2"/>
      <sheetName val="PHL_Inti_+_Borongan2"/>
      <sheetName val="SKU_-H_Plasma_2"/>
      <sheetName val="PHL_Plasma_+_Borongan2"/>
      <sheetName val="BPE1_vs_BNI2"/>
      <sheetName val="BPE1_vs_Mandiri2"/>
      <sheetName val="bantu_Tunai2"/>
      <sheetName val="Borongan_Pakai2"/>
      <sheetName val="A_Harian_&amp;_Bulanan2"/>
      <sheetName val="MASTER_KARYAWAN2"/>
      <sheetName val="JENIS_WS2"/>
      <sheetName val="1_Rollfwd2"/>
      <sheetName val="FFB-2003(_P_)_2"/>
      <sheetName val="Prod_&amp;_Sales2"/>
      <sheetName val="(43)9_12"/>
      <sheetName val="FA_sd_APRIL_072"/>
      <sheetName val="fa_SD_APRIL072"/>
      <sheetName val="BS_$2"/>
      <sheetName val="P&amp;L_$2"/>
      <sheetName val="POM_$2"/>
      <sheetName val="OP_$2"/>
      <sheetName val="Rub_$2"/>
      <sheetName val="Staff__Cost2"/>
      <sheetName val="TAX_LIST2"/>
      <sheetName val="data_(2)2"/>
      <sheetName val="CA_PROD_A-12"/>
      <sheetName val="Gaji_Bersih_GW2"/>
      <sheetName val="5_TE22"/>
      <sheetName val="Ketentuan_Rotasi1"/>
      <sheetName val="Tanda_Tangan1"/>
      <sheetName val="FOH_Details18191"/>
      <sheetName val="Update_CPS1"/>
      <sheetName val="Upadate_21_10_20191"/>
      <sheetName val="Stock_Take_19092019_30%1"/>
      <sheetName val="Press_KCP1"/>
      <sheetName val="Upadate_21_09_20191"/>
      <sheetName val="GS02_Summary1"/>
      <sheetName val="GS02_Distribution1"/>
      <sheetName val="VRA_Summ1"/>
      <sheetName val="Detail_Dist_TM771"/>
      <sheetName val="08_Jan_20058"/>
      <sheetName val="15_Jan_20058"/>
      <sheetName val="22_Jan_20058"/>
      <sheetName val="29_Jan_8"/>
      <sheetName val="05_Jan8"/>
      <sheetName val="16_Feb_048"/>
      <sheetName val="23_Feb_04_8"/>
      <sheetName val="01_Mar_048"/>
      <sheetName val="08_Mar_04_8"/>
      <sheetName val="15_Mar_048"/>
      <sheetName val="22__Mar_048"/>
      <sheetName val="28__Mar_048"/>
      <sheetName val="03_April_04_8"/>
      <sheetName val="10_April_04_8"/>
      <sheetName val="17_April_04__8"/>
      <sheetName val="17_April_04_edit8"/>
      <sheetName val="24_April_04_8"/>
      <sheetName val="24_April_04_edit8"/>
      <sheetName val="01_Mei_048"/>
      <sheetName val="08_Mei_048"/>
      <sheetName val="15_Mei_048"/>
      <sheetName val="22_Mei_04_8"/>
      <sheetName val="29_Mei_04_8"/>
      <sheetName val="05_Juni_048"/>
      <sheetName val="12_Juni_04_8"/>
      <sheetName val="19_Juni_04__8"/>
      <sheetName val="26_Juni_04_8"/>
      <sheetName val="_30_Juni_04_8"/>
      <sheetName val="_03_Juli_04__8"/>
      <sheetName val="_10_Juli_04___8"/>
      <sheetName val="_17_Juli_04_8"/>
      <sheetName val="10_Juli_04_Penyesuaian8"/>
      <sheetName val="17_Juli_04_Penyesuaian8"/>
      <sheetName val="_24_Juli_04____8"/>
      <sheetName val="_31_Juli_04_8"/>
      <sheetName val="07_Agustus_048"/>
      <sheetName val="14_Agustus_04_8"/>
      <sheetName val="22_Agustus_04_8"/>
      <sheetName val="28_Agustus_04__8"/>
      <sheetName val="K_025CPO-098"/>
      <sheetName val="WP_8"/>
      <sheetName val="K_002CPO8"/>
      <sheetName val="K_026CPO088"/>
      <sheetName val="MUTU_BUAH7"/>
      <sheetName val="INDIRECT_DETAIL7"/>
      <sheetName val="Pk_prod7"/>
      <sheetName val="DIRECT_COST7"/>
      <sheetName val="NK_Oct'117"/>
      <sheetName val="KGP_Thp_I6"/>
      <sheetName val="KGP_Thp_II6"/>
      <sheetName val="Daftar_Harga_Barang6"/>
      <sheetName val="INDRCT_DTL5"/>
      <sheetName val="WIL_15"/>
      <sheetName val="MM_PAGE-2_X5"/>
      <sheetName val="REKAP_EST_PROD_13_edt6"/>
      <sheetName val="Upah_SKUB6"/>
      <sheetName val="ocean_voyage5"/>
      <sheetName val="FISIK_RAB_20005"/>
      <sheetName val="Daftar_isi5"/>
      <sheetName val="Lbr_Sched_5"/>
      <sheetName val="SKU_BUL_5"/>
      <sheetName val="SKU-HAR_5"/>
      <sheetName val="SKU_KHT5"/>
      <sheetName val="LBR_SLR_DTL5"/>
      <sheetName val="LEMBUR_20075"/>
      <sheetName val="Prod_smry5"/>
      <sheetName val="Rekap_Biaya5"/>
      <sheetName val="Expens&amp;Rnue_(2)5"/>
      <sheetName val="DIRECT_SMR5"/>
      <sheetName val="DIRECT_DETAIL5"/>
      <sheetName val="INDIRECT_SMR5"/>
      <sheetName val="INDIRECT_COST5"/>
      <sheetName val="SE_SMR5"/>
      <sheetName val="SE_COST5"/>
      <sheetName val="SE_Detail5"/>
      <sheetName val="TRANS_PWR_5"/>
      <sheetName val="TRANS_VEHICL5"/>
      <sheetName val="TRANS_WATER5"/>
      <sheetName val="TRANS_WORKM&amp;R5"/>
      <sheetName val="TRANS_RMH5"/>
      <sheetName val="TRANS_ALT_BERAT5"/>
      <sheetName val="L_BA_blok6"/>
      <sheetName val="fin_pro_centers6"/>
      <sheetName val="KK_CFP_JAKARTA6"/>
      <sheetName val="Gaji_Non_Staff6"/>
      <sheetName val="CF_Konsol6"/>
      <sheetName val="_Penjelasan_RKB-PDO6"/>
      <sheetName val="Rekap__Total6"/>
      <sheetName val="CPO_16-9-TID_5"/>
      <sheetName val="Kualitas_TBS5"/>
      <sheetName val="Kesegaran_TBS5"/>
      <sheetName val="10__Summary_all5"/>
      <sheetName val="8_Upah_rata25"/>
      <sheetName val="LEMBUR_20065"/>
      <sheetName val="Prod__Stats5"/>
      <sheetName val="Hal-12_6"/>
      <sheetName val="Premi_Iuran6"/>
      <sheetName val="Penjelasan_SCK5"/>
      <sheetName val="HET_PBG35"/>
      <sheetName val="Fomat__14"/>
      <sheetName val="PABRIK_(2)6"/>
      <sheetName val="Trading_Statement4"/>
      <sheetName val="KODE_TRANS4"/>
      <sheetName val="Kas_Bank4"/>
      <sheetName val="CHART_SAMPLES_RECEIVED4"/>
      <sheetName val="Daftar_Blok4"/>
      <sheetName val="Kode_Barang4"/>
      <sheetName val="ACT_PROD4"/>
      <sheetName val="PLAN_PROD4"/>
      <sheetName val="Rincian_Iuran4"/>
      <sheetName val="Capex_Sum5"/>
      <sheetName val="2600_50_Rincian_Credit_Card(HO3"/>
      <sheetName val="TBM_34"/>
      <sheetName val="List_Rayon4"/>
      <sheetName val="List_Department4"/>
      <sheetName val="Palm_Prod4"/>
      <sheetName val="Data_Kar4"/>
      <sheetName val="Data_Rekon4"/>
      <sheetName val="renc__kerja_LC4"/>
      <sheetName val="SASARAN_4"/>
      <sheetName val="LOCAL_GOVT_TAX4"/>
      <sheetName val="Sheet1_(3)4"/>
      <sheetName val="BY_TM_99_4"/>
      <sheetName val="_45KVA-14"/>
      <sheetName val="DATA_LTW4"/>
      <sheetName val="WRKP_TM4"/>
      <sheetName val="Production_S24"/>
      <sheetName val="Production_S34"/>
      <sheetName val="COA_(3)4"/>
      <sheetName val="HK_Effektif_&amp;_Rate_Upah4"/>
      <sheetName val="Harga_20114"/>
      <sheetName val="UPDATE_KUOTA_(VERIFIKASI)3"/>
      <sheetName val="10_yr_val3"/>
      <sheetName val="REKAP_OMZET_KAPAL3"/>
      <sheetName val="FORM_X_COST3"/>
      <sheetName val="MASTER_PJCM4"/>
      <sheetName val="MASTER_MB4"/>
      <sheetName val="UMUR_KOMPLEK_PJCM4"/>
      <sheetName val="UMUR_KOMPLEK_IU_MB4"/>
      <sheetName val="IU_PJCM4"/>
      <sheetName val="IU_MB4"/>
      <sheetName val="DAFTAR_NAMA_KOMPLEK4"/>
      <sheetName val="1__Best_Best_Estate3"/>
      <sheetName val="1_Areal_Statemen3"/>
      <sheetName val="New_Position4"/>
      <sheetName val="NEW_POSITION_BD4"/>
      <sheetName val="Jenis_kendaraan4"/>
      <sheetName val="transport_method4"/>
      <sheetName val="4_14"/>
      <sheetName val="Company_Asset_Class_Pivot3"/>
      <sheetName val="Asset_Class_List3"/>
      <sheetName val="BIA_REKRUTMEN3"/>
      <sheetName val="DATA_BASE3"/>
      <sheetName val="HUTANG_DR_KBN3"/>
      <sheetName val="NOP_20103"/>
      <sheetName val="POT_TOKO3"/>
      <sheetName val="KETERANGAN_PEMAKAIAN3"/>
      <sheetName val="List_PT3"/>
      <sheetName val="SKU_Inti3"/>
      <sheetName val="PHL_Inti_+_Borongan3"/>
      <sheetName val="SKU_-H_Plasma_3"/>
      <sheetName val="PHL_Plasma_+_Borongan3"/>
      <sheetName val="BPE1_vs_BNI3"/>
      <sheetName val="BPE1_vs_Mandiri3"/>
      <sheetName val="bantu_Tunai3"/>
      <sheetName val="Borongan_Pakai3"/>
      <sheetName val="A_Harian_&amp;_Bulanan3"/>
      <sheetName val="MASTER_KARYAWAN3"/>
      <sheetName val="JENIS_WS3"/>
      <sheetName val="1_Rollfwd3"/>
      <sheetName val="FFB-2003(_P_)_3"/>
      <sheetName val="Prod_&amp;_Sales3"/>
      <sheetName val="(43)9_13"/>
      <sheetName val="FA_sd_APRIL_073"/>
      <sheetName val="fa_SD_APRIL073"/>
      <sheetName val="BS_$3"/>
      <sheetName val="P&amp;L_$3"/>
      <sheetName val="POM_$3"/>
      <sheetName val="OP_$3"/>
      <sheetName val="Rub_$3"/>
      <sheetName val="Staff__Cost3"/>
      <sheetName val="TAX_LIST3"/>
      <sheetName val="data_(2)3"/>
      <sheetName val="CA_PROD_A-13"/>
      <sheetName val="Gaji_Bersih_GW3"/>
      <sheetName val="5_TE23"/>
      <sheetName val="Ketentuan_Rotasi2"/>
      <sheetName val="Tanda_Tangan2"/>
      <sheetName val="FOH_Details18192"/>
      <sheetName val="Update_CPS2"/>
      <sheetName val="Upadate_21_10_20192"/>
      <sheetName val="Stock_Take_19092019_30%2"/>
      <sheetName val="Press_KCP2"/>
      <sheetName val="Upadate_21_09_20192"/>
      <sheetName val="GS02_Summary2"/>
      <sheetName val="GS02_Distribution2"/>
      <sheetName val="VRA_Summ2"/>
      <sheetName val="Detail_Dist_TM772"/>
      <sheetName val="MASTER_XJCM1"/>
      <sheetName val="2. Cost Center"/>
      <sheetName val="LKVL-CK-HT-GD1"/>
      <sheetName val="THPDMoi  (2)"/>
      <sheetName val="dongia (2)"/>
      <sheetName val="DONGIA"/>
      <sheetName val="lam-moi"/>
      <sheetName val="gtrinh"/>
      <sheetName val="thao-go"/>
      <sheetName val="CHITIET VL-NC-TT -1p"/>
      <sheetName val="chitiet"/>
      <sheetName val="SEX"/>
      <sheetName val="D &amp; W sizes"/>
      <sheetName val="data_val"/>
      <sheetName val="Form 1"/>
      <sheetName val="Nama Karyawan"/>
      <sheetName val="IO-list"/>
      <sheetName val="ZONA"/>
      <sheetName val="HARGA CONSUMABLE"/>
      <sheetName val="Update Juni"/>
      <sheetName val="Update Maret (2)"/>
      <sheetName val="mill"/>
      <sheetName val="sbe"/>
      <sheetName val="are"/>
      <sheetName val="Link"/>
      <sheetName val="GPMSB"/>
      <sheetName val="kap rinc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E3">
            <v>2002</v>
          </cell>
          <cell r="F3" t="str">
            <v>FEBRUARI</v>
          </cell>
          <cell r="G3" t="str">
            <v>MARET</v>
          </cell>
          <cell r="H3" t="str">
            <v>MARET</v>
          </cell>
          <cell r="I3" t="str">
            <v>MEI</v>
          </cell>
          <cell r="J3" t="str">
            <v>APRIL</v>
          </cell>
          <cell r="K3" t="str">
            <v>SubTotal</v>
          </cell>
          <cell r="L3" t="str">
            <v>MEI</v>
          </cell>
          <cell r="M3" t="str">
            <v>AGUSTUS</v>
          </cell>
          <cell r="N3" t="str">
            <v>JUNI</v>
          </cell>
          <cell r="O3" t="str">
            <v>OKTOBER</v>
          </cell>
          <cell r="P3" t="str">
            <v>SubTotal</v>
          </cell>
          <cell r="Q3" t="str">
            <v>DESEMBER</v>
          </cell>
          <cell r="R3" t="str">
            <v>JULI</v>
          </cell>
          <cell r="S3" t="str">
            <v>AGUSTUS</v>
          </cell>
          <cell r="T3" t="str">
            <v>AGUSTUS</v>
          </cell>
          <cell r="U3" t="str">
            <v>OKTOBER</v>
          </cell>
          <cell r="V3" t="str">
            <v>SEPTEMBER</v>
          </cell>
          <cell r="W3" t="str">
            <v>DESEMBER</v>
          </cell>
          <cell r="X3" t="str">
            <v>OKTOBER</v>
          </cell>
          <cell r="Y3">
            <v>0</v>
          </cell>
          <cell r="Z3" t="str">
            <v>NOPEMBER</v>
          </cell>
          <cell r="AA3">
            <v>0</v>
          </cell>
          <cell r="AB3" t="str">
            <v>DESEMBER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387</v>
          </cell>
          <cell r="I8">
            <v>24</v>
          </cell>
          <cell r="J8">
            <v>292</v>
          </cell>
          <cell r="K8">
            <v>19</v>
          </cell>
          <cell r="L8">
            <v>107</v>
          </cell>
          <cell r="M8">
            <v>9</v>
          </cell>
          <cell r="N8">
            <v>228</v>
          </cell>
          <cell r="O8">
            <v>13</v>
          </cell>
          <cell r="P8">
            <v>1014</v>
          </cell>
          <cell r="Q8">
            <v>65</v>
          </cell>
          <cell r="R8">
            <v>119</v>
          </cell>
          <cell r="S8">
            <v>11</v>
          </cell>
          <cell r="T8">
            <v>55</v>
          </cell>
          <cell r="U8">
            <v>3</v>
          </cell>
          <cell r="V8">
            <v>52</v>
          </cell>
          <cell r="W8">
            <v>5</v>
          </cell>
          <cell r="X8">
            <v>347</v>
          </cell>
          <cell r="Y8">
            <v>19</v>
          </cell>
          <cell r="Z8">
            <v>333</v>
          </cell>
          <cell r="AA8">
            <v>14</v>
          </cell>
          <cell r="AB8">
            <v>141</v>
          </cell>
          <cell r="AC8">
            <v>9</v>
          </cell>
        </row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6">
          <cell r="E16">
            <v>21</v>
          </cell>
          <cell r="F16">
            <v>210</v>
          </cell>
          <cell r="G16">
            <v>16</v>
          </cell>
          <cell r="H16">
            <v>286</v>
          </cell>
          <cell r="I16">
            <v>18</v>
          </cell>
          <cell r="J16">
            <v>165</v>
          </cell>
          <cell r="K16">
            <v>11</v>
          </cell>
          <cell r="L16">
            <v>222</v>
          </cell>
          <cell r="M16">
            <v>18</v>
          </cell>
          <cell r="N16">
            <v>327</v>
          </cell>
          <cell r="O16">
            <v>16</v>
          </cell>
          <cell r="P16">
            <v>1574</v>
          </cell>
          <cell r="Q16">
            <v>100</v>
          </cell>
          <cell r="R16">
            <v>134</v>
          </cell>
          <cell r="S16">
            <v>6</v>
          </cell>
          <cell r="T16">
            <v>82</v>
          </cell>
          <cell r="U16">
            <v>3</v>
          </cell>
          <cell r="V16">
            <v>7</v>
          </cell>
          <cell r="W16">
            <v>1</v>
          </cell>
          <cell r="X16">
            <v>54</v>
          </cell>
          <cell r="Y16">
            <v>4</v>
          </cell>
          <cell r="Z16">
            <v>95</v>
          </cell>
          <cell r="AA16">
            <v>7</v>
          </cell>
          <cell r="AB16">
            <v>197</v>
          </cell>
          <cell r="AC16">
            <v>14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  <row r="18">
          <cell r="E18">
            <v>16</v>
          </cell>
          <cell r="F18">
            <v>264</v>
          </cell>
          <cell r="G18">
            <v>20</v>
          </cell>
          <cell r="H18">
            <v>165</v>
          </cell>
          <cell r="I18">
            <v>13</v>
          </cell>
          <cell r="J18">
            <v>155</v>
          </cell>
          <cell r="K18">
            <v>14</v>
          </cell>
        </row>
      </sheetData>
      <sheetData sheetId="5">
        <row r="3">
          <cell r="F3" t="str">
            <v>FEBRUARI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3">
          <cell r="F3" t="str">
            <v>FEBRUARI</v>
          </cell>
        </row>
      </sheetData>
      <sheetData sheetId="113">
        <row r="3">
          <cell r="F3" t="str">
            <v>FEBRUARI</v>
          </cell>
        </row>
      </sheetData>
      <sheetData sheetId="114">
        <row r="3">
          <cell r="F3" t="str">
            <v>FEBRUARI</v>
          </cell>
        </row>
      </sheetData>
      <sheetData sheetId="115">
        <row r="3">
          <cell r="F3" t="str">
            <v>FEBRUARI</v>
          </cell>
        </row>
      </sheetData>
      <sheetData sheetId="116">
        <row r="3">
          <cell r="F3" t="str">
            <v>FEBRUARI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3">
          <cell r="F3" t="str">
            <v>FEBRUARI</v>
          </cell>
        </row>
      </sheetData>
      <sheetData sheetId="148">
        <row r="3">
          <cell r="F3" t="str">
            <v>FEBRUARI</v>
          </cell>
        </row>
      </sheetData>
      <sheetData sheetId="149">
        <row r="3">
          <cell r="F3" t="str">
            <v>FEBRUARI</v>
          </cell>
        </row>
      </sheetData>
      <sheetData sheetId="150">
        <row r="3">
          <cell r="F3" t="str">
            <v>FEBRUARI</v>
          </cell>
        </row>
      </sheetData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F3" t="str">
            <v>FEBRUARI</v>
          </cell>
        </row>
      </sheetData>
      <sheetData sheetId="158">
        <row r="3">
          <cell r="F3" t="str">
            <v>FEBRUARI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>
        <row r="3">
          <cell r="E3">
            <v>2002</v>
          </cell>
        </row>
      </sheetData>
      <sheetData sheetId="345">
        <row r="3">
          <cell r="E3">
            <v>2002</v>
          </cell>
        </row>
      </sheetData>
      <sheetData sheetId="346">
        <row r="3">
          <cell r="E3">
            <v>2002</v>
          </cell>
        </row>
      </sheetData>
      <sheetData sheetId="347">
        <row r="3">
          <cell r="E3">
            <v>2002</v>
          </cell>
        </row>
      </sheetData>
      <sheetData sheetId="348">
        <row r="3">
          <cell r="E3">
            <v>2002</v>
          </cell>
        </row>
      </sheetData>
      <sheetData sheetId="349">
        <row r="3">
          <cell r="E3">
            <v>2002</v>
          </cell>
        </row>
      </sheetData>
      <sheetData sheetId="350">
        <row r="3">
          <cell r="E3">
            <v>2002</v>
          </cell>
        </row>
      </sheetData>
      <sheetData sheetId="351">
        <row r="3">
          <cell r="E3">
            <v>2002</v>
          </cell>
        </row>
      </sheetData>
      <sheetData sheetId="352">
        <row r="3">
          <cell r="E3">
            <v>2002</v>
          </cell>
        </row>
      </sheetData>
      <sheetData sheetId="353">
        <row r="3">
          <cell r="E3">
            <v>2002</v>
          </cell>
        </row>
      </sheetData>
      <sheetData sheetId="354">
        <row r="3">
          <cell r="E3">
            <v>2002</v>
          </cell>
        </row>
      </sheetData>
      <sheetData sheetId="355">
        <row r="3">
          <cell r="E3">
            <v>2002</v>
          </cell>
        </row>
      </sheetData>
      <sheetData sheetId="356">
        <row r="3">
          <cell r="E3">
            <v>2002</v>
          </cell>
        </row>
      </sheetData>
      <sheetData sheetId="357">
        <row r="3">
          <cell r="E3">
            <v>2002</v>
          </cell>
        </row>
      </sheetData>
      <sheetData sheetId="358">
        <row r="3">
          <cell r="E3">
            <v>2002</v>
          </cell>
        </row>
      </sheetData>
      <sheetData sheetId="359">
        <row r="3">
          <cell r="E3">
            <v>2002</v>
          </cell>
        </row>
      </sheetData>
      <sheetData sheetId="360">
        <row r="3">
          <cell r="E3">
            <v>2002</v>
          </cell>
        </row>
      </sheetData>
      <sheetData sheetId="361">
        <row r="3">
          <cell r="E3">
            <v>2002</v>
          </cell>
        </row>
      </sheetData>
      <sheetData sheetId="362">
        <row r="3">
          <cell r="E3">
            <v>2002</v>
          </cell>
        </row>
      </sheetData>
      <sheetData sheetId="363">
        <row r="3">
          <cell r="E3">
            <v>2002</v>
          </cell>
        </row>
      </sheetData>
      <sheetData sheetId="364">
        <row r="3">
          <cell r="E3">
            <v>2002</v>
          </cell>
        </row>
      </sheetData>
      <sheetData sheetId="365">
        <row r="3">
          <cell r="E3">
            <v>2002</v>
          </cell>
        </row>
      </sheetData>
      <sheetData sheetId="366">
        <row r="3">
          <cell r="E3">
            <v>2002</v>
          </cell>
        </row>
      </sheetData>
      <sheetData sheetId="367">
        <row r="3">
          <cell r="E3">
            <v>2002</v>
          </cell>
        </row>
      </sheetData>
      <sheetData sheetId="368">
        <row r="3">
          <cell r="E3">
            <v>2002</v>
          </cell>
        </row>
      </sheetData>
      <sheetData sheetId="369">
        <row r="3">
          <cell r="E3">
            <v>2002</v>
          </cell>
        </row>
      </sheetData>
      <sheetData sheetId="370">
        <row r="3">
          <cell r="E3">
            <v>2002</v>
          </cell>
        </row>
      </sheetData>
      <sheetData sheetId="371">
        <row r="3">
          <cell r="E3">
            <v>2002</v>
          </cell>
        </row>
      </sheetData>
      <sheetData sheetId="372">
        <row r="3">
          <cell r="E3">
            <v>2002</v>
          </cell>
        </row>
      </sheetData>
      <sheetData sheetId="373">
        <row r="3">
          <cell r="E3">
            <v>2002</v>
          </cell>
        </row>
      </sheetData>
      <sheetData sheetId="374">
        <row r="3">
          <cell r="E3">
            <v>2002</v>
          </cell>
        </row>
      </sheetData>
      <sheetData sheetId="375">
        <row r="3">
          <cell r="E3">
            <v>2002</v>
          </cell>
        </row>
      </sheetData>
      <sheetData sheetId="376">
        <row r="3">
          <cell r="E3">
            <v>2002</v>
          </cell>
        </row>
      </sheetData>
      <sheetData sheetId="377">
        <row r="3">
          <cell r="E3">
            <v>2002</v>
          </cell>
        </row>
      </sheetData>
      <sheetData sheetId="378">
        <row r="3">
          <cell r="E3">
            <v>2002</v>
          </cell>
        </row>
      </sheetData>
      <sheetData sheetId="379">
        <row r="3">
          <cell r="E3">
            <v>2002</v>
          </cell>
        </row>
      </sheetData>
      <sheetData sheetId="380">
        <row r="3">
          <cell r="E3">
            <v>2002</v>
          </cell>
        </row>
      </sheetData>
      <sheetData sheetId="381">
        <row r="3">
          <cell r="E3">
            <v>2002</v>
          </cell>
        </row>
      </sheetData>
      <sheetData sheetId="382">
        <row r="3">
          <cell r="E3">
            <v>2002</v>
          </cell>
        </row>
      </sheetData>
      <sheetData sheetId="383">
        <row r="3">
          <cell r="E3">
            <v>2002</v>
          </cell>
        </row>
      </sheetData>
      <sheetData sheetId="384">
        <row r="3">
          <cell r="E3">
            <v>2002</v>
          </cell>
        </row>
      </sheetData>
      <sheetData sheetId="385">
        <row r="3">
          <cell r="E3">
            <v>2002</v>
          </cell>
        </row>
      </sheetData>
      <sheetData sheetId="386">
        <row r="3">
          <cell r="E3">
            <v>2002</v>
          </cell>
        </row>
      </sheetData>
      <sheetData sheetId="387">
        <row r="3">
          <cell r="E3">
            <v>2002</v>
          </cell>
        </row>
      </sheetData>
      <sheetData sheetId="388">
        <row r="3">
          <cell r="E3">
            <v>2002</v>
          </cell>
        </row>
      </sheetData>
      <sheetData sheetId="389">
        <row r="3">
          <cell r="E3">
            <v>2002</v>
          </cell>
        </row>
      </sheetData>
      <sheetData sheetId="390">
        <row r="3">
          <cell r="E3">
            <v>2002</v>
          </cell>
        </row>
      </sheetData>
      <sheetData sheetId="391">
        <row r="3">
          <cell r="E3">
            <v>2002</v>
          </cell>
        </row>
      </sheetData>
      <sheetData sheetId="392">
        <row r="3">
          <cell r="E3">
            <v>2002</v>
          </cell>
        </row>
      </sheetData>
      <sheetData sheetId="393">
        <row r="3">
          <cell r="E3">
            <v>2002</v>
          </cell>
        </row>
      </sheetData>
      <sheetData sheetId="394">
        <row r="3">
          <cell r="E3">
            <v>2002</v>
          </cell>
        </row>
      </sheetData>
      <sheetData sheetId="395">
        <row r="3">
          <cell r="E3">
            <v>2002</v>
          </cell>
        </row>
      </sheetData>
      <sheetData sheetId="396">
        <row r="3">
          <cell r="E3">
            <v>2002</v>
          </cell>
        </row>
      </sheetData>
      <sheetData sheetId="397">
        <row r="3">
          <cell r="E3">
            <v>2002</v>
          </cell>
        </row>
      </sheetData>
      <sheetData sheetId="398">
        <row r="3">
          <cell r="E3">
            <v>2002</v>
          </cell>
        </row>
      </sheetData>
      <sheetData sheetId="399">
        <row r="3">
          <cell r="E3">
            <v>2002</v>
          </cell>
        </row>
      </sheetData>
      <sheetData sheetId="400">
        <row r="3">
          <cell r="E3">
            <v>2002</v>
          </cell>
        </row>
      </sheetData>
      <sheetData sheetId="401">
        <row r="3">
          <cell r="E3">
            <v>2002</v>
          </cell>
        </row>
      </sheetData>
      <sheetData sheetId="402">
        <row r="3">
          <cell r="E3">
            <v>2002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3">
          <cell r="E3">
            <v>2002</v>
          </cell>
        </row>
      </sheetData>
      <sheetData sheetId="458" refreshError="1"/>
      <sheetData sheetId="459" refreshError="1"/>
      <sheetData sheetId="460">
        <row r="3">
          <cell r="E3">
            <v>2002</v>
          </cell>
        </row>
      </sheetData>
      <sheetData sheetId="461">
        <row r="3">
          <cell r="E3">
            <v>2002</v>
          </cell>
        </row>
      </sheetData>
      <sheetData sheetId="462">
        <row r="3">
          <cell r="E3">
            <v>2002</v>
          </cell>
        </row>
      </sheetData>
      <sheetData sheetId="463">
        <row r="3">
          <cell r="E3">
            <v>2002</v>
          </cell>
        </row>
      </sheetData>
      <sheetData sheetId="464">
        <row r="3">
          <cell r="E3">
            <v>2002</v>
          </cell>
        </row>
      </sheetData>
      <sheetData sheetId="465">
        <row r="3">
          <cell r="E3">
            <v>2002</v>
          </cell>
        </row>
      </sheetData>
      <sheetData sheetId="466">
        <row r="3">
          <cell r="E3">
            <v>2002</v>
          </cell>
        </row>
      </sheetData>
      <sheetData sheetId="467">
        <row r="3">
          <cell r="E3">
            <v>2002</v>
          </cell>
        </row>
      </sheetData>
      <sheetData sheetId="468">
        <row r="3">
          <cell r="E3">
            <v>2002</v>
          </cell>
        </row>
      </sheetData>
      <sheetData sheetId="469">
        <row r="3">
          <cell r="E3">
            <v>2002</v>
          </cell>
        </row>
      </sheetData>
      <sheetData sheetId="470">
        <row r="3">
          <cell r="E3">
            <v>2002</v>
          </cell>
        </row>
      </sheetData>
      <sheetData sheetId="471">
        <row r="3">
          <cell r="E3">
            <v>2002</v>
          </cell>
        </row>
      </sheetData>
      <sheetData sheetId="472">
        <row r="3">
          <cell r="E3">
            <v>2002</v>
          </cell>
        </row>
      </sheetData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>
        <row r="3">
          <cell r="E3">
            <v>0</v>
          </cell>
        </row>
      </sheetData>
      <sheetData sheetId="643">
        <row r="3">
          <cell r="E3">
            <v>2002</v>
          </cell>
        </row>
      </sheetData>
      <sheetData sheetId="644">
        <row r="3">
          <cell r="E3">
            <v>0</v>
          </cell>
        </row>
      </sheetData>
      <sheetData sheetId="645">
        <row r="3">
          <cell r="E3">
            <v>0</v>
          </cell>
        </row>
      </sheetData>
      <sheetData sheetId="646">
        <row r="3">
          <cell r="E3">
            <v>0</v>
          </cell>
        </row>
      </sheetData>
      <sheetData sheetId="647">
        <row r="3">
          <cell r="E3">
            <v>0</v>
          </cell>
        </row>
      </sheetData>
      <sheetData sheetId="648">
        <row r="3">
          <cell r="E3">
            <v>0</v>
          </cell>
        </row>
      </sheetData>
      <sheetData sheetId="649">
        <row r="3">
          <cell r="E3">
            <v>0</v>
          </cell>
        </row>
      </sheetData>
      <sheetData sheetId="650">
        <row r="3">
          <cell r="E3">
            <v>2002</v>
          </cell>
        </row>
      </sheetData>
      <sheetData sheetId="651">
        <row r="3">
          <cell r="E3">
            <v>0</v>
          </cell>
        </row>
      </sheetData>
      <sheetData sheetId="652">
        <row r="3">
          <cell r="E3">
            <v>0</v>
          </cell>
        </row>
      </sheetData>
      <sheetData sheetId="653">
        <row r="3">
          <cell r="E3">
            <v>0</v>
          </cell>
        </row>
      </sheetData>
      <sheetData sheetId="654">
        <row r="3">
          <cell r="E3">
            <v>2002</v>
          </cell>
        </row>
      </sheetData>
      <sheetData sheetId="655">
        <row r="3">
          <cell r="E3">
            <v>0</v>
          </cell>
        </row>
      </sheetData>
      <sheetData sheetId="656">
        <row r="3">
          <cell r="E3">
            <v>0</v>
          </cell>
        </row>
      </sheetData>
      <sheetData sheetId="657">
        <row r="3">
          <cell r="E3">
            <v>0</v>
          </cell>
        </row>
      </sheetData>
      <sheetData sheetId="658">
        <row r="3">
          <cell r="E3">
            <v>0</v>
          </cell>
        </row>
      </sheetData>
      <sheetData sheetId="659">
        <row r="3">
          <cell r="E3">
            <v>0</v>
          </cell>
        </row>
      </sheetData>
      <sheetData sheetId="660">
        <row r="3">
          <cell r="E3">
            <v>0</v>
          </cell>
        </row>
      </sheetData>
      <sheetData sheetId="661">
        <row r="3">
          <cell r="E3">
            <v>2002</v>
          </cell>
        </row>
      </sheetData>
      <sheetData sheetId="662">
        <row r="3">
          <cell r="E3">
            <v>0</v>
          </cell>
        </row>
      </sheetData>
      <sheetData sheetId="663">
        <row r="3">
          <cell r="E3">
            <v>2002</v>
          </cell>
        </row>
      </sheetData>
      <sheetData sheetId="664">
        <row r="3">
          <cell r="E3">
            <v>2002</v>
          </cell>
        </row>
      </sheetData>
      <sheetData sheetId="665">
        <row r="3">
          <cell r="E3">
            <v>2002</v>
          </cell>
        </row>
      </sheetData>
      <sheetData sheetId="666">
        <row r="3">
          <cell r="E3">
            <v>0</v>
          </cell>
        </row>
      </sheetData>
      <sheetData sheetId="667">
        <row r="3">
          <cell r="E3">
            <v>2002</v>
          </cell>
        </row>
      </sheetData>
      <sheetData sheetId="668">
        <row r="3">
          <cell r="E3">
            <v>2002</v>
          </cell>
        </row>
      </sheetData>
      <sheetData sheetId="669">
        <row r="3">
          <cell r="E3">
            <v>0</v>
          </cell>
        </row>
      </sheetData>
      <sheetData sheetId="670">
        <row r="3">
          <cell r="E3">
            <v>2002</v>
          </cell>
        </row>
      </sheetData>
      <sheetData sheetId="671" refreshError="1"/>
      <sheetData sheetId="672" refreshError="1"/>
      <sheetData sheetId="673">
        <row r="3">
          <cell r="E3">
            <v>0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3">
          <cell r="E3">
            <v>2002</v>
          </cell>
        </row>
      </sheetData>
      <sheetData sheetId="682">
        <row r="3">
          <cell r="E3">
            <v>2002</v>
          </cell>
        </row>
      </sheetData>
      <sheetData sheetId="683">
        <row r="3">
          <cell r="E3">
            <v>2002</v>
          </cell>
        </row>
      </sheetData>
      <sheetData sheetId="684">
        <row r="3">
          <cell r="E3">
            <v>2002</v>
          </cell>
        </row>
      </sheetData>
      <sheetData sheetId="685">
        <row r="3">
          <cell r="E3">
            <v>2002</v>
          </cell>
        </row>
      </sheetData>
      <sheetData sheetId="686">
        <row r="3">
          <cell r="E3">
            <v>2002</v>
          </cell>
        </row>
      </sheetData>
      <sheetData sheetId="687">
        <row r="3">
          <cell r="E3">
            <v>2002</v>
          </cell>
        </row>
      </sheetData>
      <sheetData sheetId="688">
        <row r="3">
          <cell r="E3">
            <v>2002</v>
          </cell>
        </row>
      </sheetData>
      <sheetData sheetId="689">
        <row r="3">
          <cell r="E3">
            <v>2002</v>
          </cell>
        </row>
      </sheetData>
      <sheetData sheetId="690">
        <row r="3">
          <cell r="E3">
            <v>2002</v>
          </cell>
        </row>
      </sheetData>
      <sheetData sheetId="691">
        <row r="3">
          <cell r="E3">
            <v>2002</v>
          </cell>
        </row>
      </sheetData>
      <sheetData sheetId="692">
        <row r="3">
          <cell r="E3">
            <v>2002</v>
          </cell>
        </row>
      </sheetData>
      <sheetData sheetId="693">
        <row r="3">
          <cell r="E3">
            <v>2002</v>
          </cell>
        </row>
      </sheetData>
      <sheetData sheetId="694">
        <row r="3">
          <cell r="E3">
            <v>2002</v>
          </cell>
        </row>
      </sheetData>
      <sheetData sheetId="695">
        <row r="3">
          <cell r="E3">
            <v>2002</v>
          </cell>
        </row>
      </sheetData>
      <sheetData sheetId="696">
        <row r="3">
          <cell r="E3">
            <v>2002</v>
          </cell>
        </row>
      </sheetData>
      <sheetData sheetId="697">
        <row r="3">
          <cell r="E3">
            <v>2002</v>
          </cell>
        </row>
      </sheetData>
      <sheetData sheetId="698">
        <row r="3">
          <cell r="E3">
            <v>2002</v>
          </cell>
        </row>
      </sheetData>
      <sheetData sheetId="699">
        <row r="3">
          <cell r="E3">
            <v>2002</v>
          </cell>
        </row>
      </sheetData>
      <sheetData sheetId="700">
        <row r="3">
          <cell r="E3">
            <v>2002</v>
          </cell>
        </row>
      </sheetData>
      <sheetData sheetId="701">
        <row r="3">
          <cell r="E3">
            <v>2002</v>
          </cell>
        </row>
      </sheetData>
      <sheetData sheetId="702">
        <row r="3">
          <cell r="E3">
            <v>2002</v>
          </cell>
        </row>
      </sheetData>
      <sheetData sheetId="703">
        <row r="3">
          <cell r="E3">
            <v>2002</v>
          </cell>
        </row>
      </sheetData>
      <sheetData sheetId="704">
        <row r="3">
          <cell r="E3">
            <v>2002</v>
          </cell>
        </row>
      </sheetData>
      <sheetData sheetId="705">
        <row r="3">
          <cell r="E3">
            <v>2002</v>
          </cell>
        </row>
      </sheetData>
      <sheetData sheetId="706">
        <row r="3">
          <cell r="E3">
            <v>2002</v>
          </cell>
        </row>
      </sheetData>
      <sheetData sheetId="707">
        <row r="3">
          <cell r="E3">
            <v>2002</v>
          </cell>
        </row>
      </sheetData>
      <sheetData sheetId="708">
        <row r="3">
          <cell r="E3">
            <v>2002</v>
          </cell>
        </row>
      </sheetData>
      <sheetData sheetId="709">
        <row r="3">
          <cell r="E3">
            <v>2002</v>
          </cell>
        </row>
      </sheetData>
      <sheetData sheetId="710">
        <row r="3">
          <cell r="E3">
            <v>2002</v>
          </cell>
        </row>
      </sheetData>
      <sheetData sheetId="711">
        <row r="3">
          <cell r="E3">
            <v>2002</v>
          </cell>
        </row>
      </sheetData>
      <sheetData sheetId="712">
        <row r="3">
          <cell r="E3">
            <v>2002</v>
          </cell>
        </row>
      </sheetData>
      <sheetData sheetId="713">
        <row r="3">
          <cell r="E3">
            <v>2002</v>
          </cell>
        </row>
      </sheetData>
      <sheetData sheetId="714">
        <row r="3">
          <cell r="E3">
            <v>2002</v>
          </cell>
        </row>
      </sheetData>
      <sheetData sheetId="715">
        <row r="3">
          <cell r="E3">
            <v>2002</v>
          </cell>
        </row>
      </sheetData>
      <sheetData sheetId="716">
        <row r="3">
          <cell r="E3">
            <v>2002</v>
          </cell>
        </row>
      </sheetData>
      <sheetData sheetId="717">
        <row r="3">
          <cell r="E3">
            <v>2002</v>
          </cell>
        </row>
      </sheetData>
      <sheetData sheetId="718">
        <row r="3">
          <cell r="E3">
            <v>2002</v>
          </cell>
        </row>
      </sheetData>
      <sheetData sheetId="719">
        <row r="3">
          <cell r="E3">
            <v>2002</v>
          </cell>
        </row>
      </sheetData>
      <sheetData sheetId="720">
        <row r="3">
          <cell r="E3">
            <v>2002</v>
          </cell>
        </row>
      </sheetData>
      <sheetData sheetId="721">
        <row r="3">
          <cell r="E3">
            <v>2002</v>
          </cell>
        </row>
      </sheetData>
      <sheetData sheetId="722">
        <row r="3">
          <cell r="E3">
            <v>2002</v>
          </cell>
        </row>
      </sheetData>
      <sheetData sheetId="723">
        <row r="3">
          <cell r="E3">
            <v>2002</v>
          </cell>
        </row>
      </sheetData>
      <sheetData sheetId="724">
        <row r="3">
          <cell r="E3">
            <v>2002</v>
          </cell>
        </row>
      </sheetData>
      <sheetData sheetId="725">
        <row r="3">
          <cell r="E3">
            <v>2002</v>
          </cell>
        </row>
      </sheetData>
      <sheetData sheetId="726">
        <row r="3">
          <cell r="E3">
            <v>2002</v>
          </cell>
        </row>
      </sheetData>
      <sheetData sheetId="727">
        <row r="3">
          <cell r="E3">
            <v>2002</v>
          </cell>
        </row>
      </sheetData>
      <sheetData sheetId="728">
        <row r="3">
          <cell r="E3">
            <v>2002</v>
          </cell>
        </row>
      </sheetData>
      <sheetData sheetId="729">
        <row r="3">
          <cell r="E3">
            <v>2002</v>
          </cell>
        </row>
      </sheetData>
      <sheetData sheetId="730">
        <row r="3">
          <cell r="E3">
            <v>2002</v>
          </cell>
        </row>
      </sheetData>
      <sheetData sheetId="731">
        <row r="3">
          <cell r="E3">
            <v>2002</v>
          </cell>
        </row>
      </sheetData>
      <sheetData sheetId="732">
        <row r="3">
          <cell r="E3">
            <v>2002</v>
          </cell>
        </row>
      </sheetData>
      <sheetData sheetId="733">
        <row r="3">
          <cell r="E3">
            <v>2002</v>
          </cell>
        </row>
      </sheetData>
      <sheetData sheetId="734">
        <row r="3">
          <cell r="E3">
            <v>2002</v>
          </cell>
        </row>
      </sheetData>
      <sheetData sheetId="735">
        <row r="3">
          <cell r="E3">
            <v>2002</v>
          </cell>
        </row>
      </sheetData>
      <sheetData sheetId="736">
        <row r="3">
          <cell r="E3">
            <v>2002</v>
          </cell>
        </row>
      </sheetData>
      <sheetData sheetId="737">
        <row r="3">
          <cell r="E3">
            <v>2002</v>
          </cell>
        </row>
      </sheetData>
      <sheetData sheetId="738">
        <row r="3">
          <cell r="E3">
            <v>2002</v>
          </cell>
        </row>
      </sheetData>
      <sheetData sheetId="739">
        <row r="3">
          <cell r="E3">
            <v>2002</v>
          </cell>
        </row>
      </sheetData>
      <sheetData sheetId="740">
        <row r="3">
          <cell r="E3">
            <v>2002</v>
          </cell>
        </row>
      </sheetData>
      <sheetData sheetId="741">
        <row r="3">
          <cell r="E3">
            <v>2002</v>
          </cell>
        </row>
      </sheetData>
      <sheetData sheetId="742">
        <row r="3">
          <cell r="E3">
            <v>2002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>
        <row r="3">
          <cell r="E3">
            <v>2002</v>
          </cell>
        </row>
      </sheetData>
      <sheetData sheetId="1001">
        <row r="3">
          <cell r="E3">
            <v>2002</v>
          </cell>
        </row>
      </sheetData>
      <sheetData sheetId="1002">
        <row r="3">
          <cell r="E3">
            <v>2002</v>
          </cell>
        </row>
      </sheetData>
      <sheetData sheetId="1003">
        <row r="3">
          <cell r="E3">
            <v>2002</v>
          </cell>
        </row>
      </sheetData>
      <sheetData sheetId="1004">
        <row r="3">
          <cell r="E3">
            <v>2002</v>
          </cell>
        </row>
      </sheetData>
      <sheetData sheetId="1005">
        <row r="3">
          <cell r="E3">
            <v>2002</v>
          </cell>
        </row>
      </sheetData>
      <sheetData sheetId="1006">
        <row r="3">
          <cell r="E3">
            <v>2002</v>
          </cell>
        </row>
      </sheetData>
      <sheetData sheetId="1007">
        <row r="3">
          <cell r="E3">
            <v>2002</v>
          </cell>
        </row>
      </sheetData>
      <sheetData sheetId="1008">
        <row r="3">
          <cell r="E3">
            <v>2002</v>
          </cell>
        </row>
      </sheetData>
      <sheetData sheetId="1009">
        <row r="3">
          <cell r="E3">
            <v>2002</v>
          </cell>
        </row>
      </sheetData>
      <sheetData sheetId="1010">
        <row r="3">
          <cell r="E3">
            <v>2002</v>
          </cell>
        </row>
      </sheetData>
      <sheetData sheetId="1011">
        <row r="3">
          <cell r="E3">
            <v>2002</v>
          </cell>
        </row>
      </sheetData>
      <sheetData sheetId="1012">
        <row r="3">
          <cell r="E3">
            <v>2002</v>
          </cell>
        </row>
      </sheetData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6">
          <cell r="U6">
            <v>-26.700830980354233</v>
          </cell>
        </row>
      </sheetData>
      <sheetData sheetId="1062">
        <row r="6">
          <cell r="U6">
            <v>-26.700830980354233</v>
          </cell>
        </row>
      </sheetData>
      <sheetData sheetId="1063">
        <row r="6">
          <cell r="U6">
            <v>-26.700830980354233</v>
          </cell>
        </row>
      </sheetData>
      <sheetData sheetId="1064">
        <row r="6">
          <cell r="U6">
            <v>-26.700830980354233</v>
          </cell>
        </row>
      </sheetData>
      <sheetData sheetId="1065">
        <row r="6">
          <cell r="U6">
            <v>-26.700830980354233</v>
          </cell>
        </row>
      </sheetData>
      <sheetData sheetId="1066">
        <row r="6">
          <cell r="U6">
            <v>-26.700830980354233</v>
          </cell>
        </row>
      </sheetData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3">
          <cell r="E3">
            <v>0</v>
          </cell>
        </row>
      </sheetData>
      <sheetData sheetId="1188">
        <row r="3">
          <cell r="E3">
            <v>0</v>
          </cell>
        </row>
      </sheetData>
      <sheetData sheetId="1189">
        <row r="3">
          <cell r="E3">
            <v>0</v>
          </cell>
        </row>
      </sheetData>
      <sheetData sheetId="1190">
        <row r="3">
          <cell r="E3">
            <v>0</v>
          </cell>
        </row>
      </sheetData>
      <sheetData sheetId="1191">
        <row r="3">
          <cell r="E3">
            <v>0</v>
          </cell>
        </row>
      </sheetData>
      <sheetData sheetId="1192">
        <row r="3">
          <cell r="E3">
            <v>0</v>
          </cell>
        </row>
      </sheetData>
      <sheetData sheetId="1193">
        <row r="3">
          <cell r="E3">
            <v>0</v>
          </cell>
        </row>
      </sheetData>
      <sheetData sheetId="1194">
        <row r="3">
          <cell r="E3">
            <v>0</v>
          </cell>
        </row>
      </sheetData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>
        <row r="3">
          <cell r="E3">
            <v>0</v>
          </cell>
        </row>
      </sheetData>
      <sheetData sheetId="1202">
        <row r="3">
          <cell r="E3">
            <v>0</v>
          </cell>
        </row>
      </sheetData>
      <sheetData sheetId="1203">
        <row r="3">
          <cell r="E3">
            <v>0</v>
          </cell>
        </row>
      </sheetData>
      <sheetData sheetId="1204">
        <row r="3">
          <cell r="E3">
            <v>0</v>
          </cell>
        </row>
      </sheetData>
      <sheetData sheetId="1205">
        <row r="3">
          <cell r="E3">
            <v>0</v>
          </cell>
        </row>
      </sheetData>
      <sheetData sheetId="1206">
        <row r="3">
          <cell r="E3">
            <v>0</v>
          </cell>
        </row>
      </sheetData>
      <sheetData sheetId="1207">
        <row r="3">
          <cell r="E3">
            <v>0</v>
          </cell>
        </row>
      </sheetData>
      <sheetData sheetId="1208">
        <row r="3">
          <cell r="E3">
            <v>0</v>
          </cell>
        </row>
      </sheetData>
      <sheetData sheetId="1209">
        <row r="3">
          <cell r="E3">
            <v>0</v>
          </cell>
        </row>
      </sheetData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>
        <row r="3">
          <cell r="E3">
            <v>0</v>
          </cell>
        </row>
      </sheetData>
      <sheetData sheetId="1233">
        <row r="3">
          <cell r="E3">
            <v>0</v>
          </cell>
        </row>
      </sheetData>
      <sheetData sheetId="1234">
        <row r="3">
          <cell r="E3">
            <v>0</v>
          </cell>
        </row>
      </sheetData>
      <sheetData sheetId="1235">
        <row r="3">
          <cell r="E3">
            <v>0</v>
          </cell>
        </row>
      </sheetData>
      <sheetData sheetId="1236">
        <row r="3">
          <cell r="E3">
            <v>0</v>
          </cell>
        </row>
      </sheetData>
      <sheetData sheetId="1237">
        <row r="3">
          <cell r="E3">
            <v>0</v>
          </cell>
        </row>
      </sheetData>
      <sheetData sheetId="1238">
        <row r="3">
          <cell r="E3">
            <v>0</v>
          </cell>
        </row>
      </sheetData>
      <sheetData sheetId="1239">
        <row r="3">
          <cell r="E3">
            <v>0</v>
          </cell>
        </row>
      </sheetData>
      <sheetData sheetId="1240">
        <row r="3">
          <cell r="E3">
            <v>0</v>
          </cell>
        </row>
      </sheetData>
      <sheetData sheetId="1241">
        <row r="3">
          <cell r="E3">
            <v>0</v>
          </cell>
        </row>
      </sheetData>
      <sheetData sheetId="1242">
        <row r="3">
          <cell r="E3">
            <v>0</v>
          </cell>
        </row>
      </sheetData>
      <sheetData sheetId="1243">
        <row r="3">
          <cell r="E3">
            <v>0</v>
          </cell>
        </row>
      </sheetData>
      <sheetData sheetId="1244">
        <row r="3">
          <cell r="E3">
            <v>0</v>
          </cell>
        </row>
      </sheetData>
      <sheetData sheetId="1245">
        <row r="3">
          <cell r="E3">
            <v>0</v>
          </cell>
        </row>
      </sheetData>
      <sheetData sheetId="1246">
        <row r="3">
          <cell r="E3">
            <v>0</v>
          </cell>
        </row>
      </sheetData>
      <sheetData sheetId="1247">
        <row r="3">
          <cell r="E3">
            <v>0</v>
          </cell>
        </row>
      </sheetData>
      <sheetData sheetId="1248">
        <row r="3">
          <cell r="E3">
            <v>0</v>
          </cell>
        </row>
      </sheetData>
      <sheetData sheetId="1249">
        <row r="3">
          <cell r="E3">
            <v>0</v>
          </cell>
        </row>
      </sheetData>
      <sheetData sheetId="1250">
        <row r="3">
          <cell r="E3">
            <v>0</v>
          </cell>
        </row>
      </sheetData>
      <sheetData sheetId="1251">
        <row r="3">
          <cell r="E3">
            <v>0</v>
          </cell>
        </row>
      </sheetData>
      <sheetData sheetId="1252">
        <row r="3">
          <cell r="E3">
            <v>0</v>
          </cell>
        </row>
      </sheetData>
      <sheetData sheetId="1253">
        <row r="3">
          <cell r="E3">
            <v>0</v>
          </cell>
        </row>
      </sheetData>
      <sheetData sheetId="1254">
        <row r="3">
          <cell r="E3">
            <v>0</v>
          </cell>
        </row>
      </sheetData>
      <sheetData sheetId="1255">
        <row r="3">
          <cell r="E3">
            <v>0</v>
          </cell>
        </row>
      </sheetData>
      <sheetData sheetId="1256">
        <row r="3">
          <cell r="E3">
            <v>0</v>
          </cell>
        </row>
      </sheetData>
      <sheetData sheetId="1257">
        <row r="3">
          <cell r="E3">
            <v>0</v>
          </cell>
        </row>
      </sheetData>
      <sheetData sheetId="1258">
        <row r="3">
          <cell r="E3">
            <v>0</v>
          </cell>
        </row>
      </sheetData>
      <sheetData sheetId="1259">
        <row r="3">
          <cell r="E3">
            <v>0</v>
          </cell>
        </row>
      </sheetData>
      <sheetData sheetId="1260">
        <row r="3">
          <cell r="E3">
            <v>0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/>
      <sheetData sheetId="1329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3">
          <cell r="F3" t="str">
            <v>FEBRUARI</v>
          </cell>
        </row>
      </sheetData>
      <sheetData sheetId="1341">
        <row r="3">
          <cell r="F3" t="str">
            <v>FEBRUARI</v>
          </cell>
        </row>
      </sheetData>
      <sheetData sheetId="1342">
        <row r="3">
          <cell r="F3" t="str">
            <v>FEBRUARI</v>
          </cell>
        </row>
      </sheetData>
      <sheetData sheetId="1343">
        <row r="3">
          <cell r="F3" t="str">
            <v>FEBRUARI</v>
          </cell>
        </row>
      </sheetData>
      <sheetData sheetId="1344">
        <row r="3">
          <cell r="F3" t="str">
            <v>FEBRUARI</v>
          </cell>
        </row>
      </sheetData>
      <sheetData sheetId="1345">
        <row r="3">
          <cell r="F3" t="str">
            <v>FEBRUARI</v>
          </cell>
        </row>
      </sheetData>
      <sheetData sheetId="1346">
        <row r="3">
          <cell r="F3" t="str">
            <v>FEBRUARI</v>
          </cell>
        </row>
      </sheetData>
      <sheetData sheetId="1347">
        <row r="3">
          <cell r="F3" t="str">
            <v>FEBRUARI</v>
          </cell>
        </row>
      </sheetData>
      <sheetData sheetId="1348">
        <row r="3">
          <cell r="F3" t="str">
            <v>FEBRUARI</v>
          </cell>
        </row>
      </sheetData>
      <sheetData sheetId="1349">
        <row r="3">
          <cell r="F3" t="str">
            <v>FEBRUARI</v>
          </cell>
        </row>
      </sheetData>
      <sheetData sheetId="1350">
        <row r="3">
          <cell r="F3" t="str">
            <v>FEBRUARI</v>
          </cell>
        </row>
      </sheetData>
      <sheetData sheetId="1351">
        <row r="3">
          <cell r="F3" t="str">
            <v>FEBRUARI</v>
          </cell>
        </row>
      </sheetData>
      <sheetData sheetId="1352">
        <row r="3">
          <cell r="F3" t="str">
            <v>FEBRUARI</v>
          </cell>
        </row>
      </sheetData>
      <sheetData sheetId="1353">
        <row r="3">
          <cell r="F3" t="str">
            <v>FEBRUARI</v>
          </cell>
        </row>
      </sheetData>
      <sheetData sheetId="1354">
        <row r="3">
          <cell r="F3" t="str">
            <v>FEBRUARI</v>
          </cell>
        </row>
      </sheetData>
      <sheetData sheetId="1355">
        <row r="3">
          <cell r="F3" t="str">
            <v>FEBRUARI</v>
          </cell>
        </row>
      </sheetData>
      <sheetData sheetId="1356">
        <row r="3">
          <cell r="F3" t="str">
            <v>FEBRUARI</v>
          </cell>
        </row>
      </sheetData>
      <sheetData sheetId="1357">
        <row r="3">
          <cell r="F3" t="str">
            <v>FEBRUARI</v>
          </cell>
        </row>
      </sheetData>
      <sheetData sheetId="1358">
        <row r="3">
          <cell r="F3" t="str">
            <v>FEBRUARI</v>
          </cell>
        </row>
      </sheetData>
      <sheetData sheetId="1359">
        <row r="3">
          <cell r="F3" t="str">
            <v>FEBRUARI</v>
          </cell>
        </row>
      </sheetData>
      <sheetData sheetId="1360">
        <row r="3">
          <cell r="F3" t="str">
            <v>FEBRUARI</v>
          </cell>
        </row>
      </sheetData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>
        <row r="3">
          <cell r="F3" t="str">
            <v>FEBRUARI</v>
          </cell>
        </row>
      </sheetData>
      <sheetData sheetId="1375">
        <row r="3">
          <cell r="F3" t="str">
            <v>FEBRUARI</v>
          </cell>
        </row>
      </sheetData>
      <sheetData sheetId="1376">
        <row r="3">
          <cell r="F3" t="str">
            <v>FEBRUARI</v>
          </cell>
        </row>
      </sheetData>
      <sheetData sheetId="1377">
        <row r="3">
          <cell r="F3" t="str">
            <v>FEBRUARI</v>
          </cell>
        </row>
      </sheetData>
      <sheetData sheetId="1378">
        <row r="3">
          <cell r="F3" t="str">
            <v>FEBRUARI</v>
          </cell>
        </row>
      </sheetData>
      <sheetData sheetId="1379">
        <row r="3">
          <cell r="F3" t="str">
            <v>FEBRUARI</v>
          </cell>
        </row>
      </sheetData>
      <sheetData sheetId="1380">
        <row r="3">
          <cell r="F3" t="str">
            <v>FEBRUARI</v>
          </cell>
        </row>
      </sheetData>
      <sheetData sheetId="1381">
        <row r="3">
          <cell r="F3" t="str">
            <v>FEBRUARI</v>
          </cell>
        </row>
      </sheetData>
      <sheetData sheetId="1382">
        <row r="3">
          <cell r="F3" t="str">
            <v>FEBRUARI</v>
          </cell>
        </row>
      </sheetData>
      <sheetData sheetId="1383">
        <row r="3">
          <cell r="F3" t="str">
            <v>FEBRUARI</v>
          </cell>
        </row>
      </sheetData>
      <sheetData sheetId="1384">
        <row r="3">
          <cell r="F3" t="str">
            <v>FEBRUARI</v>
          </cell>
        </row>
      </sheetData>
      <sheetData sheetId="1385">
        <row r="3">
          <cell r="F3" t="str">
            <v>FEBRUARI</v>
          </cell>
        </row>
      </sheetData>
      <sheetData sheetId="1386">
        <row r="3">
          <cell r="F3" t="str">
            <v>FEBRUARI</v>
          </cell>
        </row>
      </sheetData>
      <sheetData sheetId="1387">
        <row r="3">
          <cell r="F3" t="str">
            <v>FEBRUARI</v>
          </cell>
        </row>
      </sheetData>
      <sheetData sheetId="1388">
        <row r="3">
          <cell r="F3" t="str">
            <v>FEBRUARI</v>
          </cell>
        </row>
      </sheetData>
      <sheetData sheetId="1389">
        <row r="3">
          <cell r="F3" t="str">
            <v>FEBRUARI</v>
          </cell>
        </row>
      </sheetData>
      <sheetData sheetId="1390">
        <row r="3">
          <cell r="F3" t="str">
            <v>FEBRUARI</v>
          </cell>
        </row>
      </sheetData>
      <sheetData sheetId="1391">
        <row r="3">
          <cell r="F3" t="str">
            <v>FEBRUARI</v>
          </cell>
        </row>
      </sheetData>
      <sheetData sheetId="1392">
        <row r="3">
          <cell r="F3" t="str">
            <v>FEBRUARI</v>
          </cell>
        </row>
      </sheetData>
      <sheetData sheetId="1393">
        <row r="3">
          <cell r="F3" t="str">
            <v>FEBRUARI</v>
          </cell>
        </row>
      </sheetData>
      <sheetData sheetId="1394">
        <row r="6">
          <cell r="U6">
            <v>-26.700830980354233</v>
          </cell>
        </row>
      </sheetData>
      <sheetData sheetId="1395">
        <row r="3">
          <cell r="F3" t="str">
            <v>FEBRUARI</v>
          </cell>
        </row>
      </sheetData>
      <sheetData sheetId="1396">
        <row r="6">
          <cell r="U6">
            <v>-26.700830980354233</v>
          </cell>
        </row>
      </sheetData>
      <sheetData sheetId="1397">
        <row r="3">
          <cell r="F3" t="str">
            <v>FEBRUARI</v>
          </cell>
        </row>
      </sheetData>
      <sheetData sheetId="1398">
        <row r="6">
          <cell r="U6">
            <v>-26.700830980354233</v>
          </cell>
        </row>
      </sheetData>
      <sheetData sheetId="1399">
        <row r="3">
          <cell r="F3" t="str">
            <v>FEBRUARI</v>
          </cell>
        </row>
      </sheetData>
      <sheetData sheetId="1400">
        <row r="6">
          <cell r="U6">
            <v>-26.700830980354233</v>
          </cell>
        </row>
      </sheetData>
      <sheetData sheetId="1401">
        <row r="3">
          <cell r="F3" t="str">
            <v>FEBRUARI</v>
          </cell>
        </row>
      </sheetData>
      <sheetData sheetId="1402">
        <row r="6">
          <cell r="U6">
            <v>-26.700830980354233</v>
          </cell>
        </row>
      </sheetData>
      <sheetData sheetId="1403">
        <row r="6">
          <cell r="U6">
            <v>-26.700830980354233</v>
          </cell>
        </row>
      </sheetData>
      <sheetData sheetId="1404">
        <row r="6">
          <cell r="U6">
            <v>-26.700830980354233</v>
          </cell>
        </row>
      </sheetData>
      <sheetData sheetId="1405">
        <row r="6">
          <cell r="U6">
            <v>-26.700830980354233</v>
          </cell>
        </row>
      </sheetData>
      <sheetData sheetId="1406">
        <row r="6">
          <cell r="U6">
            <v>-26.700830980354233</v>
          </cell>
        </row>
      </sheetData>
      <sheetData sheetId="1407">
        <row r="6">
          <cell r="U6">
            <v>-26.700830980354233</v>
          </cell>
        </row>
      </sheetData>
      <sheetData sheetId="1408">
        <row r="6">
          <cell r="U6">
            <v>-26.700830980354233</v>
          </cell>
        </row>
      </sheetData>
      <sheetData sheetId="1409">
        <row r="6">
          <cell r="U6">
            <v>-26.700830980354233</v>
          </cell>
        </row>
      </sheetData>
      <sheetData sheetId="1410">
        <row r="3">
          <cell r="E3">
            <v>2002</v>
          </cell>
        </row>
      </sheetData>
      <sheetData sheetId="1411">
        <row r="3">
          <cell r="E3">
            <v>2002</v>
          </cell>
        </row>
      </sheetData>
      <sheetData sheetId="1412">
        <row r="3">
          <cell r="E3">
            <v>2002</v>
          </cell>
        </row>
      </sheetData>
      <sheetData sheetId="1413">
        <row r="3">
          <cell r="E3">
            <v>2002</v>
          </cell>
        </row>
      </sheetData>
      <sheetData sheetId="1414">
        <row r="3">
          <cell r="E3">
            <v>2002</v>
          </cell>
        </row>
      </sheetData>
      <sheetData sheetId="1415">
        <row r="3">
          <cell r="E3">
            <v>2002</v>
          </cell>
        </row>
      </sheetData>
      <sheetData sheetId="1416">
        <row r="3">
          <cell r="E3">
            <v>2002</v>
          </cell>
        </row>
      </sheetData>
      <sheetData sheetId="1417">
        <row r="3">
          <cell r="E3">
            <v>2002</v>
          </cell>
        </row>
      </sheetData>
      <sheetData sheetId="1418">
        <row r="3">
          <cell r="E3">
            <v>2002</v>
          </cell>
        </row>
      </sheetData>
      <sheetData sheetId="1419">
        <row r="3">
          <cell r="E3">
            <v>2002</v>
          </cell>
        </row>
      </sheetData>
      <sheetData sheetId="1420">
        <row r="3">
          <cell r="E3">
            <v>2002</v>
          </cell>
        </row>
      </sheetData>
      <sheetData sheetId="1421">
        <row r="3">
          <cell r="E3">
            <v>2002</v>
          </cell>
        </row>
      </sheetData>
      <sheetData sheetId="1422">
        <row r="3">
          <cell r="E3">
            <v>2002</v>
          </cell>
        </row>
      </sheetData>
      <sheetData sheetId="1423">
        <row r="3">
          <cell r="E3">
            <v>2002</v>
          </cell>
        </row>
      </sheetData>
      <sheetData sheetId="1424">
        <row r="3">
          <cell r="E3">
            <v>2002</v>
          </cell>
        </row>
      </sheetData>
      <sheetData sheetId="1425">
        <row r="3">
          <cell r="E3">
            <v>2002</v>
          </cell>
        </row>
      </sheetData>
      <sheetData sheetId="1426">
        <row r="3">
          <cell r="E3">
            <v>2002</v>
          </cell>
        </row>
      </sheetData>
      <sheetData sheetId="1427">
        <row r="3">
          <cell r="E3">
            <v>2002</v>
          </cell>
        </row>
      </sheetData>
      <sheetData sheetId="1428">
        <row r="3">
          <cell r="E3">
            <v>2002</v>
          </cell>
        </row>
      </sheetData>
      <sheetData sheetId="1429">
        <row r="3">
          <cell r="E3">
            <v>2002</v>
          </cell>
        </row>
      </sheetData>
      <sheetData sheetId="1430">
        <row r="3">
          <cell r="E3">
            <v>2002</v>
          </cell>
        </row>
      </sheetData>
      <sheetData sheetId="1431">
        <row r="3">
          <cell r="E3">
            <v>2002</v>
          </cell>
        </row>
      </sheetData>
      <sheetData sheetId="1432">
        <row r="3">
          <cell r="E3">
            <v>0</v>
          </cell>
        </row>
      </sheetData>
      <sheetData sheetId="1433">
        <row r="3">
          <cell r="E3">
            <v>0</v>
          </cell>
        </row>
      </sheetData>
      <sheetData sheetId="1434">
        <row r="3">
          <cell r="E3">
            <v>0</v>
          </cell>
        </row>
      </sheetData>
      <sheetData sheetId="1435">
        <row r="3">
          <cell r="E3">
            <v>0</v>
          </cell>
        </row>
      </sheetData>
      <sheetData sheetId="1436">
        <row r="3">
          <cell r="E3">
            <v>0</v>
          </cell>
        </row>
      </sheetData>
      <sheetData sheetId="1437">
        <row r="3">
          <cell r="E3">
            <v>0</v>
          </cell>
        </row>
      </sheetData>
      <sheetData sheetId="1438">
        <row r="3">
          <cell r="E3">
            <v>0</v>
          </cell>
        </row>
      </sheetData>
      <sheetData sheetId="1439">
        <row r="3">
          <cell r="E3">
            <v>0</v>
          </cell>
        </row>
      </sheetData>
      <sheetData sheetId="1440">
        <row r="3">
          <cell r="E3">
            <v>0</v>
          </cell>
        </row>
      </sheetData>
      <sheetData sheetId="1441">
        <row r="3">
          <cell r="E3">
            <v>0</v>
          </cell>
        </row>
      </sheetData>
      <sheetData sheetId="1442">
        <row r="3">
          <cell r="E3">
            <v>0</v>
          </cell>
        </row>
      </sheetData>
      <sheetData sheetId="1443">
        <row r="3">
          <cell r="E3">
            <v>0</v>
          </cell>
        </row>
      </sheetData>
      <sheetData sheetId="1444">
        <row r="3">
          <cell r="E3">
            <v>0</v>
          </cell>
        </row>
      </sheetData>
      <sheetData sheetId="1445">
        <row r="3">
          <cell r="E3">
            <v>0</v>
          </cell>
        </row>
      </sheetData>
      <sheetData sheetId="1446">
        <row r="3">
          <cell r="E3">
            <v>0</v>
          </cell>
        </row>
      </sheetData>
      <sheetData sheetId="1447">
        <row r="3">
          <cell r="E3">
            <v>0</v>
          </cell>
        </row>
      </sheetData>
      <sheetData sheetId="1448">
        <row r="3">
          <cell r="E3">
            <v>0</v>
          </cell>
        </row>
      </sheetData>
      <sheetData sheetId="1449">
        <row r="3">
          <cell r="E3">
            <v>0</v>
          </cell>
        </row>
      </sheetData>
      <sheetData sheetId="1450">
        <row r="3">
          <cell r="E3">
            <v>0</v>
          </cell>
        </row>
      </sheetData>
      <sheetData sheetId="1451">
        <row r="3">
          <cell r="E3">
            <v>0</v>
          </cell>
        </row>
      </sheetData>
      <sheetData sheetId="1452">
        <row r="3">
          <cell r="E3">
            <v>0</v>
          </cell>
        </row>
      </sheetData>
      <sheetData sheetId="1453">
        <row r="3">
          <cell r="E3">
            <v>0</v>
          </cell>
        </row>
      </sheetData>
      <sheetData sheetId="1454">
        <row r="3">
          <cell r="E3">
            <v>0</v>
          </cell>
        </row>
      </sheetData>
      <sheetData sheetId="1455">
        <row r="3">
          <cell r="E3">
            <v>2002</v>
          </cell>
        </row>
      </sheetData>
      <sheetData sheetId="1456">
        <row r="3">
          <cell r="E3">
            <v>0</v>
          </cell>
        </row>
      </sheetData>
      <sheetData sheetId="1457">
        <row r="3">
          <cell r="E3">
            <v>0</v>
          </cell>
        </row>
      </sheetData>
      <sheetData sheetId="1458">
        <row r="3">
          <cell r="E3">
            <v>0</v>
          </cell>
        </row>
      </sheetData>
      <sheetData sheetId="1459">
        <row r="3">
          <cell r="E3">
            <v>0</v>
          </cell>
        </row>
      </sheetData>
      <sheetData sheetId="1460">
        <row r="3">
          <cell r="E3">
            <v>0</v>
          </cell>
        </row>
      </sheetData>
      <sheetData sheetId="1461">
        <row r="3">
          <cell r="E3">
            <v>0</v>
          </cell>
        </row>
      </sheetData>
      <sheetData sheetId="1462">
        <row r="3">
          <cell r="E3">
            <v>0</v>
          </cell>
        </row>
      </sheetData>
      <sheetData sheetId="1463">
        <row r="3">
          <cell r="E3">
            <v>0</v>
          </cell>
        </row>
      </sheetData>
      <sheetData sheetId="1464">
        <row r="3">
          <cell r="E3">
            <v>0</v>
          </cell>
        </row>
      </sheetData>
      <sheetData sheetId="1465">
        <row r="3">
          <cell r="E3">
            <v>0</v>
          </cell>
        </row>
      </sheetData>
      <sheetData sheetId="1466">
        <row r="3">
          <cell r="E3">
            <v>0</v>
          </cell>
        </row>
      </sheetData>
      <sheetData sheetId="1467">
        <row r="3">
          <cell r="E3">
            <v>0</v>
          </cell>
        </row>
      </sheetData>
      <sheetData sheetId="1468">
        <row r="3">
          <cell r="E3">
            <v>0</v>
          </cell>
        </row>
      </sheetData>
      <sheetData sheetId="1469">
        <row r="3">
          <cell r="E3">
            <v>0</v>
          </cell>
        </row>
      </sheetData>
      <sheetData sheetId="1470">
        <row r="3">
          <cell r="E3">
            <v>0</v>
          </cell>
        </row>
      </sheetData>
      <sheetData sheetId="1471">
        <row r="3">
          <cell r="E3">
            <v>0</v>
          </cell>
        </row>
      </sheetData>
      <sheetData sheetId="1472">
        <row r="3">
          <cell r="E3">
            <v>0</v>
          </cell>
        </row>
      </sheetData>
      <sheetData sheetId="1473">
        <row r="3">
          <cell r="E3">
            <v>0</v>
          </cell>
        </row>
      </sheetData>
      <sheetData sheetId="1474">
        <row r="3">
          <cell r="E3">
            <v>0</v>
          </cell>
        </row>
      </sheetData>
      <sheetData sheetId="1475">
        <row r="3">
          <cell r="E3">
            <v>0</v>
          </cell>
        </row>
      </sheetData>
      <sheetData sheetId="1476">
        <row r="3">
          <cell r="E3">
            <v>0</v>
          </cell>
        </row>
      </sheetData>
      <sheetData sheetId="1477">
        <row r="3">
          <cell r="E3">
            <v>0</v>
          </cell>
        </row>
      </sheetData>
      <sheetData sheetId="1478">
        <row r="3">
          <cell r="E3">
            <v>0</v>
          </cell>
        </row>
      </sheetData>
      <sheetData sheetId="1479">
        <row r="3">
          <cell r="E3">
            <v>0</v>
          </cell>
        </row>
      </sheetData>
      <sheetData sheetId="1480">
        <row r="3">
          <cell r="E3">
            <v>0</v>
          </cell>
        </row>
      </sheetData>
      <sheetData sheetId="1481">
        <row r="3">
          <cell r="E3">
            <v>0</v>
          </cell>
        </row>
      </sheetData>
      <sheetData sheetId="1482">
        <row r="3">
          <cell r="E3">
            <v>0</v>
          </cell>
        </row>
      </sheetData>
      <sheetData sheetId="1483">
        <row r="3">
          <cell r="E3">
            <v>0</v>
          </cell>
        </row>
      </sheetData>
      <sheetData sheetId="1484">
        <row r="3">
          <cell r="E3">
            <v>0</v>
          </cell>
        </row>
      </sheetData>
      <sheetData sheetId="1485">
        <row r="3">
          <cell r="E3">
            <v>0</v>
          </cell>
        </row>
      </sheetData>
      <sheetData sheetId="1486" refreshError="1"/>
      <sheetData sheetId="1487" refreshError="1"/>
      <sheetData sheetId="1488">
        <row r="3">
          <cell r="E3">
            <v>0</v>
          </cell>
        </row>
      </sheetData>
      <sheetData sheetId="1489">
        <row r="3">
          <cell r="E3">
            <v>0</v>
          </cell>
        </row>
      </sheetData>
      <sheetData sheetId="1490">
        <row r="3">
          <cell r="E3">
            <v>0</v>
          </cell>
        </row>
      </sheetData>
      <sheetData sheetId="1491">
        <row r="3">
          <cell r="E3">
            <v>0</v>
          </cell>
        </row>
      </sheetData>
      <sheetData sheetId="1492">
        <row r="3">
          <cell r="E3">
            <v>0</v>
          </cell>
        </row>
      </sheetData>
      <sheetData sheetId="1493">
        <row r="3">
          <cell r="E3">
            <v>0</v>
          </cell>
        </row>
      </sheetData>
      <sheetData sheetId="1494">
        <row r="3">
          <cell r="E3">
            <v>0</v>
          </cell>
        </row>
      </sheetData>
      <sheetData sheetId="1495">
        <row r="3">
          <cell r="E3">
            <v>0</v>
          </cell>
        </row>
      </sheetData>
      <sheetData sheetId="1496">
        <row r="3">
          <cell r="E3">
            <v>0</v>
          </cell>
        </row>
      </sheetData>
      <sheetData sheetId="1497">
        <row r="3">
          <cell r="E3">
            <v>0</v>
          </cell>
        </row>
      </sheetData>
      <sheetData sheetId="1498">
        <row r="3">
          <cell r="E3">
            <v>0</v>
          </cell>
        </row>
      </sheetData>
      <sheetData sheetId="1499">
        <row r="3">
          <cell r="E3">
            <v>0</v>
          </cell>
        </row>
      </sheetData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3">
          <cell r="E3">
            <v>0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>
        <row r="3">
          <cell r="E3">
            <v>0</v>
          </cell>
        </row>
      </sheetData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>
        <row r="3">
          <cell r="E3">
            <v>0</v>
          </cell>
        </row>
      </sheetData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>
        <row r="3">
          <cell r="E3">
            <v>0</v>
          </cell>
        </row>
      </sheetData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3">
          <cell r="E3">
            <v>2002</v>
          </cell>
        </row>
      </sheetData>
      <sheetData sheetId="1708">
        <row r="3">
          <cell r="E3">
            <v>2002</v>
          </cell>
        </row>
      </sheetData>
      <sheetData sheetId="1709">
        <row r="3">
          <cell r="E3">
            <v>2002</v>
          </cell>
        </row>
      </sheetData>
      <sheetData sheetId="1710">
        <row r="3">
          <cell r="E3">
            <v>2002</v>
          </cell>
        </row>
      </sheetData>
      <sheetData sheetId="1711">
        <row r="3">
          <cell r="E3">
            <v>2002</v>
          </cell>
        </row>
      </sheetData>
      <sheetData sheetId="1712">
        <row r="3">
          <cell r="E3">
            <v>2002</v>
          </cell>
        </row>
      </sheetData>
      <sheetData sheetId="1713">
        <row r="3">
          <cell r="E3">
            <v>2002</v>
          </cell>
        </row>
      </sheetData>
      <sheetData sheetId="1714">
        <row r="3">
          <cell r="E3">
            <v>2002</v>
          </cell>
        </row>
      </sheetData>
      <sheetData sheetId="1715">
        <row r="3">
          <cell r="E3">
            <v>0</v>
          </cell>
        </row>
      </sheetData>
      <sheetData sheetId="1716">
        <row r="3">
          <cell r="E3">
            <v>0</v>
          </cell>
        </row>
      </sheetData>
      <sheetData sheetId="1717">
        <row r="3">
          <cell r="E3">
            <v>0</v>
          </cell>
        </row>
      </sheetData>
      <sheetData sheetId="1718">
        <row r="3">
          <cell r="E3">
            <v>0</v>
          </cell>
        </row>
      </sheetData>
      <sheetData sheetId="1719">
        <row r="3">
          <cell r="E3">
            <v>0</v>
          </cell>
        </row>
      </sheetData>
      <sheetData sheetId="1720">
        <row r="3">
          <cell r="E3">
            <v>0</v>
          </cell>
        </row>
      </sheetData>
      <sheetData sheetId="1721">
        <row r="3">
          <cell r="E3">
            <v>0</v>
          </cell>
        </row>
      </sheetData>
      <sheetData sheetId="1722">
        <row r="3">
          <cell r="E3">
            <v>0</v>
          </cell>
        </row>
      </sheetData>
      <sheetData sheetId="1723">
        <row r="3">
          <cell r="E3">
            <v>0</v>
          </cell>
        </row>
      </sheetData>
      <sheetData sheetId="1724">
        <row r="3">
          <cell r="E3">
            <v>0</v>
          </cell>
        </row>
      </sheetData>
      <sheetData sheetId="1725">
        <row r="3">
          <cell r="E3">
            <v>0</v>
          </cell>
        </row>
      </sheetData>
      <sheetData sheetId="1726">
        <row r="3">
          <cell r="E3">
            <v>0</v>
          </cell>
        </row>
      </sheetData>
      <sheetData sheetId="1727">
        <row r="3">
          <cell r="E3">
            <v>0</v>
          </cell>
        </row>
      </sheetData>
      <sheetData sheetId="1728">
        <row r="3">
          <cell r="E3">
            <v>0</v>
          </cell>
        </row>
      </sheetData>
      <sheetData sheetId="1729">
        <row r="3">
          <cell r="E3">
            <v>0</v>
          </cell>
        </row>
      </sheetData>
      <sheetData sheetId="1730">
        <row r="3">
          <cell r="E3">
            <v>0</v>
          </cell>
        </row>
      </sheetData>
      <sheetData sheetId="1731">
        <row r="3">
          <cell r="E3">
            <v>0</v>
          </cell>
        </row>
      </sheetData>
      <sheetData sheetId="1732">
        <row r="3">
          <cell r="E3">
            <v>0</v>
          </cell>
        </row>
      </sheetData>
      <sheetData sheetId="1733">
        <row r="3">
          <cell r="E3">
            <v>0</v>
          </cell>
        </row>
      </sheetData>
      <sheetData sheetId="1734">
        <row r="3">
          <cell r="E3">
            <v>0</v>
          </cell>
        </row>
      </sheetData>
      <sheetData sheetId="1735">
        <row r="3">
          <cell r="E3">
            <v>0</v>
          </cell>
        </row>
      </sheetData>
      <sheetData sheetId="1736">
        <row r="3">
          <cell r="E3">
            <v>0</v>
          </cell>
        </row>
      </sheetData>
      <sheetData sheetId="1737">
        <row r="3">
          <cell r="E3">
            <v>0</v>
          </cell>
        </row>
      </sheetData>
      <sheetData sheetId="1738">
        <row r="3">
          <cell r="E3">
            <v>0</v>
          </cell>
        </row>
      </sheetData>
      <sheetData sheetId="1739">
        <row r="3">
          <cell r="E3">
            <v>0</v>
          </cell>
        </row>
      </sheetData>
      <sheetData sheetId="1740">
        <row r="3">
          <cell r="E3">
            <v>0</v>
          </cell>
        </row>
      </sheetData>
      <sheetData sheetId="1741">
        <row r="3">
          <cell r="E3">
            <v>0</v>
          </cell>
        </row>
      </sheetData>
      <sheetData sheetId="1742">
        <row r="3">
          <cell r="E3">
            <v>0</v>
          </cell>
        </row>
      </sheetData>
      <sheetData sheetId="1743">
        <row r="3">
          <cell r="E3">
            <v>0</v>
          </cell>
        </row>
      </sheetData>
      <sheetData sheetId="1744">
        <row r="3">
          <cell r="E3">
            <v>0</v>
          </cell>
        </row>
      </sheetData>
      <sheetData sheetId="1745">
        <row r="3">
          <cell r="E3">
            <v>0</v>
          </cell>
        </row>
      </sheetData>
      <sheetData sheetId="1746">
        <row r="3">
          <cell r="E3">
            <v>0</v>
          </cell>
        </row>
      </sheetData>
      <sheetData sheetId="1747">
        <row r="3">
          <cell r="E3">
            <v>0</v>
          </cell>
        </row>
      </sheetData>
      <sheetData sheetId="1748">
        <row r="3">
          <cell r="E3">
            <v>0</v>
          </cell>
        </row>
      </sheetData>
      <sheetData sheetId="1749">
        <row r="3">
          <cell r="E3">
            <v>0</v>
          </cell>
        </row>
      </sheetData>
      <sheetData sheetId="1750">
        <row r="3">
          <cell r="E3">
            <v>0</v>
          </cell>
        </row>
      </sheetData>
      <sheetData sheetId="1751">
        <row r="3">
          <cell r="E3">
            <v>0</v>
          </cell>
        </row>
      </sheetData>
      <sheetData sheetId="1752">
        <row r="3">
          <cell r="E3">
            <v>0</v>
          </cell>
        </row>
      </sheetData>
      <sheetData sheetId="1753">
        <row r="3">
          <cell r="E3">
            <v>0</v>
          </cell>
        </row>
      </sheetData>
      <sheetData sheetId="1754">
        <row r="3">
          <cell r="E3">
            <v>0</v>
          </cell>
        </row>
      </sheetData>
      <sheetData sheetId="1755">
        <row r="3">
          <cell r="E3">
            <v>0</v>
          </cell>
        </row>
      </sheetData>
      <sheetData sheetId="1756">
        <row r="3">
          <cell r="E3">
            <v>0</v>
          </cell>
        </row>
      </sheetData>
      <sheetData sheetId="1757">
        <row r="3">
          <cell r="E3">
            <v>0</v>
          </cell>
        </row>
      </sheetData>
      <sheetData sheetId="1758">
        <row r="3">
          <cell r="E3">
            <v>0</v>
          </cell>
        </row>
      </sheetData>
      <sheetData sheetId="1759">
        <row r="3">
          <cell r="E3">
            <v>0</v>
          </cell>
        </row>
      </sheetData>
      <sheetData sheetId="1760">
        <row r="3">
          <cell r="E3">
            <v>0</v>
          </cell>
        </row>
      </sheetData>
      <sheetData sheetId="1761">
        <row r="3">
          <cell r="E3">
            <v>0</v>
          </cell>
        </row>
      </sheetData>
      <sheetData sheetId="1762">
        <row r="3">
          <cell r="E3">
            <v>0</v>
          </cell>
        </row>
      </sheetData>
      <sheetData sheetId="1763">
        <row r="3">
          <cell r="E3">
            <v>0</v>
          </cell>
        </row>
      </sheetData>
      <sheetData sheetId="1764">
        <row r="3">
          <cell r="E3">
            <v>0</v>
          </cell>
        </row>
      </sheetData>
      <sheetData sheetId="1765">
        <row r="3">
          <cell r="E3">
            <v>0</v>
          </cell>
        </row>
      </sheetData>
      <sheetData sheetId="1766">
        <row r="3">
          <cell r="E3">
            <v>0</v>
          </cell>
        </row>
      </sheetData>
      <sheetData sheetId="1767">
        <row r="3">
          <cell r="E3">
            <v>0</v>
          </cell>
        </row>
      </sheetData>
      <sheetData sheetId="1768">
        <row r="3">
          <cell r="E3">
            <v>0</v>
          </cell>
        </row>
      </sheetData>
      <sheetData sheetId="1769">
        <row r="3">
          <cell r="E3">
            <v>0</v>
          </cell>
        </row>
      </sheetData>
      <sheetData sheetId="1770">
        <row r="3">
          <cell r="E3">
            <v>0</v>
          </cell>
        </row>
      </sheetData>
      <sheetData sheetId="1771">
        <row r="3">
          <cell r="E3">
            <v>0</v>
          </cell>
        </row>
      </sheetData>
      <sheetData sheetId="1772">
        <row r="3">
          <cell r="E3">
            <v>0</v>
          </cell>
        </row>
      </sheetData>
      <sheetData sheetId="1773">
        <row r="3">
          <cell r="E3">
            <v>0</v>
          </cell>
        </row>
      </sheetData>
      <sheetData sheetId="1774">
        <row r="3">
          <cell r="E3">
            <v>0</v>
          </cell>
        </row>
      </sheetData>
      <sheetData sheetId="1775">
        <row r="3">
          <cell r="E3">
            <v>0</v>
          </cell>
        </row>
      </sheetData>
      <sheetData sheetId="1776">
        <row r="3">
          <cell r="E3">
            <v>0</v>
          </cell>
        </row>
      </sheetData>
      <sheetData sheetId="1777">
        <row r="3">
          <cell r="E3">
            <v>0</v>
          </cell>
        </row>
      </sheetData>
      <sheetData sheetId="1778">
        <row r="3">
          <cell r="E3">
            <v>0</v>
          </cell>
        </row>
      </sheetData>
      <sheetData sheetId="1779">
        <row r="3">
          <cell r="E3">
            <v>0</v>
          </cell>
        </row>
      </sheetData>
      <sheetData sheetId="1780">
        <row r="3">
          <cell r="E3">
            <v>0</v>
          </cell>
        </row>
      </sheetData>
      <sheetData sheetId="1781">
        <row r="3">
          <cell r="E3">
            <v>0</v>
          </cell>
        </row>
      </sheetData>
      <sheetData sheetId="1782">
        <row r="3">
          <cell r="E3">
            <v>0</v>
          </cell>
        </row>
      </sheetData>
      <sheetData sheetId="1783">
        <row r="3">
          <cell r="E3">
            <v>0</v>
          </cell>
        </row>
      </sheetData>
      <sheetData sheetId="1784">
        <row r="3">
          <cell r="E3">
            <v>0</v>
          </cell>
        </row>
      </sheetData>
      <sheetData sheetId="1785">
        <row r="3">
          <cell r="E3">
            <v>0</v>
          </cell>
        </row>
      </sheetData>
      <sheetData sheetId="1786">
        <row r="3">
          <cell r="E3">
            <v>0</v>
          </cell>
        </row>
      </sheetData>
      <sheetData sheetId="1787">
        <row r="3">
          <cell r="E3">
            <v>0</v>
          </cell>
        </row>
      </sheetData>
      <sheetData sheetId="1788">
        <row r="3">
          <cell r="E3">
            <v>0</v>
          </cell>
        </row>
      </sheetData>
      <sheetData sheetId="1789">
        <row r="3">
          <cell r="E3">
            <v>0</v>
          </cell>
        </row>
      </sheetData>
      <sheetData sheetId="1790">
        <row r="3">
          <cell r="E3">
            <v>0</v>
          </cell>
        </row>
      </sheetData>
      <sheetData sheetId="1791">
        <row r="3">
          <cell r="E3">
            <v>0</v>
          </cell>
        </row>
      </sheetData>
      <sheetData sheetId="1792">
        <row r="3">
          <cell r="E3">
            <v>0</v>
          </cell>
        </row>
      </sheetData>
      <sheetData sheetId="1793">
        <row r="3">
          <cell r="E3">
            <v>0</v>
          </cell>
        </row>
      </sheetData>
      <sheetData sheetId="1794">
        <row r="3">
          <cell r="E3">
            <v>0</v>
          </cell>
        </row>
      </sheetData>
      <sheetData sheetId="1795">
        <row r="3">
          <cell r="E3">
            <v>0</v>
          </cell>
        </row>
      </sheetData>
      <sheetData sheetId="1796">
        <row r="3">
          <cell r="E3">
            <v>0</v>
          </cell>
        </row>
      </sheetData>
      <sheetData sheetId="1797">
        <row r="3">
          <cell r="E3">
            <v>0</v>
          </cell>
        </row>
      </sheetData>
      <sheetData sheetId="1798">
        <row r="3">
          <cell r="E3">
            <v>0</v>
          </cell>
        </row>
      </sheetData>
      <sheetData sheetId="1799">
        <row r="3">
          <cell r="E3">
            <v>0</v>
          </cell>
        </row>
      </sheetData>
      <sheetData sheetId="1800">
        <row r="3">
          <cell r="E3">
            <v>0</v>
          </cell>
        </row>
      </sheetData>
      <sheetData sheetId="1801">
        <row r="3">
          <cell r="E3">
            <v>0</v>
          </cell>
        </row>
      </sheetData>
      <sheetData sheetId="1802">
        <row r="3">
          <cell r="E3">
            <v>0</v>
          </cell>
        </row>
      </sheetData>
      <sheetData sheetId="1803">
        <row r="3">
          <cell r="E3">
            <v>0</v>
          </cell>
        </row>
      </sheetData>
      <sheetData sheetId="1804">
        <row r="3">
          <cell r="E3">
            <v>0</v>
          </cell>
        </row>
      </sheetData>
      <sheetData sheetId="1805">
        <row r="3">
          <cell r="E3">
            <v>0</v>
          </cell>
        </row>
      </sheetData>
      <sheetData sheetId="1806">
        <row r="3">
          <cell r="E3">
            <v>0</v>
          </cell>
        </row>
      </sheetData>
      <sheetData sheetId="1807">
        <row r="3">
          <cell r="E3">
            <v>0</v>
          </cell>
        </row>
      </sheetData>
      <sheetData sheetId="1808">
        <row r="3">
          <cell r="E3">
            <v>0</v>
          </cell>
        </row>
      </sheetData>
      <sheetData sheetId="1809">
        <row r="3">
          <cell r="E3">
            <v>0</v>
          </cell>
        </row>
      </sheetData>
      <sheetData sheetId="1810">
        <row r="3">
          <cell r="E3">
            <v>0</v>
          </cell>
        </row>
      </sheetData>
      <sheetData sheetId="1811">
        <row r="3">
          <cell r="E3">
            <v>0</v>
          </cell>
        </row>
      </sheetData>
      <sheetData sheetId="1812">
        <row r="3">
          <cell r="E3">
            <v>0</v>
          </cell>
        </row>
      </sheetData>
      <sheetData sheetId="1813">
        <row r="3">
          <cell r="E3">
            <v>0</v>
          </cell>
        </row>
      </sheetData>
      <sheetData sheetId="1814">
        <row r="3">
          <cell r="E3">
            <v>2002</v>
          </cell>
        </row>
      </sheetData>
      <sheetData sheetId="1815">
        <row r="3">
          <cell r="E3">
            <v>2002</v>
          </cell>
        </row>
      </sheetData>
      <sheetData sheetId="1816">
        <row r="3">
          <cell r="E3">
            <v>2002</v>
          </cell>
        </row>
      </sheetData>
      <sheetData sheetId="1817">
        <row r="3">
          <cell r="E3">
            <v>2002</v>
          </cell>
        </row>
      </sheetData>
      <sheetData sheetId="1818">
        <row r="3">
          <cell r="E3">
            <v>2002</v>
          </cell>
        </row>
      </sheetData>
      <sheetData sheetId="1819">
        <row r="3">
          <cell r="E3">
            <v>2002</v>
          </cell>
        </row>
      </sheetData>
      <sheetData sheetId="1820">
        <row r="3">
          <cell r="E3">
            <v>2002</v>
          </cell>
        </row>
      </sheetData>
      <sheetData sheetId="1821">
        <row r="3">
          <cell r="E3">
            <v>2002</v>
          </cell>
        </row>
      </sheetData>
      <sheetData sheetId="1822">
        <row r="3">
          <cell r="E3">
            <v>2002</v>
          </cell>
        </row>
      </sheetData>
      <sheetData sheetId="1823">
        <row r="3">
          <cell r="E3">
            <v>2002</v>
          </cell>
        </row>
      </sheetData>
      <sheetData sheetId="1824">
        <row r="3">
          <cell r="E3">
            <v>2002</v>
          </cell>
        </row>
      </sheetData>
      <sheetData sheetId="1825">
        <row r="3">
          <cell r="E3">
            <v>2002</v>
          </cell>
        </row>
      </sheetData>
      <sheetData sheetId="1826">
        <row r="3">
          <cell r="E3">
            <v>2002</v>
          </cell>
        </row>
      </sheetData>
      <sheetData sheetId="1827">
        <row r="3">
          <cell r="E3">
            <v>2002</v>
          </cell>
        </row>
      </sheetData>
      <sheetData sheetId="1828">
        <row r="3">
          <cell r="E3">
            <v>2002</v>
          </cell>
        </row>
      </sheetData>
      <sheetData sheetId="1829">
        <row r="3">
          <cell r="E3">
            <v>2002</v>
          </cell>
        </row>
      </sheetData>
      <sheetData sheetId="1830">
        <row r="3">
          <cell r="E3">
            <v>2002</v>
          </cell>
        </row>
      </sheetData>
      <sheetData sheetId="1831">
        <row r="3">
          <cell r="E3">
            <v>2002</v>
          </cell>
        </row>
      </sheetData>
      <sheetData sheetId="1832">
        <row r="3">
          <cell r="E3">
            <v>2002</v>
          </cell>
        </row>
      </sheetData>
      <sheetData sheetId="1833">
        <row r="3">
          <cell r="E3">
            <v>2002</v>
          </cell>
        </row>
      </sheetData>
      <sheetData sheetId="1834">
        <row r="3">
          <cell r="E3">
            <v>2002</v>
          </cell>
        </row>
      </sheetData>
      <sheetData sheetId="1835">
        <row r="3">
          <cell r="E3">
            <v>2002</v>
          </cell>
        </row>
      </sheetData>
      <sheetData sheetId="1836">
        <row r="3">
          <cell r="E3">
            <v>2002</v>
          </cell>
        </row>
      </sheetData>
      <sheetData sheetId="1837">
        <row r="3">
          <cell r="E3">
            <v>2002</v>
          </cell>
        </row>
      </sheetData>
      <sheetData sheetId="1838">
        <row r="3">
          <cell r="E3">
            <v>2002</v>
          </cell>
        </row>
      </sheetData>
      <sheetData sheetId="1839">
        <row r="3">
          <cell r="E3">
            <v>2002</v>
          </cell>
        </row>
      </sheetData>
      <sheetData sheetId="1840">
        <row r="3">
          <cell r="E3">
            <v>2002</v>
          </cell>
        </row>
      </sheetData>
      <sheetData sheetId="1841">
        <row r="3">
          <cell r="E3">
            <v>2002</v>
          </cell>
        </row>
      </sheetData>
      <sheetData sheetId="1842">
        <row r="3">
          <cell r="E3">
            <v>2002</v>
          </cell>
        </row>
      </sheetData>
      <sheetData sheetId="1843">
        <row r="3">
          <cell r="E3">
            <v>2002</v>
          </cell>
        </row>
      </sheetData>
      <sheetData sheetId="1844">
        <row r="3">
          <cell r="E3">
            <v>2002</v>
          </cell>
        </row>
      </sheetData>
      <sheetData sheetId="1845">
        <row r="3">
          <cell r="E3">
            <v>2002</v>
          </cell>
        </row>
      </sheetData>
      <sheetData sheetId="1846">
        <row r="3">
          <cell r="E3">
            <v>2002</v>
          </cell>
        </row>
      </sheetData>
      <sheetData sheetId="1847">
        <row r="3">
          <cell r="E3">
            <v>2002</v>
          </cell>
        </row>
      </sheetData>
      <sheetData sheetId="1848">
        <row r="3">
          <cell r="E3">
            <v>2002</v>
          </cell>
        </row>
      </sheetData>
      <sheetData sheetId="1849">
        <row r="3">
          <cell r="E3">
            <v>2002</v>
          </cell>
        </row>
      </sheetData>
      <sheetData sheetId="1850">
        <row r="3">
          <cell r="E3">
            <v>2002</v>
          </cell>
        </row>
      </sheetData>
      <sheetData sheetId="1851">
        <row r="3">
          <cell r="E3">
            <v>2002</v>
          </cell>
        </row>
      </sheetData>
      <sheetData sheetId="1852">
        <row r="3">
          <cell r="E3">
            <v>2002</v>
          </cell>
        </row>
      </sheetData>
      <sheetData sheetId="1853">
        <row r="3">
          <cell r="E3">
            <v>0</v>
          </cell>
        </row>
      </sheetData>
      <sheetData sheetId="1854">
        <row r="3">
          <cell r="E3">
            <v>0</v>
          </cell>
        </row>
      </sheetData>
      <sheetData sheetId="1855">
        <row r="3">
          <cell r="E3">
            <v>0</v>
          </cell>
        </row>
      </sheetData>
      <sheetData sheetId="1856">
        <row r="3">
          <cell r="E3">
            <v>0</v>
          </cell>
        </row>
      </sheetData>
      <sheetData sheetId="1857">
        <row r="3">
          <cell r="E3">
            <v>0</v>
          </cell>
        </row>
      </sheetData>
      <sheetData sheetId="1858">
        <row r="3">
          <cell r="E3">
            <v>0</v>
          </cell>
        </row>
      </sheetData>
      <sheetData sheetId="1859">
        <row r="3">
          <cell r="E3">
            <v>0</v>
          </cell>
        </row>
      </sheetData>
      <sheetData sheetId="1860">
        <row r="3">
          <cell r="E3">
            <v>0</v>
          </cell>
        </row>
      </sheetData>
      <sheetData sheetId="1861">
        <row r="3">
          <cell r="E3">
            <v>0</v>
          </cell>
        </row>
      </sheetData>
      <sheetData sheetId="1862">
        <row r="3">
          <cell r="E3">
            <v>0</v>
          </cell>
        </row>
      </sheetData>
      <sheetData sheetId="1863">
        <row r="3">
          <cell r="E3">
            <v>0</v>
          </cell>
        </row>
      </sheetData>
      <sheetData sheetId="1864">
        <row r="3">
          <cell r="E3">
            <v>0</v>
          </cell>
        </row>
      </sheetData>
      <sheetData sheetId="1865">
        <row r="3">
          <cell r="E3">
            <v>0</v>
          </cell>
        </row>
      </sheetData>
      <sheetData sheetId="1866">
        <row r="3">
          <cell r="E3">
            <v>0</v>
          </cell>
        </row>
      </sheetData>
      <sheetData sheetId="1867">
        <row r="3">
          <cell r="E3">
            <v>0</v>
          </cell>
        </row>
      </sheetData>
      <sheetData sheetId="1868">
        <row r="3">
          <cell r="E3">
            <v>0</v>
          </cell>
        </row>
      </sheetData>
      <sheetData sheetId="1869">
        <row r="3">
          <cell r="E3">
            <v>0</v>
          </cell>
        </row>
      </sheetData>
      <sheetData sheetId="1870">
        <row r="3">
          <cell r="E3">
            <v>0</v>
          </cell>
        </row>
      </sheetData>
      <sheetData sheetId="1871">
        <row r="3">
          <cell r="E3">
            <v>0</v>
          </cell>
        </row>
      </sheetData>
      <sheetData sheetId="1872">
        <row r="3">
          <cell r="E3">
            <v>0</v>
          </cell>
        </row>
      </sheetData>
      <sheetData sheetId="1873">
        <row r="3">
          <cell r="E3">
            <v>0</v>
          </cell>
        </row>
      </sheetData>
      <sheetData sheetId="1874">
        <row r="3">
          <cell r="E3">
            <v>0</v>
          </cell>
        </row>
      </sheetData>
      <sheetData sheetId="1875">
        <row r="3">
          <cell r="E3">
            <v>0</v>
          </cell>
        </row>
      </sheetData>
      <sheetData sheetId="1876">
        <row r="3">
          <cell r="E3">
            <v>0</v>
          </cell>
        </row>
      </sheetData>
      <sheetData sheetId="1877">
        <row r="3">
          <cell r="E3">
            <v>0</v>
          </cell>
        </row>
      </sheetData>
      <sheetData sheetId="1878">
        <row r="3">
          <cell r="E3">
            <v>0</v>
          </cell>
        </row>
      </sheetData>
      <sheetData sheetId="1879">
        <row r="3">
          <cell r="E3">
            <v>0</v>
          </cell>
        </row>
      </sheetData>
      <sheetData sheetId="1880">
        <row r="3">
          <cell r="E3">
            <v>0</v>
          </cell>
        </row>
      </sheetData>
      <sheetData sheetId="1881">
        <row r="3">
          <cell r="E3">
            <v>0</v>
          </cell>
        </row>
      </sheetData>
      <sheetData sheetId="1882">
        <row r="3">
          <cell r="E3">
            <v>0</v>
          </cell>
        </row>
      </sheetData>
      <sheetData sheetId="1883">
        <row r="3">
          <cell r="E3">
            <v>0</v>
          </cell>
        </row>
      </sheetData>
      <sheetData sheetId="1884">
        <row r="3">
          <cell r="E3">
            <v>0</v>
          </cell>
        </row>
      </sheetData>
      <sheetData sheetId="1885">
        <row r="3">
          <cell r="E3">
            <v>0</v>
          </cell>
        </row>
      </sheetData>
      <sheetData sheetId="1886">
        <row r="3">
          <cell r="E3">
            <v>0</v>
          </cell>
        </row>
      </sheetData>
      <sheetData sheetId="1887">
        <row r="3">
          <cell r="E3">
            <v>0</v>
          </cell>
        </row>
      </sheetData>
      <sheetData sheetId="1888">
        <row r="3">
          <cell r="E3">
            <v>0</v>
          </cell>
        </row>
      </sheetData>
      <sheetData sheetId="1889">
        <row r="3">
          <cell r="E3">
            <v>0</v>
          </cell>
        </row>
      </sheetData>
      <sheetData sheetId="1890">
        <row r="3">
          <cell r="E3">
            <v>0</v>
          </cell>
        </row>
      </sheetData>
      <sheetData sheetId="1891">
        <row r="3">
          <cell r="E3">
            <v>0</v>
          </cell>
        </row>
      </sheetData>
      <sheetData sheetId="1892">
        <row r="3">
          <cell r="E3">
            <v>0</v>
          </cell>
        </row>
      </sheetData>
      <sheetData sheetId="1893">
        <row r="3">
          <cell r="E3">
            <v>0</v>
          </cell>
        </row>
      </sheetData>
      <sheetData sheetId="1894">
        <row r="3">
          <cell r="E3">
            <v>0</v>
          </cell>
        </row>
      </sheetData>
      <sheetData sheetId="1895">
        <row r="3">
          <cell r="E3">
            <v>0</v>
          </cell>
        </row>
      </sheetData>
      <sheetData sheetId="1896">
        <row r="3">
          <cell r="E3">
            <v>0</v>
          </cell>
        </row>
      </sheetData>
      <sheetData sheetId="1897">
        <row r="3">
          <cell r="E3">
            <v>0</v>
          </cell>
        </row>
      </sheetData>
      <sheetData sheetId="1898">
        <row r="3">
          <cell r="E3">
            <v>0</v>
          </cell>
        </row>
      </sheetData>
      <sheetData sheetId="1899">
        <row r="3">
          <cell r="E3">
            <v>0</v>
          </cell>
        </row>
      </sheetData>
      <sheetData sheetId="1900">
        <row r="3">
          <cell r="E3">
            <v>0</v>
          </cell>
        </row>
      </sheetData>
      <sheetData sheetId="1901">
        <row r="3">
          <cell r="E3">
            <v>0</v>
          </cell>
        </row>
      </sheetData>
      <sheetData sheetId="1902">
        <row r="3">
          <cell r="E3">
            <v>0</v>
          </cell>
        </row>
      </sheetData>
      <sheetData sheetId="1903">
        <row r="3">
          <cell r="E3">
            <v>0</v>
          </cell>
        </row>
      </sheetData>
      <sheetData sheetId="1904">
        <row r="3">
          <cell r="E3">
            <v>0</v>
          </cell>
        </row>
      </sheetData>
      <sheetData sheetId="1905">
        <row r="3">
          <cell r="E3">
            <v>0</v>
          </cell>
        </row>
      </sheetData>
      <sheetData sheetId="1906">
        <row r="3">
          <cell r="E3">
            <v>0</v>
          </cell>
        </row>
      </sheetData>
      <sheetData sheetId="1907">
        <row r="3">
          <cell r="E3">
            <v>0</v>
          </cell>
        </row>
      </sheetData>
      <sheetData sheetId="1908">
        <row r="3">
          <cell r="E3">
            <v>0</v>
          </cell>
        </row>
      </sheetData>
      <sheetData sheetId="1909">
        <row r="3">
          <cell r="E3">
            <v>0</v>
          </cell>
        </row>
      </sheetData>
      <sheetData sheetId="1910">
        <row r="3">
          <cell r="E3">
            <v>0</v>
          </cell>
        </row>
      </sheetData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>
        <row r="3">
          <cell r="E3">
            <v>0</v>
          </cell>
        </row>
      </sheetData>
      <sheetData sheetId="1927">
        <row r="6">
          <cell r="U6">
            <v>-26.700830980354233</v>
          </cell>
        </row>
      </sheetData>
      <sheetData sheetId="1928">
        <row r="3">
          <cell r="E3">
            <v>0</v>
          </cell>
        </row>
      </sheetData>
      <sheetData sheetId="1929">
        <row r="3">
          <cell r="E3">
            <v>0</v>
          </cell>
        </row>
      </sheetData>
      <sheetData sheetId="1930">
        <row r="3">
          <cell r="E3">
            <v>0</v>
          </cell>
        </row>
      </sheetData>
      <sheetData sheetId="1931">
        <row r="3">
          <cell r="E3">
            <v>0</v>
          </cell>
        </row>
      </sheetData>
      <sheetData sheetId="1932">
        <row r="3">
          <cell r="E3">
            <v>0</v>
          </cell>
        </row>
      </sheetData>
      <sheetData sheetId="1933">
        <row r="3">
          <cell r="E3">
            <v>0</v>
          </cell>
        </row>
      </sheetData>
      <sheetData sheetId="1934">
        <row r="3">
          <cell r="E3">
            <v>0</v>
          </cell>
        </row>
      </sheetData>
      <sheetData sheetId="1935">
        <row r="3">
          <cell r="E3">
            <v>0</v>
          </cell>
        </row>
      </sheetData>
      <sheetData sheetId="1936">
        <row r="3">
          <cell r="E3">
            <v>0</v>
          </cell>
        </row>
      </sheetData>
      <sheetData sheetId="1937">
        <row r="3">
          <cell r="E3">
            <v>0</v>
          </cell>
        </row>
      </sheetData>
      <sheetData sheetId="1938">
        <row r="3">
          <cell r="E3">
            <v>0</v>
          </cell>
        </row>
      </sheetData>
      <sheetData sheetId="1939">
        <row r="3">
          <cell r="E3">
            <v>0</v>
          </cell>
        </row>
      </sheetData>
      <sheetData sheetId="1940">
        <row r="3">
          <cell r="E3">
            <v>0</v>
          </cell>
        </row>
      </sheetData>
      <sheetData sheetId="1941">
        <row r="3">
          <cell r="E3">
            <v>0</v>
          </cell>
        </row>
      </sheetData>
      <sheetData sheetId="1942">
        <row r="3">
          <cell r="E3">
            <v>0</v>
          </cell>
        </row>
      </sheetData>
      <sheetData sheetId="1943">
        <row r="3">
          <cell r="E3">
            <v>0</v>
          </cell>
        </row>
      </sheetData>
      <sheetData sheetId="1944">
        <row r="3">
          <cell r="E3">
            <v>0</v>
          </cell>
        </row>
      </sheetData>
      <sheetData sheetId="1945">
        <row r="3">
          <cell r="E3">
            <v>0</v>
          </cell>
        </row>
      </sheetData>
      <sheetData sheetId="1946">
        <row r="3">
          <cell r="E3">
            <v>0</v>
          </cell>
        </row>
      </sheetData>
      <sheetData sheetId="1947">
        <row r="3">
          <cell r="E3">
            <v>0</v>
          </cell>
        </row>
      </sheetData>
      <sheetData sheetId="1948">
        <row r="3">
          <cell r="E3">
            <v>2002</v>
          </cell>
        </row>
      </sheetData>
      <sheetData sheetId="1949">
        <row r="3">
          <cell r="E3">
            <v>2002</v>
          </cell>
        </row>
      </sheetData>
      <sheetData sheetId="1950">
        <row r="3">
          <cell r="E3">
            <v>2002</v>
          </cell>
        </row>
      </sheetData>
      <sheetData sheetId="1951">
        <row r="3">
          <cell r="E3">
            <v>2002</v>
          </cell>
        </row>
      </sheetData>
      <sheetData sheetId="1952">
        <row r="3">
          <cell r="E3">
            <v>2002</v>
          </cell>
        </row>
      </sheetData>
      <sheetData sheetId="1953">
        <row r="3">
          <cell r="E3">
            <v>2002</v>
          </cell>
        </row>
      </sheetData>
      <sheetData sheetId="1954">
        <row r="3">
          <cell r="E3">
            <v>2002</v>
          </cell>
        </row>
      </sheetData>
      <sheetData sheetId="1955">
        <row r="3">
          <cell r="E3">
            <v>2002</v>
          </cell>
        </row>
      </sheetData>
      <sheetData sheetId="1956">
        <row r="3">
          <cell r="E3">
            <v>2002</v>
          </cell>
        </row>
      </sheetData>
      <sheetData sheetId="1957">
        <row r="3">
          <cell r="E3">
            <v>2002</v>
          </cell>
        </row>
      </sheetData>
      <sheetData sheetId="1958">
        <row r="3">
          <cell r="E3">
            <v>2002</v>
          </cell>
        </row>
      </sheetData>
      <sheetData sheetId="1959">
        <row r="3">
          <cell r="E3">
            <v>2002</v>
          </cell>
        </row>
      </sheetData>
      <sheetData sheetId="1960">
        <row r="3">
          <cell r="E3">
            <v>2002</v>
          </cell>
        </row>
      </sheetData>
      <sheetData sheetId="1961">
        <row r="3">
          <cell r="E3">
            <v>2002</v>
          </cell>
        </row>
      </sheetData>
      <sheetData sheetId="1962">
        <row r="3">
          <cell r="E3">
            <v>2002</v>
          </cell>
        </row>
      </sheetData>
      <sheetData sheetId="1963">
        <row r="3">
          <cell r="E3">
            <v>2002</v>
          </cell>
        </row>
      </sheetData>
      <sheetData sheetId="1964">
        <row r="3">
          <cell r="E3">
            <v>2002</v>
          </cell>
        </row>
      </sheetData>
      <sheetData sheetId="1965">
        <row r="3">
          <cell r="E3">
            <v>2002</v>
          </cell>
        </row>
      </sheetData>
      <sheetData sheetId="1966">
        <row r="6">
          <cell r="U6">
            <v>-26.700830980354233</v>
          </cell>
        </row>
      </sheetData>
      <sheetData sheetId="1967">
        <row r="6">
          <cell r="U6">
            <v>-26.700830980354233</v>
          </cell>
        </row>
      </sheetData>
      <sheetData sheetId="1968">
        <row r="6">
          <cell r="U6">
            <v>-26.700830980354233</v>
          </cell>
        </row>
      </sheetData>
      <sheetData sheetId="1969">
        <row r="6">
          <cell r="U6">
            <v>-26.700830980354233</v>
          </cell>
        </row>
      </sheetData>
      <sheetData sheetId="1970">
        <row r="6">
          <cell r="U6">
            <v>-26.700830980354233</v>
          </cell>
        </row>
      </sheetData>
      <sheetData sheetId="1971">
        <row r="6">
          <cell r="U6">
            <v>-26.700830980354233</v>
          </cell>
        </row>
      </sheetData>
      <sheetData sheetId="1972">
        <row r="6">
          <cell r="U6">
            <v>-26.700830980354233</v>
          </cell>
        </row>
      </sheetData>
      <sheetData sheetId="1973">
        <row r="6">
          <cell r="U6">
            <v>-26.700830980354233</v>
          </cell>
        </row>
      </sheetData>
      <sheetData sheetId="1974">
        <row r="3">
          <cell r="E3">
            <v>2002</v>
          </cell>
        </row>
      </sheetData>
      <sheetData sheetId="1975">
        <row r="3">
          <cell r="E3">
            <v>2002</v>
          </cell>
        </row>
      </sheetData>
      <sheetData sheetId="1976">
        <row r="3">
          <cell r="E3">
            <v>2002</v>
          </cell>
        </row>
      </sheetData>
      <sheetData sheetId="1977">
        <row r="3">
          <cell r="E3">
            <v>2002</v>
          </cell>
        </row>
      </sheetData>
      <sheetData sheetId="1978">
        <row r="3">
          <cell r="E3">
            <v>2002</v>
          </cell>
        </row>
      </sheetData>
      <sheetData sheetId="1979">
        <row r="3">
          <cell r="E3">
            <v>2002</v>
          </cell>
        </row>
      </sheetData>
      <sheetData sheetId="1980">
        <row r="3">
          <cell r="E3">
            <v>2002</v>
          </cell>
        </row>
      </sheetData>
      <sheetData sheetId="1981">
        <row r="3">
          <cell r="E3">
            <v>2002</v>
          </cell>
        </row>
      </sheetData>
      <sheetData sheetId="1982">
        <row r="3">
          <cell r="E3">
            <v>2002</v>
          </cell>
        </row>
      </sheetData>
      <sheetData sheetId="1983">
        <row r="3">
          <cell r="E3">
            <v>2002</v>
          </cell>
        </row>
      </sheetData>
      <sheetData sheetId="1984">
        <row r="3">
          <cell r="E3">
            <v>2002</v>
          </cell>
        </row>
      </sheetData>
      <sheetData sheetId="1985">
        <row r="3">
          <cell r="E3">
            <v>2002</v>
          </cell>
        </row>
      </sheetData>
      <sheetData sheetId="1986">
        <row r="3">
          <cell r="E3">
            <v>2002</v>
          </cell>
        </row>
      </sheetData>
      <sheetData sheetId="1987">
        <row r="3">
          <cell r="E3">
            <v>0</v>
          </cell>
        </row>
      </sheetData>
      <sheetData sheetId="1988">
        <row r="3">
          <cell r="E3">
            <v>2002</v>
          </cell>
        </row>
      </sheetData>
      <sheetData sheetId="1989">
        <row r="3">
          <cell r="E3">
            <v>2002</v>
          </cell>
        </row>
      </sheetData>
      <sheetData sheetId="1990">
        <row r="3">
          <cell r="E3">
            <v>0</v>
          </cell>
        </row>
      </sheetData>
      <sheetData sheetId="1991">
        <row r="3">
          <cell r="E3">
            <v>0</v>
          </cell>
        </row>
      </sheetData>
      <sheetData sheetId="1992">
        <row r="3">
          <cell r="E3">
            <v>0</v>
          </cell>
        </row>
      </sheetData>
      <sheetData sheetId="1993">
        <row r="3">
          <cell r="E3">
            <v>0</v>
          </cell>
        </row>
      </sheetData>
      <sheetData sheetId="1994">
        <row r="3">
          <cell r="E3">
            <v>0</v>
          </cell>
        </row>
      </sheetData>
      <sheetData sheetId="1995">
        <row r="3">
          <cell r="E3">
            <v>0</v>
          </cell>
        </row>
      </sheetData>
      <sheetData sheetId="1996">
        <row r="3">
          <cell r="E3">
            <v>0</v>
          </cell>
        </row>
      </sheetData>
      <sheetData sheetId="1997">
        <row r="3">
          <cell r="E3">
            <v>0</v>
          </cell>
        </row>
      </sheetData>
      <sheetData sheetId="1998">
        <row r="3">
          <cell r="E3">
            <v>0</v>
          </cell>
        </row>
      </sheetData>
      <sheetData sheetId="1999">
        <row r="3">
          <cell r="E3">
            <v>0</v>
          </cell>
        </row>
      </sheetData>
      <sheetData sheetId="2000">
        <row r="3">
          <cell r="E3">
            <v>0</v>
          </cell>
        </row>
      </sheetData>
      <sheetData sheetId="2001">
        <row r="3">
          <cell r="E3">
            <v>0</v>
          </cell>
        </row>
      </sheetData>
      <sheetData sheetId="2002">
        <row r="3">
          <cell r="E3">
            <v>0</v>
          </cell>
        </row>
      </sheetData>
      <sheetData sheetId="2003">
        <row r="3">
          <cell r="E3">
            <v>0</v>
          </cell>
        </row>
      </sheetData>
      <sheetData sheetId="2004">
        <row r="3">
          <cell r="E3">
            <v>0</v>
          </cell>
        </row>
      </sheetData>
      <sheetData sheetId="2005">
        <row r="3">
          <cell r="E3">
            <v>0</v>
          </cell>
        </row>
      </sheetData>
      <sheetData sheetId="2006">
        <row r="3">
          <cell r="E3">
            <v>0</v>
          </cell>
        </row>
      </sheetData>
      <sheetData sheetId="2007">
        <row r="3">
          <cell r="E3">
            <v>0</v>
          </cell>
        </row>
      </sheetData>
      <sheetData sheetId="2008">
        <row r="3">
          <cell r="E3">
            <v>0</v>
          </cell>
        </row>
      </sheetData>
      <sheetData sheetId="2009">
        <row r="3">
          <cell r="E3">
            <v>0</v>
          </cell>
        </row>
      </sheetData>
      <sheetData sheetId="2010">
        <row r="3">
          <cell r="E3">
            <v>0</v>
          </cell>
        </row>
      </sheetData>
      <sheetData sheetId="2011">
        <row r="3">
          <cell r="E3">
            <v>0</v>
          </cell>
        </row>
      </sheetData>
      <sheetData sheetId="2012">
        <row r="3">
          <cell r="E3">
            <v>0</v>
          </cell>
        </row>
      </sheetData>
      <sheetData sheetId="2013">
        <row r="3">
          <cell r="E3">
            <v>0</v>
          </cell>
        </row>
      </sheetData>
      <sheetData sheetId="2014">
        <row r="3">
          <cell r="E3">
            <v>0</v>
          </cell>
        </row>
      </sheetData>
      <sheetData sheetId="2015">
        <row r="3">
          <cell r="E3">
            <v>0</v>
          </cell>
        </row>
      </sheetData>
      <sheetData sheetId="2016">
        <row r="3">
          <cell r="E3">
            <v>0</v>
          </cell>
        </row>
      </sheetData>
      <sheetData sheetId="2017">
        <row r="3">
          <cell r="E3">
            <v>0</v>
          </cell>
        </row>
      </sheetData>
      <sheetData sheetId="2018">
        <row r="3">
          <cell r="E3">
            <v>0</v>
          </cell>
        </row>
      </sheetData>
      <sheetData sheetId="2019">
        <row r="3">
          <cell r="E3">
            <v>0</v>
          </cell>
        </row>
      </sheetData>
      <sheetData sheetId="2020">
        <row r="3">
          <cell r="E3">
            <v>0</v>
          </cell>
        </row>
      </sheetData>
      <sheetData sheetId="2021">
        <row r="3">
          <cell r="E3">
            <v>0</v>
          </cell>
        </row>
      </sheetData>
      <sheetData sheetId="2022">
        <row r="3">
          <cell r="E3">
            <v>0</v>
          </cell>
        </row>
      </sheetData>
      <sheetData sheetId="2023">
        <row r="3">
          <cell r="E3">
            <v>0</v>
          </cell>
        </row>
      </sheetData>
      <sheetData sheetId="2024">
        <row r="3">
          <cell r="E3">
            <v>0</v>
          </cell>
        </row>
      </sheetData>
      <sheetData sheetId="2025">
        <row r="3">
          <cell r="E3">
            <v>0</v>
          </cell>
        </row>
      </sheetData>
      <sheetData sheetId="2026">
        <row r="3">
          <cell r="E3">
            <v>0</v>
          </cell>
        </row>
      </sheetData>
      <sheetData sheetId="2027">
        <row r="3">
          <cell r="E3">
            <v>0</v>
          </cell>
        </row>
      </sheetData>
      <sheetData sheetId="2028">
        <row r="3">
          <cell r="E3">
            <v>0</v>
          </cell>
        </row>
      </sheetData>
      <sheetData sheetId="2029">
        <row r="3">
          <cell r="E3">
            <v>0</v>
          </cell>
        </row>
      </sheetData>
      <sheetData sheetId="2030">
        <row r="3">
          <cell r="E3">
            <v>0</v>
          </cell>
        </row>
      </sheetData>
      <sheetData sheetId="2031">
        <row r="3">
          <cell r="E3">
            <v>0</v>
          </cell>
        </row>
      </sheetData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>
        <row r="6">
          <cell r="U6">
            <v>-26.700830980354233</v>
          </cell>
        </row>
      </sheetData>
      <sheetData sheetId="2048">
        <row r="3">
          <cell r="E3">
            <v>0</v>
          </cell>
        </row>
      </sheetData>
      <sheetData sheetId="2049">
        <row r="3">
          <cell r="E3">
            <v>0</v>
          </cell>
        </row>
      </sheetData>
      <sheetData sheetId="2050">
        <row r="3">
          <cell r="E3">
            <v>0</v>
          </cell>
        </row>
      </sheetData>
      <sheetData sheetId="2051">
        <row r="3">
          <cell r="E3">
            <v>0</v>
          </cell>
        </row>
      </sheetData>
      <sheetData sheetId="2052">
        <row r="3">
          <cell r="E3">
            <v>0</v>
          </cell>
        </row>
      </sheetData>
      <sheetData sheetId="2053">
        <row r="3">
          <cell r="E3">
            <v>0</v>
          </cell>
        </row>
      </sheetData>
      <sheetData sheetId="2054">
        <row r="3">
          <cell r="E3">
            <v>0</v>
          </cell>
        </row>
      </sheetData>
      <sheetData sheetId="2055">
        <row r="3">
          <cell r="E3">
            <v>0</v>
          </cell>
        </row>
      </sheetData>
      <sheetData sheetId="2056">
        <row r="3">
          <cell r="E3">
            <v>0</v>
          </cell>
        </row>
      </sheetData>
      <sheetData sheetId="2057">
        <row r="3">
          <cell r="E3">
            <v>0</v>
          </cell>
        </row>
      </sheetData>
      <sheetData sheetId="2058">
        <row r="3">
          <cell r="E3">
            <v>0</v>
          </cell>
        </row>
      </sheetData>
      <sheetData sheetId="2059">
        <row r="3">
          <cell r="E3">
            <v>0</v>
          </cell>
        </row>
      </sheetData>
      <sheetData sheetId="2060">
        <row r="3">
          <cell r="E3">
            <v>0</v>
          </cell>
        </row>
      </sheetData>
      <sheetData sheetId="2061">
        <row r="3">
          <cell r="E3">
            <v>0</v>
          </cell>
        </row>
      </sheetData>
      <sheetData sheetId="2062">
        <row r="3">
          <cell r="E3">
            <v>0</v>
          </cell>
        </row>
      </sheetData>
      <sheetData sheetId="2063">
        <row r="3">
          <cell r="E3">
            <v>0</v>
          </cell>
        </row>
      </sheetData>
      <sheetData sheetId="2064">
        <row r="3">
          <cell r="E3">
            <v>0</v>
          </cell>
        </row>
      </sheetData>
      <sheetData sheetId="2065">
        <row r="6">
          <cell r="U6">
            <v>-26.700830980354233</v>
          </cell>
        </row>
      </sheetData>
      <sheetData sheetId="2066">
        <row r="6">
          <cell r="U6">
            <v>-26.700830980354233</v>
          </cell>
        </row>
      </sheetData>
      <sheetData sheetId="2067">
        <row r="6">
          <cell r="U6">
            <v>-26.700830980354233</v>
          </cell>
        </row>
      </sheetData>
      <sheetData sheetId="2068">
        <row r="6">
          <cell r="U6">
            <v>-26.700830980354233</v>
          </cell>
        </row>
      </sheetData>
      <sheetData sheetId="2069">
        <row r="6">
          <cell r="U6">
            <v>-26.700830980354233</v>
          </cell>
        </row>
      </sheetData>
      <sheetData sheetId="2070">
        <row r="6">
          <cell r="U6">
            <v>-26.700830980354233</v>
          </cell>
        </row>
      </sheetData>
      <sheetData sheetId="2071">
        <row r="6">
          <cell r="U6">
            <v>-26.700830980354233</v>
          </cell>
        </row>
      </sheetData>
      <sheetData sheetId="2072">
        <row r="6">
          <cell r="U6">
            <v>-26.700830980354233</v>
          </cell>
        </row>
      </sheetData>
      <sheetData sheetId="2073">
        <row r="6">
          <cell r="U6">
            <v>-26.700830980354233</v>
          </cell>
        </row>
      </sheetData>
      <sheetData sheetId="2074">
        <row r="6">
          <cell r="U6">
            <v>-26.700830980354233</v>
          </cell>
        </row>
      </sheetData>
      <sheetData sheetId="2075">
        <row r="6">
          <cell r="U6">
            <v>-26.700830980354233</v>
          </cell>
        </row>
      </sheetData>
      <sheetData sheetId="2076"/>
      <sheetData sheetId="2077">
        <row r="6">
          <cell r="U6">
            <v>-26.700830980354233</v>
          </cell>
        </row>
      </sheetData>
      <sheetData sheetId="2078">
        <row r="6">
          <cell r="U6">
            <v>-26.700830980354233</v>
          </cell>
        </row>
      </sheetData>
      <sheetData sheetId="2079">
        <row r="6">
          <cell r="U6">
            <v>-26.700830980354233</v>
          </cell>
        </row>
      </sheetData>
      <sheetData sheetId="2080">
        <row r="3">
          <cell r="E3">
            <v>2002</v>
          </cell>
        </row>
      </sheetData>
      <sheetData sheetId="2081">
        <row r="3">
          <cell r="E3">
            <v>2002</v>
          </cell>
        </row>
      </sheetData>
      <sheetData sheetId="2082">
        <row r="3">
          <cell r="E3">
            <v>2002</v>
          </cell>
        </row>
      </sheetData>
      <sheetData sheetId="2083">
        <row r="3">
          <cell r="E3">
            <v>2002</v>
          </cell>
        </row>
      </sheetData>
      <sheetData sheetId="2084">
        <row r="3">
          <cell r="E3">
            <v>2002</v>
          </cell>
        </row>
      </sheetData>
      <sheetData sheetId="2085">
        <row r="3">
          <cell r="E3">
            <v>2002</v>
          </cell>
        </row>
      </sheetData>
      <sheetData sheetId="2086">
        <row r="3">
          <cell r="E3">
            <v>2002</v>
          </cell>
        </row>
      </sheetData>
      <sheetData sheetId="2087">
        <row r="3">
          <cell r="E3">
            <v>2002</v>
          </cell>
        </row>
      </sheetData>
      <sheetData sheetId="2088">
        <row r="3">
          <cell r="E3">
            <v>2002</v>
          </cell>
        </row>
      </sheetData>
      <sheetData sheetId="2089">
        <row r="3">
          <cell r="E3">
            <v>2002</v>
          </cell>
        </row>
      </sheetData>
      <sheetData sheetId="2090">
        <row r="3">
          <cell r="E3">
            <v>2002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>
        <row r="3">
          <cell r="E3">
            <v>2002</v>
          </cell>
        </row>
      </sheetData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KUNJUNGAN"/>
      <sheetName val="Grafik"/>
      <sheetName val="D.slect"/>
      <sheetName val="Data Prep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em "/>
      <sheetName val="tt"/>
      <sheetName val="as"/>
      <sheetName val="populasi"/>
      <sheetName val="tunas"/>
      <sheetName val="piringan"/>
      <sheetName val="gawangan"/>
      <sheetName val="Sheet1"/>
      <sheetName val="lalang"/>
      <sheetName val="jem"/>
      <sheetName val="buat_jem"/>
      <sheetName val="hal_8"/>
      <sheetName val="CH"/>
      <sheetName val="LANSIR ST1 KE 2 BIBITAN 1"/>
      <sheetName val="LANSIR ST3 KE TTK TNM BBTN1"/>
      <sheetName val="LANSIR ST1 KE 2 BIBITAN2"/>
      <sheetName val="LANSIR ST2 KE 3 BIBITAN2"/>
      <sheetName val="LANSIR ST3 KE TTK TANAM BBITAN2"/>
      <sheetName val="LANSIR BIBIT SULAM BIBITAN2"/>
      <sheetName val="LANSIR BIBIT SISIP BIBITAN2"/>
      <sheetName val="LANSIR BIBITAN 2 KE ST1"/>
      <sheetName val="LANSIR BIBITAN 1"/>
      <sheetName val="kap rinci"/>
      <sheetName val="12"/>
      <sheetName val="Master"/>
      <sheetName val="Daftar Blok"/>
      <sheetName val="Refer"/>
      <sheetName val="jem_"/>
      <sheetName val="Daftar_Blok"/>
      <sheetName val="Sum"/>
      <sheetName val="komputer"/>
      <sheetName val="rkp-sup"/>
      <sheetName val="unit"/>
      <sheetName val="Actvty"/>
      <sheetName val="Sheet10"/>
      <sheetName val="Master Bahan SAP"/>
      <sheetName val="HJD"/>
      <sheetName val="DCF Inputs"/>
      <sheetName val="Financials"/>
      <sheetName val="Calcs for Sensitivy"/>
      <sheetName val="Performance"/>
      <sheetName val="ProjGraph"/>
      <sheetName val="Summary"/>
      <sheetName val="List"/>
      <sheetName val="C"/>
      <sheetName val="Prod &amp; Sales"/>
      <sheetName val="Perc. Pemupukan"/>
      <sheetName val="0701 Lembur"/>
      <sheetName val="0702 Lembur"/>
      <sheetName val="0703 Lembur - Palsu"/>
      <sheetName val="Peta Lay Out Bgn"/>
      <sheetName val="Peta Th Tnm"/>
      <sheetName val="Activity"/>
      <sheetName val="KB"/>
      <sheetName val="mList"/>
      <sheetName val="Permanent info"/>
      <sheetName val="Trading Statement"/>
      <sheetName val="BPB"/>
      <sheetName val="data-hujan"/>
      <sheetName val="Links"/>
      <sheetName val="PPh 21 Parameter"/>
      <sheetName val="SOURCE"/>
      <sheetName val="MGR-12"/>
      <sheetName val="data&amp;dummy"/>
      <sheetName val="PER PART (IX.2)"/>
      <sheetName val="Tabel-kalibrasi"/>
      <sheetName val="Budget"/>
      <sheetName val="MUTU BUAH"/>
      <sheetName val="jem_1"/>
      <sheetName val="Daftar_Blok1"/>
      <sheetName val="Master_Bahan_SAP"/>
      <sheetName val="DCF_Inputs"/>
      <sheetName val="Calcs_for_Sensitivy"/>
      <sheetName val="Prod_&amp;_Sales"/>
      <sheetName val="Perc__Pemupukan"/>
      <sheetName val="Peta_Lay_Out_Bgn"/>
      <sheetName val="Peta_Th_Tnm"/>
      <sheetName val="0701_Lembur"/>
      <sheetName val="0702_Lembur"/>
      <sheetName val="0703_Lembur_-_Palsu"/>
      <sheetName val="MB (2)"/>
      <sheetName val="MB"/>
      <sheetName val="BJ &amp; Koreksi"/>
      <sheetName val="Input Sheet"/>
      <sheetName val="PREMI"/>
      <sheetName val="rkp-bgt"/>
      <sheetName val="Kend"/>
      <sheetName val="HAL10"/>
      <sheetName val="Akomodasi"/>
      <sheetName val="0801 Lembur"/>
      <sheetName val="0802 Lembur"/>
      <sheetName val="Data SRL"/>
      <sheetName val="Data Prod_Gr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2">
          <cell r="Z12">
            <v>149</v>
          </cell>
          <cell r="AA12">
            <v>111</v>
          </cell>
          <cell r="AB12">
            <v>294</v>
          </cell>
          <cell r="AC12">
            <v>318</v>
          </cell>
          <cell r="AD12">
            <v>140</v>
          </cell>
          <cell r="AF12" t="str">
            <v xml:space="preserve"> Jan</v>
          </cell>
        </row>
        <row r="13">
          <cell r="Z13">
            <v>46</v>
          </cell>
          <cell r="AA13">
            <v>197</v>
          </cell>
          <cell r="AB13">
            <v>237</v>
          </cell>
          <cell r="AC13">
            <v>173</v>
          </cell>
          <cell r="AD13">
            <v>119</v>
          </cell>
          <cell r="AF13" t="str">
            <v xml:space="preserve"> Feb</v>
          </cell>
        </row>
        <row r="14">
          <cell r="Z14">
            <v>239</v>
          </cell>
          <cell r="AA14">
            <v>127</v>
          </cell>
          <cell r="AB14">
            <v>121</v>
          </cell>
          <cell r="AC14">
            <v>191</v>
          </cell>
          <cell r="AD14">
            <v>280</v>
          </cell>
          <cell r="AF14" t="str">
            <v xml:space="preserve"> Mar</v>
          </cell>
        </row>
        <row r="15">
          <cell r="Z15">
            <v>156</v>
          </cell>
          <cell r="AA15">
            <v>127</v>
          </cell>
          <cell r="AB15">
            <v>138</v>
          </cell>
          <cell r="AC15">
            <v>138</v>
          </cell>
          <cell r="AD15">
            <v>104</v>
          </cell>
          <cell r="AF15" t="str">
            <v xml:space="preserve"> Apr</v>
          </cell>
        </row>
        <row r="16">
          <cell r="Z16">
            <v>80</v>
          </cell>
          <cell r="AA16">
            <v>111</v>
          </cell>
          <cell r="AB16">
            <v>458</v>
          </cell>
          <cell r="AC16">
            <v>128</v>
          </cell>
          <cell r="AD16">
            <v>83</v>
          </cell>
          <cell r="AF16" t="str">
            <v xml:space="preserve"> Mei</v>
          </cell>
        </row>
        <row r="17">
          <cell r="Z17">
            <v>32</v>
          </cell>
          <cell r="AA17">
            <v>217</v>
          </cell>
          <cell r="AB17">
            <v>104</v>
          </cell>
          <cell r="AC17">
            <v>465</v>
          </cell>
          <cell r="AD17">
            <v>14</v>
          </cell>
          <cell r="AF17" t="str">
            <v xml:space="preserve"> Jun</v>
          </cell>
        </row>
        <row r="18">
          <cell r="Z18">
            <v>111</v>
          </cell>
          <cell r="AA18">
            <v>208</v>
          </cell>
          <cell r="AB18">
            <v>120</v>
          </cell>
          <cell r="AC18">
            <v>295</v>
          </cell>
          <cell r="AD18">
            <v>55</v>
          </cell>
          <cell r="AF18" t="str">
            <v xml:space="preserve"> Jul</v>
          </cell>
        </row>
        <row r="19">
          <cell r="Z19">
            <v>0</v>
          </cell>
          <cell r="AA19">
            <v>512</v>
          </cell>
          <cell r="AB19">
            <v>101</v>
          </cell>
          <cell r="AC19">
            <v>122</v>
          </cell>
          <cell r="AD19">
            <v>0</v>
          </cell>
          <cell r="AF19" t="str">
            <v xml:space="preserve"> Aug</v>
          </cell>
        </row>
        <row r="20">
          <cell r="Z20">
            <v>0</v>
          </cell>
          <cell r="AA20">
            <v>265</v>
          </cell>
          <cell r="AB20">
            <v>246</v>
          </cell>
          <cell r="AC20">
            <v>185</v>
          </cell>
          <cell r="AD20">
            <v>188</v>
          </cell>
          <cell r="AF20" t="str">
            <v xml:space="preserve"> Sep</v>
          </cell>
        </row>
        <row r="21">
          <cell r="Z21">
            <v>0</v>
          </cell>
          <cell r="AA21">
            <v>30</v>
          </cell>
          <cell r="AB21">
            <v>232</v>
          </cell>
          <cell r="AC21">
            <v>99</v>
          </cell>
          <cell r="AD21">
            <v>130</v>
          </cell>
          <cell r="AF21" t="str">
            <v xml:space="preserve"> Okt</v>
          </cell>
        </row>
        <row r="22">
          <cell r="Z22">
            <v>146</v>
          </cell>
          <cell r="AA22">
            <v>240</v>
          </cell>
          <cell r="AB22">
            <v>192</v>
          </cell>
          <cell r="AC22">
            <v>235</v>
          </cell>
          <cell r="AD22">
            <v>118</v>
          </cell>
          <cell r="AF22" t="str">
            <v xml:space="preserve"> Nov</v>
          </cell>
        </row>
        <row r="23">
          <cell r="Z23">
            <v>155</v>
          </cell>
          <cell r="AA23">
            <v>119</v>
          </cell>
          <cell r="AB23">
            <v>159</v>
          </cell>
          <cell r="AC23">
            <v>127</v>
          </cell>
          <cell r="AF23" t="str">
            <v xml:space="preserve"> Des</v>
          </cell>
        </row>
      </sheetData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SKUH"/>
      <sheetName val="Rata2 Upah SKUB"/>
      <sheetName val="Upah SKUB"/>
      <sheetName val="XXXXXXXXXXXX"/>
      <sheetName val="CALE"/>
      <sheetName val="GOL"/>
      <sheetName val="UPAH STAF"/>
      <sheetName val="1-SKUH"/>
      <sheetName val="1-SKUB"/>
      <sheetName val="1-KB"/>
      <sheetName val="1-TRK"/>
      <sheetName val="1-AFD"/>
      <sheetName val="2-SKUH"/>
      <sheetName val="2-SKUB"/>
      <sheetName val="2-KB"/>
      <sheetName val="2-TRK"/>
      <sheetName val="2-AFD"/>
      <sheetName val="RUN-RTE1"/>
      <sheetName val="EX-1"/>
      <sheetName val="ALK1"/>
      <sheetName val="R-RTE2"/>
      <sheetName val="EX-2"/>
      <sheetName val="ALK2"/>
      <sheetName val="MDR1"/>
      <sheetName val="MDR2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Pk prod"/>
      <sheetName val="INPUT-12"/>
      <sheetName val="Curah hujan"/>
      <sheetName val="MGR-12"/>
      <sheetName val="P-12"/>
      <sheetName val="data-hujan"/>
      <sheetName val="Upah_SKUH"/>
      <sheetName val="Rata2_Upah_SKUB"/>
      <sheetName val="Upah_SKUB"/>
      <sheetName val="UPAH_STAF"/>
      <sheetName val="Curah_hujan"/>
      <sheetName val="Upah_SKUH1"/>
      <sheetName val="Rata2_Upah_SKUB1"/>
      <sheetName val="Upah_SKUB1"/>
      <sheetName val="UPAH_STAF1"/>
      <sheetName val="Curah_hujan1"/>
      <sheetName val="Sheet3"/>
      <sheetName val="Sheet2"/>
      <sheetName val="Mgr_02"/>
      <sheetName val="BPE"/>
      <sheetName val="SPE"/>
      <sheetName val="LPE"/>
      <sheetName val="RJE"/>
      <sheetName val="KRE"/>
      <sheetName val="MJE"/>
      <sheetName val="SJE"/>
      <sheetName val="Upah_SKUH2"/>
      <sheetName val="Rata2_Upah_SKUB2"/>
      <sheetName val="Upah_SKUB2"/>
      <sheetName val="UPAH_STAF2"/>
      <sheetName val="Curah_hujan2"/>
      <sheetName val="BJR-JJ"/>
      <sheetName val="Sources"/>
      <sheetName val="12"/>
      <sheetName val="Permanent info"/>
      <sheetName val="Marshal"/>
      <sheetName val="GeneralInfo"/>
      <sheetName val="DAT_1"/>
      <sheetName val="Permanent_info"/>
      <sheetName val="Dumtk"/>
      <sheetName val="Upah_SKUH3"/>
      <sheetName val="Rata2_Upah_SKUB3"/>
      <sheetName val="Upah_SKUB3"/>
      <sheetName val="UPAH_STAF3"/>
      <sheetName val="Curah_hujan3"/>
      <sheetName val="Permanent_info1"/>
      <sheetName val="Upah_SKUH4"/>
      <sheetName val="Rata2_Upah_SKUB4"/>
      <sheetName val="Upah_SKUB4"/>
      <sheetName val="UPAH_STAF4"/>
      <sheetName val="Curah_hujan4"/>
      <sheetName val="Permanent_info2"/>
      <sheetName val="Upah_SKUH6"/>
      <sheetName val="Rata2_Upah_SKUB6"/>
      <sheetName val="Upah_SKUB6"/>
      <sheetName val="UPAH_STAF6"/>
      <sheetName val="Curah_hujan6"/>
      <sheetName val="Permanent_info4"/>
      <sheetName val="Upah_SKUH5"/>
      <sheetName val="Rata2_Upah_SKUB5"/>
      <sheetName val="Upah_SKUB5"/>
      <sheetName val="UPAH_STAF5"/>
      <sheetName val="Curah_hujan5"/>
      <sheetName val="Permanent_info3"/>
      <sheetName val="Upah_SKUH7"/>
      <sheetName val="Rata2_Upah_SKUB7"/>
      <sheetName val="Upah_SKUB7"/>
      <sheetName val="UPAH_STAF7"/>
      <sheetName val="Curah_hujan7"/>
      <sheetName val="Permanent_info5"/>
      <sheetName val="Upah_SKUH9"/>
      <sheetName val="Rata2_Upah_SKUB9"/>
      <sheetName val="Upah_SKUB9"/>
      <sheetName val="UPAH_STAF9"/>
      <sheetName val="Curah_hujan9"/>
      <sheetName val="Permanent_info7"/>
      <sheetName val="Upah_SKUH8"/>
      <sheetName val="Rata2_Upah_SKUB8"/>
      <sheetName val="Upah_SKUB8"/>
      <sheetName val="UPAH_STAF8"/>
      <sheetName val="Curah_hujan8"/>
      <sheetName val="Permanent_info6"/>
      <sheetName val="Upah_SKUH10"/>
      <sheetName val="Rata2_Upah_SKUB10"/>
      <sheetName val="Upah_SKUB10"/>
      <sheetName val="UPAH_STAF10"/>
      <sheetName val="Curah_hujan10"/>
      <sheetName val="Permanent_info8"/>
      <sheetName val="Upah_SKUH12"/>
      <sheetName val="Rata2_Upah_SKUB12"/>
      <sheetName val="Upah_SKUB12"/>
      <sheetName val="UPAH_STAF12"/>
      <sheetName val="Curah_hujan12"/>
      <sheetName val="Permanent_info10"/>
      <sheetName val="Upah_SKUH11"/>
      <sheetName val="Rata2_Upah_SKUB11"/>
      <sheetName val="Upah_SKUB11"/>
      <sheetName val="UPAH_STAF11"/>
      <sheetName val="Curah_hujan11"/>
      <sheetName val="Permanent_info9"/>
      <sheetName val="III.9"/>
      <sheetName val="XXXXXXXXX"/>
      <sheetName val="Hal-12 "/>
      <sheetName val="Hal-13"/>
      <sheetName val="Hal-14 "/>
      <sheetName val="Hal 14a "/>
      <sheetName val="14 b "/>
      <sheetName val="BUdget Kg TBS"/>
      <sheetName val="BUdget Premi"/>
      <sheetName val="Hal-15"/>
      <sheetName val="Hal-16"/>
      <sheetName val="Hal-16a"/>
      <sheetName val="Hal-17 "/>
      <sheetName val="Hal-17a "/>
      <sheetName val="Hal-17b "/>
      <sheetName val="Hal-17c "/>
      <sheetName val="ppk TM"/>
      <sheetName val="org TM"/>
      <sheetName val="ppk TBM "/>
      <sheetName val="org TBM "/>
      <sheetName val="RkpTBM I "/>
      <sheetName val="RkpTBM  (2)"/>
      <sheetName val="(TBM)"/>
      <sheetName val="Pemel(actual)"/>
      <sheetName val="Pemel (Kondisi)"/>
      <sheetName val="Hal-18"/>
      <sheetName val="Upah_SKUH13"/>
      <sheetName val="Rata2_Upah_SKUB13"/>
      <sheetName val="Upah_SKUB13"/>
      <sheetName val="UPAH_STAF13"/>
      <sheetName val="Curah_hujan13"/>
      <sheetName val="Permanent_info11"/>
      <sheetName val="Hal-12_"/>
      <sheetName val="Hal-14_"/>
      <sheetName val="Hal_14a_"/>
      <sheetName val="14_b_"/>
      <sheetName val="BUdget_Kg_TBS"/>
      <sheetName val="BUdget_Premi"/>
      <sheetName val="Hal-17_"/>
      <sheetName val="Hal-17a_"/>
      <sheetName val="Hal-17b_"/>
      <sheetName val="Hal-17c_"/>
      <sheetName val="ppk_TM"/>
      <sheetName val="org_TM"/>
      <sheetName val="ppk_TBM_"/>
      <sheetName val="org_TBM_"/>
      <sheetName val="RkpTBM_I_"/>
      <sheetName val="RkpTBM__(2)"/>
      <sheetName val="Pemel_(Kondisi)"/>
      <sheetName val="III_9"/>
      <sheetName val="Populasi"/>
      <sheetName val="2007"/>
      <sheetName val=" 45KVA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  <sheetName val="data_hujan"/>
      <sheetName val="GRFK BJR_TT_02"/>
      <sheetName val="GRFK BJR_TT_00"/>
      <sheetName val="GRFK BJR_TT_01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XXXXXXXXXXXX"/>
      <sheetName val="Master"/>
      <sheetName val="Index"/>
      <sheetName val="BS-PL Indo 2006"/>
      <sheetName val="Kode Barang"/>
      <sheetName val="MUTU BUAH"/>
      <sheetName val="RPT"/>
      <sheetName val="MGR-12"/>
      <sheetName val="2002"/>
      <sheetName val="Upah SKUB"/>
      <sheetName val="36"/>
      <sheetName val="General"/>
      <sheetName val="Capex Sum"/>
      <sheetName val="AAL"/>
      <sheetName val="IIS"/>
      <sheetName val="AARJ"/>
      <sheetName val="BJR-JJ"/>
      <sheetName val="grafik-2000"/>
      <sheetName val="grafik-99"/>
      <sheetName val="grafik-98"/>
      <sheetName val="grafik-97"/>
      <sheetName val="NK Oct'11"/>
      <sheetName val="MUTU_BUAH"/>
      <sheetName val="NK_Oct'11"/>
      <sheetName val="Bahasa"/>
      <sheetName val="Pk prod"/>
      <sheetName val="MrTong"/>
      <sheetName val="1"/>
      <sheetName val="Hal-12 "/>
      <sheetName val="MUTU_BUAH1"/>
      <sheetName val="NK_Oct'111"/>
      <sheetName val="Pk_prod"/>
      <sheetName val="Hal-12_"/>
      <sheetName val="BA"/>
      <sheetName val="TBSv"/>
      <sheetName val="INDIRECT DETAIL"/>
      <sheetName val="DIRECT COS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Master Bahan SAP"/>
      <sheetName val="Nomenclature CF-Agro"/>
      <sheetName val="Budget"/>
      <sheetName val="97EST120-ok"/>
      <sheetName val="12"/>
      <sheetName val="PT"/>
      <sheetName val="Dkg-16"/>
      <sheetName val="CH"/>
      <sheetName val="keb-bbm"/>
      <sheetName val="Sheet1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Dumtk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97EST021"/>
      <sheetName val="Premi Iuran"/>
      <sheetName val="OPR-99"/>
      <sheetName val="JSiar"/>
      <sheetName val="Ex_Rate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INDIRECT_DETAIL"/>
      <sheetName val="DIRECT_COST"/>
      <sheetName val="KGP Thp I"/>
      <sheetName val="KGP Thp II"/>
      <sheetName val="Book1"/>
      <sheetName val="DETAIL"/>
      <sheetName val="#REF"/>
      <sheetName val="Akomodasi"/>
      <sheetName val="PBG_2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Asumsi"/>
      <sheetName val="CF Konsol"/>
      <sheetName val="Ulasan"/>
      <sheetName val=" Penjelasan RKB-PDO"/>
      <sheetName val="Rekap  Total"/>
      <sheetName val="SAK"/>
      <sheetName val="BPTL"/>
      <sheetName val="PABRIK (2)"/>
      <sheetName val="BAB-1"/>
      <sheetName val="REKAP EST PROD 13 edt"/>
      <sheetName val="aktual"/>
      <sheetName val="Daftar Harga Barang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REKAP_EST_PROD_13_edt"/>
      <sheetName val="Upah_SKUB"/>
      <sheetName val="Daftar_Harga_Barang"/>
      <sheetName val="87013611"/>
      <sheetName val="KURS"/>
      <sheetName val="Actvty"/>
      <sheetName val="Rekap"/>
      <sheetName val="INDRCT DTL"/>
      <sheetName val="F"/>
      <sheetName val="WIL 1"/>
      <sheetName val="AKTIVA"/>
      <sheetName val="MM.PAGE-2.X"/>
      <sheetName val="HAL10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Global"/>
      <sheetName val="ocean voyage"/>
      <sheetName val="PO"/>
      <sheetName val="FISIK RAB 2000"/>
      <sheetName val="Karung"/>
      <sheetName val="Data"/>
      <sheetName val="list"/>
      <sheetName val="CPO 16-9-TID "/>
      <sheetName val="Bantu"/>
      <sheetName val="Sheet2"/>
      <sheetName val="Sheet3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8.Upah rata2"/>
      <sheetName val="LEMBUR 2006"/>
      <sheetName val="Prod. Stats"/>
      <sheetName val="Capital"/>
      <sheetName val="mst_akun"/>
      <sheetName val="Rin1"/>
      <sheetName val="MGR_12"/>
      <sheetName val="Penjelasan SCK"/>
      <sheetName val="HET PBG3"/>
      <sheetName val="A"/>
      <sheetName val="Trip"/>
      <sheetName val="HARVEST02"/>
      <sheetName val="Sat. Pek."/>
      <sheetName val="RBSB"/>
      <sheetName val="List Rayon"/>
      <sheetName val="List Department"/>
      <sheetName val="Palm Prod"/>
      <sheetName val="MILL-EXP"/>
      <sheetName val="Data Kar"/>
      <sheetName val="Data Rekon"/>
      <sheetName val="renc. kerja LC"/>
      <sheetName val="SASARAN "/>
      <sheetName val="LOCAL GOVT TAX"/>
      <sheetName val="Sheet1 (3)"/>
      <sheetName val="1-AFD"/>
      <sheetName val="MANU"/>
      <sheetName val="BY TM 99 "/>
      <sheetName val="PL"/>
      <sheetName val=" 45KVA-1"/>
      <sheetName val="DATA LTW"/>
      <sheetName val="Sheet10"/>
      <sheetName val="Harga"/>
      <sheetName val="0508"/>
      <sheetName val="BELI"/>
      <sheetName val="N-ASII"/>
      <sheetName val="ANTMN"/>
      <sheetName val="BBCA"/>
      <sheetName val="BBRI-J"/>
      <sheetName val="BBRI-N"/>
      <sheetName val="BMRI"/>
      <sheetName val="N-CTRS"/>
      <sheetName val="IDSR"/>
      <sheetName val="INTP"/>
      <sheetName val="ISAT-N"/>
      <sheetName val="N-KLBF"/>
      <sheetName val="PTBA"/>
      <sheetName val="N-TLKM"/>
      <sheetName val="N-UNTR"/>
      <sheetName val="N-UNVR"/>
      <sheetName val="DATA_KARY"/>
      <sheetName val="TABEL"/>
      <sheetName val="TbGaji"/>
      <sheetName val="Local travel"/>
      <sheetName val="BHL"/>
      <sheetName val="grafi聫-98"/>
      <sheetName val="COA (3)"/>
      <sheetName val="AL08"/>
      <sheetName val="BB08"/>
      <sheetName val="PP08"/>
      <sheetName val="TG08"/>
      <sheetName val="LB08"/>
      <sheetName val="MP08"/>
      <sheetName val="NL08"/>
      <sheetName val="REKOP08"/>
      <sheetName val="SG08"/>
      <sheetName val="SL08"/>
      <sheetName val="SY08"/>
      <sheetName val="cogs"/>
      <sheetName val="Fomat  1"/>
      <sheetName val="04NPE025"/>
      <sheetName val="04NPE008F"/>
      <sheetName val="04NPEII"/>
      <sheetName val="Form"/>
      <sheetName val="WRKP TM"/>
      <sheetName val="Production S2"/>
      <sheetName val="Production S3"/>
      <sheetName val="97EST120_ok"/>
      <sheetName val="HK Effektif &amp; Rate Upah"/>
      <sheetName val="Harga 2011"/>
      <sheetName val="Kend"/>
      <sheetName val="TRAIL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Rinci-Biaya"/>
      <sheetName val="Rinci-Pendapatan"/>
      <sheetName val="LR"/>
      <sheetName val="BTL"/>
      <sheetName val="CHART SAMPLES RECEIVED"/>
      <sheetName val="TBM 3"/>
      <sheetName val="TBM 0"/>
      <sheetName val="BJ &amp; Koreksi"/>
      <sheetName val="III"/>
      <sheetName val="PAGE 1.X"/>
      <sheetName val="PREMI"/>
      <sheetName val="Rumus"/>
      <sheetName val="Div01"/>
      <sheetName val="Div02"/>
      <sheetName val="Div03"/>
      <sheetName val="New Position"/>
      <sheetName val="prod"/>
      <sheetName val="MUTU_BUAH2"/>
      <sheetName val="NK_Oct'112"/>
      <sheetName val="Pk_prod2"/>
      <sheetName val="Hal-12_1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Capex_Sum"/>
      <sheetName val="INDRCT_DTL"/>
      <sheetName val="WIL_1"/>
      <sheetName val="MM_PAGE-2_X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ocean_voyage"/>
      <sheetName val="FISIK_RAB_2000"/>
      <sheetName val="CPO_16-9-TID_"/>
      <sheetName val="Kualitas_TBS"/>
      <sheetName val="Kesegaran_TBS"/>
      <sheetName val="10__Summary_all"/>
      <sheetName val="8_Upah_rata2"/>
      <sheetName val="LEMBUR_2006"/>
      <sheetName val="Prod__Stats"/>
      <sheetName val="Penjelasan_SCK"/>
      <sheetName val="HET_PBG3"/>
      <sheetName val="NEW POSITION BD"/>
      <sheetName val="Jenis kendaraan"/>
      <sheetName val="JK"/>
      <sheetName val="UOM-primary"/>
      <sheetName val="Sheet6"/>
      <sheetName val="transport method"/>
      <sheetName val="1999"/>
      <sheetName val="KOMP"/>
      <sheetName val="Kode_Barang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Master_Bahan_SAP"/>
      <sheetName val="BS-PL_Indo_2006"/>
      <sheetName val="Nomenclature_CF-Agro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Sat__Pek_"/>
      <sheetName val="Local_travel"/>
      <sheetName val="Capex_Sum1"/>
      <sheetName val="MUTU_BUAH3"/>
      <sheetName val="Upah_SKUB2"/>
      <sheetName val="INDIRECT_DETAIL3"/>
      <sheetName val="DIRECT_COST3"/>
      <sheetName val="NK_Oct'113"/>
      <sheetName val="Pk_prod3"/>
      <sheetName val="Hal-12_2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REKAP_EST_PROD_13_edt2"/>
      <sheetName val="Daftar_Harga_Barang2"/>
      <sheetName val="INDRCT_DTL1"/>
      <sheetName val="WIL_11"/>
      <sheetName val="MM_PAGE-2_X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ocean_voyage1"/>
      <sheetName val="FISIK_RAB_20001"/>
      <sheetName val="CPO_16-9-TID_1"/>
      <sheetName val="Kualitas_TBS1"/>
      <sheetName val="Kesegaran_TBS1"/>
      <sheetName val="10__Summary_all1"/>
      <sheetName val="8_Upah_rata21"/>
      <sheetName val="LEMBUR_20061"/>
      <sheetName val="Prod__Stats1"/>
      <sheetName val="Penjelasan_SCK1"/>
      <sheetName val="HET_PBG31"/>
      <sheetName val="COA_(3)"/>
      <sheetName val="Fomat__1"/>
      <sheetName val="WRKP_TM"/>
      <sheetName val="Production_S2"/>
      <sheetName val="Production_S3"/>
      <sheetName val="HK_Effektif_&amp;_Rate_Upah"/>
      <sheetName val="Harga_2011"/>
      <sheetName val="Trading_Statement"/>
      <sheetName val="KODE_TRANS"/>
      <sheetName val="Kas_Bank"/>
      <sheetName val="CHART_SAMPLES_RECEIVED"/>
      <sheetName val="TBM_3"/>
      <sheetName val="TBM_0"/>
      <sheetName val="BJ_&amp;_Koreksi"/>
      <sheetName val="PAGE_1_X"/>
      <sheetName val="New_Position"/>
      <sheetName val="NEW_POSITION_BD"/>
      <sheetName val="Jenis_kendaraan"/>
      <sheetName val="transport_method"/>
      <sheetName val="Kode_Barang1"/>
      <sheetName val="MUTU_BUAH4"/>
      <sheetName val="Upah_SKUB3"/>
      <sheetName val="Capex_Sum2"/>
      <sheetName val="NK_Oct'114"/>
      <sheetName val="Pk_prod4"/>
      <sheetName val="Hal-12_3"/>
      <sheetName val="INDIRECT_DETAIL4"/>
      <sheetName val="DIRECT_COST4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BS-PL_Indo_20061"/>
      <sheetName val="Master_Bahan_SAP1"/>
      <sheetName val="Nomenclature_CF-Agro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REKAP_EST_PROD_13_edt3"/>
      <sheetName val="Daftar_Harga_Barang3"/>
      <sheetName val="INDRCT_DTL2"/>
      <sheetName val="WIL_12"/>
      <sheetName val="MM_PAGE-2_X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ocean_voyage2"/>
      <sheetName val="FISIK_RAB_2000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Penjelasan_SCK2"/>
      <sheetName val="HET_PBG32"/>
      <sheetName val="Sat__Pek_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Local_travel1"/>
      <sheetName val="COA_(3)1"/>
      <sheetName val="Fomat__11"/>
      <sheetName val="WRKP_TM1"/>
      <sheetName val="Production_S21"/>
      <sheetName val="Production_S31"/>
      <sheetName val="HK_Effektif_&amp;_Rate_Upah1"/>
      <sheetName val="Harga_20111"/>
      <sheetName val="Trading_Statement1"/>
      <sheetName val="KODE_TRANS1"/>
      <sheetName val="Kas_Bank1"/>
      <sheetName val="CHART_SAMPLES_RECEIVED1"/>
      <sheetName val="TBM_31"/>
      <sheetName val="TBM_01"/>
      <sheetName val="BJ_&amp;_Koreksi1"/>
      <sheetName val="PAGE_1_X1"/>
      <sheetName val="New_Position1"/>
      <sheetName val="NEW_POSITION_BD1"/>
      <sheetName val="Jenis_kendaraan1"/>
      <sheetName val="transport_method1"/>
      <sheetName val="Harga Spare Part"/>
      <sheetName val="KOMEN"/>
      <sheetName val="ALAT1"/>
      <sheetName val="ALAT"/>
      <sheetName val="ANA-HRG"/>
      <sheetName val="Kap Rinci"/>
      <sheetName val="Transp2"/>
      <sheetName val="Running_Acc"/>
      <sheetName val="MUTU_BUAH5"/>
      <sheetName val="NK_Oct'115"/>
      <sheetName val="Pk_prod5"/>
      <sheetName val="Hal-12_4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INDIRECT_DETAIL5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REKAP_EST_PROD_13_edt4"/>
      <sheetName val="Upah_SKUB4"/>
      <sheetName val="Daftar_Harga_Barang4"/>
      <sheetName val="Capex_Sum3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Penjelasan_SCK3"/>
      <sheetName val="HET_PBG33"/>
      <sheetName val="Kode_Barang2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Master_Bahan_SAP2"/>
      <sheetName val="BS-PL_Indo_20062"/>
      <sheetName val="Nomenclature_CF-Agro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Sat__Pek_2"/>
      <sheetName val="Local_travel2"/>
      <sheetName val="COA_(3)2"/>
      <sheetName val="Fomat__12"/>
      <sheetName val="WRKP_TM2"/>
      <sheetName val="Production_S22"/>
      <sheetName val="Production_S32"/>
      <sheetName val="HK_Effektif_&amp;_Rate_Upah2"/>
      <sheetName val="Harga_20112"/>
      <sheetName val="Trading_Statement2"/>
      <sheetName val="KODE_TRANS2"/>
      <sheetName val="Kas_Bank2"/>
      <sheetName val="CHART_SAMPLES_RECEIVED2"/>
      <sheetName val="TBM_32"/>
      <sheetName val="TBM_02"/>
      <sheetName val="BJ_&amp;_Koreksi2"/>
      <sheetName val="PAGE_1_X2"/>
      <sheetName val="New_Position2"/>
      <sheetName val="NEW_POSITION_BD2"/>
      <sheetName val="Jenis_kendaraan2"/>
      <sheetName val="transport_method2"/>
      <sheetName val="Kap_Rinci"/>
      <sheetName val="Harga Spare Part-revisi"/>
      <sheetName val="MN"/>
      <sheetName val="PN"/>
      <sheetName val="Rincian Iuran"/>
      <sheetName val="Curah hujan"/>
      <sheetName val="Sheet20"/>
      <sheetName val="List Jabatan"/>
      <sheetName val="5b.Pemupukan"/>
      <sheetName val="L-PCR08"/>
      <sheetName val="L-PCR03"/>
      <sheetName val="L-PCR04"/>
      <sheetName val="L-PCR05"/>
      <sheetName val="L-PCR06"/>
      <sheetName val="L-PCR09"/>
      <sheetName val="L-PCR02"/>
      <sheetName val="Fisik"/>
      <sheetName val="Astek"/>
      <sheetName val="Angkutan"/>
      <sheetName val="Panen"/>
      <sheetName val="RPS"/>
      <sheetName val="DP Volume"/>
      <sheetName val="4-09"/>
      <sheetName val="Jun"/>
      <sheetName val="Biaya"/>
      <sheetName val="Diagram"/>
      <sheetName val="Std-Prod KS"/>
      <sheetName val="Sheet19"/>
      <sheetName val=""/>
      <sheetName val="CROP"/>
      <sheetName val="RKB1"/>
      <sheetName val="RKB2"/>
      <sheetName val="RKB3"/>
      <sheetName val="RKB4"/>
      <sheetName val="KEB_RMH"/>
      <sheetName val="0507"/>
      <sheetName val="0506"/>
      <sheetName val="0510"/>
      <sheetName val="0509"/>
      <sheetName val="0801 Lembur"/>
      <sheetName val="0802 Lembur"/>
    </sheetNames>
    <sheetDataSet>
      <sheetData sheetId="0" refreshError="1"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 prod"/>
      <sheetName val="it ttl"/>
      <sheetName val="p1-ttl"/>
      <sheetName val="p2-ttl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Pk prod"/>
      <sheetName val="Kap Rinci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tonper Ha_TT 2000"/>
      <sheetName val="Pk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Ulasan"/>
      <sheetName val="tonper Ha-TT 2000"/>
    </sheetNames>
    <sheetDataSet>
      <sheetData sheetId="0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tonper Ha_TT 2000"/>
      <sheetName val="Kap Rinci"/>
      <sheetName val="KEB_RMH"/>
      <sheetName val="CH"/>
      <sheetName val="Produksi C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B1" t="str">
            <v>PT.BUANA KARYA BHAKTI</v>
          </cell>
        </row>
        <row r="2">
          <cell r="B2" t="str">
            <v>KEBUN PLASMA 1</v>
          </cell>
        </row>
        <row r="4">
          <cell r="B4" t="str">
            <v xml:space="preserve">KEBUTUHAN  PERUMAHAN dan BANGUNAN PERMANEN LAINNYA   </v>
          </cell>
        </row>
        <row r="6">
          <cell r="P6" t="str">
            <v>Satuan :  Unit</v>
          </cell>
        </row>
        <row r="7">
          <cell r="B7" t="str">
            <v>TIPE dan JENIS BANGUNAN</v>
          </cell>
          <cell r="H7" t="str">
            <v>Aktual 2006</v>
          </cell>
          <cell r="I7" t="str">
            <v>Posisi Tahun 2007</v>
          </cell>
          <cell r="N7" t="str">
            <v>Budget 2008</v>
          </cell>
          <cell r="O7" t="str">
            <v>Expected           Sd.              Des. 2008</v>
          </cell>
          <cell r="P7" t="str">
            <v>Total</v>
          </cell>
        </row>
        <row r="8">
          <cell r="I8" t="str">
            <v>Aktual Jan - Jun</v>
          </cell>
          <cell r="J8" t="str">
            <v>Expected Jul - Des</v>
          </cell>
          <cell r="K8" t="str">
            <v>Total   Jan - Des</v>
          </cell>
          <cell r="L8" t="str">
            <v>Budget Tahun</v>
          </cell>
          <cell r="M8" t="str">
            <v>Expected</v>
          </cell>
          <cell r="P8" t="str">
            <v>Kebutuhan</v>
          </cell>
        </row>
        <row r="9">
          <cell r="M9" t="str">
            <v xml:space="preserve">Sd. Desember </v>
          </cell>
          <cell r="P9" t="str">
            <v>(Standar)</v>
          </cell>
        </row>
        <row r="11">
          <cell r="C11" t="str">
            <v>A.</v>
          </cell>
          <cell r="D11" t="str">
            <v>Perumahan Staf / Karyawan</v>
          </cell>
          <cell r="H11">
            <v>26</v>
          </cell>
          <cell r="I11">
            <v>0</v>
          </cell>
          <cell r="J11">
            <v>1</v>
          </cell>
          <cell r="K11">
            <v>1</v>
          </cell>
          <cell r="L11">
            <v>6</v>
          </cell>
          <cell r="M11">
            <v>27</v>
          </cell>
          <cell r="N11">
            <v>7</v>
          </cell>
          <cell r="O11">
            <v>34</v>
          </cell>
          <cell r="P11">
            <v>41</v>
          </cell>
        </row>
        <row r="12">
          <cell r="D12" t="str">
            <v>1.</v>
          </cell>
          <cell r="E12" t="str">
            <v>G 1 Beton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D13" t="str">
            <v>2.</v>
          </cell>
          <cell r="E13" t="str">
            <v>G 1 Kayu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</v>
          </cell>
          <cell r="N13">
            <v>0</v>
          </cell>
          <cell r="O13">
            <v>4</v>
          </cell>
          <cell r="P13">
            <v>4</v>
          </cell>
        </row>
        <row r="14">
          <cell r="D14" t="str">
            <v>3.</v>
          </cell>
          <cell r="E14" t="str">
            <v>G 2 Beton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2</v>
          </cell>
        </row>
        <row r="15">
          <cell r="D15" t="str">
            <v>4.</v>
          </cell>
          <cell r="E15" t="str">
            <v>G 2 Kayu</v>
          </cell>
          <cell r="H15">
            <v>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</v>
          </cell>
          <cell r="N15">
            <v>0</v>
          </cell>
          <cell r="O15">
            <v>5</v>
          </cell>
          <cell r="P15">
            <v>5</v>
          </cell>
        </row>
        <row r="16">
          <cell r="D16" t="str">
            <v>5.</v>
          </cell>
          <cell r="E16" t="str">
            <v xml:space="preserve">G 10 Beton Type A ( 6 x 60 ) 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 t="str">
            <v>6.</v>
          </cell>
          <cell r="E17" t="str">
            <v>G 10 Beton Type B ( 6 x 60 )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4</v>
          </cell>
          <cell r="O17">
            <v>4</v>
          </cell>
          <cell r="P17">
            <v>8</v>
          </cell>
        </row>
        <row r="18">
          <cell r="D18" t="str">
            <v>7.</v>
          </cell>
          <cell r="E18" t="str">
            <v>G 10 Beton Type C ( 5 x 60 )</v>
          </cell>
          <cell r="H18">
            <v>11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11</v>
          </cell>
          <cell r="N18">
            <v>2</v>
          </cell>
          <cell r="O18">
            <v>13</v>
          </cell>
          <cell r="P18">
            <v>15</v>
          </cell>
        </row>
        <row r="19">
          <cell r="D19" t="str">
            <v>8.</v>
          </cell>
          <cell r="E19" t="str">
            <v>G 10 Kayu ( 5 x 60 )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D20" t="str">
            <v>9.</v>
          </cell>
          <cell r="E20" t="str">
            <v>G 7 Kayu ( 5 x 60 )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</row>
        <row r="21">
          <cell r="D21" t="str">
            <v>10.</v>
          </cell>
          <cell r="E21" t="str">
            <v>G 6 Kayu ( 5 x 60 )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D22" t="str">
            <v>11.</v>
          </cell>
          <cell r="E22" t="str">
            <v>G 5 Kayu ( 5 x 60 )</v>
          </cell>
          <cell r="H22">
            <v>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</v>
          </cell>
          <cell r="N22">
            <v>0</v>
          </cell>
          <cell r="O22">
            <v>2</v>
          </cell>
          <cell r="P22">
            <v>2</v>
          </cell>
        </row>
        <row r="23">
          <cell r="D23" t="str">
            <v>12.</v>
          </cell>
          <cell r="E23" t="str">
            <v>G 4 Kayu ( 5 x 60 )</v>
          </cell>
          <cell r="H23">
            <v>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2</v>
          </cell>
          <cell r="N23">
            <v>0</v>
          </cell>
          <cell r="O23">
            <v>2</v>
          </cell>
          <cell r="P23">
            <v>2</v>
          </cell>
        </row>
        <row r="24">
          <cell r="C24" t="str">
            <v>B.</v>
          </cell>
          <cell r="D24" t="str">
            <v>Bangunan Prasarana Lainnya</v>
          </cell>
          <cell r="H24">
            <v>16</v>
          </cell>
          <cell r="I24">
            <v>3</v>
          </cell>
          <cell r="J24">
            <v>1</v>
          </cell>
          <cell r="K24">
            <v>4</v>
          </cell>
          <cell r="L24">
            <v>5</v>
          </cell>
          <cell r="M24">
            <v>20</v>
          </cell>
          <cell r="N24">
            <v>18</v>
          </cell>
          <cell r="O24">
            <v>38</v>
          </cell>
          <cell r="P24">
            <v>56</v>
          </cell>
        </row>
        <row r="25">
          <cell r="D25" t="str">
            <v>1.</v>
          </cell>
          <cell r="E25" t="str">
            <v>Gudang ( 4 x 6  )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 t="str">
            <v>2.</v>
          </cell>
          <cell r="E26" t="str">
            <v>Gudang ( 6 x 8  )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</v>
          </cell>
          <cell r="N26">
            <v>0</v>
          </cell>
          <cell r="O26">
            <v>3</v>
          </cell>
          <cell r="P26">
            <v>3</v>
          </cell>
        </row>
        <row r="27">
          <cell r="D27" t="str">
            <v>3.</v>
          </cell>
          <cell r="E27" t="str">
            <v>Gudang ( 8 x 12 )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3</v>
          </cell>
          <cell r="O27">
            <v>4</v>
          </cell>
          <cell r="P27">
            <v>7</v>
          </cell>
        </row>
        <row r="28">
          <cell r="D28" t="str">
            <v>4.</v>
          </cell>
          <cell r="E28" t="str">
            <v>Gudang ( 10 x 12 )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D29" t="str">
            <v>5.</v>
          </cell>
          <cell r="E29" t="str">
            <v>Gudang ( 7 x 15 )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D30" t="str">
            <v>6.</v>
          </cell>
          <cell r="E30" t="str">
            <v>Gudang SENTRAL ( 20 x 10 )</v>
          </cell>
          <cell r="H30">
            <v>0</v>
          </cell>
          <cell r="I30">
            <v>0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2</v>
          </cell>
          <cell r="P30">
            <v>3</v>
          </cell>
        </row>
        <row r="31">
          <cell r="D31" t="str">
            <v>7.</v>
          </cell>
          <cell r="E31" t="str">
            <v>Instalasi Air dalam Rumah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D32" t="str">
            <v>8.</v>
          </cell>
          <cell r="E32" t="str">
            <v>Kantor ( 6 x 8 )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2</v>
          </cell>
          <cell r="M32">
            <v>1</v>
          </cell>
          <cell r="N32">
            <v>3</v>
          </cell>
          <cell r="O32">
            <v>4</v>
          </cell>
          <cell r="P32">
            <v>7</v>
          </cell>
        </row>
        <row r="33">
          <cell r="D33" t="str">
            <v>9.</v>
          </cell>
          <cell r="E33" t="str">
            <v>Garasi</v>
          </cell>
          <cell r="H33">
            <v>1</v>
          </cell>
          <cell r="I33">
            <v>1</v>
          </cell>
          <cell r="J33">
            <v>0</v>
          </cell>
          <cell r="K33">
            <v>1</v>
          </cell>
          <cell r="L33">
            <v>0</v>
          </cell>
          <cell r="M33">
            <v>2</v>
          </cell>
          <cell r="N33">
            <v>1</v>
          </cell>
          <cell r="O33">
            <v>3</v>
          </cell>
          <cell r="P33">
            <v>4</v>
          </cell>
        </row>
        <row r="34">
          <cell r="D34" t="str">
            <v>10.</v>
          </cell>
          <cell r="E34" t="str">
            <v>MCK ( 1,5 x 2 )</v>
          </cell>
          <cell r="H34">
            <v>3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  <cell r="O34">
            <v>3</v>
          </cell>
          <cell r="P34">
            <v>3</v>
          </cell>
        </row>
        <row r="35">
          <cell r="D35" t="str">
            <v>11.</v>
          </cell>
          <cell r="E35" t="str">
            <v>Musholla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2</v>
          </cell>
          <cell r="M35">
            <v>1</v>
          </cell>
          <cell r="N35">
            <v>3</v>
          </cell>
          <cell r="O35">
            <v>4</v>
          </cell>
          <cell r="P35">
            <v>7</v>
          </cell>
        </row>
        <row r="36">
          <cell r="D36" t="str">
            <v>12.</v>
          </cell>
          <cell r="E36" t="str">
            <v>Rumah Genset (4 x 6 m)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N36">
            <v>1</v>
          </cell>
          <cell r="O36">
            <v>2</v>
          </cell>
          <cell r="P36">
            <v>3</v>
          </cell>
        </row>
        <row r="37">
          <cell r="D37" t="str">
            <v>13.</v>
          </cell>
          <cell r="E37" t="str">
            <v>Rumah Genset (4 x 4 m)</v>
          </cell>
          <cell r="H37">
            <v>0</v>
          </cell>
          <cell r="I37">
            <v>2</v>
          </cell>
          <cell r="J37">
            <v>0</v>
          </cell>
          <cell r="K37">
            <v>2</v>
          </cell>
          <cell r="L37">
            <v>0</v>
          </cell>
          <cell r="M37">
            <v>2</v>
          </cell>
          <cell r="N37">
            <v>0</v>
          </cell>
          <cell r="O37">
            <v>2</v>
          </cell>
          <cell r="P37">
            <v>2</v>
          </cell>
        </row>
        <row r="38">
          <cell r="D38" t="str">
            <v>14.</v>
          </cell>
          <cell r="E38" t="str">
            <v>Rumah Genset (3 x 4 m)</v>
          </cell>
          <cell r="H38">
            <v>4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4</v>
          </cell>
          <cell r="N38">
            <v>0</v>
          </cell>
          <cell r="O38">
            <v>4</v>
          </cell>
          <cell r="P38">
            <v>4</v>
          </cell>
        </row>
        <row r="39">
          <cell r="D39" t="str">
            <v>15.</v>
          </cell>
          <cell r="E39" t="str">
            <v>Tempat Pencucian Mobil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</row>
        <row r="40">
          <cell r="D40" t="str">
            <v>16.</v>
          </cell>
          <cell r="E40" t="str">
            <v>Sumur Bor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6</v>
          </cell>
          <cell r="O40">
            <v>6</v>
          </cell>
          <cell r="P40">
            <v>12</v>
          </cell>
        </row>
        <row r="41">
          <cell r="P41">
            <v>0</v>
          </cell>
        </row>
        <row r="42">
          <cell r="D42" t="str">
            <v>Total ( A + B )</v>
          </cell>
          <cell r="H42">
            <v>42</v>
          </cell>
          <cell r="I42">
            <v>3</v>
          </cell>
          <cell r="J42">
            <v>2</v>
          </cell>
          <cell r="K42">
            <v>5</v>
          </cell>
          <cell r="L42">
            <v>11</v>
          </cell>
          <cell r="M42">
            <v>47</v>
          </cell>
          <cell r="N42">
            <v>25</v>
          </cell>
          <cell r="O42">
            <v>72</v>
          </cell>
          <cell r="P42">
            <v>97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  <sheetName val="data_hujan"/>
      <sheetName val="tonper Ha-TT 2000"/>
      <sheetName val="1999"/>
      <sheetName val="Ex_Rate"/>
      <sheetName val="Dkg-16"/>
      <sheetName val="DAFISI"/>
      <sheetName val="2002"/>
      <sheetName val="Pk prod"/>
      <sheetName val="NoPrint2"/>
      <sheetName val="ACT PROD"/>
      <sheetName val="PLAN PROD"/>
      <sheetName val="MGR-12"/>
      <sheetName val="FISIK RAB 2000"/>
      <sheetName val="9"/>
      <sheetName val="16"/>
      <sheetName val="grafik-2000"/>
      <sheetName val="grafik-99"/>
      <sheetName val="grafik-98"/>
      <sheetName val="grafik-97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12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INDIRECT DETAIL"/>
      <sheetName val="DIRECT COST"/>
      <sheetName val="OPR-99"/>
      <sheetName val="JSiar"/>
      <sheetName val="Global"/>
      <sheetName val="MUTU BUAH"/>
      <sheetName val="Dumtk"/>
      <sheetName val="F"/>
      <sheetName val="97EST021"/>
      <sheetName val="NK Oct'11"/>
      <sheetName val="BHL"/>
      <sheetName val="grafi聫-98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KGP Thp I"/>
      <sheetName val="KGP Thp II"/>
      <sheetName val="Book1"/>
      <sheetName val="DETAIL"/>
      <sheetName val="#REF"/>
      <sheetName val="Akomodasi"/>
      <sheetName val="Sheet1"/>
      <sheetName val="Daftar Harga Barang"/>
      <sheetName val="INDRCT DTL"/>
      <sheetName val="WIL 1"/>
      <sheetName val="AKTIVA"/>
      <sheetName val="MM.PAGE-2.X"/>
      <sheetName val="HAL10"/>
      <sheetName val="BAB-1"/>
      <sheetName val="REKAP EST PROD 13 edt"/>
      <sheetName val="36"/>
      <sheetName val="aktual"/>
      <sheetName val="Upah SKUB"/>
      <sheetName val="Asumsi"/>
      <sheetName val="ocean voyage"/>
      <sheetName val="PO"/>
      <sheetName val="Karung"/>
      <sheetName val="PBG_2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COA (3)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PABRIK (2)"/>
      <sheetName val="Premi Iuran"/>
      <sheetName val="III"/>
      <sheetName val="A"/>
      <sheetName val="NK_Oct'11"/>
      <sheetName val="Data"/>
      <sheetName val="list"/>
      <sheetName val="CPO 16-9-TID "/>
      <sheetName val="Bantu"/>
      <sheetName val="Sheet2"/>
      <sheetName val="Sheet3"/>
      <sheetName val="8.Upah rata2"/>
      <sheetName val="LEMBUR 2006"/>
      <sheetName val="Prod. Stats"/>
      <sheetName val="Capital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WIL_1"/>
      <sheetName val="MM_PAGE-2_X"/>
      <sheetName val="ocean_voyage"/>
      <sheetName val="FISIK_RAB_2000"/>
      <sheetName val="REKAP_EST_PROD_13_edt"/>
      <sheetName val="General"/>
      <sheetName val="Capex Sum"/>
      <sheetName val="AAL"/>
      <sheetName val="IIS"/>
      <sheetName val="AARJ"/>
      <sheetName val="XXXXXXXXXXXX"/>
      <sheetName val="BJR-JJ"/>
      <sheetName val="BA"/>
      <sheetName val="TBSv"/>
      <sheetName val="MASTER_INPUT"/>
      <sheetName val="PREMI"/>
      <sheetName val="Budge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KOMP"/>
      <sheetName val="97EST120-ok"/>
      <sheetName val="Hal-12 "/>
      <sheetName val="PT"/>
      <sheetName val="Bahasa"/>
      <sheetName val="CH"/>
      <sheetName val="keb-bbm"/>
      <sheetName val="MrTong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MUTU_BUAH1"/>
      <sheetName val="Pk_prod1"/>
      <sheetName val="NK_Oct'111"/>
      <sheetName val="KGP_Thp_I"/>
      <sheetName val="KGP_Thp_II"/>
      <sheetName val="Daftar_Harga_Barang"/>
      <sheetName val="INDRCT_DTL"/>
      <sheetName val="WIL_11"/>
      <sheetName val="MM_PAGE-2_X1"/>
      <sheetName val="REKAP_EST_PROD_13_edt1"/>
      <sheetName val="Upah_SKUB"/>
      <sheetName val="ocean_voyage1"/>
      <sheetName val="FISIK_RAB_20001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OA_(3)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Premi_Iuran"/>
      <sheetName val="CPO_16-9-TID_"/>
      <sheetName val="8_Upah_rata2"/>
      <sheetName val="LEMBUR_2006"/>
      <sheetName val="Prod__Stats"/>
      <sheetName val="Kualitas_TBS"/>
      <sheetName val="Kesegaran_TBS"/>
      <sheetName val="10__Summary_all"/>
      <sheetName val="Capex_Sum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2600.50 Rincian Credit Card(HO)"/>
      <sheetName val="Fomat  1"/>
      <sheetName val="04NPE025"/>
      <sheetName val="04NPE008F"/>
      <sheetName val="04NPEII"/>
      <sheetName val="Atur"/>
      <sheetName val="Account"/>
      <sheetName val="CC_New"/>
      <sheetName val="FA sd APRIL 07"/>
      <sheetName val="fa SD APRIL07"/>
      <sheetName val="Daftar Blok"/>
      <sheetName val="RPT"/>
      <sheetName val="Astek"/>
      <sheetName val="Angkutan"/>
      <sheetName val="Panen"/>
      <sheetName val="RPS"/>
      <sheetName val="Kode Barang"/>
      <sheetName val="Blok"/>
      <sheetName val="39"/>
      <sheetName val=""/>
      <sheetName val="Rinci-Biaya"/>
      <sheetName val="Rinci-Pendapatan"/>
      <sheetName val="LR"/>
      <sheetName val="BTL"/>
      <sheetName val="PT AAM AKT"/>
      <sheetName val="CV.UM-MO"/>
      <sheetName val="CV.UM-RAMP"/>
      <sheetName val="mst_akun"/>
      <sheetName val="MASTER"/>
      <sheetName val="CHART SAMPLES RECEIVED"/>
      <sheetName val="材料汇总表"/>
      <sheetName val="Rincian Iuran"/>
      <sheetName val="dft bns"/>
      <sheetName val="4.1"/>
      <sheetName val="Daftar_Barang"/>
      <sheetName val="Master_Akun"/>
      <sheetName val="HO"/>
      <sheetName val="TBM 3"/>
      <sheetName val="MILL-EXP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97EST120_ok"/>
      <sheetName val="Form"/>
      <sheetName val="WRKP TM"/>
      <sheetName val="Production S2"/>
      <sheetName val="Production S3"/>
      <sheetName val="Rawat"/>
      <sheetName val="Lookup"/>
      <sheetName val="(43)9.1"/>
      <sheetName val="HK Effektif &amp; Rate Upah"/>
      <sheetName val="Harga 2011"/>
      <sheetName val="Kend"/>
      <sheetName val="TRAIL"/>
      <sheetName val="Tabel"/>
      <sheetName val="TBM 0"/>
      <sheetName val="BJ &amp; Koreksi"/>
      <sheetName val="Air Limbah"/>
      <sheetName val="Water Analisis"/>
      <sheetName val="PAGE 1.X"/>
      <sheetName val="Peralatan"/>
      <sheetName val="Basic Price"/>
      <sheetName val="Perhitungan Penalty"/>
      <sheetName val="Rekap Bulanan"/>
      <sheetName val="Program Pupuk Inti"/>
      <sheetName val="RKP 1"/>
      <sheetName val="KOMEN"/>
      <sheetName val="ALAT1"/>
      <sheetName val="ALAT"/>
      <sheetName val="ANA-HRG"/>
      <sheetName val="prod"/>
      <sheetName val="2001"/>
      <sheetName val="CSH12"/>
      <sheetName val="CSH7A"/>
      <sheetName val="SD"/>
      <sheetName val="L-PCR08"/>
      <sheetName val="L-PCR03"/>
      <sheetName val="L-PCR04"/>
      <sheetName val="L-PCR05"/>
      <sheetName val="L-PCR06"/>
      <sheetName val="L-PCR09"/>
      <sheetName val="L-PCR02"/>
      <sheetName val="SUM"/>
      <sheetName val="SUM-INTI"/>
      <sheetName val="SUM-PERBLN"/>
      <sheetName val="cov"/>
      <sheetName val="daftar"/>
      <sheetName val="pss-KB"/>
      <sheetName val="YMHB"/>
      <sheetName val="rekap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Langsir"/>
      <sheetName val="LTW"/>
      <sheetName val="asmp1"/>
      <sheetName val="CIP_USD"/>
      <sheetName val="SUMMFA-USD"/>
      <sheetName val="Investment"/>
      <sheetName val="A3_USD_PL02"/>
      <sheetName val="Inventories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C"/>
      <sheetName val="3a"/>
      <sheetName val="3b"/>
      <sheetName val="3c"/>
      <sheetName val="11Rp"/>
      <sheetName val="11$"/>
      <sheetName val="13a"/>
      <sheetName val="13b"/>
      <sheetName val="13c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Dosis"/>
      <sheetName val="Lookup2"/>
      <sheetName val="Attn"/>
      <sheetName val="AGING"/>
      <sheetName val="ISI"/>
      <sheetName val="% Lbr vs GP"/>
      <sheetName val="UPDATE KUOTA (VERIFIKASI)"/>
      <sheetName val="Financials"/>
      <sheetName val="10 yr val"/>
      <sheetName val="Input"/>
      <sheetName val="Gaji"/>
      <sheetName val="REKAP OMZET KAPAL"/>
      <sheetName val="PB(B)"/>
      <sheetName val="FORM X COST"/>
      <sheetName val="Trip"/>
      <sheetName val="Data SRL"/>
      <sheetName val="Data Prod_Graf"/>
      <sheetName val="PK RM"/>
      <sheetName val="Dbase TK"/>
      <sheetName val="Dbase AP"/>
      <sheetName val="NEG02"/>
      <sheetName val="HA"/>
      <sheetName val="DPO"/>
      <sheetName val="LHA P"/>
      <sheetName val="BPKM PN"/>
      <sheetName val="Prestasi"/>
      <sheetName val="Denda"/>
      <sheetName val="LHP"/>
      <sheetName val="Gaji PNN &amp; RWT"/>
      <sheetName val="II"/>
      <sheetName val="Pk_prod2"/>
      <sheetName val="ACT_PROD"/>
      <sheetName val="PLAN_PROD"/>
      <sheetName val="FISIK_RAB_2000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MUTU_BUAH2"/>
      <sheetName val="NK_Oct'112"/>
      <sheetName val="KGP_Thp_I1"/>
      <sheetName val="KGP_Thp_II1"/>
      <sheetName val="Daftar_Harga_Barang1"/>
      <sheetName val="INDRCT_DTL1"/>
      <sheetName val="WIL_12"/>
      <sheetName val="MM_PAGE-2_X2"/>
      <sheetName val="REKAP_EST_PROD_13_edt2"/>
      <sheetName val="Upah_SKUB1"/>
      <sheetName val="ocean_voyage2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COA_(3)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Premi_Iuran1"/>
      <sheetName val="CPO_16-9-TID_1"/>
      <sheetName val="8_Upah_rata21"/>
      <sheetName val="LEMBUR_20061"/>
      <sheetName val="Prod__Stats1"/>
      <sheetName val="Kualitas_TBS1"/>
      <sheetName val="Kesegaran_TBS1"/>
      <sheetName val="10__Summary_all1"/>
      <sheetName val="Capex_Sum1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Hal-12_"/>
      <sheetName val="Penjelasan_SCK"/>
      <sheetName val="HET_PBG3"/>
      <sheetName val="Trading_Statement"/>
      <sheetName val="KODE_TRANS"/>
      <sheetName val="Kas_Bank"/>
      <sheetName val="2600_50_Rincian_Credit_Card(HO)"/>
      <sheetName val="Fomat__1"/>
      <sheetName val="FA_sd_APRIL_07"/>
      <sheetName val="fa_SD_APRIL07"/>
      <sheetName val="Daftar_Blok"/>
      <sheetName val="Kode_Barang"/>
      <sheetName val="PT_AAM_AKT"/>
      <sheetName val="CV_UM-MO"/>
      <sheetName val="CV_UM-RAMP"/>
      <sheetName val="CHART_SAMPLES_RECEIVED"/>
      <sheetName val="Rincian_Iuran"/>
      <sheetName val="dft_bns"/>
      <sheetName val="4_1"/>
      <sheetName val="TBM_3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WRKP_TM"/>
      <sheetName val="Production_S2"/>
      <sheetName val="Production_S3"/>
      <sheetName val="(43)9_1"/>
      <sheetName val="HK_Effektif_&amp;_Rate_Upah"/>
      <sheetName val="Harga_2011"/>
      <sheetName val="TBM_0"/>
      <sheetName val="BJ_&amp;_Koreksi"/>
      <sheetName val="Air_Limbah"/>
      <sheetName val="Water_Analisis"/>
      <sheetName val="PAGE_1_X"/>
      <sheetName val="Basic_Price"/>
      <sheetName val="Perhitungan_Penalty"/>
      <sheetName val="Rekap_Bulanan"/>
      <sheetName val="Program_Pupuk_Inti"/>
      <sheetName val="RKP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%_Lbr_vs_GP"/>
      <sheetName val="UPDATE_KUOTA_(VERIFIKASI)"/>
      <sheetName val="10_yr_val"/>
      <sheetName val="REKAP_OMZET_KAPAL"/>
      <sheetName val="FORM_X_COST"/>
      <sheetName val="tonper_Ha-TT_2000"/>
      <sheetName val="Data_SRL"/>
      <sheetName val="Data_Prod_Graf"/>
      <sheetName val="PK_RM"/>
      <sheetName val="Dbase_TK"/>
      <sheetName val="Dbase_AP"/>
      <sheetName val="LHA_P"/>
      <sheetName val="BPKM_PN"/>
      <sheetName val="Gaji_PNN_&amp;_RWT"/>
      <sheetName val="2f"/>
      <sheetName val="A5 _ii_"/>
      <sheetName val="CODE BAHAN"/>
      <sheetName val="TRIAL"/>
      <sheetName val="BS final"/>
      <sheetName val="III.9"/>
      <sheetName val="9.3 Transit3"/>
      <sheetName val="fisik 94"/>
      <sheetName val="LUK(B)-KTR12"/>
      <sheetName val="Group C of A"/>
      <sheetName val="TB - BS"/>
      <sheetName val="PAN"/>
      <sheetName val="kap rinci"/>
    </sheetNames>
    <sheetDataSet>
      <sheetData sheetId="0" refreshError="1">
        <row r="3">
          <cell r="E3">
            <v>2002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/>
      <sheetData sheetId="2" refreshError="1"/>
      <sheetData sheetId="3" refreshError="1"/>
      <sheetData sheetId="4">
        <row r="3">
          <cell r="F3" t="str">
            <v>FEBRUARI</v>
          </cell>
        </row>
      </sheetData>
      <sheetData sheetId="5">
        <row r="3">
          <cell r="F3" t="str">
            <v>FEBRUARI</v>
          </cell>
        </row>
      </sheetData>
      <sheetData sheetId="6">
        <row r="3">
          <cell r="F3" t="str">
            <v>FEBRUARI</v>
          </cell>
        </row>
      </sheetData>
      <sheetData sheetId="7">
        <row r="7">
          <cell r="C7" t="str">
            <v>NIK</v>
          </cell>
        </row>
      </sheetData>
      <sheetData sheetId="8">
        <row r="7">
          <cell r="C7" t="str">
            <v>NIK</v>
          </cell>
        </row>
      </sheetData>
      <sheetData sheetId="9">
        <row r="7">
          <cell r="C7" t="str">
            <v>NIK</v>
          </cell>
        </row>
      </sheetData>
      <sheetData sheetId="10">
        <row r="7">
          <cell r="C7" t="str">
            <v>NIK</v>
          </cell>
        </row>
      </sheetData>
      <sheetData sheetId="11">
        <row r="7">
          <cell r="C7" t="str">
            <v>NIK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7">
          <cell r="C7" t="str">
            <v>NIK</v>
          </cell>
        </row>
      </sheetData>
      <sheetData sheetId="645">
        <row r="7">
          <cell r="C7" t="str">
            <v>NIK</v>
          </cell>
        </row>
      </sheetData>
      <sheetData sheetId="646" refreshError="1"/>
      <sheetData sheetId="647" refreshError="1"/>
      <sheetData sheetId="648">
        <row r="6">
          <cell r="AA6" t="str">
            <v xml:space="preserve">Upah Bersih </v>
          </cell>
        </row>
      </sheetData>
      <sheetData sheetId="649" refreshError="1"/>
      <sheetData sheetId="650">
        <row r="7">
          <cell r="C7" t="str">
            <v>NIK</v>
          </cell>
        </row>
      </sheetData>
      <sheetData sheetId="651">
        <row r="7">
          <cell r="C7" t="str">
            <v>NIK</v>
          </cell>
        </row>
      </sheetData>
      <sheetData sheetId="652">
        <row r="7">
          <cell r="C7" t="str">
            <v>NIK</v>
          </cell>
        </row>
      </sheetData>
      <sheetData sheetId="653"/>
      <sheetData sheetId="654"/>
      <sheetData sheetId="655">
        <row r="6">
          <cell r="AA6" t="str">
            <v xml:space="preserve">Upah Bersih </v>
          </cell>
        </row>
      </sheetData>
      <sheetData sheetId="656"/>
      <sheetData sheetId="657">
        <row r="7">
          <cell r="C7" t="str">
            <v>NIK</v>
          </cell>
        </row>
      </sheetData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>
        <row r="7">
          <cell r="C7" t="str">
            <v>NIK</v>
          </cell>
        </row>
      </sheetData>
      <sheetData sheetId="839">
        <row r="6">
          <cell r="AA6" t="str">
            <v xml:space="preserve">Upah Bersih 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Ulasan"/>
      <sheetName val="B. Total &amp; Kpss"/>
      <sheetName val="B.Total"/>
      <sheetName val="B.Umum"/>
      <sheetName val="B.Panen"/>
      <sheetName val="B.TM"/>
      <sheetName val="B.LC+PTP"/>
      <sheetName val="Cost To Maturity"/>
      <sheetName val="B.Bibit"/>
      <sheetName val="Run-Acc"/>
      <sheetName val="kap rinci"/>
    </sheetNames>
    <sheetDataSet>
      <sheetData sheetId="0" refreshError="1"/>
      <sheetData sheetId="1" refreshError="1">
        <row r="4">
          <cell r="B4" t="str">
            <v xml:space="preserve">1.  ULASAN  SINGKAT   </v>
          </cell>
          <cell r="L4">
            <v>1</v>
          </cell>
        </row>
        <row r="7">
          <cell r="C7" t="str">
            <v>*</v>
          </cell>
          <cell r="D7" t="str">
            <v>Penjelasan Mengenai Areal Statemen</v>
          </cell>
          <cell r="G7" t="str">
            <v xml:space="preserve"> </v>
          </cell>
        </row>
        <row r="9">
          <cell r="C9" t="str">
            <v>*</v>
          </cell>
          <cell r="D9" t="str">
            <v>Penjelasan Mengenai Kondisi dan Situasi Tanaman (pokok/hektar)</v>
          </cell>
        </row>
        <row r="11">
          <cell r="C11" t="str">
            <v>*</v>
          </cell>
          <cell r="D11" t="str">
            <v>Penjelasan Mengenai Karyawan (kecukupan, kekurangan dan upaya pengadaan)</v>
          </cell>
        </row>
        <row r="13">
          <cell r="C13" t="str">
            <v>*</v>
          </cell>
          <cell r="D13" t="str">
            <v>Penjelasan Mengenai Perumahan</v>
          </cell>
        </row>
        <row r="15">
          <cell r="C15" t="str">
            <v>*</v>
          </cell>
          <cell r="D15" t="str">
            <v>Penjelasan Mengenai Total Biaya Anggaran Belanja Kebun 2007, dibandingkan dengan tahun berjalan dan tahun sebelumnya</v>
          </cell>
        </row>
        <row r="17">
          <cell r="C17" t="str">
            <v>*</v>
          </cell>
          <cell r="D17" t="str">
            <v>Penjelasan Mengenai Analisa Biaya Aktual 2005, Estimasi 2006 dan Anggaran 2007 (umum, panen, pemeliharaan)</v>
          </cell>
        </row>
        <row r="19">
          <cell r="C19" t="str">
            <v>*</v>
          </cell>
          <cell r="D19" t="str">
            <v>Penjelasan Mengenai Anggaran Produksi 2007 dan Analisa Produksi Aktual 2005 dan Estimasi 2006</v>
          </cell>
        </row>
        <row r="21">
          <cell r="C21" t="str">
            <v>*</v>
          </cell>
          <cell r="D21" t="str">
            <v>Penjelasan Mengenai Biaya Operasional Unit Transit (Running Account)</v>
          </cell>
        </row>
        <row r="23">
          <cell r="C23" t="str">
            <v>*</v>
          </cell>
          <cell r="D23" t="str">
            <v>Strategi Pencapaian Target 2007 sesuai Anggaran yang Diajukan</v>
          </cell>
        </row>
        <row r="31">
          <cell r="L31" t="str">
            <v xml:space="preserve">       Presentasi Anggaran 2005/Minamas Plantation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asan"/>
      <sheetName val="sampul"/>
      <sheetName val="B. Total &amp; Kpss"/>
      <sheetName val="B.Total"/>
      <sheetName val="B.Umum"/>
      <sheetName val="B.Panen"/>
      <sheetName val="B.TM"/>
      <sheetName val="B.LC+PTP"/>
      <sheetName val="Cost To Maturity"/>
      <sheetName val="B.Bibit"/>
      <sheetName val="Run-Acc"/>
      <sheetName val="B_LC_PTP"/>
      <sheetName val="Kap Rinci"/>
      <sheetName val="KEB_RMH"/>
      <sheetName val="JJG-BJR-2"/>
      <sheetName val="GRFK BJR_TGS_01"/>
      <sheetName val="GRFK BJR_SKC_03"/>
      <sheetName val="Master"/>
      <sheetName val="Actual &amp; Valuation by PY"/>
      <sheetName val="Kend"/>
      <sheetName val="FRYPROD"/>
      <sheetName val="Activity Ok"/>
      <sheetName val="TRIAL"/>
      <sheetName val="B__Total_&amp;_Kpss"/>
      <sheetName val="B_Total"/>
      <sheetName val="B_Umum"/>
      <sheetName val="B_Panen"/>
      <sheetName val="B_TM"/>
      <sheetName val="B_LC+PTP"/>
      <sheetName val="Cost_To_Maturity"/>
      <sheetName val="B_Bibit"/>
      <sheetName val="Kap_Rinci"/>
      <sheetName val="GRFK_BJR_TGS_01"/>
      <sheetName val="GRFK_BJR_SKC_03"/>
      <sheetName val="Actual_&amp;_Valuation_by_PY"/>
      <sheetName val="BAB-1"/>
      <sheetName val="TANAM HISTORY"/>
      <sheetName val="Pk prod"/>
      <sheetName val="Site progress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2"/>
      <sheetName val="GRFK BJR_TGS_03"/>
      <sheetName val="GRFK BJR_SK1_01"/>
      <sheetName val="GRFK BJR_SKB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  <sheetName val="data-hujan"/>
      <sheetName val="DIV-1"/>
      <sheetName val="BSWM"/>
      <sheetName val="Base"/>
    </sheetNames>
    <sheetDataSet>
      <sheetData sheetId="0" refreshError="1">
        <row r="4">
          <cell r="B4" t="str">
            <v xml:space="preserve">1.  ULASAN  SINGKAT   </v>
          </cell>
          <cell r="L4">
            <v>1</v>
          </cell>
        </row>
        <row r="7">
          <cell r="C7" t="str">
            <v>*</v>
          </cell>
          <cell r="D7" t="str">
            <v>Penjelasan Mengenai Areal Statemen</v>
          </cell>
          <cell r="G7" t="str">
            <v xml:space="preserve"> </v>
          </cell>
        </row>
        <row r="9">
          <cell r="C9" t="str">
            <v>*</v>
          </cell>
          <cell r="D9" t="str">
            <v>Penjelasan Mengenai Kondisi dan Situasi Tanaman (pokok/hektar)</v>
          </cell>
        </row>
        <row r="11">
          <cell r="C11" t="str">
            <v>*</v>
          </cell>
          <cell r="D11" t="str">
            <v>Penjelasan Mengenai Karyawan (kecukupan, kekurangan dan upaya pengadaan)</v>
          </cell>
        </row>
        <row r="13">
          <cell r="C13" t="str">
            <v>*</v>
          </cell>
          <cell r="D13" t="str">
            <v>Penjelasan Mengenai Perumahan</v>
          </cell>
        </row>
        <row r="15">
          <cell r="C15" t="str">
            <v>*</v>
          </cell>
          <cell r="D15" t="str">
            <v>Penjelasan Mengenai Total Biaya Anggaran Belanja Kebun 2007, dibandingkan dengan tahun berjalan dan tahun sebelumnya</v>
          </cell>
        </row>
        <row r="17">
          <cell r="C17" t="str">
            <v>*</v>
          </cell>
          <cell r="D17" t="str">
            <v>Penjelasan Mengenai Analisa Biaya Aktual 2005, Estimasi 2006 dan Anggaran 2007 (umum, panen, pemeliharaan)</v>
          </cell>
        </row>
        <row r="19">
          <cell r="C19" t="str">
            <v>*</v>
          </cell>
          <cell r="D19" t="str">
            <v>Penjelasan Mengenai Anggaran Produksi 2007 dan Analisa Produksi Aktual 2005 dan Estimasi 2006</v>
          </cell>
        </row>
        <row r="21">
          <cell r="C21" t="str">
            <v>*</v>
          </cell>
          <cell r="D21" t="str">
            <v>Penjelasan Mengenai Biaya Operasional Unit Transit (Running Account)</v>
          </cell>
        </row>
        <row r="23">
          <cell r="C23" t="str">
            <v>*</v>
          </cell>
          <cell r="D23" t="str">
            <v>Strategi Pencapaian Target 2007 sesuai Anggaran yang Diajukan</v>
          </cell>
        </row>
        <row r="31">
          <cell r="L31" t="str">
            <v xml:space="preserve">       Presentasi Anggaran 2005/Minamas Plantation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3165-3124-4C9A-8062-E915862C3FE7}">
  <sheetPr>
    <tabColor rgb="FF00B050"/>
  </sheetPr>
  <dimension ref="A1:BF76"/>
  <sheetViews>
    <sheetView tabSelected="1" view="pageBreakPreview" zoomScaleNormal="120" zoomScaleSheetLayoutView="100" workbookViewId="0">
      <pane xSplit="7" ySplit="9" topLeftCell="Y10" activePane="bottomRight" state="frozen"/>
      <selection activeCell="D17" sqref="D17"/>
      <selection pane="topRight" activeCell="D17" sqref="D17"/>
      <selection pane="bottomLeft" activeCell="D17" sqref="D17"/>
      <selection pane="bottomRight"/>
    </sheetView>
  </sheetViews>
  <sheetFormatPr defaultRowHeight="10" outlineLevelCol="1" x14ac:dyDescent="0.2"/>
  <cols>
    <col min="1" max="1" width="8.453125" style="17" customWidth="1"/>
    <col min="2" max="2" width="3.54296875" style="17" customWidth="1"/>
    <col min="3" max="3" width="3.7265625" style="17" customWidth="1"/>
    <col min="4" max="4" width="14.54296875" style="17" customWidth="1"/>
    <col min="5" max="5" width="9" style="17" customWidth="1"/>
    <col min="6" max="6" width="16.453125" style="17" bestFit="1" customWidth="1"/>
    <col min="7" max="7" width="13.54296875" style="17" customWidth="1"/>
    <col min="8" max="8" width="10.26953125" style="17" customWidth="1"/>
    <col min="9" max="9" width="6.81640625" style="22" hidden="1" customWidth="1" outlineLevel="1"/>
    <col min="10" max="10" width="7.453125" style="22" hidden="1" customWidth="1" outlineLevel="1"/>
    <col min="11" max="11" width="7.54296875" style="22" hidden="1" customWidth="1" outlineLevel="1"/>
    <col min="12" max="12" width="15.26953125" style="22" hidden="1" customWidth="1" outlineLevel="1"/>
    <col min="13" max="13" width="7.54296875" style="22" hidden="1" customWidth="1" outlineLevel="1"/>
    <col min="14" max="14" width="14.26953125" style="22" hidden="1" customWidth="1" outlineLevel="1"/>
    <col min="15" max="15" width="8.54296875" style="22" customWidth="1" collapsed="1"/>
    <col min="16" max="16" width="15.26953125" style="26" customWidth="1"/>
    <col min="17" max="17" width="7.7265625" style="22" hidden="1" customWidth="1" collapsed="1"/>
    <col min="18" max="18" width="15.81640625" style="22" hidden="1" customWidth="1"/>
    <col min="19" max="19" width="8.1796875" style="25" hidden="1" customWidth="1" outlineLevel="1"/>
    <col min="20" max="20" width="17.81640625" style="22" hidden="1" customWidth="1" outlineLevel="1"/>
    <col min="21" max="21" width="8.7265625" style="22" hidden="1" customWidth="1" outlineLevel="1"/>
    <col min="22" max="22" width="16.7265625" style="22" hidden="1" customWidth="1" outlineLevel="1"/>
    <col min="23" max="23" width="8.7265625" style="22" hidden="1" customWidth="1" outlineLevel="1"/>
    <col min="24" max="24" width="10.7265625" style="22" hidden="1" customWidth="1" outlineLevel="1"/>
    <col min="25" max="25" width="8.54296875" style="22" customWidth="1" collapsed="1"/>
    <col min="26" max="26" width="15.26953125" style="26" customWidth="1"/>
    <col min="27" max="27" width="7.7265625" style="22" hidden="1" customWidth="1" collapsed="1"/>
    <col min="28" max="28" width="17.81640625" style="22" hidden="1" customWidth="1"/>
    <col min="29" max="29" width="7.54296875" style="25" hidden="1" customWidth="1" outlineLevel="1"/>
    <col min="30" max="30" width="16.7265625" style="22" hidden="1" customWidth="1" outlineLevel="1"/>
    <col min="31" max="31" width="7.81640625" style="17" hidden="1" customWidth="1" outlineLevel="1"/>
    <col min="32" max="32" width="14.26953125" style="17" hidden="1" customWidth="1" outlineLevel="1"/>
    <col min="33" max="33" width="7.81640625" style="17" hidden="1" customWidth="1" outlineLevel="1"/>
    <col min="34" max="34" width="14.26953125" style="17" hidden="1" customWidth="1" outlineLevel="1"/>
    <col min="35" max="35" width="8.54296875" style="22" customWidth="1" collapsed="1"/>
    <col min="36" max="36" width="15.26953125" style="26" customWidth="1"/>
    <col min="37" max="37" width="9" style="17" hidden="1" customWidth="1"/>
    <col min="38" max="38" width="15.26953125" style="17" hidden="1" customWidth="1"/>
    <col min="39" max="39" width="7.54296875" style="17" hidden="1" customWidth="1" outlineLevel="1"/>
    <col min="40" max="40" width="14.26953125" style="17" hidden="1" customWidth="1" outlineLevel="1"/>
    <col min="41" max="41" width="6.453125" style="17" hidden="1" customWidth="1" outlineLevel="1"/>
    <col min="42" max="42" width="14.26953125" style="17" hidden="1" customWidth="1" outlineLevel="1"/>
    <col min="43" max="43" width="6.81640625" style="17" hidden="1" customWidth="1" outlineLevel="1"/>
    <col min="44" max="44" width="14.26953125" style="17" hidden="1" customWidth="1" outlineLevel="1"/>
    <col min="45" max="45" width="8.54296875" style="22" customWidth="1" collapsed="1"/>
    <col min="46" max="46" width="15.26953125" style="26" customWidth="1"/>
    <col min="47" max="47" width="8.7265625" style="17" hidden="1" customWidth="1"/>
    <col min="48" max="48" width="16.7265625" style="17" hidden="1" customWidth="1"/>
    <col min="49" max="49" width="7.54296875" style="17" hidden="1" customWidth="1"/>
    <col min="50" max="50" width="14.26953125" style="17" hidden="1" customWidth="1"/>
    <col min="51" max="51" width="8" style="17" hidden="1" customWidth="1"/>
    <col min="52" max="52" width="20" style="17" hidden="1" customWidth="1"/>
    <col min="53" max="53" width="7.54296875" style="17" hidden="1" customWidth="1"/>
    <col min="54" max="54" width="14.26953125" style="17" hidden="1" customWidth="1"/>
    <col min="55" max="55" width="8.54296875" style="22" customWidth="1"/>
    <col min="56" max="56" width="15.26953125" style="26" customWidth="1"/>
    <col min="57" max="57" width="8.54296875" style="22" customWidth="1"/>
    <col min="58" max="58" width="15.26953125" style="26" customWidth="1"/>
    <col min="59" max="227" width="8.7265625" style="17"/>
    <col min="228" max="228" width="2.7265625" style="17" customWidth="1"/>
    <col min="229" max="229" width="3.54296875" style="17" customWidth="1"/>
    <col min="230" max="230" width="7" style="17" customWidth="1"/>
    <col min="231" max="231" width="23" style="17" customWidth="1"/>
    <col min="232" max="232" width="13.26953125" style="17" customWidth="1"/>
    <col min="233" max="233" width="17.453125" style="17" bestFit="1" customWidth="1"/>
    <col min="234" max="234" width="11.54296875" style="17" bestFit="1" customWidth="1"/>
    <col min="235" max="235" width="7.81640625" style="17" customWidth="1"/>
    <col min="236" max="236" width="11.54296875" style="17" bestFit="1" customWidth="1"/>
    <col min="237" max="237" width="7" style="17" customWidth="1"/>
    <col min="238" max="238" width="18.1796875" style="17" customWidth="1"/>
    <col min="239" max="239" width="7" style="17" customWidth="1"/>
    <col min="240" max="240" width="15.54296875" style="17" customWidth="1"/>
    <col min="241" max="241" width="7.81640625" style="17" customWidth="1"/>
    <col min="242" max="242" width="15.54296875" style="17" customWidth="1"/>
    <col min="243" max="243" width="7.81640625" style="17" bestFit="1" customWidth="1"/>
    <col min="244" max="244" width="15.7265625" style="17" bestFit="1" customWidth="1"/>
    <col min="245" max="245" width="7.54296875" style="17" customWidth="1"/>
    <col min="246" max="246" width="14" style="17" customWidth="1"/>
    <col min="247" max="247" width="7.81640625" style="17" customWidth="1"/>
    <col min="248" max="248" width="14" style="17" customWidth="1"/>
    <col min="249" max="249" width="7.81640625" style="17" customWidth="1"/>
    <col min="250" max="250" width="14" style="17" customWidth="1"/>
    <col min="251" max="251" width="9" style="17" customWidth="1"/>
    <col min="252" max="252" width="15.1796875" style="17" customWidth="1"/>
    <col min="253" max="253" width="13" style="17" bestFit="1" customWidth="1"/>
    <col min="254" max="254" width="15.1796875" style="17" bestFit="1" customWidth="1"/>
    <col min="255" max="255" width="7.54296875" style="17" customWidth="1"/>
    <col min="256" max="256" width="14" style="17" customWidth="1"/>
    <col min="257" max="257" width="7.81640625" style="17" customWidth="1"/>
    <col min="258" max="258" width="14" style="17" customWidth="1"/>
    <col min="259" max="259" width="7.81640625" style="17" customWidth="1"/>
    <col min="260" max="260" width="14" style="17" customWidth="1"/>
    <col min="261" max="261" width="9" style="17" bestFit="1" customWidth="1"/>
    <col min="262" max="262" width="15.1796875" style="17" bestFit="1" customWidth="1"/>
    <col min="263" max="263" width="9" style="17" bestFit="1" customWidth="1"/>
    <col min="264" max="264" width="15.1796875" style="17" bestFit="1" customWidth="1"/>
    <col min="265" max="265" width="6.453125" style="17" customWidth="1"/>
    <col min="266" max="266" width="12.7265625" style="17" customWidth="1"/>
    <col min="267" max="267" width="6.453125" style="17" customWidth="1"/>
    <col min="268" max="268" width="12.7265625" style="17" customWidth="1"/>
    <col min="269" max="269" width="6" style="17" customWidth="1"/>
    <col min="270" max="270" width="12.7265625" style="17" customWidth="1"/>
    <col min="271" max="271" width="9.54296875" style="17" customWidth="1"/>
    <col min="272" max="272" width="14" style="17" bestFit="1" customWidth="1"/>
    <col min="273" max="273" width="8.7265625" style="17" bestFit="1" customWidth="1"/>
    <col min="274" max="274" width="13.54296875" style="17" customWidth="1"/>
    <col min="275" max="275" width="6" style="17" customWidth="1"/>
    <col min="276" max="276" width="13.7265625" style="17" customWidth="1"/>
    <col min="277" max="277" width="6" style="17" customWidth="1"/>
    <col min="278" max="278" width="12.7265625" style="17" customWidth="1"/>
    <col min="279" max="279" width="6.81640625" style="17" customWidth="1"/>
    <col min="280" max="280" width="12.7265625" style="17" customWidth="1"/>
    <col min="281" max="281" width="6.81640625" style="17" customWidth="1"/>
    <col min="282" max="282" width="15.7265625" style="17" bestFit="1" customWidth="1"/>
    <col min="283" max="283" width="8.54296875" style="17" bestFit="1" customWidth="1"/>
    <col min="284" max="284" width="13.54296875" style="17" customWidth="1"/>
    <col min="285" max="285" width="6" style="17" customWidth="1"/>
    <col min="286" max="286" width="13.7265625" style="17" customWidth="1"/>
    <col min="287" max="287" width="6" style="17" customWidth="1"/>
    <col min="288" max="288" width="12.7265625" style="17" customWidth="1"/>
    <col min="289" max="289" width="6.81640625" style="17" customWidth="1"/>
    <col min="290" max="290" width="12.7265625" style="17" customWidth="1"/>
    <col min="291" max="291" width="6.81640625" style="17" customWidth="1"/>
    <col min="292" max="292" width="16.453125" style="17" bestFit="1" customWidth="1"/>
    <col min="293" max="293" width="9.54296875" style="17" bestFit="1" customWidth="1"/>
    <col min="294" max="294" width="17.453125" style="17" bestFit="1" customWidth="1"/>
    <col min="295" max="295" width="6" style="17" customWidth="1"/>
    <col min="296" max="296" width="13.7265625" style="17" customWidth="1"/>
    <col min="297" max="297" width="6" style="17" customWidth="1"/>
    <col min="298" max="298" width="12.7265625" style="17" customWidth="1"/>
    <col min="299" max="299" width="6.81640625" style="17" customWidth="1"/>
    <col min="300" max="300" width="12.7265625" style="17" customWidth="1"/>
    <col min="301" max="301" width="6.81640625" style="17" customWidth="1"/>
    <col min="302" max="302" width="15.453125" style="17" bestFit="1" customWidth="1"/>
    <col min="303" max="303" width="9.54296875" style="17" bestFit="1" customWidth="1"/>
    <col min="304" max="304" width="17.453125" style="17" bestFit="1" customWidth="1"/>
    <col min="305" max="305" width="8" style="17" customWidth="1"/>
    <col min="306" max="306" width="12.1796875" style="17" customWidth="1"/>
    <col min="307" max="307" width="8" style="17" customWidth="1"/>
    <col min="308" max="308" width="20" style="17" customWidth="1"/>
    <col min="309" max="309" width="15.26953125" style="17" bestFit="1" customWidth="1"/>
    <col min="310" max="310" width="14.26953125" style="17" bestFit="1" customWidth="1"/>
    <col min="311" max="311" width="13" style="17" bestFit="1" customWidth="1"/>
    <col min="312" max="483" width="8.7265625" style="17"/>
    <col min="484" max="484" width="2.7265625" style="17" customWidth="1"/>
    <col min="485" max="485" width="3.54296875" style="17" customWidth="1"/>
    <col min="486" max="486" width="7" style="17" customWidth="1"/>
    <col min="487" max="487" width="23" style="17" customWidth="1"/>
    <col min="488" max="488" width="13.26953125" style="17" customWidth="1"/>
    <col min="489" max="489" width="17.453125" style="17" bestFit="1" customWidth="1"/>
    <col min="490" max="490" width="11.54296875" style="17" bestFit="1" customWidth="1"/>
    <col min="491" max="491" width="7.81640625" style="17" customWidth="1"/>
    <col min="492" max="492" width="11.54296875" style="17" bestFit="1" customWidth="1"/>
    <col min="493" max="493" width="7" style="17" customWidth="1"/>
    <col min="494" max="494" width="18.1796875" style="17" customWidth="1"/>
    <col min="495" max="495" width="7" style="17" customWidth="1"/>
    <col min="496" max="496" width="15.54296875" style="17" customWidth="1"/>
    <col min="497" max="497" width="7.81640625" style="17" customWidth="1"/>
    <col min="498" max="498" width="15.54296875" style="17" customWidth="1"/>
    <col min="499" max="499" width="7.81640625" style="17" bestFit="1" customWidth="1"/>
    <col min="500" max="500" width="15.7265625" style="17" bestFit="1" customWidth="1"/>
    <col min="501" max="501" width="7.54296875" style="17" customWidth="1"/>
    <col min="502" max="502" width="14" style="17" customWidth="1"/>
    <col min="503" max="503" width="7.81640625" style="17" customWidth="1"/>
    <col min="504" max="504" width="14" style="17" customWidth="1"/>
    <col min="505" max="505" width="7.81640625" style="17" customWidth="1"/>
    <col min="506" max="506" width="14" style="17" customWidth="1"/>
    <col min="507" max="507" width="9" style="17" customWidth="1"/>
    <col min="508" max="508" width="15.1796875" style="17" customWidth="1"/>
    <col min="509" max="509" width="13" style="17" bestFit="1" customWidth="1"/>
    <col min="510" max="510" width="15.1796875" style="17" bestFit="1" customWidth="1"/>
    <col min="511" max="511" width="7.54296875" style="17" customWidth="1"/>
    <col min="512" max="512" width="14" style="17" customWidth="1"/>
    <col min="513" max="513" width="7.81640625" style="17" customWidth="1"/>
    <col min="514" max="514" width="14" style="17" customWidth="1"/>
    <col min="515" max="515" width="7.81640625" style="17" customWidth="1"/>
    <col min="516" max="516" width="14" style="17" customWidth="1"/>
    <col min="517" max="517" width="9" style="17" bestFit="1" customWidth="1"/>
    <col min="518" max="518" width="15.1796875" style="17" bestFit="1" customWidth="1"/>
    <col min="519" max="519" width="9" style="17" bestFit="1" customWidth="1"/>
    <col min="520" max="520" width="15.1796875" style="17" bestFit="1" customWidth="1"/>
    <col min="521" max="521" width="6.453125" style="17" customWidth="1"/>
    <col min="522" max="522" width="12.7265625" style="17" customWidth="1"/>
    <col min="523" max="523" width="6.453125" style="17" customWidth="1"/>
    <col min="524" max="524" width="12.7265625" style="17" customWidth="1"/>
    <col min="525" max="525" width="6" style="17" customWidth="1"/>
    <col min="526" max="526" width="12.7265625" style="17" customWidth="1"/>
    <col min="527" max="527" width="9.54296875" style="17" customWidth="1"/>
    <col min="528" max="528" width="14" style="17" bestFit="1" customWidth="1"/>
    <col min="529" max="529" width="8.7265625" style="17" bestFit="1" customWidth="1"/>
    <col min="530" max="530" width="13.54296875" style="17" customWidth="1"/>
    <col min="531" max="531" width="6" style="17" customWidth="1"/>
    <col min="532" max="532" width="13.7265625" style="17" customWidth="1"/>
    <col min="533" max="533" width="6" style="17" customWidth="1"/>
    <col min="534" max="534" width="12.7265625" style="17" customWidth="1"/>
    <col min="535" max="535" width="6.81640625" style="17" customWidth="1"/>
    <col min="536" max="536" width="12.7265625" style="17" customWidth="1"/>
    <col min="537" max="537" width="6.81640625" style="17" customWidth="1"/>
    <col min="538" max="538" width="15.7265625" style="17" bestFit="1" customWidth="1"/>
    <col min="539" max="539" width="8.54296875" style="17" bestFit="1" customWidth="1"/>
    <col min="540" max="540" width="13.54296875" style="17" customWidth="1"/>
    <col min="541" max="541" width="6" style="17" customWidth="1"/>
    <col min="542" max="542" width="13.7265625" style="17" customWidth="1"/>
    <col min="543" max="543" width="6" style="17" customWidth="1"/>
    <col min="544" max="544" width="12.7265625" style="17" customWidth="1"/>
    <col min="545" max="545" width="6.81640625" style="17" customWidth="1"/>
    <col min="546" max="546" width="12.7265625" style="17" customWidth="1"/>
    <col min="547" max="547" width="6.81640625" style="17" customWidth="1"/>
    <col min="548" max="548" width="16.453125" style="17" bestFit="1" customWidth="1"/>
    <col min="549" max="549" width="9.54296875" style="17" bestFit="1" customWidth="1"/>
    <col min="550" max="550" width="17.453125" style="17" bestFit="1" customWidth="1"/>
    <col min="551" max="551" width="6" style="17" customWidth="1"/>
    <col min="552" max="552" width="13.7265625" style="17" customWidth="1"/>
    <col min="553" max="553" width="6" style="17" customWidth="1"/>
    <col min="554" max="554" width="12.7265625" style="17" customWidth="1"/>
    <col min="555" max="555" width="6.81640625" style="17" customWidth="1"/>
    <col min="556" max="556" width="12.7265625" style="17" customWidth="1"/>
    <col min="557" max="557" width="6.81640625" style="17" customWidth="1"/>
    <col min="558" max="558" width="15.453125" style="17" bestFit="1" customWidth="1"/>
    <col min="559" max="559" width="9.54296875" style="17" bestFit="1" customWidth="1"/>
    <col min="560" max="560" width="17.453125" style="17" bestFit="1" customWidth="1"/>
    <col min="561" max="561" width="8" style="17" customWidth="1"/>
    <col min="562" max="562" width="12.1796875" style="17" customWidth="1"/>
    <col min="563" max="563" width="8" style="17" customWidth="1"/>
    <col min="564" max="564" width="20" style="17" customWidth="1"/>
    <col min="565" max="565" width="15.26953125" style="17" bestFit="1" customWidth="1"/>
    <col min="566" max="566" width="14.26953125" style="17" bestFit="1" customWidth="1"/>
    <col min="567" max="567" width="13" style="17" bestFit="1" customWidth="1"/>
    <col min="568" max="739" width="8.7265625" style="17"/>
    <col min="740" max="740" width="2.7265625" style="17" customWidth="1"/>
    <col min="741" max="741" width="3.54296875" style="17" customWidth="1"/>
    <col min="742" max="742" width="7" style="17" customWidth="1"/>
    <col min="743" max="743" width="23" style="17" customWidth="1"/>
    <col min="744" max="744" width="13.26953125" style="17" customWidth="1"/>
    <col min="745" max="745" width="17.453125" style="17" bestFit="1" customWidth="1"/>
    <col min="746" max="746" width="11.54296875" style="17" bestFit="1" customWidth="1"/>
    <col min="747" max="747" width="7.81640625" style="17" customWidth="1"/>
    <col min="748" max="748" width="11.54296875" style="17" bestFit="1" customWidth="1"/>
    <col min="749" max="749" width="7" style="17" customWidth="1"/>
    <col min="750" max="750" width="18.1796875" style="17" customWidth="1"/>
    <col min="751" max="751" width="7" style="17" customWidth="1"/>
    <col min="752" max="752" width="15.54296875" style="17" customWidth="1"/>
    <col min="753" max="753" width="7.81640625" style="17" customWidth="1"/>
    <col min="754" max="754" width="15.54296875" style="17" customWidth="1"/>
    <col min="755" max="755" width="7.81640625" style="17" bestFit="1" customWidth="1"/>
    <col min="756" max="756" width="15.7265625" style="17" bestFit="1" customWidth="1"/>
    <col min="757" max="757" width="7.54296875" style="17" customWidth="1"/>
    <col min="758" max="758" width="14" style="17" customWidth="1"/>
    <col min="759" max="759" width="7.81640625" style="17" customWidth="1"/>
    <col min="760" max="760" width="14" style="17" customWidth="1"/>
    <col min="761" max="761" width="7.81640625" style="17" customWidth="1"/>
    <col min="762" max="762" width="14" style="17" customWidth="1"/>
    <col min="763" max="763" width="9" style="17" customWidth="1"/>
    <col min="764" max="764" width="15.1796875" style="17" customWidth="1"/>
    <col min="765" max="765" width="13" style="17" bestFit="1" customWidth="1"/>
    <col min="766" max="766" width="15.1796875" style="17" bestFit="1" customWidth="1"/>
    <col min="767" max="767" width="7.54296875" style="17" customWidth="1"/>
    <col min="768" max="768" width="14" style="17" customWidth="1"/>
    <col min="769" max="769" width="7.81640625" style="17" customWidth="1"/>
    <col min="770" max="770" width="14" style="17" customWidth="1"/>
    <col min="771" max="771" width="7.81640625" style="17" customWidth="1"/>
    <col min="772" max="772" width="14" style="17" customWidth="1"/>
    <col min="773" max="773" width="9" style="17" bestFit="1" customWidth="1"/>
    <col min="774" max="774" width="15.1796875" style="17" bestFit="1" customWidth="1"/>
    <col min="775" max="775" width="9" style="17" bestFit="1" customWidth="1"/>
    <col min="776" max="776" width="15.1796875" style="17" bestFit="1" customWidth="1"/>
    <col min="777" max="777" width="6.453125" style="17" customWidth="1"/>
    <col min="778" max="778" width="12.7265625" style="17" customWidth="1"/>
    <col min="779" max="779" width="6.453125" style="17" customWidth="1"/>
    <col min="780" max="780" width="12.7265625" style="17" customWidth="1"/>
    <col min="781" max="781" width="6" style="17" customWidth="1"/>
    <col min="782" max="782" width="12.7265625" style="17" customWidth="1"/>
    <col min="783" max="783" width="9.54296875" style="17" customWidth="1"/>
    <col min="784" max="784" width="14" style="17" bestFit="1" customWidth="1"/>
    <col min="785" max="785" width="8.7265625" style="17" bestFit="1" customWidth="1"/>
    <col min="786" max="786" width="13.54296875" style="17" customWidth="1"/>
    <col min="787" max="787" width="6" style="17" customWidth="1"/>
    <col min="788" max="788" width="13.7265625" style="17" customWidth="1"/>
    <col min="789" max="789" width="6" style="17" customWidth="1"/>
    <col min="790" max="790" width="12.7265625" style="17" customWidth="1"/>
    <col min="791" max="791" width="6.81640625" style="17" customWidth="1"/>
    <col min="792" max="792" width="12.7265625" style="17" customWidth="1"/>
    <col min="793" max="793" width="6.81640625" style="17" customWidth="1"/>
    <col min="794" max="794" width="15.7265625" style="17" bestFit="1" customWidth="1"/>
    <col min="795" max="795" width="8.54296875" style="17" bestFit="1" customWidth="1"/>
    <col min="796" max="796" width="13.54296875" style="17" customWidth="1"/>
    <col min="797" max="797" width="6" style="17" customWidth="1"/>
    <col min="798" max="798" width="13.7265625" style="17" customWidth="1"/>
    <col min="799" max="799" width="6" style="17" customWidth="1"/>
    <col min="800" max="800" width="12.7265625" style="17" customWidth="1"/>
    <col min="801" max="801" width="6.81640625" style="17" customWidth="1"/>
    <col min="802" max="802" width="12.7265625" style="17" customWidth="1"/>
    <col min="803" max="803" width="6.81640625" style="17" customWidth="1"/>
    <col min="804" max="804" width="16.453125" style="17" bestFit="1" customWidth="1"/>
    <col min="805" max="805" width="9.54296875" style="17" bestFit="1" customWidth="1"/>
    <col min="806" max="806" width="17.453125" style="17" bestFit="1" customWidth="1"/>
    <col min="807" max="807" width="6" style="17" customWidth="1"/>
    <col min="808" max="808" width="13.7265625" style="17" customWidth="1"/>
    <col min="809" max="809" width="6" style="17" customWidth="1"/>
    <col min="810" max="810" width="12.7265625" style="17" customWidth="1"/>
    <col min="811" max="811" width="6.81640625" style="17" customWidth="1"/>
    <col min="812" max="812" width="12.7265625" style="17" customWidth="1"/>
    <col min="813" max="813" width="6.81640625" style="17" customWidth="1"/>
    <col min="814" max="814" width="15.453125" style="17" bestFit="1" customWidth="1"/>
    <col min="815" max="815" width="9.54296875" style="17" bestFit="1" customWidth="1"/>
    <col min="816" max="816" width="17.453125" style="17" bestFit="1" customWidth="1"/>
    <col min="817" max="817" width="8" style="17" customWidth="1"/>
    <col min="818" max="818" width="12.1796875" style="17" customWidth="1"/>
    <col min="819" max="819" width="8" style="17" customWidth="1"/>
    <col min="820" max="820" width="20" style="17" customWidth="1"/>
    <col min="821" max="821" width="15.26953125" style="17" bestFit="1" customWidth="1"/>
    <col min="822" max="822" width="14.26953125" style="17" bestFit="1" customWidth="1"/>
    <col min="823" max="823" width="13" style="17" bestFit="1" customWidth="1"/>
    <col min="824" max="995" width="8.7265625" style="17"/>
    <col min="996" max="996" width="2.7265625" style="17" customWidth="1"/>
    <col min="997" max="997" width="3.54296875" style="17" customWidth="1"/>
    <col min="998" max="998" width="7" style="17" customWidth="1"/>
    <col min="999" max="999" width="23" style="17" customWidth="1"/>
    <col min="1000" max="1000" width="13.26953125" style="17" customWidth="1"/>
    <col min="1001" max="1001" width="17.453125" style="17" bestFit="1" customWidth="1"/>
    <col min="1002" max="1002" width="11.54296875" style="17" bestFit="1" customWidth="1"/>
    <col min="1003" max="1003" width="7.81640625" style="17" customWidth="1"/>
    <col min="1004" max="1004" width="11.54296875" style="17" bestFit="1" customWidth="1"/>
    <col min="1005" max="1005" width="7" style="17" customWidth="1"/>
    <col min="1006" max="1006" width="18.1796875" style="17" customWidth="1"/>
    <col min="1007" max="1007" width="7" style="17" customWidth="1"/>
    <col min="1008" max="1008" width="15.54296875" style="17" customWidth="1"/>
    <col min="1009" max="1009" width="7.81640625" style="17" customWidth="1"/>
    <col min="1010" max="1010" width="15.54296875" style="17" customWidth="1"/>
    <col min="1011" max="1011" width="7.81640625" style="17" bestFit="1" customWidth="1"/>
    <col min="1012" max="1012" width="15.7265625" style="17" bestFit="1" customWidth="1"/>
    <col min="1013" max="1013" width="7.54296875" style="17" customWidth="1"/>
    <col min="1014" max="1014" width="14" style="17" customWidth="1"/>
    <col min="1015" max="1015" width="7.81640625" style="17" customWidth="1"/>
    <col min="1016" max="1016" width="14" style="17" customWidth="1"/>
    <col min="1017" max="1017" width="7.81640625" style="17" customWidth="1"/>
    <col min="1018" max="1018" width="14" style="17" customWidth="1"/>
    <col min="1019" max="1019" width="9" style="17" customWidth="1"/>
    <col min="1020" max="1020" width="15.1796875" style="17" customWidth="1"/>
    <col min="1021" max="1021" width="13" style="17" bestFit="1" customWidth="1"/>
    <col min="1022" max="1022" width="15.1796875" style="17" bestFit="1" customWidth="1"/>
    <col min="1023" max="1023" width="7.54296875" style="17" customWidth="1"/>
    <col min="1024" max="1024" width="14" style="17" customWidth="1"/>
    <col min="1025" max="1025" width="7.81640625" style="17" customWidth="1"/>
    <col min="1026" max="1026" width="14" style="17" customWidth="1"/>
    <col min="1027" max="1027" width="7.81640625" style="17" customWidth="1"/>
    <col min="1028" max="1028" width="14" style="17" customWidth="1"/>
    <col min="1029" max="1029" width="9" style="17" bestFit="1" customWidth="1"/>
    <col min="1030" max="1030" width="15.1796875" style="17" bestFit="1" customWidth="1"/>
    <col min="1031" max="1031" width="9" style="17" bestFit="1" customWidth="1"/>
    <col min="1032" max="1032" width="15.1796875" style="17" bestFit="1" customWidth="1"/>
    <col min="1033" max="1033" width="6.453125" style="17" customWidth="1"/>
    <col min="1034" max="1034" width="12.7265625" style="17" customWidth="1"/>
    <col min="1035" max="1035" width="6.453125" style="17" customWidth="1"/>
    <col min="1036" max="1036" width="12.7265625" style="17" customWidth="1"/>
    <col min="1037" max="1037" width="6" style="17" customWidth="1"/>
    <col min="1038" max="1038" width="12.7265625" style="17" customWidth="1"/>
    <col min="1039" max="1039" width="9.54296875" style="17" customWidth="1"/>
    <col min="1040" max="1040" width="14" style="17" bestFit="1" customWidth="1"/>
    <col min="1041" max="1041" width="8.7265625" style="17" bestFit="1" customWidth="1"/>
    <col min="1042" max="1042" width="13.54296875" style="17" customWidth="1"/>
    <col min="1043" max="1043" width="6" style="17" customWidth="1"/>
    <col min="1044" max="1044" width="13.7265625" style="17" customWidth="1"/>
    <col min="1045" max="1045" width="6" style="17" customWidth="1"/>
    <col min="1046" max="1046" width="12.7265625" style="17" customWidth="1"/>
    <col min="1047" max="1047" width="6.81640625" style="17" customWidth="1"/>
    <col min="1048" max="1048" width="12.7265625" style="17" customWidth="1"/>
    <col min="1049" max="1049" width="6.81640625" style="17" customWidth="1"/>
    <col min="1050" max="1050" width="15.7265625" style="17" bestFit="1" customWidth="1"/>
    <col min="1051" max="1051" width="8.54296875" style="17" bestFit="1" customWidth="1"/>
    <col min="1052" max="1052" width="13.54296875" style="17" customWidth="1"/>
    <col min="1053" max="1053" width="6" style="17" customWidth="1"/>
    <col min="1054" max="1054" width="13.7265625" style="17" customWidth="1"/>
    <col min="1055" max="1055" width="6" style="17" customWidth="1"/>
    <col min="1056" max="1056" width="12.7265625" style="17" customWidth="1"/>
    <col min="1057" max="1057" width="6.81640625" style="17" customWidth="1"/>
    <col min="1058" max="1058" width="12.7265625" style="17" customWidth="1"/>
    <col min="1059" max="1059" width="6.81640625" style="17" customWidth="1"/>
    <col min="1060" max="1060" width="16.453125" style="17" bestFit="1" customWidth="1"/>
    <col min="1061" max="1061" width="9.54296875" style="17" bestFit="1" customWidth="1"/>
    <col min="1062" max="1062" width="17.453125" style="17" bestFit="1" customWidth="1"/>
    <col min="1063" max="1063" width="6" style="17" customWidth="1"/>
    <col min="1064" max="1064" width="13.7265625" style="17" customWidth="1"/>
    <col min="1065" max="1065" width="6" style="17" customWidth="1"/>
    <col min="1066" max="1066" width="12.7265625" style="17" customWidth="1"/>
    <col min="1067" max="1067" width="6.81640625" style="17" customWidth="1"/>
    <col min="1068" max="1068" width="12.7265625" style="17" customWidth="1"/>
    <col min="1069" max="1069" width="6.81640625" style="17" customWidth="1"/>
    <col min="1070" max="1070" width="15.453125" style="17" bestFit="1" customWidth="1"/>
    <col min="1071" max="1071" width="9.54296875" style="17" bestFit="1" customWidth="1"/>
    <col min="1072" max="1072" width="17.453125" style="17" bestFit="1" customWidth="1"/>
    <col min="1073" max="1073" width="8" style="17" customWidth="1"/>
    <col min="1074" max="1074" width="12.1796875" style="17" customWidth="1"/>
    <col min="1075" max="1075" width="8" style="17" customWidth="1"/>
    <col min="1076" max="1076" width="20" style="17" customWidth="1"/>
    <col min="1077" max="1077" width="15.26953125" style="17" bestFit="1" customWidth="1"/>
    <col min="1078" max="1078" width="14.26953125" style="17" bestFit="1" customWidth="1"/>
    <col min="1079" max="1079" width="13" style="17" bestFit="1" customWidth="1"/>
    <col min="1080" max="1251" width="8.7265625" style="17"/>
    <col min="1252" max="1252" width="2.7265625" style="17" customWidth="1"/>
    <col min="1253" max="1253" width="3.54296875" style="17" customWidth="1"/>
    <col min="1254" max="1254" width="7" style="17" customWidth="1"/>
    <col min="1255" max="1255" width="23" style="17" customWidth="1"/>
    <col min="1256" max="1256" width="13.26953125" style="17" customWidth="1"/>
    <col min="1257" max="1257" width="17.453125" style="17" bestFit="1" customWidth="1"/>
    <col min="1258" max="1258" width="11.54296875" style="17" bestFit="1" customWidth="1"/>
    <col min="1259" max="1259" width="7.81640625" style="17" customWidth="1"/>
    <col min="1260" max="1260" width="11.54296875" style="17" bestFit="1" customWidth="1"/>
    <col min="1261" max="1261" width="7" style="17" customWidth="1"/>
    <col min="1262" max="1262" width="18.1796875" style="17" customWidth="1"/>
    <col min="1263" max="1263" width="7" style="17" customWidth="1"/>
    <col min="1264" max="1264" width="15.54296875" style="17" customWidth="1"/>
    <col min="1265" max="1265" width="7.81640625" style="17" customWidth="1"/>
    <col min="1266" max="1266" width="15.54296875" style="17" customWidth="1"/>
    <col min="1267" max="1267" width="7.81640625" style="17" bestFit="1" customWidth="1"/>
    <col min="1268" max="1268" width="15.7265625" style="17" bestFit="1" customWidth="1"/>
    <col min="1269" max="1269" width="7.54296875" style="17" customWidth="1"/>
    <col min="1270" max="1270" width="14" style="17" customWidth="1"/>
    <col min="1271" max="1271" width="7.81640625" style="17" customWidth="1"/>
    <col min="1272" max="1272" width="14" style="17" customWidth="1"/>
    <col min="1273" max="1273" width="7.81640625" style="17" customWidth="1"/>
    <col min="1274" max="1274" width="14" style="17" customWidth="1"/>
    <col min="1275" max="1275" width="9" style="17" customWidth="1"/>
    <col min="1276" max="1276" width="15.1796875" style="17" customWidth="1"/>
    <col min="1277" max="1277" width="13" style="17" bestFit="1" customWidth="1"/>
    <col min="1278" max="1278" width="15.1796875" style="17" bestFit="1" customWidth="1"/>
    <col min="1279" max="1279" width="7.54296875" style="17" customWidth="1"/>
    <col min="1280" max="1280" width="14" style="17" customWidth="1"/>
    <col min="1281" max="1281" width="7.81640625" style="17" customWidth="1"/>
    <col min="1282" max="1282" width="14" style="17" customWidth="1"/>
    <col min="1283" max="1283" width="7.81640625" style="17" customWidth="1"/>
    <col min="1284" max="1284" width="14" style="17" customWidth="1"/>
    <col min="1285" max="1285" width="9" style="17" bestFit="1" customWidth="1"/>
    <col min="1286" max="1286" width="15.1796875" style="17" bestFit="1" customWidth="1"/>
    <col min="1287" max="1287" width="9" style="17" bestFit="1" customWidth="1"/>
    <col min="1288" max="1288" width="15.1796875" style="17" bestFit="1" customWidth="1"/>
    <col min="1289" max="1289" width="6.453125" style="17" customWidth="1"/>
    <col min="1290" max="1290" width="12.7265625" style="17" customWidth="1"/>
    <col min="1291" max="1291" width="6.453125" style="17" customWidth="1"/>
    <col min="1292" max="1292" width="12.7265625" style="17" customWidth="1"/>
    <col min="1293" max="1293" width="6" style="17" customWidth="1"/>
    <col min="1294" max="1294" width="12.7265625" style="17" customWidth="1"/>
    <col min="1295" max="1295" width="9.54296875" style="17" customWidth="1"/>
    <col min="1296" max="1296" width="14" style="17" bestFit="1" customWidth="1"/>
    <col min="1297" max="1297" width="8.7265625" style="17" bestFit="1" customWidth="1"/>
    <col min="1298" max="1298" width="13.54296875" style="17" customWidth="1"/>
    <col min="1299" max="1299" width="6" style="17" customWidth="1"/>
    <col min="1300" max="1300" width="13.7265625" style="17" customWidth="1"/>
    <col min="1301" max="1301" width="6" style="17" customWidth="1"/>
    <col min="1302" max="1302" width="12.7265625" style="17" customWidth="1"/>
    <col min="1303" max="1303" width="6.81640625" style="17" customWidth="1"/>
    <col min="1304" max="1304" width="12.7265625" style="17" customWidth="1"/>
    <col min="1305" max="1305" width="6.81640625" style="17" customWidth="1"/>
    <col min="1306" max="1306" width="15.7265625" style="17" bestFit="1" customWidth="1"/>
    <col min="1307" max="1307" width="8.54296875" style="17" bestFit="1" customWidth="1"/>
    <col min="1308" max="1308" width="13.54296875" style="17" customWidth="1"/>
    <col min="1309" max="1309" width="6" style="17" customWidth="1"/>
    <col min="1310" max="1310" width="13.7265625" style="17" customWidth="1"/>
    <col min="1311" max="1311" width="6" style="17" customWidth="1"/>
    <col min="1312" max="1312" width="12.7265625" style="17" customWidth="1"/>
    <col min="1313" max="1313" width="6.81640625" style="17" customWidth="1"/>
    <col min="1314" max="1314" width="12.7265625" style="17" customWidth="1"/>
    <col min="1315" max="1315" width="6.81640625" style="17" customWidth="1"/>
    <col min="1316" max="1316" width="16.453125" style="17" bestFit="1" customWidth="1"/>
    <col min="1317" max="1317" width="9.54296875" style="17" bestFit="1" customWidth="1"/>
    <col min="1318" max="1318" width="17.453125" style="17" bestFit="1" customWidth="1"/>
    <col min="1319" max="1319" width="6" style="17" customWidth="1"/>
    <col min="1320" max="1320" width="13.7265625" style="17" customWidth="1"/>
    <col min="1321" max="1321" width="6" style="17" customWidth="1"/>
    <col min="1322" max="1322" width="12.7265625" style="17" customWidth="1"/>
    <col min="1323" max="1323" width="6.81640625" style="17" customWidth="1"/>
    <col min="1324" max="1324" width="12.7265625" style="17" customWidth="1"/>
    <col min="1325" max="1325" width="6.81640625" style="17" customWidth="1"/>
    <col min="1326" max="1326" width="15.453125" style="17" bestFit="1" customWidth="1"/>
    <col min="1327" max="1327" width="9.54296875" style="17" bestFit="1" customWidth="1"/>
    <col min="1328" max="1328" width="17.453125" style="17" bestFit="1" customWidth="1"/>
    <col min="1329" max="1329" width="8" style="17" customWidth="1"/>
    <col min="1330" max="1330" width="12.1796875" style="17" customWidth="1"/>
    <col min="1331" max="1331" width="8" style="17" customWidth="1"/>
    <col min="1332" max="1332" width="20" style="17" customWidth="1"/>
    <col min="1333" max="1333" width="15.26953125" style="17" bestFit="1" customWidth="1"/>
    <col min="1334" max="1334" width="14.26953125" style="17" bestFit="1" customWidth="1"/>
    <col min="1335" max="1335" width="13" style="17" bestFit="1" customWidth="1"/>
    <col min="1336" max="1507" width="8.7265625" style="17"/>
    <col min="1508" max="1508" width="2.7265625" style="17" customWidth="1"/>
    <col min="1509" max="1509" width="3.54296875" style="17" customWidth="1"/>
    <col min="1510" max="1510" width="7" style="17" customWidth="1"/>
    <col min="1511" max="1511" width="23" style="17" customWidth="1"/>
    <col min="1512" max="1512" width="13.26953125" style="17" customWidth="1"/>
    <col min="1513" max="1513" width="17.453125" style="17" bestFit="1" customWidth="1"/>
    <col min="1514" max="1514" width="11.54296875" style="17" bestFit="1" customWidth="1"/>
    <col min="1515" max="1515" width="7.81640625" style="17" customWidth="1"/>
    <col min="1516" max="1516" width="11.54296875" style="17" bestFit="1" customWidth="1"/>
    <col min="1517" max="1517" width="7" style="17" customWidth="1"/>
    <col min="1518" max="1518" width="18.1796875" style="17" customWidth="1"/>
    <col min="1519" max="1519" width="7" style="17" customWidth="1"/>
    <col min="1520" max="1520" width="15.54296875" style="17" customWidth="1"/>
    <col min="1521" max="1521" width="7.81640625" style="17" customWidth="1"/>
    <col min="1522" max="1522" width="15.54296875" style="17" customWidth="1"/>
    <col min="1523" max="1523" width="7.81640625" style="17" bestFit="1" customWidth="1"/>
    <col min="1524" max="1524" width="15.7265625" style="17" bestFit="1" customWidth="1"/>
    <col min="1525" max="1525" width="7.54296875" style="17" customWidth="1"/>
    <col min="1526" max="1526" width="14" style="17" customWidth="1"/>
    <col min="1527" max="1527" width="7.81640625" style="17" customWidth="1"/>
    <col min="1528" max="1528" width="14" style="17" customWidth="1"/>
    <col min="1529" max="1529" width="7.81640625" style="17" customWidth="1"/>
    <col min="1530" max="1530" width="14" style="17" customWidth="1"/>
    <col min="1531" max="1531" width="9" style="17" customWidth="1"/>
    <col min="1532" max="1532" width="15.1796875" style="17" customWidth="1"/>
    <col min="1533" max="1533" width="13" style="17" bestFit="1" customWidth="1"/>
    <col min="1534" max="1534" width="15.1796875" style="17" bestFit="1" customWidth="1"/>
    <col min="1535" max="1535" width="7.54296875" style="17" customWidth="1"/>
    <col min="1536" max="1536" width="14" style="17" customWidth="1"/>
    <col min="1537" max="1537" width="7.81640625" style="17" customWidth="1"/>
    <col min="1538" max="1538" width="14" style="17" customWidth="1"/>
    <col min="1539" max="1539" width="7.81640625" style="17" customWidth="1"/>
    <col min="1540" max="1540" width="14" style="17" customWidth="1"/>
    <col min="1541" max="1541" width="9" style="17" bestFit="1" customWidth="1"/>
    <col min="1542" max="1542" width="15.1796875" style="17" bestFit="1" customWidth="1"/>
    <col min="1543" max="1543" width="9" style="17" bestFit="1" customWidth="1"/>
    <col min="1544" max="1544" width="15.1796875" style="17" bestFit="1" customWidth="1"/>
    <col min="1545" max="1545" width="6.453125" style="17" customWidth="1"/>
    <col min="1546" max="1546" width="12.7265625" style="17" customWidth="1"/>
    <col min="1547" max="1547" width="6.453125" style="17" customWidth="1"/>
    <col min="1548" max="1548" width="12.7265625" style="17" customWidth="1"/>
    <col min="1549" max="1549" width="6" style="17" customWidth="1"/>
    <col min="1550" max="1550" width="12.7265625" style="17" customWidth="1"/>
    <col min="1551" max="1551" width="9.54296875" style="17" customWidth="1"/>
    <col min="1552" max="1552" width="14" style="17" bestFit="1" customWidth="1"/>
    <col min="1553" max="1553" width="8.7265625" style="17" bestFit="1" customWidth="1"/>
    <col min="1554" max="1554" width="13.54296875" style="17" customWidth="1"/>
    <col min="1555" max="1555" width="6" style="17" customWidth="1"/>
    <col min="1556" max="1556" width="13.7265625" style="17" customWidth="1"/>
    <col min="1557" max="1557" width="6" style="17" customWidth="1"/>
    <col min="1558" max="1558" width="12.7265625" style="17" customWidth="1"/>
    <col min="1559" max="1559" width="6.81640625" style="17" customWidth="1"/>
    <col min="1560" max="1560" width="12.7265625" style="17" customWidth="1"/>
    <col min="1561" max="1561" width="6.81640625" style="17" customWidth="1"/>
    <col min="1562" max="1562" width="15.7265625" style="17" bestFit="1" customWidth="1"/>
    <col min="1563" max="1563" width="8.54296875" style="17" bestFit="1" customWidth="1"/>
    <col min="1564" max="1564" width="13.54296875" style="17" customWidth="1"/>
    <col min="1565" max="1565" width="6" style="17" customWidth="1"/>
    <col min="1566" max="1566" width="13.7265625" style="17" customWidth="1"/>
    <col min="1567" max="1567" width="6" style="17" customWidth="1"/>
    <col min="1568" max="1568" width="12.7265625" style="17" customWidth="1"/>
    <col min="1569" max="1569" width="6.81640625" style="17" customWidth="1"/>
    <col min="1570" max="1570" width="12.7265625" style="17" customWidth="1"/>
    <col min="1571" max="1571" width="6.81640625" style="17" customWidth="1"/>
    <col min="1572" max="1572" width="16.453125" style="17" bestFit="1" customWidth="1"/>
    <col min="1573" max="1573" width="9.54296875" style="17" bestFit="1" customWidth="1"/>
    <col min="1574" max="1574" width="17.453125" style="17" bestFit="1" customWidth="1"/>
    <col min="1575" max="1575" width="6" style="17" customWidth="1"/>
    <col min="1576" max="1576" width="13.7265625" style="17" customWidth="1"/>
    <col min="1577" max="1577" width="6" style="17" customWidth="1"/>
    <col min="1578" max="1578" width="12.7265625" style="17" customWidth="1"/>
    <col min="1579" max="1579" width="6.81640625" style="17" customWidth="1"/>
    <col min="1580" max="1580" width="12.7265625" style="17" customWidth="1"/>
    <col min="1581" max="1581" width="6.81640625" style="17" customWidth="1"/>
    <col min="1582" max="1582" width="15.453125" style="17" bestFit="1" customWidth="1"/>
    <col min="1583" max="1583" width="9.54296875" style="17" bestFit="1" customWidth="1"/>
    <col min="1584" max="1584" width="17.453125" style="17" bestFit="1" customWidth="1"/>
    <col min="1585" max="1585" width="8" style="17" customWidth="1"/>
    <col min="1586" max="1586" width="12.1796875" style="17" customWidth="1"/>
    <col min="1587" max="1587" width="8" style="17" customWidth="1"/>
    <col min="1588" max="1588" width="20" style="17" customWidth="1"/>
    <col min="1589" max="1589" width="15.26953125" style="17" bestFit="1" customWidth="1"/>
    <col min="1590" max="1590" width="14.26953125" style="17" bestFit="1" customWidth="1"/>
    <col min="1591" max="1591" width="13" style="17" bestFit="1" customWidth="1"/>
    <col min="1592" max="1763" width="8.7265625" style="17"/>
    <col min="1764" max="1764" width="2.7265625" style="17" customWidth="1"/>
    <col min="1765" max="1765" width="3.54296875" style="17" customWidth="1"/>
    <col min="1766" max="1766" width="7" style="17" customWidth="1"/>
    <col min="1767" max="1767" width="23" style="17" customWidth="1"/>
    <col min="1768" max="1768" width="13.26953125" style="17" customWidth="1"/>
    <col min="1769" max="1769" width="17.453125" style="17" bestFit="1" customWidth="1"/>
    <col min="1770" max="1770" width="11.54296875" style="17" bestFit="1" customWidth="1"/>
    <col min="1771" max="1771" width="7.81640625" style="17" customWidth="1"/>
    <col min="1772" max="1772" width="11.54296875" style="17" bestFit="1" customWidth="1"/>
    <col min="1773" max="1773" width="7" style="17" customWidth="1"/>
    <col min="1774" max="1774" width="18.1796875" style="17" customWidth="1"/>
    <col min="1775" max="1775" width="7" style="17" customWidth="1"/>
    <col min="1776" max="1776" width="15.54296875" style="17" customWidth="1"/>
    <col min="1777" max="1777" width="7.81640625" style="17" customWidth="1"/>
    <col min="1778" max="1778" width="15.54296875" style="17" customWidth="1"/>
    <col min="1779" max="1779" width="7.81640625" style="17" bestFit="1" customWidth="1"/>
    <col min="1780" max="1780" width="15.7265625" style="17" bestFit="1" customWidth="1"/>
    <col min="1781" max="1781" width="7.54296875" style="17" customWidth="1"/>
    <col min="1782" max="1782" width="14" style="17" customWidth="1"/>
    <col min="1783" max="1783" width="7.81640625" style="17" customWidth="1"/>
    <col min="1784" max="1784" width="14" style="17" customWidth="1"/>
    <col min="1785" max="1785" width="7.81640625" style="17" customWidth="1"/>
    <col min="1786" max="1786" width="14" style="17" customWidth="1"/>
    <col min="1787" max="1787" width="9" style="17" customWidth="1"/>
    <col min="1788" max="1788" width="15.1796875" style="17" customWidth="1"/>
    <col min="1789" max="1789" width="13" style="17" bestFit="1" customWidth="1"/>
    <col min="1790" max="1790" width="15.1796875" style="17" bestFit="1" customWidth="1"/>
    <col min="1791" max="1791" width="7.54296875" style="17" customWidth="1"/>
    <col min="1792" max="1792" width="14" style="17" customWidth="1"/>
    <col min="1793" max="1793" width="7.81640625" style="17" customWidth="1"/>
    <col min="1794" max="1794" width="14" style="17" customWidth="1"/>
    <col min="1795" max="1795" width="7.81640625" style="17" customWidth="1"/>
    <col min="1796" max="1796" width="14" style="17" customWidth="1"/>
    <col min="1797" max="1797" width="9" style="17" bestFit="1" customWidth="1"/>
    <col min="1798" max="1798" width="15.1796875" style="17" bestFit="1" customWidth="1"/>
    <col min="1799" max="1799" width="9" style="17" bestFit="1" customWidth="1"/>
    <col min="1800" max="1800" width="15.1796875" style="17" bestFit="1" customWidth="1"/>
    <col min="1801" max="1801" width="6.453125" style="17" customWidth="1"/>
    <col min="1802" max="1802" width="12.7265625" style="17" customWidth="1"/>
    <col min="1803" max="1803" width="6.453125" style="17" customWidth="1"/>
    <col min="1804" max="1804" width="12.7265625" style="17" customWidth="1"/>
    <col min="1805" max="1805" width="6" style="17" customWidth="1"/>
    <col min="1806" max="1806" width="12.7265625" style="17" customWidth="1"/>
    <col min="1807" max="1807" width="9.54296875" style="17" customWidth="1"/>
    <col min="1808" max="1808" width="14" style="17" bestFit="1" customWidth="1"/>
    <col min="1809" max="1809" width="8.7265625" style="17" bestFit="1" customWidth="1"/>
    <col min="1810" max="1810" width="13.54296875" style="17" customWidth="1"/>
    <col min="1811" max="1811" width="6" style="17" customWidth="1"/>
    <col min="1812" max="1812" width="13.7265625" style="17" customWidth="1"/>
    <col min="1813" max="1813" width="6" style="17" customWidth="1"/>
    <col min="1814" max="1814" width="12.7265625" style="17" customWidth="1"/>
    <col min="1815" max="1815" width="6.81640625" style="17" customWidth="1"/>
    <col min="1816" max="1816" width="12.7265625" style="17" customWidth="1"/>
    <col min="1817" max="1817" width="6.81640625" style="17" customWidth="1"/>
    <col min="1818" max="1818" width="15.7265625" style="17" bestFit="1" customWidth="1"/>
    <col min="1819" max="1819" width="8.54296875" style="17" bestFit="1" customWidth="1"/>
    <col min="1820" max="1820" width="13.54296875" style="17" customWidth="1"/>
    <col min="1821" max="1821" width="6" style="17" customWidth="1"/>
    <col min="1822" max="1822" width="13.7265625" style="17" customWidth="1"/>
    <col min="1823" max="1823" width="6" style="17" customWidth="1"/>
    <col min="1824" max="1824" width="12.7265625" style="17" customWidth="1"/>
    <col min="1825" max="1825" width="6.81640625" style="17" customWidth="1"/>
    <col min="1826" max="1826" width="12.7265625" style="17" customWidth="1"/>
    <col min="1827" max="1827" width="6.81640625" style="17" customWidth="1"/>
    <col min="1828" max="1828" width="16.453125" style="17" bestFit="1" customWidth="1"/>
    <col min="1829" max="1829" width="9.54296875" style="17" bestFit="1" customWidth="1"/>
    <col min="1830" max="1830" width="17.453125" style="17" bestFit="1" customWidth="1"/>
    <col min="1831" max="1831" width="6" style="17" customWidth="1"/>
    <col min="1832" max="1832" width="13.7265625" style="17" customWidth="1"/>
    <col min="1833" max="1833" width="6" style="17" customWidth="1"/>
    <col min="1834" max="1834" width="12.7265625" style="17" customWidth="1"/>
    <col min="1835" max="1835" width="6.81640625" style="17" customWidth="1"/>
    <col min="1836" max="1836" width="12.7265625" style="17" customWidth="1"/>
    <col min="1837" max="1837" width="6.81640625" style="17" customWidth="1"/>
    <col min="1838" max="1838" width="15.453125" style="17" bestFit="1" customWidth="1"/>
    <col min="1839" max="1839" width="9.54296875" style="17" bestFit="1" customWidth="1"/>
    <col min="1840" max="1840" width="17.453125" style="17" bestFit="1" customWidth="1"/>
    <col min="1841" max="1841" width="8" style="17" customWidth="1"/>
    <col min="1842" max="1842" width="12.1796875" style="17" customWidth="1"/>
    <col min="1843" max="1843" width="8" style="17" customWidth="1"/>
    <col min="1844" max="1844" width="20" style="17" customWidth="1"/>
    <col min="1845" max="1845" width="15.26953125" style="17" bestFit="1" customWidth="1"/>
    <col min="1846" max="1846" width="14.26953125" style="17" bestFit="1" customWidth="1"/>
    <col min="1847" max="1847" width="13" style="17" bestFit="1" customWidth="1"/>
    <col min="1848" max="2019" width="8.7265625" style="17"/>
    <col min="2020" max="2020" width="2.7265625" style="17" customWidth="1"/>
    <col min="2021" max="2021" width="3.54296875" style="17" customWidth="1"/>
    <col min="2022" max="2022" width="7" style="17" customWidth="1"/>
    <col min="2023" max="2023" width="23" style="17" customWidth="1"/>
    <col min="2024" max="2024" width="13.26953125" style="17" customWidth="1"/>
    <col min="2025" max="2025" width="17.453125" style="17" bestFit="1" customWidth="1"/>
    <col min="2026" max="2026" width="11.54296875" style="17" bestFit="1" customWidth="1"/>
    <col min="2027" max="2027" width="7.81640625" style="17" customWidth="1"/>
    <col min="2028" max="2028" width="11.54296875" style="17" bestFit="1" customWidth="1"/>
    <col min="2029" max="2029" width="7" style="17" customWidth="1"/>
    <col min="2030" max="2030" width="18.1796875" style="17" customWidth="1"/>
    <col min="2031" max="2031" width="7" style="17" customWidth="1"/>
    <col min="2032" max="2032" width="15.54296875" style="17" customWidth="1"/>
    <col min="2033" max="2033" width="7.81640625" style="17" customWidth="1"/>
    <col min="2034" max="2034" width="15.54296875" style="17" customWidth="1"/>
    <col min="2035" max="2035" width="7.81640625" style="17" bestFit="1" customWidth="1"/>
    <col min="2036" max="2036" width="15.7265625" style="17" bestFit="1" customWidth="1"/>
    <col min="2037" max="2037" width="7.54296875" style="17" customWidth="1"/>
    <col min="2038" max="2038" width="14" style="17" customWidth="1"/>
    <col min="2039" max="2039" width="7.81640625" style="17" customWidth="1"/>
    <col min="2040" max="2040" width="14" style="17" customWidth="1"/>
    <col min="2041" max="2041" width="7.81640625" style="17" customWidth="1"/>
    <col min="2042" max="2042" width="14" style="17" customWidth="1"/>
    <col min="2043" max="2043" width="9" style="17" customWidth="1"/>
    <col min="2044" max="2044" width="15.1796875" style="17" customWidth="1"/>
    <col min="2045" max="2045" width="13" style="17" bestFit="1" customWidth="1"/>
    <col min="2046" max="2046" width="15.1796875" style="17" bestFit="1" customWidth="1"/>
    <col min="2047" max="2047" width="7.54296875" style="17" customWidth="1"/>
    <col min="2048" max="2048" width="14" style="17" customWidth="1"/>
    <col min="2049" max="2049" width="7.81640625" style="17" customWidth="1"/>
    <col min="2050" max="2050" width="14" style="17" customWidth="1"/>
    <col min="2051" max="2051" width="7.81640625" style="17" customWidth="1"/>
    <col min="2052" max="2052" width="14" style="17" customWidth="1"/>
    <col min="2053" max="2053" width="9" style="17" bestFit="1" customWidth="1"/>
    <col min="2054" max="2054" width="15.1796875" style="17" bestFit="1" customWidth="1"/>
    <col min="2055" max="2055" width="9" style="17" bestFit="1" customWidth="1"/>
    <col min="2056" max="2056" width="15.1796875" style="17" bestFit="1" customWidth="1"/>
    <col min="2057" max="2057" width="6.453125" style="17" customWidth="1"/>
    <col min="2058" max="2058" width="12.7265625" style="17" customWidth="1"/>
    <col min="2059" max="2059" width="6.453125" style="17" customWidth="1"/>
    <col min="2060" max="2060" width="12.7265625" style="17" customWidth="1"/>
    <col min="2061" max="2061" width="6" style="17" customWidth="1"/>
    <col min="2062" max="2062" width="12.7265625" style="17" customWidth="1"/>
    <col min="2063" max="2063" width="9.54296875" style="17" customWidth="1"/>
    <col min="2064" max="2064" width="14" style="17" bestFit="1" customWidth="1"/>
    <col min="2065" max="2065" width="8.7265625" style="17" bestFit="1" customWidth="1"/>
    <col min="2066" max="2066" width="13.54296875" style="17" customWidth="1"/>
    <col min="2067" max="2067" width="6" style="17" customWidth="1"/>
    <col min="2068" max="2068" width="13.7265625" style="17" customWidth="1"/>
    <col min="2069" max="2069" width="6" style="17" customWidth="1"/>
    <col min="2070" max="2070" width="12.7265625" style="17" customWidth="1"/>
    <col min="2071" max="2071" width="6.81640625" style="17" customWidth="1"/>
    <col min="2072" max="2072" width="12.7265625" style="17" customWidth="1"/>
    <col min="2073" max="2073" width="6.81640625" style="17" customWidth="1"/>
    <col min="2074" max="2074" width="15.7265625" style="17" bestFit="1" customWidth="1"/>
    <col min="2075" max="2075" width="8.54296875" style="17" bestFit="1" customWidth="1"/>
    <col min="2076" max="2076" width="13.54296875" style="17" customWidth="1"/>
    <col min="2077" max="2077" width="6" style="17" customWidth="1"/>
    <col min="2078" max="2078" width="13.7265625" style="17" customWidth="1"/>
    <col min="2079" max="2079" width="6" style="17" customWidth="1"/>
    <col min="2080" max="2080" width="12.7265625" style="17" customWidth="1"/>
    <col min="2081" max="2081" width="6.81640625" style="17" customWidth="1"/>
    <col min="2082" max="2082" width="12.7265625" style="17" customWidth="1"/>
    <col min="2083" max="2083" width="6.81640625" style="17" customWidth="1"/>
    <col min="2084" max="2084" width="16.453125" style="17" bestFit="1" customWidth="1"/>
    <col min="2085" max="2085" width="9.54296875" style="17" bestFit="1" customWidth="1"/>
    <col min="2086" max="2086" width="17.453125" style="17" bestFit="1" customWidth="1"/>
    <col min="2087" max="2087" width="6" style="17" customWidth="1"/>
    <col min="2088" max="2088" width="13.7265625" style="17" customWidth="1"/>
    <col min="2089" max="2089" width="6" style="17" customWidth="1"/>
    <col min="2090" max="2090" width="12.7265625" style="17" customWidth="1"/>
    <col min="2091" max="2091" width="6.81640625" style="17" customWidth="1"/>
    <col min="2092" max="2092" width="12.7265625" style="17" customWidth="1"/>
    <col min="2093" max="2093" width="6.81640625" style="17" customWidth="1"/>
    <col min="2094" max="2094" width="15.453125" style="17" bestFit="1" customWidth="1"/>
    <col min="2095" max="2095" width="9.54296875" style="17" bestFit="1" customWidth="1"/>
    <col min="2096" max="2096" width="17.453125" style="17" bestFit="1" customWidth="1"/>
    <col min="2097" max="2097" width="8" style="17" customWidth="1"/>
    <col min="2098" max="2098" width="12.1796875" style="17" customWidth="1"/>
    <col min="2099" max="2099" width="8" style="17" customWidth="1"/>
    <col min="2100" max="2100" width="20" style="17" customWidth="1"/>
    <col min="2101" max="2101" width="15.26953125" style="17" bestFit="1" customWidth="1"/>
    <col min="2102" max="2102" width="14.26953125" style="17" bestFit="1" customWidth="1"/>
    <col min="2103" max="2103" width="13" style="17" bestFit="1" customWidth="1"/>
    <col min="2104" max="2275" width="8.7265625" style="17"/>
    <col min="2276" max="2276" width="2.7265625" style="17" customWidth="1"/>
    <col min="2277" max="2277" width="3.54296875" style="17" customWidth="1"/>
    <col min="2278" max="2278" width="7" style="17" customWidth="1"/>
    <col min="2279" max="2279" width="23" style="17" customWidth="1"/>
    <col min="2280" max="2280" width="13.26953125" style="17" customWidth="1"/>
    <col min="2281" max="2281" width="17.453125" style="17" bestFit="1" customWidth="1"/>
    <col min="2282" max="2282" width="11.54296875" style="17" bestFit="1" customWidth="1"/>
    <col min="2283" max="2283" width="7.81640625" style="17" customWidth="1"/>
    <col min="2284" max="2284" width="11.54296875" style="17" bestFit="1" customWidth="1"/>
    <col min="2285" max="2285" width="7" style="17" customWidth="1"/>
    <col min="2286" max="2286" width="18.1796875" style="17" customWidth="1"/>
    <col min="2287" max="2287" width="7" style="17" customWidth="1"/>
    <col min="2288" max="2288" width="15.54296875" style="17" customWidth="1"/>
    <col min="2289" max="2289" width="7.81640625" style="17" customWidth="1"/>
    <col min="2290" max="2290" width="15.54296875" style="17" customWidth="1"/>
    <col min="2291" max="2291" width="7.81640625" style="17" bestFit="1" customWidth="1"/>
    <col min="2292" max="2292" width="15.7265625" style="17" bestFit="1" customWidth="1"/>
    <col min="2293" max="2293" width="7.54296875" style="17" customWidth="1"/>
    <col min="2294" max="2294" width="14" style="17" customWidth="1"/>
    <col min="2295" max="2295" width="7.81640625" style="17" customWidth="1"/>
    <col min="2296" max="2296" width="14" style="17" customWidth="1"/>
    <col min="2297" max="2297" width="7.81640625" style="17" customWidth="1"/>
    <col min="2298" max="2298" width="14" style="17" customWidth="1"/>
    <col min="2299" max="2299" width="9" style="17" customWidth="1"/>
    <col min="2300" max="2300" width="15.1796875" style="17" customWidth="1"/>
    <col min="2301" max="2301" width="13" style="17" bestFit="1" customWidth="1"/>
    <col min="2302" max="2302" width="15.1796875" style="17" bestFit="1" customWidth="1"/>
    <col min="2303" max="2303" width="7.54296875" style="17" customWidth="1"/>
    <col min="2304" max="2304" width="14" style="17" customWidth="1"/>
    <col min="2305" max="2305" width="7.81640625" style="17" customWidth="1"/>
    <col min="2306" max="2306" width="14" style="17" customWidth="1"/>
    <col min="2307" max="2307" width="7.81640625" style="17" customWidth="1"/>
    <col min="2308" max="2308" width="14" style="17" customWidth="1"/>
    <col min="2309" max="2309" width="9" style="17" bestFit="1" customWidth="1"/>
    <col min="2310" max="2310" width="15.1796875" style="17" bestFit="1" customWidth="1"/>
    <col min="2311" max="2311" width="9" style="17" bestFit="1" customWidth="1"/>
    <col min="2312" max="2312" width="15.1796875" style="17" bestFit="1" customWidth="1"/>
    <col min="2313" max="2313" width="6.453125" style="17" customWidth="1"/>
    <col min="2314" max="2314" width="12.7265625" style="17" customWidth="1"/>
    <col min="2315" max="2315" width="6.453125" style="17" customWidth="1"/>
    <col min="2316" max="2316" width="12.7265625" style="17" customWidth="1"/>
    <col min="2317" max="2317" width="6" style="17" customWidth="1"/>
    <col min="2318" max="2318" width="12.7265625" style="17" customWidth="1"/>
    <col min="2319" max="2319" width="9.54296875" style="17" customWidth="1"/>
    <col min="2320" max="2320" width="14" style="17" bestFit="1" customWidth="1"/>
    <col min="2321" max="2321" width="8.7265625" style="17" bestFit="1" customWidth="1"/>
    <col min="2322" max="2322" width="13.54296875" style="17" customWidth="1"/>
    <col min="2323" max="2323" width="6" style="17" customWidth="1"/>
    <col min="2324" max="2324" width="13.7265625" style="17" customWidth="1"/>
    <col min="2325" max="2325" width="6" style="17" customWidth="1"/>
    <col min="2326" max="2326" width="12.7265625" style="17" customWidth="1"/>
    <col min="2327" max="2327" width="6.81640625" style="17" customWidth="1"/>
    <col min="2328" max="2328" width="12.7265625" style="17" customWidth="1"/>
    <col min="2329" max="2329" width="6.81640625" style="17" customWidth="1"/>
    <col min="2330" max="2330" width="15.7265625" style="17" bestFit="1" customWidth="1"/>
    <col min="2331" max="2331" width="8.54296875" style="17" bestFit="1" customWidth="1"/>
    <col min="2332" max="2332" width="13.54296875" style="17" customWidth="1"/>
    <col min="2333" max="2333" width="6" style="17" customWidth="1"/>
    <col min="2334" max="2334" width="13.7265625" style="17" customWidth="1"/>
    <col min="2335" max="2335" width="6" style="17" customWidth="1"/>
    <col min="2336" max="2336" width="12.7265625" style="17" customWidth="1"/>
    <col min="2337" max="2337" width="6.81640625" style="17" customWidth="1"/>
    <col min="2338" max="2338" width="12.7265625" style="17" customWidth="1"/>
    <col min="2339" max="2339" width="6.81640625" style="17" customWidth="1"/>
    <col min="2340" max="2340" width="16.453125" style="17" bestFit="1" customWidth="1"/>
    <col min="2341" max="2341" width="9.54296875" style="17" bestFit="1" customWidth="1"/>
    <col min="2342" max="2342" width="17.453125" style="17" bestFit="1" customWidth="1"/>
    <col min="2343" max="2343" width="6" style="17" customWidth="1"/>
    <col min="2344" max="2344" width="13.7265625" style="17" customWidth="1"/>
    <col min="2345" max="2345" width="6" style="17" customWidth="1"/>
    <col min="2346" max="2346" width="12.7265625" style="17" customWidth="1"/>
    <col min="2347" max="2347" width="6.81640625" style="17" customWidth="1"/>
    <col min="2348" max="2348" width="12.7265625" style="17" customWidth="1"/>
    <col min="2349" max="2349" width="6.81640625" style="17" customWidth="1"/>
    <col min="2350" max="2350" width="15.453125" style="17" bestFit="1" customWidth="1"/>
    <col min="2351" max="2351" width="9.54296875" style="17" bestFit="1" customWidth="1"/>
    <col min="2352" max="2352" width="17.453125" style="17" bestFit="1" customWidth="1"/>
    <col min="2353" max="2353" width="8" style="17" customWidth="1"/>
    <col min="2354" max="2354" width="12.1796875" style="17" customWidth="1"/>
    <col min="2355" max="2355" width="8" style="17" customWidth="1"/>
    <col min="2356" max="2356" width="20" style="17" customWidth="1"/>
    <col min="2357" max="2357" width="15.26953125" style="17" bestFit="1" customWidth="1"/>
    <col min="2358" max="2358" width="14.26953125" style="17" bestFit="1" customWidth="1"/>
    <col min="2359" max="2359" width="13" style="17" bestFit="1" customWidth="1"/>
    <col min="2360" max="2531" width="8.7265625" style="17"/>
    <col min="2532" max="2532" width="2.7265625" style="17" customWidth="1"/>
    <col min="2533" max="2533" width="3.54296875" style="17" customWidth="1"/>
    <col min="2534" max="2534" width="7" style="17" customWidth="1"/>
    <col min="2535" max="2535" width="23" style="17" customWidth="1"/>
    <col min="2536" max="2536" width="13.26953125" style="17" customWidth="1"/>
    <col min="2537" max="2537" width="17.453125" style="17" bestFit="1" customWidth="1"/>
    <col min="2538" max="2538" width="11.54296875" style="17" bestFit="1" customWidth="1"/>
    <col min="2539" max="2539" width="7.81640625" style="17" customWidth="1"/>
    <col min="2540" max="2540" width="11.54296875" style="17" bestFit="1" customWidth="1"/>
    <col min="2541" max="2541" width="7" style="17" customWidth="1"/>
    <col min="2542" max="2542" width="18.1796875" style="17" customWidth="1"/>
    <col min="2543" max="2543" width="7" style="17" customWidth="1"/>
    <col min="2544" max="2544" width="15.54296875" style="17" customWidth="1"/>
    <col min="2545" max="2545" width="7.81640625" style="17" customWidth="1"/>
    <col min="2546" max="2546" width="15.54296875" style="17" customWidth="1"/>
    <col min="2547" max="2547" width="7.81640625" style="17" bestFit="1" customWidth="1"/>
    <col min="2548" max="2548" width="15.7265625" style="17" bestFit="1" customWidth="1"/>
    <col min="2549" max="2549" width="7.54296875" style="17" customWidth="1"/>
    <col min="2550" max="2550" width="14" style="17" customWidth="1"/>
    <col min="2551" max="2551" width="7.81640625" style="17" customWidth="1"/>
    <col min="2552" max="2552" width="14" style="17" customWidth="1"/>
    <col min="2553" max="2553" width="7.81640625" style="17" customWidth="1"/>
    <col min="2554" max="2554" width="14" style="17" customWidth="1"/>
    <col min="2555" max="2555" width="9" style="17" customWidth="1"/>
    <col min="2556" max="2556" width="15.1796875" style="17" customWidth="1"/>
    <col min="2557" max="2557" width="13" style="17" bestFit="1" customWidth="1"/>
    <col min="2558" max="2558" width="15.1796875" style="17" bestFit="1" customWidth="1"/>
    <col min="2559" max="2559" width="7.54296875" style="17" customWidth="1"/>
    <col min="2560" max="2560" width="14" style="17" customWidth="1"/>
    <col min="2561" max="2561" width="7.81640625" style="17" customWidth="1"/>
    <col min="2562" max="2562" width="14" style="17" customWidth="1"/>
    <col min="2563" max="2563" width="7.81640625" style="17" customWidth="1"/>
    <col min="2564" max="2564" width="14" style="17" customWidth="1"/>
    <col min="2565" max="2565" width="9" style="17" bestFit="1" customWidth="1"/>
    <col min="2566" max="2566" width="15.1796875" style="17" bestFit="1" customWidth="1"/>
    <col min="2567" max="2567" width="9" style="17" bestFit="1" customWidth="1"/>
    <col min="2568" max="2568" width="15.1796875" style="17" bestFit="1" customWidth="1"/>
    <col min="2569" max="2569" width="6.453125" style="17" customWidth="1"/>
    <col min="2570" max="2570" width="12.7265625" style="17" customWidth="1"/>
    <col min="2571" max="2571" width="6.453125" style="17" customWidth="1"/>
    <col min="2572" max="2572" width="12.7265625" style="17" customWidth="1"/>
    <col min="2573" max="2573" width="6" style="17" customWidth="1"/>
    <col min="2574" max="2574" width="12.7265625" style="17" customWidth="1"/>
    <col min="2575" max="2575" width="9.54296875" style="17" customWidth="1"/>
    <col min="2576" max="2576" width="14" style="17" bestFit="1" customWidth="1"/>
    <col min="2577" max="2577" width="8.7265625" style="17" bestFit="1" customWidth="1"/>
    <col min="2578" max="2578" width="13.54296875" style="17" customWidth="1"/>
    <col min="2579" max="2579" width="6" style="17" customWidth="1"/>
    <col min="2580" max="2580" width="13.7265625" style="17" customWidth="1"/>
    <col min="2581" max="2581" width="6" style="17" customWidth="1"/>
    <col min="2582" max="2582" width="12.7265625" style="17" customWidth="1"/>
    <col min="2583" max="2583" width="6.81640625" style="17" customWidth="1"/>
    <col min="2584" max="2584" width="12.7265625" style="17" customWidth="1"/>
    <col min="2585" max="2585" width="6.81640625" style="17" customWidth="1"/>
    <col min="2586" max="2586" width="15.7265625" style="17" bestFit="1" customWidth="1"/>
    <col min="2587" max="2587" width="8.54296875" style="17" bestFit="1" customWidth="1"/>
    <col min="2588" max="2588" width="13.54296875" style="17" customWidth="1"/>
    <col min="2589" max="2589" width="6" style="17" customWidth="1"/>
    <col min="2590" max="2590" width="13.7265625" style="17" customWidth="1"/>
    <col min="2591" max="2591" width="6" style="17" customWidth="1"/>
    <col min="2592" max="2592" width="12.7265625" style="17" customWidth="1"/>
    <col min="2593" max="2593" width="6.81640625" style="17" customWidth="1"/>
    <col min="2594" max="2594" width="12.7265625" style="17" customWidth="1"/>
    <col min="2595" max="2595" width="6.81640625" style="17" customWidth="1"/>
    <col min="2596" max="2596" width="16.453125" style="17" bestFit="1" customWidth="1"/>
    <col min="2597" max="2597" width="9.54296875" style="17" bestFit="1" customWidth="1"/>
    <col min="2598" max="2598" width="17.453125" style="17" bestFit="1" customWidth="1"/>
    <col min="2599" max="2599" width="6" style="17" customWidth="1"/>
    <col min="2600" max="2600" width="13.7265625" style="17" customWidth="1"/>
    <col min="2601" max="2601" width="6" style="17" customWidth="1"/>
    <col min="2602" max="2602" width="12.7265625" style="17" customWidth="1"/>
    <col min="2603" max="2603" width="6.81640625" style="17" customWidth="1"/>
    <col min="2604" max="2604" width="12.7265625" style="17" customWidth="1"/>
    <col min="2605" max="2605" width="6.81640625" style="17" customWidth="1"/>
    <col min="2606" max="2606" width="15.453125" style="17" bestFit="1" customWidth="1"/>
    <col min="2607" max="2607" width="9.54296875" style="17" bestFit="1" customWidth="1"/>
    <col min="2608" max="2608" width="17.453125" style="17" bestFit="1" customWidth="1"/>
    <col min="2609" max="2609" width="8" style="17" customWidth="1"/>
    <col min="2610" max="2610" width="12.1796875" style="17" customWidth="1"/>
    <col min="2611" max="2611" width="8" style="17" customWidth="1"/>
    <col min="2612" max="2612" width="20" style="17" customWidth="1"/>
    <col min="2613" max="2613" width="15.26953125" style="17" bestFit="1" customWidth="1"/>
    <col min="2614" max="2614" width="14.26953125" style="17" bestFit="1" customWidth="1"/>
    <col min="2615" max="2615" width="13" style="17" bestFit="1" customWidth="1"/>
    <col min="2616" max="2787" width="8.7265625" style="17"/>
    <col min="2788" max="2788" width="2.7265625" style="17" customWidth="1"/>
    <col min="2789" max="2789" width="3.54296875" style="17" customWidth="1"/>
    <col min="2790" max="2790" width="7" style="17" customWidth="1"/>
    <col min="2791" max="2791" width="23" style="17" customWidth="1"/>
    <col min="2792" max="2792" width="13.26953125" style="17" customWidth="1"/>
    <col min="2793" max="2793" width="17.453125" style="17" bestFit="1" customWidth="1"/>
    <col min="2794" max="2794" width="11.54296875" style="17" bestFit="1" customWidth="1"/>
    <col min="2795" max="2795" width="7.81640625" style="17" customWidth="1"/>
    <col min="2796" max="2796" width="11.54296875" style="17" bestFit="1" customWidth="1"/>
    <col min="2797" max="2797" width="7" style="17" customWidth="1"/>
    <col min="2798" max="2798" width="18.1796875" style="17" customWidth="1"/>
    <col min="2799" max="2799" width="7" style="17" customWidth="1"/>
    <col min="2800" max="2800" width="15.54296875" style="17" customWidth="1"/>
    <col min="2801" max="2801" width="7.81640625" style="17" customWidth="1"/>
    <col min="2802" max="2802" width="15.54296875" style="17" customWidth="1"/>
    <col min="2803" max="2803" width="7.81640625" style="17" bestFit="1" customWidth="1"/>
    <col min="2804" max="2804" width="15.7265625" style="17" bestFit="1" customWidth="1"/>
    <col min="2805" max="2805" width="7.54296875" style="17" customWidth="1"/>
    <col min="2806" max="2806" width="14" style="17" customWidth="1"/>
    <col min="2807" max="2807" width="7.81640625" style="17" customWidth="1"/>
    <col min="2808" max="2808" width="14" style="17" customWidth="1"/>
    <col min="2809" max="2809" width="7.81640625" style="17" customWidth="1"/>
    <col min="2810" max="2810" width="14" style="17" customWidth="1"/>
    <col min="2811" max="2811" width="9" style="17" customWidth="1"/>
    <col min="2812" max="2812" width="15.1796875" style="17" customWidth="1"/>
    <col min="2813" max="2813" width="13" style="17" bestFit="1" customWidth="1"/>
    <col min="2814" max="2814" width="15.1796875" style="17" bestFit="1" customWidth="1"/>
    <col min="2815" max="2815" width="7.54296875" style="17" customWidth="1"/>
    <col min="2816" max="2816" width="14" style="17" customWidth="1"/>
    <col min="2817" max="2817" width="7.81640625" style="17" customWidth="1"/>
    <col min="2818" max="2818" width="14" style="17" customWidth="1"/>
    <col min="2819" max="2819" width="7.81640625" style="17" customWidth="1"/>
    <col min="2820" max="2820" width="14" style="17" customWidth="1"/>
    <col min="2821" max="2821" width="9" style="17" bestFit="1" customWidth="1"/>
    <col min="2822" max="2822" width="15.1796875" style="17" bestFit="1" customWidth="1"/>
    <col min="2823" max="2823" width="9" style="17" bestFit="1" customWidth="1"/>
    <col min="2824" max="2824" width="15.1796875" style="17" bestFit="1" customWidth="1"/>
    <col min="2825" max="2825" width="6.453125" style="17" customWidth="1"/>
    <col min="2826" max="2826" width="12.7265625" style="17" customWidth="1"/>
    <col min="2827" max="2827" width="6.453125" style="17" customWidth="1"/>
    <col min="2828" max="2828" width="12.7265625" style="17" customWidth="1"/>
    <col min="2829" max="2829" width="6" style="17" customWidth="1"/>
    <col min="2830" max="2830" width="12.7265625" style="17" customWidth="1"/>
    <col min="2831" max="2831" width="9.54296875" style="17" customWidth="1"/>
    <col min="2832" max="2832" width="14" style="17" bestFit="1" customWidth="1"/>
    <col min="2833" max="2833" width="8.7265625" style="17" bestFit="1" customWidth="1"/>
    <col min="2834" max="2834" width="13.54296875" style="17" customWidth="1"/>
    <col min="2835" max="2835" width="6" style="17" customWidth="1"/>
    <col min="2836" max="2836" width="13.7265625" style="17" customWidth="1"/>
    <col min="2837" max="2837" width="6" style="17" customWidth="1"/>
    <col min="2838" max="2838" width="12.7265625" style="17" customWidth="1"/>
    <col min="2839" max="2839" width="6.81640625" style="17" customWidth="1"/>
    <col min="2840" max="2840" width="12.7265625" style="17" customWidth="1"/>
    <col min="2841" max="2841" width="6.81640625" style="17" customWidth="1"/>
    <col min="2842" max="2842" width="15.7265625" style="17" bestFit="1" customWidth="1"/>
    <col min="2843" max="2843" width="8.54296875" style="17" bestFit="1" customWidth="1"/>
    <col min="2844" max="2844" width="13.54296875" style="17" customWidth="1"/>
    <col min="2845" max="2845" width="6" style="17" customWidth="1"/>
    <col min="2846" max="2846" width="13.7265625" style="17" customWidth="1"/>
    <col min="2847" max="2847" width="6" style="17" customWidth="1"/>
    <col min="2848" max="2848" width="12.7265625" style="17" customWidth="1"/>
    <col min="2849" max="2849" width="6.81640625" style="17" customWidth="1"/>
    <col min="2850" max="2850" width="12.7265625" style="17" customWidth="1"/>
    <col min="2851" max="2851" width="6.81640625" style="17" customWidth="1"/>
    <col min="2852" max="2852" width="16.453125" style="17" bestFit="1" customWidth="1"/>
    <col min="2853" max="2853" width="9.54296875" style="17" bestFit="1" customWidth="1"/>
    <col min="2854" max="2854" width="17.453125" style="17" bestFit="1" customWidth="1"/>
    <col min="2855" max="2855" width="6" style="17" customWidth="1"/>
    <col min="2856" max="2856" width="13.7265625" style="17" customWidth="1"/>
    <col min="2857" max="2857" width="6" style="17" customWidth="1"/>
    <col min="2858" max="2858" width="12.7265625" style="17" customWidth="1"/>
    <col min="2859" max="2859" width="6.81640625" style="17" customWidth="1"/>
    <col min="2860" max="2860" width="12.7265625" style="17" customWidth="1"/>
    <col min="2861" max="2861" width="6.81640625" style="17" customWidth="1"/>
    <col min="2862" max="2862" width="15.453125" style="17" bestFit="1" customWidth="1"/>
    <col min="2863" max="2863" width="9.54296875" style="17" bestFit="1" customWidth="1"/>
    <col min="2864" max="2864" width="17.453125" style="17" bestFit="1" customWidth="1"/>
    <col min="2865" max="2865" width="8" style="17" customWidth="1"/>
    <col min="2866" max="2866" width="12.1796875" style="17" customWidth="1"/>
    <col min="2867" max="2867" width="8" style="17" customWidth="1"/>
    <col min="2868" max="2868" width="20" style="17" customWidth="1"/>
    <col min="2869" max="2869" width="15.26953125" style="17" bestFit="1" customWidth="1"/>
    <col min="2870" max="2870" width="14.26953125" style="17" bestFit="1" customWidth="1"/>
    <col min="2871" max="2871" width="13" style="17" bestFit="1" customWidth="1"/>
    <col min="2872" max="3043" width="8.7265625" style="17"/>
    <col min="3044" max="3044" width="2.7265625" style="17" customWidth="1"/>
    <col min="3045" max="3045" width="3.54296875" style="17" customWidth="1"/>
    <col min="3046" max="3046" width="7" style="17" customWidth="1"/>
    <col min="3047" max="3047" width="23" style="17" customWidth="1"/>
    <col min="3048" max="3048" width="13.26953125" style="17" customWidth="1"/>
    <col min="3049" max="3049" width="17.453125" style="17" bestFit="1" customWidth="1"/>
    <col min="3050" max="3050" width="11.54296875" style="17" bestFit="1" customWidth="1"/>
    <col min="3051" max="3051" width="7.81640625" style="17" customWidth="1"/>
    <col min="3052" max="3052" width="11.54296875" style="17" bestFit="1" customWidth="1"/>
    <col min="3053" max="3053" width="7" style="17" customWidth="1"/>
    <col min="3054" max="3054" width="18.1796875" style="17" customWidth="1"/>
    <col min="3055" max="3055" width="7" style="17" customWidth="1"/>
    <col min="3056" max="3056" width="15.54296875" style="17" customWidth="1"/>
    <col min="3057" max="3057" width="7.81640625" style="17" customWidth="1"/>
    <col min="3058" max="3058" width="15.54296875" style="17" customWidth="1"/>
    <col min="3059" max="3059" width="7.81640625" style="17" bestFit="1" customWidth="1"/>
    <col min="3060" max="3060" width="15.7265625" style="17" bestFit="1" customWidth="1"/>
    <col min="3061" max="3061" width="7.54296875" style="17" customWidth="1"/>
    <col min="3062" max="3062" width="14" style="17" customWidth="1"/>
    <col min="3063" max="3063" width="7.81640625" style="17" customWidth="1"/>
    <col min="3064" max="3064" width="14" style="17" customWidth="1"/>
    <col min="3065" max="3065" width="7.81640625" style="17" customWidth="1"/>
    <col min="3066" max="3066" width="14" style="17" customWidth="1"/>
    <col min="3067" max="3067" width="9" style="17" customWidth="1"/>
    <col min="3068" max="3068" width="15.1796875" style="17" customWidth="1"/>
    <col min="3069" max="3069" width="13" style="17" bestFit="1" customWidth="1"/>
    <col min="3070" max="3070" width="15.1796875" style="17" bestFit="1" customWidth="1"/>
    <col min="3071" max="3071" width="7.54296875" style="17" customWidth="1"/>
    <col min="3072" max="3072" width="14" style="17" customWidth="1"/>
    <col min="3073" max="3073" width="7.81640625" style="17" customWidth="1"/>
    <col min="3074" max="3074" width="14" style="17" customWidth="1"/>
    <col min="3075" max="3075" width="7.81640625" style="17" customWidth="1"/>
    <col min="3076" max="3076" width="14" style="17" customWidth="1"/>
    <col min="3077" max="3077" width="9" style="17" bestFit="1" customWidth="1"/>
    <col min="3078" max="3078" width="15.1796875" style="17" bestFit="1" customWidth="1"/>
    <col min="3079" max="3079" width="9" style="17" bestFit="1" customWidth="1"/>
    <col min="3080" max="3080" width="15.1796875" style="17" bestFit="1" customWidth="1"/>
    <col min="3081" max="3081" width="6.453125" style="17" customWidth="1"/>
    <col min="3082" max="3082" width="12.7265625" style="17" customWidth="1"/>
    <col min="3083" max="3083" width="6.453125" style="17" customWidth="1"/>
    <col min="3084" max="3084" width="12.7265625" style="17" customWidth="1"/>
    <col min="3085" max="3085" width="6" style="17" customWidth="1"/>
    <col min="3086" max="3086" width="12.7265625" style="17" customWidth="1"/>
    <col min="3087" max="3087" width="9.54296875" style="17" customWidth="1"/>
    <col min="3088" max="3088" width="14" style="17" bestFit="1" customWidth="1"/>
    <col min="3089" max="3089" width="8.7265625" style="17" bestFit="1" customWidth="1"/>
    <col min="3090" max="3090" width="13.54296875" style="17" customWidth="1"/>
    <col min="3091" max="3091" width="6" style="17" customWidth="1"/>
    <col min="3092" max="3092" width="13.7265625" style="17" customWidth="1"/>
    <col min="3093" max="3093" width="6" style="17" customWidth="1"/>
    <col min="3094" max="3094" width="12.7265625" style="17" customWidth="1"/>
    <col min="3095" max="3095" width="6.81640625" style="17" customWidth="1"/>
    <col min="3096" max="3096" width="12.7265625" style="17" customWidth="1"/>
    <col min="3097" max="3097" width="6.81640625" style="17" customWidth="1"/>
    <col min="3098" max="3098" width="15.7265625" style="17" bestFit="1" customWidth="1"/>
    <col min="3099" max="3099" width="8.54296875" style="17" bestFit="1" customWidth="1"/>
    <col min="3100" max="3100" width="13.54296875" style="17" customWidth="1"/>
    <col min="3101" max="3101" width="6" style="17" customWidth="1"/>
    <col min="3102" max="3102" width="13.7265625" style="17" customWidth="1"/>
    <col min="3103" max="3103" width="6" style="17" customWidth="1"/>
    <col min="3104" max="3104" width="12.7265625" style="17" customWidth="1"/>
    <col min="3105" max="3105" width="6.81640625" style="17" customWidth="1"/>
    <col min="3106" max="3106" width="12.7265625" style="17" customWidth="1"/>
    <col min="3107" max="3107" width="6.81640625" style="17" customWidth="1"/>
    <col min="3108" max="3108" width="16.453125" style="17" bestFit="1" customWidth="1"/>
    <col min="3109" max="3109" width="9.54296875" style="17" bestFit="1" customWidth="1"/>
    <col min="3110" max="3110" width="17.453125" style="17" bestFit="1" customWidth="1"/>
    <col min="3111" max="3111" width="6" style="17" customWidth="1"/>
    <col min="3112" max="3112" width="13.7265625" style="17" customWidth="1"/>
    <col min="3113" max="3113" width="6" style="17" customWidth="1"/>
    <col min="3114" max="3114" width="12.7265625" style="17" customWidth="1"/>
    <col min="3115" max="3115" width="6.81640625" style="17" customWidth="1"/>
    <col min="3116" max="3116" width="12.7265625" style="17" customWidth="1"/>
    <col min="3117" max="3117" width="6.81640625" style="17" customWidth="1"/>
    <col min="3118" max="3118" width="15.453125" style="17" bestFit="1" customWidth="1"/>
    <col min="3119" max="3119" width="9.54296875" style="17" bestFit="1" customWidth="1"/>
    <col min="3120" max="3120" width="17.453125" style="17" bestFit="1" customWidth="1"/>
    <col min="3121" max="3121" width="8" style="17" customWidth="1"/>
    <col min="3122" max="3122" width="12.1796875" style="17" customWidth="1"/>
    <col min="3123" max="3123" width="8" style="17" customWidth="1"/>
    <col min="3124" max="3124" width="20" style="17" customWidth="1"/>
    <col min="3125" max="3125" width="15.26953125" style="17" bestFit="1" customWidth="1"/>
    <col min="3126" max="3126" width="14.26953125" style="17" bestFit="1" customWidth="1"/>
    <col min="3127" max="3127" width="13" style="17" bestFit="1" customWidth="1"/>
    <col min="3128" max="3299" width="8.7265625" style="17"/>
    <col min="3300" max="3300" width="2.7265625" style="17" customWidth="1"/>
    <col min="3301" max="3301" width="3.54296875" style="17" customWidth="1"/>
    <col min="3302" max="3302" width="7" style="17" customWidth="1"/>
    <col min="3303" max="3303" width="23" style="17" customWidth="1"/>
    <col min="3304" max="3304" width="13.26953125" style="17" customWidth="1"/>
    <col min="3305" max="3305" width="17.453125" style="17" bestFit="1" customWidth="1"/>
    <col min="3306" max="3306" width="11.54296875" style="17" bestFit="1" customWidth="1"/>
    <col min="3307" max="3307" width="7.81640625" style="17" customWidth="1"/>
    <col min="3308" max="3308" width="11.54296875" style="17" bestFit="1" customWidth="1"/>
    <col min="3309" max="3309" width="7" style="17" customWidth="1"/>
    <col min="3310" max="3310" width="18.1796875" style="17" customWidth="1"/>
    <col min="3311" max="3311" width="7" style="17" customWidth="1"/>
    <col min="3312" max="3312" width="15.54296875" style="17" customWidth="1"/>
    <col min="3313" max="3313" width="7.81640625" style="17" customWidth="1"/>
    <col min="3314" max="3314" width="15.54296875" style="17" customWidth="1"/>
    <col min="3315" max="3315" width="7.81640625" style="17" bestFit="1" customWidth="1"/>
    <col min="3316" max="3316" width="15.7265625" style="17" bestFit="1" customWidth="1"/>
    <col min="3317" max="3317" width="7.54296875" style="17" customWidth="1"/>
    <col min="3318" max="3318" width="14" style="17" customWidth="1"/>
    <col min="3319" max="3319" width="7.81640625" style="17" customWidth="1"/>
    <col min="3320" max="3320" width="14" style="17" customWidth="1"/>
    <col min="3321" max="3321" width="7.81640625" style="17" customWidth="1"/>
    <col min="3322" max="3322" width="14" style="17" customWidth="1"/>
    <col min="3323" max="3323" width="9" style="17" customWidth="1"/>
    <col min="3324" max="3324" width="15.1796875" style="17" customWidth="1"/>
    <col min="3325" max="3325" width="13" style="17" bestFit="1" customWidth="1"/>
    <col min="3326" max="3326" width="15.1796875" style="17" bestFit="1" customWidth="1"/>
    <col min="3327" max="3327" width="7.54296875" style="17" customWidth="1"/>
    <col min="3328" max="3328" width="14" style="17" customWidth="1"/>
    <col min="3329" max="3329" width="7.81640625" style="17" customWidth="1"/>
    <col min="3330" max="3330" width="14" style="17" customWidth="1"/>
    <col min="3331" max="3331" width="7.81640625" style="17" customWidth="1"/>
    <col min="3332" max="3332" width="14" style="17" customWidth="1"/>
    <col min="3333" max="3333" width="9" style="17" bestFit="1" customWidth="1"/>
    <col min="3334" max="3334" width="15.1796875" style="17" bestFit="1" customWidth="1"/>
    <col min="3335" max="3335" width="9" style="17" bestFit="1" customWidth="1"/>
    <col min="3336" max="3336" width="15.1796875" style="17" bestFit="1" customWidth="1"/>
    <col min="3337" max="3337" width="6.453125" style="17" customWidth="1"/>
    <col min="3338" max="3338" width="12.7265625" style="17" customWidth="1"/>
    <col min="3339" max="3339" width="6.453125" style="17" customWidth="1"/>
    <col min="3340" max="3340" width="12.7265625" style="17" customWidth="1"/>
    <col min="3341" max="3341" width="6" style="17" customWidth="1"/>
    <col min="3342" max="3342" width="12.7265625" style="17" customWidth="1"/>
    <col min="3343" max="3343" width="9.54296875" style="17" customWidth="1"/>
    <col min="3344" max="3344" width="14" style="17" bestFit="1" customWidth="1"/>
    <col min="3345" max="3345" width="8.7265625" style="17" bestFit="1" customWidth="1"/>
    <col min="3346" max="3346" width="13.54296875" style="17" customWidth="1"/>
    <col min="3347" max="3347" width="6" style="17" customWidth="1"/>
    <col min="3348" max="3348" width="13.7265625" style="17" customWidth="1"/>
    <col min="3349" max="3349" width="6" style="17" customWidth="1"/>
    <col min="3350" max="3350" width="12.7265625" style="17" customWidth="1"/>
    <col min="3351" max="3351" width="6.81640625" style="17" customWidth="1"/>
    <col min="3352" max="3352" width="12.7265625" style="17" customWidth="1"/>
    <col min="3353" max="3353" width="6.81640625" style="17" customWidth="1"/>
    <col min="3354" max="3354" width="15.7265625" style="17" bestFit="1" customWidth="1"/>
    <col min="3355" max="3355" width="8.54296875" style="17" bestFit="1" customWidth="1"/>
    <col min="3356" max="3356" width="13.54296875" style="17" customWidth="1"/>
    <col min="3357" max="3357" width="6" style="17" customWidth="1"/>
    <col min="3358" max="3358" width="13.7265625" style="17" customWidth="1"/>
    <col min="3359" max="3359" width="6" style="17" customWidth="1"/>
    <col min="3360" max="3360" width="12.7265625" style="17" customWidth="1"/>
    <col min="3361" max="3361" width="6.81640625" style="17" customWidth="1"/>
    <col min="3362" max="3362" width="12.7265625" style="17" customWidth="1"/>
    <col min="3363" max="3363" width="6.81640625" style="17" customWidth="1"/>
    <col min="3364" max="3364" width="16.453125" style="17" bestFit="1" customWidth="1"/>
    <col min="3365" max="3365" width="9.54296875" style="17" bestFit="1" customWidth="1"/>
    <col min="3366" max="3366" width="17.453125" style="17" bestFit="1" customWidth="1"/>
    <col min="3367" max="3367" width="6" style="17" customWidth="1"/>
    <col min="3368" max="3368" width="13.7265625" style="17" customWidth="1"/>
    <col min="3369" max="3369" width="6" style="17" customWidth="1"/>
    <col min="3370" max="3370" width="12.7265625" style="17" customWidth="1"/>
    <col min="3371" max="3371" width="6.81640625" style="17" customWidth="1"/>
    <col min="3372" max="3372" width="12.7265625" style="17" customWidth="1"/>
    <col min="3373" max="3373" width="6.81640625" style="17" customWidth="1"/>
    <col min="3374" max="3374" width="15.453125" style="17" bestFit="1" customWidth="1"/>
    <col min="3375" max="3375" width="9.54296875" style="17" bestFit="1" customWidth="1"/>
    <col min="3376" max="3376" width="17.453125" style="17" bestFit="1" customWidth="1"/>
    <col min="3377" max="3377" width="8" style="17" customWidth="1"/>
    <col min="3378" max="3378" width="12.1796875" style="17" customWidth="1"/>
    <col min="3379" max="3379" width="8" style="17" customWidth="1"/>
    <col min="3380" max="3380" width="20" style="17" customWidth="1"/>
    <col min="3381" max="3381" width="15.26953125" style="17" bestFit="1" customWidth="1"/>
    <col min="3382" max="3382" width="14.26953125" style="17" bestFit="1" customWidth="1"/>
    <col min="3383" max="3383" width="13" style="17" bestFit="1" customWidth="1"/>
    <col min="3384" max="3555" width="8.7265625" style="17"/>
    <col min="3556" max="3556" width="2.7265625" style="17" customWidth="1"/>
    <col min="3557" max="3557" width="3.54296875" style="17" customWidth="1"/>
    <col min="3558" max="3558" width="7" style="17" customWidth="1"/>
    <col min="3559" max="3559" width="23" style="17" customWidth="1"/>
    <col min="3560" max="3560" width="13.26953125" style="17" customWidth="1"/>
    <col min="3561" max="3561" width="17.453125" style="17" bestFit="1" customWidth="1"/>
    <col min="3562" max="3562" width="11.54296875" style="17" bestFit="1" customWidth="1"/>
    <col min="3563" max="3563" width="7.81640625" style="17" customWidth="1"/>
    <col min="3564" max="3564" width="11.54296875" style="17" bestFit="1" customWidth="1"/>
    <col min="3565" max="3565" width="7" style="17" customWidth="1"/>
    <col min="3566" max="3566" width="18.1796875" style="17" customWidth="1"/>
    <col min="3567" max="3567" width="7" style="17" customWidth="1"/>
    <col min="3568" max="3568" width="15.54296875" style="17" customWidth="1"/>
    <col min="3569" max="3569" width="7.81640625" style="17" customWidth="1"/>
    <col min="3570" max="3570" width="15.54296875" style="17" customWidth="1"/>
    <col min="3571" max="3571" width="7.81640625" style="17" bestFit="1" customWidth="1"/>
    <col min="3572" max="3572" width="15.7265625" style="17" bestFit="1" customWidth="1"/>
    <col min="3573" max="3573" width="7.54296875" style="17" customWidth="1"/>
    <col min="3574" max="3574" width="14" style="17" customWidth="1"/>
    <col min="3575" max="3575" width="7.81640625" style="17" customWidth="1"/>
    <col min="3576" max="3576" width="14" style="17" customWidth="1"/>
    <col min="3577" max="3577" width="7.81640625" style="17" customWidth="1"/>
    <col min="3578" max="3578" width="14" style="17" customWidth="1"/>
    <col min="3579" max="3579" width="9" style="17" customWidth="1"/>
    <col min="3580" max="3580" width="15.1796875" style="17" customWidth="1"/>
    <col min="3581" max="3581" width="13" style="17" bestFit="1" customWidth="1"/>
    <col min="3582" max="3582" width="15.1796875" style="17" bestFit="1" customWidth="1"/>
    <col min="3583" max="3583" width="7.54296875" style="17" customWidth="1"/>
    <col min="3584" max="3584" width="14" style="17" customWidth="1"/>
    <col min="3585" max="3585" width="7.81640625" style="17" customWidth="1"/>
    <col min="3586" max="3586" width="14" style="17" customWidth="1"/>
    <col min="3587" max="3587" width="7.81640625" style="17" customWidth="1"/>
    <col min="3588" max="3588" width="14" style="17" customWidth="1"/>
    <col min="3589" max="3589" width="9" style="17" bestFit="1" customWidth="1"/>
    <col min="3590" max="3590" width="15.1796875" style="17" bestFit="1" customWidth="1"/>
    <col min="3591" max="3591" width="9" style="17" bestFit="1" customWidth="1"/>
    <col min="3592" max="3592" width="15.1796875" style="17" bestFit="1" customWidth="1"/>
    <col min="3593" max="3593" width="6.453125" style="17" customWidth="1"/>
    <col min="3594" max="3594" width="12.7265625" style="17" customWidth="1"/>
    <col min="3595" max="3595" width="6.453125" style="17" customWidth="1"/>
    <col min="3596" max="3596" width="12.7265625" style="17" customWidth="1"/>
    <col min="3597" max="3597" width="6" style="17" customWidth="1"/>
    <col min="3598" max="3598" width="12.7265625" style="17" customWidth="1"/>
    <col min="3599" max="3599" width="9.54296875" style="17" customWidth="1"/>
    <col min="3600" max="3600" width="14" style="17" bestFit="1" customWidth="1"/>
    <col min="3601" max="3601" width="8.7265625" style="17" bestFit="1" customWidth="1"/>
    <col min="3602" max="3602" width="13.54296875" style="17" customWidth="1"/>
    <col min="3603" max="3603" width="6" style="17" customWidth="1"/>
    <col min="3604" max="3604" width="13.7265625" style="17" customWidth="1"/>
    <col min="3605" max="3605" width="6" style="17" customWidth="1"/>
    <col min="3606" max="3606" width="12.7265625" style="17" customWidth="1"/>
    <col min="3607" max="3607" width="6.81640625" style="17" customWidth="1"/>
    <col min="3608" max="3608" width="12.7265625" style="17" customWidth="1"/>
    <col min="3609" max="3609" width="6.81640625" style="17" customWidth="1"/>
    <col min="3610" max="3610" width="15.7265625" style="17" bestFit="1" customWidth="1"/>
    <col min="3611" max="3611" width="8.54296875" style="17" bestFit="1" customWidth="1"/>
    <col min="3612" max="3612" width="13.54296875" style="17" customWidth="1"/>
    <col min="3613" max="3613" width="6" style="17" customWidth="1"/>
    <col min="3614" max="3614" width="13.7265625" style="17" customWidth="1"/>
    <col min="3615" max="3615" width="6" style="17" customWidth="1"/>
    <col min="3616" max="3616" width="12.7265625" style="17" customWidth="1"/>
    <col min="3617" max="3617" width="6.81640625" style="17" customWidth="1"/>
    <col min="3618" max="3618" width="12.7265625" style="17" customWidth="1"/>
    <col min="3619" max="3619" width="6.81640625" style="17" customWidth="1"/>
    <col min="3620" max="3620" width="16.453125" style="17" bestFit="1" customWidth="1"/>
    <col min="3621" max="3621" width="9.54296875" style="17" bestFit="1" customWidth="1"/>
    <col min="3622" max="3622" width="17.453125" style="17" bestFit="1" customWidth="1"/>
    <col min="3623" max="3623" width="6" style="17" customWidth="1"/>
    <col min="3624" max="3624" width="13.7265625" style="17" customWidth="1"/>
    <col min="3625" max="3625" width="6" style="17" customWidth="1"/>
    <col min="3626" max="3626" width="12.7265625" style="17" customWidth="1"/>
    <col min="3627" max="3627" width="6.81640625" style="17" customWidth="1"/>
    <col min="3628" max="3628" width="12.7265625" style="17" customWidth="1"/>
    <col min="3629" max="3629" width="6.81640625" style="17" customWidth="1"/>
    <col min="3630" max="3630" width="15.453125" style="17" bestFit="1" customWidth="1"/>
    <col min="3631" max="3631" width="9.54296875" style="17" bestFit="1" customWidth="1"/>
    <col min="3632" max="3632" width="17.453125" style="17" bestFit="1" customWidth="1"/>
    <col min="3633" max="3633" width="8" style="17" customWidth="1"/>
    <col min="3634" max="3634" width="12.1796875" style="17" customWidth="1"/>
    <col min="3635" max="3635" width="8" style="17" customWidth="1"/>
    <col min="3636" max="3636" width="20" style="17" customWidth="1"/>
    <col min="3637" max="3637" width="15.26953125" style="17" bestFit="1" customWidth="1"/>
    <col min="3638" max="3638" width="14.26953125" style="17" bestFit="1" customWidth="1"/>
    <col min="3639" max="3639" width="13" style="17" bestFit="1" customWidth="1"/>
    <col min="3640" max="3811" width="8.7265625" style="17"/>
    <col min="3812" max="3812" width="2.7265625" style="17" customWidth="1"/>
    <col min="3813" max="3813" width="3.54296875" style="17" customWidth="1"/>
    <col min="3814" max="3814" width="7" style="17" customWidth="1"/>
    <col min="3815" max="3815" width="23" style="17" customWidth="1"/>
    <col min="3816" max="3816" width="13.26953125" style="17" customWidth="1"/>
    <col min="3817" max="3817" width="17.453125" style="17" bestFit="1" customWidth="1"/>
    <col min="3818" max="3818" width="11.54296875" style="17" bestFit="1" customWidth="1"/>
    <col min="3819" max="3819" width="7.81640625" style="17" customWidth="1"/>
    <col min="3820" max="3820" width="11.54296875" style="17" bestFit="1" customWidth="1"/>
    <col min="3821" max="3821" width="7" style="17" customWidth="1"/>
    <col min="3822" max="3822" width="18.1796875" style="17" customWidth="1"/>
    <col min="3823" max="3823" width="7" style="17" customWidth="1"/>
    <col min="3824" max="3824" width="15.54296875" style="17" customWidth="1"/>
    <col min="3825" max="3825" width="7.81640625" style="17" customWidth="1"/>
    <col min="3826" max="3826" width="15.54296875" style="17" customWidth="1"/>
    <col min="3827" max="3827" width="7.81640625" style="17" bestFit="1" customWidth="1"/>
    <col min="3828" max="3828" width="15.7265625" style="17" bestFit="1" customWidth="1"/>
    <col min="3829" max="3829" width="7.54296875" style="17" customWidth="1"/>
    <col min="3830" max="3830" width="14" style="17" customWidth="1"/>
    <col min="3831" max="3831" width="7.81640625" style="17" customWidth="1"/>
    <col min="3832" max="3832" width="14" style="17" customWidth="1"/>
    <col min="3833" max="3833" width="7.81640625" style="17" customWidth="1"/>
    <col min="3834" max="3834" width="14" style="17" customWidth="1"/>
    <col min="3835" max="3835" width="9" style="17" customWidth="1"/>
    <col min="3836" max="3836" width="15.1796875" style="17" customWidth="1"/>
    <col min="3837" max="3837" width="13" style="17" bestFit="1" customWidth="1"/>
    <col min="3838" max="3838" width="15.1796875" style="17" bestFit="1" customWidth="1"/>
    <col min="3839" max="3839" width="7.54296875" style="17" customWidth="1"/>
    <col min="3840" max="3840" width="14" style="17" customWidth="1"/>
    <col min="3841" max="3841" width="7.81640625" style="17" customWidth="1"/>
    <col min="3842" max="3842" width="14" style="17" customWidth="1"/>
    <col min="3843" max="3843" width="7.81640625" style="17" customWidth="1"/>
    <col min="3844" max="3844" width="14" style="17" customWidth="1"/>
    <col min="3845" max="3845" width="9" style="17" bestFit="1" customWidth="1"/>
    <col min="3846" max="3846" width="15.1796875" style="17" bestFit="1" customWidth="1"/>
    <col min="3847" max="3847" width="9" style="17" bestFit="1" customWidth="1"/>
    <col min="3848" max="3848" width="15.1796875" style="17" bestFit="1" customWidth="1"/>
    <col min="3849" max="3849" width="6.453125" style="17" customWidth="1"/>
    <col min="3850" max="3850" width="12.7265625" style="17" customWidth="1"/>
    <col min="3851" max="3851" width="6.453125" style="17" customWidth="1"/>
    <col min="3852" max="3852" width="12.7265625" style="17" customWidth="1"/>
    <col min="3853" max="3853" width="6" style="17" customWidth="1"/>
    <col min="3854" max="3854" width="12.7265625" style="17" customWidth="1"/>
    <col min="3855" max="3855" width="9.54296875" style="17" customWidth="1"/>
    <col min="3856" max="3856" width="14" style="17" bestFit="1" customWidth="1"/>
    <col min="3857" max="3857" width="8.7265625" style="17" bestFit="1" customWidth="1"/>
    <col min="3858" max="3858" width="13.54296875" style="17" customWidth="1"/>
    <col min="3859" max="3859" width="6" style="17" customWidth="1"/>
    <col min="3860" max="3860" width="13.7265625" style="17" customWidth="1"/>
    <col min="3861" max="3861" width="6" style="17" customWidth="1"/>
    <col min="3862" max="3862" width="12.7265625" style="17" customWidth="1"/>
    <col min="3863" max="3863" width="6.81640625" style="17" customWidth="1"/>
    <col min="3864" max="3864" width="12.7265625" style="17" customWidth="1"/>
    <col min="3865" max="3865" width="6.81640625" style="17" customWidth="1"/>
    <col min="3866" max="3866" width="15.7265625" style="17" bestFit="1" customWidth="1"/>
    <col min="3867" max="3867" width="8.54296875" style="17" bestFit="1" customWidth="1"/>
    <col min="3868" max="3868" width="13.54296875" style="17" customWidth="1"/>
    <col min="3869" max="3869" width="6" style="17" customWidth="1"/>
    <col min="3870" max="3870" width="13.7265625" style="17" customWidth="1"/>
    <col min="3871" max="3871" width="6" style="17" customWidth="1"/>
    <col min="3872" max="3872" width="12.7265625" style="17" customWidth="1"/>
    <col min="3873" max="3873" width="6.81640625" style="17" customWidth="1"/>
    <col min="3874" max="3874" width="12.7265625" style="17" customWidth="1"/>
    <col min="3875" max="3875" width="6.81640625" style="17" customWidth="1"/>
    <col min="3876" max="3876" width="16.453125" style="17" bestFit="1" customWidth="1"/>
    <col min="3877" max="3877" width="9.54296875" style="17" bestFit="1" customWidth="1"/>
    <col min="3878" max="3878" width="17.453125" style="17" bestFit="1" customWidth="1"/>
    <col min="3879" max="3879" width="6" style="17" customWidth="1"/>
    <col min="3880" max="3880" width="13.7265625" style="17" customWidth="1"/>
    <col min="3881" max="3881" width="6" style="17" customWidth="1"/>
    <col min="3882" max="3882" width="12.7265625" style="17" customWidth="1"/>
    <col min="3883" max="3883" width="6.81640625" style="17" customWidth="1"/>
    <col min="3884" max="3884" width="12.7265625" style="17" customWidth="1"/>
    <col min="3885" max="3885" width="6.81640625" style="17" customWidth="1"/>
    <col min="3886" max="3886" width="15.453125" style="17" bestFit="1" customWidth="1"/>
    <col min="3887" max="3887" width="9.54296875" style="17" bestFit="1" customWidth="1"/>
    <col min="3888" max="3888" width="17.453125" style="17" bestFit="1" customWidth="1"/>
    <col min="3889" max="3889" width="8" style="17" customWidth="1"/>
    <col min="3890" max="3890" width="12.1796875" style="17" customWidth="1"/>
    <col min="3891" max="3891" width="8" style="17" customWidth="1"/>
    <col min="3892" max="3892" width="20" style="17" customWidth="1"/>
    <col min="3893" max="3893" width="15.26953125" style="17" bestFit="1" customWidth="1"/>
    <col min="3894" max="3894" width="14.26953125" style="17" bestFit="1" customWidth="1"/>
    <col min="3895" max="3895" width="13" style="17" bestFit="1" customWidth="1"/>
    <col min="3896" max="4067" width="8.7265625" style="17"/>
    <col min="4068" max="4068" width="2.7265625" style="17" customWidth="1"/>
    <col min="4069" max="4069" width="3.54296875" style="17" customWidth="1"/>
    <col min="4070" max="4070" width="7" style="17" customWidth="1"/>
    <col min="4071" max="4071" width="23" style="17" customWidth="1"/>
    <col min="4072" max="4072" width="13.26953125" style="17" customWidth="1"/>
    <col min="4073" max="4073" width="17.453125" style="17" bestFit="1" customWidth="1"/>
    <col min="4074" max="4074" width="11.54296875" style="17" bestFit="1" customWidth="1"/>
    <col min="4075" max="4075" width="7.81640625" style="17" customWidth="1"/>
    <col min="4076" max="4076" width="11.54296875" style="17" bestFit="1" customWidth="1"/>
    <col min="4077" max="4077" width="7" style="17" customWidth="1"/>
    <col min="4078" max="4078" width="18.1796875" style="17" customWidth="1"/>
    <col min="4079" max="4079" width="7" style="17" customWidth="1"/>
    <col min="4080" max="4080" width="15.54296875" style="17" customWidth="1"/>
    <col min="4081" max="4081" width="7.81640625" style="17" customWidth="1"/>
    <col min="4082" max="4082" width="15.54296875" style="17" customWidth="1"/>
    <col min="4083" max="4083" width="7.81640625" style="17" bestFit="1" customWidth="1"/>
    <col min="4084" max="4084" width="15.7265625" style="17" bestFit="1" customWidth="1"/>
    <col min="4085" max="4085" width="7.54296875" style="17" customWidth="1"/>
    <col min="4086" max="4086" width="14" style="17" customWidth="1"/>
    <col min="4087" max="4087" width="7.81640625" style="17" customWidth="1"/>
    <col min="4088" max="4088" width="14" style="17" customWidth="1"/>
    <col min="4089" max="4089" width="7.81640625" style="17" customWidth="1"/>
    <col min="4090" max="4090" width="14" style="17" customWidth="1"/>
    <col min="4091" max="4091" width="9" style="17" customWidth="1"/>
    <col min="4092" max="4092" width="15.1796875" style="17" customWidth="1"/>
    <col min="4093" max="4093" width="13" style="17" bestFit="1" customWidth="1"/>
    <col min="4094" max="4094" width="15.1796875" style="17" bestFit="1" customWidth="1"/>
    <col min="4095" max="4095" width="7.54296875" style="17" customWidth="1"/>
    <col min="4096" max="4096" width="14" style="17" customWidth="1"/>
    <col min="4097" max="4097" width="7.81640625" style="17" customWidth="1"/>
    <col min="4098" max="4098" width="14" style="17" customWidth="1"/>
    <col min="4099" max="4099" width="7.81640625" style="17" customWidth="1"/>
    <col min="4100" max="4100" width="14" style="17" customWidth="1"/>
    <col min="4101" max="4101" width="9" style="17" bestFit="1" customWidth="1"/>
    <col min="4102" max="4102" width="15.1796875" style="17" bestFit="1" customWidth="1"/>
    <col min="4103" max="4103" width="9" style="17" bestFit="1" customWidth="1"/>
    <col min="4104" max="4104" width="15.1796875" style="17" bestFit="1" customWidth="1"/>
    <col min="4105" max="4105" width="6.453125" style="17" customWidth="1"/>
    <col min="4106" max="4106" width="12.7265625" style="17" customWidth="1"/>
    <col min="4107" max="4107" width="6.453125" style="17" customWidth="1"/>
    <col min="4108" max="4108" width="12.7265625" style="17" customWidth="1"/>
    <col min="4109" max="4109" width="6" style="17" customWidth="1"/>
    <col min="4110" max="4110" width="12.7265625" style="17" customWidth="1"/>
    <col min="4111" max="4111" width="9.54296875" style="17" customWidth="1"/>
    <col min="4112" max="4112" width="14" style="17" bestFit="1" customWidth="1"/>
    <col min="4113" max="4113" width="8.7265625" style="17" bestFit="1" customWidth="1"/>
    <col min="4114" max="4114" width="13.54296875" style="17" customWidth="1"/>
    <col min="4115" max="4115" width="6" style="17" customWidth="1"/>
    <col min="4116" max="4116" width="13.7265625" style="17" customWidth="1"/>
    <col min="4117" max="4117" width="6" style="17" customWidth="1"/>
    <col min="4118" max="4118" width="12.7265625" style="17" customWidth="1"/>
    <col min="4119" max="4119" width="6.81640625" style="17" customWidth="1"/>
    <col min="4120" max="4120" width="12.7265625" style="17" customWidth="1"/>
    <col min="4121" max="4121" width="6.81640625" style="17" customWidth="1"/>
    <col min="4122" max="4122" width="15.7265625" style="17" bestFit="1" customWidth="1"/>
    <col min="4123" max="4123" width="8.54296875" style="17" bestFit="1" customWidth="1"/>
    <col min="4124" max="4124" width="13.54296875" style="17" customWidth="1"/>
    <col min="4125" max="4125" width="6" style="17" customWidth="1"/>
    <col min="4126" max="4126" width="13.7265625" style="17" customWidth="1"/>
    <col min="4127" max="4127" width="6" style="17" customWidth="1"/>
    <col min="4128" max="4128" width="12.7265625" style="17" customWidth="1"/>
    <col min="4129" max="4129" width="6.81640625" style="17" customWidth="1"/>
    <col min="4130" max="4130" width="12.7265625" style="17" customWidth="1"/>
    <col min="4131" max="4131" width="6.81640625" style="17" customWidth="1"/>
    <col min="4132" max="4132" width="16.453125" style="17" bestFit="1" customWidth="1"/>
    <col min="4133" max="4133" width="9.54296875" style="17" bestFit="1" customWidth="1"/>
    <col min="4134" max="4134" width="17.453125" style="17" bestFit="1" customWidth="1"/>
    <col min="4135" max="4135" width="6" style="17" customWidth="1"/>
    <col min="4136" max="4136" width="13.7265625" style="17" customWidth="1"/>
    <col min="4137" max="4137" width="6" style="17" customWidth="1"/>
    <col min="4138" max="4138" width="12.7265625" style="17" customWidth="1"/>
    <col min="4139" max="4139" width="6.81640625" style="17" customWidth="1"/>
    <col min="4140" max="4140" width="12.7265625" style="17" customWidth="1"/>
    <col min="4141" max="4141" width="6.81640625" style="17" customWidth="1"/>
    <col min="4142" max="4142" width="15.453125" style="17" bestFit="1" customWidth="1"/>
    <col min="4143" max="4143" width="9.54296875" style="17" bestFit="1" customWidth="1"/>
    <col min="4144" max="4144" width="17.453125" style="17" bestFit="1" customWidth="1"/>
    <col min="4145" max="4145" width="8" style="17" customWidth="1"/>
    <col min="4146" max="4146" width="12.1796875" style="17" customWidth="1"/>
    <col min="4147" max="4147" width="8" style="17" customWidth="1"/>
    <col min="4148" max="4148" width="20" style="17" customWidth="1"/>
    <col min="4149" max="4149" width="15.26953125" style="17" bestFit="1" customWidth="1"/>
    <col min="4150" max="4150" width="14.26953125" style="17" bestFit="1" customWidth="1"/>
    <col min="4151" max="4151" width="13" style="17" bestFit="1" customWidth="1"/>
    <col min="4152" max="4323" width="8.7265625" style="17"/>
    <col min="4324" max="4324" width="2.7265625" style="17" customWidth="1"/>
    <col min="4325" max="4325" width="3.54296875" style="17" customWidth="1"/>
    <col min="4326" max="4326" width="7" style="17" customWidth="1"/>
    <col min="4327" max="4327" width="23" style="17" customWidth="1"/>
    <col min="4328" max="4328" width="13.26953125" style="17" customWidth="1"/>
    <col min="4329" max="4329" width="17.453125" style="17" bestFit="1" customWidth="1"/>
    <col min="4330" max="4330" width="11.54296875" style="17" bestFit="1" customWidth="1"/>
    <col min="4331" max="4331" width="7.81640625" style="17" customWidth="1"/>
    <col min="4332" max="4332" width="11.54296875" style="17" bestFit="1" customWidth="1"/>
    <col min="4333" max="4333" width="7" style="17" customWidth="1"/>
    <col min="4334" max="4334" width="18.1796875" style="17" customWidth="1"/>
    <col min="4335" max="4335" width="7" style="17" customWidth="1"/>
    <col min="4336" max="4336" width="15.54296875" style="17" customWidth="1"/>
    <col min="4337" max="4337" width="7.81640625" style="17" customWidth="1"/>
    <col min="4338" max="4338" width="15.54296875" style="17" customWidth="1"/>
    <col min="4339" max="4339" width="7.81640625" style="17" bestFit="1" customWidth="1"/>
    <col min="4340" max="4340" width="15.7265625" style="17" bestFit="1" customWidth="1"/>
    <col min="4341" max="4341" width="7.54296875" style="17" customWidth="1"/>
    <col min="4342" max="4342" width="14" style="17" customWidth="1"/>
    <col min="4343" max="4343" width="7.81640625" style="17" customWidth="1"/>
    <col min="4344" max="4344" width="14" style="17" customWidth="1"/>
    <col min="4345" max="4345" width="7.81640625" style="17" customWidth="1"/>
    <col min="4346" max="4346" width="14" style="17" customWidth="1"/>
    <col min="4347" max="4347" width="9" style="17" customWidth="1"/>
    <col min="4348" max="4348" width="15.1796875" style="17" customWidth="1"/>
    <col min="4349" max="4349" width="13" style="17" bestFit="1" customWidth="1"/>
    <col min="4350" max="4350" width="15.1796875" style="17" bestFit="1" customWidth="1"/>
    <col min="4351" max="4351" width="7.54296875" style="17" customWidth="1"/>
    <col min="4352" max="4352" width="14" style="17" customWidth="1"/>
    <col min="4353" max="4353" width="7.81640625" style="17" customWidth="1"/>
    <col min="4354" max="4354" width="14" style="17" customWidth="1"/>
    <col min="4355" max="4355" width="7.81640625" style="17" customWidth="1"/>
    <col min="4356" max="4356" width="14" style="17" customWidth="1"/>
    <col min="4357" max="4357" width="9" style="17" bestFit="1" customWidth="1"/>
    <col min="4358" max="4358" width="15.1796875" style="17" bestFit="1" customWidth="1"/>
    <col min="4359" max="4359" width="9" style="17" bestFit="1" customWidth="1"/>
    <col min="4360" max="4360" width="15.1796875" style="17" bestFit="1" customWidth="1"/>
    <col min="4361" max="4361" width="6.453125" style="17" customWidth="1"/>
    <col min="4362" max="4362" width="12.7265625" style="17" customWidth="1"/>
    <col min="4363" max="4363" width="6.453125" style="17" customWidth="1"/>
    <col min="4364" max="4364" width="12.7265625" style="17" customWidth="1"/>
    <col min="4365" max="4365" width="6" style="17" customWidth="1"/>
    <col min="4366" max="4366" width="12.7265625" style="17" customWidth="1"/>
    <col min="4367" max="4367" width="9.54296875" style="17" customWidth="1"/>
    <col min="4368" max="4368" width="14" style="17" bestFit="1" customWidth="1"/>
    <col min="4369" max="4369" width="8.7265625" style="17" bestFit="1" customWidth="1"/>
    <col min="4370" max="4370" width="13.54296875" style="17" customWidth="1"/>
    <col min="4371" max="4371" width="6" style="17" customWidth="1"/>
    <col min="4372" max="4372" width="13.7265625" style="17" customWidth="1"/>
    <col min="4373" max="4373" width="6" style="17" customWidth="1"/>
    <col min="4374" max="4374" width="12.7265625" style="17" customWidth="1"/>
    <col min="4375" max="4375" width="6.81640625" style="17" customWidth="1"/>
    <col min="4376" max="4376" width="12.7265625" style="17" customWidth="1"/>
    <col min="4377" max="4377" width="6.81640625" style="17" customWidth="1"/>
    <col min="4378" max="4378" width="15.7265625" style="17" bestFit="1" customWidth="1"/>
    <col min="4379" max="4379" width="8.54296875" style="17" bestFit="1" customWidth="1"/>
    <col min="4380" max="4380" width="13.54296875" style="17" customWidth="1"/>
    <col min="4381" max="4381" width="6" style="17" customWidth="1"/>
    <col min="4382" max="4382" width="13.7265625" style="17" customWidth="1"/>
    <col min="4383" max="4383" width="6" style="17" customWidth="1"/>
    <col min="4384" max="4384" width="12.7265625" style="17" customWidth="1"/>
    <col min="4385" max="4385" width="6.81640625" style="17" customWidth="1"/>
    <col min="4386" max="4386" width="12.7265625" style="17" customWidth="1"/>
    <col min="4387" max="4387" width="6.81640625" style="17" customWidth="1"/>
    <col min="4388" max="4388" width="16.453125" style="17" bestFit="1" customWidth="1"/>
    <col min="4389" max="4389" width="9.54296875" style="17" bestFit="1" customWidth="1"/>
    <col min="4390" max="4390" width="17.453125" style="17" bestFit="1" customWidth="1"/>
    <col min="4391" max="4391" width="6" style="17" customWidth="1"/>
    <col min="4392" max="4392" width="13.7265625" style="17" customWidth="1"/>
    <col min="4393" max="4393" width="6" style="17" customWidth="1"/>
    <col min="4394" max="4394" width="12.7265625" style="17" customWidth="1"/>
    <col min="4395" max="4395" width="6.81640625" style="17" customWidth="1"/>
    <col min="4396" max="4396" width="12.7265625" style="17" customWidth="1"/>
    <col min="4397" max="4397" width="6.81640625" style="17" customWidth="1"/>
    <col min="4398" max="4398" width="15.453125" style="17" bestFit="1" customWidth="1"/>
    <col min="4399" max="4399" width="9.54296875" style="17" bestFit="1" customWidth="1"/>
    <col min="4400" max="4400" width="17.453125" style="17" bestFit="1" customWidth="1"/>
    <col min="4401" max="4401" width="8" style="17" customWidth="1"/>
    <col min="4402" max="4402" width="12.1796875" style="17" customWidth="1"/>
    <col min="4403" max="4403" width="8" style="17" customWidth="1"/>
    <col min="4404" max="4404" width="20" style="17" customWidth="1"/>
    <col min="4405" max="4405" width="15.26953125" style="17" bestFit="1" customWidth="1"/>
    <col min="4406" max="4406" width="14.26953125" style="17" bestFit="1" customWidth="1"/>
    <col min="4407" max="4407" width="13" style="17" bestFit="1" customWidth="1"/>
    <col min="4408" max="4579" width="8.7265625" style="17"/>
    <col min="4580" max="4580" width="2.7265625" style="17" customWidth="1"/>
    <col min="4581" max="4581" width="3.54296875" style="17" customWidth="1"/>
    <col min="4582" max="4582" width="7" style="17" customWidth="1"/>
    <col min="4583" max="4583" width="23" style="17" customWidth="1"/>
    <col min="4584" max="4584" width="13.26953125" style="17" customWidth="1"/>
    <col min="4585" max="4585" width="17.453125" style="17" bestFit="1" customWidth="1"/>
    <col min="4586" max="4586" width="11.54296875" style="17" bestFit="1" customWidth="1"/>
    <col min="4587" max="4587" width="7.81640625" style="17" customWidth="1"/>
    <col min="4588" max="4588" width="11.54296875" style="17" bestFit="1" customWidth="1"/>
    <col min="4589" max="4589" width="7" style="17" customWidth="1"/>
    <col min="4590" max="4590" width="18.1796875" style="17" customWidth="1"/>
    <col min="4591" max="4591" width="7" style="17" customWidth="1"/>
    <col min="4592" max="4592" width="15.54296875" style="17" customWidth="1"/>
    <col min="4593" max="4593" width="7.81640625" style="17" customWidth="1"/>
    <col min="4594" max="4594" width="15.54296875" style="17" customWidth="1"/>
    <col min="4595" max="4595" width="7.81640625" style="17" bestFit="1" customWidth="1"/>
    <col min="4596" max="4596" width="15.7265625" style="17" bestFit="1" customWidth="1"/>
    <col min="4597" max="4597" width="7.54296875" style="17" customWidth="1"/>
    <col min="4598" max="4598" width="14" style="17" customWidth="1"/>
    <col min="4599" max="4599" width="7.81640625" style="17" customWidth="1"/>
    <col min="4600" max="4600" width="14" style="17" customWidth="1"/>
    <col min="4601" max="4601" width="7.81640625" style="17" customWidth="1"/>
    <col min="4602" max="4602" width="14" style="17" customWidth="1"/>
    <col min="4603" max="4603" width="9" style="17" customWidth="1"/>
    <col min="4604" max="4604" width="15.1796875" style="17" customWidth="1"/>
    <col min="4605" max="4605" width="13" style="17" bestFit="1" customWidth="1"/>
    <col min="4606" max="4606" width="15.1796875" style="17" bestFit="1" customWidth="1"/>
    <col min="4607" max="4607" width="7.54296875" style="17" customWidth="1"/>
    <col min="4608" max="4608" width="14" style="17" customWidth="1"/>
    <col min="4609" max="4609" width="7.81640625" style="17" customWidth="1"/>
    <col min="4610" max="4610" width="14" style="17" customWidth="1"/>
    <col min="4611" max="4611" width="7.81640625" style="17" customWidth="1"/>
    <col min="4612" max="4612" width="14" style="17" customWidth="1"/>
    <col min="4613" max="4613" width="9" style="17" bestFit="1" customWidth="1"/>
    <col min="4614" max="4614" width="15.1796875" style="17" bestFit="1" customWidth="1"/>
    <col min="4615" max="4615" width="9" style="17" bestFit="1" customWidth="1"/>
    <col min="4616" max="4616" width="15.1796875" style="17" bestFit="1" customWidth="1"/>
    <col min="4617" max="4617" width="6.453125" style="17" customWidth="1"/>
    <col min="4618" max="4618" width="12.7265625" style="17" customWidth="1"/>
    <col min="4619" max="4619" width="6.453125" style="17" customWidth="1"/>
    <col min="4620" max="4620" width="12.7265625" style="17" customWidth="1"/>
    <col min="4621" max="4621" width="6" style="17" customWidth="1"/>
    <col min="4622" max="4622" width="12.7265625" style="17" customWidth="1"/>
    <col min="4623" max="4623" width="9.54296875" style="17" customWidth="1"/>
    <col min="4624" max="4624" width="14" style="17" bestFit="1" customWidth="1"/>
    <col min="4625" max="4625" width="8.7265625" style="17" bestFit="1" customWidth="1"/>
    <col min="4626" max="4626" width="13.54296875" style="17" customWidth="1"/>
    <col min="4627" max="4627" width="6" style="17" customWidth="1"/>
    <col min="4628" max="4628" width="13.7265625" style="17" customWidth="1"/>
    <col min="4629" max="4629" width="6" style="17" customWidth="1"/>
    <col min="4630" max="4630" width="12.7265625" style="17" customWidth="1"/>
    <col min="4631" max="4631" width="6.81640625" style="17" customWidth="1"/>
    <col min="4632" max="4632" width="12.7265625" style="17" customWidth="1"/>
    <col min="4633" max="4633" width="6.81640625" style="17" customWidth="1"/>
    <col min="4634" max="4634" width="15.7265625" style="17" bestFit="1" customWidth="1"/>
    <col min="4635" max="4635" width="8.54296875" style="17" bestFit="1" customWidth="1"/>
    <col min="4636" max="4636" width="13.54296875" style="17" customWidth="1"/>
    <col min="4637" max="4637" width="6" style="17" customWidth="1"/>
    <col min="4638" max="4638" width="13.7265625" style="17" customWidth="1"/>
    <col min="4639" max="4639" width="6" style="17" customWidth="1"/>
    <col min="4640" max="4640" width="12.7265625" style="17" customWidth="1"/>
    <col min="4641" max="4641" width="6.81640625" style="17" customWidth="1"/>
    <col min="4642" max="4642" width="12.7265625" style="17" customWidth="1"/>
    <col min="4643" max="4643" width="6.81640625" style="17" customWidth="1"/>
    <col min="4644" max="4644" width="16.453125" style="17" bestFit="1" customWidth="1"/>
    <col min="4645" max="4645" width="9.54296875" style="17" bestFit="1" customWidth="1"/>
    <col min="4646" max="4646" width="17.453125" style="17" bestFit="1" customWidth="1"/>
    <col min="4647" max="4647" width="6" style="17" customWidth="1"/>
    <col min="4648" max="4648" width="13.7265625" style="17" customWidth="1"/>
    <col min="4649" max="4649" width="6" style="17" customWidth="1"/>
    <col min="4650" max="4650" width="12.7265625" style="17" customWidth="1"/>
    <col min="4651" max="4651" width="6.81640625" style="17" customWidth="1"/>
    <col min="4652" max="4652" width="12.7265625" style="17" customWidth="1"/>
    <col min="4653" max="4653" width="6.81640625" style="17" customWidth="1"/>
    <col min="4654" max="4654" width="15.453125" style="17" bestFit="1" customWidth="1"/>
    <col min="4655" max="4655" width="9.54296875" style="17" bestFit="1" customWidth="1"/>
    <col min="4656" max="4656" width="17.453125" style="17" bestFit="1" customWidth="1"/>
    <col min="4657" max="4657" width="8" style="17" customWidth="1"/>
    <col min="4658" max="4658" width="12.1796875" style="17" customWidth="1"/>
    <col min="4659" max="4659" width="8" style="17" customWidth="1"/>
    <col min="4660" max="4660" width="20" style="17" customWidth="1"/>
    <col min="4661" max="4661" width="15.26953125" style="17" bestFit="1" customWidth="1"/>
    <col min="4662" max="4662" width="14.26953125" style="17" bestFit="1" customWidth="1"/>
    <col min="4663" max="4663" width="13" style="17" bestFit="1" customWidth="1"/>
    <col min="4664" max="4835" width="8.7265625" style="17"/>
    <col min="4836" max="4836" width="2.7265625" style="17" customWidth="1"/>
    <col min="4837" max="4837" width="3.54296875" style="17" customWidth="1"/>
    <col min="4838" max="4838" width="7" style="17" customWidth="1"/>
    <col min="4839" max="4839" width="23" style="17" customWidth="1"/>
    <col min="4840" max="4840" width="13.26953125" style="17" customWidth="1"/>
    <col min="4841" max="4841" width="17.453125" style="17" bestFit="1" customWidth="1"/>
    <col min="4842" max="4842" width="11.54296875" style="17" bestFit="1" customWidth="1"/>
    <col min="4843" max="4843" width="7.81640625" style="17" customWidth="1"/>
    <col min="4844" max="4844" width="11.54296875" style="17" bestFit="1" customWidth="1"/>
    <col min="4845" max="4845" width="7" style="17" customWidth="1"/>
    <col min="4846" max="4846" width="18.1796875" style="17" customWidth="1"/>
    <col min="4847" max="4847" width="7" style="17" customWidth="1"/>
    <col min="4848" max="4848" width="15.54296875" style="17" customWidth="1"/>
    <col min="4849" max="4849" width="7.81640625" style="17" customWidth="1"/>
    <col min="4850" max="4850" width="15.54296875" style="17" customWidth="1"/>
    <col min="4851" max="4851" width="7.81640625" style="17" bestFit="1" customWidth="1"/>
    <col min="4852" max="4852" width="15.7265625" style="17" bestFit="1" customWidth="1"/>
    <col min="4853" max="4853" width="7.54296875" style="17" customWidth="1"/>
    <col min="4854" max="4854" width="14" style="17" customWidth="1"/>
    <col min="4855" max="4855" width="7.81640625" style="17" customWidth="1"/>
    <col min="4856" max="4856" width="14" style="17" customWidth="1"/>
    <col min="4857" max="4857" width="7.81640625" style="17" customWidth="1"/>
    <col min="4858" max="4858" width="14" style="17" customWidth="1"/>
    <col min="4859" max="4859" width="9" style="17" customWidth="1"/>
    <col min="4860" max="4860" width="15.1796875" style="17" customWidth="1"/>
    <col min="4861" max="4861" width="13" style="17" bestFit="1" customWidth="1"/>
    <col min="4862" max="4862" width="15.1796875" style="17" bestFit="1" customWidth="1"/>
    <col min="4863" max="4863" width="7.54296875" style="17" customWidth="1"/>
    <col min="4864" max="4864" width="14" style="17" customWidth="1"/>
    <col min="4865" max="4865" width="7.81640625" style="17" customWidth="1"/>
    <col min="4866" max="4866" width="14" style="17" customWidth="1"/>
    <col min="4867" max="4867" width="7.81640625" style="17" customWidth="1"/>
    <col min="4868" max="4868" width="14" style="17" customWidth="1"/>
    <col min="4869" max="4869" width="9" style="17" bestFit="1" customWidth="1"/>
    <col min="4870" max="4870" width="15.1796875" style="17" bestFit="1" customWidth="1"/>
    <col min="4871" max="4871" width="9" style="17" bestFit="1" customWidth="1"/>
    <col min="4872" max="4872" width="15.1796875" style="17" bestFit="1" customWidth="1"/>
    <col min="4873" max="4873" width="6.453125" style="17" customWidth="1"/>
    <col min="4874" max="4874" width="12.7265625" style="17" customWidth="1"/>
    <col min="4875" max="4875" width="6.453125" style="17" customWidth="1"/>
    <col min="4876" max="4876" width="12.7265625" style="17" customWidth="1"/>
    <col min="4877" max="4877" width="6" style="17" customWidth="1"/>
    <col min="4878" max="4878" width="12.7265625" style="17" customWidth="1"/>
    <col min="4879" max="4879" width="9.54296875" style="17" customWidth="1"/>
    <col min="4880" max="4880" width="14" style="17" bestFit="1" customWidth="1"/>
    <col min="4881" max="4881" width="8.7265625" style="17" bestFit="1" customWidth="1"/>
    <col min="4882" max="4882" width="13.54296875" style="17" customWidth="1"/>
    <col min="4883" max="4883" width="6" style="17" customWidth="1"/>
    <col min="4884" max="4884" width="13.7265625" style="17" customWidth="1"/>
    <col min="4885" max="4885" width="6" style="17" customWidth="1"/>
    <col min="4886" max="4886" width="12.7265625" style="17" customWidth="1"/>
    <col min="4887" max="4887" width="6.81640625" style="17" customWidth="1"/>
    <col min="4888" max="4888" width="12.7265625" style="17" customWidth="1"/>
    <col min="4889" max="4889" width="6.81640625" style="17" customWidth="1"/>
    <col min="4890" max="4890" width="15.7265625" style="17" bestFit="1" customWidth="1"/>
    <col min="4891" max="4891" width="8.54296875" style="17" bestFit="1" customWidth="1"/>
    <col min="4892" max="4892" width="13.54296875" style="17" customWidth="1"/>
    <col min="4893" max="4893" width="6" style="17" customWidth="1"/>
    <col min="4894" max="4894" width="13.7265625" style="17" customWidth="1"/>
    <col min="4895" max="4895" width="6" style="17" customWidth="1"/>
    <col min="4896" max="4896" width="12.7265625" style="17" customWidth="1"/>
    <col min="4897" max="4897" width="6.81640625" style="17" customWidth="1"/>
    <col min="4898" max="4898" width="12.7265625" style="17" customWidth="1"/>
    <col min="4899" max="4899" width="6.81640625" style="17" customWidth="1"/>
    <col min="4900" max="4900" width="16.453125" style="17" bestFit="1" customWidth="1"/>
    <col min="4901" max="4901" width="9.54296875" style="17" bestFit="1" customWidth="1"/>
    <col min="4902" max="4902" width="17.453125" style="17" bestFit="1" customWidth="1"/>
    <col min="4903" max="4903" width="6" style="17" customWidth="1"/>
    <col min="4904" max="4904" width="13.7265625" style="17" customWidth="1"/>
    <col min="4905" max="4905" width="6" style="17" customWidth="1"/>
    <col min="4906" max="4906" width="12.7265625" style="17" customWidth="1"/>
    <col min="4907" max="4907" width="6.81640625" style="17" customWidth="1"/>
    <col min="4908" max="4908" width="12.7265625" style="17" customWidth="1"/>
    <col min="4909" max="4909" width="6.81640625" style="17" customWidth="1"/>
    <col min="4910" max="4910" width="15.453125" style="17" bestFit="1" customWidth="1"/>
    <col min="4911" max="4911" width="9.54296875" style="17" bestFit="1" customWidth="1"/>
    <col min="4912" max="4912" width="17.453125" style="17" bestFit="1" customWidth="1"/>
    <col min="4913" max="4913" width="8" style="17" customWidth="1"/>
    <col min="4914" max="4914" width="12.1796875" style="17" customWidth="1"/>
    <col min="4915" max="4915" width="8" style="17" customWidth="1"/>
    <col min="4916" max="4916" width="20" style="17" customWidth="1"/>
    <col min="4917" max="4917" width="15.26953125" style="17" bestFit="1" customWidth="1"/>
    <col min="4918" max="4918" width="14.26953125" style="17" bestFit="1" customWidth="1"/>
    <col min="4919" max="4919" width="13" style="17" bestFit="1" customWidth="1"/>
    <col min="4920" max="5091" width="8.7265625" style="17"/>
    <col min="5092" max="5092" width="2.7265625" style="17" customWidth="1"/>
    <col min="5093" max="5093" width="3.54296875" style="17" customWidth="1"/>
    <col min="5094" max="5094" width="7" style="17" customWidth="1"/>
    <col min="5095" max="5095" width="23" style="17" customWidth="1"/>
    <col min="5096" max="5096" width="13.26953125" style="17" customWidth="1"/>
    <col min="5097" max="5097" width="17.453125" style="17" bestFit="1" customWidth="1"/>
    <col min="5098" max="5098" width="11.54296875" style="17" bestFit="1" customWidth="1"/>
    <col min="5099" max="5099" width="7.81640625" style="17" customWidth="1"/>
    <col min="5100" max="5100" width="11.54296875" style="17" bestFit="1" customWidth="1"/>
    <col min="5101" max="5101" width="7" style="17" customWidth="1"/>
    <col min="5102" max="5102" width="18.1796875" style="17" customWidth="1"/>
    <col min="5103" max="5103" width="7" style="17" customWidth="1"/>
    <col min="5104" max="5104" width="15.54296875" style="17" customWidth="1"/>
    <col min="5105" max="5105" width="7.81640625" style="17" customWidth="1"/>
    <col min="5106" max="5106" width="15.54296875" style="17" customWidth="1"/>
    <col min="5107" max="5107" width="7.81640625" style="17" bestFit="1" customWidth="1"/>
    <col min="5108" max="5108" width="15.7265625" style="17" bestFit="1" customWidth="1"/>
    <col min="5109" max="5109" width="7.54296875" style="17" customWidth="1"/>
    <col min="5110" max="5110" width="14" style="17" customWidth="1"/>
    <col min="5111" max="5111" width="7.81640625" style="17" customWidth="1"/>
    <col min="5112" max="5112" width="14" style="17" customWidth="1"/>
    <col min="5113" max="5113" width="7.81640625" style="17" customWidth="1"/>
    <col min="5114" max="5114" width="14" style="17" customWidth="1"/>
    <col min="5115" max="5115" width="9" style="17" customWidth="1"/>
    <col min="5116" max="5116" width="15.1796875" style="17" customWidth="1"/>
    <col min="5117" max="5117" width="13" style="17" bestFit="1" customWidth="1"/>
    <col min="5118" max="5118" width="15.1796875" style="17" bestFit="1" customWidth="1"/>
    <col min="5119" max="5119" width="7.54296875" style="17" customWidth="1"/>
    <col min="5120" max="5120" width="14" style="17" customWidth="1"/>
    <col min="5121" max="5121" width="7.81640625" style="17" customWidth="1"/>
    <col min="5122" max="5122" width="14" style="17" customWidth="1"/>
    <col min="5123" max="5123" width="7.81640625" style="17" customWidth="1"/>
    <col min="5124" max="5124" width="14" style="17" customWidth="1"/>
    <col min="5125" max="5125" width="9" style="17" bestFit="1" customWidth="1"/>
    <col min="5126" max="5126" width="15.1796875" style="17" bestFit="1" customWidth="1"/>
    <col min="5127" max="5127" width="9" style="17" bestFit="1" customWidth="1"/>
    <col min="5128" max="5128" width="15.1796875" style="17" bestFit="1" customWidth="1"/>
    <col min="5129" max="5129" width="6.453125" style="17" customWidth="1"/>
    <col min="5130" max="5130" width="12.7265625" style="17" customWidth="1"/>
    <col min="5131" max="5131" width="6.453125" style="17" customWidth="1"/>
    <col min="5132" max="5132" width="12.7265625" style="17" customWidth="1"/>
    <col min="5133" max="5133" width="6" style="17" customWidth="1"/>
    <col min="5134" max="5134" width="12.7265625" style="17" customWidth="1"/>
    <col min="5135" max="5135" width="9.54296875" style="17" customWidth="1"/>
    <col min="5136" max="5136" width="14" style="17" bestFit="1" customWidth="1"/>
    <col min="5137" max="5137" width="8.7265625" style="17" bestFit="1" customWidth="1"/>
    <col min="5138" max="5138" width="13.54296875" style="17" customWidth="1"/>
    <col min="5139" max="5139" width="6" style="17" customWidth="1"/>
    <col min="5140" max="5140" width="13.7265625" style="17" customWidth="1"/>
    <col min="5141" max="5141" width="6" style="17" customWidth="1"/>
    <col min="5142" max="5142" width="12.7265625" style="17" customWidth="1"/>
    <col min="5143" max="5143" width="6.81640625" style="17" customWidth="1"/>
    <col min="5144" max="5144" width="12.7265625" style="17" customWidth="1"/>
    <col min="5145" max="5145" width="6.81640625" style="17" customWidth="1"/>
    <col min="5146" max="5146" width="15.7265625" style="17" bestFit="1" customWidth="1"/>
    <col min="5147" max="5147" width="8.54296875" style="17" bestFit="1" customWidth="1"/>
    <col min="5148" max="5148" width="13.54296875" style="17" customWidth="1"/>
    <col min="5149" max="5149" width="6" style="17" customWidth="1"/>
    <col min="5150" max="5150" width="13.7265625" style="17" customWidth="1"/>
    <col min="5151" max="5151" width="6" style="17" customWidth="1"/>
    <col min="5152" max="5152" width="12.7265625" style="17" customWidth="1"/>
    <col min="5153" max="5153" width="6.81640625" style="17" customWidth="1"/>
    <col min="5154" max="5154" width="12.7265625" style="17" customWidth="1"/>
    <col min="5155" max="5155" width="6.81640625" style="17" customWidth="1"/>
    <col min="5156" max="5156" width="16.453125" style="17" bestFit="1" customWidth="1"/>
    <col min="5157" max="5157" width="9.54296875" style="17" bestFit="1" customWidth="1"/>
    <col min="5158" max="5158" width="17.453125" style="17" bestFit="1" customWidth="1"/>
    <col min="5159" max="5159" width="6" style="17" customWidth="1"/>
    <col min="5160" max="5160" width="13.7265625" style="17" customWidth="1"/>
    <col min="5161" max="5161" width="6" style="17" customWidth="1"/>
    <col min="5162" max="5162" width="12.7265625" style="17" customWidth="1"/>
    <col min="5163" max="5163" width="6.81640625" style="17" customWidth="1"/>
    <col min="5164" max="5164" width="12.7265625" style="17" customWidth="1"/>
    <col min="5165" max="5165" width="6.81640625" style="17" customWidth="1"/>
    <col min="5166" max="5166" width="15.453125" style="17" bestFit="1" customWidth="1"/>
    <col min="5167" max="5167" width="9.54296875" style="17" bestFit="1" customWidth="1"/>
    <col min="5168" max="5168" width="17.453125" style="17" bestFit="1" customWidth="1"/>
    <col min="5169" max="5169" width="8" style="17" customWidth="1"/>
    <col min="5170" max="5170" width="12.1796875" style="17" customWidth="1"/>
    <col min="5171" max="5171" width="8" style="17" customWidth="1"/>
    <col min="5172" max="5172" width="20" style="17" customWidth="1"/>
    <col min="5173" max="5173" width="15.26953125" style="17" bestFit="1" customWidth="1"/>
    <col min="5174" max="5174" width="14.26953125" style="17" bestFit="1" customWidth="1"/>
    <col min="5175" max="5175" width="13" style="17" bestFit="1" customWidth="1"/>
    <col min="5176" max="5347" width="8.7265625" style="17"/>
    <col min="5348" max="5348" width="2.7265625" style="17" customWidth="1"/>
    <col min="5349" max="5349" width="3.54296875" style="17" customWidth="1"/>
    <col min="5350" max="5350" width="7" style="17" customWidth="1"/>
    <col min="5351" max="5351" width="23" style="17" customWidth="1"/>
    <col min="5352" max="5352" width="13.26953125" style="17" customWidth="1"/>
    <col min="5353" max="5353" width="17.453125" style="17" bestFit="1" customWidth="1"/>
    <col min="5354" max="5354" width="11.54296875" style="17" bestFit="1" customWidth="1"/>
    <col min="5355" max="5355" width="7.81640625" style="17" customWidth="1"/>
    <col min="5356" max="5356" width="11.54296875" style="17" bestFit="1" customWidth="1"/>
    <col min="5357" max="5357" width="7" style="17" customWidth="1"/>
    <col min="5358" max="5358" width="18.1796875" style="17" customWidth="1"/>
    <col min="5359" max="5359" width="7" style="17" customWidth="1"/>
    <col min="5360" max="5360" width="15.54296875" style="17" customWidth="1"/>
    <col min="5361" max="5361" width="7.81640625" style="17" customWidth="1"/>
    <col min="5362" max="5362" width="15.54296875" style="17" customWidth="1"/>
    <col min="5363" max="5363" width="7.81640625" style="17" bestFit="1" customWidth="1"/>
    <col min="5364" max="5364" width="15.7265625" style="17" bestFit="1" customWidth="1"/>
    <col min="5365" max="5365" width="7.54296875" style="17" customWidth="1"/>
    <col min="5366" max="5366" width="14" style="17" customWidth="1"/>
    <col min="5367" max="5367" width="7.81640625" style="17" customWidth="1"/>
    <col min="5368" max="5368" width="14" style="17" customWidth="1"/>
    <col min="5369" max="5369" width="7.81640625" style="17" customWidth="1"/>
    <col min="5370" max="5370" width="14" style="17" customWidth="1"/>
    <col min="5371" max="5371" width="9" style="17" customWidth="1"/>
    <col min="5372" max="5372" width="15.1796875" style="17" customWidth="1"/>
    <col min="5373" max="5373" width="13" style="17" bestFit="1" customWidth="1"/>
    <col min="5374" max="5374" width="15.1796875" style="17" bestFit="1" customWidth="1"/>
    <col min="5375" max="5375" width="7.54296875" style="17" customWidth="1"/>
    <col min="5376" max="5376" width="14" style="17" customWidth="1"/>
    <col min="5377" max="5377" width="7.81640625" style="17" customWidth="1"/>
    <col min="5378" max="5378" width="14" style="17" customWidth="1"/>
    <col min="5379" max="5379" width="7.81640625" style="17" customWidth="1"/>
    <col min="5380" max="5380" width="14" style="17" customWidth="1"/>
    <col min="5381" max="5381" width="9" style="17" bestFit="1" customWidth="1"/>
    <col min="5382" max="5382" width="15.1796875" style="17" bestFit="1" customWidth="1"/>
    <col min="5383" max="5383" width="9" style="17" bestFit="1" customWidth="1"/>
    <col min="5384" max="5384" width="15.1796875" style="17" bestFit="1" customWidth="1"/>
    <col min="5385" max="5385" width="6.453125" style="17" customWidth="1"/>
    <col min="5386" max="5386" width="12.7265625" style="17" customWidth="1"/>
    <col min="5387" max="5387" width="6.453125" style="17" customWidth="1"/>
    <col min="5388" max="5388" width="12.7265625" style="17" customWidth="1"/>
    <col min="5389" max="5389" width="6" style="17" customWidth="1"/>
    <col min="5390" max="5390" width="12.7265625" style="17" customWidth="1"/>
    <col min="5391" max="5391" width="9.54296875" style="17" customWidth="1"/>
    <col min="5392" max="5392" width="14" style="17" bestFit="1" customWidth="1"/>
    <col min="5393" max="5393" width="8.7265625" style="17" bestFit="1" customWidth="1"/>
    <col min="5394" max="5394" width="13.54296875" style="17" customWidth="1"/>
    <col min="5395" max="5395" width="6" style="17" customWidth="1"/>
    <col min="5396" max="5396" width="13.7265625" style="17" customWidth="1"/>
    <col min="5397" max="5397" width="6" style="17" customWidth="1"/>
    <col min="5398" max="5398" width="12.7265625" style="17" customWidth="1"/>
    <col min="5399" max="5399" width="6.81640625" style="17" customWidth="1"/>
    <col min="5400" max="5400" width="12.7265625" style="17" customWidth="1"/>
    <col min="5401" max="5401" width="6.81640625" style="17" customWidth="1"/>
    <col min="5402" max="5402" width="15.7265625" style="17" bestFit="1" customWidth="1"/>
    <col min="5403" max="5403" width="8.54296875" style="17" bestFit="1" customWidth="1"/>
    <col min="5404" max="5404" width="13.54296875" style="17" customWidth="1"/>
    <col min="5405" max="5405" width="6" style="17" customWidth="1"/>
    <col min="5406" max="5406" width="13.7265625" style="17" customWidth="1"/>
    <col min="5407" max="5407" width="6" style="17" customWidth="1"/>
    <col min="5408" max="5408" width="12.7265625" style="17" customWidth="1"/>
    <col min="5409" max="5409" width="6.81640625" style="17" customWidth="1"/>
    <col min="5410" max="5410" width="12.7265625" style="17" customWidth="1"/>
    <col min="5411" max="5411" width="6.81640625" style="17" customWidth="1"/>
    <col min="5412" max="5412" width="16.453125" style="17" bestFit="1" customWidth="1"/>
    <col min="5413" max="5413" width="9.54296875" style="17" bestFit="1" customWidth="1"/>
    <col min="5414" max="5414" width="17.453125" style="17" bestFit="1" customWidth="1"/>
    <col min="5415" max="5415" width="6" style="17" customWidth="1"/>
    <col min="5416" max="5416" width="13.7265625" style="17" customWidth="1"/>
    <col min="5417" max="5417" width="6" style="17" customWidth="1"/>
    <col min="5418" max="5418" width="12.7265625" style="17" customWidth="1"/>
    <col min="5419" max="5419" width="6.81640625" style="17" customWidth="1"/>
    <col min="5420" max="5420" width="12.7265625" style="17" customWidth="1"/>
    <col min="5421" max="5421" width="6.81640625" style="17" customWidth="1"/>
    <col min="5422" max="5422" width="15.453125" style="17" bestFit="1" customWidth="1"/>
    <col min="5423" max="5423" width="9.54296875" style="17" bestFit="1" customWidth="1"/>
    <col min="5424" max="5424" width="17.453125" style="17" bestFit="1" customWidth="1"/>
    <col min="5425" max="5425" width="8" style="17" customWidth="1"/>
    <col min="5426" max="5426" width="12.1796875" style="17" customWidth="1"/>
    <col min="5427" max="5427" width="8" style="17" customWidth="1"/>
    <col min="5428" max="5428" width="20" style="17" customWidth="1"/>
    <col min="5429" max="5429" width="15.26953125" style="17" bestFit="1" customWidth="1"/>
    <col min="5430" max="5430" width="14.26953125" style="17" bestFit="1" customWidth="1"/>
    <col min="5431" max="5431" width="13" style="17" bestFit="1" customWidth="1"/>
    <col min="5432" max="5603" width="8.7265625" style="17"/>
    <col min="5604" max="5604" width="2.7265625" style="17" customWidth="1"/>
    <col min="5605" max="5605" width="3.54296875" style="17" customWidth="1"/>
    <col min="5606" max="5606" width="7" style="17" customWidth="1"/>
    <col min="5607" max="5607" width="23" style="17" customWidth="1"/>
    <col min="5608" max="5608" width="13.26953125" style="17" customWidth="1"/>
    <col min="5609" max="5609" width="17.453125" style="17" bestFit="1" customWidth="1"/>
    <col min="5610" max="5610" width="11.54296875" style="17" bestFit="1" customWidth="1"/>
    <col min="5611" max="5611" width="7.81640625" style="17" customWidth="1"/>
    <col min="5612" max="5612" width="11.54296875" style="17" bestFit="1" customWidth="1"/>
    <col min="5613" max="5613" width="7" style="17" customWidth="1"/>
    <col min="5614" max="5614" width="18.1796875" style="17" customWidth="1"/>
    <col min="5615" max="5615" width="7" style="17" customWidth="1"/>
    <col min="5616" max="5616" width="15.54296875" style="17" customWidth="1"/>
    <col min="5617" max="5617" width="7.81640625" style="17" customWidth="1"/>
    <col min="5618" max="5618" width="15.54296875" style="17" customWidth="1"/>
    <col min="5619" max="5619" width="7.81640625" style="17" bestFit="1" customWidth="1"/>
    <col min="5620" max="5620" width="15.7265625" style="17" bestFit="1" customWidth="1"/>
    <col min="5621" max="5621" width="7.54296875" style="17" customWidth="1"/>
    <col min="5622" max="5622" width="14" style="17" customWidth="1"/>
    <col min="5623" max="5623" width="7.81640625" style="17" customWidth="1"/>
    <col min="5624" max="5624" width="14" style="17" customWidth="1"/>
    <col min="5625" max="5625" width="7.81640625" style="17" customWidth="1"/>
    <col min="5626" max="5626" width="14" style="17" customWidth="1"/>
    <col min="5627" max="5627" width="9" style="17" customWidth="1"/>
    <col min="5628" max="5628" width="15.1796875" style="17" customWidth="1"/>
    <col min="5629" max="5629" width="13" style="17" bestFit="1" customWidth="1"/>
    <col min="5630" max="5630" width="15.1796875" style="17" bestFit="1" customWidth="1"/>
    <col min="5631" max="5631" width="7.54296875" style="17" customWidth="1"/>
    <col min="5632" max="5632" width="14" style="17" customWidth="1"/>
    <col min="5633" max="5633" width="7.81640625" style="17" customWidth="1"/>
    <col min="5634" max="5634" width="14" style="17" customWidth="1"/>
    <col min="5635" max="5635" width="7.81640625" style="17" customWidth="1"/>
    <col min="5636" max="5636" width="14" style="17" customWidth="1"/>
    <col min="5637" max="5637" width="9" style="17" bestFit="1" customWidth="1"/>
    <col min="5638" max="5638" width="15.1796875" style="17" bestFit="1" customWidth="1"/>
    <col min="5639" max="5639" width="9" style="17" bestFit="1" customWidth="1"/>
    <col min="5640" max="5640" width="15.1796875" style="17" bestFit="1" customWidth="1"/>
    <col min="5641" max="5641" width="6.453125" style="17" customWidth="1"/>
    <col min="5642" max="5642" width="12.7265625" style="17" customWidth="1"/>
    <col min="5643" max="5643" width="6.453125" style="17" customWidth="1"/>
    <col min="5644" max="5644" width="12.7265625" style="17" customWidth="1"/>
    <col min="5645" max="5645" width="6" style="17" customWidth="1"/>
    <col min="5646" max="5646" width="12.7265625" style="17" customWidth="1"/>
    <col min="5647" max="5647" width="9.54296875" style="17" customWidth="1"/>
    <col min="5648" max="5648" width="14" style="17" bestFit="1" customWidth="1"/>
    <col min="5649" max="5649" width="8.7265625" style="17" bestFit="1" customWidth="1"/>
    <col min="5650" max="5650" width="13.54296875" style="17" customWidth="1"/>
    <col min="5651" max="5651" width="6" style="17" customWidth="1"/>
    <col min="5652" max="5652" width="13.7265625" style="17" customWidth="1"/>
    <col min="5653" max="5653" width="6" style="17" customWidth="1"/>
    <col min="5654" max="5654" width="12.7265625" style="17" customWidth="1"/>
    <col min="5655" max="5655" width="6.81640625" style="17" customWidth="1"/>
    <col min="5656" max="5656" width="12.7265625" style="17" customWidth="1"/>
    <col min="5657" max="5657" width="6.81640625" style="17" customWidth="1"/>
    <col min="5658" max="5658" width="15.7265625" style="17" bestFit="1" customWidth="1"/>
    <col min="5659" max="5659" width="8.54296875" style="17" bestFit="1" customWidth="1"/>
    <col min="5660" max="5660" width="13.54296875" style="17" customWidth="1"/>
    <col min="5661" max="5661" width="6" style="17" customWidth="1"/>
    <col min="5662" max="5662" width="13.7265625" style="17" customWidth="1"/>
    <col min="5663" max="5663" width="6" style="17" customWidth="1"/>
    <col min="5664" max="5664" width="12.7265625" style="17" customWidth="1"/>
    <col min="5665" max="5665" width="6.81640625" style="17" customWidth="1"/>
    <col min="5666" max="5666" width="12.7265625" style="17" customWidth="1"/>
    <col min="5667" max="5667" width="6.81640625" style="17" customWidth="1"/>
    <col min="5668" max="5668" width="16.453125" style="17" bestFit="1" customWidth="1"/>
    <col min="5669" max="5669" width="9.54296875" style="17" bestFit="1" customWidth="1"/>
    <col min="5670" max="5670" width="17.453125" style="17" bestFit="1" customWidth="1"/>
    <col min="5671" max="5671" width="6" style="17" customWidth="1"/>
    <col min="5672" max="5672" width="13.7265625" style="17" customWidth="1"/>
    <col min="5673" max="5673" width="6" style="17" customWidth="1"/>
    <col min="5674" max="5674" width="12.7265625" style="17" customWidth="1"/>
    <col min="5675" max="5675" width="6.81640625" style="17" customWidth="1"/>
    <col min="5676" max="5676" width="12.7265625" style="17" customWidth="1"/>
    <col min="5677" max="5677" width="6.81640625" style="17" customWidth="1"/>
    <col min="5678" max="5678" width="15.453125" style="17" bestFit="1" customWidth="1"/>
    <col min="5679" max="5679" width="9.54296875" style="17" bestFit="1" customWidth="1"/>
    <col min="5680" max="5680" width="17.453125" style="17" bestFit="1" customWidth="1"/>
    <col min="5681" max="5681" width="8" style="17" customWidth="1"/>
    <col min="5682" max="5682" width="12.1796875" style="17" customWidth="1"/>
    <col min="5683" max="5683" width="8" style="17" customWidth="1"/>
    <col min="5684" max="5684" width="20" style="17" customWidth="1"/>
    <col min="5685" max="5685" width="15.26953125" style="17" bestFit="1" customWidth="1"/>
    <col min="5686" max="5686" width="14.26953125" style="17" bestFit="1" customWidth="1"/>
    <col min="5687" max="5687" width="13" style="17" bestFit="1" customWidth="1"/>
    <col min="5688" max="5859" width="8.7265625" style="17"/>
    <col min="5860" max="5860" width="2.7265625" style="17" customWidth="1"/>
    <col min="5861" max="5861" width="3.54296875" style="17" customWidth="1"/>
    <col min="5862" max="5862" width="7" style="17" customWidth="1"/>
    <col min="5863" max="5863" width="23" style="17" customWidth="1"/>
    <col min="5864" max="5864" width="13.26953125" style="17" customWidth="1"/>
    <col min="5865" max="5865" width="17.453125" style="17" bestFit="1" customWidth="1"/>
    <col min="5866" max="5866" width="11.54296875" style="17" bestFit="1" customWidth="1"/>
    <col min="5867" max="5867" width="7.81640625" style="17" customWidth="1"/>
    <col min="5868" max="5868" width="11.54296875" style="17" bestFit="1" customWidth="1"/>
    <col min="5869" max="5869" width="7" style="17" customWidth="1"/>
    <col min="5870" max="5870" width="18.1796875" style="17" customWidth="1"/>
    <col min="5871" max="5871" width="7" style="17" customWidth="1"/>
    <col min="5872" max="5872" width="15.54296875" style="17" customWidth="1"/>
    <col min="5873" max="5873" width="7.81640625" style="17" customWidth="1"/>
    <col min="5874" max="5874" width="15.54296875" style="17" customWidth="1"/>
    <col min="5875" max="5875" width="7.81640625" style="17" bestFit="1" customWidth="1"/>
    <col min="5876" max="5876" width="15.7265625" style="17" bestFit="1" customWidth="1"/>
    <col min="5877" max="5877" width="7.54296875" style="17" customWidth="1"/>
    <col min="5878" max="5878" width="14" style="17" customWidth="1"/>
    <col min="5879" max="5879" width="7.81640625" style="17" customWidth="1"/>
    <col min="5880" max="5880" width="14" style="17" customWidth="1"/>
    <col min="5881" max="5881" width="7.81640625" style="17" customWidth="1"/>
    <col min="5882" max="5882" width="14" style="17" customWidth="1"/>
    <col min="5883" max="5883" width="9" style="17" customWidth="1"/>
    <col min="5884" max="5884" width="15.1796875" style="17" customWidth="1"/>
    <col min="5885" max="5885" width="13" style="17" bestFit="1" customWidth="1"/>
    <col min="5886" max="5886" width="15.1796875" style="17" bestFit="1" customWidth="1"/>
    <col min="5887" max="5887" width="7.54296875" style="17" customWidth="1"/>
    <col min="5888" max="5888" width="14" style="17" customWidth="1"/>
    <col min="5889" max="5889" width="7.81640625" style="17" customWidth="1"/>
    <col min="5890" max="5890" width="14" style="17" customWidth="1"/>
    <col min="5891" max="5891" width="7.81640625" style="17" customWidth="1"/>
    <col min="5892" max="5892" width="14" style="17" customWidth="1"/>
    <col min="5893" max="5893" width="9" style="17" bestFit="1" customWidth="1"/>
    <col min="5894" max="5894" width="15.1796875" style="17" bestFit="1" customWidth="1"/>
    <col min="5895" max="5895" width="9" style="17" bestFit="1" customWidth="1"/>
    <col min="5896" max="5896" width="15.1796875" style="17" bestFit="1" customWidth="1"/>
    <col min="5897" max="5897" width="6.453125" style="17" customWidth="1"/>
    <col min="5898" max="5898" width="12.7265625" style="17" customWidth="1"/>
    <col min="5899" max="5899" width="6.453125" style="17" customWidth="1"/>
    <col min="5900" max="5900" width="12.7265625" style="17" customWidth="1"/>
    <col min="5901" max="5901" width="6" style="17" customWidth="1"/>
    <col min="5902" max="5902" width="12.7265625" style="17" customWidth="1"/>
    <col min="5903" max="5903" width="9.54296875" style="17" customWidth="1"/>
    <col min="5904" max="5904" width="14" style="17" bestFit="1" customWidth="1"/>
    <col min="5905" max="5905" width="8.7265625" style="17" bestFit="1" customWidth="1"/>
    <col min="5906" max="5906" width="13.54296875" style="17" customWidth="1"/>
    <col min="5907" max="5907" width="6" style="17" customWidth="1"/>
    <col min="5908" max="5908" width="13.7265625" style="17" customWidth="1"/>
    <col min="5909" max="5909" width="6" style="17" customWidth="1"/>
    <col min="5910" max="5910" width="12.7265625" style="17" customWidth="1"/>
    <col min="5911" max="5911" width="6.81640625" style="17" customWidth="1"/>
    <col min="5912" max="5912" width="12.7265625" style="17" customWidth="1"/>
    <col min="5913" max="5913" width="6.81640625" style="17" customWidth="1"/>
    <col min="5914" max="5914" width="15.7265625" style="17" bestFit="1" customWidth="1"/>
    <col min="5915" max="5915" width="8.54296875" style="17" bestFit="1" customWidth="1"/>
    <col min="5916" max="5916" width="13.54296875" style="17" customWidth="1"/>
    <col min="5917" max="5917" width="6" style="17" customWidth="1"/>
    <col min="5918" max="5918" width="13.7265625" style="17" customWidth="1"/>
    <col min="5919" max="5919" width="6" style="17" customWidth="1"/>
    <col min="5920" max="5920" width="12.7265625" style="17" customWidth="1"/>
    <col min="5921" max="5921" width="6.81640625" style="17" customWidth="1"/>
    <col min="5922" max="5922" width="12.7265625" style="17" customWidth="1"/>
    <col min="5923" max="5923" width="6.81640625" style="17" customWidth="1"/>
    <col min="5924" max="5924" width="16.453125" style="17" bestFit="1" customWidth="1"/>
    <col min="5925" max="5925" width="9.54296875" style="17" bestFit="1" customWidth="1"/>
    <col min="5926" max="5926" width="17.453125" style="17" bestFit="1" customWidth="1"/>
    <col min="5927" max="5927" width="6" style="17" customWidth="1"/>
    <col min="5928" max="5928" width="13.7265625" style="17" customWidth="1"/>
    <col min="5929" max="5929" width="6" style="17" customWidth="1"/>
    <col min="5930" max="5930" width="12.7265625" style="17" customWidth="1"/>
    <col min="5931" max="5931" width="6.81640625" style="17" customWidth="1"/>
    <col min="5932" max="5932" width="12.7265625" style="17" customWidth="1"/>
    <col min="5933" max="5933" width="6.81640625" style="17" customWidth="1"/>
    <col min="5934" max="5934" width="15.453125" style="17" bestFit="1" customWidth="1"/>
    <col min="5935" max="5935" width="9.54296875" style="17" bestFit="1" customWidth="1"/>
    <col min="5936" max="5936" width="17.453125" style="17" bestFit="1" customWidth="1"/>
    <col min="5937" max="5937" width="8" style="17" customWidth="1"/>
    <col min="5938" max="5938" width="12.1796875" style="17" customWidth="1"/>
    <col min="5939" max="5939" width="8" style="17" customWidth="1"/>
    <col min="5940" max="5940" width="20" style="17" customWidth="1"/>
    <col min="5941" max="5941" width="15.26953125" style="17" bestFit="1" customWidth="1"/>
    <col min="5942" max="5942" width="14.26953125" style="17" bestFit="1" customWidth="1"/>
    <col min="5943" max="5943" width="13" style="17" bestFit="1" customWidth="1"/>
    <col min="5944" max="6115" width="8.7265625" style="17"/>
    <col min="6116" max="6116" width="2.7265625" style="17" customWidth="1"/>
    <col min="6117" max="6117" width="3.54296875" style="17" customWidth="1"/>
    <col min="6118" max="6118" width="7" style="17" customWidth="1"/>
    <col min="6119" max="6119" width="23" style="17" customWidth="1"/>
    <col min="6120" max="6120" width="13.26953125" style="17" customWidth="1"/>
    <col min="6121" max="6121" width="17.453125" style="17" bestFit="1" customWidth="1"/>
    <col min="6122" max="6122" width="11.54296875" style="17" bestFit="1" customWidth="1"/>
    <col min="6123" max="6123" width="7.81640625" style="17" customWidth="1"/>
    <col min="6124" max="6124" width="11.54296875" style="17" bestFit="1" customWidth="1"/>
    <col min="6125" max="6125" width="7" style="17" customWidth="1"/>
    <col min="6126" max="6126" width="18.1796875" style="17" customWidth="1"/>
    <col min="6127" max="6127" width="7" style="17" customWidth="1"/>
    <col min="6128" max="6128" width="15.54296875" style="17" customWidth="1"/>
    <col min="6129" max="6129" width="7.81640625" style="17" customWidth="1"/>
    <col min="6130" max="6130" width="15.54296875" style="17" customWidth="1"/>
    <col min="6131" max="6131" width="7.81640625" style="17" bestFit="1" customWidth="1"/>
    <col min="6132" max="6132" width="15.7265625" style="17" bestFit="1" customWidth="1"/>
    <col min="6133" max="6133" width="7.54296875" style="17" customWidth="1"/>
    <col min="6134" max="6134" width="14" style="17" customWidth="1"/>
    <col min="6135" max="6135" width="7.81640625" style="17" customWidth="1"/>
    <col min="6136" max="6136" width="14" style="17" customWidth="1"/>
    <col min="6137" max="6137" width="7.81640625" style="17" customWidth="1"/>
    <col min="6138" max="6138" width="14" style="17" customWidth="1"/>
    <col min="6139" max="6139" width="9" style="17" customWidth="1"/>
    <col min="6140" max="6140" width="15.1796875" style="17" customWidth="1"/>
    <col min="6141" max="6141" width="13" style="17" bestFit="1" customWidth="1"/>
    <col min="6142" max="6142" width="15.1796875" style="17" bestFit="1" customWidth="1"/>
    <col min="6143" max="6143" width="7.54296875" style="17" customWidth="1"/>
    <col min="6144" max="6144" width="14" style="17" customWidth="1"/>
    <col min="6145" max="6145" width="7.81640625" style="17" customWidth="1"/>
    <col min="6146" max="6146" width="14" style="17" customWidth="1"/>
    <col min="6147" max="6147" width="7.81640625" style="17" customWidth="1"/>
    <col min="6148" max="6148" width="14" style="17" customWidth="1"/>
    <col min="6149" max="6149" width="9" style="17" bestFit="1" customWidth="1"/>
    <col min="6150" max="6150" width="15.1796875" style="17" bestFit="1" customWidth="1"/>
    <col min="6151" max="6151" width="9" style="17" bestFit="1" customWidth="1"/>
    <col min="6152" max="6152" width="15.1796875" style="17" bestFit="1" customWidth="1"/>
    <col min="6153" max="6153" width="6.453125" style="17" customWidth="1"/>
    <col min="6154" max="6154" width="12.7265625" style="17" customWidth="1"/>
    <col min="6155" max="6155" width="6.453125" style="17" customWidth="1"/>
    <col min="6156" max="6156" width="12.7265625" style="17" customWidth="1"/>
    <col min="6157" max="6157" width="6" style="17" customWidth="1"/>
    <col min="6158" max="6158" width="12.7265625" style="17" customWidth="1"/>
    <col min="6159" max="6159" width="9.54296875" style="17" customWidth="1"/>
    <col min="6160" max="6160" width="14" style="17" bestFit="1" customWidth="1"/>
    <col min="6161" max="6161" width="8.7265625" style="17" bestFit="1" customWidth="1"/>
    <col min="6162" max="6162" width="13.54296875" style="17" customWidth="1"/>
    <col min="6163" max="6163" width="6" style="17" customWidth="1"/>
    <col min="6164" max="6164" width="13.7265625" style="17" customWidth="1"/>
    <col min="6165" max="6165" width="6" style="17" customWidth="1"/>
    <col min="6166" max="6166" width="12.7265625" style="17" customWidth="1"/>
    <col min="6167" max="6167" width="6.81640625" style="17" customWidth="1"/>
    <col min="6168" max="6168" width="12.7265625" style="17" customWidth="1"/>
    <col min="6169" max="6169" width="6.81640625" style="17" customWidth="1"/>
    <col min="6170" max="6170" width="15.7265625" style="17" bestFit="1" customWidth="1"/>
    <col min="6171" max="6171" width="8.54296875" style="17" bestFit="1" customWidth="1"/>
    <col min="6172" max="6172" width="13.54296875" style="17" customWidth="1"/>
    <col min="6173" max="6173" width="6" style="17" customWidth="1"/>
    <col min="6174" max="6174" width="13.7265625" style="17" customWidth="1"/>
    <col min="6175" max="6175" width="6" style="17" customWidth="1"/>
    <col min="6176" max="6176" width="12.7265625" style="17" customWidth="1"/>
    <col min="6177" max="6177" width="6.81640625" style="17" customWidth="1"/>
    <col min="6178" max="6178" width="12.7265625" style="17" customWidth="1"/>
    <col min="6179" max="6179" width="6.81640625" style="17" customWidth="1"/>
    <col min="6180" max="6180" width="16.453125" style="17" bestFit="1" customWidth="1"/>
    <col min="6181" max="6181" width="9.54296875" style="17" bestFit="1" customWidth="1"/>
    <col min="6182" max="6182" width="17.453125" style="17" bestFit="1" customWidth="1"/>
    <col min="6183" max="6183" width="6" style="17" customWidth="1"/>
    <col min="6184" max="6184" width="13.7265625" style="17" customWidth="1"/>
    <col min="6185" max="6185" width="6" style="17" customWidth="1"/>
    <col min="6186" max="6186" width="12.7265625" style="17" customWidth="1"/>
    <col min="6187" max="6187" width="6.81640625" style="17" customWidth="1"/>
    <col min="6188" max="6188" width="12.7265625" style="17" customWidth="1"/>
    <col min="6189" max="6189" width="6.81640625" style="17" customWidth="1"/>
    <col min="6190" max="6190" width="15.453125" style="17" bestFit="1" customWidth="1"/>
    <col min="6191" max="6191" width="9.54296875" style="17" bestFit="1" customWidth="1"/>
    <col min="6192" max="6192" width="17.453125" style="17" bestFit="1" customWidth="1"/>
    <col min="6193" max="6193" width="8" style="17" customWidth="1"/>
    <col min="6194" max="6194" width="12.1796875" style="17" customWidth="1"/>
    <col min="6195" max="6195" width="8" style="17" customWidth="1"/>
    <col min="6196" max="6196" width="20" style="17" customWidth="1"/>
    <col min="6197" max="6197" width="15.26953125" style="17" bestFit="1" customWidth="1"/>
    <col min="6198" max="6198" width="14.26953125" style="17" bestFit="1" customWidth="1"/>
    <col min="6199" max="6199" width="13" style="17" bestFit="1" customWidth="1"/>
    <col min="6200" max="6371" width="8.7265625" style="17"/>
    <col min="6372" max="6372" width="2.7265625" style="17" customWidth="1"/>
    <col min="6373" max="6373" width="3.54296875" style="17" customWidth="1"/>
    <col min="6374" max="6374" width="7" style="17" customWidth="1"/>
    <col min="6375" max="6375" width="23" style="17" customWidth="1"/>
    <col min="6376" max="6376" width="13.26953125" style="17" customWidth="1"/>
    <col min="6377" max="6377" width="17.453125" style="17" bestFit="1" customWidth="1"/>
    <col min="6378" max="6378" width="11.54296875" style="17" bestFit="1" customWidth="1"/>
    <col min="6379" max="6379" width="7.81640625" style="17" customWidth="1"/>
    <col min="6380" max="6380" width="11.54296875" style="17" bestFit="1" customWidth="1"/>
    <col min="6381" max="6381" width="7" style="17" customWidth="1"/>
    <col min="6382" max="6382" width="18.1796875" style="17" customWidth="1"/>
    <col min="6383" max="6383" width="7" style="17" customWidth="1"/>
    <col min="6384" max="6384" width="15.54296875" style="17" customWidth="1"/>
    <col min="6385" max="6385" width="7.81640625" style="17" customWidth="1"/>
    <col min="6386" max="6386" width="15.54296875" style="17" customWidth="1"/>
    <col min="6387" max="6387" width="7.81640625" style="17" bestFit="1" customWidth="1"/>
    <col min="6388" max="6388" width="15.7265625" style="17" bestFit="1" customWidth="1"/>
    <col min="6389" max="6389" width="7.54296875" style="17" customWidth="1"/>
    <col min="6390" max="6390" width="14" style="17" customWidth="1"/>
    <col min="6391" max="6391" width="7.81640625" style="17" customWidth="1"/>
    <col min="6392" max="6392" width="14" style="17" customWidth="1"/>
    <col min="6393" max="6393" width="7.81640625" style="17" customWidth="1"/>
    <col min="6394" max="6394" width="14" style="17" customWidth="1"/>
    <col min="6395" max="6395" width="9" style="17" customWidth="1"/>
    <col min="6396" max="6396" width="15.1796875" style="17" customWidth="1"/>
    <col min="6397" max="6397" width="13" style="17" bestFit="1" customWidth="1"/>
    <col min="6398" max="6398" width="15.1796875" style="17" bestFit="1" customWidth="1"/>
    <col min="6399" max="6399" width="7.54296875" style="17" customWidth="1"/>
    <col min="6400" max="6400" width="14" style="17" customWidth="1"/>
    <col min="6401" max="6401" width="7.81640625" style="17" customWidth="1"/>
    <col min="6402" max="6402" width="14" style="17" customWidth="1"/>
    <col min="6403" max="6403" width="7.81640625" style="17" customWidth="1"/>
    <col min="6404" max="6404" width="14" style="17" customWidth="1"/>
    <col min="6405" max="6405" width="9" style="17" bestFit="1" customWidth="1"/>
    <col min="6406" max="6406" width="15.1796875" style="17" bestFit="1" customWidth="1"/>
    <col min="6407" max="6407" width="9" style="17" bestFit="1" customWidth="1"/>
    <col min="6408" max="6408" width="15.1796875" style="17" bestFit="1" customWidth="1"/>
    <col min="6409" max="6409" width="6.453125" style="17" customWidth="1"/>
    <col min="6410" max="6410" width="12.7265625" style="17" customWidth="1"/>
    <col min="6411" max="6411" width="6.453125" style="17" customWidth="1"/>
    <col min="6412" max="6412" width="12.7265625" style="17" customWidth="1"/>
    <col min="6413" max="6413" width="6" style="17" customWidth="1"/>
    <col min="6414" max="6414" width="12.7265625" style="17" customWidth="1"/>
    <col min="6415" max="6415" width="9.54296875" style="17" customWidth="1"/>
    <col min="6416" max="6416" width="14" style="17" bestFit="1" customWidth="1"/>
    <col min="6417" max="6417" width="8.7265625" style="17" bestFit="1" customWidth="1"/>
    <col min="6418" max="6418" width="13.54296875" style="17" customWidth="1"/>
    <col min="6419" max="6419" width="6" style="17" customWidth="1"/>
    <col min="6420" max="6420" width="13.7265625" style="17" customWidth="1"/>
    <col min="6421" max="6421" width="6" style="17" customWidth="1"/>
    <col min="6422" max="6422" width="12.7265625" style="17" customWidth="1"/>
    <col min="6423" max="6423" width="6.81640625" style="17" customWidth="1"/>
    <col min="6424" max="6424" width="12.7265625" style="17" customWidth="1"/>
    <col min="6425" max="6425" width="6.81640625" style="17" customWidth="1"/>
    <col min="6426" max="6426" width="15.7265625" style="17" bestFit="1" customWidth="1"/>
    <col min="6427" max="6427" width="8.54296875" style="17" bestFit="1" customWidth="1"/>
    <col min="6428" max="6428" width="13.54296875" style="17" customWidth="1"/>
    <col min="6429" max="6429" width="6" style="17" customWidth="1"/>
    <col min="6430" max="6430" width="13.7265625" style="17" customWidth="1"/>
    <col min="6431" max="6431" width="6" style="17" customWidth="1"/>
    <col min="6432" max="6432" width="12.7265625" style="17" customWidth="1"/>
    <col min="6433" max="6433" width="6.81640625" style="17" customWidth="1"/>
    <col min="6434" max="6434" width="12.7265625" style="17" customWidth="1"/>
    <col min="6435" max="6435" width="6.81640625" style="17" customWidth="1"/>
    <col min="6436" max="6436" width="16.453125" style="17" bestFit="1" customWidth="1"/>
    <col min="6437" max="6437" width="9.54296875" style="17" bestFit="1" customWidth="1"/>
    <col min="6438" max="6438" width="17.453125" style="17" bestFit="1" customWidth="1"/>
    <col min="6439" max="6439" width="6" style="17" customWidth="1"/>
    <col min="6440" max="6440" width="13.7265625" style="17" customWidth="1"/>
    <col min="6441" max="6441" width="6" style="17" customWidth="1"/>
    <col min="6442" max="6442" width="12.7265625" style="17" customWidth="1"/>
    <col min="6443" max="6443" width="6.81640625" style="17" customWidth="1"/>
    <col min="6444" max="6444" width="12.7265625" style="17" customWidth="1"/>
    <col min="6445" max="6445" width="6.81640625" style="17" customWidth="1"/>
    <col min="6446" max="6446" width="15.453125" style="17" bestFit="1" customWidth="1"/>
    <col min="6447" max="6447" width="9.54296875" style="17" bestFit="1" customWidth="1"/>
    <col min="6448" max="6448" width="17.453125" style="17" bestFit="1" customWidth="1"/>
    <col min="6449" max="6449" width="8" style="17" customWidth="1"/>
    <col min="6450" max="6450" width="12.1796875" style="17" customWidth="1"/>
    <col min="6451" max="6451" width="8" style="17" customWidth="1"/>
    <col min="6452" max="6452" width="20" style="17" customWidth="1"/>
    <col min="6453" max="6453" width="15.26953125" style="17" bestFit="1" customWidth="1"/>
    <col min="6454" max="6454" width="14.26953125" style="17" bestFit="1" customWidth="1"/>
    <col min="6455" max="6455" width="13" style="17" bestFit="1" customWidth="1"/>
    <col min="6456" max="6627" width="8.7265625" style="17"/>
    <col min="6628" max="6628" width="2.7265625" style="17" customWidth="1"/>
    <col min="6629" max="6629" width="3.54296875" style="17" customWidth="1"/>
    <col min="6630" max="6630" width="7" style="17" customWidth="1"/>
    <col min="6631" max="6631" width="23" style="17" customWidth="1"/>
    <col min="6632" max="6632" width="13.26953125" style="17" customWidth="1"/>
    <col min="6633" max="6633" width="17.453125" style="17" bestFit="1" customWidth="1"/>
    <col min="6634" max="6634" width="11.54296875" style="17" bestFit="1" customWidth="1"/>
    <col min="6635" max="6635" width="7.81640625" style="17" customWidth="1"/>
    <col min="6636" max="6636" width="11.54296875" style="17" bestFit="1" customWidth="1"/>
    <col min="6637" max="6637" width="7" style="17" customWidth="1"/>
    <col min="6638" max="6638" width="18.1796875" style="17" customWidth="1"/>
    <col min="6639" max="6639" width="7" style="17" customWidth="1"/>
    <col min="6640" max="6640" width="15.54296875" style="17" customWidth="1"/>
    <col min="6641" max="6641" width="7.81640625" style="17" customWidth="1"/>
    <col min="6642" max="6642" width="15.54296875" style="17" customWidth="1"/>
    <col min="6643" max="6643" width="7.81640625" style="17" bestFit="1" customWidth="1"/>
    <col min="6644" max="6644" width="15.7265625" style="17" bestFit="1" customWidth="1"/>
    <col min="6645" max="6645" width="7.54296875" style="17" customWidth="1"/>
    <col min="6646" max="6646" width="14" style="17" customWidth="1"/>
    <col min="6647" max="6647" width="7.81640625" style="17" customWidth="1"/>
    <col min="6648" max="6648" width="14" style="17" customWidth="1"/>
    <col min="6649" max="6649" width="7.81640625" style="17" customWidth="1"/>
    <col min="6650" max="6650" width="14" style="17" customWidth="1"/>
    <col min="6651" max="6651" width="9" style="17" customWidth="1"/>
    <col min="6652" max="6652" width="15.1796875" style="17" customWidth="1"/>
    <col min="6653" max="6653" width="13" style="17" bestFit="1" customWidth="1"/>
    <col min="6654" max="6654" width="15.1796875" style="17" bestFit="1" customWidth="1"/>
    <col min="6655" max="6655" width="7.54296875" style="17" customWidth="1"/>
    <col min="6656" max="6656" width="14" style="17" customWidth="1"/>
    <col min="6657" max="6657" width="7.81640625" style="17" customWidth="1"/>
    <col min="6658" max="6658" width="14" style="17" customWidth="1"/>
    <col min="6659" max="6659" width="7.81640625" style="17" customWidth="1"/>
    <col min="6660" max="6660" width="14" style="17" customWidth="1"/>
    <col min="6661" max="6661" width="9" style="17" bestFit="1" customWidth="1"/>
    <col min="6662" max="6662" width="15.1796875" style="17" bestFit="1" customWidth="1"/>
    <col min="6663" max="6663" width="9" style="17" bestFit="1" customWidth="1"/>
    <col min="6664" max="6664" width="15.1796875" style="17" bestFit="1" customWidth="1"/>
    <col min="6665" max="6665" width="6.453125" style="17" customWidth="1"/>
    <col min="6666" max="6666" width="12.7265625" style="17" customWidth="1"/>
    <col min="6667" max="6667" width="6.453125" style="17" customWidth="1"/>
    <col min="6668" max="6668" width="12.7265625" style="17" customWidth="1"/>
    <col min="6669" max="6669" width="6" style="17" customWidth="1"/>
    <col min="6670" max="6670" width="12.7265625" style="17" customWidth="1"/>
    <col min="6671" max="6671" width="9.54296875" style="17" customWidth="1"/>
    <col min="6672" max="6672" width="14" style="17" bestFit="1" customWidth="1"/>
    <col min="6673" max="6673" width="8.7265625" style="17" bestFit="1" customWidth="1"/>
    <col min="6674" max="6674" width="13.54296875" style="17" customWidth="1"/>
    <col min="6675" max="6675" width="6" style="17" customWidth="1"/>
    <col min="6676" max="6676" width="13.7265625" style="17" customWidth="1"/>
    <col min="6677" max="6677" width="6" style="17" customWidth="1"/>
    <col min="6678" max="6678" width="12.7265625" style="17" customWidth="1"/>
    <col min="6679" max="6679" width="6.81640625" style="17" customWidth="1"/>
    <col min="6680" max="6680" width="12.7265625" style="17" customWidth="1"/>
    <col min="6681" max="6681" width="6.81640625" style="17" customWidth="1"/>
    <col min="6682" max="6682" width="15.7265625" style="17" bestFit="1" customWidth="1"/>
    <col min="6683" max="6683" width="8.54296875" style="17" bestFit="1" customWidth="1"/>
    <col min="6684" max="6684" width="13.54296875" style="17" customWidth="1"/>
    <col min="6685" max="6685" width="6" style="17" customWidth="1"/>
    <col min="6686" max="6686" width="13.7265625" style="17" customWidth="1"/>
    <col min="6687" max="6687" width="6" style="17" customWidth="1"/>
    <col min="6688" max="6688" width="12.7265625" style="17" customWidth="1"/>
    <col min="6689" max="6689" width="6.81640625" style="17" customWidth="1"/>
    <col min="6690" max="6690" width="12.7265625" style="17" customWidth="1"/>
    <col min="6691" max="6691" width="6.81640625" style="17" customWidth="1"/>
    <col min="6692" max="6692" width="16.453125" style="17" bestFit="1" customWidth="1"/>
    <col min="6693" max="6693" width="9.54296875" style="17" bestFit="1" customWidth="1"/>
    <col min="6694" max="6694" width="17.453125" style="17" bestFit="1" customWidth="1"/>
    <col min="6695" max="6695" width="6" style="17" customWidth="1"/>
    <col min="6696" max="6696" width="13.7265625" style="17" customWidth="1"/>
    <col min="6697" max="6697" width="6" style="17" customWidth="1"/>
    <col min="6698" max="6698" width="12.7265625" style="17" customWidth="1"/>
    <col min="6699" max="6699" width="6.81640625" style="17" customWidth="1"/>
    <col min="6700" max="6700" width="12.7265625" style="17" customWidth="1"/>
    <col min="6701" max="6701" width="6.81640625" style="17" customWidth="1"/>
    <col min="6702" max="6702" width="15.453125" style="17" bestFit="1" customWidth="1"/>
    <col min="6703" max="6703" width="9.54296875" style="17" bestFit="1" customWidth="1"/>
    <col min="6704" max="6704" width="17.453125" style="17" bestFit="1" customWidth="1"/>
    <col min="6705" max="6705" width="8" style="17" customWidth="1"/>
    <col min="6706" max="6706" width="12.1796875" style="17" customWidth="1"/>
    <col min="6707" max="6707" width="8" style="17" customWidth="1"/>
    <col min="6708" max="6708" width="20" style="17" customWidth="1"/>
    <col min="6709" max="6709" width="15.26953125" style="17" bestFit="1" customWidth="1"/>
    <col min="6710" max="6710" width="14.26953125" style="17" bestFit="1" customWidth="1"/>
    <col min="6711" max="6711" width="13" style="17" bestFit="1" customWidth="1"/>
    <col min="6712" max="6883" width="8.7265625" style="17"/>
    <col min="6884" max="6884" width="2.7265625" style="17" customWidth="1"/>
    <col min="6885" max="6885" width="3.54296875" style="17" customWidth="1"/>
    <col min="6886" max="6886" width="7" style="17" customWidth="1"/>
    <col min="6887" max="6887" width="23" style="17" customWidth="1"/>
    <col min="6888" max="6888" width="13.26953125" style="17" customWidth="1"/>
    <col min="6889" max="6889" width="17.453125" style="17" bestFit="1" customWidth="1"/>
    <col min="6890" max="6890" width="11.54296875" style="17" bestFit="1" customWidth="1"/>
    <col min="6891" max="6891" width="7.81640625" style="17" customWidth="1"/>
    <col min="6892" max="6892" width="11.54296875" style="17" bestFit="1" customWidth="1"/>
    <col min="6893" max="6893" width="7" style="17" customWidth="1"/>
    <col min="6894" max="6894" width="18.1796875" style="17" customWidth="1"/>
    <col min="6895" max="6895" width="7" style="17" customWidth="1"/>
    <col min="6896" max="6896" width="15.54296875" style="17" customWidth="1"/>
    <col min="6897" max="6897" width="7.81640625" style="17" customWidth="1"/>
    <col min="6898" max="6898" width="15.54296875" style="17" customWidth="1"/>
    <col min="6899" max="6899" width="7.81640625" style="17" bestFit="1" customWidth="1"/>
    <col min="6900" max="6900" width="15.7265625" style="17" bestFit="1" customWidth="1"/>
    <col min="6901" max="6901" width="7.54296875" style="17" customWidth="1"/>
    <col min="6902" max="6902" width="14" style="17" customWidth="1"/>
    <col min="6903" max="6903" width="7.81640625" style="17" customWidth="1"/>
    <col min="6904" max="6904" width="14" style="17" customWidth="1"/>
    <col min="6905" max="6905" width="7.81640625" style="17" customWidth="1"/>
    <col min="6906" max="6906" width="14" style="17" customWidth="1"/>
    <col min="6907" max="6907" width="9" style="17" customWidth="1"/>
    <col min="6908" max="6908" width="15.1796875" style="17" customWidth="1"/>
    <col min="6909" max="6909" width="13" style="17" bestFit="1" customWidth="1"/>
    <col min="6910" max="6910" width="15.1796875" style="17" bestFit="1" customWidth="1"/>
    <col min="6911" max="6911" width="7.54296875" style="17" customWidth="1"/>
    <col min="6912" max="6912" width="14" style="17" customWidth="1"/>
    <col min="6913" max="6913" width="7.81640625" style="17" customWidth="1"/>
    <col min="6914" max="6914" width="14" style="17" customWidth="1"/>
    <col min="6915" max="6915" width="7.81640625" style="17" customWidth="1"/>
    <col min="6916" max="6916" width="14" style="17" customWidth="1"/>
    <col min="6917" max="6917" width="9" style="17" bestFit="1" customWidth="1"/>
    <col min="6918" max="6918" width="15.1796875" style="17" bestFit="1" customWidth="1"/>
    <col min="6919" max="6919" width="9" style="17" bestFit="1" customWidth="1"/>
    <col min="6920" max="6920" width="15.1796875" style="17" bestFit="1" customWidth="1"/>
    <col min="6921" max="6921" width="6.453125" style="17" customWidth="1"/>
    <col min="6922" max="6922" width="12.7265625" style="17" customWidth="1"/>
    <col min="6923" max="6923" width="6.453125" style="17" customWidth="1"/>
    <col min="6924" max="6924" width="12.7265625" style="17" customWidth="1"/>
    <col min="6925" max="6925" width="6" style="17" customWidth="1"/>
    <col min="6926" max="6926" width="12.7265625" style="17" customWidth="1"/>
    <col min="6927" max="6927" width="9.54296875" style="17" customWidth="1"/>
    <col min="6928" max="6928" width="14" style="17" bestFit="1" customWidth="1"/>
    <col min="6929" max="6929" width="8.7265625" style="17" bestFit="1" customWidth="1"/>
    <col min="6930" max="6930" width="13.54296875" style="17" customWidth="1"/>
    <col min="6931" max="6931" width="6" style="17" customWidth="1"/>
    <col min="6932" max="6932" width="13.7265625" style="17" customWidth="1"/>
    <col min="6933" max="6933" width="6" style="17" customWidth="1"/>
    <col min="6934" max="6934" width="12.7265625" style="17" customWidth="1"/>
    <col min="6935" max="6935" width="6.81640625" style="17" customWidth="1"/>
    <col min="6936" max="6936" width="12.7265625" style="17" customWidth="1"/>
    <col min="6937" max="6937" width="6.81640625" style="17" customWidth="1"/>
    <col min="6938" max="6938" width="15.7265625" style="17" bestFit="1" customWidth="1"/>
    <col min="6939" max="6939" width="8.54296875" style="17" bestFit="1" customWidth="1"/>
    <col min="6940" max="6940" width="13.54296875" style="17" customWidth="1"/>
    <col min="6941" max="6941" width="6" style="17" customWidth="1"/>
    <col min="6942" max="6942" width="13.7265625" style="17" customWidth="1"/>
    <col min="6943" max="6943" width="6" style="17" customWidth="1"/>
    <col min="6944" max="6944" width="12.7265625" style="17" customWidth="1"/>
    <col min="6945" max="6945" width="6.81640625" style="17" customWidth="1"/>
    <col min="6946" max="6946" width="12.7265625" style="17" customWidth="1"/>
    <col min="6947" max="6947" width="6.81640625" style="17" customWidth="1"/>
    <col min="6948" max="6948" width="16.453125" style="17" bestFit="1" customWidth="1"/>
    <col min="6949" max="6949" width="9.54296875" style="17" bestFit="1" customWidth="1"/>
    <col min="6950" max="6950" width="17.453125" style="17" bestFit="1" customWidth="1"/>
    <col min="6951" max="6951" width="6" style="17" customWidth="1"/>
    <col min="6952" max="6952" width="13.7265625" style="17" customWidth="1"/>
    <col min="6953" max="6953" width="6" style="17" customWidth="1"/>
    <col min="6954" max="6954" width="12.7265625" style="17" customWidth="1"/>
    <col min="6955" max="6955" width="6.81640625" style="17" customWidth="1"/>
    <col min="6956" max="6956" width="12.7265625" style="17" customWidth="1"/>
    <col min="6957" max="6957" width="6.81640625" style="17" customWidth="1"/>
    <col min="6958" max="6958" width="15.453125" style="17" bestFit="1" customWidth="1"/>
    <col min="6959" max="6959" width="9.54296875" style="17" bestFit="1" customWidth="1"/>
    <col min="6960" max="6960" width="17.453125" style="17" bestFit="1" customWidth="1"/>
    <col min="6961" max="6961" width="8" style="17" customWidth="1"/>
    <col min="6962" max="6962" width="12.1796875" style="17" customWidth="1"/>
    <col min="6963" max="6963" width="8" style="17" customWidth="1"/>
    <col min="6964" max="6964" width="20" style="17" customWidth="1"/>
    <col min="6965" max="6965" width="15.26953125" style="17" bestFit="1" customWidth="1"/>
    <col min="6966" max="6966" width="14.26953125" style="17" bestFit="1" customWidth="1"/>
    <col min="6967" max="6967" width="13" style="17" bestFit="1" customWidth="1"/>
    <col min="6968" max="7139" width="8.7265625" style="17"/>
    <col min="7140" max="7140" width="2.7265625" style="17" customWidth="1"/>
    <col min="7141" max="7141" width="3.54296875" style="17" customWidth="1"/>
    <col min="7142" max="7142" width="7" style="17" customWidth="1"/>
    <col min="7143" max="7143" width="23" style="17" customWidth="1"/>
    <col min="7144" max="7144" width="13.26953125" style="17" customWidth="1"/>
    <col min="7145" max="7145" width="17.453125" style="17" bestFit="1" customWidth="1"/>
    <col min="7146" max="7146" width="11.54296875" style="17" bestFit="1" customWidth="1"/>
    <col min="7147" max="7147" width="7.81640625" style="17" customWidth="1"/>
    <col min="7148" max="7148" width="11.54296875" style="17" bestFit="1" customWidth="1"/>
    <col min="7149" max="7149" width="7" style="17" customWidth="1"/>
    <col min="7150" max="7150" width="18.1796875" style="17" customWidth="1"/>
    <col min="7151" max="7151" width="7" style="17" customWidth="1"/>
    <col min="7152" max="7152" width="15.54296875" style="17" customWidth="1"/>
    <col min="7153" max="7153" width="7.81640625" style="17" customWidth="1"/>
    <col min="7154" max="7154" width="15.54296875" style="17" customWidth="1"/>
    <col min="7155" max="7155" width="7.81640625" style="17" bestFit="1" customWidth="1"/>
    <col min="7156" max="7156" width="15.7265625" style="17" bestFit="1" customWidth="1"/>
    <col min="7157" max="7157" width="7.54296875" style="17" customWidth="1"/>
    <col min="7158" max="7158" width="14" style="17" customWidth="1"/>
    <col min="7159" max="7159" width="7.81640625" style="17" customWidth="1"/>
    <col min="7160" max="7160" width="14" style="17" customWidth="1"/>
    <col min="7161" max="7161" width="7.81640625" style="17" customWidth="1"/>
    <col min="7162" max="7162" width="14" style="17" customWidth="1"/>
    <col min="7163" max="7163" width="9" style="17" customWidth="1"/>
    <col min="7164" max="7164" width="15.1796875" style="17" customWidth="1"/>
    <col min="7165" max="7165" width="13" style="17" bestFit="1" customWidth="1"/>
    <col min="7166" max="7166" width="15.1796875" style="17" bestFit="1" customWidth="1"/>
    <col min="7167" max="7167" width="7.54296875" style="17" customWidth="1"/>
    <col min="7168" max="7168" width="14" style="17" customWidth="1"/>
    <col min="7169" max="7169" width="7.81640625" style="17" customWidth="1"/>
    <col min="7170" max="7170" width="14" style="17" customWidth="1"/>
    <col min="7171" max="7171" width="7.81640625" style="17" customWidth="1"/>
    <col min="7172" max="7172" width="14" style="17" customWidth="1"/>
    <col min="7173" max="7173" width="9" style="17" bestFit="1" customWidth="1"/>
    <col min="7174" max="7174" width="15.1796875" style="17" bestFit="1" customWidth="1"/>
    <col min="7175" max="7175" width="9" style="17" bestFit="1" customWidth="1"/>
    <col min="7176" max="7176" width="15.1796875" style="17" bestFit="1" customWidth="1"/>
    <col min="7177" max="7177" width="6.453125" style="17" customWidth="1"/>
    <col min="7178" max="7178" width="12.7265625" style="17" customWidth="1"/>
    <col min="7179" max="7179" width="6.453125" style="17" customWidth="1"/>
    <col min="7180" max="7180" width="12.7265625" style="17" customWidth="1"/>
    <col min="7181" max="7181" width="6" style="17" customWidth="1"/>
    <col min="7182" max="7182" width="12.7265625" style="17" customWidth="1"/>
    <col min="7183" max="7183" width="9.54296875" style="17" customWidth="1"/>
    <col min="7184" max="7184" width="14" style="17" bestFit="1" customWidth="1"/>
    <col min="7185" max="7185" width="8.7265625" style="17" bestFit="1" customWidth="1"/>
    <col min="7186" max="7186" width="13.54296875" style="17" customWidth="1"/>
    <col min="7187" max="7187" width="6" style="17" customWidth="1"/>
    <col min="7188" max="7188" width="13.7265625" style="17" customWidth="1"/>
    <col min="7189" max="7189" width="6" style="17" customWidth="1"/>
    <col min="7190" max="7190" width="12.7265625" style="17" customWidth="1"/>
    <col min="7191" max="7191" width="6.81640625" style="17" customWidth="1"/>
    <col min="7192" max="7192" width="12.7265625" style="17" customWidth="1"/>
    <col min="7193" max="7193" width="6.81640625" style="17" customWidth="1"/>
    <col min="7194" max="7194" width="15.7265625" style="17" bestFit="1" customWidth="1"/>
    <col min="7195" max="7195" width="8.54296875" style="17" bestFit="1" customWidth="1"/>
    <col min="7196" max="7196" width="13.54296875" style="17" customWidth="1"/>
    <col min="7197" max="7197" width="6" style="17" customWidth="1"/>
    <col min="7198" max="7198" width="13.7265625" style="17" customWidth="1"/>
    <col min="7199" max="7199" width="6" style="17" customWidth="1"/>
    <col min="7200" max="7200" width="12.7265625" style="17" customWidth="1"/>
    <col min="7201" max="7201" width="6.81640625" style="17" customWidth="1"/>
    <col min="7202" max="7202" width="12.7265625" style="17" customWidth="1"/>
    <col min="7203" max="7203" width="6.81640625" style="17" customWidth="1"/>
    <col min="7204" max="7204" width="16.453125" style="17" bestFit="1" customWidth="1"/>
    <col min="7205" max="7205" width="9.54296875" style="17" bestFit="1" customWidth="1"/>
    <col min="7206" max="7206" width="17.453125" style="17" bestFit="1" customWidth="1"/>
    <col min="7207" max="7207" width="6" style="17" customWidth="1"/>
    <col min="7208" max="7208" width="13.7265625" style="17" customWidth="1"/>
    <col min="7209" max="7209" width="6" style="17" customWidth="1"/>
    <col min="7210" max="7210" width="12.7265625" style="17" customWidth="1"/>
    <col min="7211" max="7211" width="6.81640625" style="17" customWidth="1"/>
    <col min="7212" max="7212" width="12.7265625" style="17" customWidth="1"/>
    <col min="7213" max="7213" width="6.81640625" style="17" customWidth="1"/>
    <col min="7214" max="7214" width="15.453125" style="17" bestFit="1" customWidth="1"/>
    <col min="7215" max="7215" width="9.54296875" style="17" bestFit="1" customWidth="1"/>
    <col min="7216" max="7216" width="17.453125" style="17" bestFit="1" customWidth="1"/>
    <col min="7217" max="7217" width="8" style="17" customWidth="1"/>
    <col min="7218" max="7218" width="12.1796875" style="17" customWidth="1"/>
    <col min="7219" max="7219" width="8" style="17" customWidth="1"/>
    <col min="7220" max="7220" width="20" style="17" customWidth="1"/>
    <col min="7221" max="7221" width="15.26953125" style="17" bestFit="1" customWidth="1"/>
    <col min="7222" max="7222" width="14.26953125" style="17" bestFit="1" customWidth="1"/>
    <col min="7223" max="7223" width="13" style="17" bestFit="1" customWidth="1"/>
    <col min="7224" max="7395" width="8.7265625" style="17"/>
    <col min="7396" max="7396" width="2.7265625" style="17" customWidth="1"/>
    <col min="7397" max="7397" width="3.54296875" style="17" customWidth="1"/>
    <col min="7398" max="7398" width="7" style="17" customWidth="1"/>
    <col min="7399" max="7399" width="23" style="17" customWidth="1"/>
    <col min="7400" max="7400" width="13.26953125" style="17" customWidth="1"/>
    <col min="7401" max="7401" width="17.453125" style="17" bestFit="1" customWidth="1"/>
    <col min="7402" max="7402" width="11.54296875" style="17" bestFit="1" customWidth="1"/>
    <col min="7403" max="7403" width="7.81640625" style="17" customWidth="1"/>
    <col min="7404" max="7404" width="11.54296875" style="17" bestFit="1" customWidth="1"/>
    <col min="7405" max="7405" width="7" style="17" customWidth="1"/>
    <col min="7406" max="7406" width="18.1796875" style="17" customWidth="1"/>
    <col min="7407" max="7407" width="7" style="17" customWidth="1"/>
    <col min="7408" max="7408" width="15.54296875" style="17" customWidth="1"/>
    <col min="7409" max="7409" width="7.81640625" style="17" customWidth="1"/>
    <col min="7410" max="7410" width="15.54296875" style="17" customWidth="1"/>
    <col min="7411" max="7411" width="7.81640625" style="17" bestFit="1" customWidth="1"/>
    <col min="7412" max="7412" width="15.7265625" style="17" bestFit="1" customWidth="1"/>
    <col min="7413" max="7413" width="7.54296875" style="17" customWidth="1"/>
    <col min="7414" max="7414" width="14" style="17" customWidth="1"/>
    <col min="7415" max="7415" width="7.81640625" style="17" customWidth="1"/>
    <col min="7416" max="7416" width="14" style="17" customWidth="1"/>
    <col min="7417" max="7417" width="7.81640625" style="17" customWidth="1"/>
    <col min="7418" max="7418" width="14" style="17" customWidth="1"/>
    <col min="7419" max="7419" width="9" style="17" customWidth="1"/>
    <col min="7420" max="7420" width="15.1796875" style="17" customWidth="1"/>
    <col min="7421" max="7421" width="13" style="17" bestFit="1" customWidth="1"/>
    <col min="7422" max="7422" width="15.1796875" style="17" bestFit="1" customWidth="1"/>
    <col min="7423" max="7423" width="7.54296875" style="17" customWidth="1"/>
    <col min="7424" max="7424" width="14" style="17" customWidth="1"/>
    <col min="7425" max="7425" width="7.81640625" style="17" customWidth="1"/>
    <col min="7426" max="7426" width="14" style="17" customWidth="1"/>
    <col min="7427" max="7427" width="7.81640625" style="17" customWidth="1"/>
    <col min="7428" max="7428" width="14" style="17" customWidth="1"/>
    <col min="7429" max="7429" width="9" style="17" bestFit="1" customWidth="1"/>
    <col min="7430" max="7430" width="15.1796875" style="17" bestFit="1" customWidth="1"/>
    <col min="7431" max="7431" width="9" style="17" bestFit="1" customWidth="1"/>
    <col min="7432" max="7432" width="15.1796875" style="17" bestFit="1" customWidth="1"/>
    <col min="7433" max="7433" width="6.453125" style="17" customWidth="1"/>
    <col min="7434" max="7434" width="12.7265625" style="17" customWidth="1"/>
    <col min="7435" max="7435" width="6.453125" style="17" customWidth="1"/>
    <col min="7436" max="7436" width="12.7265625" style="17" customWidth="1"/>
    <col min="7437" max="7437" width="6" style="17" customWidth="1"/>
    <col min="7438" max="7438" width="12.7265625" style="17" customWidth="1"/>
    <col min="7439" max="7439" width="9.54296875" style="17" customWidth="1"/>
    <col min="7440" max="7440" width="14" style="17" bestFit="1" customWidth="1"/>
    <col min="7441" max="7441" width="8.7265625" style="17" bestFit="1" customWidth="1"/>
    <col min="7442" max="7442" width="13.54296875" style="17" customWidth="1"/>
    <col min="7443" max="7443" width="6" style="17" customWidth="1"/>
    <col min="7444" max="7444" width="13.7265625" style="17" customWidth="1"/>
    <col min="7445" max="7445" width="6" style="17" customWidth="1"/>
    <col min="7446" max="7446" width="12.7265625" style="17" customWidth="1"/>
    <col min="7447" max="7447" width="6.81640625" style="17" customWidth="1"/>
    <col min="7448" max="7448" width="12.7265625" style="17" customWidth="1"/>
    <col min="7449" max="7449" width="6.81640625" style="17" customWidth="1"/>
    <col min="7450" max="7450" width="15.7265625" style="17" bestFit="1" customWidth="1"/>
    <col min="7451" max="7451" width="8.54296875" style="17" bestFit="1" customWidth="1"/>
    <col min="7452" max="7452" width="13.54296875" style="17" customWidth="1"/>
    <col min="7453" max="7453" width="6" style="17" customWidth="1"/>
    <col min="7454" max="7454" width="13.7265625" style="17" customWidth="1"/>
    <col min="7455" max="7455" width="6" style="17" customWidth="1"/>
    <col min="7456" max="7456" width="12.7265625" style="17" customWidth="1"/>
    <col min="7457" max="7457" width="6.81640625" style="17" customWidth="1"/>
    <col min="7458" max="7458" width="12.7265625" style="17" customWidth="1"/>
    <col min="7459" max="7459" width="6.81640625" style="17" customWidth="1"/>
    <col min="7460" max="7460" width="16.453125" style="17" bestFit="1" customWidth="1"/>
    <col min="7461" max="7461" width="9.54296875" style="17" bestFit="1" customWidth="1"/>
    <col min="7462" max="7462" width="17.453125" style="17" bestFit="1" customWidth="1"/>
    <col min="7463" max="7463" width="6" style="17" customWidth="1"/>
    <col min="7464" max="7464" width="13.7265625" style="17" customWidth="1"/>
    <col min="7465" max="7465" width="6" style="17" customWidth="1"/>
    <col min="7466" max="7466" width="12.7265625" style="17" customWidth="1"/>
    <col min="7467" max="7467" width="6.81640625" style="17" customWidth="1"/>
    <col min="7468" max="7468" width="12.7265625" style="17" customWidth="1"/>
    <col min="7469" max="7469" width="6.81640625" style="17" customWidth="1"/>
    <col min="7470" max="7470" width="15.453125" style="17" bestFit="1" customWidth="1"/>
    <col min="7471" max="7471" width="9.54296875" style="17" bestFit="1" customWidth="1"/>
    <col min="7472" max="7472" width="17.453125" style="17" bestFit="1" customWidth="1"/>
    <col min="7473" max="7473" width="8" style="17" customWidth="1"/>
    <col min="7474" max="7474" width="12.1796875" style="17" customWidth="1"/>
    <col min="7475" max="7475" width="8" style="17" customWidth="1"/>
    <col min="7476" max="7476" width="20" style="17" customWidth="1"/>
    <col min="7477" max="7477" width="15.26953125" style="17" bestFit="1" customWidth="1"/>
    <col min="7478" max="7478" width="14.26953125" style="17" bestFit="1" customWidth="1"/>
    <col min="7479" max="7479" width="13" style="17" bestFit="1" customWidth="1"/>
    <col min="7480" max="7651" width="8.7265625" style="17"/>
    <col min="7652" max="7652" width="2.7265625" style="17" customWidth="1"/>
    <col min="7653" max="7653" width="3.54296875" style="17" customWidth="1"/>
    <col min="7654" max="7654" width="7" style="17" customWidth="1"/>
    <col min="7655" max="7655" width="23" style="17" customWidth="1"/>
    <col min="7656" max="7656" width="13.26953125" style="17" customWidth="1"/>
    <col min="7657" max="7657" width="17.453125" style="17" bestFit="1" customWidth="1"/>
    <col min="7658" max="7658" width="11.54296875" style="17" bestFit="1" customWidth="1"/>
    <col min="7659" max="7659" width="7.81640625" style="17" customWidth="1"/>
    <col min="7660" max="7660" width="11.54296875" style="17" bestFit="1" customWidth="1"/>
    <col min="7661" max="7661" width="7" style="17" customWidth="1"/>
    <col min="7662" max="7662" width="18.1796875" style="17" customWidth="1"/>
    <col min="7663" max="7663" width="7" style="17" customWidth="1"/>
    <col min="7664" max="7664" width="15.54296875" style="17" customWidth="1"/>
    <col min="7665" max="7665" width="7.81640625" style="17" customWidth="1"/>
    <col min="7666" max="7666" width="15.54296875" style="17" customWidth="1"/>
    <col min="7667" max="7667" width="7.81640625" style="17" bestFit="1" customWidth="1"/>
    <col min="7668" max="7668" width="15.7265625" style="17" bestFit="1" customWidth="1"/>
    <col min="7669" max="7669" width="7.54296875" style="17" customWidth="1"/>
    <col min="7670" max="7670" width="14" style="17" customWidth="1"/>
    <col min="7671" max="7671" width="7.81640625" style="17" customWidth="1"/>
    <col min="7672" max="7672" width="14" style="17" customWidth="1"/>
    <col min="7673" max="7673" width="7.81640625" style="17" customWidth="1"/>
    <col min="7674" max="7674" width="14" style="17" customWidth="1"/>
    <col min="7675" max="7675" width="9" style="17" customWidth="1"/>
    <col min="7676" max="7676" width="15.1796875" style="17" customWidth="1"/>
    <col min="7677" max="7677" width="13" style="17" bestFit="1" customWidth="1"/>
    <col min="7678" max="7678" width="15.1796875" style="17" bestFit="1" customWidth="1"/>
    <col min="7679" max="7679" width="7.54296875" style="17" customWidth="1"/>
    <col min="7680" max="7680" width="14" style="17" customWidth="1"/>
    <col min="7681" max="7681" width="7.81640625" style="17" customWidth="1"/>
    <col min="7682" max="7682" width="14" style="17" customWidth="1"/>
    <col min="7683" max="7683" width="7.81640625" style="17" customWidth="1"/>
    <col min="7684" max="7684" width="14" style="17" customWidth="1"/>
    <col min="7685" max="7685" width="9" style="17" bestFit="1" customWidth="1"/>
    <col min="7686" max="7686" width="15.1796875" style="17" bestFit="1" customWidth="1"/>
    <col min="7687" max="7687" width="9" style="17" bestFit="1" customWidth="1"/>
    <col min="7688" max="7688" width="15.1796875" style="17" bestFit="1" customWidth="1"/>
    <col min="7689" max="7689" width="6.453125" style="17" customWidth="1"/>
    <col min="7690" max="7690" width="12.7265625" style="17" customWidth="1"/>
    <col min="7691" max="7691" width="6.453125" style="17" customWidth="1"/>
    <col min="7692" max="7692" width="12.7265625" style="17" customWidth="1"/>
    <col min="7693" max="7693" width="6" style="17" customWidth="1"/>
    <col min="7694" max="7694" width="12.7265625" style="17" customWidth="1"/>
    <col min="7695" max="7695" width="9.54296875" style="17" customWidth="1"/>
    <col min="7696" max="7696" width="14" style="17" bestFit="1" customWidth="1"/>
    <col min="7697" max="7697" width="8.7265625" style="17" bestFit="1" customWidth="1"/>
    <col min="7698" max="7698" width="13.54296875" style="17" customWidth="1"/>
    <col min="7699" max="7699" width="6" style="17" customWidth="1"/>
    <col min="7700" max="7700" width="13.7265625" style="17" customWidth="1"/>
    <col min="7701" max="7701" width="6" style="17" customWidth="1"/>
    <col min="7702" max="7702" width="12.7265625" style="17" customWidth="1"/>
    <col min="7703" max="7703" width="6.81640625" style="17" customWidth="1"/>
    <col min="7704" max="7704" width="12.7265625" style="17" customWidth="1"/>
    <col min="7705" max="7705" width="6.81640625" style="17" customWidth="1"/>
    <col min="7706" max="7706" width="15.7265625" style="17" bestFit="1" customWidth="1"/>
    <col min="7707" max="7707" width="8.54296875" style="17" bestFit="1" customWidth="1"/>
    <col min="7708" max="7708" width="13.54296875" style="17" customWidth="1"/>
    <col min="7709" max="7709" width="6" style="17" customWidth="1"/>
    <col min="7710" max="7710" width="13.7265625" style="17" customWidth="1"/>
    <col min="7711" max="7711" width="6" style="17" customWidth="1"/>
    <col min="7712" max="7712" width="12.7265625" style="17" customWidth="1"/>
    <col min="7713" max="7713" width="6.81640625" style="17" customWidth="1"/>
    <col min="7714" max="7714" width="12.7265625" style="17" customWidth="1"/>
    <col min="7715" max="7715" width="6.81640625" style="17" customWidth="1"/>
    <col min="7716" max="7716" width="16.453125" style="17" bestFit="1" customWidth="1"/>
    <col min="7717" max="7717" width="9.54296875" style="17" bestFit="1" customWidth="1"/>
    <col min="7718" max="7718" width="17.453125" style="17" bestFit="1" customWidth="1"/>
    <col min="7719" max="7719" width="6" style="17" customWidth="1"/>
    <col min="7720" max="7720" width="13.7265625" style="17" customWidth="1"/>
    <col min="7721" max="7721" width="6" style="17" customWidth="1"/>
    <col min="7722" max="7722" width="12.7265625" style="17" customWidth="1"/>
    <col min="7723" max="7723" width="6.81640625" style="17" customWidth="1"/>
    <col min="7724" max="7724" width="12.7265625" style="17" customWidth="1"/>
    <col min="7725" max="7725" width="6.81640625" style="17" customWidth="1"/>
    <col min="7726" max="7726" width="15.453125" style="17" bestFit="1" customWidth="1"/>
    <col min="7727" max="7727" width="9.54296875" style="17" bestFit="1" customWidth="1"/>
    <col min="7728" max="7728" width="17.453125" style="17" bestFit="1" customWidth="1"/>
    <col min="7729" max="7729" width="8" style="17" customWidth="1"/>
    <col min="7730" max="7730" width="12.1796875" style="17" customWidth="1"/>
    <col min="7731" max="7731" width="8" style="17" customWidth="1"/>
    <col min="7732" max="7732" width="20" style="17" customWidth="1"/>
    <col min="7733" max="7733" width="15.26953125" style="17" bestFit="1" customWidth="1"/>
    <col min="7734" max="7734" width="14.26953125" style="17" bestFit="1" customWidth="1"/>
    <col min="7735" max="7735" width="13" style="17" bestFit="1" customWidth="1"/>
    <col min="7736" max="7907" width="8.7265625" style="17"/>
    <col min="7908" max="7908" width="2.7265625" style="17" customWidth="1"/>
    <col min="7909" max="7909" width="3.54296875" style="17" customWidth="1"/>
    <col min="7910" max="7910" width="7" style="17" customWidth="1"/>
    <col min="7911" max="7911" width="23" style="17" customWidth="1"/>
    <col min="7912" max="7912" width="13.26953125" style="17" customWidth="1"/>
    <col min="7913" max="7913" width="17.453125" style="17" bestFit="1" customWidth="1"/>
    <col min="7914" max="7914" width="11.54296875" style="17" bestFit="1" customWidth="1"/>
    <col min="7915" max="7915" width="7.81640625" style="17" customWidth="1"/>
    <col min="7916" max="7916" width="11.54296875" style="17" bestFit="1" customWidth="1"/>
    <col min="7917" max="7917" width="7" style="17" customWidth="1"/>
    <col min="7918" max="7918" width="18.1796875" style="17" customWidth="1"/>
    <col min="7919" max="7919" width="7" style="17" customWidth="1"/>
    <col min="7920" max="7920" width="15.54296875" style="17" customWidth="1"/>
    <col min="7921" max="7921" width="7.81640625" style="17" customWidth="1"/>
    <col min="7922" max="7922" width="15.54296875" style="17" customWidth="1"/>
    <col min="7923" max="7923" width="7.81640625" style="17" bestFit="1" customWidth="1"/>
    <col min="7924" max="7924" width="15.7265625" style="17" bestFit="1" customWidth="1"/>
    <col min="7925" max="7925" width="7.54296875" style="17" customWidth="1"/>
    <col min="7926" max="7926" width="14" style="17" customWidth="1"/>
    <col min="7927" max="7927" width="7.81640625" style="17" customWidth="1"/>
    <col min="7928" max="7928" width="14" style="17" customWidth="1"/>
    <col min="7929" max="7929" width="7.81640625" style="17" customWidth="1"/>
    <col min="7930" max="7930" width="14" style="17" customWidth="1"/>
    <col min="7931" max="7931" width="9" style="17" customWidth="1"/>
    <col min="7932" max="7932" width="15.1796875" style="17" customWidth="1"/>
    <col min="7933" max="7933" width="13" style="17" bestFit="1" customWidth="1"/>
    <col min="7934" max="7934" width="15.1796875" style="17" bestFit="1" customWidth="1"/>
    <col min="7935" max="7935" width="7.54296875" style="17" customWidth="1"/>
    <col min="7936" max="7936" width="14" style="17" customWidth="1"/>
    <col min="7937" max="7937" width="7.81640625" style="17" customWidth="1"/>
    <col min="7938" max="7938" width="14" style="17" customWidth="1"/>
    <col min="7939" max="7939" width="7.81640625" style="17" customWidth="1"/>
    <col min="7940" max="7940" width="14" style="17" customWidth="1"/>
    <col min="7941" max="7941" width="9" style="17" bestFit="1" customWidth="1"/>
    <col min="7942" max="7942" width="15.1796875" style="17" bestFit="1" customWidth="1"/>
    <col min="7943" max="7943" width="9" style="17" bestFit="1" customWidth="1"/>
    <col min="7944" max="7944" width="15.1796875" style="17" bestFit="1" customWidth="1"/>
    <col min="7945" max="7945" width="6.453125" style="17" customWidth="1"/>
    <col min="7946" max="7946" width="12.7265625" style="17" customWidth="1"/>
    <col min="7947" max="7947" width="6.453125" style="17" customWidth="1"/>
    <col min="7948" max="7948" width="12.7265625" style="17" customWidth="1"/>
    <col min="7949" max="7949" width="6" style="17" customWidth="1"/>
    <col min="7950" max="7950" width="12.7265625" style="17" customWidth="1"/>
    <col min="7951" max="7951" width="9.54296875" style="17" customWidth="1"/>
    <col min="7952" max="7952" width="14" style="17" bestFit="1" customWidth="1"/>
    <col min="7953" max="7953" width="8.7265625" style="17" bestFit="1" customWidth="1"/>
    <col min="7954" max="7954" width="13.54296875" style="17" customWidth="1"/>
    <col min="7955" max="7955" width="6" style="17" customWidth="1"/>
    <col min="7956" max="7956" width="13.7265625" style="17" customWidth="1"/>
    <col min="7957" max="7957" width="6" style="17" customWidth="1"/>
    <col min="7958" max="7958" width="12.7265625" style="17" customWidth="1"/>
    <col min="7959" max="7959" width="6.81640625" style="17" customWidth="1"/>
    <col min="7960" max="7960" width="12.7265625" style="17" customWidth="1"/>
    <col min="7961" max="7961" width="6.81640625" style="17" customWidth="1"/>
    <col min="7962" max="7962" width="15.7265625" style="17" bestFit="1" customWidth="1"/>
    <col min="7963" max="7963" width="8.54296875" style="17" bestFit="1" customWidth="1"/>
    <col min="7964" max="7964" width="13.54296875" style="17" customWidth="1"/>
    <col min="7965" max="7965" width="6" style="17" customWidth="1"/>
    <col min="7966" max="7966" width="13.7265625" style="17" customWidth="1"/>
    <col min="7967" max="7967" width="6" style="17" customWidth="1"/>
    <col min="7968" max="7968" width="12.7265625" style="17" customWidth="1"/>
    <col min="7969" max="7969" width="6.81640625" style="17" customWidth="1"/>
    <col min="7970" max="7970" width="12.7265625" style="17" customWidth="1"/>
    <col min="7971" max="7971" width="6.81640625" style="17" customWidth="1"/>
    <col min="7972" max="7972" width="16.453125" style="17" bestFit="1" customWidth="1"/>
    <col min="7973" max="7973" width="9.54296875" style="17" bestFit="1" customWidth="1"/>
    <col min="7974" max="7974" width="17.453125" style="17" bestFit="1" customWidth="1"/>
    <col min="7975" max="7975" width="6" style="17" customWidth="1"/>
    <col min="7976" max="7976" width="13.7265625" style="17" customWidth="1"/>
    <col min="7977" max="7977" width="6" style="17" customWidth="1"/>
    <col min="7978" max="7978" width="12.7265625" style="17" customWidth="1"/>
    <col min="7979" max="7979" width="6.81640625" style="17" customWidth="1"/>
    <col min="7980" max="7980" width="12.7265625" style="17" customWidth="1"/>
    <col min="7981" max="7981" width="6.81640625" style="17" customWidth="1"/>
    <col min="7982" max="7982" width="15.453125" style="17" bestFit="1" customWidth="1"/>
    <col min="7983" max="7983" width="9.54296875" style="17" bestFit="1" customWidth="1"/>
    <col min="7984" max="7984" width="17.453125" style="17" bestFit="1" customWidth="1"/>
    <col min="7985" max="7985" width="8" style="17" customWidth="1"/>
    <col min="7986" max="7986" width="12.1796875" style="17" customWidth="1"/>
    <col min="7987" max="7987" width="8" style="17" customWidth="1"/>
    <col min="7988" max="7988" width="20" style="17" customWidth="1"/>
    <col min="7989" max="7989" width="15.26953125" style="17" bestFit="1" customWidth="1"/>
    <col min="7990" max="7990" width="14.26953125" style="17" bestFit="1" customWidth="1"/>
    <col min="7991" max="7991" width="13" style="17" bestFit="1" customWidth="1"/>
    <col min="7992" max="8163" width="8.7265625" style="17"/>
    <col min="8164" max="8164" width="2.7265625" style="17" customWidth="1"/>
    <col min="8165" max="8165" width="3.54296875" style="17" customWidth="1"/>
    <col min="8166" max="8166" width="7" style="17" customWidth="1"/>
    <col min="8167" max="8167" width="23" style="17" customWidth="1"/>
    <col min="8168" max="8168" width="13.26953125" style="17" customWidth="1"/>
    <col min="8169" max="8169" width="17.453125" style="17" bestFit="1" customWidth="1"/>
    <col min="8170" max="8170" width="11.54296875" style="17" bestFit="1" customWidth="1"/>
    <col min="8171" max="8171" width="7.81640625" style="17" customWidth="1"/>
    <col min="8172" max="8172" width="11.54296875" style="17" bestFit="1" customWidth="1"/>
    <col min="8173" max="8173" width="7" style="17" customWidth="1"/>
    <col min="8174" max="8174" width="18.1796875" style="17" customWidth="1"/>
    <col min="8175" max="8175" width="7" style="17" customWidth="1"/>
    <col min="8176" max="8176" width="15.54296875" style="17" customWidth="1"/>
    <col min="8177" max="8177" width="7.81640625" style="17" customWidth="1"/>
    <col min="8178" max="8178" width="15.54296875" style="17" customWidth="1"/>
    <col min="8179" max="8179" width="7.81640625" style="17" bestFit="1" customWidth="1"/>
    <col min="8180" max="8180" width="15.7265625" style="17" bestFit="1" customWidth="1"/>
    <col min="8181" max="8181" width="7.54296875" style="17" customWidth="1"/>
    <col min="8182" max="8182" width="14" style="17" customWidth="1"/>
    <col min="8183" max="8183" width="7.81640625" style="17" customWidth="1"/>
    <col min="8184" max="8184" width="14" style="17" customWidth="1"/>
    <col min="8185" max="8185" width="7.81640625" style="17" customWidth="1"/>
    <col min="8186" max="8186" width="14" style="17" customWidth="1"/>
    <col min="8187" max="8187" width="9" style="17" customWidth="1"/>
    <col min="8188" max="8188" width="15.1796875" style="17" customWidth="1"/>
    <col min="8189" max="8189" width="13" style="17" bestFit="1" customWidth="1"/>
    <col min="8190" max="8190" width="15.1796875" style="17" bestFit="1" customWidth="1"/>
    <col min="8191" max="8191" width="7.54296875" style="17" customWidth="1"/>
    <col min="8192" max="8192" width="14" style="17" customWidth="1"/>
    <col min="8193" max="8193" width="7.81640625" style="17" customWidth="1"/>
    <col min="8194" max="8194" width="14" style="17" customWidth="1"/>
    <col min="8195" max="8195" width="7.81640625" style="17" customWidth="1"/>
    <col min="8196" max="8196" width="14" style="17" customWidth="1"/>
    <col min="8197" max="8197" width="9" style="17" bestFit="1" customWidth="1"/>
    <col min="8198" max="8198" width="15.1796875" style="17" bestFit="1" customWidth="1"/>
    <col min="8199" max="8199" width="9" style="17" bestFit="1" customWidth="1"/>
    <col min="8200" max="8200" width="15.1796875" style="17" bestFit="1" customWidth="1"/>
    <col min="8201" max="8201" width="6.453125" style="17" customWidth="1"/>
    <col min="8202" max="8202" width="12.7265625" style="17" customWidth="1"/>
    <col min="8203" max="8203" width="6.453125" style="17" customWidth="1"/>
    <col min="8204" max="8204" width="12.7265625" style="17" customWidth="1"/>
    <col min="8205" max="8205" width="6" style="17" customWidth="1"/>
    <col min="8206" max="8206" width="12.7265625" style="17" customWidth="1"/>
    <col min="8207" max="8207" width="9.54296875" style="17" customWidth="1"/>
    <col min="8208" max="8208" width="14" style="17" bestFit="1" customWidth="1"/>
    <col min="8209" max="8209" width="8.7265625" style="17" bestFit="1" customWidth="1"/>
    <col min="8210" max="8210" width="13.54296875" style="17" customWidth="1"/>
    <col min="8211" max="8211" width="6" style="17" customWidth="1"/>
    <col min="8212" max="8212" width="13.7265625" style="17" customWidth="1"/>
    <col min="8213" max="8213" width="6" style="17" customWidth="1"/>
    <col min="8214" max="8214" width="12.7265625" style="17" customWidth="1"/>
    <col min="8215" max="8215" width="6.81640625" style="17" customWidth="1"/>
    <col min="8216" max="8216" width="12.7265625" style="17" customWidth="1"/>
    <col min="8217" max="8217" width="6.81640625" style="17" customWidth="1"/>
    <col min="8218" max="8218" width="15.7265625" style="17" bestFit="1" customWidth="1"/>
    <col min="8219" max="8219" width="8.54296875" style="17" bestFit="1" customWidth="1"/>
    <col min="8220" max="8220" width="13.54296875" style="17" customWidth="1"/>
    <col min="8221" max="8221" width="6" style="17" customWidth="1"/>
    <col min="8222" max="8222" width="13.7265625" style="17" customWidth="1"/>
    <col min="8223" max="8223" width="6" style="17" customWidth="1"/>
    <col min="8224" max="8224" width="12.7265625" style="17" customWidth="1"/>
    <col min="8225" max="8225" width="6.81640625" style="17" customWidth="1"/>
    <col min="8226" max="8226" width="12.7265625" style="17" customWidth="1"/>
    <col min="8227" max="8227" width="6.81640625" style="17" customWidth="1"/>
    <col min="8228" max="8228" width="16.453125" style="17" bestFit="1" customWidth="1"/>
    <col min="8229" max="8229" width="9.54296875" style="17" bestFit="1" customWidth="1"/>
    <col min="8230" max="8230" width="17.453125" style="17" bestFit="1" customWidth="1"/>
    <col min="8231" max="8231" width="6" style="17" customWidth="1"/>
    <col min="8232" max="8232" width="13.7265625" style="17" customWidth="1"/>
    <col min="8233" max="8233" width="6" style="17" customWidth="1"/>
    <col min="8234" max="8234" width="12.7265625" style="17" customWidth="1"/>
    <col min="8235" max="8235" width="6.81640625" style="17" customWidth="1"/>
    <col min="8236" max="8236" width="12.7265625" style="17" customWidth="1"/>
    <col min="8237" max="8237" width="6.81640625" style="17" customWidth="1"/>
    <col min="8238" max="8238" width="15.453125" style="17" bestFit="1" customWidth="1"/>
    <col min="8239" max="8239" width="9.54296875" style="17" bestFit="1" customWidth="1"/>
    <col min="8240" max="8240" width="17.453125" style="17" bestFit="1" customWidth="1"/>
    <col min="8241" max="8241" width="8" style="17" customWidth="1"/>
    <col min="8242" max="8242" width="12.1796875" style="17" customWidth="1"/>
    <col min="8243" max="8243" width="8" style="17" customWidth="1"/>
    <col min="8244" max="8244" width="20" style="17" customWidth="1"/>
    <col min="8245" max="8245" width="15.26953125" style="17" bestFit="1" customWidth="1"/>
    <col min="8246" max="8246" width="14.26953125" style="17" bestFit="1" customWidth="1"/>
    <col min="8247" max="8247" width="13" style="17" bestFit="1" customWidth="1"/>
    <col min="8248" max="8419" width="8.7265625" style="17"/>
    <col min="8420" max="8420" width="2.7265625" style="17" customWidth="1"/>
    <col min="8421" max="8421" width="3.54296875" style="17" customWidth="1"/>
    <col min="8422" max="8422" width="7" style="17" customWidth="1"/>
    <col min="8423" max="8423" width="23" style="17" customWidth="1"/>
    <col min="8424" max="8424" width="13.26953125" style="17" customWidth="1"/>
    <col min="8425" max="8425" width="17.453125" style="17" bestFit="1" customWidth="1"/>
    <col min="8426" max="8426" width="11.54296875" style="17" bestFit="1" customWidth="1"/>
    <col min="8427" max="8427" width="7.81640625" style="17" customWidth="1"/>
    <col min="8428" max="8428" width="11.54296875" style="17" bestFit="1" customWidth="1"/>
    <col min="8429" max="8429" width="7" style="17" customWidth="1"/>
    <col min="8430" max="8430" width="18.1796875" style="17" customWidth="1"/>
    <col min="8431" max="8431" width="7" style="17" customWidth="1"/>
    <col min="8432" max="8432" width="15.54296875" style="17" customWidth="1"/>
    <col min="8433" max="8433" width="7.81640625" style="17" customWidth="1"/>
    <col min="8434" max="8434" width="15.54296875" style="17" customWidth="1"/>
    <col min="8435" max="8435" width="7.81640625" style="17" bestFit="1" customWidth="1"/>
    <col min="8436" max="8436" width="15.7265625" style="17" bestFit="1" customWidth="1"/>
    <col min="8437" max="8437" width="7.54296875" style="17" customWidth="1"/>
    <col min="8438" max="8438" width="14" style="17" customWidth="1"/>
    <col min="8439" max="8439" width="7.81640625" style="17" customWidth="1"/>
    <col min="8440" max="8440" width="14" style="17" customWidth="1"/>
    <col min="8441" max="8441" width="7.81640625" style="17" customWidth="1"/>
    <col min="8442" max="8442" width="14" style="17" customWidth="1"/>
    <col min="8443" max="8443" width="9" style="17" customWidth="1"/>
    <col min="8444" max="8444" width="15.1796875" style="17" customWidth="1"/>
    <col min="8445" max="8445" width="13" style="17" bestFit="1" customWidth="1"/>
    <col min="8446" max="8446" width="15.1796875" style="17" bestFit="1" customWidth="1"/>
    <col min="8447" max="8447" width="7.54296875" style="17" customWidth="1"/>
    <col min="8448" max="8448" width="14" style="17" customWidth="1"/>
    <col min="8449" max="8449" width="7.81640625" style="17" customWidth="1"/>
    <col min="8450" max="8450" width="14" style="17" customWidth="1"/>
    <col min="8451" max="8451" width="7.81640625" style="17" customWidth="1"/>
    <col min="8452" max="8452" width="14" style="17" customWidth="1"/>
    <col min="8453" max="8453" width="9" style="17" bestFit="1" customWidth="1"/>
    <col min="8454" max="8454" width="15.1796875" style="17" bestFit="1" customWidth="1"/>
    <col min="8455" max="8455" width="9" style="17" bestFit="1" customWidth="1"/>
    <col min="8456" max="8456" width="15.1796875" style="17" bestFit="1" customWidth="1"/>
    <col min="8457" max="8457" width="6.453125" style="17" customWidth="1"/>
    <col min="8458" max="8458" width="12.7265625" style="17" customWidth="1"/>
    <col min="8459" max="8459" width="6.453125" style="17" customWidth="1"/>
    <col min="8460" max="8460" width="12.7265625" style="17" customWidth="1"/>
    <col min="8461" max="8461" width="6" style="17" customWidth="1"/>
    <col min="8462" max="8462" width="12.7265625" style="17" customWidth="1"/>
    <col min="8463" max="8463" width="9.54296875" style="17" customWidth="1"/>
    <col min="8464" max="8464" width="14" style="17" bestFit="1" customWidth="1"/>
    <col min="8465" max="8465" width="8.7265625" style="17" bestFit="1" customWidth="1"/>
    <col min="8466" max="8466" width="13.54296875" style="17" customWidth="1"/>
    <col min="8467" max="8467" width="6" style="17" customWidth="1"/>
    <col min="8468" max="8468" width="13.7265625" style="17" customWidth="1"/>
    <col min="8469" max="8469" width="6" style="17" customWidth="1"/>
    <col min="8470" max="8470" width="12.7265625" style="17" customWidth="1"/>
    <col min="8471" max="8471" width="6.81640625" style="17" customWidth="1"/>
    <col min="8472" max="8472" width="12.7265625" style="17" customWidth="1"/>
    <col min="8473" max="8473" width="6.81640625" style="17" customWidth="1"/>
    <col min="8474" max="8474" width="15.7265625" style="17" bestFit="1" customWidth="1"/>
    <col min="8475" max="8475" width="8.54296875" style="17" bestFit="1" customWidth="1"/>
    <col min="8476" max="8476" width="13.54296875" style="17" customWidth="1"/>
    <col min="8477" max="8477" width="6" style="17" customWidth="1"/>
    <col min="8478" max="8478" width="13.7265625" style="17" customWidth="1"/>
    <col min="8479" max="8479" width="6" style="17" customWidth="1"/>
    <col min="8480" max="8480" width="12.7265625" style="17" customWidth="1"/>
    <col min="8481" max="8481" width="6.81640625" style="17" customWidth="1"/>
    <col min="8482" max="8482" width="12.7265625" style="17" customWidth="1"/>
    <col min="8483" max="8483" width="6.81640625" style="17" customWidth="1"/>
    <col min="8484" max="8484" width="16.453125" style="17" bestFit="1" customWidth="1"/>
    <col min="8485" max="8485" width="9.54296875" style="17" bestFit="1" customWidth="1"/>
    <col min="8486" max="8486" width="17.453125" style="17" bestFit="1" customWidth="1"/>
    <col min="8487" max="8487" width="6" style="17" customWidth="1"/>
    <col min="8488" max="8488" width="13.7265625" style="17" customWidth="1"/>
    <col min="8489" max="8489" width="6" style="17" customWidth="1"/>
    <col min="8490" max="8490" width="12.7265625" style="17" customWidth="1"/>
    <col min="8491" max="8491" width="6.81640625" style="17" customWidth="1"/>
    <col min="8492" max="8492" width="12.7265625" style="17" customWidth="1"/>
    <col min="8493" max="8493" width="6.81640625" style="17" customWidth="1"/>
    <col min="8494" max="8494" width="15.453125" style="17" bestFit="1" customWidth="1"/>
    <col min="8495" max="8495" width="9.54296875" style="17" bestFit="1" customWidth="1"/>
    <col min="8496" max="8496" width="17.453125" style="17" bestFit="1" customWidth="1"/>
    <col min="8497" max="8497" width="8" style="17" customWidth="1"/>
    <col min="8498" max="8498" width="12.1796875" style="17" customWidth="1"/>
    <col min="8499" max="8499" width="8" style="17" customWidth="1"/>
    <col min="8500" max="8500" width="20" style="17" customWidth="1"/>
    <col min="8501" max="8501" width="15.26953125" style="17" bestFit="1" customWidth="1"/>
    <col min="8502" max="8502" width="14.26953125" style="17" bestFit="1" customWidth="1"/>
    <col min="8503" max="8503" width="13" style="17" bestFit="1" customWidth="1"/>
    <col min="8504" max="8675" width="8.7265625" style="17"/>
    <col min="8676" max="8676" width="2.7265625" style="17" customWidth="1"/>
    <col min="8677" max="8677" width="3.54296875" style="17" customWidth="1"/>
    <col min="8678" max="8678" width="7" style="17" customWidth="1"/>
    <col min="8679" max="8679" width="23" style="17" customWidth="1"/>
    <col min="8680" max="8680" width="13.26953125" style="17" customWidth="1"/>
    <col min="8681" max="8681" width="17.453125" style="17" bestFit="1" customWidth="1"/>
    <col min="8682" max="8682" width="11.54296875" style="17" bestFit="1" customWidth="1"/>
    <col min="8683" max="8683" width="7.81640625" style="17" customWidth="1"/>
    <col min="8684" max="8684" width="11.54296875" style="17" bestFit="1" customWidth="1"/>
    <col min="8685" max="8685" width="7" style="17" customWidth="1"/>
    <col min="8686" max="8686" width="18.1796875" style="17" customWidth="1"/>
    <col min="8687" max="8687" width="7" style="17" customWidth="1"/>
    <col min="8688" max="8688" width="15.54296875" style="17" customWidth="1"/>
    <col min="8689" max="8689" width="7.81640625" style="17" customWidth="1"/>
    <col min="8690" max="8690" width="15.54296875" style="17" customWidth="1"/>
    <col min="8691" max="8691" width="7.81640625" style="17" bestFit="1" customWidth="1"/>
    <col min="8692" max="8692" width="15.7265625" style="17" bestFit="1" customWidth="1"/>
    <col min="8693" max="8693" width="7.54296875" style="17" customWidth="1"/>
    <col min="8694" max="8694" width="14" style="17" customWidth="1"/>
    <col min="8695" max="8695" width="7.81640625" style="17" customWidth="1"/>
    <col min="8696" max="8696" width="14" style="17" customWidth="1"/>
    <col min="8697" max="8697" width="7.81640625" style="17" customWidth="1"/>
    <col min="8698" max="8698" width="14" style="17" customWidth="1"/>
    <col min="8699" max="8699" width="9" style="17" customWidth="1"/>
    <col min="8700" max="8700" width="15.1796875" style="17" customWidth="1"/>
    <col min="8701" max="8701" width="13" style="17" bestFit="1" customWidth="1"/>
    <col min="8702" max="8702" width="15.1796875" style="17" bestFit="1" customWidth="1"/>
    <col min="8703" max="8703" width="7.54296875" style="17" customWidth="1"/>
    <col min="8704" max="8704" width="14" style="17" customWidth="1"/>
    <col min="8705" max="8705" width="7.81640625" style="17" customWidth="1"/>
    <col min="8706" max="8706" width="14" style="17" customWidth="1"/>
    <col min="8707" max="8707" width="7.81640625" style="17" customWidth="1"/>
    <col min="8708" max="8708" width="14" style="17" customWidth="1"/>
    <col min="8709" max="8709" width="9" style="17" bestFit="1" customWidth="1"/>
    <col min="8710" max="8710" width="15.1796875" style="17" bestFit="1" customWidth="1"/>
    <col min="8711" max="8711" width="9" style="17" bestFit="1" customWidth="1"/>
    <col min="8712" max="8712" width="15.1796875" style="17" bestFit="1" customWidth="1"/>
    <col min="8713" max="8713" width="6.453125" style="17" customWidth="1"/>
    <col min="8714" max="8714" width="12.7265625" style="17" customWidth="1"/>
    <col min="8715" max="8715" width="6.453125" style="17" customWidth="1"/>
    <col min="8716" max="8716" width="12.7265625" style="17" customWidth="1"/>
    <col min="8717" max="8717" width="6" style="17" customWidth="1"/>
    <col min="8718" max="8718" width="12.7265625" style="17" customWidth="1"/>
    <col min="8719" max="8719" width="9.54296875" style="17" customWidth="1"/>
    <col min="8720" max="8720" width="14" style="17" bestFit="1" customWidth="1"/>
    <col min="8721" max="8721" width="8.7265625" style="17" bestFit="1" customWidth="1"/>
    <col min="8722" max="8722" width="13.54296875" style="17" customWidth="1"/>
    <col min="8723" max="8723" width="6" style="17" customWidth="1"/>
    <col min="8724" max="8724" width="13.7265625" style="17" customWidth="1"/>
    <col min="8725" max="8725" width="6" style="17" customWidth="1"/>
    <col min="8726" max="8726" width="12.7265625" style="17" customWidth="1"/>
    <col min="8727" max="8727" width="6.81640625" style="17" customWidth="1"/>
    <col min="8728" max="8728" width="12.7265625" style="17" customWidth="1"/>
    <col min="8729" max="8729" width="6.81640625" style="17" customWidth="1"/>
    <col min="8730" max="8730" width="15.7265625" style="17" bestFit="1" customWidth="1"/>
    <col min="8731" max="8731" width="8.54296875" style="17" bestFit="1" customWidth="1"/>
    <col min="8732" max="8732" width="13.54296875" style="17" customWidth="1"/>
    <col min="8733" max="8733" width="6" style="17" customWidth="1"/>
    <col min="8734" max="8734" width="13.7265625" style="17" customWidth="1"/>
    <col min="8735" max="8735" width="6" style="17" customWidth="1"/>
    <col min="8736" max="8736" width="12.7265625" style="17" customWidth="1"/>
    <col min="8737" max="8737" width="6.81640625" style="17" customWidth="1"/>
    <col min="8738" max="8738" width="12.7265625" style="17" customWidth="1"/>
    <col min="8739" max="8739" width="6.81640625" style="17" customWidth="1"/>
    <col min="8740" max="8740" width="16.453125" style="17" bestFit="1" customWidth="1"/>
    <col min="8741" max="8741" width="9.54296875" style="17" bestFit="1" customWidth="1"/>
    <col min="8742" max="8742" width="17.453125" style="17" bestFit="1" customWidth="1"/>
    <col min="8743" max="8743" width="6" style="17" customWidth="1"/>
    <col min="8744" max="8744" width="13.7265625" style="17" customWidth="1"/>
    <col min="8745" max="8745" width="6" style="17" customWidth="1"/>
    <col min="8746" max="8746" width="12.7265625" style="17" customWidth="1"/>
    <col min="8747" max="8747" width="6.81640625" style="17" customWidth="1"/>
    <col min="8748" max="8748" width="12.7265625" style="17" customWidth="1"/>
    <col min="8749" max="8749" width="6.81640625" style="17" customWidth="1"/>
    <col min="8750" max="8750" width="15.453125" style="17" bestFit="1" customWidth="1"/>
    <col min="8751" max="8751" width="9.54296875" style="17" bestFit="1" customWidth="1"/>
    <col min="8752" max="8752" width="17.453125" style="17" bestFit="1" customWidth="1"/>
    <col min="8753" max="8753" width="8" style="17" customWidth="1"/>
    <col min="8754" max="8754" width="12.1796875" style="17" customWidth="1"/>
    <col min="8755" max="8755" width="8" style="17" customWidth="1"/>
    <col min="8756" max="8756" width="20" style="17" customWidth="1"/>
    <col min="8757" max="8757" width="15.26953125" style="17" bestFit="1" customWidth="1"/>
    <col min="8758" max="8758" width="14.26953125" style="17" bestFit="1" customWidth="1"/>
    <col min="8759" max="8759" width="13" style="17" bestFit="1" customWidth="1"/>
    <col min="8760" max="8931" width="8.7265625" style="17"/>
    <col min="8932" max="8932" width="2.7265625" style="17" customWidth="1"/>
    <col min="8933" max="8933" width="3.54296875" style="17" customWidth="1"/>
    <col min="8934" max="8934" width="7" style="17" customWidth="1"/>
    <col min="8935" max="8935" width="23" style="17" customWidth="1"/>
    <col min="8936" max="8936" width="13.26953125" style="17" customWidth="1"/>
    <col min="8937" max="8937" width="17.453125" style="17" bestFit="1" customWidth="1"/>
    <col min="8938" max="8938" width="11.54296875" style="17" bestFit="1" customWidth="1"/>
    <col min="8939" max="8939" width="7.81640625" style="17" customWidth="1"/>
    <col min="8940" max="8940" width="11.54296875" style="17" bestFit="1" customWidth="1"/>
    <col min="8941" max="8941" width="7" style="17" customWidth="1"/>
    <col min="8942" max="8942" width="18.1796875" style="17" customWidth="1"/>
    <col min="8943" max="8943" width="7" style="17" customWidth="1"/>
    <col min="8944" max="8944" width="15.54296875" style="17" customWidth="1"/>
    <col min="8945" max="8945" width="7.81640625" style="17" customWidth="1"/>
    <col min="8946" max="8946" width="15.54296875" style="17" customWidth="1"/>
    <col min="8947" max="8947" width="7.81640625" style="17" bestFit="1" customWidth="1"/>
    <col min="8948" max="8948" width="15.7265625" style="17" bestFit="1" customWidth="1"/>
    <col min="8949" max="8949" width="7.54296875" style="17" customWidth="1"/>
    <col min="8950" max="8950" width="14" style="17" customWidth="1"/>
    <col min="8951" max="8951" width="7.81640625" style="17" customWidth="1"/>
    <col min="8952" max="8952" width="14" style="17" customWidth="1"/>
    <col min="8953" max="8953" width="7.81640625" style="17" customWidth="1"/>
    <col min="8954" max="8954" width="14" style="17" customWidth="1"/>
    <col min="8955" max="8955" width="9" style="17" customWidth="1"/>
    <col min="8956" max="8956" width="15.1796875" style="17" customWidth="1"/>
    <col min="8957" max="8957" width="13" style="17" bestFit="1" customWidth="1"/>
    <col min="8958" max="8958" width="15.1796875" style="17" bestFit="1" customWidth="1"/>
    <col min="8959" max="8959" width="7.54296875" style="17" customWidth="1"/>
    <col min="8960" max="8960" width="14" style="17" customWidth="1"/>
    <col min="8961" max="8961" width="7.81640625" style="17" customWidth="1"/>
    <col min="8962" max="8962" width="14" style="17" customWidth="1"/>
    <col min="8963" max="8963" width="7.81640625" style="17" customWidth="1"/>
    <col min="8964" max="8964" width="14" style="17" customWidth="1"/>
    <col min="8965" max="8965" width="9" style="17" bestFit="1" customWidth="1"/>
    <col min="8966" max="8966" width="15.1796875" style="17" bestFit="1" customWidth="1"/>
    <col min="8967" max="8967" width="9" style="17" bestFit="1" customWidth="1"/>
    <col min="8968" max="8968" width="15.1796875" style="17" bestFit="1" customWidth="1"/>
    <col min="8969" max="8969" width="6.453125" style="17" customWidth="1"/>
    <col min="8970" max="8970" width="12.7265625" style="17" customWidth="1"/>
    <col min="8971" max="8971" width="6.453125" style="17" customWidth="1"/>
    <col min="8972" max="8972" width="12.7265625" style="17" customWidth="1"/>
    <col min="8973" max="8973" width="6" style="17" customWidth="1"/>
    <col min="8974" max="8974" width="12.7265625" style="17" customWidth="1"/>
    <col min="8975" max="8975" width="9.54296875" style="17" customWidth="1"/>
    <col min="8976" max="8976" width="14" style="17" bestFit="1" customWidth="1"/>
    <col min="8977" max="8977" width="8.7265625" style="17" bestFit="1" customWidth="1"/>
    <col min="8978" max="8978" width="13.54296875" style="17" customWidth="1"/>
    <col min="8979" max="8979" width="6" style="17" customWidth="1"/>
    <col min="8980" max="8980" width="13.7265625" style="17" customWidth="1"/>
    <col min="8981" max="8981" width="6" style="17" customWidth="1"/>
    <col min="8982" max="8982" width="12.7265625" style="17" customWidth="1"/>
    <col min="8983" max="8983" width="6.81640625" style="17" customWidth="1"/>
    <col min="8984" max="8984" width="12.7265625" style="17" customWidth="1"/>
    <col min="8985" max="8985" width="6.81640625" style="17" customWidth="1"/>
    <col min="8986" max="8986" width="15.7265625" style="17" bestFit="1" customWidth="1"/>
    <col min="8987" max="8987" width="8.54296875" style="17" bestFit="1" customWidth="1"/>
    <col min="8988" max="8988" width="13.54296875" style="17" customWidth="1"/>
    <col min="8989" max="8989" width="6" style="17" customWidth="1"/>
    <col min="8990" max="8990" width="13.7265625" style="17" customWidth="1"/>
    <col min="8991" max="8991" width="6" style="17" customWidth="1"/>
    <col min="8992" max="8992" width="12.7265625" style="17" customWidth="1"/>
    <col min="8993" max="8993" width="6.81640625" style="17" customWidth="1"/>
    <col min="8994" max="8994" width="12.7265625" style="17" customWidth="1"/>
    <col min="8995" max="8995" width="6.81640625" style="17" customWidth="1"/>
    <col min="8996" max="8996" width="16.453125" style="17" bestFit="1" customWidth="1"/>
    <col min="8997" max="8997" width="9.54296875" style="17" bestFit="1" customWidth="1"/>
    <col min="8998" max="8998" width="17.453125" style="17" bestFit="1" customWidth="1"/>
    <col min="8999" max="8999" width="6" style="17" customWidth="1"/>
    <col min="9000" max="9000" width="13.7265625" style="17" customWidth="1"/>
    <col min="9001" max="9001" width="6" style="17" customWidth="1"/>
    <col min="9002" max="9002" width="12.7265625" style="17" customWidth="1"/>
    <col min="9003" max="9003" width="6.81640625" style="17" customWidth="1"/>
    <col min="9004" max="9004" width="12.7265625" style="17" customWidth="1"/>
    <col min="9005" max="9005" width="6.81640625" style="17" customWidth="1"/>
    <col min="9006" max="9006" width="15.453125" style="17" bestFit="1" customWidth="1"/>
    <col min="9007" max="9007" width="9.54296875" style="17" bestFit="1" customWidth="1"/>
    <col min="9008" max="9008" width="17.453125" style="17" bestFit="1" customWidth="1"/>
    <col min="9009" max="9009" width="8" style="17" customWidth="1"/>
    <col min="9010" max="9010" width="12.1796875" style="17" customWidth="1"/>
    <col min="9011" max="9011" width="8" style="17" customWidth="1"/>
    <col min="9012" max="9012" width="20" style="17" customWidth="1"/>
    <col min="9013" max="9013" width="15.26953125" style="17" bestFit="1" customWidth="1"/>
    <col min="9014" max="9014" width="14.26953125" style="17" bestFit="1" customWidth="1"/>
    <col min="9015" max="9015" width="13" style="17" bestFit="1" customWidth="1"/>
    <col min="9016" max="9187" width="8.7265625" style="17"/>
    <col min="9188" max="9188" width="2.7265625" style="17" customWidth="1"/>
    <col min="9189" max="9189" width="3.54296875" style="17" customWidth="1"/>
    <col min="9190" max="9190" width="7" style="17" customWidth="1"/>
    <col min="9191" max="9191" width="23" style="17" customWidth="1"/>
    <col min="9192" max="9192" width="13.26953125" style="17" customWidth="1"/>
    <col min="9193" max="9193" width="17.453125" style="17" bestFit="1" customWidth="1"/>
    <col min="9194" max="9194" width="11.54296875" style="17" bestFit="1" customWidth="1"/>
    <col min="9195" max="9195" width="7.81640625" style="17" customWidth="1"/>
    <col min="9196" max="9196" width="11.54296875" style="17" bestFit="1" customWidth="1"/>
    <col min="9197" max="9197" width="7" style="17" customWidth="1"/>
    <col min="9198" max="9198" width="18.1796875" style="17" customWidth="1"/>
    <col min="9199" max="9199" width="7" style="17" customWidth="1"/>
    <col min="9200" max="9200" width="15.54296875" style="17" customWidth="1"/>
    <col min="9201" max="9201" width="7.81640625" style="17" customWidth="1"/>
    <col min="9202" max="9202" width="15.54296875" style="17" customWidth="1"/>
    <col min="9203" max="9203" width="7.81640625" style="17" bestFit="1" customWidth="1"/>
    <col min="9204" max="9204" width="15.7265625" style="17" bestFit="1" customWidth="1"/>
    <col min="9205" max="9205" width="7.54296875" style="17" customWidth="1"/>
    <col min="9206" max="9206" width="14" style="17" customWidth="1"/>
    <col min="9207" max="9207" width="7.81640625" style="17" customWidth="1"/>
    <col min="9208" max="9208" width="14" style="17" customWidth="1"/>
    <col min="9209" max="9209" width="7.81640625" style="17" customWidth="1"/>
    <col min="9210" max="9210" width="14" style="17" customWidth="1"/>
    <col min="9211" max="9211" width="9" style="17" customWidth="1"/>
    <col min="9212" max="9212" width="15.1796875" style="17" customWidth="1"/>
    <col min="9213" max="9213" width="13" style="17" bestFit="1" customWidth="1"/>
    <col min="9214" max="9214" width="15.1796875" style="17" bestFit="1" customWidth="1"/>
    <col min="9215" max="9215" width="7.54296875" style="17" customWidth="1"/>
    <col min="9216" max="9216" width="14" style="17" customWidth="1"/>
    <col min="9217" max="9217" width="7.81640625" style="17" customWidth="1"/>
    <col min="9218" max="9218" width="14" style="17" customWidth="1"/>
    <col min="9219" max="9219" width="7.81640625" style="17" customWidth="1"/>
    <col min="9220" max="9220" width="14" style="17" customWidth="1"/>
    <col min="9221" max="9221" width="9" style="17" bestFit="1" customWidth="1"/>
    <col min="9222" max="9222" width="15.1796875" style="17" bestFit="1" customWidth="1"/>
    <col min="9223" max="9223" width="9" style="17" bestFit="1" customWidth="1"/>
    <col min="9224" max="9224" width="15.1796875" style="17" bestFit="1" customWidth="1"/>
    <col min="9225" max="9225" width="6.453125" style="17" customWidth="1"/>
    <col min="9226" max="9226" width="12.7265625" style="17" customWidth="1"/>
    <col min="9227" max="9227" width="6.453125" style="17" customWidth="1"/>
    <col min="9228" max="9228" width="12.7265625" style="17" customWidth="1"/>
    <col min="9229" max="9229" width="6" style="17" customWidth="1"/>
    <col min="9230" max="9230" width="12.7265625" style="17" customWidth="1"/>
    <col min="9231" max="9231" width="9.54296875" style="17" customWidth="1"/>
    <col min="9232" max="9232" width="14" style="17" bestFit="1" customWidth="1"/>
    <col min="9233" max="9233" width="8.7265625" style="17" bestFit="1" customWidth="1"/>
    <col min="9234" max="9234" width="13.54296875" style="17" customWidth="1"/>
    <col min="9235" max="9235" width="6" style="17" customWidth="1"/>
    <col min="9236" max="9236" width="13.7265625" style="17" customWidth="1"/>
    <col min="9237" max="9237" width="6" style="17" customWidth="1"/>
    <col min="9238" max="9238" width="12.7265625" style="17" customWidth="1"/>
    <col min="9239" max="9239" width="6.81640625" style="17" customWidth="1"/>
    <col min="9240" max="9240" width="12.7265625" style="17" customWidth="1"/>
    <col min="9241" max="9241" width="6.81640625" style="17" customWidth="1"/>
    <col min="9242" max="9242" width="15.7265625" style="17" bestFit="1" customWidth="1"/>
    <col min="9243" max="9243" width="8.54296875" style="17" bestFit="1" customWidth="1"/>
    <col min="9244" max="9244" width="13.54296875" style="17" customWidth="1"/>
    <col min="9245" max="9245" width="6" style="17" customWidth="1"/>
    <col min="9246" max="9246" width="13.7265625" style="17" customWidth="1"/>
    <col min="9247" max="9247" width="6" style="17" customWidth="1"/>
    <col min="9248" max="9248" width="12.7265625" style="17" customWidth="1"/>
    <col min="9249" max="9249" width="6.81640625" style="17" customWidth="1"/>
    <col min="9250" max="9250" width="12.7265625" style="17" customWidth="1"/>
    <col min="9251" max="9251" width="6.81640625" style="17" customWidth="1"/>
    <col min="9252" max="9252" width="16.453125" style="17" bestFit="1" customWidth="1"/>
    <col min="9253" max="9253" width="9.54296875" style="17" bestFit="1" customWidth="1"/>
    <col min="9254" max="9254" width="17.453125" style="17" bestFit="1" customWidth="1"/>
    <col min="9255" max="9255" width="6" style="17" customWidth="1"/>
    <col min="9256" max="9256" width="13.7265625" style="17" customWidth="1"/>
    <col min="9257" max="9257" width="6" style="17" customWidth="1"/>
    <col min="9258" max="9258" width="12.7265625" style="17" customWidth="1"/>
    <col min="9259" max="9259" width="6.81640625" style="17" customWidth="1"/>
    <col min="9260" max="9260" width="12.7265625" style="17" customWidth="1"/>
    <col min="9261" max="9261" width="6.81640625" style="17" customWidth="1"/>
    <col min="9262" max="9262" width="15.453125" style="17" bestFit="1" customWidth="1"/>
    <col min="9263" max="9263" width="9.54296875" style="17" bestFit="1" customWidth="1"/>
    <col min="9264" max="9264" width="17.453125" style="17" bestFit="1" customWidth="1"/>
    <col min="9265" max="9265" width="8" style="17" customWidth="1"/>
    <col min="9266" max="9266" width="12.1796875" style="17" customWidth="1"/>
    <col min="9267" max="9267" width="8" style="17" customWidth="1"/>
    <col min="9268" max="9268" width="20" style="17" customWidth="1"/>
    <col min="9269" max="9269" width="15.26953125" style="17" bestFit="1" customWidth="1"/>
    <col min="9270" max="9270" width="14.26953125" style="17" bestFit="1" customWidth="1"/>
    <col min="9271" max="9271" width="13" style="17" bestFit="1" customWidth="1"/>
    <col min="9272" max="9443" width="8.7265625" style="17"/>
    <col min="9444" max="9444" width="2.7265625" style="17" customWidth="1"/>
    <col min="9445" max="9445" width="3.54296875" style="17" customWidth="1"/>
    <col min="9446" max="9446" width="7" style="17" customWidth="1"/>
    <col min="9447" max="9447" width="23" style="17" customWidth="1"/>
    <col min="9448" max="9448" width="13.26953125" style="17" customWidth="1"/>
    <col min="9449" max="9449" width="17.453125" style="17" bestFit="1" customWidth="1"/>
    <col min="9450" max="9450" width="11.54296875" style="17" bestFit="1" customWidth="1"/>
    <col min="9451" max="9451" width="7.81640625" style="17" customWidth="1"/>
    <col min="9452" max="9452" width="11.54296875" style="17" bestFit="1" customWidth="1"/>
    <col min="9453" max="9453" width="7" style="17" customWidth="1"/>
    <col min="9454" max="9454" width="18.1796875" style="17" customWidth="1"/>
    <col min="9455" max="9455" width="7" style="17" customWidth="1"/>
    <col min="9456" max="9456" width="15.54296875" style="17" customWidth="1"/>
    <col min="9457" max="9457" width="7.81640625" style="17" customWidth="1"/>
    <col min="9458" max="9458" width="15.54296875" style="17" customWidth="1"/>
    <col min="9459" max="9459" width="7.81640625" style="17" bestFit="1" customWidth="1"/>
    <col min="9460" max="9460" width="15.7265625" style="17" bestFit="1" customWidth="1"/>
    <col min="9461" max="9461" width="7.54296875" style="17" customWidth="1"/>
    <col min="9462" max="9462" width="14" style="17" customWidth="1"/>
    <col min="9463" max="9463" width="7.81640625" style="17" customWidth="1"/>
    <col min="9464" max="9464" width="14" style="17" customWidth="1"/>
    <col min="9465" max="9465" width="7.81640625" style="17" customWidth="1"/>
    <col min="9466" max="9466" width="14" style="17" customWidth="1"/>
    <col min="9467" max="9467" width="9" style="17" customWidth="1"/>
    <col min="9468" max="9468" width="15.1796875" style="17" customWidth="1"/>
    <col min="9469" max="9469" width="13" style="17" bestFit="1" customWidth="1"/>
    <col min="9470" max="9470" width="15.1796875" style="17" bestFit="1" customWidth="1"/>
    <col min="9471" max="9471" width="7.54296875" style="17" customWidth="1"/>
    <col min="9472" max="9472" width="14" style="17" customWidth="1"/>
    <col min="9473" max="9473" width="7.81640625" style="17" customWidth="1"/>
    <col min="9474" max="9474" width="14" style="17" customWidth="1"/>
    <col min="9475" max="9475" width="7.81640625" style="17" customWidth="1"/>
    <col min="9476" max="9476" width="14" style="17" customWidth="1"/>
    <col min="9477" max="9477" width="9" style="17" bestFit="1" customWidth="1"/>
    <col min="9478" max="9478" width="15.1796875" style="17" bestFit="1" customWidth="1"/>
    <col min="9479" max="9479" width="9" style="17" bestFit="1" customWidth="1"/>
    <col min="9480" max="9480" width="15.1796875" style="17" bestFit="1" customWidth="1"/>
    <col min="9481" max="9481" width="6.453125" style="17" customWidth="1"/>
    <col min="9482" max="9482" width="12.7265625" style="17" customWidth="1"/>
    <col min="9483" max="9483" width="6.453125" style="17" customWidth="1"/>
    <col min="9484" max="9484" width="12.7265625" style="17" customWidth="1"/>
    <col min="9485" max="9485" width="6" style="17" customWidth="1"/>
    <col min="9486" max="9486" width="12.7265625" style="17" customWidth="1"/>
    <col min="9487" max="9487" width="9.54296875" style="17" customWidth="1"/>
    <col min="9488" max="9488" width="14" style="17" bestFit="1" customWidth="1"/>
    <col min="9489" max="9489" width="8.7265625" style="17" bestFit="1" customWidth="1"/>
    <col min="9490" max="9490" width="13.54296875" style="17" customWidth="1"/>
    <col min="9491" max="9491" width="6" style="17" customWidth="1"/>
    <col min="9492" max="9492" width="13.7265625" style="17" customWidth="1"/>
    <col min="9493" max="9493" width="6" style="17" customWidth="1"/>
    <col min="9494" max="9494" width="12.7265625" style="17" customWidth="1"/>
    <col min="9495" max="9495" width="6.81640625" style="17" customWidth="1"/>
    <col min="9496" max="9496" width="12.7265625" style="17" customWidth="1"/>
    <col min="9497" max="9497" width="6.81640625" style="17" customWidth="1"/>
    <col min="9498" max="9498" width="15.7265625" style="17" bestFit="1" customWidth="1"/>
    <col min="9499" max="9499" width="8.54296875" style="17" bestFit="1" customWidth="1"/>
    <col min="9500" max="9500" width="13.54296875" style="17" customWidth="1"/>
    <col min="9501" max="9501" width="6" style="17" customWidth="1"/>
    <col min="9502" max="9502" width="13.7265625" style="17" customWidth="1"/>
    <col min="9503" max="9503" width="6" style="17" customWidth="1"/>
    <col min="9504" max="9504" width="12.7265625" style="17" customWidth="1"/>
    <col min="9505" max="9505" width="6.81640625" style="17" customWidth="1"/>
    <col min="9506" max="9506" width="12.7265625" style="17" customWidth="1"/>
    <col min="9507" max="9507" width="6.81640625" style="17" customWidth="1"/>
    <col min="9508" max="9508" width="16.453125" style="17" bestFit="1" customWidth="1"/>
    <col min="9509" max="9509" width="9.54296875" style="17" bestFit="1" customWidth="1"/>
    <col min="9510" max="9510" width="17.453125" style="17" bestFit="1" customWidth="1"/>
    <col min="9511" max="9511" width="6" style="17" customWidth="1"/>
    <col min="9512" max="9512" width="13.7265625" style="17" customWidth="1"/>
    <col min="9513" max="9513" width="6" style="17" customWidth="1"/>
    <col min="9514" max="9514" width="12.7265625" style="17" customWidth="1"/>
    <col min="9515" max="9515" width="6.81640625" style="17" customWidth="1"/>
    <col min="9516" max="9516" width="12.7265625" style="17" customWidth="1"/>
    <col min="9517" max="9517" width="6.81640625" style="17" customWidth="1"/>
    <col min="9518" max="9518" width="15.453125" style="17" bestFit="1" customWidth="1"/>
    <col min="9519" max="9519" width="9.54296875" style="17" bestFit="1" customWidth="1"/>
    <col min="9520" max="9520" width="17.453125" style="17" bestFit="1" customWidth="1"/>
    <col min="9521" max="9521" width="8" style="17" customWidth="1"/>
    <col min="9522" max="9522" width="12.1796875" style="17" customWidth="1"/>
    <col min="9523" max="9523" width="8" style="17" customWidth="1"/>
    <col min="9524" max="9524" width="20" style="17" customWidth="1"/>
    <col min="9525" max="9525" width="15.26953125" style="17" bestFit="1" customWidth="1"/>
    <col min="9526" max="9526" width="14.26953125" style="17" bestFit="1" customWidth="1"/>
    <col min="9527" max="9527" width="13" style="17" bestFit="1" customWidth="1"/>
    <col min="9528" max="9699" width="8.7265625" style="17"/>
    <col min="9700" max="9700" width="2.7265625" style="17" customWidth="1"/>
    <col min="9701" max="9701" width="3.54296875" style="17" customWidth="1"/>
    <col min="9702" max="9702" width="7" style="17" customWidth="1"/>
    <col min="9703" max="9703" width="23" style="17" customWidth="1"/>
    <col min="9704" max="9704" width="13.26953125" style="17" customWidth="1"/>
    <col min="9705" max="9705" width="17.453125" style="17" bestFit="1" customWidth="1"/>
    <col min="9706" max="9706" width="11.54296875" style="17" bestFit="1" customWidth="1"/>
    <col min="9707" max="9707" width="7.81640625" style="17" customWidth="1"/>
    <col min="9708" max="9708" width="11.54296875" style="17" bestFit="1" customWidth="1"/>
    <col min="9709" max="9709" width="7" style="17" customWidth="1"/>
    <col min="9710" max="9710" width="18.1796875" style="17" customWidth="1"/>
    <col min="9711" max="9711" width="7" style="17" customWidth="1"/>
    <col min="9712" max="9712" width="15.54296875" style="17" customWidth="1"/>
    <col min="9713" max="9713" width="7.81640625" style="17" customWidth="1"/>
    <col min="9714" max="9714" width="15.54296875" style="17" customWidth="1"/>
    <col min="9715" max="9715" width="7.81640625" style="17" bestFit="1" customWidth="1"/>
    <col min="9716" max="9716" width="15.7265625" style="17" bestFit="1" customWidth="1"/>
    <col min="9717" max="9717" width="7.54296875" style="17" customWidth="1"/>
    <col min="9718" max="9718" width="14" style="17" customWidth="1"/>
    <col min="9719" max="9719" width="7.81640625" style="17" customWidth="1"/>
    <col min="9720" max="9720" width="14" style="17" customWidth="1"/>
    <col min="9721" max="9721" width="7.81640625" style="17" customWidth="1"/>
    <col min="9722" max="9722" width="14" style="17" customWidth="1"/>
    <col min="9723" max="9723" width="9" style="17" customWidth="1"/>
    <col min="9724" max="9724" width="15.1796875" style="17" customWidth="1"/>
    <col min="9725" max="9725" width="13" style="17" bestFit="1" customWidth="1"/>
    <col min="9726" max="9726" width="15.1796875" style="17" bestFit="1" customWidth="1"/>
    <col min="9727" max="9727" width="7.54296875" style="17" customWidth="1"/>
    <col min="9728" max="9728" width="14" style="17" customWidth="1"/>
    <col min="9729" max="9729" width="7.81640625" style="17" customWidth="1"/>
    <col min="9730" max="9730" width="14" style="17" customWidth="1"/>
    <col min="9731" max="9731" width="7.81640625" style="17" customWidth="1"/>
    <col min="9732" max="9732" width="14" style="17" customWidth="1"/>
    <col min="9733" max="9733" width="9" style="17" bestFit="1" customWidth="1"/>
    <col min="9734" max="9734" width="15.1796875" style="17" bestFit="1" customWidth="1"/>
    <col min="9735" max="9735" width="9" style="17" bestFit="1" customWidth="1"/>
    <col min="9736" max="9736" width="15.1796875" style="17" bestFit="1" customWidth="1"/>
    <col min="9737" max="9737" width="6.453125" style="17" customWidth="1"/>
    <col min="9738" max="9738" width="12.7265625" style="17" customWidth="1"/>
    <col min="9739" max="9739" width="6.453125" style="17" customWidth="1"/>
    <col min="9740" max="9740" width="12.7265625" style="17" customWidth="1"/>
    <col min="9741" max="9741" width="6" style="17" customWidth="1"/>
    <col min="9742" max="9742" width="12.7265625" style="17" customWidth="1"/>
    <col min="9743" max="9743" width="9.54296875" style="17" customWidth="1"/>
    <col min="9744" max="9744" width="14" style="17" bestFit="1" customWidth="1"/>
    <col min="9745" max="9745" width="8.7265625" style="17" bestFit="1" customWidth="1"/>
    <col min="9746" max="9746" width="13.54296875" style="17" customWidth="1"/>
    <col min="9747" max="9747" width="6" style="17" customWidth="1"/>
    <col min="9748" max="9748" width="13.7265625" style="17" customWidth="1"/>
    <col min="9749" max="9749" width="6" style="17" customWidth="1"/>
    <col min="9750" max="9750" width="12.7265625" style="17" customWidth="1"/>
    <col min="9751" max="9751" width="6.81640625" style="17" customWidth="1"/>
    <col min="9752" max="9752" width="12.7265625" style="17" customWidth="1"/>
    <col min="9753" max="9753" width="6.81640625" style="17" customWidth="1"/>
    <col min="9754" max="9754" width="15.7265625" style="17" bestFit="1" customWidth="1"/>
    <col min="9755" max="9755" width="8.54296875" style="17" bestFit="1" customWidth="1"/>
    <col min="9756" max="9756" width="13.54296875" style="17" customWidth="1"/>
    <col min="9757" max="9757" width="6" style="17" customWidth="1"/>
    <col min="9758" max="9758" width="13.7265625" style="17" customWidth="1"/>
    <col min="9759" max="9759" width="6" style="17" customWidth="1"/>
    <col min="9760" max="9760" width="12.7265625" style="17" customWidth="1"/>
    <col min="9761" max="9761" width="6.81640625" style="17" customWidth="1"/>
    <col min="9762" max="9762" width="12.7265625" style="17" customWidth="1"/>
    <col min="9763" max="9763" width="6.81640625" style="17" customWidth="1"/>
    <col min="9764" max="9764" width="16.453125" style="17" bestFit="1" customWidth="1"/>
    <col min="9765" max="9765" width="9.54296875" style="17" bestFit="1" customWidth="1"/>
    <col min="9766" max="9766" width="17.453125" style="17" bestFit="1" customWidth="1"/>
    <col min="9767" max="9767" width="6" style="17" customWidth="1"/>
    <col min="9768" max="9768" width="13.7265625" style="17" customWidth="1"/>
    <col min="9769" max="9769" width="6" style="17" customWidth="1"/>
    <col min="9770" max="9770" width="12.7265625" style="17" customWidth="1"/>
    <col min="9771" max="9771" width="6.81640625" style="17" customWidth="1"/>
    <col min="9772" max="9772" width="12.7265625" style="17" customWidth="1"/>
    <col min="9773" max="9773" width="6.81640625" style="17" customWidth="1"/>
    <col min="9774" max="9774" width="15.453125" style="17" bestFit="1" customWidth="1"/>
    <col min="9775" max="9775" width="9.54296875" style="17" bestFit="1" customWidth="1"/>
    <col min="9776" max="9776" width="17.453125" style="17" bestFit="1" customWidth="1"/>
    <col min="9777" max="9777" width="8" style="17" customWidth="1"/>
    <col min="9778" max="9778" width="12.1796875" style="17" customWidth="1"/>
    <col min="9779" max="9779" width="8" style="17" customWidth="1"/>
    <col min="9780" max="9780" width="20" style="17" customWidth="1"/>
    <col min="9781" max="9781" width="15.26953125" style="17" bestFit="1" customWidth="1"/>
    <col min="9782" max="9782" width="14.26953125" style="17" bestFit="1" customWidth="1"/>
    <col min="9783" max="9783" width="13" style="17" bestFit="1" customWidth="1"/>
    <col min="9784" max="9955" width="8.7265625" style="17"/>
    <col min="9956" max="9956" width="2.7265625" style="17" customWidth="1"/>
    <col min="9957" max="9957" width="3.54296875" style="17" customWidth="1"/>
    <col min="9958" max="9958" width="7" style="17" customWidth="1"/>
    <col min="9959" max="9959" width="23" style="17" customWidth="1"/>
    <col min="9960" max="9960" width="13.26953125" style="17" customWidth="1"/>
    <col min="9961" max="9961" width="17.453125" style="17" bestFit="1" customWidth="1"/>
    <col min="9962" max="9962" width="11.54296875" style="17" bestFit="1" customWidth="1"/>
    <col min="9963" max="9963" width="7.81640625" style="17" customWidth="1"/>
    <col min="9964" max="9964" width="11.54296875" style="17" bestFit="1" customWidth="1"/>
    <col min="9965" max="9965" width="7" style="17" customWidth="1"/>
    <col min="9966" max="9966" width="18.1796875" style="17" customWidth="1"/>
    <col min="9967" max="9967" width="7" style="17" customWidth="1"/>
    <col min="9968" max="9968" width="15.54296875" style="17" customWidth="1"/>
    <col min="9969" max="9969" width="7.81640625" style="17" customWidth="1"/>
    <col min="9970" max="9970" width="15.54296875" style="17" customWidth="1"/>
    <col min="9971" max="9971" width="7.81640625" style="17" bestFit="1" customWidth="1"/>
    <col min="9972" max="9972" width="15.7265625" style="17" bestFit="1" customWidth="1"/>
    <col min="9973" max="9973" width="7.54296875" style="17" customWidth="1"/>
    <col min="9974" max="9974" width="14" style="17" customWidth="1"/>
    <col min="9975" max="9975" width="7.81640625" style="17" customWidth="1"/>
    <col min="9976" max="9976" width="14" style="17" customWidth="1"/>
    <col min="9977" max="9977" width="7.81640625" style="17" customWidth="1"/>
    <col min="9978" max="9978" width="14" style="17" customWidth="1"/>
    <col min="9979" max="9979" width="9" style="17" customWidth="1"/>
    <col min="9980" max="9980" width="15.1796875" style="17" customWidth="1"/>
    <col min="9981" max="9981" width="13" style="17" bestFit="1" customWidth="1"/>
    <col min="9982" max="9982" width="15.1796875" style="17" bestFit="1" customWidth="1"/>
    <col min="9983" max="9983" width="7.54296875" style="17" customWidth="1"/>
    <col min="9984" max="9984" width="14" style="17" customWidth="1"/>
    <col min="9985" max="9985" width="7.81640625" style="17" customWidth="1"/>
    <col min="9986" max="9986" width="14" style="17" customWidth="1"/>
    <col min="9987" max="9987" width="7.81640625" style="17" customWidth="1"/>
    <col min="9988" max="9988" width="14" style="17" customWidth="1"/>
    <col min="9989" max="9989" width="9" style="17" bestFit="1" customWidth="1"/>
    <col min="9990" max="9990" width="15.1796875" style="17" bestFit="1" customWidth="1"/>
    <col min="9991" max="9991" width="9" style="17" bestFit="1" customWidth="1"/>
    <col min="9992" max="9992" width="15.1796875" style="17" bestFit="1" customWidth="1"/>
    <col min="9993" max="9993" width="6.453125" style="17" customWidth="1"/>
    <col min="9994" max="9994" width="12.7265625" style="17" customWidth="1"/>
    <col min="9995" max="9995" width="6.453125" style="17" customWidth="1"/>
    <col min="9996" max="9996" width="12.7265625" style="17" customWidth="1"/>
    <col min="9997" max="9997" width="6" style="17" customWidth="1"/>
    <col min="9998" max="9998" width="12.7265625" style="17" customWidth="1"/>
    <col min="9999" max="9999" width="9.54296875" style="17" customWidth="1"/>
    <col min="10000" max="10000" width="14" style="17" bestFit="1" customWidth="1"/>
    <col min="10001" max="10001" width="8.7265625" style="17" bestFit="1" customWidth="1"/>
    <col min="10002" max="10002" width="13.54296875" style="17" customWidth="1"/>
    <col min="10003" max="10003" width="6" style="17" customWidth="1"/>
    <col min="10004" max="10004" width="13.7265625" style="17" customWidth="1"/>
    <col min="10005" max="10005" width="6" style="17" customWidth="1"/>
    <col min="10006" max="10006" width="12.7265625" style="17" customWidth="1"/>
    <col min="10007" max="10007" width="6.81640625" style="17" customWidth="1"/>
    <col min="10008" max="10008" width="12.7265625" style="17" customWidth="1"/>
    <col min="10009" max="10009" width="6.81640625" style="17" customWidth="1"/>
    <col min="10010" max="10010" width="15.7265625" style="17" bestFit="1" customWidth="1"/>
    <col min="10011" max="10011" width="8.54296875" style="17" bestFit="1" customWidth="1"/>
    <col min="10012" max="10012" width="13.54296875" style="17" customWidth="1"/>
    <col min="10013" max="10013" width="6" style="17" customWidth="1"/>
    <col min="10014" max="10014" width="13.7265625" style="17" customWidth="1"/>
    <col min="10015" max="10015" width="6" style="17" customWidth="1"/>
    <col min="10016" max="10016" width="12.7265625" style="17" customWidth="1"/>
    <col min="10017" max="10017" width="6.81640625" style="17" customWidth="1"/>
    <col min="10018" max="10018" width="12.7265625" style="17" customWidth="1"/>
    <col min="10019" max="10019" width="6.81640625" style="17" customWidth="1"/>
    <col min="10020" max="10020" width="16.453125" style="17" bestFit="1" customWidth="1"/>
    <col min="10021" max="10021" width="9.54296875" style="17" bestFit="1" customWidth="1"/>
    <col min="10022" max="10022" width="17.453125" style="17" bestFit="1" customWidth="1"/>
    <col min="10023" max="10023" width="6" style="17" customWidth="1"/>
    <col min="10024" max="10024" width="13.7265625" style="17" customWidth="1"/>
    <col min="10025" max="10025" width="6" style="17" customWidth="1"/>
    <col min="10026" max="10026" width="12.7265625" style="17" customWidth="1"/>
    <col min="10027" max="10027" width="6.81640625" style="17" customWidth="1"/>
    <col min="10028" max="10028" width="12.7265625" style="17" customWidth="1"/>
    <col min="10029" max="10029" width="6.81640625" style="17" customWidth="1"/>
    <col min="10030" max="10030" width="15.453125" style="17" bestFit="1" customWidth="1"/>
    <col min="10031" max="10031" width="9.54296875" style="17" bestFit="1" customWidth="1"/>
    <col min="10032" max="10032" width="17.453125" style="17" bestFit="1" customWidth="1"/>
    <col min="10033" max="10033" width="8" style="17" customWidth="1"/>
    <col min="10034" max="10034" width="12.1796875" style="17" customWidth="1"/>
    <col min="10035" max="10035" width="8" style="17" customWidth="1"/>
    <col min="10036" max="10036" width="20" style="17" customWidth="1"/>
    <col min="10037" max="10037" width="15.26953125" style="17" bestFit="1" customWidth="1"/>
    <col min="10038" max="10038" width="14.26953125" style="17" bestFit="1" customWidth="1"/>
    <col min="10039" max="10039" width="13" style="17" bestFit="1" customWidth="1"/>
    <col min="10040" max="10211" width="8.7265625" style="17"/>
    <col min="10212" max="10212" width="2.7265625" style="17" customWidth="1"/>
    <col min="10213" max="10213" width="3.54296875" style="17" customWidth="1"/>
    <col min="10214" max="10214" width="7" style="17" customWidth="1"/>
    <col min="10215" max="10215" width="23" style="17" customWidth="1"/>
    <col min="10216" max="10216" width="13.26953125" style="17" customWidth="1"/>
    <col min="10217" max="10217" width="17.453125" style="17" bestFit="1" customWidth="1"/>
    <col min="10218" max="10218" width="11.54296875" style="17" bestFit="1" customWidth="1"/>
    <col min="10219" max="10219" width="7.81640625" style="17" customWidth="1"/>
    <col min="10220" max="10220" width="11.54296875" style="17" bestFit="1" customWidth="1"/>
    <col min="10221" max="10221" width="7" style="17" customWidth="1"/>
    <col min="10222" max="10222" width="18.1796875" style="17" customWidth="1"/>
    <col min="10223" max="10223" width="7" style="17" customWidth="1"/>
    <col min="10224" max="10224" width="15.54296875" style="17" customWidth="1"/>
    <col min="10225" max="10225" width="7.81640625" style="17" customWidth="1"/>
    <col min="10226" max="10226" width="15.54296875" style="17" customWidth="1"/>
    <col min="10227" max="10227" width="7.81640625" style="17" bestFit="1" customWidth="1"/>
    <col min="10228" max="10228" width="15.7265625" style="17" bestFit="1" customWidth="1"/>
    <col min="10229" max="10229" width="7.54296875" style="17" customWidth="1"/>
    <col min="10230" max="10230" width="14" style="17" customWidth="1"/>
    <col min="10231" max="10231" width="7.81640625" style="17" customWidth="1"/>
    <col min="10232" max="10232" width="14" style="17" customWidth="1"/>
    <col min="10233" max="10233" width="7.81640625" style="17" customWidth="1"/>
    <col min="10234" max="10234" width="14" style="17" customWidth="1"/>
    <col min="10235" max="10235" width="9" style="17" customWidth="1"/>
    <col min="10236" max="10236" width="15.1796875" style="17" customWidth="1"/>
    <col min="10237" max="10237" width="13" style="17" bestFit="1" customWidth="1"/>
    <col min="10238" max="10238" width="15.1796875" style="17" bestFit="1" customWidth="1"/>
    <col min="10239" max="10239" width="7.54296875" style="17" customWidth="1"/>
    <col min="10240" max="10240" width="14" style="17" customWidth="1"/>
    <col min="10241" max="10241" width="7.81640625" style="17" customWidth="1"/>
    <col min="10242" max="10242" width="14" style="17" customWidth="1"/>
    <col min="10243" max="10243" width="7.81640625" style="17" customWidth="1"/>
    <col min="10244" max="10244" width="14" style="17" customWidth="1"/>
    <col min="10245" max="10245" width="9" style="17" bestFit="1" customWidth="1"/>
    <col min="10246" max="10246" width="15.1796875" style="17" bestFit="1" customWidth="1"/>
    <col min="10247" max="10247" width="9" style="17" bestFit="1" customWidth="1"/>
    <col min="10248" max="10248" width="15.1796875" style="17" bestFit="1" customWidth="1"/>
    <col min="10249" max="10249" width="6.453125" style="17" customWidth="1"/>
    <col min="10250" max="10250" width="12.7265625" style="17" customWidth="1"/>
    <col min="10251" max="10251" width="6.453125" style="17" customWidth="1"/>
    <col min="10252" max="10252" width="12.7265625" style="17" customWidth="1"/>
    <col min="10253" max="10253" width="6" style="17" customWidth="1"/>
    <col min="10254" max="10254" width="12.7265625" style="17" customWidth="1"/>
    <col min="10255" max="10255" width="9.54296875" style="17" customWidth="1"/>
    <col min="10256" max="10256" width="14" style="17" bestFit="1" customWidth="1"/>
    <col min="10257" max="10257" width="8.7265625" style="17" bestFit="1" customWidth="1"/>
    <col min="10258" max="10258" width="13.54296875" style="17" customWidth="1"/>
    <col min="10259" max="10259" width="6" style="17" customWidth="1"/>
    <col min="10260" max="10260" width="13.7265625" style="17" customWidth="1"/>
    <col min="10261" max="10261" width="6" style="17" customWidth="1"/>
    <col min="10262" max="10262" width="12.7265625" style="17" customWidth="1"/>
    <col min="10263" max="10263" width="6.81640625" style="17" customWidth="1"/>
    <col min="10264" max="10264" width="12.7265625" style="17" customWidth="1"/>
    <col min="10265" max="10265" width="6.81640625" style="17" customWidth="1"/>
    <col min="10266" max="10266" width="15.7265625" style="17" bestFit="1" customWidth="1"/>
    <col min="10267" max="10267" width="8.54296875" style="17" bestFit="1" customWidth="1"/>
    <col min="10268" max="10268" width="13.54296875" style="17" customWidth="1"/>
    <col min="10269" max="10269" width="6" style="17" customWidth="1"/>
    <col min="10270" max="10270" width="13.7265625" style="17" customWidth="1"/>
    <col min="10271" max="10271" width="6" style="17" customWidth="1"/>
    <col min="10272" max="10272" width="12.7265625" style="17" customWidth="1"/>
    <col min="10273" max="10273" width="6.81640625" style="17" customWidth="1"/>
    <col min="10274" max="10274" width="12.7265625" style="17" customWidth="1"/>
    <col min="10275" max="10275" width="6.81640625" style="17" customWidth="1"/>
    <col min="10276" max="10276" width="16.453125" style="17" bestFit="1" customWidth="1"/>
    <col min="10277" max="10277" width="9.54296875" style="17" bestFit="1" customWidth="1"/>
    <col min="10278" max="10278" width="17.453125" style="17" bestFit="1" customWidth="1"/>
    <col min="10279" max="10279" width="6" style="17" customWidth="1"/>
    <col min="10280" max="10280" width="13.7265625" style="17" customWidth="1"/>
    <col min="10281" max="10281" width="6" style="17" customWidth="1"/>
    <col min="10282" max="10282" width="12.7265625" style="17" customWidth="1"/>
    <col min="10283" max="10283" width="6.81640625" style="17" customWidth="1"/>
    <col min="10284" max="10284" width="12.7265625" style="17" customWidth="1"/>
    <col min="10285" max="10285" width="6.81640625" style="17" customWidth="1"/>
    <col min="10286" max="10286" width="15.453125" style="17" bestFit="1" customWidth="1"/>
    <col min="10287" max="10287" width="9.54296875" style="17" bestFit="1" customWidth="1"/>
    <col min="10288" max="10288" width="17.453125" style="17" bestFit="1" customWidth="1"/>
    <col min="10289" max="10289" width="8" style="17" customWidth="1"/>
    <col min="10290" max="10290" width="12.1796875" style="17" customWidth="1"/>
    <col min="10291" max="10291" width="8" style="17" customWidth="1"/>
    <col min="10292" max="10292" width="20" style="17" customWidth="1"/>
    <col min="10293" max="10293" width="15.26953125" style="17" bestFit="1" customWidth="1"/>
    <col min="10294" max="10294" width="14.26953125" style="17" bestFit="1" customWidth="1"/>
    <col min="10295" max="10295" width="13" style="17" bestFit="1" customWidth="1"/>
    <col min="10296" max="10467" width="8.7265625" style="17"/>
    <col min="10468" max="10468" width="2.7265625" style="17" customWidth="1"/>
    <col min="10469" max="10469" width="3.54296875" style="17" customWidth="1"/>
    <col min="10470" max="10470" width="7" style="17" customWidth="1"/>
    <col min="10471" max="10471" width="23" style="17" customWidth="1"/>
    <col min="10472" max="10472" width="13.26953125" style="17" customWidth="1"/>
    <col min="10473" max="10473" width="17.453125" style="17" bestFit="1" customWidth="1"/>
    <col min="10474" max="10474" width="11.54296875" style="17" bestFit="1" customWidth="1"/>
    <col min="10475" max="10475" width="7.81640625" style="17" customWidth="1"/>
    <col min="10476" max="10476" width="11.54296875" style="17" bestFit="1" customWidth="1"/>
    <col min="10477" max="10477" width="7" style="17" customWidth="1"/>
    <col min="10478" max="10478" width="18.1796875" style="17" customWidth="1"/>
    <col min="10479" max="10479" width="7" style="17" customWidth="1"/>
    <col min="10480" max="10480" width="15.54296875" style="17" customWidth="1"/>
    <col min="10481" max="10481" width="7.81640625" style="17" customWidth="1"/>
    <col min="10482" max="10482" width="15.54296875" style="17" customWidth="1"/>
    <col min="10483" max="10483" width="7.81640625" style="17" bestFit="1" customWidth="1"/>
    <col min="10484" max="10484" width="15.7265625" style="17" bestFit="1" customWidth="1"/>
    <col min="10485" max="10485" width="7.54296875" style="17" customWidth="1"/>
    <col min="10486" max="10486" width="14" style="17" customWidth="1"/>
    <col min="10487" max="10487" width="7.81640625" style="17" customWidth="1"/>
    <col min="10488" max="10488" width="14" style="17" customWidth="1"/>
    <col min="10489" max="10489" width="7.81640625" style="17" customWidth="1"/>
    <col min="10490" max="10490" width="14" style="17" customWidth="1"/>
    <col min="10491" max="10491" width="9" style="17" customWidth="1"/>
    <col min="10492" max="10492" width="15.1796875" style="17" customWidth="1"/>
    <col min="10493" max="10493" width="13" style="17" bestFit="1" customWidth="1"/>
    <col min="10494" max="10494" width="15.1796875" style="17" bestFit="1" customWidth="1"/>
    <col min="10495" max="10495" width="7.54296875" style="17" customWidth="1"/>
    <col min="10496" max="10496" width="14" style="17" customWidth="1"/>
    <col min="10497" max="10497" width="7.81640625" style="17" customWidth="1"/>
    <col min="10498" max="10498" width="14" style="17" customWidth="1"/>
    <col min="10499" max="10499" width="7.81640625" style="17" customWidth="1"/>
    <col min="10500" max="10500" width="14" style="17" customWidth="1"/>
    <col min="10501" max="10501" width="9" style="17" bestFit="1" customWidth="1"/>
    <col min="10502" max="10502" width="15.1796875" style="17" bestFit="1" customWidth="1"/>
    <col min="10503" max="10503" width="9" style="17" bestFit="1" customWidth="1"/>
    <col min="10504" max="10504" width="15.1796875" style="17" bestFit="1" customWidth="1"/>
    <col min="10505" max="10505" width="6.453125" style="17" customWidth="1"/>
    <col min="10506" max="10506" width="12.7265625" style="17" customWidth="1"/>
    <col min="10507" max="10507" width="6.453125" style="17" customWidth="1"/>
    <col min="10508" max="10508" width="12.7265625" style="17" customWidth="1"/>
    <col min="10509" max="10509" width="6" style="17" customWidth="1"/>
    <col min="10510" max="10510" width="12.7265625" style="17" customWidth="1"/>
    <col min="10511" max="10511" width="9.54296875" style="17" customWidth="1"/>
    <col min="10512" max="10512" width="14" style="17" bestFit="1" customWidth="1"/>
    <col min="10513" max="10513" width="8.7265625" style="17" bestFit="1" customWidth="1"/>
    <col min="10514" max="10514" width="13.54296875" style="17" customWidth="1"/>
    <col min="10515" max="10515" width="6" style="17" customWidth="1"/>
    <col min="10516" max="10516" width="13.7265625" style="17" customWidth="1"/>
    <col min="10517" max="10517" width="6" style="17" customWidth="1"/>
    <col min="10518" max="10518" width="12.7265625" style="17" customWidth="1"/>
    <col min="10519" max="10519" width="6.81640625" style="17" customWidth="1"/>
    <col min="10520" max="10520" width="12.7265625" style="17" customWidth="1"/>
    <col min="10521" max="10521" width="6.81640625" style="17" customWidth="1"/>
    <col min="10522" max="10522" width="15.7265625" style="17" bestFit="1" customWidth="1"/>
    <col min="10523" max="10523" width="8.54296875" style="17" bestFit="1" customWidth="1"/>
    <col min="10524" max="10524" width="13.54296875" style="17" customWidth="1"/>
    <col min="10525" max="10525" width="6" style="17" customWidth="1"/>
    <col min="10526" max="10526" width="13.7265625" style="17" customWidth="1"/>
    <col min="10527" max="10527" width="6" style="17" customWidth="1"/>
    <col min="10528" max="10528" width="12.7265625" style="17" customWidth="1"/>
    <col min="10529" max="10529" width="6.81640625" style="17" customWidth="1"/>
    <col min="10530" max="10530" width="12.7265625" style="17" customWidth="1"/>
    <col min="10531" max="10531" width="6.81640625" style="17" customWidth="1"/>
    <col min="10532" max="10532" width="16.453125" style="17" bestFit="1" customWidth="1"/>
    <col min="10533" max="10533" width="9.54296875" style="17" bestFit="1" customWidth="1"/>
    <col min="10534" max="10534" width="17.453125" style="17" bestFit="1" customWidth="1"/>
    <col min="10535" max="10535" width="6" style="17" customWidth="1"/>
    <col min="10536" max="10536" width="13.7265625" style="17" customWidth="1"/>
    <col min="10537" max="10537" width="6" style="17" customWidth="1"/>
    <col min="10538" max="10538" width="12.7265625" style="17" customWidth="1"/>
    <col min="10539" max="10539" width="6.81640625" style="17" customWidth="1"/>
    <col min="10540" max="10540" width="12.7265625" style="17" customWidth="1"/>
    <col min="10541" max="10541" width="6.81640625" style="17" customWidth="1"/>
    <col min="10542" max="10542" width="15.453125" style="17" bestFit="1" customWidth="1"/>
    <col min="10543" max="10543" width="9.54296875" style="17" bestFit="1" customWidth="1"/>
    <col min="10544" max="10544" width="17.453125" style="17" bestFit="1" customWidth="1"/>
    <col min="10545" max="10545" width="8" style="17" customWidth="1"/>
    <col min="10546" max="10546" width="12.1796875" style="17" customWidth="1"/>
    <col min="10547" max="10547" width="8" style="17" customWidth="1"/>
    <col min="10548" max="10548" width="20" style="17" customWidth="1"/>
    <col min="10549" max="10549" width="15.26953125" style="17" bestFit="1" customWidth="1"/>
    <col min="10550" max="10550" width="14.26953125" style="17" bestFit="1" customWidth="1"/>
    <col min="10551" max="10551" width="13" style="17" bestFit="1" customWidth="1"/>
    <col min="10552" max="10723" width="8.7265625" style="17"/>
    <col min="10724" max="10724" width="2.7265625" style="17" customWidth="1"/>
    <col min="10725" max="10725" width="3.54296875" style="17" customWidth="1"/>
    <col min="10726" max="10726" width="7" style="17" customWidth="1"/>
    <col min="10727" max="10727" width="23" style="17" customWidth="1"/>
    <col min="10728" max="10728" width="13.26953125" style="17" customWidth="1"/>
    <col min="10729" max="10729" width="17.453125" style="17" bestFit="1" customWidth="1"/>
    <col min="10730" max="10730" width="11.54296875" style="17" bestFit="1" customWidth="1"/>
    <col min="10731" max="10731" width="7.81640625" style="17" customWidth="1"/>
    <col min="10732" max="10732" width="11.54296875" style="17" bestFit="1" customWidth="1"/>
    <col min="10733" max="10733" width="7" style="17" customWidth="1"/>
    <col min="10734" max="10734" width="18.1796875" style="17" customWidth="1"/>
    <col min="10735" max="10735" width="7" style="17" customWidth="1"/>
    <col min="10736" max="10736" width="15.54296875" style="17" customWidth="1"/>
    <col min="10737" max="10737" width="7.81640625" style="17" customWidth="1"/>
    <col min="10738" max="10738" width="15.54296875" style="17" customWidth="1"/>
    <col min="10739" max="10739" width="7.81640625" style="17" bestFit="1" customWidth="1"/>
    <col min="10740" max="10740" width="15.7265625" style="17" bestFit="1" customWidth="1"/>
    <col min="10741" max="10741" width="7.54296875" style="17" customWidth="1"/>
    <col min="10742" max="10742" width="14" style="17" customWidth="1"/>
    <col min="10743" max="10743" width="7.81640625" style="17" customWidth="1"/>
    <col min="10744" max="10744" width="14" style="17" customWidth="1"/>
    <col min="10745" max="10745" width="7.81640625" style="17" customWidth="1"/>
    <col min="10746" max="10746" width="14" style="17" customWidth="1"/>
    <col min="10747" max="10747" width="9" style="17" customWidth="1"/>
    <col min="10748" max="10748" width="15.1796875" style="17" customWidth="1"/>
    <col min="10749" max="10749" width="13" style="17" bestFit="1" customWidth="1"/>
    <col min="10750" max="10750" width="15.1796875" style="17" bestFit="1" customWidth="1"/>
    <col min="10751" max="10751" width="7.54296875" style="17" customWidth="1"/>
    <col min="10752" max="10752" width="14" style="17" customWidth="1"/>
    <col min="10753" max="10753" width="7.81640625" style="17" customWidth="1"/>
    <col min="10754" max="10754" width="14" style="17" customWidth="1"/>
    <col min="10755" max="10755" width="7.81640625" style="17" customWidth="1"/>
    <col min="10756" max="10756" width="14" style="17" customWidth="1"/>
    <col min="10757" max="10757" width="9" style="17" bestFit="1" customWidth="1"/>
    <col min="10758" max="10758" width="15.1796875" style="17" bestFit="1" customWidth="1"/>
    <col min="10759" max="10759" width="9" style="17" bestFit="1" customWidth="1"/>
    <col min="10760" max="10760" width="15.1796875" style="17" bestFit="1" customWidth="1"/>
    <col min="10761" max="10761" width="6.453125" style="17" customWidth="1"/>
    <col min="10762" max="10762" width="12.7265625" style="17" customWidth="1"/>
    <col min="10763" max="10763" width="6.453125" style="17" customWidth="1"/>
    <col min="10764" max="10764" width="12.7265625" style="17" customWidth="1"/>
    <col min="10765" max="10765" width="6" style="17" customWidth="1"/>
    <col min="10766" max="10766" width="12.7265625" style="17" customWidth="1"/>
    <col min="10767" max="10767" width="9.54296875" style="17" customWidth="1"/>
    <col min="10768" max="10768" width="14" style="17" bestFit="1" customWidth="1"/>
    <col min="10769" max="10769" width="8.7265625" style="17" bestFit="1" customWidth="1"/>
    <col min="10770" max="10770" width="13.54296875" style="17" customWidth="1"/>
    <col min="10771" max="10771" width="6" style="17" customWidth="1"/>
    <col min="10772" max="10772" width="13.7265625" style="17" customWidth="1"/>
    <col min="10773" max="10773" width="6" style="17" customWidth="1"/>
    <col min="10774" max="10774" width="12.7265625" style="17" customWidth="1"/>
    <col min="10775" max="10775" width="6.81640625" style="17" customWidth="1"/>
    <col min="10776" max="10776" width="12.7265625" style="17" customWidth="1"/>
    <col min="10777" max="10777" width="6.81640625" style="17" customWidth="1"/>
    <col min="10778" max="10778" width="15.7265625" style="17" bestFit="1" customWidth="1"/>
    <col min="10779" max="10779" width="8.54296875" style="17" bestFit="1" customWidth="1"/>
    <col min="10780" max="10780" width="13.54296875" style="17" customWidth="1"/>
    <col min="10781" max="10781" width="6" style="17" customWidth="1"/>
    <col min="10782" max="10782" width="13.7265625" style="17" customWidth="1"/>
    <col min="10783" max="10783" width="6" style="17" customWidth="1"/>
    <col min="10784" max="10784" width="12.7265625" style="17" customWidth="1"/>
    <col min="10785" max="10785" width="6.81640625" style="17" customWidth="1"/>
    <col min="10786" max="10786" width="12.7265625" style="17" customWidth="1"/>
    <col min="10787" max="10787" width="6.81640625" style="17" customWidth="1"/>
    <col min="10788" max="10788" width="16.453125" style="17" bestFit="1" customWidth="1"/>
    <col min="10789" max="10789" width="9.54296875" style="17" bestFit="1" customWidth="1"/>
    <col min="10790" max="10790" width="17.453125" style="17" bestFit="1" customWidth="1"/>
    <col min="10791" max="10791" width="6" style="17" customWidth="1"/>
    <col min="10792" max="10792" width="13.7265625" style="17" customWidth="1"/>
    <col min="10793" max="10793" width="6" style="17" customWidth="1"/>
    <col min="10794" max="10794" width="12.7265625" style="17" customWidth="1"/>
    <col min="10795" max="10795" width="6.81640625" style="17" customWidth="1"/>
    <col min="10796" max="10796" width="12.7265625" style="17" customWidth="1"/>
    <col min="10797" max="10797" width="6.81640625" style="17" customWidth="1"/>
    <col min="10798" max="10798" width="15.453125" style="17" bestFit="1" customWidth="1"/>
    <col min="10799" max="10799" width="9.54296875" style="17" bestFit="1" customWidth="1"/>
    <col min="10800" max="10800" width="17.453125" style="17" bestFit="1" customWidth="1"/>
    <col min="10801" max="10801" width="8" style="17" customWidth="1"/>
    <col min="10802" max="10802" width="12.1796875" style="17" customWidth="1"/>
    <col min="10803" max="10803" width="8" style="17" customWidth="1"/>
    <col min="10804" max="10804" width="20" style="17" customWidth="1"/>
    <col min="10805" max="10805" width="15.26953125" style="17" bestFit="1" customWidth="1"/>
    <col min="10806" max="10806" width="14.26953125" style="17" bestFit="1" customWidth="1"/>
    <col min="10807" max="10807" width="13" style="17" bestFit="1" customWidth="1"/>
    <col min="10808" max="10979" width="8.7265625" style="17"/>
    <col min="10980" max="10980" width="2.7265625" style="17" customWidth="1"/>
    <col min="10981" max="10981" width="3.54296875" style="17" customWidth="1"/>
    <col min="10982" max="10982" width="7" style="17" customWidth="1"/>
    <col min="10983" max="10983" width="23" style="17" customWidth="1"/>
    <col min="10984" max="10984" width="13.26953125" style="17" customWidth="1"/>
    <col min="10985" max="10985" width="17.453125" style="17" bestFit="1" customWidth="1"/>
    <col min="10986" max="10986" width="11.54296875" style="17" bestFit="1" customWidth="1"/>
    <col min="10987" max="10987" width="7.81640625" style="17" customWidth="1"/>
    <col min="10988" max="10988" width="11.54296875" style="17" bestFit="1" customWidth="1"/>
    <col min="10989" max="10989" width="7" style="17" customWidth="1"/>
    <col min="10990" max="10990" width="18.1796875" style="17" customWidth="1"/>
    <col min="10991" max="10991" width="7" style="17" customWidth="1"/>
    <col min="10992" max="10992" width="15.54296875" style="17" customWidth="1"/>
    <col min="10993" max="10993" width="7.81640625" style="17" customWidth="1"/>
    <col min="10994" max="10994" width="15.54296875" style="17" customWidth="1"/>
    <col min="10995" max="10995" width="7.81640625" style="17" bestFit="1" customWidth="1"/>
    <col min="10996" max="10996" width="15.7265625" style="17" bestFit="1" customWidth="1"/>
    <col min="10997" max="10997" width="7.54296875" style="17" customWidth="1"/>
    <col min="10998" max="10998" width="14" style="17" customWidth="1"/>
    <col min="10999" max="10999" width="7.81640625" style="17" customWidth="1"/>
    <col min="11000" max="11000" width="14" style="17" customWidth="1"/>
    <col min="11001" max="11001" width="7.81640625" style="17" customWidth="1"/>
    <col min="11002" max="11002" width="14" style="17" customWidth="1"/>
    <col min="11003" max="11003" width="9" style="17" customWidth="1"/>
    <col min="11004" max="11004" width="15.1796875" style="17" customWidth="1"/>
    <col min="11005" max="11005" width="13" style="17" bestFit="1" customWidth="1"/>
    <col min="11006" max="11006" width="15.1796875" style="17" bestFit="1" customWidth="1"/>
    <col min="11007" max="11007" width="7.54296875" style="17" customWidth="1"/>
    <col min="11008" max="11008" width="14" style="17" customWidth="1"/>
    <col min="11009" max="11009" width="7.81640625" style="17" customWidth="1"/>
    <col min="11010" max="11010" width="14" style="17" customWidth="1"/>
    <col min="11011" max="11011" width="7.81640625" style="17" customWidth="1"/>
    <col min="11012" max="11012" width="14" style="17" customWidth="1"/>
    <col min="11013" max="11013" width="9" style="17" bestFit="1" customWidth="1"/>
    <col min="11014" max="11014" width="15.1796875" style="17" bestFit="1" customWidth="1"/>
    <col min="11015" max="11015" width="9" style="17" bestFit="1" customWidth="1"/>
    <col min="11016" max="11016" width="15.1796875" style="17" bestFit="1" customWidth="1"/>
    <col min="11017" max="11017" width="6.453125" style="17" customWidth="1"/>
    <col min="11018" max="11018" width="12.7265625" style="17" customWidth="1"/>
    <col min="11019" max="11019" width="6.453125" style="17" customWidth="1"/>
    <col min="11020" max="11020" width="12.7265625" style="17" customWidth="1"/>
    <col min="11021" max="11021" width="6" style="17" customWidth="1"/>
    <col min="11022" max="11022" width="12.7265625" style="17" customWidth="1"/>
    <col min="11023" max="11023" width="9.54296875" style="17" customWidth="1"/>
    <col min="11024" max="11024" width="14" style="17" bestFit="1" customWidth="1"/>
    <col min="11025" max="11025" width="8.7265625" style="17" bestFit="1" customWidth="1"/>
    <col min="11026" max="11026" width="13.54296875" style="17" customWidth="1"/>
    <col min="11027" max="11027" width="6" style="17" customWidth="1"/>
    <col min="11028" max="11028" width="13.7265625" style="17" customWidth="1"/>
    <col min="11029" max="11029" width="6" style="17" customWidth="1"/>
    <col min="11030" max="11030" width="12.7265625" style="17" customWidth="1"/>
    <col min="11031" max="11031" width="6.81640625" style="17" customWidth="1"/>
    <col min="11032" max="11032" width="12.7265625" style="17" customWidth="1"/>
    <col min="11033" max="11033" width="6.81640625" style="17" customWidth="1"/>
    <col min="11034" max="11034" width="15.7265625" style="17" bestFit="1" customWidth="1"/>
    <col min="11035" max="11035" width="8.54296875" style="17" bestFit="1" customWidth="1"/>
    <col min="11036" max="11036" width="13.54296875" style="17" customWidth="1"/>
    <col min="11037" max="11037" width="6" style="17" customWidth="1"/>
    <col min="11038" max="11038" width="13.7265625" style="17" customWidth="1"/>
    <col min="11039" max="11039" width="6" style="17" customWidth="1"/>
    <col min="11040" max="11040" width="12.7265625" style="17" customWidth="1"/>
    <col min="11041" max="11041" width="6.81640625" style="17" customWidth="1"/>
    <col min="11042" max="11042" width="12.7265625" style="17" customWidth="1"/>
    <col min="11043" max="11043" width="6.81640625" style="17" customWidth="1"/>
    <col min="11044" max="11044" width="16.453125" style="17" bestFit="1" customWidth="1"/>
    <col min="11045" max="11045" width="9.54296875" style="17" bestFit="1" customWidth="1"/>
    <col min="11046" max="11046" width="17.453125" style="17" bestFit="1" customWidth="1"/>
    <col min="11047" max="11047" width="6" style="17" customWidth="1"/>
    <col min="11048" max="11048" width="13.7265625" style="17" customWidth="1"/>
    <col min="11049" max="11049" width="6" style="17" customWidth="1"/>
    <col min="11050" max="11050" width="12.7265625" style="17" customWidth="1"/>
    <col min="11051" max="11051" width="6.81640625" style="17" customWidth="1"/>
    <col min="11052" max="11052" width="12.7265625" style="17" customWidth="1"/>
    <col min="11053" max="11053" width="6.81640625" style="17" customWidth="1"/>
    <col min="11054" max="11054" width="15.453125" style="17" bestFit="1" customWidth="1"/>
    <col min="11055" max="11055" width="9.54296875" style="17" bestFit="1" customWidth="1"/>
    <col min="11056" max="11056" width="17.453125" style="17" bestFit="1" customWidth="1"/>
    <col min="11057" max="11057" width="8" style="17" customWidth="1"/>
    <col min="11058" max="11058" width="12.1796875" style="17" customWidth="1"/>
    <col min="11059" max="11059" width="8" style="17" customWidth="1"/>
    <col min="11060" max="11060" width="20" style="17" customWidth="1"/>
    <col min="11061" max="11061" width="15.26953125" style="17" bestFit="1" customWidth="1"/>
    <col min="11062" max="11062" width="14.26953125" style="17" bestFit="1" customWidth="1"/>
    <col min="11063" max="11063" width="13" style="17" bestFit="1" customWidth="1"/>
    <col min="11064" max="11235" width="8.7265625" style="17"/>
    <col min="11236" max="11236" width="2.7265625" style="17" customWidth="1"/>
    <col min="11237" max="11237" width="3.54296875" style="17" customWidth="1"/>
    <col min="11238" max="11238" width="7" style="17" customWidth="1"/>
    <col min="11239" max="11239" width="23" style="17" customWidth="1"/>
    <col min="11240" max="11240" width="13.26953125" style="17" customWidth="1"/>
    <col min="11241" max="11241" width="17.453125" style="17" bestFit="1" customWidth="1"/>
    <col min="11242" max="11242" width="11.54296875" style="17" bestFit="1" customWidth="1"/>
    <col min="11243" max="11243" width="7.81640625" style="17" customWidth="1"/>
    <col min="11244" max="11244" width="11.54296875" style="17" bestFit="1" customWidth="1"/>
    <col min="11245" max="11245" width="7" style="17" customWidth="1"/>
    <col min="11246" max="11246" width="18.1796875" style="17" customWidth="1"/>
    <col min="11247" max="11247" width="7" style="17" customWidth="1"/>
    <col min="11248" max="11248" width="15.54296875" style="17" customWidth="1"/>
    <col min="11249" max="11249" width="7.81640625" style="17" customWidth="1"/>
    <col min="11250" max="11250" width="15.54296875" style="17" customWidth="1"/>
    <col min="11251" max="11251" width="7.81640625" style="17" bestFit="1" customWidth="1"/>
    <col min="11252" max="11252" width="15.7265625" style="17" bestFit="1" customWidth="1"/>
    <col min="11253" max="11253" width="7.54296875" style="17" customWidth="1"/>
    <col min="11254" max="11254" width="14" style="17" customWidth="1"/>
    <col min="11255" max="11255" width="7.81640625" style="17" customWidth="1"/>
    <col min="11256" max="11256" width="14" style="17" customWidth="1"/>
    <col min="11257" max="11257" width="7.81640625" style="17" customWidth="1"/>
    <col min="11258" max="11258" width="14" style="17" customWidth="1"/>
    <col min="11259" max="11259" width="9" style="17" customWidth="1"/>
    <col min="11260" max="11260" width="15.1796875" style="17" customWidth="1"/>
    <col min="11261" max="11261" width="13" style="17" bestFit="1" customWidth="1"/>
    <col min="11262" max="11262" width="15.1796875" style="17" bestFit="1" customWidth="1"/>
    <col min="11263" max="11263" width="7.54296875" style="17" customWidth="1"/>
    <col min="11264" max="11264" width="14" style="17" customWidth="1"/>
    <col min="11265" max="11265" width="7.81640625" style="17" customWidth="1"/>
    <col min="11266" max="11266" width="14" style="17" customWidth="1"/>
    <col min="11267" max="11267" width="7.81640625" style="17" customWidth="1"/>
    <col min="11268" max="11268" width="14" style="17" customWidth="1"/>
    <col min="11269" max="11269" width="9" style="17" bestFit="1" customWidth="1"/>
    <col min="11270" max="11270" width="15.1796875" style="17" bestFit="1" customWidth="1"/>
    <col min="11271" max="11271" width="9" style="17" bestFit="1" customWidth="1"/>
    <col min="11272" max="11272" width="15.1796875" style="17" bestFit="1" customWidth="1"/>
    <col min="11273" max="11273" width="6.453125" style="17" customWidth="1"/>
    <col min="11274" max="11274" width="12.7265625" style="17" customWidth="1"/>
    <col min="11275" max="11275" width="6.453125" style="17" customWidth="1"/>
    <col min="11276" max="11276" width="12.7265625" style="17" customWidth="1"/>
    <col min="11277" max="11277" width="6" style="17" customWidth="1"/>
    <col min="11278" max="11278" width="12.7265625" style="17" customWidth="1"/>
    <col min="11279" max="11279" width="9.54296875" style="17" customWidth="1"/>
    <col min="11280" max="11280" width="14" style="17" bestFit="1" customWidth="1"/>
    <col min="11281" max="11281" width="8.7265625" style="17" bestFit="1" customWidth="1"/>
    <col min="11282" max="11282" width="13.54296875" style="17" customWidth="1"/>
    <col min="11283" max="11283" width="6" style="17" customWidth="1"/>
    <col min="11284" max="11284" width="13.7265625" style="17" customWidth="1"/>
    <col min="11285" max="11285" width="6" style="17" customWidth="1"/>
    <col min="11286" max="11286" width="12.7265625" style="17" customWidth="1"/>
    <col min="11287" max="11287" width="6.81640625" style="17" customWidth="1"/>
    <col min="11288" max="11288" width="12.7265625" style="17" customWidth="1"/>
    <col min="11289" max="11289" width="6.81640625" style="17" customWidth="1"/>
    <col min="11290" max="11290" width="15.7265625" style="17" bestFit="1" customWidth="1"/>
    <col min="11291" max="11291" width="8.54296875" style="17" bestFit="1" customWidth="1"/>
    <col min="11292" max="11292" width="13.54296875" style="17" customWidth="1"/>
    <col min="11293" max="11293" width="6" style="17" customWidth="1"/>
    <col min="11294" max="11294" width="13.7265625" style="17" customWidth="1"/>
    <col min="11295" max="11295" width="6" style="17" customWidth="1"/>
    <col min="11296" max="11296" width="12.7265625" style="17" customWidth="1"/>
    <col min="11297" max="11297" width="6.81640625" style="17" customWidth="1"/>
    <col min="11298" max="11298" width="12.7265625" style="17" customWidth="1"/>
    <col min="11299" max="11299" width="6.81640625" style="17" customWidth="1"/>
    <col min="11300" max="11300" width="16.453125" style="17" bestFit="1" customWidth="1"/>
    <col min="11301" max="11301" width="9.54296875" style="17" bestFit="1" customWidth="1"/>
    <col min="11302" max="11302" width="17.453125" style="17" bestFit="1" customWidth="1"/>
    <col min="11303" max="11303" width="6" style="17" customWidth="1"/>
    <col min="11304" max="11304" width="13.7265625" style="17" customWidth="1"/>
    <col min="11305" max="11305" width="6" style="17" customWidth="1"/>
    <col min="11306" max="11306" width="12.7265625" style="17" customWidth="1"/>
    <col min="11307" max="11307" width="6.81640625" style="17" customWidth="1"/>
    <col min="11308" max="11308" width="12.7265625" style="17" customWidth="1"/>
    <col min="11309" max="11309" width="6.81640625" style="17" customWidth="1"/>
    <col min="11310" max="11310" width="15.453125" style="17" bestFit="1" customWidth="1"/>
    <col min="11311" max="11311" width="9.54296875" style="17" bestFit="1" customWidth="1"/>
    <col min="11312" max="11312" width="17.453125" style="17" bestFit="1" customWidth="1"/>
    <col min="11313" max="11313" width="8" style="17" customWidth="1"/>
    <col min="11314" max="11314" width="12.1796875" style="17" customWidth="1"/>
    <col min="11315" max="11315" width="8" style="17" customWidth="1"/>
    <col min="11316" max="11316" width="20" style="17" customWidth="1"/>
    <col min="11317" max="11317" width="15.26953125" style="17" bestFit="1" customWidth="1"/>
    <col min="11318" max="11318" width="14.26953125" style="17" bestFit="1" customWidth="1"/>
    <col min="11319" max="11319" width="13" style="17" bestFit="1" customWidth="1"/>
    <col min="11320" max="11491" width="8.7265625" style="17"/>
    <col min="11492" max="11492" width="2.7265625" style="17" customWidth="1"/>
    <col min="11493" max="11493" width="3.54296875" style="17" customWidth="1"/>
    <col min="11494" max="11494" width="7" style="17" customWidth="1"/>
    <col min="11495" max="11495" width="23" style="17" customWidth="1"/>
    <col min="11496" max="11496" width="13.26953125" style="17" customWidth="1"/>
    <col min="11497" max="11497" width="17.453125" style="17" bestFit="1" customWidth="1"/>
    <col min="11498" max="11498" width="11.54296875" style="17" bestFit="1" customWidth="1"/>
    <col min="11499" max="11499" width="7.81640625" style="17" customWidth="1"/>
    <col min="11500" max="11500" width="11.54296875" style="17" bestFit="1" customWidth="1"/>
    <col min="11501" max="11501" width="7" style="17" customWidth="1"/>
    <col min="11502" max="11502" width="18.1796875" style="17" customWidth="1"/>
    <col min="11503" max="11503" width="7" style="17" customWidth="1"/>
    <col min="11504" max="11504" width="15.54296875" style="17" customWidth="1"/>
    <col min="11505" max="11505" width="7.81640625" style="17" customWidth="1"/>
    <col min="11506" max="11506" width="15.54296875" style="17" customWidth="1"/>
    <col min="11507" max="11507" width="7.81640625" style="17" bestFit="1" customWidth="1"/>
    <col min="11508" max="11508" width="15.7265625" style="17" bestFit="1" customWidth="1"/>
    <col min="11509" max="11509" width="7.54296875" style="17" customWidth="1"/>
    <col min="11510" max="11510" width="14" style="17" customWidth="1"/>
    <col min="11511" max="11511" width="7.81640625" style="17" customWidth="1"/>
    <col min="11512" max="11512" width="14" style="17" customWidth="1"/>
    <col min="11513" max="11513" width="7.81640625" style="17" customWidth="1"/>
    <col min="11514" max="11514" width="14" style="17" customWidth="1"/>
    <col min="11515" max="11515" width="9" style="17" customWidth="1"/>
    <col min="11516" max="11516" width="15.1796875" style="17" customWidth="1"/>
    <col min="11517" max="11517" width="13" style="17" bestFit="1" customWidth="1"/>
    <col min="11518" max="11518" width="15.1796875" style="17" bestFit="1" customWidth="1"/>
    <col min="11519" max="11519" width="7.54296875" style="17" customWidth="1"/>
    <col min="11520" max="11520" width="14" style="17" customWidth="1"/>
    <col min="11521" max="11521" width="7.81640625" style="17" customWidth="1"/>
    <col min="11522" max="11522" width="14" style="17" customWidth="1"/>
    <col min="11523" max="11523" width="7.81640625" style="17" customWidth="1"/>
    <col min="11524" max="11524" width="14" style="17" customWidth="1"/>
    <col min="11525" max="11525" width="9" style="17" bestFit="1" customWidth="1"/>
    <col min="11526" max="11526" width="15.1796875" style="17" bestFit="1" customWidth="1"/>
    <col min="11527" max="11527" width="9" style="17" bestFit="1" customWidth="1"/>
    <col min="11528" max="11528" width="15.1796875" style="17" bestFit="1" customWidth="1"/>
    <col min="11529" max="11529" width="6.453125" style="17" customWidth="1"/>
    <col min="11530" max="11530" width="12.7265625" style="17" customWidth="1"/>
    <col min="11531" max="11531" width="6.453125" style="17" customWidth="1"/>
    <col min="11532" max="11532" width="12.7265625" style="17" customWidth="1"/>
    <col min="11533" max="11533" width="6" style="17" customWidth="1"/>
    <col min="11534" max="11534" width="12.7265625" style="17" customWidth="1"/>
    <col min="11535" max="11535" width="9.54296875" style="17" customWidth="1"/>
    <col min="11536" max="11536" width="14" style="17" bestFit="1" customWidth="1"/>
    <col min="11537" max="11537" width="8.7265625" style="17" bestFit="1" customWidth="1"/>
    <col min="11538" max="11538" width="13.54296875" style="17" customWidth="1"/>
    <col min="11539" max="11539" width="6" style="17" customWidth="1"/>
    <col min="11540" max="11540" width="13.7265625" style="17" customWidth="1"/>
    <col min="11541" max="11541" width="6" style="17" customWidth="1"/>
    <col min="11542" max="11542" width="12.7265625" style="17" customWidth="1"/>
    <col min="11543" max="11543" width="6.81640625" style="17" customWidth="1"/>
    <col min="11544" max="11544" width="12.7265625" style="17" customWidth="1"/>
    <col min="11545" max="11545" width="6.81640625" style="17" customWidth="1"/>
    <col min="11546" max="11546" width="15.7265625" style="17" bestFit="1" customWidth="1"/>
    <col min="11547" max="11547" width="8.54296875" style="17" bestFit="1" customWidth="1"/>
    <col min="11548" max="11548" width="13.54296875" style="17" customWidth="1"/>
    <col min="11549" max="11549" width="6" style="17" customWidth="1"/>
    <col min="11550" max="11550" width="13.7265625" style="17" customWidth="1"/>
    <col min="11551" max="11551" width="6" style="17" customWidth="1"/>
    <col min="11552" max="11552" width="12.7265625" style="17" customWidth="1"/>
    <col min="11553" max="11553" width="6.81640625" style="17" customWidth="1"/>
    <col min="11554" max="11554" width="12.7265625" style="17" customWidth="1"/>
    <col min="11555" max="11555" width="6.81640625" style="17" customWidth="1"/>
    <col min="11556" max="11556" width="16.453125" style="17" bestFit="1" customWidth="1"/>
    <col min="11557" max="11557" width="9.54296875" style="17" bestFit="1" customWidth="1"/>
    <col min="11558" max="11558" width="17.453125" style="17" bestFit="1" customWidth="1"/>
    <col min="11559" max="11559" width="6" style="17" customWidth="1"/>
    <col min="11560" max="11560" width="13.7265625" style="17" customWidth="1"/>
    <col min="11561" max="11561" width="6" style="17" customWidth="1"/>
    <col min="11562" max="11562" width="12.7265625" style="17" customWidth="1"/>
    <col min="11563" max="11563" width="6.81640625" style="17" customWidth="1"/>
    <col min="11564" max="11564" width="12.7265625" style="17" customWidth="1"/>
    <col min="11565" max="11565" width="6.81640625" style="17" customWidth="1"/>
    <col min="11566" max="11566" width="15.453125" style="17" bestFit="1" customWidth="1"/>
    <col min="11567" max="11567" width="9.54296875" style="17" bestFit="1" customWidth="1"/>
    <col min="11568" max="11568" width="17.453125" style="17" bestFit="1" customWidth="1"/>
    <col min="11569" max="11569" width="8" style="17" customWidth="1"/>
    <col min="11570" max="11570" width="12.1796875" style="17" customWidth="1"/>
    <col min="11571" max="11571" width="8" style="17" customWidth="1"/>
    <col min="11572" max="11572" width="20" style="17" customWidth="1"/>
    <col min="11573" max="11573" width="15.26953125" style="17" bestFit="1" customWidth="1"/>
    <col min="11574" max="11574" width="14.26953125" style="17" bestFit="1" customWidth="1"/>
    <col min="11575" max="11575" width="13" style="17" bestFit="1" customWidth="1"/>
    <col min="11576" max="11747" width="8.7265625" style="17"/>
    <col min="11748" max="11748" width="2.7265625" style="17" customWidth="1"/>
    <col min="11749" max="11749" width="3.54296875" style="17" customWidth="1"/>
    <col min="11750" max="11750" width="7" style="17" customWidth="1"/>
    <col min="11751" max="11751" width="23" style="17" customWidth="1"/>
    <col min="11752" max="11752" width="13.26953125" style="17" customWidth="1"/>
    <col min="11753" max="11753" width="17.453125" style="17" bestFit="1" customWidth="1"/>
    <col min="11754" max="11754" width="11.54296875" style="17" bestFit="1" customWidth="1"/>
    <col min="11755" max="11755" width="7.81640625" style="17" customWidth="1"/>
    <col min="11756" max="11756" width="11.54296875" style="17" bestFit="1" customWidth="1"/>
    <col min="11757" max="11757" width="7" style="17" customWidth="1"/>
    <col min="11758" max="11758" width="18.1796875" style="17" customWidth="1"/>
    <col min="11759" max="11759" width="7" style="17" customWidth="1"/>
    <col min="11760" max="11760" width="15.54296875" style="17" customWidth="1"/>
    <col min="11761" max="11761" width="7.81640625" style="17" customWidth="1"/>
    <col min="11762" max="11762" width="15.54296875" style="17" customWidth="1"/>
    <col min="11763" max="11763" width="7.81640625" style="17" bestFit="1" customWidth="1"/>
    <col min="11764" max="11764" width="15.7265625" style="17" bestFit="1" customWidth="1"/>
    <col min="11765" max="11765" width="7.54296875" style="17" customWidth="1"/>
    <col min="11766" max="11766" width="14" style="17" customWidth="1"/>
    <col min="11767" max="11767" width="7.81640625" style="17" customWidth="1"/>
    <col min="11768" max="11768" width="14" style="17" customWidth="1"/>
    <col min="11769" max="11769" width="7.81640625" style="17" customWidth="1"/>
    <col min="11770" max="11770" width="14" style="17" customWidth="1"/>
    <col min="11771" max="11771" width="9" style="17" customWidth="1"/>
    <col min="11772" max="11772" width="15.1796875" style="17" customWidth="1"/>
    <col min="11773" max="11773" width="13" style="17" bestFit="1" customWidth="1"/>
    <col min="11774" max="11774" width="15.1796875" style="17" bestFit="1" customWidth="1"/>
    <col min="11775" max="11775" width="7.54296875" style="17" customWidth="1"/>
    <col min="11776" max="11776" width="14" style="17" customWidth="1"/>
    <col min="11777" max="11777" width="7.81640625" style="17" customWidth="1"/>
    <col min="11778" max="11778" width="14" style="17" customWidth="1"/>
    <col min="11779" max="11779" width="7.81640625" style="17" customWidth="1"/>
    <col min="11780" max="11780" width="14" style="17" customWidth="1"/>
    <col min="11781" max="11781" width="9" style="17" bestFit="1" customWidth="1"/>
    <col min="11782" max="11782" width="15.1796875" style="17" bestFit="1" customWidth="1"/>
    <col min="11783" max="11783" width="9" style="17" bestFit="1" customWidth="1"/>
    <col min="11784" max="11784" width="15.1796875" style="17" bestFit="1" customWidth="1"/>
    <col min="11785" max="11785" width="6.453125" style="17" customWidth="1"/>
    <col min="11786" max="11786" width="12.7265625" style="17" customWidth="1"/>
    <col min="11787" max="11787" width="6.453125" style="17" customWidth="1"/>
    <col min="11788" max="11788" width="12.7265625" style="17" customWidth="1"/>
    <col min="11789" max="11789" width="6" style="17" customWidth="1"/>
    <col min="11790" max="11790" width="12.7265625" style="17" customWidth="1"/>
    <col min="11791" max="11791" width="9.54296875" style="17" customWidth="1"/>
    <col min="11792" max="11792" width="14" style="17" bestFit="1" customWidth="1"/>
    <col min="11793" max="11793" width="8.7265625" style="17" bestFit="1" customWidth="1"/>
    <col min="11794" max="11794" width="13.54296875" style="17" customWidth="1"/>
    <col min="11795" max="11795" width="6" style="17" customWidth="1"/>
    <col min="11796" max="11796" width="13.7265625" style="17" customWidth="1"/>
    <col min="11797" max="11797" width="6" style="17" customWidth="1"/>
    <col min="11798" max="11798" width="12.7265625" style="17" customWidth="1"/>
    <col min="11799" max="11799" width="6.81640625" style="17" customWidth="1"/>
    <col min="11800" max="11800" width="12.7265625" style="17" customWidth="1"/>
    <col min="11801" max="11801" width="6.81640625" style="17" customWidth="1"/>
    <col min="11802" max="11802" width="15.7265625" style="17" bestFit="1" customWidth="1"/>
    <col min="11803" max="11803" width="8.54296875" style="17" bestFit="1" customWidth="1"/>
    <col min="11804" max="11804" width="13.54296875" style="17" customWidth="1"/>
    <col min="11805" max="11805" width="6" style="17" customWidth="1"/>
    <col min="11806" max="11806" width="13.7265625" style="17" customWidth="1"/>
    <col min="11807" max="11807" width="6" style="17" customWidth="1"/>
    <col min="11808" max="11808" width="12.7265625" style="17" customWidth="1"/>
    <col min="11809" max="11809" width="6.81640625" style="17" customWidth="1"/>
    <col min="11810" max="11810" width="12.7265625" style="17" customWidth="1"/>
    <col min="11811" max="11811" width="6.81640625" style="17" customWidth="1"/>
    <col min="11812" max="11812" width="16.453125" style="17" bestFit="1" customWidth="1"/>
    <col min="11813" max="11813" width="9.54296875" style="17" bestFit="1" customWidth="1"/>
    <col min="11814" max="11814" width="17.453125" style="17" bestFit="1" customWidth="1"/>
    <col min="11815" max="11815" width="6" style="17" customWidth="1"/>
    <col min="11816" max="11816" width="13.7265625" style="17" customWidth="1"/>
    <col min="11817" max="11817" width="6" style="17" customWidth="1"/>
    <col min="11818" max="11818" width="12.7265625" style="17" customWidth="1"/>
    <col min="11819" max="11819" width="6.81640625" style="17" customWidth="1"/>
    <col min="11820" max="11820" width="12.7265625" style="17" customWidth="1"/>
    <col min="11821" max="11821" width="6.81640625" style="17" customWidth="1"/>
    <col min="11822" max="11822" width="15.453125" style="17" bestFit="1" customWidth="1"/>
    <col min="11823" max="11823" width="9.54296875" style="17" bestFit="1" customWidth="1"/>
    <col min="11824" max="11824" width="17.453125" style="17" bestFit="1" customWidth="1"/>
    <col min="11825" max="11825" width="8" style="17" customWidth="1"/>
    <col min="11826" max="11826" width="12.1796875" style="17" customWidth="1"/>
    <col min="11827" max="11827" width="8" style="17" customWidth="1"/>
    <col min="11828" max="11828" width="20" style="17" customWidth="1"/>
    <col min="11829" max="11829" width="15.26953125" style="17" bestFit="1" customWidth="1"/>
    <col min="11830" max="11830" width="14.26953125" style="17" bestFit="1" customWidth="1"/>
    <col min="11831" max="11831" width="13" style="17" bestFit="1" customWidth="1"/>
    <col min="11832" max="12003" width="8.7265625" style="17"/>
    <col min="12004" max="12004" width="2.7265625" style="17" customWidth="1"/>
    <col min="12005" max="12005" width="3.54296875" style="17" customWidth="1"/>
    <col min="12006" max="12006" width="7" style="17" customWidth="1"/>
    <col min="12007" max="12007" width="23" style="17" customWidth="1"/>
    <col min="12008" max="12008" width="13.26953125" style="17" customWidth="1"/>
    <col min="12009" max="12009" width="17.453125" style="17" bestFit="1" customWidth="1"/>
    <col min="12010" max="12010" width="11.54296875" style="17" bestFit="1" customWidth="1"/>
    <col min="12011" max="12011" width="7.81640625" style="17" customWidth="1"/>
    <col min="12012" max="12012" width="11.54296875" style="17" bestFit="1" customWidth="1"/>
    <col min="12013" max="12013" width="7" style="17" customWidth="1"/>
    <col min="12014" max="12014" width="18.1796875" style="17" customWidth="1"/>
    <col min="12015" max="12015" width="7" style="17" customWidth="1"/>
    <col min="12016" max="12016" width="15.54296875" style="17" customWidth="1"/>
    <col min="12017" max="12017" width="7.81640625" style="17" customWidth="1"/>
    <col min="12018" max="12018" width="15.54296875" style="17" customWidth="1"/>
    <col min="12019" max="12019" width="7.81640625" style="17" bestFit="1" customWidth="1"/>
    <col min="12020" max="12020" width="15.7265625" style="17" bestFit="1" customWidth="1"/>
    <col min="12021" max="12021" width="7.54296875" style="17" customWidth="1"/>
    <col min="12022" max="12022" width="14" style="17" customWidth="1"/>
    <col min="12023" max="12023" width="7.81640625" style="17" customWidth="1"/>
    <col min="12024" max="12024" width="14" style="17" customWidth="1"/>
    <col min="12025" max="12025" width="7.81640625" style="17" customWidth="1"/>
    <col min="12026" max="12026" width="14" style="17" customWidth="1"/>
    <col min="12027" max="12027" width="9" style="17" customWidth="1"/>
    <col min="12028" max="12028" width="15.1796875" style="17" customWidth="1"/>
    <col min="12029" max="12029" width="13" style="17" bestFit="1" customWidth="1"/>
    <col min="12030" max="12030" width="15.1796875" style="17" bestFit="1" customWidth="1"/>
    <col min="12031" max="12031" width="7.54296875" style="17" customWidth="1"/>
    <col min="12032" max="12032" width="14" style="17" customWidth="1"/>
    <col min="12033" max="12033" width="7.81640625" style="17" customWidth="1"/>
    <col min="12034" max="12034" width="14" style="17" customWidth="1"/>
    <col min="12035" max="12035" width="7.81640625" style="17" customWidth="1"/>
    <col min="12036" max="12036" width="14" style="17" customWidth="1"/>
    <col min="12037" max="12037" width="9" style="17" bestFit="1" customWidth="1"/>
    <col min="12038" max="12038" width="15.1796875" style="17" bestFit="1" customWidth="1"/>
    <col min="12039" max="12039" width="9" style="17" bestFit="1" customWidth="1"/>
    <col min="12040" max="12040" width="15.1796875" style="17" bestFit="1" customWidth="1"/>
    <col min="12041" max="12041" width="6.453125" style="17" customWidth="1"/>
    <col min="12042" max="12042" width="12.7265625" style="17" customWidth="1"/>
    <col min="12043" max="12043" width="6.453125" style="17" customWidth="1"/>
    <col min="12044" max="12044" width="12.7265625" style="17" customWidth="1"/>
    <col min="12045" max="12045" width="6" style="17" customWidth="1"/>
    <col min="12046" max="12046" width="12.7265625" style="17" customWidth="1"/>
    <col min="12047" max="12047" width="9.54296875" style="17" customWidth="1"/>
    <col min="12048" max="12048" width="14" style="17" bestFit="1" customWidth="1"/>
    <col min="12049" max="12049" width="8.7265625" style="17" bestFit="1" customWidth="1"/>
    <col min="12050" max="12050" width="13.54296875" style="17" customWidth="1"/>
    <col min="12051" max="12051" width="6" style="17" customWidth="1"/>
    <col min="12052" max="12052" width="13.7265625" style="17" customWidth="1"/>
    <col min="12053" max="12053" width="6" style="17" customWidth="1"/>
    <col min="12054" max="12054" width="12.7265625" style="17" customWidth="1"/>
    <col min="12055" max="12055" width="6.81640625" style="17" customWidth="1"/>
    <col min="12056" max="12056" width="12.7265625" style="17" customWidth="1"/>
    <col min="12057" max="12057" width="6.81640625" style="17" customWidth="1"/>
    <col min="12058" max="12058" width="15.7265625" style="17" bestFit="1" customWidth="1"/>
    <col min="12059" max="12059" width="8.54296875" style="17" bestFit="1" customWidth="1"/>
    <col min="12060" max="12060" width="13.54296875" style="17" customWidth="1"/>
    <col min="12061" max="12061" width="6" style="17" customWidth="1"/>
    <col min="12062" max="12062" width="13.7265625" style="17" customWidth="1"/>
    <col min="12063" max="12063" width="6" style="17" customWidth="1"/>
    <col min="12064" max="12064" width="12.7265625" style="17" customWidth="1"/>
    <col min="12065" max="12065" width="6.81640625" style="17" customWidth="1"/>
    <col min="12066" max="12066" width="12.7265625" style="17" customWidth="1"/>
    <col min="12067" max="12067" width="6.81640625" style="17" customWidth="1"/>
    <col min="12068" max="12068" width="16.453125" style="17" bestFit="1" customWidth="1"/>
    <col min="12069" max="12069" width="9.54296875" style="17" bestFit="1" customWidth="1"/>
    <col min="12070" max="12070" width="17.453125" style="17" bestFit="1" customWidth="1"/>
    <col min="12071" max="12071" width="6" style="17" customWidth="1"/>
    <col min="12072" max="12072" width="13.7265625" style="17" customWidth="1"/>
    <col min="12073" max="12073" width="6" style="17" customWidth="1"/>
    <col min="12074" max="12074" width="12.7265625" style="17" customWidth="1"/>
    <col min="12075" max="12075" width="6.81640625" style="17" customWidth="1"/>
    <col min="12076" max="12076" width="12.7265625" style="17" customWidth="1"/>
    <col min="12077" max="12077" width="6.81640625" style="17" customWidth="1"/>
    <col min="12078" max="12078" width="15.453125" style="17" bestFit="1" customWidth="1"/>
    <col min="12079" max="12079" width="9.54296875" style="17" bestFit="1" customWidth="1"/>
    <col min="12080" max="12080" width="17.453125" style="17" bestFit="1" customWidth="1"/>
    <col min="12081" max="12081" width="8" style="17" customWidth="1"/>
    <col min="12082" max="12082" width="12.1796875" style="17" customWidth="1"/>
    <col min="12083" max="12083" width="8" style="17" customWidth="1"/>
    <col min="12084" max="12084" width="20" style="17" customWidth="1"/>
    <col min="12085" max="12085" width="15.26953125" style="17" bestFit="1" customWidth="1"/>
    <col min="12086" max="12086" width="14.26953125" style="17" bestFit="1" customWidth="1"/>
    <col min="12087" max="12087" width="13" style="17" bestFit="1" customWidth="1"/>
    <col min="12088" max="12259" width="8.7265625" style="17"/>
    <col min="12260" max="12260" width="2.7265625" style="17" customWidth="1"/>
    <col min="12261" max="12261" width="3.54296875" style="17" customWidth="1"/>
    <col min="12262" max="12262" width="7" style="17" customWidth="1"/>
    <col min="12263" max="12263" width="23" style="17" customWidth="1"/>
    <col min="12264" max="12264" width="13.26953125" style="17" customWidth="1"/>
    <col min="12265" max="12265" width="17.453125" style="17" bestFit="1" customWidth="1"/>
    <col min="12266" max="12266" width="11.54296875" style="17" bestFit="1" customWidth="1"/>
    <col min="12267" max="12267" width="7.81640625" style="17" customWidth="1"/>
    <col min="12268" max="12268" width="11.54296875" style="17" bestFit="1" customWidth="1"/>
    <col min="12269" max="12269" width="7" style="17" customWidth="1"/>
    <col min="12270" max="12270" width="18.1796875" style="17" customWidth="1"/>
    <col min="12271" max="12271" width="7" style="17" customWidth="1"/>
    <col min="12272" max="12272" width="15.54296875" style="17" customWidth="1"/>
    <col min="12273" max="12273" width="7.81640625" style="17" customWidth="1"/>
    <col min="12274" max="12274" width="15.54296875" style="17" customWidth="1"/>
    <col min="12275" max="12275" width="7.81640625" style="17" bestFit="1" customWidth="1"/>
    <col min="12276" max="12276" width="15.7265625" style="17" bestFit="1" customWidth="1"/>
    <col min="12277" max="12277" width="7.54296875" style="17" customWidth="1"/>
    <col min="12278" max="12278" width="14" style="17" customWidth="1"/>
    <col min="12279" max="12279" width="7.81640625" style="17" customWidth="1"/>
    <col min="12280" max="12280" width="14" style="17" customWidth="1"/>
    <col min="12281" max="12281" width="7.81640625" style="17" customWidth="1"/>
    <col min="12282" max="12282" width="14" style="17" customWidth="1"/>
    <col min="12283" max="12283" width="9" style="17" customWidth="1"/>
    <col min="12284" max="12284" width="15.1796875" style="17" customWidth="1"/>
    <col min="12285" max="12285" width="13" style="17" bestFit="1" customWidth="1"/>
    <col min="12286" max="12286" width="15.1796875" style="17" bestFit="1" customWidth="1"/>
    <col min="12287" max="12287" width="7.54296875" style="17" customWidth="1"/>
    <col min="12288" max="12288" width="14" style="17" customWidth="1"/>
    <col min="12289" max="12289" width="7.81640625" style="17" customWidth="1"/>
    <col min="12290" max="12290" width="14" style="17" customWidth="1"/>
    <col min="12291" max="12291" width="7.81640625" style="17" customWidth="1"/>
    <col min="12292" max="12292" width="14" style="17" customWidth="1"/>
    <col min="12293" max="12293" width="9" style="17" bestFit="1" customWidth="1"/>
    <col min="12294" max="12294" width="15.1796875" style="17" bestFit="1" customWidth="1"/>
    <col min="12295" max="12295" width="9" style="17" bestFit="1" customWidth="1"/>
    <col min="12296" max="12296" width="15.1796875" style="17" bestFit="1" customWidth="1"/>
    <col min="12297" max="12297" width="6.453125" style="17" customWidth="1"/>
    <col min="12298" max="12298" width="12.7265625" style="17" customWidth="1"/>
    <col min="12299" max="12299" width="6.453125" style="17" customWidth="1"/>
    <col min="12300" max="12300" width="12.7265625" style="17" customWidth="1"/>
    <col min="12301" max="12301" width="6" style="17" customWidth="1"/>
    <col min="12302" max="12302" width="12.7265625" style="17" customWidth="1"/>
    <col min="12303" max="12303" width="9.54296875" style="17" customWidth="1"/>
    <col min="12304" max="12304" width="14" style="17" bestFit="1" customWidth="1"/>
    <col min="12305" max="12305" width="8.7265625" style="17" bestFit="1" customWidth="1"/>
    <col min="12306" max="12306" width="13.54296875" style="17" customWidth="1"/>
    <col min="12307" max="12307" width="6" style="17" customWidth="1"/>
    <col min="12308" max="12308" width="13.7265625" style="17" customWidth="1"/>
    <col min="12309" max="12309" width="6" style="17" customWidth="1"/>
    <col min="12310" max="12310" width="12.7265625" style="17" customWidth="1"/>
    <col min="12311" max="12311" width="6.81640625" style="17" customWidth="1"/>
    <col min="12312" max="12312" width="12.7265625" style="17" customWidth="1"/>
    <col min="12313" max="12313" width="6.81640625" style="17" customWidth="1"/>
    <col min="12314" max="12314" width="15.7265625" style="17" bestFit="1" customWidth="1"/>
    <col min="12315" max="12315" width="8.54296875" style="17" bestFit="1" customWidth="1"/>
    <col min="12316" max="12316" width="13.54296875" style="17" customWidth="1"/>
    <col min="12317" max="12317" width="6" style="17" customWidth="1"/>
    <col min="12318" max="12318" width="13.7265625" style="17" customWidth="1"/>
    <col min="12319" max="12319" width="6" style="17" customWidth="1"/>
    <col min="12320" max="12320" width="12.7265625" style="17" customWidth="1"/>
    <col min="12321" max="12321" width="6.81640625" style="17" customWidth="1"/>
    <col min="12322" max="12322" width="12.7265625" style="17" customWidth="1"/>
    <col min="12323" max="12323" width="6.81640625" style="17" customWidth="1"/>
    <col min="12324" max="12324" width="16.453125" style="17" bestFit="1" customWidth="1"/>
    <col min="12325" max="12325" width="9.54296875" style="17" bestFit="1" customWidth="1"/>
    <col min="12326" max="12326" width="17.453125" style="17" bestFit="1" customWidth="1"/>
    <col min="12327" max="12327" width="6" style="17" customWidth="1"/>
    <col min="12328" max="12328" width="13.7265625" style="17" customWidth="1"/>
    <col min="12329" max="12329" width="6" style="17" customWidth="1"/>
    <col min="12330" max="12330" width="12.7265625" style="17" customWidth="1"/>
    <col min="12331" max="12331" width="6.81640625" style="17" customWidth="1"/>
    <col min="12332" max="12332" width="12.7265625" style="17" customWidth="1"/>
    <col min="12333" max="12333" width="6.81640625" style="17" customWidth="1"/>
    <col min="12334" max="12334" width="15.453125" style="17" bestFit="1" customWidth="1"/>
    <col min="12335" max="12335" width="9.54296875" style="17" bestFit="1" customWidth="1"/>
    <col min="12336" max="12336" width="17.453125" style="17" bestFit="1" customWidth="1"/>
    <col min="12337" max="12337" width="8" style="17" customWidth="1"/>
    <col min="12338" max="12338" width="12.1796875" style="17" customWidth="1"/>
    <col min="12339" max="12339" width="8" style="17" customWidth="1"/>
    <col min="12340" max="12340" width="20" style="17" customWidth="1"/>
    <col min="12341" max="12341" width="15.26953125" style="17" bestFit="1" customWidth="1"/>
    <col min="12342" max="12342" width="14.26953125" style="17" bestFit="1" customWidth="1"/>
    <col min="12343" max="12343" width="13" style="17" bestFit="1" customWidth="1"/>
    <col min="12344" max="12515" width="8.7265625" style="17"/>
    <col min="12516" max="12516" width="2.7265625" style="17" customWidth="1"/>
    <col min="12517" max="12517" width="3.54296875" style="17" customWidth="1"/>
    <col min="12518" max="12518" width="7" style="17" customWidth="1"/>
    <col min="12519" max="12519" width="23" style="17" customWidth="1"/>
    <col min="12520" max="12520" width="13.26953125" style="17" customWidth="1"/>
    <col min="12521" max="12521" width="17.453125" style="17" bestFit="1" customWidth="1"/>
    <col min="12522" max="12522" width="11.54296875" style="17" bestFit="1" customWidth="1"/>
    <col min="12523" max="12523" width="7.81640625" style="17" customWidth="1"/>
    <col min="12524" max="12524" width="11.54296875" style="17" bestFit="1" customWidth="1"/>
    <col min="12525" max="12525" width="7" style="17" customWidth="1"/>
    <col min="12526" max="12526" width="18.1796875" style="17" customWidth="1"/>
    <col min="12527" max="12527" width="7" style="17" customWidth="1"/>
    <col min="12528" max="12528" width="15.54296875" style="17" customWidth="1"/>
    <col min="12529" max="12529" width="7.81640625" style="17" customWidth="1"/>
    <col min="12530" max="12530" width="15.54296875" style="17" customWidth="1"/>
    <col min="12531" max="12531" width="7.81640625" style="17" bestFit="1" customWidth="1"/>
    <col min="12532" max="12532" width="15.7265625" style="17" bestFit="1" customWidth="1"/>
    <col min="12533" max="12533" width="7.54296875" style="17" customWidth="1"/>
    <col min="12534" max="12534" width="14" style="17" customWidth="1"/>
    <col min="12535" max="12535" width="7.81640625" style="17" customWidth="1"/>
    <col min="12536" max="12536" width="14" style="17" customWidth="1"/>
    <col min="12537" max="12537" width="7.81640625" style="17" customWidth="1"/>
    <col min="12538" max="12538" width="14" style="17" customWidth="1"/>
    <col min="12539" max="12539" width="9" style="17" customWidth="1"/>
    <col min="12540" max="12540" width="15.1796875" style="17" customWidth="1"/>
    <col min="12541" max="12541" width="13" style="17" bestFit="1" customWidth="1"/>
    <col min="12542" max="12542" width="15.1796875" style="17" bestFit="1" customWidth="1"/>
    <col min="12543" max="12543" width="7.54296875" style="17" customWidth="1"/>
    <col min="12544" max="12544" width="14" style="17" customWidth="1"/>
    <col min="12545" max="12545" width="7.81640625" style="17" customWidth="1"/>
    <col min="12546" max="12546" width="14" style="17" customWidth="1"/>
    <col min="12547" max="12547" width="7.81640625" style="17" customWidth="1"/>
    <col min="12548" max="12548" width="14" style="17" customWidth="1"/>
    <col min="12549" max="12549" width="9" style="17" bestFit="1" customWidth="1"/>
    <col min="12550" max="12550" width="15.1796875" style="17" bestFit="1" customWidth="1"/>
    <col min="12551" max="12551" width="9" style="17" bestFit="1" customWidth="1"/>
    <col min="12552" max="12552" width="15.1796875" style="17" bestFit="1" customWidth="1"/>
    <col min="12553" max="12553" width="6.453125" style="17" customWidth="1"/>
    <col min="12554" max="12554" width="12.7265625" style="17" customWidth="1"/>
    <col min="12555" max="12555" width="6.453125" style="17" customWidth="1"/>
    <col min="12556" max="12556" width="12.7265625" style="17" customWidth="1"/>
    <col min="12557" max="12557" width="6" style="17" customWidth="1"/>
    <col min="12558" max="12558" width="12.7265625" style="17" customWidth="1"/>
    <col min="12559" max="12559" width="9.54296875" style="17" customWidth="1"/>
    <col min="12560" max="12560" width="14" style="17" bestFit="1" customWidth="1"/>
    <col min="12561" max="12561" width="8.7265625" style="17" bestFit="1" customWidth="1"/>
    <col min="12562" max="12562" width="13.54296875" style="17" customWidth="1"/>
    <col min="12563" max="12563" width="6" style="17" customWidth="1"/>
    <col min="12564" max="12564" width="13.7265625" style="17" customWidth="1"/>
    <col min="12565" max="12565" width="6" style="17" customWidth="1"/>
    <col min="12566" max="12566" width="12.7265625" style="17" customWidth="1"/>
    <col min="12567" max="12567" width="6.81640625" style="17" customWidth="1"/>
    <col min="12568" max="12568" width="12.7265625" style="17" customWidth="1"/>
    <col min="12569" max="12569" width="6.81640625" style="17" customWidth="1"/>
    <col min="12570" max="12570" width="15.7265625" style="17" bestFit="1" customWidth="1"/>
    <col min="12571" max="12571" width="8.54296875" style="17" bestFit="1" customWidth="1"/>
    <col min="12572" max="12572" width="13.54296875" style="17" customWidth="1"/>
    <col min="12573" max="12573" width="6" style="17" customWidth="1"/>
    <col min="12574" max="12574" width="13.7265625" style="17" customWidth="1"/>
    <col min="12575" max="12575" width="6" style="17" customWidth="1"/>
    <col min="12576" max="12576" width="12.7265625" style="17" customWidth="1"/>
    <col min="12577" max="12577" width="6.81640625" style="17" customWidth="1"/>
    <col min="12578" max="12578" width="12.7265625" style="17" customWidth="1"/>
    <col min="12579" max="12579" width="6.81640625" style="17" customWidth="1"/>
    <col min="12580" max="12580" width="16.453125" style="17" bestFit="1" customWidth="1"/>
    <col min="12581" max="12581" width="9.54296875" style="17" bestFit="1" customWidth="1"/>
    <col min="12582" max="12582" width="17.453125" style="17" bestFit="1" customWidth="1"/>
    <col min="12583" max="12583" width="6" style="17" customWidth="1"/>
    <col min="12584" max="12584" width="13.7265625" style="17" customWidth="1"/>
    <col min="12585" max="12585" width="6" style="17" customWidth="1"/>
    <col min="12586" max="12586" width="12.7265625" style="17" customWidth="1"/>
    <col min="12587" max="12587" width="6.81640625" style="17" customWidth="1"/>
    <col min="12588" max="12588" width="12.7265625" style="17" customWidth="1"/>
    <col min="12589" max="12589" width="6.81640625" style="17" customWidth="1"/>
    <col min="12590" max="12590" width="15.453125" style="17" bestFit="1" customWidth="1"/>
    <col min="12591" max="12591" width="9.54296875" style="17" bestFit="1" customWidth="1"/>
    <col min="12592" max="12592" width="17.453125" style="17" bestFit="1" customWidth="1"/>
    <col min="12593" max="12593" width="8" style="17" customWidth="1"/>
    <col min="12594" max="12594" width="12.1796875" style="17" customWidth="1"/>
    <col min="12595" max="12595" width="8" style="17" customWidth="1"/>
    <col min="12596" max="12596" width="20" style="17" customWidth="1"/>
    <col min="12597" max="12597" width="15.26953125" style="17" bestFit="1" customWidth="1"/>
    <col min="12598" max="12598" width="14.26953125" style="17" bestFit="1" customWidth="1"/>
    <col min="12599" max="12599" width="13" style="17" bestFit="1" customWidth="1"/>
    <col min="12600" max="12771" width="8.7265625" style="17"/>
    <col min="12772" max="12772" width="2.7265625" style="17" customWidth="1"/>
    <col min="12773" max="12773" width="3.54296875" style="17" customWidth="1"/>
    <col min="12774" max="12774" width="7" style="17" customWidth="1"/>
    <col min="12775" max="12775" width="23" style="17" customWidth="1"/>
    <col min="12776" max="12776" width="13.26953125" style="17" customWidth="1"/>
    <col min="12777" max="12777" width="17.453125" style="17" bestFit="1" customWidth="1"/>
    <col min="12778" max="12778" width="11.54296875" style="17" bestFit="1" customWidth="1"/>
    <col min="12779" max="12779" width="7.81640625" style="17" customWidth="1"/>
    <col min="12780" max="12780" width="11.54296875" style="17" bestFit="1" customWidth="1"/>
    <col min="12781" max="12781" width="7" style="17" customWidth="1"/>
    <col min="12782" max="12782" width="18.1796875" style="17" customWidth="1"/>
    <col min="12783" max="12783" width="7" style="17" customWidth="1"/>
    <col min="12784" max="12784" width="15.54296875" style="17" customWidth="1"/>
    <col min="12785" max="12785" width="7.81640625" style="17" customWidth="1"/>
    <col min="12786" max="12786" width="15.54296875" style="17" customWidth="1"/>
    <col min="12787" max="12787" width="7.81640625" style="17" bestFit="1" customWidth="1"/>
    <col min="12788" max="12788" width="15.7265625" style="17" bestFit="1" customWidth="1"/>
    <col min="12789" max="12789" width="7.54296875" style="17" customWidth="1"/>
    <col min="12790" max="12790" width="14" style="17" customWidth="1"/>
    <col min="12791" max="12791" width="7.81640625" style="17" customWidth="1"/>
    <col min="12792" max="12792" width="14" style="17" customWidth="1"/>
    <col min="12793" max="12793" width="7.81640625" style="17" customWidth="1"/>
    <col min="12794" max="12794" width="14" style="17" customWidth="1"/>
    <col min="12795" max="12795" width="9" style="17" customWidth="1"/>
    <col min="12796" max="12796" width="15.1796875" style="17" customWidth="1"/>
    <col min="12797" max="12797" width="13" style="17" bestFit="1" customWidth="1"/>
    <col min="12798" max="12798" width="15.1796875" style="17" bestFit="1" customWidth="1"/>
    <col min="12799" max="12799" width="7.54296875" style="17" customWidth="1"/>
    <col min="12800" max="12800" width="14" style="17" customWidth="1"/>
    <col min="12801" max="12801" width="7.81640625" style="17" customWidth="1"/>
    <col min="12802" max="12802" width="14" style="17" customWidth="1"/>
    <col min="12803" max="12803" width="7.81640625" style="17" customWidth="1"/>
    <col min="12804" max="12804" width="14" style="17" customWidth="1"/>
    <col min="12805" max="12805" width="9" style="17" bestFit="1" customWidth="1"/>
    <col min="12806" max="12806" width="15.1796875" style="17" bestFit="1" customWidth="1"/>
    <col min="12807" max="12807" width="9" style="17" bestFit="1" customWidth="1"/>
    <col min="12808" max="12808" width="15.1796875" style="17" bestFit="1" customWidth="1"/>
    <col min="12809" max="12809" width="6.453125" style="17" customWidth="1"/>
    <col min="12810" max="12810" width="12.7265625" style="17" customWidth="1"/>
    <col min="12811" max="12811" width="6.453125" style="17" customWidth="1"/>
    <col min="12812" max="12812" width="12.7265625" style="17" customWidth="1"/>
    <col min="12813" max="12813" width="6" style="17" customWidth="1"/>
    <col min="12814" max="12814" width="12.7265625" style="17" customWidth="1"/>
    <col min="12815" max="12815" width="9.54296875" style="17" customWidth="1"/>
    <col min="12816" max="12816" width="14" style="17" bestFit="1" customWidth="1"/>
    <col min="12817" max="12817" width="8.7265625" style="17" bestFit="1" customWidth="1"/>
    <col min="12818" max="12818" width="13.54296875" style="17" customWidth="1"/>
    <col min="12819" max="12819" width="6" style="17" customWidth="1"/>
    <col min="12820" max="12820" width="13.7265625" style="17" customWidth="1"/>
    <col min="12821" max="12821" width="6" style="17" customWidth="1"/>
    <col min="12822" max="12822" width="12.7265625" style="17" customWidth="1"/>
    <col min="12823" max="12823" width="6.81640625" style="17" customWidth="1"/>
    <col min="12824" max="12824" width="12.7265625" style="17" customWidth="1"/>
    <col min="12825" max="12825" width="6.81640625" style="17" customWidth="1"/>
    <col min="12826" max="12826" width="15.7265625" style="17" bestFit="1" customWidth="1"/>
    <col min="12827" max="12827" width="8.54296875" style="17" bestFit="1" customWidth="1"/>
    <col min="12828" max="12828" width="13.54296875" style="17" customWidth="1"/>
    <col min="12829" max="12829" width="6" style="17" customWidth="1"/>
    <col min="12830" max="12830" width="13.7265625" style="17" customWidth="1"/>
    <col min="12831" max="12831" width="6" style="17" customWidth="1"/>
    <col min="12832" max="12832" width="12.7265625" style="17" customWidth="1"/>
    <col min="12833" max="12833" width="6.81640625" style="17" customWidth="1"/>
    <col min="12834" max="12834" width="12.7265625" style="17" customWidth="1"/>
    <col min="12835" max="12835" width="6.81640625" style="17" customWidth="1"/>
    <col min="12836" max="12836" width="16.453125" style="17" bestFit="1" customWidth="1"/>
    <col min="12837" max="12837" width="9.54296875" style="17" bestFit="1" customWidth="1"/>
    <col min="12838" max="12838" width="17.453125" style="17" bestFit="1" customWidth="1"/>
    <col min="12839" max="12839" width="6" style="17" customWidth="1"/>
    <col min="12840" max="12840" width="13.7265625" style="17" customWidth="1"/>
    <col min="12841" max="12841" width="6" style="17" customWidth="1"/>
    <col min="12842" max="12842" width="12.7265625" style="17" customWidth="1"/>
    <col min="12843" max="12843" width="6.81640625" style="17" customWidth="1"/>
    <col min="12844" max="12844" width="12.7265625" style="17" customWidth="1"/>
    <col min="12845" max="12845" width="6.81640625" style="17" customWidth="1"/>
    <col min="12846" max="12846" width="15.453125" style="17" bestFit="1" customWidth="1"/>
    <col min="12847" max="12847" width="9.54296875" style="17" bestFit="1" customWidth="1"/>
    <col min="12848" max="12848" width="17.453125" style="17" bestFit="1" customWidth="1"/>
    <col min="12849" max="12849" width="8" style="17" customWidth="1"/>
    <col min="12850" max="12850" width="12.1796875" style="17" customWidth="1"/>
    <col min="12851" max="12851" width="8" style="17" customWidth="1"/>
    <col min="12852" max="12852" width="20" style="17" customWidth="1"/>
    <col min="12853" max="12853" width="15.26953125" style="17" bestFit="1" customWidth="1"/>
    <col min="12854" max="12854" width="14.26953125" style="17" bestFit="1" customWidth="1"/>
    <col min="12855" max="12855" width="13" style="17" bestFit="1" customWidth="1"/>
    <col min="12856" max="13027" width="8.7265625" style="17"/>
    <col min="13028" max="13028" width="2.7265625" style="17" customWidth="1"/>
    <col min="13029" max="13029" width="3.54296875" style="17" customWidth="1"/>
    <col min="13030" max="13030" width="7" style="17" customWidth="1"/>
    <col min="13031" max="13031" width="23" style="17" customWidth="1"/>
    <col min="13032" max="13032" width="13.26953125" style="17" customWidth="1"/>
    <col min="13033" max="13033" width="17.453125" style="17" bestFit="1" customWidth="1"/>
    <col min="13034" max="13034" width="11.54296875" style="17" bestFit="1" customWidth="1"/>
    <col min="13035" max="13035" width="7.81640625" style="17" customWidth="1"/>
    <col min="13036" max="13036" width="11.54296875" style="17" bestFit="1" customWidth="1"/>
    <col min="13037" max="13037" width="7" style="17" customWidth="1"/>
    <col min="13038" max="13038" width="18.1796875" style="17" customWidth="1"/>
    <col min="13039" max="13039" width="7" style="17" customWidth="1"/>
    <col min="13040" max="13040" width="15.54296875" style="17" customWidth="1"/>
    <col min="13041" max="13041" width="7.81640625" style="17" customWidth="1"/>
    <col min="13042" max="13042" width="15.54296875" style="17" customWidth="1"/>
    <col min="13043" max="13043" width="7.81640625" style="17" bestFit="1" customWidth="1"/>
    <col min="13044" max="13044" width="15.7265625" style="17" bestFit="1" customWidth="1"/>
    <col min="13045" max="13045" width="7.54296875" style="17" customWidth="1"/>
    <col min="13046" max="13046" width="14" style="17" customWidth="1"/>
    <col min="13047" max="13047" width="7.81640625" style="17" customWidth="1"/>
    <col min="13048" max="13048" width="14" style="17" customWidth="1"/>
    <col min="13049" max="13049" width="7.81640625" style="17" customWidth="1"/>
    <col min="13050" max="13050" width="14" style="17" customWidth="1"/>
    <col min="13051" max="13051" width="9" style="17" customWidth="1"/>
    <col min="13052" max="13052" width="15.1796875" style="17" customWidth="1"/>
    <col min="13053" max="13053" width="13" style="17" bestFit="1" customWidth="1"/>
    <col min="13054" max="13054" width="15.1796875" style="17" bestFit="1" customWidth="1"/>
    <col min="13055" max="13055" width="7.54296875" style="17" customWidth="1"/>
    <col min="13056" max="13056" width="14" style="17" customWidth="1"/>
    <col min="13057" max="13057" width="7.81640625" style="17" customWidth="1"/>
    <col min="13058" max="13058" width="14" style="17" customWidth="1"/>
    <col min="13059" max="13059" width="7.81640625" style="17" customWidth="1"/>
    <col min="13060" max="13060" width="14" style="17" customWidth="1"/>
    <col min="13061" max="13061" width="9" style="17" bestFit="1" customWidth="1"/>
    <col min="13062" max="13062" width="15.1796875" style="17" bestFit="1" customWidth="1"/>
    <col min="13063" max="13063" width="9" style="17" bestFit="1" customWidth="1"/>
    <col min="13064" max="13064" width="15.1796875" style="17" bestFit="1" customWidth="1"/>
    <col min="13065" max="13065" width="6.453125" style="17" customWidth="1"/>
    <col min="13066" max="13066" width="12.7265625" style="17" customWidth="1"/>
    <col min="13067" max="13067" width="6.453125" style="17" customWidth="1"/>
    <col min="13068" max="13068" width="12.7265625" style="17" customWidth="1"/>
    <col min="13069" max="13069" width="6" style="17" customWidth="1"/>
    <col min="13070" max="13070" width="12.7265625" style="17" customWidth="1"/>
    <col min="13071" max="13071" width="9.54296875" style="17" customWidth="1"/>
    <col min="13072" max="13072" width="14" style="17" bestFit="1" customWidth="1"/>
    <col min="13073" max="13073" width="8.7265625" style="17" bestFit="1" customWidth="1"/>
    <col min="13074" max="13074" width="13.54296875" style="17" customWidth="1"/>
    <col min="13075" max="13075" width="6" style="17" customWidth="1"/>
    <col min="13076" max="13076" width="13.7265625" style="17" customWidth="1"/>
    <col min="13077" max="13077" width="6" style="17" customWidth="1"/>
    <col min="13078" max="13078" width="12.7265625" style="17" customWidth="1"/>
    <col min="13079" max="13079" width="6.81640625" style="17" customWidth="1"/>
    <col min="13080" max="13080" width="12.7265625" style="17" customWidth="1"/>
    <col min="13081" max="13081" width="6.81640625" style="17" customWidth="1"/>
    <col min="13082" max="13082" width="15.7265625" style="17" bestFit="1" customWidth="1"/>
    <col min="13083" max="13083" width="8.54296875" style="17" bestFit="1" customWidth="1"/>
    <col min="13084" max="13084" width="13.54296875" style="17" customWidth="1"/>
    <col min="13085" max="13085" width="6" style="17" customWidth="1"/>
    <col min="13086" max="13086" width="13.7265625" style="17" customWidth="1"/>
    <col min="13087" max="13087" width="6" style="17" customWidth="1"/>
    <col min="13088" max="13088" width="12.7265625" style="17" customWidth="1"/>
    <col min="13089" max="13089" width="6.81640625" style="17" customWidth="1"/>
    <col min="13090" max="13090" width="12.7265625" style="17" customWidth="1"/>
    <col min="13091" max="13091" width="6.81640625" style="17" customWidth="1"/>
    <col min="13092" max="13092" width="16.453125" style="17" bestFit="1" customWidth="1"/>
    <col min="13093" max="13093" width="9.54296875" style="17" bestFit="1" customWidth="1"/>
    <col min="13094" max="13094" width="17.453125" style="17" bestFit="1" customWidth="1"/>
    <col min="13095" max="13095" width="6" style="17" customWidth="1"/>
    <col min="13096" max="13096" width="13.7265625" style="17" customWidth="1"/>
    <col min="13097" max="13097" width="6" style="17" customWidth="1"/>
    <col min="13098" max="13098" width="12.7265625" style="17" customWidth="1"/>
    <col min="13099" max="13099" width="6.81640625" style="17" customWidth="1"/>
    <col min="13100" max="13100" width="12.7265625" style="17" customWidth="1"/>
    <col min="13101" max="13101" width="6.81640625" style="17" customWidth="1"/>
    <col min="13102" max="13102" width="15.453125" style="17" bestFit="1" customWidth="1"/>
    <col min="13103" max="13103" width="9.54296875" style="17" bestFit="1" customWidth="1"/>
    <col min="13104" max="13104" width="17.453125" style="17" bestFit="1" customWidth="1"/>
    <col min="13105" max="13105" width="8" style="17" customWidth="1"/>
    <col min="13106" max="13106" width="12.1796875" style="17" customWidth="1"/>
    <col min="13107" max="13107" width="8" style="17" customWidth="1"/>
    <col min="13108" max="13108" width="20" style="17" customWidth="1"/>
    <col min="13109" max="13109" width="15.26953125" style="17" bestFit="1" customWidth="1"/>
    <col min="13110" max="13110" width="14.26953125" style="17" bestFit="1" customWidth="1"/>
    <col min="13111" max="13111" width="13" style="17" bestFit="1" customWidth="1"/>
    <col min="13112" max="13283" width="8.7265625" style="17"/>
    <col min="13284" max="13284" width="2.7265625" style="17" customWidth="1"/>
    <col min="13285" max="13285" width="3.54296875" style="17" customWidth="1"/>
    <col min="13286" max="13286" width="7" style="17" customWidth="1"/>
    <col min="13287" max="13287" width="23" style="17" customWidth="1"/>
    <col min="13288" max="13288" width="13.26953125" style="17" customWidth="1"/>
    <col min="13289" max="13289" width="17.453125" style="17" bestFit="1" customWidth="1"/>
    <col min="13290" max="13290" width="11.54296875" style="17" bestFit="1" customWidth="1"/>
    <col min="13291" max="13291" width="7.81640625" style="17" customWidth="1"/>
    <col min="13292" max="13292" width="11.54296875" style="17" bestFit="1" customWidth="1"/>
    <col min="13293" max="13293" width="7" style="17" customWidth="1"/>
    <col min="13294" max="13294" width="18.1796875" style="17" customWidth="1"/>
    <col min="13295" max="13295" width="7" style="17" customWidth="1"/>
    <col min="13296" max="13296" width="15.54296875" style="17" customWidth="1"/>
    <col min="13297" max="13297" width="7.81640625" style="17" customWidth="1"/>
    <col min="13298" max="13298" width="15.54296875" style="17" customWidth="1"/>
    <col min="13299" max="13299" width="7.81640625" style="17" bestFit="1" customWidth="1"/>
    <col min="13300" max="13300" width="15.7265625" style="17" bestFit="1" customWidth="1"/>
    <col min="13301" max="13301" width="7.54296875" style="17" customWidth="1"/>
    <col min="13302" max="13302" width="14" style="17" customWidth="1"/>
    <col min="13303" max="13303" width="7.81640625" style="17" customWidth="1"/>
    <col min="13304" max="13304" width="14" style="17" customWidth="1"/>
    <col min="13305" max="13305" width="7.81640625" style="17" customWidth="1"/>
    <col min="13306" max="13306" width="14" style="17" customWidth="1"/>
    <col min="13307" max="13307" width="9" style="17" customWidth="1"/>
    <col min="13308" max="13308" width="15.1796875" style="17" customWidth="1"/>
    <col min="13309" max="13309" width="13" style="17" bestFit="1" customWidth="1"/>
    <col min="13310" max="13310" width="15.1796875" style="17" bestFit="1" customWidth="1"/>
    <col min="13311" max="13311" width="7.54296875" style="17" customWidth="1"/>
    <col min="13312" max="13312" width="14" style="17" customWidth="1"/>
    <col min="13313" max="13313" width="7.81640625" style="17" customWidth="1"/>
    <col min="13314" max="13314" width="14" style="17" customWidth="1"/>
    <col min="13315" max="13315" width="7.81640625" style="17" customWidth="1"/>
    <col min="13316" max="13316" width="14" style="17" customWidth="1"/>
    <col min="13317" max="13317" width="9" style="17" bestFit="1" customWidth="1"/>
    <col min="13318" max="13318" width="15.1796875" style="17" bestFit="1" customWidth="1"/>
    <col min="13319" max="13319" width="9" style="17" bestFit="1" customWidth="1"/>
    <col min="13320" max="13320" width="15.1796875" style="17" bestFit="1" customWidth="1"/>
    <col min="13321" max="13321" width="6.453125" style="17" customWidth="1"/>
    <col min="13322" max="13322" width="12.7265625" style="17" customWidth="1"/>
    <col min="13323" max="13323" width="6.453125" style="17" customWidth="1"/>
    <col min="13324" max="13324" width="12.7265625" style="17" customWidth="1"/>
    <col min="13325" max="13325" width="6" style="17" customWidth="1"/>
    <col min="13326" max="13326" width="12.7265625" style="17" customWidth="1"/>
    <col min="13327" max="13327" width="9.54296875" style="17" customWidth="1"/>
    <col min="13328" max="13328" width="14" style="17" bestFit="1" customWidth="1"/>
    <col min="13329" max="13329" width="8.7265625" style="17" bestFit="1" customWidth="1"/>
    <col min="13330" max="13330" width="13.54296875" style="17" customWidth="1"/>
    <col min="13331" max="13331" width="6" style="17" customWidth="1"/>
    <col min="13332" max="13332" width="13.7265625" style="17" customWidth="1"/>
    <col min="13333" max="13333" width="6" style="17" customWidth="1"/>
    <col min="13334" max="13334" width="12.7265625" style="17" customWidth="1"/>
    <col min="13335" max="13335" width="6.81640625" style="17" customWidth="1"/>
    <col min="13336" max="13336" width="12.7265625" style="17" customWidth="1"/>
    <col min="13337" max="13337" width="6.81640625" style="17" customWidth="1"/>
    <col min="13338" max="13338" width="15.7265625" style="17" bestFit="1" customWidth="1"/>
    <col min="13339" max="13339" width="8.54296875" style="17" bestFit="1" customWidth="1"/>
    <col min="13340" max="13340" width="13.54296875" style="17" customWidth="1"/>
    <col min="13341" max="13341" width="6" style="17" customWidth="1"/>
    <col min="13342" max="13342" width="13.7265625" style="17" customWidth="1"/>
    <col min="13343" max="13343" width="6" style="17" customWidth="1"/>
    <col min="13344" max="13344" width="12.7265625" style="17" customWidth="1"/>
    <col min="13345" max="13345" width="6.81640625" style="17" customWidth="1"/>
    <col min="13346" max="13346" width="12.7265625" style="17" customWidth="1"/>
    <col min="13347" max="13347" width="6.81640625" style="17" customWidth="1"/>
    <col min="13348" max="13348" width="16.453125" style="17" bestFit="1" customWidth="1"/>
    <col min="13349" max="13349" width="9.54296875" style="17" bestFit="1" customWidth="1"/>
    <col min="13350" max="13350" width="17.453125" style="17" bestFit="1" customWidth="1"/>
    <col min="13351" max="13351" width="6" style="17" customWidth="1"/>
    <col min="13352" max="13352" width="13.7265625" style="17" customWidth="1"/>
    <col min="13353" max="13353" width="6" style="17" customWidth="1"/>
    <col min="13354" max="13354" width="12.7265625" style="17" customWidth="1"/>
    <col min="13355" max="13355" width="6.81640625" style="17" customWidth="1"/>
    <col min="13356" max="13356" width="12.7265625" style="17" customWidth="1"/>
    <col min="13357" max="13357" width="6.81640625" style="17" customWidth="1"/>
    <col min="13358" max="13358" width="15.453125" style="17" bestFit="1" customWidth="1"/>
    <col min="13359" max="13359" width="9.54296875" style="17" bestFit="1" customWidth="1"/>
    <col min="13360" max="13360" width="17.453125" style="17" bestFit="1" customWidth="1"/>
    <col min="13361" max="13361" width="8" style="17" customWidth="1"/>
    <col min="13362" max="13362" width="12.1796875" style="17" customWidth="1"/>
    <col min="13363" max="13363" width="8" style="17" customWidth="1"/>
    <col min="13364" max="13364" width="20" style="17" customWidth="1"/>
    <col min="13365" max="13365" width="15.26953125" style="17" bestFit="1" customWidth="1"/>
    <col min="13366" max="13366" width="14.26953125" style="17" bestFit="1" customWidth="1"/>
    <col min="13367" max="13367" width="13" style="17" bestFit="1" customWidth="1"/>
    <col min="13368" max="13539" width="8.7265625" style="17"/>
    <col min="13540" max="13540" width="2.7265625" style="17" customWidth="1"/>
    <col min="13541" max="13541" width="3.54296875" style="17" customWidth="1"/>
    <col min="13542" max="13542" width="7" style="17" customWidth="1"/>
    <col min="13543" max="13543" width="23" style="17" customWidth="1"/>
    <col min="13544" max="13544" width="13.26953125" style="17" customWidth="1"/>
    <col min="13545" max="13545" width="17.453125" style="17" bestFit="1" customWidth="1"/>
    <col min="13546" max="13546" width="11.54296875" style="17" bestFit="1" customWidth="1"/>
    <col min="13547" max="13547" width="7.81640625" style="17" customWidth="1"/>
    <col min="13548" max="13548" width="11.54296875" style="17" bestFit="1" customWidth="1"/>
    <col min="13549" max="13549" width="7" style="17" customWidth="1"/>
    <col min="13550" max="13550" width="18.1796875" style="17" customWidth="1"/>
    <col min="13551" max="13551" width="7" style="17" customWidth="1"/>
    <col min="13552" max="13552" width="15.54296875" style="17" customWidth="1"/>
    <col min="13553" max="13553" width="7.81640625" style="17" customWidth="1"/>
    <col min="13554" max="13554" width="15.54296875" style="17" customWidth="1"/>
    <col min="13555" max="13555" width="7.81640625" style="17" bestFit="1" customWidth="1"/>
    <col min="13556" max="13556" width="15.7265625" style="17" bestFit="1" customWidth="1"/>
    <col min="13557" max="13557" width="7.54296875" style="17" customWidth="1"/>
    <col min="13558" max="13558" width="14" style="17" customWidth="1"/>
    <col min="13559" max="13559" width="7.81640625" style="17" customWidth="1"/>
    <col min="13560" max="13560" width="14" style="17" customWidth="1"/>
    <col min="13561" max="13561" width="7.81640625" style="17" customWidth="1"/>
    <col min="13562" max="13562" width="14" style="17" customWidth="1"/>
    <col min="13563" max="13563" width="9" style="17" customWidth="1"/>
    <col min="13564" max="13564" width="15.1796875" style="17" customWidth="1"/>
    <col min="13565" max="13565" width="13" style="17" bestFit="1" customWidth="1"/>
    <col min="13566" max="13566" width="15.1796875" style="17" bestFit="1" customWidth="1"/>
    <col min="13567" max="13567" width="7.54296875" style="17" customWidth="1"/>
    <col min="13568" max="13568" width="14" style="17" customWidth="1"/>
    <col min="13569" max="13569" width="7.81640625" style="17" customWidth="1"/>
    <col min="13570" max="13570" width="14" style="17" customWidth="1"/>
    <col min="13571" max="13571" width="7.81640625" style="17" customWidth="1"/>
    <col min="13572" max="13572" width="14" style="17" customWidth="1"/>
    <col min="13573" max="13573" width="9" style="17" bestFit="1" customWidth="1"/>
    <col min="13574" max="13574" width="15.1796875" style="17" bestFit="1" customWidth="1"/>
    <col min="13575" max="13575" width="9" style="17" bestFit="1" customWidth="1"/>
    <col min="13576" max="13576" width="15.1796875" style="17" bestFit="1" customWidth="1"/>
    <col min="13577" max="13577" width="6.453125" style="17" customWidth="1"/>
    <col min="13578" max="13578" width="12.7265625" style="17" customWidth="1"/>
    <col min="13579" max="13579" width="6.453125" style="17" customWidth="1"/>
    <col min="13580" max="13580" width="12.7265625" style="17" customWidth="1"/>
    <col min="13581" max="13581" width="6" style="17" customWidth="1"/>
    <col min="13582" max="13582" width="12.7265625" style="17" customWidth="1"/>
    <col min="13583" max="13583" width="9.54296875" style="17" customWidth="1"/>
    <col min="13584" max="13584" width="14" style="17" bestFit="1" customWidth="1"/>
    <col min="13585" max="13585" width="8.7265625" style="17" bestFit="1" customWidth="1"/>
    <col min="13586" max="13586" width="13.54296875" style="17" customWidth="1"/>
    <col min="13587" max="13587" width="6" style="17" customWidth="1"/>
    <col min="13588" max="13588" width="13.7265625" style="17" customWidth="1"/>
    <col min="13589" max="13589" width="6" style="17" customWidth="1"/>
    <col min="13590" max="13590" width="12.7265625" style="17" customWidth="1"/>
    <col min="13591" max="13591" width="6.81640625" style="17" customWidth="1"/>
    <col min="13592" max="13592" width="12.7265625" style="17" customWidth="1"/>
    <col min="13593" max="13593" width="6.81640625" style="17" customWidth="1"/>
    <col min="13594" max="13594" width="15.7265625" style="17" bestFit="1" customWidth="1"/>
    <col min="13595" max="13595" width="8.54296875" style="17" bestFit="1" customWidth="1"/>
    <col min="13596" max="13596" width="13.54296875" style="17" customWidth="1"/>
    <col min="13597" max="13597" width="6" style="17" customWidth="1"/>
    <col min="13598" max="13598" width="13.7265625" style="17" customWidth="1"/>
    <col min="13599" max="13599" width="6" style="17" customWidth="1"/>
    <col min="13600" max="13600" width="12.7265625" style="17" customWidth="1"/>
    <col min="13601" max="13601" width="6.81640625" style="17" customWidth="1"/>
    <col min="13602" max="13602" width="12.7265625" style="17" customWidth="1"/>
    <col min="13603" max="13603" width="6.81640625" style="17" customWidth="1"/>
    <col min="13604" max="13604" width="16.453125" style="17" bestFit="1" customWidth="1"/>
    <col min="13605" max="13605" width="9.54296875" style="17" bestFit="1" customWidth="1"/>
    <col min="13606" max="13606" width="17.453125" style="17" bestFit="1" customWidth="1"/>
    <col min="13607" max="13607" width="6" style="17" customWidth="1"/>
    <col min="13608" max="13608" width="13.7265625" style="17" customWidth="1"/>
    <col min="13609" max="13609" width="6" style="17" customWidth="1"/>
    <col min="13610" max="13610" width="12.7265625" style="17" customWidth="1"/>
    <col min="13611" max="13611" width="6.81640625" style="17" customWidth="1"/>
    <col min="13612" max="13612" width="12.7265625" style="17" customWidth="1"/>
    <col min="13613" max="13613" width="6.81640625" style="17" customWidth="1"/>
    <col min="13614" max="13614" width="15.453125" style="17" bestFit="1" customWidth="1"/>
    <col min="13615" max="13615" width="9.54296875" style="17" bestFit="1" customWidth="1"/>
    <col min="13616" max="13616" width="17.453125" style="17" bestFit="1" customWidth="1"/>
    <col min="13617" max="13617" width="8" style="17" customWidth="1"/>
    <col min="13618" max="13618" width="12.1796875" style="17" customWidth="1"/>
    <col min="13619" max="13619" width="8" style="17" customWidth="1"/>
    <col min="13620" max="13620" width="20" style="17" customWidth="1"/>
    <col min="13621" max="13621" width="15.26953125" style="17" bestFit="1" customWidth="1"/>
    <col min="13622" max="13622" width="14.26953125" style="17" bestFit="1" customWidth="1"/>
    <col min="13623" max="13623" width="13" style="17" bestFit="1" customWidth="1"/>
    <col min="13624" max="13795" width="8.7265625" style="17"/>
    <col min="13796" max="13796" width="2.7265625" style="17" customWidth="1"/>
    <col min="13797" max="13797" width="3.54296875" style="17" customWidth="1"/>
    <col min="13798" max="13798" width="7" style="17" customWidth="1"/>
    <col min="13799" max="13799" width="23" style="17" customWidth="1"/>
    <col min="13800" max="13800" width="13.26953125" style="17" customWidth="1"/>
    <col min="13801" max="13801" width="17.453125" style="17" bestFit="1" customWidth="1"/>
    <col min="13802" max="13802" width="11.54296875" style="17" bestFit="1" customWidth="1"/>
    <col min="13803" max="13803" width="7.81640625" style="17" customWidth="1"/>
    <col min="13804" max="13804" width="11.54296875" style="17" bestFit="1" customWidth="1"/>
    <col min="13805" max="13805" width="7" style="17" customWidth="1"/>
    <col min="13806" max="13806" width="18.1796875" style="17" customWidth="1"/>
    <col min="13807" max="13807" width="7" style="17" customWidth="1"/>
    <col min="13808" max="13808" width="15.54296875" style="17" customWidth="1"/>
    <col min="13809" max="13809" width="7.81640625" style="17" customWidth="1"/>
    <col min="13810" max="13810" width="15.54296875" style="17" customWidth="1"/>
    <col min="13811" max="13811" width="7.81640625" style="17" bestFit="1" customWidth="1"/>
    <col min="13812" max="13812" width="15.7265625" style="17" bestFit="1" customWidth="1"/>
    <col min="13813" max="13813" width="7.54296875" style="17" customWidth="1"/>
    <col min="13814" max="13814" width="14" style="17" customWidth="1"/>
    <col min="13815" max="13815" width="7.81640625" style="17" customWidth="1"/>
    <col min="13816" max="13816" width="14" style="17" customWidth="1"/>
    <col min="13817" max="13817" width="7.81640625" style="17" customWidth="1"/>
    <col min="13818" max="13818" width="14" style="17" customWidth="1"/>
    <col min="13819" max="13819" width="9" style="17" customWidth="1"/>
    <col min="13820" max="13820" width="15.1796875" style="17" customWidth="1"/>
    <col min="13821" max="13821" width="13" style="17" bestFit="1" customWidth="1"/>
    <col min="13822" max="13822" width="15.1796875" style="17" bestFit="1" customWidth="1"/>
    <col min="13823" max="13823" width="7.54296875" style="17" customWidth="1"/>
    <col min="13824" max="13824" width="14" style="17" customWidth="1"/>
    <col min="13825" max="13825" width="7.81640625" style="17" customWidth="1"/>
    <col min="13826" max="13826" width="14" style="17" customWidth="1"/>
    <col min="13827" max="13827" width="7.81640625" style="17" customWidth="1"/>
    <col min="13828" max="13828" width="14" style="17" customWidth="1"/>
    <col min="13829" max="13829" width="9" style="17" bestFit="1" customWidth="1"/>
    <col min="13830" max="13830" width="15.1796875" style="17" bestFit="1" customWidth="1"/>
    <col min="13831" max="13831" width="9" style="17" bestFit="1" customWidth="1"/>
    <col min="13832" max="13832" width="15.1796875" style="17" bestFit="1" customWidth="1"/>
    <col min="13833" max="13833" width="6.453125" style="17" customWidth="1"/>
    <col min="13834" max="13834" width="12.7265625" style="17" customWidth="1"/>
    <col min="13835" max="13835" width="6.453125" style="17" customWidth="1"/>
    <col min="13836" max="13836" width="12.7265625" style="17" customWidth="1"/>
    <col min="13837" max="13837" width="6" style="17" customWidth="1"/>
    <col min="13838" max="13838" width="12.7265625" style="17" customWidth="1"/>
    <col min="13839" max="13839" width="9.54296875" style="17" customWidth="1"/>
    <col min="13840" max="13840" width="14" style="17" bestFit="1" customWidth="1"/>
    <col min="13841" max="13841" width="8.7265625" style="17" bestFit="1" customWidth="1"/>
    <col min="13842" max="13842" width="13.54296875" style="17" customWidth="1"/>
    <col min="13843" max="13843" width="6" style="17" customWidth="1"/>
    <col min="13844" max="13844" width="13.7265625" style="17" customWidth="1"/>
    <col min="13845" max="13845" width="6" style="17" customWidth="1"/>
    <col min="13846" max="13846" width="12.7265625" style="17" customWidth="1"/>
    <col min="13847" max="13847" width="6.81640625" style="17" customWidth="1"/>
    <col min="13848" max="13848" width="12.7265625" style="17" customWidth="1"/>
    <col min="13849" max="13849" width="6.81640625" style="17" customWidth="1"/>
    <col min="13850" max="13850" width="15.7265625" style="17" bestFit="1" customWidth="1"/>
    <col min="13851" max="13851" width="8.54296875" style="17" bestFit="1" customWidth="1"/>
    <col min="13852" max="13852" width="13.54296875" style="17" customWidth="1"/>
    <col min="13853" max="13853" width="6" style="17" customWidth="1"/>
    <col min="13854" max="13854" width="13.7265625" style="17" customWidth="1"/>
    <col min="13855" max="13855" width="6" style="17" customWidth="1"/>
    <col min="13856" max="13856" width="12.7265625" style="17" customWidth="1"/>
    <col min="13857" max="13857" width="6.81640625" style="17" customWidth="1"/>
    <col min="13858" max="13858" width="12.7265625" style="17" customWidth="1"/>
    <col min="13859" max="13859" width="6.81640625" style="17" customWidth="1"/>
    <col min="13860" max="13860" width="16.453125" style="17" bestFit="1" customWidth="1"/>
    <col min="13861" max="13861" width="9.54296875" style="17" bestFit="1" customWidth="1"/>
    <col min="13862" max="13862" width="17.453125" style="17" bestFit="1" customWidth="1"/>
    <col min="13863" max="13863" width="6" style="17" customWidth="1"/>
    <col min="13864" max="13864" width="13.7265625" style="17" customWidth="1"/>
    <col min="13865" max="13865" width="6" style="17" customWidth="1"/>
    <col min="13866" max="13866" width="12.7265625" style="17" customWidth="1"/>
    <col min="13867" max="13867" width="6.81640625" style="17" customWidth="1"/>
    <col min="13868" max="13868" width="12.7265625" style="17" customWidth="1"/>
    <col min="13869" max="13869" width="6.81640625" style="17" customWidth="1"/>
    <col min="13870" max="13870" width="15.453125" style="17" bestFit="1" customWidth="1"/>
    <col min="13871" max="13871" width="9.54296875" style="17" bestFit="1" customWidth="1"/>
    <col min="13872" max="13872" width="17.453125" style="17" bestFit="1" customWidth="1"/>
    <col min="13873" max="13873" width="8" style="17" customWidth="1"/>
    <col min="13874" max="13874" width="12.1796875" style="17" customWidth="1"/>
    <col min="13875" max="13875" width="8" style="17" customWidth="1"/>
    <col min="13876" max="13876" width="20" style="17" customWidth="1"/>
    <col min="13877" max="13877" width="15.26953125" style="17" bestFit="1" customWidth="1"/>
    <col min="13878" max="13878" width="14.26953125" style="17" bestFit="1" customWidth="1"/>
    <col min="13879" max="13879" width="13" style="17" bestFit="1" customWidth="1"/>
    <col min="13880" max="14051" width="8.7265625" style="17"/>
    <col min="14052" max="14052" width="2.7265625" style="17" customWidth="1"/>
    <col min="14053" max="14053" width="3.54296875" style="17" customWidth="1"/>
    <col min="14054" max="14054" width="7" style="17" customWidth="1"/>
    <col min="14055" max="14055" width="23" style="17" customWidth="1"/>
    <col min="14056" max="14056" width="13.26953125" style="17" customWidth="1"/>
    <col min="14057" max="14057" width="17.453125" style="17" bestFit="1" customWidth="1"/>
    <col min="14058" max="14058" width="11.54296875" style="17" bestFit="1" customWidth="1"/>
    <col min="14059" max="14059" width="7.81640625" style="17" customWidth="1"/>
    <col min="14060" max="14060" width="11.54296875" style="17" bestFit="1" customWidth="1"/>
    <col min="14061" max="14061" width="7" style="17" customWidth="1"/>
    <col min="14062" max="14062" width="18.1796875" style="17" customWidth="1"/>
    <col min="14063" max="14063" width="7" style="17" customWidth="1"/>
    <col min="14064" max="14064" width="15.54296875" style="17" customWidth="1"/>
    <col min="14065" max="14065" width="7.81640625" style="17" customWidth="1"/>
    <col min="14066" max="14066" width="15.54296875" style="17" customWidth="1"/>
    <col min="14067" max="14067" width="7.81640625" style="17" bestFit="1" customWidth="1"/>
    <col min="14068" max="14068" width="15.7265625" style="17" bestFit="1" customWidth="1"/>
    <col min="14069" max="14069" width="7.54296875" style="17" customWidth="1"/>
    <col min="14070" max="14070" width="14" style="17" customWidth="1"/>
    <col min="14071" max="14071" width="7.81640625" style="17" customWidth="1"/>
    <col min="14072" max="14072" width="14" style="17" customWidth="1"/>
    <col min="14073" max="14073" width="7.81640625" style="17" customWidth="1"/>
    <col min="14074" max="14074" width="14" style="17" customWidth="1"/>
    <col min="14075" max="14075" width="9" style="17" customWidth="1"/>
    <col min="14076" max="14076" width="15.1796875" style="17" customWidth="1"/>
    <col min="14077" max="14077" width="13" style="17" bestFit="1" customWidth="1"/>
    <col min="14078" max="14078" width="15.1796875" style="17" bestFit="1" customWidth="1"/>
    <col min="14079" max="14079" width="7.54296875" style="17" customWidth="1"/>
    <col min="14080" max="14080" width="14" style="17" customWidth="1"/>
    <col min="14081" max="14081" width="7.81640625" style="17" customWidth="1"/>
    <col min="14082" max="14082" width="14" style="17" customWidth="1"/>
    <col min="14083" max="14083" width="7.81640625" style="17" customWidth="1"/>
    <col min="14084" max="14084" width="14" style="17" customWidth="1"/>
    <col min="14085" max="14085" width="9" style="17" bestFit="1" customWidth="1"/>
    <col min="14086" max="14086" width="15.1796875" style="17" bestFit="1" customWidth="1"/>
    <col min="14087" max="14087" width="9" style="17" bestFit="1" customWidth="1"/>
    <col min="14088" max="14088" width="15.1796875" style="17" bestFit="1" customWidth="1"/>
    <col min="14089" max="14089" width="6.453125" style="17" customWidth="1"/>
    <col min="14090" max="14090" width="12.7265625" style="17" customWidth="1"/>
    <col min="14091" max="14091" width="6.453125" style="17" customWidth="1"/>
    <col min="14092" max="14092" width="12.7265625" style="17" customWidth="1"/>
    <col min="14093" max="14093" width="6" style="17" customWidth="1"/>
    <col min="14094" max="14094" width="12.7265625" style="17" customWidth="1"/>
    <col min="14095" max="14095" width="9.54296875" style="17" customWidth="1"/>
    <col min="14096" max="14096" width="14" style="17" bestFit="1" customWidth="1"/>
    <col min="14097" max="14097" width="8.7265625" style="17" bestFit="1" customWidth="1"/>
    <col min="14098" max="14098" width="13.54296875" style="17" customWidth="1"/>
    <col min="14099" max="14099" width="6" style="17" customWidth="1"/>
    <col min="14100" max="14100" width="13.7265625" style="17" customWidth="1"/>
    <col min="14101" max="14101" width="6" style="17" customWidth="1"/>
    <col min="14102" max="14102" width="12.7265625" style="17" customWidth="1"/>
    <col min="14103" max="14103" width="6.81640625" style="17" customWidth="1"/>
    <col min="14104" max="14104" width="12.7265625" style="17" customWidth="1"/>
    <col min="14105" max="14105" width="6.81640625" style="17" customWidth="1"/>
    <col min="14106" max="14106" width="15.7265625" style="17" bestFit="1" customWidth="1"/>
    <col min="14107" max="14107" width="8.54296875" style="17" bestFit="1" customWidth="1"/>
    <col min="14108" max="14108" width="13.54296875" style="17" customWidth="1"/>
    <col min="14109" max="14109" width="6" style="17" customWidth="1"/>
    <col min="14110" max="14110" width="13.7265625" style="17" customWidth="1"/>
    <col min="14111" max="14111" width="6" style="17" customWidth="1"/>
    <col min="14112" max="14112" width="12.7265625" style="17" customWidth="1"/>
    <col min="14113" max="14113" width="6.81640625" style="17" customWidth="1"/>
    <col min="14114" max="14114" width="12.7265625" style="17" customWidth="1"/>
    <col min="14115" max="14115" width="6.81640625" style="17" customWidth="1"/>
    <col min="14116" max="14116" width="16.453125" style="17" bestFit="1" customWidth="1"/>
    <col min="14117" max="14117" width="9.54296875" style="17" bestFit="1" customWidth="1"/>
    <col min="14118" max="14118" width="17.453125" style="17" bestFit="1" customWidth="1"/>
    <col min="14119" max="14119" width="6" style="17" customWidth="1"/>
    <col min="14120" max="14120" width="13.7265625" style="17" customWidth="1"/>
    <col min="14121" max="14121" width="6" style="17" customWidth="1"/>
    <col min="14122" max="14122" width="12.7265625" style="17" customWidth="1"/>
    <col min="14123" max="14123" width="6.81640625" style="17" customWidth="1"/>
    <col min="14124" max="14124" width="12.7265625" style="17" customWidth="1"/>
    <col min="14125" max="14125" width="6.81640625" style="17" customWidth="1"/>
    <col min="14126" max="14126" width="15.453125" style="17" bestFit="1" customWidth="1"/>
    <col min="14127" max="14127" width="9.54296875" style="17" bestFit="1" customWidth="1"/>
    <col min="14128" max="14128" width="17.453125" style="17" bestFit="1" customWidth="1"/>
    <col min="14129" max="14129" width="8" style="17" customWidth="1"/>
    <col min="14130" max="14130" width="12.1796875" style="17" customWidth="1"/>
    <col min="14131" max="14131" width="8" style="17" customWidth="1"/>
    <col min="14132" max="14132" width="20" style="17" customWidth="1"/>
    <col min="14133" max="14133" width="15.26953125" style="17" bestFit="1" customWidth="1"/>
    <col min="14134" max="14134" width="14.26953125" style="17" bestFit="1" customWidth="1"/>
    <col min="14135" max="14135" width="13" style="17" bestFit="1" customWidth="1"/>
    <col min="14136" max="14307" width="8.7265625" style="17"/>
    <col min="14308" max="14308" width="2.7265625" style="17" customWidth="1"/>
    <col min="14309" max="14309" width="3.54296875" style="17" customWidth="1"/>
    <col min="14310" max="14310" width="7" style="17" customWidth="1"/>
    <col min="14311" max="14311" width="23" style="17" customWidth="1"/>
    <col min="14312" max="14312" width="13.26953125" style="17" customWidth="1"/>
    <col min="14313" max="14313" width="17.453125" style="17" bestFit="1" customWidth="1"/>
    <col min="14314" max="14314" width="11.54296875" style="17" bestFit="1" customWidth="1"/>
    <col min="14315" max="14315" width="7.81640625" style="17" customWidth="1"/>
    <col min="14316" max="14316" width="11.54296875" style="17" bestFit="1" customWidth="1"/>
    <col min="14317" max="14317" width="7" style="17" customWidth="1"/>
    <col min="14318" max="14318" width="18.1796875" style="17" customWidth="1"/>
    <col min="14319" max="14319" width="7" style="17" customWidth="1"/>
    <col min="14320" max="14320" width="15.54296875" style="17" customWidth="1"/>
    <col min="14321" max="14321" width="7.81640625" style="17" customWidth="1"/>
    <col min="14322" max="14322" width="15.54296875" style="17" customWidth="1"/>
    <col min="14323" max="14323" width="7.81640625" style="17" bestFit="1" customWidth="1"/>
    <col min="14324" max="14324" width="15.7265625" style="17" bestFit="1" customWidth="1"/>
    <col min="14325" max="14325" width="7.54296875" style="17" customWidth="1"/>
    <col min="14326" max="14326" width="14" style="17" customWidth="1"/>
    <col min="14327" max="14327" width="7.81640625" style="17" customWidth="1"/>
    <col min="14328" max="14328" width="14" style="17" customWidth="1"/>
    <col min="14329" max="14329" width="7.81640625" style="17" customWidth="1"/>
    <col min="14330" max="14330" width="14" style="17" customWidth="1"/>
    <col min="14331" max="14331" width="9" style="17" customWidth="1"/>
    <col min="14332" max="14332" width="15.1796875" style="17" customWidth="1"/>
    <col min="14333" max="14333" width="13" style="17" bestFit="1" customWidth="1"/>
    <col min="14334" max="14334" width="15.1796875" style="17" bestFit="1" customWidth="1"/>
    <col min="14335" max="14335" width="7.54296875" style="17" customWidth="1"/>
    <col min="14336" max="14336" width="14" style="17" customWidth="1"/>
    <col min="14337" max="14337" width="7.81640625" style="17" customWidth="1"/>
    <col min="14338" max="14338" width="14" style="17" customWidth="1"/>
    <col min="14339" max="14339" width="7.81640625" style="17" customWidth="1"/>
    <col min="14340" max="14340" width="14" style="17" customWidth="1"/>
    <col min="14341" max="14341" width="9" style="17" bestFit="1" customWidth="1"/>
    <col min="14342" max="14342" width="15.1796875" style="17" bestFit="1" customWidth="1"/>
    <col min="14343" max="14343" width="9" style="17" bestFit="1" customWidth="1"/>
    <col min="14344" max="14344" width="15.1796875" style="17" bestFit="1" customWidth="1"/>
    <col min="14345" max="14345" width="6.453125" style="17" customWidth="1"/>
    <col min="14346" max="14346" width="12.7265625" style="17" customWidth="1"/>
    <col min="14347" max="14347" width="6.453125" style="17" customWidth="1"/>
    <col min="14348" max="14348" width="12.7265625" style="17" customWidth="1"/>
    <col min="14349" max="14349" width="6" style="17" customWidth="1"/>
    <col min="14350" max="14350" width="12.7265625" style="17" customWidth="1"/>
    <col min="14351" max="14351" width="9.54296875" style="17" customWidth="1"/>
    <col min="14352" max="14352" width="14" style="17" bestFit="1" customWidth="1"/>
    <col min="14353" max="14353" width="8.7265625" style="17" bestFit="1" customWidth="1"/>
    <col min="14354" max="14354" width="13.54296875" style="17" customWidth="1"/>
    <col min="14355" max="14355" width="6" style="17" customWidth="1"/>
    <col min="14356" max="14356" width="13.7265625" style="17" customWidth="1"/>
    <col min="14357" max="14357" width="6" style="17" customWidth="1"/>
    <col min="14358" max="14358" width="12.7265625" style="17" customWidth="1"/>
    <col min="14359" max="14359" width="6.81640625" style="17" customWidth="1"/>
    <col min="14360" max="14360" width="12.7265625" style="17" customWidth="1"/>
    <col min="14361" max="14361" width="6.81640625" style="17" customWidth="1"/>
    <col min="14362" max="14362" width="15.7265625" style="17" bestFit="1" customWidth="1"/>
    <col min="14363" max="14363" width="8.54296875" style="17" bestFit="1" customWidth="1"/>
    <col min="14364" max="14364" width="13.54296875" style="17" customWidth="1"/>
    <col min="14365" max="14365" width="6" style="17" customWidth="1"/>
    <col min="14366" max="14366" width="13.7265625" style="17" customWidth="1"/>
    <col min="14367" max="14367" width="6" style="17" customWidth="1"/>
    <col min="14368" max="14368" width="12.7265625" style="17" customWidth="1"/>
    <col min="14369" max="14369" width="6.81640625" style="17" customWidth="1"/>
    <col min="14370" max="14370" width="12.7265625" style="17" customWidth="1"/>
    <col min="14371" max="14371" width="6.81640625" style="17" customWidth="1"/>
    <col min="14372" max="14372" width="16.453125" style="17" bestFit="1" customWidth="1"/>
    <col min="14373" max="14373" width="9.54296875" style="17" bestFit="1" customWidth="1"/>
    <col min="14374" max="14374" width="17.453125" style="17" bestFit="1" customWidth="1"/>
    <col min="14375" max="14375" width="6" style="17" customWidth="1"/>
    <col min="14376" max="14376" width="13.7265625" style="17" customWidth="1"/>
    <col min="14377" max="14377" width="6" style="17" customWidth="1"/>
    <col min="14378" max="14378" width="12.7265625" style="17" customWidth="1"/>
    <col min="14379" max="14379" width="6.81640625" style="17" customWidth="1"/>
    <col min="14380" max="14380" width="12.7265625" style="17" customWidth="1"/>
    <col min="14381" max="14381" width="6.81640625" style="17" customWidth="1"/>
    <col min="14382" max="14382" width="15.453125" style="17" bestFit="1" customWidth="1"/>
    <col min="14383" max="14383" width="9.54296875" style="17" bestFit="1" customWidth="1"/>
    <col min="14384" max="14384" width="17.453125" style="17" bestFit="1" customWidth="1"/>
    <col min="14385" max="14385" width="8" style="17" customWidth="1"/>
    <col min="14386" max="14386" width="12.1796875" style="17" customWidth="1"/>
    <col min="14387" max="14387" width="8" style="17" customWidth="1"/>
    <col min="14388" max="14388" width="20" style="17" customWidth="1"/>
    <col min="14389" max="14389" width="15.26953125" style="17" bestFit="1" customWidth="1"/>
    <col min="14390" max="14390" width="14.26953125" style="17" bestFit="1" customWidth="1"/>
    <col min="14391" max="14391" width="13" style="17" bestFit="1" customWidth="1"/>
    <col min="14392" max="14563" width="8.7265625" style="17"/>
    <col min="14564" max="14564" width="2.7265625" style="17" customWidth="1"/>
    <col min="14565" max="14565" width="3.54296875" style="17" customWidth="1"/>
    <col min="14566" max="14566" width="7" style="17" customWidth="1"/>
    <col min="14567" max="14567" width="23" style="17" customWidth="1"/>
    <col min="14568" max="14568" width="13.26953125" style="17" customWidth="1"/>
    <col min="14569" max="14569" width="17.453125" style="17" bestFit="1" customWidth="1"/>
    <col min="14570" max="14570" width="11.54296875" style="17" bestFit="1" customWidth="1"/>
    <col min="14571" max="14571" width="7.81640625" style="17" customWidth="1"/>
    <col min="14572" max="14572" width="11.54296875" style="17" bestFit="1" customWidth="1"/>
    <col min="14573" max="14573" width="7" style="17" customWidth="1"/>
    <col min="14574" max="14574" width="18.1796875" style="17" customWidth="1"/>
    <col min="14575" max="14575" width="7" style="17" customWidth="1"/>
    <col min="14576" max="14576" width="15.54296875" style="17" customWidth="1"/>
    <col min="14577" max="14577" width="7.81640625" style="17" customWidth="1"/>
    <col min="14578" max="14578" width="15.54296875" style="17" customWidth="1"/>
    <col min="14579" max="14579" width="7.81640625" style="17" bestFit="1" customWidth="1"/>
    <col min="14580" max="14580" width="15.7265625" style="17" bestFit="1" customWidth="1"/>
    <col min="14581" max="14581" width="7.54296875" style="17" customWidth="1"/>
    <col min="14582" max="14582" width="14" style="17" customWidth="1"/>
    <col min="14583" max="14583" width="7.81640625" style="17" customWidth="1"/>
    <col min="14584" max="14584" width="14" style="17" customWidth="1"/>
    <col min="14585" max="14585" width="7.81640625" style="17" customWidth="1"/>
    <col min="14586" max="14586" width="14" style="17" customWidth="1"/>
    <col min="14587" max="14587" width="9" style="17" customWidth="1"/>
    <col min="14588" max="14588" width="15.1796875" style="17" customWidth="1"/>
    <col min="14589" max="14589" width="13" style="17" bestFit="1" customWidth="1"/>
    <col min="14590" max="14590" width="15.1796875" style="17" bestFit="1" customWidth="1"/>
    <col min="14591" max="14591" width="7.54296875" style="17" customWidth="1"/>
    <col min="14592" max="14592" width="14" style="17" customWidth="1"/>
    <col min="14593" max="14593" width="7.81640625" style="17" customWidth="1"/>
    <col min="14594" max="14594" width="14" style="17" customWidth="1"/>
    <col min="14595" max="14595" width="7.81640625" style="17" customWidth="1"/>
    <col min="14596" max="14596" width="14" style="17" customWidth="1"/>
    <col min="14597" max="14597" width="9" style="17" bestFit="1" customWidth="1"/>
    <col min="14598" max="14598" width="15.1796875" style="17" bestFit="1" customWidth="1"/>
    <col min="14599" max="14599" width="9" style="17" bestFit="1" customWidth="1"/>
    <col min="14600" max="14600" width="15.1796875" style="17" bestFit="1" customWidth="1"/>
    <col min="14601" max="14601" width="6.453125" style="17" customWidth="1"/>
    <col min="14602" max="14602" width="12.7265625" style="17" customWidth="1"/>
    <col min="14603" max="14603" width="6.453125" style="17" customWidth="1"/>
    <col min="14604" max="14604" width="12.7265625" style="17" customWidth="1"/>
    <col min="14605" max="14605" width="6" style="17" customWidth="1"/>
    <col min="14606" max="14606" width="12.7265625" style="17" customWidth="1"/>
    <col min="14607" max="14607" width="9.54296875" style="17" customWidth="1"/>
    <col min="14608" max="14608" width="14" style="17" bestFit="1" customWidth="1"/>
    <col min="14609" max="14609" width="8.7265625" style="17" bestFit="1" customWidth="1"/>
    <col min="14610" max="14610" width="13.54296875" style="17" customWidth="1"/>
    <col min="14611" max="14611" width="6" style="17" customWidth="1"/>
    <col min="14612" max="14612" width="13.7265625" style="17" customWidth="1"/>
    <col min="14613" max="14613" width="6" style="17" customWidth="1"/>
    <col min="14614" max="14614" width="12.7265625" style="17" customWidth="1"/>
    <col min="14615" max="14615" width="6.81640625" style="17" customWidth="1"/>
    <col min="14616" max="14616" width="12.7265625" style="17" customWidth="1"/>
    <col min="14617" max="14617" width="6.81640625" style="17" customWidth="1"/>
    <col min="14618" max="14618" width="15.7265625" style="17" bestFit="1" customWidth="1"/>
    <col min="14619" max="14619" width="8.54296875" style="17" bestFit="1" customWidth="1"/>
    <col min="14620" max="14620" width="13.54296875" style="17" customWidth="1"/>
    <col min="14621" max="14621" width="6" style="17" customWidth="1"/>
    <col min="14622" max="14622" width="13.7265625" style="17" customWidth="1"/>
    <col min="14623" max="14623" width="6" style="17" customWidth="1"/>
    <col min="14624" max="14624" width="12.7265625" style="17" customWidth="1"/>
    <col min="14625" max="14625" width="6.81640625" style="17" customWidth="1"/>
    <col min="14626" max="14626" width="12.7265625" style="17" customWidth="1"/>
    <col min="14627" max="14627" width="6.81640625" style="17" customWidth="1"/>
    <col min="14628" max="14628" width="16.453125" style="17" bestFit="1" customWidth="1"/>
    <col min="14629" max="14629" width="9.54296875" style="17" bestFit="1" customWidth="1"/>
    <col min="14630" max="14630" width="17.453125" style="17" bestFit="1" customWidth="1"/>
    <col min="14631" max="14631" width="6" style="17" customWidth="1"/>
    <col min="14632" max="14632" width="13.7265625" style="17" customWidth="1"/>
    <col min="14633" max="14633" width="6" style="17" customWidth="1"/>
    <col min="14634" max="14634" width="12.7265625" style="17" customWidth="1"/>
    <col min="14635" max="14635" width="6.81640625" style="17" customWidth="1"/>
    <col min="14636" max="14636" width="12.7265625" style="17" customWidth="1"/>
    <col min="14637" max="14637" width="6.81640625" style="17" customWidth="1"/>
    <col min="14638" max="14638" width="15.453125" style="17" bestFit="1" customWidth="1"/>
    <col min="14639" max="14639" width="9.54296875" style="17" bestFit="1" customWidth="1"/>
    <col min="14640" max="14640" width="17.453125" style="17" bestFit="1" customWidth="1"/>
    <col min="14641" max="14641" width="8" style="17" customWidth="1"/>
    <col min="14642" max="14642" width="12.1796875" style="17" customWidth="1"/>
    <col min="14643" max="14643" width="8" style="17" customWidth="1"/>
    <col min="14644" max="14644" width="20" style="17" customWidth="1"/>
    <col min="14645" max="14645" width="15.26953125" style="17" bestFit="1" customWidth="1"/>
    <col min="14646" max="14646" width="14.26953125" style="17" bestFit="1" customWidth="1"/>
    <col min="14647" max="14647" width="13" style="17" bestFit="1" customWidth="1"/>
    <col min="14648" max="14819" width="8.7265625" style="17"/>
    <col min="14820" max="14820" width="2.7265625" style="17" customWidth="1"/>
    <col min="14821" max="14821" width="3.54296875" style="17" customWidth="1"/>
    <col min="14822" max="14822" width="7" style="17" customWidth="1"/>
    <col min="14823" max="14823" width="23" style="17" customWidth="1"/>
    <col min="14824" max="14824" width="13.26953125" style="17" customWidth="1"/>
    <col min="14825" max="14825" width="17.453125" style="17" bestFit="1" customWidth="1"/>
    <col min="14826" max="14826" width="11.54296875" style="17" bestFit="1" customWidth="1"/>
    <col min="14827" max="14827" width="7.81640625" style="17" customWidth="1"/>
    <col min="14828" max="14828" width="11.54296875" style="17" bestFit="1" customWidth="1"/>
    <col min="14829" max="14829" width="7" style="17" customWidth="1"/>
    <col min="14830" max="14830" width="18.1796875" style="17" customWidth="1"/>
    <col min="14831" max="14831" width="7" style="17" customWidth="1"/>
    <col min="14832" max="14832" width="15.54296875" style="17" customWidth="1"/>
    <col min="14833" max="14833" width="7.81640625" style="17" customWidth="1"/>
    <col min="14834" max="14834" width="15.54296875" style="17" customWidth="1"/>
    <col min="14835" max="14835" width="7.81640625" style="17" bestFit="1" customWidth="1"/>
    <col min="14836" max="14836" width="15.7265625" style="17" bestFit="1" customWidth="1"/>
    <col min="14837" max="14837" width="7.54296875" style="17" customWidth="1"/>
    <col min="14838" max="14838" width="14" style="17" customWidth="1"/>
    <col min="14839" max="14839" width="7.81640625" style="17" customWidth="1"/>
    <col min="14840" max="14840" width="14" style="17" customWidth="1"/>
    <col min="14841" max="14841" width="7.81640625" style="17" customWidth="1"/>
    <col min="14842" max="14842" width="14" style="17" customWidth="1"/>
    <col min="14843" max="14843" width="9" style="17" customWidth="1"/>
    <col min="14844" max="14844" width="15.1796875" style="17" customWidth="1"/>
    <col min="14845" max="14845" width="13" style="17" bestFit="1" customWidth="1"/>
    <col min="14846" max="14846" width="15.1796875" style="17" bestFit="1" customWidth="1"/>
    <col min="14847" max="14847" width="7.54296875" style="17" customWidth="1"/>
    <col min="14848" max="14848" width="14" style="17" customWidth="1"/>
    <col min="14849" max="14849" width="7.81640625" style="17" customWidth="1"/>
    <col min="14850" max="14850" width="14" style="17" customWidth="1"/>
    <col min="14851" max="14851" width="7.81640625" style="17" customWidth="1"/>
    <col min="14852" max="14852" width="14" style="17" customWidth="1"/>
    <col min="14853" max="14853" width="9" style="17" bestFit="1" customWidth="1"/>
    <col min="14854" max="14854" width="15.1796875" style="17" bestFit="1" customWidth="1"/>
    <col min="14855" max="14855" width="9" style="17" bestFit="1" customWidth="1"/>
    <col min="14856" max="14856" width="15.1796875" style="17" bestFit="1" customWidth="1"/>
    <col min="14857" max="14857" width="6.453125" style="17" customWidth="1"/>
    <col min="14858" max="14858" width="12.7265625" style="17" customWidth="1"/>
    <col min="14859" max="14859" width="6.453125" style="17" customWidth="1"/>
    <col min="14860" max="14860" width="12.7265625" style="17" customWidth="1"/>
    <col min="14861" max="14861" width="6" style="17" customWidth="1"/>
    <col min="14862" max="14862" width="12.7265625" style="17" customWidth="1"/>
    <col min="14863" max="14863" width="9.54296875" style="17" customWidth="1"/>
    <col min="14864" max="14864" width="14" style="17" bestFit="1" customWidth="1"/>
    <col min="14865" max="14865" width="8.7265625" style="17" bestFit="1" customWidth="1"/>
    <col min="14866" max="14866" width="13.54296875" style="17" customWidth="1"/>
    <col min="14867" max="14867" width="6" style="17" customWidth="1"/>
    <col min="14868" max="14868" width="13.7265625" style="17" customWidth="1"/>
    <col min="14869" max="14869" width="6" style="17" customWidth="1"/>
    <col min="14870" max="14870" width="12.7265625" style="17" customWidth="1"/>
    <col min="14871" max="14871" width="6.81640625" style="17" customWidth="1"/>
    <col min="14872" max="14872" width="12.7265625" style="17" customWidth="1"/>
    <col min="14873" max="14873" width="6.81640625" style="17" customWidth="1"/>
    <col min="14874" max="14874" width="15.7265625" style="17" bestFit="1" customWidth="1"/>
    <col min="14875" max="14875" width="8.54296875" style="17" bestFit="1" customWidth="1"/>
    <col min="14876" max="14876" width="13.54296875" style="17" customWidth="1"/>
    <col min="14877" max="14877" width="6" style="17" customWidth="1"/>
    <col min="14878" max="14878" width="13.7265625" style="17" customWidth="1"/>
    <col min="14879" max="14879" width="6" style="17" customWidth="1"/>
    <col min="14880" max="14880" width="12.7265625" style="17" customWidth="1"/>
    <col min="14881" max="14881" width="6.81640625" style="17" customWidth="1"/>
    <col min="14882" max="14882" width="12.7265625" style="17" customWidth="1"/>
    <col min="14883" max="14883" width="6.81640625" style="17" customWidth="1"/>
    <col min="14884" max="14884" width="16.453125" style="17" bestFit="1" customWidth="1"/>
    <col min="14885" max="14885" width="9.54296875" style="17" bestFit="1" customWidth="1"/>
    <col min="14886" max="14886" width="17.453125" style="17" bestFit="1" customWidth="1"/>
    <col min="14887" max="14887" width="6" style="17" customWidth="1"/>
    <col min="14888" max="14888" width="13.7265625" style="17" customWidth="1"/>
    <col min="14889" max="14889" width="6" style="17" customWidth="1"/>
    <col min="14890" max="14890" width="12.7265625" style="17" customWidth="1"/>
    <col min="14891" max="14891" width="6.81640625" style="17" customWidth="1"/>
    <col min="14892" max="14892" width="12.7265625" style="17" customWidth="1"/>
    <col min="14893" max="14893" width="6.81640625" style="17" customWidth="1"/>
    <col min="14894" max="14894" width="15.453125" style="17" bestFit="1" customWidth="1"/>
    <col min="14895" max="14895" width="9.54296875" style="17" bestFit="1" customWidth="1"/>
    <col min="14896" max="14896" width="17.453125" style="17" bestFit="1" customWidth="1"/>
    <col min="14897" max="14897" width="8" style="17" customWidth="1"/>
    <col min="14898" max="14898" width="12.1796875" style="17" customWidth="1"/>
    <col min="14899" max="14899" width="8" style="17" customWidth="1"/>
    <col min="14900" max="14900" width="20" style="17" customWidth="1"/>
    <col min="14901" max="14901" width="15.26953125" style="17" bestFit="1" customWidth="1"/>
    <col min="14902" max="14902" width="14.26953125" style="17" bestFit="1" customWidth="1"/>
    <col min="14903" max="14903" width="13" style="17" bestFit="1" customWidth="1"/>
    <col min="14904" max="15075" width="8.7265625" style="17"/>
    <col min="15076" max="15076" width="2.7265625" style="17" customWidth="1"/>
    <col min="15077" max="15077" width="3.54296875" style="17" customWidth="1"/>
    <col min="15078" max="15078" width="7" style="17" customWidth="1"/>
    <col min="15079" max="15079" width="23" style="17" customWidth="1"/>
    <col min="15080" max="15080" width="13.26953125" style="17" customWidth="1"/>
    <col min="15081" max="15081" width="17.453125" style="17" bestFit="1" customWidth="1"/>
    <col min="15082" max="15082" width="11.54296875" style="17" bestFit="1" customWidth="1"/>
    <col min="15083" max="15083" width="7.81640625" style="17" customWidth="1"/>
    <col min="15084" max="15084" width="11.54296875" style="17" bestFit="1" customWidth="1"/>
    <col min="15085" max="15085" width="7" style="17" customWidth="1"/>
    <col min="15086" max="15086" width="18.1796875" style="17" customWidth="1"/>
    <col min="15087" max="15087" width="7" style="17" customWidth="1"/>
    <col min="15088" max="15088" width="15.54296875" style="17" customWidth="1"/>
    <col min="15089" max="15089" width="7.81640625" style="17" customWidth="1"/>
    <col min="15090" max="15090" width="15.54296875" style="17" customWidth="1"/>
    <col min="15091" max="15091" width="7.81640625" style="17" bestFit="1" customWidth="1"/>
    <col min="15092" max="15092" width="15.7265625" style="17" bestFit="1" customWidth="1"/>
    <col min="15093" max="15093" width="7.54296875" style="17" customWidth="1"/>
    <col min="15094" max="15094" width="14" style="17" customWidth="1"/>
    <col min="15095" max="15095" width="7.81640625" style="17" customWidth="1"/>
    <col min="15096" max="15096" width="14" style="17" customWidth="1"/>
    <col min="15097" max="15097" width="7.81640625" style="17" customWidth="1"/>
    <col min="15098" max="15098" width="14" style="17" customWidth="1"/>
    <col min="15099" max="15099" width="9" style="17" customWidth="1"/>
    <col min="15100" max="15100" width="15.1796875" style="17" customWidth="1"/>
    <col min="15101" max="15101" width="13" style="17" bestFit="1" customWidth="1"/>
    <col min="15102" max="15102" width="15.1796875" style="17" bestFit="1" customWidth="1"/>
    <col min="15103" max="15103" width="7.54296875" style="17" customWidth="1"/>
    <col min="15104" max="15104" width="14" style="17" customWidth="1"/>
    <col min="15105" max="15105" width="7.81640625" style="17" customWidth="1"/>
    <col min="15106" max="15106" width="14" style="17" customWidth="1"/>
    <col min="15107" max="15107" width="7.81640625" style="17" customWidth="1"/>
    <col min="15108" max="15108" width="14" style="17" customWidth="1"/>
    <col min="15109" max="15109" width="9" style="17" bestFit="1" customWidth="1"/>
    <col min="15110" max="15110" width="15.1796875" style="17" bestFit="1" customWidth="1"/>
    <col min="15111" max="15111" width="9" style="17" bestFit="1" customWidth="1"/>
    <col min="15112" max="15112" width="15.1796875" style="17" bestFit="1" customWidth="1"/>
    <col min="15113" max="15113" width="6.453125" style="17" customWidth="1"/>
    <col min="15114" max="15114" width="12.7265625" style="17" customWidth="1"/>
    <col min="15115" max="15115" width="6.453125" style="17" customWidth="1"/>
    <col min="15116" max="15116" width="12.7265625" style="17" customWidth="1"/>
    <col min="15117" max="15117" width="6" style="17" customWidth="1"/>
    <col min="15118" max="15118" width="12.7265625" style="17" customWidth="1"/>
    <col min="15119" max="15119" width="9.54296875" style="17" customWidth="1"/>
    <col min="15120" max="15120" width="14" style="17" bestFit="1" customWidth="1"/>
    <col min="15121" max="15121" width="8.7265625" style="17" bestFit="1" customWidth="1"/>
    <col min="15122" max="15122" width="13.54296875" style="17" customWidth="1"/>
    <col min="15123" max="15123" width="6" style="17" customWidth="1"/>
    <col min="15124" max="15124" width="13.7265625" style="17" customWidth="1"/>
    <col min="15125" max="15125" width="6" style="17" customWidth="1"/>
    <col min="15126" max="15126" width="12.7265625" style="17" customWidth="1"/>
    <col min="15127" max="15127" width="6.81640625" style="17" customWidth="1"/>
    <col min="15128" max="15128" width="12.7265625" style="17" customWidth="1"/>
    <col min="15129" max="15129" width="6.81640625" style="17" customWidth="1"/>
    <col min="15130" max="15130" width="15.7265625" style="17" bestFit="1" customWidth="1"/>
    <col min="15131" max="15131" width="8.54296875" style="17" bestFit="1" customWidth="1"/>
    <col min="15132" max="15132" width="13.54296875" style="17" customWidth="1"/>
    <col min="15133" max="15133" width="6" style="17" customWidth="1"/>
    <col min="15134" max="15134" width="13.7265625" style="17" customWidth="1"/>
    <col min="15135" max="15135" width="6" style="17" customWidth="1"/>
    <col min="15136" max="15136" width="12.7265625" style="17" customWidth="1"/>
    <col min="15137" max="15137" width="6.81640625" style="17" customWidth="1"/>
    <col min="15138" max="15138" width="12.7265625" style="17" customWidth="1"/>
    <col min="15139" max="15139" width="6.81640625" style="17" customWidth="1"/>
    <col min="15140" max="15140" width="16.453125" style="17" bestFit="1" customWidth="1"/>
    <col min="15141" max="15141" width="9.54296875" style="17" bestFit="1" customWidth="1"/>
    <col min="15142" max="15142" width="17.453125" style="17" bestFit="1" customWidth="1"/>
    <col min="15143" max="15143" width="6" style="17" customWidth="1"/>
    <col min="15144" max="15144" width="13.7265625" style="17" customWidth="1"/>
    <col min="15145" max="15145" width="6" style="17" customWidth="1"/>
    <col min="15146" max="15146" width="12.7265625" style="17" customWidth="1"/>
    <col min="15147" max="15147" width="6.81640625" style="17" customWidth="1"/>
    <col min="15148" max="15148" width="12.7265625" style="17" customWidth="1"/>
    <col min="15149" max="15149" width="6.81640625" style="17" customWidth="1"/>
    <col min="15150" max="15150" width="15.453125" style="17" bestFit="1" customWidth="1"/>
    <col min="15151" max="15151" width="9.54296875" style="17" bestFit="1" customWidth="1"/>
    <col min="15152" max="15152" width="17.453125" style="17" bestFit="1" customWidth="1"/>
    <col min="15153" max="15153" width="8" style="17" customWidth="1"/>
    <col min="15154" max="15154" width="12.1796875" style="17" customWidth="1"/>
    <col min="15155" max="15155" width="8" style="17" customWidth="1"/>
    <col min="15156" max="15156" width="20" style="17" customWidth="1"/>
    <col min="15157" max="15157" width="15.26953125" style="17" bestFit="1" customWidth="1"/>
    <col min="15158" max="15158" width="14.26953125" style="17" bestFit="1" customWidth="1"/>
    <col min="15159" max="15159" width="13" style="17" bestFit="1" customWidth="1"/>
    <col min="15160" max="15331" width="8.7265625" style="17"/>
    <col min="15332" max="15332" width="2.7265625" style="17" customWidth="1"/>
    <col min="15333" max="15333" width="3.54296875" style="17" customWidth="1"/>
    <col min="15334" max="15334" width="7" style="17" customWidth="1"/>
    <col min="15335" max="15335" width="23" style="17" customWidth="1"/>
    <col min="15336" max="15336" width="13.26953125" style="17" customWidth="1"/>
    <col min="15337" max="15337" width="17.453125" style="17" bestFit="1" customWidth="1"/>
    <col min="15338" max="15338" width="11.54296875" style="17" bestFit="1" customWidth="1"/>
    <col min="15339" max="15339" width="7.81640625" style="17" customWidth="1"/>
    <col min="15340" max="15340" width="11.54296875" style="17" bestFit="1" customWidth="1"/>
    <col min="15341" max="15341" width="7" style="17" customWidth="1"/>
    <col min="15342" max="15342" width="18.1796875" style="17" customWidth="1"/>
    <col min="15343" max="15343" width="7" style="17" customWidth="1"/>
    <col min="15344" max="15344" width="15.54296875" style="17" customWidth="1"/>
    <col min="15345" max="15345" width="7.81640625" style="17" customWidth="1"/>
    <col min="15346" max="15346" width="15.54296875" style="17" customWidth="1"/>
    <col min="15347" max="15347" width="7.81640625" style="17" bestFit="1" customWidth="1"/>
    <col min="15348" max="15348" width="15.7265625" style="17" bestFit="1" customWidth="1"/>
    <col min="15349" max="15349" width="7.54296875" style="17" customWidth="1"/>
    <col min="15350" max="15350" width="14" style="17" customWidth="1"/>
    <col min="15351" max="15351" width="7.81640625" style="17" customWidth="1"/>
    <col min="15352" max="15352" width="14" style="17" customWidth="1"/>
    <col min="15353" max="15353" width="7.81640625" style="17" customWidth="1"/>
    <col min="15354" max="15354" width="14" style="17" customWidth="1"/>
    <col min="15355" max="15355" width="9" style="17" customWidth="1"/>
    <col min="15356" max="15356" width="15.1796875" style="17" customWidth="1"/>
    <col min="15357" max="15357" width="13" style="17" bestFit="1" customWidth="1"/>
    <col min="15358" max="15358" width="15.1796875" style="17" bestFit="1" customWidth="1"/>
    <col min="15359" max="15359" width="7.54296875" style="17" customWidth="1"/>
    <col min="15360" max="15360" width="14" style="17" customWidth="1"/>
    <col min="15361" max="15361" width="7.81640625" style="17" customWidth="1"/>
    <col min="15362" max="15362" width="14" style="17" customWidth="1"/>
    <col min="15363" max="15363" width="7.81640625" style="17" customWidth="1"/>
    <col min="15364" max="15364" width="14" style="17" customWidth="1"/>
    <col min="15365" max="15365" width="9" style="17" bestFit="1" customWidth="1"/>
    <col min="15366" max="15366" width="15.1796875" style="17" bestFit="1" customWidth="1"/>
    <col min="15367" max="15367" width="9" style="17" bestFit="1" customWidth="1"/>
    <col min="15368" max="15368" width="15.1796875" style="17" bestFit="1" customWidth="1"/>
    <col min="15369" max="15369" width="6.453125" style="17" customWidth="1"/>
    <col min="15370" max="15370" width="12.7265625" style="17" customWidth="1"/>
    <col min="15371" max="15371" width="6.453125" style="17" customWidth="1"/>
    <col min="15372" max="15372" width="12.7265625" style="17" customWidth="1"/>
    <col min="15373" max="15373" width="6" style="17" customWidth="1"/>
    <col min="15374" max="15374" width="12.7265625" style="17" customWidth="1"/>
    <col min="15375" max="15375" width="9.54296875" style="17" customWidth="1"/>
    <col min="15376" max="15376" width="14" style="17" bestFit="1" customWidth="1"/>
    <col min="15377" max="15377" width="8.7265625" style="17" bestFit="1" customWidth="1"/>
    <col min="15378" max="15378" width="13.54296875" style="17" customWidth="1"/>
    <col min="15379" max="15379" width="6" style="17" customWidth="1"/>
    <col min="15380" max="15380" width="13.7265625" style="17" customWidth="1"/>
    <col min="15381" max="15381" width="6" style="17" customWidth="1"/>
    <col min="15382" max="15382" width="12.7265625" style="17" customWidth="1"/>
    <col min="15383" max="15383" width="6.81640625" style="17" customWidth="1"/>
    <col min="15384" max="15384" width="12.7265625" style="17" customWidth="1"/>
    <col min="15385" max="15385" width="6.81640625" style="17" customWidth="1"/>
    <col min="15386" max="15386" width="15.7265625" style="17" bestFit="1" customWidth="1"/>
    <col min="15387" max="15387" width="8.54296875" style="17" bestFit="1" customWidth="1"/>
    <col min="15388" max="15388" width="13.54296875" style="17" customWidth="1"/>
    <col min="15389" max="15389" width="6" style="17" customWidth="1"/>
    <col min="15390" max="15390" width="13.7265625" style="17" customWidth="1"/>
    <col min="15391" max="15391" width="6" style="17" customWidth="1"/>
    <col min="15392" max="15392" width="12.7265625" style="17" customWidth="1"/>
    <col min="15393" max="15393" width="6.81640625" style="17" customWidth="1"/>
    <col min="15394" max="15394" width="12.7265625" style="17" customWidth="1"/>
    <col min="15395" max="15395" width="6.81640625" style="17" customWidth="1"/>
    <col min="15396" max="15396" width="16.453125" style="17" bestFit="1" customWidth="1"/>
    <col min="15397" max="15397" width="9.54296875" style="17" bestFit="1" customWidth="1"/>
    <col min="15398" max="15398" width="17.453125" style="17" bestFit="1" customWidth="1"/>
    <col min="15399" max="15399" width="6" style="17" customWidth="1"/>
    <col min="15400" max="15400" width="13.7265625" style="17" customWidth="1"/>
    <col min="15401" max="15401" width="6" style="17" customWidth="1"/>
    <col min="15402" max="15402" width="12.7265625" style="17" customWidth="1"/>
    <col min="15403" max="15403" width="6.81640625" style="17" customWidth="1"/>
    <col min="15404" max="15404" width="12.7265625" style="17" customWidth="1"/>
    <col min="15405" max="15405" width="6.81640625" style="17" customWidth="1"/>
    <col min="15406" max="15406" width="15.453125" style="17" bestFit="1" customWidth="1"/>
    <col min="15407" max="15407" width="9.54296875" style="17" bestFit="1" customWidth="1"/>
    <col min="15408" max="15408" width="17.453125" style="17" bestFit="1" customWidth="1"/>
    <col min="15409" max="15409" width="8" style="17" customWidth="1"/>
    <col min="15410" max="15410" width="12.1796875" style="17" customWidth="1"/>
    <col min="15411" max="15411" width="8" style="17" customWidth="1"/>
    <col min="15412" max="15412" width="20" style="17" customWidth="1"/>
    <col min="15413" max="15413" width="15.26953125" style="17" bestFit="1" customWidth="1"/>
    <col min="15414" max="15414" width="14.26953125" style="17" bestFit="1" customWidth="1"/>
    <col min="15415" max="15415" width="13" style="17" bestFit="1" customWidth="1"/>
    <col min="15416" max="15587" width="8.7265625" style="17"/>
    <col min="15588" max="15588" width="2.7265625" style="17" customWidth="1"/>
    <col min="15589" max="15589" width="3.54296875" style="17" customWidth="1"/>
    <col min="15590" max="15590" width="7" style="17" customWidth="1"/>
    <col min="15591" max="15591" width="23" style="17" customWidth="1"/>
    <col min="15592" max="15592" width="13.26953125" style="17" customWidth="1"/>
    <col min="15593" max="15593" width="17.453125" style="17" bestFit="1" customWidth="1"/>
    <col min="15594" max="15594" width="11.54296875" style="17" bestFit="1" customWidth="1"/>
    <col min="15595" max="15595" width="7.81640625" style="17" customWidth="1"/>
    <col min="15596" max="15596" width="11.54296875" style="17" bestFit="1" customWidth="1"/>
    <col min="15597" max="15597" width="7" style="17" customWidth="1"/>
    <col min="15598" max="15598" width="18.1796875" style="17" customWidth="1"/>
    <col min="15599" max="15599" width="7" style="17" customWidth="1"/>
    <col min="15600" max="15600" width="15.54296875" style="17" customWidth="1"/>
    <col min="15601" max="15601" width="7.81640625" style="17" customWidth="1"/>
    <col min="15602" max="15602" width="15.54296875" style="17" customWidth="1"/>
    <col min="15603" max="15603" width="7.81640625" style="17" bestFit="1" customWidth="1"/>
    <col min="15604" max="15604" width="15.7265625" style="17" bestFit="1" customWidth="1"/>
    <col min="15605" max="15605" width="7.54296875" style="17" customWidth="1"/>
    <col min="15606" max="15606" width="14" style="17" customWidth="1"/>
    <col min="15607" max="15607" width="7.81640625" style="17" customWidth="1"/>
    <col min="15608" max="15608" width="14" style="17" customWidth="1"/>
    <col min="15609" max="15609" width="7.81640625" style="17" customWidth="1"/>
    <col min="15610" max="15610" width="14" style="17" customWidth="1"/>
    <col min="15611" max="15611" width="9" style="17" customWidth="1"/>
    <col min="15612" max="15612" width="15.1796875" style="17" customWidth="1"/>
    <col min="15613" max="15613" width="13" style="17" bestFit="1" customWidth="1"/>
    <col min="15614" max="15614" width="15.1796875" style="17" bestFit="1" customWidth="1"/>
    <col min="15615" max="15615" width="7.54296875" style="17" customWidth="1"/>
    <col min="15616" max="15616" width="14" style="17" customWidth="1"/>
    <col min="15617" max="15617" width="7.81640625" style="17" customWidth="1"/>
    <col min="15618" max="15618" width="14" style="17" customWidth="1"/>
    <col min="15619" max="15619" width="7.81640625" style="17" customWidth="1"/>
    <col min="15620" max="15620" width="14" style="17" customWidth="1"/>
    <col min="15621" max="15621" width="9" style="17" bestFit="1" customWidth="1"/>
    <col min="15622" max="15622" width="15.1796875" style="17" bestFit="1" customWidth="1"/>
    <col min="15623" max="15623" width="9" style="17" bestFit="1" customWidth="1"/>
    <col min="15624" max="15624" width="15.1796875" style="17" bestFit="1" customWidth="1"/>
    <col min="15625" max="15625" width="6.453125" style="17" customWidth="1"/>
    <col min="15626" max="15626" width="12.7265625" style="17" customWidth="1"/>
    <col min="15627" max="15627" width="6.453125" style="17" customWidth="1"/>
    <col min="15628" max="15628" width="12.7265625" style="17" customWidth="1"/>
    <col min="15629" max="15629" width="6" style="17" customWidth="1"/>
    <col min="15630" max="15630" width="12.7265625" style="17" customWidth="1"/>
    <col min="15631" max="15631" width="9.54296875" style="17" customWidth="1"/>
    <col min="15632" max="15632" width="14" style="17" bestFit="1" customWidth="1"/>
    <col min="15633" max="15633" width="8.7265625" style="17" bestFit="1" customWidth="1"/>
    <col min="15634" max="15634" width="13.54296875" style="17" customWidth="1"/>
    <col min="15635" max="15635" width="6" style="17" customWidth="1"/>
    <col min="15636" max="15636" width="13.7265625" style="17" customWidth="1"/>
    <col min="15637" max="15637" width="6" style="17" customWidth="1"/>
    <col min="15638" max="15638" width="12.7265625" style="17" customWidth="1"/>
    <col min="15639" max="15639" width="6.81640625" style="17" customWidth="1"/>
    <col min="15640" max="15640" width="12.7265625" style="17" customWidth="1"/>
    <col min="15641" max="15641" width="6.81640625" style="17" customWidth="1"/>
    <col min="15642" max="15642" width="15.7265625" style="17" bestFit="1" customWidth="1"/>
    <col min="15643" max="15643" width="8.54296875" style="17" bestFit="1" customWidth="1"/>
    <col min="15644" max="15644" width="13.54296875" style="17" customWidth="1"/>
    <col min="15645" max="15645" width="6" style="17" customWidth="1"/>
    <col min="15646" max="15646" width="13.7265625" style="17" customWidth="1"/>
    <col min="15647" max="15647" width="6" style="17" customWidth="1"/>
    <col min="15648" max="15648" width="12.7265625" style="17" customWidth="1"/>
    <col min="15649" max="15649" width="6.81640625" style="17" customWidth="1"/>
    <col min="15650" max="15650" width="12.7265625" style="17" customWidth="1"/>
    <col min="15651" max="15651" width="6.81640625" style="17" customWidth="1"/>
    <col min="15652" max="15652" width="16.453125" style="17" bestFit="1" customWidth="1"/>
    <col min="15653" max="15653" width="9.54296875" style="17" bestFit="1" customWidth="1"/>
    <col min="15654" max="15654" width="17.453125" style="17" bestFit="1" customWidth="1"/>
    <col min="15655" max="15655" width="6" style="17" customWidth="1"/>
    <col min="15656" max="15656" width="13.7265625" style="17" customWidth="1"/>
    <col min="15657" max="15657" width="6" style="17" customWidth="1"/>
    <col min="15658" max="15658" width="12.7265625" style="17" customWidth="1"/>
    <col min="15659" max="15659" width="6.81640625" style="17" customWidth="1"/>
    <col min="15660" max="15660" width="12.7265625" style="17" customWidth="1"/>
    <col min="15661" max="15661" width="6.81640625" style="17" customWidth="1"/>
    <col min="15662" max="15662" width="15.453125" style="17" bestFit="1" customWidth="1"/>
    <col min="15663" max="15663" width="9.54296875" style="17" bestFit="1" customWidth="1"/>
    <col min="15664" max="15664" width="17.453125" style="17" bestFit="1" customWidth="1"/>
    <col min="15665" max="15665" width="8" style="17" customWidth="1"/>
    <col min="15666" max="15666" width="12.1796875" style="17" customWidth="1"/>
    <col min="15667" max="15667" width="8" style="17" customWidth="1"/>
    <col min="15668" max="15668" width="20" style="17" customWidth="1"/>
    <col min="15669" max="15669" width="15.26953125" style="17" bestFit="1" customWidth="1"/>
    <col min="15670" max="15670" width="14.26953125" style="17" bestFit="1" customWidth="1"/>
    <col min="15671" max="15671" width="13" style="17" bestFit="1" customWidth="1"/>
    <col min="15672" max="15843" width="8.7265625" style="17"/>
    <col min="15844" max="15844" width="2.7265625" style="17" customWidth="1"/>
    <col min="15845" max="15845" width="3.54296875" style="17" customWidth="1"/>
    <col min="15846" max="15846" width="7" style="17" customWidth="1"/>
    <col min="15847" max="15847" width="23" style="17" customWidth="1"/>
    <col min="15848" max="15848" width="13.26953125" style="17" customWidth="1"/>
    <col min="15849" max="15849" width="17.453125" style="17" bestFit="1" customWidth="1"/>
    <col min="15850" max="15850" width="11.54296875" style="17" bestFit="1" customWidth="1"/>
    <col min="15851" max="15851" width="7.81640625" style="17" customWidth="1"/>
    <col min="15852" max="15852" width="11.54296875" style="17" bestFit="1" customWidth="1"/>
    <col min="15853" max="15853" width="7" style="17" customWidth="1"/>
    <col min="15854" max="15854" width="18.1796875" style="17" customWidth="1"/>
    <col min="15855" max="15855" width="7" style="17" customWidth="1"/>
    <col min="15856" max="15856" width="15.54296875" style="17" customWidth="1"/>
    <col min="15857" max="15857" width="7.81640625" style="17" customWidth="1"/>
    <col min="15858" max="15858" width="15.54296875" style="17" customWidth="1"/>
    <col min="15859" max="15859" width="7.81640625" style="17" bestFit="1" customWidth="1"/>
    <col min="15860" max="15860" width="15.7265625" style="17" bestFit="1" customWidth="1"/>
    <col min="15861" max="15861" width="7.54296875" style="17" customWidth="1"/>
    <col min="15862" max="15862" width="14" style="17" customWidth="1"/>
    <col min="15863" max="15863" width="7.81640625" style="17" customWidth="1"/>
    <col min="15864" max="15864" width="14" style="17" customWidth="1"/>
    <col min="15865" max="15865" width="7.81640625" style="17" customWidth="1"/>
    <col min="15866" max="15866" width="14" style="17" customWidth="1"/>
    <col min="15867" max="15867" width="9" style="17" customWidth="1"/>
    <col min="15868" max="15868" width="15.1796875" style="17" customWidth="1"/>
    <col min="15869" max="15869" width="13" style="17" bestFit="1" customWidth="1"/>
    <col min="15870" max="15870" width="15.1796875" style="17" bestFit="1" customWidth="1"/>
    <col min="15871" max="15871" width="7.54296875" style="17" customWidth="1"/>
    <col min="15872" max="15872" width="14" style="17" customWidth="1"/>
    <col min="15873" max="15873" width="7.81640625" style="17" customWidth="1"/>
    <col min="15874" max="15874" width="14" style="17" customWidth="1"/>
    <col min="15875" max="15875" width="7.81640625" style="17" customWidth="1"/>
    <col min="15876" max="15876" width="14" style="17" customWidth="1"/>
    <col min="15877" max="15877" width="9" style="17" bestFit="1" customWidth="1"/>
    <col min="15878" max="15878" width="15.1796875" style="17" bestFit="1" customWidth="1"/>
    <col min="15879" max="15879" width="9" style="17" bestFit="1" customWidth="1"/>
    <col min="15880" max="15880" width="15.1796875" style="17" bestFit="1" customWidth="1"/>
    <col min="15881" max="15881" width="6.453125" style="17" customWidth="1"/>
    <col min="15882" max="15882" width="12.7265625" style="17" customWidth="1"/>
    <col min="15883" max="15883" width="6.453125" style="17" customWidth="1"/>
    <col min="15884" max="15884" width="12.7265625" style="17" customWidth="1"/>
    <col min="15885" max="15885" width="6" style="17" customWidth="1"/>
    <col min="15886" max="15886" width="12.7265625" style="17" customWidth="1"/>
    <col min="15887" max="15887" width="9.54296875" style="17" customWidth="1"/>
    <col min="15888" max="15888" width="14" style="17" bestFit="1" customWidth="1"/>
    <col min="15889" max="15889" width="8.7265625" style="17" bestFit="1" customWidth="1"/>
    <col min="15890" max="15890" width="13.54296875" style="17" customWidth="1"/>
    <col min="15891" max="15891" width="6" style="17" customWidth="1"/>
    <col min="15892" max="15892" width="13.7265625" style="17" customWidth="1"/>
    <col min="15893" max="15893" width="6" style="17" customWidth="1"/>
    <col min="15894" max="15894" width="12.7265625" style="17" customWidth="1"/>
    <col min="15895" max="15895" width="6.81640625" style="17" customWidth="1"/>
    <col min="15896" max="15896" width="12.7265625" style="17" customWidth="1"/>
    <col min="15897" max="15897" width="6.81640625" style="17" customWidth="1"/>
    <col min="15898" max="15898" width="15.7265625" style="17" bestFit="1" customWidth="1"/>
    <col min="15899" max="15899" width="8.54296875" style="17" bestFit="1" customWidth="1"/>
    <col min="15900" max="15900" width="13.54296875" style="17" customWidth="1"/>
    <col min="15901" max="15901" width="6" style="17" customWidth="1"/>
    <col min="15902" max="15902" width="13.7265625" style="17" customWidth="1"/>
    <col min="15903" max="15903" width="6" style="17" customWidth="1"/>
    <col min="15904" max="15904" width="12.7265625" style="17" customWidth="1"/>
    <col min="15905" max="15905" width="6.81640625" style="17" customWidth="1"/>
    <col min="15906" max="15906" width="12.7265625" style="17" customWidth="1"/>
    <col min="15907" max="15907" width="6.81640625" style="17" customWidth="1"/>
    <col min="15908" max="15908" width="16.453125" style="17" bestFit="1" customWidth="1"/>
    <col min="15909" max="15909" width="9.54296875" style="17" bestFit="1" customWidth="1"/>
    <col min="15910" max="15910" width="17.453125" style="17" bestFit="1" customWidth="1"/>
    <col min="15911" max="15911" width="6" style="17" customWidth="1"/>
    <col min="15912" max="15912" width="13.7265625" style="17" customWidth="1"/>
    <col min="15913" max="15913" width="6" style="17" customWidth="1"/>
    <col min="15914" max="15914" width="12.7265625" style="17" customWidth="1"/>
    <col min="15915" max="15915" width="6.81640625" style="17" customWidth="1"/>
    <col min="15916" max="15916" width="12.7265625" style="17" customWidth="1"/>
    <col min="15917" max="15917" width="6.81640625" style="17" customWidth="1"/>
    <col min="15918" max="15918" width="15.453125" style="17" bestFit="1" customWidth="1"/>
    <col min="15919" max="15919" width="9.54296875" style="17" bestFit="1" customWidth="1"/>
    <col min="15920" max="15920" width="17.453125" style="17" bestFit="1" customWidth="1"/>
    <col min="15921" max="15921" width="8" style="17" customWidth="1"/>
    <col min="15922" max="15922" width="12.1796875" style="17" customWidth="1"/>
    <col min="15923" max="15923" width="8" style="17" customWidth="1"/>
    <col min="15924" max="15924" width="20" style="17" customWidth="1"/>
    <col min="15925" max="15925" width="15.26953125" style="17" bestFit="1" customWidth="1"/>
    <col min="15926" max="15926" width="14.26953125" style="17" bestFit="1" customWidth="1"/>
    <col min="15927" max="15927" width="13" style="17" bestFit="1" customWidth="1"/>
    <col min="15928" max="16099" width="8.7265625" style="17"/>
    <col min="16100" max="16100" width="2.7265625" style="17" customWidth="1"/>
    <col min="16101" max="16101" width="3.54296875" style="17" customWidth="1"/>
    <col min="16102" max="16102" width="7" style="17" customWidth="1"/>
    <col min="16103" max="16103" width="23" style="17" customWidth="1"/>
    <col min="16104" max="16104" width="13.26953125" style="17" customWidth="1"/>
    <col min="16105" max="16105" width="17.453125" style="17" bestFit="1" customWidth="1"/>
    <col min="16106" max="16106" width="11.54296875" style="17" bestFit="1" customWidth="1"/>
    <col min="16107" max="16107" width="7.81640625" style="17" customWidth="1"/>
    <col min="16108" max="16108" width="11.54296875" style="17" bestFit="1" customWidth="1"/>
    <col min="16109" max="16109" width="7" style="17" customWidth="1"/>
    <col min="16110" max="16110" width="18.1796875" style="17" customWidth="1"/>
    <col min="16111" max="16111" width="7" style="17" customWidth="1"/>
    <col min="16112" max="16112" width="15.54296875" style="17" customWidth="1"/>
    <col min="16113" max="16113" width="7.81640625" style="17" customWidth="1"/>
    <col min="16114" max="16114" width="15.54296875" style="17" customWidth="1"/>
    <col min="16115" max="16115" width="7.81640625" style="17" bestFit="1" customWidth="1"/>
    <col min="16116" max="16116" width="15.7265625" style="17" bestFit="1" customWidth="1"/>
    <col min="16117" max="16117" width="7.54296875" style="17" customWidth="1"/>
    <col min="16118" max="16118" width="14" style="17" customWidth="1"/>
    <col min="16119" max="16119" width="7.81640625" style="17" customWidth="1"/>
    <col min="16120" max="16120" width="14" style="17" customWidth="1"/>
    <col min="16121" max="16121" width="7.81640625" style="17" customWidth="1"/>
    <col min="16122" max="16122" width="14" style="17" customWidth="1"/>
    <col min="16123" max="16123" width="9" style="17" customWidth="1"/>
    <col min="16124" max="16124" width="15.1796875" style="17" customWidth="1"/>
    <col min="16125" max="16125" width="13" style="17" bestFit="1" customWidth="1"/>
    <col min="16126" max="16126" width="15.1796875" style="17" bestFit="1" customWidth="1"/>
    <col min="16127" max="16127" width="7.54296875" style="17" customWidth="1"/>
    <col min="16128" max="16128" width="14" style="17" customWidth="1"/>
    <col min="16129" max="16129" width="7.81640625" style="17" customWidth="1"/>
    <col min="16130" max="16130" width="14" style="17" customWidth="1"/>
    <col min="16131" max="16131" width="7.81640625" style="17" customWidth="1"/>
    <col min="16132" max="16132" width="14" style="17" customWidth="1"/>
    <col min="16133" max="16133" width="9" style="17" bestFit="1" customWidth="1"/>
    <col min="16134" max="16134" width="15.1796875" style="17" bestFit="1" customWidth="1"/>
    <col min="16135" max="16135" width="9" style="17" bestFit="1" customWidth="1"/>
    <col min="16136" max="16136" width="15.1796875" style="17" bestFit="1" customWidth="1"/>
    <col min="16137" max="16137" width="6.453125" style="17" customWidth="1"/>
    <col min="16138" max="16138" width="12.7265625" style="17" customWidth="1"/>
    <col min="16139" max="16139" width="6.453125" style="17" customWidth="1"/>
    <col min="16140" max="16140" width="12.7265625" style="17" customWidth="1"/>
    <col min="16141" max="16141" width="6" style="17" customWidth="1"/>
    <col min="16142" max="16142" width="12.7265625" style="17" customWidth="1"/>
    <col min="16143" max="16143" width="9.54296875" style="17" customWidth="1"/>
    <col min="16144" max="16144" width="14" style="17" bestFit="1" customWidth="1"/>
    <col min="16145" max="16145" width="8.7265625" style="17" bestFit="1" customWidth="1"/>
    <col min="16146" max="16146" width="13.54296875" style="17" customWidth="1"/>
    <col min="16147" max="16147" width="6" style="17" customWidth="1"/>
    <col min="16148" max="16148" width="13.7265625" style="17" customWidth="1"/>
    <col min="16149" max="16149" width="6" style="17" customWidth="1"/>
    <col min="16150" max="16150" width="12.7265625" style="17" customWidth="1"/>
    <col min="16151" max="16151" width="6.81640625" style="17" customWidth="1"/>
    <col min="16152" max="16152" width="12.7265625" style="17" customWidth="1"/>
    <col min="16153" max="16153" width="6.81640625" style="17" customWidth="1"/>
    <col min="16154" max="16154" width="15.7265625" style="17" bestFit="1" customWidth="1"/>
    <col min="16155" max="16155" width="8.54296875" style="17" bestFit="1" customWidth="1"/>
    <col min="16156" max="16156" width="13.54296875" style="17" customWidth="1"/>
    <col min="16157" max="16157" width="6" style="17" customWidth="1"/>
    <col min="16158" max="16158" width="13.7265625" style="17" customWidth="1"/>
    <col min="16159" max="16159" width="6" style="17" customWidth="1"/>
    <col min="16160" max="16160" width="12.7265625" style="17" customWidth="1"/>
    <col min="16161" max="16161" width="6.81640625" style="17" customWidth="1"/>
    <col min="16162" max="16162" width="12.7265625" style="17" customWidth="1"/>
    <col min="16163" max="16163" width="6.81640625" style="17" customWidth="1"/>
    <col min="16164" max="16164" width="16.453125" style="17" bestFit="1" customWidth="1"/>
    <col min="16165" max="16165" width="9.54296875" style="17" bestFit="1" customWidth="1"/>
    <col min="16166" max="16166" width="17.453125" style="17" bestFit="1" customWidth="1"/>
    <col min="16167" max="16167" width="6" style="17" customWidth="1"/>
    <col min="16168" max="16168" width="13.7265625" style="17" customWidth="1"/>
    <col min="16169" max="16169" width="6" style="17" customWidth="1"/>
    <col min="16170" max="16170" width="12.7265625" style="17" customWidth="1"/>
    <col min="16171" max="16171" width="6.81640625" style="17" customWidth="1"/>
    <col min="16172" max="16172" width="12.7265625" style="17" customWidth="1"/>
    <col min="16173" max="16173" width="6.81640625" style="17" customWidth="1"/>
    <col min="16174" max="16174" width="15.453125" style="17" bestFit="1" customWidth="1"/>
    <col min="16175" max="16175" width="9.54296875" style="17" bestFit="1" customWidth="1"/>
    <col min="16176" max="16176" width="17.453125" style="17" bestFit="1" customWidth="1"/>
    <col min="16177" max="16177" width="8" style="17" customWidth="1"/>
    <col min="16178" max="16178" width="12.1796875" style="17" customWidth="1"/>
    <col min="16179" max="16179" width="8" style="17" customWidth="1"/>
    <col min="16180" max="16180" width="20" style="17" customWidth="1"/>
    <col min="16181" max="16181" width="15.26953125" style="17" bestFit="1" customWidth="1"/>
    <col min="16182" max="16182" width="14.26953125" style="17" bestFit="1" customWidth="1"/>
    <col min="16183" max="16183" width="13" style="17" bestFit="1" customWidth="1"/>
    <col min="16184" max="16355" width="8.7265625" style="17"/>
    <col min="16356" max="16384" width="9.1796875" style="17" customWidth="1"/>
  </cols>
  <sheetData>
    <row r="1" spans="1:58" s="1" customFormat="1" ht="14.25" customHeight="1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S1" s="3"/>
      <c r="AT1" s="4"/>
      <c r="BC1" s="3"/>
      <c r="BD1" s="4"/>
      <c r="BE1" s="3"/>
      <c r="BF1" s="4"/>
    </row>
    <row r="2" spans="1:58" s="1" customFormat="1" ht="14.25" customHeight="1" x14ac:dyDescent="0.3">
      <c r="B2" s="5" t="s">
        <v>1</v>
      </c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7"/>
      <c r="O2" s="6"/>
      <c r="P2" s="8"/>
      <c r="Q2" s="6"/>
      <c r="R2" s="6"/>
      <c r="S2" s="6"/>
      <c r="T2" s="6"/>
      <c r="U2" s="6"/>
      <c r="V2" s="7"/>
      <c r="W2" s="6"/>
      <c r="X2" s="7"/>
      <c r="Y2" s="6"/>
      <c r="Z2" s="9"/>
      <c r="AA2" s="6"/>
      <c r="AB2" s="6"/>
      <c r="AC2" s="6"/>
      <c r="AD2" s="6"/>
      <c r="AE2" s="5"/>
      <c r="AF2" s="10"/>
      <c r="AG2" s="5"/>
      <c r="AH2" s="10"/>
      <c r="AI2" s="6"/>
      <c r="AJ2" s="9"/>
      <c r="AK2" s="5"/>
      <c r="AL2" s="5"/>
      <c r="AR2" s="11"/>
      <c r="AS2" s="3"/>
      <c r="AT2" s="4"/>
      <c r="BC2" s="3"/>
      <c r="BD2" s="4"/>
      <c r="BE2" s="3"/>
      <c r="BF2" s="4"/>
    </row>
    <row r="3" spans="1:58" s="1" customFormat="1" ht="14.25" customHeight="1" x14ac:dyDescent="0.3">
      <c r="B3" s="12" t="s">
        <v>2</v>
      </c>
      <c r="C3" s="12"/>
      <c r="D3" s="12"/>
      <c r="E3" s="12"/>
      <c r="F3" s="13"/>
      <c r="I3" s="3"/>
      <c r="J3" s="3"/>
      <c r="K3" s="3"/>
      <c r="L3" s="3"/>
      <c r="M3" s="3"/>
      <c r="N3" s="14"/>
      <c r="O3" s="3"/>
      <c r="P3" s="15"/>
      <c r="Q3" s="3"/>
      <c r="R3" s="3"/>
      <c r="S3" s="16"/>
      <c r="T3" s="3"/>
      <c r="U3" s="3"/>
      <c r="V3" s="14"/>
      <c r="W3" s="3"/>
      <c r="X3" s="14"/>
      <c r="Y3" s="3"/>
      <c r="Z3" s="4"/>
      <c r="AA3" s="3"/>
      <c r="AB3" s="3"/>
      <c r="AC3" s="16"/>
      <c r="AD3" s="3"/>
      <c r="AH3" s="11"/>
      <c r="AI3" s="3"/>
      <c r="AJ3" s="4"/>
      <c r="AK3" s="11"/>
      <c r="AN3" s="11"/>
      <c r="AP3" s="11"/>
      <c r="AS3" s="3"/>
      <c r="AT3" s="4"/>
      <c r="AU3" s="11"/>
      <c r="BC3" s="3"/>
      <c r="BD3" s="4"/>
      <c r="BE3" s="3"/>
      <c r="BF3" s="4"/>
    </row>
    <row r="4" spans="1:58" ht="6" customHeight="1" x14ac:dyDescent="0.3">
      <c r="B4" s="18"/>
      <c r="C4" s="18"/>
      <c r="D4" s="18"/>
      <c r="E4" s="19"/>
      <c r="F4" s="19"/>
      <c r="G4" s="20"/>
      <c r="H4" s="20"/>
      <c r="I4" s="21"/>
      <c r="J4" s="21"/>
      <c r="N4" s="23"/>
      <c r="P4" s="24"/>
      <c r="V4" s="23"/>
      <c r="X4" s="23"/>
      <c r="AG4" s="27"/>
      <c r="AN4" s="27"/>
      <c r="AO4" s="27"/>
    </row>
    <row r="5" spans="1:58" s="31" customFormat="1" ht="14.25" customHeight="1" thickBot="1" x14ac:dyDescent="0.3">
      <c r="A5" s="28">
        <v>400.8</v>
      </c>
      <c r="B5" s="29" t="s">
        <v>3</v>
      </c>
      <c r="C5" s="29"/>
      <c r="D5" s="30" t="s">
        <v>4</v>
      </c>
      <c r="E5" s="29" t="s">
        <v>5</v>
      </c>
      <c r="F5" s="29"/>
      <c r="I5" s="32"/>
      <c r="J5" s="32"/>
      <c r="K5" s="32"/>
      <c r="L5" s="32"/>
      <c r="M5" s="32"/>
      <c r="N5" s="32"/>
      <c r="O5" s="32"/>
      <c r="P5" s="33"/>
      <c r="Q5" s="32"/>
      <c r="R5" s="32"/>
      <c r="S5" s="34">
        <v>400.8</v>
      </c>
      <c r="T5" s="32"/>
      <c r="U5" s="32"/>
      <c r="V5" s="32"/>
      <c r="W5" s="32"/>
      <c r="X5" s="32"/>
      <c r="Y5" s="32"/>
      <c r="Z5" s="33"/>
      <c r="AA5" s="32"/>
      <c r="AB5" s="32"/>
      <c r="AC5" s="34"/>
      <c r="AD5" s="32"/>
      <c r="AI5" s="32"/>
      <c r="AJ5" s="33"/>
      <c r="AS5" s="32"/>
      <c r="AT5" s="33"/>
      <c r="BC5" s="32"/>
      <c r="BD5" s="33"/>
      <c r="BE5" s="32"/>
      <c r="BF5" s="33"/>
    </row>
    <row r="6" spans="1:58" s="31" customFormat="1" ht="14.25" customHeight="1" x14ac:dyDescent="0.25">
      <c r="B6" s="35" t="s">
        <v>6</v>
      </c>
      <c r="C6" s="36" t="s">
        <v>7</v>
      </c>
      <c r="D6" s="36"/>
      <c r="E6" s="36" t="s">
        <v>8</v>
      </c>
      <c r="F6" s="36"/>
      <c r="G6" s="37" t="s">
        <v>9</v>
      </c>
      <c r="H6" s="38" t="s">
        <v>10</v>
      </c>
      <c r="I6" s="39" t="s">
        <v>11</v>
      </c>
      <c r="J6" s="40"/>
      <c r="K6" s="40"/>
      <c r="L6" s="40"/>
      <c r="M6" s="40"/>
      <c r="N6" s="40"/>
      <c r="O6" s="40"/>
      <c r="P6" s="40"/>
      <c r="Q6" s="40"/>
      <c r="R6" s="40"/>
      <c r="S6" s="40" t="s">
        <v>12</v>
      </c>
      <c r="T6" s="40"/>
      <c r="U6" s="40"/>
      <c r="V6" s="40"/>
      <c r="W6" s="40"/>
      <c r="X6" s="40"/>
      <c r="Y6" s="40"/>
      <c r="Z6" s="40"/>
      <c r="AA6" s="40"/>
      <c r="AB6" s="40"/>
      <c r="AC6" s="41" t="s">
        <v>13</v>
      </c>
      <c r="AD6" s="41"/>
      <c r="AE6" s="41"/>
      <c r="AF6" s="41"/>
      <c r="AG6" s="41"/>
      <c r="AH6" s="41"/>
      <c r="AI6" s="41"/>
      <c r="AJ6" s="41"/>
      <c r="AK6" s="41"/>
      <c r="AL6" s="41"/>
      <c r="AM6" s="41" t="s">
        <v>14</v>
      </c>
      <c r="AN6" s="41"/>
      <c r="AO6" s="41"/>
      <c r="AP6" s="41"/>
      <c r="AQ6" s="41"/>
      <c r="AR6" s="41"/>
      <c r="AS6" s="41"/>
      <c r="AT6" s="41"/>
      <c r="AU6" s="41"/>
      <c r="AV6" s="41"/>
      <c r="AW6" s="41" t="s">
        <v>15</v>
      </c>
      <c r="AX6" s="41"/>
      <c r="AY6" s="41"/>
      <c r="AZ6" s="41"/>
      <c r="BA6" s="41"/>
      <c r="BB6" s="41"/>
      <c r="BC6" s="41"/>
      <c r="BD6" s="41"/>
      <c r="BE6" s="41"/>
      <c r="BF6" s="42"/>
    </row>
    <row r="7" spans="1:58" s="31" customFormat="1" ht="14.25" customHeight="1" x14ac:dyDescent="0.25">
      <c r="B7" s="43"/>
      <c r="C7" s="44"/>
      <c r="D7" s="44"/>
      <c r="E7" s="44" t="s">
        <v>16</v>
      </c>
      <c r="F7" s="44"/>
      <c r="G7" s="44"/>
      <c r="H7" s="45"/>
      <c r="I7" s="46" t="s">
        <v>17</v>
      </c>
      <c r="J7" s="47"/>
      <c r="K7" s="47" t="s">
        <v>18</v>
      </c>
      <c r="L7" s="47"/>
      <c r="M7" s="47" t="s">
        <v>19</v>
      </c>
      <c r="N7" s="47"/>
      <c r="O7" s="47" t="s">
        <v>20</v>
      </c>
      <c r="P7" s="47"/>
      <c r="Q7" s="47" t="s">
        <v>21</v>
      </c>
      <c r="R7" s="47"/>
      <c r="S7" s="47" t="s">
        <v>17</v>
      </c>
      <c r="T7" s="47"/>
      <c r="U7" s="47" t="s">
        <v>18</v>
      </c>
      <c r="V7" s="47"/>
      <c r="W7" s="47" t="s">
        <v>19</v>
      </c>
      <c r="X7" s="47"/>
      <c r="Y7" s="47" t="s">
        <v>22</v>
      </c>
      <c r="Z7" s="47"/>
      <c r="AA7" s="47" t="s">
        <v>23</v>
      </c>
      <c r="AB7" s="47"/>
      <c r="AC7" s="47" t="s">
        <v>17</v>
      </c>
      <c r="AD7" s="47"/>
      <c r="AE7" s="48" t="s">
        <v>18</v>
      </c>
      <c r="AF7" s="48"/>
      <c r="AG7" s="48" t="s">
        <v>19</v>
      </c>
      <c r="AH7" s="48"/>
      <c r="AI7" s="48" t="s">
        <v>24</v>
      </c>
      <c r="AJ7" s="48"/>
      <c r="AK7" s="48" t="s">
        <v>25</v>
      </c>
      <c r="AL7" s="48"/>
      <c r="AM7" s="48" t="s">
        <v>17</v>
      </c>
      <c r="AN7" s="48"/>
      <c r="AO7" s="48" t="s">
        <v>18</v>
      </c>
      <c r="AP7" s="48"/>
      <c r="AQ7" s="48" t="s">
        <v>19</v>
      </c>
      <c r="AR7" s="48"/>
      <c r="AS7" s="48" t="s">
        <v>26</v>
      </c>
      <c r="AT7" s="48"/>
      <c r="AU7" s="48" t="s">
        <v>27</v>
      </c>
      <c r="AV7" s="48"/>
      <c r="AW7" s="48" t="s">
        <v>17</v>
      </c>
      <c r="AX7" s="48"/>
      <c r="AY7" s="48" t="s">
        <v>18</v>
      </c>
      <c r="AZ7" s="48"/>
      <c r="BA7" s="48" t="s">
        <v>19</v>
      </c>
      <c r="BB7" s="48"/>
      <c r="BC7" s="48" t="s">
        <v>26</v>
      </c>
      <c r="BD7" s="48"/>
      <c r="BE7" s="48" t="s">
        <v>27</v>
      </c>
      <c r="BF7" s="49"/>
    </row>
    <row r="8" spans="1:58" s="31" customFormat="1" ht="12.75" customHeight="1" x14ac:dyDescent="0.25">
      <c r="B8" s="43"/>
      <c r="C8" s="44"/>
      <c r="D8" s="44"/>
      <c r="E8" s="50" t="s">
        <v>28</v>
      </c>
      <c r="F8" s="50" t="s">
        <v>29</v>
      </c>
      <c r="G8" s="44"/>
      <c r="H8" s="45"/>
      <c r="I8" s="51" t="s">
        <v>30</v>
      </c>
      <c r="J8" s="52" t="s">
        <v>29</v>
      </c>
      <c r="K8" s="52" t="s">
        <v>30</v>
      </c>
      <c r="L8" s="52" t="s">
        <v>29</v>
      </c>
      <c r="M8" s="52" t="s">
        <v>30</v>
      </c>
      <c r="N8" s="52" t="s">
        <v>29</v>
      </c>
      <c r="O8" s="52" t="s">
        <v>30</v>
      </c>
      <c r="P8" s="53" t="s">
        <v>29</v>
      </c>
      <c r="Q8" s="52" t="s">
        <v>30</v>
      </c>
      <c r="R8" s="52" t="s">
        <v>29</v>
      </c>
      <c r="S8" s="52" t="s">
        <v>30</v>
      </c>
      <c r="T8" s="52" t="s">
        <v>29</v>
      </c>
      <c r="U8" s="52" t="s">
        <v>30</v>
      </c>
      <c r="V8" s="52" t="s">
        <v>29</v>
      </c>
      <c r="W8" s="52" t="s">
        <v>30</v>
      </c>
      <c r="X8" s="52" t="s">
        <v>29</v>
      </c>
      <c r="Y8" s="52" t="s">
        <v>30</v>
      </c>
      <c r="Z8" s="53" t="s">
        <v>29</v>
      </c>
      <c r="AA8" s="52" t="s">
        <v>30</v>
      </c>
      <c r="AB8" s="52" t="s">
        <v>29</v>
      </c>
      <c r="AC8" s="52" t="s">
        <v>30</v>
      </c>
      <c r="AD8" s="52" t="s">
        <v>29</v>
      </c>
      <c r="AE8" s="54" t="s">
        <v>30</v>
      </c>
      <c r="AF8" s="54" t="s">
        <v>29</v>
      </c>
      <c r="AG8" s="54" t="s">
        <v>30</v>
      </c>
      <c r="AH8" s="54" t="s">
        <v>29</v>
      </c>
      <c r="AI8" s="52" t="s">
        <v>30</v>
      </c>
      <c r="AJ8" s="53" t="s">
        <v>29</v>
      </c>
      <c r="AK8" s="54" t="s">
        <v>30</v>
      </c>
      <c r="AL8" s="54" t="s">
        <v>29</v>
      </c>
      <c r="AM8" s="54" t="s">
        <v>30</v>
      </c>
      <c r="AN8" s="54" t="s">
        <v>29</v>
      </c>
      <c r="AO8" s="54" t="s">
        <v>30</v>
      </c>
      <c r="AP8" s="54" t="s">
        <v>29</v>
      </c>
      <c r="AQ8" s="54" t="s">
        <v>30</v>
      </c>
      <c r="AR8" s="54" t="s">
        <v>29</v>
      </c>
      <c r="AS8" s="52" t="s">
        <v>30</v>
      </c>
      <c r="AT8" s="53" t="s">
        <v>29</v>
      </c>
      <c r="AU8" s="54" t="s">
        <v>30</v>
      </c>
      <c r="AV8" s="54" t="s">
        <v>29</v>
      </c>
      <c r="AW8" s="54" t="s">
        <v>30</v>
      </c>
      <c r="AX8" s="54" t="s">
        <v>29</v>
      </c>
      <c r="AY8" s="54" t="s">
        <v>30</v>
      </c>
      <c r="AZ8" s="54" t="s">
        <v>29</v>
      </c>
      <c r="BA8" s="54" t="s">
        <v>30</v>
      </c>
      <c r="BB8" s="54" t="s">
        <v>29</v>
      </c>
      <c r="BC8" s="52" t="s">
        <v>30</v>
      </c>
      <c r="BD8" s="53" t="s">
        <v>29</v>
      </c>
      <c r="BE8" s="52" t="s">
        <v>30</v>
      </c>
      <c r="BF8" s="55" t="s">
        <v>29</v>
      </c>
    </row>
    <row r="9" spans="1:58" s="31" customFormat="1" ht="14.25" customHeight="1" thickBot="1" x14ac:dyDescent="0.3">
      <c r="B9" s="56"/>
      <c r="C9" s="57"/>
      <c r="D9" s="57"/>
      <c r="E9" s="58" t="s">
        <v>31</v>
      </c>
      <c r="F9" s="58" t="s">
        <v>32</v>
      </c>
      <c r="G9" s="57"/>
      <c r="H9" s="59"/>
      <c r="I9" s="60" t="s">
        <v>31</v>
      </c>
      <c r="J9" s="61" t="s">
        <v>32</v>
      </c>
      <c r="K9" s="61" t="s">
        <v>31</v>
      </c>
      <c r="L9" s="61" t="s">
        <v>32</v>
      </c>
      <c r="M9" s="61" t="s">
        <v>31</v>
      </c>
      <c r="N9" s="61" t="s">
        <v>32</v>
      </c>
      <c r="O9" s="61" t="s">
        <v>31</v>
      </c>
      <c r="P9" s="62" t="s">
        <v>32</v>
      </c>
      <c r="Q9" s="61" t="s">
        <v>31</v>
      </c>
      <c r="R9" s="61" t="s">
        <v>32</v>
      </c>
      <c r="S9" s="61" t="s">
        <v>31</v>
      </c>
      <c r="T9" s="61" t="s">
        <v>32</v>
      </c>
      <c r="U9" s="61" t="s">
        <v>31</v>
      </c>
      <c r="V9" s="61" t="s">
        <v>32</v>
      </c>
      <c r="W9" s="61" t="s">
        <v>31</v>
      </c>
      <c r="X9" s="61" t="s">
        <v>32</v>
      </c>
      <c r="Y9" s="61" t="s">
        <v>31</v>
      </c>
      <c r="Z9" s="62" t="s">
        <v>32</v>
      </c>
      <c r="AA9" s="61" t="s">
        <v>31</v>
      </c>
      <c r="AB9" s="61" t="s">
        <v>32</v>
      </c>
      <c r="AC9" s="61" t="s">
        <v>31</v>
      </c>
      <c r="AD9" s="61" t="s">
        <v>32</v>
      </c>
      <c r="AE9" s="63" t="s">
        <v>31</v>
      </c>
      <c r="AF9" s="63" t="s">
        <v>32</v>
      </c>
      <c r="AG9" s="63" t="s">
        <v>31</v>
      </c>
      <c r="AH9" s="63" t="s">
        <v>32</v>
      </c>
      <c r="AI9" s="61" t="s">
        <v>31</v>
      </c>
      <c r="AJ9" s="62" t="s">
        <v>32</v>
      </c>
      <c r="AK9" s="63" t="s">
        <v>31</v>
      </c>
      <c r="AL9" s="63" t="s">
        <v>32</v>
      </c>
      <c r="AM9" s="63" t="s">
        <v>31</v>
      </c>
      <c r="AN9" s="63" t="s">
        <v>32</v>
      </c>
      <c r="AO9" s="63" t="s">
        <v>31</v>
      </c>
      <c r="AP9" s="63" t="s">
        <v>32</v>
      </c>
      <c r="AQ9" s="63" t="s">
        <v>31</v>
      </c>
      <c r="AR9" s="63" t="s">
        <v>32</v>
      </c>
      <c r="AS9" s="61" t="s">
        <v>31</v>
      </c>
      <c r="AT9" s="62" t="s">
        <v>32</v>
      </c>
      <c r="AU9" s="63" t="s">
        <v>31</v>
      </c>
      <c r="AV9" s="63" t="s">
        <v>32</v>
      </c>
      <c r="AW9" s="63" t="s">
        <v>31</v>
      </c>
      <c r="AX9" s="63" t="s">
        <v>32</v>
      </c>
      <c r="AY9" s="63" t="s">
        <v>31</v>
      </c>
      <c r="AZ9" s="63" t="s">
        <v>32</v>
      </c>
      <c r="BA9" s="63" t="s">
        <v>31</v>
      </c>
      <c r="BB9" s="63" t="s">
        <v>32</v>
      </c>
      <c r="BC9" s="61" t="s">
        <v>31</v>
      </c>
      <c r="BD9" s="62" t="s">
        <v>32</v>
      </c>
      <c r="BE9" s="61" t="s">
        <v>31</v>
      </c>
      <c r="BF9" s="64" t="s">
        <v>32</v>
      </c>
    </row>
    <row r="10" spans="1:58" s="31" customFormat="1" ht="14.25" customHeight="1" x14ac:dyDescent="0.25">
      <c r="B10" s="65">
        <v>1</v>
      </c>
      <c r="C10" s="66" t="s">
        <v>33</v>
      </c>
      <c r="D10" s="66"/>
      <c r="E10" s="67">
        <f>$A$5</f>
        <v>400.8</v>
      </c>
      <c r="F10" s="68">
        <f>'[1]By Pra Operasional'!Q16</f>
        <v>8396367510.4000006</v>
      </c>
      <c r="G10" s="69">
        <f>'[1]By Pra Operasional'!R16</f>
        <v>20949020.734530941</v>
      </c>
      <c r="H10" s="70">
        <f>G10/$G$16*100</f>
        <v>17.380310316307636</v>
      </c>
      <c r="I10" s="71">
        <v>0</v>
      </c>
      <c r="J10" s="72">
        <f>I10*$G10</f>
        <v>0</v>
      </c>
      <c r="K10" s="72">
        <v>0</v>
      </c>
      <c r="L10" s="72">
        <f>K10*$G10</f>
        <v>0</v>
      </c>
      <c r="M10" s="72">
        <v>300</v>
      </c>
      <c r="N10" s="72">
        <f>M10*G10</f>
        <v>6284706220.3592825</v>
      </c>
      <c r="O10" s="72">
        <f>I10+K10+M10</f>
        <v>300</v>
      </c>
      <c r="P10" s="69">
        <f>J10+L10+N10</f>
        <v>6284706220.3592825</v>
      </c>
      <c r="Q10" s="72">
        <f>'[1]By Pra Operasional'!K16</f>
        <v>333.4</v>
      </c>
      <c r="R10" s="72">
        <f>'[1]By Pra Operasional'!L16</f>
        <v>6988355359.1999998</v>
      </c>
      <c r="S10" s="72">
        <f>'[1]By Pra Operasional'!N16</f>
        <v>67.400000000000034</v>
      </c>
      <c r="T10" s="72">
        <f>'[1]By Pra Operasional'!O16</f>
        <v>1408012151.2000008</v>
      </c>
      <c r="U10" s="72">
        <v>0</v>
      </c>
      <c r="V10" s="72">
        <f>U10*$G10</f>
        <v>0</v>
      </c>
      <c r="W10" s="72">
        <v>0</v>
      </c>
      <c r="X10" s="72">
        <f>W10*$G10</f>
        <v>0</v>
      </c>
      <c r="Y10" s="72">
        <f>S10+U10+W10</f>
        <v>67.400000000000034</v>
      </c>
      <c r="Z10" s="69">
        <f t="shared" ref="Y10:Z15" si="0">T10+V10+X10</f>
        <v>1408012151.2000008</v>
      </c>
      <c r="AA10" s="72">
        <f>Q10+Y10</f>
        <v>400.8</v>
      </c>
      <c r="AB10" s="72">
        <f t="shared" ref="AB10:AB15" si="1">Z10+R10</f>
        <v>8396367510.4000006</v>
      </c>
      <c r="AC10" s="72">
        <v>0</v>
      </c>
      <c r="AD10" s="72">
        <f>AC10*$G10</f>
        <v>0</v>
      </c>
      <c r="AE10" s="69">
        <v>0</v>
      </c>
      <c r="AF10" s="69">
        <f>AE10*$G10</f>
        <v>0</v>
      </c>
      <c r="AG10" s="69">
        <v>0</v>
      </c>
      <c r="AH10" s="69">
        <f>AG10*$G10</f>
        <v>0</v>
      </c>
      <c r="AI10" s="72"/>
      <c r="AJ10" s="69"/>
      <c r="AK10" s="73">
        <f>AA10+AI10</f>
        <v>400.8</v>
      </c>
      <c r="AL10" s="69">
        <f t="shared" ref="AL10:AL15" si="2">AJ10+AB10</f>
        <v>8396367510.4000006</v>
      </c>
      <c r="AM10" s="69">
        <v>0</v>
      </c>
      <c r="AN10" s="69">
        <f>AM10*$G10</f>
        <v>0</v>
      </c>
      <c r="AO10" s="69">
        <v>0</v>
      </c>
      <c r="AP10" s="69">
        <f>AO10*$G10</f>
        <v>0</v>
      </c>
      <c r="AQ10" s="69">
        <v>0</v>
      </c>
      <c r="AR10" s="69">
        <f>AQ10*$G10</f>
        <v>0</v>
      </c>
      <c r="AS10" s="72">
        <f t="shared" ref="AS10:AT10" si="3">AM10+AO10+AQ10</f>
        <v>0</v>
      </c>
      <c r="AT10" s="69">
        <f t="shared" si="3"/>
        <v>0</v>
      </c>
      <c r="AU10" s="73">
        <f>AK10+AS10</f>
        <v>400.8</v>
      </c>
      <c r="AV10" s="69">
        <f t="shared" ref="AV10:AV15" si="4">AT10+AL10</f>
        <v>8396367510.4000006</v>
      </c>
      <c r="AW10" s="69">
        <v>0</v>
      </c>
      <c r="AX10" s="69">
        <f>AW10*$G10</f>
        <v>0</v>
      </c>
      <c r="AY10" s="69">
        <v>0</v>
      </c>
      <c r="AZ10" s="69">
        <f>AY10*$G10</f>
        <v>0</v>
      </c>
      <c r="BA10" s="69">
        <v>0</v>
      </c>
      <c r="BB10" s="69">
        <f>BA10*$G10</f>
        <v>0</v>
      </c>
      <c r="BC10" s="72">
        <f t="shared" ref="BC10:BD10" si="5">AW10+AY10+BA10</f>
        <v>0</v>
      </c>
      <c r="BD10" s="69">
        <f t="shared" si="5"/>
        <v>0</v>
      </c>
      <c r="BE10" s="72">
        <f>AU10+BC10</f>
        <v>400.8</v>
      </c>
      <c r="BF10" s="74">
        <f t="shared" ref="BF10:BF15" si="6">BD10+AV10</f>
        <v>8396367510.4000006</v>
      </c>
    </row>
    <row r="11" spans="1:58" s="31" customFormat="1" ht="14.25" customHeight="1" x14ac:dyDescent="0.25">
      <c r="B11" s="75">
        <f>B10+1</f>
        <v>2</v>
      </c>
      <c r="C11" s="76" t="s">
        <v>34</v>
      </c>
      <c r="D11" s="76"/>
      <c r="E11" s="77">
        <f t="shared" ref="E11:E16" si="7">$A$5</f>
        <v>400.8</v>
      </c>
      <c r="F11" s="78">
        <f>'[1]By Non Tanaman'!H21+'[1]By Non Tanaman'!I21</f>
        <v>1206950000</v>
      </c>
      <c r="G11" s="79">
        <f>'[1]By Non Tanaman'!J21</f>
        <v>3011352.2954091816</v>
      </c>
      <c r="H11" s="80">
        <f>G11/$G$16*100</f>
        <v>2.4983620012207104</v>
      </c>
      <c r="I11" s="81"/>
      <c r="J11" s="82"/>
      <c r="K11" s="82"/>
      <c r="L11" s="82"/>
      <c r="M11" s="82"/>
      <c r="N11" s="82"/>
      <c r="O11" s="82">
        <f>I11+K11+M11</f>
        <v>0</v>
      </c>
      <c r="P11" s="79">
        <f t="shared" ref="P11:P15" si="8">J11+L11+N11</f>
        <v>0</v>
      </c>
      <c r="Q11" s="82"/>
      <c r="R11" s="82"/>
      <c r="S11" s="82"/>
      <c r="T11" s="82"/>
      <c r="U11" s="82">
        <v>200</v>
      </c>
      <c r="V11" s="82">
        <f>'[1]By Non Tanaman'!H21</f>
        <v>533950000</v>
      </c>
      <c r="W11" s="82"/>
      <c r="X11" s="82"/>
      <c r="Y11" s="82">
        <f>S11+U11+W11</f>
        <v>200</v>
      </c>
      <c r="Z11" s="79">
        <f t="shared" si="0"/>
        <v>533950000</v>
      </c>
      <c r="AA11" s="82">
        <f>Q11+Y11</f>
        <v>200</v>
      </c>
      <c r="AB11" s="82">
        <f t="shared" si="1"/>
        <v>533950000</v>
      </c>
      <c r="AC11" s="82">
        <v>200.8</v>
      </c>
      <c r="AD11" s="82">
        <f>'[1]By Non Tanaman'!I21</f>
        <v>673000000</v>
      </c>
      <c r="AE11" s="79"/>
      <c r="AF11" s="79"/>
      <c r="AG11" s="79"/>
      <c r="AH11" s="79"/>
      <c r="AI11" s="82">
        <f t="shared" ref="AI11:AJ11" si="9">AC11+AE11+AG11</f>
        <v>200.8</v>
      </c>
      <c r="AJ11" s="79">
        <f t="shared" si="9"/>
        <v>673000000</v>
      </c>
      <c r="AK11" s="83">
        <f>AA11+AI11</f>
        <v>400.8</v>
      </c>
      <c r="AL11" s="79">
        <f t="shared" si="2"/>
        <v>1206950000</v>
      </c>
      <c r="AM11" s="79"/>
      <c r="AN11" s="79"/>
      <c r="AO11" s="79"/>
      <c r="AP11" s="79"/>
      <c r="AQ11" s="79"/>
      <c r="AR11" s="79"/>
      <c r="AS11" s="82"/>
      <c r="AT11" s="79"/>
      <c r="AU11" s="83">
        <f>AK11+AS11</f>
        <v>400.8</v>
      </c>
      <c r="AV11" s="79">
        <f t="shared" si="4"/>
        <v>1206950000</v>
      </c>
      <c r="AW11" s="79"/>
      <c r="AX11" s="79"/>
      <c r="AY11" s="79"/>
      <c r="AZ11" s="79"/>
      <c r="BA11" s="79"/>
      <c r="BB11" s="79"/>
      <c r="BC11" s="82"/>
      <c r="BD11" s="79"/>
      <c r="BE11" s="82">
        <f>AU11+BC11</f>
        <v>400.8</v>
      </c>
      <c r="BF11" s="84">
        <f t="shared" si="6"/>
        <v>1206950000</v>
      </c>
    </row>
    <row r="12" spans="1:58" s="31" customFormat="1" ht="14.25" customHeight="1" x14ac:dyDescent="0.25">
      <c r="B12" s="75">
        <f>B11+1</f>
        <v>3</v>
      </c>
      <c r="C12" s="85" t="s">
        <v>35</v>
      </c>
      <c r="D12" s="85"/>
      <c r="E12" s="77">
        <f t="shared" si="7"/>
        <v>400.8</v>
      </c>
      <c r="F12" s="78">
        <f>'REKAP BIAYA'!F46</f>
        <v>19876409454.730301</v>
      </c>
      <c r="G12" s="79">
        <f>'REKAP BIAYA'!F47</f>
        <v>49591839.956911929</v>
      </c>
      <c r="H12" s="80">
        <f>G12/$G$16*100</f>
        <v>41.143764118150919</v>
      </c>
      <c r="I12" s="81">
        <v>0</v>
      </c>
      <c r="J12" s="82">
        <f>I12*$G12</f>
        <v>0</v>
      </c>
      <c r="K12" s="82">
        <v>0</v>
      </c>
      <c r="L12" s="82">
        <f>K12*$G12</f>
        <v>0</v>
      </c>
      <c r="M12" s="82">
        <v>0</v>
      </c>
      <c r="N12" s="82">
        <f>M12*$G12</f>
        <v>0</v>
      </c>
      <c r="O12" s="82">
        <f>I12+K12+M12</f>
        <v>0</v>
      </c>
      <c r="P12" s="79">
        <f t="shared" si="8"/>
        <v>0</v>
      </c>
      <c r="Q12" s="82">
        <f t="shared" ref="Q12:R15" si="10">O12</f>
        <v>0</v>
      </c>
      <c r="R12" s="82">
        <f t="shared" si="10"/>
        <v>0</v>
      </c>
      <c r="S12" s="82">
        <v>200</v>
      </c>
      <c r="T12" s="82">
        <f>S12*$G12</f>
        <v>9918367991.3823853</v>
      </c>
      <c r="U12" s="82">
        <v>200.8</v>
      </c>
      <c r="V12" s="82">
        <f>U12*$G12</f>
        <v>9958041463.3479156</v>
      </c>
      <c r="W12" s="82">
        <v>0</v>
      </c>
      <c r="X12" s="82">
        <f>W12*$G12</f>
        <v>0</v>
      </c>
      <c r="Y12" s="82">
        <f>S12+U12+W12</f>
        <v>400.8</v>
      </c>
      <c r="Z12" s="79">
        <f t="shared" si="0"/>
        <v>19876409454.730301</v>
      </c>
      <c r="AA12" s="82">
        <f>Q12+Y12</f>
        <v>400.8</v>
      </c>
      <c r="AB12" s="82">
        <f t="shared" si="1"/>
        <v>19876409454.730301</v>
      </c>
      <c r="AC12" s="82">
        <v>0</v>
      </c>
      <c r="AD12" s="82">
        <f>AC12*$G12</f>
        <v>0</v>
      </c>
      <c r="AE12" s="79">
        <v>0</v>
      </c>
      <c r="AF12" s="79">
        <f>AE12*$G12</f>
        <v>0</v>
      </c>
      <c r="AG12" s="79">
        <v>0</v>
      </c>
      <c r="AH12" s="79">
        <f>AG12*$G12</f>
        <v>0</v>
      </c>
      <c r="AI12" s="82"/>
      <c r="AJ12" s="79"/>
      <c r="AK12" s="83">
        <f>AA12+AI12</f>
        <v>400.8</v>
      </c>
      <c r="AL12" s="79">
        <f t="shared" si="2"/>
        <v>19876409454.730301</v>
      </c>
      <c r="AM12" s="79">
        <v>0</v>
      </c>
      <c r="AN12" s="79">
        <f>AM12*$G12</f>
        <v>0</v>
      </c>
      <c r="AO12" s="79">
        <v>0</v>
      </c>
      <c r="AP12" s="79">
        <f>AO12*$G12</f>
        <v>0</v>
      </c>
      <c r="AQ12" s="79">
        <v>0</v>
      </c>
      <c r="AR12" s="79">
        <f>AQ12*$G12</f>
        <v>0</v>
      </c>
      <c r="AS12" s="82">
        <f t="shared" ref="AS12:AT15" si="11">AM12+AO12+AQ12</f>
        <v>0</v>
      </c>
      <c r="AT12" s="79">
        <f t="shared" si="11"/>
        <v>0</v>
      </c>
      <c r="AU12" s="83">
        <f>AK12+AS12</f>
        <v>400.8</v>
      </c>
      <c r="AV12" s="79">
        <f t="shared" si="4"/>
        <v>19876409454.730301</v>
      </c>
      <c r="AW12" s="79">
        <v>0</v>
      </c>
      <c r="AX12" s="79">
        <f>AW12*$G12</f>
        <v>0</v>
      </c>
      <c r="AY12" s="79">
        <v>0</v>
      </c>
      <c r="AZ12" s="79">
        <f>AY12*$G12</f>
        <v>0</v>
      </c>
      <c r="BA12" s="79">
        <v>0</v>
      </c>
      <c r="BB12" s="79">
        <f>BA12*$G12</f>
        <v>0</v>
      </c>
      <c r="BC12" s="82">
        <f t="shared" ref="BC12:BD13" si="12">AW12+AY12+BA12</f>
        <v>0</v>
      </c>
      <c r="BD12" s="79">
        <f t="shared" si="12"/>
        <v>0</v>
      </c>
      <c r="BE12" s="82">
        <f>AU12+BC12</f>
        <v>400.8</v>
      </c>
      <c r="BF12" s="84">
        <f t="shared" si="6"/>
        <v>19876409454.730301</v>
      </c>
    </row>
    <row r="13" spans="1:58" s="31" customFormat="1" ht="14.25" customHeight="1" x14ac:dyDescent="0.25">
      <c r="B13" s="75">
        <f>B12+1</f>
        <v>4</v>
      </c>
      <c r="C13" s="85" t="s">
        <v>36</v>
      </c>
      <c r="D13" s="85"/>
      <c r="E13" s="86">
        <f>$A$5</f>
        <v>400.8</v>
      </c>
      <c r="F13" s="79">
        <f>'REKAP BIAYA'!N45</f>
        <v>5767418523.7869081</v>
      </c>
      <c r="G13" s="79">
        <f>'REKAP BIAYA'!N46</f>
        <v>14389766.775915438</v>
      </c>
      <c r="H13" s="80">
        <f t="shared" ref="H13:H15" si="13">G13/$G$16*100</f>
        <v>11.938439276660718</v>
      </c>
      <c r="I13" s="81">
        <v>0</v>
      </c>
      <c r="J13" s="82">
        <f>I13*$G13</f>
        <v>0</v>
      </c>
      <c r="K13" s="82">
        <v>0</v>
      </c>
      <c r="L13" s="82">
        <f>K13*$G13</f>
        <v>0</v>
      </c>
      <c r="M13" s="82">
        <v>0</v>
      </c>
      <c r="N13" s="82">
        <f>M13*$G13</f>
        <v>0</v>
      </c>
      <c r="O13" s="82">
        <f t="shared" ref="O13:O15" si="14">I13+K13+M13</f>
        <v>0</v>
      </c>
      <c r="P13" s="79">
        <f t="shared" si="8"/>
        <v>0</v>
      </c>
      <c r="Q13" s="82">
        <f t="shared" si="10"/>
        <v>0</v>
      </c>
      <c r="R13" s="82">
        <f t="shared" si="10"/>
        <v>0</v>
      </c>
      <c r="S13" s="82">
        <f>Q12</f>
        <v>0</v>
      </c>
      <c r="T13" s="82">
        <f>S13*$G13</f>
        <v>0</v>
      </c>
      <c r="U13" s="82">
        <v>0</v>
      </c>
      <c r="V13" s="82">
        <f>U13*$G13</f>
        <v>0</v>
      </c>
      <c r="W13" s="82">
        <v>0</v>
      </c>
      <c r="X13" s="82">
        <f>W13*$G13</f>
        <v>0</v>
      </c>
      <c r="Y13" s="82">
        <f>S13+U13+W13</f>
        <v>0</v>
      </c>
      <c r="Z13" s="79">
        <f t="shared" si="0"/>
        <v>0</v>
      </c>
      <c r="AA13" s="82">
        <f>Q13+Y13</f>
        <v>0</v>
      </c>
      <c r="AB13" s="82">
        <f t="shared" si="1"/>
        <v>0</v>
      </c>
      <c r="AC13" s="82">
        <f>E13/3</f>
        <v>133.6</v>
      </c>
      <c r="AD13" s="82">
        <f>AC13*$G13</f>
        <v>1922472841.2623024</v>
      </c>
      <c r="AE13" s="82">
        <f>AC13</f>
        <v>133.6</v>
      </c>
      <c r="AF13" s="79">
        <f>AE13*$G13</f>
        <v>1922472841.2623024</v>
      </c>
      <c r="AG13" s="82">
        <f>AE13</f>
        <v>133.6</v>
      </c>
      <c r="AH13" s="79">
        <f>AG13*$G13</f>
        <v>1922472841.2623024</v>
      </c>
      <c r="AI13" s="82">
        <f t="shared" ref="AI13:AJ15" si="15">AC13+AE13+AG13</f>
        <v>400.79999999999995</v>
      </c>
      <c r="AJ13" s="79">
        <f t="shared" si="15"/>
        <v>5767418523.7869072</v>
      </c>
      <c r="AK13" s="83">
        <f>AA13+AI13</f>
        <v>400.79999999999995</v>
      </c>
      <c r="AL13" s="79">
        <f t="shared" si="2"/>
        <v>5767418523.7869072</v>
      </c>
      <c r="AM13" s="79">
        <v>0</v>
      </c>
      <c r="AN13" s="79">
        <f>AM13*$G13</f>
        <v>0</v>
      </c>
      <c r="AO13" s="79">
        <v>0</v>
      </c>
      <c r="AP13" s="79">
        <f>AO13*$G13</f>
        <v>0</v>
      </c>
      <c r="AQ13" s="79">
        <v>0</v>
      </c>
      <c r="AR13" s="79">
        <f>AQ13*$G13</f>
        <v>0</v>
      </c>
      <c r="AS13" s="82">
        <f t="shared" si="11"/>
        <v>0</v>
      </c>
      <c r="AT13" s="79">
        <f t="shared" si="11"/>
        <v>0</v>
      </c>
      <c r="AU13" s="83">
        <f>AK13+AS13</f>
        <v>400.79999999999995</v>
      </c>
      <c r="AV13" s="79">
        <f t="shared" si="4"/>
        <v>5767418523.7869072</v>
      </c>
      <c r="AW13" s="79">
        <v>0</v>
      </c>
      <c r="AX13" s="79">
        <f>AW13*$G13</f>
        <v>0</v>
      </c>
      <c r="AY13" s="79">
        <v>0</v>
      </c>
      <c r="AZ13" s="79">
        <f>AY13*$G13</f>
        <v>0</v>
      </c>
      <c r="BA13" s="79">
        <v>0</v>
      </c>
      <c r="BB13" s="79">
        <f>BA13*$G13</f>
        <v>0</v>
      </c>
      <c r="BC13" s="82">
        <f t="shared" si="12"/>
        <v>0</v>
      </c>
      <c r="BD13" s="79">
        <f t="shared" si="12"/>
        <v>0</v>
      </c>
      <c r="BE13" s="82">
        <f>AU13+BC13</f>
        <v>400.79999999999995</v>
      </c>
      <c r="BF13" s="84">
        <f t="shared" si="6"/>
        <v>5767418523.7869072</v>
      </c>
    </row>
    <row r="14" spans="1:58" s="31" customFormat="1" ht="14.25" customHeight="1" x14ac:dyDescent="0.25">
      <c r="B14" s="75">
        <f>B13+1</f>
        <v>5</v>
      </c>
      <c r="C14" s="85" t="s">
        <v>37</v>
      </c>
      <c r="D14" s="85"/>
      <c r="E14" s="86">
        <f t="shared" si="7"/>
        <v>400.8</v>
      </c>
      <c r="F14" s="79">
        <f>'REKAP BIAYA'!V44</f>
        <v>5553981981.4439106</v>
      </c>
      <c r="G14" s="79">
        <f>'REKAP BIAYA'!V45</f>
        <v>13857240.472664448</v>
      </c>
      <c r="H14" s="80">
        <f t="shared" si="13"/>
        <v>11.496629966364782</v>
      </c>
      <c r="I14" s="81">
        <v>0</v>
      </c>
      <c r="J14" s="82">
        <f t="shared" ref="J14:L15" si="16">I14*$G14</f>
        <v>0</v>
      </c>
      <c r="K14" s="82">
        <v>0</v>
      </c>
      <c r="L14" s="82">
        <f t="shared" si="16"/>
        <v>0</v>
      </c>
      <c r="M14" s="82">
        <f>K13</f>
        <v>0</v>
      </c>
      <c r="N14" s="82">
        <f t="shared" ref="N14:N15" si="17">M14*$G14</f>
        <v>0</v>
      </c>
      <c r="O14" s="82">
        <f t="shared" si="14"/>
        <v>0</v>
      </c>
      <c r="P14" s="79">
        <f t="shared" si="8"/>
        <v>0</v>
      </c>
      <c r="Q14" s="82">
        <f t="shared" si="10"/>
        <v>0</v>
      </c>
      <c r="R14" s="82">
        <f t="shared" si="10"/>
        <v>0</v>
      </c>
      <c r="S14" s="82">
        <f>M13/3</f>
        <v>0</v>
      </c>
      <c r="T14" s="82">
        <f t="shared" ref="T14:T15" si="18">S14*$G14</f>
        <v>0</v>
      </c>
      <c r="U14" s="82">
        <v>0</v>
      </c>
      <c r="V14" s="82">
        <f t="shared" ref="V14:V15" si="19">U14*$G14</f>
        <v>0</v>
      </c>
      <c r="W14" s="82">
        <f>U14</f>
        <v>0</v>
      </c>
      <c r="X14" s="82">
        <f t="shared" ref="X14:X15" si="20">W14*$G14</f>
        <v>0</v>
      </c>
      <c r="Y14" s="82">
        <f t="shared" si="0"/>
        <v>0</v>
      </c>
      <c r="Z14" s="79">
        <f>T14+V14+X14</f>
        <v>0</v>
      </c>
      <c r="AA14" s="82">
        <f t="shared" ref="AA14:AA15" si="21">Y14+Q14</f>
        <v>0</v>
      </c>
      <c r="AB14" s="82">
        <f t="shared" si="1"/>
        <v>0</v>
      </c>
      <c r="AC14" s="82">
        <f>AA13</f>
        <v>0</v>
      </c>
      <c r="AD14" s="82">
        <f>AC14*$G14</f>
        <v>0</v>
      </c>
      <c r="AE14" s="83">
        <v>0</v>
      </c>
      <c r="AF14" s="79">
        <f t="shared" ref="AF14:AF15" si="22">AE14*$G14</f>
        <v>0</v>
      </c>
      <c r="AG14" s="83">
        <v>0</v>
      </c>
      <c r="AH14" s="79">
        <f t="shared" ref="AH14:AH15" si="23">AG14*$G14</f>
        <v>0</v>
      </c>
      <c r="AI14" s="82">
        <f>Y13</f>
        <v>0</v>
      </c>
      <c r="AJ14" s="79">
        <f>AD14+AF14+AH14</f>
        <v>0</v>
      </c>
      <c r="AK14" s="79">
        <f t="shared" ref="AK14:AK15" si="24">AI14+AA14</f>
        <v>0</v>
      </c>
      <c r="AL14" s="79">
        <f t="shared" si="2"/>
        <v>0</v>
      </c>
      <c r="AM14" s="83">
        <f>E14/3</f>
        <v>133.6</v>
      </c>
      <c r="AN14" s="79">
        <f>AM14*$G14</f>
        <v>1851327327.1479702</v>
      </c>
      <c r="AO14" s="79">
        <f>AM14</f>
        <v>133.6</v>
      </c>
      <c r="AP14" s="79">
        <f>AO14*$G14</f>
        <v>1851327327.1479702</v>
      </c>
      <c r="AQ14" s="79">
        <f>AO14</f>
        <v>133.6</v>
      </c>
      <c r="AR14" s="79">
        <f>AQ14*$G14</f>
        <v>1851327327.1479702</v>
      </c>
      <c r="AS14" s="82">
        <f>AM14+AO14+AQ14</f>
        <v>400.79999999999995</v>
      </c>
      <c r="AT14" s="79">
        <f>AN14+AP14+AR14</f>
        <v>5553981981.4439106</v>
      </c>
      <c r="AU14" s="79">
        <f t="shared" ref="AU14:AU15" si="25">AS14+AK14</f>
        <v>400.79999999999995</v>
      </c>
      <c r="AV14" s="79">
        <f t="shared" si="4"/>
        <v>5553981981.4439106</v>
      </c>
      <c r="AW14" s="83">
        <f>O14/3</f>
        <v>0</v>
      </c>
      <c r="AX14" s="79">
        <f>AW14*$G14</f>
        <v>0</v>
      </c>
      <c r="AY14" s="79">
        <f>AW14</f>
        <v>0</v>
      </c>
      <c r="AZ14" s="79">
        <f>AY14*$G14</f>
        <v>0</v>
      </c>
      <c r="BA14" s="79">
        <f>AY14</f>
        <v>0</v>
      </c>
      <c r="BB14" s="79">
        <f>BA14*$G14</f>
        <v>0</v>
      </c>
      <c r="BC14" s="82">
        <f>AW14+AY14+BA14</f>
        <v>0</v>
      </c>
      <c r="BD14" s="79">
        <f>AX14+AZ14+BB14</f>
        <v>0</v>
      </c>
      <c r="BE14" s="82">
        <f t="shared" ref="BE14:BE15" si="26">BC14+AU14</f>
        <v>400.79999999999995</v>
      </c>
      <c r="BF14" s="84">
        <f t="shared" si="6"/>
        <v>5553981981.4439106</v>
      </c>
    </row>
    <row r="15" spans="1:58" s="31" customFormat="1" ht="14.25" customHeight="1" thickBot="1" x14ac:dyDescent="0.3">
      <c r="B15" s="87">
        <f>B14+1</f>
        <v>6</v>
      </c>
      <c r="C15" s="88" t="s">
        <v>38</v>
      </c>
      <c r="D15" s="88"/>
      <c r="E15" s="89">
        <f t="shared" si="7"/>
        <v>400.8</v>
      </c>
      <c r="F15" s="90">
        <f>'REKAP BIAYA'!AD46</f>
        <v>7508524990.3422956</v>
      </c>
      <c r="G15" s="90">
        <f>'REKAP BIAYA'!AD47</f>
        <v>18733844.786283173</v>
      </c>
      <c r="H15" s="91">
        <f t="shared" si="13"/>
        <v>15.542494321295241</v>
      </c>
      <c r="I15" s="92">
        <v>0</v>
      </c>
      <c r="J15" s="93">
        <f t="shared" si="16"/>
        <v>0</v>
      </c>
      <c r="K15" s="93">
        <v>0</v>
      </c>
      <c r="L15" s="93">
        <f t="shared" si="16"/>
        <v>0</v>
      </c>
      <c r="M15" s="93">
        <v>0</v>
      </c>
      <c r="N15" s="93">
        <f t="shared" si="17"/>
        <v>0</v>
      </c>
      <c r="O15" s="93">
        <f t="shared" si="14"/>
        <v>0</v>
      </c>
      <c r="P15" s="90">
        <f t="shared" si="8"/>
        <v>0</v>
      </c>
      <c r="Q15" s="93">
        <f t="shared" si="10"/>
        <v>0</v>
      </c>
      <c r="R15" s="93">
        <f t="shared" si="10"/>
        <v>0</v>
      </c>
      <c r="S15" s="93">
        <v>0</v>
      </c>
      <c r="T15" s="93">
        <f t="shared" si="18"/>
        <v>0</v>
      </c>
      <c r="U15" s="93">
        <v>0</v>
      </c>
      <c r="V15" s="93">
        <f t="shared" si="19"/>
        <v>0</v>
      </c>
      <c r="W15" s="93">
        <v>0</v>
      </c>
      <c r="X15" s="93">
        <f t="shared" si="20"/>
        <v>0</v>
      </c>
      <c r="Y15" s="93">
        <f t="shared" si="0"/>
        <v>0</v>
      </c>
      <c r="Z15" s="90">
        <f t="shared" si="0"/>
        <v>0</v>
      </c>
      <c r="AA15" s="93">
        <f t="shared" si="21"/>
        <v>0</v>
      </c>
      <c r="AB15" s="93">
        <f t="shared" si="1"/>
        <v>0</v>
      </c>
      <c r="AC15" s="93">
        <f>S14</f>
        <v>0</v>
      </c>
      <c r="AD15" s="93">
        <f t="shared" ref="AD15" si="27">AC15*$G15</f>
        <v>0</v>
      </c>
      <c r="AE15" s="90">
        <f>AC15</f>
        <v>0</v>
      </c>
      <c r="AF15" s="90">
        <f t="shared" si="22"/>
        <v>0</v>
      </c>
      <c r="AG15" s="90">
        <f>AE15</f>
        <v>0</v>
      </c>
      <c r="AH15" s="90">
        <f t="shared" si="23"/>
        <v>0</v>
      </c>
      <c r="AI15" s="93">
        <f t="shared" si="15"/>
        <v>0</v>
      </c>
      <c r="AJ15" s="90">
        <f t="shared" si="15"/>
        <v>0</v>
      </c>
      <c r="AK15" s="90">
        <f t="shared" si="24"/>
        <v>0</v>
      </c>
      <c r="AL15" s="90">
        <f t="shared" si="2"/>
        <v>0</v>
      </c>
      <c r="AM15" s="94">
        <f>AI14</f>
        <v>0</v>
      </c>
      <c r="AN15" s="90">
        <f>AM15*$G15</f>
        <v>0</v>
      </c>
      <c r="AO15" s="94">
        <v>0</v>
      </c>
      <c r="AP15" s="90">
        <f>AO15*$G15</f>
        <v>0</v>
      </c>
      <c r="AQ15" s="94">
        <v>0</v>
      </c>
      <c r="AR15" s="90">
        <f>AQ15*$G15</f>
        <v>0</v>
      </c>
      <c r="AS15" s="93">
        <f t="shared" si="11"/>
        <v>0</v>
      </c>
      <c r="AT15" s="90">
        <f t="shared" si="11"/>
        <v>0</v>
      </c>
      <c r="AU15" s="90">
        <f t="shared" si="25"/>
        <v>0</v>
      </c>
      <c r="AV15" s="90">
        <f t="shared" si="4"/>
        <v>0</v>
      </c>
      <c r="AW15" s="93">
        <f>E15/3</f>
        <v>133.6</v>
      </c>
      <c r="AX15" s="90">
        <f>AW15*$G15</f>
        <v>2502841663.4474316</v>
      </c>
      <c r="AY15" s="94">
        <f>AW15</f>
        <v>133.6</v>
      </c>
      <c r="AZ15" s="90">
        <f>AY15*$G15</f>
        <v>2502841663.4474316</v>
      </c>
      <c r="BA15" s="94">
        <f>AY15</f>
        <v>133.6</v>
      </c>
      <c r="BB15" s="90">
        <f>BA15*$G15</f>
        <v>2502841663.4474316</v>
      </c>
      <c r="BC15" s="93">
        <f t="shared" ref="BC15:BD15" si="28">AW15+AY15+BA15</f>
        <v>400.79999999999995</v>
      </c>
      <c r="BD15" s="90">
        <f t="shared" si="28"/>
        <v>7508524990.3422947</v>
      </c>
      <c r="BE15" s="93">
        <f t="shared" si="26"/>
        <v>400.79999999999995</v>
      </c>
      <c r="BF15" s="95">
        <f t="shared" si="6"/>
        <v>7508524990.3422947</v>
      </c>
    </row>
    <row r="16" spans="1:58" s="31" customFormat="1" ht="14.25" customHeight="1" thickBot="1" x14ac:dyDescent="0.3">
      <c r="B16" s="96" t="s">
        <v>39</v>
      </c>
      <c r="C16" s="97"/>
      <c r="D16" s="97"/>
      <c r="E16" s="98">
        <f t="shared" si="7"/>
        <v>400.8</v>
      </c>
      <c r="F16" s="99">
        <f>SUM(F10:F15)</f>
        <v>48309652460.703415</v>
      </c>
      <c r="G16" s="99">
        <f>F16/E16</f>
        <v>120533065.0217151</v>
      </c>
      <c r="H16" s="100">
        <f t="shared" ref="H16:BD16" si="29">SUM(H10:H15)</f>
        <v>100</v>
      </c>
      <c r="I16" s="101">
        <f t="shared" si="29"/>
        <v>0</v>
      </c>
      <c r="J16" s="102">
        <f t="shared" si="29"/>
        <v>0</v>
      </c>
      <c r="K16" s="102">
        <f t="shared" si="29"/>
        <v>0</v>
      </c>
      <c r="L16" s="102">
        <f t="shared" si="29"/>
        <v>0</v>
      </c>
      <c r="M16" s="102">
        <f t="shared" si="29"/>
        <v>300</v>
      </c>
      <c r="N16" s="102">
        <f t="shared" si="29"/>
        <v>6284706220.3592825</v>
      </c>
      <c r="O16" s="102">
        <f t="shared" si="29"/>
        <v>300</v>
      </c>
      <c r="P16" s="103">
        <f t="shared" si="29"/>
        <v>6284706220.3592825</v>
      </c>
      <c r="Q16" s="102">
        <f t="shared" si="29"/>
        <v>333.4</v>
      </c>
      <c r="R16" s="102">
        <f t="shared" si="29"/>
        <v>6988355359.1999998</v>
      </c>
      <c r="S16" s="102">
        <f t="shared" si="29"/>
        <v>267.40000000000003</v>
      </c>
      <c r="T16" s="102">
        <f t="shared" si="29"/>
        <v>11326380142.582386</v>
      </c>
      <c r="U16" s="102">
        <f t="shared" si="29"/>
        <v>400.8</v>
      </c>
      <c r="V16" s="102">
        <f t="shared" si="29"/>
        <v>10491991463.347916</v>
      </c>
      <c r="W16" s="102">
        <f t="shared" si="29"/>
        <v>0</v>
      </c>
      <c r="X16" s="102">
        <f t="shared" si="29"/>
        <v>0</v>
      </c>
      <c r="Y16" s="102">
        <f t="shared" si="29"/>
        <v>668.2</v>
      </c>
      <c r="Z16" s="103">
        <f t="shared" si="29"/>
        <v>21818371605.930302</v>
      </c>
      <c r="AA16" s="102">
        <f t="shared" si="29"/>
        <v>1001.5999999999999</v>
      </c>
      <c r="AB16" s="102">
        <f t="shared" si="29"/>
        <v>28806726965.130302</v>
      </c>
      <c r="AC16" s="102">
        <f t="shared" si="29"/>
        <v>334.4</v>
      </c>
      <c r="AD16" s="102">
        <f t="shared" si="29"/>
        <v>2595472841.2623024</v>
      </c>
      <c r="AE16" s="102">
        <f t="shared" si="29"/>
        <v>133.6</v>
      </c>
      <c r="AF16" s="102">
        <f t="shared" si="29"/>
        <v>1922472841.2623024</v>
      </c>
      <c r="AG16" s="102">
        <f t="shared" si="29"/>
        <v>133.6</v>
      </c>
      <c r="AH16" s="102">
        <f t="shared" si="29"/>
        <v>1922472841.2623024</v>
      </c>
      <c r="AI16" s="102">
        <f t="shared" si="29"/>
        <v>601.59999999999991</v>
      </c>
      <c r="AJ16" s="103">
        <f t="shared" si="29"/>
        <v>6440418523.7869072</v>
      </c>
      <c r="AK16" s="102">
        <f t="shared" si="29"/>
        <v>1603.2</v>
      </c>
      <c r="AL16" s="102">
        <f t="shared" si="29"/>
        <v>35247145488.917206</v>
      </c>
      <c r="AM16" s="102">
        <f t="shared" si="29"/>
        <v>133.6</v>
      </c>
      <c r="AN16" s="102">
        <f t="shared" si="29"/>
        <v>1851327327.1479702</v>
      </c>
      <c r="AO16" s="102">
        <f t="shared" si="29"/>
        <v>133.6</v>
      </c>
      <c r="AP16" s="102">
        <f t="shared" si="29"/>
        <v>1851327327.1479702</v>
      </c>
      <c r="AQ16" s="102">
        <f t="shared" si="29"/>
        <v>133.6</v>
      </c>
      <c r="AR16" s="102">
        <f t="shared" si="29"/>
        <v>1851327327.1479702</v>
      </c>
      <c r="AS16" s="102">
        <f t="shared" si="29"/>
        <v>400.79999999999995</v>
      </c>
      <c r="AT16" s="103">
        <f t="shared" si="29"/>
        <v>5553981981.4439106</v>
      </c>
      <c r="AU16" s="102">
        <f t="shared" si="29"/>
        <v>2004</v>
      </c>
      <c r="AV16" s="102">
        <f t="shared" si="29"/>
        <v>40801127470.361115</v>
      </c>
      <c r="AW16" s="102">
        <f t="shared" si="29"/>
        <v>133.6</v>
      </c>
      <c r="AX16" s="102">
        <f t="shared" si="29"/>
        <v>2502841663.4474316</v>
      </c>
      <c r="AY16" s="102">
        <f t="shared" si="29"/>
        <v>133.6</v>
      </c>
      <c r="AZ16" s="102">
        <f t="shared" si="29"/>
        <v>2502841663.4474316</v>
      </c>
      <c r="BA16" s="102">
        <f t="shared" si="29"/>
        <v>133.6</v>
      </c>
      <c r="BB16" s="102">
        <f t="shared" si="29"/>
        <v>2502841663.4474316</v>
      </c>
      <c r="BC16" s="102">
        <f t="shared" si="29"/>
        <v>400.79999999999995</v>
      </c>
      <c r="BD16" s="103">
        <f t="shared" si="29"/>
        <v>7508524990.3422947</v>
      </c>
      <c r="BE16" s="102">
        <v>400.8</v>
      </c>
      <c r="BF16" s="104">
        <f>SUM(BF10:BF15)</f>
        <v>48309652460.703407</v>
      </c>
    </row>
    <row r="17" spans="2:58" s="31" customFormat="1" ht="14.25" customHeight="1" x14ac:dyDescent="0.25">
      <c r="G17" s="105"/>
      <c r="H17" s="105"/>
      <c r="I17" s="106"/>
      <c r="J17" s="106"/>
      <c r="K17" s="106"/>
      <c r="L17" s="106"/>
      <c r="M17" s="106"/>
      <c r="N17" s="106"/>
      <c r="O17" s="106"/>
      <c r="P17" s="105"/>
      <c r="Q17" s="106"/>
      <c r="R17" s="106"/>
      <c r="S17" s="107"/>
      <c r="T17" s="106"/>
      <c r="U17" s="106"/>
      <c r="V17" s="106"/>
      <c r="W17" s="106"/>
      <c r="X17" s="106"/>
      <c r="Y17" s="106"/>
      <c r="Z17" s="105"/>
      <c r="AA17" s="106"/>
      <c r="AB17" s="106"/>
      <c r="AC17" s="107"/>
      <c r="AD17" s="106"/>
      <c r="AE17" s="105"/>
      <c r="AF17" s="105"/>
      <c r="AG17" s="105"/>
      <c r="AH17" s="105"/>
      <c r="AI17" s="106"/>
      <c r="AJ17" s="105"/>
      <c r="AK17" s="105"/>
      <c r="AL17" s="105"/>
      <c r="AM17" s="105"/>
      <c r="AN17" s="105"/>
      <c r="AO17" s="105"/>
      <c r="AP17" s="105"/>
      <c r="AQ17" s="105"/>
      <c r="AR17" s="105"/>
      <c r="AS17" s="106"/>
      <c r="AT17" s="105"/>
      <c r="AU17" s="105"/>
      <c r="AV17" s="105"/>
      <c r="BC17" s="32"/>
      <c r="BD17" s="33"/>
      <c r="BE17" s="32"/>
      <c r="BF17" s="33"/>
    </row>
    <row r="18" spans="2:58" s="31" customFormat="1" ht="14.25" customHeight="1" x14ac:dyDescent="0.25">
      <c r="F18" s="108"/>
      <c r="G18" s="105"/>
      <c r="H18" s="105"/>
      <c r="I18" s="106"/>
      <c r="J18" s="106"/>
      <c r="K18" s="106"/>
      <c r="L18" s="106"/>
      <c r="M18" s="106"/>
      <c r="N18" s="106"/>
      <c r="O18" s="106"/>
      <c r="P18" s="105"/>
      <c r="Q18" s="106"/>
      <c r="R18" s="106"/>
      <c r="S18" s="107"/>
      <c r="T18" s="106"/>
      <c r="U18" s="106"/>
      <c r="V18" s="106"/>
      <c r="W18" s="106"/>
      <c r="X18" s="106"/>
      <c r="Y18" s="106"/>
      <c r="Z18" s="105"/>
      <c r="AA18" s="106"/>
      <c r="AB18" s="106"/>
      <c r="AC18" s="107"/>
      <c r="AD18" s="106"/>
      <c r="AE18" s="105"/>
      <c r="AF18" s="105"/>
      <c r="AG18" s="105"/>
      <c r="AH18" s="105"/>
      <c r="AI18" s="106"/>
      <c r="AJ18" s="105"/>
      <c r="AK18" s="105"/>
      <c r="AL18" s="105"/>
      <c r="AM18" s="105"/>
      <c r="AN18" s="105"/>
      <c r="AO18" s="105"/>
      <c r="AP18" s="105"/>
      <c r="AQ18" s="105"/>
      <c r="AR18" s="105"/>
      <c r="AS18" s="106"/>
      <c r="AT18" s="105"/>
      <c r="AU18" s="105"/>
      <c r="AV18" s="105"/>
      <c r="BC18" s="32"/>
      <c r="BD18" s="33"/>
      <c r="BE18" s="32"/>
      <c r="BF18" s="33"/>
    </row>
    <row r="19" spans="2:58" s="29" customFormat="1" ht="14.25" customHeight="1" x14ac:dyDescent="0.25">
      <c r="E19" s="109"/>
      <c r="F19" s="110"/>
      <c r="G19" s="111"/>
      <c r="I19" s="112"/>
      <c r="J19" s="112"/>
      <c r="K19" s="112"/>
      <c r="L19" s="112"/>
      <c r="M19" s="112"/>
      <c r="N19" s="112"/>
      <c r="O19" s="112"/>
      <c r="P19" s="113"/>
      <c r="Q19" s="112"/>
      <c r="R19" s="112"/>
      <c r="S19" s="112"/>
      <c r="T19" s="112"/>
      <c r="U19" s="112"/>
      <c r="V19" s="112"/>
      <c r="W19" s="112"/>
      <c r="X19" s="112"/>
      <c r="Y19" s="112"/>
      <c r="Z19" s="113"/>
      <c r="AA19" s="112"/>
      <c r="AB19" s="112"/>
      <c r="AC19" s="112"/>
      <c r="AD19" s="112"/>
      <c r="AI19" s="1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3"/>
      <c r="AW19" s="115"/>
      <c r="AX19" s="115"/>
      <c r="AY19" s="115"/>
      <c r="AZ19" s="115"/>
      <c r="BA19" s="115"/>
      <c r="BB19" s="115"/>
      <c r="BC19" s="114" t="s">
        <v>40</v>
      </c>
      <c r="BD19" s="114"/>
      <c r="BE19" s="114"/>
      <c r="BF19" s="114"/>
    </row>
    <row r="20" spans="2:58" s="31" customFormat="1" ht="28.4" customHeight="1" x14ac:dyDescent="0.25">
      <c r="F20" s="116"/>
      <c r="G20" s="105"/>
      <c r="I20" s="117"/>
      <c r="J20" s="117"/>
      <c r="K20" s="117"/>
      <c r="L20" s="117"/>
      <c r="M20" s="117"/>
      <c r="N20" s="117"/>
      <c r="O20" s="117"/>
      <c r="P20" s="118"/>
      <c r="Q20" s="117"/>
      <c r="R20" s="117"/>
      <c r="S20" s="119"/>
      <c r="T20" s="120"/>
      <c r="U20" s="120"/>
      <c r="V20" s="120"/>
      <c r="W20" s="120"/>
      <c r="X20" s="120"/>
      <c r="Y20" s="121" t="s">
        <v>41</v>
      </c>
      <c r="Z20" s="121"/>
      <c r="AA20" s="121"/>
      <c r="AB20" s="121"/>
      <c r="AC20" s="117"/>
      <c r="AD20" s="117"/>
      <c r="AE20" s="115"/>
      <c r="AF20" s="115"/>
      <c r="AG20" s="115"/>
      <c r="AH20" s="115"/>
      <c r="AI20" s="114" t="s">
        <v>42</v>
      </c>
      <c r="AJ20" s="114"/>
      <c r="AK20" s="114"/>
      <c r="AL20" s="114"/>
      <c r="AM20" s="115"/>
      <c r="AN20" s="115"/>
      <c r="AO20" s="115"/>
      <c r="AP20" s="115"/>
      <c r="AQ20" s="115"/>
      <c r="AR20" s="115"/>
      <c r="AS20" s="114" t="s">
        <v>43</v>
      </c>
      <c r="AT20" s="114"/>
      <c r="AU20" s="114"/>
      <c r="AV20" s="114"/>
      <c r="AW20" s="115"/>
      <c r="AX20" s="115"/>
      <c r="AY20" s="105"/>
      <c r="AZ20" s="105"/>
      <c r="BA20" s="105"/>
      <c r="BB20" s="105"/>
      <c r="BC20" s="114" t="s">
        <v>44</v>
      </c>
      <c r="BD20" s="114"/>
      <c r="BE20" s="114"/>
      <c r="BF20" s="114"/>
    </row>
    <row r="21" spans="2:58" s="31" customFormat="1" ht="40" customHeight="1" x14ac:dyDescent="0.25">
      <c r="D21" s="122"/>
      <c r="F21" s="116"/>
      <c r="G21" s="105"/>
      <c r="I21" s="106"/>
      <c r="J21" s="106"/>
      <c r="K21" s="106"/>
      <c r="L21" s="106"/>
      <c r="M21" s="106"/>
      <c r="N21" s="106"/>
      <c r="O21" s="106"/>
      <c r="P21" s="123"/>
      <c r="Q21" s="124"/>
      <c r="R21" s="32"/>
      <c r="S21" s="107"/>
      <c r="T21" s="106"/>
      <c r="U21" s="106"/>
      <c r="V21" s="106"/>
      <c r="W21" s="106"/>
      <c r="X21" s="106"/>
      <c r="Y21" s="32"/>
      <c r="Z21" s="123"/>
      <c r="AA21" s="106"/>
      <c r="AB21" s="124"/>
      <c r="AC21" s="124"/>
      <c r="AD21" s="106"/>
      <c r="AE21" s="105"/>
      <c r="AF21" s="105"/>
      <c r="AG21" s="105"/>
      <c r="AH21" s="105"/>
      <c r="AI21" s="106"/>
      <c r="AJ21" s="33"/>
      <c r="AK21" s="105"/>
      <c r="AL21" s="105"/>
      <c r="AM21" s="105"/>
      <c r="AN21" s="105"/>
      <c r="AO21" s="105"/>
      <c r="AP21" s="105"/>
      <c r="AQ21" s="105"/>
      <c r="AR21" s="105"/>
      <c r="AS21" s="32"/>
      <c r="AT21" s="33"/>
      <c r="AU21" s="125"/>
      <c r="AW21" s="126"/>
      <c r="AX21" s="126"/>
      <c r="BC21" s="32"/>
      <c r="BD21" s="123"/>
      <c r="BE21" s="127"/>
      <c r="BF21" s="33"/>
    </row>
    <row r="22" spans="2:58" s="31" customFormat="1" ht="14.25" customHeight="1" x14ac:dyDescent="0.25">
      <c r="D22" s="122"/>
      <c r="F22" s="116"/>
      <c r="G22" s="105"/>
      <c r="I22" s="128"/>
      <c r="J22" s="128"/>
      <c r="K22" s="128"/>
      <c r="L22" s="128"/>
      <c r="M22" s="128"/>
      <c r="N22" s="128"/>
      <c r="O22" s="128"/>
      <c r="P22" s="129"/>
      <c r="Q22" s="128"/>
      <c r="R22" s="128"/>
      <c r="S22" s="107"/>
      <c r="T22" s="106"/>
      <c r="U22" s="106"/>
      <c r="V22" s="106"/>
      <c r="W22" s="106"/>
      <c r="X22" s="106"/>
      <c r="Y22" s="130" t="s">
        <v>45</v>
      </c>
      <c r="Z22" s="130"/>
      <c r="AA22" s="130"/>
      <c r="AB22" s="130"/>
      <c r="AC22" s="128"/>
      <c r="AD22" s="128"/>
      <c r="AE22" s="131"/>
      <c r="AF22" s="131"/>
      <c r="AG22" s="131"/>
      <c r="AH22" s="131"/>
      <c r="AI22" s="132" t="s">
        <v>46</v>
      </c>
      <c r="AJ22" s="132"/>
      <c r="AK22" s="132"/>
      <c r="AL22" s="132"/>
      <c r="AM22" s="131"/>
      <c r="AN22" s="131"/>
      <c r="AO22" s="131"/>
      <c r="AP22" s="131"/>
      <c r="AQ22" s="131"/>
      <c r="AR22" s="131"/>
      <c r="AS22" s="132" t="s">
        <v>47</v>
      </c>
      <c r="AT22" s="132"/>
      <c r="AU22" s="132"/>
      <c r="AV22" s="132"/>
      <c r="AW22" s="126"/>
      <c r="AX22" s="126"/>
      <c r="AY22" s="131"/>
      <c r="AZ22" s="131"/>
      <c r="BA22" s="131"/>
      <c r="BB22" s="131"/>
      <c r="BC22" s="133" t="s">
        <v>48</v>
      </c>
      <c r="BD22" s="133"/>
      <c r="BE22" s="133"/>
      <c r="BF22" s="133"/>
    </row>
    <row r="23" spans="2:58" s="31" customFormat="1" ht="14.25" customHeight="1" x14ac:dyDescent="0.25">
      <c r="I23" s="134"/>
      <c r="J23" s="134"/>
      <c r="K23" s="134"/>
      <c r="L23" s="134"/>
      <c r="M23" s="134"/>
      <c r="N23" s="134"/>
      <c r="O23" s="134"/>
      <c r="P23" s="135"/>
      <c r="Q23" s="134"/>
      <c r="R23" s="134"/>
      <c r="S23" s="34"/>
      <c r="T23" s="32"/>
      <c r="U23" s="32"/>
      <c r="V23" s="32"/>
      <c r="W23" s="32"/>
      <c r="X23" s="32"/>
      <c r="Y23" s="136" t="s">
        <v>49</v>
      </c>
      <c r="Z23" s="136"/>
      <c r="AA23" s="136"/>
      <c r="AB23" s="136"/>
      <c r="AC23" s="134"/>
      <c r="AD23" s="134"/>
      <c r="AE23" s="137"/>
      <c r="AF23" s="137"/>
      <c r="AG23" s="137"/>
      <c r="AH23" s="137"/>
      <c r="AI23" s="138" t="s">
        <v>50</v>
      </c>
      <c r="AJ23" s="138"/>
      <c r="AK23" s="138"/>
      <c r="AL23" s="138"/>
      <c r="AM23" s="137"/>
      <c r="AN23" s="137"/>
      <c r="AO23" s="137"/>
      <c r="AP23" s="137"/>
      <c r="AQ23" s="137"/>
      <c r="AR23" s="137"/>
      <c r="AS23" s="138" t="s">
        <v>51</v>
      </c>
      <c r="AT23" s="138"/>
      <c r="AU23" s="138"/>
      <c r="AV23" s="138"/>
      <c r="AW23" s="126"/>
      <c r="AX23" s="126"/>
      <c r="AY23" s="137"/>
      <c r="AZ23" s="137"/>
      <c r="BA23" s="137"/>
      <c r="BB23" s="137"/>
      <c r="BC23" s="139" t="s">
        <v>52</v>
      </c>
      <c r="BD23" s="139"/>
      <c r="BE23" s="139"/>
      <c r="BF23" s="139"/>
    </row>
    <row r="24" spans="2:58" s="31" customFormat="1" ht="14.25" customHeight="1" x14ac:dyDescent="0.25">
      <c r="I24" s="32"/>
      <c r="J24" s="32"/>
      <c r="K24" s="32"/>
      <c r="L24" s="32"/>
      <c r="M24" s="32"/>
      <c r="N24" s="32"/>
      <c r="O24" s="32"/>
      <c r="P24" s="33"/>
      <c r="Q24" s="32"/>
      <c r="R24" s="32"/>
      <c r="S24" s="34"/>
      <c r="T24" s="32"/>
      <c r="U24" s="32"/>
      <c r="V24" s="32"/>
      <c r="W24" s="32"/>
      <c r="X24" s="32"/>
      <c r="Y24" s="32"/>
      <c r="Z24" s="33"/>
      <c r="AA24" s="32"/>
      <c r="AB24" s="32"/>
      <c r="AC24" s="34"/>
      <c r="AD24" s="32"/>
      <c r="AI24" s="32"/>
      <c r="AJ24" s="33"/>
      <c r="AS24" s="32"/>
      <c r="AT24" s="33"/>
      <c r="AW24" s="140"/>
      <c r="AX24" s="140"/>
      <c r="BC24" s="32"/>
      <c r="BD24" s="33"/>
      <c r="BE24" s="32"/>
      <c r="BF24" s="33"/>
    </row>
    <row r="25" spans="2:58" ht="14.25" customHeight="1" x14ac:dyDescent="0.25">
      <c r="B25" s="20"/>
      <c r="C25" s="20"/>
      <c r="D25" s="20"/>
      <c r="E25" s="20"/>
      <c r="F25" s="20"/>
      <c r="G25" s="20"/>
      <c r="H25" s="20"/>
      <c r="I25" s="21"/>
      <c r="J25" s="21"/>
    </row>
    <row r="26" spans="2:58" ht="14.25" customHeight="1" x14ac:dyDescent="0.25">
      <c r="B26" s="20"/>
      <c r="C26" s="20"/>
      <c r="D26" s="20"/>
      <c r="E26" s="20"/>
      <c r="F26" s="20"/>
      <c r="G26" s="20"/>
      <c r="H26" s="20"/>
      <c r="I26" s="21"/>
      <c r="J26" s="21"/>
    </row>
    <row r="27" spans="2:58" ht="14.25" customHeight="1" x14ac:dyDescent="0.25">
      <c r="B27" s="20"/>
      <c r="C27" s="20"/>
      <c r="D27" s="20"/>
      <c r="E27" s="20"/>
      <c r="F27" s="20"/>
      <c r="G27" s="20"/>
      <c r="H27" s="20"/>
      <c r="I27" s="21"/>
      <c r="J27" s="21"/>
    </row>
    <row r="28" spans="2:58" ht="14.25" customHeight="1" x14ac:dyDescent="0.25">
      <c r="B28" s="20"/>
      <c r="C28" s="20"/>
      <c r="D28" s="20"/>
      <c r="E28" s="20"/>
      <c r="F28" s="20"/>
      <c r="G28" s="20"/>
      <c r="H28" s="20"/>
      <c r="I28" s="21"/>
      <c r="J28" s="21"/>
    </row>
    <row r="29" spans="2:58" ht="14.25" customHeight="1" x14ac:dyDescent="0.25">
      <c r="B29" s="20"/>
      <c r="C29" s="20"/>
      <c r="D29" s="20"/>
      <c r="E29" s="20"/>
      <c r="F29" s="20"/>
      <c r="G29" s="20"/>
      <c r="H29" s="20"/>
      <c r="I29" s="21"/>
      <c r="J29" s="21"/>
    </row>
    <row r="30" spans="2:58" ht="14.25" customHeight="1" x14ac:dyDescent="0.25">
      <c r="B30" s="20"/>
      <c r="C30" s="20"/>
      <c r="D30" s="20"/>
      <c r="E30" s="20"/>
      <c r="F30" s="20"/>
      <c r="G30" s="20"/>
      <c r="H30" s="20"/>
      <c r="I30" s="21"/>
      <c r="J30" s="21"/>
    </row>
    <row r="31" spans="2:58" ht="14.25" customHeight="1" x14ac:dyDescent="0.25">
      <c r="B31" s="20"/>
      <c r="C31" s="20"/>
      <c r="D31" s="20"/>
      <c r="E31" s="20"/>
      <c r="F31" s="20"/>
      <c r="G31" s="20"/>
      <c r="H31" s="20"/>
      <c r="I31" s="21"/>
      <c r="J31" s="21"/>
    </row>
    <row r="32" spans="2:58" ht="14.25" customHeight="1" x14ac:dyDescent="0.25">
      <c r="B32" s="20"/>
      <c r="C32" s="20"/>
      <c r="D32" s="20"/>
      <c r="E32" s="20"/>
      <c r="F32" s="20"/>
      <c r="G32" s="20"/>
      <c r="H32" s="20"/>
      <c r="I32" s="21"/>
      <c r="J32" s="21"/>
    </row>
    <row r="33" spans="2:10" ht="14.25" customHeight="1" x14ac:dyDescent="0.25">
      <c r="B33" s="20"/>
      <c r="C33" s="20"/>
      <c r="D33" s="20"/>
      <c r="E33" s="20"/>
      <c r="F33" s="20"/>
      <c r="G33" s="20"/>
      <c r="H33" s="20"/>
      <c r="I33" s="21"/>
      <c r="J33" s="21"/>
    </row>
    <row r="34" spans="2:10" ht="14.25" customHeight="1" x14ac:dyDescent="0.25">
      <c r="B34" s="20"/>
      <c r="C34" s="20"/>
      <c r="D34" s="20"/>
      <c r="E34" s="20"/>
      <c r="F34" s="20"/>
      <c r="G34" s="20"/>
      <c r="H34" s="20"/>
      <c r="I34" s="21"/>
      <c r="J34" s="21"/>
    </row>
    <row r="35" spans="2:10" ht="14.25" customHeight="1" x14ac:dyDescent="0.25">
      <c r="B35" s="20"/>
      <c r="C35" s="20"/>
      <c r="D35" s="20"/>
      <c r="E35" s="20"/>
      <c r="F35" s="20"/>
      <c r="G35" s="20"/>
      <c r="H35" s="20"/>
      <c r="I35" s="21"/>
      <c r="J35" s="21"/>
    </row>
    <row r="36" spans="2:10" ht="14.25" customHeight="1" x14ac:dyDescent="0.25">
      <c r="B36" s="20"/>
      <c r="C36" s="20"/>
      <c r="D36" s="20"/>
      <c r="E36" s="20"/>
      <c r="F36" s="20"/>
      <c r="G36" s="20"/>
      <c r="H36" s="20"/>
      <c r="I36" s="21"/>
      <c r="J36" s="21"/>
    </row>
    <row r="37" spans="2:10" ht="14.25" customHeight="1" x14ac:dyDescent="0.25">
      <c r="B37" s="20"/>
      <c r="C37" s="20"/>
      <c r="D37" s="20"/>
      <c r="E37" s="20"/>
      <c r="F37" s="20"/>
      <c r="G37" s="20"/>
      <c r="H37" s="20"/>
      <c r="I37" s="21"/>
      <c r="J37" s="21"/>
    </row>
    <row r="38" spans="2:10" ht="14.25" customHeight="1" x14ac:dyDescent="0.25">
      <c r="B38" s="20"/>
      <c r="C38" s="20"/>
      <c r="D38" s="20"/>
      <c r="E38" s="20"/>
      <c r="F38" s="20"/>
      <c r="G38" s="20"/>
      <c r="H38" s="20"/>
      <c r="I38" s="21"/>
      <c r="J38" s="21"/>
    </row>
    <row r="39" spans="2:10" ht="14.25" customHeight="1" x14ac:dyDescent="0.25">
      <c r="B39" s="20"/>
      <c r="C39" s="20"/>
      <c r="D39" s="20"/>
      <c r="E39" s="20"/>
      <c r="F39" s="20"/>
      <c r="G39" s="20"/>
      <c r="H39" s="20"/>
      <c r="I39" s="21"/>
      <c r="J39" s="21"/>
    </row>
    <row r="40" spans="2:10" ht="14.25" customHeight="1" x14ac:dyDescent="0.25">
      <c r="B40" s="20"/>
      <c r="C40" s="20"/>
      <c r="D40" s="20"/>
      <c r="E40" s="20"/>
      <c r="F40" s="20"/>
      <c r="G40" s="20"/>
      <c r="H40" s="20"/>
      <c r="I40" s="21"/>
      <c r="J40" s="21"/>
    </row>
    <row r="41" spans="2:10" ht="14.25" customHeight="1" x14ac:dyDescent="0.25">
      <c r="B41" s="20"/>
      <c r="C41" s="20"/>
      <c r="D41" s="20"/>
      <c r="E41" s="20"/>
      <c r="F41" s="20"/>
      <c r="G41" s="20"/>
      <c r="H41" s="20"/>
      <c r="I41" s="21"/>
      <c r="J41" s="21"/>
    </row>
    <row r="42" spans="2:10" ht="14.25" customHeight="1" x14ac:dyDescent="0.25">
      <c r="B42" s="20"/>
      <c r="C42" s="20"/>
      <c r="D42" s="20"/>
      <c r="E42" s="20"/>
      <c r="F42" s="20"/>
      <c r="G42" s="20"/>
      <c r="H42" s="20"/>
      <c r="I42" s="21"/>
      <c r="J42" s="21"/>
    </row>
    <row r="43" spans="2:10" ht="14.25" customHeight="1" x14ac:dyDescent="0.25">
      <c r="B43" s="20"/>
      <c r="C43" s="20"/>
      <c r="D43" s="20"/>
      <c r="E43" s="20"/>
      <c r="F43" s="20"/>
      <c r="G43" s="20"/>
      <c r="H43" s="20"/>
      <c r="I43" s="21"/>
      <c r="J43" s="21"/>
    </row>
    <row r="44" spans="2:10" ht="14.25" customHeight="1" x14ac:dyDescent="0.25">
      <c r="B44" s="20"/>
      <c r="C44" s="20"/>
      <c r="D44" s="20"/>
      <c r="E44" s="20"/>
      <c r="F44" s="20"/>
      <c r="G44" s="20"/>
      <c r="H44" s="20"/>
      <c r="I44" s="21"/>
      <c r="J44" s="21"/>
    </row>
    <row r="45" spans="2:10" ht="14.25" customHeight="1" x14ac:dyDescent="0.25">
      <c r="B45" s="20"/>
      <c r="C45" s="20"/>
      <c r="D45" s="20"/>
      <c r="E45" s="20"/>
      <c r="F45" s="20"/>
      <c r="G45" s="20"/>
      <c r="H45" s="20"/>
      <c r="I45" s="21"/>
      <c r="J45" s="21"/>
    </row>
    <row r="46" spans="2:10" ht="14.25" customHeight="1" x14ac:dyDescent="0.25">
      <c r="B46" s="20"/>
      <c r="C46" s="20"/>
      <c r="D46" s="20"/>
      <c r="E46" s="20"/>
      <c r="F46" s="20"/>
      <c r="G46" s="20"/>
      <c r="H46" s="20"/>
      <c r="I46" s="21"/>
      <c r="J46" s="21"/>
    </row>
    <row r="47" spans="2:10" ht="14.25" customHeight="1" x14ac:dyDescent="0.25">
      <c r="B47" s="20"/>
      <c r="C47" s="20"/>
      <c r="D47" s="20"/>
      <c r="E47" s="20"/>
      <c r="F47" s="20"/>
      <c r="G47" s="20"/>
      <c r="H47" s="20"/>
      <c r="I47" s="21"/>
      <c r="J47" s="21"/>
    </row>
    <row r="48" spans="2:10" ht="14.25" customHeight="1" x14ac:dyDescent="0.25">
      <c r="B48" s="20"/>
      <c r="C48" s="20"/>
      <c r="D48" s="20"/>
      <c r="E48" s="20"/>
      <c r="F48" s="20"/>
      <c r="G48" s="20"/>
      <c r="H48" s="20"/>
      <c r="I48" s="21"/>
      <c r="J48" s="21"/>
    </row>
    <row r="49" spans="2:10" ht="14.25" customHeight="1" x14ac:dyDescent="0.25">
      <c r="B49" s="20"/>
      <c r="C49" s="20"/>
      <c r="D49" s="20"/>
      <c r="E49" s="20"/>
      <c r="F49" s="20"/>
      <c r="G49" s="20"/>
      <c r="H49" s="20"/>
      <c r="I49" s="21"/>
      <c r="J49" s="21"/>
    </row>
    <row r="50" spans="2:10" ht="14.25" customHeight="1" x14ac:dyDescent="0.25">
      <c r="B50" s="20"/>
      <c r="C50" s="20"/>
      <c r="D50" s="20"/>
      <c r="E50" s="20"/>
      <c r="F50" s="20"/>
      <c r="G50" s="20"/>
      <c r="H50" s="20"/>
      <c r="I50" s="21"/>
      <c r="J50" s="21"/>
    </row>
    <row r="51" spans="2:10" ht="14.25" customHeight="1" x14ac:dyDescent="0.25">
      <c r="B51" s="20"/>
      <c r="C51" s="20"/>
      <c r="D51" s="20"/>
      <c r="E51" s="20"/>
      <c r="F51" s="20"/>
      <c r="G51" s="20"/>
      <c r="H51" s="20"/>
      <c r="I51" s="21"/>
      <c r="J51" s="21"/>
    </row>
    <row r="52" spans="2:10" ht="14.25" customHeight="1" x14ac:dyDescent="0.25">
      <c r="B52" s="20"/>
      <c r="C52" s="20"/>
      <c r="D52" s="20"/>
      <c r="E52" s="20"/>
      <c r="F52" s="20"/>
      <c r="G52" s="20"/>
      <c r="H52" s="20"/>
      <c r="I52" s="21"/>
      <c r="J52" s="21"/>
    </row>
    <row r="53" spans="2:10" ht="14.25" customHeight="1" x14ac:dyDescent="0.25">
      <c r="B53" s="20"/>
      <c r="C53" s="20"/>
      <c r="D53" s="20"/>
      <c r="E53" s="20"/>
      <c r="F53" s="20"/>
      <c r="G53" s="20"/>
      <c r="H53" s="20"/>
      <c r="I53" s="21"/>
      <c r="J53" s="21"/>
    </row>
    <row r="54" spans="2:10" ht="14.25" customHeight="1" x14ac:dyDescent="0.25">
      <c r="B54" s="20"/>
      <c r="C54" s="20"/>
      <c r="D54" s="20"/>
      <c r="E54" s="20"/>
      <c r="F54" s="20"/>
      <c r="G54" s="20"/>
      <c r="H54" s="20"/>
      <c r="I54" s="21"/>
      <c r="J54" s="21"/>
    </row>
    <row r="55" spans="2:10" ht="14.25" customHeight="1" x14ac:dyDescent="0.25">
      <c r="B55" s="20"/>
      <c r="C55" s="20"/>
      <c r="D55" s="20"/>
      <c r="E55" s="20"/>
      <c r="F55" s="20"/>
      <c r="G55" s="20"/>
      <c r="H55" s="20"/>
      <c r="I55" s="21"/>
      <c r="J55" s="21"/>
    </row>
    <row r="56" spans="2:10" ht="14.25" customHeight="1" x14ac:dyDescent="0.25">
      <c r="B56" s="20"/>
      <c r="C56" s="20"/>
      <c r="D56" s="20"/>
      <c r="E56" s="20"/>
      <c r="F56" s="20"/>
      <c r="G56" s="20"/>
      <c r="H56" s="20"/>
      <c r="I56" s="21"/>
      <c r="J56" s="21"/>
    </row>
    <row r="57" spans="2:10" ht="14.25" customHeight="1" x14ac:dyDescent="0.25">
      <c r="B57" s="20"/>
      <c r="C57" s="20"/>
      <c r="D57" s="20"/>
      <c r="E57" s="20"/>
      <c r="F57" s="20"/>
      <c r="G57" s="20"/>
      <c r="H57" s="20"/>
      <c r="I57" s="21"/>
      <c r="J57" s="21"/>
    </row>
    <row r="58" spans="2:10" ht="14.25" customHeight="1" x14ac:dyDescent="0.25">
      <c r="B58" s="20"/>
      <c r="C58" s="20"/>
      <c r="D58" s="20"/>
      <c r="E58" s="20"/>
      <c r="F58" s="20"/>
      <c r="G58" s="20"/>
      <c r="H58" s="20"/>
      <c r="I58" s="21"/>
      <c r="J58" s="21"/>
    </row>
    <row r="59" spans="2:10" ht="14.25" customHeight="1" x14ac:dyDescent="0.25">
      <c r="B59" s="20"/>
      <c r="C59" s="20"/>
      <c r="D59" s="20"/>
      <c r="E59" s="20"/>
      <c r="F59" s="20"/>
      <c r="G59" s="20"/>
      <c r="H59" s="20"/>
      <c r="I59" s="21"/>
      <c r="J59" s="21"/>
    </row>
    <row r="60" spans="2:10" ht="14.25" customHeight="1" x14ac:dyDescent="0.25">
      <c r="B60" s="20"/>
      <c r="C60" s="20"/>
      <c r="D60" s="20"/>
      <c r="E60" s="20"/>
      <c r="F60" s="20"/>
      <c r="G60" s="20"/>
      <c r="H60" s="20"/>
      <c r="I60" s="21"/>
      <c r="J60" s="21"/>
    </row>
    <row r="61" spans="2:10" ht="14.25" customHeight="1" x14ac:dyDescent="0.25">
      <c r="B61" s="20"/>
      <c r="C61" s="20"/>
      <c r="D61" s="20"/>
      <c r="E61" s="20"/>
      <c r="F61" s="20"/>
      <c r="G61" s="20"/>
      <c r="H61" s="20"/>
      <c r="I61" s="21"/>
      <c r="J61" s="21"/>
    </row>
    <row r="62" spans="2:10" ht="14.25" customHeight="1" x14ac:dyDescent="0.25">
      <c r="B62" s="20"/>
      <c r="C62" s="20"/>
      <c r="D62" s="20"/>
      <c r="E62" s="20"/>
      <c r="F62" s="20"/>
      <c r="G62" s="20"/>
      <c r="H62" s="20"/>
      <c r="I62" s="21"/>
      <c r="J62" s="21"/>
    </row>
    <row r="63" spans="2:10" ht="14.25" customHeight="1" x14ac:dyDescent="0.25">
      <c r="B63" s="20"/>
      <c r="C63" s="20"/>
      <c r="D63" s="20"/>
      <c r="E63" s="20"/>
      <c r="F63" s="20"/>
      <c r="G63" s="20"/>
      <c r="H63" s="20"/>
      <c r="I63" s="21"/>
      <c r="J63" s="21"/>
    </row>
    <row r="64" spans="2:10" ht="14.25" customHeight="1" x14ac:dyDescent="0.25">
      <c r="B64" s="20"/>
      <c r="C64" s="20"/>
      <c r="D64" s="20"/>
      <c r="E64" s="20"/>
      <c r="F64" s="20"/>
      <c r="G64" s="20"/>
      <c r="H64" s="20"/>
      <c r="I64" s="21"/>
      <c r="J64" s="21"/>
    </row>
    <row r="65" spans="2:10" ht="14.25" customHeight="1" x14ac:dyDescent="0.25">
      <c r="B65" s="20"/>
      <c r="C65" s="20"/>
      <c r="D65" s="20"/>
      <c r="E65" s="20"/>
      <c r="F65" s="20"/>
      <c r="G65" s="20"/>
      <c r="H65" s="20"/>
      <c r="I65" s="21"/>
      <c r="J65" s="21"/>
    </row>
    <row r="66" spans="2:10" ht="14.25" customHeight="1" x14ac:dyDescent="0.25">
      <c r="B66" s="20"/>
      <c r="C66" s="20"/>
      <c r="D66" s="20"/>
      <c r="E66" s="20"/>
      <c r="F66" s="20"/>
      <c r="G66" s="20"/>
      <c r="H66" s="20"/>
      <c r="I66" s="21"/>
      <c r="J66" s="21"/>
    </row>
    <row r="67" spans="2:10" ht="14.25" customHeight="1" x14ac:dyDescent="0.25">
      <c r="B67" s="20"/>
      <c r="C67" s="20"/>
      <c r="D67" s="20"/>
      <c r="E67" s="20"/>
      <c r="F67" s="20"/>
      <c r="G67" s="20"/>
      <c r="H67" s="20"/>
      <c r="I67" s="21"/>
      <c r="J67" s="21"/>
    </row>
    <row r="68" spans="2:10" ht="14.25" customHeight="1" x14ac:dyDescent="0.25">
      <c r="B68" s="20"/>
      <c r="C68" s="20"/>
      <c r="D68" s="20"/>
      <c r="E68" s="20"/>
      <c r="F68" s="20"/>
      <c r="G68" s="20"/>
      <c r="H68" s="20"/>
      <c r="I68" s="21"/>
      <c r="J68" s="21"/>
    </row>
    <row r="69" spans="2:10" ht="14.25" customHeight="1" x14ac:dyDescent="0.25">
      <c r="B69" s="20"/>
      <c r="C69" s="20"/>
      <c r="D69" s="20"/>
      <c r="E69" s="20"/>
      <c r="F69" s="20"/>
      <c r="G69" s="20"/>
      <c r="H69" s="20"/>
      <c r="I69" s="21"/>
      <c r="J69" s="21"/>
    </row>
    <row r="70" spans="2:10" ht="14.25" customHeight="1" x14ac:dyDescent="0.25">
      <c r="B70" s="20"/>
      <c r="C70" s="20"/>
      <c r="D70" s="20"/>
      <c r="E70" s="20"/>
      <c r="F70" s="20"/>
      <c r="G70" s="20"/>
      <c r="H70" s="20"/>
      <c r="I70" s="21"/>
      <c r="J70" s="21"/>
    </row>
    <row r="71" spans="2:10" ht="14.25" customHeight="1" x14ac:dyDescent="0.25">
      <c r="B71" s="20"/>
      <c r="C71" s="20"/>
      <c r="D71" s="20"/>
      <c r="E71" s="20"/>
      <c r="F71" s="20"/>
      <c r="G71" s="20"/>
      <c r="H71" s="20"/>
      <c r="I71" s="21"/>
      <c r="J71" s="21"/>
    </row>
    <row r="72" spans="2:10" ht="14.25" customHeight="1" x14ac:dyDescent="0.25">
      <c r="B72" s="20"/>
      <c r="C72" s="20"/>
      <c r="D72" s="20"/>
      <c r="E72" s="20"/>
      <c r="F72" s="20"/>
      <c r="G72" s="20"/>
      <c r="H72" s="20"/>
      <c r="I72" s="21"/>
      <c r="J72" s="21"/>
    </row>
    <row r="73" spans="2:10" ht="14.25" customHeight="1" x14ac:dyDescent="0.25">
      <c r="B73" s="20"/>
      <c r="C73" s="20"/>
      <c r="D73" s="20"/>
      <c r="E73" s="20"/>
      <c r="F73" s="20"/>
      <c r="G73" s="20"/>
      <c r="H73" s="20"/>
      <c r="I73" s="21"/>
      <c r="J73" s="21"/>
    </row>
    <row r="74" spans="2:10" ht="14.25" customHeight="1" x14ac:dyDescent="0.25">
      <c r="B74" s="20"/>
      <c r="C74" s="20"/>
      <c r="D74" s="20"/>
      <c r="E74" s="20"/>
      <c r="F74" s="20"/>
      <c r="G74" s="20"/>
      <c r="H74" s="20"/>
      <c r="I74" s="21"/>
      <c r="J74" s="21"/>
    </row>
    <row r="75" spans="2:10" ht="14.25" customHeight="1" x14ac:dyDescent="0.25">
      <c r="B75" s="20"/>
      <c r="C75" s="20"/>
      <c r="D75" s="20"/>
      <c r="E75" s="20"/>
      <c r="F75" s="20"/>
      <c r="G75" s="20"/>
      <c r="H75" s="20"/>
      <c r="I75" s="21"/>
      <c r="J75" s="21"/>
    </row>
    <row r="76" spans="2:10" ht="14.25" customHeight="1" x14ac:dyDescent="0.25">
      <c r="B76" s="20"/>
      <c r="C76" s="20"/>
      <c r="D76" s="20"/>
      <c r="E76" s="20"/>
      <c r="F76" s="20"/>
      <c r="G76" s="20"/>
      <c r="H76" s="20"/>
      <c r="I76" s="21"/>
      <c r="J76" s="21"/>
    </row>
  </sheetData>
  <mergeCells count="52">
    <mergeCell ref="Y22:AB22"/>
    <mergeCell ref="AI22:AL22"/>
    <mergeCell ref="AS22:AV22"/>
    <mergeCell ref="BC22:BF22"/>
    <mergeCell ref="Y23:AB23"/>
    <mergeCell ref="AI23:AL23"/>
    <mergeCell ref="AS23:AV23"/>
    <mergeCell ref="BC23:BF23"/>
    <mergeCell ref="AJ19:AS19"/>
    <mergeCell ref="BC19:BF19"/>
    <mergeCell ref="Y20:AB20"/>
    <mergeCell ref="AI20:AL20"/>
    <mergeCell ref="AS20:AV20"/>
    <mergeCell ref="BC20:BF20"/>
    <mergeCell ref="AW7:AX7"/>
    <mergeCell ref="AY7:AZ7"/>
    <mergeCell ref="BA7:BB7"/>
    <mergeCell ref="BC7:BD7"/>
    <mergeCell ref="BE7:BF7"/>
    <mergeCell ref="C10:D10"/>
    <mergeCell ref="AK7:AL7"/>
    <mergeCell ref="AM7:AN7"/>
    <mergeCell ref="AO7:AP7"/>
    <mergeCell ref="AQ7:AR7"/>
    <mergeCell ref="AS7:AT7"/>
    <mergeCell ref="AU7:AV7"/>
    <mergeCell ref="Y7:Z7"/>
    <mergeCell ref="AA7:AB7"/>
    <mergeCell ref="AC7:AD7"/>
    <mergeCell ref="AE7:AF7"/>
    <mergeCell ref="AG7:AH7"/>
    <mergeCell ref="AI7:AJ7"/>
    <mergeCell ref="AM6:AV6"/>
    <mergeCell ref="AW6:BF6"/>
    <mergeCell ref="E7:F7"/>
    <mergeCell ref="I7:J7"/>
    <mergeCell ref="K7:L7"/>
    <mergeCell ref="M7:N7"/>
    <mergeCell ref="O7:P7"/>
    <mergeCell ref="Q7:R7"/>
    <mergeCell ref="S7:T7"/>
    <mergeCell ref="U7:V7"/>
    <mergeCell ref="B1:AL1"/>
    <mergeCell ref="B6:B9"/>
    <mergeCell ref="C6:D9"/>
    <mergeCell ref="E6:F6"/>
    <mergeCell ref="G6:G9"/>
    <mergeCell ref="H6:H9"/>
    <mergeCell ref="I6:R6"/>
    <mergeCell ref="S6:AB6"/>
    <mergeCell ref="AC6:AL6"/>
    <mergeCell ref="W7:X7"/>
  </mergeCells>
  <printOptions horizontalCentered="1"/>
  <pageMargins left="0.25" right="0" top="0.75" bottom="0.75" header="0.3" footer="0.3"/>
  <pageSetup scale="60" orientation="landscape" r:id="rId1"/>
  <colBreaks count="1" manualBreakCount="1">
    <brk id="58" max="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E345-37A5-4319-A4B7-4C4CD3DADF3A}">
  <sheetPr>
    <tabColor rgb="FF00B050"/>
    <pageSetUpPr fitToPage="1"/>
  </sheetPr>
  <dimension ref="A2:BM47"/>
  <sheetViews>
    <sheetView topLeftCell="F1" zoomScale="85" zoomScaleNormal="85" zoomScaleSheetLayoutView="80" workbookViewId="0">
      <pane ySplit="5" topLeftCell="A6" activePane="bottomLeft" state="frozen"/>
      <selection activeCell="D17" sqref="D17"/>
      <selection pane="bottomLeft" activeCell="D17" sqref="D17"/>
    </sheetView>
  </sheetViews>
  <sheetFormatPr defaultRowHeight="14.5" x14ac:dyDescent="0.35"/>
  <cols>
    <col min="1" max="2" width="9.26953125" style="142" bestFit="1" customWidth="1"/>
    <col min="3" max="3" width="29.54296875" style="142" customWidth="1"/>
    <col min="4" max="4" width="34.81640625" style="142" customWidth="1"/>
    <col min="5" max="5" width="19.54296875" style="142" customWidth="1"/>
    <col min="6" max="6" width="19.26953125" style="142" customWidth="1"/>
    <col min="7" max="7" width="13.81640625" style="142" bestFit="1" customWidth="1"/>
    <col min="8" max="8" width="11.54296875" style="142" customWidth="1"/>
    <col min="9" max="9" width="13.81640625" style="142" bestFit="1" customWidth="1"/>
    <col min="10" max="10" width="9.26953125" style="142" bestFit="1" customWidth="1"/>
    <col min="11" max="11" width="31.1796875" style="142" customWidth="1"/>
    <col min="12" max="12" width="41.81640625" style="142" customWidth="1"/>
    <col min="13" max="13" width="16.81640625" style="142" bestFit="1" customWidth="1"/>
    <col min="14" max="14" width="17.7265625" style="142" customWidth="1"/>
    <col min="15" max="15" width="15.81640625" style="142" customWidth="1"/>
    <col min="16" max="16" width="10.81640625" style="142" bestFit="1" customWidth="1"/>
    <col min="17" max="17" width="8.7265625" style="142"/>
    <col min="18" max="18" width="9.26953125" style="142" bestFit="1" customWidth="1"/>
    <col min="19" max="19" width="27" style="142" customWidth="1"/>
    <col min="20" max="20" width="38.81640625" style="142" bestFit="1" customWidth="1"/>
    <col min="21" max="21" width="14.54296875" style="142" customWidth="1"/>
    <col min="22" max="22" width="15.54296875" style="142" bestFit="1" customWidth="1"/>
    <col min="23" max="23" width="11.7265625" style="142" bestFit="1" customWidth="1"/>
    <col min="24" max="24" width="10.81640625" style="142" bestFit="1" customWidth="1"/>
    <col min="25" max="25" width="8.7265625" style="142"/>
    <col min="26" max="26" width="5.1796875" style="142" customWidth="1"/>
    <col min="27" max="27" width="27.81640625" style="142" customWidth="1"/>
    <col min="28" max="28" width="47.26953125" style="142" bestFit="1" customWidth="1"/>
    <col min="29" max="30" width="16.453125" style="142" bestFit="1" customWidth="1"/>
    <col min="31" max="31" width="12.453125" style="142" bestFit="1" customWidth="1"/>
    <col min="32" max="32" width="11.1796875" style="142" customWidth="1"/>
    <col min="33" max="65" width="8.7265625" style="142"/>
  </cols>
  <sheetData>
    <row r="2" spans="1:65" x14ac:dyDescent="0.35">
      <c r="A2" s="141">
        <v>400.8</v>
      </c>
      <c r="B2" s="141">
        <v>400.8</v>
      </c>
    </row>
    <row r="3" spans="1:65" s="147" customFormat="1" ht="20.25" customHeight="1" x14ac:dyDescent="0.35">
      <c r="A3" s="143">
        <v>400.8</v>
      </c>
      <c r="B3" s="144" t="s">
        <v>53</v>
      </c>
      <c r="C3" s="144"/>
      <c r="D3" s="144"/>
      <c r="E3" s="144"/>
      <c r="F3" s="144"/>
      <c r="G3" s="144"/>
      <c r="H3" s="144"/>
      <c r="I3" s="145"/>
      <c r="J3" s="144" t="s">
        <v>54</v>
      </c>
      <c r="K3" s="144"/>
      <c r="L3" s="144"/>
      <c r="M3" s="144"/>
      <c r="N3" s="144"/>
      <c r="O3" s="144"/>
      <c r="P3" s="144"/>
      <c r="Q3" s="145"/>
      <c r="R3" s="144" t="s">
        <v>55</v>
      </c>
      <c r="S3" s="144"/>
      <c r="T3" s="144"/>
      <c r="U3" s="144"/>
      <c r="V3" s="144"/>
      <c r="W3" s="144"/>
      <c r="X3" s="144"/>
      <c r="Y3" s="146"/>
      <c r="Z3" s="144" t="s">
        <v>56</v>
      </c>
      <c r="AA3" s="144"/>
      <c r="AB3" s="144"/>
      <c r="AC3" s="144"/>
      <c r="AD3" s="144"/>
      <c r="AE3" s="144"/>
      <c r="AF3" s="144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/>
      <c r="BI3" s="146"/>
      <c r="BJ3" s="146"/>
      <c r="BK3" s="146"/>
      <c r="BL3" s="146"/>
      <c r="BM3" s="146"/>
    </row>
    <row r="4" spans="1:65" x14ac:dyDescent="0.35">
      <c r="B4" s="148" t="s">
        <v>57</v>
      </c>
      <c r="C4" s="148"/>
      <c r="D4" s="148"/>
      <c r="E4" s="148"/>
      <c r="F4" s="148"/>
      <c r="G4" s="148"/>
      <c r="H4" s="148"/>
      <c r="J4" s="149" t="s">
        <v>58</v>
      </c>
      <c r="K4" s="150"/>
      <c r="L4" s="150"/>
      <c r="M4" s="150"/>
      <c r="N4" s="150"/>
      <c r="O4" s="150"/>
      <c r="P4" s="151"/>
      <c r="R4" s="149" t="s">
        <v>59</v>
      </c>
      <c r="S4" s="150"/>
      <c r="T4" s="150"/>
      <c r="U4" s="150"/>
      <c r="V4" s="150"/>
      <c r="W4" s="150"/>
      <c r="X4" s="151"/>
      <c r="Z4" s="149" t="s">
        <v>60</v>
      </c>
      <c r="AA4" s="150"/>
      <c r="AB4" s="150"/>
      <c r="AC4" s="150"/>
      <c r="AD4" s="150"/>
      <c r="AE4" s="150"/>
      <c r="AF4" s="151"/>
    </row>
    <row r="5" spans="1:65" ht="42" x14ac:dyDescent="0.35">
      <c r="B5" s="152" t="s">
        <v>61</v>
      </c>
      <c r="C5" s="153" t="s">
        <v>7</v>
      </c>
      <c r="D5" s="153"/>
      <c r="E5" s="152" t="s">
        <v>62</v>
      </c>
      <c r="F5" s="152" t="s">
        <v>63</v>
      </c>
      <c r="G5" s="152" t="s">
        <v>64</v>
      </c>
      <c r="H5" s="154" t="s">
        <v>65</v>
      </c>
      <c r="J5" s="152" t="s">
        <v>61</v>
      </c>
      <c r="K5" s="155" t="s">
        <v>7</v>
      </c>
      <c r="L5" s="156"/>
      <c r="M5" s="152" t="s">
        <v>62</v>
      </c>
      <c r="N5" s="152" t="s">
        <v>63</v>
      </c>
      <c r="O5" s="152" t="s">
        <v>64</v>
      </c>
      <c r="P5" s="154" t="s">
        <v>65</v>
      </c>
      <c r="R5" s="152" t="s">
        <v>61</v>
      </c>
      <c r="S5" s="155" t="s">
        <v>7</v>
      </c>
      <c r="T5" s="156"/>
      <c r="U5" s="152" t="s">
        <v>62</v>
      </c>
      <c r="V5" s="152" t="s">
        <v>63</v>
      </c>
      <c r="W5" s="152" t="s">
        <v>64</v>
      </c>
      <c r="X5" s="154" t="s">
        <v>65</v>
      </c>
      <c r="Z5" s="152" t="s">
        <v>61</v>
      </c>
      <c r="AA5" s="155" t="s">
        <v>7</v>
      </c>
      <c r="AB5" s="156"/>
      <c r="AC5" s="152" t="s">
        <v>62</v>
      </c>
      <c r="AD5" s="152" t="s">
        <v>63</v>
      </c>
      <c r="AE5" s="152" t="s">
        <v>64</v>
      </c>
      <c r="AF5" s="154" t="s">
        <v>65</v>
      </c>
    </row>
    <row r="6" spans="1:65" ht="20.5" customHeight="1" x14ac:dyDescent="0.35">
      <c r="B6" s="157">
        <v>1</v>
      </c>
      <c r="C6" s="157" t="s">
        <v>66</v>
      </c>
      <c r="D6" s="158" t="s">
        <v>67</v>
      </c>
      <c r="E6" s="159">
        <f>'SI TB LC'!Q7</f>
        <v>29881347.408</v>
      </c>
      <c r="F6" s="160">
        <f>SUM(E6:E11)</f>
        <v>6673941135.0590496</v>
      </c>
      <c r="G6" s="161">
        <f>F6/A2</f>
        <v>16651549.738171281</v>
      </c>
      <c r="H6" s="162">
        <f>F6/$F$46*100</f>
        <v>33.577196878839437</v>
      </c>
      <c r="J6" s="163">
        <v>1</v>
      </c>
      <c r="K6" s="163" t="s">
        <v>68</v>
      </c>
      <c r="L6" s="164" t="s">
        <v>69</v>
      </c>
      <c r="M6" s="165">
        <f>SUM('S1 TBM 1'!S6:S12)</f>
        <v>0</v>
      </c>
      <c r="N6" s="166">
        <f>SUM(M6:M9)</f>
        <v>259034482.131975</v>
      </c>
      <c r="O6" s="166">
        <f>N6/A2</f>
        <v>646293.61809374997</v>
      </c>
      <c r="P6" s="167">
        <f>N6/N45*100</f>
        <v>4.4913418553486908</v>
      </c>
      <c r="R6" s="163">
        <v>1</v>
      </c>
      <c r="S6" s="168" t="s">
        <v>70</v>
      </c>
      <c r="T6" s="164" t="s">
        <v>71</v>
      </c>
      <c r="U6" s="165">
        <f>SUM('S1 TBM 2'!Q38:Q40)</f>
        <v>0</v>
      </c>
      <c r="V6" s="166">
        <f>SUM(U6:U10)</f>
        <v>67591255.360475257</v>
      </c>
      <c r="W6" s="166">
        <f>V6/A3</f>
        <v>168640.85668781251</v>
      </c>
      <c r="X6" s="167">
        <f>V6/V44*100</f>
        <v>1.2169873000362714</v>
      </c>
      <c r="Z6" s="163">
        <v>1</v>
      </c>
      <c r="AA6" s="168" t="s">
        <v>70</v>
      </c>
      <c r="AB6" s="164" t="s">
        <v>71</v>
      </c>
      <c r="AC6" s="165">
        <f>SUM('S1 TBM 3'!Q38:Q40)</f>
        <v>0</v>
      </c>
      <c r="AD6" s="166">
        <f>SUM(AC6:AC10)</f>
        <v>71300386.426650912</v>
      </c>
      <c r="AE6" s="166">
        <f>AD6/A3</f>
        <v>177895.17571519688</v>
      </c>
      <c r="AF6" s="167">
        <f>AD6/AD46*100</f>
        <v>0.94959245015978166</v>
      </c>
    </row>
    <row r="7" spans="1:65" x14ac:dyDescent="0.35">
      <c r="B7" s="157"/>
      <c r="C7" s="157"/>
      <c r="D7" s="158" t="s">
        <v>72</v>
      </c>
      <c r="E7" s="159">
        <f>SUM('SI TB LC'!Q13)</f>
        <v>298813474.07999998</v>
      </c>
      <c r="F7" s="157"/>
      <c r="G7" s="161"/>
      <c r="H7" s="169"/>
      <c r="J7" s="170"/>
      <c r="K7" s="170"/>
      <c r="L7" s="164" t="s">
        <v>73</v>
      </c>
      <c r="M7" s="165">
        <f>'S1 TBM 1'!S13</f>
        <v>179288084.44800001</v>
      </c>
      <c r="N7" s="170"/>
      <c r="O7" s="170"/>
      <c r="P7" s="171"/>
      <c r="R7" s="170"/>
      <c r="S7" s="172"/>
      <c r="T7" s="164" t="s">
        <v>74</v>
      </c>
      <c r="U7" s="165">
        <f>SUM('S1 TBM 2'!Q41:Q43)</f>
        <v>30417543.713106006</v>
      </c>
      <c r="V7" s="170"/>
      <c r="W7" s="170"/>
      <c r="X7" s="171"/>
      <c r="Z7" s="170"/>
      <c r="AA7" s="172"/>
      <c r="AB7" s="164" t="s">
        <v>74</v>
      </c>
      <c r="AC7" s="165">
        <f>SUM('S1 TBM 3'!Q41:Q43)</f>
        <v>0</v>
      </c>
      <c r="AD7" s="170"/>
      <c r="AE7" s="170"/>
      <c r="AF7" s="171"/>
    </row>
    <row r="8" spans="1:65" ht="15" customHeight="1" x14ac:dyDescent="0.35">
      <c r="B8" s="157"/>
      <c r="C8" s="157"/>
      <c r="D8" s="158" t="s">
        <v>75</v>
      </c>
      <c r="E8" s="159">
        <f>SUM('SI TB LC'!Q20:Q23)</f>
        <v>6127353599.2826681</v>
      </c>
      <c r="F8" s="157"/>
      <c r="G8" s="161"/>
      <c r="H8" s="169"/>
      <c r="I8" s="173">
        <v>3018.49</v>
      </c>
      <c r="J8" s="170"/>
      <c r="K8" s="170"/>
      <c r="L8" s="164" t="s">
        <v>76</v>
      </c>
      <c r="M8" s="165">
        <f>SUM('S1 TBM 1'!S14:S24)</f>
        <v>38170998.440144993</v>
      </c>
      <c r="N8" s="170"/>
      <c r="O8" s="170"/>
      <c r="P8" s="171"/>
      <c r="R8" s="170"/>
      <c r="S8" s="172"/>
      <c r="T8" s="164" t="s">
        <v>77</v>
      </c>
      <c r="U8" s="165">
        <f>SUM('S1 TBM 2'!Q44:Q46)</f>
        <v>0</v>
      </c>
      <c r="V8" s="170"/>
      <c r="W8" s="170"/>
      <c r="X8" s="171"/>
      <c r="Z8" s="170"/>
      <c r="AA8" s="172"/>
      <c r="AB8" s="164" t="s">
        <v>77</v>
      </c>
      <c r="AC8" s="165">
        <f>SUM('S1 TBM 3'!Q44:Q46)</f>
        <v>9179042.5950116627</v>
      </c>
      <c r="AD8" s="170"/>
      <c r="AE8" s="170"/>
      <c r="AF8" s="171"/>
    </row>
    <row r="9" spans="1:65" x14ac:dyDescent="0.35">
      <c r="B9" s="157"/>
      <c r="C9" s="157"/>
      <c r="D9" s="158" t="s">
        <v>78</v>
      </c>
      <c r="E9" s="159">
        <f>SUM('SI TB LC'!Q43:Q46)</f>
        <v>0</v>
      </c>
      <c r="F9" s="157"/>
      <c r="G9" s="161"/>
      <c r="H9" s="169"/>
      <c r="I9" s="173"/>
      <c r="J9" s="174"/>
      <c r="K9" s="174"/>
      <c r="L9" s="164" t="s">
        <v>79</v>
      </c>
      <c r="M9" s="165">
        <f>SUM('S1 TBM 1'!S25:S34)</f>
        <v>41575399.243830003</v>
      </c>
      <c r="N9" s="174"/>
      <c r="O9" s="174"/>
      <c r="P9" s="175"/>
      <c r="R9" s="170"/>
      <c r="S9" s="172"/>
      <c r="T9" s="164" t="s">
        <v>80</v>
      </c>
      <c r="U9" s="165">
        <f>SUM('S1 TBM 2'!Q47:Q49)</f>
        <v>32375052.864000004</v>
      </c>
      <c r="V9" s="170"/>
      <c r="W9" s="170"/>
      <c r="X9" s="171"/>
      <c r="Z9" s="170"/>
      <c r="AA9" s="172"/>
      <c r="AB9" s="164" t="s">
        <v>80</v>
      </c>
      <c r="AC9" s="165">
        <f>SUM('S1 TBM 3'!Q48:Q50)</f>
        <v>56997699.59716741</v>
      </c>
      <c r="AD9" s="170"/>
      <c r="AE9" s="170"/>
      <c r="AF9" s="171"/>
    </row>
    <row r="10" spans="1:65" x14ac:dyDescent="0.35">
      <c r="B10" s="157"/>
      <c r="C10" s="157"/>
      <c r="D10" s="158" t="s">
        <v>81</v>
      </c>
      <c r="E10" s="159">
        <f>SUM('SI TB LC'!Q47:Q60)</f>
        <v>217892714.28838199</v>
      </c>
      <c r="F10" s="157"/>
      <c r="G10" s="161"/>
      <c r="H10" s="169"/>
      <c r="J10" s="163">
        <f>J6+1</f>
        <v>2</v>
      </c>
      <c r="K10" s="168" t="s">
        <v>82</v>
      </c>
      <c r="L10" s="164" t="s">
        <v>71</v>
      </c>
      <c r="M10" s="176">
        <f>SUM('S1 TBM 1'!S38:S40)</f>
        <v>149970777.79234499</v>
      </c>
      <c r="N10" s="177">
        <f>SUM(M10:M11)</f>
        <v>219884715.34364247</v>
      </c>
      <c r="O10" s="177">
        <f>N10/A3</f>
        <v>548614.55924062489</v>
      </c>
      <c r="P10" s="167">
        <f>N10/N45*100</f>
        <v>3.8125326684158405</v>
      </c>
      <c r="R10" s="174"/>
      <c r="S10" s="178"/>
      <c r="T10" s="164" t="s">
        <v>83</v>
      </c>
      <c r="U10" s="165">
        <f>SUM('S1 TBM 2'!Q50:Q52)</f>
        <v>4798658.7833692487</v>
      </c>
      <c r="V10" s="174"/>
      <c r="W10" s="174"/>
      <c r="X10" s="175"/>
      <c r="Z10" s="174"/>
      <c r="AA10" s="178"/>
      <c r="AB10" s="164" t="s">
        <v>83</v>
      </c>
      <c r="AC10" s="165">
        <f>SUM('S1 TBM 3'!Q51:Q53)</f>
        <v>5123644.2344718445</v>
      </c>
      <c r="AD10" s="174"/>
      <c r="AE10" s="174"/>
      <c r="AF10" s="175"/>
    </row>
    <row r="11" spans="1:65" x14ac:dyDescent="0.35">
      <c r="B11" s="157"/>
      <c r="C11" s="157"/>
      <c r="D11" s="158"/>
      <c r="E11" s="159"/>
      <c r="F11" s="157"/>
      <c r="G11" s="161"/>
      <c r="H11" s="179"/>
      <c r="J11" s="174"/>
      <c r="K11" s="178"/>
      <c r="L11" s="180" t="s">
        <v>84</v>
      </c>
      <c r="M11" s="181">
        <f>SUM('S1 TBM 1'!S42:S50)</f>
        <v>69913937.551297501</v>
      </c>
      <c r="N11" s="182"/>
      <c r="O11" s="182"/>
      <c r="P11" s="175"/>
      <c r="R11" s="163">
        <v>2</v>
      </c>
      <c r="S11" s="168" t="s">
        <v>85</v>
      </c>
      <c r="T11" s="180" t="s">
        <v>86</v>
      </c>
      <c r="U11" s="181">
        <f>SUM('S1 TBM 2'!Q59:Q65)</f>
        <v>287085095.64763427</v>
      </c>
      <c r="V11" s="177">
        <f>SUM(U11:U14)</f>
        <v>1093706658.2984526</v>
      </c>
      <c r="W11" s="177">
        <f>V11/$A$3</f>
        <v>2728809.0276907501</v>
      </c>
      <c r="X11" s="162">
        <f>V11/V44*100</f>
        <v>19.692297561507637</v>
      </c>
      <c r="Z11" s="163">
        <v>2</v>
      </c>
      <c r="AA11" s="168" t="s">
        <v>85</v>
      </c>
      <c r="AB11" s="180" t="s">
        <v>86</v>
      </c>
      <c r="AC11" s="183">
        <f>SUM('S1 TBM 3'!Q60:Q62)</f>
        <v>170166856.09824595</v>
      </c>
      <c r="AD11" s="177">
        <f>SUM(AC11:AC15)</f>
        <v>860047110.8429724</v>
      </c>
      <c r="AE11" s="177">
        <f>AD11/$A$3</f>
        <v>2145826.1248577153</v>
      </c>
      <c r="AF11" s="184">
        <f>AD11/AD46*100</f>
        <v>11.454275133254434</v>
      </c>
    </row>
    <row r="12" spans="1:65" x14ac:dyDescent="0.35">
      <c r="B12" s="163">
        <v>2</v>
      </c>
      <c r="C12" s="163" t="s">
        <v>87</v>
      </c>
      <c r="D12" s="158" t="s">
        <v>88</v>
      </c>
      <c r="E12" s="181">
        <f>SUM('SI TB LC'!Q97)</f>
        <v>745453574.02607751</v>
      </c>
      <c r="F12" s="177">
        <f>SUM(E12:E17)</f>
        <v>7789070790.6801367</v>
      </c>
      <c r="G12" s="177">
        <f>F12/B2</f>
        <v>19433809.357984371</v>
      </c>
      <c r="H12" s="162">
        <f>F12/F46*100</f>
        <v>39.187514266196857</v>
      </c>
      <c r="J12" s="163">
        <f>J10+1</f>
        <v>3</v>
      </c>
      <c r="K12" s="168" t="s">
        <v>85</v>
      </c>
      <c r="L12" s="180" t="s">
        <v>86</v>
      </c>
      <c r="M12" s="181">
        <f>SUM('S1 TBM 1'!S61:S63)</f>
        <v>150047099.65138498</v>
      </c>
      <c r="N12" s="177">
        <f>SUM(M12:M15)</f>
        <v>870515222.51536202</v>
      </c>
      <c r="O12" s="177">
        <f>N12/A3</f>
        <v>2171944.1679524998</v>
      </c>
      <c r="P12" s="167">
        <f>N12/N45*100</f>
        <v>15.093671786173385</v>
      </c>
      <c r="R12" s="170"/>
      <c r="S12" s="172"/>
      <c r="T12" s="180" t="s">
        <v>89</v>
      </c>
      <c r="U12" s="181">
        <f>SUM('S1 TBM 2'!Q71:Q82)</f>
        <v>164306536.41288379</v>
      </c>
      <c r="V12" s="185"/>
      <c r="W12" s="185"/>
      <c r="X12" s="169"/>
      <c r="Z12" s="170"/>
      <c r="AA12" s="172"/>
      <c r="AB12" s="180" t="s">
        <v>89</v>
      </c>
      <c r="AC12" s="183">
        <f>SUM('S1 TBM 3'!Q73:Q84)</f>
        <v>189660262.81422454</v>
      </c>
      <c r="AD12" s="185"/>
      <c r="AE12" s="185"/>
      <c r="AF12" s="186"/>
    </row>
    <row r="13" spans="1:65" x14ac:dyDescent="0.35">
      <c r="B13" s="170"/>
      <c r="C13" s="170"/>
      <c r="D13" s="158" t="s">
        <v>90</v>
      </c>
      <c r="E13" s="181">
        <f>SUM('SI TB LC'!$Q$125)</f>
        <v>1387722586.485328</v>
      </c>
      <c r="F13" s="185"/>
      <c r="G13" s="185"/>
      <c r="H13" s="169"/>
      <c r="J13" s="170"/>
      <c r="K13" s="172"/>
      <c r="L13" s="180" t="s">
        <v>89</v>
      </c>
      <c r="M13" s="181">
        <f>SUM('S1 TBM 1'!S73:S83)</f>
        <v>56233730.287125006</v>
      </c>
      <c r="N13" s="185"/>
      <c r="O13" s="185"/>
      <c r="P13" s="171"/>
      <c r="R13" s="170"/>
      <c r="S13" s="172"/>
      <c r="T13" s="180" t="s">
        <v>91</v>
      </c>
      <c r="U13" s="181">
        <f>SUM('S1 TBM 2'!Q106:Q108)</f>
        <v>255802107.3172875</v>
      </c>
      <c r="V13" s="185"/>
      <c r="W13" s="185"/>
      <c r="X13" s="169"/>
      <c r="Z13" s="170"/>
      <c r="AA13" s="172"/>
      <c r="AB13" s="187" t="s">
        <v>92</v>
      </c>
      <c r="AC13" s="183">
        <f>SUM('S1 TBM 3'!Q64:Q69)</f>
        <v>160104885.65733457</v>
      </c>
      <c r="AD13" s="185"/>
      <c r="AE13" s="185"/>
      <c r="AF13" s="186"/>
    </row>
    <row r="14" spans="1:65" x14ac:dyDescent="0.35">
      <c r="B14" s="170"/>
      <c r="C14" s="170"/>
      <c r="D14" s="188" t="s">
        <v>93</v>
      </c>
      <c r="E14" s="181">
        <f>SUM('SI TB LC'!$Q$135)</f>
        <v>4737509603.7075005</v>
      </c>
      <c r="F14" s="185"/>
      <c r="G14" s="185"/>
      <c r="H14" s="169"/>
      <c r="J14" s="170"/>
      <c r="K14" s="172"/>
      <c r="L14" s="180" t="s">
        <v>91</v>
      </c>
      <c r="M14" s="181">
        <f>SUM('S1 TBM 1'!S107:S109)</f>
        <v>299968738.27154994</v>
      </c>
      <c r="N14" s="185"/>
      <c r="O14" s="185"/>
      <c r="P14" s="171"/>
      <c r="R14" s="174"/>
      <c r="S14" s="178"/>
      <c r="T14" s="180" t="s">
        <v>94</v>
      </c>
      <c r="U14" s="181">
        <f>SUM('S1 TBM 2'!Q126:Q137)</f>
        <v>386512918.92064714</v>
      </c>
      <c r="V14" s="182"/>
      <c r="W14" s="182"/>
      <c r="X14" s="179"/>
      <c r="Z14" s="170"/>
      <c r="AA14" s="172"/>
      <c r="AB14" s="180" t="s">
        <v>91</v>
      </c>
      <c r="AC14" s="183">
        <f>SUM('S1 TBM 3'!Q108:Q110)</f>
        <v>136070664.33576295</v>
      </c>
      <c r="AD14" s="185"/>
      <c r="AE14" s="185"/>
      <c r="AF14" s="186"/>
    </row>
    <row r="15" spans="1:65" x14ac:dyDescent="0.35">
      <c r="B15" s="170"/>
      <c r="C15" s="170"/>
      <c r="D15" s="158" t="s">
        <v>95</v>
      </c>
      <c r="E15" s="181">
        <f>SUM('SI TB LC'!Q169:Q173)</f>
        <v>252504000</v>
      </c>
      <c r="F15" s="185"/>
      <c r="G15" s="185"/>
      <c r="H15" s="169"/>
      <c r="J15" s="174"/>
      <c r="K15" s="178"/>
      <c r="L15" s="180" t="s">
        <v>94</v>
      </c>
      <c r="M15" s="181">
        <f>SUM('S1 TBM 1'!S127:S138)</f>
        <v>364265654.30530202</v>
      </c>
      <c r="N15" s="182"/>
      <c r="O15" s="182"/>
      <c r="P15" s="175"/>
      <c r="R15" s="163">
        <v>3</v>
      </c>
      <c r="S15" s="163" t="s">
        <v>96</v>
      </c>
      <c r="T15" s="180" t="s">
        <v>97</v>
      </c>
      <c r="U15" s="181">
        <f>SUM('S1 TBM 2'!Q150:Q159)</f>
        <v>25214645.657922752</v>
      </c>
      <c r="V15" s="177">
        <f>SUM(U15:U17)</f>
        <v>106782587.66265523</v>
      </c>
      <c r="W15" s="177">
        <f>V15/$A$3</f>
        <v>266423.62191281246</v>
      </c>
      <c r="X15" s="162">
        <f>V15/V44*100</f>
        <v>1.9226311503966051</v>
      </c>
      <c r="Z15" s="170"/>
      <c r="AA15" s="172"/>
      <c r="AB15" s="180" t="s">
        <v>94</v>
      </c>
      <c r="AC15" s="183">
        <f>SUM('S1 TBM 3'!Q128:Q139)</f>
        <v>204044441.93740439</v>
      </c>
      <c r="AD15" s="185"/>
      <c r="AE15" s="185"/>
      <c r="AF15" s="186"/>
    </row>
    <row r="16" spans="1:65" x14ac:dyDescent="0.35">
      <c r="B16" s="170"/>
      <c r="C16" s="170"/>
      <c r="D16" s="158" t="s">
        <v>98</v>
      </c>
      <c r="E16" s="181">
        <f>SUM('SI TB LC'!$Q$159)</f>
        <v>268932126.67199999</v>
      </c>
      <c r="F16" s="185"/>
      <c r="G16" s="185"/>
      <c r="H16" s="169"/>
      <c r="J16" s="163">
        <v>4</v>
      </c>
      <c r="K16" s="168" t="s">
        <v>96</v>
      </c>
      <c r="L16" s="180" t="s">
        <v>99</v>
      </c>
      <c r="M16" s="189">
        <f>SUM('S1 TBM 1'!S141:S150)</f>
        <v>31677096.547620002</v>
      </c>
      <c r="N16" s="177">
        <f>SUM(M16:M19)</f>
        <v>194786026.10954249</v>
      </c>
      <c r="O16" s="177">
        <f>N16/A3</f>
        <v>485993.07911562495</v>
      </c>
      <c r="P16" s="167">
        <f>N16/N45*100</f>
        <v>3.3773520216397483</v>
      </c>
      <c r="R16" s="170"/>
      <c r="S16" s="170"/>
      <c r="T16" s="180" t="s">
        <v>100</v>
      </c>
      <c r="U16" s="181">
        <f>SUM('S1 TBM 2'!Q160:Q168)</f>
        <v>47236404.654076494</v>
      </c>
      <c r="V16" s="185"/>
      <c r="W16" s="185"/>
      <c r="X16" s="169"/>
      <c r="Z16" s="174"/>
      <c r="AA16" s="178"/>
      <c r="AB16" s="180"/>
      <c r="AC16" s="180"/>
      <c r="AD16" s="182"/>
      <c r="AE16" s="182"/>
      <c r="AF16" s="190"/>
    </row>
    <row r="17" spans="2:32" x14ac:dyDescent="0.35">
      <c r="B17" s="174"/>
      <c r="C17" s="174"/>
      <c r="D17" s="158" t="s">
        <v>101</v>
      </c>
      <c r="E17" s="181">
        <f>SUM('SI TB LC'!$Q$148)</f>
        <v>396948899.78923005</v>
      </c>
      <c r="F17" s="182"/>
      <c r="G17" s="182"/>
      <c r="H17" s="179"/>
      <c r="J17" s="170"/>
      <c r="K17" s="172"/>
      <c r="L17" s="180" t="s">
        <v>97</v>
      </c>
      <c r="M17" s="181">
        <f>SUM('S1 TBM 1'!S151:S160)</f>
        <v>23757822.410715003</v>
      </c>
      <c r="N17" s="185"/>
      <c r="O17" s="185"/>
      <c r="P17" s="171"/>
      <c r="R17" s="174"/>
      <c r="S17" s="174"/>
      <c r="T17" s="180" t="s">
        <v>102</v>
      </c>
      <c r="U17" s="181">
        <f>SUM('S1 TBM 2'!Q171)</f>
        <v>34331537.350655995</v>
      </c>
      <c r="V17" s="182"/>
      <c r="W17" s="182"/>
      <c r="X17" s="179"/>
      <c r="Z17" s="163">
        <v>3</v>
      </c>
      <c r="AA17" s="163" t="s">
        <v>96</v>
      </c>
      <c r="AB17" s="180" t="s">
        <v>100</v>
      </c>
      <c r="AC17" s="181">
        <f>SUM('S1 TBM 3'!Q162:Q170)</f>
        <v>50022312.835391685</v>
      </c>
      <c r="AD17" s="177">
        <f>SUM(AC17:AC18)</f>
        <v>103579511.10241504</v>
      </c>
      <c r="AE17" s="177">
        <f>AD17/$A$3</f>
        <v>258431.91392818122</v>
      </c>
      <c r="AF17" s="184">
        <f>AD17/AD46*100</f>
        <v>1.379492127090771</v>
      </c>
    </row>
    <row r="18" spans="2:32" x14ac:dyDescent="0.35">
      <c r="B18" s="157">
        <v>3</v>
      </c>
      <c r="C18" s="191" t="s">
        <v>103</v>
      </c>
      <c r="D18" s="192" t="s">
        <v>104</v>
      </c>
      <c r="E18" s="193">
        <f>SUM('SI TB LC'!Q179:Q190)</f>
        <v>87302717.42023614</v>
      </c>
      <c r="F18" s="160">
        <f>SUM(E18:E27)</f>
        <v>669259747.2200712</v>
      </c>
      <c r="G18" s="161">
        <f>F18/A3</f>
        <v>1669809.7485530719</v>
      </c>
      <c r="H18" s="194">
        <f>F18/F46*100</f>
        <v>3.3671058585523195</v>
      </c>
      <c r="J18" s="170"/>
      <c r="K18" s="172"/>
      <c r="L18" s="180" t="s">
        <v>100</v>
      </c>
      <c r="M18" s="181">
        <f>SUM('S1 TBM 1'!S161:S170)</f>
        <v>24034477.0768875</v>
      </c>
      <c r="N18" s="185"/>
      <c r="O18" s="185"/>
      <c r="P18" s="171"/>
      <c r="R18" s="163">
        <v>4</v>
      </c>
      <c r="S18" s="163" t="s">
        <v>105</v>
      </c>
      <c r="T18" s="195" t="s">
        <v>106</v>
      </c>
      <c r="U18" s="181">
        <f>SUM('S1 TBM 2'!Q179:Q183)</f>
        <v>383749525.30116951</v>
      </c>
      <c r="V18" s="177">
        <f>SUM(U18:U20)</f>
        <v>536386701.57716149</v>
      </c>
      <c r="W18" s="177">
        <f>V18/$A$3</f>
        <v>1338290.1735957123</v>
      </c>
      <c r="X18" s="162">
        <f>V18/V44*100</f>
        <v>9.6576961064917413</v>
      </c>
      <c r="Z18" s="174"/>
      <c r="AA18" s="174"/>
      <c r="AB18" s="180" t="s">
        <v>102</v>
      </c>
      <c r="AC18" s="181">
        <f>SUM('S1 TBM 3'!Q173)</f>
        <v>53557198.267023355</v>
      </c>
      <c r="AD18" s="182"/>
      <c r="AE18" s="182"/>
      <c r="AF18" s="190"/>
    </row>
    <row r="19" spans="2:32" x14ac:dyDescent="0.35">
      <c r="B19" s="157"/>
      <c r="C19" s="196"/>
      <c r="D19" s="192" t="s">
        <v>107</v>
      </c>
      <c r="E19" s="193">
        <f>SUM('SI TB LC'!Q191:Q192)</f>
        <v>2382841.1497617546</v>
      </c>
      <c r="F19" s="160"/>
      <c r="G19" s="161"/>
      <c r="H19" s="194"/>
      <c r="J19" s="174"/>
      <c r="K19" s="178"/>
      <c r="L19" s="164" t="s">
        <v>102</v>
      </c>
      <c r="M19" s="176">
        <f>SUM('S1 TBM 1'!S171:S173)</f>
        <v>115316630.07431999</v>
      </c>
      <c r="N19" s="182"/>
      <c r="O19" s="182"/>
      <c r="P19" s="175"/>
      <c r="R19" s="170"/>
      <c r="S19" s="170"/>
      <c r="T19" s="180" t="s">
        <v>108</v>
      </c>
      <c r="U19" s="181">
        <f>SUM('S1 TBM 2'!Q186:Q189)</f>
        <v>88722567.686951965</v>
      </c>
      <c r="V19" s="185"/>
      <c r="W19" s="185"/>
      <c r="X19" s="169"/>
      <c r="Z19" s="163">
        <v>4</v>
      </c>
      <c r="AA19" s="163" t="s">
        <v>105</v>
      </c>
      <c r="AB19" s="197" t="s">
        <v>109</v>
      </c>
      <c r="AC19" s="181">
        <f>SUM('S1 TBM 3'!Q181+'S1 TBM 3'!Q187)</f>
        <v>68110875.977390274</v>
      </c>
      <c r="AD19" s="177">
        <f>SUM(AC19:AC22)</f>
        <v>99098100.102377981</v>
      </c>
      <c r="AE19" s="177">
        <f>AD19/$A$3</f>
        <v>247250.74875842809</v>
      </c>
      <c r="AF19" s="184">
        <f>AD19/AD46*100</f>
        <v>1.3198078215074347</v>
      </c>
    </row>
    <row r="20" spans="2:32" x14ac:dyDescent="0.35">
      <c r="B20" s="157"/>
      <c r="C20" s="196"/>
      <c r="D20" s="192" t="s">
        <v>110</v>
      </c>
      <c r="E20" s="193">
        <f>SUM('SI TB LC'!Q203:Q204)</f>
        <v>2855829.9575108159</v>
      </c>
      <c r="F20" s="160"/>
      <c r="G20" s="161"/>
      <c r="H20" s="194"/>
      <c r="J20" s="163">
        <v>5</v>
      </c>
      <c r="K20" s="163" t="s">
        <v>105</v>
      </c>
      <c r="L20" s="180" t="s">
        <v>109</v>
      </c>
      <c r="M20" s="181">
        <f>SUM('S1 TBM 1'!S177:S185)</f>
        <v>120117740.561184</v>
      </c>
      <c r="N20" s="177">
        <f>SUM(M20:M22)</f>
        <v>349426027.4146058</v>
      </c>
      <c r="O20" s="177">
        <f>N20/A3</f>
        <v>871821.42568514415</v>
      </c>
      <c r="P20" s="167">
        <f>N20/N45*100</f>
        <v>6.0586209579458679</v>
      </c>
      <c r="R20" s="174"/>
      <c r="S20" s="174"/>
      <c r="T20" s="164" t="s">
        <v>111</v>
      </c>
      <c r="U20" s="176">
        <f>SUM('S1 TBM 2'!Q194:Q195)</f>
        <v>63914608.589039996</v>
      </c>
      <c r="V20" s="182"/>
      <c r="W20" s="182"/>
      <c r="X20" s="179"/>
      <c r="Z20" s="170"/>
      <c r="AA20" s="170"/>
      <c r="AB20" s="195" t="s">
        <v>112</v>
      </c>
      <c r="AC20" s="181">
        <f>'S1 TBM 3'!Q194+'S1 TBM 3'!Q195+'S1 TBM 3'!Q196</f>
        <v>3395078.5944521925</v>
      </c>
      <c r="AD20" s="185"/>
      <c r="AE20" s="185"/>
      <c r="AF20" s="186"/>
    </row>
    <row r="21" spans="2:32" x14ac:dyDescent="0.35">
      <c r="B21" s="157"/>
      <c r="C21" s="196"/>
      <c r="D21" s="192" t="s">
        <v>113</v>
      </c>
      <c r="E21" s="193">
        <f>SUM('SI TB LC'!Q193)</f>
        <v>598224.57510815992</v>
      </c>
      <c r="F21" s="160"/>
      <c r="G21" s="161"/>
      <c r="H21" s="194"/>
      <c r="J21" s="170"/>
      <c r="K21" s="170"/>
      <c r="L21" s="180" t="s">
        <v>112</v>
      </c>
      <c r="M21" s="176">
        <f>SUM('S1 TBM 1'!S187:S193)</f>
        <v>205148600.72702178</v>
      </c>
      <c r="N21" s="185"/>
      <c r="O21" s="185"/>
      <c r="P21" s="171"/>
      <c r="R21" s="163">
        <v>5</v>
      </c>
      <c r="S21" s="163" t="s">
        <v>114</v>
      </c>
      <c r="T21" s="180" t="s">
        <v>115</v>
      </c>
      <c r="U21" s="181">
        <f>SUM('S1 TBM 2'!Q200:Q205)</f>
        <v>63034281.420431823</v>
      </c>
      <c r="V21" s="177">
        <f>SUM(U21:U29)</f>
        <v>1101119740.6273623</v>
      </c>
      <c r="W21" s="177">
        <f>V21/$A$3</f>
        <v>2747304.7420842373</v>
      </c>
      <c r="X21" s="162">
        <f>V21/V44*100</f>
        <v>19.825770848847728</v>
      </c>
      <c r="Z21" s="170"/>
      <c r="AA21" s="170"/>
      <c r="AB21" s="180" t="s">
        <v>111</v>
      </c>
      <c r="AC21" s="181">
        <f>SUM('S1 TBM 3'!Q197:Q198)</f>
        <v>27592145.530535519</v>
      </c>
      <c r="AD21" s="185"/>
      <c r="AE21" s="185"/>
      <c r="AF21" s="186"/>
    </row>
    <row r="22" spans="2:32" x14ac:dyDescent="0.35">
      <c r="B22" s="157"/>
      <c r="C22" s="196"/>
      <c r="D22" s="192" t="s">
        <v>116</v>
      </c>
      <c r="E22" s="193">
        <f>SUM('SI TB LC'!Q194:Q197)</f>
        <v>639515.29886243993</v>
      </c>
      <c r="F22" s="160"/>
      <c r="G22" s="161"/>
      <c r="H22" s="194"/>
      <c r="J22" s="174"/>
      <c r="K22" s="174"/>
      <c r="L22" s="164" t="s">
        <v>111</v>
      </c>
      <c r="M22" s="176">
        <f>SUM('S1 TBM 1'!S195:S196)</f>
        <v>24159686.126400001</v>
      </c>
      <c r="N22" s="182"/>
      <c r="O22" s="182"/>
      <c r="P22" s="175"/>
      <c r="R22" s="170"/>
      <c r="S22" s="170"/>
      <c r="T22" s="164" t="s">
        <v>117</v>
      </c>
      <c r="U22" s="181">
        <f>SUM('S1 TBM 2'!Q206:Q211)</f>
        <v>187205060.50610241</v>
      </c>
      <c r="V22" s="185"/>
      <c r="W22" s="185"/>
      <c r="X22" s="169"/>
      <c r="Z22" s="174"/>
      <c r="AA22" s="174"/>
      <c r="AB22" s="164"/>
      <c r="AC22" s="176"/>
      <c r="AD22" s="182"/>
      <c r="AE22" s="182"/>
      <c r="AF22" s="190"/>
    </row>
    <row r="23" spans="2:32" x14ac:dyDescent="0.35">
      <c r="B23" s="157"/>
      <c r="C23" s="196"/>
      <c r="D23" s="192" t="s">
        <v>118</v>
      </c>
      <c r="E23" s="193">
        <f>SUM('SI TB LC'!Q198:Q200)</f>
        <v>740821.36944815994</v>
      </c>
      <c r="F23" s="160"/>
      <c r="G23" s="161"/>
      <c r="H23" s="194"/>
      <c r="J23" s="163">
        <v>6</v>
      </c>
      <c r="K23" s="168" t="s">
        <v>114</v>
      </c>
      <c r="L23" s="180" t="s">
        <v>115</v>
      </c>
      <c r="M23" s="181">
        <f>SUM('S1 TBM 1'!S201:S206)</f>
        <v>19474238.981648717</v>
      </c>
      <c r="N23" s="177">
        <f>SUM(M23:M31)</f>
        <v>1159054436.0290613</v>
      </c>
      <c r="O23" s="177">
        <f>N23/A3</f>
        <v>2891852.3853020491</v>
      </c>
      <c r="P23" s="167">
        <f>N23/N45*100</f>
        <v>20.096589683039369</v>
      </c>
      <c r="R23" s="170"/>
      <c r="S23" s="170"/>
      <c r="T23" s="180" t="s">
        <v>119</v>
      </c>
      <c r="U23" s="181">
        <f>SUM('S1 TBM 2'!Q212:Q217)</f>
        <v>623954466.66683948</v>
      </c>
      <c r="V23" s="185"/>
      <c r="W23" s="185"/>
      <c r="X23" s="169"/>
      <c r="Z23" s="163">
        <v>5</v>
      </c>
      <c r="AA23" s="163" t="s">
        <v>114</v>
      </c>
      <c r="AB23" s="180" t="s">
        <v>115</v>
      </c>
      <c r="AC23" s="181">
        <f>SUM('S1 TBM 3'!Q203:Q208)</f>
        <v>87551360.004123002</v>
      </c>
      <c r="AD23" s="177">
        <f>SUM(AC23:AC31)</f>
        <v>2490688786.2164254</v>
      </c>
      <c r="AE23" s="177">
        <f>AD23/$A$3</f>
        <v>6214293.3787834961</v>
      </c>
      <c r="AF23" s="184">
        <f>AD23/AD46*100</f>
        <v>33.171478944533433</v>
      </c>
    </row>
    <row r="24" spans="2:32" x14ac:dyDescent="0.35">
      <c r="B24" s="157"/>
      <c r="C24" s="196"/>
      <c r="D24" s="192" t="s">
        <v>120</v>
      </c>
      <c r="E24" s="193">
        <f>SUM('SI TB LC'!Q202)</f>
        <v>598224.57510815992</v>
      </c>
      <c r="F24" s="160"/>
      <c r="G24" s="161"/>
      <c r="H24" s="194"/>
      <c r="J24" s="170"/>
      <c r="K24" s="172"/>
      <c r="L24" s="180" t="s">
        <v>117</v>
      </c>
      <c r="M24" s="181">
        <f>SUM('S1 TBM 1'!S207:S212)</f>
        <v>169157144.60837838</v>
      </c>
      <c r="N24" s="185"/>
      <c r="O24" s="185"/>
      <c r="P24" s="171"/>
      <c r="R24" s="170"/>
      <c r="S24" s="170"/>
      <c r="T24" s="180" t="s">
        <v>121</v>
      </c>
      <c r="U24" s="181">
        <f>SUM('S1 TBM 2'!Q218:Q223)</f>
        <v>226925932.03398845</v>
      </c>
      <c r="V24" s="185"/>
      <c r="W24" s="185"/>
      <c r="X24" s="169"/>
      <c r="Z24" s="170"/>
      <c r="AA24" s="170"/>
      <c r="AB24" s="164" t="s">
        <v>117</v>
      </c>
      <c r="AC24" s="181">
        <f>SUM('S1 TBM 3'!Q209:Q214)</f>
        <v>211247411.28051415</v>
      </c>
      <c r="AD24" s="185"/>
      <c r="AE24" s="185"/>
      <c r="AF24" s="186"/>
    </row>
    <row r="25" spans="2:32" x14ac:dyDescent="0.35">
      <c r="B25" s="157"/>
      <c r="C25" s="196"/>
      <c r="D25" s="164" t="s">
        <v>122</v>
      </c>
      <c r="E25" s="176">
        <f>SUM('SI TB LC'!Q205)</f>
        <v>179288084.44800001</v>
      </c>
      <c r="F25" s="160"/>
      <c r="G25" s="161"/>
      <c r="H25" s="194"/>
      <c r="J25" s="170"/>
      <c r="K25" s="172"/>
      <c r="L25" s="180" t="s">
        <v>119</v>
      </c>
      <c r="M25" s="181">
        <f>SUM('S1 TBM 1'!S213:S218)</f>
        <v>464206232.06886113</v>
      </c>
      <c r="N25" s="185"/>
      <c r="O25" s="185"/>
      <c r="P25" s="171"/>
      <c r="R25" s="170"/>
      <c r="S25" s="170"/>
      <c r="T25" s="180" t="s">
        <v>123</v>
      </c>
      <c r="U25" s="181">
        <f>SUM('S1 TBM 2'!Q224:Q228)</f>
        <v>0</v>
      </c>
      <c r="V25" s="185"/>
      <c r="W25" s="185"/>
      <c r="X25" s="169"/>
      <c r="Z25" s="170"/>
      <c r="AA25" s="170"/>
      <c r="AB25" s="180" t="s">
        <v>119</v>
      </c>
      <c r="AC25" s="181">
        <f>SUM('S1 TBM 3'!Q215:Q220)</f>
        <v>704087621.79795361</v>
      </c>
      <c r="AD25" s="185"/>
      <c r="AE25" s="185"/>
      <c r="AF25" s="186"/>
    </row>
    <row r="26" spans="2:32" x14ac:dyDescent="0.35">
      <c r="B26" s="157"/>
      <c r="C26" s="196"/>
      <c r="D26" s="164" t="s">
        <v>68</v>
      </c>
      <c r="E26" s="176">
        <f>SUM('SI TB LC'!Q227:Q233)</f>
        <v>335090793.6100356</v>
      </c>
      <c r="F26" s="160"/>
      <c r="G26" s="161"/>
      <c r="H26" s="194"/>
      <c r="J26" s="170"/>
      <c r="K26" s="172"/>
      <c r="L26" s="180" t="s">
        <v>121</v>
      </c>
      <c r="M26" s="181">
        <f>SUM('S1 TBM 1'!S219:S224)</f>
        <v>356339088.48812991</v>
      </c>
      <c r="N26" s="185"/>
      <c r="O26" s="185"/>
      <c r="P26" s="171"/>
      <c r="R26" s="170"/>
      <c r="S26" s="170"/>
      <c r="T26" s="180" t="s">
        <v>124</v>
      </c>
      <c r="U26" s="181">
        <f>SUM('S1 TBM 2'!Q238:Q249)</f>
        <v>0</v>
      </c>
      <c r="V26" s="185"/>
      <c r="W26" s="185"/>
      <c r="X26" s="169"/>
      <c r="Z26" s="170"/>
      <c r="AA26" s="170"/>
      <c r="AB26" s="180" t="s">
        <v>121</v>
      </c>
      <c r="AC26" s="181">
        <f>SUM('S1 TBM 3'!Q221:Q226)</f>
        <v>394093421.18934059</v>
      </c>
      <c r="AD26" s="185"/>
      <c r="AE26" s="185"/>
      <c r="AF26" s="186"/>
    </row>
    <row r="27" spans="2:32" ht="15" customHeight="1" x14ac:dyDescent="0.35">
      <c r="B27" s="157"/>
      <c r="C27" s="198"/>
      <c r="D27" s="164" t="s">
        <v>73</v>
      </c>
      <c r="E27" s="176">
        <f>'SI TB LC'!Q234</f>
        <v>59762694.816</v>
      </c>
      <c r="F27" s="160"/>
      <c r="G27" s="161"/>
      <c r="H27" s="194"/>
      <c r="J27" s="170"/>
      <c r="K27" s="172"/>
      <c r="L27" s="180" t="s">
        <v>123</v>
      </c>
      <c r="M27" s="181">
        <f>SUM('S1 TBM 1'!S225:S229)</f>
        <v>0</v>
      </c>
      <c r="N27" s="185"/>
      <c r="O27" s="185"/>
      <c r="P27" s="171"/>
      <c r="R27" s="170"/>
      <c r="S27" s="170"/>
      <c r="T27" s="180" t="s">
        <v>125</v>
      </c>
      <c r="U27" s="181">
        <f>SUM('S1 TBM 2'!Q253:Q255)</f>
        <v>0</v>
      </c>
      <c r="V27" s="185"/>
      <c r="W27" s="185"/>
      <c r="X27" s="169"/>
      <c r="Z27" s="170"/>
      <c r="AA27" s="170"/>
      <c r="AB27" s="180" t="s">
        <v>123</v>
      </c>
      <c r="AC27" s="181">
        <f>SUM('S1 TBM 3'!Q227:Q231)</f>
        <v>0</v>
      </c>
      <c r="AD27" s="185"/>
      <c r="AE27" s="185"/>
      <c r="AF27" s="186"/>
    </row>
    <row r="28" spans="2:32" x14ac:dyDescent="0.35">
      <c r="B28" s="199">
        <v>4</v>
      </c>
      <c r="C28" s="199" t="s">
        <v>126</v>
      </c>
      <c r="D28" s="164" t="s">
        <v>127</v>
      </c>
      <c r="E28" s="176">
        <f>SUM('SI TB LC'!Q238:Q247)</f>
        <v>49568779.534710005</v>
      </c>
      <c r="F28" s="200">
        <f>SUM(E28:E28)</f>
        <v>49568779.534710005</v>
      </c>
      <c r="G28" s="201">
        <f>F28/A3</f>
        <v>123674.59963750001</v>
      </c>
      <c r="H28" s="202">
        <f>F28/F46*100</f>
        <v>0.24938497895007564</v>
      </c>
      <c r="J28" s="170"/>
      <c r="K28" s="172"/>
      <c r="L28" s="180" t="s">
        <v>124</v>
      </c>
      <c r="M28" s="181">
        <f>SUM('S1 TBM 1'!S238:S250)</f>
        <v>149877731.882043</v>
      </c>
      <c r="N28" s="185"/>
      <c r="O28" s="185"/>
      <c r="P28" s="171"/>
      <c r="R28" s="170"/>
      <c r="S28" s="170"/>
      <c r="T28" s="180" t="s">
        <v>128</v>
      </c>
      <c r="U28" s="181">
        <f>SUM('S1 TBM 2'!Q256:Q258)</f>
        <v>0</v>
      </c>
      <c r="V28" s="185"/>
      <c r="W28" s="185"/>
      <c r="X28" s="169"/>
      <c r="Z28" s="170"/>
      <c r="AA28" s="170"/>
      <c r="AB28" s="180" t="s">
        <v>124</v>
      </c>
      <c r="AC28" s="181">
        <f>SUM('S1 TBM 3'!Q234:Q246)</f>
        <v>809345918.12588942</v>
      </c>
      <c r="AD28" s="185"/>
      <c r="AE28" s="185"/>
      <c r="AF28" s="186"/>
    </row>
    <row r="29" spans="2:32" ht="15" customHeight="1" x14ac:dyDescent="0.35">
      <c r="B29" s="199">
        <v>5</v>
      </c>
      <c r="C29" s="199" t="s">
        <v>129</v>
      </c>
      <c r="D29" s="180" t="s">
        <v>130</v>
      </c>
      <c r="E29" s="181">
        <f>SUM('SI TB LC'!Q252:Q254)</f>
        <v>33880.625999999997</v>
      </c>
      <c r="F29" s="200">
        <f>SUM(E29:E30)</f>
        <v>99154.91399999999</v>
      </c>
      <c r="G29" s="200">
        <f>F29/A3</f>
        <v>247.39249999999996</v>
      </c>
      <c r="H29" s="203">
        <f>F29/F46*100</f>
        <v>4.9885727211361377E-4</v>
      </c>
      <c r="J29" s="170"/>
      <c r="K29" s="172"/>
      <c r="L29" s="180" t="s">
        <v>125</v>
      </c>
      <c r="M29" s="181">
        <f>SUM('S1 TBM 1'!S254:S256)</f>
        <v>0</v>
      </c>
      <c r="N29" s="185"/>
      <c r="O29" s="185"/>
      <c r="P29" s="171"/>
      <c r="R29" s="174"/>
      <c r="S29" s="174"/>
      <c r="T29" s="180" t="s">
        <v>131</v>
      </c>
      <c r="U29" s="181">
        <f>SUM('S1 TBM 2'!Q259:Q261)</f>
        <v>0</v>
      </c>
      <c r="V29" s="182"/>
      <c r="W29" s="182"/>
      <c r="X29" s="179"/>
      <c r="Z29" s="170"/>
      <c r="AA29" s="170"/>
      <c r="AB29" s="180" t="s">
        <v>132</v>
      </c>
      <c r="AC29" s="181">
        <f>SUM('S1 TBM 3'!Q263:Q264)</f>
        <v>260345745.47940442</v>
      </c>
      <c r="AD29" s="185"/>
      <c r="AE29" s="185"/>
      <c r="AF29" s="186"/>
    </row>
    <row r="30" spans="2:32" x14ac:dyDescent="0.35">
      <c r="B30" s="199"/>
      <c r="C30" s="199"/>
      <c r="D30" s="180" t="s">
        <v>133</v>
      </c>
      <c r="E30" s="181">
        <f>SUM('SI TB LC'!Q255:Q256)</f>
        <v>65274.288</v>
      </c>
      <c r="F30" s="199"/>
      <c r="G30" s="200"/>
      <c r="H30" s="204"/>
      <c r="J30" s="170"/>
      <c r="K30" s="172"/>
      <c r="L30" s="180" t="s">
        <v>128</v>
      </c>
      <c r="M30" s="181">
        <f>SUM('S1 TBM 1'!S257:S259)</f>
        <v>0</v>
      </c>
      <c r="N30" s="185"/>
      <c r="O30" s="185"/>
      <c r="P30" s="171"/>
      <c r="R30" s="163">
        <v>6</v>
      </c>
      <c r="S30" s="163" t="s">
        <v>98</v>
      </c>
      <c r="T30" s="180" t="s">
        <v>134</v>
      </c>
      <c r="U30" s="205">
        <f>SUM('S1 TBM 2'!Q286)</f>
        <v>0</v>
      </c>
      <c r="V30" s="177">
        <f>SUM(U30:U31)</f>
        <v>4243151.3319359999</v>
      </c>
      <c r="W30" s="177">
        <f>V30/$A$3</f>
        <v>10586.70492</v>
      </c>
      <c r="X30" s="162">
        <f>V30/V44*100</f>
        <v>7.6398363302447661E-2</v>
      </c>
      <c r="Z30" s="170"/>
      <c r="AA30" s="170"/>
      <c r="AB30" s="180" t="s">
        <v>135</v>
      </c>
      <c r="AC30" s="181">
        <f>SUM('S1 TBM 3'!Q265:Q266)</f>
        <v>0</v>
      </c>
      <c r="AD30" s="185"/>
      <c r="AE30" s="185"/>
      <c r="AF30" s="186"/>
    </row>
    <row r="31" spans="2:32" x14ac:dyDescent="0.35">
      <c r="B31" s="206">
        <v>6</v>
      </c>
      <c r="C31" s="206" t="s">
        <v>136</v>
      </c>
      <c r="D31" s="180" t="s">
        <v>137</v>
      </c>
      <c r="E31" s="181">
        <f>SUM('SI TB LC'!$Q$260:$Q$261)</f>
        <v>185306096.44800001</v>
      </c>
      <c r="F31" s="207">
        <f>SUM(E31:E34)</f>
        <v>4017587941.6079998</v>
      </c>
      <c r="G31" s="207">
        <f>F31/A3</f>
        <v>10023922.01</v>
      </c>
      <c r="H31" s="203">
        <f>F31/F46*100</f>
        <v>20.212845538115392</v>
      </c>
      <c r="J31" s="174"/>
      <c r="K31" s="178"/>
      <c r="L31" s="180" t="s">
        <v>131</v>
      </c>
      <c r="M31" s="181">
        <f>SUM('S1 TBM 1'!S260:S262)</f>
        <v>0</v>
      </c>
      <c r="N31" s="182"/>
      <c r="O31" s="182"/>
      <c r="P31" s="175"/>
      <c r="R31" s="174"/>
      <c r="S31" s="174"/>
      <c r="T31" s="164" t="s">
        <v>138</v>
      </c>
      <c r="U31" s="205">
        <f>SUM('S1 TBM 2'!Q288)</f>
        <v>4243151.3319359999</v>
      </c>
      <c r="V31" s="182"/>
      <c r="W31" s="182"/>
      <c r="X31" s="179"/>
      <c r="Z31" s="174"/>
      <c r="AA31" s="174"/>
      <c r="AB31" s="180" t="s">
        <v>139</v>
      </c>
      <c r="AC31" s="181">
        <f>SUM('S1 TBM 3'!Q267:Q269)</f>
        <v>24017308.339200001</v>
      </c>
      <c r="AD31" s="182"/>
      <c r="AE31" s="182"/>
      <c r="AF31" s="190"/>
    </row>
    <row r="32" spans="2:32" x14ac:dyDescent="0.35">
      <c r="B32" s="208"/>
      <c r="C32" s="208"/>
      <c r="D32" s="180" t="s">
        <v>140</v>
      </c>
      <c r="E32" s="181">
        <f>SUM('SI TB LC'!$Q$262:$Q$263)</f>
        <v>0</v>
      </c>
      <c r="F32" s="209"/>
      <c r="G32" s="209"/>
      <c r="H32" s="210"/>
      <c r="J32" s="163">
        <v>7</v>
      </c>
      <c r="K32" s="168" t="s">
        <v>98</v>
      </c>
      <c r="L32" s="180" t="s">
        <v>134</v>
      </c>
      <c r="M32" s="205">
        <f>SUM('S1 TBM 1'!S287:S288)</f>
        <v>0</v>
      </c>
      <c r="N32" s="177">
        <f>SUM(M32:M33)</f>
        <v>569737690.57919991</v>
      </c>
      <c r="O32" s="177">
        <f>N32/A3</f>
        <v>1421501.2239999997</v>
      </c>
      <c r="P32" s="167">
        <f>N32/N45*100</f>
        <v>9.8785563806302026</v>
      </c>
      <c r="R32" s="163">
        <v>7</v>
      </c>
      <c r="S32" s="168" t="s">
        <v>141</v>
      </c>
      <c r="T32" s="180" t="s">
        <v>142</v>
      </c>
      <c r="U32" s="181">
        <f>SUM('S1 TBM 2'!Q296:Q297)</f>
        <v>35636917.481820002</v>
      </c>
      <c r="V32" s="177">
        <f>SUM(U32:U34)</f>
        <v>101627146.34986322</v>
      </c>
      <c r="W32" s="177">
        <f>V32/$A$3</f>
        <v>253560.74438588627</v>
      </c>
      <c r="X32" s="162">
        <f>V32/V44*100</f>
        <v>1.8298069149198508</v>
      </c>
      <c r="Z32" s="163">
        <v>6</v>
      </c>
      <c r="AA32" s="163" t="s">
        <v>98</v>
      </c>
      <c r="AB32" s="180" t="s">
        <v>134</v>
      </c>
      <c r="AC32" s="205">
        <f>SUM('S1 TBM 3'!Q278)</f>
        <v>0</v>
      </c>
      <c r="AD32" s="177">
        <f>SUM(AC32:AC33)</f>
        <v>309691011.53001213</v>
      </c>
      <c r="AE32" s="177">
        <f>AD32/$A$3</f>
        <v>772682.16449603823</v>
      </c>
      <c r="AF32" s="184">
        <f>AD32/AD46*100</f>
        <v>4.1245252819741101</v>
      </c>
    </row>
    <row r="33" spans="2:32" x14ac:dyDescent="0.35">
      <c r="B33" s="208"/>
      <c r="C33" s="208"/>
      <c r="D33" s="180" t="s">
        <v>143</v>
      </c>
      <c r="E33" s="181">
        <f>SUM('SI TB LC'!$Q$264:$Q$271)</f>
        <v>380654777.97600001</v>
      </c>
      <c r="F33" s="209"/>
      <c r="G33" s="209"/>
      <c r="H33" s="210"/>
      <c r="J33" s="174"/>
      <c r="K33" s="178"/>
      <c r="L33" s="164" t="s">
        <v>138</v>
      </c>
      <c r="M33" s="205">
        <f>SUM('S1 TBM 1'!S289:S290)</f>
        <v>569737690.57919991</v>
      </c>
      <c r="N33" s="182"/>
      <c r="O33" s="182"/>
      <c r="P33" s="175"/>
      <c r="R33" s="170"/>
      <c r="S33" s="172"/>
      <c r="T33" s="164" t="s">
        <v>144</v>
      </c>
      <c r="U33" s="176">
        <f>SUM('S1 TBM 2'!Q301:Q310)</f>
        <v>20667451.902792573</v>
      </c>
      <c r="V33" s="185"/>
      <c r="W33" s="185"/>
      <c r="X33" s="169"/>
      <c r="Z33" s="174"/>
      <c r="AA33" s="174"/>
      <c r="AB33" s="164" t="s">
        <v>138</v>
      </c>
      <c r="AC33" s="205">
        <f>SUM('S1 TBM 3'!Q280)</f>
        <v>309691011.53001213</v>
      </c>
      <c r="AD33" s="182"/>
      <c r="AE33" s="182"/>
      <c r="AF33" s="190"/>
    </row>
    <row r="34" spans="2:32" x14ac:dyDescent="0.35">
      <c r="B34" s="211"/>
      <c r="C34" s="211"/>
      <c r="D34" s="180" t="s">
        <v>145</v>
      </c>
      <c r="E34" s="181">
        <f>SUM('SI TB LC'!$Q$273:$Q$277)</f>
        <v>3451627067.184</v>
      </c>
      <c r="F34" s="212"/>
      <c r="G34" s="212"/>
      <c r="H34" s="204"/>
      <c r="J34" s="163">
        <v>8</v>
      </c>
      <c r="K34" s="168" t="s">
        <v>141</v>
      </c>
      <c r="L34" s="180" t="s">
        <v>142</v>
      </c>
      <c r="M34" s="181">
        <f>SUM('S1 TBM 1'!S297:S298)</f>
        <v>33619764.117600001</v>
      </c>
      <c r="N34" s="177">
        <f>SUM(M34:M36)</f>
        <v>86196284.5455468</v>
      </c>
      <c r="O34" s="177">
        <f>N34/A3</f>
        <v>215060.5901835</v>
      </c>
      <c r="P34" s="167">
        <f>N34/N45*100</f>
        <v>1.4945384003266335</v>
      </c>
      <c r="R34" s="174"/>
      <c r="S34" s="178"/>
      <c r="T34" s="180" t="s">
        <v>146</v>
      </c>
      <c r="U34" s="181">
        <f>SUM('S1 TBM 2'!Q314:Q327)</f>
        <v>45322776.965250641</v>
      </c>
      <c r="V34" s="182"/>
      <c r="W34" s="182"/>
      <c r="X34" s="179"/>
      <c r="Z34" s="163">
        <v>7</v>
      </c>
      <c r="AA34" s="168" t="s">
        <v>141</v>
      </c>
      <c r="AB34" s="180" t="s">
        <v>142</v>
      </c>
      <c r="AC34" s="181">
        <f>SUM('S1 TBM 3'!Q288:Q289)</f>
        <v>18770697.712374751</v>
      </c>
      <c r="AD34" s="177">
        <f>SUM(AC34:AC36)</f>
        <v>198571060.7466473</v>
      </c>
      <c r="AE34" s="177">
        <f>AD34/$A$3</f>
        <v>495436.77830999822</v>
      </c>
      <c r="AF34" s="184">
        <f>AD34/AD46*100</f>
        <v>2.6446081088103952</v>
      </c>
    </row>
    <row r="35" spans="2:32" x14ac:dyDescent="0.35">
      <c r="B35" s="206">
        <v>7</v>
      </c>
      <c r="C35" s="206" t="s">
        <v>147</v>
      </c>
      <c r="D35" s="180" t="s">
        <v>148</v>
      </c>
      <c r="E35" s="181">
        <f>SUM('SI TB LC'!Q284:Q285)</f>
        <v>29885678.452800002</v>
      </c>
      <c r="F35" s="207">
        <f>SUM(E35:E39)</f>
        <v>120710742.60600001</v>
      </c>
      <c r="G35" s="207">
        <f>F35/A3</f>
        <v>301174.50750000001</v>
      </c>
      <c r="H35" s="203">
        <f>F35/F46*100</f>
        <v>0.60730658060212472</v>
      </c>
      <c r="J35" s="170"/>
      <c r="K35" s="172"/>
      <c r="L35" s="180" t="s">
        <v>144</v>
      </c>
      <c r="M35" s="181">
        <f>SUM('S1 TBM 1'!S303:S311)</f>
        <v>19437081.491543401</v>
      </c>
      <c r="N35" s="185"/>
      <c r="O35" s="185"/>
      <c r="P35" s="171"/>
      <c r="R35" s="163">
        <v>8</v>
      </c>
      <c r="S35" s="163" t="s">
        <v>149</v>
      </c>
      <c r="T35" s="213" t="s">
        <v>150</v>
      </c>
      <c r="U35" s="181">
        <f>SUM('S1 TBM 2'!Q340:Q348)</f>
        <v>0</v>
      </c>
      <c r="V35" s="177">
        <f>SUM(U35:U41)</f>
        <v>2323418944.7188048</v>
      </c>
      <c r="W35" s="177">
        <f>V35/$A$3</f>
        <v>5796953.4548872374</v>
      </c>
      <c r="X35" s="162">
        <f>V35/V44*100</f>
        <v>41.833390034059278</v>
      </c>
      <c r="Z35" s="170"/>
      <c r="AA35" s="172"/>
      <c r="AB35" s="164" t="s">
        <v>144</v>
      </c>
      <c r="AC35" s="176">
        <f>SUM('S1 TBM 3'!Q292:Q300)</f>
        <v>21983305.725557879</v>
      </c>
      <c r="AD35" s="185"/>
      <c r="AE35" s="185"/>
      <c r="AF35" s="186"/>
    </row>
    <row r="36" spans="2:32" x14ac:dyDescent="0.35">
      <c r="B36" s="208"/>
      <c r="C36" s="208"/>
      <c r="D36" s="180" t="s">
        <v>151</v>
      </c>
      <c r="E36" s="181">
        <f>SUM('SI TB LC'!Q286:Q290)</f>
        <v>63931851.486000001</v>
      </c>
      <c r="F36" s="209"/>
      <c r="G36" s="209"/>
      <c r="H36" s="210"/>
      <c r="J36" s="174"/>
      <c r="K36" s="178"/>
      <c r="L36" s="180" t="s">
        <v>146</v>
      </c>
      <c r="M36" s="181">
        <f>SUM('S1 TBM 1'!S316:S327)</f>
        <v>33139438.936403401</v>
      </c>
      <c r="N36" s="182"/>
      <c r="O36" s="182"/>
      <c r="P36" s="175"/>
      <c r="R36" s="170"/>
      <c r="S36" s="170"/>
      <c r="T36" s="180" t="s">
        <v>152</v>
      </c>
      <c r="U36" s="181">
        <f>SUM('S1 TBM 2'!Q360:Q368)</f>
        <v>1737438216.5853667</v>
      </c>
      <c r="V36" s="185"/>
      <c r="W36" s="185"/>
      <c r="X36" s="169"/>
      <c r="Z36" s="174"/>
      <c r="AA36" s="178"/>
      <c r="AB36" s="180" t="s">
        <v>146</v>
      </c>
      <c r="AC36" s="181">
        <f>SUM('S1 TBM 3'!Q304:Q318)</f>
        <v>157817057.30871469</v>
      </c>
      <c r="AD36" s="182"/>
      <c r="AE36" s="182"/>
      <c r="AF36" s="190"/>
    </row>
    <row r="37" spans="2:32" x14ac:dyDescent="0.35">
      <c r="B37" s="208"/>
      <c r="C37" s="208"/>
      <c r="D37" s="180" t="s">
        <v>153</v>
      </c>
      <c r="E37" s="181">
        <f>SUM('SI TB LC'!Q297:Q298)</f>
        <v>26893212.667199999</v>
      </c>
      <c r="F37" s="209"/>
      <c r="G37" s="209"/>
      <c r="H37" s="210"/>
      <c r="J37" s="163">
        <v>9</v>
      </c>
      <c r="K37" s="168" t="s">
        <v>149</v>
      </c>
      <c r="L37" s="180" t="s">
        <v>152</v>
      </c>
      <c r="M37" s="181">
        <f>SUM('S1 TBM 1'!S341:S349)</f>
        <v>1296815982.3145199</v>
      </c>
      <c r="N37" s="177">
        <f>SUM(M37:M42)</f>
        <v>1852672711.2603717</v>
      </c>
      <c r="O37" s="177">
        <f>N37/A3</f>
        <v>4622436.9043422444</v>
      </c>
      <c r="P37" s="167">
        <f>N37/N45*100</f>
        <v>32.123084246778397</v>
      </c>
      <c r="R37" s="170"/>
      <c r="S37" s="170"/>
      <c r="T37" s="180" t="s">
        <v>154</v>
      </c>
      <c r="U37" s="181">
        <f>SUM('S1 TBM 2'!Q350:Q358)</f>
        <v>192658730.96099159</v>
      </c>
      <c r="V37" s="185"/>
      <c r="W37" s="185"/>
      <c r="X37" s="169"/>
      <c r="Z37" s="163">
        <v>8</v>
      </c>
      <c r="AA37" s="163" t="s">
        <v>149</v>
      </c>
      <c r="AB37" s="213" t="s">
        <v>150</v>
      </c>
      <c r="AC37" s="181">
        <f>SUM('S1 TBM 3'!Q329:Q337)</f>
        <v>0</v>
      </c>
      <c r="AD37" s="177">
        <f>SUM(AC37:AC43)</f>
        <v>3142623810.9326782</v>
      </c>
      <c r="AE37" s="177">
        <f>AD37/$A$3</f>
        <v>7840877.7717881193</v>
      </c>
      <c r="AF37" s="184">
        <f>AD37/AD46*100</f>
        <v>41.854076732445073</v>
      </c>
    </row>
    <row r="38" spans="2:32" x14ac:dyDescent="0.35">
      <c r="B38" s="208"/>
      <c r="C38" s="208"/>
      <c r="D38" s="180" t="s">
        <v>71</v>
      </c>
      <c r="E38" s="181">
        <f>SUM('SI TB LC'!Q299:Q300)</f>
        <v>0</v>
      </c>
      <c r="F38" s="209"/>
      <c r="G38" s="209"/>
      <c r="H38" s="210"/>
      <c r="J38" s="170"/>
      <c r="K38" s="172"/>
      <c r="L38" s="180" t="s">
        <v>154</v>
      </c>
      <c r="M38" s="181">
        <f>SUM('S1 TBM 1'!S351:S359)</f>
        <v>210414378.59963998</v>
      </c>
      <c r="N38" s="185"/>
      <c r="O38" s="185"/>
      <c r="P38" s="171"/>
      <c r="R38" s="170"/>
      <c r="S38" s="170"/>
      <c r="T38" s="164" t="s">
        <v>155</v>
      </c>
      <c r="U38" s="176">
        <f>SUM('S1 TBM 2'!Q370:Q378)</f>
        <v>59351497.655785203</v>
      </c>
      <c r="V38" s="185"/>
      <c r="W38" s="185"/>
      <c r="X38" s="169"/>
      <c r="Z38" s="170"/>
      <c r="AA38" s="170"/>
      <c r="AB38" s="180" t="s">
        <v>152</v>
      </c>
      <c r="AC38" s="181">
        <f>SUM('S1 TBM 3'!Q349:Q357)</f>
        <v>2104520647.065505</v>
      </c>
      <c r="AD38" s="185"/>
      <c r="AE38" s="185"/>
      <c r="AF38" s="186"/>
    </row>
    <row r="39" spans="2:32" x14ac:dyDescent="0.35">
      <c r="B39" s="211"/>
      <c r="C39" s="211"/>
      <c r="D39" s="180"/>
      <c r="E39" s="181"/>
      <c r="F39" s="212"/>
      <c r="G39" s="212"/>
      <c r="H39" s="210"/>
      <c r="J39" s="170"/>
      <c r="K39" s="172"/>
      <c r="L39" s="164" t="s">
        <v>155</v>
      </c>
      <c r="M39" s="176">
        <f>SUM('S1 TBM 1'!S361:S369)</f>
        <v>37080725.96508</v>
      </c>
      <c r="N39" s="185"/>
      <c r="O39" s="185"/>
      <c r="P39" s="171"/>
      <c r="R39" s="170"/>
      <c r="S39" s="170"/>
      <c r="T39" s="164" t="s">
        <v>156</v>
      </c>
      <c r="U39" s="181">
        <f>SUM('S1 TBM 2'!Q381:Q385)</f>
        <v>296972852.2617501</v>
      </c>
      <c r="V39" s="185"/>
      <c r="W39" s="185"/>
      <c r="X39" s="169"/>
      <c r="Z39" s="170"/>
      <c r="AA39" s="170"/>
      <c r="AB39" s="180" t="s">
        <v>154</v>
      </c>
      <c r="AC39" s="181">
        <f>SUM('S1 TBM 3'!Q339:Q347)</f>
        <v>252930557.02105916</v>
      </c>
      <c r="AD39" s="185"/>
      <c r="AE39" s="185"/>
      <c r="AF39" s="186"/>
    </row>
    <row r="40" spans="2:32" x14ac:dyDescent="0.35">
      <c r="B40" s="199">
        <v>8</v>
      </c>
      <c r="C40" s="199" t="s">
        <v>157</v>
      </c>
      <c r="D40" s="180" t="s">
        <v>158</v>
      </c>
      <c r="E40" s="181">
        <f>SUM('SI TB LC'!Q304:Q312)</f>
        <v>85692629.813280001</v>
      </c>
      <c r="F40" s="200">
        <f>SUM(E40:E43)</f>
        <v>257138763.25073257</v>
      </c>
      <c r="G40" s="200">
        <f>F40/A3</f>
        <v>641563.78056570003</v>
      </c>
      <c r="H40" s="202">
        <f>F40/F46*100</f>
        <v>1.2936881977420587</v>
      </c>
      <c r="J40" s="170"/>
      <c r="K40" s="172"/>
      <c r="L40" s="180" t="s">
        <v>156</v>
      </c>
      <c r="M40" s="181">
        <f>SUM('S1 TBM 1'!S371:S375)</f>
        <v>276406632.612432</v>
      </c>
      <c r="N40" s="185"/>
      <c r="O40" s="185"/>
      <c r="P40" s="171"/>
      <c r="R40" s="170"/>
      <c r="S40" s="170"/>
      <c r="T40" s="180" t="s">
        <v>159</v>
      </c>
      <c r="U40" s="181">
        <f>SUM('S1 TBM 2'!Q392:Q394)</f>
        <v>26280771.485311199</v>
      </c>
      <c r="V40" s="185"/>
      <c r="W40" s="185"/>
      <c r="X40" s="169"/>
      <c r="Z40" s="170"/>
      <c r="AA40" s="170"/>
      <c r="AB40" s="164" t="s">
        <v>155</v>
      </c>
      <c r="AC40" s="176">
        <f>SUM('S1 TBM 3'!Q359:Q367)</f>
        <v>60770382.367642492</v>
      </c>
      <c r="AD40" s="185"/>
      <c r="AE40" s="185"/>
      <c r="AF40" s="186"/>
    </row>
    <row r="41" spans="2:32" x14ac:dyDescent="0.35">
      <c r="B41" s="180"/>
      <c r="C41" s="180"/>
      <c r="D41" s="180" t="s">
        <v>160</v>
      </c>
      <c r="E41" s="189">
        <f>SUM('SI TB LC'!Q326:Q328)</f>
        <v>37360876.608000003</v>
      </c>
      <c r="F41" s="180"/>
      <c r="G41" s="180"/>
      <c r="H41" s="180"/>
      <c r="J41" s="170"/>
      <c r="K41" s="172"/>
      <c r="L41" s="180" t="s">
        <v>159</v>
      </c>
      <c r="M41" s="181">
        <f>SUM('S1 TBM 1'!S382:S384)</f>
        <v>22720954.155899994</v>
      </c>
      <c r="N41" s="185"/>
      <c r="O41" s="185"/>
      <c r="P41" s="171"/>
      <c r="R41" s="174"/>
      <c r="S41" s="174"/>
      <c r="T41" s="180" t="s">
        <v>161</v>
      </c>
      <c r="U41" s="181">
        <f>SUM('S1 TBM 2'!Q395)</f>
        <v>10716875.7696</v>
      </c>
      <c r="V41" s="182"/>
      <c r="W41" s="182"/>
      <c r="X41" s="179"/>
      <c r="Z41" s="170"/>
      <c r="AA41" s="170"/>
      <c r="AB41" s="164" t="s">
        <v>156</v>
      </c>
      <c r="AC41" s="181">
        <f>SUM('S1 TBM 3'!Q369:Q373)</f>
        <v>673033961.43118167</v>
      </c>
      <c r="AD41" s="185"/>
      <c r="AE41" s="185"/>
      <c r="AF41" s="186"/>
    </row>
    <row r="42" spans="2:32" x14ac:dyDescent="0.35">
      <c r="B42" s="211"/>
      <c r="C42" s="211"/>
      <c r="D42" s="214" t="s">
        <v>162</v>
      </c>
      <c r="E42" s="215">
        <f>SUM('SI TB LC'!Q329:Q337)</f>
        <v>131402747.47308001</v>
      </c>
      <c r="F42" s="209"/>
      <c r="G42" s="209"/>
      <c r="H42" s="210"/>
      <c r="J42" s="174"/>
      <c r="K42" s="178"/>
      <c r="L42" s="180" t="s">
        <v>161</v>
      </c>
      <c r="M42" s="181">
        <f>SUM('S1 TBM 1'!S385)</f>
        <v>9234037.6127999984</v>
      </c>
      <c r="N42" s="182"/>
      <c r="O42" s="182"/>
      <c r="P42" s="175"/>
      <c r="R42" s="163">
        <v>9</v>
      </c>
      <c r="S42" s="163" t="s">
        <v>163</v>
      </c>
      <c r="T42" s="180" t="s">
        <v>164</v>
      </c>
      <c r="U42" s="181">
        <f>SUM('S1 TBM 2'!Q413:Q416)</f>
        <v>172433299.129776</v>
      </c>
      <c r="V42" s="177">
        <f>SUM(U42:U43)</f>
        <v>219105795.51719999</v>
      </c>
      <c r="W42" s="177">
        <f>V42/$A$3</f>
        <v>546671.14649999992</v>
      </c>
      <c r="X42" s="162">
        <f>V42/V44*100</f>
        <v>3.9450217204384486</v>
      </c>
      <c r="Z42" s="170"/>
      <c r="AA42" s="170"/>
      <c r="AB42" s="180" t="s">
        <v>159</v>
      </c>
      <c r="AC42" s="181">
        <f>SUM('S1 TBM 3'!Q380:Q382)</f>
        <v>36453101.746249579</v>
      </c>
      <c r="AD42" s="185"/>
      <c r="AE42" s="185"/>
      <c r="AF42" s="186"/>
    </row>
    <row r="43" spans="2:32" x14ac:dyDescent="0.35">
      <c r="B43" s="199"/>
      <c r="C43" s="199"/>
      <c r="D43" s="180" t="s">
        <v>129</v>
      </c>
      <c r="E43" s="189">
        <f>SUM('SI TB LC'!Q344:Q348)</f>
        <v>2682509.3563725599</v>
      </c>
      <c r="F43" s="212"/>
      <c r="G43" s="212"/>
      <c r="H43" s="204"/>
      <c r="J43" s="163">
        <v>10</v>
      </c>
      <c r="K43" s="168" t="s">
        <v>163</v>
      </c>
      <c r="L43" s="180" t="s">
        <v>164</v>
      </c>
      <c r="M43" s="181">
        <f>SUM('S1 TBM 1'!S403:S405)</f>
        <v>162173182.96799999</v>
      </c>
      <c r="N43" s="177">
        <f>SUM(M43:M44)</f>
        <v>206110927.8576</v>
      </c>
      <c r="O43" s="177">
        <f>N43/A3</f>
        <v>514248.82199999999</v>
      </c>
      <c r="P43" s="167">
        <f>N43/N45*100</f>
        <v>3.5737119997018492</v>
      </c>
      <c r="R43" s="174"/>
      <c r="S43" s="174"/>
      <c r="T43" s="180" t="s">
        <v>165</v>
      </c>
      <c r="U43" s="181">
        <f>SUM('S1 TBM 2'!Q417:Q418)</f>
        <v>46672496.387424</v>
      </c>
      <c r="V43" s="182"/>
      <c r="W43" s="182"/>
      <c r="X43" s="179"/>
      <c r="Z43" s="174"/>
      <c r="AA43" s="174"/>
      <c r="AB43" s="180" t="s">
        <v>161</v>
      </c>
      <c r="AC43" s="181">
        <f>SUM('S1 TBM 3'!Q383)</f>
        <v>14915161.301039999</v>
      </c>
      <c r="AD43" s="182"/>
      <c r="AE43" s="182"/>
      <c r="AF43" s="190"/>
    </row>
    <row r="44" spans="2:32" x14ac:dyDescent="0.35">
      <c r="B44" s="206">
        <v>9</v>
      </c>
      <c r="C44" s="206" t="s">
        <v>166</v>
      </c>
      <c r="D44" s="180" t="s">
        <v>164</v>
      </c>
      <c r="E44" s="181">
        <f>SUM('SI TB LC'!Q352:Q354)</f>
        <v>162173182.96799999</v>
      </c>
      <c r="F44" s="207">
        <f>SUM(E44:E45)</f>
        <v>299032399.85759997</v>
      </c>
      <c r="G44" s="207">
        <f>F44/A3</f>
        <v>746088.82199999993</v>
      </c>
      <c r="H44" s="203">
        <f>F44/F46*100</f>
        <v>1.504458843729618</v>
      </c>
      <c r="J44" s="174"/>
      <c r="K44" s="178"/>
      <c r="L44" s="180" t="s">
        <v>165</v>
      </c>
      <c r="M44" s="181">
        <f>SUM('S1 TBM 1'!S407:S408)</f>
        <v>43937744.889600001</v>
      </c>
      <c r="N44" s="182"/>
      <c r="O44" s="182"/>
      <c r="P44" s="175"/>
      <c r="R44" s="155" t="s">
        <v>167</v>
      </c>
      <c r="S44" s="216"/>
      <c r="T44" s="216"/>
      <c r="U44" s="156"/>
      <c r="V44" s="217">
        <f>SUM(V5:V43)</f>
        <v>5553981981.4439106</v>
      </c>
      <c r="W44" s="218"/>
      <c r="X44" s="218"/>
      <c r="Z44" s="163">
        <v>9</v>
      </c>
      <c r="AA44" s="163" t="s">
        <v>163</v>
      </c>
      <c r="AB44" s="180" t="s">
        <v>164</v>
      </c>
      <c r="AC44" s="181">
        <f>SUM('S1 TBM 3'!Q397:Q400)</f>
        <v>183346265.80551025</v>
      </c>
      <c r="AD44" s="177">
        <f>SUM(AC44:AC45)</f>
        <v>232925212.4421168</v>
      </c>
      <c r="AE44" s="177">
        <f>AD44/$A$3</f>
        <v>581150.72964599996</v>
      </c>
      <c r="AF44" s="184">
        <f>AD44/AD46*100</f>
        <v>3.1021434002245796</v>
      </c>
    </row>
    <row r="45" spans="2:32" x14ac:dyDescent="0.35">
      <c r="B45" s="211"/>
      <c r="C45" s="211"/>
      <c r="D45" s="180" t="s">
        <v>165</v>
      </c>
      <c r="E45" s="181">
        <f>SUM('SI TB LC'!Q355:Q356)</f>
        <v>136859216.88960001</v>
      </c>
      <c r="F45" s="212"/>
      <c r="G45" s="212"/>
      <c r="H45" s="204"/>
      <c r="J45" s="155" t="s">
        <v>167</v>
      </c>
      <c r="K45" s="216"/>
      <c r="L45" s="216"/>
      <c r="M45" s="156"/>
      <c r="N45" s="217">
        <f>SUM(N5:N44)</f>
        <v>5767418523.7869081</v>
      </c>
      <c r="O45" s="218"/>
      <c r="P45" s="218"/>
      <c r="R45" s="149" t="s">
        <v>168</v>
      </c>
      <c r="S45" s="150"/>
      <c r="T45" s="150"/>
      <c r="U45" s="151"/>
      <c r="V45" s="217">
        <f>V44/$A$3</f>
        <v>13857240.472664448</v>
      </c>
      <c r="W45" s="218"/>
      <c r="X45" s="218"/>
      <c r="Z45" s="174"/>
      <c r="AA45" s="174"/>
      <c r="AB45" s="180" t="s">
        <v>165</v>
      </c>
      <c r="AC45" s="181">
        <f>SUM('S1 TBM 3'!Q401:Q402)</f>
        <v>49578946.636606559</v>
      </c>
      <c r="AD45" s="182"/>
      <c r="AE45" s="182"/>
      <c r="AF45" s="190"/>
    </row>
    <row r="46" spans="2:32" x14ac:dyDescent="0.35">
      <c r="B46" s="219" t="s">
        <v>167</v>
      </c>
      <c r="C46" s="220"/>
      <c r="D46" s="220"/>
      <c r="E46" s="221"/>
      <c r="F46" s="217">
        <f>SUM(F6:F45)</f>
        <v>19876409454.730301</v>
      </c>
      <c r="G46" s="218"/>
      <c r="H46" s="218"/>
      <c r="J46" s="149" t="s">
        <v>168</v>
      </c>
      <c r="K46" s="150"/>
      <c r="L46" s="150"/>
      <c r="M46" s="151"/>
      <c r="N46" s="217">
        <f>N45/A3</f>
        <v>14389766.775915438</v>
      </c>
      <c r="O46" s="218"/>
      <c r="P46" s="218"/>
      <c r="Z46" s="155" t="s">
        <v>167</v>
      </c>
      <c r="AA46" s="216"/>
      <c r="AB46" s="216"/>
      <c r="AC46" s="156"/>
      <c r="AD46" s="217">
        <f>SUM(AD5:AD45)</f>
        <v>7508524990.3422956</v>
      </c>
      <c r="AE46" s="218"/>
      <c r="AF46" s="218"/>
    </row>
    <row r="47" spans="2:32" x14ac:dyDescent="0.35">
      <c r="B47" s="222" t="s">
        <v>168</v>
      </c>
      <c r="C47" s="223"/>
      <c r="D47" s="223"/>
      <c r="E47" s="224"/>
      <c r="F47" s="217">
        <f>F46/A3</f>
        <v>49591839.956911929</v>
      </c>
      <c r="G47" s="218"/>
      <c r="H47" s="218"/>
      <c r="Z47" s="149" t="s">
        <v>168</v>
      </c>
      <c r="AA47" s="150"/>
      <c r="AB47" s="150"/>
      <c r="AC47" s="151"/>
      <c r="AD47" s="217">
        <f>AD46/$A$3</f>
        <v>18733844.786283173</v>
      </c>
      <c r="AE47" s="218"/>
      <c r="AF47" s="218"/>
    </row>
  </sheetData>
  <mergeCells count="173">
    <mergeCell ref="AF44:AF45"/>
    <mergeCell ref="J45:M45"/>
    <mergeCell ref="R45:U45"/>
    <mergeCell ref="J46:M46"/>
    <mergeCell ref="Z46:AC46"/>
    <mergeCell ref="Z47:AC47"/>
    <mergeCell ref="P43:P44"/>
    <mergeCell ref="R44:U44"/>
    <mergeCell ref="Z44:Z45"/>
    <mergeCell ref="AA44:AA45"/>
    <mergeCell ref="AD44:AD45"/>
    <mergeCell ref="AE44:AE45"/>
    <mergeCell ref="AE37:AE43"/>
    <mergeCell ref="AF37:AF43"/>
    <mergeCell ref="R42:R43"/>
    <mergeCell ref="S42:S43"/>
    <mergeCell ref="V42:V43"/>
    <mergeCell ref="W42:W43"/>
    <mergeCell ref="X42:X43"/>
    <mergeCell ref="J37:J42"/>
    <mergeCell ref="K37:K42"/>
    <mergeCell ref="N37:N42"/>
    <mergeCell ref="O37:O42"/>
    <mergeCell ref="P37:P42"/>
    <mergeCell ref="Z37:Z43"/>
    <mergeCell ref="J43:J44"/>
    <mergeCell ref="K43:K44"/>
    <mergeCell ref="N43:N44"/>
    <mergeCell ref="O43:O44"/>
    <mergeCell ref="AD34:AD36"/>
    <mergeCell ref="AE34:AE36"/>
    <mergeCell ref="AF34:AF36"/>
    <mergeCell ref="R35:R41"/>
    <mergeCell ref="S35:S41"/>
    <mergeCell ref="V35:V41"/>
    <mergeCell ref="W35:W41"/>
    <mergeCell ref="X35:X41"/>
    <mergeCell ref="AA37:AA43"/>
    <mergeCell ref="AD37:AD43"/>
    <mergeCell ref="AD32:AD33"/>
    <mergeCell ref="AE32:AE33"/>
    <mergeCell ref="AF32:AF33"/>
    <mergeCell ref="J34:J36"/>
    <mergeCell ref="K34:K36"/>
    <mergeCell ref="N34:N36"/>
    <mergeCell ref="O34:O36"/>
    <mergeCell ref="P34:P36"/>
    <mergeCell ref="Z34:Z36"/>
    <mergeCell ref="AA34:AA36"/>
    <mergeCell ref="S32:S34"/>
    <mergeCell ref="V32:V34"/>
    <mergeCell ref="W32:W34"/>
    <mergeCell ref="X32:X34"/>
    <mergeCell ref="Z32:Z33"/>
    <mergeCell ref="AA32:AA33"/>
    <mergeCell ref="J32:J33"/>
    <mergeCell ref="K32:K33"/>
    <mergeCell ref="N32:N33"/>
    <mergeCell ref="O32:O33"/>
    <mergeCell ref="P32:P33"/>
    <mergeCell ref="R32:R34"/>
    <mergeCell ref="Z23:Z31"/>
    <mergeCell ref="AA23:AA31"/>
    <mergeCell ref="AD23:AD31"/>
    <mergeCell ref="AE23:AE31"/>
    <mergeCell ref="AF23:AF31"/>
    <mergeCell ref="R30:R31"/>
    <mergeCell ref="S30:S31"/>
    <mergeCell ref="V30:V31"/>
    <mergeCell ref="W30:W31"/>
    <mergeCell ref="X30:X31"/>
    <mergeCell ref="R21:R29"/>
    <mergeCell ref="S21:S29"/>
    <mergeCell ref="V21:V29"/>
    <mergeCell ref="W21:W29"/>
    <mergeCell ref="X21:X29"/>
    <mergeCell ref="J23:J31"/>
    <mergeCell ref="K23:K31"/>
    <mergeCell ref="N23:N31"/>
    <mergeCell ref="O23:O31"/>
    <mergeCell ref="P23:P31"/>
    <mergeCell ref="Z19:Z22"/>
    <mergeCell ref="AA19:AA22"/>
    <mergeCell ref="AD19:AD22"/>
    <mergeCell ref="AE19:AE22"/>
    <mergeCell ref="AF19:AF22"/>
    <mergeCell ref="J20:J22"/>
    <mergeCell ref="K20:K22"/>
    <mergeCell ref="N20:N22"/>
    <mergeCell ref="O20:O22"/>
    <mergeCell ref="P20:P22"/>
    <mergeCell ref="AA17:AA18"/>
    <mergeCell ref="AD17:AD18"/>
    <mergeCell ref="AE17:AE18"/>
    <mergeCell ref="AF17:AF18"/>
    <mergeCell ref="B18:B27"/>
    <mergeCell ref="C18:C27"/>
    <mergeCell ref="F18:F27"/>
    <mergeCell ref="G18:G27"/>
    <mergeCell ref="H18:H27"/>
    <mergeCell ref="R18:R20"/>
    <mergeCell ref="J16:J19"/>
    <mergeCell ref="K16:K19"/>
    <mergeCell ref="N16:N19"/>
    <mergeCell ref="O16:O19"/>
    <mergeCell ref="P16:P19"/>
    <mergeCell ref="Z17:Z18"/>
    <mergeCell ref="S18:S20"/>
    <mergeCell ref="V18:V20"/>
    <mergeCell ref="W18:W20"/>
    <mergeCell ref="X18:X20"/>
    <mergeCell ref="P12:P15"/>
    <mergeCell ref="R15:R17"/>
    <mergeCell ref="S15:S17"/>
    <mergeCell ref="V15:V17"/>
    <mergeCell ref="W15:W17"/>
    <mergeCell ref="X15:X17"/>
    <mergeCell ref="AF11:AF16"/>
    <mergeCell ref="B12:B17"/>
    <mergeCell ref="C12:C17"/>
    <mergeCell ref="F12:F17"/>
    <mergeCell ref="G12:G17"/>
    <mergeCell ref="H12:H17"/>
    <mergeCell ref="J12:J15"/>
    <mergeCell ref="K12:K15"/>
    <mergeCell ref="N12:N15"/>
    <mergeCell ref="O12:O15"/>
    <mergeCell ref="W11:W14"/>
    <mergeCell ref="X11:X14"/>
    <mergeCell ref="Z11:Z16"/>
    <mergeCell ref="AA11:AA16"/>
    <mergeCell ref="AD11:AD16"/>
    <mergeCell ref="AE11:AE16"/>
    <mergeCell ref="AE6:AE10"/>
    <mergeCell ref="AF6:AF10"/>
    <mergeCell ref="J10:J11"/>
    <mergeCell ref="K10:K11"/>
    <mergeCell ref="N10:N11"/>
    <mergeCell ref="O10:O11"/>
    <mergeCell ref="P10:P11"/>
    <mergeCell ref="R11:R14"/>
    <mergeCell ref="S11:S14"/>
    <mergeCell ref="V11:V14"/>
    <mergeCell ref="V6:V10"/>
    <mergeCell ref="W6:W10"/>
    <mergeCell ref="X6:X10"/>
    <mergeCell ref="Z6:Z10"/>
    <mergeCell ref="AA6:AA10"/>
    <mergeCell ref="AD6:AD10"/>
    <mergeCell ref="K6:K9"/>
    <mergeCell ref="N6:N9"/>
    <mergeCell ref="O6:O9"/>
    <mergeCell ref="P6:P9"/>
    <mergeCell ref="R6:R10"/>
    <mergeCell ref="S6:S10"/>
    <mergeCell ref="C5:D5"/>
    <mergeCell ref="K5:L5"/>
    <mergeCell ref="S5:T5"/>
    <mergeCell ref="AA5:AB5"/>
    <mergeCell ref="B6:B11"/>
    <mergeCell ref="C6:C11"/>
    <mergeCell ref="F6:F11"/>
    <mergeCell ref="G6:G11"/>
    <mergeCell ref="H6:H11"/>
    <mergeCell ref="J6:J9"/>
    <mergeCell ref="B3:H3"/>
    <mergeCell ref="J3:P3"/>
    <mergeCell ref="R3:X3"/>
    <mergeCell ref="Z3:AF3"/>
    <mergeCell ref="B4:H4"/>
    <mergeCell ref="J4:P4"/>
    <mergeCell ref="R4:X4"/>
    <mergeCell ref="Z4:AF4"/>
  </mergeCells>
  <printOptions horizontalCentered="1"/>
  <pageMargins left="0.2" right="0.25" top="0.96" bottom="0.75" header="0.3" footer="0.3"/>
  <pageSetup paperSize="9" scale="72" orientation="portrait" horizontalDpi="0" verticalDpi="0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5A9C-EAF7-435E-9246-F415F9D8DB45}">
  <sheetPr>
    <tabColor theme="8" tint="0.39997558519241921"/>
  </sheetPr>
  <dimension ref="B1:AM382"/>
  <sheetViews>
    <sheetView showGridLines="0" view="pageBreakPreview" zoomScale="80" zoomScaleNormal="85" zoomScaleSheetLayoutView="80" workbookViewId="0">
      <pane xSplit="6" ySplit="4" topLeftCell="G346" activePane="bottomRight" state="frozen"/>
      <selection activeCell="D17" sqref="D17"/>
      <selection pane="topRight" activeCell="D17" sqref="D17"/>
      <selection pane="bottomLeft" activeCell="D17" sqref="D17"/>
      <selection pane="bottomRight" activeCell="D17" sqref="D17"/>
    </sheetView>
  </sheetViews>
  <sheetFormatPr defaultRowHeight="14.5" x14ac:dyDescent="0.35"/>
  <cols>
    <col min="1" max="1" width="2.1796875" customWidth="1"/>
    <col min="2" max="3" width="4.26953125" style="225" customWidth="1"/>
    <col min="4" max="4" width="14.1796875" style="225" customWidth="1"/>
    <col min="5" max="5" width="22.54296875" style="225" customWidth="1"/>
    <col min="6" max="6" width="21.7265625" style="225" customWidth="1"/>
    <col min="7" max="7" width="7.81640625" style="226" bestFit="1" customWidth="1"/>
    <col min="8" max="8" width="6" style="225" hidden="1" customWidth="1"/>
    <col min="9" max="9" width="5.1796875" style="225" hidden="1" customWidth="1"/>
    <col min="10" max="10" width="10.54296875" style="226" hidden="1" customWidth="1"/>
    <col min="11" max="11" width="8.81640625" style="227" hidden="1" customWidth="1"/>
    <col min="12" max="12" width="12" style="227" hidden="1" customWidth="1"/>
    <col min="13" max="13" width="12" style="228" hidden="1" customWidth="1"/>
    <col min="14" max="14" width="8.54296875" hidden="1" customWidth="1"/>
    <col min="15" max="15" width="12" style="229" hidden="1" customWidth="1"/>
    <col min="16" max="16" width="15.54296875" customWidth="1"/>
    <col min="17" max="17" width="19" customWidth="1"/>
    <col min="18" max="23" width="15.54296875" hidden="1" customWidth="1"/>
    <col min="24" max="24" width="14.81640625" hidden="1" customWidth="1"/>
    <col min="25" max="25" width="14.26953125" bestFit="1" customWidth="1"/>
    <col min="26" max="26" width="13.7265625" hidden="1" customWidth="1"/>
    <col min="27" max="27" width="6.7265625" bestFit="1" customWidth="1"/>
    <col min="28" max="28" width="8.54296875" bestFit="1" customWidth="1"/>
    <col min="29" max="29" width="14" bestFit="1" customWidth="1"/>
    <col min="30" max="30" width="11.26953125" bestFit="1" customWidth="1"/>
    <col min="31" max="31" width="1.1796875" customWidth="1"/>
    <col min="33" max="33" width="13.81640625" bestFit="1" customWidth="1"/>
    <col min="34" max="34" width="11.26953125" bestFit="1" customWidth="1"/>
    <col min="35" max="35" width="0.81640625" customWidth="1"/>
    <col min="37" max="37" width="13.81640625" bestFit="1" customWidth="1"/>
    <col min="38" max="38" width="11.26953125" bestFit="1" customWidth="1"/>
    <col min="39" max="39" width="15.81640625" bestFit="1" customWidth="1"/>
  </cols>
  <sheetData>
    <row r="1" spans="2:38" x14ac:dyDescent="0.35">
      <c r="AA1" t="s">
        <v>169</v>
      </c>
      <c r="AB1">
        <v>400.8</v>
      </c>
      <c r="AC1" t="s">
        <v>170</v>
      </c>
    </row>
    <row r="2" spans="2:38" ht="15" customHeight="1" x14ac:dyDescent="0.35">
      <c r="B2" s="230" t="s">
        <v>7</v>
      </c>
      <c r="C2" s="231"/>
      <c r="D2" s="231"/>
      <c r="E2" s="232"/>
      <c r="F2" s="233" t="s">
        <v>171</v>
      </c>
      <c r="G2" s="234"/>
      <c r="H2" s="235" t="s">
        <v>172</v>
      </c>
      <c r="I2" s="236"/>
      <c r="J2" s="237" t="s">
        <v>173</v>
      </c>
      <c r="K2" s="238"/>
      <c r="L2" s="238"/>
      <c r="M2" s="238"/>
      <c r="N2" s="238"/>
      <c r="O2" s="239"/>
      <c r="P2" s="240">
        <v>2026</v>
      </c>
      <c r="Q2" s="241"/>
      <c r="R2" s="242">
        <v>2026</v>
      </c>
      <c r="S2" s="243"/>
      <c r="T2" s="244">
        <v>2027</v>
      </c>
      <c r="U2" s="245"/>
      <c r="V2" s="246" t="s">
        <v>174</v>
      </c>
      <c r="W2" s="247"/>
      <c r="X2" s="248" t="s">
        <v>175</v>
      </c>
      <c r="Y2" s="249" t="s">
        <v>64</v>
      </c>
      <c r="Z2" s="250" t="s">
        <v>65</v>
      </c>
    </row>
    <row r="3" spans="2:38" x14ac:dyDescent="0.35">
      <c r="B3" s="251"/>
      <c r="C3" s="252"/>
      <c r="D3" s="252"/>
      <c r="E3" s="253"/>
      <c r="F3" s="254" t="s">
        <v>176</v>
      </c>
      <c r="G3" s="254" t="s">
        <v>177</v>
      </c>
      <c r="H3" s="255"/>
      <c r="I3" s="256"/>
      <c r="J3" s="254" t="s">
        <v>177</v>
      </c>
      <c r="K3" s="233" t="s">
        <v>178</v>
      </c>
      <c r="L3" s="234"/>
      <c r="M3" s="257" t="s">
        <v>179</v>
      </c>
      <c r="N3" s="254" t="s">
        <v>180</v>
      </c>
      <c r="O3" s="258" t="s">
        <v>181</v>
      </c>
      <c r="P3" s="259" t="s">
        <v>182</v>
      </c>
      <c r="Q3" s="260" t="s">
        <v>183</v>
      </c>
      <c r="R3" s="261" t="s">
        <v>182</v>
      </c>
      <c r="S3" s="261" t="s">
        <v>183</v>
      </c>
      <c r="T3" s="262" t="s">
        <v>182</v>
      </c>
      <c r="U3" s="262" t="s">
        <v>183</v>
      </c>
      <c r="V3" s="263" t="s">
        <v>182</v>
      </c>
      <c r="W3" s="263" t="s">
        <v>183</v>
      </c>
      <c r="X3" s="264"/>
      <c r="Y3" s="265"/>
      <c r="Z3" s="266"/>
    </row>
    <row r="4" spans="2:38" ht="29" x14ac:dyDescent="0.35">
      <c r="B4" s="267"/>
      <c r="C4" s="268"/>
      <c r="D4" s="268"/>
      <c r="E4" s="269"/>
      <c r="F4" s="270"/>
      <c r="G4" s="270"/>
      <c r="H4" s="271"/>
      <c r="I4" s="272"/>
      <c r="J4" s="270"/>
      <c r="K4" s="273" t="s">
        <v>184</v>
      </c>
      <c r="L4" s="274" t="s">
        <v>185</v>
      </c>
      <c r="M4" s="275"/>
      <c r="N4" s="270"/>
      <c r="O4" s="276"/>
      <c r="P4" s="277"/>
      <c r="Q4" s="278"/>
      <c r="R4" s="279"/>
      <c r="S4" s="279"/>
      <c r="T4" s="280"/>
      <c r="U4" s="280"/>
      <c r="V4" s="281"/>
      <c r="W4" s="281"/>
      <c r="X4" s="282"/>
      <c r="Y4" s="283"/>
      <c r="Z4" s="284"/>
      <c r="AC4">
        <v>174.95</v>
      </c>
      <c r="AG4">
        <v>52.64</v>
      </c>
      <c r="AK4">
        <f>+AC4+AG4</f>
        <v>227.58999999999997</v>
      </c>
    </row>
    <row r="5" spans="2:38" x14ac:dyDescent="0.35">
      <c r="B5" s="285" t="s">
        <v>186</v>
      </c>
      <c r="C5" s="286"/>
      <c r="D5" s="286"/>
      <c r="E5" s="287"/>
      <c r="F5" s="288"/>
      <c r="G5" s="289"/>
      <c r="H5" s="290"/>
      <c r="I5" s="291"/>
      <c r="J5" s="289"/>
      <c r="K5" s="292"/>
      <c r="L5" s="293"/>
      <c r="M5" s="294"/>
      <c r="N5" s="295"/>
      <c r="O5" s="296"/>
      <c r="P5" s="296"/>
      <c r="Q5" s="296"/>
      <c r="R5" s="296"/>
      <c r="S5" s="296"/>
      <c r="T5" s="296"/>
      <c r="U5" s="296"/>
      <c r="V5" s="296"/>
      <c r="W5" s="296"/>
      <c r="X5" s="295"/>
      <c r="Y5" s="295"/>
      <c r="Z5" s="295"/>
      <c r="AB5" s="297">
        <v>2025</v>
      </c>
      <c r="AC5" s="297"/>
      <c r="AD5" s="297"/>
      <c r="AF5" s="297" t="s">
        <v>187</v>
      </c>
      <c r="AG5" s="297"/>
      <c r="AH5" s="297"/>
      <c r="AJ5" s="297" t="s">
        <v>167</v>
      </c>
      <c r="AK5" s="297"/>
      <c r="AL5" s="297"/>
    </row>
    <row r="6" spans="2:38" x14ac:dyDescent="0.35">
      <c r="B6" s="298"/>
      <c r="C6" s="286" t="s">
        <v>188</v>
      </c>
      <c r="D6" s="286"/>
      <c r="E6" s="287"/>
      <c r="F6" s="288"/>
      <c r="G6" s="289"/>
      <c r="H6" s="290"/>
      <c r="I6" s="291"/>
      <c r="J6" s="289"/>
      <c r="K6" s="292"/>
      <c r="L6" s="293"/>
      <c r="M6" s="294"/>
      <c r="N6" s="295"/>
      <c r="O6" s="296"/>
      <c r="P6" s="299"/>
      <c r="Q6" s="296"/>
      <c r="R6" s="296"/>
      <c r="S6" s="296"/>
      <c r="T6" s="296"/>
      <c r="U6" s="296"/>
      <c r="V6" s="296"/>
      <c r="W6" s="296"/>
      <c r="X6" s="295"/>
      <c r="Y6" s="295"/>
      <c r="Z6" s="295"/>
      <c r="AB6" s="300" t="s">
        <v>170</v>
      </c>
      <c r="AC6" s="300" t="s">
        <v>29</v>
      </c>
      <c r="AD6" s="300" t="s">
        <v>64</v>
      </c>
      <c r="AF6" s="300" t="s">
        <v>170</v>
      </c>
      <c r="AG6" s="300" t="s">
        <v>29</v>
      </c>
      <c r="AH6" s="300" t="s">
        <v>64</v>
      </c>
      <c r="AJ6" s="300" t="s">
        <v>170</v>
      </c>
      <c r="AK6" s="300" t="s">
        <v>29</v>
      </c>
      <c r="AL6" s="300" t="s">
        <v>64</v>
      </c>
    </row>
    <row r="7" spans="2:38" x14ac:dyDescent="0.35">
      <c r="B7" s="301"/>
      <c r="C7" s="302"/>
      <c r="D7" s="302" t="s">
        <v>67</v>
      </c>
      <c r="E7" s="303"/>
      <c r="F7" s="288" t="s">
        <v>189</v>
      </c>
      <c r="G7" s="289" t="s">
        <v>190</v>
      </c>
      <c r="H7" s="290"/>
      <c r="I7" s="291"/>
      <c r="J7" s="289" t="s">
        <v>170</v>
      </c>
      <c r="K7" s="304">
        <v>1</v>
      </c>
      <c r="L7" s="305">
        <f>$AB$1</f>
        <v>400.8</v>
      </c>
      <c r="M7" s="294">
        <v>0.5</v>
      </c>
      <c r="N7" s="299">
        <v>1</v>
      </c>
      <c r="O7" s="296">
        <f>K7*L7*M7*N7</f>
        <v>200.4</v>
      </c>
      <c r="P7" s="306">
        <f>VLOOKUP($F7,'[1]Master Harga'!$E$5:$L$351,6,FALSE)</f>
        <v>149108.51999999999</v>
      </c>
      <c r="Q7" s="299">
        <f>P7*$O7</f>
        <v>29881347.408</v>
      </c>
      <c r="R7" s="296">
        <f>VLOOKUP($F7,'[1]Master Harga'!$E$5:$L$351,6,FALSE)</f>
        <v>149108.51999999999</v>
      </c>
      <c r="S7" s="296">
        <f>R7*$O7</f>
        <v>29881347.408</v>
      </c>
      <c r="T7" s="296">
        <f>VLOOKUP($F7,'[1]Master Harga'!$E$5:$L$351,7,FALSE)</f>
        <v>158800.57379999998</v>
      </c>
      <c r="U7" s="296">
        <f>T7*$O7</f>
        <v>31823634.989519998</v>
      </c>
      <c r="V7" s="296">
        <f>W7/O7</f>
        <v>152339.2046</v>
      </c>
      <c r="W7" s="307">
        <f>AVERAGEIF($P$3:$U$3,W$3,$P7:$U7)</f>
        <v>30528776.601840001</v>
      </c>
      <c r="X7" s="295"/>
      <c r="Y7" s="299">
        <f>Q7/$AB$1</f>
        <v>74554.259999999995</v>
      </c>
      <c r="Z7" s="295"/>
      <c r="AB7" s="308"/>
      <c r="AC7" s="308"/>
      <c r="AD7" s="308"/>
      <c r="AF7" s="308"/>
      <c r="AG7" s="308"/>
      <c r="AH7" s="308"/>
      <c r="AJ7" s="308"/>
      <c r="AK7" s="308"/>
      <c r="AL7" s="308"/>
    </row>
    <row r="8" spans="2:38" ht="14.25" hidden="1" customHeight="1" x14ac:dyDescent="0.35">
      <c r="B8" s="309"/>
      <c r="C8" s="310"/>
      <c r="D8" s="310"/>
      <c r="E8" s="311"/>
      <c r="F8" s="288" t="s">
        <v>191</v>
      </c>
      <c r="G8" s="289" t="s">
        <v>192</v>
      </c>
      <c r="H8" s="290"/>
      <c r="I8" s="291"/>
      <c r="J8" s="289"/>
      <c r="K8" s="292"/>
      <c r="L8" s="305"/>
      <c r="M8" s="294"/>
      <c r="N8" s="299">
        <v>1</v>
      </c>
      <c r="O8" s="296"/>
      <c r="P8" s="306"/>
      <c r="Q8" s="299"/>
      <c r="R8" s="296"/>
      <c r="S8" s="296"/>
      <c r="T8" s="296"/>
      <c r="U8" s="296"/>
      <c r="V8" s="296"/>
      <c r="W8" s="296"/>
      <c r="X8" s="295"/>
      <c r="Y8" s="306">
        <f t="shared" ref="Y8:Y74" si="0">Q8/$AB$1</f>
        <v>0</v>
      </c>
      <c r="Z8" s="295"/>
      <c r="AB8" s="308"/>
      <c r="AC8" s="308"/>
      <c r="AD8" s="308"/>
      <c r="AF8" s="308"/>
      <c r="AG8" s="308"/>
      <c r="AH8" s="308"/>
      <c r="AJ8" s="308"/>
      <c r="AK8" s="308"/>
      <c r="AL8" s="308"/>
    </row>
    <row r="9" spans="2:38" hidden="1" x14ac:dyDescent="0.35">
      <c r="B9" s="309"/>
      <c r="C9" s="310"/>
      <c r="D9" s="310"/>
      <c r="E9" s="311"/>
      <c r="F9" s="288" t="s">
        <v>193</v>
      </c>
      <c r="G9" s="289" t="s">
        <v>194</v>
      </c>
      <c r="H9" s="290"/>
      <c r="I9" s="291"/>
      <c r="J9" s="289"/>
      <c r="K9" s="292"/>
      <c r="L9" s="305"/>
      <c r="M9" s="294"/>
      <c r="N9" s="299">
        <v>1</v>
      </c>
      <c r="O9" s="296"/>
      <c r="P9" s="306"/>
      <c r="Q9" s="299"/>
      <c r="R9" s="296"/>
      <c r="S9" s="296"/>
      <c r="T9" s="296"/>
      <c r="U9" s="296"/>
      <c r="V9" s="296"/>
      <c r="W9" s="296"/>
      <c r="X9" s="295"/>
      <c r="Y9" s="306">
        <f t="shared" si="0"/>
        <v>0</v>
      </c>
      <c r="Z9" s="295"/>
      <c r="AB9" s="308"/>
      <c r="AC9" s="308"/>
      <c r="AD9" s="308"/>
      <c r="AF9" s="308"/>
      <c r="AG9" s="308"/>
      <c r="AH9" s="308"/>
      <c r="AJ9" s="308"/>
      <c r="AK9" s="308"/>
      <c r="AL9" s="308"/>
    </row>
    <row r="10" spans="2:38" hidden="1" x14ac:dyDescent="0.35">
      <c r="B10" s="309"/>
      <c r="C10" s="310"/>
      <c r="D10" s="310"/>
      <c r="E10" s="311"/>
      <c r="F10" s="288" t="s">
        <v>195</v>
      </c>
      <c r="G10" s="289" t="s">
        <v>194</v>
      </c>
      <c r="H10" s="290"/>
      <c r="I10" s="291"/>
      <c r="J10" s="289"/>
      <c r="K10" s="292"/>
      <c r="L10" s="305"/>
      <c r="M10" s="294">
        <v>6.9999999999999999E-4</v>
      </c>
      <c r="N10" s="299">
        <v>1</v>
      </c>
      <c r="O10" s="296"/>
      <c r="P10" s="306"/>
      <c r="Q10" s="299"/>
      <c r="R10" s="296"/>
      <c r="S10" s="296"/>
      <c r="T10" s="296"/>
      <c r="U10" s="296"/>
      <c r="V10" s="296"/>
      <c r="W10" s="296"/>
      <c r="X10" s="295"/>
      <c r="Y10" s="306">
        <f t="shared" si="0"/>
        <v>0</v>
      </c>
      <c r="Z10" s="295"/>
      <c r="AB10" s="308"/>
      <c r="AC10" s="308"/>
      <c r="AD10" s="308"/>
      <c r="AF10" s="308"/>
      <c r="AG10" s="308"/>
      <c r="AH10" s="308"/>
      <c r="AJ10" s="308"/>
      <c r="AK10" s="308"/>
      <c r="AL10" s="308"/>
    </row>
    <row r="11" spans="2:38" hidden="1" x14ac:dyDescent="0.35">
      <c r="B11" s="309"/>
      <c r="C11" s="310"/>
      <c r="D11" s="310"/>
      <c r="E11" s="311"/>
      <c r="F11" s="288" t="s">
        <v>196</v>
      </c>
      <c r="G11" s="289" t="s">
        <v>194</v>
      </c>
      <c r="H11" s="290"/>
      <c r="I11" s="291"/>
      <c r="J11" s="289"/>
      <c r="K11" s="292"/>
      <c r="L11" s="305"/>
      <c r="M11" s="294">
        <v>1.2999999999999999E-3</v>
      </c>
      <c r="N11" s="299">
        <v>1</v>
      </c>
      <c r="O11" s="296"/>
      <c r="P11" s="306"/>
      <c r="Q11" s="299"/>
      <c r="R11" s="296"/>
      <c r="S11" s="296"/>
      <c r="T11" s="296"/>
      <c r="U11" s="296"/>
      <c r="V11" s="296"/>
      <c r="W11" s="296"/>
      <c r="X11" s="295"/>
      <c r="Y11" s="306">
        <f t="shared" si="0"/>
        <v>0</v>
      </c>
      <c r="Z11" s="295"/>
      <c r="AB11" s="308"/>
      <c r="AC11" s="308"/>
      <c r="AD11" s="308"/>
      <c r="AF11" s="308"/>
      <c r="AG11" s="308"/>
      <c r="AH11" s="308"/>
      <c r="AJ11" s="308"/>
      <c r="AK11" s="308"/>
      <c r="AL11" s="308"/>
    </row>
    <row r="12" spans="2:38" hidden="1" x14ac:dyDescent="0.35">
      <c r="B12" s="312"/>
      <c r="C12" s="313"/>
      <c r="D12" s="313" t="s">
        <v>72</v>
      </c>
      <c r="E12" s="314" t="s">
        <v>197</v>
      </c>
      <c r="F12" s="288" t="s">
        <v>189</v>
      </c>
      <c r="G12" s="289" t="s">
        <v>190</v>
      </c>
      <c r="H12" s="290"/>
      <c r="I12" s="291"/>
      <c r="J12" s="289"/>
      <c r="K12" s="292"/>
      <c r="L12" s="305"/>
      <c r="M12" s="294">
        <v>10</v>
      </c>
      <c r="N12" s="299">
        <v>1</v>
      </c>
      <c r="O12" s="296"/>
      <c r="P12" s="306"/>
      <c r="Q12" s="299"/>
      <c r="R12" s="296"/>
      <c r="S12" s="296"/>
      <c r="T12" s="296"/>
      <c r="U12" s="296"/>
      <c r="V12" s="296"/>
      <c r="W12" s="296"/>
      <c r="X12" s="295"/>
      <c r="Y12" s="306">
        <f t="shared" si="0"/>
        <v>0</v>
      </c>
      <c r="Z12" s="295"/>
      <c r="AB12" s="308"/>
      <c r="AC12" s="308"/>
      <c r="AD12" s="308"/>
      <c r="AF12" s="308"/>
      <c r="AG12" s="308"/>
      <c r="AH12" s="308"/>
      <c r="AJ12" s="308"/>
      <c r="AK12" s="308"/>
      <c r="AL12" s="308"/>
    </row>
    <row r="13" spans="2:38" x14ac:dyDescent="0.35">
      <c r="B13" s="315"/>
      <c r="C13" s="316"/>
      <c r="D13" s="316" t="s">
        <v>72</v>
      </c>
      <c r="E13" s="317" t="s">
        <v>198</v>
      </c>
      <c r="F13" s="288" t="s">
        <v>189</v>
      </c>
      <c r="G13" s="289" t="s">
        <v>190</v>
      </c>
      <c r="H13" s="290"/>
      <c r="I13" s="291"/>
      <c r="J13" s="289" t="s">
        <v>170</v>
      </c>
      <c r="K13" s="318">
        <v>1</v>
      </c>
      <c r="L13" s="305">
        <f>$AB$1</f>
        <v>400.8</v>
      </c>
      <c r="M13" s="294">
        <v>5</v>
      </c>
      <c r="N13" s="299">
        <v>1</v>
      </c>
      <c r="O13" s="319">
        <f>K13*L13*M13*N13</f>
        <v>2004</v>
      </c>
      <c r="P13" s="306">
        <f>VLOOKUP($F13,'[1]Master Harga'!$E$5:$L$351,6,FALSE)</f>
        <v>149108.51999999999</v>
      </c>
      <c r="Q13" s="319">
        <f>O13*P13</f>
        <v>298813474.07999998</v>
      </c>
      <c r="R13" s="296"/>
      <c r="S13" s="296"/>
      <c r="T13" s="296"/>
      <c r="U13" s="296"/>
      <c r="V13" s="296"/>
      <c r="W13" s="296"/>
      <c r="X13" s="295"/>
      <c r="Y13" s="306">
        <f t="shared" si="0"/>
        <v>745542.6</v>
      </c>
      <c r="Z13" s="295"/>
      <c r="AB13" s="308"/>
      <c r="AC13" s="308"/>
      <c r="AD13" s="308"/>
      <c r="AF13" s="308"/>
      <c r="AG13" s="308"/>
      <c r="AH13" s="308"/>
      <c r="AJ13" s="308"/>
      <c r="AK13" s="308"/>
      <c r="AL13" s="308"/>
    </row>
    <row r="14" spans="2:38" hidden="1" x14ac:dyDescent="0.35">
      <c r="B14" s="320"/>
      <c r="C14" s="321"/>
      <c r="D14" s="321"/>
      <c r="E14" s="322" t="s">
        <v>199</v>
      </c>
      <c r="F14" s="288" t="s">
        <v>189</v>
      </c>
      <c r="G14" s="289" t="s">
        <v>190</v>
      </c>
      <c r="H14" s="290"/>
      <c r="I14" s="291"/>
      <c r="J14" s="289"/>
      <c r="K14" s="292"/>
      <c r="L14" s="305"/>
      <c r="M14" s="294"/>
      <c r="N14" s="299"/>
      <c r="O14" s="296"/>
      <c r="P14" s="306"/>
      <c r="Q14" s="299"/>
      <c r="R14" s="296"/>
      <c r="S14" s="296"/>
      <c r="T14" s="296"/>
      <c r="U14" s="296"/>
      <c r="V14" s="296"/>
      <c r="W14" s="296"/>
      <c r="X14" s="295"/>
      <c r="Y14" s="306">
        <f t="shared" si="0"/>
        <v>0</v>
      </c>
      <c r="Z14" s="295"/>
      <c r="AB14" s="308"/>
      <c r="AC14" s="308"/>
      <c r="AD14" s="308"/>
      <c r="AF14" s="308"/>
      <c r="AG14" s="308"/>
      <c r="AH14" s="308"/>
      <c r="AJ14" s="308"/>
      <c r="AK14" s="308"/>
      <c r="AL14" s="308"/>
    </row>
    <row r="15" spans="2:38" hidden="1" x14ac:dyDescent="0.35">
      <c r="B15" s="312"/>
      <c r="C15" s="313"/>
      <c r="D15" s="313" t="s">
        <v>200</v>
      </c>
      <c r="E15" s="314" t="s">
        <v>197</v>
      </c>
      <c r="F15" s="288" t="s">
        <v>189</v>
      </c>
      <c r="G15" s="289" t="s">
        <v>190</v>
      </c>
      <c r="H15" s="290"/>
      <c r="I15" s="291"/>
      <c r="J15" s="289"/>
      <c r="K15" s="292"/>
      <c r="L15" s="305"/>
      <c r="M15" s="294">
        <v>20</v>
      </c>
      <c r="N15" s="299">
        <v>1</v>
      </c>
      <c r="O15" s="296"/>
      <c r="P15" s="306"/>
      <c r="Q15" s="299"/>
      <c r="R15" s="296"/>
      <c r="S15" s="296"/>
      <c r="T15" s="296"/>
      <c r="U15" s="296"/>
      <c r="V15" s="296"/>
      <c r="W15" s="296"/>
      <c r="X15" s="295"/>
      <c r="Y15" s="306">
        <f t="shared" si="0"/>
        <v>0</v>
      </c>
      <c r="Z15" s="295"/>
      <c r="AB15" s="308"/>
      <c r="AC15" s="308"/>
      <c r="AD15" s="308"/>
      <c r="AF15" s="308"/>
      <c r="AG15" s="308"/>
      <c r="AH15" s="308"/>
      <c r="AJ15" s="308"/>
      <c r="AK15" s="308"/>
      <c r="AL15" s="308"/>
    </row>
    <row r="16" spans="2:38" hidden="1" x14ac:dyDescent="0.35">
      <c r="B16" s="320"/>
      <c r="C16" s="321"/>
      <c r="D16" s="321"/>
      <c r="E16" s="322" t="s">
        <v>198</v>
      </c>
      <c r="F16" s="288" t="s">
        <v>189</v>
      </c>
      <c r="G16" s="289" t="s">
        <v>190</v>
      </c>
      <c r="H16" s="290"/>
      <c r="I16" s="291"/>
      <c r="J16" s="289"/>
      <c r="K16" s="292"/>
      <c r="L16" s="305"/>
      <c r="M16" s="294">
        <v>12</v>
      </c>
      <c r="N16" s="299">
        <v>1</v>
      </c>
      <c r="O16" s="296"/>
      <c r="P16" s="306"/>
      <c r="Q16" s="299"/>
      <c r="R16" s="296"/>
      <c r="S16" s="296"/>
      <c r="T16" s="296"/>
      <c r="U16" s="296"/>
      <c r="V16" s="296"/>
      <c r="W16" s="296"/>
      <c r="X16" s="295"/>
      <c r="Y16" s="306">
        <f t="shared" si="0"/>
        <v>0</v>
      </c>
      <c r="Z16" s="295"/>
      <c r="AB16" s="308"/>
      <c r="AC16" s="308"/>
      <c r="AD16" s="308"/>
      <c r="AF16" s="308"/>
      <c r="AG16" s="308"/>
      <c r="AH16" s="308"/>
      <c r="AJ16" s="308"/>
      <c r="AK16" s="308"/>
      <c r="AL16" s="308"/>
    </row>
    <row r="17" spans="2:38" hidden="1" x14ac:dyDescent="0.35">
      <c r="B17" s="312"/>
      <c r="C17" s="313"/>
      <c r="D17" s="313" t="s">
        <v>201</v>
      </c>
      <c r="E17" s="314" t="s">
        <v>197</v>
      </c>
      <c r="F17" s="288" t="s">
        <v>189</v>
      </c>
      <c r="G17" s="289" t="s">
        <v>190</v>
      </c>
      <c r="H17" s="290"/>
      <c r="I17" s="291"/>
      <c r="J17" s="289"/>
      <c r="K17" s="292"/>
      <c r="L17" s="305"/>
      <c r="M17" s="294"/>
      <c r="N17" s="299"/>
      <c r="O17" s="296"/>
      <c r="P17" s="306"/>
      <c r="Q17" s="299"/>
      <c r="R17" s="296"/>
      <c r="S17" s="296"/>
      <c r="T17" s="296"/>
      <c r="U17" s="296"/>
      <c r="V17" s="296"/>
      <c r="W17" s="296"/>
      <c r="X17" s="295"/>
      <c r="Y17" s="306">
        <f t="shared" si="0"/>
        <v>0</v>
      </c>
      <c r="Z17" s="295"/>
      <c r="AB17" s="308"/>
      <c r="AC17" s="308"/>
      <c r="AD17" s="308"/>
      <c r="AF17" s="308"/>
      <c r="AG17" s="308"/>
      <c r="AH17" s="308"/>
      <c r="AJ17" s="308"/>
      <c r="AK17" s="308"/>
      <c r="AL17" s="308"/>
    </row>
    <row r="18" spans="2:38" hidden="1" x14ac:dyDescent="0.35">
      <c r="B18" s="320"/>
      <c r="C18" s="321"/>
      <c r="D18" s="321"/>
      <c r="E18" s="322" t="s">
        <v>198</v>
      </c>
      <c r="F18" s="288" t="s">
        <v>189</v>
      </c>
      <c r="G18" s="289" t="s">
        <v>190</v>
      </c>
      <c r="H18" s="290"/>
      <c r="I18" s="291"/>
      <c r="J18" s="289"/>
      <c r="K18" s="292"/>
      <c r="L18" s="305"/>
      <c r="M18" s="294"/>
      <c r="N18" s="299"/>
      <c r="O18" s="296"/>
      <c r="P18" s="306"/>
      <c r="Q18" s="299"/>
      <c r="R18" s="296"/>
      <c r="S18" s="296"/>
      <c r="T18" s="296"/>
      <c r="U18" s="296"/>
      <c r="V18" s="296"/>
      <c r="W18" s="296"/>
      <c r="X18" s="295"/>
      <c r="Y18" s="306">
        <f t="shared" si="0"/>
        <v>0</v>
      </c>
      <c r="Z18" s="295"/>
      <c r="AB18" s="308"/>
      <c r="AC18" s="308"/>
      <c r="AD18" s="308"/>
      <c r="AF18" s="308"/>
      <c r="AG18" s="308"/>
      <c r="AH18" s="308"/>
      <c r="AJ18" s="308"/>
      <c r="AK18" s="308"/>
      <c r="AL18" s="308"/>
    </row>
    <row r="19" spans="2:38" hidden="1" x14ac:dyDescent="0.35">
      <c r="B19" s="312"/>
      <c r="C19" s="313"/>
      <c r="D19" s="313" t="s">
        <v>75</v>
      </c>
      <c r="E19" s="314" t="s">
        <v>197</v>
      </c>
      <c r="F19" s="288" t="s">
        <v>202</v>
      </c>
      <c r="G19" s="289" t="s">
        <v>203</v>
      </c>
      <c r="H19" s="290"/>
      <c r="I19" s="291"/>
      <c r="J19" s="289"/>
      <c r="K19" s="292"/>
      <c r="L19" s="305"/>
      <c r="M19" s="294">
        <v>6</v>
      </c>
      <c r="N19" s="299">
        <v>1</v>
      </c>
      <c r="O19" s="296"/>
      <c r="P19" s="306"/>
      <c r="Q19" s="299"/>
      <c r="R19" s="296"/>
      <c r="S19" s="296"/>
      <c r="T19" s="296"/>
      <c r="U19" s="296"/>
      <c r="V19" s="296"/>
      <c r="W19" s="296"/>
      <c r="X19" s="295"/>
      <c r="Y19" s="306">
        <f t="shared" si="0"/>
        <v>0</v>
      </c>
      <c r="Z19" s="295"/>
      <c r="AB19" s="308"/>
      <c r="AC19" s="308"/>
      <c r="AD19" s="308"/>
      <c r="AF19" s="308"/>
      <c r="AG19" s="308"/>
      <c r="AH19" s="308"/>
      <c r="AJ19" s="308"/>
      <c r="AK19" s="308"/>
      <c r="AL19" s="308"/>
    </row>
    <row r="20" spans="2:38" x14ac:dyDescent="0.35">
      <c r="B20" s="315"/>
      <c r="C20" s="316"/>
      <c r="D20" s="316" t="s">
        <v>75</v>
      </c>
      <c r="E20" s="317" t="s">
        <v>198</v>
      </c>
      <c r="F20" s="288" t="s">
        <v>204</v>
      </c>
      <c r="G20" s="289" t="s">
        <v>203</v>
      </c>
      <c r="H20" s="290"/>
      <c r="I20" s="291"/>
      <c r="J20" s="289"/>
      <c r="K20" s="304">
        <v>1</v>
      </c>
      <c r="L20" s="305">
        <f>($AB$1*70%)</f>
        <v>280.56</v>
      </c>
      <c r="M20" s="323">
        <f>9.5</f>
        <v>9.5</v>
      </c>
      <c r="N20" s="299">
        <v>1</v>
      </c>
      <c r="O20" s="319">
        <f>K20*L20*M20*N20</f>
        <v>2665.32</v>
      </c>
      <c r="P20" s="306">
        <f>VLOOKUP($F20,'[1]Master Harga'!$E$5:$L$351,6,FALSE)</f>
        <v>766238.0730320001</v>
      </c>
      <c r="Q20" s="319">
        <f>P20*$O20</f>
        <v>2042269660.8136506</v>
      </c>
      <c r="R20" s="296"/>
      <c r="S20" s="296"/>
      <c r="T20" s="296"/>
      <c r="U20" s="296"/>
      <c r="V20" s="296"/>
      <c r="W20" s="296"/>
      <c r="X20" s="295"/>
      <c r="Y20" s="306">
        <f t="shared" si="0"/>
        <v>5095483.1856628004</v>
      </c>
      <c r="Z20" s="295"/>
      <c r="AB20" s="308"/>
      <c r="AC20" s="308"/>
      <c r="AD20" s="308"/>
      <c r="AF20" s="308"/>
      <c r="AG20" s="308"/>
      <c r="AH20" s="308"/>
      <c r="AJ20" s="308"/>
      <c r="AK20" s="308"/>
      <c r="AL20" s="308"/>
    </row>
    <row r="21" spans="2:38" x14ac:dyDescent="0.35">
      <c r="B21" s="315"/>
      <c r="C21" s="316"/>
      <c r="D21" s="316"/>
      <c r="E21" s="317"/>
      <c r="F21" s="288" t="s">
        <v>204</v>
      </c>
      <c r="G21" s="289" t="s">
        <v>203</v>
      </c>
      <c r="H21" s="290"/>
      <c r="I21" s="291"/>
      <c r="J21" s="289"/>
      <c r="K21" s="304">
        <v>1</v>
      </c>
      <c r="L21" s="305">
        <f>($AB$1*30%)</f>
        <v>120.24</v>
      </c>
      <c r="M21" s="323">
        <v>13.54</v>
      </c>
      <c r="N21" s="299">
        <v>1</v>
      </c>
      <c r="O21" s="319">
        <f>K21*L21*M21*N21</f>
        <v>1628.0495999999998</v>
      </c>
      <c r="P21" s="306">
        <f>VLOOKUP($F21,'[1]Master Harga'!$E$5:$L$351,6,FALSE)</f>
        <v>766238.0730320001</v>
      </c>
      <c r="Q21" s="319">
        <f>P21*$O21</f>
        <v>1247473588.3045185</v>
      </c>
      <c r="R21" s="296"/>
      <c r="S21" s="296"/>
      <c r="T21" s="296"/>
      <c r="U21" s="296"/>
      <c r="V21" s="296"/>
      <c r="W21" s="296"/>
      <c r="X21" s="295"/>
      <c r="Y21" s="306">
        <f t="shared" si="0"/>
        <v>3112459.0526559842</v>
      </c>
      <c r="Z21" s="295"/>
      <c r="AB21" s="308"/>
      <c r="AC21" s="308"/>
      <c r="AD21" s="308"/>
      <c r="AF21" s="308"/>
      <c r="AG21" s="308"/>
      <c r="AH21" s="308"/>
      <c r="AJ21" s="308"/>
      <c r="AK21" s="308"/>
      <c r="AL21" s="308"/>
    </row>
    <row r="22" spans="2:38" x14ac:dyDescent="0.35">
      <c r="B22" s="315"/>
      <c r="C22" s="316"/>
      <c r="D22" s="316"/>
      <c r="E22" s="317"/>
      <c r="F22" s="288" t="s">
        <v>205</v>
      </c>
      <c r="G22" s="289" t="s">
        <v>206</v>
      </c>
      <c r="H22" s="290"/>
      <c r="I22" s="291"/>
      <c r="J22" s="289"/>
      <c r="K22" s="304">
        <v>1</v>
      </c>
      <c r="L22" s="305">
        <f>$AB$1</f>
        <v>400.8</v>
      </c>
      <c r="M22" s="323">
        <v>13.54</v>
      </c>
      <c r="N22" s="299">
        <v>1</v>
      </c>
      <c r="O22" s="319">
        <f>K22*L22*M22*N22</f>
        <v>5426.8319999999994</v>
      </c>
      <c r="P22" s="306">
        <v>500000</v>
      </c>
      <c r="Q22" s="319">
        <f>P22*$O22</f>
        <v>2713415999.9999995</v>
      </c>
      <c r="R22" s="296"/>
      <c r="S22" s="296"/>
      <c r="T22" s="296"/>
      <c r="U22" s="296"/>
      <c r="V22" s="296"/>
      <c r="W22" s="296"/>
      <c r="X22" s="295"/>
      <c r="Y22" s="306">
        <f t="shared" si="0"/>
        <v>6769999.9999999991</v>
      </c>
      <c r="Z22" s="295"/>
      <c r="AB22" s="308"/>
      <c r="AC22" s="308"/>
      <c r="AD22" s="308"/>
      <c r="AF22" s="308"/>
      <c r="AG22" s="308"/>
      <c r="AH22" s="308"/>
      <c r="AJ22" s="308"/>
      <c r="AK22" s="308"/>
      <c r="AL22" s="308"/>
    </row>
    <row r="23" spans="2:38" x14ac:dyDescent="0.35">
      <c r="B23" s="315"/>
      <c r="C23" s="316"/>
      <c r="D23" s="316"/>
      <c r="E23" s="317"/>
      <c r="F23" s="288" t="s">
        <v>189</v>
      </c>
      <c r="G23" s="289" t="s">
        <v>190</v>
      </c>
      <c r="H23" s="290"/>
      <c r="I23" s="291"/>
      <c r="J23" s="289" t="s">
        <v>190</v>
      </c>
      <c r="K23" s="318">
        <v>1</v>
      </c>
      <c r="L23" s="305">
        <f>O20/8*125%</f>
        <v>416.45625000000001</v>
      </c>
      <c r="M23" s="294">
        <v>2</v>
      </c>
      <c r="N23" s="299">
        <v>1</v>
      </c>
      <c r="O23" s="319">
        <f>K23*L23*M23*N23</f>
        <v>832.91250000000002</v>
      </c>
      <c r="P23" s="306">
        <f>VLOOKUP($F23,'[1]Master Harga'!$E$5:$L$351,6,FALSE)</f>
        <v>149108.51999999999</v>
      </c>
      <c r="Q23" s="319">
        <f>O23*P23</f>
        <v>124194350.1645</v>
      </c>
      <c r="R23" s="296"/>
      <c r="S23" s="296"/>
      <c r="T23" s="296"/>
      <c r="U23" s="296"/>
      <c r="V23" s="296"/>
      <c r="W23" s="296"/>
      <c r="X23" s="295"/>
      <c r="Y23" s="306">
        <f t="shared" si="0"/>
        <v>309866.143125</v>
      </c>
      <c r="Z23" s="295"/>
      <c r="AB23" s="308"/>
      <c r="AC23" s="308"/>
      <c r="AD23" s="308"/>
      <c r="AF23" s="308"/>
      <c r="AG23" s="308"/>
      <c r="AH23" s="308"/>
      <c r="AJ23" s="308"/>
      <c r="AK23" s="308"/>
      <c r="AL23" s="308"/>
    </row>
    <row r="24" spans="2:38" hidden="1" x14ac:dyDescent="0.35">
      <c r="B24" s="320"/>
      <c r="C24" s="321"/>
      <c r="D24" s="321"/>
      <c r="E24" s="322" t="s">
        <v>199</v>
      </c>
      <c r="F24" s="288" t="s">
        <v>202</v>
      </c>
      <c r="G24" s="289" t="s">
        <v>203</v>
      </c>
      <c r="H24" s="290"/>
      <c r="I24" s="291"/>
      <c r="J24" s="289"/>
      <c r="K24" s="292"/>
      <c r="L24" s="305"/>
      <c r="M24" s="294">
        <v>4</v>
      </c>
      <c r="N24" s="299">
        <v>1</v>
      </c>
      <c r="O24" s="296"/>
      <c r="P24" s="306"/>
      <c r="Q24" s="299"/>
      <c r="R24" s="296"/>
      <c r="S24" s="296"/>
      <c r="T24" s="296"/>
      <c r="U24" s="296"/>
      <c r="V24" s="296"/>
      <c r="W24" s="296"/>
      <c r="X24" s="295"/>
      <c r="Y24" s="306">
        <f t="shared" si="0"/>
        <v>0</v>
      </c>
      <c r="Z24" s="295"/>
      <c r="AB24" s="308"/>
      <c r="AC24" s="308"/>
      <c r="AD24" s="308"/>
      <c r="AF24" s="308"/>
      <c r="AG24" s="308"/>
      <c r="AH24" s="308"/>
      <c r="AJ24" s="308"/>
      <c r="AK24" s="308"/>
      <c r="AL24" s="308"/>
    </row>
    <row r="25" spans="2:38" hidden="1" x14ac:dyDescent="0.35">
      <c r="B25" s="320"/>
      <c r="C25" s="321"/>
      <c r="D25" s="321"/>
      <c r="E25" s="322" t="s">
        <v>207</v>
      </c>
      <c r="F25" s="288" t="s">
        <v>202</v>
      </c>
      <c r="G25" s="289" t="s">
        <v>203</v>
      </c>
      <c r="H25" s="290"/>
      <c r="I25" s="291"/>
      <c r="J25" s="289"/>
      <c r="K25" s="318">
        <v>1</v>
      </c>
      <c r="L25" s="305"/>
      <c r="M25" s="294">
        <v>10</v>
      </c>
      <c r="N25" s="299">
        <v>1</v>
      </c>
      <c r="O25" s="319">
        <f>K25*L25*M25*N25</f>
        <v>0</v>
      </c>
      <c r="P25" s="306">
        <f>VLOOKUP($F25,'[1]Master Harga'!$E$5:$L$351,6,FALSE)</f>
        <v>1051433.6840914285</v>
      </c>
      <c r="Q25" s="319">
        <f>O25*P25</f>
        <v>0</v>
      </c>
      <c r="R25" s="296"/>
      <c r="S25" s="296"/>
      <c r="T25" s="296"/>
      <c r="U25" s="296"/>
      <c r="V25" s="296"/>
      <c r="W25" s="296"/>
      <c r="X25" s="295"/>
      <c r="Y25" s="306">
        <f t="shared" si="0"/>
        <v>0</v>
      </c>
      <c r="Z25" s="295"/>
      <c r="AB25" s="308"/>
      <c r="AC25" s="308"/>
      <c r="AD25" s="308"/>
      <c r="AF25" s="308"/>
      <c r="AG25" s="308"/>
      <c r="AH25" s="308"/>
      <c r="AJ25" s="308"/>
      <c r="AK25" s="308"/>
      <c r="AL25" s="308"/>
    </row>
    <row r="26" spans="2:38" hidden="1" x14ac:dyDescent="0.35">
      <c r="B26" s="312"/>
      <c r="C26" s="324"/>
      <c r="D26" s="324" t="s">
        <v>208</v>
      </c>
      <c r="E26" s="325"/>
      <c r="F26" s="326" t="s">
        <v>202</v>
      </c>
      <c r="G26" s="327" t="s">
        <v>203</v>
      </c>
      <c r="H26" s="328"/>
      <c r="I26" s="329"/>
      <c r="J26" s="327" t="s">
        <v>209</v>
      </c>
      <c r="K26" s="330">
        <v>0</v>
      </c>
      <c r="L26" s="331"/>
      <c r="M26" s="332">
        <v>2.5</v>
      </c>
      <c r="N26" s="319">
        <v>1</v>
      </c>
      <c r="O26" s="333">
        <f>K26*L26*M26*N26</f>
        <v>0</v>
      </c>
      <c r="P26" s="306">
        <f>VLOOKUP($F26,'[1]Master Harga'!$E$5:$L$351,6,FALSE)</f>
        <v>1051433.6840914285</v>
      </c>
      <c r="Q26" s="319">
        <f>P26*$O26</f>
        <v>0</v>
      </c>
      <c r="R26" s="296">
        <f>VLOOKUP($F26,'[1]Master Harga'!$E$5:$L$351,6,FALSE)</f>
        <v>1051433.6840914285</v>
      </c>
      <c r="S26" s="296">
        <f>R26*$O26</f>
        <v>0</v>
      </c>
      <c r="T26" s="296">
        <f>VLOOKUP($F26,'[1]Master Harga'!$E$5:$L$351,7,FALSE)</f>
        <v>1113470.7641787431</v>
      </c>
      <c r="U26" s="296">
        <f>T26*$O26</f>
        <v>0</v>
      </c>
      <c r="V26" s="296" t="e">
        <f>W26/O26</f>
        <v>#DIV/0!</v>
      </c>
      <c r="W26" s="307">
        <f>AVERAGEIF($P$3:$U$3,W$3,$P26:$U26)</f>
        <v>0</v>
      </c>
      <c r="X26" s="334"/>
      <c r="Y26" s="335">
        <f t="shared" si="0"/>
        <v>0</v>
      </c>
      <c r="Z26" s="336"/>
      <c r="AB26" s="308"/>
      <c r="AC26" s="337"/>
      <c r="AD26" s="308"/>
      <c r="AF26" s="308"/>
      <c r="AG26" s="337"/>
      <c r="AH26" s="308"/>
      <c r="AJ26" s="308"/>
      <c r="AK26" s="337"/>
      <c r="AL26" s="308"/>
    </row>
    <row r="27" spans="2:38" hidden="1" x14ac:dyDescent="0.35">
      <c r="B27" s="338"/>
      <c r="C27" s="339"/>
      <c r="D27" s="339"/>
      <c r="E27" s="340"/>
      <c r="F27" s="341" t="s">
        <v>189</v>
      </c>
      <c r="G27" s="342" t="s">
        <v>190</v>
      </c>
      <c r="H27" s="343"/>
      <c r="I27" s="344"/>
      <c r="J27" s="342" t="s">
        <v>170</v>
      </c>
      <c r="K27" s="318">
        <v>1</v>
      </c>
      <c r="L27" s="345">
        <f>O26/10</f>
        <v>0</v>
      </c>
      <c r="M27" s="294">
        <f>3*2</f>
        <v>6</v>
      </c>
      <c r="N27" s="299">
        <v>1</v>
      </c>
      <c r="O27" s="296">
        <f t="shared" ref="O27:O28" si="1">K27*L27*M27*N27</f>
        <v>0</v>
      </c>
      <c r="P27" s="306">
        <f>VLOOKUP($F27,'[1]Master Harga'!$E$5:$L$351,6,FALSE)</f>
        <v>149108.51999999999</v>
      </c>
      <c r="Q27" s="299">
        <f t="shared" ref="Q27:Q28" si="2">P27*$O27</f>
        <v>0</v>
      </c>
      <c r="R27" s="296"/>
      <c r="S27" s="296"/>
      <c r="T27" s="296"/>
      <c r="U27" s="296"/>
      <c r="V27" s="296"/>
      <c r="W27" s="307"/>
      <c r="X27" s="334"/>
      <c r="Y27" s="335">
        <f t="shared" si="0"/>
        <v>0</v>
      </c>
      <c r="Z27" s="336"/>
      <c r="AB27" s="308"/>
      <c r="AC27" s="308"/>
      <c r="AD27" s="308"/>
      <c r="AF27" s="308"/>
      <c r="AG27" s="308"/>
      <c r="AH27" s="308"/>
      <c r="AJ27" s="308"/>
      <c r="AK27" s="308"/>
      <c r="AL27" s="308"/>
    </row>
    <row r="28" spans="2:38" hidden="1" x14ac:dyDescent="0.35">
      <c r="B28" s="320"/>
      <c r="C28" s="346"/>
      <c r="D28" s="346"/>
      <c r="E28" s="347"/>
      <c r="F28" t="s">
        <v>210</v>
      </c>
      <c r="G28" s="342" t="s">
        <v>211</v>
      </c>
      <c r="H28" s="343"/>
      <c r="I28" s="344"/>
      <c r="J28" s="342"/>
      <c r="K28" s="318">
        <v>1</v>
      </c>
      <c r="L28" s="345">
        <f>(O26*25)/400</f>
        <v>0</v>
      </c>
      <c r="M28" s="294">
        <v>2</v>
      </c>
      <c r="N28" s="299">
        <v>1</v>
      </c>
      <c r="O28" s="296">
        <f t="shared" si="1"/>
        <v>0</v>
      </c>
      <c r="P28" s="306">
        <f>VLOOKUP($F28,'[1]Master Harga'!$E$5:$L$351,6,FALSE)</f>
        <v>207500</v>
      </c>
      <c r="Q28" s="299">
        <f t="shared" si="2"/>
        <v>0</v>
      </c>
      <c r="R28" s="296"/>
      <c r="S28" s="296"/>
      <c r="T28" s="296"/>
      <c r="U28" s="296"/>
      <c r="V28" s="296"/>
      <c r="W28" s="307"/>
      <c r="X28" s="334"/>
      <c r="Y28" s="335">
        <f t="shared" si="0"/>
        <v>0</v>
      </c>
      <c r="Z28" s="336"/>
      <c r="AB28" s="308"/>
      <c r="AC28" s="308"/>
      <c r="AD28" s="308"/>
      <c r="AF28" s="308"/>
      <c r="AG28" s="308"/>
      <c r="AH28" s="308"/>
      <c r="AJ28" s="308"/>
      <c r="AK28" s="308"/>
      <c r="AL28" s="308"/>
    </row>
    <row r="29" spans="2:38" hidden="1" x14ac:dyDescent="0.35">
      <c r="B29" s="312"/>
      <c r="C29" s="313"/>
      <c r="D29" s="313" t="s">
        <v>212</v>
      </c>
      <c r="E29" s="314"/>
      <c r="F29" s="348"/>
      <c r="G29" s="342"/>
      <c r="H29" s="343"/>
      <c r="I29" s="344"/>
      <c r="J29" s="342"/>
      <c r="K29" s="349"/>
      <c r="L29" s="345"/>
      <c r="M29" s="294"/>
      <c r="N29" s="299"/>
      <c r="O29" s="296"/>
      <c r="P29" s="306"/>
      <c r="Q29" s="296"/>
      <c r="R29" s="296"/>
      <c r="S29" s="296"/>
      <c r="T29" s="296"/>
      <c r="U29" s="296"/>
      <c r="V29" s="296"/>
      <c r="W29" s="296"/>
      <c r="X29" s="295"/>
      <c r="Y29" s="306">
        <f t="shared" si="0"/>
        <v>0</v>
      </c>
      <c r="Z29" s="295"/>
      <c r="AB29" s="308"/>
      <c r="AC29" s="308"/>
      <c r="AD29" s="308"/>
      <c r="AF29" s="308"/>
      <c r="AG29" s="308"/>
      <c r="AH29" s="308"/>
      <c r="AJ29" s="308"/>
      <c r="AK29" s="308"/>
      <c r="AL29" s="308"/>
    </row>
    <row r="30" spans="2:38" hidden="1" x14ac:dyDescent="0.35">
      <c r="B30" s="338"/>
      <c r="C30" s="350"/>
      <c r="D30" s="350"/>
      <c r="E30" s="351" t="s">
        <v>213</v>
      </c>
      <c r="F30" s="348" t="s">
        <v>189</v>
      </c>
      <c r="G30" s="342" t="s">
        <v>190</v>
      </c>
      <c r="H30" s="343"/>
      <c r="I30" s="344"/>
      <c r="J30" s="342" t="s">
        <v>170</v>
      </c>
      <c r="K30" s="318">
        <v>1</v>
      </c>
      <c r="L30" s="345">
        <v>0</v>
      </c>
      <c r="M30" s="294">
        <v>1</v>
      </c>
      <c r="N30" s="299">
        <v>1</v>
      </c>
      <c r="O30" s="296">
        <f t="shared" ref="O30:O41" si="3">K30*L30*M30*N30</f>
        <v>0</v>
      </c>
      <c r="P30" s="306">
        <f>VLOOKUP($F30,'[1]Master Harga'!$E$5:$L$351,6,FALSE)</f>
        <v>149108.51999999999</v>
      </c>
      <c r="Q30" s="299">
        <f t="shared" ref="Q30:Q71" si="4">P30*$O30</f>
        <v>0</v>
      </c>
      <c r="R30" s="296">
        <f>VLOOKUP($F30,'[1]Master Harga'!$E$5:$L$351,6,FALSE)</f>
        <v>149108.51999999999</v>
      </c>
      <c r="S30" s="296">
        <f t="shared" ref="S30:S48" si="5">R30*$O30</f>
        <v>0</v>
      </c>
      <c r="T30" s="296">
        <f>VLOOKUP($F30,'[1]Master Harga'!$E$5:$L$351,7,FALSE)</f>
        <v>158800.57379999998</v>
      </c>
      <c r="U30" s="296">
        <f t="shared" ref="U30:U48" si="6">T30*$O30</f>
        <v>0</v>
      </c>
      <c r="V30" s="296" t="e">
        <f t="shared" ref="V30:V48" si="7">W30/O30</f>
        <v>#DIV/0!</v>
      </c>
      <c r="W30" s="307">
        <f t="shared" ref="W30:W48" si="8">AVERAGEIF($P$3:$U$3,W$3,$P30:$U30)</f>
        <v>0</v>
      </c>
      <c r="X30" s="295"/>
      <c r="Y30" s="306">
        <f t="shared" si="0"/>
        <v>0</v>
      </c>
      <c r="Z30" s="295"/>
      <c r="AB30" s="308"/>
      <c r="AC30" s="308"/>
      <c r="AD30" s="308"/>
      <c r="AF30" s="308"/>
      <c r="AG30" s="308"/>
      <c r="AH30" s="308"/>
      <c r="AJ30" s="308"/>
      <c r="AK30" s="308"/>
      <c r="AL30" s="308"/>
    </row>
    <row r="31" spans="2:38" hidden="1" x14ac:dyDescent="0.35">
      <c r="B31" s="338"/>
      <c r="C31" s="350"/>
      <c r="D31" s="350"/>
      <c r="E31" s="340" t="s">
        <v>214</v>
      </c>
      <c r="F31" s="326" t="s">
        <v>215</v>
      </c>
      <c r="G31" s="327" t="s">
        <v>203</v>
      </c>
      <c r="H31" s="328"/>
      <c r="I31" s="329"/>
      <c r="J31" s="327" t="s">
        <v>209</v>
      </c>
      <c r="K31" s="330">
        <v>1</v>
      </c>
      <c r="L31" s="352">
        <v>0</v>
      </c>
      <c r="M31" s="332">
        <v>10.8</v>
      </c>
      <c r="N31" s="319">
        <v>1</v>
      </c>
      <c r="O31" s="333">
        <f t="shared" si="3"/>
        <v>0</v>
      </c>
      <c r="P31" s="306">
        <f>VLOOKUP($F31,'[1]Master Harga'!$E$5:$L$351,6,FALSE)</f>
        <v>720338.0730320001</v>
      </c>
      <c r="Q31" s="319">
        <f t="shared" si="4"/>
        <v>0</v>
      </c>
      <c r="R31" s="296">
        <f>VLOOKUP($F31,'[1]Master Harga'!$E$5:$L$351,6,FALSE)</f>
        <v>720338.0730320001</v>
      </c>
      <c r="S31" s="296">
        <f t="shared" si="5"/>
        <v>0</v>
      </c>
      <c r="T31" s="296">
        <f>VLOOKUP($F31,'[1]Master Harga'!$E$5:$L$351,7,FALSE)</f>
        <v>761671.70213055995</v>
      </c>
      <c r="U31" s="296">
        <f t="shared" si="6"/>
        <v>0</v>
      </c>
      <c r="V31" s="296" t="e">
        <f t="shared" si="7"/>
        <v>#DIV/0!</v>
      </c>
      <c r="W31" s="307">
        <f t="shared" si="8"/>
        <v>0</v>
      </c>
      <c r="X31" s="334"/>
      <c r="Y31" s="335">
        <f t="shared" si="0"/>
        <v>0</v>
      </c>
      <c r="Z31" s="353"/>
      <c r="AB31" s="308"/>
      <c r="AC31" s="354"/>
      <c r="AD31" s="308"/>
      <c r="AF31" s="308"/>
      <c r="AG31" s="354"/>
      <c r="AH31" s="308"/>
      <c r="AJ31" s="308"/>
      <c r="AK31" s="354"/>
      <c r="AL31" s="308"/>
    </row>
    <row r="32" spans="2:38" hidden="1" x14ac:dyDescent="0.35">
      <c r="B32" s="338"/>
      <c r="C32" s="350"/>
      <c r="D32" s="350"/>
      <c r="E32" s="340"/>
      <c r="F32" s="341" t="s">
        <v>189</v>
      </c>
      <c r="G32" s="342" t="s">
        <v>190</v>
      </c>
      <c r="H32" s="343"/>
      <c r="I32" s="344"/>
      <c r="J32" s="342" t="s">
        <v>170</v>
      </c>
      <c r="K32" s="318">
        <v>1</v>
      </c>
      <c r="L32" s="345">
        <f>O31/10</f>
        <v>0</v>
      </c>
      <c r="M32" s="294">
        <f>3*4</f>
        <v>12</v>
      </c>
      <c r="N32" s="299">
        <v>1</v>
      </c>
      <c r="O32" s="296">
        <f t="shared" si="3"/>
        <v>0</v>
      </c>
      <c r="P32" s="306">
        <f>VLOOKUP($F32,'[1]Master Harga'!$E$5:$L$351,6,FALSE)</f>
        <v>149108.51999999999</v>
      </c>
      <c r="Q32" s="299">
        <f t="shared" si="4"/>
        <v>0</v>
      </c>
      <c r="R32" s="296"/>
      <c r="S32" s="296"/>
      <c r="T32" s="296"/>
      <c r="U32" s="296"/>
      <c r="V32" s="296"/>
      <c r="W32" s="307"/>
      <c r="X32" s="334"/>
      <c r="Y32" s="335">
        <f t="shared" si="0"/>
        <v>0</v>
      </c>
      <c r="Z32" s="353"/>
      <c r="AB32" s="308"/>
      <c r="AC32" s="308"/>
      <c r="AD32" s="308"/>
      <c r="AF32" s="308"/>
      <c r="AG32" s="308"/>
      <c r="AH32" s="308"/>
      <c r="AJ32" s="308"/>
      <c r="AK32" s="308"/>
      <c r="AL32" s="308"/>
    </row>
    <row r="33" spans="2:38" hidden="1" x14ac:dyDescent="0.35">
      <c r="B33" s="338"/>
      <c r="C33" s="350"/>
      <c r="D33" s="350"/>
      <c r="E33" s="340"/>
      <c r="F33" t="s">
        <v>210</v>
      </c>
      <c r="G33" s="342" t="s">
        <v>211</v>
      </c>
      <c r="H33" s="343"/>
      <c r="I33" s="344"/>
      <c r="J33" s="342"/>
      <c r="K33" s="318">
        <v>1</v>
      </c>
      <c r="L33" s="345">
        <f>(O31*18)/400</f>
        <v>0</v>
      </c>
      <c r="M33" s="294">
        <v>2</v>
      </c>
      <c r="N33" s="299">
        <v>1</v>
      </c>
      <c r="O33" s="296">
        <f t="shared" si="3"/>
        <v>0</v>
      </c>
      <c r="P33" s="306">
        <f>VLOOKUP($F33,'[1]Master Harga'!$E$5:$L$351,6,FALSE)</f>
        <v>207500</v>
      </c>
      <c r="Q33" s="299">
        <f t="shared" si="4"/>
        <v>0</v>
      </c>
      <c r="R33" s="296"/>
      <c r="S33" s="296"/>
      <c r="T33" s="296"/>
      <c r="U33" s="296"/>
      <c r="V33" s="296"/>
      <c r="W33" s="307"/>
      <c r="X33" s="334"/>
      <c r="Y33" s="335">
        <f t="shared" si="0"/>
        <v>0</v>
      </c>
      <c r="Z33" s="353"/>
      <c r="AB33" s="308"/>
      <c r="AC33" s="308"/>
      <c r="AD33" s="308"/>
      <c r="AF33" s="308"/>
      <c r="AG33" s="308"/>
      <c r="AH33" s="308"/>
      <c r="AJ33" s="308"/>
      <c r="AK33" s="308"/>
      <c r="AL33" s="308"/>
    </row>
    <row r="34" spans="2:38" hidden="1" x14ac:dyDescent="0.35">
      <c r="B34" s="338"/>
      <c r="C34" s="350"/>
      <c r="D34" s="350"/>
      <c r="E34" s="351" t="s">
        <v>216</v>
      </c>
      <c r="F34" s="348" t="s">
        <v>189</v>
      </c>
      <c r="G34" s="342" t="s">
        <v>190</v>
      </c>
      <c r="H34" s="343"/>
      <c r="I34" s="344"/>
      <c r="J34" s="289" t="s">
        <v>170</v>
      </c>
      <c r="K34" s="304">
        <v>0</v>
      </c>
      <c r="L34" s="345">
        <v>0</v>
      </c>
      <c r="M34" s="294">
        <v>0.5</v>
      </c>
      <c r="N34" s="299">
        <v>1</v>
      </c>
      <c r="O34" s="296">
        <f t="shared" si="3"/>
        <v>0</v>
      </c>
      <c r="P34" s="306">
        <f>VLOOKUP($F34,'[1]Master Harga'!$E$5:$L$351,6,FALSE)</f>
        <v>149108.51999999999</v>
      </c>
      <c r="Q34" s="299">
        <f t="shared" si="4"/>
        <v>0</v>
      </c>
      <c r="R34" s="296"/>
      <c r="S34" s="296"/>
      <c r="T34" s="296"/>
      <c r="U34" s="296"/>
      <c r="V34" s="296"/>
      <c r="W34" s="307"/>
      <c r="X34" s="295"/>
      <c r="Y34" s="335">
        <f t="shared" si="0"/>
        <v>0</v>
      </c>
      <c r="Z34" s="295"/>
      <c r="AB34" s="308"/>
      <c r="AC34" s="308"/>
      <c r="AD34" s="308"/>
      <c r="AF34" s="308"/>
      <c r="AG34" s="308"/>
      <c r="AH34" s="308"/>
      <c r="AJ34" s="308"/>
      <c r="AK34" s="308"/>
      <c r="AL34" s="308"/>
    </row>
    <row r="35" spans="2:38" hidden="1" x14ac:dyDescent="0.35">
      <c r="B35" s="320"/>
      <c r="C35" s="321"/>
      <c r="D35" s="321"/>
      <c r="E35" s="322"/>
      <c r="F35" s="348" t="s">
        <v>217</v>
      </c>
      <c r="G35" s="342" t="s">
        <v>192</v>
      </c>
      <c r="H35" s="343"/>
      <c r="I35" s="344"/>
      <c r="J35" s="342" t="s">
        <v>192</v>
      </c>
      <c r="K35" s="318">
        <v>0</v>
      </c>
      <c r="L35" s="345">
        <v>0</v>
      </c>
      <c r="M35" s="294">
        <v>24</v>
      </c>
      <c r="N35" s="299">
        <v>1</v>
      </c>
      <c r="O35" s="299">
        <f t="shared" si="3"/>
        <v>0</v>
      </c>
      <c r="P35" s="306">
        <f>VLOOKUP($F35,'[1]Master Harga'!$E$5:$L$351,6,FALSE)</f>
        <v>24097.5</v>
      </c>
      <c r="Q35" s="299">
        <f t="shared" si="4"/>
        <v>0</v>
      </c>
      <c r="R35" s="296">
        <f>VLOOKUP($F35,'[1]Master Harga'!$E$5:$L$351,6,FALSE)</f>
        <v>24097.5</v>
      </c>
      <c r="S35" s="296">
        <f t="shared" si="5"/>
        <v>0</v>
      </c>
      <c r="T35" s="296">
        <f>VLOOKUP($F35,'[1]Master Harga'!$E$5:$L$351,7,FALSE)</f>
        <v>25302.375</v>
      </c>
      <c r="U35" s="296">
        <f t="shared" si="6"/>
        <v>0</v>
      </c>
      <c r="V35" s="296" t="e">
        <f t="shared" si="7"/>
        <v>#DIV/0!</v>
      </c>
      <c r="W35" s="307">
        <f t="shared" si="8"/>
        <v>0</v>
      </c>
      <c r="X35" s="295"/>
      <c r="Y35" s="335">
        <f t="shared" si="0"/>
        <v>0</v>
      </c>
      <c r="Z35" s="295"/>
      <c r="AB35" s="308"/>
      <c r="AC35" s="308"/>
      <c r="AD35" s="308"/>
      <c r="AF35" s="308"/>
      <c r="AG35" s="308"/>
      <c r="AH35" s="308"/>
      <c r="AJ35" s="308"/>
      <c r="AK35" s="308"/>
      <c r="AL35" s="308"/>
    </row>
    <row r="36" spans="2:38" hidden="1" x14ac:dyDescent="0.35">
      <c r="B36" s="338"/>
      <c r="C36" s="350"/>
      <c r="D36" s="339" t="s">
        <v>218</v>
      </c>
      <c r="E36" s="340"/>
      <c r="F36" s="355" t="s">
        <v>215</v>
      </c>
      <c r="G36" s="327" t="s">
        <v>203</v>
      </c>
      <c r="H36" s="328"/>
      <c r="I36" s="329"/>
      <c r="J36" s="327" t="s">
        <v>209</v>
      </c>
      <c r="K36" s="330">
        <v>1</v>
      </c>
      <c r="L36" s="352">
        <v>0</v>
      </c>
      <c r="M36" s="332">
        <v>8.5</v>
      </c>
      <c r="N36" s="319">
        <v>1</v>
      </c>
      <c r="O36" s="333">
        <f t="shared" si="3"/>
        <v>0</v>
      </c>
      <c r="P36" s="306">
        <f>VLOOKUP($F36,'[1]Master Harga'!$E$5:$L$351,6,FALSE)</f>
        <v>720338.0730320001</v>
      </c>
      <c r="Q36" s="319">
        <f t="shared" si="4"/>
        <v>0</v>
      </c>
      <c r="R36" s="296"/>
      <c r="S36" s="296"/>
      <c r="T36" s="296"/>
      <c r="U36" s="296"/>
      <c r="V36" s="296"/>
      <c r="W36" s="307"/>
      <c r="X36" s="334"/>
      <c r="Y36" s="335">
        <f t="shared" si="0"/>
        <v>0</v>
      </c>
      <c r="Z36" s="353"/>
      <c r="AA36" s="229"/>
      <c r="AB36" s="308"/>
      <c r="AC36" s="356"/>
      <c r="AD36" s="308"/>
      <c r="AF36" s="308"/>
      <c r="AG36" s="356"/>
      <c r="AH36" s="308"/>
      <c r="AJ36" s="308"/>
      <c r="AK36" s="356"/>
      <c r="AL36" s="308"/>
    </row>
    <row r="37" spans="2:38" hidden="1" x14ac:dyDescent="0.35">
      <c r="B37" s="338"/>
      <c r="C37" s="350"/>
      <c r="D37" s="339"/>
      <c r="E37" s="340"/>
      <c r="F37" s="348" t="s">
        <v>189</v>
      </c>
      <c r="G37" s="342" t="s">
        <v>190</v>
      </c>
      <c r="H37" s="343"/>
      <c r="I37" s="344"/>
      <c r="J37" s="342" t="s">
        <v>170</v>
      </c>
      <c r="K37" s="318">
        <v>1</v>
      </c>
      <c r="L37" s="345">
        <f>O36/10</f>
        <v>0</v>
      </c>
      <c r="M37" s="294">
        <f>3*2</f>
        <v>6</v>
      </c>
      <c r="N37" s="299">
        <v>1</v>
      </c>
      <c r="O37" s="296">
        <f t="shared" si="3"/>
        <v>0</v>
      </c>
      <c r="P37" s="306">
        <f>VLOOKUP($F37,'[1]Master Harga'!$E$5:$L$351,6,FALSE)</f>
        <v>149108.51999999999</v>
      </c>
      <c r="Q37" s="299">
        <f t="shared" si="4"/>
        <v>0</v>
      </c>
      <c r="R37" s="296"/>
      <c r="S37" s="296"/>
      <c r="T37" s="296"/>
      <c r="U37" s="296"/>
      <c r="V37" s="296"/>
      <c r="W37" s="307"/>
      <c r="X37" s="334"/>
      <c r="Y37" s="335">
        <f t="shared" si="0"/>
        <v>0</v>
      </c>
      <c r="Z37" s="353"/>
      <c r="AB37" s="308"/>
      <c r="AC37" s="308"/>
      <c r="AD37" s="308"/>
      <c r="AF37" s="308"/>
      <c r="AG37" s="308"/>
      <c r="AH37" s="308"/>
      <c r="AJ37" s="308"/>
      <c r="AK37" s="308"/>
      <c r="AL37" s="308"/>
    </row>
    <row r="38" spans="2:38" hidden="1" x14ac:dyDescent="0.35">
      <c r="B38" s="338"/>
      <c r="C38" s="350"/>
      <c r="D38" s="339"/>
      <c r="E38" s="340"/>
      <c r="F38" s="357" t="s">
        <v>210</v>
      </c>
      <c r="G38" s="342" t="s">
        <v>211</v>
      </c>
      <c r="H38" s="343"/>
      <c r="I38" s="344"/>
      <c r="J38" s="342" t="s">
        <v>211</v>
      </c>
      <c r="K38" s="318">
        <v>1</v>
      </c>
      <c r="L38" s="345">
        <f>(O36*18)/400</f>
        <v>0</v>
      </c>
      <c r="M38" s="294">
        <v>2</v>
      </c>
      <c r="N38" s="299">
        <v>1</v>
      </c>
      <c r="O38" s="296">
        <f t="shared" si="3"/>
        <v>0</v>
      </c>
      <c r="P38" s="306">
        <f>VLOOKUP($F38,'[1]Master Harga'!$E$5:$L$351,6,FALSE)</f>
        <v>207500</v>
      </c>
      <c r="Q38" s="299">
        <f t="shared" si="4"/>
        <v>0</v>
      </c>
      <c r="R38" s="296"/>
      <c r="S38" s="296"/>
      <c r="T38" s="296"/>
      <c r="U38" s="296"/>
      <c r="V38" s="296"/>
      <c r="W38" s="307"/>
      <c r="X38" s="334"/>
      <c r="Y38" s="335">
        <f t="shared" si="0"/>
        <v>0</v>
      </c>
      <c r="Z38" s="353"/>
      <c r="AB38" s="308"/>
      <c r="AC38" s="308"/>
      <c r="AD38" s="308"/>
      <c r="AF38" s="308"/>
      <c r="AG38" s="308"/>
      <c r="AH38" s="308"/>
      <c r="AJ38" s="308"/>
      <c r="AK38" s="308"/>
      <c r="AL38" s="308"/>
    </row>
    <row r="39" spans="2:38" hidden="1" x14ac:dyDescent="0.35">
      <c r="B39" s="312"/>
      <c r="C39" s="313"/>
      <c r="D39" s="324" t="s">
        <v>219</v>
      </c>
      <c r="E39" s="325"/>
      <c r="F39" s="355" t="s">
        <v>215</v>
      </c>
      <c r="G39" s="327" t="s">
        <v>203</v>
      </c>
      <c r="H39" s="328"/>
      <c r="I39" s="329"/>
      <c r="J39" s="327" t="s">
        <v>209</v>
      </c>
      <c r="K39" s="330">
        <v>1</v>
      </c>
      <c r="L39" s="352">
        <v>0</v>
      </c>
      <c r="M39" s="332">
        <f>600/60</f>
        <v>10</v>
      </c>
      <c r="N39" s="319">
        <v>1</v>
      </c>
      <c r="O39" s="333">
        <f t="shared" si="3"/>
        <v>0</v>
      </c>
      <c r="P39" s="306">
        <f>VLOOKUP($F39,'[1]Master Harga'!$E$5:$L$351,6,FALSE)</f>
        <v>720338.0730320001</v>
      </c>
      <c r="Q39" s="319">
        <f>P39*$O39</f>
        <v>0</v>
      </c>
      <c r="R39" s="296">
        <f>VLOOKUP($F39,'[1]Master Harga'!$E$5:$L$351,6,FALSE)</f>
        <v>720338.0730320001</v>
      </c>
      <c r="S39" s="296">
        <f>R39*$O39</f>
        <v>0</v>
      </c>
      <c r="T39" s="296">
        <f>VLOOKUP($F39,'[1]Master Harga'!$E$5:$L$351,7,FALSE)</f>
        <v>761671.70213055995</v>
      </c>
      <c r="U39" s="296">
        <f>T39*$O39</f>
        <v>0</v>
      </c>
      <c r="V39" s="296" t="e">
        <f>W39/O39</f>
        <v>#DIV/0!</v>
      </c>
      <c r="W39" s="307">
        <f t="shared" si="8"/>
        <v>0</v>
      </c>
      <c r="X39" s="334"/>
      <c r="Y39" s="335">
        <f t="shared" si="0"/>
        <v>0</v>
      </c>
      <c r="Z39" s="353"/>
      <c r="AA39" s="229"/>
      <c r="AB39" s="308"/>
      <c r="AC39" s="308"/>
      <c r="AD39" s="308"/>
      <c r="AF39" s="308"/>
      <c r="AG39" s="308"/>
      <c r="AH39" s="308"/>
      <c r="AJ39" s="308"/>
      <c r="AK39" s="308"/>
      <c r="AL39" s="308"/>
    </row>
    <row r="40" spans="2:38" hidden="1" x14ac:dyDescent="0.35">
      <c r="B40" s="338"/>
      <c r="C40" s="350"/>
      <c r="D40" s="339"/>
      <c r="E40" s="340"/>
      <c r="F40" s="348" t="s">
        <v>189</v>
      </c>
      <c r="G40" s="342" t="s">
        <v>190</v>
      </c>
      <c r="H40" s="343"/>
      <c r="I40" s="344"/>
      <c r="J40" s="342" t="s">
        <v>170</v>
      </c>
      <c r="K40" s="318">
        <v>1</v>
      </c>
      <c r="L40" s="345">
        <f>O39/10</f>
        <v>0</v>
      </c>
      <c r="M40" s="294">
        <f>3*2</f>
        <v>6</v>
      </c>
      <c r="N40" s="299">
        <v>1</v>
      </c>
      <c r="O40" s="296">
        <f t="shared" si="3"/>
        <v>0</v>
      </c>
      <c r="P40" s="306">
        <f>VLOOKUP($F40,'[1]Master Harga'!$E$5:$L$351,6,FALSE)</f>
        <v>149108.51999999999</v>
      </c>
      <c r="Q40" s="299">
        <f t="shared" ref="Q40:Q41" si="9">P40*$O40</f>
        <v>0</v>
      </c>
      <c r="R40" s="296"/>
      <c r="S40" s="296"/>
      <c r="T40" s="296"/>
      <c r="U40" s="296"/>
      <c r="V40" s="296"/>
      <c r="W40" s="307"/>
      <c r="X40" s="334"/>
      <c r="Y40" s="335">
        <f t="shared" si="0"/>
        <v>0</v>
      </c>
      <c r="Z40" s="353"/>
      <c r="AB40" s="308"/>
      <c r="AC40" s="308"/>
      <c r="AD40" s="308"/>
      <c r="AF40" s="308"/>
      <c r="AG40" s="308"/>
      <c r="AH40" s="308"/>
      <c r="AJ40" s="308"/>
      <c r="AK40" s="308"/>
      <c r="AL40" s="308"/>
    </row>
    <row r="41" spans="2:38" hidden="1" x14ac:dyDescent="0.35">
      <c r="B41" s="338"/>
      <c r="C41" s="350"/>
      <c r="D41" s="339"/>
      <c r="E41" s="340"/>
      <c r="F41" s="357" t="s">
        <v>210</v>
      </c>
      <c r="G41" s="342" t="s">
        <v>211</v>
      </c>
      <c r="H41" s="343"/>
      <c r="I41" s="344"/>
      <c r="J41" s="342" t="s">
        <v>211</v>
      </c>
      <c r="K41" s="318">
        <v>1</v>
      </c>
      <c r="L41" s="345">
        <f>(O39*18)/400</f>
        <v>0</v>
      </c>
      <c r="M41" s="294">
        <v>2</v>
      </c>
      <c r="N41" s="299">
        <v>1</v>
      </c>
      <c r="O41" s="296">
        <f t="shared" si="3"/>
        <v>0</v>
      </c>
      <c r="P41" s="306">
        <f>VLOOKUP($F41,'[1]Master Harga'!$E$5:$L$351,6,FALSE)</f>
        <v>207500</v>
      </c>
      <c r="Q41" s="299">
        <f t="shared" si="9"/>
        <v>0</v>
      </c>
      <c r="R41" s="296"/>
      <c r="S41" s="296"/>
      <c r="T41" s="296"/>
      <c r="U41" s="296"/>
      <c r="V41" s="296"/>
      <c r="W41" s="307"/>
      <c r="X41" s="334"/>
      <c r="Y41" s="335">
        <f t="shared" si="0"/>
        <v>0</v>
      </c>
      <c r="Z41" s="353"/>
      <c r="AB41" s="308"/>
      <c r="AC41" s="308"/>
      <c r="AD41" s="308"/>
      <c r="AF41" s="308"/>
      <c r="AG41" s="308"/>
      <c r="AH41" s="308"/>
      <c r="AJ41" s="308"/>
      <c r="AK41" s="308"/>
      <c r="AL41" s="308"/>
    </row>
    <row r="42" spans="2:38" hidden="1" x14ac:dyDescent="0.35">
      <c r="B42" s="312"/>
      <c r="C42" s="313"/>
      <c r="D42" s="313" t="s">
        <v>220</v>
      </c>
      <c r="E42" s="314"/>
      <c r="F42" s="358"/>
      <c r="G42" s="342"/>
      <c r="H42" s="343"/>
      <c r="I42" s="344"/>
      <c r="J42" s="342"/>
      <c r="K42" s="318"/>
      <c r="L42" s="345"/>
      <c r="M42" s="294"/>
      <c r="N42" s="296"/>
      <c r="O42" s="296"/>
      <c r="P42" s="306"/>
      <c r="Q42" s="296"/>
      <c r="R42" s="296"/>
      <c r="S42" s="296"/>
      <c r="T42" s="296"/>
      <c r="U42" s="296"/>
      <c r="V42" s="296"/>
      <c r="W42" s="307"/>
      <c r="X42" s="295"/>
      <c r="Y42" s="306">
        <f t="shared" si="0"/>
        <v>0</v>
      </c>
      <c r="Z42" s="295"/>
      <c r="AB42" s="308"/>
      <c r="AC42" s="308"/>
      <c r="AD42" s="308"/>
      <c r="AF42" s="308"/>
      <c r="AG42" s="308"/>
      <c r="AH42" s="308"/>
      <c r="AJ42" s="308"/>
      <c r="AK42" s="308"/>
      <c r="AL42" s="308"/>
    </row>
    <row r="43" spans="2:38" hidden="1" x14ac:dyDescent="0.35">
      <c r="B43" s="338"/>
      <c r="C43" s="350"/>
      <c r="D43" s="350"/>
      <c r="E43" s="351" t="s">
        <v>221</v>
      </c>
      <c r="F43" s="359" t="s">
        <v>189</v>
      </c>
      <c r="G43" s="342" t="s">
        <v>190</v>
      </c>
      <c r="H43" s="343"/>
      <c r="I43" s="344"/>
      <c r="J43" s="342"/>
      <c r="K43" s="318">
        <v>1</v>
      </c>
      <c r="L43" s="305"/>
      <c r="M43" s="294">
        <v>0.25</v>
      </c>
      <c r="N43" s="296">
        <v>1</v>
      </c>
      <c r="O43" s="296">
        <f>K43*L43*M43*N43</f>
        <v>0</v>
      </c>
      <c r="P43" s="306">
        <f>VLOOKUP($F43,'[1]Master Harga'!$E$5:$L$351,6,FALSE)</f>
        <v>149108.51999999999</v>
      </c>
      <c r="Q43" s="296">
        <f>P43*$O43</f>
        <v>0</v>
      </c>
      <c r="R43" s="296">
        <f>VLOOKUP($F43,'[1]Master Harga'!$E$5:$L$351,6,FALSE)</f>
        <v>149108.51999999999</v>
      </c>
      <c r="S43" s="296">
        <f>R43*$O43</f>
        <v>0</v>
      </c>
      <c r="T43" s="296">
        <f>VLOOKUP($F43,'[1]Master Harga'!$E$5:$L$351,7,FALSE)</f>
        <v>158800.57379999998</v>
      </c>
      <c r="U43" s="296">
        <f>T43*$O43</f>
        <v>0</v>
      </c>
      <c r="V43" s="296" t="e">
        <f>W43/O43</f>
        <v>#DIV/0!</v>
      </c>
      <c r="W43" s="307">
        <f>AVERAGEIF($P$3:$U$3,W$3,$P43:$U43)</f>
        <v>0</v>
      </c>
      <c r="X43" s="295"/>
      <c r="Y43" s="306">
        <f t="shared" si="0"/>
        <v>0</v>
      </c>
      <c r="Z43" s="295"/>
      <c r="AB43" s="308"/>
      <c r="AC43" s="308"/>
      <c r="AD43" s="308"/>
      <c r="AF43" s="308"/>
      <c r="AG43" s="308"/>
      <c r="AH43" s="308"/>
      <c r="AJ43" s="308"/>
      <c r="AK43" s="308"/>
      <c r="AL43" s="308"/>
    </row>
    <row r="44" spans="2:38" hidden="1" x14ac:dyDescent="0.35">
      <c r="B44" s="338"/>
      <c r="C44" s="350"/>
      <c r="D44" s="350"/>
      <c r="E44" s="351" t="s">
        <v>222</v>
      </c>
      <c r="F44" s="358" t="s">
        <v>215</v>
      </c>
      <c r="G44" s="342" t="s">
        <v>203</v>
      </c>
      <c r="H44" s="343"/>
      <c r="I44" s="344"/>
      <c r="J44" s="342" t="s">
        <v>209</v>
      </c>
      <c r="K44" s="318">
        <v>1</v>
      </c>
      <c r="L44" s="305"/>
      <c r="M44" s="294">
        <v>1.45</v>
      </c>
      <c r="N44" s="296">
        <v>1</v>
      </c>
      <c r="O44" s="296">
        <f>K44*L44*M44*N44</f>
        <v>0</v>
      </c>
      <c r="P44" s="306">
        <f>VLOOKUP($F44,'[1]Master Harga'!$E$5:$L$351,6,FALSE)</f>
        <v>720338.0730320001</v>
      </c>
      <c r="Q44" s="299">
        <f t="shared" si="4"/>
        <v>0</v>
      </c>
      <c r="R44" s="296">
        <f>VLOOKUP($F44,'[1]Master Harga'!$E$5:$L$351,6,FALSE)</f>
        <v>720338.0730320001</v>
      </c>
      <c r="S44" s="296">
        <f t="shared" si="5"/>
        <v>0</v>
      </c>
      <c r="T44" s="296">
        <f>VLOOKUP($F44,'[1]Master Harga'!$E$5:$L$351,7,FALSE)</f>
        <v>761671.70213055995</v>
      </c>
      <c r="U44" s="296">
        <f t="shared" si="6"/>
        <v>0</v>
      </c>
      <c r="V44" s="296" t="e">
        <f t="shared" si="7"/>
        <v>#DIV/0!</v>
      </c>
      <c r="W44" s="307">
        <f t="shared" si="8"/>
        <v>0</v>
      </c>
      <c r="X44" s="295"/>
      <c r="Y44" s="306">
        <f t="shared" si="0"/>
        <v>0</v>
      </c>
      <c r="Z44" s="295"/>
      <c r="AB44" s="308"/>
      <c r="AC44" s="308"/>
      <c r="AD44" s="308"/>
      <c r="AF44" s="308"/>
      <c r="AG44" s="308"/>
      <c r="AH44" s="308"/>
      <c r="AJ44" s="308"/>
      <c r="AK44" s="308"/>
      <c r="AL44" s="308"/>
    </row>
    <row r="45" spans="2:38" hidden="1" x14ac:dyDescent="0.35">
      <c r="B45" s="338"/>
      <c r="C45" s="350"/>
      <c r="D45" s="350"/>
      <c r="E45" s="351"/>
      <c r="F45" s="358" t="s">
        <v>189</v>
      </c>
      <c r="G45" s="342" t="s">
        <v>190</v>
      </c>
      <c r="H45" s="343"/>
      <c r="I45" s="344"/>
      <c r="J45" s="342" t="s">
        <v>170</v>
      </c>
      <c r="K45" s="318">
        <v>1</v>
      </c>
      <c r="L45" s="345">
        <f>O44/10</f>
        <v>0</v>
      </c>
      <c r="M45" s="294">
        <f>3*2</f>
        <v>6</v>
      </c>
      <c r="N45" s="299">
        <v>1</v>
      </c>
      <c r="O45" s="296">
        <f t="shared" ref="O45:O46" si="10">K45*L45*M45*N45</f>
        <v>0</v>
      </c>
      <c r="P45" s="306">
        <f>VLOOKUP($F45,'[1]Master Harga'!$E$5:$L$351,6,FALSE)</f>
        <v>149108.51999999999</v>
      </c>
      <c r="Q45" s="299">
        <f t="shared" si="4"/>
        <v>0</v>
      </c>
      <c r="R45" s="296"/>
      <c r="S45" s="296"/>
      <c r="T45" s="296"/>
      <c r="U45" s="296"/>
      <c r="V45" s="296"/>
      <c r="W45" s="307"/>
      <c r="X45" s="334"/>
      <c r="Y45" s="306">
        <f t="shared" si="0"/>
        <v>0</v>
      </c>
      <c r="Z45" s="295"/>
      <c r="AB45" s="308"/>
      <c r="AC45" s="308"/>
      <c r="AD45" s="308"/>
      <c r="AF45" s="308"/>
      <c r="AG45" s="308"/>
      <c r="AH45" s="308"/>
      <c r="AJ45" s="308"/>
      <c r="AK45" s="308"/>
      <c r="AL45" s="308"/>
    </row>
    <row r="46" spans="2:38" hidden="1" x14ac:dyDescent="0.35">
      <c r="B46" s="320"/>
      <c r="C46" s="321"/>
      <c r="D46" s="321"/>
      <c r="E46" s="322"/>
      <c r="F46" s="357" t="s">
        <v>210</v>
      </c>
      <c r="G46" s="342" t="s">
        <v>211</v>
      </c>
      <c r="H46" s="343"/>
      <c r="I46" s="344"/>
      <c r="J46" s="342" t="s">
        <v>211</v>
      </c>
      <c r="K46" s="318">
        <v>1</v>
      </c>
      <c r="L46" s="345">
        <f>(O44*18)/400</f>
        <v>0</v>
      </c>
      <c r="M46" s="294">
        <v>2</v>
      </c>
      <c r="N46" s="299">
        <v>1</v>
      </c>
      <c r="O46" s="296">
        <f t="shared" si="10"/>
        <v>0</v>
      </c>
      <c r="P46" s="306">
        <f>VLOOKUP($F46,'[1]Master Harga'!$E$5:$L$351,6,FALSE)</f>
        <v>207500</v>
      </c>
      <c r="Q46" s="299">
        <f t="shared" si="4"/>
        <v>0</v>
      </c>
      <c r="R46" s="296"/>
      <c r="S46" s="296"/>
      <c r="T46" s="296"/>
      <c r="U46" s="296"/>
      <c r="V46" s="296"/>
      <c r="W46" s="307"/>
      <c r="X46" s="334"/>
      <c r="Y46" s="306">
        <f t="shared" si="0"/>
        <v>0</v>
      </c>
      <c r="Z46" s="295"/>
      <c r="AB46" s="308"/>
      <c r="AC46" s="308"/>
      <c r="AD46" s="308"/>
      <c r="AF46" s="308"/>
      <c r="AG46" s="308"/>
      <c r="AH46" s="308"/>
      <c r="AJ46" s="308"/>
      <c r="AK46" s="308"/>
      <c r="AL46" s="308"/>
    </row>
    <row r="47" spans="2:38" x14ac:dyDescent="0.35">
      <c r="B47" s="360"/>
      <c r="C47" s="361"/>
      <c r="D47" s="361" t="s">
        <v>223</v>
      </c>
      <c r="E47" s="362"/>
      <c r="F47" s="348" t="s">
        <v>189</v>
      </c>
      <c r="G47" s="342" t="s">
        <v>190</v>
      </c>
      <c r="H47" s="343"/>
      <c r="I47" s="344"/>
      <c r="J47" s="342" t="s">
        <v>170</v>
      </c>
      <c r="K47" s="318">
        <v>1</v>
      </c>
      <c r="L47" s="305">
        <f t="shared" ref="L47:L60" si="11">$AB$1</f>
        <v>400.8</v>
      </c>
      <c r="M47" s="294">
        <v>2</v>
      </c>
      <c r="N47" s="296">
        <v>1</v>
      </c>
      <c r="O47" s="296">
        <f>K47*L47*M47*N47</f>
        <v>801.6</v>
      </c>
      <c r="P47" s="306">
        <f>VLOOKUP($F47,'[1]Master Harga'!$E$5:$L$351,6,FALSE)</f>
        <v>149108.51999999999</v>
      </c>
      <c r="Q47" s="299">
        <f t="shared" si="4"/>
        <v>119525389.632</v>
      </c>
      <c r="R47" s="296">
        <f>VLOOKUP($F47,'[1]Master Harga'!$E$5:$L$351,6,FALSE)</f>
        <v>149108.51999999999</v>
      </c>
      <c r="S47" s="296">
        <f t="shared" si="5"/>
        <v>119525389.632</v>
      </c>
      <c r="T47" s="296">
        <f>VLOOKUP($F47,'[1]Master Harga'!$E$5:$L$351,7,FALSE)</f>
        <v>158800.57379999998</v>
      </c>
      <c r="U47" s="296">
        <f t="shared" si="6"/>
        <v>127294539.95807999</v>
      </c>
      <c r="V47" s="296">
        <f t="shared" si="7"/>
        <v>152339.2046</v>
      </c>
      <c r="W47" s="307">
        <f t="shared" si="8"/>
        <v>122115106.40736</v>
      </c>
      <c r="X47" s="295"/>
      <c r="Y47" s="306">
        <f t="shared" si="0"/>
        <v>298217.03999999998</v>
      </c>
      <c r="Z47" s="295"/>
      <c r="AB47" s="308"/>
      <c r="AC47" s="308"/>
      <c r="AD47" s="308"/>
      <c r="AF47" s="308"/>
      <c r="AG47" s="308"/>
      <c r="AH47" s="308"/>
      <c r="AJ47" s="308"/>
      <c r="AK47" s="308"/>
      <c r="AL47" s="308"/>
    </row>
    <row r="48" spans="2:38" x14ac:dyDescent="0.35">
      <c r="B48" s="309"/>
      <c r="C48" s="310"/>
      <c r="D48" s="310"/>
      <c r="E48" s="311"/>
      <c r="F48" s="348" t="s">
        <v>224</v>
      </c>
      <c r="G48" s="342" t="s">
        <v>194</v>
      </c>
      <c r="H48" s="343"/>
      <c r="I48" s="344"/>
      <c r="J48" s="342" t="s">
        <v>170</v>
      </c>
      <c r="K48" s="318">
        <v>1</v>
      </c>
      <c r="L48" s="305">
        <f t="shared" si="11"/>
        <v>400.8</v>
      </c>
      <c r="M48" s="294">
        <v>8.3000000000000001E-3</v>
      </c>
      <c r="N48" s="296">
        <v>1</v>
      </c>
      <c r="O48" s="296">
        <f>K48*L48*M48*N48</f>
        <v>3.3266400000000003</v>
      </c>
      <c r="P48" s="306">
        <f>VLOOKUP($F48,'[1]Master Harga'!$E$5:$L$351,6,FALSE)</f>
        <v>1434791.925</v>
      </c>
      <c r="Q48" s="299">
        <f t="shared" si="4"/>
        <v>4773036.2093820004</v>
      </c>
      <c r="R48" s="296">
        <f>VLOOKUP($F48,'[1]Master Harga'!$E$5:$L$351,6,FALSE)</f>
        <v>1434791.925</v>
      </c>
      <c r="S48" s="296">
        <f t="shared" si="5"/>
        <v>4773036.2093820004</v>
      </c>
      <c r="T48" s="296">
        <f>VLOOKUP($F48,'[1]Master Harga'!$E$5:$L$351,7,FALSE)</f>
        <v>1506531.5212500002</v>
      </c>
      <c r="U48" s="296">
        <f t="shared" si="6"/>
        <v>5011688.0198511016</v>
      </c>
      <c r="V48" s="296">
        <f t="shared" si="7"/>
        <v>1458705.1237500003</v>
      </c>
      <c r="W48" s="307">
        <f t="shared" si="8"/>
        <v>4852586.8128717011</v>
      </c>
      <c r="X48" s="295"/>
      <c r="Y48" s="306">
        <f t="shared" si="0"/>
        <v>11908.772977500001</v>
      </c>
      <c r="Z48" s="295"/>
      <c r="AB48" s="308"/>
      <c r="AC48" s="308"/>
      <c r="AD48" s="308"/>
      <c r="AF48" s="308"/>
      <c r="AG48" s="308"/>
      <c r="AH48" s="308"/>
      <c r="AJ48" s="308"/>
      <c r="AK48" s="308"/>
      <c r="AL48" s="308"/>
    </row>
    <row r="49" spans="2:38" x14ac:dyDescent="0.35">
      <c r="B49" s="315"/>
      <c r="C49" s="316"/>
      <c r="D49" s="316"/>
      <c r="E49" s="317"/>
      <c r="F49" s="288" t="s">
        <v>225</v>
      </c>
      <c r="G49" s="289" t="s">
        <v>226</v>
      </c>
      <c r="H49" s="290"/>
      <c r="I49" s="291"/>
      <c r="J49" s="289" t="s">
        <v>170</v>
      </c>
      <c r="K49" s="318">
        <v>0.35</v>
      </c>
      <c r="L49" s="345">
        <f t="shared" si="11"/>
        <v>400.8</v>
      </c>
      <c r="M49" s="363">
        <v>4</v>
      </c>
      <c r="N49" s="296">
        <v>1</v>
      </c>
      <c r="O49" s="296">
        <f t="shared" ref="O49:O71" si="12">K49*L49*M49*N49</f>
        <v>561.12</v>
      </c>
      <c r="P49" s="306">
        <f>VLOOKUP($F49,'[1]Master Harga'!$E$5:$L$351,6,FALSE)</f>
        <v>35343</v>
      </c>
      <c r="Q49" s="299">
        <f t="shared" si="4"/>
        <v>19831664.16</v>
      </c>
      <c r="R49" s="296"/>
      <c r="S49" s="296"/>
      <c r="T49" s="296"/>
      <c r="U49" s="296"/>
      <c r="V49" s="296"/>
      <c r="W49" s="296"/>
      <c r="X49" s="295"/>
      <c r="Y49" s="306">
        <f t="shared" si="0"/>
        <v>49480.2</v>
      </c>
      <c r="Z49" s="295"/>
      <c r="AB49" s="308"/>
      <c r="AC49" s="308"/>
      <c r="AD49" s="308"/>
      <c r="AF49" s="308"/>
      <c r="AG49" s="308"/>
      <c r="AH49" s="308"/>
      <c r="AJ49" s="308"/>
      <c r="AK49" s="308"/>
      <c r="AL49" s="308"/>
    </row>
    <row r="50" spans="2:38" x14ac:dyDescent="0.35">
      <c r="B50" s="315"/>
      <c r="C50" s="316"/>
      <c r="D50" s="316"/>
      <c r="E50" s="317"/>
      <c r="F50" s="288" t="s">
        <v>227</v>
      </c>
      <c r="G50" s="289" t="s">
        <v>192</v>
      </c>
      <c r="H50" s="290"/>
      <c r="I50" s="291"/>
      <c r="J50" s="289" t="s">
        <v>170</v>
      </c>
      <c r="K50" s="318">
        <v>0.15</v>
      </c>
      <c r="L50" s="345">
        <f t="shared" si="11"/>
        <v>400.8</v>
      </c>
      <c r="M50" s="363">
        <v>0.8</v>
      </c>
      <c r="N50" s="296">
        <v>1</v>
      </c>
      <c r="O50" s="296">
        <f>K50*L50*M50*N50</f>
        <v>48.096000000000004</v>
      </c>
      <c r="P50" s="306">
        <f>VLOOKUP($F50,'[1]Master Harga'!$E$5:$L$351,6,FALSE)</f>
        <v>96390</v>
      </c>
      <c r="Q50" s="299">
        <f t="shared" si="4"/>
        <v>4635973.4400000004</v>
      </c>
      <c r="R50" s="296">
        <f>VLOOKUP($F50,'[1]Master Harga'!$E$5:$L$351,6,FALSE)</f>
        <v>96390</v>
      </c>
      <c r="S50" s="296">
        <f t="shared" ref="S50:S60" si="13">R50*$O50</f>
        <v>4635973.4400000004</v>
      </c>
      <c r="T50" s="296">
        <f>VLOOKUP($F50,'[1]Master Harga'!$E$5:$L$351,7,FALSE)</f>
        <v>101209.5</v>
      </c>
      <c r="U50" s="296">
        <f t="shared" ref="U50:U60" si="14">T50*$O50</f>
        <v>4867772.1120000007</v>
      </c>
      <c r="V50" s="296">
        <f t="shared" ref="V50:V59" si="15">W50/O50</f>
        <v>97996.500000000015</v>
      </c>
      <c r="W50" s="307">
        <f t="shared" ref="W50:W60" si="16">AVERAGEIF($P$3:$U$3,W$3,$P50:$U50)</f>
        <v>4713239.6640000008</v>
      </c>
      <c r="X50" s="295"/>
      <c r="Y50" s="306">
        <f t="shared" si="0"/>
        <v>11566.800000000001</v>
      </c>
      <c r="Z50" s="295"/>
      <c r="AB50" s="308"/>
      <c r="AC50" s="308"/>
      <c r="AD50" s="308"/>
      <c r="AF50" s="308"/>
      <c r="AG50" s="308"/>
      <c r="AH50" s="308"/>
      <c r="AJ50" s="308"/>
      <c r="AK50" s="308"/>
      <c r="AL50" s="308"/>
    </row>
    <row r="51" spans="2:38" x14ac:dyDescent="0.35">
      <c r="B51" s="315"/>
      <c r="C51" s="316"/>
      <c r="D51" s="316"/>
      <c r="E51" s="317"/>
      <c r="F51" s="288" t="s">
        <v>228</v>
      </c>
      <c r="G51" s="289" t="s">
        <v>226</v>
      </c>
      <c r="H51" s="290"/>
      <c r="I51" s="291"/>
      <c r="J51" s="289" t="s">
        <v>170</v>
      </c>
      <c r="K51" s="318">
        <v>0.5</v>
      </c>
      <c r="L51" s="345">
        <f t="shared" si="11"/>
        <v>400.8</v>
      </c>
      <c r="M51" s="363">
        <v>4</v>
      </c>
      <c r="N51" s="296">
        <v>1</v>
      </c>
      <c r="O51" s="296">
        <f t="shared" si="12"/>
        <v>801.6</v>
      </c>
      <c r="P51" s="306">
        <f>VLOOKUP($F51,'[1]Master Harga'!$E$5:$L$351,6,FALSE)</f>
        <v>28381.5</v>
      </c>
      <c r="Q51" s="299">
        <f t="shared" si="4"/>
        <v>22750610.400000002</v>
      </c>
      <c r="R51" s="296">
        <f>VLOOKUP($F51,'[1]Master Harga'!$E$5:$L$351,6,FALSE)</f>
        <v>28381.5</v>
      </c>
      <c r="S51" s="296">
        <f t="shared" si="13"/>
        <v>22750610.400000002</v>
      </c>
      <c r="T51" s="296">
        <f>VLOOKUP($F51,'[1]Master Harga'!$E$5:$L$351,7,FALSE)</f>
        <v>29800.575000000001</v>
      </c>
      <c r="U51" s="296">
        <f t="shared" si="14"/>
        <v>23888140.920000002</v>
      </c>
      <c r="V51" s="296">
        <f t="shared" si="15"/>
        <v>28854.524999999998</v>
      </c>
      <c r="W51" s="307">
        <f t="shared" si="16"/>
        <v>23129787.239999998</v>
      </c>
      <c r="X51" s="295"/>
      <c r="Y51" s="306">
        <f t="shared" si="0"/>
        <v>56763.000000000007</v>
      </c>
      <c r="Z51" s="295"/>
      <c r="AB51" s="308"/>
      <c r="AC51" s="308"/>
      <c r="AD51" s="308"/>
      <c r="AF51" s="308"/>
      <c r="AG51" s="308"/>
      <c r="AH51" s="308"/>
      <c r="AJ51" s="308"/>
      <c r="AK51" s="308"/>
      <c r="AL51" s="308"/>
    </row>
    <row r="52" spans="2:38" x14ac:dyDescent="0.35">
      <c r="B52" s="315"/>
      <c r="C52" s="316"/>
      <c r="D52" s="316"/>
      <c r="E52" s="317"/>
      <c r="F52" s="288" t="s">
        <v>229</v>
      </c>
      <c r="G52" s="289" t="s">
        <v>226</v>
      </c>
      <c r="H52" s="290"/>
      <c r="I52" s="291"/>
      <c r="J52" s="289" t="s">
        <v>170</v>
      </c>
      <c r="K52" s="318">
        <v>0.15</v>
      </c>
      <c r="L52" s="345">
        <f t="shared" si="11"/>
        <v>400.8</v>
      </c>
      <c r="M52" s="363">
        <v>0.3</v>
      </c>
      <c r="N52" s="296">
        <v>1</v>
      </c>
      <c r="O52" s="296">
        <f t="shared" si="12"/>
        <v>18.035999999999998</v>
      </c>
      <c r="P52" s="306">
        <f>VLOOKUP($F52,'[1]Master Harga'!$E$5:$L$351,6,FALSE)</f>
        <v>189567</v>
      </c>
      <c r="Q52" s="299">
        <f t="shared" si="4"/>
        <v>3419030.4119999995</v>
      </c>
      <c r="R52" s="296">
        <f>VLOOKUP($F52,'[1]Master Harga'!$E$5:$L$351,6,FALSE)</f>
        <v>189567</v>
      </c>
      <c r="S52" s="296">
        <f t="shared" si="13"/>
        <v>3419030.4119999995</v>
      </c>
      <c r="T52" s="296">
        <f>VLOOKUP($F52,'[1]Master Harga'!$E$5:$L$351,7,FALSE)</f>
        <v>199045.35</v>
      </c>
      <c r="U52" s="296">
        <f t="shared" si="14"/>
        <v>3589981.9325999995</v>
      </c>
      <c r="V52" s="296">
        <f t="shared" si="15"/>
        <v>192726.44999999998</v>
      </c>
      <c r="W52" s="307">
        <f t="shared" si="16"/>
        <v>3476014.2521999995</v>
      </c>
      <c r="X52" s="295"/>
      <c r="Y52" s="306">
        <f t="shared" si="0"/>
        <v>8530.5149999999994</v>
      </c>
      <c r="Z52" s="295"/>
      <c r="AB52" s="308"/>
      <c r="AC52" s="308"/>
      <c r="AD52" s="308"/>
      <c r="AF52" s="308"/>
      <c r="AG52" s="308"/>
      <c r="AH52" s="308"/>
      <c r="AJ52" s="308"/>
      <c r="AK52" s="308"/>
      <c r="AL52" s="308"/>
    </row>
    <row r="53" spans="2:38" x14ac:dyDescent="0.35">
      <c r="B53" s="315"/>
      <c r="C53" s="316"/>
      <c r="D53" s="316"/>
      <c r="E53" s="317"/>
      <c r="F53" s="288" t="s">
        <v>230</v>
      </c>
      <c r="G53" s="289" t="s">
        <v>226</v>
      </c>
      <c r="H53" s="290"/>
      <c r="I53" s="291"/>
      <c r="J53" s="289" t="s">
        <v>170</v>
      </c>
      <c r="K53" s="318">
        <v>1</v>
      </c>
      <c r="L53" s="345">
        <f t="shared" si="11"/>
        <v>400.8</v>
      </c>
      <c r="M53" s="363">
        <v>0.9</v>
      </c>
      <c r="N53" s="296">
        <v>1</v>
      </c>
      <c r="O53" s="296">
        <f t="shared" si="12"/>
        <v>360.72</v>
      </c>
      <c r="P53" s="306">
        <f>VLOOKUP($F53,'[1]Master Harga'!$E$5:$L$351,6,FALSE)</f>
        <v>44982</v>
      </c>
      <c r="Q53" s="299">
        <f t="shared" si="4"/>
        <v>16225907.040000001</v>
      </c>
      <c r="R53" s="296">
        <f>VLOOKUP($F53,'[1]Master Harga'!$E$5:$L$351,6,FALSE)</f>
        <v>44982</v>
      </c>
      <c r="S53" s="296">
        <f t="shared" si="13"/>
        <v>16225907.040000001</v>
      </c>
      <c r="T53" s="296">
        <f>VLOOKUP($F53,'[1]Master Harga'!$E$5:$L$351,7,FALSE)</f>
        <v>47231.1</v>
      </c>
      <c r="U53" s="296">
        <f t="shared" si="14"/>
        <v>17037202.392000001</v>
      </c>
      <c r="V53" s="296">
        <f t="shared" si="15"/>
        <v>45731.7</v>
      </c>
      <c r="W53" s="307">
        <f t="shared" si="16"/>
        <v>16496338.824000001</v>
      </c>
      <c r="X53" s="295"/>
      <c r="Y53" s="306">
        <f t="shared" si="0"/>
        <v>40483.800000000003</v>
      </c>
      <c r="Z53" s="295"/>
      <c r="AB53" s="308"/>
      <c r="AC53" s="308"/>
      <c r="AD53" s="308"/>
      <c r="AF53" s="308"/>
      <c r="AG53" s="308"/>
      <c r="AH53" s="308"/>
      <c r="AJ53" s="308"/>
      <c r="AK53" s="308"/>
      <c r="AL53" s="308"/>
    </row>
    <row r="54" spans="2:38" x14ac:dyDescent="0.35">
      <c r="B54" s="315"/>
      <c r="C54" s="316"/>
      <c r="D54" s="316"/>
      <c r="E54" s="317"/>
      <c r="F54" s="288" t="s">
        <v>231</v>
      </c>
      <c r="G54" s="289" t="s">
        <v>190</v>
      </c>
      <c r="H54" s="290"/>
      <c r="I54" s="291"/>
      <c r="J54" s="289" t="s">
        <v>170</v>
      </c>
      <c r="K54" s="304">
        <v>1</v>
      </c>
      <c r="L54" s="305">
        <f t="shared" si="11"/>
        <v>400.8</v>
      </c>
      <c r="M54" s="294">
        <f>M47</f>
        <v>2</v>
      </c>
      <c r="N54" s="296">
        <v>1</v>
      </c>
      <c r="O54" s="296">
        <f t="shared" si="12"/>
        <v>801.6</v>
      </c>
      <c r="P54" s="306">
        <f>VLOOKUP($F54,'[1]Master Harga'!$E$5:$L$351,6,FALSE)</f>
        <v>4042.5</v>
      </c>
      <c r="Q54" s="299">
        <f t="shared" si="4"/>
        <v>3240468</v>
      </c>
      <c r="R54" s="296">
        <f>VLOOKUP($F54,'[1]Master Harga'!$E$5:$L$351,6,FALSE)</f>
        <v>4042.5</v>
      </c>
      <c r="S54" s="296">
        <f t="shared" si="13"/>
        <v>3240468</v>
      </c>
      <c r="T54" s="296">
        <f>VLOOKUP($F54,'[1]Master Harga'!$E$5:$L$351,7,FALSE)</f>
        <v>4244.625</v>
      </c>
      <c r="U54" s="296">
        <f t="shared" si="14"/>
        <v>3402491.4</v>
      </c>
      <c r="V54" s="296">
        <f t="shared" si="15"/>
        <v>4109.875</v>
      </c>
      <c r="W54" s="307">
        <f t="shared" si="16"/>
        <v>3294475.8000000003</v>
      </c>
      <c r="X54" s="295"/>
      <c r="Y54" s="306">
        <f t="shared" si="0"/>
        <v>8085</v>
      </c>
      <c r="Z54" s="295"/>
      <c r="AB54" s="308"/>
      <c r="AC54" s="308"/>
      <c r="AD54" s="308"/>
      <c r="AF54" s="308"/>
      <c r="AG54" s="308"/>
      <c r="AH54" s="308"/>
      <c r="AJ54" s="308"/>
      <c r="AK54" s="308"/>
      <c r="AL54" s="308"/>
    </row>
    <row r="55" spans="2:38" x14ac:dyDescent="0.35">
      <c r="B55" s="315"/>
      <c r="C55" s="316"/>
      <c r="D55" s="316"/>
      <c r="E55" s="317"/>
      <c r="F55" s="295" t="s">
        <v>232</v>
      </c>
      <c r="G55" s="364" t="s">
        <v>194</v>
      </c>
      <c r="H55" s="365">
        <v>4</v>
      </c>
      <c r="I55" s="366" t="s">
        <v>233</v>
      </c>
      <c r="J55" s="289" t="s">
        <v>170</v>
      </c>
      <c r="K55" s="304">
        <v>1</v>
      </c>
      <c r="L55" s="305">
        <f t="shared" si="11"/>
        <v>400.8</v>
      </c>
      <c r="M55" s="323">
        <f>((M$47*N$47)/240*($H55/N55))</f>
        <v>3.3333333333333333E-2</v>
      </c>
      <c r="N55" s="296">
        <v>1</v>
      </c>
      <c r="O55" s="296">
        <f t="shared" si="12"/>
        <v>13.36</v>
      </c>
      <c r="P55" s="306">
        <f>VLOOKUP($F55,'[1]Master Harga'!$E$5:$L$351,6,FALSE)</f>
        <v>44982</v>
      </c>
      <c r="Q55" s="299">
        <f t="shared" si="4"/>
        <v>600959.52</v>
      </c>
      <c r="R55" s="296">
        <f>VLOOKUP($F55,'[1]Master Harga'!$E$5:$L$351,6,FALSE)</f>
        <v>44982</v>
      </c>
      <c r="S55" s="296">
        <f t="shared" si="13"/>
        <v>600959.52</v>
      </c>
      <c r="T55" s="296">
        <f>VLOOKUP($F55,'[1]Master Harga'!$E$5:$L$351,7,FALSE)</f>
        <v>47231.1</v>
      </c>
      <c r="U55" s="296">
        <f t="shared" si="14"/>
        <v>631007.49599999993</v>
      </c>
      <c r="V55" s="296">
        <f t="shared" si="15"/>
        <v>45731.700000000004</v>
      </c>
      <c r="W55" s="307">
        <f t="shared" si="16"/>
        <v>610975.51199999999</v>
      </c>
      <c r="X55" s="295"/>
      <c r="Y55" s="306">
        <f t="shared" si="0"/>
        <v>1499.4</v>
      </c>
      <c r="Z55" s="295"/>
      <c r="AB55" s="308"/>
      <c r="AC55" s="308"/>
      <c r="AD55" s="308"/>
      <c r="AF55" s="308"/>
      <c r="AG55" s="308"/>
      <c r="AH55" s="308"/>
      <c r="AJ55" s="308"/>
      <c r="AK55" s="308"/>
      <c r="AL55" s="308"/>
    </row>
    <row r="56" spans="2:38" x14ac:dyDescent="0.35">
      <c r="B56" s="315"/>
      <c r="C56" s="316"/>
      <c r="D56" s="316"/>
      <c r="E56" s="317"/>
      <c r="F56" s="295" t="s">
        <v>234</v>
      </c>
      <c r="G56" s="364" t="s">
        <v>194</v>
      </c>
      <c r="H56" s="365">
        <v>12</v>
      </c>
      <c r="I56" s="366" t="s">
        <v>233</v>
      </c>
      <c r="J56" s="289" t="s">
        <v>170</v>
      </c>
      <c r="K56" s="304">
        <v>1</v>
      </c>
      <c r="L56" s="305">
        <f t="shared" si="11"/>
        <v>400.8</v>
      </c>
      <c r="M56" s="323">
        <f>((M$47*N$47)/240*($H56/N56))</f>
        <v>0.1</v>
      </c>
      <c r="N56" s="296">
        <v>1</v>
      </c>
      <c r="O56" s="296">
        <f t="shared" si="12"/>
        <v>40.080000000000005</v>
      </c>
      <c r="P56" s="306">
        <f>VLOOKUP($F56,'[1]Master Harga'!$E$5:$L$351,6,FALSE)</f>
        <v>14700</v>
      </c>
      <c r="Q56" s="299">
        <f t="shared" si="4"/>
        <v>589176.00000000012</v>
      </c>
      <c r="R56" s="296">
        <f>VLOOKUP($F56,'[1]Master Harga'!$E$5:$L$351,6,FALSE)</f>
        <v>14700</v>
      </c>
      <c r="S56" s="296">
        <f t="shared" si="13"/>
        <v>589176.00000000012</v>
      </c>
      <c r="T56" s="296">
        <f>VLOOKUP($F56,'[1]Master Harga'!$E$5:$L$351,7,FALSE)</f>
        <v>15435</v>
      </c>
      <c r="U56" s="296">
        <f t="shared" si="14"/>
        <v>618634.80000000005</v>
      </c>
      <c r="V56" s="296">
        <f t="shared" si="15"/>
        <v>14945</v>
      </c>
      <c r="W56" s="307">
        <f t="shared" si="16"/>
        <v>598995.60000000009</v>
      </c>
      <c r="X56" s="295"/>
      <c r="Y56" s="306">
        <f t="shared" si="0"/>
        <v>1470.0000000000002</v>
      </c>
      <c r="Z56" s="295"/>
      <c r="AB56" s="308"/>
      <c r="AC56" s="308"/>
      <c r="AD56" s="308"/>
      <c r="AF56" s="308"/>
      <c r="AG56" s="308"/>
      <c r="AH56" s="308"/>
      <c r="AJ56" s="308"/>
      <c r="AK56" s="308"/>
      <c r="AL56" s="308"/>
    </row>
    <row r="57" spans="2:38" x14ac:dyDescent="0.35">
      <c r="B57" s="315"/>
      <c r="C57" s="316"/>
      <c r="D57" s="316"/>
      <c r="E57" s="317"/>
      <c r="F57" s="295" t="s">
        <v>235</v>
      </c>
      <c r="G57" s="364" t="s">
        <v>194</v>
      </c>
      <c r="H57" s="365">
        <v>1</v>
      </c>
      <c r="I57" s="366" t="s">
        <v>233</v>
      </c>
      <c r="J57" s="289" t="s">
        <v>170</v>
      </c>
      <c r="K57" s="304">
        <v>1</v>
      </c>
      <c r="L57" s="305">
        <f t="shared" si="11"/>
        <v>400.8</v>
      </c>
      <c r="M57" s="323">
        <f>((M$47*N$47)/240*($H57/N57))</f>
        <v>8.3333333333333332E-3</v>
      </c>
      <c r="N57" s="296">
        <v>1</v>
      </c>
      <c r="O57" s="296">
        <f t="shared" si="12"/>
        <v>3.34</v>
      </c>
      <c r="P57" s="306">
        <f>VLOOKUP($F57,'[1]Master Harga'!$E$5:$L$351,6,FALSE)</f>
        <v>39359.25</v>
      </c>
      <c r="Q57" s="299">
        <f t="shared" si="4"/>
        <v>131459.89499999999</v>
      </c>
      <c r="R57" s="296">
        <f>VLOOKUP($F57,'[1]Master Harga'!$E$5:$L$351,6,FALSE)</f>
        <v>39359.25</v>
      </c>
      <c r="S57" s="296">
        <f t="shared" si="13"/>
        <v>131459.89499999999</v>
      </c>
      <c r="T57" s="296">
        <f>VLOOKUP($F57,'[1]Master Harga'!$E$5:$L$351,7,FALSE)</f>
        <v>41327.212500000001</v>
      </c>
      <c r="U57" s="296">
        <f t="shared" si="14"/>
        <v>138032.88975</v>
      </c>
      <c r="V57" s="296">
        <f t="shared" si="15"/>
        <v>40015.237500000003</v>
      </c>
      <c r="W57" s="307">
        <f t="shared" si="16"/>
        <v>133650.89324999999</v>
      </c>
      <c r="X57" s="295"/>
      <c r="Y57" s="306">
        <f t="shared" si="0"/>
        <v>327.99374999999998</v>
      </c>
      <c r="Z57" s="295"/>
      <c r="AB57" s="308"/>
      <c r="AC57" s="308"/>
      <c r="AD57" s="308"/>
      <c r="AF57" s="308"/>
      <c r="AG57" s="308"/>
      <c r="AH57" s="308"/>
      <c r="AJ57" s="308"/>
      <c r="AK57" s="308"/>
      <c r="AL57" s="308"/>
    </row>
    <row r="58" spans="2:38" x14ac:dyDescent="0.35">
      <c r="B58" s="315"/>
      <c r="C58" s="316"/>
      <c r="D58" s="316"/>
      <c r="E58" s="317"/>
      <c r="F58" s="295" t="s">
        <v>236</v>
      </c>
      <c r="G58" s="364" t="s">
        <v>194</v>
      </c>
      <c r="H58" s="365">
        <v>2</v>
      </c>
      <c r="I58" s="366" t="s">
        <v>233</v>
      </c>
      <c r="J58" s="289" t="s">
        <v>170</v>
      </c>
      <c r="K58" s="304">
        <v>1</v>
      </c>
      <c r="L58" s="305">
        <f t="shared" si="11"/>
        <v>400.8</v>
      </c>
      <c r="M58" s="323">
        <f>((M$47*N$47)/240*($H58/N58))</f>
        <v>1.6666666666666666E-2</v>
      </c>
      <c r="N58" s="296">
        <v>1</v>
      </c>
      <c r="O58" s="296">
        <f t="shared" si="12"/>
        <v>6.68</v>
      </c>
      <c r="P58" s="306">
        <f>VLOOKUP($F58,'[1]Master Harga'!$E$5:$L$351,6,FALSE)</f>
        <v>33736.5</v>
      </c>
      <c r="Q58" s="299">
        <f t="shared" si="4"/>
        <v>225359.81999999998</v>
      </c>
      <c r="R58" s="296">
        <f>VLOOKUP($F58,'[1]Master Harga'!$E$5:$L$351,6,FALSE)</f>
        <v>33736.5</v>
      </c>
      <c r="S58" s="296">
        <f t="shared" si="13"/>
        <v>225359.81999999998</v>
      </c>
      <c r="T58" s="296">
        <f>VLOOKUP($F58,'[1]Master Harga'!$E$5:$L$351,7,FALSE)</f>
        <v>35423.325000000004</v>
      </c>
      <c r="U58" s="296">
        <f t="shared" si="14"/>
        <v>236627.81100000002</v>
      </c>
      <c r="V58" s="296">
        <f t="shared" si="15"/>
        <v>34298.775000000001</v>
      </c>
      <c r="W58" s="307">
        <f t="shared" si="16"/>
        <v>229115.81700000001</v>
      </c>
      <c r="X58" s="295"/>
      <c r="Y58" s="306">
        <f t="shared" si="0"/>
        <v>562.27499999999998</v>
      </c>
      <c r="Z58" s="295"/>
      <c r="AB58" s="308"/>
      <c r="AC58" s="308"/>
      <c r="AD58" s="308"/>
      <c r="AF58" s="308"/>
      <c r="AG58" s="308"/>
      <c r="AH58" s="308"/>
      <c r="AJ58" s="308"/>
      <c r="AK58" s="308"/>
      <c r="AL58" s="308"/>
    </row>
    <row r="59" spans="2:38" x14ac:dyDescent="0.35">
      <c r="B59" s="315"/>
      <c r="C59" s="316"/>
      <c r="D59" s="316"/>
      <c r="E59" s="317"/>
      <c r="F59" s="295" t="s">
        <v>237</v>
      </c>
      <c r="G59" s="364" t="s">
        <v>194</v>
      </c>
      <c r="H59" s="365">
        <v>1</v>
      </c>
      <c r="I59" s="366" t="s">
        <v>233</v>
      </c>
      <c r="J59" s="289" t="s">
        <v>170</v>
      </c>
      <c r="K59" s="304">
        <v>1</v>
      </c>
      <c r="L59" s="305">
        <f t="shared" si="11"/>
        <v>400.8</v>
      </c>
      <c r="M59" s="323">
        <f>((M$47*N$47)/240*($H59/N59))</f>
        <v>8.3333333333333332E-3</v>
      </c>
      <c r="N59" s="296">
        <v>1</v>
      </c>
      <c r="O59" s="296">
        <f t="shared" si="12"/>
        <v>3.34</v>
      </c>
      <c r="P59" s="306">
        <f>VLOOKUP($F59,'[1]Master Harga'!$E$5:$L$351,6,FALSE)</f>
        <v>89964</v>
      </c>
      <c r="Q59" s="299">
        <f t="shared" si="4"/>
        <v>300479.76</v>
      </c>
      <c r="R59" s="296">
        <f>VLOOKUP($F59,'[1]Master Harga'!$E$5:$L$351,6,FALSE)</f>
        <v>89964</v>
      </c>
      <c r="S59" s="296">
        <f t="shared" si="13"/>
        <v>300479.76</v>
      </c>
      <c r="T59" s="296">
        <f>VLOOKUP($F59,'[1]Master Harga'!$E$5:$L$351,7,FALSE)</f>
        <v>94462.2</v>
      </c>
      <c r="U59" s="296">
        <f t="shared" si="14"/>
        <v>315503.74799999996</v>
      </c>
      <c r="V59" s="296">
        <f t="shared" si="15"/>
        <v>91463.400000000009</v>
      </c>
      <c r="W59" s="307">
        <f t="shared" si="16"/>
        <v>305487.75599999999</v>
      </c>
      <c r="X59" s="295"/>
      <c r="Y59" s="306">
        <f t="shared" si="0"/>
        <v>749.7</v>
      </c>
      <c r="Z59" s="295"/>
      <c r="AB59" s="308"/>
      <c r="AC59" s="308"/>
      <c r="AD59" s="308"/>
      <c r="AF59" s="308"/>
      <c r="AG59" s="308"/>
      <c r="AH59" s="308"/>
      <c r="AJ59" s="308"/>
      <c r="AK59" s="308"/>
      <c r="AL59" s="308"/>
    </row>
    <row r="60" spans="2:38" x14ac:dyDescent="0.35">
      <c r="B60" s="367"/>
      <c r="C60" s="368"/>
      <c r="D60" s="368"/>
      <c r="E60" s="369" t="s">
        <v>238</v>
      </c>
      <c r="F60" s="370" t="s">
        <v>239</v>
      </c>
      <c r="G60" s="364" t="s">
        <v>211</v>
      </c>
      <c r="H60" s="365"/>
      <c r="I60" s="366"/>
      <c r="J60" s="289" t="s">
        <v>170</v>
      </c>
      <c r="K60" s="304">
        <v>1</v>
      </c>
      <c r="L60" s="305">
        <f t="shared" si="11"/>
        <v>400.8</v>
      </c>
      <c r="M60" s="323">
        <v>0.27</v>
      </c>
      <c r="N60" s="296">
        <v>1</v>
      </c>
      <c r="O60" s="296">
        <f t="shared" si="12"/>
        <v>108.21600000000001</v>
      </c>
      <c r="P60" s="306">
        <f>200000</f>
        <v>200000</v>
      </c>
      <c r="Q60" s="299">
        <f t="shared" si="4"/>
        <v>21643200</v>
      </c>
      <c r="R60" s="296">
        <f>VLOOKUP($F60,'[1]Master Harga'!$E$5:$L$351,6,FALSE)</f>
        <v>68635.839999999997</v>
      </c>
      <c r="S60" s="296">
        <f t="shared" si="13"/>
        <v>7427496.0614400003</v>
      </c>
      <c r="T60" s="296">
        <f>VLOOKUP($F60,'[1]Master Harga'!$E$5:$L$351,7,FALSE)</f>
        <v>71381.2736</v>
      </c>
      <c r="U60" s="296">
        <f t="shared" si="14"/>
        <v>7724595.9038976002</v>
      </c>
      <c r="V60" s="296">
        <f>W60/O60</f>
        <v>113339.03786666665</v>
      </c>
      <c r="W60" s="307">
        <f t="shared" si="16"/>
        <v>12265097.321779199</v>
      </c>
      <c r="X60" s="295"/>
      <c r="Y60" s="306">
        <f t="shared" si="0"/>
        <v>54000</v>
      </c>
      <c r="Z60" s="295"/>
      <c r="AB60" s="308"/>
      <c r="AC60" s="308"/>
      <c r="AD60" s="308"/>
      <c r="AF60" s="308"/>
      <c r="AG60" s="308"/>
      <c r="AH60" s="308"/>
      <c r="AJ60" s="308"/>
      <c r="AK60" s="308"/>
      <c r="AL60" s="308"/>
    </row>
    <row r="61" spans="2:38" hidden="1" x14ac:dyDescent="0.35">
      <c r="B61" s="338"/>
      <c r="C61" s="313" t="s">
        <v>240</v>
      </c>
      <c r="D61" s="313"/>
      <c r="E61" s="371"/>
      <c r="F61" s="348" t="s">
        <v>189</v>
      </c>
      <c r="G61" s="364" t="s">
        <v>190</v>
      </c>
      <c r="H61" s="365"/>
      <c r="I61" s="366"/>
      <c r="J61" s="342" t="s">
        <v>170</v>
      </c>
      <c r="K61" s="304">
        <v>1</v>
      </c>
      <c r="L61" s="372">
        <v>0</v>
      </c>
      <c r="M61" s="323">
        <v>0.25</v>
      </c>
      <c r="N61" s="299">
        <v>1</v>
      </c>
      <c r="O61" s="296">
        <f t="shared" si="12"/>
        <v>0</v>
      </c>
      <c r="P61" s="306">
        <f>VLOOKUP($F61,'[1]Master Harga'!$E$5:$L$351,5,FALSE)</f>
        <v>140008</v>
      </c>
      <c r="Q61" s="299">
        <f t="shared" si="4"/>
        <v>0</v>
      </c>
      <c r="R61" s="296"/>
      <c r="S61" s="296"/>
      <c r="T61" s="296"/>
      <c r="U61" s="296"/>
      <c r="V61" s="296"/>
      <c r="W61" s="307"/>
      <c r="X61" s="295"/>
      <c r="Y61" s="306">
        <f t="shared" si="0"/>
        <v>0</v>
      </c>
      <c r="Z61" s="295"/>
      <c r="AB61" s="308"/>
      <c r="AC61" s="308"/>
      <c r="AD61" s="308"/>
      <c r="AF61" s="308"/>
      <c r="AG61" s="308"/>
      <c r="AH61" s="308"/>
      <c r="AJ61" s="308"/>
      <c r="AK61" s="308"/>
      <c r="AL61" s="308"/>
    </row>
    <row r="62" spans="2:38" hidden="1" x14ac:dyDescent="0.35">
      <c r="B62" s="338"/>
      <c r="C62" s="350"/>
      <c r="D62" s="350"/>
      <c r="E62" s="373"/>
      <c r="F62" s="288" t="s">
        <v>231</v>
      </c>
      <c r="G62" s="364" t="s">
        <v>190</v>
      </c>
      <c r="H62" s="365"/>
      <c r="I62" s="366"/>
      <c r="J62" s="342" t="s">
        <v>170</v>
      </c>
      <c r="K62" s="304">
        <v>1</v>
      </c>
      <c r="L62" s="372">
        <v>0</v>
      </c>
      <c r="M62" s="323">
        <v>0.25</v>
      </c>
      <c r="N62" s="299">
        <v>1</v>
      </c>
      <c r="O62" s="296">
        <f t="shared" si="12"/>
        <v>0</v>
      </c>
      <c r="P62" s="306">
        <f>VLOOKUP($F62,'[1]Master Harga'!$E$5:$L$351,5,FALSE)</f>
        <v>3850</v>
      </c>
      <c r="Q62" s="299">
        <f t="shared" si="4"/>
        <v>0</v>
      </c>
      <c r="R62" s="296"/>
      <c r="S62" s="296"/>
      <c r="T62" s="296"/>
      <c r="U62" s="296"/>
      <c r="V62" s="296"/>
      <c r="W62" s="307"/>
      <c r="X62" s="295"/>
      <c r="Y62" s="306">
        <f t="shared" si="0"/>
        <v>0</v>
      </c>
      <c r="Z62" s="295"/>
      <c r="AB62" s="308"/>
      <c r="AC62" s="308"/>
      <c r="AD62" s="308"/>
      <c r="AF62" s="308"/>
      <c r="AG62" s="308"/>
      <c r="AH62" s="308"/>
      <c r="AJ62" s="308"/>
      <c r="AK62" s="308"/>
      <c r="AL62" s="308"/>
    </row>
    <row r="63" spans="2:38" hidden="1" x14ac:dyDescent="0.35">
      <c r="B63" s="338"/>
      <c r="C63" s="350"/>
      <c r="D63" s="350"/>
      <c r="E63" s="373"/>
      <c r="F63" s="288" t="s">
        <v>230</v>
      </c>
      <c r="G63" s="364" t="s">
        <v>226</v>
      </c>
      <c r="H63" s="365"/>
      <c r="I63" s="366"/>
      <c r="J63" s="289" t="s">
        <v>170</v>
      </c>
      <c r="K63" s="304">
        <v>1</v>
      </c>
      <c r="L63" s="372">
        <v>0</v>
      </c>
      <c r="M63" s="323">
        <v>5.0000000000000001E-3</v>
      </c>
      <c r="N63" s="299">
        <v>1</v>
      </c>
      <c r="O63" s="296">
        <f t="shared" si="12"/>
        <v>0</v>
      </c>
      <c r="P63" s="306">
        <f>VLOOKUP($F63,'[1]Master Harga'!$E$5:$L$351,5,FALSE)</f>
        <v>46267.199999999997</v>
      </c>
      <c r="Q63" s="299">
        <f t="shared" si="4"/>
        <v>0</v>
      </c>
      <c r="R63" s="296"/>
      <c r="S63" s="296"/>
      <c r="T63" s="296"/>
      <c r="U63" s="296"/>
      <c r="V63" s="296"/>
      <c r="W63" s="307"/>
      <c r="X63" s="295"/>
      <c r="Y63" s="306">
        <f t="shared" si="0"/>
        <v>0</v>
      </c>
      <c r="Z63" s="295"/>
      <c r="AB63" s="308"/>
      <c r="AC63" s="308"/>
      <c r="AD63" s="308"/>
      <c r="AF63" s="308"/>
      <c r="AG63" s="308"/>
      <c r="AH63" s="308"/>
      <c r="AJ63" s="308"/>
      <c r="AK63" s="308"/>
      <c r="AL63" s="308"/>
    </row>
    <row r="64" spans="2:38" hidden="1" x14ac:dyDescent="0.35">
      <c r="B64" s="338"/>
      <c r="C64" s="350"/>
      <c r="D64" s="350"/>
      <c r="E64" s="373"/>
      <c r="F64" s="348" t="s">
        <v>241</v>
      </c>
      <c r="G64" s="364" t="s">
        <v>226</v>
      </c>
      <c r="H64" s="365"/>
      <c r="I64" s="366"/>
      <c r="J64" s="289" t="s">
        <v>170</v>
      </c>
      <c r="K64" s="304">
        <v>1</v>
      </c>
      <c r="L64" s="372">
        <v>0</v>
      </c>
      <c r="M64" s="323">
        <v>1.2E-2</v>
      </c>
      <c r="N64" s="299">
        <v>1</v>
      </c>
      <c r="O64" s="296">
        <f t="shared" si="12"/>
        <v>0</v>
      </c>
      <c r="P64" s="306">
        <f>VLOOKUP($F64,'[1]Master Harga'!$E$5:$L$351,5,FALSE)</f>
        <v>1652400</v>
      </c>
      <c r="Q64" s="299">
        <f t="shared" si="4"/>
        <v>0</v>
      </c>
      <c r="R64" s="296"/>
      <c r="S64" s="296"/>
      <c r="T64" s="296"/>
      <c r="U64" s="296"/>
      <c r="V64" s="296"/>
      <c r="W64" s="307"/>
      <c r="X64" s="295"/>
      <c r="Y64" s="306">
        <f t="shared" si="0"/>
        <v>0</v>
      </c>
      <c r="Z64" s="295"/>
      <c r="AB64" s="308"/>
      <c r="AC64" s="308"/>
      <c r="AD64" s="308"/>
      <c r="AF64" s="308"/>
      <c r="AG64" s="308"/>
      <c r="AH64" s="308"/>
      <c r="AJ64" s="308"/>
      <c r="AK64" s="308"/>
      <c r="AL64" s="308"/>
    </row>
    <row r="65" spans="2:39" hidden="1" x14ac:dyDescent="0.35">
      <c r="B65" s="338"/>
      <c r="C65" s="350"/>
      <c r="D65" s="350"/>
      <c r="E65" s="373"/>
      <c r="F65" s="348" t="s">
        <v>224</v>
      </c>
      <c r="G65" s="364" t="s">
        <v>194</v>
      </c>
      <c r="H65" s="365"/>
      <c r="I65" s="366"/>
      <c r="J65" s="289" t="s">
        <v>170</v>
      </c>
      <c r="K65" s="304">
        <v>1</v>
      </c>
      <c r="L65" s="372">
        <v>0</v>
      </c>
      <c r="M65" s="323">
        <v>1E-3</v>
      </c>
      <c r="N65" s="299">
        <v>1</v>
      </c>
      <c r="O65" s="296">
        <f t="shared" si="12"/>
        <v>0</v>
      </c>
      <c r="P65" s="306">
        <f>VLOOKUP($F65,'[1]Master Harga'!$E$5:$L$351,5,FALSE)</f>
        <v>1366468.5</v>
      </c>
      <c r="Q65" s="299">
        <f t="shared" si="4"/>
        <v>0</v>
      </c>
      <c r="R65" s="296"/>
      <c r="S65" s="296"/>
      <c r="T65" s="296"/>
      <c r="U65" s="296"/>
      <c r="V65" s="296"/>
      <c r="W65" s="307"/>
      <c r="X65" s="295"/>
      <c r="Y65" s="306">
        <f t="shared" si="0"/>
        <v>0</v>
      </c>
      <c r="Z65" s="295"/>
      <c r="AB65" s="308"/>
      <c r="AC65" s="308"/>
      <c r="AD65" s="308"/>
      <c r="AF65" s="308"/>
      <c r="AG65" s="308"/>
      <c r="AH65" s="308"/>
      <c r="AJ65" s="308"/>
      <c r="AK65" s="308"/>
      <c r="AL65" s="308"/>
    </row>
    <row r="66" spans="2:39" hidden="1" x14ac:dyDescent="0.35">
      <c r="B66" s="338"/>
      <c r="C66" s="350"/>
      <c r="D66" s="350"/>
      <c r="E66" s="373"/>
      <c r="F66" s="295" t="s">
        <v>232</v>
      </c>
      <c r="G66" s="364" t="s">
        <v>194</v>
      </c>
      <c r="H66" s="365"/>
      <c r="I66" s="366"/>
      <c r="J66" s="289" t="s">
        <v>170</v>
      </c>
      <c r="K66" s="304">
        <v>1</v>
      </c>
      <c r="L66" s="372">
        <v>0</v>
      </c>
      <c r="M66" s="323">
        <v>4.1999999999999997E-3</v>
      </c>
      <c r="N66" s="299">
        <v>1</v>
      </c>
      <c r="O66" s="296">
        <f t="shared" si="12"/>
        <v>0</v>
      </c>
      <c r="P66" s="306">
        <f>VLOOKUP($F66,'[1]Master Harga'!$E$5:$L$351,5,FALSE)</f>
        <v>42840</v>
      </c>
      <c r="Q66" s="299">
        <f t="shared" si="4"/>
        <v>0</v>
      </c>
      <c r="R66" s="296"/>
      <c r="S66" s="296"/>
      <c r="T66" s="296"/>
      <c r="U66" s="296"/>
      <c r="V66" s="296"/>
      <c r="W66" s="307"/>
      <c r="X66" s="295"/>
      <c r="Y66" s="306">
        <f t="shared" si="0"/>
        <v>0</v>
      </c>
      <c r="Z66" s="295"/>
      <c r="AB66" s="308"/>
      <c r="AC66" s="308"/>
      <c r="AD66" s="308"/>
      <c r="AF66" s="308"/>
      <c r="AG66" s="308"/>
      <c r="AH66" s="308"/>
      <c r="AJ66" s="308"/>
      <c r="AK66" s="308"/>
      <c r="AL66" s="308"/>
    </row>
    <row r="67" spans="2:39" hidden="1" x14ac:dyDescent="0.35">
      <c r="B67" s="338"/>
      <c r="C67" s="350"/>
      <c r="D67" s="350"/>
      <c r="E67" s="373"/>
      <c r="F67" s="295" t="s">
        <v>234</v>
      </c>
      <c r="G67" s="364" t="s">
        <v>194</v>
      </c>
      <c r="H67" s="365"/>
      <c r="I67" s="366"/>
      <c r="J67" s="289" t="s">
        <v>170</v>
      </c>
      <c r="K67" s="304">
        <v>1</v>
      </c>
      <c r="L67" s="372">
        <v>0</v>
      </c>
      <c r="M67" s="323">
        <v>1.2500000000000001E-2</v>
      </c>
      <c r="N67" s="299">
        <v>1</v>
      </c>
      <c r="O67" s="296">
        <f t="shared" si="12"/>
        <v>0</v>
      </c>
      <c r="P67" s="306">
        <f>VLOOKUP($F67,'[1]Master Harga'!$E$5:$L$351,5,FALSE)</f>
        <v>14000</v>
      </c>
      <c r="Q67" s="299">
        <f t="shared" si="4"/>
        <v>0</v>
      </c>
      <c r="R67" s="296"/>
      <c r="S67" s="296"/>
      <c r="T67" s="296"/>
      <c r="U67" s="296"/>
      <c r="V67" s="296"/>
      <c r="W67" s="307"/>
      <c r="X67" s="295"/>
      <c r="Y67" s="306">
        <f t="shared" si="0"/>
        <v>0</v>
      </c>
      <c r="Z67" s="295"/>
      <c r="AB67" s="308"/>
      <c r="AC67" s="308"/>
      <c r="AD67" s="308"/>
      <c r="AF67" s="308"/>
      <c r="AG67" s="308"/>
      <c r="AH67" s="308"/>
      <c r="AJ67" s="308"/>
      <c r="AK67" s="308"/>
      <c r="AL67" s="308"/>
    </row>
    <row r="68" spans="2:39" hidden="1" x14ac:dyDescent="0.35">
      <c r="B68" s="338"/>
      <c r="C68" s="350"/>
      <c r="D68" s="350"/>
      <c r="E68" s="373"/>
      <c r="F68" s="295" t="s">
        <v>235</v>
      </c>
      <c r="G68" s="364" t="s">
        <v>194</v>
      </c>
      <c r="H68" s="365"/>
      <c r="I68" s="366"/>
      <c r="J68" s="289" t="s">
        <v>170</v>
      </c>
      <c r="K68" s="304">
        <v>1</v>
      </c>
      <c r="L68" s="372">
        <v>0</v>
      </c>
      <c r="M68" s="323">
        <v>1E-3</v>
      </c>
      <c r="N68" s="299">
        <v>1</v>
      </c>
      <c r="O68" s="296">
        <f t="shared" si="12"/>
        <v>0</v>
      </c>
      <c r="P68" s="306">
        <f>VLOOKUP($F68,'[1]Master Harga'!$E$5:$L$351,5,FALSE)</f>
        <v>37485</v>
      </c>
      <c r="Q68" s="299">
        <f t="shared" si="4"/>
        <v>0</v>
      </c>
      <c r="R68" s="296"/>
      <c r="S68" s="296"/>
      <c r="T68" s="296"/>
      <c r="U68" s="296"/>
      <c r="V68" s="296"/>
      <c r="W68" s="307"/>
      <c r="X68" s="295"/>
      <c r="Y68" s="306">
        <f t="shared" si="0"/>
        <v>0</v>
      </c>
      <c r="Z68" s="295"/>
      <c r="AB68" s="308"/>
      <c r="AC68" s="308"/>
      <c r="AD68" s="308"/>
      <c r="AF68" s="308"/>
      <c r="AG68" s="308"/>
      <c r="AH68" s="308"/>
      <c r="AJ68" s="308"/>
      <c r="AK68" s="308"/>
      <c r="AL68" s="308"/>
    </row>
    <row r="69" spans="2:39" hidden="1" x14ac:dyDescent="0.35">
      <c r="B69" s="338"/>
      <c r="C69" s="350"/>
      <c r="D69" s="350"/>
      <c r="E69" s="373"/>
      <c r="F69" s="295" t="s">
        <v>236</v>
      </c>
      <c r="G69" s="364" t="s">
        <v>194</v>
      </c>
      <c r="H69" s="365"/>
      <c r="I69" s="366"/>
      <c r="J69" s="289" t="s">
        <v>170</v>
      </c>
      <c r="K69" s="304">
        <v>1</v>
      </c>
      <c r="L69" s="372">
        <v>0</v>
      </c>
      <c r="M69" s="323">
        <v>2.0999999999999999E-3</v>
      </c>
      <c r="N69" s="299">
        <v>1</v>
      </c>
      <c r="O69" s="296">
        <f t="shared" si="12"/>
        <v>0</v>
      </c>
      <c r="P69" s="306">
        <f>VLOOKUP($F69,'[1]Master Harga'!$E$5:$L$351,5,FALSE)</f>
        <v>32130</v>
      </c>
      <c r="Q69" s="299">
        <f t="shared" si="4"/>
        <v>0</v>
      </c>
      <c r="R69" s="296"/>
      <c r="S69" s="296"/>
      <c r="T69" s="296"/>
      <c r="U69" s="296"/>
      <c r="V69" s="296"/>
      <c r="W69" s="307"/>
      <c r="X69" s="295"/>
      <c r="Y69" s="306">
        <f t="shared" si="0"/>
        <v>0</v>
      </c>
      <c r="Z69" s="295"/>
      <c r="AB69" s="308"/>
      <c r="AC69" s="308"/>
      <c r="AD69" s="308"/>
      <c r="AF69" s="308"/>
      <c r="AG69" s="308"/>
      <c r="AH69" s="308"/>
      <c r="AJ69" s="308"/>
      <c r="AK69" s="308"/>
      <c r="AL69" s="308"/>
    </row>
    <row r="70" spans="2:39" hidden="1" x14ac:dyDescent="0.35">
      <c r="B70" s="338"/>
      <c r="C70" s="350"/>
      <c r="D70" s="350"/>
      <c r="E70" s="373"/>
      <c r="F70" s="295" t="s">
        <v>237</v>
      </c>
      <c r="G70" s="364" t="s">
        <v>242</v>
      </c>
      <c r="H70" s="365"/>
      <c r="I70" s="366"/>
      <c r="J70" s="289" t="s">
        <v>170</v>
      </c>
      <c r="K70" s="304">
        <v>1</v>
      </c>
      <c r="L70" s="372">
        <v>0</v>
      </c>
      <c r="M70" s="323">
        <v>1E-3</v>
      </c>
      <c r="N70" s="299">
        <v>1</v>
      </c>
      <c r="O70" s="296">
        <f t="shared" si="12"/>
        <v>0</v>
      </c>
      <c r="P70" s="306">
        <f>VLOOKUP($F70,'[1]Master Harga'!$E$5:$L$351,5,FALSE)</f>
        <v>85680</v>
      </c>
      <c r="Q70" s="299">
        <f t="shared" si="4"/>
        <v>0</v>
      </c>
      <c r="R70" s="296"/>
      <c r="S70" s="296"/>
      <c r="T70" s="296"/>
      <c r="U70" s="296"/>
      <c r="V70" s="296"/>
      <c r="W70" s="307"/>
      <c r="X70" s="295"/>
      <c r="Y70" s="306">
        <f t="shared" si="0"/>
        <v>0</v>
      </c>
      <c r="Z70" s="295"/>
      <c r="AB70" s="308"/>
      <c r="AC70" s="308"/>
      <c r="AD70" s="308"/>
      <c r="AF70" s="308"/>
      <c r="AG70" s="308"/>
      <c r="AH70" s="308"/>
      <c r="AJ70" s="308"/>
      <c r="AK70" s="308"/>
      <c r="AL70" s="308"/>
    </row>
    <row r="71" spans="2:39" hidden="1" x14ac:dyDescent="0.35">
      <c r="B71" s="338"/>
      <c r="C71" s="350"/>
      <c r="D71" s="350"/>
      <c r="E71" s="373"/>
      <c r="F71" s="370" t="s">
        <v>239</v>
      </c>
      <c r="G71" s="364" t="s">
        <v>211</v>
      </c>
      <c r="H71" s="365"/>
      <c r="I71" s="366"/>
      <c r="J71" s="289" t="s">
        <v>170</v>
      </c>
      <c r="K71" s="304">
        <v>1</v>
      </c>
      <c r="L71" s="372">
        <v>0</v>
      </c>
      <c r="M71" s="323">
        <v>0.27</v>
      </c>
      <c r="N71" s="374">
        <v>1</v>
      </c>
      <c r="O71" s="296">
        <f t="shared" si="12"/>
        <v>0</v>
      </c>
      <c r="P71" s="306">
        <f>VLOOKUP($F71,'[1]Master Harga'!$E$5:$L$351,5,FALSE)</f>
        <v>65996</v>
      </c>
      <c r="Q71" s="299">
        <f t="shared" si="4"/>
        <v>0</v>
      </c>
      <c r="R71" s="296"/>
      <c r="S71" s="296"/>
      <c r="T71" s="296"/>
      <c r="U71" s="296"/>
      <c r="V71" s="296"/>
      <c r="W71" s="307"/>
      <c r="X71" s="295"/>
      <c r="Y71" s="306">
        <f t="shared" si="0"/>
        <v>0</v>
      </c>
      <c r="Z71" s="295"/>
      <c r="AB71" s="308"/>
      <c r="AC71" s="308"/>
      <c r="AD71" s="308"/>
      <c r="AF71" s="308"/>
      <c r="AG71" s="308"/>
      <c r="AH71" s="308"/>
      <c r="AJ71" s="308"/>
      <c r="AK71" s="308"/>
      <c r="AL71" s="308"/>
    </row>
    <row r="72" spans="2:39" hidden="1" x14ac:dyDescent="0.35">
      <c r="B72" s="338"/>
      <c r="C72" s="350"/>
      <c r="D72" s="350"/>
      <c r="E72" s="375"/>
      <c r="F72" s="376"/>
      <c r="G72" s="364"/>
      <c r="H72" s="365"/>
      <c r="I72" s="366"/>
      <c r="J72" s="289"/>
      <c r="K72" s="304"/>
      <c r="L72" s="372"/>
      <c r="M72" s="323"/>
      <c r="N72" s="296"/>
      <c r="O72" s="296"/>
      <c r="P72" s="306"/>
      <c r="Q72" s="299"/>
      <c r="R72" s="296"/>
      <c r="S72" s="296"/>
      <c r="T72" s="296"/>
      <c r="U72" s="296"/>
      <c r="V72" s="296"/>
      <c r="W72" s="307"/>
      <c r="X72" s="295"/>
      <c r="Y72" s="306">
        <f t="shared" si="0"/>
        <v>0</v>
      </c>
      <c r="Z72" s="295"/>
      <c r="AB72" s="308"/>
      <c r="AC72" s="308"/>
      <c r="AD72" s="308"/>
      <c r="AF72" s="308"/>
      <c r="AG72" s="308"/>
      <c r="AH72" s="308"/>
      <c r="AJ72" s="308"/>
      <c r="AK72" s="308"/>
      <c r="AL72" s="308"/>
    </row>
    <row r="73" spans="2:39" hidden="1" x14ac:dyDescent="0.35">
      <c r="B73" s="312"/>
      <c r="C73" s="313"/>
      <c r="D73" s="313" t="s">
        <v>243</v>
      </c>
      <c r="E73" s="314"/>
      <c r="F73" s="288" t="s">
        <v>189</v>
      </c>
      <c r="G73" s="289" t="s">
        <v>190</v>
      </c>
      <c r="H73" s="290"/>
      <c r="I73" s="291"/>
      <c r="J73" s="289"/>
      <c r="K73" s="292"/>
      <c r="L73" s="293"/>
      <c r="M73" s="294"/>
      <c r="N73" s="296"/>
      <c r="O73" s="296"/>
      <c r="P73" s="306"/>
      <c r="Q73" s="296"/>
      <c r="R73" s="296"/>
      <c r="S73" s="296"/>
      <c r="T73" s="296"/>
      <c r="U73" s="296"/>
      <c r="V73" s="296"/>
      <c r="W73" s="296"/>
      <c r="X73" s="295"/>
      <c r="Y73" s="306">
        <f t="shared" si="0"/>
        <v>0</v>
      </c>
      <c r="Z73" s="295"/>
      <c r="AB73" s="308"/>
      <c r="AC73" s="308"/>
      <c r="AD73" s="308"/>
      <c r="AF73" s="308"/>
      <c r="AG73" s="308"/>
      <c r="AH73" s="308"/>
      <c r="AJ73" s="308"/>
      <c r="AK73" s="308"/>
      <c r="AL73" s="308"/>
    </row>
    <row r="74" spans="2:39" hidden="1" x14ac:dyDescent="0.35">
      <c r="B74" s="320"/>
      <c r="C74" s="321"/>
      <c r="D74" s="321"/>
      <c r="E74" s="322"/>
      <c r="F74" s="288" t="s">
        <v>215</v>
      </c>
      <c r="G74" s="289" t="s">
        <v>203</v>
      </c>
      <c r="H74" s="290"/>
      <c r="I74" s="291"/>
      <c r="J74" s="289"/>
      <c r="K74" s="292"/>
      <c r="L74" s="293"/>
      <c r="M74" s="294"/>
      <c r="N74" s="296"/>
      <c r="O74" s="296"/>
      <c r="P74" s="306"/>
      <c r="Q74" s="296"/>
      <c r="R74" s="296"/>
      <c r="S74" s="296"/>
      <c r="T74" s="296"/>
      <c r="U74" s="296"/>
      <c r="V74" s="296"/>
      <c r="W74" s="296"/>
      <c r="X74" s="295"/>
      <c r="Y74" s="306">
        <f t="shared" si="0"/>
        <v>0</v>
      </c>
      <c r="Z74" s="295"/>
      <c r="AB74" s="308"/>
      <c r="AC74" s="308"/>
      <c r="AD74" s="308"/>
      <c r="AF74" s="308"/>
      <c r="AG74" s="308"/>
      <c r="AH74" s="308"/>
      <c r="AJ74" s="308"/>
      <c r="AK74" s="308"/>
      <c r="AL74" s="308"/>
    </row>
    <row r="75" spans="2:39" hidden="1" x14ac:dyDescent="0.35">
      <c r="B75" s="312"/>
      <c r="C75" s="313"/>
      <c r="D75" s="313" t="s">
        <v>244</v>
      </c>
      <c r="E75" s="314"/>
      <c r="F75" s="288" t="s">
        <v>189</v>
      </c>
      <c r="G75" s="289" t="s">
        <v>190</v>
      </c>
      <c r="H75" s="290"/>
      <c r="I75" s="291"/>
      <c r="J75" s="289"/>
      <c r="K75" s="292"/>
      <c r="L75" s="293"/>
      <c r="M75" s="294"/>
      <c r="N75" s="296"/>
      <c r="O75" s="296"/>
      <c r="P75" s="306"/>
      <c r="Q75" s="296"/>
      <c r="R75" s="296"/>
      <c r="S75" s="296"/>
      <c r="T75" s="296"/>
      <c r="U75" s="296"/>
      <c r="V75" s="296"/>
      <c r="W75" s="296"/>
      <c r="X75" s="295"/>
      <c r="Y75" s="306">
        <f t="shared" ref="Y75:Y141" si="17">Q75/$AB$1</f>
        <v>0</v>
      </c>
      <c r="Z75" s="295"/>
      <c r="AB75" s="308"/>
      <c r="AC75" s="308"/>
      <c r="AD75" s="308"/>
      <c r="AF75" s="308"/>
      <c r="AG75" s="308"/>
      <c r="AH75" s="308"/>
      <c r="AJ75" s="308"/>
      <c r="AK75" s="308"/>
      <c r="AL75" s="308"/>
    </row>
    <row r="76" spans="2:39" hidden="1" x14ac:dyDescent="0.35">
      <c r="B76" s="320"/>
      <c r="C76" s="321"/>
      <c r="D76" s="321"/>
      <c r="E76" s="322"/>
      <c r="F76" s="288" t="s">
        <v>215</v>
      </c>
      <c r="G76" s="289" t="s">
        <v>203</v>
      </c>
      <c r="H76" s="290"/>
      <c r="I76" s="291"/>
      <c r="J76" s="289"/>
      <c r="K76" s="292"/>
      <c r="L76" s="293"/>
      <c r="M76" s="294"/>
      <c r="N76" s="296"/>
      <c r="O76" s="296"/>
      <c r="P76" s="306"/>
      <c r="Q76" s="296"/>
      <c r="R76" s="296"/>
      <c r="S76" s="296"/>
      <c r="T76" s="296"/>
      <c r="U76" s="296"/>
      <c r="V76" s="296"/>
      <c r="W76" s="296"/>
      <c r="X76" s="295"/>
      <c r="Y76" s="306">
        <f t="shared" si="17"/>
        <v>0</v>
      </c>
      <c r="Z76" s="295"/>
      <c r="AB76" s="308"/>
      <c r="AC76" s="308"/>
      <c r="AD76" s="308"/>
      <c r="AF76" s="308"/>
      <c r="AG76" s="308"/>
      <c r="AH76" s="308"/>
      <c r="AJ76" s="308"/>
      <c r="AK76" s="308"/>
      <c r="AL76" s="308"/>
    </row>
    <row r="77" spans="2:39" hidden="1" x14ac:dyDescent="0.35">
      <c r="B77" s="312"/>
      <c r="C77" s="313"/>
      <c r="D77" s="313" t="s">
        <v>245</v>
      </c>
      <c r="E77" s="314"/>
      <c r="F77" s="288" t="s">
        <v>189</v>
      </c>
      <c r="G77" s="289" t="s">
        <v>190</v>
      </c>
      <c r="H77" s="290"/>
      <c r="I77" s="291"/>
      <c r="J77" s="289"/>
      <c r="K77" s="292"/>
      <c r="L77" s="293"/>
      <c r="M77" s="294">
        <v>0.5</v>
      </c>
      <c r="N77" s="296">
        <v>1</v>
      </c>
      <c r="O77" s="296"/>
      <c r="P77" s="306"/>
      <c r="Q77" s="296"/>
      <c r="R77" s="296"/>
      <c r="S77" s="296"/>
      <c r="T77" s="296"/>
      <c r="U77" s="296"/>
      <c r="V77" s="296"/>
      <c r="W77" s="296"/>
      <c r="X77" s="295"/>
      <c r="Y77" s="306">
        <f t="shared" si="17"/>
        <v>0</v>
      </c>
      <c r="Z77" s="295"/>
      <c r="AB77" s="308"/>
      <c r="AC77" s="308"/>
      <c r="AD77" s="308"/>
      <c r="AF77" s="308"/>
      <c r="AG77" s="308"/>
      <c r="AH77" s="308"/>
      <c r="AJ77" s="308"/>
      <c r="AK77" s="308"/>
      <c r="AL77" s="308"/>
    </row>
    <row r="78" spans="2:39" hidden="1" x14ac:dyDescent="0.35">
      <c r="B78" s="338"/>
      <c r="C78" s="350"/>
      <c r="D78" s="350"/>
      <c r="E78" s="351"/>
      <c r="F78" s="288" t="s">
        <v>246</v>
      </c>
      <c r="G78" s="289" t="s">
        <v>194</v>
      </c>
      <c r="H78" s="290"/>
      <c r="I78" s="291"/>
      <c r="J78" s="289"/>
      <c r="K78" s="292"/>
      <c r="L78" s="293"/>
      <c r="M78" s="294">
        <v>4.0000000000000001E-3</v>
      </c>
      <c r="N78" s="296">
        <v>1</v>
      </c>
      <c r="O78" s="296"/>
      <c r="P78" s="306"/>
      <c r="Q78" s="296"/>
      <c r="R78" s="296"/>
      <c r="S78" s="296"/>
      <c r="T78" s="296"/>
      <c r="U78" s="296"/>
      <c r="V78" s="296"/>
      <c r="W78" s="296"/>
      <c r="X78" s="295"/>
      <c r="Y78" s="306">
        <f t="shared" si="17"/>
        <v>0</v>
      </c>
      <c r="Z78" s="295"/>
      <c r="AB78" s="308"/>
      <c r="AC78" s="308"/>
      <c r="AD78" s="308"/>
      <c r="AF78" s="308"/>
      <c r="AG78" s="308"/>
      <c r="AH78" s="308"/>
      <c r="AJ78" s="308"/>
      <c r="AK78" s="308"/>
      <c r="AL78" s="308"/>
    </row>
    <row r="79" spans="2:39" hidden="1" x14ac:dyDescent="0.35">
      <c r="B79" s="320"/>
      <c r="C79" s="321"/>
      <c r="D79" s="321"/>
      <c r="E79" s="322"/>
      <c r="F79" s="288" t="s">
        <v>196</v>
      </c>
      <c r="G79" s="289" t="s">
        <v>194</v>
      </c>
      <c r="H79" s="290"/>
      <c r="I79" s="291"/>
      <c r="J79" s="289"/>
      <c r="K79" s="292"/>
      <c r="L79" s="293"/>
      <c r="M79" s="294"/>
      <c r="N79" s="296"/>
      <c r="O79" s="296"/>
      <c r="P79" s="306"/>
      <c r="Q79" s="296"/>
      <c r="R79" s="296"/>
      <c r="S79" s="296"/>
      <c r="T79" s="296"/>
      <c r="U79" s="296"/>
      <c r="V79" s="296"/>
      <c r="W79" s="296"/>
      <c r="X79" s="295"/>
      <c r="Y79" s="306">
        <f t="shared" si="17"/>
        <v>0</v>
      </c>
      <c r="Z79" s="295"/>
      <c r="AB79" s="308"/>
      <c r="AC79" s="308"/>
      <c r="AD79" s="308"/>
      <c r="AF79" s="308"/>
      <c r="AG79" s="308"/>
      <c r="AH79" s="308"/>
      <c r="AJ79" s="308"/>
      <c r="AK79" s="308"/>
      <c r="AL79" s="308"/>
    </row>
    <row r="80" spans="2:39" x14ac:dyDescent="0.35">
      <c r="B80" s="377"/>
      <c r="C80" s="378"/>
      <c r="D80" s="379" t="s">
        <v>247</v>
      </c>
      <c r="E80" s="380"/>
      <c r="F80" s="381"/>
      <c r="G80" s="382"/>
      <c r="H80" s="383"/>
      <c r="I80" s="384"/>
      <c r="J80" s="382"/>
      <c r="K80" s="385"/>
      <c r="L80" s="386"/>
      <c r="M80" s="387"/>
      <c r="N80" s="388"/>
      <c r="O80" s="388"/>
      <c r="P80" s="389"/>
      <c r="Q80" s="390">
        <f>SUM(Q7:Q79)</f>
        <v>6673941135.0590506</v>
      </c>
      <c r="R80" s="388"/>
      <c r="S80" s="388"/>
      <c r="T80" s="388"/>
      <c r="U80" s="388"/>
      <c r="V80" s="388"/>
      <c r="W80" s="388"/>
      <c r="X80" s="391"/>
      <c r="Y80" s="392">
        <f t="shared" si="17"/>
        <v>16651549.738171283</v>
      </c>
      <c r="Z80" s="391">
        <f>Q80/$Q$359*100</f>
        <v>33.577196878839445</v>
      </c>
      <c r="AB80" s="393"/>
      <c r="AC80" s="393"/>
      <c r="AD80" s="394"/>
      <c r="AF80" s="393"/>
      <c r="AG80" s="393"/>
      <c r="AH80" s="394"/>
      <c r="AJ80" s="393"/>
      <c r="AK80" s="393"/>
      <c r="AL80" s="393"/>
      <c r="AM80" s="395"/>
    </row>
    <row r="81" spans="2:38" x14ac:dyDescent="0.35">
      <c r="B81" s="285" t="s">
        <v>248</v>
      </c>
      <c r="C81" s="286"/>
      <c r="D81" s="291"/>
      <c r="E81" s="396"/>
      <c r="F81" s="288"/>
      <c r="G81" s="289"/>
      <c r="H81" s="290"/>
      <c r="I81" s="291"/>
      <c r="J81" s="289"/>
      <c r="K81" s="292"/>
      <c r="L81" s="293"/>
      <c r="M81" s="294"/>
      <c r="N81" s="296"/>
      <c r="O81" s="296"/>
      <c r="P81" s="306"/>
      <c r="Q81" s="296"/>
      <c r="R81" s="296"/>
      <c r="S81" s="296"/>
      <c r="T81" s="296"/>
      <c r="U81" s="296"/>
      <c r="V81" s="296"/>
      <c r="W81" s="296"/>
      <c r="X81" s="295"/>
      <c r="Y81" s="306">
        <f t="shared" si="17"/>
        <v>0</v>
      </c>
      <c r="Z81" s="295"/>
      <c r="AB81" s="393"/>
      <c r="AC81" s="393"/>
      <c r="AD81" s="308"/>
      <c r="AF81" s="393"/>
      <c r="AG81" s="393"/>
      <c r="AH81" s="308"/>
      <c r="AJ81" s="393"/>
      <c r="AK81" s="393"/>
      <c r="AL81" s="300"/>
    </row>
    <row r="82" spans="2:38" x14ac:dyDescent="0.35">
      <c r="B82" s="298"/>
      <c r="C82" s="286" t="s">
        <v>249</v>
      </c>
      <c r="D82" s="286"/>
      <c r="E82" s="396"/>
      <c r="F82" s="288"/>
      <c r="G82" s="289"/>
      <c r="H82" s="290"/>
      <c r="I82" s="291"/>
      <c r="J82" s="289"/>
      <c r="K82" s="292"/>
      <c r="L82" s="293"/>
      <c r="M82" s="294"/>
      <c r="N82" s="296"/>
      <c r="O82" s="296"/>
      <c r="P82" s="306"/>
      <c r="Q82" s="296"/>
      <c r="R82" s="296"/>
      <c r="S82" s="296"/>
      <c r="T82" s="296"/>
      <c r="U82" s="296"/>
      <c r="V82" s="296"/>
      <c r="W82" s="296"/>
      <c r="X82" s="295"/>
      <c r="Y82" s="306">
        <f t="shared" si="17"/>
        <v>0</v>
      </c>
      <c r="Z82" s="295"/>
      <c r="AB82" s="393"/>
      <c r="AC82" s="393"/>
      <c r="AD82" s="308"/>
      <c r="AF82" s="393"/>
      <c r="AG82" s="393"/>
      <c r="AH82" s="308"/>
      <c r="AJ82" s="393"/>
      <c r="AK82" s="393"/>
      <c r="AL82" s="300"/>
    </row>
    <row r="83" spans="2:38" x14ac:dyDescent="0.35">
      <c r="B83" s="397"/>
      <c r="C83" s="398"/>
      <c r="D83" s="398" t="s">
        <v>250</v>
      </c>
      <c r="E83" s="399"/>
      <c r="F83" s="288" t="s">
        <v>189</v>
      </c>
      <c r="G83" s="289" t="s">
        <v>190</v>
      </c>
      <c r="H83" s="290"/>
      <c r="I83" s="291"/>
      <c r="J83" s="289"/>
      <c r="K83" s="400">
        <v>0.25</v>
      </c>
      <c r="L83" s="293">
        <f>((L84/17.56)/8)*125%</f>
        <v>3.566343963553531</v>
      </c>
      <c r="M83" s="294">
        <v>2</v>
      </c>
      <c r="N83" s="296">
        <v>1</v>
      </c>
      <c r="O83" s="401">
        <f>K83*L83*M83*N83</f>
        <v>1.7831719817767655</v>
      </c>
      <c r="P83" s="306">
        <f>VLOOKUP($F83,'[1]Master Harga'!$E$5:$L$351,6,FALSE)</f>
        <v>149108.51999999999</v>
      </c>
      <c r="Q83" s="296">
        <f>O83*P83</f>
        <v>265886.13510820048</v>
      </c>
      <c r="R83" s="296"/>
      <c r="S83" s="296"/>
      <c r="T83" s="296"/>
      <c r="U83" s="296"/>
      <c r="V83" s="296"/>
      <c r="W83" s="296"/>
      <c r="X83" s="295"/>
      <c r="Y83" s="306">
        <f>Q83/$AB$1</f>
        <v>663.38856064920276</v>
      </c>
      <c r="Z83" s="295"/>
      <c r="AB83" s="393"/>
      <c r="AC83" s="393"/>
      <c r="AD83" s="308"/>
      <c r="AF83" s="393"/>
      <c r="AG83" s="393"/>
      <c r="AH83" s="308"/>
      <c r="AJ83" s="393"/>
      <c r="AK83" s="393"/>
      <c r="AL83" s="300"/>
    </row>
    <row r="84" spans="2:38" x14ac:dyDescent="0.35">
      <c r="B84" s="402"/>
      <c r="C84" s="403"/>
      <c r="D84" s="403"/>
      <c r="E84" s="404"/>
      <c r="F84" s="288" t="s">
        <v>204</v>
      </c>
      <c r="G84" s="289" t="s">
        <v>203</v>
      </c>
      <c r="H84" s="290"/>
      <c r="I84" s="291"/>
      <c r="J84" s="289"/>
      <c r="K84" s="400">
        <v>0.5</v>
      </c>
      <c r="L84" s="293">
        <f>$AB$1</f>
        <v>400.8</v>
      </c>
      <c r="M84" s="363">
        <f>(0.0569476082004556/9)*12</f>
        <v>7.5930144267274138E-2</v>
      </c>
      <c r="N84" s="296">
        <v>1</v>
      </c>
      <c r="O84" s="401">
        <f>K84*L84*M84*N84</f>
        <v>15.216400911161738</v>
      </c>
      <c r="P84" s="306">
        <f>VLOOKUP($F84,'[1]Master Harga'!$E$5:$L$351,6,FALSE)</f>
        <v>766238.0730320001</v>
      </c>
      <c r="Q84" s="296">
        <f>O84*P84</f>
        <v>11659385.712650942</v>
      </c>
      <c r="R84" s="296"/>
      <c r="S84" s="296"/>
      <c r="T84" s="296"/>
      <c r="U84" s="296"/>
      <c r="V84" s="296"/>
      <c r="W84" s="296"/>
      <c r="X84" s="295"/>
      <c r="Y84" s="306">
        <f t="shared" si="17"/>
        <v>29090.283714198955</v>
      </c>
      <c r="Z84" s="295"/>
      <c r="AB84" s="393"/>
      <c r="AC84" s="393"/>
      <c r="AD84" s="308"/>
      <c r="AF84" s="393"/>
      <c r="AG84" s="393"/>
      <c r="AH84" s="308"/>
      <c r="AJ84" s="393"/>
      <c r="AK84" s="393"/>
      <c r="AL84" s="300"/>
    </row>
    <row r="85" spans="2:38" x14ac:dyDescent="0.35">
      <c r="B85" s="405"/>
      <c r="C85" s="406"/>
      <c r="D85" s="406"/>
      <c r="E85" s="407"/>
      <c r="F85" s="288" t="s">
        <v>251</v>
      </c>
      <c r="G85" s="289" t="s">
        <v>203</v>
      </c>
      <c r="H85" s="290"/>
      <c r="I85" s="291"/>
      <c r="J85" s="289"/>
      <c r="K85" s="292"/>
      <c r="L85" s="293"/>
      <c r="M85" s="363">
        <f>12/1000</f>
        <v>1.2E-2</v>
      </c>
      <c r="N85" s="296">
        <v>1</v>
      </c>
      <c r="O85" s="296"/>
      <c r="P85" s="306"/>
      <c r="Q85" s="296"/>
      <c r="R85" s="296"/>
      <c r="S85" s="296"/>
      <c r="T85" s="296"/>
      <c r="U85" s="296"/>
      <c r="V85" s="296"/>
      <c r="W85" s="296"/>
      <c r="X85" s="295"/>
      <c r="Y85" s="306">
        <f t="shared" si="17"/>
        <v>0</v>
      </c>
      <c r="Z85" s="295"/>
      <c r="AB85" s="393"/>
      <c r="AC85" s="393"/>
      <c r="AD85" s="308"/>
      <c r="AF85" s="393"/>
      <c r="AG85" s="393"/>
      <c r="AH85" s="308"/>
      <c r="AJ85" s="393"/>
      <c r="AK85" s="393"/>
      <c r="AL85" s="300"/>
    </row>
    <row r="86" spans="2:38" x14ac:dyDescent="0.35">
      <c r="B86" s="301"/>
      <c r="C86" s="302"/>
      <c r="D86" s="398" t="s">
        <v>252</v>
      </c>
      <c r="E86" s="399"/>
      <c r="F86" s="288" t="s">
        <v>189</v>
      </c>
      <c r="G86" s="289" t="s">
        <v>190</v>
      </c>
      <c r="H86" s="290"/>
      <c r="I86" s="291"/>
      <c r="J86" s="289" t="s">
        <v>190</v>
      </c>
      <c r="K86" s="400">
        <v>0.25</v>
      </c>
      <c r="L86" s="293">
        <f>((L87/17.56)/8)*125%</f>
        <v>35.663439635535312</v>
      </c>
      <c r="M86" s="363">
        <v>2</v>
      </c>
      <c r="N86" s="296">
        <v>1</v>
      </c>
      <c r="O86" s="401">
        <f t="shared" ref="O86:O87" si="18">K86*L86*M86*N86</f>
        <v>17.831719817767656</v>
      </c>
      <c r="P86" s="306">
        <f>VLOOKUP($F86,'[1]Master Harga'!$E$5:$L$351,6,FALSE)</f>
        <v>149108.51999999999</v>
      </c>
      <c r="Q86" s="296">
        <f t="shared" ref="Q86:Q87" si="19">O86*P86</f>
        <v>2658861.3510820046</v>
      </c>
      <c r="R86" s="296"/>
      <c r="S86" s="296"/>
      <c r="T86" s="296"/>
      <c r="U86" s="296"/>
      <c r="V86" s="296"/>
      <c r="W86" s="296"/>
      <c r="X86" s="295"/>
      <c r="Y86" s="306">
        <f t="shared" si="17"/>
        <v>6633.8856064920274</v>
      </c>
      <c r="Z86" s="295"/>
      <c r="AB86" s="393"/>
      <c r="AC86" s="393"/>
      <c r="AD86" s="308"/>
      <c r="AF86" s="393"/>
      <c r="AG86" s="393"/>
      <c r="AH86" s="308"/>
      <c r="AJ86" s="393"/>
      <c r="AK86" s="393"/>
      <c r="AL86" s="300"/>
    </row>
    <row r="87" spans="2:38" x14ac:dyDescent="0.35">
      <c r="B87" s="315"/>
      <c r="C87" s="316"/>
      <c r="D87" s="316"/>
      <c r="E87" s="317"/>
      <c r="F87" s="288" t="s">
        <v>204</v>
      </c>
      <c r="G87" s="289" t="s">
        <v>203</v>
      </c>
      <c r="H87" s="290"/>
      <c r="I87" s="291"/>
      <c r="J87" s="364" t="s">
        <v>253</v>
      </c>
      <c r="K87" s="400">
        <v>0.5</v>
      </c>
      <c r="L87" s="293">
        <f>($AB$1*10)</f>
        <v>4008</v>
      </c>
      <c r="M87" s="363">
        <v>5.6947608200455586E-2</v>
      </c>
      <c r="N87" s="296">
        <v>1</v>
      </c>
      <c r="O87" s="401">
        <f t="shared" si="18"/>
        <v>114.12300683371299</v>
      </c>
      <c r="P87" s="306">
        <f>VLOOKUP($F87,'[1]Master Harga'!$E$5:$L$351,6,FALSE)</f>
        <v>766238.0730320001</v>
      </c>
      <c r="Q87" s="296">
        <f t="shared" si="19"/>
        <v>87445392.844882026</v>
      </c>
      <c r="R87" s="296"/>
      <c r="S87" s="296"/>
      <c r="T87" s="296"/>
      <c r="U87" s="296"/>
      <c r="V87" s="296"/>
      <c r="W87" s="296"/>
      <c r="X87" s="295"/>
      <c r="Y87" s="306">
        <f t="shared" si="17"/>
        <v>218177.12785649206</v>
      </c>
      <c r="Z87" s="295"/>
      <c r="AB87" s="393"/>
      <c r="AC87" s="393"/>
      <c r="AD87" s="308"/>
      <c r="AF87" s="393"/>
      <c r="AG87" s="393"/>
      <c r="AH87" s="308"/>
      <c r="AJ87" s="393"/>
      <c r="AK87" s="393"/>
      <c r="AL87" s="300"/>
    </row>
    <row r="88" spans="2:38" x14ac:dyDescent="0.35">
      <c r="B88" s="367"/>
      <c r="C88" s="368"/>
      <c r="D88" s="368"/>
      <c r="E88" s="408"/>
      <c r="F88" s="288" t="s">
        <v>251</v>
      </c>
      <c r="G88" s="289" t="s">
        <v>203</v>
      </c>
      <c r="H88" s="290"/>
      <c r="I88" s="291"/>
      <c r="J88" s="289"/>
      <c r="K88" s="292"/>
      <c r="L88" s="293"/>
      <c r="M88" s="363">
        <v>8.9999999999999993E-3</v>
      </c>
      <c r="N88" s="296">
        <v>1</v>
      </c>
      <c r="O88" s="296"/>
      <c r="P88" s="306"/>
      <c r="Q88" s="296"/>
      <c r="R88" s="296"/>
      <c r="S88" s="296"/>
      <c r="T88" s="296"/>
      <c r="U88" s="296"/>
      <c r="V88" s="296"/>
      <c r="W88" s="296"/>
      <c r="X88" s="295"/>
      <c r="Y88" s="306">
        <f t="shared" si="17"/>
        <v>0</v>
      </c>
      <c r="Z88" s="295"/>
      <c r="AB88" s="393"/>
      <c r="AC88" s="393"/>
      <c r="AD88" s="308"/>
      <c r="AF88" s="393"/>
      <c r="AG88" s="393"/>
      <c r="AH88" s="308"/>
      <c r="AJ88" s="393"/>
      <c r="AK88" s="393"/>
      <c r="AL88" s="300"/>
    </row>
    <row r="89" spans="2:38" x14ac:dyDescent="0.35">
      <c r="B89" s="301"/>
      <c r="C89" s="302"/>
      <c r="D89" s="398" t="s">
        <v>254</v>
      </c>
      <c r="E89" s="399"/>
      <c r="F89" s="295" t="s">
        <v>189</v>
      </c>
      <c r="G89" s="364" t="s">
        <v>190</v>
      </c>
      <c r="H89" s="365"/>
      <c r="I89" s="366"/>
      <c r="J89" s="364" t="s">
        <v>253</v>
      </c>
      <c r="K89" s="400">
        <v>0.25</v>
      </c>
      <c r="L89" s="293">
        <f>((L91/17.56)/8)*125%</f>
        <v>118.86624430523918</v>
      </c>
      <c r="M89" s="363">
        <v>2</v>
      </c>
      <c r="N89" s="296">
        <v>1</v>
      </c>
      <c r="O89" s="401">
        <f>K89*L89*M89*N89</f>
        <v>59.433122152619589</v>
      </c>
      <c r="P89" s="306">
        <f>VLOOKUP($F89,'[1]Master Harga'!$E$5:$L$351,6,FALSE)</f>
        <v>149108.51999999999</v>
      </c>
      <c r="Q89" s="296">
        <f t="shared" ref="Q89:Q94" si="20">O89*P89</f>
        <v>8861984.8831563201</v>
      </c>
      <c r="R89" s="296"/>
      <c r="S89" s="296"/>
      <c r="T89" s="296"/>
      <c r="U89" s="296"/>
      <c r="V89" s="296"/>
      <c r="W89" s="296"/>
      <c r="X89" s="295"/>
      <c r="Y89" s="306">
        <f t="shared" si="17"/>
        <v>22110.740726437925</v>
      </c>
      <c r="Z89" s="295"/>
      <c r="AB89" s="393"/>
      <c r="AC89" s="393"/>
      <c r="AD89" s="308"/>
      <c r="AF89" s="393"/>
      <c r="AG89" s="393"/>
      <c r="AH89" s="308"/>
      <c r="AJ89" s="393"/>
      <c r="AK89" s="393"/>
      <c r="AL89" s="300"/>
    </row>
    <row r="90" spans="2:38" x14ac:dyDescent="0.35">
      <c r="B90" s="315"/>
      <c r="C90" s="316"/>
      <c r="D90" s="316"/>
      <c r="E90" s="317"/>
      <c r="F90" s="295" t="s">
        <v>255</v>
      </c>
      <c r="G90" s="364" t="s">
        <v>256</v>
      </c>
      <c r="H90" s="365"/>
      <c r="I90" s="366"/>
      <c r="J90" s="364"/>
      <c r="K90" s="400">
        <v>0.5</v>
      </c>
      <c r="L90" s="409"/>
      <c r="M90" s="363"/>
      <c r="N90" s="296"/>
      <c r="O90" s="365"/>
      <c r="P90" s="306">
        <f>VLOOKUP($F90,'[1]Master Harga'!$E$5:$L$351,6,FALSE)</f>
        <v>194400</v>
      </c>
      <c r="Q90" s="296"/>
      <c r="R90" s="296"/>
      <c r="S90" s="296"/>
      <c r="T90" s="296"/>
      <c r="U90" s="296"/>
      <c r="V90" s="296"/>
      <c r="W90" s="296"/>
      <c r="X90" s="295"/>
      <c r="Y90" s="306">
        <f t="shared" si="17"/>
        <v>0</v>
      </c>
      <c r="Z90" s="295"/>
      <c r="AB90" s="393"/>
      <c r="AC90" s="393"/>
      <c r="AD90" s="308"/>
      <c r="AF90" s="393"/>
      <c r="AG90" s="393"/>
      <c r="AH90" s="308"/>
      <c r="AJ90" s="393"/>
      <c r="AK90" s="393"/>
      <c r="AL90" s="300"/>
    </row>
    <row r="91" spans="2:38" x14ac:dyDescent="0.35">
      <c r="B91" s="315"/>
      <c r="C91" s="316"/>
      <c r="D91" s="316"/>
      <c r="E91" s="317"/>
      <c r="F91" s="295" t="s">
        <v>257</v>
      </c>
      <c r="G91" s="364" t="s">
        <v>256</v>
      </c>
      <c r="H91" s="365"/>
      <c r="I91" s="366"/>
      <c r="J91" s="364"/>
      <c r="K91" s="400">
        <v>0</v>
      </c>
      <c r="L91" s="293">
        <f>($AB$1*33.33)</f>
        <v>13358.663999999999</v>
      </c>
      <c r="M91" s="363">
        <f>1050/1000</f>
        <v>1.05</v>
      </c>
      <c r="N91" s="296">
        <v>1</v>
      </c>
      <c r="O91" s="401">
        <f>K91*L91*M91*N91</f>
        <v>0</v>
      </c>
      <c r="P91" s="306">
        <f>VLOOKUP($F91,'[1]Master Harga'!$E$5:$L$351,6,FALSE)</f>
        <v>116119.5</v>
      </c>
      <c r="Q91" s="296">
        <f t="shared" si="20"/>
        <v>0</v>
      </c>
      <c r="R91" s="296"/>
      <c r="S91" s="296"/>
      <c r="T91" s="296"/>
      <c r="U91" s="296"/>
      <c r="V91" s="296"/>
      <c r="W91" s="296"/>
      <c r="X91" s="295"/>
      <c r="Y91" s="306">
        <f t="shared" si="17"/>
        <v>0</v>
      </c>
      <c r="Z91" s="295"/>
      <c r="AB91" s="393"/>
      <c r="AC91" s="393"/>
      <c r="AD91" s="308"/>
      <c r="AF91" s="393"/>
      <c r="AG91" s="393"/>
      <c r="AH91" s="308"/>
      <c r="AJ91" s="393"/>
      <c r="AK91" s="393"/>
      <c r="AL91" s="300"/>
    </row>
    <row r="92" spans="2:38" x14ac:dyDescent="0.35">
      <c r="B92" s="315"/>
      <c r="C92" s="316"/>
      <c r="D92" s="316"/>
      <c r="E92" s="317"/>
      <c r="F92" s="288" t="s">
        <v>204</v>
      </c>
      <c r="G92" s="364" t="s">
        <v>203</v>
      </c>
      <c r="H92" s="365"/>
      <c r="I92" s="366"/>
      <c r="J92" s="364"/>
      <c r="K92" s="400">
        <v>0.5</v>
      </c>
      <c r="L92" s="410">
        <f>L91</f>
        <v>13358.663999999999</v>
      </c>
      <c r="M92" s="363">
        <v>5.6947608200455586E-2</v>
      </c>
      <c r="N92" s="296">
        <v>1</v>
      </c>
      <c r="O92" s="401">
        <f>K92*L92*M92*N92</f>
        <v>380.37198177676538</v>
      </c>
      <c r="P92" s="306">
        <f>VLOOKUP($F92,'[1]Master Harga'!$E$5:$L$351,6,FALSE)</f>
        <v>766238.0730320001</v>
      </c>
      <c r="Q92" s="296">
        <f t="shared" si="20"/>
        <v>291455494.35199177</v>
      </c>
      <c r="R92" s="296"/>
      <c r="S92" s="296"/>
      <c r="T92" s="296"/>
      <c r="U92" s="296"/>
      <c r="V92" s="296"/>
      <c r="W92" s="296"/>
      <c r="X92" s="295"/>
      <c r="Y92" s="306">
        <f t="shared" si="17"/>
        <v>727184.36714568804</v>
      </c>
      <c r="Z92" s="295"/>
      <c r="AB92" s="393"/>
      <c r="AC92" s="393"/>
      <c r="AD92" s="308"/>
      <c r="AF92" s="393"/>
      <c r="AG92" s="393"/>
      <c r="AH92" s="308"/>
      <c r="AJ92" s="393"/>
      <c r="AK92" s="393"/>
      <c r="AL92" s="300"/>
    </row>
    <row r="93" spans="2:38" x14ac:dyDescent="0.35">
      <c r="B93" s="402"/>
      <c r="C93" s="403"/>
      <c r="D93" s="403"/>
      <c r="E93" s="404"/>
      <c r="F93" s="295" t="s">
        <v>258</v>
      </c>
      <c r="G93" s="364" t="s">
        <v>203</v>
      </c>
      <c r="H93" s="365"/>
      <c r="I93" s="366"/>
      <c r="J93" s="364"/>
      <c r="K93" s="400">
        <v>0</v>
      </c>
      <c r="L93" s="410">
        <f>L91</f>
        <v>13358.663999999999</v>
      </c>
      <c r="M93" s="363">
        <v>5.6947608200455586E-2</v>
      </c>
      <c r="N93" s="296">
        <v>1</v>
      </c>
      <c r="O93" s="401">
        <f>K93*L93*M93*N93</f>
        <v>0</v>
      </c>
      <c r="P93" s="306">
        <f>VLOOKUP($F93,'[1]Master Harga'!$E$5:$L$351,6,FALSE)</f>
        <v>662748.2415</v>
      </c>
      <c r="Q93" s="296">
        <f t="shared" si="20"/>
        <v>0</v>
      </c>
      <c r="R93" s="411"/>
      <c r="S93" s="411"/>
      <c r="T93" s="411"/>
      <c r="U93" s="411"/>
      <c r="V93" s="411"/>
      <c r="W93" s="411"/>
      <c r="X93" s="295"/>
      <c r="Y93" s="306">
        <f t="shared" si="17"/>
        <v>0</v>
      </c>
      <c r="Z93" s="295"/>
      <c r="AB93" s="393"/>
      <c r="AC93" s="393"/>
      <c r="AD93" s="308"/>
      <c r="AF93" s="393"/>
      <c r="AG93" s="393"/>
      <c r="AH93" s="308"/>
      <c r="AJ93" s="393"/>
      <c r="AK93" s="393"/>
      <c r="AL93" s="300"/>
    </row>
    <row r="94" spans="2:38" x14ac:dyDescent="0.35">
      <c r="B94" s="301"/>
      <c r="C94" s="302"/>
      <c r="D94" s="302" t="s">
        <v>259</v>
      </c>
      <c r="E94" s="303"/>
      <c r="F94" s="288" t="s">
        <v>189</v>
      </c>
      <c r="G94" s="289" t="s">
        <v>190</v>
      </c>
      <c r="H94" s="290"/>
      <c r="I94" s="291"/>
      <c r="J94" s="289"/>
      <c r="K94" s="304">
        <v>0.25</v>
      </c>
      <c r="L94" s="293">
        <f>((L95/17.56)/8)*125%</f>
        <v>135.80224943052394</v>
      </c>
      <c r="M94" s="363">
        <v>2</v>
      </c>
      <c r="N94" s="296">
        <v>1</v>
      </c>
      <c r="O94" s="401">
        <f>K94*L94*M94*N94</f>
        <v>67.901124715261972</v>
      </c>
      <c r="P94" s="306">
        <f>VLOOKUP($F94,'[1]Master Harga'!$E$5:$L$351,6,FALSE)</f>
        <v>149108.51999999999</v>
      </c>
      <c r="Q94" s="296">
        <f t="shared" si="20"/>
        <v>10124636.212628134</v>
      </c>
      <c r="R94" s="296"/>
      <c r="S94" s="296"/>
      <c r="T94" s="296"/>
      <c r="U94" s="296"/>
      <c r="V94" s="296"/>
      <c r="W94" s="296"/>
      <c r="X94" s="295"/>
      <c r="Y94" s="306">
        <f t="shared" si="17"/>
        <v>25261.06839478077</v>
      </c>
      <c r="Z94" s="295"/>
      <c r="AB94" s="393"/>
      <c r="AC94" s="393"/>
      <c r="AD94" s="308"/>
      <c r="AF94" s="393"/>
      <c r="AG94" s="393"/>
      <c r="AH94" s="308"/>
      <c r="AJ94" s="393"/>
      <c r="AK94" s="393"/>
      <c r="AL94" s="300"/>
    </row>
    <row r="95" spans="2:38" x14ac:dyDescent="0.35">
      <c r="B95" s="315"/>
      <c r="C95" s="316"/>
      <c r="D95" s="316"/>
      <c r="E95" s="317"/>
      <c r="F95" s="288" t="s">
        <v>204</v>
      </c>
      <c r="G95" s="289" t="s">
        <v>203</v>
      </c>
      <c r="H95" s="290"/>
      <c r="I95" s="291"/>
      <c r="J95" s="289"/>
      <c r="K95" s="400">
        <v>0.5</v>
      </c>
      <c r="L95" s="293">
        <v>15262</v>
      </c>
      <c r="M95" s="363">
        <v>5.6947608200455586E-2</v>
      </c>
      <c r="N95" s="296">
        <v>1</v>
      </c>
      <c r="O95" s="401">
        <f>K95*L95*M95*N95</f>
        <v>434.56719817767657</v>
      </c>
      <c r="P95" s="306">
        <f>VLOOKUP($F95,'[1]Master Harga'!$E$5:$L$351,6,FALSE)</f>
        <v>766238.0730320001</v>
      </c>
      <c r="Q95" s="296">
        <f>O95*P95</f>
        <v>332981932.5345782</v>
      </c>
      <c r="R95" s="296"/>
      <c r="S95" s="296"/>
      <c r="T95" s="296"/>
      <c r="U95" s="296"/>
      <c r="V95" s="296"/>
      <c r="W95" s="296"/>
      <c r="X95" s="295"/>
      <c r="Y95" s="306">
        <f t="shared" si="17"/>
        <v>830793.24484675203</v>
      </c>
      <c r="Z95" s="295"/>
      <c r="AB95" s="393"/>
      <c r="AC95" s="393"/>
      <c r="AD95" s="308"/>
      <c r="AF95" s="393"/>
      <c r="AG95" s="393"/>
      <c r="AH95" s="308"/>
      <c r="AJ95" s="393"/>
      <c r="AK95" s="393"/>
      <c r="AL95" s="300"/>
    </row>
    <row r="96" spans="2:38" x14ac:dyDescent="0.35">
      <c r="B96" s="367"/>
      <c r="C96" s="368"/>
      <c r="D96" s="368"/>
      <c r="E96" s="408"/>
      <c r="F96" s="288" t="s">
        <v>251</v>
      </c>
      <c r="G96" s="289" t="s">
        <v>203</v>
      </c>
      <c r="H96" s="290"/>
      <c r="I96" s="291"/>
      <c r="J96" s="289"/>
      <c r="K96" s="292"/>
      <c r="L96" s="293"/>
      <c r="M96" s="294">
        <v>7.0000000000000001E-3</v>
      </c>
      <c r="N96" s="296">
        <v>1</v>
      </c>
      <c r="O96" s="296"/>
      <c r="P96" s="306"/>
      <c r="Q96" s="296"/>
      <c r="R96" s="296"/>
      <c r="S96" s="296"/>
      <c r="T96" s="296"/>
      <c r="U96" s="296"/>
      <c r="V96" s="296"/>
      <c r="W96" s="296"/>
      <c r="X96" s="295"/>
      <c r="Y96" s="306">
        <f t="shared" si="17"/>
        <v>0</v>
      </c>
      <c r="Z96" s="295"/>
      <c r="AB96" s="393"/>
      <c r="AC96" s="393"/>
      <c r="AD96" s="308"/>
      <c r="AF96" s="393"/>
      <c r="AG96" s="393"/>
      <c r="AH96" s="308"/>
      <c r="AJ96" s="393"/>
      <c r="AK96" s="393"/>
      <c r="AL96" s="300"/>
    </row>
    <row r="97" spans="2:38" x14ac:dyDescent="0.35">
      <c r="B97" s="412" t="s">
        <v>260</v>
      </c>
      <c r="C97" s="413"/>
      <c r="D97" s="413"/>
      <c r="E97" s="414"/>
      <c r="F97" s="381"/>
      <c r="G97" s="382"/>
      <c r="H97" s="383"/>
      <c r="I97" s="384"/>
      <c r="J97" s="382"/>
      <c r="K97" s="385"/>
      <c r="L97" s="386"/>
      <c r="M97" s="387"/>
      <c r="N97" s="388"/>
      <c r="O97" s="388"/>
      <c r="P97" s="389"/>
      <c r="Q97" s="390">
        <f>SUM(Q83:Q96)</f>
        <v>745453574.02607751</v>
      </c>
      <c r="R97" s="388"/>
      <c r="S97" s="388"/>
      <c r="T97" s="388"/>
      <c r="U97" s="388"/>
      <c r="V97" s="388"/>
      <c r="W97" s="388"/>
      <c r="X97" s="415"/>
      <c r="Y97" s="392">
        <f t="shared" si="17"/>
        <v>1859914.1068514907</v>
      </c>
      <c r="Z97" s="416">
        <f>Q97/$Q$359*100</f>
        <v>3.7504438400903957</v>
      </c>
      <c r="AB97" s="393"/>
      <c r="AC97" s="393"/>
      <c r="AD97" s="308"/>
      <c r="AF97" s="393"/>
      <c r="AG97" s="393"/>
      <c r="AH97" s="308"/>
      <c r="AJ97" s="393"/>
      <c r="AK97" s="393"/>
      <c r="AL97" s="300"/>
    </row>
    <row r="98" spans="2:38" x14ac:dyDescent="0.35">
      <c r="B98" s="367"/>
      <c r="C98" s="286" t="s">
        <v>261</v>
      </c>
      <c r="D98" s="368"/>
      <c r="E98" s="408"/>
      <c r="F98" s="288"/>
      <c r="G98" s="289"/>
      <c r="H98" s="290"/>
      <c r="I98" s="291"/>
      <c r="J98" s="289"/>
      <c r="K98" s="292"/>
      <c r="L98" s="293"/>
      <c r="M98" s="294"/>
      <c r="N98" s="296"/>
      <c r="O98" s="296"/>
      <c r="P98" s="306"/>
      <c r="Q98" s="296"/>
      <c r="R98" s="296"/>
      <c r="S98" s="296"/>
      <c r="T98" s="296"/>
      <c r="U98" s="296"/>
      <c r="V98" s="296"/>
      <c r="W98" s="296"/>
      <c r="X98" s="295"/>
      <c r="Y98" s="306">
        <f t="shared" si="17"/>
        <v>0</v>
      </c>
      <c r="Z98" s="295"/>
      <c r="AB98" s="393"/>
      <c r="AC98" s="393"/>
      <c r="AD98" s="308"/>
      <c r="AF98" s="393"/>
      <c r="AG98" s="393"/>
      <c r="AH98" s="308"/>
      <c r="AJ98" s="393"/>
      <c r="AK98" s="393"/>
      <c r="AL98" s="300"/>
    </row>
    <row r="99" spans="2:38" hidden="1" x14ac:dyDescent="0.35">
      <c r="B99" s="312"/>
      <c r="C99" s="313"/>
      <c r="D99" s="313" t="s">
        <v>262</v>
      </c>
      <c r="E99" s="314"/>
      <c r="F99" s="288" t="s">
        <v>189</v>
      </c>
      <c r="G99" s="289" t="s">
        <v>190</v>
      </c>
      <c r="H99" s="290"/>
      <c r="I99" s="291"/>
      <c r="J99" s="289"/>
      <c r="K99" s="292"/>
      <c r="L99" s="293"/>
      <c r="M99" s="294"/>
      <c r="N99" s="296"/>
      <c r="O99" s="296"/>
      <c r="P99" s="306"/>
      <c r="Q99" s="296"/>
      <c r="R99" s="296"/>
      <c r="S99" s="296"/>
      <c r="T99" s="296"/>
      <c r="U99" s="296"/>
      <c r="V99" s="296"/>
      <c r="W99" s="296"/>
      <c r="X99" s="295"/>
      <c r="Y99" s="306">
        <f t="shared" si="17"/>
        <v>0</v>
      </c>
      <c r="Z99" s="295"/>
      <c r="AB99" s="393"/>
      <c r="AC99" s="393"/>
      <c r="AD99" s="308"/>
      <c r="AF99" s="393"/>
      <c r="AG99" s="393"/>
      <c r="AH99" s="308"/>
      <c r="AJ99" s="393"/>
      <c r="AK99" s="393"/>
      <c r="AL99" s="300"/>
    </row>
    <row r="100" spans="2:38" hidden="1" x14ac:dyDescent="0.35">
      <c r="B100" s="338"/>
      <c r="C100" s="350"/>
      <c r="D100" s="350"/>
      <c r="E100" s="351"/>
      <c r="F100" s="288" t="s">
        <v>263</v>
      </c>
      <c r="G100" s="289" t="s">
        <v>264</v>
      </c>
      <c r="H100" s="290"/>
      <c r="I100" s="291"/>
      <c r="J100" s="289"/>
      <c r="K100" s="292"/>
      <c r="L100" s="293"/>
      <c r="M100" s="294"/>
      <c r="N100" s="296"/>
      <c r="O100" s="296"/>
      <c r="P100" s="306"/>
      <c r="Q100" s="296"/>
      <c r="R100" s="296"/>
      <c r="S100" s="296"/>
      <c r="T100" s="296"/>
      <c r="U100" s="296"/>
      <c r="V100" s="296"/>
      <c r="W100" s="296"/>
      <c r="X100" s="295"/>
      <c r="Y100" s="306">
        <f t="shared" si="17"/>
        <v>0</v>
      </c>
      <c r="Z100" s="295"/>
      <c r="AB100" s="393"/>
      <c r="AC100" s="393"/>
      <c r="AD100" s="308"/>
      <c r="AF100" s="393"/>
      <c r="AG100" s="393"/>
      <c r="AH100" s="308"/>
      <c r="AJ100" s="393"/>
      <c r="AK100" s="393"/>
      <c r="AL100" s="300"/>
    </row>
    <row r="101" spans="2:38" hidden="1" x14ac:dyDescent="0.35">
      <c r="B101" s="320"/>
      <c r="C101" s="321"/>
      <c r="D101" s="321"/>
      <c r="E101" s="322"/>
      <c r="F101" s="288" t="s">
        <v>265</v>
      </c>
      <c r="G101" s="289" t="s">
        <v>203</v>
      </c>
      <c r="H101" s="290"/>
      <c r="I101" s="291"/>
      <c r="J101" s="289"/>
      <c r="K101" s="292"/>
      <c r="L101" s="293"/>
      <c r="M101" s="294"/>
      <c r="N101" s="296"/>
      <c r="O101" s="296"/>
      <c r="P101" s="306"/>
      <c r="Q101" s="296"/>
      <c r="R101" s="296"/>
      <c r="S101" s="296"/>
      <c r="T101" s="296"/>
      <c r="U101" s="296"/>
      <c r="V101" s="296"/>
      <c r="W101" s="296"/>
      <c r="X101" s="295"/>
      <c r="Y101" s="306">
        <f t="shared" si="17"/>
        <v>0</v>
      </c>
      <c r="Z101" s="295"/>
      <c r="AB101" s="393"/>
      <c r="AC101" s="393"/>
      <c r="AD101" s="308"/>
      <c r="AF101" s="393"/>
      <c r="AG101" s="393"/>
      <c r="AH101" s="308"/>
      <c r="AJ101" s="393"/>
      <c r="AK101" s="393"/>
      <c r="AL101" s="300"/>
    </row>
    <row r="102" spans="2:38" hidden="1" x14ac:dyDescent="0.35">
      <c r="B102" s="312"/>
      <c r="C102" s="313"/>
      <c r="D102" s="313" t="s">
        <v>266</v>
      </c>
      <c r="E102" s="314"/>
      <c r="F102" s="288" t="s">
        <v>189</v>
      </c>
      <c r="G102" s="289" t="s">
        <v>190</v>
      </c>
      <c r="H102" s="290"/>
      <c r="I102" s="291"/>
      <c r="J102" s="289"/>
      <c r="K102" s="292"/>
      <c r="L102" s="293"/>
      <c r="M102" s="294"/>
      <c r="N102" s="296"/>
      <c r="O102" s="296"/>
      <c r="P102" s="306"/>
      <c r="Q102" s="296"/>
      <c r="R102" s="296"/>
      <c r="S102" s="296"/>
      <c r="T102" s="296"/>
      <c r="U102" s="296"/>
      <c r="V102" s="296"/>
      <c r="W102" s="296"/>
      <c r="X102" s="295"/>
      <c r="Y102" s="306">
        <f t="shared" si="17"/>
        <v>0</v>
      </c>
      <c r="Z102" s="295"/>
      <c r="AB102" s="393"/>
      <c r="AC102" s="393"/>
      <c r="AD102" s="308"/>
      <c r="AF102" s="393"/>
      <c r="AG102" s="393"/>
      <c r="AH102" s="308"/>
      <c r="AJ102" s="393"/>
      <c r="AK102" s="393"/>
      <c r="AL102" s="300"/>
    </row>
    <row r="103" spans="2:38" hidden="1" x14ac:dyDescent="0.35">
      <c r="B103" s="338"/>
      <c r="C103" s="350"/>
      <c r="D103" s="350"/>
      <c r="E103" s="351"/>
      <c r="F103" s="288" t="s">
        <v>267</v>
      </c>
      <c r="G103" s="289" t="s">
        <v>264</v>
      </c>
      <c r="H103" s="290"/>
      <c r="I103" s="291"/>
      <c r="J103" s="289"/>
      <c r="K103" s="292"/>
      <c r="L103" s="293"/>
      <c r="M103" s="294"/>
      <c r="N103" s="296"/>
      <c r="O103" s="296"/>
      <c r="P103" s="306"/>
      <c r="Q103" s="296"/>
      <c r="R103" s="296"/>
      <c r="S103" s="296"/>
      <c r="T103" s="296"/>
      <c r="U103" s="296"/>
      <c r="V103" s="296"/>
      <c r="W103" s="296"/>
      <c r="X103" s="295"/>
      <c r="Y103" s="306">
        <f t="shared" si="17"/>
        <v>0</v>
      </c>
      <c r="Z103" s="295"/>
      <c r="AB103" s="393"/>
      <c r="AC103" s="393"/>
      <c r="AD103" s="308"/>
      <c r="AF103" s="393"/>
      <c r="AG103" s="393"/>
      <c r="AH103" s="308"/>
      <c r="AJ103" s="393"/>
      <c r="AK103" s="393"/>
      <c r="AL103" s="300"/>
    </row>
    <row r="104" spans="2:38" hidden="1" x14ac:dyDescent="0.35">
      <c r="B104" s="320"/>
      <c r="C104" s="321"/>
      <c r="D104" s="321"/>
      <c r="E104" s="322"/>
      <c r="F104" s="288" t="s">
        <v>265</v>
      </c>
      <c r="G104" s="289" t="s">
        <v>203</v>
      </c>
      <c r="H104" s="290"/>
      <c r="I104" s="291"/>
      <c r="J104" s="289"/>
      <c r="K104" s="292"/>
      <c r="L104" s="293"/>
      <c r="M104" s="294"/>
      <c r="N104" s="296"/>
      <c r="O104" s="296"/>
      <c r="P104" s="306"/>
      <c r="Q104" s="296"/>
      <c r="R104" s="296"/>
      <c r="S104" s="296"/>
      <c r="T104" s="296"/>
      <c r="U104" s="296"/>
      <c r="V104" s="296"/>
      <c r="W104" s="296"/>
      <c r="X104" s="295"/>
      <c r="Y104" s="306">
        <f t="shared" si="17"/>
        <v>0</v>
      </c>
      <c r="Z104" s="295"/>
      <c r="AB104" s="393"/>
      <c r="AC104" s="393"/>
      <c r="AD104" s="308"/>
      <c r="AF104" s="393"/>
      <c r="AG104" s="393"/>
      <c r="AH104" s="308"/>
      <c r="AJ104" s="393"/>
      <c r="AK104" s="393"/>
      <c r="AL104" s="300"/>
    </row>
    <row r="105" spans="2:38" hidden="1" x14ac:dyDescent="0.35">
      <c r="B105" s="312"/>
      <c r="C105" s="313"/>
      <c r="D105" s="313" t="s">
        <v>268</v>
      </c>
      <c r="E105" s="314"/>
      <c r="F105" s="288" t="s">
        <v>189</v>
      </c>
      <c r="G105" s="289" t="s">
        <v>190</v>
      </c>
      <c r="H105" s="290"/>
      <c r="I105" s="291"/>
      <c r="J105" s="289"/>
      <c r="K105" s="292"/>
      <c r="L105" s="293"/>
      <c r="M105" s="294"/>
      <c r="N105" s="296"/>
      <c r="O105" s="296"/>
      <c r="P105" s="306"/>
      <c r="Q105" s="296"/>
      <c r="R105" s="296"/>
      <c r="S105" s="296"/>
      <c r="T105" s="296"/>
      <c r="U105" s="296"/>
      <c r="V105" s="296"/>
      <c r="W105" s="296"/>
      <c r="X105" s="295"/>
      <c r="Y105" s="306">
        <f t="shared" si="17"/>
        <v>0</v>
      </c>
      <c r="Z105" s="295"/>
      <c r="AB105" s="393"/>
      <c r="AC105" s="393"/>
      <c r="AD105" s="308"/>
      <c r="AF105" s="393"/>
      <c r="AG105" s="393"/>
      <c r="AH105" s="308"/>
      <c r="AJ105" s="393"/>
      <c r="AK105" s="393"/>
      <c r="AL105" s="300"/>
    </row>
    <row r="106" spans="2:38" hidden="1" x14ac:dyDescent="0.35">
      <c r="B106" s="338"/>
      <c r="C106" s="350"/>
      <c r="D106" s="350"/>
      <c r="E106" s="351"/>
      <c r="F106" s="288" t="s">
        <v>269</v>
      </c>
      <c r="G106" s="289" t="s">
        <v>264</v>
      </c>
      <c r="H106" s="290"/>
      <c r="I106" s="291"/>
      <c r="J106" s="289"/>
      <c r="K106" s="292"/>
      <c r="L106" s="293"/>
      <c r="M106" s="294"/>
      <c r="N106" s="296"/>
      <c r="O106" s="296"/>
      <c r="P106" s="306"/>
      <c r="Q106" s="296"/>
      <c r="R106" s="296"/>
      <c r="S106" s="296"/>
      <c r="T106" s="296"/>
      <c r="U106" s="296"/>
      <c r="V106" s="296"/>
      <c r="W106" s="296"/>
      <c r="X106" s="295"/>
      <c r="Y106" s="306">
        <f t="shared" si="17"/>
        <v>0</v>
      </c>
      <c r="Z106" s="295"/>
      <c r="AB106" s="393"/>
      <c r="AC106" s="393"/>
      <c r="AD106" s="308"/>
      <c r="AF106" s="393"/>
      <c r="AG106" s="393"/>
      <c r="AH106" s="308"/>
      <c r="AJ106" s="393"/>
      <c r="AK106" s="393"/>
      <c r="AL106" s="300"/>
    </row>
    <row r="107" spans="2:38" hidden="1" x14ac:dyDescent="0.35">
      <c r="B107" s="320"/>
      <c r="C107" s="321"/>
      <c r="D107" s="321"/>
      <c r="E107" s="322"/>
      <c r="F107" s="288" t="s">
        <v>265</v>
      </c>
      <c r="G107" s="289" t="s">
        <v>203</v>
      </c>
      <c r="H107" s="290"/>
      <c r="I107" s="291"/>
      <c r="J107" s="289"/>
      <c r="K107" s="292"/>
      <c r="L107" s="293"/>
      <c r="M107" s="294"/>
      <c r="N107" s="296"/>
      <c r="O107" s="296"/>
      <c r="P107" s="306"/>
      <c r="Q107" s="296"/>
      <c r="R107" s="296"/>
      <c r="S107" s="296"/>
      <c r="T107" s="296"/>
      <c r="U107" s="296"/>
      <c r="V107" s="296"/>
      <c r="W107" s="296"/>
      <c r="X107" s="295"/>
      <c r="Y107" s="306">
        <f t="shared" si="17"/>
        <v>0</v>
      </c>
      <c r="Z107" s="295"/>
      <c r="AB107" s="393"/>
      <c r="AC107" s="393"/>
      <c r="AD107" s="308"/>
      <c r="AF107" s="393"/>
      <c r="AG107" s="393"/>
      <c r="AH107" s="308"/>
      <c r="AJ107" s="393"/>
      <c r="AK107" s="393"/>
      <c r="AL107" s="300"/>
    </row>
    <row r="108" spans="2:38" ht="14.65" customHeight="1" x14ac:dyDescent="0.35">
      <c r="B108" s="301"/>
      <c r="C108" s="302"/>
      <c r="D108" s="417" t="s">
        <v>270</v>
      </c>
      <c r="E108" s="418"/>
      <c r="F108" s="288" t="s">
        <v>189</v>
      </c>
      <c r="G108" s="289" t="s">
        <v>190</v>
      </c>
      <c r="H108" s="290"/>
      <c r="I108" s="291"/>
      <c r="J108" s="289"/>
      <c r="K108" s="304">
        <v>0.5</v>
      </c>
      <c r="L108" s="293">
        <f>O110/8*125%</f>
        <v>3.125</v>
      </c>
      <c r="M108" s="294">
        <v>2</v>
      </c>
      <c r="N108" s="296">
        <v>1</v>
      </c>
      <c r="O108" s="333">
        <f t="shared" ref="O108:O124" si="21">K108*L108*M108*N108</f>
        <v>3.125</v>
      </c>
      <c r="P108" s="335">
        <f>VLOOKUP($F108,'[1]Master Harga'!$E$5:$L$351,6,FALSE)</f>
        <v>149108.51999999999</v>
      </c>
      <c r="Q108" s="333">
        <f t="shared" ref="Q108:Q124" si="22">O108*P108</f>
        <v>465964.12499999994</v>
      </c>
      <c r="R108" s="296"/>
      <c r="S108" s="296"/>
      <c r="T108" s="296"/>
      <c r="U108" s="296"/>
      <c r="V108" s="296"/>
      <c r="W108" s="296"/>
      <c r="X108" s="295"/>
      <c r="Y108" s="306">
        <f t="shared" si="17"/>
        <v>1162.5851422155688</v>
      </c>
      <c r="Z108" s="295"/>
      <c r="AB108" s="393"/>
      <c r="AC108" s="393"/>
      <c r="AD108" s="308"/>
      <c r="AF108" s="393"/>
      <c r="AG108" s="393"/>
      <c r="AH108" s="308"/>
      <c r="AJ108" s="393"/>
      <c r="AK108" s="393"/>
      <c r="AL108" s="300"/>
    </row>
    <row r="109" spans="2:38" x14ac:dyDescent="0.35">
      <c r="B109" s="315"/>
      <c r="C109" s="316"/>
      <c r="D109" s="419"/>
      <c r="E109" s="420"/>
      <c r="F109" s="288" t="s">
        <v>271</v>
      </c>
      <c r="G109" s="289" t="s">
        <v>264</v>
      </c>
      <c r="H109" s="290"/>
      <c r="I109" s="291"/>
      <c r="J109" s="289"/>
      <c r="K109" s="304">
        <v>1</v>
      </c>
      <c r="L109" s="293">
        <v>1</v>
      </c>
      <c r="M109" s="294">
        <v>1</v>
      </c>
      <c r="N109" s="296">
        <v>1</v>
      </c>
      <c r="O109" s="333">
        <f t="shared" si="21"/>
        <v>1</v>
      </c>
      <c r="P109" s="335">
        <f>VLOOKUP($F109,'[1]Master Harga'!$E$5:$L$351,6,FALSE)</f>
        <v>433125000</v>
      </c>
      <c r="Q109" s="333">
        <f t="shared" si="22"/>
        <v>433125000</v>
      </c>
      <c r="R109" s="296"/>
      <c r="S109" s="296"/>
      <c r="T109" s="296"/>
      <c r="U109" s="296"/>
      <c r="V109" s="296"/>
      <c r="W109" s="296"/>
      <c r="X109" s="295"/>
      <c r="Y109" s="306">
        <f t="shared" si="17"/>
        <v>1080651.1976047903</v>
      </c>
      <c r="Z109" s="295"/>
      <c r="AB109" s="393"/>
      <c r="AC109" s="393"/>
      <c r="AD109" s="308"/>
      <c r="AF109" s="393"/>
      <c r="AG109" s="393"/>
      <c r="AH109" s="308"/>
      <c r="AJ109" s="393"/>
      <c r="AK109" s="393"/>
      <c r="AL109" s="300"/>
    </row>
    <row r="110" spans="2:38" x14ac:dyDescent="0.35">
      <c r="B110" s="367"/>
      <c r="C110" s="368"/>
      <c r="D110" s="368"/>
      <c r="E110" s="408"/>
      <c r="F110" s="288" t="s">
        <v>204</v>
      </c>
      <c r="G110" s="289" t="s">
        <v>203</v>
      </c>
      <c r="H110" s="290"/>
      <c r="I110" s="291"/>
      <c r="J110" s="289"/>
      <c r="K110" s="304">
        <v>1</v>
      </c>
      <c r="L110" s="293">
        <v>1</v>
      </c>
      <c r="M110" s="363">
        <v>20</v>
      </c>
      <c r="N110" s="296">
        <v>1</v>
      </c>
      <c r="O110" s="333">
        <f t="shared" si="21"/>
        <v>20</v>
      </c>
      <c r="P110" s="335">
        <f>VLOOKUP($F110,'[1]Master Harga'!$E$5:$L$351,6,FALSE)</f>
        <v>766238.0730320001</v>
      </c>
      <c r="Q110" s="333">
        <f t="shared" si="22"/>
        <v>15324761.460640002</v>
      </c>
      <c r="R110" s="296"/>
      <c r="S110" s="296"/>
      <c r="T110" s="296"/>
      <c r="U110" s="296"/>
      <c r="V110" s="296"/>
      <c r="W110" s="296"/>
      <c r="X110" s="295"/>
      <c r="Y110" s="306">
        <f t="shared" si="17"/>
        <v>38235.432786027945</v>
      </c>
      <c r="Z110" s="295"/>
      <c r="AB110" s="393"/>
      <c r="AC110" s="393"/>
      <c r="AD110" s="308"/>
      <c r="AF110" s="393"/>
      <c r="AG110" s="393"/>
      <c r="AH110" s="308"/>
      <c r="AJ110" s="393"/>
      <c r="AK110" s="393"/>
      <c r="AL110" s="300"/>
    </row>
    <row r="111" spans="2:38" x14ac:dyDescent="0.35">
      <c r="B111" s="315"/>
      <c r="C111" s="316"/>
      <c r="D111" s="421"/>
      <c r="E111" s="422"/>
      <c r="F111" s="355" t="s">
        <v>189</v>
      </c>
      <c r="G111" s="327" t="s">
        <v>190</v>
      </c>
      <c r="H111" s="328"/>
      <c r="I111" s="329"/>
      <c r="J111" s="327"/>
      <c r="K111" s="423">
        <v>1</v>
      </c>
      <c r="L111" s="424">
        <f>(27+6)*50%</f>
        <v>16.5</v>
      </c>
      <c r="M111" s="425">
        <v>4</v>
      </c>
      <c r="N111" s="426">
        <v>1</v>
      </c>
      <c r="O111" s="333">
        <f t="shared" si="21"/>
        <v>66</v>
      </c>
      <c r="P111" s="335">
        <f>VLOOKUP($F111,'[1]Master Harga'!$E$5:$L$351,6,FALSE)</f>
        <v>149108.51999999999</v>
      </c>
      <c r="Q111" s="333">
        <f t="shared" si="22"/>
        <v>9841162.3199999984</v>
      </c>
      <c r="R111" s="333"/>
      <c r="S111" s="333"/>
      <c r="T111" s="333"/>
      <c r="U111" s="333"/>
      <c r="V111" s="333"/>
      <c r="W111" s="333"/>
      <c r="X111" s="427"/>
      <c r="Y111" s="306">
        <f t="shared" si="17"/>
        <v>24553.798203592811</v>
      </c>
      <c r="Z111" s="295"/>
      <c r="AB111" s="393"/>
      <c r="AC111" s="393"/>
      <c r="AD111" s="308"/>
      <c r="AF111" s="393"/>
      <c r="AG111" s="393"/>
      <c r="AH111" s="308"/>
      <c r="AJ111" s="393"/>
      <c r="AK111" s="393"/>
      <c r="AL111" s="300"/>
    </row>
    <row r="112" spans="2:38" x14ac:dyDescent="0.35">
      <c r="B112" s="315"/>
      <c r="C112" s="316"/>
      <c r="D112" s="421"/>
      <c r="E112" s="422"/>
      <c r="F112" s="355" t="s">
        <v>189</v>
      </c>
      <c r="G112" s="327" t="s">
        <v>190</v>
      </c>
      <c r="H112" s="328"/>
      <c r="I112" s="329"/>
      <c r="J112" s="327"/>
      <c r="K112" s="423">
        <v>0.5</v>
      </c>
      <c r="L112" s="424">
        <f>O113/8*125%</f>
        <v>10.3125</v>
      </c>
      <c r="M112" s="425">
        <v>2</v>
      </c>
      <c r="N112" s="426">
        <v>1</v>
      </c>
      <c r="O112" s="333">
        <f t="shared" si="21"/>
        <v>10.3125</v>
      </c>
      <c r="P112" s="335">
        <f>VLOOKUP($F112,'[1]Master Harga'!$E$5:$L$351,6,FALSE)</f>
        <v>149108.51999999999</v>
      </c>
      <c r="Q112" s="333">
        <f t="shared" si="22"/>
        <v>1537681.6124999998</v>
      </c>
      <c r="R112" s="333"/>
      <c r="S112" s="333"/>
      <c r="T112" s="333"/>
      <c r="U112" s="333"/>
      <c r="V112" s="333"/>
      <c r="W112" s="333"/>
      <c r="X112" s="427"/>
      <c r="Y112" s="306">
        <f t="shared" si="17"/>
        <v>3836.5309693113768</v>
      </c>
      <c r="Z112" s="295"/>
      <c r="AB112" s="393"/>
      <c r="AC112" s="393"/>
      <c r="AD112" s="308"/>
      <c r="AF112" s="393"/>
      <c r="AG112" s="393"/>
      <c r="AH112" s="308"/>
      <c r="AJ112" s="393"/>
      <c r="AK112" s="393"/>
      <c r="AL112" s="300"/>
    </row>
    <row r="113" spans="2:38" x14ac:dyDescent="0.35">
      <c r="B113" s="428"/>
      <c r="C113" s="429"/>
      <c r="D113" t="s">
        <v>124</v>
      </c>
      <c r="E113" s="430"/>
      <c r="F113" s="288" t="s">
        <v>204</v>
      </c>
      <c r="G113" s="431"/>
      <c r="H113" s="432"/>
      <c r="I113" s="433"/>
      <c r="J113" s="431"/>
      <c r="K113" s="434">
        <v>1</v>
      </c>
      <c r="L113" s="424">
        <f>(27+6)*50%</f>
        <v>16.5</v>
      </c>
      <c r="M113" s="323">
        <v>4</v>
      </c>
      <c r="N113" s="411">
        <v>1</v>
      </c>
      <c r="O113" s="411">
        <f t="shared" si="21"/>
        <v>66</v>
      </c>
      <c r="P113" s="435">
        <f>VLOOKUP($F113,'[1]Master Harga'!$E$5:$L$351,6,FALSE)</f>
        <v>766238.0730320001</v>
      </c>
      <c r="Q113" s="411">
        <f t="shared" si="22"/>
        <v>50571712.820112005</v>
      </c>
      <c r="R113" s="411"/>
      <c r="S113" s="411"/>
      <c r="T113" s="411"/>
      <c r="U113" s="411"/>
      <c r="V113" s="411"/>
      <c r="W113" s="411"/>
      <c r="X113" s="295"/>
      <c r="Y113" s="306">
        <f t="shared" si="17"/>
        <v>126176.92819389222</v>
      </c>
      <c r="Z113" s="295"/>
      <c r="AB113" s="393"/>
      <c r="AC113" s="393"/>
      <c r="AD113" s="308"/>
      <c r="AF113" s="393"/>
      <c r="AG113" s="393"/>
      <c r="AH113" s="308"/>
      <c r="AJ113" s="393"/>
      <c r="AK113" s="393"/>
      <c r="AL113" s="300"/>
    </row>
    <row r="114" spans="2:38" x14ac:dyDescent="0.35">
      <c r="B114" s="315"/>
      <c r="C114" s="316"/>
      <c r="D114" s="316"/>
      <c r="E114" s="317"/>
      <c r="F114" s="436" t="s">
        <v>272</v>
      </c>
      <c r="G114" s="289"/>
      <c r="H114" s="290"/>
      <c r="I114" s="291"/>
      <c r="J114" s="289"/>
      <c r="K114" s="304">
        <v>1</v>
      </c>
      <c r="L114" s="424">
        <f>(27+6)*50%</f>
        <v>16.5</v>
      </c>
      <c r="M114" s="294">
        <v>1</v>
      </c>
      <c r="N114" s="296">
        <v>1</v>
      </c>
      <c r="O114" s="296">
        <f t="shared" si="21"/>
        <v>16.5</v>
      </c>
      <c r="P114" s="306">
        <f>VLOOKUP($F114,'[1]Master Harga'!$E$5:$L$351,6,FALSE)</f>
        <v>50490000</v>
      </c>
      <c r="Q114" s="296">
        <f t="shared" si="22"/>
        <v>833085000</v>
      </c>
      <c r="R114" s="296"/>
      <c r="S114" s="296"/>
      <c r="T114" s="296"/>
      <c r="U114" s="296"/>
      <c r="V114" s="296"/>
      <c r="W114" s="296"/>
      <c r="X114" s="295"/>
      <c r="Y114" s="306">
        <f t="shared" si="17"/>
        <v>2078555.3892215567</v>
      </c>
      <c r="Z114" s="295"/>
      <c r="AB114" s="393"/>
      <c r="AC114" s="393"/>
      <c r="AD114" s="308"/>
      <c r="AF114" s="393"/>
      <c r="AG114" s="393"/>
      <c r="AH114" s="308"/>
      <c r="AJ114" s="393"/>
      <c r="AK114" s="393"/>
      <c r="AL114" s="300"/>
    </row>
    <row r="115" spans="2:38" s="357" customFormat="1" x14ac:dyDescent="0.35">
      <c r="B115" s="360"/>
      <c r="C115" s="361"/>
      <c r="D115" s="361" t="s">
        <v>273</v>
      </c>
      <c r="E115" s="362"/>
      <c r="F115" s="348" t="s">
        <v>189</v>
      </c>
      <c r="G115" s="342" t="s">
        <v>190</v>
      </c>
      <c r="H115" s="343"/>
      <c r="I115" s="344"/>
      <c r="J115" s="342"/>
      <c r="K115" s="304">
        <v>1</v>
      </c>
      <c r="L115" s="372"/>
      <c r="M115" s="363">
        <v>1</v>
      </c>
      <c r="N115" s="437">
        <v>1</v>
      </c>
      <c r="O115" s="296">
        <f t="shared" si="21"/>
        <v>0</v>
      </c>
      <c r="P115" s="306">
        <f>VLOOKUP($F115,'[1]Master Harga'!$E$5:$L$351,6,FALSE)</f>
        <v>149108.51999999999</v>
      </c>
      <c r="Q115" s="296">
        <f t="shared" si="22"/>
        <v>0</v>
      </c>
      <c r="R115" s="437"/>
      <c r="S115" s="437"/>
      <c r="T115" s="437"/>
      <c r="U115" s="437"/>
      <c r="V115" s="437"/>
      <c r="W115" s="437"/>
      <c r="X115" s="436"/>
      <c r="Y115" s="306">
        <f t="shared" si="17"/>
        <v>0</v>
      </c>
      <c r="Z115" s="436"/>
      <c r="AB115" s="438"/>
      <c r="AC115" s="438"/>
      <c r="AD115" s="439"/>
      <c r="AF115" s="438"/>
      <c r="AG115" s="438"/>
      <c r="AH115" s="439"/>
      <c r="AJ115" s="438"/>
      <c r="AK115" s="438"/>
      <c r="AL115" s="440"/>
    </row>
    <row r="116" spans="2:38" s="357" customFormat="1" x14ac:dyDescent="0.35">
      <c r="B116" s="309"/>
      <c r="C116" s="310"/>
      <c r="D116" s="310"/>
      <c r="E116" s="311"/>
      <c r="F116" s="348" t="s">
        <v>273</v>
      </c>
      <c r="G116" s="342" t="s">
        <v>264</v>
      </c>
      <c r="H116" s="343"/>
      <c r="I116" s="344"/>
      <c r="J116" s="342"/>
      <c r="K116" s="304">
        <v>1</v>
      </c>
      <c r="L116" s="372"/>
      <c r="M116" s="363">
        <v>6</v>
      </c>
      <c r="N116" s="437">
        <v>1</v>
      </c>
      <c r="O116" s="296">
        <f t="shared" si="21"/>
        <v>0</v>
      </c>
      <c r="P116" s="306">
        <f>VLOOKUP($F116,'[1]Master Harga'!$E$5:$L$351,6,FALSE)</f>
        <v>420000</v>
      </c>
      <c r="Q116" s="296">
        <f t="shared" si="22"/>
        <v>0</v>
      </c>
      <c r="R116" s="437"/>
      <c r="S116" s="437"/>
      <c r="T116" s="437"/>
      <c r="U116" s="437"/>
      <c r="V116" s="437"/>
      <c r="W116" s="437"/>
      <c r="X116" s="436"/>
      <c r="Y116" s="306">
        <f t="shared" si="17"/>
        <v>0</v>
      </c>
      <c r="Z116" s="436"/>
      <c r="AB116" s="438"/>
      <c r="AC116" s="438"/>
      <c r="AD116" s="439"/>
      <c r="AF116" s="438"/>
      <c r="AG116" s="438"/>
      <c r="AH116" s="439"/>
      <c r="AJ116" s="438"/>
      <c r="AK116" s="438"/>
      <c r="AL116" s="440"/>
    </row>
    <row r="117" spans="2:38" s="357" customFormat="1" x14ac:dyDescent="0.35">
      <c r="B117" s="441"/>
      <c r="C117" s="442"/>
      <c r="D117" s="442"/>
      <c r="E117" s="443"/>
      <c r="F117" s="288" t="s">
        <v>204</v>
      </c>
      <c r="G117" s="342" t="s">
        <v>203</v>
      </c>
      <c r="H117" s="343"/>
      <c r="I117" s="344"/>
      <c r="J117" s="342"/>
      <c r="K117" s="304">
        <v>1</v>
      </c>
      <c r="L117" s="372"/>
      <c r="M117" s="363">
        <v>3</v>
      </c>
      <c r="N117" s="437">
        <v>1</v>
      </c>
      <c r="O117" s="296">
        <f t="shared" si="21"/>
        <v>0</v>
      </c>
      <c r="P117" s="306">
        <f>VLOOKUP($F117,'[1]Master Harga'!$E$5:$L$351,6,FALSE)</f>
        <v>766238.0730320001</v>
      </c>
      <c r="Q117" s="296">
        <f t="shared" si="22"/>
        <v>0</v>
      </c>
      <c r="R117" s="437"/>
      <c r="S117" s="437"/>
      <c r="T117" s="437"/>
      <c r="U117" s="437"/>
      <c r="V117" s="437"/>
      <c r="W117" s="437"/>
      <c r="X117" s="436"/>
      <c r="Y117" s="306">
        <f t="shared" si="17"/>
        <v>0</v>
      </c>
      <c r="Z117" s="436"/>
      <c r="AB117" s="438"/>
      <c r="AC117" s="438"/>
      <c r="AD117" s="439"/>
      <c r="AF117" s="438"/>
      <c r="AG117" s="438"/>
      <c r="AH117" s="439"/>
      <c r="AJ117" s="438"/>
      <c r="AK117" s="438"/>
      <c r="AL117" s="440"/>
    </row>
    <row r="118" spans="2:38" s="357" customFormat="1" x14ac:dyDescent="0.35">
      <c r="B118" s="360"/>
      <c r="C118" s="361"/>
      <c r="D118" s="361" t="s">
        <v>274</v>
      </c>
      <c r="E118" s="362"/>
      <c r="F118" s="348" t="s">
        <v>189</v>
      </c>
      <c r="G118" s="342" t="s">
        <v>190</v>
      </c>
      <c r="H118" s="343"/>
      <c r="I118" s="344"/>
      <c r="J118" s="342"/>
      <c r="K118" s="304">
        <v>1</v>
      </c>
      <c r="L118" s="372"/>
      <c r="M118" s="363">
        <v>1</v>
      </c>
      <c r="N118" s="437">
        <v>1</v>
      </c>
      <c r="O118" s="296">
        <f t="shared" si="21"/>
        <v>0</v>
      </c>
      <c r="P118" s="306">
        <f>VLOOKUP($F118,'[1]Master Harga'!$E$5:$L$351,6,FALSE)</f>
        <v>149108.51999999999</v>
      </c>
      <c r="Q118" s="296">
        <f t="shared" si="22"/>
        <v>0</v>
      </c>
      <c r="R118" s="437"/>
      <c r="S118" s="437"/>
      <c r="T118" s="437"/>
      <c r="U118" s="437"/>
      <c r="V118" s="437"/>
      <c r="W118" s="437"/>
      <c r="X118" s="436"/>
      <c r="Y118" s="306">
        <f t="shared" si="17"/>
        <v>0</v>
      </c>
      <c r="Z118" s="436"/>
      <c r="AB118" s="438"/>
      <c r="AC118" s="438"/>
      <c r="AD118" s="439"/>
      <c r="AF118" s="438"/>
      <c r="AG118" s="438"/>
      <c r="AH118" s="439"/>
      <c r="AJ118" s="438"/>
      <c r="AK118" s="438"/>
      <c r="AL118" s="440"/>
    </row>
    <row r="119" spans="2:38" s="357" customFormat="1" x14ac:dyDescent="0.35">
      <c r="B119" s="309"/>
      <c r="C119" s="310"/>
      <c r="D119" s="310"/>
      <c r="E119" s="311"/>
      <c r="F119" s="348" t="s">
        <v>274</v>
      </c>
      <c r="G119" s="342" t="s">
        <v>264</v>
      </c>
      <c r="H119" s="343"/>
      <c r="I119" s="344"/>
      <c r="J119" s="342"/>
      <c r="K119" s="304">
        <v>1</v>
      </c>
      <c r="L119" s="372"/>
      <c r="M119" s="363">
        <v>7</v>
      </c>
      <c r="N119" s="437">
        <v>1</v>
      </c>
      <c r="O119" s="296">
        <f t="shared" si="21"/>
        <v>0</v>
      </c>
      <c r="P119" s="306">
        <f>VLOOKUP($F119,'[1]Master Harga'!$E$5:$L$351,6,FALSE)</f>
        <v>577500</v>
      </c>
      <c r="Q119" s="296">
        <f t="shared" si="22"/>
        <v>0</v>
      </c>
      <c r="R119" s="437"/>
      <c r="S119" s="437"/>
      <c r="T119" s="437"/>
      <c r="U119" s="437"/>
      <c r="V119" s="437"/>
      <c r="W119" s="437"/>
      <c r="X119" s="436"/>
      <c r="Y119" s="306">
        <f t="shared" si="17"/>
        <v>0</v>
      </c>
      <c r="Z119" s="436"/>
      <c r="AB119" s="438"/>
      <c r="AC119" s="438"/>
      <c r="AD119" s="439"/>
      <c r="AF119" s="438"/>
      <c r="AG119" s="438"/>
      <c r="AH119" s="439"/>
      <c r="AJ119" s="438"/>
      <c r="AK119" s="438"/>
      <c r="AL119" s="440"/>
    </row>
    <row r="120" spans="2:38" s="357" customFormat="1" x14ac:dyDescent="0.35">
      <c r="B120" s="441"/>
      <c r="C120" s="442"/>
      <c r="D120" s="442"/>
      <c r="E120" s="443"/>
      <c r="F120" s="288" t="s">
        <v>204</v>
      </c>
      <c r="G120" s="342" t="s">
        <v>203</v>
      </c>
      <c r="H120" s="343"/>
      <c r="I120" s="344"/>
      <c r="J120" s="342"/>
      <c r="K120" s="304">
        <v>1</v>
      </c>
      <c r="L120" s="372"/>
      <c r="M120" s="363">
        <v>3</v>
      </c>
      <c r="N120" s="437">
        <v>1</v>
      </c>
      <c r="O120" s="296">
        <f t="shared" si="21"/>
        <v>0</v>
      </c>
      <c r="P120" s="306">
        <f>VLOOKUP($F120,'[1]Master Harga'!$E$5:$L$351,6,FALSE)</f>
        <v>766238.0730320001</v>
      </c>
      <c r="Q120" s="296">
        <f t="shared" si="22"/>
        <v>0</v>
      </c>
      <c r="R120" s="437"/>
      <c r="S120" s="437"/>
      <c r="T120" s="437"/>
      <c r="U120" s="437"/>
      <c r="V120" s="437"/>
      <c r="W120" s="437"/>
      <c r="X120" s="436"/>
      <c r="Y120" s="306">
        <f t="shared" si="17"/>
        <v>0</v>
      </c>
      <c r="Z120" s="436"/>
      <c r="AB120" s="438"/>
      <c r="AC120" s="438"/>
      <c r="AD120" s="439"/>
      <c r="AF120" s="438"/>
      <c r="AG120" s="438"/>
      <c r="AH120" s="439"/>
      <c r="AJ120" s="438"/>
      <c r="AK120" s="438"/>
      <c r="AL120" s="440"/>
    </row>
    <row r="121" spans="2:38" s="357" customFormat="1" x14ac:dyDescent="0.35">
      <c r="B121" s="360"/>
      <c r="C121" s="361"/>
      <c r="D121" s="361" t="s">
        <v>275</v>
      </c>
      <c r="E121" s="362"/>
      <c r="F121" s="348" t="s">
        <v>189</v>
      </c>
      <c r="G121" s="342" t="s">
        <v>190</v>
      </c>
      <c r="H121" s="343"/>
      <c r="I121" s="344"/>
      <c r="J121" s="342"/>
      <c r="K121" s="304">
        <v>1</v>
      </c>
      <c r="L121" s="372">
        <v>6</v>
      </c>
      <c r="M121" s="363">
        <v>1</v>
      </c>
      <c r="N121" s="437">
        <v>1</v>
      </c>
      <c r="O121" s="296">
        <f t="shared" si="21"/>
        <v>6</v>
      </c>
      <c r="P121" s="306">
        <f>VLOOKUP($F121,'[1]Master Harga'!$E$5:$L$351,6,FALSE)</f>
        <v>149108.51999999999</v>
      </c>
      <c r="Q121" s="296">
        <f t="shared" si="22"/>
        <v>894651.11999999988</v>
      </c>
      <c r="R121" s="437"/>
      <c r="S121" s="437"/>
      <c r="T121" s="437"/>
      <c r="U121" s="437"/>
      <c r="V121" s="437"/>
      <c r="W121" s="437"/>
      <c r="X121" s="436"/>
      <c r="Y121" s="306">
        <f t="shared" si="17"/>
        <v>2232.1634730538917</v>
      </c>
      <c r="Z121" s="436"/>
      <c r="AB121" s="438"/>
      <c r="AC121" s="438"/>
      <c r="AD121" s="439"/>
      <c r="AF121" s="438"/>
      <c r="AG121" s="438"/>
      <c r="AH121" s="439"/>
      <c r="AJ121" s="438"/>
      <c r="AK121" s="438"/>
      <c r="AL121" s="440"/>
    </row>
    <row r="122" spans="2:38" x14ac:dyDescent="0.35">
      <c r="B122" s="315"/>
      <c r="C122" s="316"/>
      <c r="D122" s="421"/>
      <c r="E122" s="422"/>
      <c r="F122" s="355" t="s">
        <v>189</v>
      </c>
      <c r="G122" s="327" t="s">
        <v>190</v>
      </c>
      <c r="H122" s="328"/>
      <c r="I122" s="329"/>
      <c r="J122" s="327"/>
      <c r="K122" s="423">
        <v>0.5</v>
      </c>
      <c r="L122" s="424">
        <f>O124/8*125%</f>
        <v>2.8125</v>
      </c>
      <c r="M122" s="425">
        <v>2</v>
      </c>
      <c r="N122" s="426">
        <v>1</v>
      </c>
      <c r="O122" s="333">
        <f>K122*L122*M122*N122</f>
        <v>2.8125</v>
      </c>
      <c r="P122" s="335">
        <f>VLOOKUP($F122,'[1]Master Harga'!$E$5:$L$351,6,FALSE)</f>
        <v>149108.51999999999</v>
      </c>
      <c r="Q122" s="333">
        <f>O122*P122</f>
        <v>419367.71249999997</v>
      </c>
      <c r="R122" s="333"/>
      <c r="S122" s="333"/>
      <c r="T122" s="333"/>
      <c r="U122" s="333"/>
      <c r="V122" s="333"/>
      <c r="W122" s="333"/>
      <c r="X122" s="427"/>
      <c r="Y122" s="306">
        <f t="shared" si="17"/>
        <v>1046.3266279940119</v>
      </c>
      <c r="Z122" s="295"/>
      <c r="AB122" s="393"/>
      <c r="AC122" s="393"/>
      <c r="AD122" s="308"/>
      <c r="AF122" s="393"/>
      <c r="AG122" s="393"/>
      <c r="AH122" s="308"/>
      <c r="AJ122" s="393"/>
      <c r="AK122" s="393"/>
      <c r="AL122" s="300"/>
    </row>
    <row r="123" spans="2:38" s="357" customFormat="1" x14ac:dyDescent="0.35">
      <c r="B123" s="309"/>
      <c r="C123" s="310"/>
      <c r="D123" s="310"/>
      <c r="E123" s="311"/>
      <c r="F123" s="348" t="s">
        <v>275</v>
      </c>
      <c r="G123" s="342" t="s">
        <v>264</v>
      </c>
      <c r="H123" s="343"/>
      <c r="I123" s="344"/>
      <c r="J123" s="342"/>
      <c r="K123" s="304">
        <v>1</v>
      </c>
      <c r="L123" s="372">
        <v>6</v>
      </c>
      <c r="M123" s="363">
        <v>7</v>
      </c>
      <c r="N123" s="437">
        <v>1</v>
      </c>
      <c r="O123" s="296">
        <f t="shared" si="21"/>
        <v>42</v>
      </c>
      <c r="P123" s="306">
        <f>VLOOKUP($F123,'[1]Master Harga'!$E$5:$L$351,6,FALSE)</f>
        <v>682500</v>
      </c>
      <c r="Q123" s="296">
        <f t="shared" si="22"/>
        <v>28665000</v>
      </c>
      <c r="R123" s="437"/>
      <c r="S123" s="437"/>
      <c r="T123" s="437"/>
      <c r="U123" s="437"/>
      <c r="V123" s="437"/>
      <c r="W123" s="437"/>
      <c r="X123" s="436"/>
      <c r="Y123" s="306">
        <f t="shared" si="17"/>
        <v>71519.461077844317</v>
      </c>
      <c r="Z123" s="436"/>
      <c r="AB123" s="438"/>
      <c r="AC123" s="438"/>
      <c r="AD123" s="439"/>
      <c r="AF123" s="438"/>
      <c r="AG123" s="438"/>
      <c r="AH123" s="439"/>
      <c r="AJ123" s="438"/>
      <c r="AK123" s="438"/>
      <c r="AL123" s="440"/>
    </row>
    <row r="124" spans="2:38" s="357" customFormat="1" x14ac:dyDescent="0.35">
      <c r="B124" s="441"/>
      <c r="C124" s="442"/>
      <c r="D124" s="442"/>
      <c r="E124" s="443"/>
      <c r="F124" s="288" t="s">
        <v>204</v>
      </c>
      <c r="G124" s="342" t="s">
        <v>203</v>
      </c>
      <c r="H124" s="343"/>
      <c r="I124" s="344"/>
      <c r="J124" s="342"/>
      <c r="K124" s="304">
        <v>1</v>
      </c>
      <c r="L124" s="372">
        <v>6</v>
      </c>
      <c r="M124" s="363">
        <v>3</v>
      </c>
      <c r="N124" s="437">
        <v>1</v>
      </c>
      <c r="O124" s="296">
        <f t="shared" si="21"/>
        <v>18</v>
      </c>
      <c r="P124" s="306">
        <f>VLOOKUP($F124,'[1]Master Harga'!$E$5:$L$351,6,FALSE)</f>
        <v>766238.0730320001</v>
      </c>
      <c r="Q124" s="296">
        <f t="shared" si="22"/>
        <v>13792285.314576002</v>
      </c>
      <c r="R124" s="437"/>
      <c r="S124" s="437"/>
      <c r="T124" s="437"/>
      <c r="U124" s="437"/>
      <c r="V124" s="437"/>
      <c r="W124" s="437"/>
      <c r="X124" s="436"/>
      <c r="Y124" s="306">
        <f t="shared" si="17"/>
        <v>34411.889507425156</v>
      </c>
      <c r="Z124" s="436"/>
      <c r="AB124" s="438"/>
      <c r="AC124" s="438"/>
      <c r="AD124" s="439"/>
      <c r="AF124" s="438"/>
      <c r="AG124" s="438"/>
      <c r="AH124" s="439"/>
      <c r="AJ124" s="438"/>
      <c r="AK124" s="438"/>
      <c r="AL124" s="440"/>
    </row>
    <row r="125" spans="2:38" s="357" customFormat="1" x14ac:dyDescent="0.35">
      <c r="B125" s="377"/>
      <c r="C125" s="378"/>
      <c r="D125" s="379" t="s">
        <v>276</v>
      </c>
      <c r="E125" s="380"/>
      <c r="F125" s="381"/>
      <c r="G125" s="382"/>
      <c r="H125" s="383"/>
      <c r="I125" s="384"/>
      <c r="J125" s="382"/>
      <c r="K125" s="385"/>
      <c r="L125" s="386"/>
      <c r="M125" s="387"/>
      <c r="N125" s="388"/>
      <c r="O125" s="388"/>
      <c r="P125" s="389"/>
      <c r="Q125" s="390">
        <f>SUM(Q99:Q124)</f>
        <v>1387722586.485328</v>
      </c>
      <c r="R125" s="388"/>
      <c r="S125" s="388"/>
      <c r="T125" s="388"/>
      <c r="U125" s="388"/>
      <c r="V125" s="388"/>
      <c r="W125" s="388"/>
      <c r="X125" s="415"/>
      <c r="Y125" s="392">
        <f t="shared" si="17"/>
        <v>3462381.7028077045</v>
      </c>
      <c r="Z125" s="416">
        <f>Q125/$Q$359*100</f>
        <v>6.9817568894721571</v>
      </c>
      <c r="AB125" s="438"/>
      <c r="AC125" s="438"/>
      <c r="AD125" s="439"/>
      <c r="AF125" s="438"/>
      <c r="AG125" s="438"/>
      <c r="AH125" s="439"/>
      <c r="AJ125" s="438"/>
      <c r="AK125" s="438"/>
      <c r="AL125" s="440"/>
    </row>
    <row r="126" spans="2:38" s="357" customFormat="1" x14ac:dyDescent="0.35">
      <c r="B126" s="343"/>
      <c r="C126" s="444" t="s">
        <v>277</v>
      </c>
      <c r="D126" s="344"/>
      <c r="E126" s="445"/>
      <c r="F126" s="348"/>
      <c r="G126" s="342"/>
      <c r="H126" s="343"/>
      <c r="I126" s="344"/>
      <c r="J126" s="342"/>
      <c r="K126" s="349"/>
      <c r="L126" s="372"/>
      <c r="M126" s="363"/>
      <c r="N126" s="437"/>
      <c r="O126" s="437"/>
      <c r="P126" s="446"/>
      <c r="Q126" s="437"/>
      <c r="R126" s="437"/>
      <c r="S126" s="437"/>
      <c r="T126" s="437"/>
      <c r="U126" s="437"/>
      <c r="V126" s="437"/>
      <c r="W126" s="437"/>
      <c r="X126" s="436"/>
      <c r="Y126" s="446">
        <f t="shared" si="17"/>
        <v>0</v>
      </c>
      <c r="Z126" s="436"/>
      <c r="AB126" s="438"/>
      <c r="AC126" s="438"/>
      <c r="AD126" s="439"/>
      <c r="AF126" s="438"/>
      <c r="AG126" s="438"/>
      <c r="AH126" s="439"/>
      <c r="AJ126" s="438"/>
      <c r="AK126" s="438"/>
      <c r="AL126" s="440"/>
    </row>
    <row r="127" spans="2:38" hidden="1" x14ac:dyDescent="0.35">
      <c r="B127" s="312"/>
      <c r="C127" s="313"/>
      <c r="D127" s="313" t="s">
        <v>278</v>
      </c>
      <c r="E127" s="314"/>
      <c r="F127" s="288" t="s">
        <v>189</v>
      </c>
      <c r="G127" s="289" t="s">
        <v>190</v>
      </c>
      <c r="H127" s="290"/>
      <c r="I127" s="291"/>
      <c r="J127" s="289"/>
      <c r="K127" s="292"/>
      <c r="L127" s="293"/>
      <c r="M127" s="294"/>
      <c r="N127" s="296">
        <v>1</v>
      </c>
      <c r="O127" s="296">
        <f t="shared" ref="O127:O134" si="23">K127*L127*M127*N127</f>
        <v>0</v>
      </c>
      <c r="P127" s="306">
        <f>VLOOKUP($F127,'[1]Master Harga'!$E$5:$L$351,5,FALSE)</f>
        <v>140008</v>
      </c>
      <c r="Q127" s="296">
        <f t="shared" ref="Q127:Q134" si="24">P127*$O127</f>
        <v>0</v>
      </c>
      <c r="R127" s="296"/>
      <c r="S127" s="296"/>
      <c r="T127" s="296"/>
      <c r="U127" s="296"/>
      <c r="V127" s="296"/>
      <c r="W127" s="296"/>
      <c r="X127" s="295"/>
      <c r="Y127" s="306">
        <f t="shared" si="17"/>
        <v>0</v>
      </c>
      <c r="Z127" s="295"/>
      <c r="AB127" s="393"/>
      <c r="AC127" s="393"/>
      <c r="AD127" s="308"/>
      <c r="AF127" s="393"/>
      <c r="AG127" s="393"/>
      <c r="AH127" s="308"/>
      <c r="AJ127" s="393"/>
      <c r="AK127" s="393"/>
      <c r="AL127" s="300"/>
    </row>
    <row r="128" spans="2:38" hidden="1" x14ac:dyDescent="0.35">
      <c r="B128" s="320"/>
      <c r="C128" s="321"/>
      <c r="D128" s="321"/>
      <c r="E128" s="322"/>
      <c r="F128" s="288" t="s">
        <v>204</v>
      </c>
      <c r="G128" s="289" t="s">
        <v>203</v>
      </c>
      <c r="H128" s="290"/>
      <c r="I128" s="291"/>
      <c r="J128" s="289"/>
      <c r="K128" s="292"/>
      <c r="L128" s="293"/>
      <c r="M128" s="294">
        <f>1/10</f>
        <v>0.1</v>
      </c>
      <c r="N128" s="296">
        <v>1</v>
      </c>
      <c r="O128" s="296">
        <f t="shared" si="23"/>
        <v>0</v>
      </c>
      <c r="P128" s="306">
        <f>VLOOKUP($F128,'[1]Master Harga'!$E$5:$L$351,5,FALSE)</f>
        <v>723987.17873333325</v>
      </c>
      <c r="Q128" s="296">
        <f t="shared" si="24"/>
        <v>0</v>
      </c>
      <c r="R128" s="296"/>
      <c r="S128" s="296"/>
      <c r="T128" s="296"/>
      <c r="U128" s="296"/>
      <c r="V128" s="296"/>
      <c r="W128" s="296"/>
      <c r="X128" s="295"/>
      <c r="Y128" s="306">
        <f>Q128/$AB$1</f>
        <v>0</v>
      </c>
      <c r="Z128" s="295"/>
      <c r="AB128" s="393"/>
      <c r="AC128" s="393"/>
      <c r="AD128" s="308"/>
      <c r="AF128" s="393"/>
      <c r="AG128" s="393"/>
      <c r="AH128" s="308"/>
      <c r="AJ128" s="393"/>
      <c r="AK128" s="393"/>
      <c r="AL128" s="300"/>
    </row>
    <row r="129" spans="2:38" x14ac:dyDescent="0.35">
      <c r="B129" s="301"/>
      <c r="C129" s="302"/>
      <c r="D129" s="302" t="s">
        <v>279</v>
      </c>
      <c r="E129" s="303"/>
      <c r="F129" s="288" t="s">
        <v>189</v>
      </c>
      <c r="G129" s="289" t="s">
        <v>190</v>
      </c>
      <c r="H129" s="290"/>
      <c r="I129" s="291"/>
      <c r="J129" s="289"/>
      <c r="K129" s="304">
        <v>0.5</v>
      </c>
      <c r="L129" s="293">
        <f>L87+L89+L95</f>
        <v>19388.866244305238</v>
      </c>
      <c r="M129" s="294">
        <f>1/40</f>
        <v>2.5000000000000001E-2</v>
      </c>
      <c r="N129" s="296">
        <v>1</v>
      </c>
      <c r="O129" s="296">
        <f t="shared" si="23"/>
        <v>242.36082805381548</v>
      </c>
      <c r="P129" s="306">
        <f>VLOOKUP($F129,'[1]Master Harga'!$E$5:$L$351,5,FALSE)</f>
        <v>140008</v>
      </c>
      <c r="Q129" s="296">
        <f t="shared" si="24"/>
        <v>33932454.814158596</v>
      </c>
      <c r="R129" s="296"/>
      <c r="S129" s="296"/>
      <c r="T129" s="296"/>
      <c r="U129" s="296"/>
      <c r="V129" s="296"/>
      <c r="W129" s="296"/>
      <c r="X129" s="295"/>
      <c r="Y129" s="306">
        <f t="shared" si="17"/>
        <v>84661.813408579328</v>
      </c>
      <c r="Z129" s="295"/>
      <c r="AB129" s="393"/>
      <c r="AC129" s="393"/>
      <c r="AD129" s="308"/>
      <c r="AF129" s="393"/>
      <c r="AG129" s="393"/>
      <c r="AH129" s="308"/>
      <c r="AJ129" s="393"/>
      <c r="AK129" s="393"/>
      <c r="AL129" s="300"/>
    </row>
    <row r="130" spans="2:38" x14ac:dyDescent="0.35">
      <c r="B130" s="315"/>
      <c r="C130" s="316"/>
      <c r="D130" s="421"/>
      <c r="E130" s="422"/>
      <c r="F130" s="355" t="s">
        <v>189</v>
      </c>
      <c r="G130" s="327" t="s">
        <v>190</v>
      </c>
      <c r="H130" s="328"/>
      <c r="I130" s="329"/>
      <c r="J130" s="327"/>
      <c r="K130" s="423">
        <v>0.5</v>
      </c>
      <c r="L130" s="424">
        <f>O131/8*125%</f>
        <v>100.98367835575644</v>
      </c>
      <c r="M130" s="425">
        <v>2</v>
      </c>
      <c r="N130" s="426">
        <v>1</v>
      </c>
      <c r="O130" s="333">
        <f>K130*L130*M130*N130</f>
        <v>100.98367835575644</v>
      </c>
      <c r="P130" s="335">
        <f>VLOOKUP($F130,'[1]Master Harga'!$E$5:$L$351,6,FALSE)</f>
        <v>149108.51999999999</v>
      </c>
      <c r="Q130" s="333">
        <f>O130*P130</f>
        <v>15057526.823782874</v>
      </c>
      <c r="R130" s="333"/>
      <c r="S130" s="333"/>
      <c r="T130" s="333"/>
      <c r="U130" s="333"/>
      <c r="V130" s="333"/>
      <c r="W130" s="333"/>
      <c r="X130" s="427"/>
      <c r="Y130" s="306">
        <f t="shared" si="17"/>
        <v>37568.679700057073</v>
      </c>
      <c r="Z130" s="295"/>
      <c r="AB130" s="393"/>
      <c r="AC130" s="393"/>
      <c r="AD130" s="308"/>
      <c r="AF130" s="393"/>
      <c r="AG130" s="393"/>
      <c r="AH130" s="308"/>
      <c r="AJ130" s="393"/>
      <c r="AK130" s="393"/>
      <c r="AL130" s="300"/>
    </row>
    <row r="131" spans="2:38" x14ac:dyDescent="0.35">
      <c r="B131" s="367"/>
      <c r="C131" s="368"/>
      <c r="D131" s="368" t="s">
        <v>280</v>
      </c>
      <c r="E131" s="408"/>
      <c r="F131" s="288" t="s">
        <v>204</v>
      </c>
      <c r="G131" s="289" t="s">
        <v>203</v>
      </c>
      <c r="H131" s="290"/>
      <c r="I131" s="291"/>
      <c r="J131" s="289"/>
      <c r="K131" s="304">
        <v>1</v>
      </c>
      <c r="L131" s="293">
        <f>L129</f>
        <v>19388.866244305238</v>
      </c>
      <c r="M131" s="294">
        <f>1/30</f>
        <v>3.3333333333333333E-2</v>
      </c>
      <c r="N131" s="296">
        <v>1</v>
      </c>
      <c r="O131" s="296">
        <f t="shared" si="23"/>
        <v>646.29554147684121</v>
      </c>
      <c r="P131" s="306">
        <f>VLOOKUP($F131,'[1]Master Harga'!$E$5:$L$351,5,FALSE)</f>
        <v>723987.17873333325</v>
      </c>
      <c r="Q131" s="296">
        <f t="shared" si="24"/>
        <v>467909685.70175022</v>
      </c>
      <c r="R131" s="296"/>
      <c r="S131" s="296"/>
      <c r="T131" s="296"/>
      <c r="U131" s="296"/>
      <c r="V131" s="296"/>
      <c r="W131" s="296"/>
      <c r="X131" s="295"/>
      <c r="Y131" s="306">
        <f t="shared" si="17"/>
        <v>1167439.3355832091</v>
      </c>
      <c r="Z131" s="296"/>
      <c r="AB131" s="393"/>
      <c r="AC131" s="393"/>
      <c r="AD131" s="308"/>
      <c r="AF131" s="393"/>
      <c r="AG131" s="393"/>
      <c r="AH131" s="308"/>
      <c r="AJ131" s="393"/>
      <c r="AK131" s="393"/>
      <c r="AL131" s="300"/>
    </row>
    <row r="132" spans="2:38" x14ac:dyDescent="0.35">
      <c r="B132" s="301"/>
      <c r="C132" s="302"/>
      <c r="D132" s="447" t="s">
        <v>281</v>
      </c>
      <c r="E132" s="448"/>
      <c r="F132" s="355" t="s">
        <v>189</v>
      </c>
      <c r="G132" s="327" t="s">
        <v>190</v>
      </c>
      <c r="H132" s="328"/>
      <c r="I132" s="329"/>
      <c r="J132" s="327"/>
      <c r="K132" s="330">
        <v>1</v>
      </c>
      <c r="L132" s="293">
        <f>$AB$1</f>
        <v>400.8</v>
      </c>
      <c r="M132" s="294">
        <f>1/45</f>
        <v>2.2222222222222223E-2</v>
      </c>
      <c r="N132" s="333">
        <v>1</v>
      </c>
      <c r="O132" s="449">
        <f t="shared" si="23"/>
        <v>8.9066666666666681</v>
      </c>
      <c r="P132" s="306">
        <f>VLOOKUP($F132,'[1]Master Harga'!$E$5:$L$351,6,FALSE)</f>
        <v>149108.51999999999</v>
      </c>
      <c r="Q132" s="333">
        <f t="shared" si="24"/>
        <v>1328059.8848000001</v>
      </c>
      <c r="R132" s="333"/>
      <c r="S132" s="333"/>
      <c r="T132" s="333"/>
      <c r="U132" s="333"/>
      <c r="V132" s="333"/>
      <c r="W132" s="333"/>
      <c r="X132" s="427"/>
      <c r="Y132" s="306">
        <f t="shared" si="17"/>
        <v>3313.5226666666667</v>
      </c>
      <c r="Z132" s="295"/>
      <c r="AB132" s="393"/>
      <c r="AC132" s="393"/>
      <c r="AD132" s="308"/>
      <c r="AF132" s="393"/>
      <c r="AG132" s="393"/>
      <c r="AH132" s="308"/>
      <c r="AJ132" s="393"/>
      <c r="AK132" s="393"/>
      <c r="AL132" s="300"/>
    </row>
    <row r="133" spans="2:38" x14ac:dyDescent="0.35">
      <c r="B133" s="315"/>
      <c r="C133" s="316"/>
      <c r="D133" s="421"/>
      <c r="E133" s="422"/>
      <c r="F133" s="355" t="s">
        <v>189</v>
      </c>
      <c r="G133" s="327" t="s">
        <v>190</v>
      </c>
      <c r="H133" s="328"/>
      <c r="I133" s="329"/>
      <c r="J133" s="327"/>
      <c r="K133" s="423">
        <v>0.5</v>
      </c>
      <c r="L133" s="424">
        <f>O134/8*125%</f>
        <v>835</v>
      </c>
      <c r="M133" s="425">
        <v>2</v>
      </c>
      <c r="N133" s="426">
        <v>1</v>
      </c>
      <c r="O133" s="333">
        <f>K133*L133*M133*N133</f>
        <v>835</v>
      </c>
      <c r="P133" s="335">
        <f>VLOOKUP($F133,'[1]Master Harga'!$E$5:$L$351,6,FALSE)</f>
        <v>149108.51999999999</v>
      </c>
      <c r="Q133" s="333">
        <f>O133*P133</f>
        <v>124505614.19999999</v>
      </c>
      <c r="R133" s="333"/>
      <c r="S133" s="333"/>
      <c r="T133" s="333"/>
      <c r="U133" s="333"/>
      <c r="V133" s="333"/>
      <c r="W133" s="333"/>
      <c r="X133" s="427"/>
      <c r="Y133" s="306">
        <f t="shared" si="17"/>
        <v>310642.74999999994</v>
      </c>
      <c r="Z133" s="295"/>
      <c r="AB133" s="393"/>
      <c r="AC133" s="393"/>
      <c r="AD133" s="308"/>
      <c r="AF133" s="393"/>
      <c r="AG133" s="393"/>
      <c r="AH133" s="308"/>
      <c r="AJ133" s="393"/>
      <c r="AK133" s="393"/>
      <c r="AL133" s="300"/>
    </row>
    <row r="134" spans="2:38" x14ac:dyDescent="0.35">
      <c r="B134" s="367"/>
      <c r="C134" s="368"/>
      <c r="D134" s="442"/>
      <c r="E134" s="443"/>
      <c r="F134" s="348" t="s">
        <v>204</v>
      </c>
      <c r="G134" s="342" t="s">
        <v>203</v>
      </c>
      <c r="H134" s="343"/>
      <c r="I134" s="344"/>
      <c r="J134" s="342" t="s">
        <v>253</v>
      </c>
      <c r="K134" s="318">
        <v>1</v>
      </c>
      <c r="L134" s="372">
        <f>600*$AB$1</f>
        <v>240480</v>
      </c>
      <c r="M134" s="294">
        <f>1/45</f>
        <v>2.2222222222222223E-2</v>
      </c>
      <c r="N134" s="296">
        <v>1</v>
      </c>
      <c r="O134" s="299">
        <f t="shared" si="23"/>
        <v>5344</v>
      </c>
      <c r="P134" s="306">
        <f>VLOOKUP($F134,'[1]Master Harga'!$E$5:$L$351,6,FALSE)</f>
        <v>766238.0730320001</v>
      </c>
      <c r="Q134" s="296">
        <f t="shared" si="24"/>
        <v>4094776262.2830086</v>
      </c>
      <c r="R134" s="296">
        <f>VLOOKUP($F134,'[1]Master Harga'!$E$5:$L$351,6,FALSE)</f>
        <v>766238.0730320001</v>
      </c>
      <c r="S134" s="296">
        <f>R134*$O134</f>
        <v>4094776262.2830086</v>
      </c>
      <c r="T134" s="296">
        <f>VLOOKUP($F134,'[1]Master Harga'!$E$5:$L$351,7,FALSE)</f>
        <v>811243.70213055995</v>
      </c>
      <c r="U134" s="296">
        <f>T134*$O134</f>
        <v>4335286344.1857128</v>
      </c>
      <c r="V134" s="296">
        <f>W134/O134</f>
        <v>781239.94939818676</v>
      </c>
      <c r="W134" s="307">
        <f>AVERAGEIF($P$3:$U$3,W$3,$P134:$U134)</f>
        <v>4174946289.58391</v>
      </c>
      <c r="X134" s="295"/>
      <c r="Y134" s="306">
        <f t="shared" si="17"/>
        <v>10216507.640426667</v>
      </c>
      <c r="Z134" s="450">
        <f>Y134/600</f>
        <v>17027.512734044445</v>
      </c>
      <c r="AB134" s="393"/>
      <c r="AC134" s="393"/>
      <c r="AD134" s="308"/>
      <c r="AF134" s="393"/>
      <c r="AG134" s="393"/>
      <c r="AH134" s="308"/>
      <c r="AJ134" s="393"/>
      <c r="AK134" s="393"/>
      <c r="AL134" s="300"/>
    </row>
    <row r="135" spans="2:38" x14ac:dyDescent="0.35">
      <c r="B135" s="412" t="s">
        <v>282</v>
      </c>
      <c r="C135" s="413"/>
      <c r="D135" s="413"/>
      <c r="E135" s="414"/>
      <c r="F135" s="381"/>
      <c r="G135" s="382"/>
      <c r="H135" s="383"/>
      <c r="I135" s="384"/>
      <c r="J135" s="382"/>
      <c r="K135" s="451"/>
      <c r="L135" s="386"/>
      <c r="M135" s="387"/>
      <c r="N135" s="388"/>
      <c r="O135" s="452"/>
      <c r="P135" s="389"/>
      <c r="Q135" s="390">
        <f>SUM(Q126:Q134)</f>
        <v>4737509603.7075005</v>
      </c>
      <c r="R135" s="388"/>
      <c r="S135" s="388"/>
      <c r="T135" s="388"/>
      <c r="U135" s="388"/>
      <c r="V135" s="388"/>
      <c r="W135" s="453"/>
      <c r="X135" s="415"/>
      <c r="Y135" s="392">
        <f t="shared" si="17"/>
        <v>11820133.74178518</v>
      </c>
      <c r="Z135" s="416">
        <f>Q135/$Q$359*100</f>
        <v>23.83483603765287</v>
      </c>
      <c r="AB135" s="393"/>
      <c r="AC135" s="393"/>
      <c r="AD135" s="308"/>
      <c r="AF135" s="393"/>
      <c r="AG135" s="393"/>
      <c r="AH135" s="308"/>
      <c r="AJ135" s="393"/>
      <c r="AK135" s="393"/>
      <c r="AL135" s="300"/>
    </row>
    <row r="136" spans="2:38" x14ac:dyDescent="0.35">
      <c r="B136" s="343"/>
      <c r="C136" s="444" t="s">
        <v>283</v>
      </c>
      <c r="D136" s="344"/>
      <c r="E136" s="445"/>
      <c r="F136" s="348"/>
      <c r="G136" s="342"/>
      <c r="H136" s="343"/>
      <c r="I136" s="344"/>
      <c r="J136" s="342"/>
      <c r="K136" s="349"/>
      <c r="L136" s="372"/>
      <c r="M136" s="294"/>
      <c r="N136" s="296"/>
      <c r="O136" s="296"/>
      <c r="P136" s="306"/>
      <c r="Q136" s="296"/>
      <c r="R136" s="296"/>
      <c r="S136" s="296"/>
      <c r="T136" s="296"/>
      <c r="U136" s="296"/>
      <c r="V136" s="296"/>
      <c r="W136" s="296"/>
      <c r="X136" s="295"/>
      <c r="Y136" s="306">
        <f t="shared" si="17"/>
        <v>0</v>
      </c>
      <c r="Z136" s="295"/>
      <c r="AB136" s="393"/>
      <c r="AC136" s="393"/>
      <c r="AD136" s="308"/>
      <c r="AF136" s="393"/>
      <c r="AG136" s="393"/>
      <c r="AH136" s="308"/>
      <c r="AJ136" s="393"/>
      <c r="AK136" s="393"/>
      <c r="AL136" s="300"/>
    </row>
    <row r="137" spans="2:38" hidden="1" x14ac:dyDescent="0.35">
      <c r="B137" s="312"/>
      <c r="C137" s="313"/>
      <c r="D137" s="313" t="s">
        <v>284</v>
      </c>
      <c r="E137" s="314"/>
      <c r="F137" s="348" t="s">
        <v>189</v>
      </c>
      <c r="G137" s="342" t="s">
        <v>190</v>
      </c>
      <c r="H137" s="343"/>
      <c r="I137" s="344"/>
      <c r="J137" s="342"/>
      <c r="K137" s="349"/>
      <c r="L137" s="372"/>
      <c r="M137" s="294"/>
      <c r="N137" s="296">
        <v>1</v>
      </c>
      <c r="O137" s="296"/>
      <c r="P137" s="306"/>
      <c r="Q137" s="296"/>
      <c r="R137" s="296"/>
      <c r="S137" s="296"/>
      <c r="T137" s="296"/>
      <c r="U137" s="296"/>
      <c r="V137" s="296"/>
      <c r="W137" s="296"/>
      <c r="X137" s="295"/>
      <c r="Y137" s="306">
        <f t="shared" si="17"/>
        <v>0</v>
      </c>
      <c r="Z137" s="295"/>
      <c r="AB137" s="393"/>
      <c r="AC137" s="393"/>
      <c r="AD137" s="308"/>
      <c r="AF137" s="393"/>
      <c r="AG137" s="393"/>
      <c r="AH137" s="308"/>
      <c r="AJ137" s="393"/>
      <c r="AK137" s="393"/>
      <c r="AL137" s="300"/>
    </row>
    <row r="138" spans="2:38" hidden="1" x14ac:dyDescent="0.35">
      <c r="B138" s="320"/>
      <c r="C138" s="321"/>
      <c r="D138" s="321"/>
      <c r="E138" s="322"/>
      <c r="F138" s="348" t="s">
        <v>215</v>
      </c>
      <c r="G138" s="342" t="s">
        <v>203</v>
      </c>
      <c r="H138" s="343"/>
      <c r="I138" s="344"/>
      <c r="J138" s="342" t="s">
        <v>253</v>
      </c>
      <c r="K138" s="318">
        <v>1</v>
      </c>
      <c r="L138" s="372"/>
      <c r="M138" s="294">
        <f>1/10</f>
        <v>0.1</v>
      </c>
      <c r="N138" s="296">
        <v>1</v>
      </c>
      <c r="O138" s="437">
        <f>K138*L138*M138*N138</f>
        <v>0</v>
      </c>
      <c r="P138" s="306">
        <f>VLOOKUP($F138,'[1]Master Harga'!$E$5:$L$351,6,FALSE)</f>
        <v>720338.0730320001</v>
      </c>
      <c r="Q138" s="296">
        <f>P138*$O138</f>
        <v>0</v>
      </c>
      <c r="R138" s="296">
        <f>VLOOKUP($F138,'[1]Master Harga'!$E$5:$L$351,6,FALSE)</f>
        <v>720338.0730320001</v>
      </c>
      <c r="S138" s="296">
        <f>R138*$O138</f>
        <v>0</v>
      </c>
      <c r="T138" s="296">
        <f>VLOOKUP($F138,'[1]Master Harga'!$E$5:$L$351,7,FALSE)</f>
        <v>761671.70213055995</v>
      </c>
      <c r="U138" s="296">
        <f>T138*$O138</f>
        <v>0</v>
      </c>
      <c r="V138" s="296" t="e">
        <f>W138/O138</f>
        <v>#DIV/0!</v>
      </c>
      <c r="W138" s="307">
        <f>AVERAGEIF($P$3:$U$3,W$3,$P138:$U138)</f>
        <v>0</v>
      </c>
      <c r="X138" s="450"/>
      <c r="Y138" s="306">
        <f t="shared" si="17"/>
        <v>0</v>
      </c>
      <c r="Z138" s="295"/>
      <c r="AB138" s="393"/>
      <c r="AC138" s="393"/>
      <c r="AD138" s="308"/>
      <c r="AF138" s="393"/>
      <c r="AG138" s="393"/>
      <c r="AH138" s="308"/>
      <c r="AJ138" s="393"/>
      <c r="AK138" s="393"/>
      <c r="AL138" s="300"/>
    </row>
    <row r="139" spans="2:38" hidden="1" x14ac:dyDescent="0.35">
      <c r="B139" s="312"/>
      <c r="C139" s="313"/>
      <c r="D139" s="313" t="s">
        <v>285</v>
      </c>
      <c r="E139" s="314"/>
      <c r="F139" s="348" t="s">
        <v>189</v>
      </c>
      <c r="G139" s="342" t="s">
        <v>190</v>
      </c>
      <c r="H139" s="343"/>
      <c r="I139" s="344"/>
      <c r="J139" s="342"/>
      <c r="K139" s="318">
        <v>1</v>
      </c>
      <c r="L139" s="372"/>
      <c r="M139" s="294">
        <v>1</v>
      </c>
      <c r="N139" s="296">
        <v>1</v>
      </c>
      <c r="O139" s="437">
        <f>K139*L139*M139*N139</f>
        <v>0</v>
      </c>
      <c r="P139" s="306">
        <f>VLOOKUP($F139,'[1]Master Harga'!$E$5:$L$351,6,FALSE)</f>
        <v>149108.51999999999</v>
      </c>
      <c r="Q139" s="296">
        <f>P139*$O139</f>
        <v>0</v>
      </c>
      <c r="R139" s="296"/>
      <c r="S139" s="296"/>
      <c r="T139" s="296"/>
      <c r="U139" s="296"/>
      <c r="V139" s="296"/>
      <c r="W139" s="296"/>
      <c r="X139" s="295"/>
      <c r="Y139" s="306">
        <f t="shared" si="17"/>
        <v>0</v>
      </c>
      <c r="Z139" s="295"/>
      <c r="AB139" s="393"/>
      <c r="AC139" s="393"/>
      <c r="AD139" s="308"/>
      <c r="AF139" s="393"/>
      <c r="AG139" s="393"/>
      <c r="AH139" s="308"/>
      <c r="AJ139" s="393"/>
      <c r="AK139" s="393"/>
      <c r="AL139" s="300"/>
    </row>
    <row r="140" spans="2:38" hidden="1" x14ac:dyDescent="0.35">
      <c r="B140" s="320"/>
      <c r="C140" s="321"/>
      <c r="D140" s="321"/>
      <c r="E140" s="322"/>
      <c r="F140" s="348" t="s">
        <v>215</v>
      </c>
      <c r="G140" s="342" t="s">
        <v>203</v>
      </c>
      <c r="H140" s="343"/>
      <c r="I140" s="344"/>
      <c r="J140" s="342" t="s">
        <v>253</v>
      </c>
      <c r="K140" s="318">
        <v>1</v>
      </c>
      <c r="L140" s="372"/>
      <c r="M140" s="363">
        <f>1/20</f>
        <v>0.05</v>
      </c>
      <c r="N140" s="296">
        <v>1</v>
      </c>
      <c r="O140" s="437">
        <f>K140*L140*M140*N140</f>
        <v>0</v>
      </c>
      <c r="P140" s="306">
        <f>VLOOKUP($F140,'[1]Master Harga'!$E$5:$L$351,6,FALSE)</f>
        <v>720338.0730320001</v>
      </c>
      <c r="Q140" s="296">
        <f>P140*$O140</f>
        <v>0</v>
      </c>
      <c r="R140" s="296">
        <f>VLOOKUP($F140,'[1]Master Harga'!$E$5:$L$351,6,FALSE)</f>
        <v>720338.0730320001</v>
      </c>
      <c r="S140" s="296">
        <f>R140*$O140</f>
        <v>0</v>
      </c>
      <c r="T140" s="296">
        <f>VLOOKUP($F140,'[1]Master Harga'!$E$5:$L$351,7,FALSE)</f>
        <v>761671.70213055995</v>
      </c>
      <c r="U140" s="296">
        <f>T140*$O140</f>
        <v>0</v>
      </c>
      <c r="V140" s="296" t="e">
        <f>W140/O140</f>
        <v>#DIV/0!</v>
      </c>
      <c r="W140" s="307">
        <f>AVERAGEIF($P$3:$U$3,W$3,$P140:$U140)</f>
        <v>0</v>
      </c>
      <c r="X140" s="296"/>
      <c r="Y140" s="306">
        <f t="shared" si="17"/>
        <v>0</v>
      </c>
      <c r="Z140" s="295"/>
      <c r="AB140" s="393"/>
      <c r="AC140" s="393"/>
      <c r="AD140" s="308"/>
      <c r="AF140" s="393"/>
      <c r="AG140" s="393"/>
      <c r="AH140" s="308"/>
      <c r="AJ140" s="393"/>
      <c r="AK140" s="393"/>
      <c r="AL140" s="300"/>
    </row>
    <row r="141" spans="2:38" hidden="1" x14ac:dyDescent="0.35">
      <c r="B141" s="312"/>
      <c r="C141" s="313"/>
      <c r="D141" s="324" t="s">
        <v>286</v>
      </c>
      <c r="E141" s="325"/>
      <c r="F141" s="355" t="s">
        <v>189</v>
      </c>
      <c r="G141" s="327" t="s">
        <v>190</v>
      </c>
      <c r="H141" s="328"/>
      <c r="I141" s="329"/>
      <c r="J141" s="327"/>
      <c r="K141" s="330">
        <v>1</v>
      </c>
      <c r="L141" s="454"/>
      <c r="M141" s="332">
        <v>1</v>
      </c>
      <c r="N141" s="333">
        <v>1</v>
      </c>
      <c r="O141" s="426">
        <f>K141*L141*M141*N141</f>
        <v>0</v>
      </c>
      <c r="P141" s="306">
        <f>VLOOKUP($F141,'[1]Master Harga'!$E$5:$L$351,6,FALSE)</f>
        <v>149108.51999999999</v>
      </c>
      <c r="Q141" s="333">
        <f>P141*$O141</f>
        <v>0</v>
      </c>
      <c r="R141" s="333"/>
      <c r="S141" s="333"/>
      <c r="T141" s="333"/>
      <c r="U141" s="333"/>
      <c r="V141" s="333"/>
      <c r="W141" s="333"/>
      <c r="X141" s="427"/>
      <c r="Y141" s="306">
        <f t="shared" si="17"/>
        <v>0</v>
      </c>
      <c r="Z141" s="295"/>
      <c r="AB141" s="393"/>
      <c r="AC141" s="393"/>
      <c r="AD141" s="308"/>
      <c r="AF141" s="393"/>
      <c r="AG141" s="393"/>
      <c r="AH141" s="308"/>
      <c r="AJ141" s="393"/>
      <c r="AK141" s="393"/>
      <c r="AL141" s="300"/>
    </row>
    <row r="142" spans="2:38" hidden="1" x14ac:dyDescent="0.35">
      <c r="B142" s="320"/>
      <c r="C142" s="321"/>
      <c r="D142" s="321"/>
      <c r="E142" s="322"/>
      <c r="F142" s="348" t="s">
        <v>215</v>
      </c>
      <c r="G142" s="342" t="s">
        <v>203</v>
      </c>
      <c r="H142" s="343"/>
      <c r="I142" s="344"/>
      <c r="J142" s="342" t="s">
        <v>253</v>
      </c>
      <c r="K142" s="318">
        <v>1</v>
      </c>
      <c r="L142" s="372"/>
      <c r="M142" s="363">
        <f>1/60</f>
        <v>1.6666666666666666E-2</v>
      </c>
      <c r="N142" s="296">
        <v>1</v>
      </c>
      <c r="O142" s="455">
        <f>K142*L142*M142*N142</f>
        <v>0</v>
      </c>
      <c r="P142" s="306">
        <f>VLOOKUP($F142,'[1]Master Harga'!$E$5:$L$351,6,FALSE)</f>
        <v>720338.0730320001</v>
      </c>
      <c r="Q142" s="296">
        <f>P142*$O142</f>
        <v>0</v>
      </c>
      <c r="R142" s="296">
        <f>VLOOKUP($F142,'[1]Master Harga'!$E$5:$L$351,6,FALSE)</f>
        <v>720338.0730320001</v>
      </c>
      <c r="S142" s="296">
        <f>R142*$O142</f>
        <v>0</v>
      </c>
      <c r="T142" s="296">
        <f>VLOOKUP($F142,'[1]Master Harga'!$E$5:$L$351,7,FALSE)</f>
        <v>761671.70213055995</v>
      </c>
      <c r="U142" s="296">
        <f>T142*$O142</f>
        <v>0</v>
      </c>
      <c r="V142" s="296" t="e">
        <f>W142/O142</f>
        <v>#DIV/0!</v>
      </c>
      <c r="W142" s="307">
        <f>AVERAGEIF($P$3:$U$3,W$3,$P142:$U142)</f>
        <v>0</v>
      </c>
      <c r="X142" s="295"/>
      <c r="Y142" s="306">
        <f t="shared" ref="Y142:Y206" si="25">Q142/$AB$1</f>
        <v>0</v>
      </c>
      <c r="Z142" s="295"/>
      <c r="AB142" s="393"/>
      <c r="AC142" s="393"/>
      <c r="AD142" s="308"/>
      <c r="AF142" s="393"/>
      <c r="AG142" s="393"/>
      <c r="AH142" s="308"/>
      <c r="AJ142" s="393"/>
      <c r="AK142" s="393"/>
      <c r="AL142" s="300"/>
    </row>
    <row r="143" spans="2:38" x14ac:dyDescent="0.35">
      <c r="B143" s="412" t="s">
        <v>287</v>
      </c>
      <c r="C143" s="413"/>
      <c r="D143" s="413"/>
      <c r="E143" s="414"/>
      <c r="F143" s="381"/>
      <c r="G143" s="382"/>
      <c r="H143" s="383"/>
      <c r="I143" s="384"/>
      <c r="J143" s="382"/>
      <c r="K143" s="451"/>
      <c r="L143" s="386"/>
      <c r="M143" s="387"/>
      <c r="N143" s="388"/>
      <c r="O143" s="388"/>
      <c r="P143" s="389"/>
      <c r="Q143" s="390">
        <f>SUM(Q137:Q142)</f>
        <v>0</v>
      </c>
      <c r="R143" s="388"/>
      <c r="S143" s="388"/>
      <c r="T143" s="388"/>
      <c r="U143" s="388"/>
      <c r="V143" s="388"/>
      <c r="W143" s="453"/>
      <c r="X143" s="415"/>
      <c r="Y143" s="392">
        <f t="shared" si="25"/>
        <v>0</v>
      </c>
      <c r="Z143" s="416">
        <f>Q143/$Q$359*100</f>
        <v>0</v>
      </c>
      <c r="AB143" s="393"/>
      <c r="AC143" s="393"/>
      <c r="AD143" s="308"/>
      <c r="AF143" s="393"/>
      <c r="AG143" s="393"/>
      <c r="AH143" s="308"/>
      <c r="AJ143" s="393"/>
      <c r="AK143" s="393"/>
      <c r="AL143" s="300"/>
    </row>
    <row r="144" spans="2:38" x14ac:dyDescent="0.35">
      <c r="B144" s="309"/>
      <c r="C144" s="456" t="s">
        <v>288</v>
      </c>
      <c r="D144" s="310"/>
      <c r="E144" s="311"/>
      <c r="F144" s="348" t="s">
        <v>189</v>
      </c>
      <c r="G144" s="342" t="s">
        <v>190</v>
      </c>
      <c r="H144" s="343"/>
      <c r="I144" s="344"/>
      <c r="J144" s="342" t="s">
        <v>264</v>
      </c>
      <c r="K144" s="318">
        <v>1</v>
      </c>
      <c r="L144" s="372">
        <v>10</v>
      </c>
      <c r="M144" s="294">
        <v>3</v>
      </c>
      <c r="N144" s="296">
        <v>1</v>
      </c>
      <c r="O144" s="455">
        <f>K144*L144*M144*N144</f>
        <v>30</v>
      </c>
      <c r="P144" s="306">
        <f>VLOOKUP($F144,'[1]Master Harga'!$E$5:$L$351,6,FALSE)</f>
        <v>149108.51999999999</v>
      </c>
      <c r="Q144" s="296">
        <f>P144*$O144</f>
        <v>4473255.5999999996</v>
      </c>
      <c r="R144" s="296"/>
      <c r="S144" s="296"/>
      <c r="T144" s="296"/>
      <c r="U144" s="296"/>
      <c r="V144" s="296"/>
      <c r="W144" s="296"/>
      <c r="X144" s="295"/>
      <c r="Y144" s="306">
        <f t="shared" si="25"/>
        <v>11160.81736526946</v>
      </c>
      <c r="Z144" s="295"/>
      <c r="AB144" s="393"/>
      <c r="AC144" s="393"/>
      <c r="AD144" s="308"/>
      <c r="AF144" s="393"/>
      <c r="AG144" s="393"/>
      <c r="AH144" s="308"/>
      <c r="AJ144" s="393"/>
      <c r="AK144" s="393"/>
      <c r="AL144" s="300"/>
    </row>
    <row r="145" spans="2:38" x14ac:dyDescent="0.35">
      <c r="B145" s="315"/>
      <c r="C145" s="316"/>
      <c r="D145" s="421"/>
      <c r="E145" s="422"/>
      <c r="F145" s="355" t="s">
        <v>189</v>
      </c>
      <c r="G145" s="327" t="s">
        <v>190</v>
      </c>
      <c r="H145" s="328"/>
      <c r="I145" s="329"/>
      <c r="J145" s="327"/>
      <c r="K145" s="423">
        <v>0.5</v>
      </c>
      <c r="L145" s="424">
        <f>O147/8*125%</f>
        <v>2.34375</v>
      </c>
      <c r="M145" s="425">
        <v>2</v>
      </c>
      <c r="N145" s="426">
        <v>1</v>
      </c>
      <c r="O145" s="333">
        <f>K145*L145*M145*N145</f>
        <v>2.34375</v>
      </c>
      <c r="P145" s="335">
        <f>VLOOKUP($F145,'[1]Master Harga'!$E$5:$L$351,6,FALSE)</f>
        <v>149108.51999999999</v>
      </c>
      <c r="Q145" s="333">
        <f>O145*P145</f>
        <v>349473.09375</v>
      </c>
      <c r="R145" s="333"/>
      <c r="S145" s="333"/>
      <c r="T145" s="333"/>
      <c r="U145" s="333"/>
      <c r="V145" s="333"/>
      <c r="W145" s="333"/>
      <c r="X145" s="427"/>
      <c r="Y145" s="306">
        <f t="shared" si="25"/>
        <v>871.9388566616766</v>
      </c>
      <c r="Z145" s="295"/>
      <c r="AB145" s="393"/>
      <c r="AC145" s="393"/>
      <c r="AD145" s="308"/>
      <c r="AF145" s="393"/>
      <c r="AG145" s="393"/>
      <c r="AH145" s="308"/>
      <c r="AJ145" s="393"/>
      <c r="AK145" s="393"/>
      <c r="AL145" s="300"/>
    </row>
    <row r="146" spans="2:38" x14ac:dyDescent="0.35">
      <c r="B146" s="309"/>
      <c r="C146" s="310"/>
      <c r="D146" s="310"/>
      <c r="E146" s="311"/>
      <c r="F146" s="348" t="s">
        <v>289</v>
      </c>
      <c r="G146" s="342" t="s">
        <v>264</v>
      </c>
      <c r="H146" s="343"/>
      <c r="I146" s="344"/>
      <c r="J146" s="342"/>
      <c r="K146" s="318">
        <v>1</v>
      </c>
      <c r="L146" s="372">
        <v>5</v>
      </c>
      <c r="M146" s="294">
        <v>1</v>
      </c>
      <c r="N146" s="296">
        <v>1</v>
      </c>
      <c r="O146" s="455">
        <f>K146*L146*M146*N146</f>
        <v>5</v>
      </c>
      <c r="P146" s="306">
        <f>VLOOKUP($F146,'[1]Master Harga'!$E$5:$L$351,6,FALSE)</f>
        <v>76126520</v>
      </c>
      <c r="Q146" s="296">
        <f>P146*$O146</f>
        <v>380632600</v>
      </c>
      <c r="R146" s="296"/>
      <c r="S146" s="296"/>
      <c r="T146" s="296"/>
      <c r="U146" s="296"/>
      <c r="V146" s="296"/>
      <c r="W146" s="296"/>
      <c r="X146" s="295" t="s">
        <v>290</v>
      </c>
      <c r="Y146" s="306">
        <f t="shared" si="25"/>
        <v>949682.13572854293</v>
      </c>
      <c r="Z146" s="295"/>
      <c r="AB146" s="393"/>
      <c r="AC146" s="393"/>
      <c r="AD146" s="308"/>
      <c r="AF146" s="393"/>
      <c r="AG146" s="393"/>
      <c r="AH146" s="308"/>
      <c r="AJ146" s="393"/>
      <c r="AK146" s="393"/>
      <c r="AL146" s="300"/>
    </row>
    <row r="147" spans="2:38" x14ac:dyDescent="0.35">
      <c r="B147" s="441"/>
      <c r="C147" s="442"/>
      <c r="D147" s="442"/>
      <c r="E147" s="443"/>
      <c r="F147" s="288" t="s">
        <v>204</v>
      </c>
      <c r="G147" s="342" t="s">
        <v>203</v>
      </c>
      <c r="H147" s="343"/>
      <c r="I147" s="344"/>
      <c r="J147" s="342"/>
      <c r="K147" s="318">
        <v>1</v>
      </c>
      <c r="L147" s="372">
        <v>5</v>
      </c>
      <c r="M147" s="294">
        <v>3</v>
      </c>
      <c r="N147" s="296">
        <v>1</v>
      </c>
      <c r="O147" s="455">
        <f>K147*L147*M147*N147</f>
        <v>15</v>
      </c>
      <c r="P147" s="306">
        <f>VLOOKUP($F147,'[1]Master Harga'!$E$5:$L$351,6,FALSE)</f>
        <v>766238.0730320001</v>
      </c>
      <c r="Q147" s="296">
        <f>P147*$O147</f>
        <v>11493571.095480002</v>
      </c>
      <c r="R147" s="296"/>
      <c r="S147" s="296"/>
      <c r="T147" s="296"/>
      <c r="U147" s="296"/>
      <c r="V147" s="296"/>
      <c r="W147" s="296"/>
      <c r="X147" s="295"/>
      <c r="Y147" s="306">
        <f t="shared" si="25"/>
        <v>28676.574589520962</v>
      </c>
      <c r="Z147" s="295"/>
      <c r="AB147" s="393"/>
      <c r="AC147" s="393"/>
      <c r="AD147" s="308"/>
      <c r="AF147" s="393"/>
      <c r="AG147" s="393"/>
      <c r="AH147" s="308"/>
      <c r="AJ147" s="393"/>
      <c r="AK147" s="393"/>
      <c r="AL147" s="300"/>
    </row>
    <row r="148" spans="2:38" x14ac:dyDescent="0.35">
      <c r="B148" s="412" t="s">
        <v>291</v>
      </c>
      <c r="C148" s="413"/>
      <c r="D148" s="413"/>
      <c r="E148" s="414"/>
      <c r="F148" s="381"/>
      <c r="G148" s="382"/>
      <c r="H148" s="383"/>
      <c r="I148" s="384"/>
      <c r="J148" s="382"/>
      <c r="K148" s="385"/>
      <c r="L148" s="386"/>
      <c r="M148" s="387"/>
      <c r="N148" s="388"/>
      <c r="O148" s="388"/>
      <c r="P148" s="389"/>
      <c r="Q148" s="388">
        <f>SUM(Q144:Q147)</f>
        <v>396948899.78923005</v>
      </c>
      <c r="R148" s="388"/>
      <c r="S148" s="388"/>
      <c r="T148" s="388"/>
      <c r="U148" s="388"/>
      <c r="V148" s="388"/>
      <c r="W148" s="388"/>
      <c r="X148" s="415"/>
      <c r="Y148" s="389">
        <f t="shared" si="25"/>
        <v>990391.46653999505</v>
      </c>
      <c r="Z148" s="416">
        <f>Q148/$Q$359*100</f>
        <v>1.9970855435097807</v>
      </c>
      <c r="AB148" s="393"/>
      <c r="AC148" s="393"/>
      <c r="AD148" s="308"/>
      <c r="AF148" s="393"/>
      <c r="AG148" s="393"/>
      <c r="AH148" s="308"/>
      <c r="AJ148" s="393"/>
      <c r="AK148" s="393"/>
      <c r="AL148" s="300"/>
    </row>
    <row r="149" spans="2:38" x14ac:dyDescent="0.35">
      <c r="B149" s="343"/>
      <c r="C149" s="444" t="s">
        <v>292</v>
      </c>
      <c r="D149" s="344"/>
      <c r="E149" s="445"/>
      <c r="F149" s="348"/>
      <c r="G149" s="342"/>
      <c r="H149" s="343"/>
      <c r="I149" s="344"/>
      <c r="J149" s="342"/>
      <c r="K149" s="349"/>
      <c r="L149" s="372"/>
      <c r="M149" s="294"/>
      <c r="N149" s="296"/>
      <c r="O149" s="296"/>
      <c r="P149" s="306"/>
      <c r="Q149" s="296"/>
      <c r="R149" s="296"/>
      <c r="S149" s="296"/>
      <c r="T149" s="296"/>
      <c r="U149" s="296"/>
      <c r="V149" s="296"/>
      <c r="W149" s="296"/>
      <c r="X149" s="295"/>
      <c r="Y149" s="306">
        <f t="shared" si="25"/>
        <v>0</v>
      </c>
      <c r="Z149" s="295"/>
      <c r="AB149" s="393"/>
      <c r="AC149" s="393"/>
      <c r="AD149" s="308"/>
      <c r="AF149" s="393"/>
      <c r="AG149" s="393"/>
      <c r="AH149" s="308"/>
      <c r="AJ149" s="393"/>
      <c r="AK149" s="393"/>
      <c r="AL149" s="300"/>
    </row>
    <row r="150" spans="2:38" hidden="1" x14ac:dyDescent="0.35">
      <c r="B150" s="312"/>
      <c r="C150" s="313"/>
      <c r="D150" s="313" t="s">
        <v>134</v>
      </c>
      <c r="E150" s="314"/>
      <c r="F150" s="348" t="s">
        <v>189</v>
      </c>
      <c r="G150" s="342" t="s">
        <v>190</v>
      </c>
      <c r="H150" s="343"/>
      <c r="I150" s="344"/>
      <c r="J150" s="342"/>
      <c r="K150" s="457">
        <v>0.1</v>
      </c>
      <c r="L150" s="372"/>
      <c r="M150" s="294">
        <f>1/3</f>
        <v>0.33333333333333331</v>
      </c>
      <c r="N150" s="296">
        <v>1</v>
      </c>
      <c r="O150" s="299">
        <f>K150*L150*M150*N150</f>
        <v>0</v>
      </c>
      <c r="P150" s="306">
        <f>VLOOKUP($F150,'[1]Master Harga'!$E$5:$L$351,6,FALSE)</f>
        <v>149108.51999999999</v>
      </c>
      <c r="Q150" s="296">
        <f>O150*P150</f>
        <v>0</v>
      </c>
      <c r="R150" s="296"/>
      <c r="S150" s="296"/>
      <c r="T150" s="296"/>
      <c r="U150" s="296"/>
      <c r="V150" s="296"/>
      <c r="W150" s="296"/>
      <c r="X150" s="295"/>
      <c r="Y150" s="306">
        <f t="shared" si="25"/>
        <v>0</v>
      </c>
      <c r="Z150" s="295"/>
      <c r="AB150" s="393"/>
      <c r="AC150" s="393"/>
      <c r="AD150" s="308"/>
      <c r="AF150" s="393"/>
      <c r="AG150" s="393"/>
      <c r="AH150" s="308"/>
      <c r="AJ150" s="393"/>
      <c r="AK150" s="393"/>
      <c r="AL150" s="300"/>
    </row>
    <row r="151" spans="2:38" hidden="1" x14ac:dyDescent="0.35">
      <c r="B151" s="320"/>
      <c r="C151" s="321"/>
      <c r="D151" s="321"/>
      <c r="E151" s="322"/>
      <c r="F151" s="348" t="s">
        <v>293</v>
      </c>
      <c r="G151" s="342" t="s">
        <v>194</v>
      </c>
      <c r="H151" s="343"/>
      <c r="I151" s="344"/>
      <c r="J151" s="342"/>
      <c r="K151" s="457">
        <v>0.4</v>
      </c>
      <c r="L151" s="372"/>
      <c r="M151" s="294">
        <f>1/3</f>
        <v>0.33333333333333331</v>
      </c>
      <c r="N151" s="296">
        <v>1</v>
      </c>
      <c r="O151" s="299">
        <f>K151*L151*M151*N151</f>
        <v>0</v>
      </c>
      <c r="P151" s="306">
        <f>VLOOKUP($F151,'[1]Master Harga'!$E$5:$L$351,6,FALSE)</f>
        <v>79588.6875</v>
      </c>
      <c r="Q151" s="296">
        <f>O151*P151</f>
        <v>0</v>
      </c>
      <c r="R151" s="296"/>
      <c r="S151" s="296"/>
      <c r="T151" s="296"/>
      <c r="U151" s="296"/>
      <c r="V151" s="296"/>
      <c r="W151" s="296"/>
      <c r="X151" s="295"/>
      <c r="Y151" s="306">
        <f t="shared" si="25"/>
        <v>0</v>
      </c>
      <c r="Z151" s="295"/>
      <c r="AB151" s="393"/>
      <c r="AC151" s="393"/>
      <c r="AD151" s="308"/>
      <c r="AF151" s="393"/>
      <c r="AG151" s="393"/>
      <c r="AH151" s="308"/>
      <c r="AJ151" s="393"/>
      <c r="AK151" s="393"/>
      <c r="AL151" s="300"/>
    </row>
    <row r="152" spans="2:38" hidden="1" x14ac:dyDescent="0.35">
      <c r="B152" s="312"/>
      <c r="C152" s="313"/>
      <c r="D152" s="313" t="s">
        <v>294</v>
      </c>
      <c r="E152" s="314"/>
      <c r="F152" s="348" t="s">
        <v>189</v>
      </c>
      <c r="G152" s="342" t="s">
        <v>190</v>
      </c>
      <c r="H152" s="343"/>
      <c r="I152" s="344"/>
      <c r="J152" s="342"/>
      <c r="K152" s="349"/>
      <c r="L152" s="372"/>
      <c r="M152" s="294"/>
      <c r="N152" s="296"/>
      <c r="O152" s="296"/>
      <c r="P152" s="306"/>
      <c r="Q152" s="296"/>
      <c r="R152" s="296"/>
      <c r="S152" s="296"/>
      <c r="T152" s="296"/>
      <c r="U152" s="296"/>
      <c r="V152" s="296"/>
      <c r="W152" s="296"/>
      <c r="X152" s="295"/>
      <c r="Y152" s="306">
        <f t="shared" si="25"/>
        <v>0</v>
      </c>
      <c r="Z152" s="295"/>
      <c r="AB152" s="393"/>
      <c r="AC152" s="393"/>
      <c r="AD152" s="308"/>
      <c r="AF152" s="393"/>
      <c r="AG152" s="393"/>
      <c r="AH152" s="308"/>
      <c r="AJ152" s="393"/>
      <c r="AK152" s="393"/>
      <c r="AL152" s="300"/>
    </row>
    <row r="153" spans="2:38" hidden="1" x14ac:dyDescent="0.35">
      <c r="B153" s="320"/>
      <c r="C153" s="321"/>
      <c r="D153" s="321"/>
      <c r="E153" s="322"/>
      <c r="F153" s="348" t="s">
        <v>293</v>
      </c>
      <c r="G153" s="342" t="s">
        <v>194</v>
      </c>
      <c r="H153" s="343"/>
      <c r="I153" s="344"/>
      <c r="J153" s="342"/>
      <c r="K153" s="349"/>
      <c r="L153" s="372"/>
      <c r="M153" s="294"/>
      <c r="N153" s="296"/>
      <c r="O153" s="296"/>
      <c r="P153" s="306"/>
      <c r="Q153" s="296"/>
      <c r="R153" s="296"/>
      <c r="S153" s="296"/>
      <c r="T153" s="296"/>
      <c r="U153" s="296"/>
      <c r="V153" s="296"/>
      <c r="W153" s="296"/>
      <c r="X153" s="295"/>
      <c r="Y153" s="306">
        <f t="shared" si="25"/>
        <v>0</v>
      </c>
      <c r="Z153" s="295"/>
      <c r="AB153" s="393"/>
      <c r="AC153" s="393"/>
      <c r="AD153" s="308"/>
      <c r="AF153" s="393"/>
      <c r="AG153" s="393"/>
      <c r="AH153" s="308"/>
      <c r="AJ153" s="393"/>
      <c r="AK153" s="393"/>
      <c r="AL153" s="300"/>
    </row>
    <row r="154" spans="2:38" hidden="1" x14ac:dyDescent="0.35">
      <c r="B154" s="312"/>
      <c r="C154" s="313"/>
      <c r="D154" s="313" t="s">
        <v>295</v>
      </c>
      <c r="E154" s="314"/>
      <c r="F154" s="348" t="s">
        <v>189</v>
      </c>
      <c r="G154" s="342" t="s">
        <v>190</v>
      </c>
      <c r="H154" s="343"/>
      <c r="I154" s="344"/>
      <c r="J154" s="342" t="s">
        <v>170</v>
      </c>
      <c r="K154" s="457">
        <v>1</v>
      </c>
      <c r="L154" s="372"/>
      <c r="M154" s="294">
        <v>0.2</v>
      </c>
      <c r="N154" s="296">
        <v>1</v>
      </c>
      <c r="O154" s="299">
        <f>K154*L154*M154*N154</f>
        <v>0</v>
      </c>
      <c r="P154" s="306">
        <f>VLOOKUP($F154,'[1]Master Harga'!$E$5:$L$351,6,FALSE)</f>
        <v>149108.51999999999</v>
      </c>
      <c r="Q154" s="296">
        <f>O154*P154</f>
        <v>0</v>
      </c>
      <c r="R154" s="296"/>
      <c r="S154" s="296"/>
      <c r="T154" s="296"/>
      <c r="U154" s="296"/>
      <c r="V154" s="296"/>
      <c r="W154" s="296"/>
      <c r="X154" s="295"/>
      <c r="Y154" s="306">
        <f t="shared" si="25"/>
        <v>0</v>
      </c>
      <c r="Z154" s="295"/>
      <c r="AB154" s="393"/>
      <c r="AC154" s="393"/>
      <c r="AD154" s="308"/>
      <c r="AF154" s="393"/>
      <c r="AG154" s="393"/>
      <c r="AH154" s="308"/>
      <c r="AJ154" s="393"/>
      <c r="AK154" s="393"/>
      <c r="AL154" s="300"/>
    </row>
    <row r="155" spans="2:38" hidden="1" x14ac:dyDescent="0.35">
      <c r="B155" s="338"/>
      <c r="C155" s="350"/>
      <c r="D155" s="350"/>
      <c r="E155" s="351"/>
      <c r="F155" s="348" t="s">
        <v>215</v>
      </c>
      <c r="G155" s="342" t="s">
        <v>203</v>
      </c>
      <c r="H155" s="343"/>
      <c r="I155" s="344"/>
      <c r="J155" s="342" t="s">
        <v>170</v>
      </c>
      <c r="K155" s="457">
        <v>1</v>
      </c>
      <c r="L155" s="372"/>
      <c r="M155" s="294">
        <v>12</v>
      </c>
      <c r="N155" s="296">
        <v>1</v>
      </c>
      <c r="O155" s="299">
        <f>K155*L155*M155*N155</f>
        <v>0</v>
      </c>
      <c r="P155" s="306">
        <f>VLOOKUP($F155,'[1]Master Harga'!$E$5:$L$351,6,FALSE)</f>
        <v>720338.0730320001</v>
      </c>
      <c r="Q155" s="299">
        <f>O155*P155</f>
        <v>0</v>
      </c>
      <c r="R155" s="296"/>
      <c r="S155" s="296"/>
      <c r="T155" s="296"/>
      <c r="U155" s="296"/>
      <c r="V155" s="296"/>
      <c r="W155" s="296"/>
      <c r="X155" s="295"/>
      <c r="Y155" s="306">
        <f t="shared" si="25"/>
        <v>0</v>
      </c>
      <c r="Z155" s="295"/>
      <c r="AB155" s="393"/>
      <c r="AC155" s="393"/>
      <c r="AD155" s="308"/>
      <c r="AF155" s="393"/>
      <c r="AG155" s="393"/>
      <c r="AH155" s="308"/>
      <c r="AJ155" s="393"/>
      <c r="AK155" s="393"/>
      <c r="AL155" s="300"/>
    </row>
    <row r="156" spans="2:38" hidden="1" x14ac:dyDescent="0.35">
      <c r="B156" s="320"/>
      <c r="C156" s="321"/>
      <c r="D156" s="321" t="s">
        <v>296</v>
      </c>
      <c r="E156" s="322"/>
      <c r="F156" s="348" t="s">
        <v>202</v>
      </c>
      <c r="G156" s="342" t="s">
        <v>203</v>
      </c>
      <c r="H156" s="343"/>
      <c r="I156" s="344"/>
      <c r="J156" s="342" t="s">
        <v>297</v>
      </c>
      <c r="K156" s="457">
        <v>1</v>
      </c>
      <c r="L156" s="372"/>
      <c r="M156" s="294">
        <v>0.02</v>
      </c>
      <c r="N156" s="296">
        <v>1</v>
      </c>
      <c r="O156" s="299">
        <f>K156*L156*M156*N156</f>
        <v>0</v>
      </c>
      <c r="P156" s="306">
        <f>VLOOKUP($F156,'[1]Master Harga'!$E$5:$L$351,6,FALSE)</f>
        <v>1051433.6840914285</v>
      </c>
      <c r="Q156" s="299">
        <f>O156*P156</f>
        <v>0</v>
      </c>
      <c r="R156" s="296"/>
      <c r="S156" s="296"/>
      <c r="T156" s="296"/>
      <c r="U156" s="296"/>
      <c r="V156" s="296"/>
      <c r="W156" s="296"/>
      <c r="X156" s="296"/>
      <c r="Y156" s="306">
        <f t="shared" si="25"/>
        <v>0</v>
      </c>
      <c r="Z156" s="295"/>
      <c r="AB156" s="393"/>
      <c r="AC156" s="393"/>
      <c r="AD156" s="308"/>
      <c r="AF156" s="393"/>
      <c r="AG156" s="393"/>
      <c r="AH156" s="308"/>
      <c r="AJ156" s="393"/>
      <c r="AK156" s="393"/>
      <c r="AL156" s="300"/>
    </row>
    <row r="157" spans="2:38" x14ac:dyDescent="0.35">
      <c r="B157" s="360"/>
      <c r="C157" s="361"/>
      <c r="D157" s="361" t="s">
        <v>138</v>
      </c>
      <c r="E157" s="362"/>
      <c r="F157" s="348" t="s">
        <v>189</v>
      </c>
      <c r="G157" s="342" t="s">
        <v>190</v>
      </c>
      <c r="H157" s="343"/>
      <c r="I157" s="344"/>
      <c r="J157" s="342"/>
      <c r="K157" s="457">
        <v>0.1</v>
      </c>
      <c r="L157" s="293">
        <f>$AB$1</f>
        <v>400.8</v>
      </c>
      <c r="M157" s="363">
        <v>45</v>
      </c>
      <c r="N157" s="296">
        <v>1</v>
      </c>
      <c r="O157" s="299">
        <f>K157*L157*M157*N157</f>
        <v>1803.6000000000001</v>
      </c>
      <c r="P157" s="306">
        <f>VLOOKUP($F157,'[1]Master Harga'!$E$5:$L$351,6,FALSE)</f>
        <v>149108.51999999999</v>
      </c>
      <c r="Q157" s="296">
        <f>O157*P157</f>
        <v>268932126.67199999</v>
      </c>
      <c r="R157" s="296"/>
      <c r="S157" s="296"/>
      <c r="T157" s="296"/>
      <c r="U157" s="296"/>
      <c r="V157" s="296"/>
      <c r="W157" s="296"/>
      <c r="X157" s="295"/>
      <c r="Y157" s="306">
        <f t="shared" si="25"/>
        <v>670988.34</v>
      </c>
      <c r="Z157" s="295"/>
      <c r="AB157" s="393"/>
      <c r="AC157" s="393"/>
      <c r="AD157" s="308"/>
      <c r="AF157" s="393"/>
      <c r="AG157" s="393"/>
      <c r="AH157" s="308"/>
      <c r="AJ157" s="393"/>
      <c r="AK157" s="393"/>
      <c r="AL157" s="300"/>
    </row>
    <row r="158" spans="2:38" x14ac:dyDescent="0.35">
      <c r="B158" s="441"/>
      <c r="C158" s="442"/>
      <c r="D158" s="442"/>
      <c r="E158" s="443"/>
      <c r="F158" s="348" t="s">
        <v>293</v>
      </c>
      <c r="G158" s="342" t="s">
        <v>194</v>
      </c>
      <c r="H158" s="343"/>
      <c r="I158" s="344"/>
      <c r="J158" s="342"/>
      <c r="K158" s="457">
        <v>0.4</v>
      </c>
      <c r="L158" s="372"/>
      <c r="M158" s="294">
        <f>1/3</f>
        <v>0.33333333333333331</v>
      </c>
      <c r="N158" s="296">
        <v>1</v>
      </c>
      <c r="O158" s="299">
        <f>K158*L158*M158*N158</f>
        <v>0</v>
      </c>
      <c r="P158" s="306">
        <f>VLOOKUP($F158,'[1]Master Harga'!$E$5:$L$351,6,FALSE)</f>
        <v>79588.6875</v>
      </c>
      <c r="Q158" s="296">
        <f>O158*P158</f>
        <v>0</v>
      </c>
      <c r="R158" s="296"/>
      <c r="S158" s="296"/>
      <c r="T158" s="296"/>
      <c r="U158" s="296"/>
      <c r="V158" s="296"/>
      <c r="W158" s="296"/>
      <c r="X158" s="295"/>
      <c r="Y158" s="306">
        <f t="shared" si="25"/>
        <v>0</v>
      </c>
      <c r="Z158" s="295"/>
      <c r="AB158" s="393"/>
      <c r="AC158" s="393"/>
      <c r="AD158" s="308"/>
      <c r="AF158" s="393"/>
      <c r="AG158" s="393"/>
      <c r="AH158" s="308"/>
      <c r="AJ158" s="393"/>
      <c r="AK158" s="393"/>
      <c r="AL158" s="300"/>
    </row>
    <row r="159" spans="2:38" x14ac:dyDescent="0.35">
      <c r="B159" s="412" t="s">
        <v>298</v>
      </c>
      <c r="C159" s="413"/>
      <c r="D159" s="413"/>
      <c r="E159" s="414"/>
      <c r="F159" s="381"/>
      <c r="G159" s="382"/>
      <c r="H159" s="383"/>
      <c r="I159" s="384"/>
      <c r="J159" s="382"/>
      <c r="K159" s="385"/>
      <c r="L159" s="386"/>
      <c r="M159" s="387"/>
      <c r="N159" s="388"/>
      <c r="O159" s="388"/>
      <c r="P159" s="389"/>
      <c r="Q159" s="390">
        <f>SUM(Q150:Q158)</f>
        <v>268932126.67199999</v>
      </c>
      <c r="R159" s="388"/>
      <c r="S159" s="388"/>
      <c r="T159" s="388"/>
      <c r="U159" s="388"/>
      <c r="V159" s="388"/>
      <c r="W159" s="388"/>
      <c r="X159" s="415"/>
      <c r="Y159" s="392">
        <f t="shared" si="25"/>
        <v>670988.34</v>
      </c>
      <c r="Z159" s="416">
        <f>Q159/$Q$359*100</f>
        <v>1.3530216676432876</v>
      </c>
      <c r="AB159" s="393"/>
      <c r="AC159" s="393"/>
      <c r="AD159" s="308"/>
      <c r="AF159" s="393"/>
      <c r="AG159" s="393"/>
      <c r="AH159" s="308"/>
      <c r="AJ159" s="393"/>
      <c r="AK159" s="393"/>
      <c r="AL159" s="300"/>
    </row>
    <row r="160" spans="2:38" x14ac:dyDescent="0.35">
      <c r="B160" s="343"/>
      <c r="C160" s="444" t="s">
        <v>299</v>
      </c>
      <c r="D160" s="344"/>
      <c r="E160" s="445"/>
      <c r="F160" s="348"/>
      <c r="G160" s="342"/>
      <c r="H160" s="343"/>
      <c r="I160" s="344"/>
      <c r="J160" s="342"/>
      <c r="K160" s="349"/>
      <c r="L160" s="372"/>
      <c r="M160" s="294"/>
      <c r="N160" s="296"/>
      <c r="O160" s="296"/>
      <c r="P160" s="306"/>
      <c r="Q160" s="296"/>
      <c r="R160" s="296"/>
      <c r="S160" s="296"/>
      <c r="T160" s="296"/>
      <c r="U160" s="296"/>
      <c r="V160" s="296"/>
      <c r="W160" s="296"/>
      <c r="X160" s="295"/>
      <c r="Y160" s="306">
        <f t="shared" si="25"/>
        <v>0</v>
      </c>
      <c r="Z160" s="295"/>
      <c r="AB160" s="393"/>
      <c r="AC160" s="393"/>
      <c r="AD160" s="308"/>
      <c r="AF160" s="393"/>
      <c r="AG160" s="393"/>
      <c r="AH160" s="308"/>
      <c r="AJ160" s="393"/>
      <c r="AK160" s="393"/>
      <c r="AL160" s="300"/>
    </row>
    <row r="161" spans="2:39" hidden="1" x14ac:dyDescent="0.35">
      <c r="B161" s="312"/>
      <c r="C161" s="313"/>
      <c r="D161" s="313" t="s">
        <v>300</v>
      </c>
      <c r="E161" s="314"/>
      <c r="F161" s="348" t="s">
        <v>189</v>
      </c>
      <c r="G161" s="342" t="s">
        <v>190</v>
      </c>
      <c r="H161" s="343"/>
      <c r="I161" s="344"/>
      <c r="J161" s="342"/>
      <c r="K161" s="349"/>
      <c r="L161" s="372"/>
      <c r="M161" s="294"/>
      <c r="N161" s="296">
        <v>1</v>
      </c>
      <c r="O161" s="296"/>
      <c r="P161" s="306"/>
      <c r="Q161" s="296"/>
      <c r="R161" s="296"/>
      <c r="S161" s="296"/>
      <c r="T161" s="296"/>
      <c r="U161" s="296"/>
      <c r="V161" s="296"/>
      <c r="W161" s="296"/>
      <c r="X161" s="295"/>
      <c r="Y161" s="306">
        <f t="shared" si="25"/>
        <v>0</v>
      </c>
      <c r="Z161" s="295"/>
      <c r="AB161" s="393"/>
      <c r="AC161" s="393"/>
      <c r="AD161" s="308"/>
      <c r="AF161" s="393"/>
      <c r="AG161" s="393"/>
      <c r="AH161" s="308"/>
      <c r="AJ161" s="393"/>
      <c r="AK161" s="393"/>
      <c r="AL161" s="300"/>
    </row>
    <row r="162" spans="2:39" hidden="1" x14ac:dyDescent="0.35">
      <c r="B162" s="320"/>
      <c r="C162" s="321"/>
      <c r="D162" s="321"/>
      <c r="E162" s="322"/>
      <c r="F162" s="348" t="s">
        <v>301</v>
      </c>
      <c r="G162" s="342" t="s">
        <v>264</v>
      </c>
      <c r="H162" s="343"/>
      <c r="I162" s="344"/>
      <c r="J162" s="342"/>
      <c r="K162" s="349"/>
      <c r="L162" s="372"/>
      <c r="M162" s="294"/>
      <c r="N162" s="296"/>
      <c r="O162" s="296"/>
      <c r="P162" s="306"/>
      <c r="Q162" s="296"/>
      <c r="R162" s="296"/>
      <c r="S162" s="296"/>
      <c r="T162" s="296"/>
      <c r="U162" s="296"/>
      <c r="V162" s="296"/>
      <c r="W162" s="296"/>
      <c r="X162" s="295"/>
      <c r="Y162" s="306">
        <f t="shared" si="25"/>
        <v>0</v>
      </c>
      <c r="Z162" s="295"/>
      <c r="AB162" s="393"/>
      <c r="AC162" s="393"/>
      <c r="AD162" s="308"/>
      <c r="AF162" s="393"/>
      <c r="AG162" s="393"/>
      <c r="AH162" s="308"/>
      <c r="AJ162" s="393"/>
      <c r="AK162" s="393"/>
      <c r="AL162" s="300"/>
    </row>
    <row r="163" spans="2:39" hidden="1" x14ac:dyDescent="0.35">
      <c r="B163" s="312"/>
      <c r="C163" s="313"/>
      <c r="D163" s="313" t="s">
        <v>302</v>
      </c>
      <c r="E163" s="314"/>
      <c r="F163" s="348" t="s">
        <v>189</v>
      </c>
      <c r="G163" s="342" t="s">
        <v>190</v>
      </c>
      <c r="H163" s="343"/>
      <c r="I163" s="344"/>
      <c r="J163" s="342"/>
      <c r="K163" s="349"/>
      <c r="L163" s="372"/>
      <c r="M163" s="294"/>
      <c r="N163" s="296"/>
      <c r="O163" s="296"/>
      <c r="P163" s="306"/>
      <c r="Q163" s="296"/>
      <c r="R163" s="296"/>
      <c r="S163" s="296"/>
      <c r="T163" s="296"/>
      <c r="U163" s="296"/>
      <c r="V163" s="296"/>
      <c r="W163" s="296"/>
      <c r="X163" s="295"/>
      <c r="Y163" s="306">
        <f t="shared" si="25"/>
        <v>0</v>
      </c>
      <c r="Z163" s="295"/>
      <c r="AB163" s="393"/>
      <c r="AC163" s="393"/>
      <c r="AD163" s="308"/>
      <c r="AF163" s="393"/>
      <c r="AG163" s="393"/>
      <c r="AH163" s="308"/>
      <c r="AJ163" s="393"/>
      <c r="AK163" s="393"/>
      <c r="AL163" s="300"/>
    </row>
    <row r="164" spans="2:39" hidden="1" x14ac:dyDescent="0.35">
      <c r="B164" s="320"/>
      <c r="C164" s="321"/>
      <c r="D164" s="321"/>
      <c r="E164" s="322"/>
      <c r="F164" s="348" t="s">
        <v>303</v>
      </c>
      <c r="G164" s="342" t="s">
        <v>264</v>
      </c>
      <c r="H164" s="343"/>
      <c r="I164" s="344"/>
      <c r="J164" s="342"/>
      <c r="K164" s="349"/>
      <c r="L164" s="372"/>
      <c r="M164" s="294"/>
      <c r="N164" s="296"/>
      <c r="O164" s="296"/>
      <c r="P164" s="306"/>
      <c r="Q164" s="296"/>
      <c r="R164" s="296"/>
      <c r="S164" s="296"/>
      <c r="T164" s="296"/>
      <c r="U164" s="296"/>
      <c r="V164" s="296"/>
      <c r="W164" s="296"/>
      <c r="X164" s="295"/>
      <c r="Y164" s="306">
        <f t="shared" si="25"/>
        <v>0</v>
      </c>
      <c r="Z164" s="295"/>
      <c r="AB164" s="393"/>
      <c r="AC164" s="393"/>
      <c r="AD164" s="308"/>
      <c r="AF164" s="393"/>
      <c r="AG164" s="393"/>
      <c r="AH164" s="308"/>
      <c r="AJ164" s="393"/>
      <c r="AK164" s="393"/>
      <c r="AL164" s="300"/>
    </row>
    <row r="165" spans="2:39" hidden="1" x14ac:dyDescent="0.35">
      <c r="B165" s="312"/>
      <c r="C165" s="313"/>
      <c r="D165" s="313" t="s">
        <v>304</v>
      </c>
      <c r="E165" s="314"/>
      <c r="F165" s="348" t="s">
        <v>189</v>
      </c>
      <c r="G165" s="342" t="s">
        <v>190</v>
      </c>
      <c r="H165" s="343"/>
      <c r="I165" s="344"/>
      <c r="J165" s="342"/>
      <c r="K165" s="349"/>
      <c r="L165" s="372"/>
      <c r="M165" s="294"/>
      <c r="N165" s="296"/>
      <c r="O165" s="296"/>
      <c r="P165" s="306"/>
      <c r="Q165" s="296"/>
      <c r="R165" s="296"/>
      <c r="S165" s="296"/>
      <c r="T165" s="296"/>
      <c r="U165" s="296"/>
      <c r="V165" s="296"/>
      <c r="W165" s="296"/>
      <c r="X165" s="295"/>
      <c r="Y165" s="306">
        <f t="shared" si="25"/>
        <v>0</v>
      </c>
      <c r="Z165" s="295"/>
      <c r="AB165" s="393"/>
      <c r="AC165" s="393"/>
      <c r="AD165" s="308"/>
      <c r="AF165" s="393"/>
      <c r="AG165" s="393"/>
      <c r="AH165" s="308"/>
      <c r="AJ165" s="393"/>
      <c r="AK165" s="393"/>
      <c r="AL165" s="300"/>
    </row>
    <row r="166" spans="2:39" hidden="1" x14ac:dyDescent="0.35">
      <c r="B166" s="320"/>
      <c r="C166" s="321"/>
      <c r="D166" s="321"/>
      <c r="E166" s="322"/>
      <c r="F166" s="348" t="s">
        <v>305</v>
      </c>
      <c r="G166" s="342" t="s">
        <v>264</v>
      </c>
      <c r="H166" s="343"/>
      <c r="I166" s="344"/>
      <c r="J166" s="342"/>
      <c r="K166" s="349"/>
      <c r="L166" s="372"/>
      <c r="M166" s="294"/>
      <c r="N166" s="296"/>
      <c r="O166" s="296"/>
      <c r="P166" s="306"/>
      <c r="Q166" s="296"/>
      <c r="R166" s="296"/>
      <c r="S166" s="296"/>
      <c r="T166" s="296"/>
      <c r="U166" s="296"/>
      <c r="V166" s="296"/>
      <c r="W166" s="296"/>
      <c r="X166" s="295"/>
      <c r="Y166" s="306">
        <f t="shared" si="25"/>
        <v>0</v>
      </c>
      <c r="Z166" s="295"/>
      <c r="AB166" s="393"/>
      <c r="AC166" s="393"/>
      <c r="AD166" s="308"/>
      <c r="AF166" s="393"/>
      <c r="AG166" s="393"/>
      <c r="AH166" s="308"/>
      <c r="AJ166" s="393"/>
      <c r="AK166" s="393"/>
      <c r="AL166" s="300"/>
    </row>
    <row r="167" spans="2:39" hidden="1" x14ac:dyDescent="0.35">
      <c r="B167" s="412" t="s">
        <v>306</v>
      </c>
      <c r="C167" s="413"/>
      <c r="D167" s="413"/>
      <c r="E167" s="414"/>
      <c r="F167" s="458"/>
      <c r="G167" s="459"/>
      <c r="H167" s="460"/>
      <c r="I167" s="461"/>
      <c r="J167" s="459"/>
      <c r="K167" s="462"/>
      <c r="L167" s="463"/>
      <c r="M167" s="464"/>
      <c r="N167" s="390"/>
      <c r="O167" s="390"/>
      <c r="P167" s="392"/>
      <c r="Q167" s="390">
        <f>SUM(Q161:Q166)</f>
        <v>0</v>
      </c>
      <c r="R167" s="390"/>
      <c r="S167" s="390"/>
      <c r="T167" s="390"/>
      <c r="U167" s="390"/>
      <c r="V167" s="390"/>
      <c r="W167" s="390"/>
      <c r="X167" s="465"/>
      <c r="Y167" s="389">
        <f t="shared" si="25"/>
        <v>0</v>
      </c>
      <c r="Z167" s="416">
        <f>Q167/$Q$359*100</f>
        <v>0</v>
      </c>
      <c r="AB167" s="393"/>
      <c r="AC167" s="393"/>
      <c r="AD167" s="308"/>
      <c r="AF167" s="393"/>
      <c r="AG167" s="393"/>
      <c r="AH167" s="308"/>
      <c r="AJ167" s="393"/>
      <c r="AK167" s="393"/>
      <c r="AL167" s="300"/>
    </row>
    <row r="168" spans="2:39" x14ac:dyDescent="0.35">
      <c r="B168" s="309"/>
      <c r="C168" s="456" t="s">
        <v>307</v>
      </c>
      <c r="D168" s="310"/>
      <c r="E168" s="311"/>
      <c r="F168" s="348" t="s">
        <v>189</v>
      </c>
      <c r="G168" s="342" t="s">
        <v>190</v>
      </c>
      <c r="H168" s="343"/>
      <c r="I168" s="344"/>
      <c r="J168" s="342"/>
      <c r="K168" s="349"/>
      <c r="L168" s="372"/>
      <c r="M168" s="294"/>
      <c r="N168" s="296">
        <v>1</v>
      </c>
      <c r="O168" s="296"/>
      <c r="P168" s="306"/>
      <c r="Q168" s="296"/>
      <c r="R168" s="296"/>
      <c r="S168" s="296"/>
      <c r="T168" s="296"/>
      <c r="U168" s="296"/>
      <c r="V168" s="296"/>
      <c r="W168" s="296"/>
      <c r="X168" s="295"/>
      <c r="Y168" s="306">
        <f t="shared" si="25"/>
        <v>0</v>
      </c>
      <c r="Z168" s="295"/>
      <c r="AB168" s="393"/>
      <c r="AC168" s="393"/>
      <c r="AD168" s="308"/>
      <c r="AF168" s="393"/>
      <c r="AG168" s="393"/>
      <c r="AH168" s="308"/>
      <c r="AJ168" s="393"/>
      <c r="AK168" s="393"/>
      <c r="AL168" s="300"/>
    </row>
    <row r="169" spans="2:39" x14ac:dyDescent="0.35">
      <c r="B169" s="309"/>
      <c r="C169" s="310"/>
      <c r="D169" s="310"/>
      <c r="E169" s="311"/>
      <c r="F169" s="348" t="s">
        <v>308</v>
      </c>
      <c r="G169" s="342" t="s">
        <v>264</v>
      </c>
      <c r="H169" s="343"/>
      <c r="I169" s="344"/>
      <c r="J169" s="342"/>
      <c r="K169" s="318">
        <v>0.35</v>
      </c>
      <c r="L169" s="293">
        <f>$AB$1</f>
        <v>400.8</v>
      </c>
      <c r="M169" s="363">
        <v>4</v>
      </c>
      <c r="N169" s="296">
        <v>1</v>
      </c>
      <c r="O169" s="296">
        <f>K169*L169*M169*N169</f>
        <v>561.12</v>
      </c>
      <c r="P169" s="306">
        <f>VLOOKUP($F169,'[1]Master Harga'!$E$5:$L$351,5,FALSE)</f>
        <v>450000</v>
      </c>
      <c r="Q169" s="296">
        <f>P169*$O169</f>
        <v>252504000</v>
      </c>
      <c r="R169" s="296"/>
      <c r="S169" s="296"/>
      <c r="T169" s="296"/>
      <c r="U169" s="296"/>
      <c r="V169" s="296"/>
      <c r="W169" s="296"/>
      <c r="X169" s="295"/>
      <c r="Y169" s="306">
        <f t="shared" si="25"/>
        <v>630000</v>
      </c>
      <c r="Z169" s="295"/>
      <c r="AB169" s="393"/>
      <c r="AC169" s="393"/>
      <c r="AD169" s="308"/>
      <c r="AF169" s="393"/>
      <c r="AG169" s="393"/>
      <c r="AH169" s="308"/>
      <c r="AJ169" s="393"/>
      <c r="AK169" s="393"/>
      <c r="AL169" s="300"/>
    </row>
    <row r="170" spans="2:39" x14ac:dyDescent="0.35">
      <c r="B170" s="441"/>
      <c r="C170" s="442"/>
      <c r="D170" s="442"/>
      <c r="E170" s="443"/>
      <c r="F170" s="348" t="s">
        <v>265</v>
      </c>
      <c r="G170" s="342" t="s">
        <v>203</v>
      </c>
      <c r="H170" s="343"/>
      <c r="I170" s="344"/>
      <c r="J170" s="342"/>
      <c r="K170" s="349"/>
      <c r="L170" s="372"/>
      <c r="M170" s="294"/>
      <c r="N170" s="296">
        <v>1</v>
      </c>
      <c r="O170" s="296">
        <f>K170*L170*M170*N170</f>
        <v>0</v>
      </c>
      <c r="P170" s="306"/>
      <c r="Q170" s="296"/>
      <c r="R170" s="296"/>
      <c r="S170" s="296"/>
      <c r="T170" s="296"/>
      <c r="U170" s="296"/>
      <c r="V170" s="296"/>
      <c r="W170" s="296"/>
      <c r="X170" s="295"/>
      <c r="Y170" s="306">
        <f t="shared" si="25"/>
        <v>0</v>
      </c>
      <c r="Z170" s="295"/>
      <c r="AB170" s="393"/>
      <c r="AC170" s="393"/>
      <c r="AD170" s="308"/>
      <c r="AF170" s="393"/>
      <c r="AG170" s="393"/>
      <c r="AH170" s="308"/>
      <c r="AJ170" s="393"/>
      <c r="AK170" s="393"/>
      <c r="AL170" s="300"/>
    </row>
    <row r="171" spans="2:39" hidden="1" x14ac:dyDescent="0.35">
      <c r="B171" s="320"/>
      <c r="C171" s="466" t="s">
        <v>309</v>
      </c>
      <c r="D171" s="321"/>
      <c r="E171" s="322"/>
      <c r="F171" s="348" t="s">
        <v>215</v>
      </c>
      <c r="G171" s="342"/>
      <c r="H171" s="343"/>
      <c r="I171" s="344"/>
      <c r="J171" s="342"/>
      <c r="K171" s="318"/>
      <c r="L171" s="372"/>
      <c r="M171" s="294">
        <f>1/120</f>
        <v>8.3333333333333332E-3</v>
      </c>
      <c r="N171" s="296">
        <v>1</v>
      </c>
      <c r="O171" s="296">
        <f>K171*L171*M171*N171</f>
        <v>0</v>
      </c>
      <c r="P171" s="306">
        <f>VLOOKUP($F171,'[1]Master Harga'!$E$5:$L$351,5,FALSE)</f>
        <v>681487.17873333325</v>
      </c>
      <c r="Q171" s="296">
        <f>P171*$O171</f>
        <v>0</v>
      </c>
      <c r="R171" s="296">
        <f>VLOOKUP($F171,'[1]Master Harga'!$E$5:$L$351,6,FALSE)</f>
        <v>720338.0730320001</v>
      </c>
      <c r="S171" s="296">
        <f>R171*$O171</f>
        <v>0</v>
      </c>
      <c r="T171" s="296">
        <f>VLOOKUP($F171,'[1]Master Harga'!$E$5:$L$351,7,FALSE)</f>
        <v>761671.70213055995</v>
      </c>
      <c r="U171" s="296">
        <f>T171*$O171</f>
        <v>0</v>
      </c>
      <c r="V171" s="296" t="e">
        <f>W171/O171</f>
        <v>#DIV/0!</v>
      </c>
      <c r="W171" s="307">
        <f>AVERAGEIF($P$3:$U$3,W$3,$P171:$U171)</f>
        <v>0</v>
      </c>
      <c r="X171" s="295"/>
      <c r="Y171" s="306">
        <f t="shared" si="25"/>
        <v>0</v>
      </c>
      <c r="Z171" s="295"/>
      <c r="AB171" s="393"/>
      <c r="AC171" s="393"/>
      <c r="AD171" s="308"/>
      <c r="AF171" s="393"/>
      <c r="AG171" s="393"/>
      <c r="AH171" s="308"/>
      <c r="AJ171" s="393"/>
      <c r="AK171" s="393"/>
      <c r="AL171" s="300"/>
    </row>
    <row r="172" spans="2:39" x14ac:dyDescent="0.35">
      <c r="B172" s="467"/>
      <c r="C172" s="468" t="s">
        <v>310</v>
      </c>
      <c r="D172" s="469"/>
      <c r="E172" s="470"/>
      <c r="F172" s="341" t="s">
        <v>215</v>
      </c>
      <c r="G172" s="431"/>
      <c r="H172" s="432"/>
      <c r="I172" s="433"/>
      <c r="J172" s="431"/>
      <c r="K172" s="434">
        <v>0</v>
      </c>
      <c r="L172" s="293">
        <f>$AB$1</f>
        <v>400.8</v>
      </c>
      <c r="M172" s="471">
        <f>136/11</f>
        <v>12.363636363636363</v>
      </c>
      <c r="N172" s="411">
        <v>1</v>
      </c>
      <c r="O172" s="411">
        <f>K172*L172*M172*N172</f>
        <v>0</v>
      </c>
      <c r="P172" s="435">
        <f>VLOOKUP($F172,'[1]Master Harga'!$E$5:$L$351,5,FALSE)</f>
        <v>681487.17873333325</v>
      </c>
      <c r="Q172" s="472">
        <f>P172*$O172</f>
        <v>0</v>
      </c>
      <c r="R172" s="411">
        <f>VLOOKUP($F172,'[1]Master Harga'!$E$5:$L$351,6,FALSE)</f>
        <v>720338.0730320001</v>
      </c>
      <c r="S172" s="411">
        <f>R172*$O172</f>
        <v>0</v>
      </c>
      <c r="T172" s="411">
        <f>VLOOKUP($F172,'[1]Master Harga'!$E$5:$L$351,7,FALSE)</f>
        <v>761671.70213055995</v>
      </c>
      <c r="U172" s="411">
        <f>T172*$O172</f>
        <v>0</v>
      </c>
      <c r="V172" s="411" t="e">
        <f>W172/O172</f>
        <v>#DIV/0!</v>
      </c>
      <c r="W172" s="473">
        <f>AVERAGEIF($P$3:$U$3,W$3,$P172:$U172)</f>
        <v>0</v>
      </c>
      <c r="X172" s="295"/>
      <c r="Y172" s="435">
        <f t="shared" si="25"/>
        <v>0</v>
      </c>
      <c r="Z172" s="295"/>
      <c r="AB172" s="393"/>
      <c r="AC172" s="393"/>
      <c r="AD172" s="308"/>
      <c r="AF172" s="393"/>
      <c r="AG172" s="393"/>
      <c r="AH172" s="308"/>
      <c r="AJ172" s="393"/>
      <c r="AK172" s="393"/>
      <c r="AL172" s="300"/>
    </row>
    <row r="173" spans="2:39" x14ac:dyDescent="0.35">
      <c r="B173" s="441"/>
      <c r="C173" s="474"/>
      <c r="D173" s="442"/>
      <c r="E173" s="443"/>
      <c r="F173" s="348"/>
      <c r="G173" s="342"/>
      <c r="H173" s="343"/>
      <c r="I173" s="344"/>
      <c r="J173" s="342"/>
      <c r="K173" s="318"/>
      <c r="L173" s="372"/>
      <c r="M173" s="294"/>
      <c r="N173" s="296"/>
      <c r="O173" s="296"/>
      <c r="P173" s="306"/>
      <c r="Q173" s="299"/>
      <c r="R173" s="296"/>
      <c r="S173" s="296"/>
      <c r="T173" s="296"/>
      <c r="U173" s="296"/>
      <c r="V173" s="296"/>
      <c r="W173" s="307"/>
      <c r="X173" s="295"/>
      <c r="Y173" s="306">
        <f t="shared" si="25"/>
        <v>0</v>
      </c>
      <c r="Z173" s="295"/>
      <c r="AB173" s="393"/>
      <c r="AC173" s="393"/>
      <c r="AD173" s="308"/>
      <c r="AF173" s="393"/>
      <c r="AG173" s="393"/>
      <c r="AH173" s="308"/>
      <c r="AJ173" s="393"/>
      <c r="AK173" s="393"/>
      <c r="AL173" s="300"/>
    </row>
    <row r="174" spans="2:39" x14ac:dyDescent="0.35">
      <c r="B174" s="412" t="s">
        <v>311</v>
      </c>
      <c r="C174" s="413"/>
      <c r="D174" s="413"/>
      <c r="E174" s="414"/>
      <c r="F174" s="381"/>
      <c r="G174" s="382"/>
      <c r="H174" s="383"/>
      <c r="I174" s="384"/>
      <c r="J174" s="382"/>
      <c r="K174" s="385"/>
      <c r="L174" s="386"/>
      <c r="M174" s="387"/>
      <c r="N174" s="388"/>
      <c r="O174" s="388"/>
      <c r="P174" s="389"/>
      <c r="Q174" s="390">
        <f>SUM(Q169:Q173)</f>
        <v>252504000</v>
      </c>
      <c r="R174" s="388"/>
      <c r="S174" s="388"/>
      <c r="T174" s="388"/>
      <c r="U174" s="388"/>
      <c r="V174" s="388"/>
      <c r="W174" s="388"/>
      <c r="X174" s="475"/>
      <c r="Y174" s="392">
        <f>Q174/$AB$1</f>
        <v>630000</v>
      </c>
      <c r="Z174" s="416">
        <f>Q174/$Q$359*100</f>
        <v>1.2703702878283567</v>
      </c>
      <c r="AB174" s="393"/>
      <c r="AC174" s="393"/>
      <c r="AD174" s="394"/>
      <c r="AF174" s="393"/>
      <c r="AG174" s="393"/>
      <c r="AH174" s="394"/>
      <c r="AJ174" s="393"/>
      <c r="AK174" s="393"/>
      <c r="AL174" s="393"/>
      <c r="AM174" s="395"/>
    </row>
    <row r="175" spans="2:39" s="490" customFormat="1" x14ac:dyDescent="0.35">
      <c r="B175" s="476" t="s">
        <v>312</v>
      </c>
      <c r="C175" s="477"/>
      <c r="D175" s="477"/>
      <c r="E175" s="478"/>
      <c r="F175" s="479"/>
      <c r="G175" s="480"/>
      <c r="H175" s="481"/>
      <c r="I175" s="482"/>
      <c r="J175" s="480"/>
      <c r="K175" s="483"/>
      <c r="L175" s="484"/>
      <c r="M175" s="485"/>
      <c r="N175" s="486"/>
      <c r="O175" s="486"/>
      <c r="P175" s="487"/>
      <c r="Q175" s="486">
        <f>Q80+Q97+Q125+Q135+Q143+Q148+Q159+Q167+Q174</f>
        <v>14463011925.739187</v>
      </c>
      <c r="R175" s="486"/>
      <c r="S175" s="486">
        <f>SUM(S5:S172)-S172-S171-S134</f>
        <v>213726693.59782219</v>
      </c>
      <c r="T175" s="486"/>
      <c r="U175" s="486">
        <f>SUM(U5:U172)-U172-U171-U134</f>
        <v>226579854.37269878</v>
      </c>
      <c r="V175" s="486"/>
      <c r="W175" s="486">
        <f>SUM(W5:W172)-W172-W171-W134</f>
        <v>222749648.50230122</v>
      </c>
      <c r="X175" s="488"/>
      <c r="Y175" s="487">
        <f>Q175/$AB$1</f>
        <v>36085359.096155658</v>
      </c>
      <c r="Z175" s="489">
        <f>Q175/$Q$359*100</f>
        <v>72.764711145036301</v>
      </c>
      <c r="AB175" s="393"/>
      <c r="AC175" s="393"/>
      <c r="AD175" s="300"/>
      <c r="AF175" s="393"/>
      <c r="AG175" s="393"/>
      <c r="AH175" s="300"/>
      <c r="AJ175" s="393"/>
      <c r="AK175" s="393"/>
      <c r="AL175" s="300"/>
    </row>
    <row r="176" spans="2:39" s="490" customFormat="1" x14ac:dyDescent="0.35">
      <c r="B176" s="491"/>
      <c r="C176" s="492"/>
      <c r="D176" s="492"/>
      <c r="E176" s="493"/>
      <c r="F176" s="494"/>
      <c r="G176" s="495"/>
      <c r="H176" s="496"/>
      <c r="I176" s="497"/>
      <c r="J176" s="495"/>
      <c r="K176" s="498"/>
      <c r="L176" s="499"/>
      <c r="M176" s="500"/>
      <c r="N176" s="501"/>
      <c r="O176" s="501"/>
      <c r="P176" s="502"/>
      <c r="Q176" s="501"/>
      <c r="R176" s="501"/>
      <c r="S176" s="501" t="e">
        <f>SUM(S5:S174)-S30-S31-S35-S26-S43-S44-#REF!</f>
        <v>#REF!</v>
      </c>
      <c r="T176" s="501"/>
      <c r="U176" s="501" t="e">
        <f>SUM(U5:U174)-U30-U31-U35-U26-U43-U44-#REF!</f>
        <v>#REF!</v>
      </c>
      <c r="V176" s="501"/>
      <c r="W176" s="501" t="e">
        <f>SUM(W5:W174)-W30-W31-W35-W26-W43-W44-#REF!</f>
        <v>#REF!</v>
      </c>
      <c r="X176" s="503"/>
      <c r="Y176" s="504">
        <f t="shared" si="25"/>
        <v>0</v>
      </c>
      <c r="Z176" s="505"/>
      <c r="AB176" s="393"/>
      <c r="AC176" s="393"/>
      <c r="AD176" s="300"/>
      <c r="AF176" s="393"/>
      <c r="AG176" s="393"/>
      <c r="AH176" s="300"/>
      <c r="AJ176" s="393"/>
      <c r="AK176" s="393"/>
      <c r="AL176" s="300"/>
    </row>
    <row r="177" spans="2:38" x14ac:dyDescent="0.35">
      <c r="B177" s="285" t="s">
        <v>313</v>
      </c>
      <c r="C177" s="291"/>
      <c r="D177" s="291"/>
      <c r="E177" s="396"/>
      <c r="F177" s="288"/>
      <c r="G177" s="289"/>
      <c r="H177" s="290"/>
      <c r="I177" s="291"/>
      <c r="J177" s="289"/>
      <c r="K177" s="292"/>
      <c r="L177" s="293"/>
      <c r="M177" s="294"/>
      <c r="N177" s="296"/>
      <c r="O177" s="296"/>
      <c r="P177" s="306"/>
      <c r="Q177" s="437"/>
      <c r="R177" s="296"/>
      <c r="S177" s="296"/>
      <c r="T177" s="296"/>
      <c r="U177" s="296"/>
      <c r="V177" s="296"/>
      <c r="W177" s="296"/>
      <c r="X177" s="295"/>
      <c r="Y177" s="306">
        <f t="shared" si="25"/>
        <v>0</v>
      </c>
      <c r="Z177" s="295"/>
      <c r="AB177" s="393"/>
      <c r="AC177" s="393"/>
      <c r="AD177" s="308"/>
      <c r="AF177" s="393"/>
      <c r="AG177" s="393"/>
      <c r="AH177" s="308"/>
      <c r="AJ177" s="393"/>
      <c r="AK177" s="393"/>
      <c r="AL177" s="300"/>
    </row>
    <row r="178" spans="2:38" x14ac:dyDescent="0.35">
      <c r="B178" s="290"/>
      <c r="C178" s="286" t="s">
        <v>314</v>
      </c>
      <c r="D178" s="291"/>
      <c r="E178" s="396"/>
      <c r="F178" s="288"/>
      <c r="G178" s="289"/>
      <c r="H178" s="290"/>
      <c r="I178" s="291"/>
      <c r="J178" s="289"/>
      <c r="K178" s="292"/>
      <c r="L178" s="293"/>
      <c r="M178" s="294"/>
      <c r="N178" s="296"/>
      <c r="O178" s="296"/>
      <c r="P178" s="306"/>
      <c r="Q178" s="437"/>
      <c r="R178" s="296"/>
      <c r="S178" s="296"/>
      <c r="T178" s="296"/>
      <c r="U178" s="296"/>
      <c r="V178" s="296"/>
      <c r="W178" s="296"/>
      <c r="X178" s="295"/>
      <c r="Y178" s="306">
        <f t="shared" si="25"/>
        <v>0</v>
      </c>
      <c r="Z178" s="295"/>
      <c r="AB178" s="393"/>
      <c r="AC178" s="393"/>
      <c r="AD178" s="308"/>
      <c r="AF178" s="393"/>
      <c r="AG178" s="393"/>
      <c r="AH178" s="308"/>
      <c r="AJ178" s="393"/>
      <c r="AK178" s="393"/>
      <c r="AL178" s="300"/>
    </row>
    <row r="179" spans="2:38" x14ac:dyDescent="0.35">
      <c r="B179" s="301"/>
      <c r="C179" s="302"/>
      <c r="D179" s="302" t="s">
        <v>315</v>
      </c>
      <c r="E179" s="303"/>
      <c r="F179" s="288" t="s">
        <v>189</v>
      </c>
      <c r="G179" s="289" t="s">
        <v>190</v>
      </c>
      <c r="H179" s="290"/>
      <c r="I179" s="291"/>
      <c r="J179" s="289" t="s">
        <v>170</v>
      </c>
      <c r="K179" s="304">
        <v>0.5</v>
      </c>
      <c r="L179" s="372">
        <f>AB1</f>
        <v>400.8</v>
      </c>
      <c r="M179" s="294">
        <v>2</v>
      </c>
      <c r="N179" s="296">
        <v>1</v>
      </c>
      <c r="O179" s="296">
        <f>K179*L179*M179*N179</f>
        <v>400.8</v>
      </c>
      <c r="P179" s="306">
        <f>VLOOKUP($F179,'[1]Master Harga'!$E$5:$L$351,6,FALSE)</f>
        <v>149108.51999999999</v>
      </c>
      <c r="Q179" s="455">
        <f>P179*$O179</f>
        <v>59762694.816</v>
      </c>
      <c r="R179" s="296">
        <f>VLOOKUP($F179,'[1]Master Harga'!$E$5:$L$351,6,FALSE)</f>
        <v>149108.51999999999</v>
      </c>
      <c r="S179" s="296">
        <f>R179*$O179</f>
        <v>59762694.816</v>
      </c>
      <c r="T179" s="296">
        <f>VLOOKUP($F179,'[1]Master Harga'!$E$5:$L$351,7,FALSE)</f>
        <v>158800.57379999998</v>
      </c>
      <c r="U179" s="296">
        <f>T179*$O179</f>
        <v>63647269.979039997</v>
      </c>
      <c r="V179" s="296">
        <f>W179/O179</f>
        <v>152339.2046</v>
      </c>
      <c r="W179" s="307">
        <f>AVERAGEIF($P$3:$U$3,W$3,$P179:$U179)</f>
        <v>61057553.203680001</v>
      </c>
      <c r="X179" s="295"/>
      <c r="Y179" s="306">
        <f t="shared" si="25"/>
        <v>149108.51999999999</v>
      </c>
      <c r="Z179" s="295"/>
      <c r="AB179" s="393"/>
      <c r="AC179" s="393"/>
      <c r="AD179" s="308"/>
      <c r="AF179" s="393"/>
      <c r="AG179" s="393"/>
      <c r="AH179" s="308"/>
      <c r="AJ179" s="393"/>
      <c r="AK179" s="393"/>
      <c r="AL179" s="300"/>
    </row>
    <row r="180" spans="2:38" x14ac:dyDescent="0.35">
      <c r="B180" s="315"/>
      <c r="C180" s="316"/>
      <c r="D180" s="316"/>
      <c r="E180" s="317"/>
      <c r="F180" s="288" t="s">
        <v>316</v>
      </c>
      <c r="G180" s="289" t="s">
        <v>192</v>
      </c>
      <c r="H180" s="290"/>
      <c r="I180" s="291"/>
      <c r="J180" s="289"/>
      <c r="K180" s="292"/>
      <c r="L180" s="293"/>
      <c r="M180" s="363">
        <v>3</v>
      </c>
      <c r="N180" s="437">
        <v>1</v>
      </c>
      <c r="O180" s="437"/>
      <c r="P180" s="306"/>
      <c r="Q180" s="437"/>
      <c r="R180" s="296"/>
      <c r="S180" s="296"/>
      <c r="T180" s="296"/>
      <c r="U180" s="296"/>
      <c r="V180" s="296"/>
      <c r="W180" s="296"/>
      <c r="X180" s="295"/>
      <c r="Y180" s="306">
        <f t="shared" si="25"/>
        <v>0</v>
      </c>
      <c r="Z180" s="295"/>
      <c r="AB180" s="393"/>
      <c r="AC180" s="393"/>
      <c r="AD180" s="308"/>
      <c r="AF180" s="393"/>
      <c r="AG180" s="393"/>
      <c r="AH180" s="308"/>
      <c r="AJ180" s="393"/>
      <c r="AK180" s="393"/>
      <c r="AL180" s="300"/>
    </row>
    <row r="181" spans="2:38" x14ac:dyDescent="0.35">
      <c r="B181" s="315"/>
      <c r="C181" s="316"/>
      <c r="D181" s="316" t="s">
        <v>317</v>
      </c>
      <c r="E181" s="317">
        <v>143</v>
      </c>
      <c r="F181" s="288" t="s">
        <v>318</v>
      </c>
      <c r="G181" s="289" t="s">
        <v>192</v>
      </c>
      <c r="H181" s="290"/>
      <c r="I181" s="291"/>
      <c r="J181" s="289"/>
      <c r="K181" s="292"/>
      <c r="L181" s="293"/>
      <c r="M181" s="363">
        <v>6</v>
      </c>
      <c r="N181" s="437">
        <v>1</v>
      </c>
      <c r="O181" s="437"/>
      <c r="P181" s="306"/>
      <c r="Q181" s="437"/>
      <c r="R181" s="296"/>
      <c r="S181" s="296"/>
      <c r="T181" s="296"/>
      <c r="U181" s="296"/>
      <c r="V181" s="296"/>
      <c r="W181" s="296"/>
      <c r="X181" s="295"/>
      <c r="Y181" s="306">
        <f t="shared" si="25"/>
        <v>0</v>
      </c>
      <c r="Z181" s="295"/>
      <c r="AB181" s="393"/>
      <c r="AC181" s="393"/>
      <c r="AD181" s="308"/>
      <c r="AF181" s="393"/>
      <c r="AG181" s="393"/>
      <c r="AH181" s="308"/>
      <c r="AJ181" s="393"/>
      <c r="AK181" s="393"/>
      <c r="AL181" s="300"/>
    </row>
    <row r="182" spans="2:38" x14ac:dyDescent="0.35">
      <c r="B182" s="315"/>
      <c r="C182" s="316"/>
      <c r="D182" s="316" t="s">
        <v>319</v>
      </c>
      <c r="E182" s="317">
        <f>143/2*2</f>
        <v>143</v>
      </c>
      <c r="F182" s="288" t="s">
        <v>320</v>
      </c>
      <c r="G182" s="289" t="s">
        <v>190</v>
      </c>
      <c r="H182" s="290"/>
      <c r="I182" s="291"/>
      <c r="J182" s="289"/>
      <c r="K182" s="304">
        <v>0.5</v>
      </c>
      <c r="L182" s="293">
        <f>O185*5000</f>
        <v>40120.079999999994</v>
      </c>
      <c r="M182" s="363">
        <f>1/2000</f>
        <v>5.0000000000000001E-4</v>
      </c>
      <c r="N182" s="437">
        <v>1</v>
      </c>
      <c r="O182" s="296">
        <f>K182*L182*M182*N182</f>
        <v>10.030019999999999</v>
      </c>
      <c r="P182" s="306">
        <f>P179</f>
        <v>149108.51999999999</v>
      </c>
      <c r="Q182" s="455">
        <f>P182*$O182</f>
        <v>1495561.4377703997</v>
      </c>
      <c r="R182" s="296"/>
      <c r="S182" s="296"/>
      <c r="T182" s="296"/>
      <c r="U182" s="296"/>
      <c r="V182" s="296"/>
      <c r="W182" s="506"/>
      <c r="X182" s="295"/>
      <c r="Y182" s="306">
        <f t="shared" si="25"/>
        <v>3731.4407129999991</v>
      </c>
      <c r="Z182" s="295"/>
      <c r="AB182" s="393"/>
      <c r="AC182" s="393"/>
      <c r="AD182" s="308"/>
      <c r="AF182" s="393"/>
      <c r="AG182" s="393"/>
      <c r="AH182" s="308"/>
      <c r="AJ182" s="393"/>
      <c r="AK182" s="393"/>
      <c r="AL182" s="300"/>
    </row>
    <row r="183" spans="2:38" x14ac:dyDescent="0.35">
      <c r="B183" s="315"/>
      <c r="C183" s="316"/>
      <c r="D183" s="316" t="s">
        <v>321</v>
      </c>
      <c r="E183" s="317">
        <f>E182*140%</f>
        <v>200.2</v>
      </c>
      <c r="F183" s="288" t="s">
        <v>322</v>
      </c>
      <c r="G183" s="289" t="s">
        <v>194</v>
      </c>
      <c r="H183" s="290"/>
      <c r="I183" s="291"/>
      <c r="J183" s="342"/>
      <c r="K183" s="318">
        <v>0.5</v>
      </c>
      <c r="L183" s="372">
        <f>L182</f>
        <v>40120.079999999994</v>
      </c>
      <c r="M183" s="363">
        <v>1</v>
      </c>
      <c r="N183" s="437">
        <v>1</v>
      </c>
      <c r="O183" s="455">
        <f>K183*L183*M183*N183</f>
        <v>20060.039999999997</v>
      </c>
      <c r="P183" s="306">
        <v>500</v>
      </c>
      <c r="Q183" s="455">
        <f t="shared" ref="Q183:Q204" si="26">P183*$O183</f>
        <v>10030019.999999998</v>
      </c>
      <c r="R183" s="296"/>
      <c r="S183" s="296"/>
      <c r="T183" s="296"/>
      <c r="U183" s="296"/>
      <c r="V183" s="296"/>
      <c r="W183" s="506"/>
      <c r="X183" s="295"/>
      <c r="Y183" s="306">
        <f t="shared" si="25"/>
        <v>25024.999999999996</v>
      </c>
      <c r="Z183" s="295"/>
      <c r="AB183" s="393"/>
      <c r="AC183" s="393"/>
      <c r="AD183" s="308"/>
      <c r="AF183" s="393"/>
      <c r="AG183" s="393"/>
      <c r="AH183" s="308"/>
      <c r="AJ183" s="393"/>
      <c r="AK183" s="393"/>
      <c r="AL183" s="300"/>
    </row>
    <row r="184" spans="2:38" x14ac:dyDescent="0.35">
      <c r="B184" s="315"/>
      <c r="C184" s="316"/>
      <c r="D184" s="316" t="s">
        <v>323</v>
      </c>
      <c r="E184" s="317">
        <f>E183/5000</f>
        <v>4.0039999999999999E-2</v>
      </c>
      <c r="F184" s="295" t="s">
        <v>324</v>
      </c>
      <c r="G184" s="364" t="s">
        <v>192</v>
      </c>
      <c r="H184" s="365"/>
      <c r="I184" s="366"/>
      <c r="J184" s="439"/>
      <c r="K184" s="318">
        <v>0.5</v>
      </c>
      <c r="L184" s="372">
        <f>L182</f>
        <v>40120.079999999994</v>
      </c>
      <c r="M184" s="507">
        <f>50/1000</f>
        <v>0.05</v>
      </c>
      <c r="N184" s="508">
        <v>1</v>
      </c>
      <c r="O184" s="509">
        <f t="shared" ref="O184:O205" si="27">K184*L184*M184*N184</f>
        <v>1003.002</v>
      </c>
      <c r="P184" s="306">
        <f>VLOOKUP($F184,'[1]Master Harga'!$E$5:$L$351,6,FALSE)</f>
        <v>2300</v>
      </c>
      <c r="Q184" s="455">
        <f t="shared" si="26"/>
        <v>2306904.6</v>
      </c>
      <c r="R184" s="296"/>
      <c r="S184" s="296"/>
      <c r="T184" s="296"/>
      <c r="U184" s="296"/>
      <c r="V184" s="296"/>
      <c r="W184" s="506"/>
      <c r="X184" s="295"/>
      <c r="Y184" s="306">
        <f t="shared" si="25"/>
        <v>5755.75</v>
      </c>
      <c r="Z184" s="295"/>
      <c r="AB184" s="393"/>
      <c r="AC184" s="393"/>
      <c r="AD184" s="308"/>
      <c r="AF184" s="393"/>
      <c r="AG184" s="393"/>
      <c r="AH184" s="308"/>
      <c r="AJ184" s="393"/>
      <c r="AK184" s="393"/>
      <c r="AL184" s="300"/>
    </row>
    <row r="185" spans="2:38" x14ac:dyDescent="0.35">
      <c r="B185" s="315"/>
      <c r="C185" s="316"/>
      <c r="D185" s="316"/>
      <c r="E185" s="317"/>
      <c r="F185" s="288" t="s">
        <v>325</v>
      </c>
      <c r="G185" s="289" t="s">
        <v>192</v>
      </c>
      <c r="H185" s="290"/>
      <c r="I185" s="291"/>
      <c r="J185" s="342" t="s">
        <v>326</v>
      </c>
      <c r="K185" s="318">
        <v>0.5</v>
      </c>
      <c r="L185" s="510">
        <f>AB1</f>
        <v>400.8</v>
      </c>
      <c r="M185" s="363">
        <f>E184</f>
        <v>4.0039999999999999E-2</v>
      </c>
      <c r="N185" s="437">
        <v>1</v>
      </c>
      <c r="O185" s="437">
        <f>K185*L185*M185*N185</f>
        <v>8.0240159999999996</v>
      </c>
      <c r="P185" s="306">
        <f>VLOOKUP($F185,'[1]Master Harga'!$E$5:$L$351,6,FALSE)</f>
        <v>535500</v>
      </c>
      <c r="Q185" s="455">
        <f t="shared" si="26"/>
        <v>4296860.568</v>
      </c>
      <c r="R185" s="296">
        <f>VLOOKUP($F185,'[1]Master Harga'!$E$5:$L$351,6,FALSE)</f>
        <v>535500</v>
      </c>
      <c r="S185" s="296">
        <f>R185*$O185</f>
        <v>4296860.568</v>
      </c>
      <c r="T185" s="296">
        <f>VLOOKUP($F185,'[1]Master Harga'!$E$5:$L$351,7,FALSE)</f>
        <v>567630</v>
      </c>
      <c r="U185" s="296">
        <f>T185*$O185</f>
        <v>4554672.2020800002</v>
      </c>
      <c r="V185" s="296">
        <f>W185/O185</f>
        <v>546210</v>
      </c>
      <c r="W185" s="307">
        <f>AVERAGEIF($P$3:$U$3,W$3,$P185:$U185)</f>
        <v>4382797.77936</v>
      </c>
      <c r="X185" s="295"/>
      <c r="Y185" s="306">
        <f t="shared" si="25"/>
        <v>10720.71</v>
      </c>
      <c r="Z185" s="295"/>
      <c r="AB185" s="393"/>
      <c r="AC185" s="393"/>
      <c r="AD185" s="308"/>
      <c r="AF185" s="393"/>
      <c r="AG185" s="393"/>
      <c r="AH185" s="308"/>
      <c r="AJ185" s="393"/>
      <c r="AK185" s="393"/>
      <c r="AL185" s="300"/>
    </row>
    <row r="186" spans="2:38" x14ac:dyDescent="0.35">
      <c r="B186" s="315"/>
      <c r="C186" s="316"/>
      <c r="D186" s="316"/>
      <c r="E186" s="317"/>
      <c r="F186" s="288" t="s">
        <v>327</v>
      </c>
      <c r="G186" s="289" t="s">
        <v>328</v>
      </c>
      <c r="H186" s="290"/>
      <c r="I186" s="291"/>
      <c r="J186" s="342"/>
      <c r="K186" s="318">
        <v>0.5</v>
      </c>
      <c r="L186" s="455">
        <f>O185*5000</f>
        <v>40120.079999999994</v>
      </c>
      <c r="M186" s="363">
        <v>1</v>
      </c>
      <c r="N186" s="437">
        <v>1</v>
      </c>
      <c r="O186" s="455">
        <f>K186*L186*M186*N186</f>
        <v>20060.039999999997</v>
      </c>
      <c r="P186" s="306">
        <v>100</v>
      </c>
      <c r="Q186" s="455">
        <f t="shared" si="26"/>
        <v>2006003.9999999998</v>
      </c>
      <c r="R186" s="296"/>
      <c r="S186" s="296"/>
      <c r="T186" s="296"/>
      <c r="U186" s="296"/>
      <c r="V186" s="296"/>
      <c r="W186" s="296"/>
      <c r="X186" s="295"/>
      <c r="Y186" s="306">
        <f t="shared" si="25"/>
        <v>5004.9999999999991</v>
      </c>
      <c r="Z186" s="295"/>
      <c r="AB186" s="393"/>
      <c r="AC186" s="393"/>
      <c r="AD186" s="308"/>
      <c r="AF186" s="393"/>
      <c r="AG186" s="393"/>
      <c r="AH186" s="308"/>
      <c r="AJ186" s="393"/>
      <c r="AK186" s="393"/>
      <c r="AL186" s="300"/>
    </row>
    <row r="187" spans="2:38" x14ac:dyDescent="0.35">
      <c r="B187" s="315"/>
      <c r="C187" s="316"/>
      <c r="D187" s="316"/>
      <c r="E187" s="317"/>
      <c r="F187" s="288" t="s">
        <v>329</v>
      </c>
      <c r="G187" s="289" t="s">
        <v>330</v>
      </c>
      <c r="H187" s="290"/>
      <c r="I187" s="291"/>
      <c r="J187" s="342"/>
      <c r="K187" s="318">
        <v>0.5</v>
      </c>
      <c r="L187" s="455">
        <f>L182</f>
        <v>40120.079999999994</v>
      </c>
      <c r="M187" s="363">
        <f>1/3000</f>
        <v>3.3333333333333332E-4</v>
      </c>
      <c r="N187" s="437">
        <v>1</v>
      </c>
      <c r="O187" s="455">
        <f>K187*L187*M187*N187</f>
        <v>6.6866799999999991</v>
      </c>
      <c r="P187" s="306">
        <v>200000</v>
      </c>
      <c r="Q187" s="455">
        <f t="shared" si="26"/>
        <v>1337335.9999999998</v>
      </c>
      <c r="R187" s="296"/>
      <c r="S187" s="296"/>
      <c r="T187" s="296"/>
      <c r="U187" s="296"/>
      <c r="V187" s="296"/>
      <c r="W187" s="506"/>
      <c r="X187" s="295"/>
      <c r="Y187" s="306">
        <f t="shared" si="25"/>
        <v>3336.6666666666661</v>
      </c>
      <c r="Z187" s="295"/>
      <c r="AB187" s="393"/>
      <c r="AC187" s="393"/>
      <c r="AD187" s="308"/>
      <c r="AF187" s="393"/>
      <c r="AG187" s="393"/>
      <c r="AH187" s="308"/>
      <c r="AJ187" s="393"/>
      <c r="AK187" s="393"/>
      <c r="AL187" s="300"/>
    </row>
    <row r="188" spans="2:38" x14ac:dyDescent="0.35">
      <c r="B188" s="315"/>
      <c r="C188" s="316"/>
      <c r="D188" s="316"/>
      <c r="E188" s="317"/>
      <c r="F188" s="288" t="s">
        <v>331</v>
      </c>
      <c r="G188" s="289" t="s">
        <v>330</v>
      </c>
      <c r="H188" s="290"/>
      <c r="I188" s="291"/>
      <c r="J188" s="342" t="s">
        <v>256</v>
      </c>
      <c r="K188" s="318">
        <v>0.5</v>
      </c>
      <c r="L188" s="437">
        <f>(L187*2/1000)*1.4</f>
        <v>112.33622399999997</v>
      </c>
      <c r="M188" s="363">
        <f>1/5</f>
        <v>0.2</v>
      </c>
      <c r="N188" s="437">
        <v>1</v>
      </c>
      <c r="O188" s="511">
        <f>K188*L188*M188*N188</f>
        <v>11.233622399999998</v>
      </c>
      <c r="P188" s="306">
        <v>200000</v>
      </c>
      <c r="Q188" s="455">
        <f t="shared" si="26"/>
        <v>2246724.4799999995</v>
      </c>
      <c r="R188" s="296"/>
      <c r="S188" s="296"/>
      <c r="T188" s="296"/>
      <c r="U188" s="296"/>
      <c r="V188" s="296"/>
      <c r="W188" s="506"/>
      <c r="X188" s="295"/>
      <c r="Y188" s="306">
        <f t="shared" si="25"/>
        <v>5605.5999999999985</v>
      </c>
      <c r="Z188" s="295"/>
      <c r="AB188" s="393"/>
      <c r="AC188" s="393"/>
      <c r="AD188" s="308"/>
      <c r="AF188" s="393"/>
      <c r="AG188" s="393"/>
      <c r="AH188" s="308"/>
      <c r="AJ188" s="393"/>
      <c r="AK188" s="393"/>
      <c r="AL188" s="300"/>
    </row>
    <row r="189" spans="2:38" x14ac:dyDescent="0.35">
      <c r="B189" s="315"/>
      <c r="C189" s="316"/>
      <c r="D189" s="316"/>
      <c r="E189" s="317"/>
      <c r="F189" s="288" t="s">
        <v>265</v>
      </c>
      <c r="G189" s="289" t="s">
        <v>203</v>
      </c>
      <c r="H189" s="290"/>
      <c r="I189" s="291"/>
      <c r="J189" s="342"/>
      <c r="K189" s="318">
        <v>0.5</v>
      </c>
      <c r="L189" s="437">
        <f>O188</f>
        <v>11.233622399999998</v>
      </c>
      <c r="M189" s="363">
        <v>1</v>
      </c>
      <c r="N189" s="437">
        <v>1</v>
      </c>
      <c r="O189" s="511">
        <f t="shared" si="27"/>
        <v>5.616811199999999</v>
      </c>
      <c r="P189" s="306">
        <f>VLOOKUP($F189,'[1]Master Harga'!$E$5:$L$351,6,FALSE)</f>
        <v>680210.06624999992</v>
      </c>
      <c r="Q189" s="455">
        <f t="shared" si="26"/>
        <v>3820611.5184657411</v>
      </c>
      <c r="R189" s="296"/>
      <c r="S189" s="296"/>
      <c r="T189" s="296"/>
      <c r="U189" s="296"/>
      <c r="V189" s="296"/>
      <c r="W189" s="506"/>
      <c r="X189" s="295"/>
      <c r="Y189" s="306">
        <f t="shared" si="25"/>
        <v>9532.4638684274978</v>
      </c>
      <c r="Z189" s="295"/>
      <c r="AB189" s="393"/>
      <c r="AC189" s="393"/>
      <c r="AD189" s="308"/>
      <c r="AF189" s="393"/>
      <c r="AG189" s="393"/>
      <c r="AH189" s="308"/>
      <c r="AJ189" s="393"/>
      <c r="AK189" s="393"/>
      <c r="AL189" s="300"/>
    </row>
    <row r="190" spans="2:38" hidden="1" x14ac:dyDescent="0.35">
      <c r="B190" s="367"/>
      <c r="C190" s="316"/>
      <c r="D190" s="368"/>
      <c r="E190" s="408"/>
      <c r="F190" s="288"/>
      <c r="G190" s="289"/>
      <c r="H190" s="290"/>
      <c r="I190" s="291"/>
      <c r="J190" s="342"/>
      <c r="K190" s="318"/>
      <c r="L190" s="372"/>
      <c r="M190" s="363">
        <v>3.4</v>
      </c>
      <c r="N190" s="437">
        <v>1</v>
      </c>
      <c r="O190" s="437">
        <f t="shared" si="27"/>
        <v>0</v>
      </c>
      <c r="P190" s="306"/>
      <c r="Q190" s="437">
        <f t="shared" si="26"/>
        <v>0</v>
      </c>
      <c r="R190" s="296" t="e">
        <f>VLOOKUP($F190,'[1]Master Harga'!$E$5:$L$351,6,FALSE)</f>
        <v>#N/A</v>
      </c>
      <c r="S190" s="296" t="e">
        <f>R190*$O190</f>
        <v>#N/A</v>
      </c>
      <c r="T190" s="296" t="e">
        <f>VLOOKUP($F190,'[1]Master Harga'!$E$5:$L$351,7,FALSE)</f>
        <v>#N/A</v>
      </c>
      <c r="U190" s="296" t="e">
        <f>T190*$O190</f>
        <v>#N/A</v>
      </c>
      <c r="V190" s="296" t="e">
        <f>W190/O190</f>
        <v>#N/A</v>
      </c>
      <c r="W190" s="307" t="e">
        <f>AVERAGEIF($P$3:$U$3,W$3,$P190:$U190)</f>
        <v>#N/A</v>
      </c>
      <c r="X190" s="436"/>
      <c r="Y190" s="306">
        <f t="shared" si="25"/>
        <v>0</v>
      </c>
      <c r="Z190" s="295"/>
      <c r="AB190" s="393"/>
      <c r="AC190" s="393"/>
      <c r="AD190" s="308"/>
      <c r="AF190" s="393"/>
      <c r="AG190" s="393"/>
      <c r="AH190" s="308"/>
      <c r="AJ190" s="393"/>
      <c r="AK190" s="393"/>
      <c r="AL190" s="300"/>
    </row>
    <row r="191" spans="2:38" x14ac:dyDescent="0.35">
      <c r="B191" s="512"/>
      <c r="C191" s="513"/>
      <c r="D191" s="513" t="s">
        <v>107</v>
      </c>
      <c r="E191" s="514"/>
      <c r="F191" s="288" t="s">
        <v>189</v>
      </c>
      <c r="G191" s="289" t="s">
        <v>190</v>
      </c>
      <c r="H191" s="290"/>
      <c r="I191" s="291"/>
      <c r="J191" s="342"/>
      <c r="K191" s="318">
        <v>0.5</v>
      </c>
      <c r="L191" s="455">
        <f>L186</f>
        <v>40120.079999999994</v>
      </c>
      <c r="M191" s="363">
        <f>1/4500</f>
        <v>2.2222222222222223E-4</v>
      </c>
      <c r="N191" s="437">
        <v>1</v>
      </c>
      <c r="O191" s="296">
        <f t="shared" si="27"/>
        <v>4.4577866666666663</v>
      </c>
      <c r="P191" s="306">
        <f>VLOOKUP($F191,'[1]Master Harga'!$E$5:$L$351,6,FALSE)</f>
        <v>149108.51999999999</v>
      </c>
      <c r="Q191" s="455">
        <f t="shared" si="26"/>
        <v>664693.97234239988</v>
      </c>
      <c r="R191" s="296"/>
      <c r="S191" s="296"/>
      <c r="T191" s="296"/>
      <c r="U191" s="296"/>
      <c r="V191" s="296"/>
      <c r="W191" s="307"/>
      <c r="X191" s="436"/>
      <c r="Y191" s="306">
        <f t="shared" si="25"/>
        <v>1658.4180946666663</v>
      </c>
      <c r="Z191" s="295"/>
      <c r="AB191" s="393"/>
      <c r="AC191" s="393"/>
      <c r="AD191" s="308"/>
      <c r="AF191" s="393"/>
      <c r="AG191" s="393"/>
      <c r="AH191" s="308"/>
      <c r="AJ191" s="393"/>
      <c r="AK191" s="393"/>
      <c r="AL191" s="300"/>
    </row>
    <row r="192" spans="2:38" x14ac:dyDescent="0.35">
      <c r="B192" s="515"/>
      <c r="C192" s="516"/>
      <c r="D192" s="516"/>
      <c r="E192" s="517"/>
      <c r="F192" s="288" t="s">
        <v>332</v>
      </c>
      <c r="G192" s="289" t="s">
        <v>256</v>
      </c>
      <c r="H192" s="290"/>
      <c r="I192" s="291"/>
      <c r="J192" s="342" t="s">
        <v>333</v>
      </c>
      <c r="K192" s="318">
        <v>0.5</v>
      </c>
      <c r="L192" s="510">
        <v>16.7</v>
      </c>
      <c r="M192" s="363">
        <f>6/62</f>
        <v>9.6774193548387094E-2</v>
      </c>
      <c r="N192" s="437">
        <v>1</v>
      </c>
      <c r="O192" s="296">
        <f t="shared" si="27"/>
        <v>0.80806451612903218</v>
      </c>
      <c r="P192" s="306">
        <f>VLOOKUP($F192,'[1]Master Harga'!$E$5:$L$351,6,FALSE)</f>
        <v>2126250</v>
      </c>
      <c r="Q192" s="437">
        <f>P192*$O192</f>
        <v>1718147.1774193547</v>
      </c>
      <c r="R192" s="296"/>
      <c r="S192" s="296"/>
      <c r="T192" s="296"/>
      <c r="U192" s="296"/>
      <c r="V192" s="296"/>
      <c r="W192" s="307"/>
      <c r="X192" s="436"/>
      <c r="Y192" s="306">
        <f t="shared" si="25"/>
        <v>4286.7943548387093</v>
      </c>
      <c r="Z192" s="295"/>
      <c r="AB192" s="393"/>
      <c r="AC192" s="393"/>
      <c r="AD192" s="308"/>
      <c r="AF192" s="393"/>
      <c r="AG192" s="393"/>
      <c r="AH192" s="308"/>
      <c r="AJ192" s="393"/>
      <c r="AK192" s="393"/>
      <c r="AL192" s="300"/>
    </row>
    <row r="193" spans="2:38" x14ac:dyDescent="0.35">
      <c r="B193" s="515" t="s">
        <v>113</v>
      </c>
      <c r="C193" s="516"/>
      <c r="D193" s="516"/>
      <c r="E193" s="516"/>
      <c r="F193" s="288" t="s">
        <v>189</v>
      </c>
      <c r="G193" s="289" t="s">
        <v>190</v>
      </c>
      <c r="H193" s="290"/>
      <c r="I193" s="291"/>
      <c r="J193" s="342"/>
      <c r="K193" s="318">
        <v>0.5</v>
      </c>
      <c r="L193" s="455">
        <f>L191</f>
        <v>40120.079999999994</v>
      </c>
      <c r="M193" s="363">
        <f>1/5000</f>
        <v>2.0000000000000001E-4</v>
      </c>
      <c r="N193" s="437">
        <v>1</v>
      </c>
      <c r="O193" s="296">
        <f t="shared" si="27"/>
        <v>4.0120079999999998</v>
      </c>
      <c r="P193" s="306">
        <f>VLOOKUP($F193,'[1]Master Harga'!$E$5:$L$351,6,FALSE)</f>
        <v>149108.51999999999</v>
      </c>
      <c r="Q193" s="437">
        <f t="shared" si="26"/>
        <v>598224.57510815992</v>
      </c>
      <c r="R193" s="296"/>
      <c r="S193" s="296"/>
      <c r="T193" s="296"/>
      <c r="U193" s="296"/>
      <c r="V193" s="296"/>
      <c r="W193" s="307"/>
      <c r="X193" s="436"/>
      <c r="Y193" s="306">
        <f t="shared" si="25"/>
        <v>1492.5762851999998</v>
      </c>
      <c r="Z193" s="295"/>
      <c r="AB193" s="393"/>
      <c r="AC193" s="393"/>
      <c r="AD193" s="308"/>
      <c r="AF193" s="393"/>
      <c r="AG193" s="393"/>
      <c r="AH193" s="308"/>
      <c r="AJ193" s="393"/>
      <c r="AK193" s="393"/>
      <c r="AL193" s="300"/>
    </row>
    <row r="194" spans="2:38" x14ac:dyDescent="0.35">
      <c r="B194" s="518" t="s">
        <v>334</v>
      </c>
      <c r="C194" s="519"/>
      <c r="D194" s="519"/>
      <c r="E194" s="520"/>
      <c r="F194" s="288" t="s">
        <v>189</v>
      </c>
      <c r="G194" s="289" t="s">
        <v>190</v>
      </c>
      <c r="H194" s="290"/>
      <c r="I194" s="291"/>
      <c r="J194" s="342"/>
      <c r="K194" s="318">
        <v>0.5</v>
      </c>
      <c r="L194" s="455">
        <f>O185*5000</f>
        <v>40120.079999999994</v>
      </c>
      <c r="M194" s="363">
        <v>1E-4</v>
      </c>
      <c r="N194" s="437">
        <v>2</v>
      </c>
      <c r="O194" s="296">
        <f t="shared" si="27"/>
        <v>4.0120079999999998</v>
      </c>
      <c r="P194" s="306">
        <f>VLOOKUP($F194,'[1]Master Harga'!$E$5:$L$351,6,FALSE)</f>
        <v>149108.51999999999</v>
      </c>
      <c r="Q194" s="437">
        <f t="shared" si="26"/>
        <v>598224.57510815992</v>
      </c>
      <c r="R194" s="296"/>
      <c r="S194" s="296"/>
      <c r="T194" s="296"/>
      <c r="U194" s="296"/>
      <c r="V194" s="296"/>
      <c r="W194" s="307"/>
      <c r="X194" s="436"/>
      <c r="Y194" s="306">
        <f t="shared" si="25"/>
        <v>1492.5762851999998</v>
      </c>
      <c r="Z194" s="295"/>
      <c r="AB194" s="393"/>
      <c r="AC194" s="393"/>
      <c r="AD194" s="308"/>
      <c r="AF194" s="393"/>
      <c r="AG194" s="393"/>
      <c r="AH194" s="308"/>
      <c r="AJ194" s="393"/>
      <c r="AK194" s="393"/>
      <c r="AL194" s="300"/>
    </row>
    <row r="195" spans="2:38" x14ac:dyDescent="0.35">
      <c r="B195" s="521"/>
      <c r="C195" s="522"/>
      <c r="D195" s="522"/>
      <c r="E195" s="523"/>
      <c r="F195" s="288" t="s">
        <v>335</v>
      </c>
      <c r="G195" s="289" t="s">
        <v>226</v>
      </c>
      <c r="H195" s="290"/>
      <c r="I195" s="291"/>
      <c r="J195" s="289"/>
      <c r="K195" s="304">
        <v>0.5</v>
      </c>
      <c r="L195" s="455">
        <f t="shared" ref="L195:L200" si="28">$L$194</f>
        <v>40120.079999999994</v>
      </c>
      <c r="M195" s="363">
        <f>0.01/1000</f>
        <v>1.0000000000000001E-5</v>
      </c>
      <c r="N195" s="437">
        <v>2</v>
      </c>
      <c r="O195" s="296">
        <f t="shared" si="27"/>
        <v>0.40120079999999997</v>
      </c>
      <c r="P195" s="306">
        <f>VLOOKUP($F195,'[1]Master Harga'!$E$5:$L$351,6,FALSE)</f>
        <v>53496.45</v>
      </c>
      <c r="Q195" s="437">
        <f t="shared" si="26"/>
        <v>21462.818537159998</v>
      </c>
      <c r="R195" s="296"/>
      <c r="S195" s="296"/>
      <c r="T195" s="296"/>
      <c r="U195" s="296"/>
      <c r="V195" s="296"/>
      <c r="W195" s="307"/>
      <c r="X195" s="436"/>
      <c r="Y195" s="306">
        <f t="shared" si="25"/>
        <v>53.549946449999993</v>
      </c>
      <c r="Z195" s="295"/>
      <c r="AB195" s="393"/>
      <c r="AC195" s="393"/>
      <c r="AD195" s="308"/>
      <c r="AF195" s="393"/>
      <c r="AG195" s="393"/>
      <c r="AH195" s="308"/>
      <c r="AJ195" s="393"/>
      <c r="AK195" s="393"/>
      <c r="AL195" s="300"/>
    </row>
    <row r="196" spans="2:38" x14ac:dyDescent="0.35">
      <c r="B196" s="521"/>
      <c r="C196" s="522"/>
      <c r="D196" s="522"/>
      <c r="E196" s="523"/>
      <c r="F196" s="288" t="s">
        <v>230</v>
      </c>
      <c r="G196" s="289" t="s">
        <v>226</v>
      </c>
      <c r="H196" s="290"/>
      <c r="I196" s="291"/>
      <c r="J196" s="289"/>
      <c r="K196" s="304">
        <v>0.5</v>
      </c>
      <c r="L196" s="455">
        <f t="shared" si="28"/>
        <v>40120.079999999994</v>
      </c>
      <c r="M196" s="363">
        <f>0.002/1000</f>
        <v>1.9999999999999999E-6</v>
      </c>
      <c r="N196" s="437">
        <v>2</v>
      </c>
      <c r="O196" s="296">
        <f t="shared" si="27"/>
        <v>8.0240159999999991E-2</v>
      </c>
      <c r="P196" s="306">
        <f>VLOOKUP($F196,'[1]Master Harga'!$E$5:$L$351,6,FALSE)</f>
        <v>44982</v>
      </c>
      <c r="Q196" s="437">
        <f t="shared" si="26"/>
        <v>3609.3628771199997</v>
      </c>
      <c r="R196" s="296"/>
      <c r="S196" s="296"/>
      <c r="T196" s="296"/>
      <c r="U196" s="296"/>
      <c r="V196" s="296"/>
      <c r="W196" s="307"/>
      <c r="X196" s="436"/>
      <c r="Y196" s="306">
        <f t="shared" si="25"/>
        <v>9.0053963999999986</v>
      </c>
      <c r="Z196" s="295"/>
      <c r="AB196" s="393"/>
      <c r="AC196" s="393"/>
      <c r="AD196" s="308"/>
      <c r="AF196" s="393"/>
      <c r="AG196" s="393"/>
      <c r="AH196" s="308"/>
      <c r="AJ196" s="393"/>
      <c r="AK196" s="393"/>
      <c r="AL196" s="300"/>
    </row>
    <row r="197" spans="2:38" x14ac:dyDescent="0.35">
      <c r="B197" s="524"/>
      <c r="C197" s="525"/>
      <c r="D197" s="525"/>
      <c r="E197" s="526"/>
      <c r="F197" s="288" t="s">
        <v>231</v>
      </c>
      <c r="G197" s="289" t="s">
        <v>190</v>
      </c>
      <c r="H197" s="290"/>
      <c r="I197" s="291"/>
      <c r="J197" s="289" t="s">
        <v>336</v>
      </c>
      <c r="K197" s="304">
        <v>0.5</v>
      </c>
      <c r="L197" s="455">
        <f t="shared" si="28"/>
        <v>40120.079999999994</v>
      </c>
      <c r="M197" s="363">
        <v>1E-4</v>
      </c>
      <c r="N197" s="296">
        <v>2</v>
      </c>
      <c r="O197" s="296">
        <f t="shared" si="27"/>
        <v>4.0120079999999998</v>
      </c>
      <c r="P197" s="306">
        <f>VLOOKUP($F197,'[1]Master Harga'!$E$5:$L$351,6,FALSE)</f>
        <v>4042.5</v>
      </c>
      <c r="Q197" s="437">
        <f t="shared" si="26"/>
        <v>16218.54234</v>
      </c>
      <c r="R197" s="296"/>
      <c r="S197" s="296"/>
      <c r="T197" s="296"/>
      <c r="U197" s="296"/>
      <c r="V197" s="296"/>
      <c r="W197" s="307"/>
      <c r="X197" s="436"/>
      <c r="Y197" s="306">
        <f t="shared" si="25"/>
        <v>40.465424999999996</v>
      </c>
      <c r="Z197" s="295"/>
      <c r="AB197" s="393"/>
      <c r="AC197" s="393"/>
      <c r="AD197" s="308"/>
      <c r="AF197" s="393"/>
      <c r="AG197" s="393"/>
      <c r="AH197" s="308"/>
      <c r="AJ197" s="393"/>
      <c r="AK197" s="393"/>
      <c r="AL197" s="300"/>
    </row>
    <row r="198" spans="2:38" x14ac:dyDescent="0.35">
      <c r="B198" s="518" t="s">
        <v>337</v>
      </c>
      <c r="C198" s="519"/>
      <c r="D198" s="519"/>
      <c r="E198" s="520"/>
      <c r="F198" s="341" t="s">
        <v>189</v>
      </c>
      <c r="G198" s="289" t="s">
        <v>190</v>
      </c>
      <c r="H198" s="290"/>
      <c r="I198" s="291"/>
      <c r="J198" s="289"/>
      <c r="K198" s="304">
        <v>0.5</v>
      </c>
      <c r="L198" s="455">
        <f t="shared" si="28"/>
        <v>40120.079999999994</v>
      </c>
      <c r="M198" s="363">
        <v>1E-4</v>
      </c>
      <c r="N198" s="437">
        <v>2</v>
      </c>
      <c r="O198" s="296">
        <f t="shared" si="27"/>
        <v>4.0120079999999998</v>
      </c>
      <c r="P198" s="306">
        <f>VLOOKUP($F198,'[1]Master Harga'!$E$5:$L$351,6,FALSE)</f>
        <v>149108.51999999999</v>
      </c>
      <c r="Q198" s="437">
        <f t="shared" si="26"/>
        <v>598224.57510815992</v>
      </c>
      <c r="R198" s="296"/>
      <c r="S198" s="296"/>
      <c r="T198" s="296"/>
      <c r="U198" s="296"/>
      <c r="V198" s="296"/>
      <c r="W198" s="307"/>
      <c r="X198" s="436"/>
      <c r="Y198" s="306">
        <f t="shared" si="25"/>
        <v>1492.5762851999998</v>
      </c>
      <c r="Z198" s="295"/>
      <c r="AB198" s="393"/>
      <c r="AC198" s="393"/>
      <c r="AD198" s="308"/>
      <c r="AF198" s="393"/>
      <c r="AG198" s="393"/>
      <c r="AH198" s="308"/>
      <c r="AJ198" s="393"/>
      <c r="AK198" s="393"/>
      <c r="AL198" s="300"/>
    </row>
    <row r="199" spans="2:38" x14ac:dyDescent="0.35">
      <c r="B199" s="521"/>
      <c r="C199" s="522"/>
      <c r="D199" s="522"/>
      <c r="E199" s="523"/>
      <c r="F199" s="341" t="s">
        <v>338</v>
      </c>
      <c r="G199" s="289" t="s">
        <v>192</v>
      </c>
      <c r="H199" s="290"/>
      <c r="I199" s="291"/>
      <c r="J199" s="289"/>
      <c r="K199" s="304">
        <v>0.5</v>
      </c>
      <c r="L199" s="455">
        <f t="shared" si="28"/>
        <v>40120.079999999994</v>
      </c>
      <c r="M199" s="363">
        <f>0.02/1000</f>
        <v>2.0000000000000002E-5</v>
      </c>
      <c r="N199" s="296">
        <v>2</v>
      </c>
      <c r="O199" s="296">
        <f t="shared" si="27"/>
        <v>0.80240159999999994</v>
      </c>
      <c r="P199" s="306">
        <f>VLOOKUP($F199,'[1]Master Harga'!$E$5:$L$351,6,FALSE)</f>
        <v>157500</v>
      </c>
      <c r="Q199" s="437">
        <f t="shared" si="26"/>
        <v>126378.25199999999</v>
      </c>
      <c r="R199" s="296"/>
      <c r="S199" s="296"/>
      <c r="T199" s="296"/>
      <c r="U199" s="296"/>
      <c r="V199" s="296"/>
      <c r="W199" s="307"/>
      <c r="X199" s="436"/>
      <c r="Y199" s="306">
        <f t="shared" si="25"/>
        <v>315.315</v>
      </c>
      <c r="Z199" s="295"/>
      <c r="AB199" s="393"/>
      <c r="AC199" s="393"/>
      <c r="AD199" s="308"/>
      <c r="AF199" s="393"/>
      <c r="AG199" s="393"/>
      <c r="AH199" s="308"/>
      <c r="AJ199" s="393"/>
      <c r="AK199" s="393"/>
      <c r="AL199" s="300"/>
    </row>
    <row r="200" spans="2:38" x14ac:dyDescent="0.35">
      <c r="B200" s="524"/>
      <c r="C200" s="525"/>
      <c r="D200" s="525"/>
      <c r="E200" s="526"/>
      <c r="F200" s="341" t="s">
        <v>231</v>
      </c>
      <c r="G200" s="289" t="s">
        <v>190</v>
      </c>
      <c r="H200" s="290"/>
      <c r="I200" s="291"/>
      <c r="J200" s="289" t="s">
        <v>336</v>
      </c>
      <c r="K200" s="304">
        <v>0.5</v>
      </c>
      <c r="L200" s="455">
        <f t="shared" si="28"/>
        <v>40120.079999999994</v>
      </c>
      <c r="M200" s="363">
        <v>1E-4</v>
      </c>
      <c r="N200" s="296">
        <v>2</v>
      </c>
      <c r="O200" s="296">
        <f t="shared" si="27"/>
        <v>4.0120079999999998</v>
      </c>
      <c r="P200" s="306">
        <f>VLOOKUP($F200,'[1]Master Harga'!$E$5:$L$351,6,FALSE)</f>
        <v>4042.5</v>
      </c>
      <c r="Q200" s="437">
        <f t="shared" si="26"/>
        <v>16218.54234</v>
      </c>
      <c r="R200" s="296"/>
      <c r="S200" s="296"/>
      <c r="T200" s="296"/>
      <c r="U200" s="296"/>
      <c r="V200" s="296"/>
      <c r="W200" s="307"/>
      <c r="X200" s="436"/>
      <c r="Y200" s="306">
        <f t="shared" si="25"/>
        <v>40.465424999999996</v>
      </c>
      <c r="Z200" s="295"/>
      <c r="AB200" s="393"/>
      <c r="AC200" s="393"/>
      <c r="AD200" s="308"/>
      <c r="AF200" s="393"/>
      <c r="AG200" s="393"/>
      <c r="AH200" s="308"/>
      <c r="AJ200" s="393"/>
      <c r="AK200" s="393"/>
      <c r="AL200" s="300"/>
    </row>
    <row r="201" spans="2:38" x14ac:dyDescent="0.35">
      <c r="B201" s="527"/>
      <c r="C201" s="528"/>
      <c r="D201" s="528"/>
      <c r="E201" s="528"/>
      <c r="F201" s="288"/>
      <c r="G201" s="289"/>
      <c r="H201" s="290"/>
      <c r="I201" s="291"/>
      <c r="J201" s="289"/>
      <c r="K201" s="304">
        <v>0.5</v>
      </c>
      <c r="L201" s="293"/>
      <c r="M201" s="363"/>
      <c r="N201" s="437"/>
      <c r="O201" s="296"/>
      <c r="P201" s="306"/>
      <c r="Q201" s="437"/>
      <c r="R201" s="296"/>
      <c r="S201" s="296"/>
      <c r="T201" s="296"/>
      <c r="U201" s="296"/>
      <c r="V201" s="296"/>
      <c r="W201" s="307"/>
      <c r="X201" s="436"/>
      <c r="Y201" s="306">
        <f t="shared" si="25"/>
        <v>0</v>
      </c>
      <c r="Z201" s="295"/>
      <c r="AB201" s="393"/>
      <c r="AC201" s="393"/>
      <c r="AD201" s="308"/>
      <c r="AF201" s="393"/>
      <c r="AG201" s="393"/>
      <c r="AH201" s="308"/>
      <c r="AJ201" s="393"/>
      <c r="AK201" s="393"/>
      <c r="AL201" s="300"/>
    </row>
    <row r="202" spans="2:38" x14ac:dyDescent="0.35">
      <c r="B202" s="527" t="s">
        <v>120</v>
      </c>
      <c r="C202" s="528"/>
      <c r="D202" s="528"/>
      <c r="E202" s="528"/>
      <c r="F202" s="288" t="s">
        <v>189</v>
      </c>
      <c r="G202" s="289" t="s">
        <v>190</v>
      </c>
      <c r="H202" s="290"/>
      <c r="I202" s="291"/>
      <c r="J202" s="289"/>
      <c r="K202" s="304">
        <v>0.5</v>
      </c>
      <c r="L202" s="455">
        <f>$L$194</f>
        <v>40120.079999999994</v>
      </c>
      <c r="M202" s="363">
        <f>1/5000</f>
        <v>2.0000000000000001E-4</v>
      </c>
      <c r="N202" s="437">
        <v>1</v>
      </c>
      <c r="O202" s="296">
        <f t="shared" si="27"/>
        <v>4.0120079999999998</v>
      </c>
      <c r="P202" s="306">
        <f>VLOOKUP($F202,'[1]Master Harga'!$E$5:$L$351,6,FALSE)</f>
        <v>149108.51999999999</v>
      </c>
      <c r="Q202" s="437">
        <f t="shared" si="26"/>
        <v>598224.57510815992</v>
      </c>
      <c r="R202" s="296"/>
      <c r="S202" s="296"/>
      <c r="T202" s="296"/>
      <c r="U202" s="296"/>
      <c r="V202" s="296"/>
      <c r="W202" s="307"/>
      <c r="X202" s="436"/>
      <c r="Y202" s="306">
        <f t="shared" si="25"/>
        <v>1492.5762851999998</v>
      </c>
      <c r="Z202" s="295"/>
      <c r="AB202" s="393"/>
      <c r="AC202" s="393"/>
      <c r="AD202" s="308"/>
      <c r="AF202" s="393"/>
      <c r="AG202" s="393"/>
      <c r="AH202" s="308"/>
      <c r="AJ202" s="393"/>
      <c r="AK202" s="393"/>
      <c r="AL202" s="300"/>
    </row>
    <row r="203" spans="2:38" x14ac:dyDescent="0.35">
      <c r="B203" s="529" t="s">
        <v>339</v>
      </c>
      <c r="C203" s="530"/>
      <c r="D203" s="530"/>
      <c r="E203" s="530"/>
      <c r="F203" s="288" t="s">
        <v>189</v>
      </c>
      <c r="G203" s="289" t="s">
        <v>190</v>
      </c>
      <c r="H203" s="290"/>
      <c r="I203" s="291"/>
      <c r="J203" s="289"/>
      <c r="K203" s="304">
        <v>0.5</v>
      </c>
      <c r="L203" s="455">
        <f>$L$194</f>
        <v>40120.079999999994</v>
      </c>
      <c r="M203" s="363">
        <f>1/50000</f>
        <v>2.0000000000000002E-5</v>
      </c>
      <c r="N203" s="437">
        <v>1</v>
      </c>
      <c r="O203" s="296">
        <f t="shared" si="27"/>
        <v>0.40120079999999997</v>
      </c>
      <c r="P203" s="306">
        <f>VLOOKUP($F203,'[1]Master Harga'!$E$5:$L$351,6,FALSE)</f>
        <v>149108.51999999999</v>
      </c>
      <c r="Q203" s="437">
        <f t="shared" si="26"/>
        <v>59822.457510815992</v>
      </c>
      <c r="R203" s="296"/>
      <c r="S203" s="296"/>
      <c r="T203" s="296"/>
      <c r="U203" s="296"/>
      <c r="V203" s="296"/>
      <c r="W203" s="307"/>
      <c r="X203" s="436"/>
      <c r="Y203" s="306">
        <f t="shared" si="25"/>
        <v>149.25762851999997</v>
      </c>
      <c r="Z203" s="295"/>
      <c r="AB203" s="393"/>
      <c r="AC203" s="393"/>
      <c r="AD203" s="308"/>
      <c r="AF203" s="393"/>
      <c r="AG203" s="393"/>
      <c r="AH203" s="308"/>
      <c r="AJ203" s="393"/>
      <c r="AK203" s="393"/>
      <c r="AL203" s="300"/>
    </row>
    <row r="204" spans="2:38" x14ac:dyDescent="0.35">
      <c r="B204" s="527"/>
      <c r="C204" s="528"/>
      <c r="D204" s="528"/>
      <c r="E204" s="531"/>
      <c r="F204" s="532" t="s">
        <v>340</v>
      </c>
      <c r="G204" s="533" t="s">
        <v>341</v>
      </c>
      <c r="H204" s="534"/>
      <c r="I204" s="535"/>
      <c r="J204" s="533"/>
      <c r="K204" s="304">
        <v>0.5</v>
      </c>
      <c r="L204" s="536">
        <v>1</v>
      </c>
      <c r="M204" s="425">
        <v>1</v>
      </c>
      <c r="N204" s="426">
        <v>1</v>
      </c>
      <c r="O204" s="333">
        <f t="shared" si="27"/>
        <v>0.5</v>
      </c>
      <c r="P204" s="335">
        <v>5592015</v>
      </c>
      <c r="Q204" s="426">
        <f t="shared" si="26"/>
        <v>2796007.5</v>
      </c>
      <c r="R204" s="333"/>
      <c r="S204" s="333"/>
      <c r="T204" s="333"/>
      <c r="U204" s="333"/>
      <c r="V204" s="333"/>
      <c r="W204" s="307"/>
      <c r="X204" s="537"/>
      <c r="Y204" s="335">
        <f t="shared" si="25"/>
        <v>6976.0666167664667</v>
      </c>
      <c r="Z204" s="295"/>
      <c r="AB204" s="393"/>
      <c r="AC204" s="393"/>
      <c r="AD204" s="308"/>
      <c r="AF204" s="393"/>
      <c r="AG204" s="393"/>
      <c r="AH204" s="308"/>
      <c r="AJ204" s="393"/>
      <c r="AK204" s="393"/>
      <c r="AL204" s="300"/>
    </row>
    <row r="205" spans="2:38" x14ac:dyDescent="0.35">
      <c r="B205" s="290"/>
      <c r="C205" s="291"/>
      <c r="D205" s="291" t="s">
        <v>122</v>
      </c>
      <c r="E205" s="396"/>
      <c r="F205" s="288" t="s">
        <v>189</v>
      </c>
      <c r="G205" s="289" t="s">
        <v>190</v>
      </c>
      <c r="H205" s="290"/>
      <c r="I205" s="291"/>
      <c r="J205" s="289" t="s">
        <v>170</v>
      </c>
      <c r="K205" s="304">
        <v>0.5</v>
      </c>
      <c r="L205" s="305">
        <f>$AB$1</f>
        <v>400.8</v>
      </c>
      <c r="M205" s="363">
        <v>2</v>
      </c>
      <c r="N205" s="437">
        <v>3</v>
      </c>
      <c r="O205" s="437">
        <f t="shared" si="27"/>
        <v>1202.4000000000001</v>
      </c>
      <c r="P205" s="306">
        <f>VLOOKUP($F205,'[1]Master Harga'!$E$5:$L$351,6,FALSE)</f>
        <v>149108.51999999999</v>
      </c>
      <c r="Q205" s="299">
        <f>P205*$O205</f>
        <v>179288084.44800001</v>
      </c>
      <c r="R205" s="296">
        <f>VLOOKUP($F205,'[1]Master Harga'!$E$5:$L$351,6,FALSE)</f>
        <v>149108.51999999999</v>
      </c>
      <c r="S205" s="296">
        <f>R205*$O205</f>
        <v>179288084.44800001</v>
      </c>
      <c r="T205" s="296">
        <f>VLOOKUP($F205,'[1]Master Harga'!$E$5:$L$351,7,FALSE)</f>
        <v>158800.57379999998</v>
      </c>
      <c r="U205" s="296">
        <f>T205*$O205</f>
        <v>190941809.93711999</v>
      </c>
      <c r="V205" s="296">
        <f>W205/O205</f>
        <v>152339.2046</v>
      </c>
      <c r="W205" s="307">
        <f>AVERAGEIF($P$3:$U$3,W$3,$P205:$U205)</f>
        <v>183172659.61104</v>
      </c>
      <c r="X205" s="295"/>
      <c r="Y205" s="335">
        <f t="shared" si="25"/>
        <v>447325.56</v>
      </c>
      <c r="Z205" s="295"/>
      <c r="AB205" s="393"/>
      <c r="AC205" s="393"/>
      <c r="AD205" s="308"/>
      <c r="AF205" s="393"/>
      <c r="AG205" s="393"/>
      <c r="AH205" s="308"/>
      <c r="AJ205" s="393"/>
      <c r="AK205" s="393"/>
      <c r="AL205" s="300"/>
    </row>
    <row r="206" spans="2:38" hidden="1" x14ac:dyDescent="0.35">
      <c r="B206" s="301"/>
      <c r="C206" s="302"/>
      <c r="D206" s="302" t="s">
        <v>342</v>
      </c>
      <c r="E206" s="303"/>
      <c r="F206" s="288" t="s">
        <v>189</v>
      </c>
      <c r="G206" s="289" t="s">
        <v>190</v>
      </c>
      <c r="H206" s="290"/>
      <c r="I206" s="291"/>
      <c r="J206" s="289"/>
      <c r="K206" s="304">
        <v>0.5</v>
      </c>
      <c r="L206" s="293"/>
      <c r="M206" s="294">
        <v>1</v>
      </c>
      <c r="N206" s="296">
        <v>1</v>
      </c>
      <c r="O206" s="296"/>
      <c r="P206" s="306"/>
      <c r="Q206" s="296"/>
      <c r="R206" s="296"/>
      <c r="S206" s="296"/>
      <c r="T206" s="296"/>
      <c r="U206" s="296"/>
      <c r="V206" s="296"/>
      <c r="W206" s="296"/>
      <c r="X206" s="295"/>
      <c r="Y206" s="306">
        <f t="shared" si="25"/>
        <v>0</v>
      </c>
      <c r="Z206" s="295"/>
      <c r="AB206" s="393"/>
      <c r="AC206" s="393"/>
      <c r="AD206" s="308"/>
      <c r="AF206" s="393"/>
      <c r="AG206" s="393"/>
      <c r="AH206" s="308"/>
      <c r="AJ206" s="393"/>
      <c r="AK206" s="393"/>
      <c r="AL206" s="300"/>
    </row>
    <row r="207" spans="2:38" hidden="1" x14ac:dyDescent="0.35">
      <c r="B207" s="315"/>
      <c r="C207" s="316"/>
      <c r="D207" s="316"/>
      <c r="E207" s="317"/>
      <c r="F207" s="288" t="s">
        <v>225</v>
      </c>
      <c r="G207" s="289" t="s">
        <v>226</v>
      </c>
      <c r="H207" s="290"/>
      <c r="I207" s="291"/>
      <c r="J207" s="289"/>
      <c r="K207" s="304">
        <v>0.5</v>
      </c>
      <c r="L207" s="293"/>
      <c r="M207" s="294">
        <v>0.6</v>
      </c>
      <c r="N207" s="296">
        <v>1</v>
      </c>
      <c r="O207" s="296"/>
      <c r="P207" s="306"/>
      <c r="Q207" s="296"/>
      <c r="R207" s="296"/>
      <c r="S207" s="296"/>
      <c r="T207" s="296"/>
      <c r="U207" s="296"/>
      <c r="V207" s="296"/>
      <c r="W207" s="296"/>
      <c r="X207" s="295"/>
      <c r="Y207" s="306">
        <f t="shared" ref="Y207:Y278" si="29">Q207/$AB$1</f>
        <v>0</v>
      </c>
      <c r="Z207" s="295"/>
      <c r="AB207" s="393"/>
      <c r="AC207" s="393"/>
      <c r="AD207" s="308"/>
      <c r="AF207" s="393"/>
      <c r="AG207" s="393"/>
      <c r="AH207" s="308"/>
      <c r="AJ207" s="393"/>
      <c r="AK207" s="393"/>
      <c r="AL207" s="300"/>
    </row>
    <row r="208" spans="2:38" hidden="1" x14ac:dyDescent="0.35">
      <c r="B208" s="315"/>
      <c r="C208" s="316"/>
      <c r="D208" s="316"/>
      <c r="E208" s="317"/>
      <c r="F208" s="288" t="s">
        <v>227</v>
      </c>
      <c r="G208" s="289" t="s">
        <v>192</v>
      </c>
      <c r="H208" s="290"/>
      <c r="I208" s="291"/>
      <c r="J208" s="289"/>
      <c r="K208" s="304">
        <v>0.5</v>
      </c>
      <c r="L208" s="293"/>
      <c r="M208" s="294">
        <f>24/1000</f>
        <v>2.4E-2</v>
      </c>
      <c r="N208" s="296">
        <v>1</v>
      </c>
      <c r="O208" s="296"/>
      <c r="P208" s="306"/>
      <c r="Q208" s="296"/>
      <c r="R208" s="296"/>
      <c r="S208" s="296"/>
      <c r="T208" s="296"/>
      <c r="U208" s="296"/>
      <c r="V208" s="296"/>
      <c r="W208" s="296"/>
      <c r="X208" s="295"/>
      <c r="Y208" s="306">
        <f t="shared" si="29"/>
        <v>0</v>
      </c>
      <c r="Z208" s="295"/>
      <c r="AB208" s="393"/>
      <c r="AC208" s="393"/>
      <c r="AD208" s="308"/>
      <c r="AF208" s="393"/>
      <c r="AG208" s="393"/>
      <c r="AH208" s="308"/>
      <c r="AJ208" s="393"/>
      <c r="AK208" s="393"/>
      <c r="AL208" s="300"/>
    </row>
    <row r="209" spans="2:38" hidden="1" x14ac:dyDescent="0.35">
      <c r="B209" s="315"/>
      <c r="C209" s="316"/>
      <c r="D209" s="316"/>
      <c r="E209" s="317"/>
      <c r="F209" s="288" t="s">
        <v>230</v>
      </c>
      <c r="G209" s="289" t="s">
        <v>226</v>
      </c>
      <c r="H209" s="290"/>
      <c r="I209" s="291"/>
      <c r="J209" s="289"/>
      <c r="K209" s="304">
        <v>0.5</v>
      </c>
      <c r="L209" s="293"/>
      <c r="M209" s="294">
        <v>0.18</v>
      </c>
      <c r="N209" s="296">
        <v>1</v>
      </c>
      <c r="O209" s="296"/>
      <c r="P209" s="306"/>
      <c r="Q209" s="296"/>
      <c r="R209" s="296"/>
      <c r="S209" s="296"/>
      <c r="T209" s="296"/>
      <c r="U209" s="296"/>
      <c r="V209" s="296"/>
      <c r="W209" s="296"/>
      <c r="X209" s="295"/>
      <c r="Y209" s="306">
        <f t="shared" si="29"/>
        <v>0</v>
      </c>
      <c r="Z209" s="295"/>
      <c r="AB209" s="393"/>
      <c r="AC209" s="393"/>
      <c r="AD209" s="308"/>
      <c r="AF209" s="393"/>
      <c r="AG209" s="393"/>
      <c r="AH209" s="308"/>
      <c r="AJ209" s="393"/>
      <c r="AK209" s="393"/>
      <c r="AL209" s="300"/>
    </row>
    <row r="210" spans="2:38" hidden="1" x14ac:dyDescent="0.35">
      <c r="B210" s="315"/>
      <c r="C210" s="316"/>
      <c r="D210" s="316"/>
      <c r="E210" s="317"/>
      <c r="F210" s="288" t="s">
        <v>224</v>
      </c>
      <c r="G210" s="289" t="s">
        <v>194</v>
      </c>
      <c r="H210" s="290"/>
      <c r="I210" s="291"/>
      <c r="J210" s="289"/>
      <c r="K210" s="304">
        <v>0.5</v>
      </c>
      <c r="L210" s="293"/>
      <c r="M210" s="294">
        <v>0.01</v>
      </c>
      <c r="N210" s="296">
        <v>1</v>
      </c>
      <c r="O210" s="296"/>
      <c r="P210" s="306"/>
      <c r="Q210" s="296"/>
      <c r="R210" s="296"/>
      <c r="S210" s="296"/>
      <c r="T210" s="296"/>
      <c r="U210" s="296"/>
      <c r="V210" s="296"/>
      <c r="W210" s="296"/>
      <c r="X210" s="295"/>
      <c r="Y210" s="306">
        <f t="shared" si="29"/>
        <v>0</v>
      </c>
      <c r="Z210" s="295"/>
      <c r="AB210" s="393"/>
      <c r="AC210" s="393"/>
      <c r="AD210" s="308"/>
      <c r="AF210" s="393"/>
      <c r="AG210" s="393"/>
      <c r="AH210" s="308"/>
      <c r="AJ210" s="393"/>
      <c r="AK210" s="393"/>
      <c r="AL210" s="300"/>
    </row>
    <row r="211" spans="2:38" hidden="1" x14ac:dyDescent="0.35">
      <c r="B211" s="315"/>
      <c r="C211" s="316"/>
      <c r="D211" s="316"/>
      <c r="E211" s="317"/>
      <c r="F211" s="288" t="s">
        <v>231</v>
      </c>
      <c r="G211" s="289" t="s">
        <v>190</v>
      </c>
      <c r="H211" s="290"/>
      <c r="I211" s="291"/>
      <c r="J211" s="289"/>
      <c r="K211" s="304">
        <v>0.5</v>
      </c>
      <c r="L211" s="293"/>
      <c r="M211" s="294">
        <v>1</v>
      </c>
      <c r="N211" s="296">
        <v>1</v>
      </c>
      <c r="O211" s="296"/>
      <c r="P211" s="306"/>
      <c r="Q211" s="296"/>
      <c r="R211" s="296"/>
      <c r="S211" s="296"/>
      <c r="T211" s="296"/>
      <c r="U211" s="296"/>
      <c r="V211" s="296"/>
      <c r="W211" s="296"/>
      <c r="X211" s="295"/>
      <c r="Y211" s="306">
        <f t="shared" si="29"/>
        <v>0</v>
      </c>
      <c r="Z211" s="295"/>
      <c r="AB211" s="393"/>
      <c r="AC211" s="393"/>
      <c r="AD211" s="308"/>
      <c r="AF211" s="393"/>
      <c r="AG211" s="393"/>
      <c r="AH211" s="308"/>
      <c r="AJ211" s="393"/>
      <c r="AK211" s="393"/>
      <c r="AL211" s="300"/>
    </row>
    <row r="212" spans="2:38" hidden="1" x14ac:dyDescent="0.35">
      <c r="B212" s="315"/>
      <c r="C212" s="316"/>
      <c r="D212" s="316"/>
      <c r="E212" s="317"/>
      <c r="F212" s="295" t="s">
        <v>232</v>
      </c>
      <c r="G212" s="364" t="s">
        <v>194</v>
      </c>
      <c r="H212" s="365">
        <v>4</v>
      </c>
      <c r="I212" s="366" t="s">
        <v>233</v>
      </c>
      <c r="J212" s="308"/>
      <c r="K212" s="304">
        <v>0.5</v>
      </c>
      <c r="L212" s="538"/>
      <c r="M212" s="387">
        <f>((M$206*N$206)/240*($H212/N212))</f>
        <v>1.6666666666666666E-2</v>
      </c>
      <c r="N212" s="296">
        <v>1</v>
      </c>
      <c r="O212" s="296"/>
      <c r="P212" s="306"/>
      <c r="Q212" s="296"/>
      <c r="R212" s="296"/>
      <c r="S212" s="296"/>
      <c r="T212" s="296"/>
      <c r="U212" s="296"/>
      <c r="V212" s="296"/>
      <c r="W212" s="296"/>
      <c r="X212" s="295"/>
      <c r="Y212" s="306">
        <f t="shared" si="29"/>
        <v>0</v>
      </c>
      <c r="Z212" s="295"/>
      <c r="AB212" s="393"/>
      <c r="AC212" s="393"/>
      <c r="AD212" s="308"/>
      <c r="AF212" s="393"/>
      <c r="AG212" s="393"/>
      <c r="AH212" s="308"/>
      <c r="AJ212" s="393"/>
      <c r="AK212" s="393"/>
      <c r="AL212" s="300"/>
    </row>
    <row r="213" spans="2:38" hidden="1" x14ac:dyDescent="0.35">
      <c r="B213" s="315"/>
      <c r="C213" s="316"/>
      <c r="D213" s="316"/>
      <c r="E213" s="317"/>
      <c r="F213" s="295" t="s">
        <v>234</v>
      </c>
      <c r="G213" s="364" t="s">
        <v>194</v>
      </c>
      <c r="H213" s="365">
        <v>12</v>
      </c>
      <c r="I213" s="366" t="s">
        <v>233</v>
      </c>
      <c r="J213" s="308"/>
      <c r="K213" s="304">
        <v>0.5</v>
      </c>
      <c r="L213" s="538"/>
      <c r="M213" s="387">
        <f>((M$206*N$206)/240*($H213/N213))</f>
        <v>0.05</v>
      </c>
      <c r="N213" s="296">
        <v>1</v>
      </c>
      <c r="O213" s="296"/>
      <c r="P213" s="306"/>
      <c r="Q213" s="296"/>
      <c r="R213" s="296"/>
      <c r="S213" s="296"/>
      <c r="T213" s="296"/>
      <c r="U213" s="296"/>
      <c r="V213" s="296"/>
      <c r="W213" s="296"/>
      <c r="X213" s="295"/>
      <c r="Y213" s="306">
        <f t="shared" si="29"/>
        <v>0</v>
      </c>
      <c r="Z213" s="295"/>
      <c r="AB213" s="393"/>
      <c r="AC213" s="393"/>
      <c r="AD213" s="308"/>
      <c r="AF213" s="393"/>
      <c r="AG213" s="393"/>
      <c r="AH213" s="308"/>
      <c r="AJ213" s="393"/>
      <c r="AK213" s="393"/>
      <c r="AL213" s="300"/>
    </row>
    <row r="214" spans="2:38" hidden="1" x14ac:dyDescent="0.35">
      <c r="B214" s="315"/>
      <c r="C214" s="316"/>
      <c r="D214" s="316"/>
      <c r="E214" s="317"/>
      <c r="F214" s="295" t="s">
        <v>235</v>
      </c>
      <c r="G214" s="364" t="s">
        <v>194</v>
      </c>
      <c r="H214" s="365">
        <v>1</v>
      </c>
      <c r="I214" s="366" t="s">
        <v>233</v>
      </c>
      <c r="J214" s="308"/>
      <c r="K214" s="304">
        <v>0.5</v>
      </c>
      <c r="L214" s="538"/>
      <c r="M214" s="387">
        <f>((M$206*N$206)/240*($H214/N214))</f>
        <v>4.1666666666666666E-3</v>
      </c>
      <c r="N214" s="296">
        <v>1</v>
      </c>
      <c r="O214" s="296"/>
      <c r="P214" s="306"/>
      <c r="Q214" s="296"/>
      <c r="R214" s="296"/>
      <c r="S214" s="296"/>
      <c r="T214" s="296"/>
      <c r="U214" s="296"/>
      <c r="V214" s="296"/>
      <c r="W214" s="296"/>
      <c r="X214" s="295"/>
      <c r="Y214" s="306">
        <f t="shared" si="29"/>
        <v>0</v>
      </c>
      <c r="Z214" s="295"/>
      <c r="AB214" s="393"/>
      <c r="AC214" s="393"/>
      <c r="AD214" s="308"/>
      <c r="AF214" s="393"/>
      <c r="AG214" s="393"/>
      <c r="AH214" s="308"/>
      <c r="AJ214" s="393"/>
      <c r="AK214" s="393"/>
      <c r="AL214" s="300"/>
    </row>
    <row r="215" spans="2:38" hidden="1" x14ac:dyDescent="0.35">
      <c r="B215" s="315"/>
      <c r="C215" s="316"/>
      <c r="D215" s="316"/>
      <c r="E215" s="317"/>
      <c r="F215" s="295" t="s">
        <v>236</v>
      </c>
      <c r="G215" s="364" t="s">
        <v>194</v>
      </c>
      <c r="H215" s="365">
        <v>2</v>
      </c>
      <c r="I215" s="366" t="s">
        <v>233</v>
      </c>
      <c r="J215" s="308"/>
      <c r="K215" s="304">
        <v>0.5</v>
      </c>
      <c r="L215" s="538"/>
      <c r="M215" s="387">
        <f>((M$206*N$206)/240*($H215/N215))</f>
        <v>8.3333333333333332E-3</v>
      </c>
      <c r="N215" s="296">
        <v>1</v>
      </c>
      <c r="O215" s="296"/>
      <c r="P215" s="306"/>
      <c r="Q215" s="296"/>
      <c r="R215" s="296"/>
      <c r="S215" s="296"/>
      <c r="T215" s="296"/>
      <c r="U215" s="296"/>
      <c r="V215" s="296"/>
      <c r="W215" s="296"/>
      <c r="X215" s="295"/>
      <c r="Y215" s="306">
        <f t="shared" si="29"/>
        <v>0</v>
      </c>
      <c r="Z215" s="295"/>
      <c r="AB215" s="393"/>
      <c r="AC215" s="393"/>
      <c r="AD215" s="308"/>
      <c r="AF215" s="393"/>
      <c r="AG215" s="393"/>
      <c r="AH215" s="308"/>
      <c r="AJ215" s="393"/>
      <c r="AK215" s="393"/>
      <c r="AL215" s="300"/>
    </row>
    <row r="216" spans="2:38" hidden="1" x14ac:dyDescent="0.35">
      <c r="B216" s="367"/>
      <c r="C216" s="368"/>
      <c r="D216" s="368"/>
      <c r="E216" s="408"/>
      <c r="F216" s="295" t="s">
        <v>237</v>
      </c>
      <c r="G216" s="364" t="s">
        <v>194</v>
      </c>
      <c r="H216" s="365">
        <v>1</v>
      </c>
      <c r="I216" s="366" t="s">
        <v>233</v>
      </c>
      <c r="J216" s="308"/>
      <c r="K216" s="304">
        <v>0.5</v>
      </c>
      <c r="L216" s="538"/>
      <c r="M216" s="387">
        <f>((M$206*N$206)/240*($H216/N216))</f>
        <v>4.1666666666666666E-3</v>
      </c>
      <c r="N216" s="296">
        <v>1</v>
      </c>
      <c r="O216" s="296"/>
      <c r="P216" s="306"/>
      <c r="Q216" s="296"/>
      <c r="R216" s="296"/>
      <c r="S216" s="296"/>
      <c r="T216" s="296"/>
      <c r="U216" s="296"/>
      <c r="V216" s="296"/>
      <c r="W216" s="296"/>
      <c r="X216" s="295"/>
      <c r="Y216" s="306">
        <f t="shared" si="29"/>
        <v>0</v>
      </c>
      <c r="Z216" s="295"/>
      <c r="AB216" s="393"/>
      <c r="AC216" s="393"/>
      <c r="AD216" s="308"/>
      <c r="AF216" s="393"/>
      <c r="AG216" s="393"/>
      <c r="AH216" s="308"/>
      <c r="AJ216" s="393"/>
      <c r="AK216" s="393"/>
      <c r="AL216" s="300"/>
    </row>
    <row r="217" spans="2:38" hidden="1" x14ac:dyDescent="0.35">
      <c r="B217" s="301"/>
      <c r="C217" s="302"/>
      <c r="D217" s="302" t="s">
        <v>96</v>
      </c>
      <c r="E217" s="303"/>
      <c r="F217" s="288" t="s">
        <v>189</v>
      </c>
      <c r="G217" s="289" t="s">
        <v>190</v>
      </c>
      <c r="H217" s="290"/>
      <c r="I217" s="291"/>
      <c r="J217" s="289"/>
      <c r="K217" s="304">
        <v>0</v>
      </c>
      <c r="L217" s="293">
        <v>1</v>
      </c>
      <c r="M217" s="294">
        <v>1.5</v>
      </c>
      <c r="N217" s="296">
        <v>1</v>
      </c>
      <c r="O217" s="296">
        <f>K217*L217*M217*N217</f>
        <v>0</v>
      </c>
      <c r="P217" s="306">
        <f>VLOOKUP($F217,'[1]Master Harga'!$E$5:$L$351,5,FALSE)</f>
        <v>140008</v>
      </c>
      <c r="Q217" s="296">
        <f>P217*$O217</f>
        <v>0</v>
      </c>
      <c r="R217" s="296">
        <f>VLOOKUP($F217,'[1]Master Harga'!$E$5:$L$351,6,FALSE)</f>
        <v>149108.51999999999</v>
      </c>
      <c r="S217" s="296">
        <f>R217*$O217</f>
        <v>0</v>
      </c>
      <c r="T217" s="296">
        <f>VLOOKUP($F217,'[1]Master Harga'!$E$5:$L$351,7,FALSE)</f>
        <v>158800.57379999998</v>
      </c>
      <c r="U217" s="296">
        <f>T217*$O217</f>
        <v>0</v>
      </c>
      <c r="V217" s="296" t="e">
        <f>W217/O217</f>
        <v>#DIV/0!</v>
      </c>
      <c r="W217" s="307">
        <f>AVERAGEIF($P$3:$U$3,W$3,$P217:$U217)</f>
        <v>0</v>
      </c>
      <c r="X217" s="295"/>
      <c r="Y217" s="306">
        <f t="shared" si="29"/>
        <v>0</v>
      </c>
      <c r="Z217" s="295"/>
      <c r="AB217" s="393"/>
      <c r="AC217" s="393"/>
      <c r="AD217" s="308"/>
      <c r="AF217" s="393"/>
      <c r="AG217" s="393"/>
      <c r="AH217" s="308"/>
      <c r="AJ217" s="393"/>
      <c r="AK217" s="393"/>
      <c r="AL217" s="300"/>
    </row>
    <row r="218" spans="2:38" hidden="1" x14ac:dyDescent="0.35">
      <c r="B218" s="315"/>
      <c r="C218" s="316"/>
      <c r="D218" s="316"/>
      <c r="E218" s="317"/>
      <c r="F218" s="288" t="s">
        <v>225</v>
      </c>
      <c r="G218" s="289" t="s">
        <v>226</v>
      </c>
      <c r="H218" s="290"/>
      <c r="I218" s="291"/>
      <c r="J218" s="289"/>
      <c r="K218" s="304">
        <v>0</v>
      </c>
      <c r="L218" s="293">
        <v>1</v>
      </c>
      <c r="M218" s="294">
        <v>1.5</v>
      </c>
      <c r="N218" s="296">
        <v>2</v>
      </c>
      <c r="O218" s="296">
        <f t="shared" ref="O218:O226" si="30">K218*L218*M218*N218</f>
        <v>0</v>
      </c>
      <c r="P218" s="306">
        <f>VLOOKUP($F218,'[1]Master Harga'!$E$5:$L$351,5,FALSE)</f>
        <v>36352.800000000003</v>
      </c>
      <c r="Q218" s="296">
        <f t="shared" ref="Q218:Q234" si="31">P218*$O218</f>
        <v>0</v>
      </c>
      <c r="R218" s="296">
        <f>VLOOKUP($F218,'[1]Master Harga'!$E$5:$L$351,6,FALSE)</f>
        <v>35343</v>
      </c>
      <c r="S218" s="296">
        <f t="shared" ref="S218:S226" si="32">R218*$O218</f>
        <v>0</v>
      </c>
      <c r="T218" s="296">
        <f>VLOOKUP($F218,'[1]Master Harga'!$E$5:$L$351,7,FALSE)</f>
        <v>37110.15</v>
      </c>
      <c r="U218" s="296">
        <f t="shared" ref="U218:U226" si="33">T218*$O218</f>
        <v>0</v>
      </c>
      <c r="V218" s="296" t="e">
        <f t="shared" ref="V218:V226" si="34">W218/O218</f>
        <v>#DIV/0!</v>
      </c>
      <c r="W218" s="307">
        <f t="shared" ref="W218:W226" si="35">AVERAGEIF($P$3:$U$3,W$3,$P218:$U218)</f>
        <v>0</v>
      </c>
      <c r="X218" s="295"/>
      <c r="Y218" s="306">
        <f t="shared" si="29"/>
        <v>0</v>
      </c>
      <c r="Z218" s="295"/>
      <c r="AB218" s="393"/>
      <c r="AC218" s="393"/>
      <c r="AD218" s="308"/>
      <c r="AF218" s="393"/>
      <c r="AG218" s="393"/>
      <c r="AH218" s="308"/>
      <c r="AJ218" s="393"/>
      <c r="AK218" s="393"/>
      <c r="AL218" s="300"/>
    </row>
    <row r="219" spans="2:38" hidden="1" x14ac:dyDescent="0.35">
      <c r="B219" s="315"/>
      <c r="C219" s="316"/>
      <c r="D219" s="316"/>
      <c r="E219" s="317"/>
      <c r="F219" s="288" t="s">
        <v>230</v>
      </c>
      <c r="G219" s="289" t="s">
        <v>226</v>
      </c>
      <c r="H219" s="290"/>
      <c r="I219" s="291"/>
      <c r="J219" s="289"/>
      <c r="K219" s="304">
        <v>0</v>
      </c>
      <c r="L219" s="293">
        <v>1</v>
      </c>
      <c r="M219" s="294">
        <v>2.7E-2</v>
      </c>
      <c r="N219" s="296">
        <v>2</v>
      </c>
      <c r="O219" s="296">
        <f t="shared" si="30"/>
        <v>0</v>
      </c>
      <c r="P219" s="306">
        <f>VLOOKUP($F219,'[1]Master Harga'!$E$5:$L$351,5,FALSE)</f>
        <v>46267.199999999997</v>
      </c>
      <c r="Q219" s="296">
        <f t="shared" si="31"/>
        <v>0</v>
      </c>
      <c r="R219" s="296">
        <f>VLOOKUP($F219,'[1]Master Harga'!$E$5:$L$351,6,FALSE)</f>
        <v>44982</v>
      </c>
      <c r="S219" s="296">
        <f t="shared" si="32"/>
        <v>0</v>
      </c>
      <c r="T219" s="296">
        <f>VLOOKUP($F219,'[1]Master Harga'!$E$5:$L$351,7,FALSE)</f>
        <v>47231.1</v>
      </c>
      <c r="U219" s="296">
        <f t="shared" si="33"/>
        <v>0</v>
      </c>
      <c r="V219" s="296" t="e">
        <f t="shared" si="34"/>
        <v>#DIV/0!</v>
      </c>
      <c r="W219" s="307">
        <f t="shared" si="35"/>
        <v>0</v>
      </c>
      <c r="X219" s="295"/>
      <c r="Y219" s="306">
        <f t="shared" si="29"/>
        <v>0</v>
      </c>
      <c r="Z219" s="295"/>
      <c r="AB219" s="393"/>
      <c r="AC219" s="393"/>
      <c r="AD219" s="308"/>
      <c r="AF219" s="393"/>
      <c r="AG219" s="393"/>
      <c r="AH219" s="308"/>
      <c r="AJ219" s="393"/>
      <c r="AK219" s="393"/>
      <c r="AL219" s="300"/>
    </row>
    <row r="220" spans="2:38" hidden="1" x14ac:dyDescent="0.35">
      <c r="B220" s="315"/>
      <c r="C220" s="316"/>
      <c r="D220" s="316"/>
      <c r="E220" s="317"/>
      <c r="F220" s="288" t="s">
        <v>224</v>
      </c>
      <c r="G220" s="289" t="s">
        <v>194</v>
      </c>
      <c r="H220" s="290"/>
      <c r="I220" s="291"/>
      <c r="J220" s="289"/>
      <c r="K220" s="304">
        <v>0</v>
      </c>
      <c r="L220" s="293">
        <v>1</v>
      </c>
      <c r="M220" s="294">
        <v>0.01</v>
      </c>
      <c r="N220" s="296">
        <v>1</v>
      </c>
      <c r="O220" s="296">
        <f t="shared" si="30"/>
        <v>0</v>
      </c>
      <c r="P220" s="306">
        <f>VLOOKUP($F220,'[1]Master Harga'!$E$5:$L$351,5,FALSE)</f>
        <v>1366468.5</v>
      </c>
      <c r="Q220" s="296">
        <f t="shared" si="31"/>
        <v>0</v>
      </c>
      <c r="R220" s="296">
        <f>VLOOKUP($F220,'[1]Master Harga'!$E$5:$L$351,6,FALSE)</f>
        <v>1434791.925</v>
      </c>
      <c r="S220" s="296">
        <f t="shared" si="32"/>
        <v>0</v>
      </c>
      <c r="T220" s="296">
        <f>VLOOKUP($F220,'[1]Master Harga'!$E$5:$L$351,7,FALSE)</f>
        <v>1506531.5212500002</v>
      </c>
      <c r="U220" s="296">
        <f t="shared" si="33"/>
        <v>0</v>
      </c>
      <c r="V220" s="296" t="e">
        <f t="shared" si="34"/>
        <v>#DIV/0!</v>
      </c>
      <c r="W220" s="307">
        <f t="shared" si="35"/>
        <v>0</v>
      </c>
      <c r="X220" s="295"/>
      <c r="Y220" s="306">
        <f t="shared" si="29"/>
        <v>0</v>
      </c>
      <c r="Z220" s="295"/>
      <c r="AB220" s="393"/>
      <c r="AC220" s="393"/>
      <c r="AD220" s="308"/>
      <c r="AF220" s="393"/>
      <c r="AG220" s="393"/>
      <c r="AH220" s="308"/>
      <c r="AJ220" s="393"/>
      <c r="AK220" s="393"/>
      <c r="AL220" s="300"/>
    </row>
    <row r="221" spans="2:38" hidden="1" x14ac:dyDescent="0.35">
      <c r="B221" s="315"/>
      <c r="C221" s="316"/>
      <c r="D221" s="316"/>
      <c r="E221" s="317"/>
      <c r="F221" s="288" t="s">
        <v>231</v>
      </c>
      <c r="G221" s="289" t="s">
        <v>190</v>
      </c>
      <c r="H221" s="290"/>
      <c r="I221" s="291"/>
      <c r="J221" s="289"/>
      <c r="K221" s="304">
        <v>0</v>
      </c>
      <c r="L221" s="293">
        <v>1</v>
      </c>
      <c r="M221" s="294">
        <v>1</v>
      </c>
      <c r="N221" s="296">
        <v>2</v>
      </c>
      <c r="O221" s="296">
        <f t="shared" si="30"/>
        <v>0</v>
      </c>
      <c r="P221" s="306">
        <f>VLOOKUP($F221,'[1]Master Harga'!$E$5:$L$351,5,FALSE)</f>
        <v>3850</v>
      </c>
      <c r="Q221" s="296">
        <f t="shared" si="31"/>
        <v>0</v>
      </c>
      <c r="R221" s="296">
        <f>VLOOKUP($F221,'[1]Master Harga'!$E$5:$L$351,6,FALSE)</f>
        <v>4042.5</v>
      </c>
      <c r="S221" s="296">
        <f t="shared" si="32"/>
        <v>0</v>
      </c>
      <c r="T221" s="296">
        <f>VLOOKUP($F221,'[1]Master Harga'!$E$5:$L$351,7,FALSE)</f>
        <v>4244.625</v>
      </c>
      <c r="U221" s="296">
        <f t="shared" si="33"/>
        <v>0</v>
      </c>
      <c r="V221" s="296" t="e">
        <f t="shared" si="34"/>
        <v>#DIV/0!</v>
      </c>
      <c r="W221" s="307">
        <f t="shared" si="35"/>
        <v>0</v>
      </c>
      <c r="X221" s="295"/>
      <c r="Y221" s="306">
        <f t="shared" si="29"/>
        <v>0</v>
      </c>
      <c r="Z221" s="295"/>
      <c r="AB221" s="393"/>
      <c r="AC221" s="393"/>
      <c r="AD221" s="308"/>
      <c r="AF221" s="393"/>
      <c r="AG221" s="393"/>
      <c r="AH221" s="308"/>
      <c r="AJ221" s="393"/>
      <c r="AK221" s="393"/>
      <c r="AL221" s="300"/>
    </row>
    <row r="222" spans="2:38" hidden="1" x14ac:dyDescent="0.35">
      <c r="B222" s="315"/>
      <c r="C222" s="316"/>
      <c r="D222" s="316"/>
      <c r="E222" s="317"/>
      <c r="F222" s="295" t="s">
        <v>232</v>
      </c>
      <c r="G222" s="364" t="s">
        <v>194</v>
      </c>
      <c r="H222" s="365">
        <v>4</v>
      </c>
      <c r="I222" s="366" t="s">
        <v>233</v>
      </c>
      <c r="J222" s="308"/>
      <c r="K222" s="304">
        <v>0</v>
      </c>
      <c r="L222" s="293">
        <v>1</v>
      </c>
      <c r="M222" s="387">
        <f>((M$217*N$217)/240*($H222/N222))</f>
        <v>2.5000000000000001E-2</v>
      </c>
      <c r="N222" s="296">
        <v>1</v>
      </c>
      <c r="O222" s="296">
        <f t="shared" si="30"/>
        <v>0</v>
      </c>
      <c r="P222" s="306">
        <f>VLOOKUP($F222,'[1]Master Harga'!$E$5:$L$351,5,FALSE)</f>
        <v>42840</v>
      </c>
      <c r="Q222" s="296">
        <f t="shared" si="31"/>
        <v>0</v>
      </c>
      <c r="R222" s="296">
        <f>VLOOKUP($F222,'[1]Master Harga'!$E$5:$L$351,6,FALSE)</f>
        <v>44982</v>
      </c>
      <c r="S222" s="296">
        <f t="shared" si="32"/>
        <v>0</v>
      </c>
      <c r="T222" s="296">
        <f>VLOOKUP($F222,'[1]Master Harga'!$E$5:$L$351,7,FALSE)</f>
        <v>47231.1</v>
      </c>
      <c r="U222" s="296">
        <f t="shared" si="33"/>
        <v>0</v>
      </c>
      <c r="V222" s="296" t="e">
        <f t="shared" si="34"/>
        <v>#DIV/0!</v>
      </c>
      <c r="W222" s="307">
        <f t="shared" si="35"/>
        <v>0</v>
      </c>
      <c r="X222" s="295"/>
      <c r="Y222" s="306">
        <f t="shared" si="29"/>
        <v>0</v>
      </c>
      <c r="Z222" s="295"/>
      <c r="AB222" s="393"/>
      <c r="AC222" s="393"/>
      <c r="AD222" s="308"/>
      <c r="AF222" s="393"/>
      <c r="AG222" s="393"/>
      <c r="AH222" s="308"/>
      <c r="AJ222" s="393"/>
      <c r="AK222" s="393"/>
      <c r="AL222" s="300"/>
    </row>
    <row r="223" spans="2:38" hidden="1" x14ac:dyDescent="0.35">
      <c r="B223" s="315"/>
      <c r="C223" s="316"/>
      <c r="D223" s="316"/>
      <c r="E223" s="317"/>
      <c r="F223" s="295" t="s">
        <v>234</v>
      </c>
      <c r="G223" s="364" t="s">
        <v>194</v>
      </c>
      <c r="H223" s="365">
        <v>12</v>
      </c>
      <c r="I223" s="366" t="s">
        <v>233</v>
      </c>
      <c r="J223" s="308"/>
      <c r="K223" s="304">
        <v>0</v>
      </c>
      <c r="L223" s="293">
        <v>1</v>
      </c>
      <c r="M223" s="387">
        <f>((M$217*N$217)/240*($H223/N223))</f>
        <v>7.5000000000000011E-2</v>
      </c>
      <c r="N223" s="296">
        <v>1</v>
      </c>
      <c r="O223" s="296">
        <f t="shared" si="30"/>
        <v>0</v>
      </c>
      <c r="P223" s="306">
        <f>VLOOKUP($F223,'[1]Master Harga'!$E$5:$L$351,5,FALSE)</f>
        <v>14000</v>
      </c>
      <c r="Q223" s="296">
        <f t="shared" si="31"/>
        <v>0</v>
      </c>
      <c r="R223" s="296">
        <f>VLOOKUP($F223,'[1]Master Harga'!$E$5:$L$351,6,FALSE)</f>
        <v>14700</v>
      </c>
      <c r="S223" s="296">
        <f t="shared" si="32"/>
        <v>0</v>
      </c>
      <c r="T223" s="296">
        <f>VLOOKUP($F223,'[1]Master Harga'!$E$5:$L$351,7,FALSE)</f>
        <v>15435</v>
      </c>
      <c r="U223" s="296">
        <f t="shared" si="33"/>
        <v>0</v>
      </c>
      <c r="V223" s="296" t="e">
        <f t="shared" si="34"/>
        <v>#DIV/0!</v>
      </c>
      <c r="W223" s="307">
        <f t="shared" si="35"/>
        <v>0</v>
      </c>
      <c r="X223" s="295"/>
      <c r="Y223" s="306">
        <f t="shared" si="29"/>
        <v>0</v>
      </c>
      <c r="Z223" s="295"/>
      <c r="AB223" s="393"/>
      <c r="AC223" s="393"/>
      <c r="AD223" s="308"/>
      <c r="AF223" s="393"/>
      <c r="AG223" s="393"/>
      <c r="AH223" s="308"/>
      <c r="AJ223" s="393"/>
      <c r="AK223" s="393"/>
      <c r="AL223" s="300"/>
    </row>
    <row r="224" spans="2:38" hidden="1" x14ac:dyDescent="0.35">
      <c r="B224" s="315"/>
      <c r="C224" s="316"/>
      <c r="D224" s="316"/>
      <c r="E224" s="317"/>
      <c r="F224" s="295" t="s">
        <v>235</v>
      </c>
      <c r="G224" s="364" t="s">
        <v>194</v>
      </c>
      <c r="H224" s="365">
        <v>1</v>
      </c>
      <c r="I224" s="366" t="s">
        <v>233</v>
      </c>
      <c r="J224" s="308"/>
      <c r="K224" s="304">
        <v>0</v>
      </c>
      <c r="L224" s="293">
        <v>1</v>
      </c>
      <c r="M224" s="387">
        <f>((M$217*N$217)/240*($H224/N224))</f>
        <v>6.2500000000000003E-3</v>
      </c>
      <c r="N224" s="296">
        <v>1</v>
      </c>
      <c r="O224" s="296">
        <f t="shared" si="30"/>
        <v>0</v>
      </c>
      <c r="P224" s="306">
        <f>VLOOKUP($F224,'[1]Master Harga'!$E$5:$L$351,5,FALSE)</f>
        <v>37485</v>
      </c>
      <c r="Q224" s="296">
        <f t="shared" si="31"/>
        <v>0</v>
      </c>
      <c r="R224" s="296">
        <f>VLOOKUP($F224,'[1]Master Harga'!$E$5:$L$351,6,FALSE)</f>
        <v>39359.25</v>
      </c>
      <c r="S224" s="296">
        <f t="shared" si="32"/>
        <v>0</v>
      </c>
      <c r="T224" s="296">
        <f>VLOOKUP($F224,'[1]Master Harga'!$E$5:$L$351,7,FALSE)</f>
        <v>41327.212500000001</v>
      </c>
      <c r="U224" s="296">
        <f t="shared" si="33"/>
        <v>0</v>
      </c>
      <c r="V224" s="296" t="e">
        <f t="shared" si="34"/>
        <v>#DIV/0!</v>
      </c>
      <c r="W224" s="307">
        <f t="shared" si="35"/>
        <v>0</v>
      </c>
      <c r="X224" s="295"/>
      <c r="Y224" s="306">
        <f t="shared" si="29"/>
        <v>0</v>
      </c>
      <c r="Z224" s="295"/>
      <c r="AB224" s="393"/>
      <c r="AC224" s="393"/>
      <c r="AD224" s="308"/>
      <c r="AF224" s="393"/>
      <c r="AG224" s="393"/>
      <c r="AH224" s="308"/>
      <c r="AJ224" s="393"/>
      <c r="AK224" s="393"/>
      <c r="AL224" s="300"/>
    </row>
    <row r="225" spans="2:38" hidden="1" x14ac:dyDescent="0.35">
      <c r="B225" s="315"/>
      <c r="C225" s="316"/>
      <c r="D225" s="316"/>
      <c r="E225" s="317"/>
      <c r="F225" s="295" t="s">
        <v>236</v>
      </c>
      <c r="G225" s="364" t="s">
        <v>194</v>
      </c>
      <c r="H225" s="365">
        <v>2</v>
      </c>
      <c r="I225" s="366" t="s">
        <v>233</v>
      </c>
      <c r="J225" s="308"/>
      <c r="K225" s="304">
        <v>0</v>
      </c>
      <c r="L225" s="293">
        <v>1</v>
      </c>
      <c r="M225" s="387">
        <f>((M$217*N$217)/240*($H225/N225))</f>
        <v>1.2500000000000001E-2</v>
      </c>
      <c r="N225" s="296">
        <v>1</v>
      </c>
      <c r="O225" s="296">
        <f t="shared" si="30"/>
        <v>0</v>
      </c>
      <c r="P225" s="306">
        <f>VLOOKUP($F225,'[1]Master Harga'!$E$5:$L$351,5,FALSE)</f>
        <v>32130</v>
      </c>
      <c r="Q225" s="296">
        <f t="shared" si="31"/>
        <v>0</v>
      </c>
      <c r="R225" s="296">
        <f>VLOOKUP($F225,'[1]Master Harga'!$E$5:$L$351,6,FALSE)</f>
        <v>33736.5</v>
      </c>
      <c r="S225" s="296">
        <f t="shared" si="32"/>
        <v>0</v>
      </c>
      <c r="T225" s="296">
        <f>VLOOKUP($F225,'[1]Master Harga'!$E$5:$L$351,7,FALSE)</f>
        <v>35423.325000000004</v>
      </c>
      <c r="U225" s="296">
        <f t="shared" si="33"/>
        <v>0</v>
      </c>
      <c r="V225" s="296" t="e">
        <f t="shared" si="34"/>
        <v>#DIV/0!</v>
      </c>
      <c r="W225" s="307">
        <f t="shared" si="35"/>
        <v>0</v>
      </c>
      <c r="X225" s="295"/>
      <c r="Y225" s="306">
        <f t="shared" si="29"/>
        <v>0</v>
      </c>
      <c r="Z225" s="295"/>
      <c r="AB225" s="393"/>
      <c r="AC225" s="393"/>
      <c r="AD225" s="308"/>
      <c r="AF225" s="393"/>
      <c r="AG225" s="393"/>
      <c r="AH225" s="308"/>
      <c r="AJ225" s="393"/>
      <c r="AK225" s="393"/>
      <c r="AL225" s="300"/>
    </row>
    <row r="226" spans="2:38" hidden="1" x14ac:dyDescent="0.35">
      <c r="B226" s="367"/>
      <c r="C226" s="368"/>
      <c r="D226" s="368"/>
      <c r="E226" s="408"/>
      <c r="F226" s="295" t="s">
        <v>237</v>
      </c>
      <c r="G226" s="364" t="s">
        <v>194</v>
      </c>
      <c r="H226" s="365">
        <v>1</v>
      </c>
      <c r="I226" s="366" t="s">
        <v>233</v>
      </c>
      <c r="J226" s="308"/>
      <c r="K226" s="304">
        <v>0</v>
      </c>
      <c r="L226" s="293">
        <v>1</v>
      </c>
      <c r="M226" s="387">
        <f>((M$217*N$217)/240*($H226/N226))</f>
        <v>6.2500000000000003E-3</v>
      </c>
      <c r="N226" s="296">
        <v>1</v>
      </c>
      <c r="O226" s="296">
        <f t="shared" si="30"/>
        <v>0</v>
      </c>
      <c r="P226" s="306">
        <f>VLOOKUP($F226,'[1]Master Harga'!$E$5:$L$351,5,FALSE)</f>
        <v>85680</v>
      </c>
      <c r="Q226" s="296">
        <f t="shared" si="31"/>
        <v>0</v>
      </c>
      <c r="R226" s="296">
        <f>VLOOKUP($F226,'[1]Master Harga'!$E$5:$L$351,6,FALSE)</f>
        <v>89964</v>
      </c>
      <c r="S226" s="296">
        <f t="shared" si="32"/>
        <v>0</v>
      </c>
      <c r="T226" s="296">
        <f>VLOOKUP($F226,'[1]Master Harga'!$E$5:$L$351,7,FALSE)</f>
        <v>94462.2</v>
      </c>
      <c r="U226" s="296">
        <f t="shared" si="33"/>
        <v>0</v>
      </c>
      <c r="V226" s="296" t="e">
        <f t="shared" si="34"/>
        <v>#DIV/0!</v>
      </c>
      <c r="W226" s="307">
        <f t="shared" si="35"/>
        <v>0</v>
      </c>
      <c r="X226" s="295"/>
      <c r="Y226" s="306">
        <f t="shared" si="29"/>
        <v>0</v>
      </c>
      <c r="Z226" s="295"/>
      <c r="AB226" s="393"/>
      <c r="AC226" s="393"/>
      <c r="AD226" s="308"/>
      <c r="AF226" s="393"/>
      <c r="AG226" s="393"/>
      <c r="AH226" s="308"/>
      <c r="AJ226" s="393"/>
      <c r="AK226" s="393"/>
      <c r="AL226" s="300"/>
    </row>
    <row r="227" spans="2:38" x14ac:dyDescent="0.35">
      <c r="B227" s="539"/>
      <c r="C227" s="540" t="s">
        <v>68</v>
      </c>
      <c r="D227" s="540"/>
      <c r="E227" s="541"/>
      <c r="F227" s="295" t="s">
        <v>189</v>
      </c>
      <c r="G227" s="364" t="s">
        <v>190</v>
      </c>
      <c r="H227" s="365"/>
      <c r="I227" s="366"/>
      <c r="J227" s="364"/>
      <c r="K227" s="304">
        <v>0.5</v>
      </c>
      <c r="L227" s="305">
        <f t="shared" ref="L227:L234" si="36">$AB$1</f>
        <v>400.8</v>
      </c>
      <c r="M227" s="542">
        <v>2</v>
      </c>
      <c r="N227" s="296">
        <v>1</v>
      </c>
      <c r="O227" s="543">
        <f>K227*L227*M227*N227</f>
        <v>400.8</v>
      </c>
      <c r="P227" s="306">
        <f>VLOOKUP($F227,'[1]Master Harga'!$E$5:$L$351,6,FALSE)</f>
        <v>149108.51999999999</v>
      </c>
      <c r="Q227" s="299">
        <f t="shared" si="31"/>
        <v>59762694.816</v>
      </c>
      <c r="R227" s="299">
        <f>VLOOKUP($F227,'[1]Master Harga'!$E$5:$L$351,6,FALSE)</f>
        <v>149108.51999999999</v>
      </c>
      <c r="S227" s="543">
        <f>O227*R227</f>
        <v>59762694.816</v>
      </c>
      <c r="T227" s="544"/>
      <c r="U227" s="544"/>
      <c r="V227" s="544"/>
      <c r="W227" s="544"/>
      <c r="X227" s="545"/>
      <c r="Y227" s="335">
        <f t="shared" si="29"/>
        <v>149108.51999999999</v>
      </c>
      <c r="Z227" s="295"/>
      <c r="AB227" s="393"/>
      <c r="AC227" s="393"/>
      <c r="AD227" s="308"/>
      <c r="AF227" s="393"/>
      <c r="AG227" s="393"/>
      <c r="AH227" s="308"/>
      <c r="AJ227" s="393"/>
      <c r="AK227" s="393"/>
      <c r="AL227" s="300"/>
    </row>
    <row r="228" spans="2:38" hidden="1" x14ac:dyDescent="0.35">
      <c r="B228" s="546"/>
      <c r="C228"/>
      <c r="D228"/>
      <c r="E228" s="547"/>
      <c r="F228" s="295" t="s">
        <v>316</v>
      </c>
      <c r="G228" s="364" t="s">
        <v>192</v>
      </c>
      <c r="H228" s="365"/>
      <c r="I228" s="366"/>
      <c r="J228" s="364"/>
      <c r="K228" s="548">
        <v>0</v>
      </c>
      <c r="L228" s="305">
        <f t="shared" si="36"/>
        <v>400.8</v>
      </c>
      <c r="M228" s="542">
        <v>3</v>
      </c>
      <c r="N228" s="296">
        <v>1</v>
      </c>
      <c r="O228" s="543">
        <f t="shared" ref="O228:O234" si="37">K228*L228*M228*N228</f>
        <v>0</v>
      </c>
      <c r="P228" s="306">
        <f>VLOOKUP($F228,'[1]Master Harga'!$E$5:$L$351,6,FALSE)</f>
        <v>0</v>
      </c>
      <c r="Q228" s="299">
        <f t="shared" si="31"/>
        <v>0</v>
      </c>
      <c r="R228" s="299">
        <f>VLOOKUP($F228,'[1]Master Harga'!$E$5:$L$351,6,FALSE)</f>
        <v>0</v>
      </c>
      <c r="S228" s="543">
        <f t="shared" ref="S228:S234" si="38">O228*R228</f>
        <v>0</v>
      </c>
      <c r="T228" s="544"/>
      <c r="U228" s="544"/>
      <c r="V228" s="544"/>
      <c r="W228" s="544"/>
      <c r="X228" s="545"/>
      <c r="Y228" s="335">
        <f t="shared" si="29"/>
        <v>0</v>
      </c>
      <c r="Z228" s="295"/>
      <c r="AB228" s="393"/>
      <c r="AC228" s="393"/>
      <c r="AD228" s="308"/>
      <c r="AF228" s="393"/>
      <c r="AG228" s="393"/>
      <c r="AH228" s="308"/>
      <c r="AJ228" s="393"/>
      <c r="AK228" s="393"/>
      <c r="AL228" s="300"/>
    </row>
    <row r="229" spans="2:38" hidden="1" x14ac:dyDescent="0.35">
      <c r="B229" s="546"/>
      <c r="C229"/>
      <c r="D229"/>
      <c r="E229" s="547"/>
      <c r="F229" s="295" t="s">
        <v>318</v>
      </c>
      <c r="G229" s="364" t="s">
        <v>192</v>
      </c>
      <c r="H229" s="365"/>
      <c r="I229" s="366"/>
      <c r="J229" s="364"/>
      <c r="K229" s="548">
        <v>0</v>
      </c>
      <c r="L229" s="305">
        <f t="shared" si="36"/>
        <v>400.8</v>
      </c>
      <c r="M229" s="542">
        <v>6</v>
      </c>
      <c r="N229" s="296">
        <v>1</v>
      </c>
      <c r="O229" s="543">
        <f t="shared" si="37"/>
        <v>0</v>
      </c>
      <c r="P229" s="306">
        <f>VLOOKUP($F229,'[1]Master Harga'!$E$5:$L$351,6,FALSE)</f>
        <v>0</v>
      </c>
      <c r="Q229" s="299">
        <f t="shared" si="31"/>
        <v>0</v>
      </c>
      <c r="R229" s="299">
        <f>VLOOKUP($F229,'[1]Master Harga'!$E$5:$L$351,6,FALSE)</f>
        <v>0</v>
      </c>
      <c r="S229" s="543">
        <f t="shared" si="38"/>
        <v>0</v>
      </c>
      <c r="T229" s="544"/>
      <c r="U229" s="544"/>
      <c r="V229" s="544"/>
      <c r="W229" s="544"/>
      <c r="X229" s="545"/>
      <c r="Y229" s="335">
        <f t="shared" si="29"/>
        <v>0</v>
      </c>
      <c r="Z229" s="295"/>
      <c r="AB229" s="393"/>
      <c r="AC229" s="393"/>
      <c r="AD229" s="308"/>
      <c r="AF229" s="393"/>
      <c r="AG229" s="393"/>
      <c r="AH229" s="308"/>
      <c r="AJ229" s="393"/>
      <c r="AK229" s="393"/>
      <c r="AL229" s="300"/>
    </row>
    <row r="230" spans="2:38" x14ac:dyDescent="0.35">
      <c r="B230" s="546"/>
      <c r="C230"/>
      <c r="D230"/>
      <c r="E230" s="547"/>
      <c r="F230" s="295" t="s">
        <v>325</v>
      </c>
      <c r="G230" s="364" t="s">
        <v>343</v>
      </c>
      <c r="H230" s="365"/>
      <c r="I230" s="366"/>
      <c r="J230" s="364"/>
      <c r="K230" s="304">
        <v>0.5</v>
      </c>
      <c r="L230" s="305">
        <f t="shared" si="36"/>
        <v>400.8</v>
      </c>
      <c r="M230" s="542">
        <f>E182</f>
        <v>143</v>
      </c>
      <c r="N230" s="296">
        <v>1</v>
      </c>
      <c r="O230" s="543">
        <f>K230*L230*M230*N230</f>
        <v>28657.200000000001</v>
      </c>
      <c r="P230" s="306">
        <f>(SUM(Q179:Q205))/O230</f>
        <v>9575.4734863851172</v>
      </c>
      <c r="Q230" s="299">
        <f>P230*$O230</f>
        <v>274406258.79403561</v>
      </c>
      <c r="R230" s="299">
        <f>VLOOKUP($F230,'[1]Master Harga'!$E$5:$L$351,6,FALSE)</f>
        <v>535500</v>
      </c>
      <c r="S230" s="543">
        <f t="shared" si="38"/>
        <v>15345930600</v>
      </c>
      <c r="T230" s="544"/>
      <c r="U230" s="544"/>
      <c r="V230" s="544"/>
      <c r="W230" s="544"/>
      <c r="X230" s="545"/>
      <c r="Y230" s="335">
        <f t="shared" si="29"/>
        <v>684646.35427653592</v>
      </c>
      <c r="Z230" s="295"/>
      <c r="AB230" s="393"/>
      <c r="AC230" s="393"/>
      <c r="AD230" s="308"/>
      <c r="AF230" s="393"/>
      <c r="AG230" s="393"/>
      <c r="AH230" s="308"/>
      <c r="AJ230" s="393"/>
      <c r="AK230" s="393"/>
      <c r="AL230" s="300"/>
    </row>
    <row r="231" spans="2:38" hidden="1" x14ac:dyDescent="0.35">
      <c r="B231" s="546"/>
      <c r="C231"/>
      <c r="D231"/>
      <c r="E231" s="547"/>
      <c r="F231" s="295" t="s">
        <v>344</v>
      </c>
      <c r="G231" s="364" t="s">
        <v>192</v>
      </c>
      <c r="H231" s="365"/>
      <c r="I231" s="366"/>
      <c r="J231" s="364"/>
      <c r="K231" s="304">
        <v>0.5</v>
      </c>
      <c r="L231" s="305">
        <f t="shared" si="36"/>
        <v>400.8</v>
      </c>
      <c r="M231" s="542">
        <v>0.01</v>
      </c>
      <c r="N231" s="296">
        <v>1</v>
      </c>
      <c r="O231" s="543">
        <f t="shared" si="37"/>
        <v>2.004</v>
      </c>
      <c r="P231" s="306">
        <f>VLOOKUP($F231,'[1]Master Harga'!$E$5:$L$351,6,FALSE)</f>
        <v>0</v>
      </c>
      <c r="Q231" s="299">
        <f t="shared" si="31"/>
        <v>0</v>
      </c>
      <c r="R231" s="299">
        <f>VLOOKUP($F231,'[1]Master Harga'!$E$5:$L$351,6,FALSE)</f>
        <v>0</v>
      </c>
      <c r="S231" s="543">
        <f t="shared" si="38"/>
        <v>0</v>
      </c>
      <c r="T231" s="544"/>
      <c r="U231" s="544"/>
      <c r="V231" s="544"/>
      <c r="W231" s="544"/>
      <c r="X231" s="545"/>
      <c r="Y231" s="335">
        <f t="shared" si="29"/>
        <v>0</v>
      </c>
      <c r="Z231" s="295"/>
      <c r="AB231" s="393"/>
      <c r="AC231" s="393"/>
      <c r="AD231" s="308"/>
      <c r="AF231" s="393"/>
      <c r="AG231" s="393"/>
      <c r="AH231" s="308"/>
      <c r="AJ231" s="393"/>
      <c r="AK231" s="393"/>
      <c r="AL231" s="300"/>
    </row>
    <row r="232" spans="2:38" x14ac:dyDescent="0.35">
      <c r="B232" s="546"/>
      <c r="C232"/>
      <c r="D232"/>
      <c r="E232" s="547"/>
      <c r="F232" s="295" t="s">
        <v>324</v>
      </c>
      <c r="G232" s="364" t="s">
        <v>192</v>
      </c>
      <c r="H232" s="365"/>
      <c r="I232" s="366"/>
      <c r="J232" s="364"/>
      <c r="K232" s="304">
        <v>0.5</v>
      </c>
      <c r="L232" s="305">
        <f t="shared" si="36"/>
        <v>400.8</v>
      </c>
      <c r="M232" s="542">
        <v>2</v>
      </c>
      <c r="N232" s="296">
        <v>1</v>
      </c>
      <c r="O232" s="543">
        <f t="shared" si="37"/>
        <v>400.8</v>
      </c>
      <c r="P232" s="306">
        <f>VLOOKUP($F232,'[1]Master Harga'!$E$5:$L$351,6,FALSE)</f>
        <v>2300</v>
      </c>
      <c r="Q232" s="299">
        <f t="shared" si="31"/>
        <v>921840</v>
      </c>
      <c r="R232" s="299">
        <f>VLOOKUP($F232,'[1]Master Harga'!$E$5:$L$351,6,FALSE)</f>
        <v>2300</v>
      </c>
      <c r="S232" s="543">
        <f t="shared" si="38"/>
        <v>921840</v>
      </c>
      <c r="T232" s="544"/>
      <c r="U232" s="544"/>
      <c r="V232" s="544"/>
      <c r="W232" s="544"/>
      <c r="X232" s="545"/>
      <c r="Y232" s="335">
        <f t="shared" si="29"/>
        <v>2300</v>
      </c>
      <c r="Z232" s="295"/>
      <c r="AB232" s="393"/>
      <c r="AC232" s="393"/>
      <c r="AD232" s="308"/>
      <c r="AF232" s="393"/>
      <c r="AG232" s="393"/>
      <c r="AH232" s="308"/>
      <c r="AJ232" s="393"/>
      <c r="AK232" s="393"/>
      <c r="AL232" s="300"/>
    </row>
    <row r="233" spans="2:38" hidden="1" x14ac:dyDescent="0.35">
      <c r="B233" s="549"/>
      <c r="C233" s="550"/>
      <c r="D233" s="550"/>
      <c r="E233" s="551"/>
      <c r="F233" s="295" t="s">
        <v>237</v>
      </c>
      <c r="G233" s="364" t="s">
        <v>194</v>
      </c>
      <c r="H233" s="365">
        <v>1</v>
      </c>
      <c r="I233" s="366" t="s">
        <v>233</v>
      </c>
      <c r="J233" s="364"/>
      <c r="K233" s="304">
        <v>0.5</v>
      </c>
      <c r="L233" s="305">
        <f t="shared" si="36"/>
        <v>400.8</v>
      </c>
      <c r="M233" s="552">
        <f>((M$6*N$6)/240*($H233/N233))</f>
        <v>0</v>
      </c>
      <c r="N233" s="296">
        <v>1</v>
      </c>
      <c r="O233" s="543">
        <f t="shared" si="37"/>
        <v>0</v>
      </c>
      <c r="P233" s="306">
        <f>VLOOKUP($F233,'[1]Master Harga'!$E$5:$L$351,6,FALSE)</f>
        <v>89964</v>
      </c>
      <c r="Q233" s="299">
        <f t="shared" si="31"/>
        <v>0</v>
      </c>
      <c r="R233" s="299">
        <f>VLOOKUP($F233,'[1]Master Harga'!$E$5:$L$351,6,FALSE)</f>
        <v>89964</v>
      </c>
      <c r="S233" s="543">
        <f t="shared" si="38"/>
        <v>0</v>
      </c>
      <c r="T233" s="544"/>
      <c r="U233" s="544"/>
      <c r="V233" s="544"/>
      <c r="W233" s="544"/>
      <c r="X233" s="545"/>
      <c r="Y233" s="335">
        <f t="shared" si="29"/>
        <v>0</v>
      </c>
      <c r="Z233" s="295"/>
      <c r="AB233" s="393"/>
      <c r="AC233" s="393"/>
      <c r="AD233" s="308"/>
      <c r="AF233" s="393"/>
      <c r="AG233" s="393"/>
      <c r="AH233" s="308"/>
      <c r="AJ233" s="393"/>
      <c r="AK233" s="393"/>
      <c r="AL233" s="300"/>
    </row>
    <row r="234" spans="2:38" x14ac:dyDescent="0.35">
      <c r="B234" s="365"/>
      <c r="C234" s="366" t="s">
        <v>73</v>
      </c>
      <c r="D234" s="366"/>
      <c r="E234" s="553"/>
      <c r="F234" s="295" t="s">
        <v>189</v>
      </c>
      <c r="G234" s="364" t="s">
        <v>190</v>
      </c>
      <c r="H234" s="365"/>
      <c r="I234" s="366"/>
      <c r="J234" s="364"/>
      <c r="K234" s="304">
        <v>0.5</v>
      </c>
      <c r="L234" s="305">
        <f t="shared" si="36"/>
        <v>400.8</v>
      </c>
      <c r="M234" s="542">
        <v>2</v>
      </c>
      <c r="N234" s="296">
        <v>1</v>
      </c>
      <c r="O234" s="543">
        <f t="shared" si="37"/>
        <v>400.8</v>
      </c>
      <c r="P234" s="306">
        <f>VLOOKUP($F234,'[1]Master Harga'!$E$5:$L$351,6,FALSE)</f>
        <v>149108.51999999999</v>
      </c>
      <c r="Q234" s="299">
        <f t="shared" si="31"/>
        <v>59762694.816</v>
      </c>
      <c r="R234" s="299">
        <f>VLOOKUP($F234,'[1]Master Harga'!$E$5:$L$351,6,FALSE)</f>
        <v>149108.51999999999</v>
      </c>
      <c r="S234" s="543">
        <f t="shared" si="38"/>
        <v>59762694.816</v>
      </c>
      <c r="T234" s="544"/>
      <c r="U234" s="544"/>
      <c r="V234" s="544"/>
      <c r="W234" s="544"/>
      <c r="X234" s="545"/>
      <c r="Y234" s="335">
        <f t="shared" si="29"/>
        <v>149108.51999999999</v>
      </c>
      <c r="Z234" s="295"/>
      <c r="AB234" s="393"/>
      <c r="AC234" s="393"/>
      <c r="AD234" s="308"/>
      <c r="AF234" s="393"/>
      <c r="AG234" s="393"/>
      <c r="AH234" s="308"/>
      <c r="AJ234" s="393"/>
      <c r="AK234" s="393"/>
      <c r="AL234" s="300"/>
    </row>
    <row r="235" spans="2:38" x14ac:dyDescent="0.35">
      <c r="B235" s="412" t="s">
        <v>345</v>
      </c>
      <c r="C235" s="413"/>
      <c r="D235" s="413"/>
      <c r="E235" s="414"/>
      <c r="F235" s="415"/>
      <c r="G235" s="554"/>
      <c r="H235" s="555"/>
      <c r="I235" s="556"/>
      <c r="J235" s="557"/>
      <c r="K235" s="451"/>
      <c r="L235" s="386"/>
      <c r="M235" s="387"/>
      <c r="N235" s="388"/>
      <c r="O235" s="388"/>
      <c r="P235" s="389"/>
      <c r="Q235" s="390">
        <f>SUM(Q179:Q234)</f>
        <v>669259747.2200712</v>
      </c>
      <c r="R235" s="388"/>
      <c r="S235" s="388"/>
      <c r="T235" s="388"/>
      <c r="U235" s="388"/>
      <c r="V235" s="388"/>
      <c r="W235" s="453"/>
      <c r="X235" s="558"/>
      <c r="Y235" s="559">
        <f>Q235/$AB$1</f>
        <v>1669809.7485530719</v>
      </c>
      <c r="Z235" s="560">
        <f>Q235/$Q$359*100</f>
        <v>3.3671058585523195</v>
      </c>
      <c r="AB235" s="393"/>
      <c r="AC235" s="393"/>
      <c r="AD235" s="308"/>
      <c r="AF235" s="393"/>
      <c r="AG235" s="393"/>
      <c r="AH235" s="308"/>
      <c r="AJ235" s="393"/>
      <c r="AK235" s="393"/>
      <c r="AL235" s="300"/>
    </row>
    <row r="236" spans="2:38" x14ac:dyDescent="0.35">
      <c r="B236" s="290"/>
      <c r="C236" s="286" t="s">
        <v>346</v>
      </c>
      <c r="D236" s="291"/>
      <c r="E236" s="396"/>
      <c r="F236" s="288"/>
      <c r="G236" s="289"/>
      <c r="H236" s="290"/>
      <c r="I236" s="291"/>
      <c r="J236" s="289"/>
      <c r="K236" s="292"/>
      <c r="L236" s="293"/>
      <c r="M236" s="294"/>
      <c r="N236" s="296"/>
      <c r="O236" s="296"/>
      <c r="P236" s="306"/>
      <c r="Q236" s="296"/>
      <c r="R236" s="296"/>
      <c r="S236" s="296"/>
      <c r="T236" s="296"/>
      <c r="U236" s="296"/>
      <c r="V236" s="296"/>
      <c r="W236" s="296"/>
      <c r="X236" s="295"/>
      <c r="Y236" s="306">
        <f t="shared" si="29"/>
        <v>0</v>
      </c>
      <c r="Z236" s="295"/>
      <c r="AB236" s="393"/>
      <c r="AC236" s="393"/>
      <c r="AD236" s="308"/>
      <c r="AF236" s="393"/>
      <c r="AG236" s="393"/>
      <c r="AH236" s="308"/>
      <c r="AJ236" s="393"/>
      <c r="AK236" s="393"/>
      <c r="AL236" s="300"/>
    </row>
    <row r="237" spans="2:38" x14ac:dyDescent="0.35">
      <c r="B237" s="290"/>
      <c r="C237" s="291"/>
      <c r="D237" s="291" t="s">
        <v>347</v>
      </c>
      <c r="E237" s="396"/>
      <c r="F237" s="288"/>
      <c r="G237" s="289"/>
      <c r="H237" s="290"/>
      <c r="I237" s="291"/>
      <c r="J237" s="289"/>
      <c r="K237" s="292"/>
      <c r="L237" s="293"/>
      <c r="M237" s="294"/>
      <c r="N237" s="296"/>
      <c r="O237" s="296"/>
      <c r="P237" s="306"/>
      <c r="Q237" s="296"/>
      <c r="R237" s="296"/>
      <c r="S237" s="296"/>
      <c r="T237" s="296"/>
      <c r="U237" s="296"/>
      <c r="V237" s="296"/>
      <c r="W237" s="296"/>
      <c r="X237" s="295"/>
      <c r="Y237" s="306">
        <f t="shared" si="29"/>
        <v>0</v>
      </c>
      <c r="Z237" s="295"/>
      <c r="AB237" s="393"/>
      <c r="AC237" s="393"/>
      <c r="AD237" s="308"/>
      <c r="AF237" s="393"/>
      <c r="AG237" s="393"/>
      <c r="AH237" s="308"/>
      <c r="AJ237" s="393"/>
      <c r="AK237" s="393"/>
      <c r="AL237" s="300"/>
    </row>
    <row r="238" spans="2:38" x14ac:dyDescent="0.35">
      <c r="B238" s="561"/>
      <c r="C238" s="562"/>
      <c r="D238" s="562"/>
      <c r="E238" s="563" t="s">
        <v>348</v>
      </c>
      <c r="F238" s="295" t="s">
        <v>189</v>
      </c>
      <c r="G238" s="364" t="s">
        <v>190</v>
      </c>
      <c r="H238" s="365"/>
      <c r="I238" s="366"/>
      <c r="J238" s="308" t="s">
        <v>170</v>
      </c>
      <c r="K238" s="304">
        <v>0.5</v>
      </c>
      <c r="L238" s="564">
        <f>AB1</f>
        <v>400.8</v>
      </c>
      <c r="M238" s="565">
        <v>0.25</v>
      </c>
      <c r="N238" s="509">
        <v>3</v>
      </c>
      <c r="O238" s="508">
        <f>K238*L238*M238*N238</f>
        <v>150.30000000000001</v>
      </c>
      <c r="P238" s="306">
        <f>VLOOKUP($F238,'[1]Master Harga'!$E$5:$L$351,6,FALSE)</f>
        <v>149108.51999999999</v>
      </c>
      <c r="Q238" s="296">
        <f>P238*$O238</f>
        <v>22411010.556000002</v>
      </c>
      <c r="R238" s="296">
        <f>VLOOKUP($F238,'[1]Master Harga'!$E$5:$L$351,6,FALSE)</f>
        <v>149108.51999999999</v>
      </c>
      <c r="S238" s="296">
        <f>R238*$O238</f>
        <v>22411010.556000002</v>
      </c>
      <c r="T238" s="296">
        <f>VLOOKUP($F238,'[1]Master Harga'!$E$5:$L$351,7,FALSE)</f>
        <v>158800.57379999998</v>
      </c>
      <c r="U238" s="296">
        <f>T238*$O238</f>
        <v>23867726.242139999</v>
      </c>
      <c r="V238" s="296">
        <f>W238/O238</f>
        <v>152339.2046</v>
      </c>
      <c r="W238" s="307">
        <f>AVERAGEIF($P$3:$U$3,W$3,$P238:$U238)</f>
        <v>22896582.45138</v>
      </c>
      <c r="X238" s="295"/>
      <c r="Y238" s="306">
        <f t="shared" si="29"/>
        <v>55915.695</v>
      </c>
      <c r="Z238" s="295"/>
      <c r="AB238" s="393"/>
      <c r="AC238" s="393"/>
      <c r="AD238" s="308"/>
      <c r="AF238" s="393"/>
      <c r="AG238" s="393"/>
      <c r="AH238" s="308"/>
      <c r="AJ238" s="393"/>
      <c r="AK238" s="393"/>
      <c r="AL238" s="300"/>
    </row>
    <row r="239" spans="2:38" x14ac:dyDescent="0.35">
      <c r="B239" s="315"/>
      <c r="C239" s="316"/>
      <c r="D239" s="316"/>
      <c r="E239" s="317"/>
      <c r="F239" s="295" t="s">
        <v>349</v>
      </c>
      <c r="G239" s="364" t="s">
        <v>190</v>
      </c>
      <c r="H239" s="365"/>
      <c r="I239" s="366"/>
      <c r="J239" s="308"/>
      <c r="K239" s="304">
        <v>0.5</v>
      </c>
      <c r="L239" s="564">
        <f>$L$238</f>
        <v>400.8</v>
      </c>
      <c r="M239" s="565">
        <v>0.18</v>
      </c>
      <c r="N239" s="509">
        <f>N238</f>
        <v>3</v>
      </c>
      <c r="O239" s="508">
        <f>K239*L239*M239*N239</f>
        <v>108.21600000000001</v>
      </c>
      <c r="P239" s="306">
        <f>VLOOKUP($F239,'[1]Master Harga'!$E$5:$L$351,6,FALSE)</f>
        <v>149108.51999999999</v>
      </c>
      <c r="Q239" s="296">
        <f>P239*$O239</f>
        <v>16135927.60032</v>
      </c>
      <c r="R239" s="508"/>
      <c r="S239" s="508"/>
      <c r="T239" s="508"/>
      <c r="U239" s="508"/>
      <c r="V239" s="508"/>
      <c r="W239" s="508"/>
      <c r="X239" s="295"/>
      <c r="Y239" s="306">
        <f t="shared" si="29"/>
        <v>40259.3004</v>
      </c>
      <c r="Z239" s="295"/>
      <c r="AB239" s="393"/>
      <c r="AC239" s="393"/>
      <c r="AD239" s="308"/>
      <c r="AF239" s="393"/>
      <c r="AG239" s="393"/>
      <c r="AH239" s="308"/>
      <c r="AJ239" s="393"/>
      <c r="AK239" s="393"/>
      <c r="AL239" s="300"/>
    </row>
    <row r="240" spans="2:38" x14ac:dyDescent="0.35">
      <c r="B240" s="315"/>
      <c r="C240" s="316"/>
      <c r="D240" s="316"/>
      <c r="E240" s="317"/>
      <c r="F240" s="295" t="s">
        <v>231</v>
      </c>
      <c r="G240" s="364" t="s">
        <v>190</v>
      </c>
      <c r="H240" s="365"/>
      <c r="I240" s="366"/>
      <c r="J240" s="308"/>
      <c r="K240" s="304">
        <v>0.5</v>
      </c>
      <c r="L240" s="564">
        <f>$L$238</f>
        <v>400.8</v>
      </c>
      <c r="M240" s="565">
        <v>0.25</v>
      </c>
      <c r="N240" s="509">
        <f>N239</f>
        <v>3</v>
      </c>
      <c r="O240" s="508">
        <f t="shared" ref="O240:O246" si="39">K240*L240*M240*N240</f>
        <v>150.30000000000001</v>
      </c>
      <c r="P240" s="306">
        <f>VLOOKUP($F240,'[1]Master Harga'!$E$5:$L$351,6,FALSE)</f>
        <v>4042.5</v>
      </c>
      <c r="Q240" s="296">
        <f t="shared" ref="Q240:Q246" si="40">P240*$O240</f>
        <v>607587.75</v>
      </c>
      <c r="R240" s="508"/>
      <c r="S240" s="508"/>
      <c r="T240" s="508"/>
      <c r="U240" s="508"/>
      <c r="V240" s="508"/>
      <c r="W240" s="508"/>
      <c r="X240" s="295"/>
      <c r="Y240" s="306">
        <f t="shared" si="29"/>
        <v>1515.9375</v>
      </c>
      <c r="Z240" s="295"/>
      <c r="AB240" s="393"/>
      <c r="AC240" s="393"/>
      <c r="AD240" s="308"/>
      <c r="AF240" s="393"/>
      <c r="AG240" s="393"/>
      <c r="AH240" s="308"/>
      <c r="AJ240" s="393"/>
      <c r="AK240" s="393"/>
      <c r="AL240" s="300"/>
    </row>
    <row r="241" spans="2:38" x14ac:dyDescent="0.35">
      <c r="B241" s="315"/>
      <c r="C241" s="316"/>
      <c r="D241" s="316"/>
      <c r="E241" s="317"/>
      <c r="F241" s="295" t="s">
        <v>350</v>
      </c>
      <c r="G241" s="364" t="s">
        <v>194</v>
      </c>
      <c r="H241" s="365">
        <v>1</v>
      </c>
      <c r="I241" s="366" t="s">
        <v>233</v>
      </c>
      <c r="J241" s="308"/>
      <c r="K241" s="304">
        <v>0.5</v>
      </c>
      <c r="L241" s="564">
        <f t="shared" ref="L241:L247" si="41">$L$238</f>
        <v>400.8</v>
      </c>
      <c r="M241" s="507">
        <f>((M$238*N$238)/240)*($H241/N241)</f>
        <v>1.0416666666666667E-3</v>
      </c>
      <c r="N241" s="509">
        <v>3</v>
      </c>
      <c r="O241" s="508">
        <f t="shared" si="39"/>
        <v>0.62624999999999997</v>
      </c>
      <c r="P241" s="306">
        <f>VLOOKUP($F241,'[1]Master Harga'!$E$5:$L$351,6,FALSE)</f>
        <v>5250</v>
      </c>
      <c r="Q241" s="296">
        <f t="shared" si="40"/>
        <v>3287.8125</v>
      </c>
      <c r="R241" s="508"/>
      <c r="S241" s="508"/>
      <c r="T241" s="508"/>
      <c r="U241" s="508"/>
      <c r="V241" s="508"/>
      <c r="W241" s="508"/>
      <c r="X241" s="295"/>
      <c r="Y241" s="306">
        <f t="shared" si="29"/>
        <v>8.203125</v>
      </c>
      <c r="Z241" s="295"/>
      <c r="AB241" s="393"/>
      <c r="AC241" s="393"/>
      <c r="AD241" s="308"/>
      <c r="AF241" s="393"/>
      <c r="AG241" s="393"/>
      <c r="AH241" s="308"/>
      <c r="AJ241" s="393"/>
      <c r="AK241" s="393"/>
      <c r="AL241" s="300"/>
    </row>
    <row r="242" spans="2:38" x14ac:dyDescent="0.35">
      <c r="B242" s="315"/>
      <c r="C242" s="316"/>
      <c r="D242" s="316"/>
      <c r="E242" s="317"/>
      <c r="F242" s="295" t="s">
        <v>232</v>
      </c>
      <c r="G242" s="364" t="s">
        <v>194</v>
      </c>
      <c r="H242" s="365">
        <v>4</v>
      </c>
      <c r="I242" s="366" t="s">
        <v>233</v>
      </c>
      <c r="J242" s="308"/>
      <c r="K242" s="304">
        <v>0.5</v>
      </c>
      <c r="L242" s="564">
        <f t="shared" si="41"/>
        <v>400.8</v>
      </c>
      <c r="M242" s="507">
        <f>((M$238*N$238)/240)*($H242/N242)</f>
        <v>4.1666666666666666E-3</v>
      </c>
      <c r="N242" s="509">
        <v>3</v>
      </c>
      <c r="O242" s="508">
        <f t="shared" si="39"/>
        <v>2.5049999999999999</v>
      </c>
      <c r="P242" s="306">
        <f>VLOOKUP($F242,'[1]Master Harga'!$E$5:$L$351,6,FALSE)</f>
        <v>44982</v>
      </c>
      <c r="Q242" s="296">
        <f t="shared" si="40"/>
        <v>112679.90999999999</v>
      </c>
      <c r="R242" s="508"/>
      <c r="S242" s="508"/>
      <c r="T242" s="508"/>
      <c r="U242" s="508"/>
      <c r="V242" s="508"/>
      <c r="W242" s="508"/>
      <c r="X242" s="295"/>
      <c r="Y242" s="306">
        <f t="shared" si="29"/>
        <v>281.13749999999999</v>
      </c>
      <c r="Z242" s="295"/>
      <c r="AB242" s="393"/>
      <c r="AC242" s="393"/>
      <c r="AD242" s="308"/>
      <c r="AF242" s="393"/>
      <c r="AG242" s="393"/>
      <c r="AH242" s="308"/>
      <c r="AJ242" s="393"/>
      <c r="AK242" s="393"/>
      <c r="AL242" s="300"/>
    </row>
    <row r="243" spans="2:38" x14ac:dyDescent="0.35">
      <c r="B243" s="315"/>
      <c r="C243" s="316"/>
      <c r="D243" s="316"/>
      <c r="E243" s="317"/>
      <c r="F243" s="295" t="s">
        <v>234</v>
      </c>
      <c r="G243" s="364" t="s">
        <v>194</v>
      </c>
      <c r="H243" s="365">
        <v>12</v>
      </c>
      <c r="I243" s="366" t="s">
        <v>233</v>
      </c>
      <c r="J243" s="308"/>
      <c r="K243" s="304">
        <v>0.5</v>
      </c>
      <c r="L243" s="564">
        <f t="shared" si="41"/>
        <v>400.8</v>
      </c>
      <c r="M243" s="507">
        <f t="shared" ref="M243:M245" si="42">((M$238*N$238)/240)*($H243/N243)</f>
        <v>1.2500000000000001E-2</v>
      </c>
      <c r="N243" s="509">
        <v>3</v>
      </c>
      <c r="O243" s="508">
        <f t="shared" si="39"/>
        <v>7.5150000000000006</v>
      </c>
      <c r="P243" s="306">
        <f>VLOOKUP($F243,'[1]Master Harga'!$E$5:$L$351,6,FALSE)</f>
        <v>14700</v>
      </c>
      <c r="Q243" s="296">
        <f t="shared" si="40"/>
        <v>110470.50000000001</v>
      </c>
      <c r="R243" s="508"/>
      <c r="S243" s="508"/>
      <c r="T243" s="508"/>
      <c r="U243" s="508"/>
      <c r="V243" s="508"/>
      <c r="W243" s="508"/>
      <c r="X243" s="295"/>
      <c r="Y243" s="306">
        <f t="shared" si="29"/>
        <v>275.62500000000006</v>
      </c>
      <c r="Z243" s="295"/>
      <c r="AB243" s="393"/>
      <c r="AC243" s="393"/>
      <c r="AD243" s="308"/>
      <c r="AF243" s="393"/>
      <c r="AG243" s="393"/>
      <c r="AH243" s="308"/>
      <c r="AJ243" s="393"/>
      <c r="AK243" s="393"/>
      <c r="AL243" s="300"/>
    </row>
    <row r="244" spans="2:38" x14ac:dyDescent="0.35">
      <c r="B244" s="315"/>
      <c r="C244" s="316"/>
      <c r="D244" s="316"/>
      <c r="E244" s="317"/>
      <c r="F244" s="295" t="s">
        <v>236</v>
      </c>
      <c r="G244" s="364" t="s">
        <v>194</v>
      </c>
      <c r="H244" s="365">
        <v>2</v>
      </c>
      <c r="I244" s="366" t="s">
        <v>233</v>
      </c>
      <c r="J244" s="308"/>
      <c r="K244" s="304">
        <v>0.5</v>
      </c>
      <c r="L244" s="564">
        <f t="shared" si="41"/>
        <v>400.8</v>
      </c>
      <c r="M244" s="507">
        <f t="shared" si="42"/>
        <v>2.0833333333333333E-3</v>
      </c>
      <c r="N244" s="509">
        <v>3</v>
      </c>
      <c r="O244" s="508">
        <f t="shared" si="39"/>
        <v>1.2524999999999999</v>
      </c>
      <c r="P244" s="306">
        <f>VLOOKUP($F244,'[1]Master Harga'!$E$5:$L$351,6,FALSE)</f>
        <v>33736.5</v>
      </c>
      <c r="Q244" s="296">
        <f t="shared" si="40"/>
        <v>42254.966249999998</v>
      </c>
      <c r="R244" s="508"/>
      <c r="S244" s="508"/>
      <c r="T244" s="508"/>
      <c r="U244" s="508"/>
      <c r="V244" s="508"/>
      <c r="W244" s="508"/>
      <c r="X244" s="295"/>
      <c r="Y244" s="306">
        <f t="shared" si="29"/>
        <v>105.42656249999999</v>
      </c>
      <c r="Z244" s="295"/>
      <c r="AB244" s="393"/>
      <c r="AC244" s="393"/>
      <c r="AD244" s="308"/>
      <c r="AF244" s="393"/>
      <c r="AG244" s="393"/>
      <c r="AH244" s="308"/>
      <c r="AJ244" s="393"/>
      <c r="AK244" s="393"/>
      <c r="AL244" s="300"/>
    </row>
    <row r="245" spans="2:38" x14ac:dyDescent="0.35">
      <c r="B245" s="315"/>
      <c r="C245" s="316"/>
      <c r="D245" s="316"/>
      <c r="E245" s="317"/>
      <c r="F245" s="295" t="s">
        <v>237</v>
      </c>
      <c r="G245" s="364" t="s">
        <v>194</v>
      </c>
      <c r="H245" s="365">
        <v>1</v>
      </c>
      <c r="I245" s="366" t="s">
        <v>233</v>
      </c>
      <c r="J245" s="308"/>
      <c r="K245" s="304">
        <v>0.5</v>
      </c>
      <c r="L245" s="564">
        <f t="shared" si="41"/>
        <v>400.8</v>
      </c>
      <c r="M245" s="507">
        <f t="shared" si="42"/>
        <v>1.0416666666666667E-3</v>
      </c>
      <c r="N245" s="509">
        <v>3</v>
      </c>
      <c r="O245" s="508">
        <f t="shared" si="39"/>
        <v>0.62624999999999997</v>
      </c>
      <c r="P245" s="306">
        <f>VLOOKUP($F245,'[1]Master Harga'!$E$5:$L$351,6,FALSE)</f>
        <v>89964</v>
      </c>
      <c r="Q245" s="296">
        <f t="shared" si="40"/>
        <v>56339.954999999994</v>
      </c>
      <c r="R245" s="508"/>
      <c r="S245" s="508"/>
      <c r="T245" s="508"/>
      <c r="U245" s="508"/>
      <c r="V245" s="508"/>
      <c r="W245" s="508"/>
      <c r="X245" s="295"/>
      <c r="Y245" s="306">
        <f t="shared" si="29"/>
        <v>140.56874999999999</v>
      </c>
      <c r="Z245" s="295"/>
      <c r="AB245" s="393"/>
      <c r="AC245" s="393"/>
      <c r="AD245" s="308"/>
      <c r="AF245" s="393"/>
      <c r="AG245" s="393"/>
      <c r="AH245" s="308"/>
      <c r="AJ245" s="393"/>
      <c r="AK245" s="393"/>
      <c r="AL245" s="300"/>
    </row>
    <row r="246" spans="2:38" x14ac:dyDescent="0.35">
      <c r="B246" s="315"/>
      <c r="C246" s="316"/>
      <c r="D246" s="316"/>
      <c r="E246" s="317"/>
      <c r="F246" s="295" t="s">
        <v>324</v>
      </c>
      <c r="G246" s="364" t="s">
        <v>192</v>
      </c>
      <c r="H246" s="365"/>
      <c r="I246" s="366"/>
      <c r="J246" s="308" t="s">
        <v>326</v>
      </c>
      <c r="K246" s="304">
        <v>0.5</v>
      </c>
      <c r="L246" s="564">
        <f t="shared" si="41"/>
        <v>400.8</v>
      </c>
      <c r="M246" s="565">
        <f>(5*680)/1000</f>
        <v>3.4</v>
      </c>
      <c r="N246" s="509">
        <v>1</v>
      </c>
      <c r="O246" s="542">
        <f t="shared" si="39"/>
        <v>681.36</v>
      </c>
      <c r="P246" s="306">
        <f>VLOOKUP($F246,'[1]Master Harga'!$E$5:$L$351,6,FALSE)</f>
        <v>2300</v>
      </c>
      <c r="Q246" s="296">
        <f t="shared" si="40"/>
        <v>1567128</v>
      </c>
      <c r="R246" s="508"/>
      <c r="S246" s="508"/>
      <c r="T246" s="508"/>
      <c r="U246" s="508"/>
      <c r="V246" s="508"/>
      <c r="W246" s="566"/>
      <c r="X246" s="295"/>
      <c r="Y246" s="306">
        <f t="shared" si="29"/>
        <v>3910</v>
      </c>
      <c r="Z246" s="295"/>
      <c r="AB246" s="393"/>
      <c r="AC246" s="393"/>
      <c r="AD246" s="308"/>
      <c r="AF246" s="393"/>
      <c r="AG246" s="393"/>
      <c r="AH246" s="308"/>
      <c r="AJ246" s="393"/>
      <c r="AK246" s="393"/>
      <c r="AL246" s="300"/>
    </row>
    <row r="247" spans="2:38" x14ac:dyDescent="0.35">
      <c r="B247" s="367"/>
      <c r="C247" s="368"/>
      <c r="D247" s="368"/>
      <c r="E247" s="408"/>
      <c r="F247" s="505" t="s">
        <v>351</v>
      </c>
      <c r="G247" s="364" t="s">
        <v>192</v>
      </c>
      <c r="H247" s="365"/>
      <c r="I247" s="366"/>
      <c r="J247" s="308" t="s">
        <v>326</v>
      </c>
      <c r="K247" s="304">
        <v>0.5</v>
      </c>
      <c r="L247" s="564">
        <f t="shared" si="41"/>
        <v>400.8</v>
      </c>
      <c r="M247" s="565">
        <f>(5*680)/1000</f>
        <v>3.4</v>
      </c>
      <c r="N247" s="509">
        <v>2</v>
      </c>
      <c r="O247" s="508">
        <f>K247*L247*M247*N247</f>
        <v>1362.72</v>
      </c>
      <c r="P247" s="306">
        <f>VLOOKUP($F247,'[1]Master Harga'!$E$5:$L$351,6,FALSE)</f>
        <v>6253.7370000000001</v>
      </c>
      <c r="Q247" s="296">
        <f>P247*$O247</f>
        <v>8522092.4846400004</v>
      </c>
      <c r="R247" s="296">
        <f>VLOOKUP($F247,'[1]Master Harga'!$E$5:$L$351,6,FALSE)</f>
        <v>6253.7370000000001</v>
      </c>
      <c r="S247" s="296">
        <f>R247*$O247</f>
        <v>8522092.4846400004</v>
      </c>
      <c r="T247" s="296">
        <f>VLOOKUP($F247,'[1]Master Harga'!$E$5:$L$351,7,FALSE)</f>
        <v>6566.4238500000001</v>
      </c>
      <c r="U247" s="296">
        <f>T247*$O247</f>
        <v>8948197.1088720001</v>
      </c>
      <c r="V247" s="296">
        <f>W247/O247</f>
        <v>6357.9659499999998</v>
      </c>
      <c r="W247" s="307">
        <f>AVERAGEIF($P$3:$U$3,W$3,$P247:$U247)</f>
        <v>8664127.3593840003</v>
      </c>
      <c r="X247" s="295"/>
      <c r="Y247" s="306">
        <f t="shared" si="29"/>
        <v>21262.7058</v>
      </c>
      <c r="Z247" s="295"/>
      <c r="AB247" s="393"/>
      <c r="AC247" s="393"/>
      <c r="AD247" s="308"/>
      <c r="AF247" s="393"/>
      <c r="AG247" s="393"/>
      <c r="AH247" s="308"/>
      <c r="AJ247" s="393"/>
      <c r="AK247" s="393"/>
      <c r="AL247" s="300"/>
    </row>
    <row r="248" spans="2:38" hidden="1" x14ac:dyDescent="0.35">
      <c r="B248" s="312"/>
      <c r="C248" s="313"/>
      <c r="D248" s="313" t="s">
        <v>352</v>
      </c>
      <c r="E248" s="314"/>
      <c r="F248" s="288" t="s">
        <v>189</v>
      </c>
      <c r="G248" s="289" t="s">
        <v>190</v>
      </c>
      <c r="H248" s="290"/>
      <c r="I248" s="291"/>
      <c r="J248" s="289"/>
      <c r="K248" s="567"/>
      <c r="L248" s="538"/>
      <c r="M248" s="294"/>
      <c r="N248" s="296"/>
      <c r="O248" s="296"/>
      <c r="P248" s="306"/>
      <c r="Q248" s="296"/>
      <c r="R248" s="296"/>
      <c r="S248" s="296"/>
      <c r="T248" s="296"/>
      <c r="U248" s="296"/>
      <c r="V248" s="296"/>
      <c r="W248" s="296"/>
      <c r="X248" s="295"/>
      <c r="Y248" s="306">
        <f t="shared" si="29"/>
        <v>0</v>
      </c>
      <c r="Z248" s="295"/>
      <c r="AB248" s="393"/>
      <c r="AC248" s="393"/>
      <c r="AD248" s="308"/>
      <c r="AF248" s="393"/>
      <c r="AG248" s="393"/>
      <c r="AH248" s="308"/>
      <c r="AJ248" s="393"/>
      <c r="AK248" s="393"/>
      <c r="AL248" s="300"/>
    </row>
    <row r="249" spans="2:38" hidden="1" x14ac:dyDescent="0.35">
      <c r="B249" s="338"/>
      <c r="C249" s="350"/>
      <c r="D249" s="350"/>
      <c r="E249" s="351"/>
      <c r="F249" s="288" t="s">
        <v>353</v>
      </c>
      <c r="G249" s="289"/>
      <c r="H249" s="290"/>
      <c r="I249" s="291"/>
      <c r="J249" s="289"/>
      <c r="K249" s="292"/>
      <c r="L249" s="293"/>
      <c r="M249" s="294"/>
      <c r="N249" s="296"/>
      <c r="O249" s="296"/>
      <c r="P249" s="306"/>
      <c r="Q249" s="296"/>
      <c r="R249" s="296"/>
      <c r="S249" s="296"/>
      <c r="T249" s="296"/>
      <c r="U249" s="296"/>
      <c r="V249" s="296"/>
      <c r="W249" s="296"/>
      <c r="X249" s="295"/>
      <c r="Y249" s="306">
        <f t="shared" si="29"/>
        <v>0</v>
      </c>
      <c r="Z249" s="295"/>
      <c r="AB249" s="393"/>
      <c r="AC249" s="393"/>
      <c r="AD249" s="308"/>
      <c r="AF249" s="393"/>
      <c r="AG249" s="393"/>
      <c r="AH249" s="308"/>
      <c r="AJ249" s="393"/>
      <c r="AK249" s="393"/>
      <c r="AL249" s="300"/>
    </row>
    <row r="250" spans="2:38" hidden="1" x14ac:dyDescent="0.35">
      <c r="B250" s="320"/>
      <c r="C250" s="321"/>
      <c r="D250" s="321"/>
      <c r="E250" s="322"/>
      <c r="F250" s="288" t="s">
        <v>354</v>
      </c>
      <c r="G250" s="289" t="s">
        <v>203</v>
      </c>
      <c r="H250" s="290"/>
      <c r="I250" s="291"/>
      <c r="J250" s="289"/>
      <c r="K250" s="292"/>
      <c r="L250" s="293"/>
      <c r="M250" s="294"/>
      <c r="N250" s="296"/>
      <c r="O250" s="296"/>
      <c r="P250" s="306"/>
      <c r="Q250" s="296"/>
      <c r="R250" s="296"/>
      <c r="S250" s="296"/>
      <c r="T250" s="296"/>
      <c r="U250" s="296"/>
      <c r="V250" s="296"/>
      <c r="W250" s="296"/>
      <c r="X250" s="295"/>
      <c r="Y250" s="306">
        <f t="shared" si="29"/>
        <v>0</v>
      </c>
      <c r="Z250" s="295"/>
      <c r="AB250" s="393"/>
      <c r="AC250" s="393"/>
      <c r="AD250" s="308"/>
      <c r="AF250" s="393"/>
      <c r="AG250" s="393"/>
      <c r="AH250" s="308"/>
      <c r="AJ250" s="393"/>
      <c r="AK250" s="393"/>
      <c r="AL250" s="300"/>
    </row>
    <row r="251" spans="2:38" x14ac:dyDescent="0.35">
      <c r="B251" s="290"/>
      <c r="C251" s="291"/>
      <c r="D251" s="291" t="s">
        <v>355</v>
      </c>
      <c r="E251" s="396"/>
      <c r="F251" s="288"/>
      <c r="G251" s="289" t="s">
        <v>356</v>
      </c>
      <c r="H251" s="290"/>
      <c r="I251" s="291"/>
      <c r="J251" s="289"/>
      <c r="K251" s="292"/>
      <c r="L251" s="293"/>
      <c r="M251" s="294"/>
      <c r="N251" s="296"/>
      <c r="O251" s="296"/>
      <c r="P251" s="306"/>
      <c r="Q251" s="296"/>
      <c r="R251" s="296"/>
      <c r="S251" s="296"/>
      <c r="T251" s="296"/>
      <c r="U251" s="296"/>
      <c r="V251" s="296"/>
      <c r="W251" s="296"/>
      <c r="X251" s="295"/>
      <c r="Y251" s="306">
        <f t="shared" si="29"/>
        <v>0</v>
      </c>
      <c r="Z251" s="295"/>
      <c r="AB251" s="393"/>
      <c r="AC251" s="393"/>
      <c r="AD251" s="308"/>
      <c r="AF251" s="393"/>
      <c r="AG251" s="393"/>
      <c r="AH251" s="308"/>
      <c r="AJ251" s="393"/>
      <c r="AK251" s="393"/>
      <c r="AL251" s="300"/>
    </row>
    <row r="252" spans="2:38" x14ac:dyDescent="0.35">
      <c r="B252" s="301"/>
      <c r="C252" s="302"/>
      <c r="D252" s="302"/>
      <c r="E252" s="303" t="s">
        <v>130</v>
      </c>
      <c r="F252" s="295" t="s">
        <v>357</v>
      </c>
      <c r="G252" s="289" t="s">
        <v>190</v>
      </c>
      <c r="H252" s="290"/>
      <c r="I252" s="291"/>
      <c r="J252" s="289" t="s">
        <v>356</v>
      </c>
      <c r="K252" s="304">
        <v>0.5</v>
      </c>
      <c r="L252" s="293">
        <f>O247/1000</f>
        <v>1.3627199999999999</v>
      </c>
      <c r="M252" s="294">
        <v>1</v>
      </c>
      <c r="N252" s="296">
        <v>1</v>
      </c>
      <c r="O252" s="508">
        <f>K252*L252*M252*N252</f>
        <v>0.68135999999999997</v>
      </c>
      <c r="P252" s="306">
        <f>VLOOKUP($F252,'[1]Master Harga'!$E$5:$L$351,6,FALSE)</f>
        <v>20475</v>
      </c>
      <c r="Q252" s="296">
        <f>P252*$O252</f>
        <v>13950.846</v>
      </c>
      <c r="R252" s="296">
        <f>VLOOKUP($F252,'[1]Master Harga'!$E$5:$L$351,6,FALSE)</f>
        <v>20475</v>
      </c>
      <c r="S252" s="296">
        <f>R252*$O252</f>
        <v>13950.846</v>
      </c>
      <c r="T252" s="296">
        <f>VLOOKUP($F252,'[1]Master Harga'!$E$5:$L$351,7,FALSE)</f>
        <v>21498.75</v>
      </c>
      <c r="U252" s="296">
        <f>T252*$O252</f>
        <v>14648.388299999999</v>
      </c>
      <c r="V252" s="296">
        <f>W252/O252</f>
        <v>20816.25</v>
      </c>
      <c r="W252" s="307">
        <f>AVERAGEIF($P$3:$U$3,W$3,$P252:$U252)</f>
        <v>14183.3601</v>
      </c>
      <c r="X252" s="295"/>
      <c r="Y252" s="306">
        <f t="shared" si="29"/>
        <v>34.807499999999997</v>
      </c>
      <c r="Z252" s="295"/>
      <c r="AB252" s="393"/>
      <c r="AC252" s="393"/>
      <c r="AD252" s="308"/>
      <c r="AF252" s="393"/>
      <c r="AG252" s="393"/>
      <c r="AH252" s="308"/>
      <c r="AJ252" s="393"/>
      <c r="AK252" s="393"/>
      <c r="AL252" s="300"/>
    </row>
    <row r="253" spans="2:38" x14ac:dyDescent="0.35">
      <c r="B253" s="315"/>
      <c r="C253" s="316"/>
      <c r="D253" s="316"/>
      <c r="E253" s="317"/>
      <c r="F253" s="295" t="s">
        <v>358</v>
      </c>
      <c r="G253" s="289"/>
      <c r="H253" s="290"/>
      <c r="I253" s="291"/>
      <c r="J253" s="289" t="s">
        <v>356</v>
      </c>
      <c r="K253" s="304">
        <v>0.5</v>
      </c>
      <c r="L253" s="293">
        <f>L252</f>
        <v>1.3627199999999999</v>
      </c>
      <c r="M253" s="294">
        <v>1</v>
      </c>
      <c r="N253" s="296">
        <v>1</v>
      </c>
      <c r="O253" s="508">
        <f>K253*L253*M253*N253</f>
        <v>0.68135999999999997</v>
      </c>
      <c r="P253" s="306">
        <v>19500</v>
      </c>
      <c r="Q253" s="296">
        <f>P253*$O253</f>
        <v>13286.519999999999</v>
      </c>
      <c r="R253" s="296"/>
      <c r="S253" s="296"/>
      <c r="T253" s="296"/>
      <c r="U253" s="296"/>
      <c r="V253" s="296"/>
      <c r="W253" s="307"/>
      <c r="X253" s="295"/>
      <c r="Y253" s="306">
        <f t="shared" si="29"/>
        <v>33.15</v>
      </c>
      <c r="Z253" s="295"/>
      <c r="AB253" s="393"/>
      <c r="AC253" s="393"/>
      <c r="AD253" s="308"/>
      <c r="AF253" s="393"/>
      <c r="AG253" s="393"/>
      <c r="AH253" s="308"/>
      <c r="AJ253" s="393"/>
      <c r="AK253" s="393"/>
      <c r="AL253" s="300"/>
    </row>
    <row r="254" spans="2:38" x14ac:dyDescent="0.35">
      <c r="B254" s="315"/>
      <c r="C254" s="316"/>
      <c r="D254" s="316"/>
      <c r="E254" s="317"/>
      <c r="F254" s="288" t="s">
        <v>354</v>
      </c>
      <c r="G254" s="289" t="s">
        <v>203</v>
      </c>
      <c r="H254" s="290"/>
      <c r="I254" s="291"/>
      <c r="J254" s="289" t="s">
        <v>356</v>
      </c>
      <c r="K254" s="304">
        <v>0.5</v>
      </c>
      <c r="L254" s="293">
        <f>L253</f>
        <v>1.3627199999999999</v>
      </c>
      <c r="M254" s="294">
        <f>2/4</f>
        <v>0.5</v>
      </c>
      <c r="N254" s="296">
        <v>1</v>
      </c>
      <c r="O254" s="508">
        <f>K254*L254*M254*N254</f>
        <v>0.34067999999999998</v>
      </c>
      <c r="P254" s="306">
        <v>19500</v>
      </c>
      <c r="Q254" s="296">
        <f>P254*$O254</f>
        <v>6643.2599999999993</v>
      </c>
      <c r="R254" s="296"/>
      <c r="S254" s="296"/>
      <c r="T254" s="296"/>
      <c r="U254" s="296"/>
      <c r="V254" s="296"/>
      <c r="W254" s="296"/>
      <c r="X254" s="295"/>
      <c r="Y254" s="306">
        <f t="shared" si="29"/>
        <v>16.574999999999999</v>
      </c>
      <c r="Z254" s="295"/>
      <c r="AB254" s="393"/>
      <c r="AC254" s="393"/>
      <c r="AD254" s="308"/>
      <c r="AF254" s="393"/>
      <c r="AG254" s="393"/>
      <c r="AH254" s="308"/>
      <c r="AJ254" s="393"/>
      <c r="AK254" s="393"/>
      <c r="AL254" s="300"/>
    </row>
    <row r="255" spans="2:38" x14ac:dyDescent="0.35">
      <c r="B255" s="367"/>
      <c r="C255" s="368"/>
      <c r="D255" s="368"/>
      <c r="E255" s="408"/>
      <c r="F255" s="288" t="s">
        <v>359</v>
      </c>
      <c r="G255" s="289" t="s">
        <v>203</v>
      </c>
      <c r="H255" s="290"/>
      <c r="I255" s="291"/>
      <c r="J255" s="289" t="s">
        <v>356</v>
      </c>
      <c r="K255" s="304">
        <v>0.5</v>
      </c>
      <c r="L255" s="293">
        <f>L252</f>
        <v>1.3627199999999999</v>
      </c>
      <c r="M255" s="294">
        <v>1</v>
      </c>
      <c r="N255" s="296">
        <v>1</v>
      </c>
      <c r="O255" s="508">
        <f>K255*L255*M255*N255</f>
        <v>0.68135999999999997</v>
      </c>
      <c r="P255" s="306">
        <f>VLOOKUP($F255,'[1]Master Harga'!$E$5:$L$351,6,FALSE)</f>
        <v>62200</v>
      </c>
      <c r="Q255" s="296">
        <f>P255*$O255</f>
        <v>42380.591999999997</v>
      </c>
      <c r="R255" s="296">
        <f>VLOOKUP($F255,'[1]Master Harga'!$E$5:$L$351,6,FALSE)</f>
        <v>62200</v>
      </c>
      <c r="S255" s="296">
        <f>R255*$O255</f>
        <v>42380.591999999997</v>
      </c>
      <c r="T255" s="296">
        <f>VLOOKUP($F255,'[1]Master Harga'!$E$5:$L$351,7,FALSE)</f>
        <v>65017.659999999996</v>
      </c>
      <c r="U255" s="296">
        <f>T255*$O255</f>
        <v>44300.432817599998</v>
      </c>
      <c r="V255" s="296">
        <f>W255/O255</f>
        <v>63139.22</v>
      </c>
      <c r="W255" s="307">
        <f>AVERAGEIF($P$3:$U$3,W$3,$P255:$U255)</f>
        <v>43020.5389392</v>
      </c>
      <c r="X255" s="295"/>
      <c r="Y255" s="306">
        <f t="shared" si="29"/>
        <v>105.74</v>
      </c>
      <c r="Z255" s="295"/>
      <c r="AB255" s="393"/>
      <c r="AC255" s="393"/>
      <c r="AD255" s="308"/>
      <c r="AF255" s="393"/>
      <c r="AG255" s="393"/>
      <c r="AH255" s="308"/>
      <c r="AJ255" s="393"/>
      <c r="AK255" s="393"/>
      <c r="AL255" s="300"/>
    </row>
    <row r="256" spans="2:38" x14ac:dyDescent="0.35">
      <c r="B256" s="301"/>
      <c r="C256" s="302"/>
      <c r="D256" s="302"/>
      <c r="E256" s="303" t="s">
        <v>133</v>
      </c>
      <c r="F256" s="295" t="s">
        <v>360</v>
      </c>
      <c r="G256" s="289" t="s">
        <v>190</v>
      </c>
      <c r="H256" s="290"/>
      <c r="I256" s="291"/>
      <c r="J256" s="289" t="s">
        <v>356</v>
      </c>
      <c r="K256" s="304">
        <v>0.5</v>
      </c>
      <c r="L256" s="293">
        <f>L255</f>
        <v>1.3627199999999999</v>
      </c>
      <c r="M256" s="294">
        <v>1</v>
      </c>
      <c r="N256" s="296">
        <v>1</v>
      </c>
      <c r="O256" s="508">
        <f>K256*L256*M256*N256</f>
        <v>0.68135999999999997</v>
      </c>
      <c r="P256" s="306">
        <f>VLOOKUP($F256,'[1]Master Harga'!$E$5:$L$351,6,FALSE)</f>
        <v>33600</v>
      </c>
      <c r="Q256" s="296">
        <f>P256*$O256</f>
        <v>22893.696</v>
      </c>
      <c r="R256" s="296">
        <f>VLOOKUP($F256,'[1]Master Harga'!$E$5:$L$351,6,FALSE)</f>
        <v>33600</v>
      </c>
      <c r="S256" s="296">
        <f>R256*$O256</f>
        <v>22893.696</v>
      </c>
      <c r="T256" s="296">
        <f>VLOOKUP($F256,'[1]Master Harga'!$E$5:$L$351,7,FALSE)</f>
        <v>35280</v>
      </c>
      <c r="U256" s="296">
        <f>T256*$O256</f>
        <v>24038.380799999999</v>
      </c>
      <c r="V256" s="296">
        <f>W256/O256</f>
        <v>34160</v>
      </c>
      <c r="W256" s="307">
        <f>AVERAGEIF($P$3:$U$3,W$3,$P256:$U256)</f>
        <v>23275.257600000001</v>
      </c>
      <c r="X256" s="295"/>
      <c r="Y256" s="306">
        <f t="shared" si="29"/>
        <v>57.12</v>
      </c>
      <c r="Z256" s="295"/>
      <c r="AB256" s="393"/>
      <c r="AC256" s="393"/>
      <c r="AD256" s="308"/>
      <c r="AF256" s="393"/>
      <c r="AG256" s="393"/>
      <c r="AH256" s="308"/>
      <c r="AJ256" s="393"/>
      <c r="AK256" s="393"/>
      <c r="AL256" s="300"/>
    </row>
    <row r="257" spans="2:38" x14ac:dyDescent="0.35">
      <c r="B257" s="367"/>
      <c r="C257" s="368"/>
      <c r="D257" s="368"/>
      <c r="E257" s="408"/>
      <c r="F257" s="288" t="s">
        <v>359</v>
      </c>
      <c r="G257" s="289" t="s">
        <v>192</v>
      </c>
      <c r="H257" s="290"/>
      <c r="I257" s="291"/>
      <c r="J257" s="289"/>
      <c r="K257" s="292"/>
      <c r="L257" s="293"/>
      <c r="M257" s="294">
        <v>1</v>
      </c>
      <c r="N257" s="296">
        <v>1</v>
      </c>
      <c r="O257" s="296"/>
      <c r="P257" s="306"/>
      <c r="Q257" s="296"/>
      <c r="R257" s="296"/>
      <c r="S257" s="296"/>
      <c r="T257" s="296"/>
      <c r="U257" s="296"/>
      <c r="V257" s="296"/>
      <c r="W257" s="296"/>
      <c r="X257" s="295"/>
      <c r="Y257" s="306">
        <f t="shared" si="29"/>
        <v>0</v>
      </c>
      <c r="Z257" s="295"/>
      <c r="AB257" s="393"/>
      <c r="AC257" s="393"/>
      <c r="AD257" s="308"/>
      <c r="AF257" s="393"/>
      <c r="AG257" s="393"/>
      <c r="AH257" s="308"/>
      <c r="AJ257" s="393"/>
      <c r="AK257" s="393"/>
      <c r="AL257" s="300"/>
    </row>
    <row r="258" spans="2:38" s="490" customFormat="1" x14ac:dyDescent="0.35">
      <c r="B258" s="412" t="s">
        <v>361</v>
      </c>
      <c r="C258" s="413"/>
      <c r="D258" s="413"/>
      <c r="E258" s="414"/>
      <c r="F258" s="458"/>
      <c r="G258" s="459"/>
      <c r="H258" s="460"/>
      <c r="I258" s="461"/>
      <c r="J258" s="459"/>
      <c r="K258" s="462"/>
      <c r="L258" s="463"/>
      <c r="M258" s="464"/>
      <c r="N258" s="390"/>
      <c r="O258" s="390"/>
      <c r="P258" s="392"/>
      <c r="Q258" s="390">
        <f>SUM(Q238:Q257)</f>
        <v>49667934.448710009</v>
      </c>
      <c r="R258" s="390"/>
      <c r="S258" s="390" t="e">
        <f>SUM(S177:S257)</f>
        <v>#N/A</v>
      </c>
      <c r="T258" s="390"/>
      <c r="U258" s="390" t="e">
        <f>SUM(U177:U257)</f>
        <v>#N/A</v>
      </c>
      <c r="V258" s="390"/>
      <c r="W258" s="390" t="e">
        <f>SUM(W177:W257)</f>
        <v>#N/A</v>
      </c>
      <c r="X258" s="568"/>
      <c r="Y258" s="569">
        <f t="shared" si="29"/>
        <v>123921.99213750003</v>
      </c>
      <c r="Z258" s="560">
        <f>Q258/$Q$359*100</f>
        <v>0.24988383622218929</v>
      </c>
      <c r="AB258" s="393"/>
      <c r="AC258" s="393"/>
      <c r="AD258" s="300"/>
      <c r="AF258" s="393"/>
      <c r="AG258" s="393"/>
      <c r="AH258" s="300"/>
      <c r="AJ258" s="393"/>
      <c r="AK258" s="393"/>
      <c r="AL258" s="300"/>
    </row>
    <row r="259" spans="2:38" x14ac:dyDescent="0.35">
      <c r="B259" s="290"/>
      <c r="C259" s="286" t="s">
        <v>362</v>
      </c>
      <c r="D259" s="291"/>
      <c r="E259" s="396"/>
      <c r="F259" s="288"/>
      <c r="G259" s="289"/>
      <c r="H259" s="290"/>
      <c r="I259" s="291"/>
      <c r="J259" s="289"/>
      <c r="K259" s="292"/>
      <c r="L259" s="293"/>
      <c r="M259" s="294"/>
      <c r="N259" s="296"/>
      <c r="O259" s="296"/>
      <c r="P259" s="306"/>
      <c r="Q259" s="296"/>
      <c r="R259" s="296"/>
      <c r="S259" s="296"/>
      <c r="T259" s="296"/>
      <c r="U259" s="296"/>
      <c r="V259" s="296"/>
      <c r="W259" s="296"/>
      <c r="X259" s="295"/>
      <c r="Y259" s="306">
        <f t="shared" si="29"/>
        <v>0</v>
      </c>
      <c r="Z259" s="295"/>
      <c r="AB259" s="393"/>
      <c r="AC259" s="393"/>
      <c r="AD259" s="308"/>
      <c r="AF259" s="393"/>
      <c r="AG259" s="393"/>
      <c r="AH259" s="308"/>
      <c r="AJ259" s="393"/>
      <c r="AK259" s="393"/>
      <c r="AL259" s="300"/>
    </row>
    <row r="260" spans="2:38" x14ac:dyDescent="0.35">
      <c r="B260" s="301"/>
      <c r="C260" s="302"/>
      <c r="D260" s="302" t="s">
        <v>137</v>
      </c>
      <c r="E260" s="303"/>
      <c r="F260" s="288" t="s">
        <v>189</v>
      </c>
      <c r="G260" s="289" t="s">
        <v>190</v>
      </c>
      <c r="H260" s="290"/>
      <c r="I260" s="291"/>
      <c r="J260" s="289"/>
      <c r="K260" s="304">
        <v>1</v>
      </c>
      <c r="L260" s="293">
        <f>AB1</f>
        <v>400.8</v>
      </c>
      <c r="M260" s="294">
        <v>3</v>
      </c>
      <c r="N260" s="296">
        <v>1</v>
      </c>
      <c r="O260" s="508">
        <f t="shared" ref="O260:O271" si="43">K260*L260*M260*N260</f>
        <v>1202.4000000000001</v>
      </c>
      <c r="P260" s="306">
        <f>VLOOKUP($F260,'[1]Master Harga'!$E$5:$L$351,6,FALSE)</f>
        <v>149108.51999999999</v>
      </c>
      <c r="Q260" s="296">
        <f t="shared" ref="Q260:Q276" si="44">P260*$O260</f>
        <v>179288084.44800001</v>
      </c>
      <c r="R260" s="296">
        <f>VLOOKUP($F260,'[1]Master Harga'!$E$5:$L$351,6,FALSE)</f>
        <v>149108.51999999999</v>
      </c>
      <c r="S260" s="296">
        <f>R260*$O260</f>
        <v>179288084.44800001</v>
      </c>
      <c r="T260" s="296">
        <f>VLOOKUP($F260,'[1]Master Harga'!$E$5:$L$351,7,FALSE)</f>
        <v>158800.57379999998</v>
      </c>
      <c r="U260" s="296">
        <f>T260*$O260</f>
        <v>190941809.93711999</v>
      </c>
      <c r="V260" s="296">
        <f>W260/O260</f>
        <v>152339.2046</v>
      </c>
      <c r="W260" s="307">
        <f>AVERAGEIF($P$3:$U$3,W$3,$P260:$U260)</f>
        <v>183172659.61104</v>
      </c>
      <c r="X260" s="570"/>
      <c r="Y260" s="571">
        <f t="shared" si="29"/>
        <v>447325.56</v>
      </c>
      <c r="Z260" s="295"/>
      <c r="AA260" s="572"/>
      <c r="AB260" s="393"/>
      <c r="AC260" s="393"/>
      <c r="AD260" s="308"/>
      <c r="AF260" s="393"/>
      <c r="AG260" s="393"/>
      <c r="AH260" s="308"/>
      <c r="AJ260" s="393"/>
      <c r="AK260" s="393"/>
      <c r="AL260" s="300"/>
    </row>
    <row r="261" spans="2:38" x14ac:dyDescent="0.35">
      <c r="B261" s="367"/>
      <c r="C261" s="368"/>
      <c r="D261" s="368"/>
      <c r="E261" s="408"/>
      <c r="F261" s="288" t="s">
        <v>363</v>
      </c>
      <c r="G261" s="289" t="s">
        <v>194</v>
      </c>
      <c r="H261" s="290"/>
      <c r="I261" s="291"/>
      <c r="J261" s="289"/>
      <c r="K261" s="304">
        <v>1</v>
      </c>
      <c r="L261" s="293">
        <f>$L$260</f>
        <v>400.8</v>
      </c>
      <c r="M261" s="573">
        <v>143</v>
      </c>
      <c r="N261" s="296">
        <v>1</v>
      </c>
      <c r="O261" s="508">
        <f t="shared" si="43"/>
        <v>57314.400000000001</v>
      </c>
      <c r="P261" s="306">
        <f>VLOOKUP($F261,'[1]Master Harga'!$E$5:$L$351,6,FALSE)</f>
        <v>105</v>
      </c>
      <c r="Q261" s="296">
        <f t="shared" si="44"/>
        <v>6018012</v>
      </c>
      <c r="R261" s="296">
        <f>VLOOKUP($F261,'[1]Master Harga'!$E$5:$L$351,6,FALSE)</f>
        <v>105</v>
      </c>
      <c r="S261" s="296">
        <f>R261*$O261</f>
        <v>6018012</v>
      </c>
      <c r="T261" s="296">
        <f>VLOOKUP($F261,'[1]Master Harga'!$E$5:$L$351,7,FALSE)</f>
        <v>110.25</v>
      </c>
      <c r="U261" s="296">
        <f>T261*$O261</f>
        <v>6318912.6000000006</v>
      </c>
      <c r="V261" s="296">
        <f>W261/O261</f>
        <v>106.75</v>
      </c>
      <c r="W261" s="307">
        <f>AVERAGEIF($P$3:$U$3,W$3,$P261:$U261)</f>
        <v>6118312.2000000002</v>
      </c>
      <c r="X261" s="574"/>
      <c r="Y261" s="571">
        <f t="shared" si="29"/>
        <v>15015</v>
      </c>
      <c r="Z261" s="295"/>
      <c r="AA261" s="229"/>
      <c r="AB261" s="393"/>
      <c r="AC261" s="393"/>
      <c r="AD261" s="308"/>
      <c r="AF261" s="393"/>
      <c r="AG261" s="393"/>
      <c r="AH261" s="308"/>
      <c r="AJ261" s="393"/>
      <c r="AK261" s="393"/>
      <c r="AL261" s="300"/>
    </row>
    <row r="262" spans="2:38" hidden="1" x14ac:dyDescent="0.35">
      <c r="B262" s="338"/>
      <c r="C262" s="350"/>
      <c r="D262" s="339" t="s">
        <v>140</v>
      </c>
      <c r="E262" s="340"/>
      <c r="F262" s="532" t="s">
        <v>189</v>
      </c>
      <c r="G262" s="289" t="s">
        <v>190</v>
      </c>
      <c r="H262" s="290"/>
      <c r="I262" s="291"/>
      <c r="J262" s="289"/>
      <c r="K262" s="423">
        <v>0</v>
      </c>
      <c r="L262" s="293">
        <f>$L$260</f>
        <v>400.8</v>
      </c>
      <c r="M262" s="332">
        <v>0.5</v>
      </c>
      <c r="N262" s="333">
        <v>1</v>
      </c>
      <c r="O262" s="575">
        <f t="shared" si="43"/>
        <v>0</v>
      </c>
      <c r="P262" s="335">
        <f>VLOOKUP($F262,'[1]Master Harga'!$E$5:$L$351,6,FALSE)</f>
        <v>149108.51999999999</v>
      </c>
      <c r="Q262" s="333">
        <f t="shared" si="44"/>
        <v>0</v>
      </c>
      <c r="R262" s="296"/>
      <c r="S262" s="296"/>
      <c r="T262" s="296"/>
      <c r="U262" s="296"/>
      <c r="V262" s="296"/>
      <c r="W262" s="307"/>
      <c r="X262" s="576"/>
      <c r="Y262" s="577">
        <f>Q262/$AB$1</f>
        <v>0</v>
      </c>
      <c r="Z262" s="295"/>
      <c r="AA262" s="229"/>
      <c r="AB262" s="393"/>
      <c r="AC262" s="393"/>
      <c r="AD262" s="308"/>
      <c r="AF262" s="393"/>
      <c r="AG262" s="393"/>
      <c r="AH262" s="308"/>
      <c r="AJ262" s="393"/>
      <c r="AK262" s="393"/>
      <c r="AL262" s="300"/>
    </row>
    <row r="263" spans="2:38" hidden="1" x14ac:dyDescent="0.35">
      <c r="B263" s="338"/>
      <c r="C263" s="350"/>
      <c r="D263" s="350"/>
      <c r="E263" s="351"/>
      <c r="F263" s="288" t="s">
        <v>215</v>
      </c>
      <c r="G263" s="289" t="s">
        <v>203</v>
      </c>
      <c r="H263" s="290"/>
      <c r="I263" s="291"/>
      <c r="J263" s="289"/>
      <c r="K263" s="423">
        <v>0</v>
      </c>
      <c r="L263" s="293">
        <f>$L$260*136</f>
        <v>54508.800000000003</v>
      </c>
      <c r="M263" s="294">
        <f>1/30</f>
        <v>3.3333333333333333E-2</v>
      </c>
      <c r="N263" s="296">
        <v>1</v>
      </c>
      <c r="O263" s="508">
        <f t="shared" si="43"/>
        <v>0</v>
      </c>
      <c r="P263" s="306">
        <f>VLOOKUP($F263,'[1]Master Harga'!$E$5:$L$351,6,FALSE)</f>
        <v>720338.0730320001</v>
      </c>
      <c r="Q263" s="296">
        <f t="shared" si="44"/>
        <v>0</v>
      </c>
      <c r="R263" s="296"/>
      <c r="S263" s="296"/>
      <c r="T263" s="296"/>
      <c r="U263" s="296"/>
      <c r="V263" s="296"/>
      <c r="W263" s="307"/>
      <c r="X263" s="574"/>
      <c r="Y263" s="577">
        <f t="shared" si="29"/>
        <v>0</v>
      </c>
      <c r="Z263" s="295"/>
      <c r="AA263" s="229"/>
      <c r="AB263" s="393"/>
      <c r="AC263" s="393"/>
      <c r="AD263" s="308"/>
      <c r="AF263" s="393"/>
      <c r="AG263" s="393"/>
      <c r="AH263" s="308"/>
      <c r="AJ263" s="393"/>
      <c r="AK263" s="393"/>
      <c r="AL263" s="300"/>
    </row>
    <row r="264" spans="2:38" x14ac:dyDescent="0.35">
      <c r="B264" s="301"/>
      <c r="C264" s="302"/>
      <c r="D264" s="361" t="s">
        <v>143</v>
      </c>
      <c r="E264" s="362"/>
      <c r="F264" s="288" t="s">
        <v>189</v>
      </c>
      <c r="G264" s="289" t="s">
        <v>190</v>
      </c>
      <c r="H264" s="290"/>
      <c r="I264" s="291"/>
      <c r="J264" s="289"/>
      <c r="K264" s="304">
        <v>1</v>
      </c>
      <c r="L264" s="293">
        <f>$L$260</f>
        <v>400.8</v>
      </c>
      <c r="M264" s="294">
        <v>3</v>
      </c>
      <c r="N264" s="296">
        <v>1</v>
      </c>
      <c r="O264" s="508">
        <f t="shared" si="43"/>
        <v>1202.4000000000001</v>
      </c>
      <c r="P264" s="306">
        <f>VLOOKUP($F264,'[1]Master Harga'!$E$5:$L$351,6,FALSE)</f>
        <v>149108.51999999999</v>
      </c>
      <c r="Q264" s="296">
        <f t="shared" si="44"/>
        <v>179288084.44800001</v>
      </c>
      <c r="R264" s="296">
        <f>VLOOKUP($F264,'[1]Master Harga'!$E$5:$L$351,6,FALSE)</f>
        <v>149108.51999999999</v>
      </c>
      <c r="S264" s="296">
        <f>R264*$O264</f>
        <v>179288084.44800001</v>
      </c>
      <c r="T264" s="296">
        <f>VLOOKUP($F264,'[1]Master Harga'!$E$5:$L$351,7,FALSE)</f>
        <v>158800.57379999998</v>
      </c>
      <c r="U264" s="296">
        <f>T264*$O264</f>
        <v>190941809.93711999</v>
      </c>
      <c r="V264" s="296">
        <f>W264/O264</f>
        <v>152339.2046</v>
      </c>
      <c r="W264" s="307">
        <f>AVERAGEIF($P$3:$U$3,W$3,$P264:$U264)</f>
        <v>183172659.61104</v>
      </c>
      <c r="X264" s="295"/>
      <c r="Y264" s="306">
        <f t="shared" si="29"/>
        <v>447325.56</v>
      </c>
      <c r="Z264" s="450"/>
      <c r="AA264" s="578"/>
      <c r="AB264" s="393"/>
      <c r="AC264" s="393"/>
      <c r="AD264" s="308"/>
      <c r="AF264" s="393"/>
      <c r="AG264" s="393"/>
      <c r="AH264" s="308"/>
      <c r="AJ264" s="393"/>
      <c r="AK264" s="393"/>
      <c r="AL264" s="300"/>
    </row>
    <row r="265" spans="2:38" x14ac:dyDescent="0.35">
      <c r="B265" s="315"/>
      <c r="C265" s="316"/>
      <c r="D265" s="310"/>
      <c r="E265" s="311"/>
      <c r="F265" s="436" t="s">
        <v>349</v>
      </c>
      <c r="G265" s="579" t="s">
        <v>356</v>
      </c>
      <c r="H265" s="545"/>
      <c r="I265" s="580"/>
      <c r="J265" s="439"/>
      <c r="K265" s="400">
        <v>1</v>
      </c>
      <c r="L265" s="372">
        <f>(O267+O269+O271)/1000</f>
        <v>51.582960000000007</v>
      </c>
      <c r="M265" s="507">
        <v>1</v>
      </c>
      <c r="N265" s="581">
        <f>N264</f>
        <v>1</v>
      </c>
      <c r="O265" s="508">
        <f>K265*L265*M265*N265</f>
        <v>51.582960000000007</v>
      </c>
      <c r="P265" s="306">
        <v>500000</v>
      </c>
      <c r="Q265" s="296">
        <f t="shared" si="44"/>
        <v>25791480.000000004</v>
      </c>
      <c r="R265" s="296"/>
      <c r="S265" s="296"/>
      <c r="T265" s="296"/>
      <c r="U265" s="296"/>
      <c r="V265" s="296"/>
      <c r="W265" s="307"/>
      <c r="X265" s="295"/>
      <c r="Y265" s="306">
        <f t="shared" si="29"/>
        <v>64350.000000000007</v>
      </c>
      <c r="Z265" s="295"/>
      <c r="AB265" s="393"/>
      <c r="AC265" s="393"/>
      <c r="AD265" s="308"/>
      <c r="AF265" s="393"/>
      <c r="AG265" s="393"/>
      <c r="AH265" s="308"/>
      <c r="AJ265" s="393"/>
      <c r="AK265" s="393"/>
      <c r="AL265" s="300"/>
    </row>
    <row r="266" spans="2:38" x14ac:dyDescent="0.35">
      <c r="B266" s="315"/>
      <c r="C266" s="316"/>
      <c r="D266" s="310"/>
      <c r="E266" s="311"/>
      <c r="F266" s="436" t="s">
        <v>364</v>
      </c>
      <c r="G266" s="579" t="s">
        <v>192</v>
      </c>
      <c r="H266" s="545"/>
      <c r="I266" s="580"/>
      <c r="J266" s="439"/>
      <c r="K266" s="400">
        <v>1</v>
      </c>
      <c r="L266" s="372">
        <f>((O267+O269+O271)*2/100)</f>
        <v>1031.6592000000001</v>
      </c>
      <c r="M266" s="507">
        <v>1</v>
      </c>
      <c r="N266" s="581">
        <f>N265</f>
        <v>1</v>
      </c>
      <c r="O266" s="508">
        <f>K266*L266*M266*N266</f>
        <v>1031.6592000000001</v>
      </c>
      <c r="P266" s="306">
        <v>10000</v>
      </c>
      <c r="Q266" s="296">
        <f t="shared" si="44"/>
        <v>10316592</v>
      </c>
      <c r="R266" s="296"/>
      <c r="S266" s="296"/>
      <c r="T266" s="296"/>
      <c r="U266" s="296"/>
      <c r="V266" s="296"/>
      <c r="W266" s="307"/>
      <c r="X266" s="295"/>
      <c r="Y266" s="306">
        <f t="shared" si="29"/>
        <v>25740</v>
      </c>
      <c r="Z266" s="295"/>
      <c r="AB266" s="393"/>
      <c r="AC266" s="393"/>
      <c r="AD266" s="308"/>
      <c r="AF266" s="393"/>
      <c r="AG266" s="393"/>
      <c r="AH266" s="308"/>
      <c r="AJ266" s="393"/>
      <c r="AK266" s="393"/>
      <c r="AL266" s="300"/>
    </row>
    <row r="267" spans="2:38" x14ac:dyDescent="0.35">
      <c r="B267" s="315"/>
      <c r="C267" s="316"/>
      <c r="D267" s="316"/>
      <c r="E267" s="317"/>
      <c r="F267" s="348" t="s">
        <v>324</v>
      </c>
      <c r="G267" s="342" t="s">
        <v>192</v>
      </c>
      <c r="H267" s="343"/>
      <c r="I267" s="344"/>
      <c r="J267" s="342"/>
      <c r="K267" s="318">
        <v>1</v>
      </c>
      <c r="L267" s="372">
        <f>$L$260</f>
        <v>400.8</v>
      </c>
      <c r="M267" s="363">
        <f>0.5*M261</f>
        <v>71.5</v>
      </c>
      <c r="N267" s="299">
        <v>1</v>
      </c>
      <c r="O267" s="508">
        <f t="shared" si="43"/>
        <v>28657.200000000001</v>
      </c>
      <c r="P267" s="306">
        <f>VLOOKUP($F267,'[1]Master Harga'!$E$5:$L$351,6,FALSE)</f>
        <v>2300</v>
      </c>
      <c r="Q267" s="296">
        <f t="shared" si="44"/>
        <v>65911560</v>
      </c>
      <c r="R267" s="296">
        <f>VLOOKUP($F267,'[1]Master Harga'!$E$5:$L$351,6,FALSE)</f>
        <v>2300</v>
      </c>
      <c r="S267" s="296">
        <f t="shared" ref="S267:S276" si="45">R267*$O267</f>
        <v>65911560</v>
      </c>
      <c r="T267" s="296">
        <f>VLOOKUP($F267,'[1]Master Harga'!$E$5:$L$351,7,FALSE)</f>
        <v>2415</v>
      </c>
      <c r="U267" s="296">
        <f t="shared" ref="U267:U276" si="46">T267*$O267</f>
        <v>69207138</v>
      </c>
      <c r="V267" s="296">
        <f t="shared" ref="V267:V277" si="47">W267/O267</f>
        <v>2338.3333333333335</v>
      </c>
      <c r="W267" s="307">
        <f t="shared" ref="W267:W277" si="48">AVERAGEIF($P$3:$U$3,W$3,$P267:$U267)</f>
        <v>67010086</v>
      </c>
      <c r="X267" s="295"/>
      <c r="Y267" s="306">
        <f t="shared" si="29"/>
        <v>164450</v>
      </c>
      <c r="Z267" s="295"/>
      <c r="AB267" s="393"/>
      <c r="AC267" s="393"/>
      <c r="AD267" s="308"/>
      <c r="AF267" s="393"/>
      <c r="AG267" s="393"/>
      <c r="AH267" s="308"/>
      <c r="AJ267" s="393"/>
      <c r="AK267" s="393"/>
      <c r="AL267" s="300"/>
    </row>
    <row r="268" spans="2:38" x14ac:dyDescent="0.35">
      <c r="B268" s="315"/>
      <c r="C268" s="316"/>
      <c r="D268" s="316"/>
      <c r="E268" s="317"/>
      <c r="F268" s="348" t="s">
        <v>365</v>
      </c>
      <c r="G268" s="342" t="s">
        <v>192</v>
      </c>
      <c r="H268" s="343"/>
      <c r="I268" s="344"/>
      <c r="J268" s="342"/>
      <c r="K268" s="318">
        <v>1</v>
      </c>
      <c r="L268" s="372"/>
      <c r="M268" s="363">
        <f>0.25*M261</f>
        <v>35.75</v>
      </c>
      <c r="N268" s="299">
        <v>1</v>
      </c>
      <c r="O268" s="508">
        <f t="shared" si="43"/>
        <v>0</v>
      </c>
      <c r="P268" s="306">
        <f>VLOOKUP($F268,'[1]Master Harga'!$E$5:$L$351,6,FALSE)</f>
        <v>141750</v>
      </c>
      <c r="Q268" s="296">
        <f>P268*$O268</f>
        <v>0</v>
      </c>
      <c r="R268" s="296">
        <f>VLOOKUP($F268,'[1]Master Harga'!$E$5:$L$351,6,FALSE)</f>
        <v>141750</v>
      </c>
      <c r="S268" s="296">
        <f>R268*$O268</f>
        <v>0</v>
      </c>
      <c r="T268" s="296">
        <f>VLOOKUP($F268,'[1]Master Harga'!$E$5:$L$351,7,FALSE)</f>
        <v>148837.5</v>
      </c>
      <c r="U268" s="296">
        <f>T268*$O268</f>
        <v>0</v>
      </c>
      <c r="V268" s="296" t="e">
        <f t="shared" si="47"/>
        <v>#DIV/0!</v>
      </c>
      <c r="W268" s="307">
        <f t="shared" si="48"/>
        <v>0</v>
      </c>
      <c r="X268" s="295"/>
      <c r="Y268" s="306">
        <f t="shared" si="29"/>
        <v>0</v>
      </c>
      <c r="Z268" s="296"/>
      <c r="AA268" s="578"/>
      <c r="AB268" s="393"/>
      <c r="AC268" s="393"/>
      <c r="AD268" s="308"/>
      <c r="AF268" s="393"/>
      <c r="AG268" s="393"/>
      <c r="AH268" s="308"/>
      <c r="AJ268" s="393"/>
      <c r="AK268" s="393"/>
      <c r="AL268" s="300"/>
    </row>
    <row r="269" spans="2:38" x14ac:dyDescent="0.35">
      <c r="B269" s="315"/>
      <c r="C269" s="316"/>
      <c r="D269" s="316"/>
      <c r="E269" s="317"/>
      <c r="F269" s="348" t="s">
        <v>366</v>
      </c>
      <c r="G269" s="342" t="s">
        <v>192</v>
      </c>
      <c r="H269" s="343"/>
      <c r="I269" s="344"/>
      <c r="J269" s="342"/>
      <c r="K269" s="318">
        <v>0</v>
      </c>
      <c r="L269" s="372">
        <f>$L$260</f>
        <v>400.8</v>
      </c>
      <c r="M269" s="363">
        <f>0.25*M261</f>
        <v>35.75</v>
      </c>
      <c r="N269" s="299">
        <v>1</v>
      </c>
      <c r="O269" s="508">
        <f>K269*L269*M269*N269</f>
        <v>0</v>
      </c>
      <c r="P269" s="306">
        <f>VLOOKUP($F269,'[1]Master Harga'!$E$5:$L$351,6,FALSE)</f>
        <v>5040</v>
      </c>
      <c r="Q269" s="296">
        <f>P269*$O269</f>
        <v>0</v>
      </c>
      <c r="R269" s="296"/>
      <c r="S269" s="296"/>
      <c r="T269" s="296"/>
      <c r="U269" s="296"/>
      <c r="V269" s="296"/>
      <c r="W269" s="307"/>
      <c r="X269" s="295"/>
      <c r="Y269" s="306">
        <f t="shared" si="29"/>
        <v>0</v>
      </c>
      <c r="Z269" s="295"/>
      <c r="AB269" s="393"/>
      <c r="AC269" s="393"/>
      <c r="AD269" s="308"/>
      <c r="AF269" s="393"/>
      <c r="AG269" s="393"/>
      <c r="AH269" s="308"/>
      <c r="AJ269" s="393"/>
      <c r="AK269" s="393"/>
      <c r="AL269" s="300"/>
    </row>
    <row r="270" spans="2:38" x14ac:dyDescent="0.35">
      <c r="B270" s="315"/>
      <c r="C270" s="316"/>
      <c r="D270" s="316"/>
      <c r="E270" s="317"/>
      <c r="F270" s="348" t="s">
        <v>367</v>
      </c>
      <c r="G270" s="342" t="s">
        <v>192</v>
      </c>
      <c r="H270" s="343"/>
      <c r="I270" s="344"/>
      <c r="J270" s="342"/>
      <c r="K270" s="318">
        <v>1</v>
      </c>
      <c r="L270" s="372">
        <f>$L$260</f>
        <v>400.8</v>
      </c>
      <c r="M270" s="363">
        <f>0.045*M261</f>
        <v>6.4349999999999996</v>
      </c>
      <c r="N270" s="299">
        <v>1</v>
      </c>
      <c r="O270" s="508">
        <f>K270*L270*M270*N270</f>
        <v>2579.1480000000001</v>
      </c>
      <c r="P270" s="306">
        <f>VLOOKUP($F270,'[1]Master Harga'!$E$5:$L$351,6,FALSE)</f>
        <v>30786</v>
      </c>
      <c r="Q270" s="296">
        <f>P270*$O270</f>
        <v>79401650.328000009</v>
      </c>
      <c r="R270" s="296"/>
      <c r="S270" s="296"/>
      <c r="T270" s="296"/>
      <c r="U270" s="296"/>
      <c r="V270" s="296"/>
      <c r="W270" s="307"/>
      <c r="X270" s="295"/>
      <c r="Y270" s="306">
        <f t="shared" si="29"/>
        <v>198107.91</v>
      </c>
      <c r="Z270" s="295"/>
      <c r="AB270" s="393"/>
      <c r="AC270" s="393"/>
      <c r="AD270" s="308"/>
      <c r="AF270" s="393"/>
      <c r="AG270" s="393"/>
      <c r="AH270" s="308"/>
      <c r="AJ270" s="393"/>
      <c r="AK270" s="393"/>
      <c r="AL270" s="300"/>
    </row>
    <row r="271" spans="2:38" x14ac:dyDescent="0.35">
      <c r="B271" s="315"/>
      <c r="C271" s="316"/>
      <c r="D271" s="316"/>
      <c r="E271" s="317"/>
      <c r="F271" s="348" t="s">
        <v>368</v>
      </c>
      <c r="G271" s="342" t="s">
        <v>192</v>
      </c>
      <c r="H271" s="343"/>
      <c r="I271" s="344"/>
      <c r="J271" s="342"/>
      <c r="K271" s="318">
        <v>1</v>
      </c>
      <c r="L271" s="372">
        <f>$L$260</f>
        <v>400.8</v>
      </c>
      <c r="M271" s="363">
        <f>0.4*M261</f>
        <v>57.2</v>
      </c>
      <c r="N271" s="299">
        <v>1</v>
      </c>
      <c r="O271" s="508">
        <f t="shared" si="43"/>
        <v>22925.760000000002</v>
      </c>
      <c r="P271" s="306">
        <f>VLOOKUP($F271,'[1]Master Harga'!$E$5:$L$351,6,FALSE)</f>
        <v>870</v>
      </c>
      <c r="Q271" s="296">
        <f>P271*$O271</f>
        <v>19945411.200000003</v>
      </c>
      <c r="R271" s="296">
        <f>VLOOKUP($F271,'[1]Master Harga'!$E$5:$L$351,6,FALSE)</f>
        <v>870</v>
      </c>
      <c r="S271" s="296">
        <f>R271*$O271</f>
        <v>19945411.200000003</v>
      </c>
      <c r="T271" s="296">
        <f>VLOOKUP($F271,'[1]Master Harga'!$E$5:$L$351,7,FALSE)</f>
        <v>913.5</v>
      </c>
      <c r="U271" s="296">
        <f>T271*$O271</f>
        <v>20942681.760000002</v>
      </c>
      <c r="V271" s="296">
        <f>W271/O271</f>
        <v>884.5</v>
      </c>
      <c r="W271" s="307">
        <f t="shared" si="48"/>
        <v>20277834.720000003</v>
      </c>
      <c r="X271" s="295"/>
      <c r="Y271" s="306">
        <f t="shared" si="29"/>
        <v>49764.000000000007</v>
      </c>
      <c r="Z271" s="295"/>
      <c r="AB271" s="393"/>
      <c r="AC271" s="393"/>
      <c r="AD271" s="308"/>
      <c r="AF271" s="393"/>
      <c r="AG271" s="393"/>
      <c r="AH271" s="308"/>
      <c r="AJ271" s="393"/>
      <c r="AK271" s="393"/>
      <c r="AL271" s="300"/>
    </row>
    <row r="272" spans="2:38" x14ac:dyDescent="0.35">
      <c r="B272" s="367"/>
      <c r="C272" s="368"/>
      <c r="D272" s="368"/>
      <c r="E272" s="408"/>
      <c r="F272" s="348" t="s">
        <v>369</v>
      </c>
      <c r="G272" s="342" t="s">
        <v>203</v>
      </c>
      <c r="H272" s="343"/>
      <c r="I272" s="344"/>
      <c r="J272" s="342"/>
      <c r="K272" s="318"/>
      <c r="L272" s="372"/>
      <c r="M272" s="363">
        <f>136/40</f>
        <v>3.4</v>
      </c>
      <c r="N272" s="296">
        <v>1</v>
      </c>
      <c r="O272" s="296">
        <f>K272*M272*N272</f>
        <v>0</v>
      </c>
      <c r="P272" s="306">
        <f>VLOOKUP($F272,'[1]Master Harga'!$E$5:$L$351,5,FALSE)</f>
        <v>0</v>
      </c>
      <c r="Q272" s="296">
        <f t="shared" si="44"/>
        <v>0</v>
      </c>
      <c r="R272" s="296">
        <f>VLOOKUP($F272,'[1]Master Harga'!$E$5:$L$351,6,FALSE)</f>
        <v>0</v>
      </c>
      <c r="S272" s="296">
        <f t="shared" si="45"/>
        <v>0</v>
      </c>
      <c r="T272" s="296">
        <f>VLOOKUP($F272,'[1]Master Harga'!$E$5:$L$351,7,FALSE)</f>
        <v>0</v>
      </c>
      <c r="U272" s="296">
        <f t="shared" si="46"/>
        <v>0</v>
      </c>
      <c r="V272" s="296" t="e">
        <f t="shared" si="47"/>
        <v>#DIV/0!</v>
      </c>
      <c r="W272" s="307">
        <f t="shared" si="48"/>
        <v>0</v>
      </c>
      <c r="X272" s="295"/>
      <c r="Y272" s="306">
        <f t="shared" si="29"/>
        <v>0</v>
      </c>
      <c r="Z272" s="295"/>
      <c r="AB272" s="393"/>
      <c r="AC272" s="393"/>
      <c r="AD272" s="308"/>
      <c r="AF272" s="393"/>
      <c r="AG272" s="393"/>
      <c r="AH272" s="308"/>
      <c r="AJ272" s="393"/>
      <c r="AK272" s="393"/>
      <c r="AL272" s="300"/>
    </row>
    <row r="273" spans="2:38" x14ac:dyDescent="0.35">
      <c r="B273" s="301"/>
      <c r="C273" s="302"/>
      <c r="D273" s="302" t="s">
        <v>145</v>
      </c>
      <c r="E273" s="303"/>
      <c r="F273" s="288" t="s">
        <v>189</v>
      </c>
      <c r="G273" s="289" t="s">
        <v>190</v>
      </c>
      <c r="H273" s="290"/>
      <c r="I273" s="291"/>
      <c r="J273" s="289"/>
      <c r="K273" s="304">
        <v>1</v>
      </c>
      <c r="L273" s="293">
        <f>$L$260</f>
        <v>400.8</v>
      </c>
      <c r="M273" s="294">
        <v>4</v>
      </c>
      <c r="N273" s="296">
        <v>1</v>
      </c>
      <c r="O273" s="508">
        <f>K273*L273*M273*N273</f>
        <v>1603.2</v>
      </c>
      <c r="P273" s="306">
        <f>VLOOKUP($F273,'[1]Master Harga'!$E$5:$L$351,6,FALSE)</f>
        <v>149108.51999999999</v>
      </c>
      <c r="Q273" s="299">
        <f t="shared" si="44"/>
        <v>239050779.264</v>
      </c>
      <c r="R273" s="296">
        <f>VLOOKUP($F273,'[1]Master Harga'!$E$5:$L$351,6,FALSE)</f>
        <v>149108.51999999999</v>
      </c>
      <c r="S273" s="296">
        <f t="shared" si="45"/>
        <v>239050779.264</v>
      </c>
      <c r="T273" s="296">
        <f>VLOOKUP($F273,'[1]Master Harga'!$E$5:$L$351,7,FALSE)</f>
        <v>158800.57379999998</v>
      </c>
      <c r="U273" s="296">
        <f t="shared" si="46"/>
        <v>254589079.91615999</v>
      </c>
      <c r="V273" s="296">
        <f t="shared" si="47"/>
        <v>152339.2046</v>
      </c>
      <c r="W273" s="307">
        <f t="shared" si="48"/>
        <v>244230212.81472</v>
      </c>
      <c r="X273" s="353"/>
      <c r="Y273" s="571">
        <f t="shared" si="29"/>
        <v>596434.07999999996</v>
      </c>
      <c r="Z273" s="450"/>
      <c r="AA273" s="578"/>
      <c r="AB273" s="393"/>
      <c r="AC273" s="393"/>
      <c r="AD273" s="308"/>
      <c r="AF273" s="393"/>
      <c r="AG273" s="393"/>
      <c r="AH273" s="308"/>
      <c r="AJ273" s="393"/>
      <c r="AK273" s="393"/>
      <c r="AL273" s="300"/>
    </row>
    <row r="274" spans="2:38" x14ac:dyDescent="0.35">
      <c r="B274" s="315"/>
      <c r="C274" s="316"/>
      <c r="D274" s="316"/>
      <c r="E274" s="317"/>
      <c r="F274" s="341" t="s">
        <v>370</v>
      </c>
      <c r="G274" s="289" t="s">
        <v>371</v>
      </c>
      <c r="H274" s="290"/>
      <c r="I274" s="291"/>
      <c r="J274" s="289"/>
      <c r="K274" s="304">
        <v>1</v>
      </c>
      <c r="L274" s="293">
        <f>$L$260</f>
        <v>400.8</v>
      </c>
      <c r="M274" s="582">
        <f>M261</f>
        <v>143</v>
      </c>
      <c r="N274" s="296">
        <v>1</v>
      </c>
      <c r="O274" s="571">
        <f>K274*L274*M274*N274</f>
        <v>57314.400000000001</v>
      </c>
      <c r="P274" s="306">
        <v>1500</v>
      </c>
      <c r="Q274" s="299">
        <f t="shared" si="44"/>
        <v>85971600</v>
      </c>
      <c r="R274" s="296"/>
      <c r="S274" s="296"/>
      <c r="T274" s="296"/>
      <c r="U274" s="296"/>
      <c r="V274" s="296"/>
      <c r="W274" s="307"/>
      <c r="X274" s="295"/>
      <c r="Y274" s="571">
        <f t="shared" si="29"/>
        <v>214500</v>
      </c>
      <c r="Z274" s="450"/>
      <c r="AB274" s="393"/>
      <c r="AC274" s="393"/>
      <c r="AD274" s="308"/>
      <c r="AF274" s="393"/>
      <c r="AG274" s="393"/>
      <c r="AH274" s="308"/>
      <c r="AJ274" s="393"/>
      <c r="AK274" s="393"/>
      <c r="AL274" s="300"/>
    </row>
    <row r="275" spans="2:38" x14ac:dyDescent="0.35">
      <c r="B275" s="315"/>
      <c r="C275" s="316"/>
      <c r="D275" s="316"/>
      <c r="E275" s="317"/>
      <c r="F275" s="288" t="s">
        <v>372</v>
      </c>
      <c r="G275" s="289" t="s">
        <v>371</v>
      </c>
      <c r="H275" s="290"/>
      <c r="I275" s="291"/>
      <c r="J275" s="289"/>
      <c r="K275" s="304">
        <v>1</v>
      </c>
      <c r="L275" s="293">
        <f>$L$260</f>
        <v>400.8</v>
      </c>
      <c r="M275" s="582">
        <f>M261</f>
        <v>143</v>
      </c>
      <c r="N275" s="296">
        <v>1</v>
      </c>
      <c r="O275" s="508">
        <f>K275*L275*M275*N275</f>
        <v>57314.400000000001</v>
      </c>
      <c r="P275" s="306">
        <f>VLOOKUP($F275,'[1]Master Harga'!$E$6:$L$351,5,FALSE)</f>
        <v>48000</v>
      </c>
      <c r="Q275" s="296">
        <f t="shared" si="44"/>
        <v>2751091200</v>
      </c>
      <c r="R275" s="296">
        <f>VLOOKUP($F275,'[1]Master Harga'!$E$5:$L$351,6,FALSE)</f>
        <v>50880</v>
      </c>
      <c r="S275" s="296">
        <f t="shared" si="45"/>
        <v>2916156672</v>
      </c>
      <c r="T275" s="296">
        <f>VLOOKUP($F275,'[1]Master Harga'!$E$5:$L$351,7,FALSE)</f>
        <v>53932.800000000003</v>
      </c>
      <c r="U275" s="296">
        <f t="shared" si="46"/>
        <v>3091126072.3200002</v>
      </c>
      <c r="V275" s="296">
        <f t="shared" si="47"/>
        <v>50937.599999999999</v>
      </c>
      <c r="W275" s="307">
        <f t="shared" si="48"/>
        <v>2919457981.4400001</v>
      </c>
      <c r="X275" s="295"/>
      <c r="Y275" s="571">
        <f t="shared" si="29"/>
        <v>6864000</v>
      </c>
      <c r="Z275" s="583"/>
      <c r="AB275" s="393"/>
      <c r="AC275" s="393"/>
      <c r="AD275" s="308"/>
      <c r="AF275" s="393"/>
      <c r="AG275" s="393"/>
      <c r="AH275" s="308"/>
      <c r="AJ275" s="393"/>
      <c r="AK275" s="393"/>
      <c r="AL275" s="300"/>
    </row>
    <row r="276" spans="2:38" x14ac:dyDescent="0.35">
      <c r="B276" s="315"/>
      <c r="C276" s="316"/>
      <c r="D276" s="316"/>
      <c r="E276" s="317"/>
      <c r="F276" s="288" t="s">
        <v>373</v>
      </c>
      <c r="G276" s="289" t="s">
        <v>371</v>
      </c>
      <c r="H276" s="290"/>
      <c r="I276" s="291"/>
      <c r="J276" s="289"/>
      <c r="K276" s="304">
        <v>1</v>
      </c>
      <c r="L276" s="293">
        <f>$L$260</f>
        <v>400.8</v>
      </c>
      <c r="M276" s="582">
        <f>M261</f>
        <v>143</v>
      </c>
      <c r="N276" s="296">
        <v>1</v>
      </c>
      <c r="O276" s="508">
        <f>K276*L276*M276*N276</f>
        <v>57314.400000000001</v>
      </c>
      <c r="P276" s="306">
        <f>VLOOKUP($F276,'[1]Master Harga'!$E$6:$L$351,5,FALSE)</f>
        <v>4500</v>
      </c>
      <c r="Q276" s="299">
        <f t="shared" si="44"/>
        <v>257914800</v>
      </c>
      <c r="R276" s="296">
        <f>VLOOKUP($F276,'[1]Master Harga'!$E$5:$L$351,6,FALSE)</f>
        <v>4725</v>
      </c>
      <c r="S276" s="296">
        <f t="shared" si="45"/>
        <v>270810540</v>
      </c>
      <c r="T276" s="296">
        <f>VLOOKUP($F276,'[1]Master Harga'!$E$5:$L$351,7,FALSE)</f>
        <v>4961.25</v>
      </c>
      <c r="U276" s="296">
        <f t="shared" si="46"/>
        <v>284351067</v>
      </c>
      <c r="V276" s="296">
        <f t="shared" si="47"/>
        <v>4728.75</v>
      </c>
      <c r="W276" s="307">
        <f t="shared" si="48"/>
        <v>271025469</v>
      </c>
      <c r="X276" s="295"/>
      <c r="Y276" s="571">
        <f t="shared" si="29"/>
        <v>643500</v>
      </c>
      <c r="Z276" s="295"/>
      <c r="AB276" s="393"/>
      <c r="AC276" s="393"/>
      <c r="AD276" s="308"/>
      <c r="AF276" s="393"/>
      <c r="AG276" s="393"/>
      <c r="AH276" s="308"/>
      <c r="AJ276" s="393"/>
      <c r="AK276" s="393"/>
      <c r="AL276" s="300"/>
    </row>
    <row r="277" spans="2:38" x14ac:dyDescent="0.35">
      <c r="B277" s="367"/>
      <c r="C277" s="368"/>
      <c r="D277" s="368"/>
      <c r="E277" s="408"/>
      <c r="F277" s="288" t="s">
        <v>354</v>
      </c>
      <c r="G277" s="289" t="s">
        <v>203</v>
      </c>
      <c r="H277" s="290"/>
      <c r="I277" s="291"/>
      <c r="J277" s="289"/>
      <c r="K277" s="304">
        <v>1</v>
      </c>
      <c r="L277" s="293">
        <f>$L$260</f>
        <v>400.8</v>
      </c>
      <c r="M277" s="294">
        <v>2</v>
      </c>
      <c r="N277" s="296">
        <v>1</v>
      </c>
      <c r="O277" s="296">
        <f>K277*M277*N277*L277</f>
        <v>801.6</v>
      </c>
      <c r="P277" s="306">
        <f>VLOOKUP($F277,'[1]Master Harga'!$E$6:$L$351,6,FALSE)</f>
        <v>146704.95000000001</v>
      </c>
      <c r="Q277" s="296">
        <f>P277*$O277</f>
        <v>117598687.92000002</v>
      </c>
      <c r="R277" s="296">
        <f>VLOOKUP($F277,'[1]Master Harga'!$E$5:$L$351,6,FALSE)</f>
        <v>146704.95000000001</v>
      </c>
      <c r="S277" s="296">
        <f>R277*$O277</f>
        <v>117598687.92000002</v>
      </c>
      <c r="T277" s="296">
        <f>VLOOKUP($F277,'[1]Master Harga'!$E$5:$L$351,7,FALSE)</f>
        <v>154040.19750000001</v>
      </c>
      <c r="U277" s="296">
        <f>T277*$O277</f>
        <v>123478622.31600001</v>
      </c>
      <c r="V277" s="296">
        <f t="shared" si="47"/>
        <v>149150.0325</v>
      </c>
      <c r="W277" s="307">
        <f t="shared" si="48"/>
        <v>119558666.052</v>
      </c>
      <c r="X277" s="295"/>
      <c r="Y277" s="571">
        <f t="shared" si="29"/>
        <v>293409.90000000002</v>
      </c>
      <c r="Z277" s="295"/>
      <c r="AB277" s="393"/>
      <c r="AC277" s="393"/>
      <c r="AD277" s="308"/>
      <c r="AF277" s="393"/>
      <c r="AG277" s="393"/>
      <c r="AH277" s="308"/>
      <c r="AJ277" s="393"/>
      <c r="AK277" s="393"/>
      <c r="AL277" s="300"/>
    </row>
    <row r="278" spans="2:38" s="490" customFormat="1" x14ac:dyDescent="0.35">
      <c r="B278" s="412" t="s">
        <v>374</v>
      </c>
      <c r="C278" s="413"/>
      <c r="D278" s="413"/>
      <c r="E278" s="414"/>
      <c r="F278" s="458"/>
      <c r="G278" s="459"/>
      <c r="H278" s="460"/>
      <c r="I278" s="461"/>
      <c r="J278" s="459"/>
      <c r="K278" s="462"/>
      <c r="L278" s="463"/>
      <c r="M278" s="464"/>
      <c r="N278" s="390"/>
      <c r="O278" s="390"/>
      <c r="P278" s="392"/>
      <c r="Q278" s="390">
        <f>SUM(Q260:Q277)</f>
        <v>4017587941.6079998</v>
      </c>
      <c r="R278" s="390"/>
      <c r="S278" s="390" t="e">
        <f>SUM(S195:S277)</f>
        <v>#N/A</v>
      </c>
      <c r="T278" s="390"/>
      <c r="U278" s="390" t="e">
        <f>SUM(U195:U277)</f>
        <v>#N/A</v>
      </c>
      <c r="V278" s="390"/>
      <c r="W278" s="390" t="e">
        <f>SUM(W195:W277)</f>
        <v>#N/A</v>
      </c>
      <c r="X278" s="568"/>
      <c r="Y278" s="569">
        <f t="shared" si="29"/>
        <v>10023922.01</v>
      </c>
      <c r="Z278" s="560">
        <f>Q278/$Q$359*100</f>
        <v>20.212845538115392</v>
      </c>
      <c r="AB278" s="393"/>
      <c r="AC278" s="393"/>
      <c r="AD278" s="300"/>
      <c r="AF278" s="393"/>
      <c r="AG278" s="393"/>
      <c r="AH278" s="300"/>
      <c r="AJ278" s="393"/>
      <c r="AK278" s="393"/>
      <c r="AL278" s="300"/>
    </row>
    <row r="279" spans="2:38" x14ac:dyDescent="0.35">
      <c r="B279" s="290"/>
      <c r="C279" s="286" t="s">
        <v>375</v>
      </c>
      <c r="D279" s="291"/>
      <c r="E279" s="396"/>
      <c r="F279" s="288"/>
      <c r="G279" s="289"/>
      <c r="H279" s="290"/>
      <c r="I279" s="291"/>
      <c r="J279" s="289"/>
      <c r="K279" s="292"/>
      <c r="L279" s="293"/>
      <c r="M279" s="294"/>
      <c r="N279" s="296"/>
      <c r="O279" s="296"/>
      <c r="P279" s="306"/>
      <c r="Q279" s="296"/>
      <c r="R279" s="296"/>
      <c r="S279" s="296"/>
      <c r="T279" s="296"/>
      <c r="U279" s="296"/>
      <c r="V279" s="296"/>
      <c r="W279" s="296"/>
      <c r="X279" s="295"/>
      <c r="Y279" s="306">
        <f t="shared" ref="Y279:Y342" si="49">Q279/$AB$1</f>
        <v>0</v>
      </c>
      <c r="Z279" s="295"/>
      <c r="AB279" s="393"/>
      <c r="AC279" s="393"/>
      <c r="AD279" s="308"/>
      <c r="AF279" s="393"/>
      <c r="AG279" s="393"/>
      <c r="AH279" s="308"/>
      <c r="AJ279" s="393"/>
      <c r="AK279" s="393"/>
      <c r="AL279" s="300"/>
    </row>
    <row r="280" spans="2:38" x14ac:dyDescent="0.35">
      <c r="B280" s="290"/>
      <c r="C280" s="286"/>
      <c r="D280" s="291" t="s">
        <v>376</v>
      </c>
      <c r="E280" s="396"/>
      <c r="F280" s="288"/>
      <c r="G280" s="289"/>
      <c r="H280" s="290"/>
      <c r="I280" s="291"/>
      <c r="J280" s="289"/>
      <c r="K280" s="292"/>
      <c r="L280" s="293"/>
      <c r="M280" s="294"/>
      <c r="N280" s="296"/>
      <c r="O280" s="296"/>
      <c r="P280" s="306"/>
      <c r="Q280" s="296"/>
      <c r="R280" s="296"/>
      <c r="S280" s="296"/>
      <c r="T280" s="296"/>
      <c r="U280" s="296"/>
      <c r="V280" s="296"/>
      <c r="W280" s="296"/>
      <c r="X280" s="295"/>
      <c r="Y280" s="306">
        <f t="shared" si="49"/>
        <v>0</v>
      </c>
      <c r="Z280" s="295"/>
      <c r="AB280" s="393"/>
      <c r="AC280" s="393"/>
      <c r="AD280" s="308"/>
      <c r="AF280" s="393"/>
      <c r="AG280" s="393"/>
      <c r="AH280" s="308"/>
      <c r="AJ280" s="393"/>
      <c r="AK280" s="393"/>
      <c r="AL280" s="300"/>
    </row>
    <row r="281" spans="2:38" hidden="1" x14ac:dyDescent="0.35">
      <c r="B281" s="312"/>
      <c r="C281" s="313"/>
      <c r="D281" s="313"/>
      <c r="E281" s="314" t="s">
        <v>377</v>
      </c>
      <c r="F281" s="288" t="s">
        <v>189</v>
      </c>
      <c r="G281" s="289" t="s">
        <v>190</v>
      </c>
      <c r="H281" s="290"/>
      <c r="I281" s="291"/>
      <c r="J281" s="289"/>
      <c r="K281" s="292"/>
      <c r="L281" s="293"/>
      <c r="M281" s="294"/>
      <c r="N281" s="296"/>
      <c r="O281" s="296"/>
      <c r="P281" s="306"/>
      <c r="Q281" s="296"/>
      <c r="R281" s="296"/>
      <c r="S281" s="296"/>
      <c r="T281" s="296"/>
      <c r="U281" s="296"/>
      <c r="V281" s="296"/>
      <c r="W281" s="296"/>
      <c r="X281" s="295"/>
      <c r="Y281" s="306">
        <f t="shared" si="49"/>
        <v>0</v>
      </c>
      <c r="Z281" s="295"/>
      <c r="AB281" s="393"/>
      <c r="AC281" s="393"/>
      <c r="AD281" s="308"/>
      <c r="AF281" s="393"/>
      <c r="AG281" s="393"/>
      <c r="AH281" s="308"/>
      <c r="AJ281" s="393"/>
      <c r="AK281" s="393"/>
      <c r="AL281" s="300"/>
    </row>
    <row r="282" spans="2:38" hidden="1" x14ac:dyDescent="0.35">
      <c r="B282" s="338"/>
      <c r="C282" s="350"/>
      <c r="D282" s="350"/>
      <c r="E282" s="351"/>
      <c r="F282" s="288" t="s">
        <v>378</v>
      </c>
      <c r="G282" s="289" t="s">
        <v>226</v>
      </c>
      <c r="H282" s="290"/>
      <c r="I282" s="291"/>
      <c r="J282" s="289"/>
      <c r="K282" s="292"/>
      <c r="L282" s="293"/>
      <c r="M282" s="294"/>
      <c r="N282" s="296"/>
      <c r="O282" s="296"/>
      <c r="P282" s="306"/>
      <c r="Q282" s="296"/>
      <c r="R282" s="296"/>
      <c r="S282" s="296"/>
      <c r="T282" s="296"/>
      <c r="U282" s="296"/>
      <c r="V282" s="296"/>
      <c r="W282" s="296"/>
      <c r="X282" s="295"/>
      <c r="Y282" s="306">
        <f t="shared" si="49"/>
        <v>0</v>
      </c>
      <c r="Z282" s="295"/>
      <c r="AB282" s="393"/>
      <c r="AC282" s="393"/>
      <c r="AD282" s="308"/>
      <c r="AF282" s="393"/>
      <c r="AG282" s="393"/>
      <c r="AH282" s="308"/>
      <c r="AJ282" s="393"/>
      <c r="AK282" s="393"/>
      <c r="AL282" s="300"/>
    </row>
    <row r="283" spans="2:38" hidden="1" x14ac:dyDescent="0.35">
      <c r="B283" s="320"/>
      <c r="C283" s="321"/>
      <c r="D283" s="321"/>
      <c r="E283" s="322"/>
      <c r="F283" s="288" t="s">
        <v>379</v>
      </c>
      <c r="G283" s="289" t="s">
        <v>194</v>
      </c>
      <c r="H283" s="290"/>
      <c r="I283" s="291"/>
      <c r="J283" s="289"/>
      <c r="K283" s="292"/>
      <c r="L283" s="293"/>
      <c r="M283" s="294"/>
      <c r="N283" s="296"/>
      <c r="O283" s="296"/>
      <c r="P283" s="306"/>
      <c r="Q283" s="296"/>
      <c r="R283" s="296"/>
      <c r="S283" s="296"/>
      <c r="T283" s="296"/>
      <c r="U283" s="296"/>
      <c r="V283" s="296"/>
      <c r="W283" s="296"/>
      <c r="X283" s="295"/>
      <c r="Y283" s="306">
        <f t="shared" si="49"/>
        <v>0</v>
      </c>
      <c r="Z283" s="295"/>
      <c r="AB283" s="393"/>
      <c r="AC283" s="393"/>
      <c r="AD283" s="308"/>
      <c r="AF283" s="393"/>
      <c r="AG283" s="393"/>
      <c r="AH283" s="308"/>
      <c r="AJ283" s="393"/>
      <c r="AK283" s="393"/>
      <c r="AL283" s="300"/>
    </row>
    <row r="284" spans="2:38" x14ac:dyDescent="0.35">
      <c r="B284" s="301"/>
      <c r="C284" s="302"/>
      <c r="D284" s="302"/>
      <c r="E284" s="303" t="s">
        <v>380</v>
      </c>
      <c r="F284" s="288" t="s">
        <v>189</v>
      </c>
      <c r="G284" s="289" t="s">
        <v>190</v>
      </c>
      <c r="H284" s="290"/>
      <c r="I284" s="291"/>
      <c r="J284" s="289"/>
      <c r="K284" s="304">
        <v>1</v>
      </c>
      <c r="L284" s="293">
        <f>AB1</f>
        <v>400.8</v>
      </c>
      <c r="M284" s="294">
        <v>0.25</v>
      </c>
      <c r="N284" s="296">
        <v>1</v>
      </c>
      <c r="O284" s="508">
        <f>K284*L284*M284*N284</f>
        <v>100.2</v>
      </c>
      <c r="P284" s="306">
        <f>VLOOKUP($F284,'[1]Master Harga'!$E$6:$L$351,6,FALSE)</f>
        <v>149108.51999999999</v>
      </c>
      <c r="Q284" s="296">
        <f>P284*$O284</f>
        <v>14940673.704</v>
      </c>
      <c r="R284" s="296">
        <f>VLOOKUP($F284,'[1]Master Harga'!$E$5:$L$351,6,FALSE)</f>
        <v>149108.51999999999</v>
      </c>
      <c r="S284" s="296">
        <f>R284*$O284</f>
        <v>14940673.704</v>
      </c>
      <c r="T284" s="296">
        <f>VLOOKUP($F284,'[1]Master Harga'!$E$5:$L$351,7,FALSE)</f>
        <v>158800.57379999998</v>
      </c>
      <c r="U284" s="296">
        <f>T284*$O284</f>
        <v>15911817.494759999</v>
      </c>
      <c r="V284" s="296">
        <f>W284/O284</f>
        <v>152339.2046</v>
      </c>
      <c r="W284" s="307">
        <f>AVERAGEIF($P$3:$U$3,W$3,$P284:$U284)</f>
        <v>15264388.30092</v>
      </c>
      <c r="X284" s="295"/>
      <c r="Y284" s="571">
        <f t="shared" si="49"/>
        <v>37277.129999999997</v>
      </c>
      <c r="Z284" s="295"/>
      <c r="AB284" s="393"/>
      <c r="AC284" s="393"/>
      <c r="AD284" s="308"/>
      <c r="AF284" s="393"/>
      <c r="AG284" s="393"/>
      <c r="AH284" s="308"/>
      <c r="AJ284" s="393"/>
      <c r="AK284" s="393"/>
      <c r="AL284" s="300"/>
    </row>
    <row r="285" spans="2:38" x14ac:dyDescent="0.35">
      <c r="B285" s="367"/>
      <c r="C285" s="368"/>
      <c r="D285" s="368"/>
      <c r="E285" s="408"/>
      <c r="F285" s="288" t="s">
        <v>381</v>
      </c>
      <c r="G285" s="289" t="s">
        <v>192</v>
      </c>
      <c r="H285" s="290"/>
      <c r="I285" s="291"/>
      <c r="J285" s="289"/>
      <c r="K285" s="304">
        <v>1</v>
      </c>
      <c r="L285" s="293">
        <f>$L$284</f>
        <v>400.8</v>
      </c>
      <c r="M285" s="294">
        <v>1.0880000000000001</v>
      </c>
      <c r="N285" s="296">
        <v>1</v>
      </c>
      <c r="O285" s="508">
        <f>K285*L285*M285*N285</f>
        <v>436.07040000000006</v>
      </c>
      <c r="P285" s="306">
        <f>VLOOKUP($F285,'[1]Master Harga'!$E$6:$L$351,6,FALSE)</f>
        <v>34272</v>
      </c>
      <c r="Q285" s="296">
        <f>P285*$O285</f>
        <v>14945004.748800002</v>
      </c>
      <c r="R285" s="296">
        <f>VLOOKUP($F285,'[1]Master Harga'!$E$5:$L$351,6,FALSE)</f>
        <v>34272</v>
      </c>
      <c r="S285" s="296">
        <f>R285*$O285</f>
        <v>14945004.748800002</v>
      </c>
      <c r="T285" s="296">
        <f>VLOOKUP($F285,'[1]Master Harga'!$E$5:$L$351,7,FALSE)</f>
        <v>35985.599999999999</v>
      </c>
      <c r="U285" s="296">
        <f>T285*$O285</f>
        <v>15692254.986240001</v>
      </c>
      <c r="V285" s="296">
        <f>W285/O285</f>
        <v>34843.199999999997</v>
      </c>
      <c r="W285" s="307">
        <f>AVERAGEIF($P$3:$U$3,W$3,$P285:$U285)</f>
        <v>15194088.161280001</v>
      </c>
      <c r="X285" s="295"/>
      <c r="Y285" s="571">
        <f t="shared" si="49"/>
        <v>37287.936000000002</v>
      </c>
      <c r="Z285" s="295"/>
      <c r="AB285" s="393"/>
      <c r="AC285" s="393"/>
      <c r="AD285" s="308"/>
      <c r="AF285" s="393"/>
      <c r="AG285" s="393"/>
      <c r="AH285" s="308"/>
      <c r="AJ285" s="393"/>
      <c r="AK285" s="393"/>
      <c r="AL285" s="300"/>
    </row>
    <row r="286" spans="2:38" x14ac:dyDescent="0.35">
      <c r="B286" s="301"/>
      <c r="C286" s="302"/>
      <c r="D286" s="302"/>
      <c r="E286" s="399" t="s">
        <v>382</v>
      </c>
      <c r="F286" s="288" t="s">
        <v>189</v>
      </c>
      <c r="G286" s="289" t="s">
        <v>190</v>
      </c>
      <c r="H286" s="290"/>
      <c r="I286" s="291"/>
      <c r="J286" s="289"/>
      <c r="K286" s="304">
        <v>0.5</v>
      </c>
      <c r="L286" s="293">
        <f>$L$284</f>
        <v>400.8</v>
      </c>
      <c r="M286" s="294">
        <v>1</v>
      </c>
      <c r="N286" s="296">
        <v>2</v>
      </c>
      <c r="O286" s="508">
        <f>K286*L286*M286*N286</f>
        <v>400.8</v>
      </c>
      <c r="P286" s="306">
        <f>VLOOKUP($F286,'[1]Master Harga'!$E$6:$L$351,6,FALSE)</f>
        <v>149108.51999999999</v>
      </c>
      <c r="Q286" s="296">
        <f>P286*$O286</f>
        <v>59762694.816</v>
      </c>
      <c r="R286" s="296"/>
      <c r="S286" s="296"/>
      <c r="T286" s="296"/>
      <c r="U286" s="296"/>
      <c r="V286" s="296"/>
      <c r="W286" s="296"/>
      <c r="X286" s="295"/>
      <c r="Y286" s="571">
        <f t="shared" si="49"/>
        <v>149108.51999999999</v>
      </c>
      <c r="Z286" s="295"/>
      <c r="AB286" s="393"/>
      <c r="AC286" s="393"/>
      <c r="AD286" s="308"/>
      <c r="AF286" s="393"/>
      <c r="AG286" s="393"/>
      <c r="AH286" s="308"/>
      <c r="AJ286" s="393"/>
      <c r="AK286" s="393"/>
      <c r="AL286" s="300"/>
    </row>
    <row r="287" spans="2:38" hidden="1" x14ac:dyDescent="0.35">
      <c r="B287" s="315"/>
      <c r="C287" s="316"/>
      <c r="D287" s="316"/>
      <c r="E287" s="317"/>
      <c r="F287" s="288" t="s">
        <v>383</v>
      </c>
      <c r="G287" s="289" t="s">
        <v>384</v>
      </c>
      <c r="H287" s="290"/>
      <c r="I287" s="291"/>
      <c r="J287" s="289"/>
      <c r="K287" s="304"/>
      <c r="L287" s="293">
        <f>$L$284</f>
        <v>400.8</v>
      </c>
      <c r="M287" s="294"/>
      <c r="N287" s="296">
        <v>2</v>
      </c>
      <c r="O287" s="508">
        <f>K287*L287*M287*N287</f>
        <v>0</v>
      </c>
      <c r="P287" s="306">
        <f>VLOOKUP($F287,'[1]Master Harga'!$E$6:$L$351,6,FALSE)</f>
        <v>32387.040000000001</v>
      </c>
      <c r="Q287" s="296">
        <f>P287*$O287</f>
        <v>0</v>
      </c>
      <c r="R287" s="296"/>
      <c r="S287" s="296"/>
      <c r="T287" s="296"/>
      <c r="U287" s="296"/>
      <c r="V287" s="296"/>
      <c r="W287" s="296"/>
      <c r="X287" s="295"/>
      <c r="Y287" s="571">
        <f t="shared" si="49"/>
        <v>0</v>
      </c>
      <c r="Z287" s="295"/>
      <c r="AB287" s="393"/>
      <c r="AC287" s="393"/>
      <c r="AD287" s="308"/>
      <c r="AF287" s="393"/>
      <c r="AG287" s="393"/>
      <c r="AH287" s="308"/>
      <c r="AJ287" s="393"/>
      <c r="AK287" s="393"/>
      <c r="AL287" s="300"/>
    </row>
    <row r="288" spans="2:38" hidden="1" x14ac:dyDescent="0.35">
      <c r="B288" s="315"/>
      <c r="C288" s="316"/>
      <c r="D288" s="316"/>
      <c r="E288" s="317"/>
      <c r="F288" s="288" t="s">
        <v>385</v>
      </c>
      <c r="G288" s="289" t="s">
        <v>386</v>
      </c>
      <c r="H288" s="290"/>
      <c r="I288" s="291"/>
      <c r="J288" s="289"/>
      <c r="K288" s="292"/>
      <c r="L288" s="293"/>
      <c r="M288" s="294"/>
      <c r="N288" s="296"/>
      <c r="O288" s="296"/>
      <c r="P288" s="306"/>
      <c r="Q288" s="296"/>
      <c r="R288" s="296"/>
      <c r="S288" s="296"/>
      <c r="T288" s="296"/>
      <c r="U288" s="296"/>
      <c r="V288" s="296"/>
      <c r="W288" s="296"/>
      <c r="X288" s="295"/>
      <c r="Y288" s="306">
        <f t="shared" si="49"/>
        <v>0</v>
      </c>
      <c r="Z288" s="295"/>
      <c r="AB288" s="393"/>
      <c r="AC288" s="393"/>
      <c r="AD288" s="308"/>
      <c r="AF288" s="393"/>
      <c r="AG288" s="393"/>
      <c r="AH288" s="308"/>
      <c r="AJ288" s="393"/>
      <c r="AK288" s="393"/>
      <c r="AL288" s="300"/>
    </row>
    <row r="289" spans="2:38" x14ac:dyDescent="0.35">
      <c r="B289" s="315"/>
      <c r="C289" s="316"/>
      <c r="D289" s="316"/>
      <c r="E289" s="317"/>
      <c r="F289" s="288" t="s">
        <v>387</v>
      </c>
      <c r="G289" s="289" t="s">
        <v>192</v>
      </c>
      <c r="H289" s="290"/>
      <c r="I289" s="291"/>
      <c r="J289" s="289"/>
      <c r="K289" s="304">
        <v>0.5</v>
      </c>
      <c r="L289" s="293">
        <f>$L$284</f>
        <v>400.8</v>
      </c>
      <c r="M289" s="294">
        <v>0.5</v>
      </c>
      <c r="N289" s="296">
        <v>2</v>
      </c>
      <c r="O289" s="508">
        <f>K289*L289*M289*N289</f>
        <v>200.4</v>
      </c>
      <c r="P289" s="306">
        <f>VLOOKUP($F289,'[1]Master Harga'!$E$6:$L$351,6,FALSE)</f>
        <v>20804.174999999999</v>
      </c>
      <c r="Q289" s="296">
        <f>P289*$O289</f>
        <v>4169156.67</v>
      </c>
      <c r="R289" s="296"/>
      <c r="S289" s="296"/>
      <c r="T289" s="296"/>
      <c r="U289" s="296"/>
      <c r="V289" s="296"/>
      <c r="W289" s="296"/>
      <c r="X289" s="295"/>
      <c r="Y289" s="571">
        <f t="shared" si="49"/>
        <v>10402.0875</v>
      </c>
      <c r="Z289" s="295"/>
      <c r="AB289" s="393"/>
      <c r="AC289" s="393"/>
      <c r="AD289" s="308"/>
      <c r="AF289" s="393"/>
      <c r="AG289" s="393"/>
      <c r="AH289" s="308"/>
      <c r="AJ289" s="393"/>
      <c r="AK289" s="393"/>
      <c r="AL289" s="300"/>
    </row>
    <row r="290" spans="2:38" hidden="1" x14ac:dyDescent="0.35">
      <c r="B290" s="367"/>
      <c r="C290" s="368"/>
      <c r="D290" s="368"/>
      <c r="E290" s="408"/>
      <c r="F290" s="288" t="s">
        <v>388</v>
      </c>
      <c r="G290" s="289" t="s">
        <v>194</v>
      </c>
      <c r="H290" s="290"/>
      <c r="I290" s="291"/>
      <c r="J290" s="289"/>
      <c r="K290" s="304"/>
      <c r="L290" s="293">
        <v>20</v>
      </c>
      <c r="M290" s="294">
        <v>1</v>
      </c>
      <c r="N290" s="296">
        <v>1</v>
      </c>
      <c r="O290" s="508">
        <f>K290*L290*M290*N290</f>
        <v>0</v>
      </c>
      <c r="P290" s="306">
        <f>VLOOKUP($F290,'[1]Master Harga'!$E$6:$L$351,6,FALSE)</f>
        <v>8059.2750000000005</v>
      </c>
      <c r="Q290" s="299">
        <f>P290*$O290</f>
        <v>0</v>
      </c>
      <c r="R290" s="296"/>
      <c r="S290" s="296"/>
      <c r="T290" s="296"/>
      <c r="U290" s="296"/>
      <c r="V290" s="296"/>
      <c r="W290" s="296"/>
      <c r="X290" s="295"/>
      <c r="Y290" s="306">
        <f t="shared" si="49"/>
        <v>0</v>
      </c>
      <c r="Z290" s="295"/>
      <c r="AB290" s="393"/>
      <c r="AC290" s="393"/>
      <c r="AD290" s="308"/>
      <c r="AF290" s="393"/>
      <c r="AG290" s="393"/>
      <c r="AH290" s="308"/>
      <c r="AJ290" s="393"/>
      <c r="AK290" s="393"/>
      <c r="AL290" s="300"/>
    </row>
    <row r="291" spans="2:38" hidden="1" x14ac:dyDescent="0.35">
      <c r="B291" s="312"/>
      <c r="C291" s="313"/>
      <c r="D291" s="313"/>
      <c r="E291" s="314" t="s">
        <v>389</v>
      </c>
      <c r="F291" s="288" t="s">
        <v>189</v>
      </c>
      <c r="G291" s="289" t="s">
        <v>190</v>
      </c>
      <c r="H291" s="290"/>
      <c r="I291" s="291"/>
      <c r="J291" s="289" t="s">
        <v>170</v>
      </c>
      <c r="K291" s="304">
        <v>0</v>
      </c>
      <c r="L291" s="293">
        <f>208/136</f>
        <v>1.5294117647058822</v>
      </c>
      <c r="M291" s="294">
        <v>3</v>
      </c>
      <c r="N291" s="296">
        <v>1</v>
      </c>
      <c r="O291" s="508">
        <f t="shared" ref="O291:O292" si="50">K291*L291*M291*N291</f>
        <v>0</v>
      </c>
      <c r="P291" s="306">
        <v>140008</v>
      </c>
      <c r="Q291" s="299">
        <f>P291*$O291</f>
        <v>0</v>
      </c>
      <c r="R291" s="296"/>
      <c r="S291" s="296"/>
      <c r="T291" s="296"/>
      <c r="U291" s="296"/>
      <c r="V291" s="296"/>
      <c r="W291" s="296"/>
      <c r="X291" s="295"/>
      <c r="Y291" s="571">
        <f t="shared" si="49"/>
        <v>0</v>
      </c>
      <c r="Z291" s="295"/>
      <c r="AB291" s="393"/>
      <c r="AC291" s="393"/>
      <c r="AD291" s="308"/>
      <c r="AF291" s="393"/>
      <c r="AG291" s="393"/>
      <c r="AH291" s="308"/>
      <c r="AJ291" s="393"/>
      <c r="AK291" s="393"/>
      <c r="AL291" s="300"/>
    </row>
    <row r="292" spans="2:38" hidden="1" x14ac:dyDescent="0.35">
      <c r="B292" s="338"/>
      <c r="C292" s="350"/>
      <c r="D292" s="350"/>
      <c r="E292" s="351"/>
      <c r="F292" s="288" t="s">
        <v>365</v>
      </c>
      <c r="G292" s="289" t="s">
        <v>192</v>
      </c>
      <c r="H292" s="290"/>
      <c r="I292" s="291"/>
      <c r="J292" s="289"/>
      <c r="K292" s="304">
        <v>0</v>
      </c>
      <c r="L292" s="293">
        <f>208/136</f>
        <v>1.5294117647058822</v>
      </c>
      <c r="M292" s="294">
        <f>0.5*136</f>
        <v>68</v>
      </c>
      <c r="N292" s="299">
        <v>1</v>
      </c>
      <c r="O292" s="508">
        <f t="shared" si="50"/>
        <v>0</v>
      </c>
      <c r="P292" s="306">
        <f>VLOOKUP($F292,'[1]Master Harga'!$E$5:$L$351,5,FALSE)</f>
        <v>135000</v>
      </c>
      <c r="Q292" s="296">
        <f>P292*$O292</f>
        <v>0</v>
      </c>
      <c r="R292" s="296"/>
      <c r="S292" s="296"/>
      <c r="T292" s="296"/>
      <c r="U292" s="296"/>
      <c r="V292" s="296"/>
      <c r="W292" s="296"/>
      <c r="X292" s="295"/>
      <c r="Y292" s="571">
        <f t="shared" si="49"/>
        <v>0</v>
      </c>
      <c r="Z292" s="295"/>
      <c r="AB292" s="393"/>
      <c r="AC292" s="393"/>
      <c r="AD292" s="308"/>
      <c r="AF292" s="393"/>
      <c r="AG292" s="393"/>
      <c r="AH292" s="308"/>
      <c r="AJ292" s="393"/>
      <c r="AK292" s="393"/>
      <c r="AL292" s="300"/>
    </row>
    <row r="293" spans="2:38" hidden="1" x14ac:dyDescent="0.35">
      <c r="B293" s="320"/>
      <c r="C293" s="321"/>
      <c r="D293" s="321"/>
      <c r="E293" s="322"/>
      <c r="F293" s="288" t="s">
        <v>390</v>
      </c>
      <c r="G293" s="289" t="s">
        <v>192</v>
      </c>
      <c r="H293" s="290"/>
      <c r="I293" s="291"/>
      <c r="J293" s="289"/>
      <c r="K293" s="304">
        <v>0</v>
      </c>
      <c r="L293" s="293">
        <f>208/136</f>
        <v>1.5294117647058822</v>
      </c>
      <c r="M293" s="294">
        <f>0.2*136</f>
        <v>27.200000000000003</v>
      </c>
      <c r="N293" s="299">
        <v>1</v>
      </c>
      <c r="O293" s="508">
        <f>K293*L293*M293*N293</f>
        <v>0</v>
      </c>
      <c r="P293" s="306">
        <f>VLOOKUP($F293,'[1]Master Harga'!$E$5:$L$351,5,FALSE)</f>
        <v>42220</v>
      </c>
      <c r="Q293" s="296">
        <f>P293*$O293</f>
        <v>0</v>
      </c>
      <c r="R293" s="296"/>
      <c r="S293" s="296"/>
      <c r="T293" s="296"/>
      <c r="U293" s="296"/>
      <c r="V293" s="296"/>
      <c r="W293" s="296"/>
      <c r="X293" s="295"/>
      <c r="Y293" s="571">
        <f t="shared" si="49"/>
        <v>0</v>
      </c>
      <c r="Z293" s="295"/>
      <c r="AB293" s="393"/>
      <c r="AC293" s="393"/>
      <c r="AD293" s="308"/>
      <c r="AF293" s="393"/>
      <c r="AG293" s="393"/>
      <c r="AH293" s="308"/>
      <c r="AJ293" s="393"/>
      <c r="AK293" s="393"/>
      <c r="AL293" s="300"/>
    </row>
    <row r="294" spans="2:38" hidden="1" x14ac:dyDescent="0.35">
      <c r="B294" s="312"/>
      <c r="C294" s="313"/>
      <c r="D294" s="313"/>
      <c r="E294" s="314" t="s">
        <v>391</v>
      </c>
      <c r="F294" s="288" t="s">
        <v>189</v>
      </c>
      <c r="G294" s="289" t="s">
        <v>190</v>
      </c>
      <c r="H294" s="290"/>
      <c r="I294" s="291"/>
      <c r="J294" s="289"/>
      <c r="K294" s="292"/>
      <c r="L294" s="293"/>
      <c r="M294" s="294">
        <v>22.5</v>
      </c>
      <c r="N294" s="584">
        <v>1</v>
      </c>
      <c r="O294" s="296"/>
      <c r="P294" s="306"/>
      <c r="Q294" s="296"/>
      <c r="R294" s="296"/>
      <c r="S294" s="296"/>
      <c r="T294" s="296"/>
      <c r="U294" s="296"/>
      <c r="V294" s="296"/>
      <c r="W294" s="296"/>
      <c r="X294" s="295"/>
      <c r="Y294" s="306">
        <f t="shared" si="49"/>
        <v>0</v>
      </c>
      <c r="Z294" s="295"/>
      <c r="AB294" s="393"/>
      <c r="AC294" s="393"/>
      <c r="AD294" s="308"/>
      <c r="AF294" s="393"/>
      <c r="AG294" s="393"/>
      <c r="AH294" s="308"/>
      <c r="AJ294" s="393"/>
      <c r="AK294" s="393"/>
      <c r="AL294" s="300"/>
    </row>
    <row r="295" spans="2:38" hidden="1" x14ac:dyDescent="0.35">
      <c r="B295" s="338"/>
      <c r="C295" s="350"/>
      <c r="D295" s="350"/>
      <c r="E295" s="351"/>
      <c r="F295" s="288" t="s">
        <v>392</v>
      </c>
      <c r="G295" s="289" t="s">
        <v>393</v>
      </c>
      <c r="H295" s="290"/>
      <c r="I295" s="291"/>
      <c r="J295" s="289"/>
      <c r="K295" s="292"/>
      <c r="L295" s="293"/>
      <c r="M295" s="294">
        <v>0.27200000000000002</v>
      </c>
      <c r="N295" s="584">
        <v>1</v>
      </c>
      <c r="O295" s="296"/>
      <c r="P295" s="306"/>
      <c r="Q295" s="296"/>
      <c r="R295" s="296"/>
      <c r="S295" s="296"/>
      <c r="T295" s="296"/>
      <c r="U295" s="296"/>
      <c r="V295" s="296"/>
      <c r="W295" s="506"/>
      <c r="X295" s="365"/>
      <c r="Y295" s="306">
        <f t="shared" si="49"/>
        <v>0</v>
      </c>
      <c r="Z295" s="295"/>
      <c r="AB295" s="393"/>
      <c r="AC295" s="393"/>
      <c r="AD295" s="308"/>
      <c r="AF295" s="393"/>
      <c r="AG295" s="393"/>
      <c r="AH295" s="308"/>
      <c r="AJ295" s="393"/>
      <c r="AK295" s="393"/>
      <c r="AL295" s="300"/>
    </row>
    <row r="296" spans="2:38" hidden="1" x14ac:dyDescent="0.35">
      <c r="B296" s="338"/>
      <c r="C296" s="350"/>
      <c r="D296" s="350"/>
      <c r="E296" s="351"/>
      <c r="F296" s="288" t="s">
        <v>394</v>
      </c>
      <c r="G296" s="289" t="s">
        <v>192</v>
      </c>
      <c r="H296" s="290"/>
      <c r="I296" s="291"/>
      <c r="J296" s="289"/>
      <c r="K296" s="292"/>
      <c r="L296" s="293"/>
      <c r="M296" s="294">
        <v>0.13600000000000001</v>
      </c>
      <c r="N296" s="584">
        <v>1</v>
      </c>
      <c r="O296" s="296"/>
      <c r="P296" s="306"/>
      <c r="Q296" s="296"/>
      <c r="R296" s="296"/>
      <c r="S296" s="296"/>
      <c r="T296" s="296"/>
      <c r="U296" s="296"/>
      <c r="V296" s="296"/>
      <c r="W296" s="506"/>
      <c r="X296" s="365"/>
      <c r="Y296" s="306">
        <f t="shared" si="49"/>
        <v>0</v>
      </c>
      <c r="Z296" s="295"/>
      <c r="AB296" s="393"/>
      <c r="AC296" s="393"/>
      <c r="AD296" s="308"/>
      <c r="AF296" s="393"/>
      <c r="AG296" s="393"/>
      <c r="AH296" s="308"/>
      <c r="AJ296" s="393"/>
      <c r="AK296" s="393"/>
      <c r="AL296" s="300"/>
    </row>
    <row r="297" spans="2:38" x14ac:dyDescent="0.35">
      <c r="B297" s="301"/>
      <c r="C297" s="302"/>
      <c r="D297" s="302" t="s">
        <v>153</v>
      </c>
      <c r="E297" s="303"/>
      <c r="F297" s="288" t="s">
        <v>189</v>
      </c>
      <c r="G297" s="289" t="s">
        <v>190</v>
      </c>
      <c r="H297" s="290"/>
      <c r="I297" s="291"/>
      <c r="J297" s="289"/>
      <c r="K297" s="304">
        <v>0.05</v>
      </c>
      <c r="L297" s="293">
        <f>AB1</f>
        <v>400.8</v>
      </c>
      <c r="M297" s="294">
        <v>9</v>
      </c>
      <c r="N297" s="299">
        <v>1</v>
      </c>
      <c r="O297" s="299">
        <f>K297*L297*M297*N297</f>
        <v>180.36</v>
      </c>
      <c r="P297" s="306">
        <f>VLOOKUP($F297,'[1]Master Harga'!$E$6:$L$351,6,FALSE)</f>
        <v>149108.51999999999</v>
      </c>
      <c r="Q297" s="296">
        <f>P297*$O297</f>
        <v>26893212.667199999</v>
      </c>
      <c r="R297" s="296">
        <f>VLOOKUP($F297,'[1]Master Harga'!$E$5:$L$351,6,FALSE)</f>
        <v>149108.51999999999</v>
      </c>
      <c r="S297" s="296">
        <f>R297*$O297</f>
        <v>26893212.667199999</v>
      </c>
      <c r="T297" s="296">
        <f>VLOOKUP($F297,'[1]Master Harga'!$E$5:$L$351,7,FALSE)</f>
        <v>158800.57379999998</v>
      </c>
      <c r="U297" s="296">
        <f>T297*$O297</f>
        <v>28641271.490568001</v>
      </c>
      <c r="V297" s="296">
        <f>W297/O297</f>
        <v>152339.20459999997</v>
      </c>
      <c r="W297" s="307">
        <f>AVERAGEIF($P$3:$U$3,W$3,$P297:$U297)</f>
        <v>27475898.941655997</v>
      </c>
      <c r="X297" s="295"/>
      <c r="Y297" s="585">
        <f t="shared" si="49"/>
        <v>67098.834000000003</v>
      </c>
      <c r="Z297" s="295"/>
      <c r="AA297" s="586"/>
      <c r="AB297" s="393"/>
      <c r="AC297" s="393"/>
      <c r="AD297" s="308"/>
      <c r="AF297" s="393"/>
      <c r="AG297" s="393"/>
      <c r="AH297" s="308"/>
      <c r="AJ297" s="393"/>
      <c r="AK297" s="393"/>
      <c r="AL297" s="300"/>
    </row>
    <row r="298" spans="2:38" hidden="1" x14ac:dyDescent="0.35">
      <c r="B298" s="367"/>
      <c r="C298" s="368"/>
      <c r="D298" s="368"/>
      <c r="E298" s="408"/>
      <c r="F298" s="288" t="s">
        <v>293</v>
      </c>
      <c r="G298" s="289" t="s">
        <v>194</v>
      </c>
      <c r="H298" s="290"/>
      <c r="I298" s="291"/>
      <c r="J298" s="289"/>
      <c r="K298" s="304"/>
      <c r="L298" s="293">
        <v>15</v>
      </c>
      <c r="M298" s="294">
        <v>1</v>
      </c>
      <c r="N298" s="299">
        <v>1</v>
      </c>
      <c r="O298" s="299">
        <f>K298*L298*M298*N298</f>
        <v>0</v>
      </c>
      <c r="P298" s="306">
        <f>VLOOKUP($F298,'[1]Master Harga'!$E$6:$L$351,6,FALSE)</f>
        <v>79588.6875</v>
      </c>
      <c r="Q298" s="299">
        <f>P298*$O298</f>
        <v>0</v>
      </c>
      <c r="R298" s="543"/>
      <c r="S298" s="543"/>
      <c r="T298" s="543"/>
      <c r="U298" s="543"/>
      <c r="V298" s="543"/>
      <c r="W298" s="543"/>
      <c r="X298" s="295"/>
      <c r="Y298" s="585">
        <f t="shared" si="49"/>
        <v>0</v>
      </c>
      <c r="Z298" s="295"/>
      <c r="AB298" s="393"/>
      <c r="AC298" s="393"/>
      <c r="AD298" s="308"/>
      <c r="AF298" s="393"/>
      <c r="AG298" s="393"/>
      <c r="AH298" s="308"/>
      <c r="AJ298" s="393"/>
      <c r="AK298" s="393"/>
      <c r="AL298" s="300"/>
    </row>
    <row r="299" spans="2:38" hidden="1" x14ac:dyDescent="0.35">
      <c r="B299" s="301"/>
      <c r="C299" s="302"/>
      <c r="D299" s="302" t="s">
        <v>395</v>
      </c>
      <c r="E299" s="303"/>
      <c r="F299" s="288" t="s">
        <v>189</v>
      </c>
      <c r="G299" s="289" t="s">
        <v>190</v>
      </c>
      <c r="H299" s="290"/>
      <c r="I299" s="291"/>
      <c r="J299" s="289"/>
      <c r="K299" s="304">
        <v>0</v>
      </c>
      <c r="L299" s="293">
        <f>AB1</f>
        <v>400.8</v>
      </c>
      <c r="M299" s="294">
        <v>2</v>
      </c>
      <c r="N299" s="299">
        <v>1</v>
      </c>
      <c r="O299" s="299">
        <f>K299*L299*M299*N299</f>
        <v>0</v>
      </c>
      <c r="P299" s="306">
        <f>VLOOKUP($F299,'[1]Master Harga'!$E$6:$L$351,6,FALSE)</f>
        <v>149108.51999999999</v>
      </c>
      <c r="Q299" s="296">
        <f>P299*$O299</f>
        <v>0</v>
      </c>
      <c r="R299" s="296"/>
      <c r="S299" s="296"/>
      <c r="T299" s="296"/>
      <c r="U299" s="296"/>
      <c r="V299" s="296"/>
      <c r="W299" s="296"/>
      <c r="X299" s="295"/>
      <c r="Y299" s="306">
        <f t="shared" si="49"/>
        <v>0</v>
      </c>
      <c r="Z299" s="295"/>
      <c r="AB299" s="393"/>
      <c r="AC299" s="393"/>
      <c r="AD299" s="308"/>
      <c r="AF299" s="393"/>
      <c r="AG299" s="393"/>
      <c r="AH299" s="308"/>
      <c r="AJ299" s="393"/>
      <c r="AK299" s="393"/>
      <c r="AL299" s="300"/>
    </row>
    <row r="300" spans="2:38" hidden="1" x14ac:dyDescent="0.35">
      <c r="B300" s="367"/>
      <c r="C300" s="368"/>
      <c r="D300" s="368"/>
      <c r="E300" s="408"/>
      <c r="F300" s="288" t="s">
        <v>293</v>
      </c>
      <c r="G300" s="289" t="s">
        <v>194</v>
      </c>
      <c r="H300" s="290"/>
      <c r="I300" s="291"/>
      <c r="J300" s="289"/>
      <c r="K300" s="304">
        <v>0</v>
      </c>
      <c r="L300" s="293">
        <f>L299</f>
        <v>400.8</v>
      </c>
      <c r="M300" s="294">
        <v>0.05</v>
      </c>
      <c r="N300" s="299">
        <v>1</v>
      </c>
      <c r="O300" s="299">
        <f>K300*L300*M300*N300</f>
        <v>0</v>
      </c>
      <c r="P300" s="306">
        <f>VLOOKUP($F300,'[1]Master Harga'!$E$6:$L$351,6,FALSE)</f>
        <v>79588.6875</v>
      </c>
      <c r="Q300" s="296">
        <f>P300*$O300</f>
        <v>0</v>
      </c>
      <c r="R300" s="296"/>
      <c r="S300" s="296"/>
      <c r="T300" s="296"/>
      <c r="U300" s="296"/>
      <c r="V300" s="296"/>
      <c r="W300" s="296"/>
      <c r="X300" s="295"/>
      <c r="Y300" s="306">
        <f t="shared" si="49"/>
        <v>0</v>
      </c>
      <c r="Z300" s="295"/>
      <c r="AB300" s="393"/>
      <c r="AC300" s="393"/>
      <c r="AD300" s="308"/>
      <c r="AF300" s="393"/>
      <c r="AG300" s="393"/>
      <c r="AH300" s="308"/>
      <c r="AJ300" s="393"/>
      <c r="AK300" s="393"/>
      <c r="AL300" s="300"/>
    </row>
    <row r="301" spans="2:38" s="490" customFormat="1" x14ac:dyDescent="0.35">
      <c r="B301" s="412" t="s">
        <v>396</v>
      </c>
      <c r="C301" s="413"/>
      <c r="D301" s="413"/>
      <c r="E301" s="414"/>
      <c r="F301" s="458"/>
      <c r="G301" s="459"/>
      <c r="H301" s="460"/>
      <c r="I301" s="461"/>
      <c r="J301" s="459"/>
      <c r="K301" s="462"/>
      <c r="L301" s="463"/>
      <c r="M301" s="464"/>
      <c r="N301" s="390"/>
      <c r="O301" s="390"/>
      <c r="P301" s="392"/>
      <c r="Q301" s="390">
        <f>SUM(Q281:Q300)</f>
        <v>120710742.60600001</v>
      </c>
      <c r="R301" s="390"/>
      <c r="S301" s="390" t="e">
        <f>SUM(S218:S300)</f>
        <v>#N/A</v>
      </c>
      <c r="T301" s="390"/>
      <c r="U301" s="390" t="e">
        <f>SUM(U218:U300)</f>
        <v>#N/A</v>
      </c>
      <c r="V301" s="390"/>
      <c r="W301" s="390" t="e">
        <f>SUM(W218:W300)</f>
        <v>#N/A</v>
      </c>
      <c r="X301" s="558"/>
      <c r="Y301" s="569">
        <f t="shared" si="49"/>
        <v>301174.50750000001</v>
      </c>
      <c r="Z301" s="560">
        <f>Q301/$Q$359*100</f>
        <v>0.60730658060212472</v>
      </c>
      <c r="AB301" s="393"/>
      <c r="AC301" s="393"/>
      <c r="AD301" s="300"/>
      <c r="AF301" s="393"/>
      <c r="AG301" s="393"/>
      <c r="AH301" s="300"/>
      <c r="AJ301" s="393"/>
      <c r="AK301" s="393"/>
      <c r="AL301" s="300"/>
    </row>
    <row r="302" spans="2:38" x14ac:dyDescent="0.35">
      <c r="B302" s="290"/>
      <c r="C302" s="286" t="s">
        <v>397</v>
      </c>
      <c r="D302" s="291"/>
      <c r="E302" s="396"/>
      <c r="F302" s="288"/>
      <c r="G302" s="289"/>
      <c r="H302" s="290"/>
      <c r="I302" s="291"/>
      <c r="J302" s="289"/>
      <c r="K302" s="292"/>
      <c r="L302" s="372"/>
      <c r="M302" s="363"/>
      <c r="N302" s="437"/>
      <c r="O302" s="437"/>
      <c r="P302" s="306"/>
      <c r="Q302" s="296"/>
      <c r="R302" s="296"/>
      <c r="S302" s="296"/>
      <c r="T302" s="296"/>
      <c r="U302" s="296"/>
      <c r="V302" s="296"/>
      <c r="W302" s="296"/>
      <c r="X302" s="295"/>
      <c r="Y302" s="306">
        <f t="shared" si="49"/>
        <v>0</v>
      </c>
      <c r="Z302" s="295"/>
      <c r="AB302" s="393"/>
      <c r="AC302" s="393"/>
      <c r="AD302" s="308"/>
      <c r="AF302" s="393"/>
      <c r="AG302" s="393"/>
      <c r="AH302" s="308"/>
      <c r="AJ302" s="393"/>
      <c r="AK302" s="393"/>
      <c r="AL302" s="300"/>
    </row>
    <row r="303" spans="2:38" x14ac:dyDescent="0.35">
      <c r="B303" s="301"/>
      <c r="C303" s="587"/>
      <c r="D303" s="302" t="s">
        <v>347</v>
      </c>
      <c r="E303" s="303"/>
      <c r="F303" s="288"/>
      <c r="G303" s="289"/>
      <c r="H303" s="290"/>
      <c r="I303" s="291"/>
      <c r="J303" s="289"/>
      <c r="K303" s="292"/>
      <c r="L303" s="372"/>
      <c r="M303" s="363"/>
      <c r="N303" s="437"/>
      <c r="O303" s="437"/>
      <c r="P303" s="306"/>
      <c r="Q303" s="296"/>
      <c r="R303" s="296"/>
      <c r="S303" s="296"/>
      <c r="T303" s="296"/>
      <c r="U303" s="296"/>
      <c r="V303" s="296"/>
      <c r="W303" s="296"/>
      <c r="X303" s="295"/>
      <c r="Y303" s="306">
        <f t="shared" si="49"/>
        <v>0</v>
      </c>
      <c r="Z303" s="295"/>
      <c r="AB303" s="393"/>
      <c r="AC303" s="393"/>
      <c r="AD303" s="308"/>
      <c r="AF303" s="393"/>
      <c r="AG303" s="393"/>
      <c r="AH303" s="308"/>
      <c r="AJ303" s="393"/>
      <c r="AK303" s="393"/>
      <c r="AL303" s="300"/>
    </row>
    <row r="304" spans="2:38" x14ac:dyDescent="0.35">
      <c r="B304" s="315"/>
      <c r="C304" s="588"/>
      <c r="D304" s="316"/>
      <c r="E304" s="562" t="s">
        <v>158</v>
      </c>
      <c r="F304" s="295" t="s">
        <v>189</v>
      </c>
      <c r="G304" s="364" t="s">
        <v>190</v>
      </c>
      <c r="H304" s="365"/>
      <c r="I304" s="366"/>
      <c r="J304" s="364" t="s">
        <v>170</v>
      </c>
      <c r="K304" s="548">
        <v>1</v>
      </c>
      <c r="L304" s="293">
        <f>AB1</f>
        <v>400.8</v>
      </c>
      <c r="M304" s="507">
        <v>0.4</v>
      </c>
      <c r="N304" s="589">
        <v>1</v>
      </c>
      <c r="O304" s="590">
        <f t="shared" ref="O304:O312" si="51">K304*L304*M304*N304</f>
        <v>160.32000000000002</v>
      </c>
      <c r="P304" s="306">
        <f>VLOOKUP($F304,'[1]Master Harga'!$E$6:$L$351,6,FALSE)</f>
        <v>149108.51999999999</v>
      </c>
      <c r="Q304" s="296">
        <f t="shared" ref="Q304:Q312" si="52">P304*$O304</f>
        <v>23905077.926400002</v>
      </c>
      <c r="R304" s="296">
        <f>VLOOKUP($F304,'[1]Master Harga'!$E$5:$L$351,6,FALSE)</f>
        <v>149108.51999999999</v>
      </c>
      <c r="S304" s="296">
        <f t="shared" ref="S304:S312" si="53">R304*$O304</f>
        <v>23905077.926400002</v>
      </c>
      <c r="T304" s="296">
        <f>VLOOKUP($F304,'[1]Master Harga'!$E$5:$L$351,7,FALSE)</f>
        <v>158800.57379999998</v>
      </c>
      <c r="U304" s="296">
        <f t="shared" ref="U304:U312" si="54">T304*$O304</f>
        <v>25458907.991615999</v>
      </c>
      <c r="V304" s="296">
        <f t="shared" ref="V304:V312" si="55">W304/O304</f>
        <v>152339.2046</v>
      </c>
      <c r="W304" s="307">
        <f t="shared" ref="W304:W312" si="56">AVERAGEIF($P$3:$U$3,W$3,$P304:$U304)</f>
        <v>24423021.281472001</v>
      </c>
      <c r="X304" s="295"/>
      <c r="Y304" s="571">
        <f t="shared" si="49"/>
        <v>59643.408000000003</v>
      </c>
      <c r="Z304" s="295"/>
      <c r="AB304" s="393"/>
      <c r="AC304" s="393"/>
      <c r="AD304" s="308"/>
      <c r="AF304" s="393"/>
      <c r="AG304" s="393"/>
      <c r="AH304" s="308"/>
      <c r="AJ304" s="393"/>
      <c r="AK304" s="393"/>
      <c r="AL304" s="300"/>
    </row>
    <row r="305" spans="2:38" x14ac:dyDescent="0.35">
      <c r="B305" s="315"/>
      <c r="C305" s="588"/>
      <c r="D305" s="316"/>
      <c r="E305"/>
      <c r="F305" s="295" t="s">
        <v>349</v>
      </c>
      <c r="G305" s="364" t="s">
        <v>190</v>
      </c>
      <c r="H305" s="365"/>
      <c r="I305" s="366"/>
      <c r="J305" s="364" t="s">
        <v>170</v>
      </c>
      <c r="K305" s="548">
        <v>1</v>
      </c>
      <c r="L305" s="293">
        <f>$L$304</f>
        <v>400.8</v>
      </c>
      <c r="M305" s="507">
        <v>0.18</v>
      </c>
      <c r="N305" s="589">
        <f>N304</f>
        <v>1</v>
      </c>
      <c r="O305" s="590">
        <f t="shared" si="51"/>
        <v>72.144000000000005</v>
      </c>
      <c r="P305" s="306">
        <f>VLOOKUP($F305,'[1]Master Harga'!$E$6:$L$351,6,FALSE)</f>
        <v>149108.51999999999</v>
      </c>
      <c r="Q305" s="296">
        <f t="shared" si="52"/>
        <v>10757285.066880001</v>
      </c>
      <c r="R305" s="296">
        <f>VLOOKUP($F305,'[1]Master Harga'!$E$5:$L$351,6,FALSE)</f>
        <v>149108.51999999999</v>
      </c>
      <c r="S305" s="296">
        <f t="shared" si="53"/>
        <v>10757285.066880001</v>
      </c>
      <c r="T305" s="296">
        <f>VLOOKUP($F305,'[1]Master Harga'!$E$5:$L$351,7,FALSE)</f>
        <v>158800.57379999998</v>
      </c>
      <c r="U305" s="296">
        <f t="shared" si="54"/>
        <v>11456508.596227199</v>
      </c>
      <c r="V305" s="296">
        <f t="shared" si="55"/>
        <v>152339.2046</v>
      </c>
      <c r="W305" s="307">
        <f t="shared" si="56"/>
        <v>10990359.576662401</v>
      </c>
      <c r="X305" s="295"/>
      <c r="Y305" s="571">
        <f t="shared" si="49"/>
        <v>26839.533600000002</v>
      </c>
      <c r="Z305" s="295"/>
      <c r="AB305" s="393"/>
      <c r="AC305" s="393"/>
      <c r="AD305" s="308"/>
      <c r="AF305" s="393"/>
      <c r="AG305" s="393"/>
      <c r="AH305" s="308"/>
      <c r="AJ305" s="393"/>
      <c r="AK305" s="393"/>
      <c r="AL305" s="300"/>
    </row>
    <row r="306" spans="2:38" x14ac:dyDescent="0.35">
      <c r="B306" s="315"/>
      <c r="C306" s="588"/>
      <c r="D306" s="316"/>
      <c r="E306"/>
      <c r="F306" s="295" t="s">
        <v>231</v>
      </c>
      <c r="G306" s="364" t="s">
        <v>190</v>
      </c>
      <c r="H306" s="365"/>
      <c r="I306" s="366"/>
      <c r="J306" s="364" t="s">
        <v>170</v>
      </c>
      <c r="K306" s="548">
        <v>1</v>
      </c>
      <c r="L306" s="293">
        <f>$L$304</f>
        <v>400.8</v>
      </c>
      <c r="M306" s="507">
        <f>M304</f>
        <v>0.4</v>
      </c>
      <c r="N306" s="589">
        <f t="shared" ref="N306:N312" si="57">N305</f>
        <v>1</v>
      </c>
      <c r="O306" s="590">
        <f t="shared" si="51"/>
        <v>160.32000000000002</v>
      </c>
      <c r="P306" s="306">
        <f>VLOOKUP($F306,'[1]Master Harga'!$E$6:$L$351,6,FALSE)</f>
        <v>4042.5</v>
      </c>
      <c r="Q306" s="296">
        <f t="shared" si="52"/>
        <v>648093.60000000009</v>
      </c>
      <c r="R306" s="296">
        <f>VLOOKUP($F306,'[1]Master Harga'!$E$5:$L$351,6,FALSE)</f>
        <v>4042.5</v>
      </c>
      <c r="S306" s="296">
        <f t="shared" si="53"/>
        <v>648093.60000000009</v>
      </c>
      <c r="T306" s="296">
        <f>VLOOKUP($F306,'[1]Master Harga'!$E$5:$L$351,7,FALSE)</f>
        <v>4244.625</v>
      </c>
      <c r="U306" s="296">
        <f t="shared" si="54"/>
        <v>680498.28000000014</v>
      </c>
      <c r="V306" s="296">
        <f t="shared" si="55"/>
        <v>4109.875</v>
      </c>
      <c r="W306" s="307">
        <f t="shared" si="56"/>
        <v>658895.16000000015</v>
      </c>
      <c r="X306" s="295"/>
      <c r="Y306" s="571">
        <f t="shared" si="49"/>
        <v>1617.0000000000002</v>
      </c>
      <c r="Z306" s="295"/>
      <c r="AB306" s="393"/>
      <c r="AC306" s="393"/>
      <c r="AD306" s="308"/>
      <c r="AF306" s="393"/>
      <c r="AG306" s="393"/>
      <c r="AH306" s="308"/>
      <c r="AJ306" s="393"/>
      <c r="AK306" s="393"/>
      <c r="AL306" s="300"/>
    </row>
    <row r="307" spans="2:38" x14ac:dyDescent="0.35">
      <c r="B307" s="315"/>
      <c r="C307" s="588"/>
      <c r="D307" s="316"/>
      <c r="E307"/>
      <c r="F307" s="295" t="s">
        <v>350</v>
      </c>
      <c r="G307" s="364" t="s">
        <v>194</v>
      </c>
      <c r="H307" s="365">
        <v>1</v>
      </c>
      <c r="I307" s="366" t="s">
        <v>233</v>
      </c>
      <c r="J307" s="364" t="s">
        <v>170</v>
      </c>
      <c r="K307" s="548">
        <v>1</v>
      </c>
      <c r="L307" s="293">
        <f t="shared" ref="L307:L312" si="58">$L$304</f>
        <v>400.8</v>
      </c>
      <c r="M307" s="507">
        <f>((M$304*N$304)/240)*($H307/N307)</f>
        <v>1.6666666666666668E-3</v>
      </c>
      <c r="N307" s="589">
        <f t="shared" si="57"/>
        <v>1</v>
      </c>
      <c r="O307" s="590">
        <f t="shared" si="51"/>
        <v>0.66800000000000004</v>
      </c>
      <c r="P307" s="306">
        <f>VLOOKUP($F307,'[1]Master Harga'!$E$6:$L$351,6,FALSE)</f>
        <v>5250</v>
      </c>
      <c r="Q307" s="296">
        <f t="shared" si="52"/>
        <v>3507</v>
      </c>
      <c r="R307" s="296">
        <f>VLOOKUP($F307,'[1]Master Harga'!$E$5:$L$351,6,FALSE)</f>
        <v>5250</v>
      </c>
      <c r="S307" s="296">
        <f t="shared" si="53"/>
        <v>3507</v>
      </c>
      <c r="T307" s="296">
        <f>VLOOKUP($F307,'[1]Master Harga'!$E$5:$L$351,7,FALSE)</f>
        <v>5512.5</v>
      </c>
      <c r="U307" s="296">
        <f t="shared" si="54"/>
        <v>3682.3500000000004</v>
      </c>
      <c r="V307" s="296">
        <f t="shared" si="55"/>
        <v>5337.5</v>
      </c>
      <c r="W307" s="307">
        <f t="shared" si="56"/>
        <v>3565.4500000000003</v>
      </c>
      <c r="X307" s="295"/>
      <c r="Y307" s="571">
        <f t="shared" si="49"/>
        <v>8.75</v>
      </c>
      <c r="Z307" s="295"/>
      <c r="AB307" s="393"/>
      <c r="AC307" s="393"/>
      <c r="AD307" s="308"/>
      <c r="AF307" s="393"/>
      <c r="AG307" s="393"/>
      <c r="AH307" s="308"/>
      <c r="AJ307" s="393"/>
      <c r="AK307" s="393"/>
      <c r="AL307" s="300"/>
    </row>
    <row r="308" spans="2:38" x14ac:dyDescent="0.35">
      <c r="B308" s="315"/>
      <c r="C308" s="588"/>
      <c r="D308" s="316"/>
      <c r="E308"/>
      <c r="F308" s="295" t="s">
        <v>232</v>
      </c>
      <c r="G308" s="364" t="s">
        <v>194</v>
      </c>
      <c r="H308" s="365">
        <v>4</v>
      </c>
      <c r="I308" s="366" t="s">
        <v>233</v>
      </c>
      <c r="J308" s="364" t="s">
        <v>170</v>
      </c>
      <c r="K308" s="548">
        <v>1</v>
      </c>
      <c r="L308" s="293">
        <f t="shared" si="58"/>
        <v>400.8</v>
      </c>
      <c r="M308" s="507">
        <f>((M$304*N$304)/240)*($H308/N308)</f>
        <v>6.6666666666666671E-3</v>
      </c>
      <c r="N308" s="589">
        <f t="shared" si="57"/>
        <v>1</v>
      </c>
      <c r="O308" s="590">
        <f t="shared" si="51"/>
        <v>2.6720000000000002</v>
      </c>
      <c r="P308" s="306">
        <f>VLOOKUP($F308,'[1]Master Harga'!$E$6:$L$351,6,FALSE)</f>
        <v>44982</v>
      </c>
      <c r="Q308" s="296">
        <f t="shared" si="52"/>
        <v>120191.90400000001</v>
      </c>
      <c r="R308" s="296">
        <f>VLOOKUP($F308,'[1]Master Harga'!$E$5:$L$351,6,FALSE)</f>
        <v>44982</v>
      </c>
      <c r="S308" s="296">
        <f t="shared" si="53"/>
        <v>120191.90400000001</v>
      </c>
      <c r="T308" s="296">
        <f>VLOOKUP($F308,'[1]Master Harga'!$E$5:$L$351,7,FALSE)</f>
        <v>47231.1</v>
      </c>
      <c r="U308" s="296">
        <f t="shared" si="54"/>
        <v>126201.49920000001</v>
      </c>
      <c r="V308" s="296">
        <f t="shared" si="55"/>
        <v>45731.700000000004</v>
      </c>
      <c r="W308" s="307">
        <f t="shared" si="56"/>
        <v>122195.10240000002</v>
      </c>
      <c r="X308" s="295"/>
      <c r="Y308" s="571">
        <f t="shared" si="49"/>
        <v>299.88</v>
      </c>
      <c r="Z308" s="295"/>
      <c r="AB308" s="393"/>
      <c r="AC308" s="393"/>
      <c r="AD308" s="308"/>
      <c r="AF308" s="393"/>
      <c r="AG308" s="393"/>
      <c r="AH308" s="308"/>
      <c r="AJ308" s="393"/>
      <c r="AK308" s="393"/>
      <c r="AL308" s="300"/>
    </row>
    <row r="309" spans="2:38" x14ac:dyDescent="0.35">
      <c r="B309" s="315"/>
      <c r="C309" s="588"/>
      <c r="D309" s="316"/>
      <c r="E309"/>
      <c r="F309" s="295" t="s">
        <v>234</v>
      </c>
      <c r="G309" s="364" t="s">
        <v>194</v>
      </c>
      <c r="H309" s="365">
        <v>12</v>
      </c>
      <c r="I309" s="366" t="s">
        <v>233</v>
      </c>
      <c r="J309" s="364" t="s">
        <v>170</v>
      </c>
      <c r="K309" s="548">
        <v>1</v>
      </c>
      <c r="L309" s="293">
        <f t="shared" si="58"/>
        <v>400.8</v>
      </c>
      <c r="M309" s="507">
        <f>((M$304*N$304)/240)*($H309/N309)</f>
        <v>0.02</v>
      </c>
      <c r="N309" s="589">
        <f t="shared" si="57"/>
        <v>1</v>
      </c>
      <c r="O309" s="590">
        <f t="shared" si="51"/>
        <v>8.016</v>
      </c>
      <c r="P309" s="306">
        <f>VLOOKUP($F309,'[1]Master Harga'!$E$6:$L$351,6,FALSE)</f>
        <v>14700</v>
      </c>
      <c r="Q309" s="296">
        <f t="shared" si="52"/>
        <v>117835.2</v>
      </c>
      <c r="R309" s="296">
        <f>VLOOKUP($F309,'[1]Master Harga'!$E$5:$L$351,6,FALSE)</f>
        <v>14700</v>
      </c>
      <c r="S309" s="296">
        <f t="shared" si="53"/>
        <v>117835.2</v>
      </c>
      <c r="T309" s="296">
        <f>VLOOKUP($F309,'[1]Master Harga'!$E$5:$L$351,7,FALSE)</f>
        <v>15435</v>
      </c>
      <c r="U309" s="296">
        <f t="shared" si="54"/>
        <v>123726.96</v>
      </c>
      <c r="V309" s="296">
        <f t="shared" si="55"/>
        <v>14945</v>
      </c>
      <c r="W309" s="307">
        <f t="shared" si="56"/>
        <v>119799.12</v>
      </c>
      <c r="X309" s="295"/>
      <c r="Y309" s="571">
        <f t="shared" si="49"/>
        <v>294</v>
      </c>
      <c r="Z309" s="295"/>
      <c r="AB309" s="393"/>
      <c r="AC309" s="393"/>
      <c r="AD309" s="308"/>
      <c r="AF309" s="393"/>
      <c r="AG309" s="393"/>
      <c r="AH309" s="308"/>
      <c r="AJ309" s="393"/>
      <c r="AK309" s="393"/>
      <c r="AL309" s="300"/>
    </row>
    <row r="310" spans="2:38" x14ac:dyDescent="0.35">
      <c r="B310" s="315"/>
      <c r="C310" s="588"/>
      <c r="D310" s="316"/>
      <c r="E310"/>
      <c r="F310" s="295" t="s">
        <v>236</v>
      </c>
      <c r="G310" s="364" t="s">
        <v>194</v>
      </c>
      <c r="H310" s="365">
        <v>2</v>
      </c>
      <c r="I310" s="366" t="s">
        <v>233</v>
      </c>
      <c r="J310" s="364" t="s">
        <v>170</v>
      </c>
      <c r="K310" s="548">
        <v>1</v>
      </c>
      <c r="L310" s="293">
        <f t="shared" si="58"/>
        <v>400.8</v>
      </c>
      <c r="M310" s="507">
        <f>((M$304*N$304)/240)*($H310/N310)</f>
        <v>3.3333333333333335E-3</v>
      </c>
      <c r="N310" s="589">
        <f t="shared" si="57"/>
        <v>1</v>
      </c>
      <c r="O310" s="590">
        <f t="shared" si="51"/>
        <v>1.3360000000000001</v>
      </c>
      <c r="P310" s="306">
        <f>VLOOKUP($F310,'[1]Master Harga'!$E$6:$L$351,6,FALSE)</f>
        <v>33736.5</v>
      </c>
      <c r="Q310" s="296">
        <f t="shared" si="52"/>
        <v>45071.964</v>
      </c>
      <c r="R310" s="296">
        <f>VLOOKUP($F310,'[1]Master Harga'!$E$5:$L$351,6,FALSE)</f>
        <v>33736.5</v>
      </c>
      <c r="S310" s="296">
        <f t="shared" si="53"/>
        <v>45071.964</v>
      </c>
      <c r="T310" s="296">
        <f>VLOOKUP($F310,'[1]Master Harga'!$E$5:$L$351,7,FALSE)</f>
        <v>35423.325000000004</v>
      </c>
      <c r="U310" s="296">
        <f t="shared" si="54"/>
        <v>47325.562200000008</v>
      </c>
      <c r="V310" s="296">
        <f t="shared" si="55"/>
        <v>34298.774999999994</v>
      </c>
      <c r="W310" s="307">
        <f t="shared" si="56"/>
        <v>45823.163399999998</v>
      </c>
      <c r="X310" s="295"/>
      <c r="Y310" s="571">
        <f t="shared" si="49"/>
        <v>112.455</v>
      </c>
      <c r="Z310" s="295"/>
      <c r="AB310" s="393"/>
      <c r="AC310" s="393"/>
      <c r="AD310" s="308"/>
      <c r="AF310" s="393"/>
      <c r="AG310" s="393"/>
      <c r="AH310" s="308"/>
      <c r="AJ310" s="393"/>
      <c r="AK310" s="393"/>
      <c r="AL310" s="300"/>
    </row>
    <row r="311" spans="2:38" x14ac:dyDescent="0.35">
      <c r="B311" s="315"/>
      <c r="C311" s="588"/>
      <c r="D311" s="316"/>
      <c r="E311"/>
      <c r="F311" s="295" t="s">
        <v>237</v>
      </c>
      <c r="G311" s="364" t="s">
        <v>194</v>
      </c>
      <c r="H311" s="365">
        <v>1</v>
      </c>
      <c r="I311" s="366" t="s">
        <v>233</v>
      </c>
      <c r="J311" s="364" t="s">
        <v>170</v>
      </c>
      <c r="K311" s="548">
        <v>1</v>
      </c>
      <c r="L311" s="293">
        <f t="shared" si="58"/>
        <v>400.8</v>
      </c>
      <c r="M311" s="507">
        <f>((M$304*N$304)/240)*($H311/N311)</f>
        <v>1.6666666666666668E-3</v>
      </c>
      <c r="N311" s="589">
        <f t="shared" si="57"/>
        <v>1</v>
      </c>
      <c r="O311" s="590">
        <f t="shared" si="51"/>
        <v>0.66800000000000004</v>
      </c>
      <c r="P311" s="306">
        <f>VLOOKUP($F311,'[1]Master Harga'!$E$6:$L$351,6,FALSE)</f>
        <v>89964</v>
      </c>
      <c r="Q311" s="296">
        <f t="shared" si="52"/>
        <v>60095.952000000005</v>
      </c>
      <c r="R311" s="296">
        <f>VLOOKUP($F311,'[1]Master Harga'!$E$5:$L$351,6,FALSE)</f>
        <v>89964</v>
      </c>
      <c r="S311" s="296">
        <f t="shared" si="53"/>
        <v>60095.952000000005</v>
      </c>
      <c r="T311" s="296">
        <f>VLOOKUP($F311,'[1]Master Harga'!$E$5:$L$351,7,FALSE)</f>
        <v>94462.2</v>
      </c>
      <c r="U311" s="296">
        <f t="shared" si="54"/>
        <v>63100.749600000003</v>
      </c>
      <c r="V311" s="296">
        <f t="shared" si="55"/>
        <v>91463.400000000009</v>
      </c>
      <c r="W311" s="307">
        <f t="shared" si="56"/>
        <v>61097.551200000009</v>
      </c>
      <c r="X311" s="295"/>
      <c r="Y311" s="571">
        <f t="shared" si="49"/>
        <v>149.94</v>
      </c>
      <c r="Z311" s="295"/>
      <c r="AB311" s="393"/>
      <c r="AC311" s="393"/>
      <c r="AD311" s="308"/>
      <c r="AF311" s="393"/>
      <c r="AG311" s="393"/>
      <c r="AH311" s="308"/>
      <c r="AJ311" s="393"/>
      <c r="AK311" s="393"/>
      <c r="AL311" s="300"/>
    </row>
    <row r="312" spans="2:38" x14ac:dyDescent="0.35">
      <c r="B312" s="315"/>
      <c r="C312" s="588"/>
      <c r="D312" s="316"/>
      <c r="E312"/>
      <c r="F312" s="505" t="s">
        <v>398</v>
      </c>
      <c r="G312" s="364" t="s">
        <v>192</v>
      </c>
      <c r="H312" s="365"/>
      <c r="I312" s="366"/>
      <c r="J312" s="364" t="s">
        <v>326</v>
      </c>
      <c r="K312" s="548">
        <v>1</v>
      </c>
      <c r="L312" s="293">
        <f t="shared" si="58"/>
        <v>400.8</v>
      </c>
      <c r="M312" s="507">
        <f>0.15*M261</f>
        <v>21.45</v>
      </c>
      <c r="N312" s="589">
        <f t="shared" si="57"/>
        <v>1</v>
      </c>
      <c r="O312" s="590">
        <f t="shared" si="51"/>
        <v>8597.16</v>
      </c>
      <c r="P312" s="306">
        <f>VLOOKUP($F312,'[1]Master Harga'!$E$6:$L$351,6,FALSE)</f>
        <v>5820</v>
      </c>
      <c r="Q312" s="296">
        <f t="shared" si="52"/>
        <v>50035471.199999996</v>
      </c>
      <c r="R312" s="296">
        <f>VLOOKUP($F312,'[1]Master Harga'!$E$5:$L$351,6,FALSE)</f>
        <v>5820</v>
      </c>
      <c r="S312" s="296">
        <f t="shared" si="53"/>
        <v>50035471.199999996</v>
      </c>
      <c r="T312" s="296">
        <f>VLOOKUP($F312,'[1]Master Harga'!$E$5:$L$351,7,FALSE)</f>
        <v>6111</v>
      </c>
      <c r="U312" s="296">
        <f t="shared" si="54"/>
        <v>52537244.759999998</v>
      </c>
      <c r="V312" s="296">
        <f t="shared" si="55"/>
        <v>5917</v>
      </c>
      <c r="W312" s="307">
        <f t="shared" si="56"/>
        <v>50869395.719999999</v>
      </c>
      <c r="X312" s="295"/>
      <c r="Y312" s="571">
        <f t="shared" si="49"/>
        <v>124838.99999999999</v>
      </c>
      <c r="Z312" s="295"/>
      <c r="AB312" s="393"/>
      <c r="AC312" s="393"/>
      <c r="AD312" s="308"/>
      <c r="AF312" s="393"/>
      <c r="AG312" s="393"/>
      <c r="AH312" s="308"/>
      <c r="AJ312" s="393"/>
      <c r="AK312" s="393"/>
      <c r="AL312" s="300"/>
    </row>
    <row r="313" spans="2:38" hidden="1" x14ac:dyDescent="0.35">
      <c r="B313" s="315"/>
      <c r="C313" s="588"/>
      <c r="D313" s="316"/>
      <c r="E313" s="317"/>
      <c r="F313" s="288"/>
      <c r="G313" s="289"/>
      <c r="H313" s="290"/>
      <c r="I313" s="291"/>
      <c r="J313" s="289"/>
      <c r="K313" s="292"/>
      <c r="L313" s="293"/>
      <c r="M313" s="294"/>
      <c r="N313" s="296"/>
      <c r="O313" s="296"/>
      <c r="P313" s="306"/>
      <c r="Q313" s="296"/>
      <c r="R313" s="296"/>
      <c r="S313" s="296"/>
      <c r="T313" s="296"/>
      <c r="U313" s="296"/>
      <c r="V313" s="296"/>
      <c r="W313" s="296"/>
      <c r="X313" s="295"/>
      <c r="Y313" s="306">
        <f t="shared" si="49"/>
        <v>0</v>
      </c>
      <c r="Z313" s="295"/>
      <c r="AB313" s="393"/>
      <c r="AC313" s="393"/>
      <c r="AD313" s="308"/>
      <c r="AF313" s="393"/>
      <c r="AG313" s="393"/>
      <c r="AH313" s="308"/>
      <c r="AJ313" s="393"/>
      <c r="AK313" s="393"/>
      <c r="AL313" s="300"/>
    </row>
    <row r="314" spans="2:38" hidden="1" x14ac:dyDescent="0.35">
      <c r="B314" s="312"/>
      <c r="C314" s="313"/>
      <c r="D314" s="313"/>
      <c r="E314" s="314" t="s">
        <v>399</v>
      </c>
      <c r="F314" s="288" t="s">
        <v>189</v>
      </c>
      <c r="G314" s="289" t="s">
        <v>190</v>
      </c>
      <c r="H314" s="290"/>
      <c r="I314" s="291"/>
      <c r="J314" s="289"/>
      <c r="K314" s="292"/>
      <c r="L314" s="293"/>
      <c r="M314" s="294"/>
      <c r="N314" s="296"/>
      <c r="O314" s="296"/>
      <c r="P314" s="306"/>
      <c r="Q314" s="296"/>
      <c r="R314" s="296"/>
      <c r="S314" s="296"/>
      <c r="T314" s="296"/>
      <c r="U314" s="296"/>
      <c r="V314" s="296"/>
      <c r="W314" s="296"/>
      <c r="X314" s="295"/>
      <c r="Y314" s="306">
        <f t="shared" si="49"/>
        <v>0</v>
      </c>
      <c r="Z314" s="295"/>
      <c r="AB314" s="393"/>
      <c r="AC314" s="393"/>
      <c r="AD314" s="308"/>
      <c r="AF314" s="393"/>
      <c r="AG314" s="393"/>
      <c r="AH314" s="308"/>
      <c r="AJ314" s="393"/>
      <c r="AK314" s="393"/>
      <c r="AL314" s="300"/>
    </row>
    <row r="315" spans="2:38" hidden="1" x14ac:dyDescent="0.35">
      <c r="B315" s="338"/>
      <c r="C315" s="350"/>
      <c r="D315" s="350"/>
      <c r="E315" s="351"/>
      <c r="F315" s="288" t="s">
        <v>398</v>
      </c>
      <c r="G315" s="289" t="s">
        <v>192</v>
      </c>
      <c r="H315" s="290"/>
      <c r="I315" s="291"/>
      <c r="J315" s="289"/>
      <c r="K315" s="292"/>
      <c r="L315" s="293"/>
      <c r="M315" s="294"/>
      <c r="N315" s="296"/>
      <c r="O315" s="296"/>
      <c r="P315" s="306"/>
      <c r="Q315" s="296"/>
      <c r="R315" s="296"/>
      <c r="S315" s="296"/>
      <c r="T315" s="296"/>
      <c r="U315" s="296"/>
      <c r="V315" s="296"/>
      <c r="W315" s="296"/>
      <c r="X315" s="295"/>
      <c r="Y315" s="306">
        <f t="shared" si="49"/>
        <v>0</v>
      </c>
      <c r="Z315" s="295"/>
      <c r="AB315" s="393"/>
      <c r="AC315" s="393"/>
      <c r="AD315" s="308"/>
      <c r="AF315" s="393"/>
      <c r="AG315" s="393"/>
      <c r="AH315" s="308"/>
      <c r="AJ315" s="393"/>
      <c r="AK315" s="393"/>
      <c r="AL315" s="300"/>
    </row>
    <row r="316" spans="2:38" hidden="1" x14ac:dyDescent="0.35">
      <c r="B316" s="320"/>
      <c r="C316" s="321"/>
      <c r="D316" s="321"/>
      <c r="E316" s="322"/>
      <c r="F316" s="288" t="s">
        <v>354</v>
      </c>
      <c r="G316" s="289" t="s">
        <v>203</v>
      </c>
      <c r="H316" s="290"/>
      <c r="I316" s="291"/>
      <c r="J316" s="289"/>
      <c r="K316" s="292"/>
      <c r="L316" s="293"/>
      <c r="M316" s="294"/>
      <c r="N316" s="296"/>
      <c r="O316" s="296"/>
      <c r="P316" s="306"/>
      <c r="Q316" s="296"/>
      <c r="R316" s="296"/>
      <c r="S316" s="296"/>
      <c r="T316" s="296"/>
      <c r="U316" s="296"/>
      <c r="V316" s="296"/>
      <c r="W316" s="296"/>
      <c r="X316" s="295"/>
      <c r="Y316" s="306">
        <f t="shared" si="49"/>
        <v>0</v>
      </c>
      <c r="Z316" s="295"/>
      <c r="AB316" s="393"/>
      <c r="AC316" s="393"/>
      <c r="AD316" s="308"/>
      <c r="AF316" s="393"/>
      <c r="AG316" s="393"/>
      <c r="AH316" s="308"/>
      <c r="AJ316" s="393"/>
      <c r="AK316" s="393"/>
      <c r="AL316" s="300"/>
    </row>
    <row r="317" spans="2:38" hidden="1" x14ac:dyDescent="0.35">
      <c r="B317" s="312"/>
      <c r="C317" s="313"/>
      <c r="D317" s="313"/>
      <c r="E317" s="314" t="s">
        <v>400</v>
      </c>
      <c r="F317" s="288" t="s">
        <v>189</v>
      </c>
      <c r="G317" s="289" t="s">
        <v>190</v>
      </c>
      <c r="H317" s="290"/>
      <c r="I317" s="291"/>
      <c r="J317" s="289"/>
      <c r="K317" s="292"/>
      <c r="L317" s="293"/>
      <c r="M317" s="294"/>
      <c r="N317" s="296"/>
      <c r="O317" s="296"/>
      <c r="P317" s="306"/>
      <c r="Q317" s="296"/>
      <c r="R317" s="296"/>
      <c r="S317" s="296"/>
      <c r="T317" s="296"/>
      <c r="U317" s="296"/>
      <c r="V317" s="296"/>
      <c r="W317" s="296"/>
      <c r="X317" s="295"/>
      <c r="Y317" s="306">
        <f t="shared" si="49"/>
        <v>0</v>
      </c>
      <c r="Z317" s="295"/>
      <c r="AB317" s="393"/>
      <c r="AC317" s="393"/>
      <c r="AD317" s="308"/>
      <c r="AF317" s="393"/>
      <c r="AG317" s="393"/>
      <c r="AH317" s="308"/>
      <c r="AJ317" s="393"/>
      <c r="AK317" s="393"/>
      <c r="AL317" s="300"/>
    </row>
    <row r="318" spans="2:38" hidden="1" x14ac:dyDescent="0.35">
      <c r="B318" s="338"/>
      <c r="C318" s="350"/>
      <c r="D318" s="350"/>
      <c r="E318" s="351"/>
      <c r="F318" s="288" t="s">
        <v>324</v>
      </c>
      <c r="G318" s="289" t="s">
        <v>192</v>
      </c>
      <c r="H318" s="290"/>
      <c r="I318" s="291"/>
      <c r="J318" s="289"/>
      <c r="K318" s="292"/>
      <c r="L318" s="293"/>
      <c r="M318" s="294"/>
      <c r="N318" s="296"/>
      <c r="O318" s="296"/>
      <c r="P318" s="306"/>
      <c r="Q318" s="296"/>
      <c r="R318" s="296"/>
      <c r="S318" s="296"/>
      <c r="T318" s="296"/>
      <c r="U318" s="296"/>
      <c r="V318" s="296"/>
      <c r="W318" s="296"/>
      <c r="X318" s="295"/>
      <c r="Y318" s="306">
        <f t="shared" si="49"/>
        <v>0</v>
      </c>
      <c r="Z318" s="295"/>
      <c r="AB318" s="393"/>
      <c r="AC318" s="393"/>
      <c r="AD318" s="308"/>
      <c r="AF318" s="393"/>
      <c r="AG318" s="393"/>
      <c r="AH318" s="308"/>
      <c r="AJ318" s="393"/>
      <c r="AK318" s="393"/>
      <c r="AL318" s="300"/>
    </row>
    <row r="319" spans="2:38" hidden="1" x14ac:dyDescent="0.35">
      <c r="B319" s="320"/>
      <c r="C319" s="321"/>
      <c r="D319" s="321"/>
      <c r="E319" s="322"/>
      <c r="F319" s="288" t="s">
        <v>354</v>
      </c>
      <c r="G319" s="289" t="s">
        <v>203</v>
      </c>
      <c r="H319" s="290"/>
      <c r="I319" s="291"/>
      <c r="J319" s="289"/>
      <c r="K319" s="292"/>
      <c r="L319" s="293"/>
      <c r="M319" s="294"/>
      <c r="N319" s="296"/>
      <c r="O319" s="296"/>
      <c r="P319" s="306"/>
      <c r="Q319" s="296"/>
      <c r="R319" s="296"/>
      <c r="S319" s="296"/>
      <c r="T319" s="296"/>
      <c r="U319" s="296"/>
      <c r="V319" s="296"/>
      <c r="W319" s="296"/>
      <c r="X319" s="295"/>
      <c r="Y319" s="306">
        <f t="shared" si="49"/>
        <v>0</v>
      </c>
      <c r="Z319" s="295"/>
      <c r="AB319" s="393"/>
      <c r="AC319" s="393"/>
      <c r="AD319" s="308"/>
      <c r="AF319" s="393"/>
      <c r="AG319" s="393"/>
      <c r="AH319" s="308"/>
      <c r="AJ319" s="393"/>
      <c r="AK319" s="393"/>
      <c r="AL319" s="300"/>
    </row>
    <row r="320" spans="2:38" hidden="1" x14ac:dyDescent="0.35">
      <c r="B320" s="312"/>
      <c r="C320" s="313"/>
      <c r="D320" s="313"/>
      <c r="E320" s="314" t="s">
        <v>401</v>
      </c>
      <c r="F320" s="288" t="s">
        <v>189</v>
      </c>
      <c r="G320" s="289" t="s">
        <v>190</v>
      </c>
      <c r="H320" s="290"/>
      <c r="I320" s="291"/>
      <c r="J320" s="289"/>
      <c r="K320" s="292"/>
      <c r="L320" s="293"/>
      <c r="M320" s="294"/>
      <c r="N320" s="296"/>
      <c r="O320" s="296"/>
      <c r="P320" s="306"/>
      <c r="Q320" s="296"/>
      <c r="R320" s="296"/>
      <c r="S320" s="296"/>
      <c r="T320" s="296"/>
      <c r="U320" s="296"/>
      <c r="V320" s="296"/>
      <c r="W320" s="296"/>
      <c r="X320" s="295"/>
      <c r="Y320" s="306">
        <f t="shared" si="49"/>
        <v>0</v>
      </c>
      <c r="Z320" s="295"/>
      <c r="AB320" s="393"/>
      <c r="AC320" s="393"/>
      <c r="AD320" s="308"/>
      <c r="AF320" s="393"/>
      <c r="AG320" s="393"/>
      <c r="AH320" s="308"/>
      <c r="AJ320" s="393"/>
      <c r="AK320" s="393"/>
      <c r="AL320" s="300"/>
    </row>
    <row r="321" spans="2:38" hidden="1" x14ac:dyDescent="0.35">
      <c r="B321" s="338"/>
      <c r="C321" s="350"/>
      <c r="D321" s="350"/>
      <c r="E321" s="351"/>
      <c r="F321" s="288" t="s">
        <v>402</v>
      </c>
      <c r="G321" s="289" t="s">
        <v>192</v>
      </c>
      <c r="H321" s="290"/>
      <c r="I321" s="291"/>
      <c r="J321" s="289"/>
      <c r="K321" s="292"/>
      <c r="L321" s="293"/>
      <c r="M321" s="294"/>
      <c r="N321" s="296"/>
      <c r="O321" s="296"/>
      <c r="P321" s="306"/>
      <c r="Q321" s="296"/>
      <c r="R321" s="296"/>
      <c r="S321" s="296"/>
      <c r="T321" s="296"/>
      <c r="U321" s="296"/>
      <c r="V321" s="296"/>
      <c r="W321" s="296"/>
      <c r="X321" s="295"/>
      <c r="Y321" s="306">
        <f t="shared" si="49"/>
        <v>0</v>
      </c>
      <c r="Z321" s="295"/>
      <c r="AB321" s="393"/>
      <c r="AC321" s="393"/>
      <c r="AD321" s="308"/>
      <c r="AF321" s="393"/>
      <c r="AG321" s="393"/>
      <c r="AH321" s="308"/>
      <c r="AJ321" s="393"/>
      <c r="AK321" s="393"/>
      <c r="AL321" s="300"/>
    </row>
    <row r="322" spans="2:38" hidden="1" x14ac:dyDescent="0.35">
      <c r="B322" s="320"/>
      <c r="C322" s="321"/>
      <c r="D322" s="321"/>
      <c r="E322" s="322"/>
      <c r="F322" s="288" t="s">
        <v>354</v>
      </c>
      <c r="G322" s="289" t="s">
        <v>203</v>
      </c>
      <c r="H322" s="290"/>
      <c r="I322" s="291"/>
      <c r="J322" s="289"/>
      <c r="K322" s="292"/>
      <c r="L322" s="293"/>
      <c r="M322" s="294"/>
      <c r="N322" s="296"/>
      <c r="O322" s="296"/>
      <c r="P322" s="306"/>
      <c r="Q322" s="296"/>
      <c r="R322" s="296"/>
      <c r="S322" s="296"/>
      <c r="T322" s="296"/>
      <c r="U322" s="296"/>
      <c r="V322" s="296"/>
      <c r="W322" s="296"/>
      <c r="X322" s="295"/>
      <c r="Y322" s="306">
        <f t="shared" si="49"/>
        <v>0</v>
      </c>
      <c r="Z322" s="295"/>
      <c r="AB322" s="393"/>
      <c r="AC322" s="393"/>
      <c r="AD322" s="308"/>
      <c r="AF322" s="393"/>
      <c r="AG322" s="393"/>
      <c r="AH322" s="308"/>
      <c r="AJ322" s="393"/>
      <c r="AK322" s="393"/>
      <c r="AL322" s="300"/>
    </row>
    <row r="323" spans="2:38" hidden="1" x14ac:dyDescent="0.35">
      <c r="B323" s="312"/>
      <c r="C323" s="313"/>
      <c r="D323" s="313"/>
      <c r="E323" s="314" t="s">
        <v>403</v>
      </c>
      <c r="F323" s="288" t="s">
        <v>189</v>
      </c>
      <c r="G323" s="289" t="s">
        <v>190</v>
      </c>
      <c r="H323" s="290"/>
      <c r="I323" s="291"/>
      <c r="J323" s="289"/>
      <c r="K323" s="292"/>
      <c r="L323" s="293"/>
      <c r="M323" s="294"/>
      <c r="N323" s="296"/>
      <c r="O323" s="296"/>
      <c r="P323" s="306"/>
      <c r="Q323" s="296"/>
      <c r="R323" s="296"/>
      <c r="S323" s="296"/>
      <c r="T323" s="296"/>
      <c r="U323" s="296"/>
      <c r="V323" s="296"/>
      <c r="W323" s="296"/>
      <c r="X323" s="295"/>
      <c r="Y323" s="306">
        <f t="shared" si="49"/>
        <v>0</v>
      </c>
      <c r="Z323" s="295"/>
      <c r="AB323" s="393"/>
      <c r="AC323" s="393"/>
      <c r="AD323" s="308"/>
      <c r="AF323" s="393"/>
      <c r="AG323" s="393"/>
      <c r="AH323" s="308"/>
      <c r="AJ323" s="393"/>
      <c r="AK323" s="393"/>
      <c r="AL323" s="300"/>
    </row>
    <row r="324" spans="2:38" hidden="1" x14ac:dyDescent="0.35">
      <c r="B324" s="338"/>
      <c r="C324" s="350"/>
      <c r="D324" s="350"/>
      <c r="E324" s="351"/>
      <c r="F324" s="288" t="s">
        <v>404</v>
      </c>
      <c r="G324" s="289" t="s">
        <v>192</v>
      </c>
      <c r="H324" s="290"/>
      <c r="I324" s="291"/>
      <c r="J324" s="289"/>
      <c r="K324" s="292"/>
      <c r="L324" s="293"/>
      <c r="M324" s="294"/>
      <c r="N324" s="296"/>
      <c r="O324" s="296"/>
      <c r="P324" s="306"/>
      <c r="Q324" s="296"/>
      <c r="R324" s="296"/>
      <c r="S324" s="296"/>
      <c r="T324" s="296"/>
      <c r="U324" s="296"/>
      <c r="V324" s="296"/>
      <c r="W324" s="296"/>
      <c r="X324" s="295"/>
      <c r="Y324" s="306">
        <f t="shared" si="49"/>
        <v>0</v>
      </c>
      <c r="Z324" s="295"/>
      <c r="AB324" s="393"/>
      <c r="AC324" s="393"/>
      <c r="AD324" s="308"/>
      <c r="AF324" s="393"/>
      <c r="AG324" s="393"/>
      <c r="AH324" s="308"/>
      <c r="AJ324" s="393"/>
      <c r="AK324" s="393"/>
      <c r="AL324" s="300"/>
    </row>
    <row r="325" spans="2:38" hidden="1" x14ac:dyDescent="0.35">
      <c r="B325" s="320"/>
      <c r="C325" s="321"/>
      <c r="D325" s="321"/>
      <c r="E325" s="322"/>
      <c r="F325" s="288" t="s">
        <v>354</v>
      </c>
      <c r="G325" s="289" t="s">
        <v>203</v>
      </c>
      <c r="H325" s="290"/>
      <c r="I325" s="291"/>
      <c r="J325" s="289"/>
      <c r="K325" s="292"/>
      <c r="L325" s="293"/>
      <c r="M325" s="294"/>
      <c r="N325" s="296"/>
      <c r="O325" s="296"/>
      <c r="P325" s="306"/>
      <c r="Q325" s="296"/>
      <c r="R325" s="296"/>
      <c r="S325" s="296"/>
      <c r="T325" s="296"/>
      <c r="U325" s="296"/>
      <c r="V325" s="296"/>
      <c r="W325" s="296"/>
      <c r="X325" s="295"/>
      <c r="Y325" s="306">
        <f t="shared" si="49"/>
        <v>0</v>
      </c>
      <c r="Z325" s="295"/>
      <c r="AB325" s="393"/>
      <c r="AC325" s="393"/>
      <c r="AD325" s="308"/>
      <c r="AF325" s="393"/>
      <c r="AG325" s="393"/>
      <c r="AH325" s="308"/>
      <c r="AJ325" s="393"/>
      <c r="AK325" s="393"/>
      <c r="AL325" s="300"/>
    </row>
    <row r="326" spans="2:38" x14ac:dyDescent="0.35">
      <c r="B326" s="591" t="s">
        <v>405</v>
      </c>
      <c r="C326" s="592"/>
      <c r="D326" s="592"/>
      <c r="E326" s="593"/>
      <c r="F326" s="341" t="s">
        <v>189</v>
      </c>
      <c r="G326" s="431" t="s">
        <v>190</v>
      </c>
      <c r="H326" s="365"/>
      <c r="I326" s="366"/>
      <c r="J326" s="308"/>
      <c r="K326" s="548">
        <v>1</v>
      </c>
      <c r="L326" s="374">
        <f>L329</f>
        <v>400.8</v>
      </c>
      <c r="M326" s="594">
        <v>0.5</v>
      </c>
      <c r="N326" s="595">
        <v>1</v>
      </c>
      <c r="O326" s="401">
        <f t="shared" ref="O326:O327" si="59">K326*L326*M326*N326</f>
        <v>200.4</v>
      </c>
      <c r="P326" s="435">
        <f>VLOOKUP($F326,'[1]Master Harga'!$E$6:$L$351,6,FALSE)</f>
        <v>149108.51999999999</v>
      </c>
      <c r="Q326" s="411">
        <f t="shared" ref="Q326:Q327" si="60">P326*$O326</f>
        <v>29881347.408</v>
      </c>
      <c r="R326" s="411"/>
      <c r="S326" s="411"/>
      <c r="T326" s="411"/>
      <c r="U326" s="411"/>
      <c r="V326" s="411"/>
      <c r="W326" s="411"/>
      <c r="X326" s="295"/>
      <c r="Y326" s="435">
        <f t="shared" si="49"/>
        <v>74554.259999999995</v>
      </c>
      <c r="Z326" s="295"/>
      <c r="AB326" s="393"/>
      <c r="AC326" s="393"/>
      <c r="AD326" s="308"/>
      <c r="AF326" s="393"/>
      <c r="AG326" s="393"/>
      <c r="AH326" s="308"/>
      <c r="AJ326" s="393"/>
      <c r="AK326" s="393"/>
      <c r="AL326" s="300"/>
    </row>
    <row r="327" spans="2:38" x14ac:dyDescent="0.35">
      <c r="B327" s="428"/>
      <c r="C327" s="429"/>
      <c r="D327" s="429"/>
      <c r="E327" s="430"/>
      <c r="F327" s="341" t="s">
        <v>406</v>
      </c>
      <c r="G327" s="431" t="s">
        <v>192</v>
      </c>
      <c r="H327" s="432"/>
      <c r="I327" s="433"/>
      <c r="J327" s="431"/>
      <c r="K327" s="548">
        <v>1</v>
      </c>
      <c r="L327" s="374">
        <f>L330</f>
        <v>400.8</v>
      </c>
      <c r="M327" s="594">
        <f>0.15*M261</f>
        <v>21.45</v>
      </c>
      <c r="N327" s="595">
        <v>1</v>
      </c>
      <c r="O327" s="401">
        <f t="shared" si="59"/>
        <v>8597.16</v>
      </c>
      <c r="P327" s="435">
        <f>VLOOKUP($F327,'[1]Master Harga'!$E$6:$L$351,6,FALSE)</f>
        <v>870</v>
      </c>
      <c r="Q327" s="411">
        <f t="shared" si="60"/>
        <v>7479529.2000000002</v>
      </c>
      <c r="R327" s="411"/>
      <c r="S327" s="411"/>
      <c r="T327" s="411"/>
      <c r="U327" s="411"/>
      <c r="V327" s="411"/>
      <c r="W327" s="411"/>
      <c r="X327" s="295"/>
      <c r="Y327" s="435">
        <f t="shared" si="49"/>
        <v>18661.5</v>
      </c>
      <c r="Z327" s="295"/>
      <c r="AB327" s="393"/>
      <c r="AC327" s="393"/>
      <c r="AD327" s="308"/>
      <c r="AF327" s="393"/>
      <c r="AG327" s="393"/>
      <c r="AH327" s="308"/>
      <c r="AJ327" s="393"/>
      <c r="AK327" s="393"/>
      <c r="AL327" s="300"/>
    </row>
    <row r="328" spans="2:38" x14ac:dyDescent="0.35">
      <c r="B328" s="467"/>
      <c r="C328" s="469"/>
      <c r="D328" s="469"/>
      <c r="E328" s="470"/>
      <c r="F328" s="341" t="s">
        <v>354</v>
      </c>
      <c r="G328" s="431" t="s">
        <v>203</v>
      </c>
      <c r="H328" s="432"/>
      <c r="I328" s="433"/>
      <c r="J328" s="431"/>
      <c r="K328" s="596"/>
      <c r="L328" s="410"/>
      <c r="M328" s="323"/>
      <c r="N328" s="411"/>
      <c r="O328" s="411"/>
      <c r="P328" s="435"/>
      <c r="Q328" s="411"/>
      <c r="R328" s="411"/>
      <c r="S328" s="411"/>
      <c r="T328" s="411"/>
      <c r="U328" s="411"/>
      <c r="V328" s="411"/>
      <c r="W328" s="411"/>
      <c r="X328" s="295"/>
      <c r="Y328" s="435">
        <f t="shared" si="49"/>
        <v>0</v>
      </c>
      <c r="Z328" s="295"/>
      <c r="AB328" s="393"/>
      <c r="AC328" s="393"/>
      <c r="AD328" s="308"/>
      <c r="AF328" s="393"/>
      <c r="AG328" s="393"/>
      <c r="AH328" s="308"/>
      <c r="AJ328" s="393"/>
      <c r="AK328" s="393"/>
      <c r="AL328" s="300"/>
    </row>
    <row r="329" spans="2:38" x14ac:dyDescent="0.35">
      <c r="B329" s="597" t="s">
        <v>407</v>
      </c>
      <c r="C329" s="598"/>
      <c r="D329" s="598"/>
      <c r="E329" s="599"/>
      <c r="F329" s="295" t="s">
        <v>189</v>
      </c>
      <c r="G329" s="308" t="s">
        <v>190</v>
      </c>
      <c r="H329" s="365"/>
      <c r="I329" s="366"/>
      <c r="J329" s="308"/>
      <c r="K329" s="548">
        <v>1</v>
      </c>
      <c r="L329" s="374">
        <f>AB1</f>
        <v>400.8</v>
      </c>
      <c r="M329" s="594">
        <v>0.5</v>
      </c>
      <c r="N329" s="595">
        <v>1</v>
      </c>
      <c r="O329" s="590">
        <f t="shared" ref="O329:O337" si="61">K329*L329*M329*N329</f>
        <v>200.4</v>
      </c>
      <c r="P329" s="306">
        <f>VLOOKUP($F329,'[1]Master Harga'!$E$6:$L$351,6,FALSE)</f>
        <v>149108.51999999999</v>
      </c>
      <c r="Q329" s="296">
        <f t="shared" ref="Q329:Q337" si="62">P329*$O329</f>
        <v>29881347.408</v>
      </c>
      <c r="R329" s="296">
        <f>VLOOKUP($F329,'[1]Master Harga'!$E$5:$L$351,6,FALSE)</f>
        <v>149108.51999999999</v>
      </c>
      <c r="S329" s="296">
        <f t="shared" ref="S329:S337" si="63">R329*$O329</f>
        <v>29881347.408</v>
      </c>
      <c r="T329" s="296">
        <f>VLOOKUP($F329,'[1]Master Harga'!$E$5:$L$351,7,FALSE)</f>
        <v>158800.57379999998</v>
      </c>
      <c r="U329" s="296">
        <f t="shared" ref="U329:U337" si="64">T329*$O329</f>
        <v>31823634.989519998</v>
      </c>
      <c r="V329" s="296">
        <f t="shared" ref="V329:V337" si="65">W329/O329</f>
        <v>152339.2046</v>
      </c>
      <c r="W329" s="307">
        <f t="shared" ref="W329:W337" si="66">AVERAGEIF($P$3:$U$3,W$3,$P329:$U329)</f>
        <v>30528776.601840001</v>
      </c>
      <c r="X329" s="295"/>
      <c r="Y329" s="571">
        <f t="shared" si="49"/>
        <v>74554.259999999995</v>
      </c>
      <c r="Z329" s="295"/>
      <c r="AB329" s="393"/>
      <c r="AC329" s="393"/>
      <c r="AD329" s="308"/>
      <c r="AF329" s="393"/>
      <c r="AG329" s="393"/>
      <c r="AH329" s="308"/>
      <c r="AJ329" s="393"/>
      <c r="AK329" s="393"/>
      <c r="AL329" s="300"/>
    </row>
    <row r="330" spans="2:38" x14ac:dyDescent="0.35">
      <c r="B330" s="315"/>
      <c r="C330" s="316"/>
      <c r="D330" s="316"/>
      <c r="E330" s="317"/>
      <c r="F330" s="295" t="s">
        <v>349</v>
      </c>
      <c r="G330" s="308" t="s">
        <v>190</v>
      </c>
      <c r="H330" s="365"/>
      <c r="I330" s="366"/>
      <c r="J330" s="308"/>
      <c r="K330" s="548">
        <v>1</v>
      </c>
      <c r="L330" s="374">
        <f>$L$329</f>
        <v>400.8</v>
      </c>
      <c r="M330" s="594">
        <v>0.18</v>
      </c>
      <c r="N330" s="595">
        <v>1</v>
      </c>
      <c r="O330" s="590">
        <f t="shared" si="61"/>
        <v>72.144000000000005</v>
      </c>
      <c r="P330" s="306">
        <f>VLOOKUP($F330,'[1]Master Harga'!$E$6:$L$351,6,FALSE)</f>
        <v>149108.51999999999</v>
      </c>
      <c r="Q330" s="296">
        <f t="shared" si="62"/>
        <v>10757285.066880001</v>
      </c>
      <c r="R330" s="296">
        <f>VLOOKUP($F330,'[1]Master Harga'!$E$5:$L$351,6,FALSE)</f>
        <v>149108.51999999999</v>
      </c>
      <c r="S330" s="296">
        <f t="shared" si="63"/>
        <v>10757285.066880001</v>
      </c>
      <c r="T330" s="296">
        <f>VLOOKUP($F330,'[1]Master Harga'!$E$5:$L$351,7,FALSE)</f>
        <v>158800.57379999998</v>
      </c>
      <c r="U330" s="296">
        <f t="shared" si="64"/>
        <v>11456508.596227199</v>
      </c>
      <c r="V330" s="296">
        <f t="shared" si="65"/>
        <v>152339.2046</v>
      </c>
      <c r="W330" s="307">
        <f t="shared" si="66"/>
        <v>10990359.576662401</v>
      </c>
      <c r="X330" s="295"/>
      <c r="Y330" s="571">
        <f t="shared" si="49"/>
        <v>26839.533600000002</v>
      </c>
      <c r="Z330" s="295"/>
      <c r="AB330" s="393"/>
      <c r="AC330" s="393"/>
      <c r="AD330" s="308"/>
      <c r="AF330" s="393"/>
      <c r="AG330" s="393"/>
      <c r="AH330" s="308"/>
      <c r="AJ330" s="393"/>
      <c r="AK330" s="393"/>
      <c r="AL330" s="300"/>
    </row>
    <row r="331" spans="2:38" x14ac:dyDescent="0.35">
      <c r="B331" s="315"/>
      <c r="C331" s="316"/>
      <c r="D331" s="316"/>
      <c r="E331" s="317"/>
      <c r="F331" s="295" t="s">
        <v>231</v>
      </c>
      <c r="G331" s="308" t="s">
        <v>190</v>
      </c>
      <c r="H331" s="365"/>
      <c r="I331" s="366"/>
      <c r="J331" s="308"/>
      <c r="K331" s="548">
        <v>1</v>
      </c>
      <c r="L331" s="374">
        <f t="shared" ref="L331:L337" si="67">$L$329</f>
        <v>400.8</v>
      </c>
      <c r="M331" s="594">
        <f>M329</f>
        <v>0.5</v>
      </c>
      <c r="N331" s="595">
        <v>1</v>
      </c>
      <c r="O331" s="590">
        <f t="shared" si="61"/>
        <v>200.4</v>
      </c>
      <c r="P331" s="306">
        <f>VLOOKUP($F331,'[1]Master Harga'!$E$6:$L$351,6,FALSE)</f>
        <v>4042.5</v>
      </c>
      <c r="Q331" s="296">
        <f t="shared" si="62"/>
        <v>810117</v>
      </c>
      <c r="R331" s="296">
        <f>VLOOKUP($F331,'[1]Master Harga'!$E$5:$L$351,6,FALSE)</f>
        <v>4042.5</v>
      </c>
      <c r="S331" s="296">
        <f t="shared" si="63"/>
        <v>810117</v>
      </c>
      <c r="T331" s="296">
        <f>VLOOKUP($F331,'[1]Master Harga'!$E$5:$L$351,7,FALSE)</f>
        <v>4244.625</v>
      </c>
      <c r="U331" s="296">
        <f t="shared" si="64"/>
        <v>850622.85</v>
      </c>
      <c r="V331" s="296">
        <f t="shared" si="65"/>
        <v>4109.875</v>
      </c>
      <c r="W331" s="307">
        <f t="shared" si="66"/>
        <v>823618.95000000007</v>
      </c>
      <c r="X331" s="295"/>
      <c r="Y331" s="571">
        <f t="shared" si="49"/>
        <v>2021.25</v>
      </c>
      <c r="Z331" s="295"/>
      <c r="AB331" s="393"/>
      <c r="AC331" s="393"/>
      <c r="AD331" s="308"/>
      <c r="AF331" s="393"/>
      <c r="AG331" s="393"/>
      <c r="AH331" s="308"/>
      <c r="AJ331" s="393"/>
      <c r="AK331" s="393"/>
      <c r="AL331" s="300"/>
    </row>
    <row r="332" spans="2:38" x14ac:dyDescent="0.35">
      <c r="B332" s="315"/>
      <c r="C332" s="316"/>
      <c r="D332" s="316"/>
      <c r="E332" s="317"/>
      <c r="F332" s="295" t="s">
        <v>350</v>
      </c>
      <c r="G332" s="308" t="s">
        <v>194</v>
      </c>
      <c r="H332" s="365">
        <v>1</v>
      </c>
      <c r="I332" s="366" t="s">
        <v>233</v>
      </c>
      <c r="J332" s="308"/>
      <c r="K332" s="548">
        <v>1</v>
      </c>
      <c r="L332" s="374">
        <f t="shared" si="67"/>
        <v>400.8</v>
      </c>
      <c r="M332" s="507">
        <v>1.6666666666666668E-3</v>
      </c>
      <c r="N332" s="595">
        <v>1</v>
      </c>
      <c r="O332" s="590">
        <f t="shared" si="61"/>
        <v>0.66800000000000004</v>
      </c>
      <c r="P332" s="306">
        <f>VLOOKUP($F332,'[1]Master Harga'!$E$6:$L$351,6,FALSE)</f>
        <v>5250</v>
      </c>
      <c r="Q332" s="296">
        <f t="shared" si="62"/>
        <v>3507</v>
      </c>
      <c r="R332" s="296">
        <f>VLOOKUP($F332,'[1]Master Harga'!$E$5:$L$351,6,FALSE)</f>
        <v>5250</v>
      </c>
      <c r="S332" s="296">
        <f t="shared" si="63"/>
        <v>3507</v>
      </c>
      <c r="T332" s="296">
        <f>VLOOKUP($F332,'[1]Master Harga'!$E$5:$L$351,7,FALSE)</f>
        <v>5512.5</v>
      </c>
      <c r="U332" s="296">
        <f t="shared" si="64"/>
        <v>3682.3500000000004</v>
      </c>
      <c r="V332" s="296">
        <f t="shared" si="65"/>
        <v>5337.5</v>
      </c>
      <c r="W332" s="307">
        <f t="shared" si="66"/>
        <v>3565.4500000000003</v>
      </c>
      <c r="X332" s="295"/>
      <c r="Y332" s="571">
        <f t="shared" si="49"/>
        <v>8.75</v>
      </c>
      <c r="Z332" s="295"/>
      <c r="AB332" s="393"/>
      <c r="AC332" s="393"/>
      <c r="AD332" s="308"/>
      <c r="AF332" s="393"/>
      <c r="AG332" s="393"/>
      <c r="AH332" s="308"/>
      <c r="AJ332" s="393"/>
      <c r="AK332" s="393"/>
      <c r="AL332" s="300"/>
    </row>
    <row r="333" spans="2:38" x14ac:dyDescent="0.35">
      <c r="B333" s="315"/>
      <c r="C333" s="316"/>
      <c r="D333" s="316"/>
      <c r="E333" s="317"/>
      <c r="F333" s="295" t="s">
        <v>232</v>
      </c>
      <c r="G333" s="308" t="s">
        <v>194</v>
      </c>
      <c r="H333" s="365">
        <v>4</v>
      </c>
      <c r="I333" s="366" t="s">
        <v>233</v>
      </c>
      <c r="J333" s="308"/>
      <c r="K333" s="548">
        <v>1</v>
      </c>
      <c r="L333" s="374">
        <f t="shared" si="67"/>
        <v>400.8</v>
      </c>
      <c r="M333" s="507">
        <v>6.6666666666666671E-3</v>
      </c>
      <c r="N333" s="595">
        <v>1</v>
      </c>
      <c r="O333" s="590">
        <f t="shared" si="61"/>
        <v>2.6720000000000002</v>
      </c>
      <c r="P333" s="306">
        <f>VLOOKUP($F333,'[1]Master Harga'!$E$6:$L$351,6,FALSE)</f>
        <v>44982</v>
      </c>
      <c r="Q333" s="296">
        <f t="shared" si="62"/>
        <v>120191.90400000001</v>
      </c>
      <c r="R333" s="296">
        <f>VLOOKUP($F333,'[1]Master Harga'!$E$5:$L$351,6,FALSE)</f>
        <v>44982</v>
      </c>
      <c r="S333" s="296">
        <f t="shared" si="63"/>
        <v>120191.90400000001</v>
      </c>
      <c r="T333" s="296">
        <f>VLOOKUP($F333,'[1]Master Harga'!$E$5:$L$351,7,FALSE)</f>
        <v>47231.1</v>
      </c>
      <c r="U333" s="296">
        <f t="shared" si="64"/>
        <v>126201.49920000001</v>
      </c>
      <c r="V333" s="296">
        <f t="shared" si="65"/>
        <v>45731.700000000004</v>
      </c>
      <c r="W333" s="307">
        <f t="shared" si="66"/>
        <v>122195.10240000002</v>
      </c>
      <c r="X333" s="295"/>
      <c r="Y333" s="571">
        <f t="shared" si="49"/>
        <v>299.88</v>
      </c>
      <c r="Z333" s="295"/>
      <c r="AB333" s="393"/>
      <c r="AC333" s="393"/>
      <c r="AD333" s="308"/>
      <c r="AF333" s="393"/>
      <c r="AG333" s="393"/>
      <c r="AH333" s="308"/>
      <c r="AJ333" s="393"/>
      <c r="AK333" s="393"/>
      <c r="AL333" s="300"/>
    </row>
    <row r="334" spans="2:38" x14ac:dyDescent="0.35">
      <c r="B334" s="315"/>
      <c r="C334" s="316"/>
      <c r="D334" s="316"/>
      <c r="E334" s="317"/>
      <c r="F334" s="295" t="s">
        <v>234</v>
      </c>
      <c r="G334" s="308" t="s">
        <v>194</v>
      </c>
      <c r="H334" s="365">
        <v>12</v>
      </c>
      <c r="I334" s="366" t="s">
        <v>233</v>
      </c>
      <c r="J334" s="308"/>
      <c r="K334" s="548">
        <v>1</v>
      </c>
      <c r="L334" s="374">
        <f t="shared" si="67"/>
        <v>400.8</v>
      </c>
      <c r="M334" s="507">
        <v>0.02</v>
      </c>
      <c r="N334" s="595">
        <v>1</v>
      </c>
      <c r="O334" s="590">
        <f t="shared" si="61"/>
        <v>8.016</v>
      </c>
      <c r="P334" s="306">
        <f>VLOOKUP($F334,'[1]Master Harga'!$E$6:$L$351,6,FALSE)</f>
        <v>14700</v>
      </c>
      <c r="Q334" s="296">
        <f t="shared" si="62"/>
        <v>117835.2</v>
      </c>
      <c r="R334" s="296">
        <f>VLOOKUP($F334,'[1]Master Harga'!$E$5:$L$351,6,FALSE)</f>
        <v>14700</v>
      </c>
      <c r="S334" s="296">
        <f t="shared" si="63"/>
        <v>117835.2</v>
      </c>
      <c r="T334" s="296">
        <f>VLOOKUP($F334,'[1]Master Harga'!$E$5:$L$351,7,FALSE)</f>
        <v>15435</v>
      </c>
      <c r="U334" s="296">
        <f t="shared" si="64"/>
        <v>123726.96</v>
      </c>
      <c r="V334" s="296">
        <f t="shared" si="65"/>
        <v>14945</v>
      </c>
      <c r="W334" s="307">
        <f t="shared" si="66"/>
        <v>119799.12</v>
      </c>
      <c r="X334" s="295"/>
      <c r="Y334" s="571">
        <f t="shared" si="49"/>
        <v>294</v>
      </c>
      <c r="Z334" s="295"/>
      <c r="AB334" s="393"/>
      <c r="AC334" s="393"/>
      <c r="AD334" s="308"/>
      <c r="AF334" s="393"/>
      <c r="AG334" s="393"/>
      <c r="AH334" s="308"/>
      <c r="AJ334" s="393"/>
      <c r="AK334" s="393"/>
      <c r="AL334" s="300"/>
    </row>
    <row r="335" spans="2:38" x14ac:dyDescent="0.35">
      <c r="B335" s="315"/>
      <c r="C335" s="316"/>
      <c r="D335" s="316"/>
      <c r="E335" s="317"/>
      <c r="F335" s="295" t="s">
        <v>236</v>
      </c>
      <c r="G335" s="308" t="s">
        <v>194</v>
      </c>
      <c r="H335" s="365">
        <v>2</v>
      </c>
      <c r="I335" s="366" t="s">
        <v>233</v>
      </c>
      <c r="J335" s="308"/>
      <c r="K335" s="548">
        <v>1</v>
      </c>
      <c r="L335" s="374">
        <f t="shared" si="67"/>
        <v>400.8</v>
      </c>
      <c r="M335" s="507">
        <v>3.3333333333333335E-3</v>
      </c>
      <c r="N335" s="595">
        <v>1</v>
      </c>
      <c r="O335" s="590">
        <f t="shared" si="61"/>
        <v>1.3360000000000001</v>
      </c>
      <c r="P335" s="306">
        <f>VLOOKUP($F335,'[1]Master Harga'!$E$6:$L$351,6,FALSE)</f>
        <v>33736.5</v>
      </c>
      <c r="Q335" s="296">
        <f t="shared" si="62"/>
        <v>45071.964</v>
      </c>
      <c r="R335" s="296">
        <f>VLOOKUP($F335,'[1]Master Harga'!$E$5:$L$351,6,FALSE)</f>
        <v>33736.5</v>
      </c>
      <c r="S335" s="296">
        <f t="shared" si="63"/>
        <v>45071.964</v>
      </c>
      <c r="T335" s="296">
        <f>VLOOKUP($F335,'[1]Master Harga'!$E$5:$L$351,7,FALSE)</f>
        <v>35423.325000000004</v>
      </c>
      <c r="U335" s="296">
        <f t="shared" si="64"/>
        <v>47325.562200000008</v>
      </c>
      <c r="V335" s="296">
        <f t="shared" si="65"/>
        <v>34298.774999999994</v>
      </c>
      <c r="W335" s="307">
        <f t="shared" si="66"/>
        <v>45823.163399999998</v>
      </c>
      <c r="X335" s="295"/>
      <c r="Y335" s="571">
        <f t="shared" si="49"/>
        <v>112.455</v>
      </c>
      <c r="Z335" s="295"/>
      <c r="AB335" s="393"/>
      <c r="AC335" s="393"/>
      <c r="AD335" s="308"/>
      <c r="AF335" s="393"/>
      <c r="AG335" s="393"/>
      <c r="AH335" s="308"/>
      <c r="AJ335" s="393"/>
      <c r="AK335" s="393"/>
      <c r="AL335" s="300"/>
    </row>
    <row r="336" spans="2:38" x14ac:dyDescent="0.35">
      <c r="B336" s="315"/>
      <c r="C336" s="316"/>
      <c r="D336" s="316"/>
      <c r="E336" s="317"/>
      <c r="F336" s="295" t="s">
        <v>237</v>
      </c>
      <c r="G336" s="308" t="s">
        <v>194</v>
      </c>
      <c r="H336" s="365">
        <v>1</v>
      </c>
      <c r="I336" s="366" t="s">
        <v>233</v>
      </c>
      <c r="J336" s="308"/>
      <c r="K336" s="548">
        <v>1</v>
      </c>
      <c r="L336" s="374">
        <f t="shared" si="67"/>
        <v>400.8</v>
      </c>
      <c r="M336" s="507">
        <v>1.6666666666666668E-3</v>
      </c>
      <c r="N336" s="595">
        <v>1</v>
      </c>
      <c r="O336" s="590">
        <f t="shared" si="61"/>
        <v>0.66800000000000004</v>
      </c>
      <c r="P336" s="306">
        <f>VLOOKUP($F336,'[1]Master Harga'!$E$6:$L$351,6,FALSE)</f>
        <v>89964</v>
      </c>
      <c r="Q336" s="296">
        <f t="shared" si="62"/>
        <v>60095.952000000005</v>
      </c>
      <c r="R336" s="296">
        <f>VLOOKUP($F336,'[1]Master Harga'!$E$5:$L$351,6,FALSE)</f>
        <v>89964</v>
      </c>
      <c r="S336" s="296">
        <f t="shared" si="63"/>
        <v>60095.952000000005</v>
      </c>
      <c r="T336" s="296">
        <f>VLOOKUP($F336,'[1]Master Harga'!$E$5:$L$351,7,FALSE)</f>
        <v>94462.2</v>
      </c>
      <c r="U336" s="296">
        <f t="shared" si="64"/>
        <v>63100.749600000003</v>
      </c>
      <c r="V336" s="296">
        <f t="shared" si="65"/>
        <v>91463.400000000009</v>
      </c>
      <c r="W336" s="307">
        <f t="shared" si="66"/>
        <v>61097.551200000009</v>
      </c>
      <c r="X336" s="295"/>
      <c r="Y336" s="571">
        <f t="shared" si="49"/>
        <v>149.94</v>
      </c>
      <c r="Z336" s="295"/>
      <c r="AB336" s="393"/>
      <c r="AC336" s="393"/>
      <c r="AD336" s="308"/>
      <c r="AF336" s="393"/>
      <c r="AG336" s="393"/>
      <c r="AH336" s="308"/>
      <c r="AJ336" s="393"/>
      <c r="AK336" s="393"/>
      <c r="AL336" s="300"/>
    </row>
    <row r="337" spans="2:39" x14ac:dyDescent="0.35">
      <c r="B337" s="367"/>
      <c r="C337" s="368"/>
      <c r="D337" s="368"/>
      <c r="E337" s="408"/>
      <c r="F337" s="505" t="s">
        <v>351</v>
      </c>
      <c r="G337" s="308" t="s">
        <v>192</v>
      </c>
      <c r="H337" s="365"/>
      <c r="I337" s="366"/>
      <c r="J337" s="308"/>
      <c r="K337" s="548">
        <v>1</v>
      </c>
      <c r="L337" s="374">
        <f t="shared" si="67"/>
        <v>400.8</v>
      </c>
      <c r="M337" s="507">
        <f>0.25*M261</f>
        <v>35.75</v>
      </c>
      <c r="N337" s="595">
        <v>1</v>
      </c>
      <c r="O337" s="590">
        <f t="shared" si="61"/>
        <v>14328.6</v>
      </c>
      <c r="P337" s="306">
        <f>VLOOKUP($F337,'[1]Master Harga'!$E$6:$L$351,6,FALSE)</f>
        <v>6253.7370000000001</v>
      </c>
      <c r="Q337" s="296">
        <f t="shared" si="62"/>
        <v>89607295.978200004</v>
      </c>
      <c r="R337" s="296">
        <f>VLOOKUP($F337,'[1]Master Harga'!$E$5:$L$351,6,FALSE)</f>
        <v>6253.7370000000001</v>
      </c>
      <c r="S337" s="296">
        <f t="shared" si="63"/>
        <v>89607295.978200004</v>
      </c>
      <c r="T337" s="296">
        <f>VLOOKUP($F337,'[1]Master Harga'!$E$5:$L$351,7,FALSE)</f>
        <v>6566.4238500000001</v>
      </c>
      <c r="U337" s="296">
        <f t="shared" si="64"/>
        <v>94087660.77711001</v>
      </c>
      <c r="V337" s="296">
        <f t="shared" si="65"/>
        <v>6357.9659499999998</v>
      </c>
      <c r="W337" s="307">
        <f t="shared" si="66"/>
        <v>91100750.911170006</v>
      </c>
      <c r="X337" s="295"/>
      <c r="Y337" s="571">
        <f t="shared" si="49"/>
        <v>223571.09775000002</v>
      </c>
      <c r="Z337" s="295"/>
      <c r="AB337" s="393"/>
      <c r="AC337" s="393"/>
      <c r="AD337" s="308"/>
      <c r="AF337" s="393"/>
      <c r="AG337" s="393"/>
      <c r="AH337" s="308"/>
      <c r="AJ337" s="393"/>
      <c r="AK337" s="393"/>
      <c r="AL337" s="300"/>
    </row>
    <row r="338" spans="2:39" hidden="1" x14ac:dyDescent="0.35">
      <c r="B338" s="312"/>
      <c r="C338" s="313"/>
      <c r="D338" s="313" t="s">
        <v>408</v>
      </c>
      <c r="E338" s="314"/>
      <c r="F338" s="288" t="s">
        <v>189</v>
      </c>
      <c r="G338" s="289" t="s">
        <v>190</v>
      </c>
      <c r="H338" s="290"/>
      <c r="I338" s="291"/>
      <c r="J338" s="289"/>
      <c r="K338" s="292"/>
      <c r="L338" s="293">
        <v>1</v>
      </c>
      <c r="M338" s="294">
        <v>6</v>
      </c>
      <c r="N338" s="296">
        <v>1</v>
      </c>
      <c r="O338" s="296"/>
      <c r="P338" s="306"/>
      <c r="Q338" s="296"/>
      <c r="R338" s="296"/>
      <c r="S338" s="296"/>
      <c r="T338" s="296"/>
      <c r="U338" s="296"/>
      <c r="V338" s="296"/>
      <c r="W338" s="296"/>
      <c r="X338" s="295"/>
      <c r="Y338" s="306">
        <f t="shared" si="49"/>
        <v>0</v>
      </c>
      <c r="Z338" s="295"/>
      <c r="AB338" s="393"/>
      <c r="AC338" s="393"/>
      <c r="AD338" s="308"/>
      <c r="AF338" s="393"/>
      <c r="AG338" s="393"/>
      <c r="AH338" s="308"/>
      <c r="AJ338" s="393"/>
      <c r="AK338" s="393"/>
      <c r="AL338" s="300"/>
    </row>
    <row r="339" spans="2:39" hidden="1" x14ac:dyDescent="0.35">
      <c r="B339" s="320"/>
      <c r="C339" s="321"/>
      <c r="D339" s="321"/>
      <c r="E339" s="322"/>
      <c r="F339" s="288" t="s">
        <v>409</v>
      </c>
      <c r="G339" s="289" t="s">
        <v>356</v>
      </c>
      <c r="H339" s="290"/>
      <c r="I339" s="291"/>
      <c r="J339" s="289"/>
      <c r="K339" s="292"/>
      <c r="L339" s="293">
        <v>1</v>
      </c>
      <c r="M339" s="294">
        <v>40</v>
      </c>
      <c r="N339" s="296">
        <v>1</v>
      </c>
      <c r="O339" s="296"/>
      <c r="P339" s="306"/>
      <c r="Q339" s="296"/>
      <c r="R339" s="296"/>
      <c r="S339" s="296"/>
      <c r="T339" s="296"/>
      <c r="U339" s="296"/>
      <c r="V339" s="296"/>
      <c r="W339" s="296"/>
      <c r="X339" s="295"/>
      <c r="Y339" s="306">
        <f t="shared" si="49"/>
        <v>0</v>
      </c>
      <c r="Z339" s="295"/>
      <c r="AB339" s="393"/>
      <c r="AC339" s="393"/>
      <c r="AD339" s="308"/>
      <c r="AF339" s="393"/>
      <c r="AG339" s="393"/>
      <c r="AH339" s="308"/>
      <c r="AJ339" s="393"/>
      <c r="AK339" s="393"/>
      <c r="AL339" s="300"/>
    </row>
    <row r="340" spans="2:39" hidden="1" x14ac:dyDescent="0.35">
      <c r="B340" s="312"/>
      <c r="C340" s="313"/>
      <c r="D340" s="313" t="s">
        <v>352</v>
      </c>
      <c r="E340" s="314"/>
      <c r="F340" s="288" t="s">
        <v>189</v>
      </c>
      <c r="G340" s="289" t="s">
        <v>190</v>
      </c>
      <c r="H340" s="290"/>
      <c r="I340" s="291"/>
      <c r="J340" s="289"/>
      <c r="K340" s="292"/>
      <c r="L340" s="293"/>
      <c r="M340" s="294"/>
      <c r="N340" s="296"/>
      <c r="O340" s="296"/>
      <c r="P340" s="306"/>
      <c r="Q340" s="296"/>
      <c r="R340" s="296"/>
      <c r="S340" s="296"/>
      <c r="T340" s="296"/>
      <c r="U340" s="296"/>
      <c r="V340" s="296"/>
      <c r="W340" s="296"/>
      <c r="X340" s="295"/>
      <c r="Y340" s="306">
        <f t="shared" si="49"/>
        <v>0</v>
      </c>
      <c r="Z340" s="295"/>
      <c r="AB340" s="393"/>
      <c r="AC340" s="393"/>
      <c r="AD340" s="308"/>
      <c r="AF340" s="393"/>
      <c r="AG340" s="393"/>
      <c r="AH340" s="308"/>
      <c r="AJ340" s="393"/>
      <c r="AK340" s="393"/>
      <c r="AL340" s="300"/>
    </row>
    <row r="341" spans="2:39" hidden="1" x14ac:dyDescent="0.35">
      <c r="B341" s="338"/>
      <c r="C341" s="350"/>
      <c r="D341" s="350"/>
      <c r="E341" s="351"/>
      <c r="F341" s="288" t="s">
        <v>410</v>
      </c>
      <c r="G341" s="289" t="s">
        <v>192</v>
      </c>
      <c r="H341" s="290"/>
      <c r="I341" s="291"/>
      <c r="J341" s="289"/>
      <c r="K341" s="292"/>
      <c r="L341" s="293"/>
      <c r="M341" s="294"/>
      <c r="N341" s="296"/>
      <c r="O341" s="296"/>
      <c r="P341" s="306"/>
      <c r="Q341" s="296"/>
      <c r="R341" s="296"/>
      <c r="S341" s="296"/>
      <c r="T341" s="296"/>
      <c r="U341" s="296"/>
      <c r="V341" s="296"/>
      <c r="W341" s="296"/>
      <c r="X341" s="295"/>
      <c r="Y341" s="306">
        <f t="shared" si="49"/>
        <v>0</v>
      </c>
      <c r="Z341" s="295"/>
      <c r="AB341" s="393"/>
      <c r="AC341" s="393"/>
      <c r="AD341" s="308"/>
      <c r="AF341" s="393"/>
      <c r="AG341" s="393"/>
      <c r="AH341" s="308"/>
      <c r="AJ341" s="393"/>
      <c r="AK341" s="393"/>
      <c r="AL341" s="300"/>
    </row>
    <row r="342" spans="2:39" hidden="1" x14ac:dyDescent="0.35">
      <c r="B342" s="320"/>
      <c r="C342" s="321"/>
      <c r="D342" s="321"/>
      <c r="E342" s="322"/>
      <c r="F342" s="288" t="s">
        <v>354</v>
      </c>
      <c r="G342" s="289" t="s">
        <v>203</v>
      </c>
      <c r="H342" s="290"/>
      <c r="I342" s="291"/>
      <c r="J342" s="289"/>
      <c r="K342" s="292"/>
      <c r="L342" s="293"/>
      <c r="M342" s="294"/>
      <c r="N342" s="296"/>
      <c r="O342" s="296"/>
      <c r="P342" s="306"/>
      <c r="Q342" s="296"/>
      <c r="R342" s="296"/>
      <c r="S342" s="296"/>
      <c r="T342" s="296"/>
      <c r="U342" s="296"/>
      <c r="V342" s="296"/>
      <c r="W342" s="296"/>
      <c r="X342" s="295"/>
      <c r="Y342" s="306">
        <f t="shared" si="49"/>
        <v>0</v>
      </c>
      <c r="Z342" s="295"/>
      <c r="AB342" s="393"/>
      <c r="AC342" s="393"/>
      <c r="AD342" s="308"/>
      <c r="AF342" s="393"/>
      <c r="AG342" s="393"/>
      <c r="AH342" s="308"/>
      <c r="AJ342" s="393"/>
      <c r="AK342" s="393"/>
      <c r="AL342" s="300"/>
    </row>
    <row r="343" spans="2:39" x14ac:dyDescent="0.35">
      <c r="B343" s="290"/>
      <c r="C343" s="291"/>
      <c r="D343" s="291" t="s">
        <v>355</v>
      </c>
      <c r="E343" s="396"/>
      <c r="F343" s="288"/>
      <c r="G343" s="289"/>
      <c r="H343" s="290"/>
      <c r="I343" s="291"/>
      <c r="J343" s="289"/>
      <c r="K343" s="292"/>
      <c r="L343" s="293"/>
      <c r="M343" s="294"/>
      <c r="N343" s="296"/>
      <c r="O343" s="296"/>
      <c r="P343" s="306"/>
      <c r="Q343" s="296"/>
      <c r="R343" s="296"/>
      <c r="S343" s="296"/>
      <c r="T343" s="296"/>
      <c r="U343" s="296"/>
      <c r="V343" s="296"/>
      <c r="W343" s="296"/>
      <c r="X343" s="295"/>
      <c r="Y343" s="306">
        <f t="shared" ref="Y343:Y359" si="68">Q343/$AB$1</f>
        <v>0</v>
      </c>
      <c r="Z343" s="295"/>
      <c r="AB343" s="393"/>
      <c r="AC343" s="393"/>
      <c r="AD343" s="308"/>
      <c r="AF343" s="393"/>
      <c r="AG343" s="393"/>
      <c r="AH343" s="308"/>
      <c r="AJ343" s="393"/>
      <c r="AK343" s="393"/>
      <c r="AL343" s="300"/>
    </row>
    <row r="344" spans="2:39" x14ac:dyDescent="0.35">
      <c r="B344" s="301"/>
      <c r="C344" s="302"/>
      <c r="D344" s="302"/>
      <c r="E344" s="600" t="s">
        <v>130</v>
      </c>
      <c r="F344" s="288" t="s">
        <v>357</v>
      </c>
      <c r="G344" s="289" t="s">
        <v>356</v>
      </c>
      <c r="H344" s="290"/>
      <c r="I344" s="291"/>
      <c r="J344" s="289"/>
      <c r="K344" s="548">
        <v>1</v>
      </c>
      <c r="L344" s="374">
        <f>(O312+O337)/1000</f>
        <v>22.92576</v>
      </c>
      <c r="M344" s="323">
        <v>1</v>
      </c>
      <c r="N344" s="411">
        <v>1</v>
      </c>
      <c r="O344" s="590">
        <f t="shared" ref="O344:O348" si="69">K344*L344*M344*N344</f>
        <v>22.92576</v>
      </c>
      <c r="P344" s="306">
        <f>VLOOKUP($F344,'[1]Master Harga'!$E$6:$L$351,6,FALSE)</f>
        <v>20475</v>
      </c>
      <c r="Q344" s="296">
        <f t="shared" ref="Q344:Q348" si="70">P344*$O344</f>
        <v>469404.93599999999</v>
      </c>
      <c r="R344" s="296">
        <f>VLOOKUP($F344,'[1]Master Harga'!$E$5:$L$351,6,FALSE)</f>
        <v>20475</v>
      </c>
      <c r="S344" s="296">
        <f t="shared" ref="S344:S348" si="71">R344*$O344</f>
        <v>469404.93599999999</v>
      </c>
      <c r="T344" s="296">
        <f>VLOOKUP($F344,'[1]Master Harga'!$E$5:$L$351,7,FALSE)</f>
        <v>21498.75</v>
      </c>
      <c r="U344" s="296">
        <f t="shared" ref="U344:U348" si="72">T344*$O344</f>
        <v>492875.18280000001</v>
      </c>
      <c r="V344" s="296">
        <f t="shared" ref="V344:V348" si="73">W344/O344</f>
        <v>20816.25</v>
      </c>
      <c r="W344" s="307">
        <f t="shared" ref="W344:W348" si="74">AVERAGEIF($P$3:$U$3,W$3,$P344:$U344)</f>
        <v>477228.35159999999</v>
      </c>
      <c r="X344" s="295"/>
      <c r="Y344" s="571">
        <f t="shared" si="68"/>
        <v>1171.1699999999998</v>
      </c>
      <c r="Z344" s="295"/>
      <c r="AB344" s="393"/>
      <c r="AC344" s="393"/>
      <c r="AD344" s="308"/>
      <c r="AF344" s="393"/>
      <c r="AG344" s="393"/>
      <c r="AH344" s="308"/>
      <c r="AJ344" s="393"/>
      <c r="AK344" s="393"/>
      <c r="AL344" s="300"/>
    </row>
    <row r="345" spans="2:39" x14ac:dyDescent="0.35">
      <c r="B345" s="315"/>
      <c r="C345" s="316"/>
      <c r="D345" s="316"/>
      <c r="E345" s="317"/>
      <c r="F345" s="288" t="s">
        <v>354</v>
      </c>
      <c r="G345" s="289" t="s">
        <v>203</v>
      </c>
      <c r="H345" s="290"/>
      <c r="I345" s="291"/>
      <c r="J345" s="289"/>
      <c r="K345" s="548">
        <v>1</v>
      </c>
      <c r="L345" s="374">
        <f>$L$344</f>
        <v>22.92576</v>
      </c>
      <c r="M345" s="323">
        <v>5.0000000000000001E-3</v>
      </c>
      <c r="N345" s="411">
        <v>1</v>
      </c>
      <c r="O345" s="590">
        <f t="shared" si="69"/>
        <v>0.1146288</v>
      </c>
      <c r="P345" s="306">
        <f>VLOOKUP($F345,'[1]Master Harga'!$E$6:$L$351,6,FALSE)</f>
        <v>146704.95000000001</v>
      </c>
      <c r="Q345" s="296">
        <f t="shared" si="70"/>
        <v>16816.612372560001</v>
      </c>
      <c r="R345" s="296">
        <f>VLOOKUP($F345,'[1]Master Harga'!$E$5:$L$351,6,FALSE)</f>
        <v>146704.95000000001</v>
      </c>
      <c r="S345" s="296">
        <f t="shared" si="71"/>
        <v>16816.612372560001</v>
      </c>
      <c r="T345" s="296">
        <f>VLOOKUP($F345,'[1]Master Harga'!$E$5:$L$351,7,FALSE)</f>
        <v>154040.19750000001</v>
      </c>
      <c r="U345" s="296">
        <f t="shared" si="72"/>
        <v>17657.442991188</v>
      </c>
      <c r="V345" s="296">
        <f t="shared" si="73"/>
        <v>149150.0325</v>
      </c>
      <c r="W345" s="307">
        <f t="shared" si="74"/>
        <v>17096.889245435999</v>
      </c>
      <c r="X345" s="295"/>
      <c r="Y345" s="571">
        <f t="shared" si="68"/>
        <v>41.957615699999998</v>
      </c>
      <c r="Z345" s="295"/>
      <c r="AB345" s="393"/>
      <c r="AC345" s="393"/>
      <c r="AD345" s="308"/>
      <c r="AF345" s="393"/>
      <c r="AG345" s="393"/>
      <c r="AH345" s="308"/>
      <c r="AJ345" s="393"/>
      <c r="AK345" s="393"/>
      <c r="AL345" s="300"/>
    </row>
    <row r="346" spans="2:39" x14ac:dyDescent="0.35">
      <c r="B346" s="367"/>
      <c r="C346" s="368"/>
      <c r="D346" s="368"/>
      <c r="E346" s="408"/>
      <c r="F346" s="295" t="s">
        <v>359</v>
      </c>
      <c r="G346" s="308" t="s">
        <v>356</v>
      </c>
      <c r="H346" s="365"/>
      <c r="I346" s="366"/>
      <c r="J346" s="308"/>
      <c r="K346" s="548">
        <v>1</v>
      </c>
      <c r="L346" s="374">
        <f>$L$344</f>
        <v>22.92576</v>
      </c>
      <c r="M346" s="323">
        <v>1</v>
      </c>
      <c r="N346" s="411">
        <v>1</v>
      </c>
      <c r="O346" s="590">
        <f t="shared" si="69"/>
        <v>22.92576</v>
      </c>
      <c r="P346" s="306">
        <f>VLOOKUP($F346,'[1]Master Harga'!$E$6:$L$351,6,FALSE)</f>
        <v>62200</v>
      </c>
      <c r="Q346" s="296">
        <f t="shared" si="70"/>
        <v>1425982.2720000001</v>
      </c>
      <c r="R346" s="296">
        <f>VLOOKUP($F346,'[1]Master Harga'!$E$5:$L$351,6,FALSE)</f>
        <v>62200</v>
      </c>
      <c r="S346" s="296">
        <f t="shared" si="71"/>
        <v>1425982.2720000001</v>
      </c>
      <c r="T346" s="296">
        <f>VLOOKUP($F346,'[1]Master Harga'!$E$5:$L$351,7,FALSE)</f>
        <v>65017.659999999996</v>
      </c>
      <c r="U346" s="296">
        <f t="shared" si="72"/>
        <v>1490579.2689216</v>
      </c>
      <c r="V346" s="296">
        <f t="shared" si="73"/>
        <v>63139.22</v>
      </c>
      <c r="W346" s="307">
        <f t="shared" si="74"/>
        <v>1447514.6043072001</v>
      </c>
      <c r="X346" s="295"/>
      <c r="Y346" s="571">
        <f t="shared" si="68"/>
        <v>3557.84</v>
      </c>
      <c r="Z346" s="295"/>
      <c r="AB346" s="393"/>
      <c r="AC346" s="393"/>
      <c r="AD346" s="308"/>
      <c r="AF346" s="393"/>
      <c r="AG346" s="393"/>
      <c r="AH346" s="308"/>
      <c r="AJ346" s="393"/>
      <c r="AK346" s="393"/>
      <c r="AL346" s="300"/>
    </row>
    <row r="347" spans="2:39" x14ac:dyDescent="0.35">
      <c r="B347" s="301"/>
      <c r="C347" s="302"/>
      <c r="D347" s="302"/>
      <c r="E347" s="303" t="s">
        <v>133</v>
      </c>
      <c r="F347" s="288" t="s">
        <v>360</v>
      </c>
      <c r="G347" s="289" t="s">
        <v>356</v>
      </c>
      <c r="H347" s="290"/>
      <c r="I347" s="291"/>
      <c r="J347" s="289"/>
      <c r="K347" s="548">
        <v>1</v>
      </c>
      <c r="L347" s="374">
        <f>$L$344</f>
        <v>22.92576</v>
      </c>
      <c r="M347" s="323">
        <v>1</v>
      </c>
      <c r="N347" s="411">
        <v>1</v>
      </c>
      <c r="O347" s="590">
        <f t="shared" si="69"/>
        <v>22.92576</v>
      </c>
      <c r="P347" s="306">
        <f>VLOOKUP($F347,'[1]Master Harga'!$E$6:$L$351,6,FALSE)</f>
        <v>33600</v>
      </c>
      <c r="Q347" s="296">
        <f t="shared" si="70"/>
        <v>770305.53599999996</v>
      </c>
      <c r="R347" s="296">
        <f>VLOOKUP($F347,'[1]Master Harga'!$E$5:$L$351,6,FALSE)</f>
        <v>33600</v>
      </c>
      <c r="S347" s="296">
        <f t="shared" si="71"/>
        <v>770305.53599999996</v>
      </c>
      <c r="T347" s="296">
        <f>VLOOKUP($F347,'[1]Master Harga'!$E$5:$L$351,7,FALSE)</f>
        <v>35280</v>
      </c>
      <c r="U347" s="296">
        <f t="shared" si="72"/>
        <v>808820.81279999996</v>
      </c>
      <c r="V347" s="296">
        <f t="shared" si="73"/>
        <v>34160</v>
      </c>
      <c r="W347" s="307">
        <f t="shared" si="74"/>
        <v>783143.96160000004</v>
      </c>
      <c r="X347" s="295"/>
      <c r="Y347" s="571">
        <f t="shared" si="68"/>
        <v>1921.9199999999998</v>
      </c>
      <c r="Z347" s="295"/>
      <c r="AB347" s="393"/>
      <c r="AC347" s="393"/>
      <c r="AD347" s="308"/>
      <c r="AF347" s="393"/>
      <c r="AG347" s="393"/>
      <c r="AH347" s="308"/>
      <c r="AJ347" s="393"/>
      <c r="AK347" s="393"/>
      <c r="AL347" s="300"/>
    </row>
    <row r="348" spans="2:39" x14ac:dyDescent="0.35">
      <c r="B348" s="367"/>
      <c r="C348" s="368"/>
      <c r="D348" s="368"/>
      <c r="E348" s="408"/>
      <c r="F348" s="288" t="s">
        <v>411</v>
      </c>
      <c r="G348" s="289" t="s">
        <v>192</v>
      </c>
      <c r="H348" s="290"/>
      <c r="I348" s="291"/>
      <c r="J348" s="289"/>
      <c r="K348" s="548">
        <v>1</v>
      </c>
      <c r="L348" s="374">
        <f>$L$344</f>
        <v>22.92576</v>
      </c>
      <c r="M348" s="323">
        <v>1</v>
      </c>
      <c r="N348" s="411">
        <v>1</v>
      </c>
      <c r="O348" s="590">
        <f t="shared" si="69"/>
        <v>22.92576</v>
      </c>
      <c r="P348" s="306">
        <f>VLOOKUP($F348,'[1]Master Harga'!$E$6:$L$351,6,FALSE)</f>
        <v>0</v>
      </c>
      <c r="Q348" s="296">
        <f t="shared" si="70"/>
        <v>0</v>
      </c>
      <c r="R348" s="296">
        <f>VLOOKUP($F348,'[1]Master Harga'!$E$5:$L$351,6,FALSE)</f>
        <v>0</v>
      </c>
      <c r="S348" s="296">
        <f t="shared" si="71"/>
        <v>0</v>
      </c>
      <c r="T348" s="296">
        <f>VLOOKUP($F348,'[1]Master Harga'!$E$5:$L$351,7,FALSE)</f>
        <v>0</v>
      </c>
      <c r="U348" s="296">
        <f t="shared" si="72"/>
        <v>0</v>
      </c>
      <c r="V348" s="296">
        <f t="shared" si="73"/>
        <v>0</v>
      </c>
      <c r="W348" s="307">
        <f t="shared" si="74"/>
        <v>0</v>
      </c>
      <c r="X348" s="295"/>
      <c r="Y348" s="571">
        <f t="shared" si="68"/>
        <v>0</v>
      </c>
      <c r="Z348" s="295"/>
      <c r="AB348" s="393"/>
      <c r="AC348" s="393"/>
      <c r="AD348" s="308"/>
      <c r="AF348" s="393"/>
      <c r="AG348" s="393"/>
      <c r="AH348" s="308"/>
      <c r="AJ348" s="393"/>
      <c r="AK348" s="393"/>
      <c r="AL348" s="300"/>
    </row>
    <row r="349" spans="2:39" s="490" customFormat="1" x14ac:dyDescent="0.35">
      <c r="B349" s="412" t="s">
        <v>412</v>
      </c>
      <c r="C349" s="413"/>
      <c r="D349" s="413"/>
      <c r="E349" s="414"/>
      <c r="F349" s="458"/>
      <c r="G349" s="459"/>
      <c r="H349" s="460"/>
      <c r="I349" s="461"/>
      <c r="J349" s="459"/>
      <c r="K349" s="462"/>
      <c r="L349" s="463"/>
      <c r="M349" s="464"/>
      <c r="N349" s="390"/>
      <c r="O349" s="390"/>
      <c r="P349" s="392"/>
      <c r="Q349" s="390">
        <f>SUM(Q303:Q348)</f>
        <v>257138763.25073257</v>
      </c>
      <c r="R349" s="390"/>
      <c r="S349" s="390" t="e">
        <f>SUM(S276:S348)</f>
        <v>#N/A</v>
      </c>
      <c r="T349" s="390"/>
      <c r="U349" s="390" t="e">
        <f>SUM(U276:U348)</f>
        <v>#N/A</v>
      </c>
      <c r="V349" s="390"/>
      <c r="W349" s="390" t="e">
        <f>SUM(W276:W348)</f>
        <v>#N/A</v>
      </c>
      <c r="X349" s="465"/>
      <c r="Y349" s="392">
        <f t="shared" si="68"/>
        <v>641563.78056570003</v>
      </c>
      <c r="Z349" s="560">
        <f>Q349/$Q$359*100</f>
        <v>1.2936881977420587</v>
      </c>
      <c r="AB349" s="393"/>
      <c r="AC349" s="393"/>
      <c r="AD349" s="300"/>
      <c r="AF349" s="393"/>
      <c r="AG349" s="393"/>
      <c r="AH349" s="300"/>
      <c r="AJ349" s="393"/>
      <c r="AK349" s="393"/>
      <c r="AL349" s="300"/>
    </row>
    <row r="350" spans="2:39" s="490" customFormat="1" x14ac:dyDescent="0.35">
      <c r="B350" s="476" t="s">
        <v>413</v>
      </c>
      <c r="C350" s="477"/>
      <c r="D350" s="477"/>
      <c r="E350" s="478"/>
      <c r="F350" s="479"/>
      <c r="G350" s="480"/>
      <c r="H350" s="481"/>
      <c r="I350" s="482"/>
      <c r="J350" s="480"/>
      <c r="K350" s="483"/>
      <c r="L350" s="484"/>
      <c r="M350" s="485"/>
      <c r="N350" s="486"/>
      <c r="O350" s="486"/>
      <c r="P350" s="487"/>
      <c r="Q350" s="486">
        <f>Q235+Q258+Q278+Q301+Q349</f>
        <v>5114365129.1335135</v>
      </c>
      <c r="R350" s="486"/>
      <c r="S350" s="486" t="e">
        <f>SUM(S260:S348)</f>
        <v>#N/A</v>
      </c>
      <c r="T350" s="486"/>
      <c r="U350" s="486" t="e">
        <f>SUM(U260:U348)</f>
        <v>#N/A</v>
      </c>
      <c r="V350" s="486"/>
      <c r="W350" s="486" t="e">
        <f>SUM(W260:W348)</f>
        <v>#N/A</v>
      </c>
      <c r="X350" s="488"/>
      <c r="Y350" s="487">
        <f t="shared" si="68"/>
        <v>12760392.03875627</v>
      </c>
      <c r="Z350" s="489">
        <f>Q350/7783811040.11*100</f>
        <v>65.705155261081956</v>
      </c>
      <c r="AB350" s="393"/>
      <c r="AC350" s="393"/>
      <c r="AD350" s="394"/>
      <c r="AF350" s="393"/>
      <c r="AG350" s="393"/>
      <c r="AH350" s="394"/>
      <c r="AJ350" s="393"/>
      <c r="AK350" s="393"/>
      <c r="AL350" s="393"/>
      <c r="AM350" s="395"/>
    </row>
    <row r="351" spans="2:39" x14ac:dyDescent="0.35">
      <c r="B351" s="290"/>
      <c r="C351" s="286" t="s">
        <v>414</v>
      </c>
      <c r="D351" s="291"/>
      <c r="E351" s="396"/>
      <c r="F351" s="288"/>
      <c r="G351" s="289" t="s">
        <v>170</v>
      </c>
      <c r="H351" s="290"/>
      <c r="I351" s="291"/>
      <c r="J351" s="289"/>
      <c r="K351" s="292"/>
      <c r="L351" s="293"/>
      <c r="M351" s="294"/>
      <c r="N351" s="296"/>
      <c r="O351" s="296"/>
      <c r="P351" s="306"/>
      <c r="Q351" s="296"/>
      <c r="R351" s="296"/>
      <c r="S351" s="296"/>
      <c r="T351" s="296"/>
      <c r="U351" s="296"/>
      <c r="V351" s="296"/>
      <c r="W351" s="296"/>
      <c r="X351" s="295"/>
      <c r="Y351" s="306">
        <f t="shared" si="68"/>
        <v>0</v>
      </c>
      <c r="Z351" s="295"/>
      <c r="AB351" s="295"/>
      <c r="AC351" s="295"/>
      <c r="AD351" s="295"/>
      <c r="AF351" s="295"/>
      <c r="AG351" s="295"/>
      <c r="AH351" s="295"/>
      <c r="AJ351" s="295"/>
      <c r="AK351" s="295"/>
      <c r="AL351" s="295"/>
    </row>
    <row r="352" spans="2:39" x14ac:dyDescent="0.35">
      <c r="B352" s="301"/>
      <c r="C352" s="302"/>
      <c r="D352" s="302" t="s">
        <v>164</v>
      </c>
      <c r="E352" s="362"/>
      <c r="F352" s="348" t="s">
        <v>189</v>
      </c>
      <c r="G352" s="342" t="s">
        <v>190</v>
      </c>
      <c r="H352" s="343"/>
      <c r="I352" s="344"/>
      <c r="J352" s="342"/>
      <c r="K352" s="318">
        <v>1</v>
      </c>
      <c r="L352" s="293">
        <f>$AB$1</f>
        <v>400.8</v>
      </c>
      <c r="M352" s="294">
        <v>0.2</v>
      </c>
      <c r="N352" s="299">
        <v>12</v>
      </c>
      <c r="O352" s="508">
        <f>K352*M352*L352*N352</f>
        <v>961.92000000000007</v>
      </c>
      <c r="P352" s="306">
        <f>VLOOKUP($F352,'[1]Master Harga'!$E$6:$L$351,6,FALSE)</f>
        <v>149108.51999999999</v>
      </c>
      <c r="Q352" s="508">
        <f>O352*P352</f>
        <v>143430467.55840001</v>
      </c>
      <c r="R352" s="296">
        <f>VLOOKUP($F352,'[1]Master Harga'!$E$5:$L$351,6,FALSE)</f>
        <v>149108.51999999999</v>
      </c>
      <c r="S352" s="296">
        <f>R352*O352</f>
        <v>143430467.55840001</v>
      </c>
      <c r="T352" s="296">
        <f>VLOOKUP($F352,'[1]Master Harga'!$E$5:$L$351,7,FALSE)</f>
        <v>158800.57379999998</v>
      </c>
      <c r="U352" s="296">
        <f>T352*O352</f>
        <v>152753447.949696</v>
      </c>
      <c r="V352" s="296">
        <f>W352/O352</f>
        <v>152339.2046</v>
      </c>
      <c r="W352" s="296">
        <f>(Q352+S352+U352)/3</f>
        <v>146538127.68883201</v>
      </c>
      <c r="X352" s="306"/>
      <c r="Y352" s="306">
        <f t="shared" si="68"/>
        <v>357860.44799999997</v>
      </c>
      <c r="Z352" s="295"/>
      <c r="AB352" s="393"/>
      <c r="AC352" s="393"/>
      <c r="AD352" s="394"/>
      <c r="AF352" s="393"/>
      <c r="AG352" s="393"/>
      <c r="AH352" s="394"/>
      <c r="AJ352" s="393"/>
      <c r="AK352" s="393"/>
      <c r="AL352" s="393"/>
      <c r="AM352" s="395"/>
    </row>
    <row r="353" spans="2:38" x14ac:dyDescent="0.35">
      <c r="B353" s="315"/>
      <c r="C353" s="316"/>
      <c r="D353" s="316"/>
      <c r="E353" s="311"/>
      <c r="F353" s="348" t="s">
        <v>415</v>
      </c>
      <c r="G353" s="342" t="s">
        <v>416</v>
      </c>
      <c r="H353" s="343"/>
      <c r="I353" s="344"/>
      <c r="J353" s="342"/>
      <c r="K353" s="318">
        <v>1</v>
      </c>
      <c r="L353" s="293">
        <f>$L$352</f>
        <v>400.8</v>
      </c>
      <c r="M353" s="294">
        <v>1</v>
      </c>
      <c r="N353" s="299">
        <v>12</v>
      </c>
      <c r="O353" s="508">
        <f>K353*M353*L353*N353</f>
        <v>4809.6000000000004</v>
      </c>
      <c r="P353" s="306">
        <f>VLOOKUP($F353,'[1]Master Harga'!$E$6:$L$351,6,FALSE)</f>
        <v>2623.2570000000001</v>
      </c>
      <c r="Q353" s="508">
        <f>O353*P353</f>
        <v>12616816.867200002</v>
      </c>
      <c r="R353" s="296">
        <f>VLOOKUP($F353,'[1]Master Harga'!$E$5:$L$351,6,FALSE)</f>
        <v>2623.2570000000001</v>
      </c>
      <c r="S353" s="296">
        <f>R353*O353</f>
        <v>12616816.867200002</v>
      </c>
      <c r="T353" s="296">
        <f>VLOOKUP($F353,'[1]Master Harga'!$E$5:$L$351,7,FALSE)</f>
        <v>2754.4198500000002</v>
      </c>
      <c r="U353" s="296">
        <f>T353*O353</f>
        <v>13247657.710560001</v>
      </c>
      <c r="V353" s="296">
        <f>W353/O353</f>
        <v>2666.9779500000004</v>
      </c>
      <c r="W353" s="296">
        <f>(Q353+S353+U353)/3</f>
        <v>12827097.148320002</v>
      </c>
      <c r="X353" s="295"/>
      <c r="Y353" s="306">
        <f t="shared" si="68"/>
        <v>31479.084000000003</v>
      </c>
      <c r="Z353" s="295"/>
      <c r="AB353" s="295"/>
      <c r="AC353" s="295"/>
      <c r="AD353" s="295"/>
      <c r="AF353" s="295"/>
      <c r="AG353" s="295"/>
      <c r="AH353" s="295"/>
      <c r="AJ353" s="295"/>
      <c r="AK353" s="295"/>
      <c r="AL353" s="295"/>
    </row>
    <row r="354" spans="2:38" x14ac:dyDescent="0.35">
      <c r="B354" s="367"/>
      <c r="C354" s="368"/>
      <c r="D354" s="368"/>
      <c r="E354" s="443"/>
      <c r="F354" s="348" t="s">
        <v>417</v>
      </c>
      <c r="G354" s="342" t="s">
        <v>416</v>
      </c>
      <c r="H354" s="343"/>
      <c r="I354" s="344"/>
      <c r="J354" s="342"/>
      <c r="K354" s="318">
        <v>1</v>
      </c>
      <c r="L354" s="293">
        <f>$L$352</f>
        <v>400.8</v>
      </c>
      <c r="M354" s="294">
        <v>1</v>
      </c>
      <c r="N354" s="299">
        <v>12</v>
      </c>
      <c r="O354" s="508">
        <f>K354*M354*L354*N354</f>
        <v>4809.6000000000004</v>
      </c>
      <c r="P354" s="306">
        <f>VLOOKUP($F354,'[1]Master Harga'!$E$6:$L$351,6,FALSE)</f>
        <v>1273.6814999999999</v>
      </c>
      <c r="Q354" s="508">
        <f>O354*P354</f>
        <v>6125898.5423999997</v>
      </c>
      <c r="R354" s="296">
        <f>VLOOKUP($F354,'[1]Master Harga'!$E$5:$L$351,6,FALSE)</f>
        <v>1273.6814999999999</v>
      </c>
      <c r="S354" s="296">
        <f>R354*O354</f>
        <v>6125898.5423999997</v>
      </c>
      <c r="T354" s="296">
        <f>VLOOKUP($F354,'[1]Master Harga'!$E$5:$L$351,7,FALSE)</f>
        <v>1337.365575</v>
      </c>
      <c r="U354" s="296">
        <f>T354*O354</f>
        <v>6432193.4695200007</v>
      </c>
      <c r="V354" s="296">
        <f>W354/O354</f>
        <v>1294.909525</v>
      </c>
      <c r="W354" s="296">
        <f>(Q354+S354+U354)/3</f>
        <v>6227996.8514400003</v>
      </c>
      <c r="X354" s="295"/>
      <c r="Y354" s="306">
        <f t="shared" si="68"/>
        <v>15284.177999999998</v>
      </c>
      <c r="Z354" s="295"/>
      <c r="AB354" s="295"/>
      <c r="AC354" s="295"/>
      <c r="AD354" s="295"/>
      <c r="AF354" s="295"/>
      <c r="AG354" s="295"/>
      <c r="AH354" s="295"/>
      <c r="AJ354" s="295"/>
      <c r="AK354" s="295"/>
      <c r="AL354" s="295"/>
    </row>
    <row r="355" spans="2:38" x14ac:dyDescent="0.35">
      <c r="B355" s="301"/>
      <c r="C355" s="302"/>
      <c r="D355" s="302" t="s">
        <v>418</v>
      </c>
      <c r="E355" s="362"/>
      <c r="F355" s="295" t="s">
        <v>189</v>
      </c>
      <c r="G355" s="364" t="s">
        <v>190</v>
      </c>
      <c r="H355" s="365"/>
      <c r="I355" s="366"/>
      <c r="J355" s="364" t="s">
        <v>170</v>
      </c>
      <c r="K355" s="548">
        <v>1</v>
      </c>
      <c r="L355" s="293">
        <f>$L$352</f>
        <v>400.8</v>
      </c>
      <c r="M355" s="294">
        <v>0.05</v>
      </c>
      <c r="N355" s="299">
        <v>12</v>
      </c>
      <c r="O355" s="401">
        <f>K355*L355*M355*N355</f>
        <v>240.48000000000002</v>
      </c>
      <c r="P355" s="306">
        <f>VLOOKUP($F355,'[1]Master Harga'!$E$6:$L$351,6,FALSE)</f>
        <v>149108.51999999999</v>
      </c>
      <c r="Q355" s="543">
        <f>P355*$O355</f>
        <v>35857616.889600001</v>
      </c>
      <c r="R355" s="299">
        <f>VLOOKUP($F355,'[1]Master Harga'!$E$5:$L$351,6,FALSE)</f>
        <v>149108.51999999999</v>
      </c>
      <c r="S355" s="543">
        <f>R355*$O355</f>
        <v>35857616.889600001</v>
      </c>
      <c r="T355" s="296"/>
      <c r="U355" s="296"/>
      <c r="V355" s="296"/>
      <c r="W355" s="296"/>
      <c r="X355" s="295"/>
      <c r="Y355" s="306">
        <f t="shared" si="68"/>
        <v>89465.111999999994</v>
      </c>
      <c r="Z355" s="295"/>
      <c r="AB355" s="295"/>
      <c r="AC355" s="295"/>
      <c r="AD355" s="295"/>
      <c r="AF355" s="295"/>
      <c r="AG355" s="295"/>
      <c r="AH355" s="295"/>
      <c r="AJ355" s="295"/>
      <c r="AK355" s="295"/>
      <c r="AL355" s="295"/>
    </row>
    <row r="356" spans="2:38" x14ac:dyDescent="0.35">
      <c r="B356" s="367"/>
      <c r="C356" s="368"/>
      <c r="D356" s="368"/>
      <c r="E356" s="408"/>
      <c r="F356" s="295" t="s">
        <v>419</v>
      </c>
      <c r="G356" s="364" t="s">
        <v>341</v>
      </c>
      <c r="H356" s="365"/>
      <c r="I356" s="366"/>
      <c r="J356" s="364" t="s">
        <v>170</v>
      </c>
      <c r="K356" s="548">
        <v>1</v>
      </c>
      <c r="L356" s="293">
        <f>$L$352</f>
        <v>400.8</v>
      </c>
      <c r="M356" s="507">
        <v>1</v>
      </c>
      <c r="N356" s="299">
        <v>12</v>
      </c>
      <c r="O356" s="401">
        <f>K356*L356*M356*N356</f>
        <v>4809.6000000000004</v>
      </c>
      <c r="P356" s="306">
        <f>VLOOKUP($F356,'[1]Master Harga'!$E$6:$L$351,6,FALSE)</f>
        <v>21000</v>
      </c>
      <c r="Q356" s="543">
        <f>P356*$O356</f>
        <v>101001600.00000001</v>
      </c>
      <c r="R356" s="299">
        <f>VLOOKUP($F356,'[1]Master Harga'!$E$5:$L$351,6,FALSE)</f>
        <v>21000</v>
      </c>
      <c r="S356" s="543">
        <f>R356*$O356</f>
        <v>101001600.00000001</v>
      </c>
      <c r="T356" s="296"/>
      <c r="U356" s="296"/>
      <c r="V356" s="296"/>
      <c r="W356" s="296"/>
      <c r="X356" s="295"/>
      <c r="Y356" s="306">
        <f t="shared" si="68"/>
        <v>252000.00000000003</v>
      </c>
      <c r="Z356" s="295"/>
      <c r="AB356" s="295"/>
      <c r="AC356" s="295"/>
      <c r="AD356" s="295"/>
      <c r="AF356" s="295"/>
      <c r="AG356" s="295"/>
      <c r="AH356" s="295"/>
      <c r="AJ356" s="295"/>
      <c r="AK356" s="295"/>
      <c r="AL356" s="295"/>
    </row>
    <row r="357" spans="2:38" x14ac:dyDescent="0.35">
      <c r="B357" s="290"/>
      <c r="C357" s="291"/>
      <c r="D357" s="291" t="s">
        <v>420</v>
      </c>
      <c r="E357" s="396"/>
      <c r="F357" s="288" t="s">
        <v>189</v>
      </c>
      <c r="G357" s="289" t="s">
        <v>190</v>
      </c>
      <c r="H357" s="290"/>
      <c r="I357" s="291"/>
      <c r="J357" s="289"/>
      <c r="K357" s="304"/>
      <c r="L357" s="293"/>
      <c r="M357" s="294"/>
      <c r="N357" s="296"/>
      <c r="O357" s="508"/>
      <c r="P357" s="296"/>
      <c r="Q357" s="508"/>
      <c r="R357" s="296"/>
      <c r="S357" s="296"/>
      <c r="T357" s="296"/>
      <c r="U357" s="296"/>
      <c r="V357" s="296"/>
      <c r="W357" s="296"/>
      <c r="X357" s="295"/>
      <c r="Y357" s="306">
        <f t="shared" si="68"/>
        <v>0</v>
      </c>
      <c r="Z357" s="295"/>
      <c r="AB357" s="295"/>
      <c r="AC357" s="295"/>
      <c r="AD357" s="295"/>
      <c r="AF357" s="295"/>
      <c r="AG357" s="295"/>
      <c r="AH357" s="295"/>
      <c r="AJ357" s="295"/>
      <c r="AK357" s="295"/>
      <c r="AL357" s="295"/>
    </row>
    <row r="358" spans="2:38" x14ac:dyDescent="0.35">
      <c r="B358" s="476" t="s">
        <v>421</v>
      </c>
      <c r="C358" s="477"/>
      <c r="D358" s="477"/>
      <c r="E358" s="478"/>
      <c r="F358" s="601"/>
      <c r="G358" s="602"/>
      <c r="H358" s="603"/>
      <c r="I358" s="604"/>
      <c r="J358" s="602"/>
      <c r="K358" s="605"/>
      <c r="L358" s="606"/>
      <c r="M358" s="607"/>
      <c r="N358" s="608"/>
      <c r="O358" s="608"/>
      <c r="P358" s="608"/>
      <c r="Q358" s="486">
        <f>SUM(Q352:Q357)</f>
        <v>299032399.85760003</v>
      </c>
      <c r="R358" s="608"/>
      <c r="S358" s="486">
        <f>SUM(S352:S357)</f>
        <v>299032399.85760003</v>
      </c>
      <c r="T358" s="608"/>
      <c r="U358" s="486">
        <f>SUM(U352:U357)</f>
        <v>172433299.129776</v>
      </c>
      <c r="V358" s="608"/>
      <c r="W358" s="486">
        <f>SUM(W352:W357)</f>
        <v>165593221.68859202</v>
      </c>
      <c r="X358" s="609"/>
      <c r="Y358" s="487">
        <f t="shared" si="68"/>
        <v>746088.82200000004</v>
      </c>
      <c r="Z358" s="489">
        <f>Q358/$Q$359*100</f>
        <v>1.5044588437296185</v>
      </c>
      <c r="AB358" s="295"/>
      <c r="AC358" s="295"/>
      <c r="AD358" s="295"/>
      <c r="AF358" s="295"/>
      <c r="AG358" s="295"/>
      <c r="AH358" s="295"/>
      <c r="AJ358" s="295"/>
      <c r="AK358" s="295"/>
      <c r="AL358" s="295"/>
    </row>
    <row r="359" spans="2:38" ht="14.25" customHeight="1" x14ac:dyDescent="0.35">
      <c r="B359" s="610" t="s">
        <v>422</v>
      </c>
      <c r="C359" s="611"/>
      <c r="D359" s="611"/>
      <c r="E359" s="612"/>
      <c r="F359" s="613"/>
      <c r="G359" s="614"/>
      <c r="H359" s="615"/>
      <c r="I359" s="616"/>
      <c r="J359" s="614"/>
      <c r="K359" s="617"/>
      <c r="L359" s="618"/>
      <c r="M359" s="619"/>
      <c r="N359" s="620"/>
      <c r="O359" s="620"/>
      <c r="P359" s="620"/>
      <c r="Q359" s="621">
        <f>Q175+Q350+Q358</f>
        <v>19876409454.730301</v>
      </c>
      <c r="R359" s="620"/>
      <c r="S359" s="621" t="e">
        <f>S175+S258+S350+S358</f>
        <v>#N/A</v>
      </c>
      <c r="T359" s="620"/>
      <c r="U359" s="621" t="e">
        <f>U175+U258+U350+U358</f>
        <v>#N/A</v>
      </c>
      <c r="V359" s="620"/>
      <c r="W359" s="621" t="e">
        <f>W175+W258+W350+W358</f>
        <v>#N/A</v>
      </c>
      <c r="X359" s="622"/>
      <c r="Y359" s="623">
        <f t="shared" si="68"/>
        <v>49591839.956911929</v>
      </c>
      <c r="Z359" s="624">
        <f>Q359/$Q$359*100</f>
        <v>100</v>
      </c>
      <c r="AB359" s="295"/>
      <c r="AC359" s="295"/>
      <c r="AD359" s="295"/>
      <c r="AF359" s="295"/>
      <c r="AG359" s="295"/>
      <c r="AH359" s="295"/>
      <c r="AJ359" s="295"/>
      <c r="AK359" s="295"/>
      <c r="AL359" s="295"/>
    </row>
    <row r="360" spans="2:38" ht="14.25" customHeight="1" x14ac:dyDescent="0.35">
      <c r="B360" s="290"/>
      <c r="C360" s="291"/>
      <c r="D360" s="291"/>
      <c r="E360" s="287"/>
      <c r="F360" s="288"/>
      <c r="G360" s="289"/>
      <c r="H360" s="290"/>
      <c r="I360" s="291"/>
      <c r="J360" s="289"/>
      <c r="K360" s="292"/>
      <c r="L360" s="292"/>
      <c r="M360" s="294"/>
      <c r="N360" s="296"/>
      <c r="O360" s="296"/>
      <c r="P360" s="296"/>
      <c r="Q360" s="625"/>
      <c r="R360" s="296"/>
      <c r="S360" s="625" t="e">
        <f>S176+S258+S350+S358</f>
        <v>#REF!</v>
      </c>
      <c r="T360" s="296"/>
      <c r="U360" s="625" t="e">
        <f>U176+U258+U350+U358</f>
        <v>#REF!</v>
      </c>
      <c r="V360" s="296"/>
      <c r="W360" s="625" t="e">
        <f>W176+W258+W350+W358</f>
        <v>#REF!</v>
      </c>
      <c r="X360" s="295"/>
      <c r="Y360" s="295"/>
      <c r="Z360" s="295"/>
    </row>
    <row r="362" spans="2:38" x14ac:dyDescent="0.35">
      <c r="B362" s="225" t="s">
        <v>423</v>
      </c>
      <c r="E362" s="225" t="s">
        <v>424</v>
      </c>
      <c r="Q362" s="395">
        <f>Q175</f>
        <v>14463011925.739187</v>
      </c>
      <c r="S362" s="395">
        <f>S175</f>
        <v>213726693.59782219</v>
      </c>
      <c r="U362" s="395">
        <f>U175</f>
        <v>226579854.37269878</v>
      </c>
      <c r="W362" s="395">
        <f>W175</f>
        <v>222749648.50230122</v>
      </c>
      <c r="X362" s="626">
        <v>4403451913</v>
      </c>
    </row>
    <row r="363" spans="2:38" x14ac:dyDescent="0.35">
      <c r="E363" s="225" t="s">
        <v>425</v>
      </c>
      <c r="Q363" s="395">
        <f>Q258</f>
        <v>49667934.448710009</v>
      </c>
      <c r="S363" s="395" t="e">
        <f>S258</f>
        <v>#N/A</v>
      </c>
      <c r="U363" s="395" t="e">
        <f>U258</f>
        <v>#N/A</v>
      </c>
      <c r="W363" s="395" t="e">
        <f>W258</f>
        <v>#N/A</v>
      </c>
      <c r="X363">
        <v>192.08</v>
      </c>
    </row>
    <row r="364" spans="2:38" x14ac:dyDescent="0.35">
      <c r="E364" s="225" t="s">
        <v>57</v>
      </c>
      <c r="Q364" s="395">
        <f>Q350+Q358</f>
        <v>5413397528.9911137</v>
      </c>
      <c r="S364" s="395" t="e">
        <f>S350+S358</f>
        <v>#N/A</v>
      </c>
      <c r="U364" s="395" t="e">
        <f>U350+U358</f>
        <v>#N/A</v>
      </c>
      <c r="W364" s="395" t="e">
        <f>W350+W358</f>
        <v>#N/A</v>
      </c>
      <c r="X364" s="627">
        <f>X362/X363</f>
        <v>22925093.258017492</v>
      </c>
    </row>
    <row r="365" spans="2:38" x14ac:dyDescent="0.35">
      <c r="D365" s="628"/>
      <c r="E365" s="628" t="s">
        <v>426</v>
      </c>
      <c r="Q365" s="629">
        <f>SUM(Q362:Q364)</f>
        <v>19926077389.179008</v>
      </c>
      <c r="S365" s="629" t="e">
        <f>SUM(S362:S364)</f>
        <v>#N/A</v>
      </c>
      <c r="U365" s="629" t="e">
        <f>SUM(U362:U364)</f>
        <v>#N/A</v>
      </c>
      <c r="W365" s="629" t="e">
        <f>SUM(W362:W364)</f>
        <v>#N/A</v>
      </c>
    </row>
    <row r="366" spans="2:38" x14ac:dyDescent="0.35">
      <c r="E366" s="225" t="s">
        <v>427</v>
      </c>
      <c r="Q366" s="395">
        <f>'[1]SI TBM 1'!Q362</f>
        <v>8654805.086013956</v>
      </c>
      <c r="S366" s="395">
        <f>'[1]SI TBM 1'!S362</f>
        <v>9165320.8148242794</v>
      </c>
      <c r="U366" s="395">
        <f>'[1]SI TBM 1'!U362</f>
        <v>9730367.4049796015</v>
      </c>
      <c r="W366" s="395">
        <f>'[1]SI TBM 1'!W362</f>
        <v>9183497.7686059456</v>
      </c>
    </row>
    <row r="367" spans="2:38" x14ac:dyDescent="0.35">
      <c r="E367" s="225" t="s">
        <v>428</v>
      </c>
      <c r="Q367" s="395">
        <f>'[1]SI TBM 2'!Q362</f>
        <v>9197042.0340726674</v>
      </c>
      <c r="S367" s="395">
        <f>'[1]SI TBM 2'!S362</f>
        <v>9729773.8709999993</v>
      </c>
      <c r="U367" s="395">
        <f>'[1]SI TBM 2'!U362</f>
        <v>10237697.228701947</v>
      </c>
      <c r="W367" s="395">
        <f>'[1]SI TBM 2'!W362</f>
        <v>9721504.3779248688</v>
      </c>
    </row>
    <row r="368" spans="2:38" x14ac:dyDescent="0.35">
      <c r="E368" s="225" t="s">
        <v>429</v>
      </c>
      <c r="Q368" s="395">
        <f>'[1]SI TBM 3'!Q362</f>
        <v>10286486.620310416</v>
      </c>
      <c r="S368" s="395">
        <f>'[1]SI TBM 3'!S362</f>
        <v>10787636.89939848</v>
      </c>
      <c r="U368" s="395">
        <f>'[1]SI TBM 3'!U362</f>
        <v>11316376.468443621</v>
      </c>
      <c r="W368" s="395">
        <f>'[1]SI TBM 3'!W362</f>
        <v>10796833.32938417</v>
      </c>
    </row>
    <row r="369" spans="2:23" x14ac:dyDescent="0.35">
      <c r="Q369" s="629">
        <f>SUM(Q366:Q368)</f>
        <v>28138333.740397044</v>
      </c>
      <c r="S369" s="629">
        <f>SUM(S366:S368)</f>
        <v>29682731.585222758</v>
      </c>
      <c r="U369" s="629">
        <f>SUM(U366:U368)</f>
        <v>31284441.102125172</v>
      </c>
      <c r="W369" s="629">
        <f>SUM(W366:W368)</f>
        <v>29701835.475914985</v>
      </c>
    </row>
    <row r="370" spans="2:23" x14ac:dyDescent="0.35">
      <c r="E370" s="628" t="s">
        <v>430</v>
      </c>
      <c r="Q370" s="629">
        <f>Q369+Q365</f>
        <v>19954215722.919407</v>
      </c>
      <c r="S370" s="629" t="e">
        <f>S369+S365</f>
        <v>#N/A</v>
      </c>
      <c r="U370" s="629" t="e">
        <f>U369+U365</f>
        <v>#N/A</v>
      </c>
      <c r="W370" s="629" t="e">
        <f>W369+W365</f>
        <v>#N/A</v>
      </c>
    </row>
    <row r="372" spans="2:23" x14ac:dyDescent="0.35">
      <c r="B372" s="225" t="s">
        <v>431</v>
      </c>
      <c r="E372" s="225" t="s">
        <v>424</v>
      </c>
      <c r="Q372" s="395">
        <f>Q176</f>
        <v>0</v>
      </c>
      <c r="S372" s="395" t="e">
        <f>S176</f>
        <v>#REF!</v>
      </c>
      <c r="U372" s="395" t="e">
        <f>U176</f>
        <v>#REF!</v>
      </c>
      <c r="W372" s="395" t="e">
        <f>W176</f>
        <v>#REF!</v>
      </c>
    </row>
    <row r="373" spans="2:23" x14ac:dyDescent="0.35">
      <c r="E373" s="225" t="s">
        <v>425</v>
      </c>
      <c r="Q373" s="395">
        <f>Q258</f>
        <v>49667934.448710009</v>
      </c>
      <c r="S373" s="395" t="e">
        <f>S258</f>
        <v>#N/A</v>
      </c>
      <c r="U373" s="395" t="e">
        <f>U258</f>
        <v>#N/A</v>
      </c>
      <c r="W373" s="395" t="e">
        <f>W258</f>
        <v>#N/A</v>
      </c>
    </row>
    <row r="374" spans="2:23" x14ac:dyDescent="0.35">
      <c r="E374" s="225" t="s">
        <v>57</v>
      </c>
      <c r="Q374" s="395">
        <f>Q350+Q358</f>
        <v>5413397528.9911137</v>
      </c>
      <c r="S374" s="395" t="e">
        <f>S350+S358</f>
        <v>#N/A</v>
      </c>
      <c r="U374" s="395" t="e">
        <f>U350+U358</f>
        <v>#N/A</v>
      </c>
      <c r="W374" s="395" t="e">
        <f>W350+W358</f>
        <v>#N/A</v>
      </c>
    </row>
    <row r="375" spans="2:23" x14ac:dyDescent="0.35">
      <c r="E375" s="628" t="s">
        <v>426</v>
      </c>
      <c r="Q375" s="629">
        <f>SUM(Q372:Q374)</f>
        <v>5463065463.4398241</v>
      </c>
      <c r="S375" s="629" t="e">
        <f>SUM(S372:S374)</f>
        <v>#REF!</v>
      </c>
      <c r="U375" s="629" t="e">
        <f>SUM(U372:U374)</f>
        <v>#REF!</v>
      </c>
      <c r="W375" s="629" t="e">
        <f>SUM(W372:W374)</f>
        <v>#REF!</v>
      </c>
    </row>
    <row r="376" spans="2:23" x14ac:dyDescent="0.35">
      <c r="E376" s="225" t="s">
        <v>427</v>
      </c>
      <c r="Q376" s="395">
        <f>Q366</f>
        <v>8654805.086013956</v>
      </c>
      <c r="S376" s="395">
        <f>S366</f>
        <v>9165320.8148242794</v>
      </c>
      <c r="U376" s="395">
        <f>U366</f>
        <v>9730367.4049796015</v>
      </c>
      <c r="W376" s="395">
        <f>W366</f>
        <v>9183497.7686059456</v>
      </c>
    </row>
    <row r="377" spans="2:23" x14ac:dyDescent="0.35">
      <c r="E377" s="225" t="s">
        <v>428</v>
      </c>
      <c r="Q377" s="395">
        <f>Q367</f>
        <v>9197042.0340726674</v>
      </c>
      <c r="S377" s="395">
        <f>S367</f>
        <v>9729773.8709999993</v>
      </c>
      <c r="U377" s="395">
        <f t="shared" ref="U377:W378" si="75">U367</f>
        <v>10237697.228701947</v>
      </c>
      <c r="W377" s="395">
        <f t="shared" si="75"/>
        <v>9721504.3779248688</v>
      </c>
    </row>
    <row r="378" spans="2:23" x14ac:dyDescent="0.35">
      <c r="E378" s="225" t="s">
        <v>429</v>
      </c>
      <c r="Q378" s="395">
        <f>Q368</f>
        <v>10286486.620310416</v>
      </c>
      <c r="S378" s="395">
        <f>S368</f>
        <v>10787636.89939848</v>
      </c>
      <c r="U378" s="395">
        <f t="shared" si="75"/>
        <v>11316376.468443621</v>
      </c>
      <c r="W378" s="395">
        <f t="shared" si="75"/>
        <v>10796833.32938417</v>
      </c>
    </row>
    <row r="379" spans="2:23" x14ac:dyDescent="0.35">
      <c r="Q379" s="629">
        <f>SUM(Q376:Q378)</f>
        <v>28138333.740397044</v>
      </c>
      <c r="S379" s="629">
        <f>SUM(S376:S378)</f>
        <v>29682731.585222758</v>
      </c>
      <c r="U379" s="629">
        <f>SUM(U376:U378)</f>
        <v>31284441.102125172</v>
      </c>
      <c r="W379" s="629">
        <f>SUM(W376:W378)</f>
        <v>29701835.475914985</v>
      </c>
    </row>
    <row r="380" spans="2:23" x14ac:dyDescent="0.35">
      <c r="E380" s="628" t="s">
        <v>432</v>
      </c>
      <c r="Q380" s="629">
        <f>Q379+Q375</f>
        <v>5491203797.1802216</v>
      </c>
      <c r="S380" s="629" t="e">
        <f>S379+S375</f>
        <v>#REF!</v>
      </c>
      <c r="U380" s="629" t="e">
        <f>U379+U375</f>
        <v>#REF!</v>
      </c>
      <c r="W380" s="629" t="e">
        <f>W379+W375</f>
        <v>#REF!</v>
      </c>
    </row>
    <row r="381" spans="2:23" x14ac:dyDescent="0.35">
      <c r="Q381" s="578"/>
    </row>
    <row r="382" spans="2:23" x14ac:dyDescent="0.35">
      <c r="Q382" s="578"/>
    </row>
  </sheetData>
  <mergeCells count="51">
    <mergeCell ref="B359:E359"/>
    <mergeCell ref="B301:E301"/>
    <mergeCell ref="B326:E326"/>
    <mergeCell ref="B329:E329"/>
    <mergeCell ref="B349:E349"/>
    <mergeCell ref="B350:E350"/>
    <mergeCell ref="B358:E358"/>
    <mergeCell ref="B176:E176"/>
    <mergeCell ref="B194:E197"/>
    <mergeCell ref="B198:E200"/>
    <mergeCell ref="B235:E235"/>
    <mergeCell ref="B258:E258"/>
    <mergeCell ref="B278:E278"/>
    <mergeCell ref="B143:E143"/>
    <mergeCell ref="B148:E148"/>
    <mergeCell ref="B159:E159"/>
    <mergeCell ref="B167:E167"/>
    <mergeCell ref="B174:E174"/>
    <mergeCell ref="B175:E175"/>
    <mergeCell ref="AB5:AD5"/>
    <mergeCell ref="AF5:AH5"/>
    <mergeCell ref="AJ5:AL5"/>
    <mergeCell ref="B97:E97"/>
    <mergeCell ref="D108:E109"/>
    <mergeCell ref="B135:E135"/>
    <mergeCell ref="R3:R4"/>
    <mergeCell ref="S3:S4"/>
    <mergeCell ref="T3:T4"/>
    <mergeCell ref="U3:U4"/>
    <mergeCell ref="V3:V4"/>
    <mergeCell ref="W3:W4"/>
    <mergeCell ref="T2:U2"/>
    <mergeCell ref="V2:W2"/>
    <mergeCell ref="X2:X4"/>
    <mergeCell ref="Y2:Y4"/>
    <mergeCell ref="Z2:Z4"/>
    <mergeCell ref="F3:F4"/>
    <mergeCell ref="G3:G4"/>
    <mergeCell ref="J3:J4"/>
    <mergeCell ref="K3:L3"/>
    <mergeCell ref="M3:M4"/>
    <mergeCell ref="B2:E4"/>
    <mergeCell ref="F2:G2"/>
    <mergeCell ref="H2:I4"/>
    <mergeCell ref="J2:O2"/>
    <mergeCell ref="P2:Q2"/>
    <mergeCell ref="R2:S2"/>
    <mergeCell ref="N3:N4"/>
    <mergeCell ref="O3:O4"/>
    <mergeCell ref="P3:P4"/>
    <mergeCell ref="Q3:Q4"/>
  </mergeCells>
  <printOptions horizontalCentered="1"/>
  <pageMargins left="0.196850393700787" right="0.196850393700787" top="0.28000000000000003" bottom="0.27" header="0.31496062992126" footer="0.31496062992126"/>
  <pageSetup paperSize="9" scale="58" orientation="landscape" r:id="rId1"/>
  <rowBreaks count="3" manualBreakCount="3">
    <brk id="120" min="1" max="25" man="1"/>
    <brk id="190" min="1" max="25" man="1"/>
    <brk id="296" min="1" max="2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68EF-55EC-441D-B2D4-A3AA2EA1DAF5}">
  <sheetPr>
    <tabColor theme="9" tint="-0.249977111117893"/>
  </sheetPr>
  <dimension ref="A1:AD415"/>
  <sheetViews>
    <sheetView view="pageBreakPreview" zoomScale="70" zoomScaleNormal="85" zoomScaleSheetLayoutView="70" workbookViewId="0">
      <pane xSplit="6" ySplit="4" topLeftCell="G181" activePane="bottomRight" state="frozen"/>
      <selection activeCell="D17" sqref="D17"/>
      <selection pane="topRight" activeCell="D17" sqref="D17"/>
      <selection pane="bottomLeft" activeCell="D17" sqref="D17"/>
      <selection pane="bottomRight" activeCell="D17" sqref="D17"/>
    </sheetView>
  </sheetViews>
  <sheetFormatPr defaultRowHeight="14.5" x14ac:dyDescent="0.35"/>
  <cols>
    <col min="1" max="1" width="2.1796875" customWidth="1"/>
    <col min="2" max="2" width="5.81640625" customWidth="1"/>
    <col min="3" max="3" width="8.81640625" customWidth="1"/>
    <col min="4" max="4" width="35.7265625" customWidth="1"/>
    <col min="5" max="5" width="6.7265625" hidden="1" customWidth="1"/>
    <col min="6" max="6" width="26.54296875" customWidth="1"/>
    <col min="7" max="7" width="7.54296875" style="630" bestFit="1" customWidth="1"/>
    <col min="8" max="9" width="3.453125" customWidth="1"/>
    <col min="10" max="10" width="6" style="630" customWidth="1"/>
    <col min="11" max="11" width="8.453125" style="630" customWidth="1"/>
    <col min="12" max="12" width="11" style="630" customWidth="1"/>
    <col min="13" max="13" width="10.1796875" style="228" customWidth="1"/>
    <col min="14" max="14" width="7.26953125" style="229" bestFit="1" customWidth="1"/>
    <col min="15" max="15" width="16.26953125" bestFit="1" customWidth="1"/>
    <col min="16" max="16" width="15.26953125" hidden="1" customWidth="1"/>
    <col min="17" max="17" width="21.81640625" hidden="1" customWidth="1"/>
    <col min="18" max="18" width="11.453125" customWidth="1"/>
    <col min="19" max="19" width="16.26953125" customWidth="1"/>
    <col min="20" max="20" width="13.81640625" hidden="1" customWidth="1"/>
    <col min="21" max="21" width="18.1796875" hidden="1" customWidth="1"/>
    <col min="22" max="22" width="13.81640625" hidden="1" customWidth="1"/>
    <col min="23" max="23" width="20" hidden="1" customWidth="1"/>
    <col min="24" max="24" width="19.54296875" hidden="1" customWidth="1"/>
    <col min="25" max="25" width="13.54296875" customWidth="1"/>
    <col min="26" max="26" width="10.1796875" customWidth="1"/>
  </cols>
  <sheetData>
    <row r="1" spans="2:30" x14ac:dyDescent="0.35">
      <c r="AB1" t="s">
        <v>169</v>
      </c>
      <c r="AC1">
        <v>400.8</v>
      </c>
      <c r="AD1" t="s">
        <v>170</v>
      </c>
    </row>
    <row r="2" spans="2:30" ht="15" customHeight="1" x14ac:dyDescent="0.35">
      <c r="B2" s="235" t="s">
        <v>7</v>
      </c>
      <c r="C2" s="631"/>
      <c r="D2" s="631"/>
      <c r="E2" s="236"/>
      <c r="F2" s="233" t="s">
        <v>171</v>
      </c>
      <c r="G2" s="234"/>
      <c r="H2" s="632" t="s">
        <v>172</v>
      </c>
      <c r="I2" s="633"/>
      <c r="J2" s="233" t="s">
        <v>58</v>
      </c>
      <c r="K2" s="634"/>
      <c r="L2" s="634"/>
      <c r="M2" s="634"/>
      <c r="N2" s="634"/>
      <c r="O2" s="234"/>
      <c r="P2" s="240">
        <v>2025</v>
      </c>
      <c r="Q2" s="241"/>
      <c r="R2" s="240">
        <v>2027</v>
      </c>
      <c r="S2" s="241"/>
      <c r="T2" s="242">
        <v>2027</v>
      </c>
      <c r="U2" s="243"/>
      <c r="V2" s="246" t="s">
        <v>174</v>
      </c>
      <c r="W2" s="247"/>
      <c r="X2" s="635"/>
      <c r="Y2" s="249" t="s">
        <v>64</v>
      </c>
      <c r="Z2" s="636" t="s">
        <v>65</v>
      </c>
    </row>
    <row r="3" spans="2:30" s="630" customFormat="1" x14ac:dyDescent="0.35">
      <c r="B3" s="255"/>
      <c r="C3" s="637"/>
      <c r="D3" s="637"/>
      <c r="E3" s="256"/>
      <c r="F3" s="254" t="s">
        <v>176</v>
      </c>
      <c r="G3" s="254" t="s">
        <v>177</v>
      </c>
      <c r="H3" s="638"/>
      <c r="I3" s="639"/>
      <c r="J3" s="254" t="s">
        <v>177</v>
      </c>
      <c r="K3" s="233" t="s">
        <v>178</v>
      </c>
      <c r="L3" s="234"/>
      <c r="M3" s="257" t="s">
        <v>179</v>
      </c>
      <c r="N3" s="640" t="s">
        <v>180</v>
      </c>
      <c r="O3" s="641" t="s">
        <v>181</v>
      </c>
      <c r="P3" s="259" t="s">
        <v>182</v>
      </c>
      <c r="Q3" s="259" t="s">
        <v>183</v>
      </c>
      <c r="R3" s="259" t="s">
        <v>182</v>
      </c>
      <c r="S3" s="259" t="s">
        <v>183</v>
      </c>
      <c r="T3" s="261" t="s">
        <v>182</v>
      </c>
      <c r="U3" s="261" t="s">
        <v>183</v>
      </c>
      <c r="V3" s="263" t="s">
        <v>182</v>
      </c>
      <c r="W3" s="263" t="s">
        <v>183</v>
      </c>
      <c r="X3" s="248" t="s">
        <v>175</v>
      </c>
      <c r="Y3" s="265"/>
      <c r="Z3" s="642"/>
    </row>
    <row r="4" spans="2:30" s="630" customFormat="1" ht="29" x14ac:dyDescent="0.35">
      <c r="B4" s="255"/>
      <c r="C4" s="637"/>
      <c r="D4" s="637"/>
      <c r="E4" s="256"/>
      <c r="F4" s="270"/>
      <c r="G4" s="270"/>
      <c r="H4" s="643"/>
      <c r="I4" s="644"/>
      <c r="J4" s="270"/>
      <c r="K4" s="273" t="s">
        <v>184</v>
      </c>
      <c r="L4" s="274" t="s">
        <v>185</v>
      </c>
      <c r="M4" s="275"/>
      <c r="N4" s="645"/>
      <c r="O4" s="646"/>
      <c r="P4" s="277"/>
      <c r="Q4" s="277"/>
      <c r="R4" s="277"/>
      <c r="S4" s="277"/>
      <c r="T4" s="279"/>
      <c r="U4" s="279"/>
      <c r="V4" s="281"/>
      <c r="W4" s="281"/>
      <c r="X4" s="282"/>
      <c r="Y4" s="283"/>
      <c r="Z4" s="642"/>
    </row>
    <row r="5" spans="2:30" s="661" customFormat="1" x14ac:dyDescent="0.35">
      <c r="B5" s="647" t="s">
        <v>314</v>
      </c>
      <c r="C5" s="648"/>
      <c r="D5" s="649"/>
      <c r="E5" s="650"/>
      <c r="F5" s="651"/>
      <c r="G5" s="652"/>
      <c r="H5" s="652"/>
      <c r="I5" s="653"/>
      <c r="J5" s="652"/>
      <c r="K5" s="654"/>
      <c r="L5" s="655"/>
      <c r="M5" s="656"/>
      <c r="N5" s="657"/>
      <c r="O5" s="658"/>
      <c r="P5" s="659"/>
      <c r="Q5" s="659"/>
      <c r="R5" s="659"/>
      <c r="S5" s="659"/>
      <c r="T5" s="307"/>
      <c r="U5" s="307"/>
      <c r="V5" s="307"/>
      <c r="W5" s="307"/>
      <c r="X5" s="660"/>
      <c r="Y5" s="439"/>
      <c r="Z5" s="439"/>
    </row>
    <row r="6" spans="2:30" x14ac:dyDescent="0.35">
      <c r="B6" s="539"/>
      <c r="C6" s="540" t="s">
        <v>68</v>
      </c>
      <c r="D6" s="540"/>
      <c r="E6" s="541"/>
      <c r="F6" s="295" t="s">
        <v>189</v>
      </c>
      <c r="G6" s="364" t="s">
        <v>190</v>
      </c>
      <c r="H6" s="365"/>
      <c r="I6" s="366"/>
      <c r="J6" s="364"/>
      <c r="K6" s="548">
        <v>0</v>
      </c>
      <c r="L6" s="662">
        <f>$AC$1</f>
        <v>400.8</v>
      </c>
      <c r="M6" s="542">
        <v>4</v>
      </c>
      <c r="N6" s="296">
        <v>1</v>
      </c>
      <c r="O6" s="543">
        <f>K6*L6*M6*N6</f>
        <v>0</v>
      </c>
      <c r="P6" s="543"/>
      <c r="Q6" s="543"/>
      <c r="R6" s="299">
        <f>VLOOKUP($F6,'[1]Master Harga'!$E$5:$L$351,6,FALSE)</f>
        <v>149108.51999999999</v>
      </c>
      <c r="S6" s="543">
        <f>O6*R6</f>
        <v>0</v>
      </c>
      <c r="T6" s="544"/>
      <c r="U6" s="544"/>
      <c r="V6" s="544"/>
      <c r="W6" s="544"/>
      <c r="X6" s="545"/>
      <c r="Y6" s="296">
        <f t="shared" ref="Y6:Y69" si="0">S6/$AC$1</f>
        <v>0</v>
      </c>
      <c r="Z6" s="295"/>
    </row>
    <row r="7" spans="2:30" x14ac:dyDescent="0.35">
      <c r="B7" s="546"/>
      <c r="E7" s="547"/>
      <c r="F7" s="295" t="s">
        <v>316</v>
      </c>
      <c r="G7" s="364" t="s">
        <v>192</v>
      </c>
      <c r="H7" s="365"/>
      <c r="I7" s="366"/>
      <c r="J7" s="364"/>
      <c r="K7" s="548">
        <v>0</v>
      </c>
      <c r="L7" s="662">
        <f>$L$6</f>
        <v>400.8</v>
      </c>
      <c r="M7" s="542">
        <v>3</v>
      </c>
      <c r="N7" s="296">
        <v>1</v>
      </c>
      <c r="O7" s="543">
        <f t="shared" ref="O7:O34" si="1">K7*L7*M7*N7</f>
        <v>0</v>
      </c>
      <c r="P7" s="543"/>
      <c r="Q7" s="543"/>
      <c r="R7" s="299">
        <f>VLOOKUP($F7,'[1]Master Harga'!$E$5:$L$351,6,FALSE)</f>
        <v>0</v>
      </c>
      <c r="S7" s="543">
        <f t="shared" ref="S7:S34" si="2">O7*R7</f>
        <v>0</v>
      </c>
      <c r="T7" s="544"/>
      <c r="U7" s="544"/>
      <c r="V7" s="544"/>
      <c r="W7" s="544"/>
      <c r="X7" s="545"/>
      <c r="Y7" s="296">
        <f t="shared" si="0"/>
        <v>0</v>
      </c>
      <c r="Z7" s="295"/>
    </row>
    <row r="8" spans="2:30" x14ac:dyDescent="0.35">
      <c r="B8" s="546"/>
      <c r="E8" s="547"/>
      <c r="F8" s="295" t="s">
        <v>318</v>
      </c>
      <c r="G8" s="364" t="s">
        <v>192</v>
      </c>
      <c r="H8" s="365"/>
      <c r="I8" s="366"/>
      <c r="J8" s="364"/>
      <c r="K8" s="548">
        <v>0</v>
      </c>
      <c r="L8" s="662">
        <f t="shared" ref="L8:L34" si="3">$L$6</f>
        <v>400.8</v>
      </c>
      <c r="M8" s="542">
        <v>6</v>
      </c>
      <c r="N8" s="296">
        <v>1</v>
      </c>
      <c r="O8" s="543">
        <f t="shared" si="1"/>
        <v>0</v>
      </c>
      <c r="P8" s="543"/>
      <c r="Q8" s="543"/>
      <c r="R8" s="299">
        <f>VLOOKUP($F8,'[1]Master Harga'!$E$5:$L$351,6,FALSE)</f>
        <v>0</v>
      </c>
      <c r="S8" s="543">
        <f t="shared" si="2"/>
        <v>0</v>
      </c>
      <c r="T8" s="544"/>
      <c r="U8" s="544"/>
      <c r="V8" s="544"/>
      <c r="W8" s="544"/>
      <c r="X8" s="545"/>
      <c r="Y8" s="296">
        <f t="shared" si="0"/>
        <v>0</v>
      </c>
      <c r="Z8" s="295"/>
    </row>
    <row r="9" spans="2:30" x14ac:dyDescent="0.35">
      <c r="B9" s="546"/>
      <c r="E9" s="547"/>
      <c r="F9" s="295" t="s">
        <v>325</v>
      </c>
      <c r="G9" s="364" t="s">
        <v>192</v>
      </c>
      <c r="H9" s="365"/>
      <c r="I9" s="366"/>
      <c r="J9" s="364"/>
      <c r="K9" s="548">
        <v>0</v>
      </c>
      <c r="L9" s="662">
        <f t="shared" si="3"/>
        <v>400.8</v>
      </c>
      <c r="M9" s="542">
        <v>0.25</v>
      </c>
      <c r="N9" s="296">
        <v>1</v>
      </c>
      <c r="O9" s="543">
        <f t="shared" si="1"/>
        <v>0</v>
      </c>
      <c r="P9" s="543"/>
      <c r="Q9" s="543"/>
      <c r="R9" s="299">
        <f>VLOOKUP($F9,'[1]Master Harga'!$E$5:$L$351,6,FALSE)</f>
        <v>535500</v>
      </c>
      <c r="S9" s="543">
        <f t="shared" si="2"/>
        <v>0</v>
      </c>
      <c r="T9" s="544"/>
      <c r="U9" s="544"/>
      <c r="V9" s="544"/>
      <c r="W9" s="544"/>
      <c r="X9" s="545"/>
      <c r="Y9" s="296">
        <f t="shared" si="0"/>
        <v>0</v>
      </c>
      <c r="Z9" s="295"/>
    </row>
    <row r="10" spans="2:30" x14ac:dyDescent="0.35">
      <c r="B10" s="546"/>
      <c r="E10" s="547"/>
      <c r="F10" s="295" t="s">
        <v>344</v>
      </c>
      <c r="G10" s="364" t="s">
        <v>192</v>
      </c>
      <c r="H10" s="365"/>
      <c r="I10" s="366"/>
      <c r="J10" s="364"/>
      <c r="K10" s="548">
        <v>0</v>
      </c>
      <c r="L10" s="662">
        <f t="shared" si="3"/>
        <v>400.8</v>
      </c>
      <c r="M10" s="542">
        <v>0.01</v>
      </c>
      <c r="N10" s="296">
        <v>1</v>
      </c>
      <c r="O10" s="543">
        <f t="shared" si="1"/>
        <v>0</v>
      </c>
      <c r="P10" s="543"/>
      <c r="Q10" s="543"/>
      <c r="R10" s="299">
        <f>VLOOKUP($F10,'[1]Master Harga'!$E$5:$L$351,6,FALSE)</f>
        <v>0</v>
      </c>
      <c r="S10" s="543">
        <f t="shared" si="2"/>
        <v>0</v>
      </c>
      <c r="T10" s="544"/>
      <c r="U10" s="544"/>
      <c r="V10" s="544"/>
      <c r="W10" s="544"/>
      <c r="X10" s="545"/>
      <c r="Y10" s="296">
        <f t="shared" si="0"/>
        <v>0</v>
      </c>
      <c r="Z10" s="295"/>
    </row>
    <row r="11" spans="2:30" x14ac:dyDescent="0.35">
      <c r="B11" s="546"/>
      <c r="E11" s="547"/>
      <c r="F11" s="295" t="s">
        <v>324</v>
      </c>
      <c r="G11" s="364" t="s">
        <v>192</v>
      </c>
      <c r="H11" s="365"/>
      <c r="I11" s="366"/>
      <c r="J11" s="364"/>
      <c r="K11" s="548">
        <v>0</v>
      </c>
      <c r="L11" s="662">
        <f t="shared" si="3"/>
        <v>400.8</v>
      </c>
      <c r="M11" s="542">
        <v>2</v>
      </c>
      <c r="N11" s="296">
        <v>1</v>
      </c>
      <c r="O11" s="543">
        <f t="shared" si="1"/>
        <v>0</v>
      </c>
      <c r="P11" s="543"/>
      <c r="Q11" s="543"/>
      <c r="R11" s="299">
        <f>VLOOKUP($F11,'[1]Master Harga'!$E$5:$L$351,6,FALSE)</f>
        <v>2300</v>
      </c>
      <c r="S11" s="543">
        <f t="shared" si="2"/>
        <v>0</v>
      </c>
      <c r="T11" s="544"/>
      <c r="U11" s="544"/>
      <c r="V11" s="544"/>
      <c r="W11" s="544"/>
      <c r="X11" s="545"/>
      <c r="Y11" s="296">
        <f t="shared" si="0"/>
        <v>0</v>
      </c>
      <c r="Z11" s="295"/>
    </row>
    <row r="12" spans="2:30" x14ac:dyDescent="0.35">
      <c r="B12" s="549"/>
      <c r="C12" s="550"/>
      <c r="D12" s="550"/>
      <c r="E12" s="551"/>
      <c r="F12" s="295" t="s">
        <v>237</v>
      </c>
      <c r="G12" s="364" t="s">
        <v>194</v>
      </c>
      <c r="H12" s="365">
        <v>1</v>
      </c>
      <c r="I12" s="366" t="s">
        <v>233</v>
      </c>
      <c r="J12" s="364"/>
      <c r="K12" s="548">
        <v>0</v>
      </c>
      <c r="L12" s="662">
        <f t="shared" si="3"/>
        <v>400.8</v>
      </c>
      <c r="M12" s="663">
        <f>((M$6*N$6)/240*($H12/N12))</f>
        <v>1.6666666666666666E-2</v>
      </c>
      <c r="N12" s="296">
        <v>1</v>
      </c>
      <c r="O12" s="543">
        <f t="shared" si="1"/>
        <v>0</v>
      </c>
      <c r="P12" s="543"/>
      <c r="Q12" s="543"/>
      <c r="R12" s="299">
        <f>VLOOKUP($F12,'[1]Master Harga'!$E$5:$L$351,6,FALSE)</f>
        <v>89964</v>
      </c>
      <c r="S12" s="543">
        <f t="shared" si="2"/>
        <v>0</v>
      </c>
      <c r="T12" s="544"/>
      <c r="U12" s="544"/>
      <c r="V12" s="544"/>
      <c r="W12" s="544"/>
      <c r="X12" s="545"/>
      <c r="Y12" s="296">
        <f t="shared" si="0"/>
        <v>0</v>
      </c>
      <c r="Z12" s="295"/>
    </row>
    <row r="13" spans="2:30" x14ac:dyDescent="0.35">
      <c r="B13" s="365"/>
      <c r="C13" s="366" t="s">
        <v>73</v>
      </c>
      <c r="D13" s="366"/>
      <c r="E13" s="553"/>
      <c r="F13" s="295" t="s">
        <v>189</v>
      </c>
      <c r="G13" s="364" t="s">
        <v>190</v>
      </c>
      <c r="H13" s="365"/>
      <c r="I13" s="366"/>
      <c r="J13" s="364"/>
      <c r="K13" s="548">
        <v>0.5</v>
      </c>
      <c r="L13" s="662">
        <f t="shared" si="3"/>
        <v>400.8</v>
      </c>
      <c r="M13" s="542">
        <v>2</v>
      </c>
      <c r="N13" s="296">
        <v>3</v>
      </c>
      <c r="O13" s="543">
        <f t="shared" si="1"/>
        <v>1202.4000000000001</v>
      </c>
      <c r="P13" s="543"/>
      <c r="Q13" s="543"/>
      <c r="R13" s="299">
        <f>VLOOKUP($F13,'[1]Master Harga'!$E$5:$L$351,6,FALSE)</f>
        <v>149108.51999999999</v>
      </c>
      <c r="S13" s="543">
        <f t="shared" si="2"/>
        <v>179288084.44800001</v>
      </c>
      <c r="T13" s="544"/>
      <c r="U13" s="544"/>
      <c r="V13" s="544"/>
      <c r="W13" s="544"/>
      <c r="X13" s="545"/>
      <c r="Y13" s="296">
        <f t="shared" si="0"/>
        <v>447325.56</v>
      </c>
      <c r="Z13" s="295"/>
    </row>
    <row r="14" spans="2:30" x14ac:dyDescent="0.35">
      <c r="B14" s="539"/>
      <c r="C14" s="540" t="s">
        <v>433</v>
      </c>
      <c r="D14" s="540"/>
      <c r="E14" s="541"/>
      <c r="F14" s="295" t="s">
        <v>189</v>
      </c>
      <c r="G14" s="364" t="s">
        <v>190</v>
      </c>
      <c r="H14" s="365"/>
      <c r="I14" s="366"/>
      <c r="J14" s="364"/>
      <c r="K14" s="548">
        <v>0.25</v>
      </c>
      <c r="L14" s="662">
        <f t="shared" si="3"/>
        <v>400.8</v>
      </c>
      <c r="M14" s="542">
        <v>2</v>
      </c>
      <c r="N14" s="296">
        <v>1</v>
      </c>
      <c r="O14" s="543">
        <f t="shared" si="1"/>
        <v>200.4</v>
      </c>
      <c r="P14" s="543"/>
      <c r="Q14" s="543"/>
      <c r="R14" s="299">
        <f>VLOOKUP($F14,'[1]Master Harga'!$E$5:$L$351,6,FALSE)</f>
        <v>149108.51999999999</v>
      </c>
      <c r="S14" s="543">
        <f t="shared" si="2"/>
        <v>29881347.408</v>
      </c>
      <c r="T14" s="544"/>
      <c r="U14" s="544"/>
      <c r="V14" s="544"/>
      <c r="W14" s="544"/>
      <c r="X14" s="664"/>
      <c r="Y14" s="296">
        <f t="shared" si="0"/>
        <v>74554.259999999995</v>
      </c>
      <c r="Z14" s="295"/>
    </row>
    <row r="15" spans="2:30" x14ac:dyDescent="0.35">
      <c r="B15" s="546"/>
      <c r="E15" s="547"/>
      <c r="F15" s="295" t="s">
        <v>225</v>
      </c>
      <c r="G15" s="364" t="s">
        <v>226</v>
      </c>
      <c r="H15" s="365"/>
      <c r="I15" s="366"/>
      <c r="J15" s="364"/>
      <c r="K15" s="548">
        <v>0.25</v>
      </c>
      <c r="L15" s="662">
        <f t="shared" si="3"/>
        <v>400.8</v>
      </c>
      <c r="M15" s="542">
        <v>1.2000000000000002</v>
      </c>
      <c r="N15" s="296">
        <v>1</v>
      </c>
      <c r="O15" s="543">
        <f t="shared" si="1"/>
        <v>120.24000000000002</v>
      </c>
      <c r="P15" s="543"/>
      <c r="Q15" s="543"/>
      <c r="R15" s="299">
        <f>VLOOKUP($F15,'[1]Master Harga'!$E$5:$L$351,6,FALSE)</f>
        <v>35343</v>
      </c>
      <c r="S15" s="543">
        <f t="shared" si="2"/>
        <v>4249642.3200000012</v>
      </c>
      <c r="T15" s="544"/>
      <c r="U15" s="544"/>
      <c r="V15" s="544"/>
      <c r="W15" s="544"/>
      <c r="X15" s="545"/>
      <c r="Y15" s="296">
        <f t="shared" si="0"/>
        <v>10602.900000000003</v>
      </c>
      <c r="Z15" s="295"/>
    </row>
    <row r="16" spans="2:30" x14ac:dyDescent="0.35">
      <c r="B16" s="546"/>
      <c r="E16" s="547"/>
      <c r="F16" s="295" t="s">
        <v>227</v>
      </c>
      <c r="G16" s="364" t="s">
        <v>192</v>
      </c>
      <c r="H16" s="365"/>
      <c r="I16" s="366"/>
      <c r="J16" s="364"/>
      <c r="K16" s="548">
        <v>0.25</v>
      </c>
      <c r="L16" s="662">
        <f t="shared" si="3"/>
        <v>400.8</v>
      </c>
      <c r="M16" s="542">
        <f>48/1000</f>
        <v>4.8000000000000001E-2</v>
      </c>
      <c r="N16" s="296">
        <v>1</v>
      </c>
      <c r="O16" s="543">
        <f t="shared" si="1"/>
        <v>4.8096000000000005</v>
      </c>
      <c r="P16" s="543"/>
      <c r="Q16" s="543"/>
      <c r="R16" s="299">
        <f>VLOOKUP($F16,'[1]Master Harga'!$E$5:$L$351,6,FALSE)</f>
        <v>96390</v>
      </c>
      <c r="S16" s="543">
        <f t="shared" si="2"/>
        <v>463597.34400000004</v>
      </c>
      <c r="T16" s="544"/>
      <c r="U16" s="544"/>
      <c r="V16" s="544"/>
      <c r="W16" s="544"/>
      <c r="X16" s="545"/>
      <c r="Y16" s="296">
        <f t="shared" si="0"/>
        <v>1156.68</v>
      </c>
      <c r="Z16" s="295"/>
    </row>
    <row r="17" spans="2:26" x14ac:dyDescent="0.35">
      <c r="B17" s="546"/>
      <c r="E17" s="547"/>
      <c r="F17" s="295" t="s">
        <v>230</v>
      </c>
      <c r="G17" s="364" t="s">
        <v>226</v>
      </c>
      <c r="H17" s="365"/>
      <c r="I17" s="366"/>
      <c r="J17" s="364"/>
      <c r="K17" s="548">
        <v>0.25</v>
      </c>
      <c r="L17" s="662">
        <f t="shared" si="3"/>
        <v>400.8</v>
      </c>
      <c r="M17" s="542">
        <v>0.28799999999999998</v>
      </c>
      <c r="N17" s="296">
        <v>1</v>
      </c>
      <c r="O17" s="543">
        <f t="shared" si="1"/>
        <v>28.857599999999998</v>
      </c>
      <c r="P17" s="543"/>
      <c r="Q17" s="543"/>
      <c r="R17" s="299">
        <f>VLOOKUP($F17,'[1]Master Harga'!$E$5:$L$351,6,FALSE)</f>
        <v>44982</v>
      </c>
      <c r="S17" s="543">
        <f t="shared" si="2"/>
        <v>1298072.5632</v>
      </c>
      <c r="T17" s="544"/>
      <c r="U17" s="544"/>
      <c r="V17" s="544"/>
      <c r="W17" s="544"/>
      <c r="X17" s="545"/>
      <c r="Y17" s="296">
        <f t="shared" si="0"/>
        <v>3238.7039999999997</v>
      </c>
      <c r="Z17" s="295"/>
    </row>
    <row r="18" spans="2:26" x14ac:dyDescent="0.35">
      <c r="B18" s="546"/>
      <c r="E18" s="547"/>
      <c r="F18" s="295" t="s">
        <v>224</v>
      </c>
      <c r="G18" s="364" t="s">
        <v>194</v>
      </c>
      <c r="H18" s="365"/>
      <c r="I18" s="366"/>
      <c r="J18" s="364"/>
      <c r="K18" s="548">
        <v>0.25</v>
      </c>
      <c r="L18" s="662">
        <f t="shared" si="3"/>
        <v>400.8</v>
      </c>
      <c r="M18" s="542">
        <v>7.0000000000000001E-3</v>
      </c>
      <c r="N18" s="296">
        <v>1</v>
      </c>
      <c r="O18" s="543">
        <f t="shared" si="1"/>
        <v>0.70140000000000002</v>
      </c>
      <c r="P18" s="543"/>
      <c r="Q18" s="543"/>
      <c r="R18" s="299">
        <f>VLOOKUP($F18,'[1]Master Harga'!$E$5:$L$351,6,FALSE)</f>
        <v>1434791.925</v>
      </c>
      <c r="S18" s="543">
        <f t="shared" si="2"/>
        <v>1006363.0561950001</v>
      </c>
      <c r="T18" s="544"/>
      <c r="U18" s="544"/>
      <c r="V18" s="544"/>
      <c r="W18" s="544"/>
      <c r="X18" s="545"/>
      <c r="Y18" s="296">
        <f t="shared" si="0"/>
        <v>2510.8858687500001</v>
      </c>
      <c r="Z18" s="295"/>
    </row>
    <row r="19" spans="2:26" x14ac:dyDescent="0.35">
      <c r="B19" s="546"/>
      <c r="E19" s="547"/>
      <c r="F19" s="295" t="s">
        <v>231</v>
      </c>
      <c r="G19" s="364" t="s">
        <v>190</v>
      </c>
      <c r="H19" s="365"/>
      <c r="I19" s="366"/>
      <c r="J19" s="364"/>
      <c r="K19" s="548">
        <v>0.25</v>
      </c>
      <c r="L19" s="662">
        <f t="shared" si="3"/>
        <v>400.8</v>
      </c>
      <c r="M19" s="542">
        <v>2</v>
      </c>
      <c r="N19" s="296">
        <v>1</v>
      </c>
      <c r="O19" s="543">
        <f t="shared" si="1"/>
        <v>200.4</v>
      </c>
      <c r="P19" s="543"/>
      <c r="Q19" s="543"/>
      <c r="R19" s="299">
        <f>VLOOKUP($F19,'[1]Master Harga'!$E$5:$L$351,6,FALSE)</f>
        <v>4042.5</v>
      </c>
      <c r="S19" s="543">
        <f t="shared" si="2"/>
        <v>810117</v>
      </c>
      <c r="T19" s="544"/>
      <c r="U19" s="544"/>
      <c r="V19" s="544"/>
      <c r="W19" s="544"/>
      <c r="X19" s="545"/>
      <c r="Y19" s="296">
        <f t="shared" si="0"/>
        <v>2021.25</v>
      </c>
      <c r="Z19" s="295"/>
    </row>
    <row r="20" spans="2:26" x14ac:dyDescent="0.35">
      <c r="B20" s="546"/>
      <c r="E20" s="547"/>
      <c r="F20" s="295" t="s">
        <v>232</v>
      </c>
      <c r="G20" s="364" t="s">
        <v>194</v>
      </c>
      <c r="H20" s="365">
        <v>4</v>
      </c>
      <c r="I20" s="366" t="s">
        <v>233</v>
      </c>
      <c r="J20" s="364"/>
      <c r="K20" s="548">
        <v>0.25</v>
      </c>
      <c r="L20" s="662">
        <f t="shared" si="3"/>
        <v>400.8</v>
      </c>
      <c r="M20" s="663">
        <f>((M$14*N$14)/240*($H20/N20))</f>
        <v>3.3333333333333333E-2</v>
      </c>
      <c r="N20" s="296">
        <v>1</v>
      </c>
      <c r="O20" s="543">
        <f t="shared" si="1"/>
        <v>3.34</v>
      </c>
      <c r="P20" s="543"/>
      <c r="Q20" s="543"/>
      <c r="R20" s="299">
        <f>VLOOKUP($F20,'[1]Master Harga'!$E$5:$L$351,6,FALSE)</f>
        <v>44982</v>
      </c>
      <c r="S20" s="543">
        <f t="shared" si="2"/>
        <v>150239.88</v>
      </c>
      <c r="T20" s="544"/>
      <c r="U20" s="544"/>
      <c r="V20" s="544"/>
      <c r="W20" s="544"/>
      <c r="X20" s="545"/>
      <c r="Y20" s="296">
        <f t="shared" si="0"/>
        <v>374.85</v>
      </c>
      <c r="Z20" s="295"/>
    </row>
    <row r="21" spans="2:26" x14ac:dyDescent="0.35">
      <c r="B21" s="546"/>
      <c r="E21" s="547"/>
      <c r="F21" s="295" t="s">
        <v>234</v>
      </c>
      <c r="G21" s="364" t="s">
        <v>194</v>
      </c>
      <c r="H21" s="365">
        <v>12</v>
      </c>
      <c r="I21" s="366" t="s">
        <v>233</v>
      </c>
      <c r="J21" s="364"/>
      <c r="K21" s="548">
        <v>0.25</v>
      </c>
      <c r="L21" s="662">
        <f t="shared" si="3"/>
        <v>400.8</v>
      </c>
      <c r="M21" s="663">
        <f>((M$14*N$14)/240*($H21/N21))</f>
        <v>0.1</v>
      </c>
      <c r="N21" s="296">
        <v>1</v>
      </c>
      <c r="O21" s="543">
        <f t="shared" si="1"/>
        <v>10.020000000000001</v>
      </c>
      <c r="P21" s="543"/>
      <c r="Q21" s="543"/>
      <c r="R21" s="299">
        <f>VLOOKUP($F21,'[1]Master Harga'!$E$5:$L$351,6,FALSE)</f>
        <v>14700</v>
      </c>
      <c r="S21" s="543">
        <f t="shared" si="2"/>
        <v>147294.00000000003</v>
      </c>
      <c r="T21" s="544"/>
      <c r="U21" s="544"/>
      <c r="V21" s="544"/>
      <c r="W21" s="544"/>
      <c r="X21" s="545"/>
      <c r="Y21" s="296">
        <f t="shared" si="0"/>
        <v>367.50000000000006</v>
      </c>
      <c r="Z21" s="295"/>
    </row>
    <row r="22" spans="2:26" x14ac:dyDescent="0.35">
      <c r="B22" s="546"/>
      <c r="E22" s="547"/>
      <c r="F22" s="295" t="s">
        <v>235</v>
      </c>
      <c r="G22" s="364" t="s">
        <v>194</v>
      </c>
      <c r="H22" s="365">
        <v>1</v>
      </c>
      <c r="I22" s="366" t="s">
        <v>233</v>
      </c>
      <c r="J22" s="364"/>
      <c r="K22" s="548">
        <v>0.25</v>
      </c>
      <c r="L22" s="662">
        <f t="shared" si="3"/>
        <v>400.8</v>
      </c>
      <c r="M22" s="663">
        <f>((M$14*N$14)/240*($H22/N22))</f>
        <v>8.3333333333333332E-3</v>
      </c>
      <c r="N22" s="296">
        <v>1</v>
      </c>
      <c r="O22" s="543">
        <f t="shared" si="1"/>
        <v>0.83499999999999996</v>
      </c>
      <c r="P22" s="543"/>
      <c r="Q22" s="543"/>
      <c r="R22" s="299">
        <f>VLOOKUP($F22,'[1]Master Harga'!$E$5:$L$351,6,FALSE)</f>
        <v>39359.25</v>
      </c>
      <c r="S22" s="543">
        <f t="shared" si="2"/>
        <v>32864.973749999997</v>
      </c>
      <c r="T22" s="544"/>
      <c r="U22" s="544"/>
      <c r="V22" s="544"/>
      <c r="W22" s="544"/>
      <c r="X22" s="545"/>
      <c r="Y22" s="296">
        <f t="shared" si="0"/>
        <v>81.998437499999994</v>
      </c>
      <c r="Z22" s="295"/>
    </row>
    <row r="23" spans="2:26" x14ac:dyDescent="0.35">
      <c r="B23" s="546"/>
      <c r="E23" s="547"/>
      <c r="F23" s="295" t="s">
        <v>236</v>
      </c>
      <c r="G23" s="364" t="s">
        <v>194</v>
      </c>
      <c r="H23" s="365">
        <v>2</v>
      </c>
      <c r="I23" s="366" t="s">
        <v>233</v>
      </c>
      <c r="J23" s="364"/>
      <c r="K23" s="548">
        <v>0.25</v>
      </c>
      <c r="L23" s="662">
        <f t="shared" si="3"/>
        <v>400.8</v>
      </c>
      <c r="M23" s="663">
        <f>((M$14*N$14)/240*($H23/N23))</f>
        <v>1.6666666666666666E-2</v>
      </c>
      <c r="N23" s="296">
        <v>1</v>
      </c>
      <c r="O23" s="543">
        <f t="shared" si="1"/>
        <v>1.67</v>
      </c>
      <c r="P23" s="543"/>
      <c r="Q23" s="543"/>
      <c r="R23" s="299">
        <f>VLOOKUP($F23,'[1]Master Harga'!$E$5:$L$351,6,FALSE)</f>
        <v>33736.5</v>
      </c>
      <c r="S23" s="543">
        <f t="shared" si="2"/>
        <v>56339.954999999994</v>
      </c>
      <c r="T23" s="544"/>
      <c r="U23" s="544"/>
      <c r="V23" s="544"/>
      <c r="W23" s="544"/>
      <c r="X23" s="545"/>
      <c r="Y23" s="296">
        <f t="shared" si="0"/>
        <v>140.56874999999999</v>
      </c>
      <c r="Z23" s="295"/>
    </row>
    <row r="24" spans="2:26" x14ac:dyDescent="0.35">
      <c r="B24" s="549"/>
      <c r="C24" s="550"/>
      <c r="D24" s="550"/>
      <c r="E24" s="551"/>
      <c r="F24" s="295" t="s">
        <v>237</v>
      </c>
      <c r="G24" s="364" t="s">
        <v>194</v>
      </c>
      <c r="H24" s="365">
        <v>1</v>
      </c>
      <c r="I24" s="366" t="s">
        <v>233</v>
      </c>
      <c r="J24" s="364"/>
      <c r="K24" s="548">
        <v>0.25</v>
      </c>
      <c r="L24" s="662">
        <f t="shared" si="3"/>
        <v>400.8</v>
      </c>
      <c r="M24" s="663">
        <f>((M$14*N$14)/240*($H24/N24))</f>
        <v>8.3333333333333332E-3</v>
      </c>
      <c r="N24" s="296">
        <v>1</v>
      </c>
      <c r="O24" s="543">
        <f t="shared" si="1"/>
        <v>0.83499999999999996</v>
      </c>
      <c r="P24" s="543"/>
      <c r="Q24" s="543"/>
      <c r="R24" s="299">
        <f>VLOOKUP($F24,'[1]Master Harga'!$E$5:$L$351,6,FALSE)</f>
        <v>89964</v>
      </c>
      <c r="S24" s="543">
        <f t="shared" si="2"/>
        <v>75119.94</v>
      </c>
      <c r="T24" s="544"/>
      <c r="U24" s="544"/>
      <c r="V24" s="544"/>
      <c r="W24" s="544"/>
      <c r="X24" s="545"/>
      <c r="Y24" s="296">
        <f t="shared" si="0"/>
        <v>187.42500000000001</v>
      </c>
      <c r="Z24" s="295"/>
    </row>
    <row r="25" spans="2:26" x14ac:dyDescent="0.35">
      <c r="B25" s="539"/>
      <c r="C25" s="540" t="s">
        <v>96</v>
      </c>
      <c r="D25" s="540"/>
      <c r="E25" s="541"/>
      <c r="F25" s="295" t="s">
        <v>189</v>
      </c>
      <c r="G25" s="364" t="s">
        <v>190</v>
      </c>
      <c r="H25" s="365"/>
      <c r="I25" s="366"/>
      <c r="J25" s="364"/>
      <c r="K25" s="548">
        <v>0.5</v>
      </c>
      <c r="L25" s="662">
        <f t="shared" si="3"/>
        <v>400.8</v>
      </c>
      <c r="M25" s="542">
        <v>1</v>
      </c>
      <c r="N25" s="296">
        <v>1</v>
      </c>
      <c r="O25" s="543">
        <f t="shared" si="1"/>
        <v>200.4</v>
      </c>
      <c r="P25" s="543"/>
      <c r="Q25" s="543"/>
      <c r="R25" s="299">
        <f>VLOOKUP($F25,'[1]Master Harga'!$E$5:$L$351,6,FALSE)</f>
        <v>149108.51999999999</v>
      </c>
      <c r="S25" s="543">
        <f t="shared" si="2"/>
        <v>29881347.408</v>
      </c>
      <c r="T25" s="544"/>
      <c r="U25" s="544"/>
      <c r="V25" s="544"/>
      <c r="W25" s="544"/>
      <c r="X25" s="545"/>
      <c r="Y25" s="296">
        <f t="shared" si="0"/>
        <v>74554.259999999995</v>
      </c>
      <c r="Z25" s="295"/>
    </row>
    <row r="26" spans="2:26" x14ac:dyDescent="0.35">
      <c r="B26" s="546"/>
      <c r="E26" s="547"/>
      <c r="F26" s="295" t="s">
        <v>225</v>
      </c>
      <c r="G26" s="364" t="s">
        <v>226</v>
      </c>
      <c r="H26" s="365"/>
      <c r="I26" s="366"/>
      <c r="J26" s="364"/>
      <c r="K26" s="548">
        <v>0.5</v>
      </c>
      <c r="L26" s="662">
        <f t="shared" si="3"/>
        <v>400.8</v>
      </c>
      <c r="M26" s="542">
        <v>1.08</v>
      </c>
      <c r="N26" s="296">
        <v>1</v>
      </c>
      <c r="O26" s="543">
        <f t="shared" si="1"/>
        <v>216.43200000000002</v>
      </c>
      <c r="P26" s="543"/>
      <c r="Q26" s="543"/>
      <c r="R26" s="299">
        <f>VLOOKUP($F26,'[1]Master Harga'!$E$5:$L$351,6,FALSE)</f>
        <v>35343</v>
      </c>
      <c r="S26" s="543">
        <f t="shared" si="2"/>
        <v>7649356.1760000009</v>
      </c>
      <c r="T26" s="544"/>
      <c r="U26" s="544"/>
      <c r="V26" s="544"/>
      <c r="W26" s="544"/>
      <c r="X26" s="545"/>
      <c r="Y26" s="296">
        <f t="shared" si="0"/>
        <v>19085.22</v>
      </c>
      <c r="Z26" s="295"/>
    </row>
    <row r="27" spans="2:26" x14ac:dyDescent="0.35">
      <c r="B27" s="546"/>
      <c r="E27" s="547"/>
      <c r="F27" s="295" t="s">
        <v>230</v>
      </c>
      <c r="G27" s="364" t="s">
        <v>226</v>
      </c>
      <c r="H27" s="365"/>
      <c r="I27" s="366"/>
      <c r="J27" s="364"/>
      <c r="K27" s="548">
        <v>0.5</v>
      </c>
      <c r="L27" s="662">
        <f t="shared" si="3"/>
        <v>400.8</v>
      </c>
      <c r="M27" s="542">
        <v>0.18</v>
      </c>
      <c r="N27" s="296">
        <v>1</v>
      </c>
      <c r="O27" s="543">
        <f t="shared" si="1"/>
        <v>36.072000000000003</v>
      </c>
      <c r="P27" s="543"/>
      <c r="Q27" s="543"/>
      <c r="R27" s="299">
        <f>VLOOKUP($F27,'[1]Master Harga'!$E$5:$L$351,6,FALSE)</f>
        <v>44982</v>
      </c>
      <c r="S27" s="543">
        <f t="shared" si="2"/>
        <v>1622590.7040000001</v>
      </c>
      <c r="T27" s="544"/>
      <c r="U27" s="544"/>
      <c r="V27" s="544"/>
      <c r="W27" s="544"/>
      <c r="X27" s="545"/>
      <c r="Y27" s="296">
        <f t="shared" si="0"/>
        <v>4048.38</v>
      </c>
      <c r="Z27" s="295"/>
    </row>
    <row r="28" spans="2:26" x14ac:dyDescent="0.35">
      <c r="B28" s="546"/>
      <c r="E28" s="547"/>
      <c r="F28" s="295" t="s">
        <v>224</v>
      </c>
      <c r="G28" s="364" t="s">
        <v>194</v>
      </c>
      <c r="H28" s="365"/>
      <c r="I28" s="366"/>
      <c r="J28" s="364"/>
      <c r="K28" s="548">
        <v>0.5</v>
      </c>
      <c r="L28" s="662">
        <f t="shared" si="3"/>
        <v>400.8</v>
      </c>
      <c r="M28" s="542">
        <v>4.0000000000000001E-3</v>
      </c>
      <c r="N28" s="296">
        <v>1</v>
      </c>
      <c r="O28" s="543">
        <f t="shared" si="1"/>
        <v>0.80160000000000009</v>
      </c>
      <c r="P28" s="543"/>
      <c r="Q28" s="543"/>
      <c r="R28" s="299">
        <f>VLOOKUP($F28,'[1]Master Harga'!$E$5:$L$351,6,FALSE)</f>
        <v>1434791.925</v>
      </c>
      <c r="S28" s="543">
        <f t="shared" si="2"/>
        <v>1150129.2070800001</v>
      </c>
      <c r="T28" s="544"/>
      <c r="U28" s="544"/>
      <c r="V28" s="544"/>
      <c r="W28" s="544"/>
      <c r="X28" s="545"/>
      <c r="Y28" s="296">
        <f t="shared" si="0"/>
        <v>2869.58385</v>
      </c>
      <c r="Z28" s="295"/>
    </row>
    <row r="29" spans="2:26" x14ac:dyDescent="0.35">
      <c r="B29" s="546"/>
      <c r="E29" s="547"/>
      <c r="F29" s="295" t="s">
        <v>231</v>
      </c>
      <c r="G29" s="364" t="s">
        <v>190</v>
      </c>
      <c r="H29" s="365"/>
      <c r="I29" s="366"/>
      <c r="J29" s="364"/>
      <c r="K29" s="548">
        <v>0.5</v>
      </c>
      <c r="L29" s="662">
        <f t="shared" si="3"/>
        <v>400.8</v>
      </c>
      <c r="M29" s="542">
        <v>1</v>
      </c>
      <c r="N29" s="296">
        <v>1</v>
      </c>
      <c r="O29" s="543">
        <f t="shared" si="1"/>
        <v>200.4</v>
      </c>
      <c r="P29" s="543"/>
      <c r="Q29" s="543"/>
      <c r="R29" s="299">
        <f>VLOOKUP($F29,'[1]Master Harga'!$E$5:$L$351,6,FALSE)</f>
        <v>4042.5</v>
      </c>
      <c r="S29" s="543">
        <f t="shared" si="2"/>
        <v>810117</v>
      </c>
      <c r="T29" s="544"/>
      <c r="U29" s="544"/>
      <c r="V29" s="544"/>
      <c r="W29" s="544"/>
      <c r="X29" s="545"/>
      <c r="Y29" s="296">
        <f t="shared" si="0"/>
        <v>2021.25</v>
      </c>
      <c r="Z29" s="295"/>
    </row>
    <row r="30" spans="2:26" x14ac:dyDescent="0.35">
      <c r="B30" s="546"/>
      <c r="E30" s="547"/>
      <c r="F30" s="295" t="s">
        <v>232</v>
      </c>
      <c r="G30" s="364" t="s">
        <v>194</v>
      </c>
      <c r="H30" s="365">
        <v>4</v>
      </c>
      <c r="I30" s="366" t="s">
        <v>233</v>
      </c>
      <c r="J30" s="364"/>
      <c r="K30" s="548">
        <v>0.5</v>
      </c>
      <c r="L30" s="662">
        <f t="shared" si="3"/>
        <v>400.8</v>
      </c>
      <c r="M30" s="663">
        <f>((M$25*N$25)/240*($H30/N30))</f>
        <v>1.6666666666666666E-2</v>
      </c>
      <c r="N30" s="296">
        <v>1</v>
      </c>
      <c r="O30" s="543">
        <f t="shared" si="1"/>
        <v>3.34</v>
      </c>
      <c r="P30" s="543"/>
      <c r="Q30" s="543"/>
      <c r="R30" s="299">
        <f>VLOOKUP($F30,'[1]Master Harga'!$E$5:$L$351,6,FALSE)</f>
        <v>44982</v>
      </c>
      <c r="S30" s="543">
        <f t="shared" si="2"/>
        <v>150239.88</v>
      </c>
      <c r="T30" s="544"/>
      <c r="U30" s="544"/>
      <c r="V30" s="544"/>
      <c r="W30" s="544"/>
      <c r="X30" s="545"/>
      <c r="Y30" s="296">
        <f t="shared" si="0"/>
        <v>374.85</v>
      </c>
      <c r="Z30" s="295"/>
    </row>
    <row r="31" spans="2:26" x14ac:dyDescent="0.35">
      <c r="B31" s="546"/>
      <c r="E31" s="547"/>
      <c r="F31" s="295" t="s">
        <v>234</v>
      </c>
      <c r="G31" s="364" t="s">
        <v>194</v>
      </c>
      <c r="H31" s="365">
        <v>12</v>
      </c>
      <c r="I31" s="366" t="s">
        <v>233</v>
      </c>
      <c r="J31" s="364"/>
      <c r="K31" s="548">
        <v>0.5</v>
      </c>
      <c r="L31" s="662">
        <f t="shared" si="3"/>
        <v>400.8</v>
      </c>
      <c r="M31" s="663">
        <f>((M$25*N$25)/240*($H31/N31))</f>
        <v>0.05</v>
      </c>
      <c r="N31" s="296">
        <v>1</v>
      </c>
      <c r="O31" s="543">
        <f t="shared" si="1"/>
        <v>10.020000000000001</v>
      </c>
      <c r="P31" s="543"/>
      <c r="Q31" s="543"/>
      <c r="R31" s="299">
        <f>VLOOKUP($F31,'[1]Master Harga'!$E$5:$L$351,6,FALSE)</f>
        <v>14700</v>
      </c>
      <c r="S31" s="543">
        <f t="shared" si="2"/>
        <v>147294.00000000003</v>
      </c>
      <c r="T31" s="544"/>
      <c r="U31" s="544"/>
      <c r="V31" s="544"/>
      <c r="W31" s="544"/>
      <c r="X31" s="545"/>
      <c r="Y31" s="296">
        <f t="shared" si="0"/>
        <v>367.50000000000006</v>
      </c>
      <c r="Z31" s="295"/>
    </row>
    <row r="32" spans="2:26" x14ac:dyDescent="0.35">
      <c r="B32" s="546"/>
      <c r="E32" s="547"/>
      <c r="F32" s="295" t="s">
        <v>235</v>
      </c>
      <c r="G32" s="364" t="s">
        <v>194</v>
      </c>
      <c r="H32" s="365">
        <v>1</v>
      </c>
      <c r="I32" s="366" t="s">
        <v>233</v>
      </c>
      <c r="J32" s="364"/>
      <c r="K32" s="548">
        <v>0.5</v>
      </c>
      <c r="L32" s="662">
        <f t="shared" si="3"/>
        <v>400.8</v>
      </c>
      <c r="M32" s="663">
        <f>((M$25*N$25)/240*($H32/N32))</f>
        <v>4.1666666666666666E-3</v>
      </c>
      <c r="N32" s="296">
        <v>1</v>
      </c>
      <c r="O32" s="543">
        <f t="shared" si="1"/>
        <v>0.83499999999999996</v>
      </c>
      <c r="P32" s="543"/>
      <c r="Q32" s="543"/>
      <c r="R32" s="299">
        <f>VLOOKUP($F32,'[1]Master Harga'!$E$5:$L$351,6,FALSE)</f>
        <v>39359.25</v>
      </c>
      <c r="S32" s="543">
        <f t="shared" si="2"/>
        <v>32864.973749999997</v>
      </c>
      <c r="T32" s="544"/>
      <c r="U32" s="544"/>
      <c r="V32" s="544"/>
      <c r="W32" s="544"/>
      <c r="X32" s="545"/>
      <c r="Y32" s="296">
        <f t="shared" si="0"/>
        <v>81.998437499999994</v>
      </c>
      <c r="Z32" s="295"/>
    </row>
    <row r="33" spans="2:26" x14ac:dyDescent="0.35">
      <c r="B33" s="546"/>
      <c r="E33" s="547"/>
      <c r="F33" s="295" t="s">
        <v>236</v>
      </c>
      <c r="G33" s="364" t="s">
        <v>194</v>
      </c>
      <c r="H33" s="365">
        <v>2</v>
      </c>
      <c r="I33" s="366" t="s">
        <v>233</v>
      </c>
      <c r="J33" s="364"/>
      <c r="K33" s="548">
        <v>0.5</v>
      </c>
      <c r="L33" s="662">
        <f t="shared" si="3"/>
        <v>400.8</v>
      </c>
      <c r="M33" s="663">
        <f>((M$25*N$25)/240*($H33/N33))</f>
        <v>8.3333333333333332E-3</v>
      </c>
      <c r="N33" s="296">
        <v>1</v>
      </c>
      <c r="O33" s="543">
        <f t="shared" si="1"/>
        <v>1.67</v>
      </c>
      <c r="P33" s="543"/>
      <c r="Q33" s="543"/>
      <c r="R33" s="299">
        <f>VLOOKUP($F33,'[1]Master Harga'!$E$5:$L$351,6,FALSE)</f>
        <v>33736.5</v>
      </c>
      <c r="S33" s="543">
        <f t="shared" si="2"/>
        <v>56339.954999999994</v>
      </c>
      <c r="T33" s="544"/>
      <c r="U33" s="544"/>
      <c r="V33" s="544"/>
      <c r="W33" s="544"/>
      <c r="X33" s="545"/>
      <c r="Y33" s="296">
        <f t="shared" si="0"/>
        <v>140.56874999999999</v>
      </c>
      <c r="Z33" s="295"/>
    </row>
    <row r="34" spans="2:26" x14ac:dyDescent="0.35">
      <c r="B34" s="549"/>
      <c r="C34" s="550"/>
      <c r="D34" s="550"/>
      <c r="E34" s="551"/>
      <c r="F34" s="295" t="s">
        <v>237</v>
      </c>
      <c r="G34" s="364" t="s">
        <v>194</v>
      </c>
      <c r="H34" s="365">
        <v>1</v>
      </c>
      <c r="I34" s="366" t="s">
        <v>233</v>
      </c>
      <c r="J34" s="364"/>
      <c r="K34" s="548">
        <v>0.5</v>
      </c>
      <c r="L34" s="662">
        <f t="shared" si="3"/>
        <v>400.8</v>
      </c>
      <c r="M34" s="663">
        <f>((M$25*N$25)/240*($H34/N34))</f>
        <v>4.1666666666666666E-3</v>
      </c>
      <c r="N34" s="296">
        <v>1</v>
      </c>
      <c r="O34" s="543">
        <f t="shared" si="1"/>
        <v>0.83499999999999996</v>
      </c>
      <c r="P34" s="543"/>
      <c r="Q34" s="543"/>
      <c r="R34" s="299">
        <f>VLOOKUP($F34,'[1]Master Harga'!$E$5:$L$351,6,FALSE)</f>
        <v>89964</v>
      </c>
      <c r="S34" s="543">
        <f t="shared" si="2"/>
        <v>75119.94</v>
      </c>
      <c r="T34" s="544"/>
      <c r="U34" s="544"/>
      <c r="V34" s="544"/>
      <c r="W34" s="544"/>
      <c r="X34" s="545"/>
      <c r="Y34" s="296">
        <f t="shared" si="0"/>
        <v>187.42500000000001</v>
      </c>
      <c r="Z34" s="295"/>
    </row>
    <row r="35" spans="2:26" x14ac:dyDescent="0.35">
      <c r="B35" s="665" t="s">
        <v>434</v>
      </c>
      <c r="C35" s="666"/>
      <c r="D35" s="666"/>
      <c r="E35" s="667"/>
      <c r="F35" s="668"/>
      <c r="G35" s="669"/>
      <c r="H35" s="670"/>
      <c r="I35" s="671"/>
      <c r="J35" s="669"/>
      <c r="K35" s="672"/>
      <c r="L35" s="673"/>
      <c r="M35" s="674"/>
      <c r="N35" s="675"/>
      <c r="O35" s="670"/>
      <c r="P35" s="676"/>
      <c r="Q35" s="676"/>
      <c r="R35" s="676"/>
      <c r="S35" s="676">
        <f>SUM(S6:S34)</f>
        <v>259034482.131975</v>
      </c>
      <c r="T35" s="677"/>
      <c r="U35" s="677"/>
      <c r="V35" s="677"/>
      <c r="W35" s="677"/>
      <c r="X35" s="670"/>
      <c r="Y35" s="675">
        <f t="shared" si="0"/>
        <v>646293.61809374997</v>
      </c>
      <c r="Z35" s="668"/>
    </row>
    <row r="36" spans="2:26" x14ac:dyDescent="0.35">
      <c r="B36" s="678" t="s">
        <v>435</v>
      </c>
      <c r="C36" s="366"/>
      <c r="D36" s="366"/>
      <c r="E36" s="553"/>
      <c r="F36" s="295"/>
      <c r="G36" s="364"/>
      <c r="H36" s="365"/>
      <c r="I36" s="366"/>
      <c r="J36" s="364"/>
      <c r="K36" s="308"/>
      <c r="L36" s="662"/>
      <c r="M36" s="663"/>
      <c r="N36" s="296"/>
      <c r="O36" s="365"/>
      <c r="P36" s="543"/>
      <c r="Q36" s="543"/>
      <c r="R36" s="543"/>
      <c r="S36" s="543"/>
      <c r="T36" s="544"/>
      <c r="U36" s="544"/>
      <c r="V36" s="544"/>
      <c r="W36" s="544"/>
      <c r="X36" s="545"/>
      <c r="Y36" s="296">
        <f t="shared" si="0"/>
        <v>0</v>
      </c>
      <c r="Z36" s="295"/>
    </row>
    <row r="37" spans="2:26" x14ac:dyDescent="0.35">
      <c r="B37" s="679" t="s">
        <v>436</v>
      </c>
      <c r="E37" s="547"/>
      <c r="F37" s="295"/>
      <c r="G37" s="364"/>
      <c r="H37" s="365"/>
      <c r="I37" s="366"/>
      <c r="J37" s="364"/>
      <c r="K37" s="308"/>
      <c r="L37" s="662"/>
      <c r="M37" s="663"/>
      <c r="N37" s="296"/>
      <c r="O37" s="365"/>
      <c r="P37" s="543"/>
      <c r="Q37" s="543"/>
      <c r="R37" s="543"/>
      <c r="S37" s="543"/>
      <c r="T37" s="544"/>
      <c r="U37" s="544"/>
      <c r="V37" s="544"/>
      <c r="W37" s="544"/>
      <c r="X37" s="545"/>
      <c r="Y37" s="296">
        <f t="shared" si="0"/>
        <v>0</v>
      </c>
      <c r="Z37" s="295"/>
    </row>
    <row r="38" spans="2:26" x14ac:dyDescent="0.35">
      <c r="B38" s="539"/>
      <c r="C38" s="540" t="s">
        <v>71</v>
      </c>
      <c r="D38" s="540"/>
      <c r="E38" s="541"/>
      <c r="F38" s="295" t="s">
        <v>189</v>
      </c>
      <c r="G38" s="364" t="s">
        <v>190</v>
      </c>
      <c r="H38" s="365"/>
      <c r="I38" s="366"/>
      <c r="J38" s="364" t="s">
        <v>170</v>
      </c>
      <c r="K38" s="548">
        <v>1</v>
      </c>
      <c r="L38" s="564">
        <f>AC1</f>
        <v>400.8</v>
      </c>
      <c r="M38" s="582">
        <v>2.5</v>
      </c>
      <c r="N38" s="296">
        <v>1</v>
      </c>
      <c r="O38" s="401">
        <f>K38*L38*M38*N38</f>
        <v>1002</v>
      </c>
      <c r="P38" s="299">
        <f>VLOOKUP($F38,'[1]Master Harga'!$E$5:$L$351,5,FALSE)</f>
        <v>140008</v>
      </c>
      <c r="Q38" s="543">
        <f>P38*$O38</f>
        <v>140288016</v>
      </c>
      <c r="R38" s="299">
        <f>VLOOKUP($F38,'[1]Master Harga'!$E$5:$L$351,6,FALSE)</f>
        <v>149108.51999999999</v>
      </c>
      <c r="S38" s="543">
        <f>R38*$O38</f>
        <v>149406737.03999999</v>
      </c>
      <c r="T38" s="296">
        <f>VLOOKUP($F38,'[2]Master Harga'!$E$5:$L$348,7,FALSE)</f>
        <v>163305.33120000002</v>
      </c>
      <c r="U38" s="544">
        <f>$O38*T38</f>
        <v>163631941.86240003</v>
      </c>
      <c r="V38" s="296">
        <f>W38/O38</f>
        <v>150807.28373333332</v>
      </c>
      <c r="W38" s="307">
        <f>AVERAGEIF($P$3:$U$3,W$3,$P38:$U38)</f>
        <v>151108898.3008</v>
      </c>
      <c r="X38" s="545"/>
      <c r="Y38" s="296">
        <f t="shared" si="0"/>
        <v>372771.3</v>
      </c>
      <c r="Z38" s="450"/>
    </row>
    <row r="39" spans="2:26" x14ac:dyDescent="0.35">
      <c r="B39" s="546"/>
      <c r="E39" s="547"/>
      <c r="F39" s="295" t="s">
        <v>293</v>
      </c>
      <c r="G39" s="364" t="s">
        <v>194</v>
      </c>
      <c r="H39" s="365"/>
      <c r="I39" s="366"/>
      <c r="J39" s="364"/>
      <c r="K39" s="400">
        <v>1</v>
      </c>
      <c r="L39" s="564">
        <f>$L$38</f>
        <v>400.8</v>
      </c>
      <c r="M39" s="542">
        <v>8.3000000000000001E-3</v>
      </c>
      <c r="N39" s="296">
        <v>1</v>
      </c>
      <c r="O39" s="401">
        <f>K39*L39*M39*N39</f>
        <v>3.3266400000000003</v>
      </c>
      <c r="P39" s="543"/>
      <c r="Q39" s="543"/>
      <c r="R39" s="299">
        <f>VLOOKUP($F39,'[1]Master Harga'!$E$5:$L$351,6,FALSE)</f>
        <v>79588.6875</v>
      </c>
      <c r="S39" s="543">
        <f>R39*$O39</f>
        <v>264762.91138500004</v>
      </c>
      <c r="T39" s="544"/>
      <c r="U39" s="544"/>
      <c r="V39" s="544"/>
      <c r="W39" s="544"/>
      <c r="X39" s="545"/>
      <c r="Y39" s="296">
        <f t="shared" si="0"/>
        <v>660.58610625000006</v>
      </c>
      <c r="Z39" s="295"/>
    </row>
    <row r="40" spans="2:26" s="357" customFormat="1" x14ac:dyDescent="0.35">
      <c r="B40" s="680"/>
      <c r="C40" s="681"/>
      <c r="D40" s="681"/>
      <c r="E40" s="682"/>
      <c r="F40" s="436" t="s">
        <v>237</v>
      </c>
      <c r="G40" s="579" t="s">
        <v>194</v>
      </c>
      <c r="H40" s="545"/>
      <c r="I40" s="580"/>
      <c r="J40" s="579"/>
      <c r="K40" s="400">
        <v>1</v>
      </c>
      <c r="L40" s="564">
        <f>$L$38</f>
        <v>400.8</v>
      </c>
      <c r="M40" s="542">
        <v>8.3000000000000001E-3</v>
      </c>
      <c r="N40" s="437">
        <v>1</v>
      </c>
      <c r="O40" s="590">
        <f>K40*L40*M40*N40</f>
        <v>3.3266400000000003</v>
      </c>
      <c r="P40" s="683"/>
      <c r="Q40" s="683"/>
      <c r="R40" s="455">
        <f>VLOOKUP($F40,'[1]Master Harga'!$E$5:$L$351,6,FALSE)</f>
        <v>89964</v>
      </c>
      <c r="S40" s="683">
        <f>R40*$O40</f>
        <v>299277.84096</v>
      </c>
      <c r="T40" s="684"/>
      <c r="U40" s="684"/>
      <c r="V40" s="684"/>
      <c r="W40" s="684"/>
      <c r="X40" s="545"/>
      <c r="Y40" s="296">
        <f t="shared" si="0"/>
        <v>746.70119999999997</v>
      </c>
      <c r="Z40" s="436"/>
    </row>
    <row r="41" spans="2:26" x14ac:dyDescent="0.35">
      <c r="B41" s="685" t="s">
        <v>437</v>
      </c>
      <c r="C41" s="686"/>
      <c r="D41" s="686"/>
      <c r="E41" s="687"/>
      <c r="F41" s="688"/>
      <c r="G41" s="689"/>
      <c r="H41" s="690"/>
      <c r="I41" s="691"/>
      <c r="J41" s="689"/>
      <c r="K41" s="692"/>
      <c r="L41" s="693"/>
      <c r="M41" s="694"/>
      <c r="N41" s="695"/>
      <c r="O41" s="690"/>
      <c r="P41" s="696"/>
      <c r="Q41" s="696"/>
      <c r="R41" s="696"/>
      <c r="S41" s="697">
        <f>SUM(S38:S40)</f>
        <v>149970777.79234499</v>
      </c>
      <c r="T41" s="684"/>
      <c r="U41" s="684"/>
      <c r="V41" s="684"/>
      <c r="W41" s="684"/>
      <c r="X41" s="690"/>
      <c r="Y41" s="698">
        <f t="shared" si="0"/>
        <v>374178.58730624994</v>
      </c>
      <c r="Z41" s="699">
        <f>(Y41/$Y$410)*100</f>
        <v>2.6003102978188868</v>
      </c>
    </row>
    <row r="42" spans="2:26" x14ac:dyDescent="0.35">
      <c r="B42" s="539"/>
      <c r="C42" s="540" t="s">
        <v>74</v>
      </c>
      <c r="D42" s="540"/>
      <c r="E42" s="541"/>
      <c r="F42" s="295" t="s">
        <v>189</v>
      </c>
      <c r="G42" s="364" t="s">
        <v>190</v>
      </c>
      <c r="H42" s="365"/>
      <c r="I42" s="366"/>
      <c r="J42" s="364"/>
      <c r="K42" s="400">
        <v>0.5</v>
      </c>
      <c r="L42" s="564">
        <f>$L$38</f>
        <v>400.8</v>
      </c>
      <c r="M42" s="542">
        <v>1</v>
      </c>
      <c r="N42" s="296">
        <v>1</v>
      </c>
      <c r="O42" s="590">
        <f>K42*L42*M42*N42</f>
        <v>200.4</v>
      </c>
      <c r="P42" s="543"/>
      <c r="Q42" s="543"/>
      <c r="R42" s="455">
        <f>VLOOKUP($F42,'[1]Master Harga'!$E$5:$L$351,6,FALSE)</f>
        <v>149108.51999999999</v>
      </c>
      <c r="S42" s="543">
        <f t="shared" ref="S42:S44" si="4">R42*$O42</f>
        <v>29881347.408</v>
      </c>
      <c r="T42" s="296">
        <f>VLOOKUP($F42,'[2]Master Harga'!$E$5:$L$348,7,FALSE)</f>
        <v>163305.33120000002</v>
      </c>
      <c r="U42" s="544">
        <f t="shared" ref="U42:U44" si="5">$O42*T42</f>
        <v>32726388.372480005</v>
      </c>
      <c r="V42" s="296">
        <f t="shared" ref="V42:V44" si="6">W42/O42</f>
        <v>156206.92560000002</v>
      </c>
      <c r="W42" s="307">
        <f t="shared" ref="W42:W44" si="7">AVERAGEIF($P$3:$U$3,W$3,$P42:$U42)</f>
        <v>31303867.890240002</v>
      </c>
      <c r="X42" s="545"/>
      <c r="Y42" s="437">
        <f t="shared" si="0"/>
        <v>74554.259999999995</v>
      </c>
      <c r="Z42" s="295"/>
    </row>
    <row r="43" spans="2:26" x14ac:dyDescent="0.35">
      <c r="B43" s="546"/>
      <c r="E43" s="547"/>
      <c r="F43" s="295" t="s">
        <v>293</v>
      </c>
      <c r="G43" s="364" t="s">
        <v>194</v>
      </c>
      <c r="H43" s="365"/>
      <c r="I43" s="366"/>
      <c r="J43" s="364"/>
      <c r="K43" s="400">
        <v>0.5</v>
      </c>
      <c r="L43" s="564">
        <f>$L$38</f>
        <v>400.8</v>
      </c>
      <c r="M43" s="542">
        <v>3.3E-3</v>
      </c>
      <c r="N43" s="296">
        <v>1</v>
      </c>
      <c r="O43" s="590">
        <f>K43*L43*M43*N43</f>
        <v>0.66132000000000002</v>
      </c>
      <c r="P43" s="543"/>
      <c r="Q43" s="543"/>
      <c r="R43" s="455">
        <f>VLOOKUP($F43,'[1]Master Harga'!$E$5:$L$351,6,FALSE)</f>
        <v>79588.6875</v>
      </c>
      <c r="S43" s="543">
        <f t="shared" si="4"/>
        <v>52633.5908175</v>
      </c>
      <c r="T43" s="296">
        <f>VLOOKUP($F43,'[2]Master Harga'!$E$5:$L$348,7,FALSE)</f>
        <v>88411.662000000011</v>
      </c>
      <c r="U43" s="544">
        <f t="shared" si="5"/>
        <v>58468.400313840008</v>
      </c>
      <c r="V43" s="296">
        <f t="shared" si="6"/>
        <v>84000.174750000006</v>
      </c>
      <c r="W43" s="307">
        <f t="shared" si="7"/>
        <v>55550.995565670004</v>
      </c>
      <c r="X43" s="545"/>
      <c r="Y43" s="437">
        <f t="shared" si="0"/>
        <v>131.32133437499999</v>
      </c>
      <c r="Z43" s="295"/>
    </row>
    <row r="44" spans="2:26" s="357" customFormat="1" x14ac:dyDescent="0.35">
      <c r="B44" s="680"/>
      <c r="C44" s="681"/>
      <c r="D44" s="681"/>
      <c r="E44" s="682"/>
      <c r="F44" s="436" t="s">
        <v>237</v>
      </c>
      <c r="G44" s="579" t="s">
        <v>194</v>
      </c>
      <c r="H44" s="545"/>
      <c r="I44" s="580"/>
      <c r="J44" s="579"/>
      <c r="K44" s="400">
        <v>0.5</v>
      </c>
      <c r="L44" s="564">
        <f>$L$38</f>
        <v>400.8</v>
      </c>
      <c r="M44" s="552">
        <v>3.3E-3</v>
      </c>
      <c r="N44" s="437">
        <v>1</v>
      </c>
      <c r="O44" s="590">
        <f>K44*L44*M44*N44</f>
        <v>0.66132000000000002</v>
      </c>
      <c r="P44" s="683"/>
      <c r="Q44" s="683"/>
      <c r="R44" s="455">
        <f>VLOOKUP($F44,'[1]Master Harga'!$E$5:$L$351,6,FALSE)</f>
        <v>89964</v>
      </c>
      <c r="S44" s="543">
        <f t="shared" si="4"/>
        <v>59494.992480000001</v>
      </c>
      <c r="T44" s="296">
        <f>VLOOKUP($F44,'[2]Master Harga'!$E$5:$L$348,7,FALSE)</f>
        <v>99937.152000000016</v>
      </c>
      <c r="U44" s="544">
        <f t="shared" si="5"/>
        <v>66090.437360640019</v>
      </c>
      <c r="V44" s="296">
        <f t="shared" si="6"/>
        <v>94950.576000000015</v>
      </c>
      <c r="W44" s="307">
        <f t="shared" si="7"/>
        <v>62792.71492032001</v>
      </c>
      <c r="X44" s="545"/>
      <c r="Y44" s="437">
        <f t="shared" si="0"/>
        <v>148.44059999999999</v>
      </c>
      <c r="Z44" s="295"/>
    </row>
    <row r="45" spans="2:26" s="357" customFormat="1" hidden="1" x14ac:dyDescent="0.35">
      <c r="B45" s="700"/>
      <c r="C45" s="357" t="s">
        <v>77</v>
      </c>
      <c r="E45" s="701"/>
      <c r="F45" s="295" t="s">
        <v>189</v>
      </c>
      <c r="G45" s="364" t="s">
        <v>190</v>
      </c>
      <c r="H45" s="545"/>
      <c r="I45" s="580"/>
      <c r="J45" s="579"/>
      <c r="K45" s="439"/>
      <c r="L45" s="702"/>
      <c r="M45" s="552"/>
      <c r="N45" s="437"/>
      <c r="O45" s="590">
        <f>K45*L45*M45*N45</f>
        <v>0</v>
      </c>
      <c r="P45" s="683"/>
      <c r="Q45" s="683"/>
      <c r="R45" s="683"/>
      <c r="S45" s="683"/>
      <c r="T45" s="684"/>
      <c r="U45" s="684"/>
      <c r="V45" s="684"/>
      <c r="W45" s="684"/>
      <c r="X45" s="545"/>
      <c r="Y45" s="437">
        <f t="shared" si="0"/>
        <v>0</v>
      </c>
      <c r="Z45" s="436"/>
    </row>
    <row r="46" spans="2:26" s="357" customFormat="1" hidden="1" x14ac:dyDescent="0.35">
      <c r="B46" s="700"/>
      <c r="E46" s="701"/>
      <c r="F46" s="295" t="s">
        <v>293</v>
      </c>
      <c r="G46" s="364" t="s">
        <v>194</v>
      </c>
      <c r="H46" s="545"/>
      <c r="I46" s="580"/>
      <c r="J46" s="579"/>
      <c r="K46" s="439"/>
      <c r="L46" s="702"/>
      <c r="M46" s="552"/>
      <c r="N46" s="437"/>
      <c r="O46" s="545"/>
      <c r="P46" s="683"/>
      <c r="Q46" s="683"/>
      <c r="R46" s="683"/>
      <c r="S46" s="683"/>
      <c r="T46" s="684"/>
      <c r="U46" s="684"/>
      <c r="V46" s="684"/>
      <c r="W46" s="684"/>
      <c r="X46" s="545"/>
      <c r="Y46" s="437">
        <f t="shared" si="0"/>
        <v>0</v>
      </c>
      <c r="Z46" s="436"/>
    </row>
    <row r="47" spans="2:26" s="357" customFormat="1" hidden="1" x14ac:dyDescent="0.35">
      <c r="B47" s="700"/>
      <c r="E47" s="701"/>
      <c r="F47" s="436" t="s">
        <v>237</v>
      </c>
      <c r="G47" s="579"/>
      <c r="H47" s="545"/>
      <c r="I47" s="580"/>
      <c r="J47" s="579"/>
      <c r="K47" s="439"/>
      <c r="L47" s="702"/>
      <c r="M47" s="552"/>
      <c r="N47" s="437"/>
      <c r="O47" s="545"/>
      <c r="P47" s="683"/>
      <c r="Q47" s="683"/>
      <c r="R47" s="683"/>
      <c r="S47" s="683"/>
      <c r="T47" s="684"/>
      <c r="U47" s="684"/>
      <c r="V47" s="684"/>
      <c r="W47" s="684"/>
      <c r="X47" s="545"/>
      <c r="Y47" s="437">
        <f t="shared" si="0"/>
        <v>0</v>
      </c>
      <c r="Z47" s="436"/>
    </row>
    <row r="48" spans="2:26" x14ac:dyDescent="0.35">
      <c r="B48" s="539"/>
      <c r="C48" s="540" t="s">
        <v>80</v>
      </c>
      <c r="D48" s="540"/>
      <c r="E48" s="541"/>
      <c r="F48" s="295" t="s">
        <v>189</v>
      </c>
      <c r="G48" s="364" t="s">
        <v>190</v>
      </c>
      <c r="H48" s="365"/>
      <c r="I48" s="366"/>
      <c r="J48" s="364" t="s">
        <v>264</v>
      </c>
      <c r="K48" s="400">
        <v>0.5</v>
      </c>
      <c r="L48" s="564">
        <f>$L$38</f>
        <v>400.8</v>
      </c>
      <c r="M48" s="542">
        <v>0.5</v>
      </c>
      <c r="N48" s="296">
        <v>1</v>
      </c>
      <c r="O48" s="401">
        <f>K48*L48*M48*N48</f>
        <v>100.2</v>
      </c>
      <c r="P48" s="299">
        <f>VLOOKUP($F48,'[1]Master Harga'!$E$5:$L$351,5,FALSE)</f>
        <v>140008</v>
      </c>
      <c r="Q48" s="543">
        <f>P48*$O48</f>
        <v>14028801.6</v>
      </c>
      <c r="R48" s="299">
        <f>VLOOKUP($F48,'[1]Master Harga'!$E$5:$L$351,6,FALSE)</f>
        <v>149108.51999999999</v>
      </c>
      <c r="S48" s="543">
        <f>R48*$O48</f>
        <v>14940673.704</v>
      </c>
      <c r="T48" s="296">
        <f>VLOOKUP($F48,'[2]Master Harga'!$E$5:$L$348,7,FALSE)</f>
        <v>163305.33120000002</v>
      </c>
      <c r="U48" s="544">
        <f>$O48*T48</f>
        <v>16363194.186240003</v>
      </c>
      <c r="V48" s="296">
        <f>W48/O48</f>
        <v>150807.28373333334</v>
      </c>
      <c r="W48" s="307">
        <f>AVERAGEIF($P$3:$U$3,W$3,$P48:$U48)</f>
        <v>15110889.830080001</v>
      </c>
      <c r="X48" s="545"/>
      <c r="Y48" s="437">
        <f t="shared" si="0"/>
        <v>37277.129999999997</v>
      </c>
      <c r="Z48" s="295"/>
    </row>
    <row r="49" spans="2:26" x14ac:dyDescent="0.35">
      <c r="B49" s="546"/>
      <c r="E49" s="547"/>
      <c r="F49" s="295" t="s">
        <v>438</v>
      </c>
      <c r="G49" s="364" t="s">
        <v>194</v>
      </c>
      <c r="H49" s="365"/>
      <c r="I49" s="366"/>
      <c r="J49" s="364" t="s">
        <v>264</v>
      </c>
      <c r="K49" s="400">
        <v>0.5</v>
      </c>
      <c r="L49" s="564">
        <f>$L$38</f>
        <v>400.8</v>
      </c>
      <c r="M49" s="703">
        <v>0.25</v>
      </c>
      <c r="N49" s="296">
        <v>1</v>
      </c>
      <c r="O49" s="401">
        <f>K49*L49*M49*N49</f>
        <v>50.1</v>
      </c>
      <c r="P49" s="299">
        <f>VLOOKUP($F49,'[1]Master Harga'!$E$5:$L$351,5,FALSE)</f>
        <v>450000</v>
      </c>
      <c r="Q49" s="543">
        <f>P49*$O49</f>
        <v>22545000</v>
      </c>
      <c r="R49" s="299">
        <f>VLOOKUP($F49,'[1]Master Harga'!$E$5:$L$351,6,FALSE)</f>
        <v>495000.00000000006</v>
      </c>
      <c r="S49" s="543">
        <f>R49*$O49</f>
        <v>24799500.000000004</v>
      </c>
      <c r="T49" s="296">
        <f>VLOOKUP($F49,'[2]Master Harga'!$E$5:$L$348,7,FALSE)</f>
        <v>544500.00000000012</v>
      </c>
      <c r="U49" s="544">
        <f>$O49*T49</f>
        <v>27279450.000000007</v>
      </c>
      <c r="V49" s="296">
        <f>W49/O49</f>
        <v>496500</v>
      </c>
      <c r="W49" s="307">
        <f>AVERAGEIF($P$3:$U$3,W$3,$P49:$U49)</f>
        <v>24874650</v>
      </c>
      <c r="X49" s="545"/>
      <c r="Y49" s="437">
        <f t="shared" si="0"/>
        <v>61875.000000000007</v>
      </c>
      <c r="Z49" s="295"/>
    </row>
    <row r="50" spans="2:26" s="357" customFormat="1" x14ac:dyDescent="0.35">
      <c r="B50" s="680"/>
      <c r="C50" s="681"/>
      <c r="D50" s="681"/>
      <c r="E50" s="682"/>
      <c r="F50" s="436" t="s">
        <v>237</v>
      </c>
      <c r="G50" s="579" t="s">
        <v>194</v>
      </c>
      <c r="H50" s="545"/>
      <c r="I50" s="580"/>
      <c r="J50" s="579"/>
      <c r="K50" s="400">
        <v>0.5</v>
      </c>
      <c r="L50" s="564">
        <f>$L$38</f>
        <v>400.8</v>
      </c>
      <c r="M50" s="552">
        <v>0.01</v>
      </c>
      <c r="N50" s="437">
        <v>1</v>
      </c>
      <c r="O50" s="590">
        <f>K50*L50*M50*N50</f>
        <v>2.004</v>
      </c>
      <c r="P50" s="683"/>
      <c r="Q50" s="683"/>
      <c r="R50" s="455">
        <f>VLOOKUP($F50,'[1]Master Harga'!$E$5:$L$351,6,FALSE)</f>
        <v>89964</v>
      </c>
      <c r="S50" s="683">
        <f>R50*$O50</f>
        <v>180287.856</v>
      </c>
      <c r="T50" s="684"/>
      <c r="U50" s="684"/>
      <c r="V50" s="684"/>
      <c r="W50" s="684"/>
      <c r="X50" s="545"/>
      <c r="Y50" s="437">
        <f t="shared" si="0"/>
        <v>449.82</v>
      </c>
      <c r="Z50" s="436"/>
    </row>
    <row r="51" spans="2:26" x14ac:dyDescent="0.35">
      <c r="B51" s="685" t="s">
        <v>439</v>
      </c>
      <c r="C51" s="686"/>
      <c r="D51" s="686"/>
      <c r="E51" s="687"/>
      <c r="F51" s="688"/>
      <c r="G51" s="689"/>
      <c r="H51" s="690"/>
      <c r="I51" s="691"/>
      <c r="J51" s="689"/>
      <c r="K51" s="692"/>
      <c r="L51" s="693"/>
      <c r="M51" s="694"/>
      <c r="N51" s="695"/>
      <c r="O51" s="690"/>
      <c r="P51" s="696"/>
      <c r="Q51" s="696"/>
      <c r="R51" s="696"/>
      <c r="S51" s="697">
        <f>SUM(S42:S50)</f>
        <v>69913937.551297501</v>
      </c>
      <c r="T51" s="684"/>
      <c r="U51" s="684"/>
      <c r="V51" s="684"/>
      <c r="W51" s="684"/>
      <c r="X51" s="690"/>
      <c r="Y51" s="698">
        <f t="shared" si="0"/>
        <v>174435.971934375</v>
      </c>
      <c r="Z51" s="699">
        <f>(Y51/$Y$410)*100</f>
        <v>1.2122223705969539</v>
      </c>
    </row>
    <row r="52" spans="2:26" x14ac:dyDescent="0.35">
      <c r="B52" s="539"/>
      <c r="C52" s="540" t="s">
        <v>440</v>
      </c>
      <c r="D52" s="540"/>
      <c r="E52" s="704"/>
      <c r="F52" s="295" t="s">
        <v>189</v>
      </c>
      <c r="G52" s="364" t="s">
        <v>190</v>
      </c>
      <c r="H52" s="365"/>
      <c r="I52" s="366"/>
      <c r="J52" s="364"/>
      <c r="K52" s="400">
        <v>0</v>
      </c>
      <c r="L52" s="564">
        <f>$L$38</f>
        <v>400.8</v>
      </c>
      <c r="M52" s="542">
        <v>0.15</v>
      </c>
      <c r="N52" s="296">
        <v>1</v>
      </c>
      <c r="O52" s="590">
        <f>K52*L52*M52*N52</f>
        <v>0</v>
      </c>
      <c r="P52" s="683"/>
      <c r="Q52" s="683"/>
      <c r="R52" s="455">
        <f>VLOOKUP($F52,'[1]Master Harga'!$E$5:$L$351,6,FALSE)</f>
        <v>149108.51999999999</v>
      </c>
      <c r="S52" s="683">
        <f>R52*$O52</f>
        <v>0</v>
      </c>
      <c r="T52" s="684"/>
      <c r="U52" s="684"/>
      <c r="V52" s="684"/>
      <c r="W52" s="684"/>
      <c r="X52" s="545"/>
      <c r="Y52" s="437">
        <f t="shared" si="0"/>
        <v>0</v>
      </c>
      <c r="Z52" s="436"/>
    </row>
    <row r="53" spans="2:26" x14ac:dyDescent="0.35">
      <c r="B53" s="546"/>
      <c r="E53" s="705"/>
      <c r="F53" s="295" t="s">
        <v>441</v>
      </c>
      <c r="G53" s="364" t="s">
        <v>194</v>
      </c>
      <c r="H53" s="365"/>
      <c r="I53" s="366"/>
      <c r="J53" s="364"/>
      <c r="K53" s="400">
        <v>0</v>
      </c>
      <c r="L53" s="564">
        <f>$L$38</f>
        <v>400.8</v>
      </c>
      <c r="M53" s="542">
        <v>5.0000000000000001E-4</v>
      </c>
      <c r="N53" s="296">
        <v>1</v>
      </c>
      <c r="O53" s="590">
        <f>K53*L53*M53*N53</f>
        <v>0</v>
      </c>
      <c r="P53" s="683"/>
      <c r="Q53" s="683"/>
      <c r="R53" s="455">
        <f>VLOOKUP($F53,'[1]Master Harga'!$E$5:$L$351,6,FALSE)</f>
        <v>126244.125</v>
      </c>
      <c r="S53" s="683">
        <f>R53*$O53</f>
        <v>0</v>
      </c>
      <c r="T53" s="684"/>
      <c r="U53" s="684"/>
      <c r="V53" s="684"/>
      <c r="W53" s="684"/>
      <c r="X53" s="545"/>
      <c r="Y53" s="437">
        <f t="shared" si="0"/>
        <v>0</v>
      </c>
      <c r="Z53" s="436"/>
    </row>
    <row r="54" spans="2:26" x14ac:dyDescent="0.35">
      <c r="B54" s="549"/>
      <c r="C54" s="550"/>
      <c r="D54" s="550"/>
      <c r="E54" s="706"/>
      <c r="F54" s="436" t="s">
        <v>237</v>
      </c>
      <c r="G54" s="579" t="s">
        <v>194</v>
      </c>
      <c r="H54" s="545">
        <v>1</v>
      </c>
      <c r="I54" s="580" t="s">
        <v>233</v>
      </c>
      <c r="J54" s="579"/>
      <c r="K54" s="400">
        <v>0</v>
      </c>
      <c r="L54" s="564">
        <f>$L$38</f>
        <v>400.8</v>
      </c>
      <c r="M54" s="552">
        <f>((M$52*N$52)/240*($H54/N54))</f>
        <v>6.2500000000000001E-4</v>
      </c>
      <c r="N54" s="437">
        <v>1</v>
      </c>
      <c r="O54" s="590">
        <f>K54*L54*M54*N54</f>
        <v>0</v>
      </c>
      <c r="P54" s="683"/>
      <c r="Q54" s="683"/>
      <c r="R54" s="455">
        <f>VLOOKUP($F54,'[1]Master Harga'!$E$5:$L$351,6,FALSE)</f>
        <v>89964</v>
      </c>
      <c r="S54" s="683">
        <f>R54*$O54</f>
        <v>0</v>
      </c>
      <c r="T54" s="684"/>
      <c r="U54" s="684"/>
      <c r="V54" s="684"/>
      <c r="W54" s="684"/>
      <c r="X54" s="545"/>
      <c r="Y54" s="437">
        <f t="shared" si="0"/>
        <v>0</v>
      </c>
      <c r="Z54" s="436"/>
    </row>
    <row r="55" spans="2:26" hidden="1" x14ac:dyDescent="0.35">
      <c r="B55" s="546"/>
      <c r="C55" s="707" t="s">
        <v>307</v>
      </c>
      <c r="D55" s="429"/>
      <c r="E55" s="708"/>
      <c r="F55" s="288" t="s">
        <v>189</v>
      </c>
      <c r="G55" s="289" t="s">
        <v>190</v>
      </c>
      <c r="H55" s="290"/>
      <c r="I55" s="291"/>
      <c r="J55" s="709"/>
      <c r="K55" s="292"/>
      <c r="L55" s="564"/>
      <c r="M55" s="542"/>
      <c r="N55" s="296">
        <v>1</v>
      </c>
      <c r="O55" s="296"/>
      <c r="P55" s="710"/>
      <c r="Q55" s="710"/>
      <c r="R55" s="710"/>
      <c r="S55" s="710"/>
      <c r="T55" s="711"/>
      <c r="U55" s="711"/>
      <c r="V55" s="711"/>
      <c r="W55" s="711"/>
      <c r="X55" s="365"/>
      <c r="Y55" s="296">
        <f t="shared" si="0"/>
        <v>0</v>
      </c>
      <c r="Z55" s="295"/>
    </row>
    <row r="56" spans="2:26" hidden="1" x14ac:dyDescent="0.35">
      <c r="B56" s="546"/>
      <c r="C56" s="429"/>
      <c r="D56" s="429"/>
      <c r="E56" s="708"/>
      <c r="F56" s="295" t="s">
        <v>438</v>
      </c>
      <c r="G56" s="289" t="s">
        <v>264</v>
      </c>
      <c r="H56" s="290"/>
      <c r="I56" s="291"/>
      <c r="J56" s="709"/>
      <c r="K56" s="292"/>
      <c r="L56" s="564"/>
      <c r="M56" s="542"/>
      <c r="N56" s="296">
        <v>1</v>
      </c>
      <c r="O56" s="296"/>
      <c r="P56" s="710"/>
      <c r="Q56" s="710"/>
      <c r="R56" s="710"/>
      <c r="S56" s="710"/>
      <c r="T56" s="711"/>
      <c r="U56" s="711"/>
      <c r="V56" s="711"/>
      <c r="W56" s="711"/>
      <c r="X56" s="365"/>
      <c r="Y56" s="296">
        <f t="shared" si="0"/>
        <v>0</v>
      </c>
      <c r="Z56" s="295"/>
    </row>
    <row r="57" spans="2:26" hidden="1" x14ac:dyDescent="0.35">
      <c r="B57" s="549"/>
      <c r="C57" s="469"/>
      <c r="D57" s="469"/>
      <c r="E57" s="712"/>
      <c r="F57" s="288" t="s">
        <v>265</v>
      </c>
      <c r="G57" s="289" t="s">
        <v>203</v>
      </c>
      <c r="H57" s="290"/>
      <c r="I57" s="291"/>
      <c r="J57" s="709"/>
      <c r="K57" s="292"/>
      <c r="L57" s="564"/>
      <c r="M57" s="542"/>
      <c r="N57" s="296">
        <v>1</v>
      </c>
      <c r="O57" s="296"/>
      <c r="P57" s="710"/>
      <c r="Q57" s="710"/>
      <c r="R57" s="710"/>
      <c r="S57" s="710"/>
      <c r="T57" s="711"/>
      <c r="U57" s="711"/>
      <c r="V57" s="711"/>
      <c r="W57" s="711"/>
      <c r="X57" s="365"/>
      <c r="Y57" s="296">
        <f t="shared" si="0"/>
        <v>0</v>
      </c>
      <c r="Z57" s="295"/>
    </row>
    <row r="58" spans="2:26" ht="34.5" customHeight="1" x14ac:dyDescent="0.35">
      <c r="B58" s="713" t="s">
        <v>442</v>
      </c>
      <c r="C58" s="714"/>
      <c r="D58" s="714"/>
      <c r="E58" s="715"/>
      <c r="F58" s="716"/>
      <c r="G58" s="717"/>
      <c r="H58" s="718"/>
      <c r="I58" s="718"/>
      <c r="J58" s="718"/>
      <c r="K58" s="719"/>
      <c r="L58" s="717"/>
      <c r="M58" s="674"/>
      <c r="N58" s="675"/>
      <c r="O58" s="675"/>
      <c r="P58" s="675"/>
      <c r="Q58" s="675"/>
      <c r="R58" s="675"/>
      <c r="S58" s="720">
        <f>SUM(S51+S41)+(SUM(S52:S57))</f>
        <v>219884715.34364247</v>
      </c>
      <c r="T58" s="677"/>
      <c r="U58" s="677"/>
      <c r="V58" s="677"/>
      <c r="W58" s="677"/>
      <c r="X58" s="670"/>
      <c r="Y58" s="720">
        <f t="shared" si="0"/>
        <v>548614.55924062489</v>
      </c>
      <c r="Z58" s="721">
        <f>(Y58/$Y$410)*100</f>
        <v>3.8125326684158405</v>
      </c>
    </row>
    <row r="59" spans="2:26" s="357" customFormat="1" x14ac:dyDescent="0.35">
      <c r="B59" s="722" t="s">
        <v>443</v>
      </c>
      <c r="C59" s="580"/>
      <c r="D59" s="580"/>
      <c r="E59" s="723"/>
      <c r="F59" s="436"/>
      <c r="G59" s="579"/>
      <c r="H59" s="545"/>
      <c r="I59" s="580"/>
      <c r="J59" s="579"/>
      <c r="K59" s="439"/>
      <c r="L59" s="702"/>
      <c r="M59" s="552"/>
      <c r="N59" s="437"/>
      <c r="O59" s="545"/>
      <c r="P59" s="683"/>
      <c r="Q59" s="683"/>
      <c r="R59" s="683"/>
      <c r="S59" s="683"/>
      <c r="T59" s="684"/>
      <c r="U59" s="684"/>
      <c r="V59" s="684"/>
      <c r="W59" s="684"/>
      <c r="X59" s="545"/>
      <c r="Y59" s="437">
        <f t="shared" si="0"/>
        <v>0</v>
      </c>
      <c r="Z59" s="436"/>
    </row>
    <row r="60" spans="2:26" s="357" customFormat="1" x14ac:dyDescent="0.35">
      <c r="B60" s="724"/>
      <c r="C60" s="357" t="s">
        <v>444</v>
      </c>
      <c r="E60" s="701"/>
      <c r="F60" s="436"/>
      <c r="G60" s="579"/>
      <c r="H60" s="545"/>
      <c r="I60" s="580"/>
      <c r="J60" s="579"/>
      <c r="K60" s="439"/>
      <c r="L60" s="702"/>
      <c r="M60" s="552"/>
      <c r="N60" s="437"/>
      <c r="O60" s="545"/>
      <c r="P60" s="683"/>
      <c r="Q60" s="683"/>
      <c r="R60" s="683"/>
      <c r="S60" s="683"/>
      <c r="T60" s="684"/>
      <c r="U60" s="684"/>
      <c r="V60" s="684"/>
      <c r="W60" s="684"/>
      <c r="X60" s="545"/>
      <c r="Y60" s="437">
        <f t="shared" si="0"/>
        <v>0</v>
      </c>
      <c r="Z60" s="436"/>
    </row>
    <row r="61" spans="2:26" x14ac:dyDescent="0.35">
      <c r="B61" s="539"/>
      <c r="C61" s="540"/>
      <c r="D61" s="540" t="s">
        <v>86</v>
      </c>
      <c r="E61" s="541"/>
      <c r="F61" s="295" t="s">
        <v>189</v>
      </c>
      <c r="G61" s="579" t="s">
        <v>190</v>
      </c>
      <c r="H61" s="545"/>
      <c r="I61" s="580"/>
      <c r="J61" s="579" t="s">
        <v>170</v>
      </c>
      <c r="K61" s="548">
        <v>1</v>
      </c>
      <c r="L61" s="564">
        <f>$L$38</f>
        <v>400.8</v>
      </c>
      <c r="M61" s="552">
        <v>2.5</v>
      </c>
      <c r="N61" s="296">
        <v>1</v>
      </c>
      <c r="O61" s="401">
        <f>K61*L61*M61*N61</f>
        <v>1002</v>
      </c>
      <c r="P61" s="299">
        <f>VLOOKUP($F61,'[1]Master Harga'!$E$5:$L$351,5,FALSE)</f>
        <v>140008</v>
      </c>
      <c r="Q61" s="543">
        <f>P61*$O61</f>
        <v>140288016</v>
      </c>
      <c r="R61" s="299">
        <f>VLOOKUP($F61,'[1]Master Harga'!$E$5:$L$351,6,FALSE)</f>
        <v>149108.51999999999</v>
      </c>
      <c r="S61" s="543">
        <f>R61*$O61</f>
        <v>149406737.03999999</v>
      </c>
      <c r="T61" s="296">
        <f>VLOOKUP($F61,'[2]Master Harga'!$E$5:$L$348,7,FALSE)</f>
        <v>163305.33120000002</v>
      </c>
      <c r="U61" s="544">
        <f>$O61*T61</f>
        <v>163631941.86240003</v>
      </c>
      <c r="V61" s="296">
        <f>W61/O61</f>
        <v>150807.28373333332</v>
      </c>
      <c r="W61" s="307">
        <f>AVERAGEIF($P$3:$U$3,W$3,$P61:$U61)</f>
        <v>151108898.3008</v>
      </c>
      <c r="X61" s="545"/>
      <c r="Y61" s="296">
        <f t="shared" si="0"/>
        <v>372771.3</v>
      </c>
      <c r="Z61" s="295"/>
    </row>
    <row r="62" spans="2:26" x14ac:dyDescent="0.35">
      <c r="B62" s="546"/>
      <c r="E62" s="547"/>
      <c r="F62" s="295" t="s">
        <v>293</v>
      </c>
      <c r="G62" s="579" t="s">
        <v>194</v>
      </c>
      <c r="H62" s="545"/>
      <c r="I62" s="580"/>
      <c r="J62" s="579" t="s">
        <v>170</v>
      </c>
      <c r="K62" s="548">
        <v>1</v>
      </c>
      <c r="L62" s="564">
        <f>$L$38</f>
        <v>400.8</v>
      </c>
      <c r="M62" s="552">
        <v>8.3000000000000001E-3</v>
      </c>
      <c r="N62" s="296">
        <v>1</v>
      </c>
      <c r="O62" s="401">
        <f t="shared" ref="O62:O63" si="8">K62*L62*M62*N62</f>
        <v>3.3266400000000003</v>
      </c>
      <c r="P62" s="299">
        <f>VLOOKUP($F62,'[1]Master Harga'!$E$5:$L$351,5,FALSE)</f>
        <v>75798.75</v>
      </c>
      <c r="Q62" s="543">
        <f t="shared" ref="Q62:Q63" si="9">P62*$O62</f>
        <v>252155.15370000002</v>
      </c>
      <c r="R62" s="299">
        <f>VLOOKUP($F62,'[1]Master Harga'!$E$5:$L$351,6,FALSE)</f>
        <v>79588.6875</v>
      </c>
      <c r="S62" s="543">
        <f t="shared" ref="S62:S63" si="10">R62*$O62</f>
        <v>264762.91138500004</v>
      </c>
      <c r="T62" s="544"/>
      <c r="U62" s="544"/>
      <c r="V62" s="544"/>
      <c r="W62" s="544"/>
      <c r="X62" s="545"/>
      <c r="Y62" s="296">
        <f t="shared" si="0"/>
        <v>660.58610625000006</v>
      </c>
      <c r="Z62" s="295"/>
    </row>
    <row r="63" spans="2:26" x14ac:dyDescent="0.35">
      <c r="B63" s="546"/>
      <c r="D63" s="550"/>
      <c r="E63" s="551"/>
      <c r="F63" s="436" t="s">
        <v>237</v>
      </c>
      <c r="G63" s="579" t="s">
        <v>194</v>
      </c>
      <c r="H63" s="545">
        <v>1</v>
      </c>
      <c r="I63" s="580" t="s">
        <v>233</v>
      </c>
      <c r="J63" s="579"/>
      <c r="K63" s="400">
        <v>1</v>
      </c>
      <c r="L63" s="564">
        <f>$L$38</f>
        <v>400.8</v>
      </c>
      <c r="M63" s="552">
        <f>((M$61*N$61)/240*($H63/N63))</f>
        <v>1.0416666666666666E-2</v>
      </c>
      <c r="N63" s="437">
        <v>1</v>
      </c>
      <c r="O63" s="590">
        <f t="shared" si="8"/>
        <v>4.1749999999999998</v>
      </c>
      <c r="P63" s="455">
        <f>VLOOKUP($F63,'[1]Master Harga'!$E$5:$L$351,5,FALSE)</f>
        <v>85680</v>
      </c>
      <c r="Q63" s="683">
        <f t="shared" si="9"/>
        <v>357714</v>
      </c>
      <c r="R63" s="455">
        <f>VLOOKUP($F63,'[1]Master Harga'!$E$5:$L$351,6,FALSE)</f>
        <v>89964</v>
      </c>
      <c r="S63" s="683">
        <f t="shared" si="10"/>
        <v>375599.7</v>
      </c>
      <c r="T63" s="725"/>
      <c r="U63" s="725"/>
      <c r="V63" s="725"/>
      <c r="W63" s="725"/>
      <c r="X63" s="545"/>
      <c r="Y63" s="296">
        <f t="shared" si="0"/>
        <v>937.125</v>
      </c>
      <c r="Z63" s="295"/>
    </row>
    <row r="64" spans="2:26" hidden="1" x14ac:dyDescent="0.35">
      <c r="B64" s="546"/>
      <c r="D64" s="540" t="s">
        <v>445</v>
      </c>
      <c r="E64" s="541"/>
      <c r="F64" s="436" t="s">
        <v>189</v>
      </c>
      <c r="G64" s="579" t="s">
        <v>190</v>
      </c>
      <c r="H64" s="545"/>
      <c r="I64" s="580"/>
      <c r="J64" s="579"/>
      <c r="K64" s="439"/>
      <c r="L64" s="702"/>
      <c r="M64" s="552"/>
      <c r="N64" s="437"/>
      <c r="O64" s="545"/>
      <c r="P64" s="683"/>
      <c r="Q64" s="683"/>
      <c r="R64" s="683"/>
      <c r="S64" s="683"/>
      <c r="T64" s="684"/>
      <c r="U64" s="684"/>
      <c r="V64" s="684"/>
      <c r="W64" s="684"/>
      <c r="X64" s="545"/>
      <c r="Y64" s="296">
        <f t="shared" si="0"/>
        <v>0</v>
      </c>
      <c r="Z64" s="295"/>
    </row>
    <row r="65" spans="2:26" hidden="1" x14ac:dyDescent="0.35">
      <c r="B65" s="546"/>
      <c r="E65" s="547"/>
      <c r="F65" s="436" t="s">
        <v>293</v>
      </c>
      <c r="G65" s="579" t="s">
        <v>194</v>
      </c>
      <c r="H65" s="545"/>
      <c r="I65" s="580"/>
      <c r="J65" s="579"/>
      <c r="K65" s="439"/>
      <c r="L65" s="702"/>
      <c r="M65" s="552"/>
      <c r="N65" s="437"/>
      <c r="O65" s="545"/>
      <c r="P65" s="683"/>
      <c r="Q65" s="683"/>
      <c r="R65" s="683"/>
      <c r="S65" s="683"/>
      <c r="T65" s="684"/>
      <c r="U65" s="684"/>
      <c r="V65" s="684"/>
      <c r="W65" s="684"/>
      <c r="X65" s="545"/>
      <c r="Y65" s="296">
        <f t="shared" si="0"/>
        <v>0</v>
      </c>
      <c r="Z65" s="295"/>
    </row>
    <row r="66" spans="2:26" hidden="1" x14ac:dyDescent="0.35">
      <c r="B66" s="546"/>
      <c r="D66" s="550"/>
      <c r="E66" s="551"/>
      <c r="F66" s="436" t="s">
        <v>237</v>
      </c>
      <c r="G66" s="579" t="s">
        <v>194</v>
      </c>
      <c r="H66" s="545"/>
      <c r="I66" s="580"/>
      <c r="J66" s="579"/>
      <c r="K66" s="439"/>
      <c r="L66" s="702"/>
      <c r="M66" s="552"/>
      <c r="N66" s="437"/>
      <c r="O66" s="545"/>
      <c r="P66" s="683"/>
      <c r="Q66" s="683"/>
      <c r="R66" s="683"/>
      <c r="S66" s="683"/>
      <c r="T66" s="725"/>
      <c r="U66" s="725"/>
      <c r="V66" s="725"/>
      <c r="W66" s="725"/>
      <c r="X66" s="545"/>
      <c r="Y66" s="296">
        <f t="shared" si="0"/>
        <v>0</v>
      </c>
      <c r="Z66" s="295"/>
    </row>
    <row r="67" spans="2:26" x14ac:dyDescent="0.35">
      <c r="B67" s="546"/>
      <c r="D67" s="540" t="s">
        <v>446</v>
      </c>
      <c r="E67" s="541"/>
      <c r="F67" s="436" t="s">
        <v>189</v>
      </c>
      <c r="G67" s="579" t="s">
        <v>190</v>
      </c>
      <c r="H67" s="545"/>
      <c r="I67" s="580"/>
      <c r="J67" s="579"/>
      <c r="K67" s="400">
        <v>1</v>
      </c>
      <c r="L67" s="564">
        <f>$L$38</f>
        <v>400.8</v>
      </c>
      <c r="M67" s="552">
        <v>2</v>
      </c>
      <c r="N67" s="437">
        <v>1</v>
      </c>
      <c r="O67" s="545"/>
      <c r="P67" s="683"/>
      <c r="Q67" s="683"/>
      <c r="R67" s="683"/>
      <c r="S67" s="683"/>
      <c r="T67" s="684"/>
      <c r="U67" s="684"/>
      <c r="V67" s="684"/>
      <c r="W67" s="684"/>
      <c r="X67" s="545"/>
      <c r="Y67" s="296">
        <f t="shared" si="0"/>
        <v>0</v>
      </c>
      <c r="Z67" s="295"/>
    </row>
    <row r="68" spans="2:26" x14ac:dyDescent="0.35">
      <c r="B68" s="546"/>
      <c r="E68" s="547"/>
      <c r="F68" s="436" t="s">
        <v>441</v>
      </c>
      <c r="G68" s="579" t="s">
        <v>194</v>
      </c>
      <c r="H68" s="545"/>
      <c r="I68" s="580"/>
      <c r="J68" s="579"/>
      <c r="K68" s="400">
        <v>1</v>
      </c>
      <c r="L68" s="564">
        <f>$L$38</f>
        <v>400.8</v>
      </c>
      <c r="M68" s="552">
        <v>5.0000000000000001E-3</v>
      </c>
      <c r="N68" s="437">
        <v>1</v>
      </c>
      <c r="O68" s="545"/>
      <c r="P68" s="683"/>
      <c r="Q68" s="683"/>
      <c r="R68" s="683"/>
      <c r="S68" s="683"/>
      <c r="T68" s="684"/>
      <c r="U68" s="684"/>
      <c r="V68" s="684"/>
      <c r="W68" s="684"/>
      <c r="X68" s="545"/>
      <c r="Y68" s="296">
        <f t="shared" si="0"/>
        <v>0</v>
      </c>
      <c r="Z68" s="295"/>
    </row>
    <row r="69" spans="2:26" x14ac:dyDescent="0.35">
      <c r="B69" s="546"/>
      <c r="E69" s="547"/>
      <c r="F69" s="436" t="s">
        <v>237</v>
      </c>
      <c r="G69" s="579" t="s">
        <v>194</v>
      </c>
      <c r="H69" s="545">
        <v>1</v>
      </c>
      <c r="I69" s="580" t="s">
        <v>233</v>
      </c>
      <c r="J69" s="579"/>
      <c r="K69" s="400">
        <v>1</v>
      </c>
      <c r="L69" s="564">
        <f>$L$38</f>
        <v>400.8</v>
      </c>
      <c r="M69" s="552">
        <f>((M$67*N$67)/240*($H69/N69))</f>
        <v>8.3333333333333332E-3</v>
      </c>
      <c r="N69" s="437">
        <v>1</v>
      </c>
      <c r="O69" s="545"/>
      <c r="P69" s="683"/>
      <c r="Q69" s="683"/>
      <c r="R69" s="683"/>
      <c r="S69" s="683"/>
      <c r="T69" s="725"/>
      <c r="U69" s="725"/>
      <c r="V69" s="725"/>
      <c r="W69" s="725"/>
      <c r="X69" s="545"/>
      <c r="Y69" s="296">
        <f t="shared" si="0"/>
        <v>0</v>
      </c>
      <c r="Z69" s="295"/>
    </row>
    <row r="70" spans="2:26" hidden="1" x14ac:dyDescent="0.35">
      <c r="B70" s="549"/>
      <c r="C70" s="550"/>
      <c r="D70" s="550"/>
      <c r="E70" s="551"/>
      <c r="F70" s="295"/>
      <c r="G70" s="364"/>
      <c r="H70" s="365"/>
      <c r="I70" s="366"/>
      <c r="J70" s="364"/>
      <c r="K70" s="439"/>
      <c r="L70" s="702"/>
      <c r="M70" s="552"/>
      <c r="N70" s="437"/>
      <c r="O70" s="545"/>
      <c r="P70" s="683"/>
      <c r="Q70" s="683"/>
      <c r="R70" s="683"/>
      <c r="S70" s="683"/>
      <c r="T70" s="684"/>
      <c r="U70" s="684"/>
      <c r="V70" s="684"/>
      <c r="W70" s="684"/>
      <c r="X70" s="545"/>
      <c r="Y70" s="296">
        <f t="shared" ref="Y70:Y133" si="11">S70/$AC$1</f>
        <v>0</v>
      </c>
      <c r="Z70" s="295"/>
    </row>
    <row r="71" spans="2:26" x14ac:dyDescent="0.35">
      <c r="B71" s="685" t="s">
        <v>447</v>
      </c>
      <c r="C71" s="686"/>
      <c r="D71" s="686"/>
      <c r="E71" s="687"/>
      <c r="F71" s="688"/>
      <c r="G71" s="689"/>
      <c r="H71" s="690"/>
      <c r="I71" s="691"/>
      <c r="J71" s="689"/>
      <c r="K71" s="692"/>
      <c r="L71" s="693"/>
      <c r="M71" s="694"/>
      <c r="N71" s="695"/>
      <c r="O71" s="690"/>
      <c r="P71" s="696"/>
      <c r="Q71" s="696"/>
      <c r="R71" s="696"/>
      <c r="S71" s="697">
        <f>SUM(S60:S70)</f>
        <v>150047099.65138498</v>
      </c>
      <c r="T71" s="684"/>
      <c r="U71" s="684"/>
      <c r="V71" s="684"/>
      <c r="W71" s="684"/>
      <c r="X71" s="726"/>
      <c r="Y71" s="727">
        <f t="shared" si="11"/>
        <v>374369.01110624993</v>
      </c>
      <c r="Z71" s="728">
        <f>(Y71/$Y$410)*100</f>
        <v>2.601633625729376</v>
      </c>
    </row>
    <row r="72" spans="2:26" x14ac:dyDescent="0.35">
      <c r="B72" s="546"/>
      <c r="C72" t="s">
        <v>448</v>
      </c>
      <c r="E72" s="547"/>
      <c r="F72" s="295"/>
      <c r="G72" s="364"/>
      <c r="H72" s="365"/>
      <c r="I72" s="366"/>
      <c r="J72" s="364"/>
      <c r="K72" s="308"/>
      <c r="L72" s="662"/>
      <c r="M72" s="729"/>
      <c r="N72" s="411"/>
      <c r="O72" s="545"/>
      <c r="P72" s="683"/>
      <c r="Q72" s="683"/>
      <c r="R72" s="683"/>
      <c r="S72" s="683"/>
      <c r="T72" s="684"/>
      <c r="U72" s="684"/>
      <c r="V72" s="684"/>
      <c r="W72" s="684"/>
      <c r="X72" s="545"/>
      <c r="Y72" s="296">
        <f t="shared" si="11"/>
        <v>0</v>
      </c>
      <c r="Z72" s="295"/>
    </row>
    <row r="73" spans="2:26" x14ac:dyDescent="0.35">
      <c r="B73" s="539"/>
      <c r="C73" s="540"/>
      <c r="D73" s="540" t="s">
        <v>89</v>
      </c>
      <c r="E73" s="541"/>
      <c r="F73" s="295" t="s">
        <v>189</v>
      </c>
      <c r="G73" s="364" t="s">
        <v>190</v>
      </c>
      <c r="H73" s="365"/>
      <c r="I73" s="366"/>
      <c r="J73" s="364" t="s">
        <v>170</v>
      </c>
      <c r="K73" s="548">
        <v>1</v>
      </c>
      <c r="L73" s="730">
        <f>$L$38</f>
        <v>400.8</v>
      </c>
      <c r="M73" s="729">
        <v>0.75</v>
      </c>
      <c r="N73" s="411">
        <v>1</v>
      </c>
      <c r="O73" s="401">
        <f t="shared" ref="O73:O83" si="12">K73*L73*M73*N73</f>
        <v>300.60000000000002</v>
      </c>
      <c r="P73" s="299">
        <f>VLOOKUP($F73,'[1]Master Harga'!$E$5:$L$351,5,FALSE)</f>
        <v>140008</v>
      </c>
      <c r="Q73" s="543">
        <f t="shared" ref="Q73:Q83" si="13">P73*$O73</f>
        <v>42086404.800000004</v>
      </c>
      <c r="R73" s="299">
        <f>VLOOKUP($F73,'[1]Master Harga'!$E$5:$L$351,6,FALSE)</f>
        <v>149108.51999999999</v>
      </c>
      <c r="S73" s="543">
        <f t="shared" ref="S73:S83" si="14">R73*$O73</f>
        <v>44822021.112000003</v>
      </c>
      <c r="T73" s="296">
        <f>VLOOKUP($F73,'[2]Master Harga'!$E$5:$L$348,7,FALSE)</f>
        <v>163305.33120000002</v>
      </c>
      <c r="U73" s="544">
        <f t="shared" ref="U73:U83" si="15">$O73*T73</f>
        <v>49089582.558720008</v>
      </c>
      <c r="V73" s="296">
        <f t="shared" ref="V73:V83" si="16">W73/O73</f>
        <v>150807.28373333332</v>
      </c>
      <c r="W73" s="307">
        <f t="shared" ref="W73:W83" si="17">AVERAGEIF($P$3:$U$3,W$3,$P73:$U73)</f>
        <v>45332669.49024</v>
      </c>
      <c r="X73" s="545"/>
      <c r="Y73" s="296">
        <f t="shared" si="11"/>
        <v>111831.39</v>
      </c>
      <c r="Z73" s="295"/>
    </row>
    <row r="74" spans="2:26" x14ac:dyDescent="0.35">
      <c r="B74" s="546"/>
      <c r="E74" s="547"/>
      <c r="F74" s="295" t="s">
        <v>225</v>
      </c>
      <c r="G74" s="364" t="s">
        <v>226</v>
      </c>
      <c r="H74" s="365"/>
      <c r="I74" s="366"/>
      <c r="J74" s="364" t="s">
        <v>170</v>
      </c>
      <c r="K74" s="548">
        <v>1</v>
      </c>
      <c r="L74" s="730">
        <f t="shared" ref="L74:L83" si="18">$L$38</f>
        <v>400.8</v>
      </c>
      <c r="M74" s="729">
        <v>0.45</v>
      </c>
      <c r="N74" s="411">
        <v>1</v>
      </c>
      <c r="O74" s="401">
        <f t="shared" si="12"/>
        <v>180.36</v>
      </c>
      <c r="P74" s="299">
        <f>VLOOKUP($F74,'[1]Master Harga'!$E$5:$L$351,5,FALSE)</f>
        <v>36352.800000000003</v>
      </c>
      <c r="Q74" s="543">
        <f t="shared" si="13"/>
        <v>6556591.0080000013</v>
      </c>
      <c r="R74" s="299">
        <f>VLOOKUP($F74,'[1]Master Harga'!$E$5:$L$351,6,FALSE)</f>
        <v>35343</v>
      </c>
      <c r="S74" s="543">
        <f t="shared" si="14"/>
        <v>6374463.4800000004</v>
      </c>
      <c r="T74" s="296">
        <f>VLOOKUP($F74,'[2]Master Harga'!$E$5:$L$348,7,FALSE)</f>
        <v>41620.320720000011</v>
      </c>
      <c r="U74" s="544">
        <f t="shared" si="15"/>
        <v>7506641.0450592022</v>
      </c>
      <c r="V74" s="296">
        <f t="shared" si="16"/>
        <v>37772.040240000002</v>
      </c>
      <c r="W74" s="307">
        <f t="shared" si="17"/>
        <v>6812565.1776864007</v>
      </c>
      <c r="X74" s="545"/>
      <c r="Y74" s="296">
        <f t="shared" si="11"/>
        <v>15904.35</v>
      </c>
      <c r="Z74" s="450"/>
    </row>
    <row r="75" spans="2:26" x14ac:dyDescent="0.35">
      <c r="B75" s="546"/>
      <c r="E75" s="547"/>
      <c r="F75" s="295" t="s">
        <v>227</v>
      </c>
      <c r="G75" s="364" t="s">
        <v>192</v>
      </c>
      <c r="H75" s="365"/>
      <c r="I75" s="366"/>
      <c r="J75" s="364" t="s">
        <v>170</v>
      </c>
      <c r="K75" s="548">
        <v>1</v>
      </c>
      <c r="L75" s="730">
        <f t="shared" si="18"/>
        <v>400.8</v>
      </c>
      <c r="M75" s="729">
        <f>18/1000</f>
        <v>1.7999999999999999E-2</v>
      </c>
      <c r="N75" s="411">
        <v>1</v>
      </c>
      <c r="O75" s="401">
        <f t="shared" si="12"/>
        <v>7.2143999999999995</v>
      </c>
      <c r="P75" s="299">
        <f>VLOOKUP($F75,'[1]Master Harga'!$E$5:$L$351,5,FALSE)</f>
        <v>99144</v>
      </c>
      <c r="Q75" s="543">
        <f t="shared" si="13"/>
        <v>715264.47359999991</v>
      </c>
      <c r="R75" s="299">
        <f>VLOOKUP($F75,'[1]Master Harga'!$E$5:$L$351,6,FALSE)</f>
        <v>96390</v>
      </c>
      <c r="S75" s="543">
        <f t="shared" si="14"/>
        <v>695396.01599999995</v>
      </c>
      <c r="T75" s="296">
        <f>VLOOKUP($F75,'[2]Master Harga'!$E$5:$L$348,7,FALSE)</f>
        <v>113509.96560000001</v>
      </c>
      <c r="U75" s="544">
        <f t="shared" si="15"/>
        <v>818906.29582463996</v>
      </c>
      <c r="V75" s="296">
        <f t="shared" si="16"/>
        <v>103014.65519999999</v>
      </c>
      <c r="W75" s="307">
        <f t="shared" si="17"/>
        <v>743188.92847487994</v>
      </c>
      <c r="Y75" s="296">
        <f t="shared" si="11"/>
        <v>1735.0199999999998</v>
      </c>
      <c r="Z75" s="450"/>
    </row>
    <row r="76" spans="2:26" x14ac:dyDescent="0.35">
      <c r="B76" s="546"/>
      <c r="E76" s="547"/>
      <c r="F76" s="295" t="s">
        <v>230</v>
      </c>
      <c r="G76" s="364" t="s">
        <v>226</v>
      </c>
      <c r="H76" s="365"/>
      <c r="I76" s="366"/>
      <c r="J76" s="364" t="s">
        <v>170</v>
      </c>
      <c r="K76" s="548">
        <v>1</v>
      </c>
      <c r="L76" s="730">
        <f t="shared" si="18"/>
        <v>400.8</v>
      </c>
      <c r="M76" s="729">
        <v>0.13500000000000001</v>
      </c>
      <c r="N76" s="411">
        <v>1</v>
      </c>
      <c r="O76" s="401">
        <f t="shared" si="12"/>
        <v>54.108000000000004</v>
      </c>
      <c r="P76" s="299">
        <f>VLOOKUP($F76,'[1]Master Harga'!$E$5:$L$351,5,FALSE)</f>
        <v>46267.199999999997</v>
      </c>
      <c r="Q76" s="543">
        <f t="shared" si="13"/>
        <v>2503425.6576</v>
      </c>
      <c r="R76" s="299">
        <f>VLOOKUP($F76,'[1]Master Harga'!$E$5:$L$351,6,FALSE)</f>
        <v>44982</v>
      </c>
      <c r="S76" s="543">
        <f t="shared" si="14"/>
        <v>2433886.0560000003</v>
      </c>
      <c r="T76" s="296">
        <f>VLOOKUP($F76,'[2]Master Harga'!$E$5:$L$348,7,FALSE)</f>
        <v>52971.317280000003</v>
      </c>
      <c r="U76" s="544">
        <f t="shared" si="15"/>
        <v>2866172.0353862406</v>
      </c>
      <c r="V76" s="296">
        <f t="shared" si="16"/>
        <v>48073.50576</v>
      </c>
      <c r="W76" s="307">
        <f t="shared" si="17"/>
        <v>2601161.2496620803</v>
      </c>
      <c r="X76" s="545"/>
      <c r="Y76" s="296">
        <f t="shared" si="11"/>
        <v>6072.5700000000006</v>
      </c>
      <c r="Z76" s="295"/>
    </row>
    <row r="77" spans="2:26" x14ac:dyDescent="0.35">
      <c r="B77" s="546"/>
      <c r="E77" s="547"/>
      <c r="F77" s="295" t="s">
        <v>231</v>
      </c>
      <c r="G77" s="364" t="s">
        <v>190</v>
      </c>
      <c r="H77" s="365"/>
      <c r="I77" s="366"/>
      <c r="J77" s="364" t="s">
        <v>170</v>
      </c>
      <c r="K77" s="548">
        <v>1</v>
      </c>
      <c r="L77" s="730">
        <f t="shared" si="18"/>
        <v>400.8</v>
      </c>
      <c r="M77" s="729">
        <v>0.75</v>
      </c>
      <c r="N77" s="411">
        <v>1</v>
      </c>
      <c r="O77" s="401">
        <f t="shared" si="12"/>
        <v>300.60000000000002</v>
      </c>
      <c r="P77" s="299">
        <f>VLOOKUP($F77,'[1]Master Harga'!$E$5:$L$351,5,FALSE)</f>
        <v>3850</v>
      </c>
      <c r="Q77" s="543">
        <f t="shared" si="13"/>
        <v>1157310</v>
      </c>
      <c r="R77" s="299">
        <f>VLOOKUP($F77,'[1]Master Harga'!$E$5:$L$351,6,FALSE)</f>
        <v>4042.5</v>
      </c>
      <c r="S77" s="543">
        <f t="shared" si="14"/>
        <v>1215175.5</v>
      </c>
      <c r="T77" s="296">
        <f>VLOOKUP($F77,'[2]Master Harga'!$E$5:$L$348,7,FALSE)</f>
        <v>4490.6400000000003</v>
      </c>
      <c r="U77" s="544">
        <f t="shared" si="15"/>
        <v>1349886.3840000003</v>
      </c>
      <c r="V77" s="296">
        <f t="shared" si="16"/>
        <v>4127.713333333334</v>
      </c>
      <c r="W77" s="307">
        <f t="shared" si="17"/>
        <v>1240790.6280000003</v>
      </c>
      <c r="X77" s="545"/>
      <c r="Y77" s="296">
        <f t="shared" si="11"/>
        <v>3031.875</v>
      </c>
      <c r="Z77" s="450"/>
    </row>
    <row r="78" spans="2:26" x14ac:dyDescent="0.35">
      <c r="B78" s="546"/>
      <c r="E78" s="547"/>
      <c r="F78" s="295" t="s">
        <v>449</v>
      </c>
      <c r="G78" s="364" t="s">
        <v>194</v>
      </c>
      <c r="H78" s="365"/>
      <c r="I78" s="366"/>
      <c r="J78" s="364" t="s">
        <v>170</v>
      </c>
      <c r="K78" s="548">
        <v>1</v>
      </c>
      <c r="L78" s="730">
        <f t="shared" si="18"/>
        <v>400.8</v>
      </c>
      <c r="M78" s="729">
        <f>0.00625*(1/2)</f>
        <v>3.1250000000000002E-3</v>
      </c>
      <c r="N78" s="411">
        <v>1</v>
      </c>
      <c r="O78" s="401">
        <f t="shared" si="12"/>
        <v>1.2525000000000002</v>
      </c>
      <c r="P78" s="299">
        <f>VLOOKUP($F78,'[1]Master Harga'!$E$5:$L$351,5,FALSE)</f>
        <v>0</v>
      </c>
      <c r="Q78" s="543">
        <f t="shared" si="13"/>
        <v>0</v>
      </c>
      <c r="R78" s="299">
        <f>VLOOKUP($F78,'[1]Master Harga'!$E$5:$L$351,6,FALSE)</f>
        <v>0</v>
      </c>
      <c r="S78" s="543">
        <f t="shared" si="14"/>
        <v>0</v>
      </c>
      <c r="T78" s="296">
        <f>VLOOKUP($F78,'[2]Master Harga'!$E$5:$L$348,7,FALSE)</f>
        <v>0</v>
      </c>
      <c r="U78" s="544">
        <f t="shared" si="15"/>
        <v>0</v>
      </c>
      <c r="V78" s="296">
        <f t="shared" si="16"/>
        <v>0</v>
      </c>
      <c r="W78" s="307">
        <f t="shared" si="17"/>
        <v>0</v>
      </c>
      <c r="X78" s="545"/>
      <c r="Y78" s="296">
        <f t="shared" si="11"/>
        <v>0</v>
      </c>
      <c r="Z78" s="450"/>
    </row>
    <row r="79" spans="2:26" x14ac:dyDescent="0.35">
      <c r="B79" s="546"/>
      <c r="E79" s="547"/>
      <c r="F79" s="295" t="s">
        <v>232</v>
      </c>
      <c r="G79" s="364" t="s">
        <v>194</v>
      </c>
      <c r="H79" s="365">
        <v>4</v>
      </c>
      <c r="I79" s="366" t="s">
        <v>233</v>
      </c>
      <c r="J79" s="364" t="s">
        <v>170</v>
      </c>
      <c r="K79" s="548">
        <v>1</v>
      </c>
      <c r="L79" s="730">
        <f t="shared" si="18"/>
        <v>400.8</v>
      </c>
      <c r="M79" s="729">
        <f>((M$73*N$73)/240*($H79/N79))</f>
        <v>1.2500000000000001E-2</v>
      </c>
      <c r="N79" s="411">
        <v>1</v>
      </c>
      <c r="O79" s="401">
        <f t="shared" si="12"/>
        <v>5.0100000000000007</v>
      </c>
      <c r="P79" s="299">
        <f>VLOOKUP($F79,'[1]Master Harga'!$E$5:$L$351,5,FALSE)</f>
        <v>42840</v>
      </c>
      <c r="Q79" s="543">
        <f t="shared" si="13"/>
        <v>214628.40000000002</v>
      </c>
      <c r="R79" s="299">
        <f>VLOOKUP($F79,'[1]Master Harga'!$E$5:$L$351,6,FALSE)</f>
        <v>44982</v>
      </c>
      <c r="S79" s="543">
        <f t="shared" si="14"/>
        <v>225359.82000000004</v>
      </c>
      <c r="T79" s="296">
        <f>VLOOKUP($F79,'[2]Master Harga'!$E$5:$L$348,7,FALSE)</f>
        <v>49968.576000000008</v>
      </c>
      <c r="U79" s="544">
        <f t="shared" si="15"/>
        <v>250342.56576000008</v>
      </c>
      <c r="V79" s="296">
        <f t="shared" si="16"/>
        <v>45930.192000000003</v>
      </c>
      <c r="W79" s="307">
        <f t="shared" si="17"/>
        <v>230110.26192000005</v>
      </c>
      <c r="X79" s="731"/>
      <c r="Y79" s="296">
        <f t="shared" si="11"/>
        <v>562.27500000000009</v>
      </c>
      <c r="Z79" s="450"/>
    </row>
    <row r="80" spans="2:26" x14ac:dyDescent="0.35">
      <c r="B80" s="546"/>
      <c r="E80" s="547"/>
      <c r="F80" s="295" t="s">
        <v>234</v>
      </c>
      <c r="G80" s="364" t="s">
        <v>194</v>
      </c>
      <c r="H80" s="365">
        <v>12</v>
      </c>
      <c r="I80" s="366" t="s">
        <v>233</v>
      </c>
      <c r="J80" s="364" t="s">
        <v>170</v>
      </c>
      <c r="K80" s="548">
        <v>1</v>
      </c>
      <c r="L80" s="730">
        <f t="shared" si="18"/>
        <v>400.8</v>
      </c>
      <c r="M80" s="729">
        <f>((M$73*N$73)/240*($H80/N80))</f>
        <v>3.7500000000000006E-2</v>
      </c>
      <c r="N80" s="411">
        <v>1</v>
      </c>
      <c r="O80" s="401">
        <f t="shared" si="12"/>
        <v>15.030000000000003</v>
      </c>
      <c r="P80" s="299">
        <f>VLOOKUP($F80,'[1]Master Harga'!$E$5:$L$351,5,FALSE)</f>
        <v>14000</v>
      </c>
      <c r="Q80" s="543">
        <f t="shared" si="13"/>
        <v>210420.00000000003</v>
      </c>
      <c r="R80" s="299">
        <f>VLOOKUP($F80,'[1]Master Harga'!$E$5:$L$351,6,FALSE)</f>
        <v>14700</v>
      </c>
      <c r="S80" s="543">
        <f t="shared" si="14"/>
        <v>220941.00000000003</v>
      </c>
      <c r="T80" s="296">
        <f>VLOOKUP($F80,'[2]Master Harga'!$E$5:$L$348,7,FALSE)</f>
        <v>16329.600000000002</v>
      </c>
      <c r="U80" s="544">
        <f t="shared" si="15"/>
        <v>245433.88800000009</v>
      </c>
      <c r="V80" s="296">
        <f t="shared" si="16"/>
        <v>15009.866666666669</v>
      </c>
      <c r="W80" s="307">
        <f t="shared" si="17"/>
        <v>225598.29600000006</v>
      </c>
      <c r="X80" s="731"/>
      <c r="Y80" s="296">
        <f t="shared" si="11"/>
        <v>551.25000000000011</v>
      </c>
      <c r="Z80" s="450"/>
    </row>
    <row r="81" spans="2:26" x14ac:dyDescent="0.35">
      <c r="B81" s="546"/>
      <c r="E81" s="547"/>
      <c r="F81" s="295" t="s">
        <v>235</v>
      </c>
      <c r="G81" s="364" t="s">
        <v>194</v>
      </c>
      <c r="H81" s="365">
        <v>1</v>
      </c>
      <c r="I81" s="366" t="s">
        <v>233</v>
      </c>
      <c r="J81" s="364" t="s">
        <v>170</v>
      </c>
      <c r="K81" s="548">
        <v>1</v>
      </c>
      <c r="L81" s="730">
        <f t="shared" si="18"/>
        <v>400.8</v>
      </c>
      <c r="M81" s="729">
        <f>((M$73*N$73)/240*($H81/N81))</f>
        <v>3.1250000000000002E-3</v>
      </c>
      <c r="N81" s="411">
        <v>1</v>
      </c>
      <c r="O81" s="401">
        <f t="shared" si="12"/>
        <v>1.2525000000000002</v>
      </c>
      <c r="P81" s="299">
        <f>VLOOKUP($F81,'[1]Master Harga'!$E$5:$L$351,5,FALSE)</f>
        <v>37485</v>
      </c>
      <c r="Q81" s="543">
        <f t="shared" si="13"/>
        <v>46949.962500000009</v>
      </c>
      <c r="R81" s="299">
        <f>VLOOKUP($F81,'[1]Master Harga'!$E$5:$L$351,6,FALSE)</f>
        <v>39359.25</v>
      </c>
      <c r="S81" s="543">
        <f t="shared" si="14"/>
        <v>49297.460625000007</v>
      </c>
      <c r="T81" s="296">
        <f>VLOOKUP($F81,'[2]Master Harga'!$E$5:$L$348,7,FALSE)</f>
        <v>43722.504000000008</v>
      </c>
      <c r="U81" s="544">
        <f t="shared" si="15"/>
        <v>54762.436260000017</v>
      </c>
      <c r="V81" s="296">
        <f t="shared" si="16"/>
        <v>40188.917999999998</v>
      </c>
      <c r="W81" s="307">
        <f t="shared" si="17"/>
        <v>50336.619795000006</v>
      </c>
      <c r="X81" s="731"/>
      <c r="Y81" s="296">
        <f t="shared" si="11"/>
        <v>122.99765625000002</v>
      </c>
      <c r="Z81" s="450"/>
    </row>
    <row r="82" spans="2:26" x14ac:dyDescent="0.35">
      <c r="B82" s="546"/>
      <c r="E82" s="547"/>
      <c r="F82" s="295" t="s">
        <v>236</v>
      </c>
      <c r="G82" s="364" t="s">
        <v>194</v>
      </c>
      <c r="H82" s="365">
        <v>2</v>
      </c>
      <c r="I82" s="366" t="s">
        <v>233</v>
      </c>
      <c r="J82" s="364" t="s">
        <v>170</v>
      </c>
      <c r="K82" s="548">
        <v>1</v>
      </c>
      <c r="L82" s="730">
        <f t="shared" si="18"/>
        <v>400.8</v>
      </c>
      <c r="M82" s="729">
        <f>((M$73*N$73)/240*($H82/N82))</f>
        <v>6.2500000000000003E-3</v>
      </c>
      <c r="N82" s="411">
        <v>1</v>
      </c>
      <c r="O82" s="401">
        <f t="shared" si="12"/>
        <v>2.5050000000000003</v>
      </c>
      <c r="P82" s="299">
        <f>VLOOKUP($F82,'[1]Master Harga'!$E$5:$L$351,5,FALSE)</f>
        <v>32130</v>
      </c>
      <c r="Q82" s="543">
        <f t="shared" si="13"/>
        <v>80485.650000000009</v>
      </c>
      <c r="R82" s="299">
        <f>VLOOKUP($F82,'[1]Master Harga'!$E$5:$L$351,6,FALSE)</f>
        <v>33736.5</v>
      </c>
      <c r="S82" s="543">
        <f t="shared" si="14"/>
        <v>84509.93250000001</v>
      </c>
      <c r="T82" s="296">
        <f>VLOOKUP($F82,'[2]Master Harga'!$E$5:$L$348,7,FALSE)</f>
        <v>37476.432000000001</v>
      </c>
      <c r="U82" s="544">
        <f t="shared" si="15"/>
        <v>93878.46216000001</v>
      </c>
      <c r="V82" s="296">
        <f t="shared" si="16"/>
        <v>34447.643999999993</v>
      </c>
      <c r="W82" s="307">
        <f t="shared" si="17"/>
        <v>86291.34822</v>
      </c>
      <c r="X82" s="731"/>
      <c r="Y82" s="296">
        <f t="shared" si="11"/>
        <v>210.85312500000001</v>
      </c>
      <c r="Z82" s="450"/>
    </row>
    <row r="83" spans="2:26" x14ac:dyDescent="0.35">
      <c r="B83" s="546"/>
      <c r="E83" s="551"/>
      <c r="F83" s="295" t="s">
        <v>237</v>
      </c>
      <c r="G83" s="364" t="s">
        <v>194</v>
      </c>
      <c r="H83" s="365">
        <v>1</v>
      </c>
      <c r="I83" s="366" t="s">
        <v>233</v>
      </c>
      <c r="J83" s="364" t="s">
        <v>170</v>
      </c>
      <c r="K83" s="548">
        <v>1</v>
      </c>
      <c r="L83" s="730">
        <f t="shared" si="18"/>
        <v>400.8</v>
      </c>
      <c r="M83" s="729">
        <f>((M$73*N$73)/240*($H83/N83))</f>
        <v>3.1250000000000002E-3</v>
      </c>
      <c r="N83" s="411">
        <v>1</v>
      </c>
      <c r="O83" s="401">
        <f t="shared" si="12"/>
        <v>1.2525000000000002</v>
      </c>
      <c r="P83" s="299">
        <f>VLOOKUP($F83,'[1]Master Harga'!$E$5:$L$351,5,FALSE)</f>
        <v>85680</v>
      </c>
      <c r="Q83" s="543">
        <f t="shared" si="13"/>
        <v>107314.20000000001</v>
      </c>
      <c r="R83" s="299">
        <f>VLOOKUP($F83,'[1]Master Harga'!$E$5:$L$351,6,FALSE)</f>
        <v>89964</v>
      </c>
      <c r="S83" s="543">
        <f t="shared" si="14"/>
        <v>112679.91000000002</v>
      </c>
      <c r="T83" s="296">
        <f>VLOOKUP($F83,'[2]Master Harga'!$E$5:$L$348,7,FALSE)</f>
        <v>99937.152000000016</v>
      </c>
      <c r="U83" s="544">
        <f t="shared" si="15"/>
        <v>125171.28288000004</v>
      </c>
      <c r="V83" s="296">
        <f t="shared" si="16"/>
        <v>91860.384000000005</v>
      </c>
      <c r="W83" s="307">
        <f t="shared" si="17"/>
        <v>115055.13096000002</v>
      </c>
      <c r="X83" s="731"/>
      <c r="Y83" s="296">
        <f t="shared" si="11"/>
        <v>281.13750000000005</v>
      </c>
      <c r="Z83" s="450"/>
    </row>
    <row r="84" spans="2:26" x14ac:dyDescent="0.35">
      <c r="B84" s="685" t="s">
        <v>447</v>
      </c>
      <c r="C84" s="686"/>
      <c r="D84" s="686"/>
      <c r="E84" s="687"/>
      <c r="F84" s="688"/>
      <c r="G84" s="689"/>
      <c r="H84" s="690"/>
      <c r="I84" s="691"/>
      <c r="J84" s="689"/>
      <c r="K84" s="692"/>
      <c r="L84" s="693"/>
      <c r="M84" s="694"/>
      <c r="N84" s="695"/>
      <c r="O84" s="690"/>
      <c r="P84" s="696"/>
      <c r="Q84" s="696"/>
      <c r="R84" s="696"/>
      <c r="S84" s="697">
        <f>SUM(S73:S83)</f>
        <v>56233730.287125006</v>
      </c>
      <c r="T84" s="684"/>
      <c r="U84" s="684"/>
      <c r="V84" s="684"/>
      <c r="W84" s="684"/>
      <c r="X84" s="726"/>
      <c r="Y84" s="727">
        <f t="shared" si="11"/>
        <v>140303.71828125001</v>
      </c>
      <c r="Z84" s="699">
        <f>(Y84/$Y$410)*100</f>
        <v>0.9750242687468732</v>
      </c>
    </row>
    <row r="85" spans="2:26" hidden="1" x14ac:dyDescent="0.35">
      <c r="B85" s="546"/>
      <c r="D85" t="s">
        <v>450</v>
      </c>
      <c r="E85" s="541"/>
      <c r="F85" s="295" t="s">
        <v>189</v>
      </c>
      <c r="G85" s="364" t="s">
        <v>190</v>
      </c>
      <c r="H85" s="365"/>
      <c r="I85" s="366"/>
      <c r="J85" s="364"/>
      <c r="K85" s="308"/>
      <c r="L85" s="662"/>
      <c r="M85" s="542"/>
      <c r="N85" s="296"/>
      <c r="O85" s="365"/>
      <c r="P85" s="543"/>
      <c r="Q85" s="543"/>
      <c r="R85" s="543"/>
      <c r="S85" s="543"/>
      <c r="T85" s="544"/>
      <c r="U85" s="544"/>
      <c r="V85" s="544"/>
      <c r="W85" s="544"/>
      <c r="X85" s="545"/>
      <c r="Y85" s="296">
        <f t="shared" si="11"/>
        <v>0</v>
      </c>
      <c r="Z85" s="295"/>
    </row>
    <row r="86" spans="2:26" hidden="1" x14ac:dyDescent="0.35">
      <c r="B86" s="546"/>
      <c r="E86" s="547"/>
      <c r="F86" s="295" t="s">
        <v>225</v>
      </c>
      <c r="G86" s="364" t="s">
        <v>226</v>
      </c>
      <c r="H86" s="365"/>
      <c r="I86" s="366"/>
      <c r="J86" s="364"/>
      <c r="K86" s="308"/>
      <c r="L86" s="662"/>
      <c r="M86" s="542"/>
      <c r="N86" s="296"/>
      <c r="O86" s="365"/>
      <c r="P86" s="543"/>
      <c r="Q86" s="543"/>
      <c r="R86" s="543"/>
      <c r="S86" s="543"/>
      <c r="T86" s="544"/>
      <c r="U86" s="544"/>
      <c r="V86" s="544"/>
      <c r="W86" s="544"/>
      <c r="X86" s="545"/>
      <c r="Y86" s="296">
        <f t="shared" si="11"/>
        <v>0</v>
      </c>
      <c r="Z86" s="295"/>
    </row>
    <row r="87" spans="2:26" hidden="1" x14ac:dyDescent="0.35">
      <c r="B87" s="546"/>
      <c r="E87" s="547"/>
      <c r="F87" s="295" t="s">
        <v>227</v>
      </c>
      <c r="G87" s="364" t="s">
        <v>192</v>
      </c>
      <c r="H87" s="365"/>
      <c r="I87" s="366"/>
      <c r="J87" s="364"/>
      <c r="K87" s="308"/>
      <c r="L87" s="662"/>
      <c r="M87" s="542"/>
      <c r="N87" s="296"/>
      <c r="O87" s="365"/>
      <c r="P87" s="543"/>
      <c r="Q87" s="543"/>
      <c r="R87" s="543"/>
      <c r="S87" s="543"/>
      <c r="T87" s="544"/>
      <c r="U87" s="544"/>
      <c r="V87" s="544"/>
      <c r="W87" s="544"/>
      <c r="X87" s="545"/>
      <c r="Y87" s="296">
        <f t="shared" si="11"/>
        <v>0</v>
      </c>
      <c r="Z87" s="295"/>
    </row>
    <row r="88" spans="2:26" hidden="1" x14ac:dyDescent="0.35">
      <c r="B88" s="546"/>
      <c r="E88" s="547"/>
      <c r="F88" s="295" t="s">
        <v>230</v>
      </c>
      <c r="G88" s="364" t="s">
        <v>226</v>
      </c>
      <c r="H88" s="365"/>
      <c r="I88" s="366"/>
      <c r="J88" s="364"/>
      <c r="K88" s="308"/>
      <c r="L88" s="662"/>
      <c r="M88" s="542"/>
      <c r="N88" s="296"/>
      <c r="O88" s="365"/>
      <c r="P88" s="543"/>
      <c r="Q88" s="543"/>
      <c r="R88" s="543"/>
      <c r="S88" s="543"/>
      <c r="T88" s="544"/>
      <c r="U88" s="544"/>
      <c r="V88" s="544"/>
      <c r="W88" s="544"/>
      <c r="X88" s="545"/>
      <c r="Y88" s="296">
        <f t="shared" si="11"/>
        <v>0</v>
      </c>
      <c r="Z88" s="295"/>
    </row>
    <row r="89" spans="2:26" hidden="1" x14ac:dyDescent="0.35">
      <c r="B89" s="546"/>
      <c r="E89" s="547"/>
      <c r="F89" s="295" t="s">
        <v>231</v>
      </c>
      <c r="G89" s="364" t="s">
        <v>190</v>
      </c>
      <c r="H89" s="365"/>
      <c r="I89" s="366"/>
      <c r="J89" s="364"/>
      <c r="K89" s="308"/>
      <c r="L89" s="662"/>
      <c r="M89" s="542"/>
      <c r="N89" s="296"/>
      <c r="O89" s="365"/>
      <c r="P89" s="543"/>
      <c r="Q89" s="543"/>
      <c r="R89" s="543"/>
      <c r="S89" s="543"/>
      <c r="T89" s="544"/>
      <c r="U89" s="544"/>
      <c r="V89" s="544"/>
      <c r="W89" s="544"/>
      <c r="X89" s="545"/>
      <c r="Y89" s="296">
        <f t="shared" si="11"/>
        <v>0</v>
      </c>
      <c r="Z89" s="295"/>
    </row>
    <row r="90" spans="2:26" hidden="1" x14ac:dyDescent="0.35">
      <c r="B90" s="546"/>
      <c r="E90" s="547"/>
      <c r="F90" s="295" t="s">
        <v>224</v>
      </c>
      <c r="G90" s="364" t="s">
        <v>194</v>
      </c>
      <c r="H90" s="365"/>
      <c r="I90" s="366"/>
      <c r="J90" s="364"/>
      <c r="K90" s="308"/>
      <c r="L90" s="662"/>
      <c r="M90" s="542"/>
      <c r="N90" s="296"/>
      <c r="O90" s="365"/>
      <c r="P90" s="543"/>
      <c r="Q90" s="543"/>
      <c r="R90" s="543"/>
      <c r="S90" s="543"/>
      <c r="T90" s="544"/>
      <c r="U90" s="544"/>
      <c r="V90" s="544"/>
      <c r="W90" s="544"/>
      <c r="X90" s="545"/>
      <c r="Y90" s="296">
        <f t="shared" si="11"/>
        <v>0</v>
      </c>
      <c r="Z90" s="295"/>
    </row>
    <row r="91" spans="2:26" hidden="1" x14ac:dyDescent="0.35">
      <c r="B91" s="546"/>
      <c r="E91" s="547"/>
      <c r="F91" s="295" t="s">
        <v>232</v>
      </c>
      <c r="G91" s="364" t="s">
        <v>194</v>
      </c>
      <c r="H91" s="365"/>
      <c r="I91" s="366"/>
      <c r="J91" s="364"/>
      <c r="K91" s="308"/>
      <c r="L91" s="662"/>
      <c r="M91" s="542"/>
      <c r="N91" s="296"/>
      <c r="O91" s="365"/>
      <c r="P91" s="543"/>
      <c r="Q91" s="543"/>
      <c r="R91" s="543"/>
      <c r="S91" s="543"/>
      <c r="T91" s="544"/>
      <c r="U91" s="544"/>
      <c r="V91" s="544"/>
      <c r="W91" s="544"/>
      <c r="X91" s="545"/>
      <c r="Y91" s="296">
        <f t="shared" si="11"/>
        <v>0</v>
      </c>
      <c r="Z91" s="295"/>
    </row>
    <row r="92" spans="2:26" hidden="1" x14ac:dyDescent="0.35">
      <c r="B92" s="546"/>
      <c r="E92" s="547"/>
      <c r="F92" s="295" t="s">
        <v>451</v>
      </c>
      <c r="G92" s="364" t="s">
        <v>194</v>
      </c>
      <c r="H92" s="365"/>
      <c r="I92" s="366"/>
      <c r="J92" s="364"/>
      <c r="K92" s="308"/>
      <c r="L92" s="662"/>
      <c r="M92" s="542"/>
      <c r="N92" s="296"/>
      <c r="O92" s="365"/>
      <c r="P92" s="543"/>
      <c r="Q92" s="543"/>
      <c r="R92" s="543"/>
      <c r="S92" s="543"/>
      <c r="T92" s="544"/>
      <c r="U92" s="544"/>
      <c r="V92" s="544"/>
      <c r="W92" s="544"/>
      <c r="X92" s="545"/>
      <c r="Y92" s="296">
        <f t="shared" si="11"/>
        <v>0</v>
      </c>
      <c r="Z92" s="295"/>
    </row>
    <row r="93" spans="2:26" hidden="1" x14ac:dyDescent="0.35">
      <c r="B93" s="546"/>
      <c r="E93" s="547"/>
      <c r="F93" s="295" t="s">
        <v>235</v>
      </c>
      <c r="G93" s="364" t="s">
        <v>194</v>
      </c>
      <c r="H93" s="365"/>
      <c r="I93" s="366"/>
      <c r="J93" s="364"/>
      <c r="K93" s="308"/>
      <c r="L93" s="662"/>
      <c r="M93" s="542"/>
      <c r="N93" s="296"/>
      <c r="O93" s="365"/>
      <c r="P93" s="543"/>
      <c r="Q93" s="543"/>
      <c r="R93" s="543"/>
      <c r="S93" s="543"/>
      <c r="T93" s="544"/>
      <c r="U93" s="544"/>
      <c r="V93" s="544"/>
      <c r="W93" s="544"/>
      <c r="X93" s="545"/>
      <c r="Y93" s="296">
        <f t="shared" si="11"/>
        <v>0</v>
      </c>
      <c r="Z93" s="295"/>
    </row>
    <row r="94" spans="2:26" hidden="1" x14ac:dyDescent="0.35">
      <c r="B94" s="546"/>
      <c r="E94" s="547"/>
      <c r="F94" s="295" t="s">
        <v>236</v>
      </c>
      <c r="G94" s="364" t="s">
        <v>194</v>
      </c>
      <c r="H94" s="365"/>
      <c r="I94" s="366"/>
      <c r="J94" s="364"/>
      <c r="K94" s="308"/>
      <c r="L94" s="662"/>
      <c r="M94" s="542"/>
      <c r="N94" s="296"/>
      <c r="O94" s="365"/>
      <c r="P94" s="543"/>
      <c r="Q94" s="543"/>
      <c r="R94" s="543"/>
      <c r="S94" s="543"/>
      <c r="T94" s="544"/>
      <c r="U94" s="544"/>
      <c r="V94" s="544"/>
      <c r="W94" s="544"/>
      <c r="X94" s="545"/>
      <c r="Y94" s="296">
        <f t="shared" si="11"/>
        <v>0</v>
      </c>
      <c r="Z94" s="295"/>
    </row>
    <row r="95" spans="2:26" hidden="1" x14ac:dyDescent="0.35">
      <c r="B95" s="546"/>
      <c r="D95" s="550"/>
      <c r="E95" s="551"/>
      <c r="F95" s="295" t="s">
        <v>237</v>
      </c>
      <c r="G95" s="364" t="s">
        <v>194</v>
      </c>
      <c r="H95" s="365"/>
      <c r="I95" s="366"/>
      <c r="J95" s="364"/>
      <c r="K95" s="308"/>
      <c r="L95" s="662"/>
      <c r="M95" s="542"/>
      <c r="N95" s="296"/>
      <c r="O95" s="365"/>
      <c r="P95" s="543"/>
      <c r="Q95" s="543"/>
      <c r="R95" s="543"/>
      <c r="S95" s="543"/>
      <c r="T95" s="544"/>
      <c r="U95" s="544"/>
      <c r="V95" s="544"/>
      <c r="W95" s="544"/>
      <c r="X95" s="545"/>
      <c r="Y95" s="296">
        <f t="shared" si="11"/>
        <v>0</v>
      </c>
      <c r="Z95" s="295"/>
    </row>
    <row r="96" spans="2:26" hidden="1" x14ac:dyDescent="0.35">
      <c r="B96" s="546"/>
      <c r="D96" s="540" t="s">
        <v>452</v>
      </c>
      <c r="E96" s="541"/>
      <c r="F96" s="295" t="s">
        <v>189</v>
      </c>
      <c r="G96" s="364" t="s">
        <v>190</v>
      </c>
      <c r="H96" s="365"/>
      <c r="I96" s="366"/>
      <c r="J96" s="364"/>
      <c r="K96" s="308"/>
      <c r="L96" s="662"/>
      <c r="M96" s="542"/>
      <c r="N96" s="296"/>
      <c r="O96" s="365"/>
      <c r="P96" s="543"/>
      <c r="Q96" s="543"/>
      <c r="R96" s="543"/>
      <c r="S96" s="543"/>
      <c r="T96" s="544"/>
      <c r="U96" s="544"/>
      <c r="V96" s="544"/>
      <c r="W96" s="544"/>
      <c r="X96" s="545"/>
      <c r="Y96" s="296">
        <f t="shared" si="11"/>
        <v>0</v>
      </c>
      <c r="Z96" s="295"/>
    </row>
    <row r="97" spans="2:26" hidden="1" x14ac:dyDescent="0.35">
      <c r="B97" s="546"/>
      <c r="E97" s="547"/>
      <c r="F97" s="295" t="s">
        <v>225</v>
      </c>
      <c r="G97" s="364" t="s">
        <v>226</v>
      </c>
      <c r="H97" s="365"/>
      <c r="I97" s="366"/>
      <c r="J97" s="364"/>
      <c r="K97" s="308"/>
      <c r="L97" s="662"/>
      <c r="M97" s="542"/>
      <c r="N97" s="296"/>
      <c r="O97" s="365"/>
      <c r="P97" s="543"/>
      <c r="Q97" s="543"/>
      <c r="R97" s="543"/>
      <c r="S97" s="543"/>
      <c r="T97" s="544"/>
      <c r="U97" s="544"/>
      <c r="V97" s="544"/>
      <c r="W97" s="544"/>
      <c r="X97" s="545"/>
      <c r="Y97" s="296">
        <f t="shared" si="11"/>
        <v>0</v>
      </c>
      <c r="Z97" s="295"/>
    </row>
    <row r="98" spans="2:26" hidden="1" x14ac:dyDescent="0.35">
      <c r="B98" s="546"/>
      <c r="E98" s="547"/>
      <c r="F98" s="295" t="s">
        <v>227</v>
      </c>
      <c r="G98" s="364" t="s">
        <v>192</v>
      </c>
      <c r="H98" s="365"/>
      <c r="I98" s="366"/>
      <c r="J98" s="364"/>
      <c r="K98" s="308"/>
      <c r="L98" s="662"/>
      <c r="M98" s="542"/>
      <c r="N98" s="296"/>
      <c r="O98" s="365"/>
      <c r="P98" s="543"/>
      <c r="Q98" s="543"/>
      <c r="R98" s="543"/>
      <c r="S98" s="543"/>
      <c r="T98" s="544"/>
      <c r="U98" s="544"/>
      <c r="V98" s="544"/>
      <c r="W98" s="544"/>
      <c r="X98" s="545"/>
      <c r="Y98" s="296">
        <f t="shared" si="11"/>
        <v>0</v>
      </c>
      <c r="Z98" s="295"/>
    </row>
    <row r="99" spans="2:26" hidden="1" x14ac:dyDescent="0.35">
      <c r="B99" s="546"/>
      <c r="E99" s="547"/>
      <c r="F99" s="295" t="s">
        <v>230</v>
      </c>
      <c r="G99" s="364" t="s">
        <v>226</v>
      </c>
      <c r="H99" s="365"/>
      <c r="I99" s="366"/>
      <c r="J99" s="364"/>
      <c r="K99" s="308"/>
      <c r="L99" s="662"/>
      <c r="M99" s="542"/>
      <c r="N99" s="296"/>
      <c r="O99" s="365"/>
      <c r="P99" s="543"/>
      <c r="Q99" s="543"/>
      <c r="R99" s="543"/>
      <c r="S99" s="543"/>
      <c r="T99" s="544"/>
      <c r="U99" s="544"/>
      <c r="V99" s="544"/>
      <c r="W99" s="544"/>
      <c r="X99" s="545"/>
      <c r="Y99" s="296">
        <f t="shared" si="11"/>
        <v>0</v>
      </c>
      <c r="Z99" s="295"/>
    </row>
    <row r="100" spans="2:26" hidden="1" x14ac:dyDescent="0.35">
      <c r="B100" s="546"/>
      <c r="E100" s="547"/>
      <c r="F100" s="295" t="s">
        <v>231</v>
      </c>
      <c r="G100" s="364" t="s">
        <v>190</v>
      </c>
      <c r="H100" s="365"/>
      <c r="I100" s="366"/>
      <c r="J100" s="364"/>
      <c r="K100" s="308"/>
      <c r="L100" s="662"/>
      <c r="M100" s="542"/>
      <c r="N100" s="296"/>
      <c r="O100" s="365"/>
      <c r="P100" s="543"/>
      <c r="Q100" s="543"/>
      <c r="R100" s="543"/>
      <c r="S100" s="543"/>
      <c r="T100" s="544"/>
      <c r="U100" s="544"/>
      <c r="V100" s="544"/>
      <c r="W100" s="544"/>
      <c r="X100" s="545"/>
      <c r="Y100" s="296">
        <f t="shared" si="11"/>
        <v>0</v>
      </c>
      <c r="Z100" s="295"/>
    </row>
    <row r="101" spans="2:26" hidden="1" x14ac:dyDescent="0.35">
      <c r="B101" s="546"/>
      <c r="E101" s="547"/>
      <c r="F101" s="295" t="s">
        <v>224</v>
      </c>
      <c r="G101" s="364" t="s">
        <v>194</v>
      </c>
      <c r="H101" s="365"/>
      <c r="I101" s="366"/>
      <c r="J101" s="364"/>
      <c r="K101" s="308"/>
      <c r="L101" s="662"/>
      <c r="M101" s="542"/>
      <c r="N101" s="296"/>
      <c r="O101" s="365"/>
      <c r="P101" s="543"/>
      <c r="Q101" s="543"/>
      <c r="R101" s="543"/>
      <c r="S101" s="543"/>
      <c r="T101" s="544"/>
      <c r="U101" s="544"/>
      <c r="V101" s="544"/>
      <c r="W101" s="544"/>
      <c r="X101" s="545"/>
      <c r="Y101" s="296">
        <f t="shared" si="11"/>
        <v>0</v>
      </c>
      <c r="Z101" s="295"/>
    </row>
    <row r="102" spans="2:26" hidden="1" x14ac:dyDescent="0.35">
      <c r="B102" s="546"/>
      <c r="E102" s="547"/>
      <c r="F102" s="295" t="s">
        <v>232</v>
      </c>
      <c r="G102" s="364" t="s">
        <v>194</v>
      </c>
      <c r="H102" s="365"/>
      <c r="I102" s="366"/>
      <c r="J102" s="364"/>
      <c r="K102" s="308"/>
      <c r="L102" s="662"/>
      <c r="M102" s="542"/>
      <c r="N102" s="296"/>
      <c r="O102" s="365"/>
      <c r="P102" s="543"/>
      <c r="Q102" s="543"/>
      <c r="R102" s="543"/>
      <c r="S102" s="543"/>
      <c r="T102" s="544"/>
      <c r="U102" s="544"/>
      <c r="V102" s="544"/>
      <c r="W102" s="544"/>
      <c r="X102" s="545"/>
      <c r="Y102" s="296">
        <f t="shared" si="11"/>
        <v>0</v>
      </c>
      <c r="Z102" s="295"/>
    </row>
    <row r="103" spans="2:26" hidden="1" x14ac:dyDescent="0.35">
      <c r="B103" s="546"/>
      <c r="E103" s="547"/>
      <c r="F103" s="295" t="s">
        <v>451</v>
      </c>
      <c r="G103" s="364" t="s">
        <v>194</v>
      </c>
      <c r="H103" s="365"/>
      <c r="I103" s="366"/>
      <c r="J103" s="364"/>
      <c r="K103" s="308"/>
      <c r="L103" s="662"/>
      <c r="M103" s="542"/>
      <c r="N103" s="296"/>
      <c r="O103" s="365"/>
      <c r="P103" s="543"/>
      <c r="Q103" s="543"/>
      <c r="R103" s="543"/>
      <c r="S103" s="543"/>
      <c r="T103" s="544"/>
      <c r="U103" s="544"/>
      <c r="V103" s="544"/>
      <c r="W103" s="544"/>
      <c r="X103" s="545"/>
      <c r="Y103" s="296">
        <f t="shared" si="11"/>
        <v>0</v>
      </c>
      <c r="Z103" s="295"/>
    </row>
    <row r="104" spans="2:26" hidden="1" x14ac:dyDescent="0.35">
      <c r="B104" s="546"/>
      <c r="E104" s="547"/>
      <c r="F104" s="295" t="s">
        <v>235</v>
      </c>
      <c r="G104" s="364" t="s">
        <v>194</v>
      </c>
      <c r="H104" s="365"/>
      <c r="I104" s="366"/>
      <c r="J104" s="364"/>
      <c r="K104" s="308"/>
      <c r="L104" s="662"/>
      <c r="M104" s="542"/>
      <c r="N104" s="296"/>
      <c r="O104" s="365"/>
      <c r="P104" s="543"/>
      <c r="Q104" s="543"/>
      <c r="R104" s="543"/>
      <c r="S104" s="543"/>
      <c r="T104" s="544"/>
      <c r="U104" s="544"/>
      <c r="V104" s="544"/>
      <c r="W104" s="544"/>
      <c r="X104" s="545"/>
      <c r="Y104" s="296">
        <f t="shared" si="11"/>
        <v>0</v>
      </c>
      <c r="Z104" s="295"/>
    </row>
    <row r="105" spans="2:26" hidden="1" x14ac:dyDescent="0.35">
      <c r="B105" s="546"/>
      <c r="E105" s="547"/>
      <c r="F105" s="295" t="s">
        <v>236</v>
      </c>
      <c r="G105" s="364" t="s">
        <v>194</v>
      </c>
      <c r="H105" s="365"/>
      <c r="I105" s="366"/>
      <c r="J105" s="364"/>
      <c r="K105" s="308"/>
      <c r="L105" s="662"/>
      <c r="M105" s="542"/>
      <c r="N105" s="296"/>
      <c r="O105" s="365"/>
      <c r="P105" s="543"/>
      <c r="Q105" s="543"/>
      <c r="R105" s="543"/>
      <c r="S105" s="543"/>
      <c r="T105" s="544"/>
      <c r="U105" s="544"/>
      <c r="V105" s="544"/>
      <c r="W105" s="544"/>
      <c r="X105" s="545"/>
      <c r="Y105" s="296">
        <f t="shared" si="11"/>
        <v>0</v>
      </c>
      <c r="Z105" s="295"/>
    </row>
    <row r="106" spans="2:26" hidden="1" x14ac:dyDescent="0.35">
      <c r="B106" s="549"/>
      <c r="C106" s="550"/>
      <c r="D106" s="550"/>
      <c r="E106" s="551"/>
      <c r="F106" s="295" t="s">
        <v>237</v>
      </c>
      <c r="G106" s="364" t="s">
        <v>194</v>
      </c>
      <c r="H106" s="365"/>
      <c r="I106" s="366"/>
      <c r="J106" s="364"/>
      <c r="K106" s="308"/>
      <c r="L106" s="662"/>
      <c r="M106" s="542"/>
      <c r="N106" s="296"/>
      <c r="O106" s="365"/>
      <c r="P106" s="543"/>
      <c r="Q106" s="543"/>
      <c r="R106" s="543"/>
      <c r="S106" s="543"/>
      <c r="T106" s="544"/>
      <c r="U106" s="544"/>
      <c r="V106" s="544"/>
      <c r="W106" s="544"/>
      <c r="X106" s="545"/>
      <c r="Y106" s="296">
        <f t="shared" si="11"/>
        <v>0</v>
      </c>
      <c r="Z106" s="295"/>
    </row>
    <row r="107" spans="2:26" x14ac:dyDescent="0.35">
      <c r="B107" s="539"/>
      <c r="C107" s="540" t="s">
        <v>91</v>
      </c>
      <c r="D107" s="540"/>
      <c r="E107" s="541"/>
      <c r="F107" s="295" t="s">
        <v>189</v>
      </c>
      <c r="G107" s="364" t="s">
        <v>190</v>
      </c>
      <c r="H107" s="365"/>
      <c r="I107" s="366"/>
      <c r="J107" s="364" t="s">
        <v>170</v>
      </c>
      <c r="K107" s="548">
        <v>1</v>
      </c>
      <c r="L107" s="564">
        <f t="shared" ref="L107:L112" si="19">$L$38</f>
        <v>400.8</v>
      </c>
      <c r="M107" s="542">
        <v>2.5</v>
      </c>
      <c r="N107" s="296">
        <v>2</v>
      </c>
      <c r="O107" s="401">
        <f>K107*L107*M107*N107</f>
        <v>2004</v>
      </c>
      <c r="P107" s="299">
        <f>VLOOKUP($F107,'[1]Master Harga'!$E$5:$L$351,5,FALSE)</f>
        <v>140008</v>
      </c>
      <c r="Q107" s="543">
        <f>P107*$O107</f>
        <v>280576032</v>
      </c>
      <c r="R107" s="299">
        <f>VLOOKUP($F107,'[1]Master Harga'!$E$5:$L$351,6,FALSE)</f>
        <v>149108.51999999999</v>
      </c>
      <c r="S107" s="543">
        <f>R107*$O107</f>
        <v>298813474.07999998</v>
      </c>
      <c r="T107" s="296">
        <f>VLOOKUP($F107,'[2]Master Harga'!$E$5:$L$348,7,FALSE)</f>
        <v>163305.33120000002</v>
      </c>
      <c r="U107" s="544">
        <f>$O107*T107</f>
        <v>327263883.72480005</v>
      </c>
      <c r="V107" s="296">
        <f>W107/O107</f>
        <v>150807.28373333332</v>
      </c>
      <c r="W107" s="307">
        <f>AVERAGEIF($P$3:$U$3,W$3,$P107:$U107)</f>
        <v>302217796.60159999</v>
      </c>
      <c r="X107" s="545"/>
      <c r="Y107" s="296">
        <f t="shared" si="11"/>
        <v>745542.6</v>
      </c>
      <c r="Z107" s="295"/>
    </row>
    <row r="108" spans="2:26" x14ac:dyDescent="0.35">
      <c r="B108" s="546"/>
      <c r="E108" s="547"/>
      <c r="F108" s="295" t="s">
        <v>293</v>
      </c>
      <c r="G108" s="364" t="s">
        <v>194</v>
      </c>
      <c r="H108" s="365"/>
      <c r="I108" s="366"/>
      <c r="J108" s="364"/>
      <c r="K108" s="548">
        <v>1</v>
      </c>
      <c r="L108" s="564">
        <f t="shared" si="19"/>
        <v>400.8</v>
      </c>
      <c r="M108" s="552">
        <f>0.017*(1/2)</f>
        <v>8.5000000000000006E-3</v>
      </c>
      <c r="N108" s="437">
        <v>2</v>
      </c>
      <c r="O108" s="401">
        <f>K108*L108*M108*N108</f>
        <v>6.813600000000001</v>
      </c>
      <c r="P108" s="299">
        <f>VLOOKUP($F108,'[1]Master Harga'!$E$5:$L$351,5,FALSE)</f>
        <v>75798.75</v>
      </c>
      <c r="Q108" s="543">
        <f>P108*$O108</f>
        <v>516462.36300000007</v>
      </c>
      <c r="R108" s="299">
        <f>VLOOKUP($F108,'[1]Master Harga'!$E$5:$L$351,6,FALSE)</f>
        <v>79588.6875</v>
      </c>
      <c r="S108" s="543">
        <f>R108*$O108</f>
        <v>542285.48115000012</v>
      </c>
      <c r="T108" s="296">
        <f>VLOOKUP($F108,'[2]Master Harga'!$E$5:$L$348,7,FALSE)</f>
        <v>88411.662000000011</v>
      </c>
      <c r="U108" s="544">
        <f>$O108*T108</f>
        <v>602401.70020320022</v>
      </c>
      <c r="V108" s="296">
        <f>W108/O108</f>
        <v>81266.366500000018</v>
      </c>
      <c r="W108" s="307">
        <f>AVERAGEIF($P$3:$U$3,W$3,$P108:$U108)</f>
        <v>553716.51478440023</v>
      </c>
      <c r="X108" s="545"/>
      <c r="Y108" s="296">
        <f t="shared" si="11"/>
        <v>1353.0076875000002</v>
      </c>
      <c r="Z108" s="295"/>
    </row>
    <row r="109" spans="2:26" x14ac:dyDescent="0.35">
      <c r="B109" s="546"/>
      <c r="D109" s="550"/>
      <c r="E109" s="551"/>
      <c r="F109" s="295" t="s">
        <v>237</v>
      </c>
      <c r="G109" s="364" t="s">
        <v>194</v>
      </c>
      <c r="H109" s="365"/>
      <c r="I109" s="366"/>
      <c r="J109" s="364" t="s">
        <v>170</v>
      </c>
      <c r="K109" s="548">
        <v>1</v>
      </c>
      <c r="L109" s="564">
        <f t="shared" si="19"/>
        <v>400.8</v>
      </c>
      <c r="M109" s="552">
        <f>0.017*(1/2)</f>
        <v>8.5000000000000006E-3</v>
      </c>
      <c r="N109" s="437">
        <v>2</v>
      </c>
      <c r="O109" s="401">
        <f>K109*L109*M109*N109</f>
        <v>6.813600000000001</v>
      </c>
      <c r="P109" s="299">
        <f>VLOOKUP($F109,'[1]Master Harga'!$E$5:$L$351,5,FALSE)</f>
        <v>85680</v>
      </c>
      <c r="Q109" s="543">
        <f>P109*$O109</f>
        <v>583789.24800000014</v>
      </c>
      <c r="R109" s="299">
        <f>VLOOKUP($F109,'[1]Master Harga'!$E$5:$L$351,6,FALSE)</f>
        <v>89964</v>
      </c>
      <c r="S109" s="543">
        <f>R109*$O109</f>
        <v>612978.7104000001</v>
      </c>
      <c r="T109" s="296">
        <f>VLOOKUP($F109,'[2]Master Harga'!$E$5:$L$348,7,FALSE)</f>
        <v>99937.152000000016</v>
      </c>
      <c r="U109" s="544">
        <f>$O109*T109</f>
        <v>680931.77886720025</v>
      </c>
      <c r="V109" s="296">
        <f>W109/O109</f>
        <v>91860.38400000002</v>
      </c>
      <c r="W109" s="307">
        <f>AVERAGEIF($P$3:$U$3,W$3,$P109:$U109)</f>
        <v>625899.9124224002</v>
      </c>
      <c r="X109" s="545"/>
      <c r="Y109" s="296">
        <f t="shared" si="11"/>
        <v>1529.3880000000001</v>
      </c>
      <c r="Z109" s="295"/>
    </row>
    <row r="110" spans="2:26" x14ac:dyDescent="0.35">
      <c r="B110" s="546"/>
      <c r="D110" s="540" t="s">
        <v>453</v>
      </c>
      <c r="E110" s="541"/>
      <c r="F110" s="295" t="s">
        <v>189</v>
      </c>
      <c r="G110" s="364" t="s">
        <v>190</v>
      </c>
      <c r="H110" s="365"/>
      <c r="I110" s="366"/>
      <c r="J110" s="364"/>
      <c r="K110" s="548"/>
      <c r="L110" s="564">
        <f t="shared" si="19"/>
        <v>400.8</v>
      </c>
      <c r="M110" s="552">
        <v>12</v>
      </c>
      <c r="N110" s="437">
        <v>1</v>
      </c>
      <c r="O110" s="545"/>
      <c r="P110" s="683"/>
      <c r="Q110" s="683"/>
      <c r="R110" s="683"/>
      <c r="S110" s="683"/>
      <c r="T110" s="684"/>
      <c r="U110" s="684"/>
      <c r="V110" s="684"/>
      <c r="W110" s="684"/>
      <c r="X110" s="545"/>
      <c r="Y110" s="296">
        <f t="shared" si="11"/>
        <v>0</v>
      </c>
      <c r="Z110" s="295"/>
    </row>
    <row r="111" spans="2:26" x14ac:dyDescent="0.35">
      <c r="B111" s="546"/>
      <c r="E111" s="547"/>
      <c r="F111" s="295" t="s">
        <v>293</v>
      </c>
      <c r="G111" s="364" t="s">
        <v>194</v>
      </c>
      <c r="H111" s="365"/>
      <c r="I111" s="366"/>
      <c r="J111" s="364"/>
      <c r="K111" s="548"/>
      <c r="L111" s="564">
        <f t="shared" si="19"/>
        <v>400.8</v>
      </c>
      <c r="M111" s="552">
        <v>1.7000000000000001E-2</v>
      </c>
      <c r="N111" s="437">
        <v>1</v>
      </c>
      <c r="O111" s="545"/>
      <c r="P111" s="683"/>
      <c r="Q111" s="683"/>
      <c r="R111" s="683"/>
      <c r="S111" s="683"/>
      <c r="T111" s="684"/>
      <c r="U111" s="684"/>
      <c r="V111" s="684"/>
      <c r="W111" s="684"/>
      <c r="X111" s="545"/>
      <c r="Y111" s="296">
        <f t="shared" si="11"/>
        <v>0</v>
      </c>
      <c r="Z111" s="295"/>
    </row>
    <row r="112" spans="2:26" x14ac:dyDescent="0.35">
      <c r="B112" s="546"/>
      <c r="E112" s="547"/>
      <c r="F112" s="295" t="s">
        <v>237</v>
      </c>
      <c r="G112" s="364" t="s">
        <v>194</v>
      </c>
      <c r="H112" s="365">
        <v>1</v>
      </c>
      <c r="I112" s="366" t="s">
        <v>233</v>
      </c>
      <c r="J112" s="364"/>
      <c r="K112" s="548"/>
      <c r="L112" s="564">
        <f t="shared" si="19"/>
        <v>400.8</v>
      </c>
      <c r="M112" s="729">
        <f>((M$110*N$110)/240*($H112/N112))</f>
        <v>0.05</v>
      </c>
      <c r="N112" s="437">
        <v>1</v>
      </c>
      <c r="O112" s="545"/>
      <c r="P112" s="683"/>
      <c r="Q112" s="683"/>
      <c r="R112" s="683"/>
      <c r="S112" s="683"/>
      <c r="T112" s="684"/>
      <c r="U112" s="684"/>
      <c r="V112" s="684"/>
      <c r="W112" s="684"/>
      <c r="X112" s="545"/>
      <c r="Y112" s="296">
        <f t="shared" si="11"/>
        <v>0</v>
      </c>
      <c r="Z112" s="295"/>
    </row>
    <row r="113" spans="2:26" x14ac:dyDescent="0.35">
      <c r="B113" s="685" t="s">
        <v>454</v>
      </c>
      <c r="C113" s="686"/>
      <c r="D113" s="686"/>
      <c r="E113" s="687"/>
      <c r="F113" s="688"/>
      <c r="G113" s="689"/>
      <c r="H113" s="690"/>
      <c r="I113" s="691"/>
      <c r="J113" s="689"/>
      <c r="K113" s="692"/>
      <c r="L113" s="693"/>
      <c r="M113" s="694"/>
      <c r="N113" s="695"/>
      <c r="O113" s="690"/>
      <c r="P113" s="696"/>
      <c r="Q113" s="696"/>
      <c r="R113" s="696"/>
      <c r="S113" s="697">
        <f>SUM(S102:S112)</f>
        <v>299968738.27154994</v>
      </c>
      <c r="T113" s="684"/>
      <c r="U113" s="684"/>
      <c r="V113" s="684"/>
      <c r="W113" s="684"/>
      <c r="X113" s="690"/>
      <c r="Y113" s="727">
        <f t="shared" si="11"/>
        <v>748424.99568749988</v>
      </c>
      <c r="Z113" s="699">
        <f>(Y113/$Y$410)*100</f>
        <v>5.2010919102605611</v>
      </c>
    </row>
    <row r="114" spans="2:26" x14ac:dyDescent="0.35">
      <c r="B114" s="539"/>
      <c r="C114" s="540" t="s">
        <v>94</v>
      </c>
      <c r="D114" s="540"/>
      <c r="E114" s="541"/>
      <c r="F114" s="295" t="s">
        <v>189</v>
      </c>
      <c r="G114" s="364" t="s">
        <v>190</v>
      </c>
      <c r="H114" s="365"/>
      <c r="I114" s="366"/>
      <c r="J114" s="364" t="s">
        <v>170</v>
      </c>
      <c r="K114" s="548">
        <v>0</v>
      </c>
      <c r="L114" s="564">
        <f t="shared" ref="L114:L138" si="20">$L$38</f>
        <v>400.8</v>
      </c>
      <c r="M114" s="589">
        <v>1.5</v>
      </c>
      <c r="N114" s="437">
        <v>1</v>
      </c>
      <c r="O114" s="401">
        <f t="shared" ref="O114:O125" si="21">K114*L114*M114*N114</f>
        <v>0</v>
      </c>
      <c r="P114" s="299">
        <f>VLOOKUP($F114,'[1]Master Harga'!$E$5:$L$351,5,FALSE)</f>
        <v>140008</v>
      </c>
      <c r="Q114" s="543">
        <f t="shared" ref="Q114:Q125" si="22">P114*$O114</f>
        <v>0</v>
      </c>
      <c r="R114" s="299">
        <f>VLOOKUP($F114,'[1]Master Harga'!$E$5:$L$351,6,FALSE)</f>
        <v>149108.51999999999</v>
      </c>
      <c r="S114" s="543">
        <f t="shared" ref="S114:S125" si="23">R114*$O114</f>
        <v>0</v>
      </c>
      <c r="T114" s="296">
        <f>VLOOKUP($F114,'[2]Master Harga'!$E$5:$L$348,7,FALSE)</f>
        <v>163305.33120000002</v>
      </c>
      <c r="U114" s="544">
        <f t="shared" ref="U114:U125" si="24">$O114*T114</f>
        <v>0</v>
      </c>
      <c r="V114" s="296" t="e">
        <f t="shared" ref="V114:V125" si="25">W114/O114</f>
        <v>#DIV/0!</v>
      </c>
      <c r="W114" s="307">
        <f t="shared" ref="W114:W125" si="26">AVERAGEIF($P$3:$U$3,W$3,$P114:$U114)</f>
        <v>0</v>
      </c>
      <c r="X114" s="545"/>
      <c r="Y114" s="296">
        <f t="shared" si="11"/>
        <v>0</v>
      </c>
      <c r="Z114" s="295"/>
    </row>
    <row r="115" spans="2:26" hidden="1" x14ac:dyDescent="0.35">
      <c r="B115" s="546"/>
      <c r="E115" s="547"/>
      <c r="F115" s="295" t="s">
        <v>229</v>
      </c>
      <c r="G115" s="364" t="s">
        <v>226</v>
      </c>
      <c r="H115" s="365"/>
      <c r="I115" s="366"/>
      <c r="J115" s="364" t="s">
        <v>170</v>
      </c>
      <c r="K115" s="548">
        <v>0</v>
      </c>
      <c r="L115" s="564">
        <f t="shared" si="20"/>
        <v>400.8</v>
      </c>
      <c r="M115" s="589">
        <v>0.36</v>
      </c>
      <c r="N115" s="437">
        <v>1</v>
      </c>
      <c r="O115" s="401">
        <f t="shared" si="21"/>
        <v>0</v>
      </c>
      <c r="P115" s="299">
        <f>VLOOKUP($F115,'[1]Master Harga'!$E$5:$L$351,5,FALSE)</f>
        <v>194983.2</v>
      </c>
      <c r="Q115" s="543">
        <f t="shared" si="22"/>
        <v>0</v>
      </c>
      <c r="R115" s="299">
        <f>VLOOKUP($F115,'[1]Master Harga'!$E$5:$L$351,6,FALSE)</f>
        <v>189567</v>
      </c>
      <c r="S115" s="543">
        <f t="shared" si="23"/>
        <v>0</v>
      </c>
      <c r="T115" s="296">
        <f>VLOOKUP($F115,'[2]Master Harga'!$E$5:$L$348,7,FALSE)</f>
        <v>223236.26568000004</v>
      </c>
      <c r="U115" s="544">
        <f t="shared" si="24"/>
        <v>0</v>
      </c>
      <c r="V115" s="296" t="e">
        <f t="shared" si="25"/>
        <v>#DIV/0!</v>
      </c>
      <c r="W115" s="307">
        <f t="shared" si="26"/>
        <v>0</v>
      </c>
      <c r="X115" s="545"/>
      <c r="Y115" s="296">
        <f t="shared" si="11"/>
        <v>0</v>
      </c>
      <c r="Z115" s="295"/>
    </row>
    <row r="116" spans="2:26" hidden="1" x14ac:dyDescent="0.35">
      <c r="B116" s="546"/>
      <c r="E116" s="547"/>
      <c r="F116" s="295" t="s">
        <v>227</v>
      </c>
      <c r="G116" s="364" t="s">
        <v>192</v>
      </c>
      <c r="H116" s="365"/>
      <c r="I116" s="366"/>
      <c r="J116" s="364" t="s">
        <v>170</v>
      </c>
      <c r="K116" s="548">
        <v>0</v>
      </c>
      <c r="L116" s="564">
        <f t="shared" si="20"/>
        <v>400.8</v>
      </c>
      <c r="M116" s="589">
        <f>36/1000</f>
        <v>3.5999999999999997E-2</v>
      </c>
      <c r="N116" s="437">
        <v>1</v>
      </c>
      <c r="O116" s="401">
        <f t="shared" si="21"/>
        <v>0</v>
      </c>
      <c r="P116" s="299">
        <f>VLOOKUP($F116,'[1]Master Harga'!$E$5:$L$351,5,FALSE)</f>
        <v>99144</v>
      </c>
      <c r="Q116" s="543">
        <f t="shared" si="22"/>
        <v>0</v>
      </c>
      <c r="R116" s="299">
        <f>VLOOKUP($F116,'[1]Master Harga'!$E$5:$L$351,6,FALSE)</f>
        <v>96390</v>
      </c>
      <c r="S116" s="543">
        <f t="shared" si="23"/>
        <v>0</v>
      </c>
      <c r="T116" s="296">
        <f>VLOOKUP($F116,'[2]Master Harga'!$E$5:$L$348,7,FALSE)</f>
        <v>113509.96560000001</v>
      </c>
      <c r="U116" s="544">
        <f t="shared" si="24"/>
        <v>0</v>
      </c>
      <c r="V116" s="296" t="e">
        <f t="shared" si="25"/>
        <v>#DIV/0!</v>
      </c>
      <c r="W116" s="307">
        <f t="shared" si="26"/>
        <v>0</v>
      </c>
      <c r="X116" s="545"/>
      <c r="Y116" s="296">
        <f t="shared" si="11"/>
        <v>0</v>
      </c>
      <c r="Z116" s="295"/>
    </row>
    <row r="117" spans="2:26" hidden="1" x14ac:dyDescent="0.35">
      <c r="B117" s="546"/>
      <c r="E117" s="547"/>
      <c r="F117" s="295" t="s">
        <v>228</v>
      </c>
      <c r="G117" s="364" t="s">
        <v>226</v>
      </c>
      <c r="H117" s="365"/>
      <c r="I117" s="366"/>
      <c r="J117" s="364" t="s">
        <v>170</v>
      </c>
      <c r="K117" s="548">
        <v>0</v>
      </c>
      <c r="L117" s="564">
        <f t="shared" si="20"/>
        <v>400.8</v>
      </c>
      <c r="M117" s="542">
        <v>0.90000000000000013</v>
      </c>
      <c r="N117" s="437">
        <v>1</v>
      </c>
      <c r="O117" s="401">
        <f t="shared" si="21"/>
        <v>0</v>
      </c>
      <c r="P117" s="299">
        <f>VLOOKUP($F117,'[1]Master Harga'!$E$5:$L$351,5,FALSE)</f>
        <v>29192.400000000001</v>
      </c>
      <c r="Q117" s="543">
        <f t="shared" si="22"/>
        <v>0</v>
      </c>
      <c r="R117" s="299">
        <f>VLOOKUP($F117,'[1]Master Harga'!$E$5:$L$351,6,FALSE)</f>
        <v>28381.5</v>
      </c>
      <c r="S117" s="543">
        <f t="shared" si="23"/>
        <v>0</v>
      </c>
      <c r="T117" s="296">
        <f>VLOOKUP($F117,'[2]Master Harga'!$E$5:$L$348,7,FALSE)</f>
        <v>33422.378760000007</v>
      </c>
      <c r="U117" s="544">
        <f t="shared" si="24"/>
        <v>0</v>
      </c>
      <c r="V117" s="296" t="e">
        <f t="shared" si="25"/>
        <v>#DIV/0!</v>
      </c>
      <c r="W117" s="307">
        <f t="shared" si="26"/>
        <v>0</v>
      </c>
      <c r="X117" s="545"/>
      <c r="Y117" s="296">
        <f t="shared" si="11"/>
        <v>0</v>
      </c>
      <c r="Z117" s="295"/>
    </row>
    <row r="118" spans="2:26" hidden="1" x14ac:dyDescent="0.35">
      <c r="B118" s="546"/>
      <c r="E118" s="547"/>
      <c r="F118" s="295" t="s">
        <v>230</v>
      </c>
      <c r="G118" s="364" t="s">
        <v>226</v>
      </c>
      <c r="H118" s="365"/>
      <c r="I118" s="366"/>
      <c r="J118" s="364" t="s">
        <v>170</v>
      </c>
      <c r="K118" s="548">
        <v>0</v>
      </c>
      <c r="L118" s="564">
        <f t="shared" si="20"/>
        <v>400.8</v>
      </c>
      <c r="M118" s="542">
        <v>0.27</v>
      </c>
      <c r="N118" s="437">
        <v>1</v>
      </c>
      <c r="O118" s="401">
        <f t="shared" si="21"/>
        <v>0</v>
      </c>
      <c r="P118" s="299">
        <f>VLOOKUP($F118,'[1]Master Harga'!$E$5:$L$351,5,FALSE)</f>
        <v>46267.199999999997</v>
      </c>
      <c r="Q118" s="543">
        <f t="shared" si="22"/>
        <v>0</v>
      </c>
      <c r="R118" s="299">
        <f>VLOOKUP($F118,'[1]Master Harga'!$E$5:$L$351,6,FALSE)</f>
        <v>44982</v>
      </c>
      <c r="S118" s="543">
        <f t="shared" si="23"/>
        <v>0</v>
      </c>
      <c r="T118" s="296">
        <f>VLOOKUP($F118,'[2]Master Harga'!$E$5:$L$348,7,FALSE)</f>
        <v>52971.317280000003</v>
      </c>
      <c r="U118" s="544">
        <f t="shared" si="24"/>
        <v>0</v>
      </c>
      <c r="V118" s="296" t="e">
        <f t="shared" si="25"/>
        <v>#DIV/0!</v>
      </c>
      <c r="W118" s="307">
        <f t="shared" si="26"/>
        <v>0</v>
      </c>
      <c r="X118" s="545"/>
      <c r="Y118" s="296">
        <f t="shared" si="11"/>
        <v>0</v>
      </c>
      <c r="Z118" s="295"/>
    </row>
    <row r="119" spans="2:26" hidden="1" x14ac:dyDescent="0.35">
      <c r="B119" s="546"/>
      <c r="E119" s="547"/>
      <c r="F119" s="295" t="s">
        <v>231</v>
      </c>
      <c r="G119" s="364" t="s">
        <v>190</v>
      </c>
      <c r="H119" s="365"/>
      <c r="I119" s="366"/>
      <c r="J119" s="364" t="s">
        <v>170</v>
      </c>
      <c r="K119" s="548">
        <v>0</v>
      </c>
      <c r="L119" s="564">
        <f t="shared" si="20"/>
        <v>400.8</v>
      </c>
      <c r="M119" s="542">
        <v>1.5</v>
      </c>
      <c r="N119" s="437">
        <v>1</v>
      </c>
      <c r="O119" s="401">
        <f t="shared" si="21"/>
        <v>0</v>
      </c>
      <c r="P119" s="299">
        <f>VLOOKUP($F119,'[1]Master Harga'!$E$5:$L$351,5,FALSE)</f>
        <v>3850</v>
      </c>
      <c r="Q119" s="543">
        <f t="shared" si="22"/>
        <v>0</v>
      </c>
      <c r="R119" s="299">
        <f>VLOOKUP($F119,'[1]Master Harga'!$E$5:$L$351,6,FALSE)</f>
        <v>4042.5</v>
      </c>
      <c r="S119" s="543">
        <f t="shared" si="23"/>
        <v>0</v>
      </c>
      <c r="T119" s="296">
        <f>VLOOKUP($F119,'[2]Master Harga'!$E$5:$L$348,7,FALSE)</f>
        <v>4490.6400000000003</v>
      </c>
      <c r="U119" s="544">
        <f t="shared" si="24"/>
        <v>0</v>
      </c>
      <c r="V119" s="296" t="e">
        <f t="shared" si="25"/>
        <v>#DIV/0!</v>
      </c>
      <c r="W119" s="307">
        <f t="shared" si="26"/>
        <v>0</v>
      </c>
      <c r="X119" s="545"/>
      <c r="Y119" s="296">
        <f t="shared" si="11"/>
        <v>0</v>
      </c>
      <c r="Z119" s="295"/>
    </row>
    <row r="120" spans="2:26" hidden="1" x14ac:dyDescent="0.35">
      <c r="B120" s="546"/>
      <c r="E120" s="547"/>
      <c r="F120" s="295" t="s">
        <v>224</v>
      </c>
      <c r="G120" s="364" t="s">
        <v>194</v>
      </c>
      <c r="H120" s="365"/>
      <c r="I120" s="366"/>
      <c r="J120" s="364" t="s">
        <v>170</v>
      </c>
      <c r="K120" s="548">
        <v>0</v>
      </c>
      <c r="L120" s="564">
        <f t="shared" si="20"/>
        <v>400.8</v>
      </c>
      <c r="M120" s="542">
        <f>0.0125*(1/2)</f>
        <v>6.2500000000000003E-3</v>
      </c>
      <c r="N120" s="437">
        <v>1</v>
      </c>
      <c r="O120" s="401">
        <f t="shared" si="21"/>
        <v>0</v>
      </c>
      <c r="P120" s="299">
        <f>VLOOKUP($F120,'[1]Master Harga'!$E$5:$L$351,5,FALSE)</f>
        <v>1366468.5</v>
      </c>
      <c r="Q120" s="543">
        <f t="shared" si="22"/>
        <v>0</v>
      </c>
      <c r="R120" s="299">
        <f>VLOOKUP($F120,'[1]Master Harga'!$E$5:$L$351,6,FALSE)</f>
        <v>1434791.925</v>
      </c>
      <c r="S120" s="543">
        <f t="shared" si="23"/>
        <v>0</v>
      </c>
      <c r="T120" s="296">
        <f>VLOOKUP($F120,'[2]Master Harga'!$E$5:$L$348,7,FALSE)</f>
        <v>1593848.8584</v>
      </c>
      <c r="U120" s="544">
        <f t="shared" si="24"/>
        <v>0</v>
      </c>
      <c r="V120" s="296" t="e">
        <f t="shared" si="25"/>
        <v>#DIV/0!</v>
      </c>
      <c r="W120" s="307">
        <f t="shared" si="26"/>
        <v>0</v>
      </c>
      <c r="X120" s="545"/>
      <c r="Y120" s="296">
        <f t="shared" si="11"/>
        <v>0</v>
      </c>
      <c r="Z120" s="295"/>
    </row>
    <row r="121" spans="2:26" hidden="1" x14ac:dyDescent="0.35">
      <c r="B121" s="546"/>
      <c r="E121" s="547"/>
      <c r="F121" s="295" t="s">
        <v>232</v>
      </c>
      <c r="G121" s="364" t="s">
        <v>194</v>
      </c>
      <c r="H121" s="365">
        <v>4</v>
      </c>
      <c r="I121" s="366" t="s">
        <v>233</v>
      </c>
      <c r="J121" s="364" t="s">
        <v>170</v>
      </c>
      <c r="K121" s="548">
        <v>0</v>
      </c>
      <c r="L121" s="564">
        <f t="shared" si="20"/>
        <v>400.8</v>
      </c>
      <c r="M121" s="729">
        <f>((M$114*N$114)/240*($H121/N121))</f>
        <v>2.5000000000000001E-2</v>
      </c>
      <c r="N121" s="437">
        <v>1</v>
      </c>
      <c r="O121" s="401">
        <f t="shared" si="21"/>
        <v>0</v>
      </c>
      <c r="P121" s="299">
        <f>VLOOKUP($F121,'[1]Master Harga'!$E$5:$L$351,5,FALSE)</f>
        <v>42840</v>
      </c>
      <c r="Q121" s="543">
        <f t="shared" si="22"/>
        <v>0</v>
      </c>
      <c r="R121" s="299">
        <f>VLOOKUP($F121,'[1]Master Harga'!$E$5:$L$351,6,FALSE)</f>
        <v>44982</v>
      </c>
      <c r="S121" s="543">
        <f t="shared" si="23"/>
        <v>0</v>
      </c>
      <c r="T121" s="296">
        <f>VLOOKUP($F121,'[2]Master Harga'!$E$5:$L$348,7,FALSE)</f>
        <v>49968.576000000008</v>
      </c>
      <c r="U121" s="544">
        <f t="shared" si="24"/>
        <v>0</v>
      </c>
      <c r="V121" s="296" t="e">
        <f t="shared" si="25"/>
        <v>#DIV/0!</v>
      </c>
      <c r="W121" s="307">
        <f t="shared" si="26"/>
        <v>0</v>
      </c>
      <c r="X121" s="731"/>
      <c r="Y121" s="296">
        <f t="shared" si="11"/>
        <v>0</v>
      </c>
      <c r="Z121" s="295"/>
    </row>
    <row r="122" spans="2:26" hidden="1" x14ac:dyDescent="0.35">
      <c r="B122" s="546"/>
      <c r="E122" s="547"/>
      <c r="F122" s="295" t="s">
        <v>234</v>
      </c>
      <c r="G122" s="364" t="s">
        <v>194</v>
      </c>
      <c r="H122" s="365">
        <v>12</v>
      </c>
      <c r="I122" s="366" t="s">
        <v>233</v>
      </c>
      <c r="J122" s="364" t="s">
        <v>170</v>
      </c>
      <c r="K122" s="548">
        <v>0</v>
      </c>
      <c r="L122" s="564">
        <f t="shared" si="20"/>
        <v>400.8</v>
      </c>
      <c r="M122" s="729">
        <f>((M$114*N$114)/240*($H122/N122))</f>
        <v>7.5000000000000011E-2</v>
      </c>
      <c r="N122" s="437">
        <v>1</v>
      </c>
      <c r="O122" s="401">
        <f t="shared" si="21"/>
        <v>0</v>
      </c>
      <c r="P122" s="299">
        <f>VLOOKUP($F122,'[1]Master Harga'!$E$5:$L$351,5,FALSE)</f>
        <v>14000</v>
      </c>
      <c r="Q122" s="543">
        <f t="shared" si="22"/>
        <v>0</v>
      </c>
      <c r="R122" s="299">
        <f>VLOOKUP($F122,'[1]Master Harga'!$E$5:$L$351,6,FALSE)</f>
        <v>14700</v>
      </c>
      <c r="S122" s="543">
        <f t="shared" si="23"/>
        <v>0</v>
      </c>
      <c r="T122" s="296">
        <f>VLOOKUP($F122,'[2]Master Harga'!$E$5:$L$348,7,FALSE)</f>
        <v>16329.600000000002</v>
      </c>
      <c r="U122" s="544">
        <f t="shared" si="24"/>
        <v>0</v>
      </c>
      <c r="V122" s="296" t="e">
        <f t="shared" si="25"/>
        <v>#DIV/0!</v>
      </c>
      <c r="W122" s="307">
        <f t="shared" si="26"/>
        <v>0</v>
      </c>
      <c r="X122" s="731"/>
      <c r="Y122" s="296">
        <f t="shared" si="11"/>
        <v>0</v>
      </c>
      <c r="Z122" s="295"/>
    </row>
    <row r="123" spans="2:26" hidden="1" x14ac:dyDescent="0.35">
      <c r="B123" s="546"/>
      <c r="E123" s="547"/>
      <c r="F123" s="295" t="s">
        <v>235</v>
      </c>
      <c r="G123" s="364" t="s">
        <v>194</v>
      </c>
      <c r="H123" s="365">
        <v>1</v>
      </c>
      <c r="I123" s="366" t="s">
        <v>233</v>
      </c>
      <c r="J123" s="364" t="s">
        <v>170</v>
      </c>
      <c r="K123" s="548">
        <v>0</v>
      </c>
      <c r="L123" s="564">
        <f t="shared" si="20"/>
        <v>400.8</v>
      </c>
      <c r="M123" s="729">
        <f>((M$114*N$114)/240*($H123/N123))</f>
        <v>6.2500000000000003E-3</v>
      </c>
      <c r="N123" s="437">
        <v>1</v>
      </c>
      <c r="O123" s="401">
        <f t="shared" si="21"/>
        <v>0</v>
      </c>
      <c r="P123" s="299">
        <f>VLOOKUP($F123,'[1]Master Harga'!$E$5:$L$351,5,FALSE)</f>
        <v>37485</v>
      </c>
      <c r="Q123" s="543">
        <f t="shared" si="22"/>
        <v>0</v>
      </c>
      <c r="R123" s="299">
        <f>VLOOKUP($F123,'[1]Master Harga'!$E$5:$L$351,6,FALSE)</f>
        <v>39359.25</v>
      </c>
      <c r="S123" s="543">
        <f t="shared" si="23"/>
        <v>0</v>
      </c>
      <c r="T123" s="296">
        <f>VLOOKUP($F123,'[2]Master Harga'!$E$5:$L$348,7,FALSE)</f>
        <v>43722.504000000008</v>
      </c>
      <c r="U123" s="544">
        <f t="shared" si="24"/>
        <v>0</v>
      </c>
      <c r="V123" s="296" t="e">
        <f t="shared" si="25"/>
        <v>#DIV/0!</v>
      </c>
      <c r="W123" s="307">
        <f t="shared" si="26"/>
        <v>0</v>
      </c>
      <c r="X123" s="731"/>
      <c r="Y123" s="296">
        <f t="shared" si="11"/>
        <v>0</v>
      </c>
      <c r="Z123" s="295"/>
    </row>
    <row r="124" spans="2:26" hidden="1" x14ac:dyDescent="0.35">
      <c r="B124" s="546"/>
      <c r="E124" s="547"/>
      <c r="F124" s="295" t="s">
        <v>236</v>
      </c>
      <c r="G124" s="364" t="s">
        <v>194</v>
      </c>
      <c r="H124" s="365">
        <v>2</v>
      </c>
      <c r="I124" s="366" t="s">
        <v>233</v>
      </c>
      <c r="J124" s="364" t="s">
        <v>170</v>
      </c>
      <c r="K124" s="548">
        <v>0</v>
      </c>
      <c r="L124" s="564">
        <f t="shared" si="20"/>
        <v>400.8</v>
      </c>
      <c r="M124" s="729">
        <f>((M$114*N$114)/240*($H124/N124))</f>
        <v>1.2500000000000001E-2</v>
      </c>
      <c r="N124" s="437">
        <v>1</v>
      </c>
      <c r="O124" s="401">
        <f t="shared" si="21"/>
        <v>0</v>
      </c>
      <c r="P124" s="299">
        <f>VLOOKUP($F124,'[1]Master Harga'!$E$5:$L$351,5,FALSE)</f>
        <v>32130</v>
      </c>
      <c r="Q124" s="543">
        <f t="shared" si="22"/>
        <v>0</v>
      </c>
      <c r="R124" s="299">
        <f>VLOOKUP($F124,'[1]Master Harga'!$E$5:$L$351,6,FALSE)</f>
        <v>33736.5</v>
      </c>
      <c r="S124" s="543">
        <f t="shared" si="23"/>
        <v>0</v>
      </c>
      <c r="T124" s="296">
        <f>VLOOKUP($F124,'[2]Master Harga'!$E$5:$L$348,7,FALSE)</f>
        <v>37476.432000000001</v>
      </c>
      <c r="U124" s="544">
        <f t="shared" si="24"/>
        <v>0</v>
      </c>
      <c r="V124" s="296" t="e">
        <f t="shared" si="25"/>
        <v>#DIV/0!</v>
      </c>
      <c r="W124" s="307">
        <f t="shared" si="26"/>
        <v>0</v>
      </c>
      <c r="X124" s="731"/>
      <c r="Y124" s="296">
        <f t="shared" si="11"/>
        <v>0</v>
      </c>
      <c r="Z124" s="295"/>
    </row>
    <row r="125" spans="2:26" hidden="1" x14ac:dyDescent="0.35">
      <c r="B125" s="546"/>
      <c r="E125" s="547"/>
      <c r="F125" s="295" t="s">
        <v>237</v>
      </c>
      <c r="G125" s="364" t="s">
        <v>194</v>
      </c>
      <c r="H125" s="365">
        <v>1</v>
      </c>
      <c r="I125" s="366" t="s">
        <v>233</v>
      </c>
      <c r="J125" s="364" t="s">
        <v>170</v>
      </c>
      <c r="K125" s="548">
        <v>0</v>
      </c>
      <c r="L125" s="564">
        <f t="shared" si="20"/>
        <v>400.8</v>
      </c>
      <c r="M125" s="729">
        <f>((M$114*N$114)/240*($H125/N125))</f>
        <v>6.2500000000000003E-3</v>
      </c>
      <c r="N125" s="437">
        <v>1</v>
      </c>
      <c r="O125" s="401">
        <f t="shared" si="21"/>
        <v>0</v>
      </c>
      <c r="P125" s="299">
        <f>VLOOKUP($F125,'[1]Master Harga'!$E$5:$L$351,5,FALSE)</f>
        <v>85680</v>
      </c>
      <c r="Q125" s="543">
        <f t="shared" si="22"/>
        <v>0</v>
      </c>
      <c r="R125" s="299">
        <f>VLOOKUP($F125,'[1]Master Harga'!$E$5:$L$351,6,FALSE)</f>
        <v>89964</v>
      </c>
      <c r="S125" s="543">
        <f t="shared" si="23"/>
        <v>0</v>
      </c>
      <c r="T125" s="296">
        <f>VLOOKUP($F125,'[2]Master Harga'!$E$5:$L$348,7,FALSE)</f>
        <v>99937.152000000016</v>
      </c>
      <c r="U125" s="544">
        <f t="shared" si="24"/>
        <v>0</v>
      </c>
      <c r="V125" s="296" t="e">
        <f t="shared" si="25"/>
        <v>#DIV/0!</v>
      </c>
      <c r="W125" s="307">
        <f t="shared" si="26"/>
        <v>0</v>
      </c>
      <c r="X125" s="731"/>
      <c r="Y125" s="296">
        <f t="shared" si="11"/>
        <v>0</v>
      </c>
      <c r="Z125" s="295"/>
    </row>
    <row r="126" spans="2:26" x14ac:dyDescent="0.35">
      <c r="B126" s="685" t="s">
        <v>455</v>
      </c>
      <c r="C126" s="686"/>
      <c r="D126" s="686"/>
      <c r="E126" s="687"/>
      <c r="F126" s="688"/>
      <c r="G126" s="689"/>
      <c r="H126" s="690"/>
      <c r="I126" s="691"/>
      <c r="J126" s="689"/>
      <c r="K126" s="692"/>
      <c r="L126" s="693"/>
      <c r="M126" s="694"/>
      <c r="N126" s="695"/>
      <c r="O126" s="690"/>
      <c r="P126" s="696"/>
      <c r="Q126" s="696"/>
      <c r="R126" s="696"/>
      <c r="S126" s="697">
        <f>SUM(S114:S125)</f>
        <v>0</v>
      </c>
      <c r="T126" s="684"/>
      <c r="U126" s="684"/>
      <c r="V126" s="684"/>
      <c r="W126" s="684"/>
      <c r="X126" s="690"/>
      <c r="Y126" s="727">
        <f t="shared" si="11"/>
        <v>0</v>
      </c>
      <c r="Z126" s="699">
        <f>(Y126/$Y$410)*100</f>
        <v>0</v>
      </c>
    </row>
    <row r="127" spans="2:26" x14ac:dyDescent="0.35">
      <c r="B127" s="732"/>
      <c r="C127" s="733" t="s">
        <v>94</v>
      </c>
      <c r="D127" s="733"/>
      <c r="E127" s="734"/>
      <c r="F127" s="295" t="s">
        <v>189</v>
      </c>
      <c r="G127" s="364" t="s">
        <v>190</v>
      </c>
      <c r="H127" s="365"/>
      <c r="I127" s="366"/>
      <c r="J127" s="364"/>
      <c r="K127" s="548">
        <v>1</v>
      </c>
      <c r="L127" s="564">
        <f t="shared" si="20"/>
        <v>400.8</v>
      </c>
      <c r="M127" s="552">
        <v>1.5</v>
      </c>
      <c r="N127" s="437">
        <v>3</v>
      </c>
      <c r="O127" s="401">
        <f t="shared" ref="O127:O138" si="27">K127*L127*M127*N127</f>
        <v>1803.6000000000001</v>
      </c>
      <c r="P127" s="299">
        <f>VLOOKUP($F127,'[1]Master Harga'!$E$5:$L$351,5,FALSE)</f>
        <v>140008</v>
      </c>
      <c r="Q127" s="543">
        <f t="shared" ref="Q127:Q138" si="28">P127*$O127</f>
        <v>252518428.80000001</v>
      </c>
      <c r="R127" s="299">
        <f>VLOOKUP($F127,'[1]Master Harga'!$E$5:$L$351,6,FALSE)</f>
        <v>149108.51999999999</v>
      </c>
      <c r="S127" s="543">
        <f t="shared" ref="S127:S138" si="29">R127*$O127</f>
        <v>268932126.67199999</v>
      </c>
      <c r="T127" s="684"/>
      <c r="U127" s="684"/>
      <c r="V127" s="684"/>
      <c r="W127" s="684"/>
      <c r="X127" s="545"/>
      <c r="Y127" s="296">
        <f t="shared" si="11"/>
        <v>670988.34</v>
      </c>
      <c r="Z127" s="295"/>
    </row>
    <row r="128" spans="2:26" x14ac:dyDescent="0.35">
      <c r="B128" s="735"/>
      <c r="C128" s="736" t="s">
        <v>456</v>
      </c>
      <c r="D128" s="736"/>
      <c r="E128" s="737"/>
      <c r="F128" s="295" t="s">
        <v>229</v>
      </c>
      <c r="G128" s="364" t="s">
        <v>226</v>
      </c>
      <c r="H128" s="365"/>
      <c r="I128" s="366"/>
      <c r="J128" s="364"/>
      <c r="K128" s="548">
        <v>0.5</v>
      </c>
      <c r="L128" s="564">
        <f t="shared" si="20"/>
        <v>400.8</v>
      </c>
      <c r="M128" s="552">
        <v>0.36</v>
      </c>
      <c r="N128" s="437">
        <v>3</v>
      </c>
      <c r="O128" s="401">
        <f t="shared" si="27"/>
        <v>216.43200000000002</v>
      </c>
      <c r="P128" s="299">
        <f>VLOOKUP($F128,'[1]Master Harga'!$E$5:$L$351,5,FALSE)</f>
        <v>194983.2</v>
      </c>
      <c r="Q128" s="543">
        <f t="shared" si="28"/>
        <v>42200603.942400008</v>
      </c>
      <c r="R128" s="299">
        <f>VLOOKUP($F128,'[1]Master Harga'!$E$5:$L$351,6,FALSE)</f>
        <v>189567</v>
      </c>
      <c r="S128" s="543">
        <f t="shared" si="29"/>
        <v>41028364.944000006</v>
      </c>
      <c r="T128" s="684"/>
      <c r="U128" s="684"/>
      <c r="V128" s="684"/>
      <c r="W128" s="684"/>
      <c r="X128" s="545"/>
      <c r="Y128" s="296">
        <f t="shared" si="11"/>
        <v>102366.18000000001</v>
      </c>
      <c r="Z128" s="295"/>
    </row>
    <row r="129" spans="2:26" x14ac:dyDescent="0.35">
      <c r="B129" s="738"/>
      <c r="C129" s="739"/>
      <c r="D129" s="739"/>
      <c r="E129" s="740"/>
      <c r="F129" s="295" t="s">
        <v>227</v>
      </c>
      <c r="G129" s="364" t="s">
        <v>192</v>
      </c>
      <c r="H129" s="365"/>
      <c r="I129" s="366"/>
      <c r="J129" s="364"/>
      <c r="K129" s="548">
        <v>0.5</v>
      </c>
      <c r="L129" s="564">
        <f t="shared" si="20"/>
        <v>400.8</v>
      </c>
      <c r="M129" s="552">
        <f>36/1000</f>
        <v>3.5999999999999997E-2</v>
      </c>
      <c r="N129" s="437">
        <v>3</v>
      </c>
      <c r="O129" s="401">
        <f t="shared" si="27"/>
        <v>21.6432</v>
      </c>
      <c r="P129" s="299">
        <f>VLOOKUP($F129,'[1]Master Harga'!$E$5:$L$351,5,FALSE)</f>
        <v>99144</v>
      </c>
      <c r="Q129" s="543">
        <f t="shared" si="28"/>
        <v>2145793.4208</v>
      </c>
      <c r="R129" s="299">
        <f>VLOOKUP($F129,'[1]Master Harga'!$E$5:$L$351,6,FALSE)</f>
        <v>96390</v>
      </c>
      <c r="S129" s="543">
        <f t="shared" si="29"/>
        <v>2086188.048</v>
      </c>
      <c r="T129" s="684"/>
      <c r="U129" s="684"/>
      <c r="V129" s="684"/>
      <c r="W129" s="684"/>
      <c r="X129" s="545"/>
      <c r="Y129" s="296">
        <f t="shared" si="11"/>
        <v>5205.0599999999995</v>
      </c>
      <c r="Z129" s="295"/>
    </row>
    <row r="130" spans="2:26" x14ac:dyDescent="0.35">
      <c r="B130" s="738"/>
      <c r="C130" s="739"/>
      <c r="D130" s="739"/>
      <c r="E130" s="740"/>
      <c r="F130" s="295" t="s">
        <v>228</v>
      </c>
      <c r="G130" s="364" t="s">
        <v>226</v>
      </c>
      <c r="H130" s="365"/>
      <c r="I130" s="366"/>
      <c r="J130" s="364"/>
      <c r="K130" s="548">
        <v>0.5</v>
      </c>
      <c r="L130" s="564">
        <f t="shared" si="20"/>
        <v>400.8</v>
      </c>
      <c r="M130" s="542">
        <v>0.90000000000000013</v>
      </c>
      <c r="N130" s="296">
        <v>3</v>
      </c>
      <c r="O130" s="401">
        <f t="shared" si="27"/>
        <v>541.08000000000015</v>
      </c>
      <c r="P130" s="299">
        <f>VLOOKUP($F130,'[1]Master Harga'!$E$5:$L$351,5,FALSE)</f>
        <v>29192.400000000001</v>
      </c>
      <c r="Q130" s="543">
        <f t="shared" si="28"/>
        <v>15795423.792000005</v>
      </c>
      <c r="R130" s="299">
        <f>VLOOKUP($F130,'[1]Master Harga'!$E$5:$L$351,6,FALSE)</f>
        <v>28381.5</v>
      </c>
      <c r="S130" s="543">
        <f t="shared" si="29"/>
        <v>15356662.020000005</v>
      </c>
      <c r="T130" s="544"/>
      <c r="U130" s="544"/>
      <c r="V130" s="544"/>
      <c r="W130" s="544"/>
      <c r="X130" s="545"/>
      <c r="Y130" s="296">
        <f t="shared" si="11"/>
        <v>38315.025000000009</v>
      </c>
      <c r="Z130" s="295"/>
    </row>
    <row r="131" spans="2:26" x14ac:dyDescent="0.35">
      <c r="B131" s="738"/>
      <c r="C131" s="739"/>
      <c r="D131" s="739"/>
      <c r="E131" s="740"/>
      <c r="F131" s="295" t="s">
        <v>230</v>
      </c>
      <c r="G131" s="364" t="s">
        <v>226</v>
      </c>
      <c r="H131" s="365"/>
      <c r="I131" s="366"/>
      <c r="J131" s="364"/>
      <c r="K131" s="548">
        <v>1</v>
      </c>
      <c r="L131" s="564">
        <f t="shared" si="20"/>
        <v>400.8</v>
      </c>
      <c r="M131" s="542">
        <v>0.27</v>
      </c>
      <c r="N131" s="296">
        <v>3</v>
      </c>
      <c r="O131" s="401">
        <f t="shared" si="27"/>
        <v>324.64800000000002</v>
      </c>
      <c r="P131" s="299">
        <f>VLOOKUP($F131,'[1]Master Harga'!$E$5:$L$351,5,FALSE)</f>
        <v>46267.199999999997</v>
      </c>
      <c r="Q131" s="543">
        <f t="shared" si="28"/>
        <v>15020553.945599999</v>
      </c>
      <c r="R131" s="299">
        <f>VLOOKUP($F131,'[1]Master Harga'!$E$5:$L$351,6,FALSE)</f>
        <v>44982</v>
      </c>
      <c r="S131" s="543">
        <f t="shared" si="29"/>
        <v>14603316.336000001</v>
      </c>
      <c r="T131" s="544"/>
      <c r="U131" s="544"/>
      <c r="V131" s="544"/>
      <c r="W131" s="544"/>
      <c r="X131" s="545"/>
      <c r="Y131" s="296">
        <f t="shared" si="11"/>
        <v>36435.42</v>
      </c>
      <c r="Z131" s="295"/>
    </row>
    <row r="132" spans="2:26" x14ac:dyDescent="0.35">
      <c r="B132" s="738"/>
      <c r="C132" s="739"/>
      <c r="D132" s="739"/>
      <c r="E132" s="740"/>
      <c r="F132" s="295" t="s">
        <v>231</v>
      </c>
      <c r="G132" s="364" t="s">
        <v>190</v>
      </c>
      <c r="H132" s="365"/>
      <c r="I132" s="366"/>
      <c r="J132" s="364"/>
      <c r="K132" s="548">
        <v>1</v>
      </c>
      <c r="L132" s="564">
        <f t="shared" si="20"/>
        <v>400.8</v>
      </c>
      <c r="M132" s="542">
        <v>1.5</v>
      </c>
      <c r="N132" s="296">
        <v>3</v>
      </c>
      <c r="O132" s="401">
        <f t="shared" si="27"/>
        <v>1803.6000000000001</v>
      </c>
      <c r="P132" s="299">
        <f>VLOOKUP($F132,'[1]Master Harga'!$E$5:$L$351,5,FALSE)</f>
        <v>3850</v>
      </c>
      <c r="Q132" s="543">
        <f t="shared" si="28"/>
        <v>6943860.0000000009</v>
      </c>
      <c r="R132" s="299">
        <f>VLOOKUP($F132,'[1]Master Harga'!$E$5:$L$351,6,FALSE)</f>
        <v>4042.5</v>
      </c>
      <c r="S132" s="543">
        <f t="shared" si="29"/>
        <v>7291053.0000000009</v>
      </c>
      <c r="T132" s="544"/>
      <c r="U132" s="544"/>
      <c r="V132" s="544"/>
      <c r="W132" s="544"/>
      <c r="X132" s="545"/>
      <c r="Y132" s="296">
        <f t="shared" si="11"/>
        <v>18191.25</v>
      </c>
      <c r="Z132" s="295"/>
    </row>
    <row r="133" spans="2:26" x14ac:dyDescent="0.35">
      <c r="B133" s="738"/>
      <c r="C133" s="739"/>
      <c r="D133" s="739"/>
      <c r="E133" s="740"/>
      <c r="F133" s="295" t="s">
        <v>224</v>
      </c>
      <c r="G133" s="364" t="s">
        <v>194</v>
      </c>
      <c r="H133" s="365"/>
      <c r="I133" s="366"/>
      <c r="J133" s="364"/>
      <c r="K133" s="548">
        <v>1</v>
      </c>
      <c r="L133" s="564">
        <f t="shared" si="20"/>
        <v>400.8</v>
      </c>
      <c r="M133" s="542">
        <f>0.0188*(1/3)</f>
        <v>6.2666666666666669E-3</v>
      </c>
      <c r="N133" s="296">
        <v>3</v>
      </c>
      <c r="O133" s="401">
        <f t="shared" si="27"/>
        <v>7.5350400000000004</v>
      </c>
      <c r="P133" s="299">
        <f>VLOOKUP($F133,'[1]Master Harga'!$E$5:$L$351,5,FALSE)</f>
        <v>1366468.5</v>
      </c>
      <c r="Q133" s="543">
        <f t="shared" si="28"/>
        <v>10296394.80624</v>
      </c>
      <c r="R133" s="299">
        <f>VLOOKUP($F133,'[1]Master Harga'!$E$5:$L$351,6,FALSE)</f>
        <v>1434791.925</v>
      </c>
      <c r="S133" s="543">
        <f t="shared" si="29"/>
        <v>10811214.546552001</v>
      </c>
      <c r="T133" s="544"/>
      <c r="U133" s="544"/>
      <c r="V133" s="544"/>
      <c r="W133" s="544"/>
      <c r="X133" s="545"/>
      <c r="Y133" s="296">
        <f t="shared" si="11"/>
        <v>26974.088190000002</v>
      </c>
      <c r="Z133" s="295"/>
    </row>
    <row r="134" spans="2:26" x14ac:dyDescent="0.35">
      <c r="B134" s="738"/>
      <c r="C134" s="739"/>
      <c r="D134" s="739"/>
      <c r="E134" s="740"/>
      <c r="F134" s="295" t="s">
        <v>232</v>
      </c>
      <c r="G134" s="364" t="s">
        <v>194</v>
      </c>
      <c r="H134" s="365">
        <v>4</v>
      </c>
      <c r="I134" s="366" t="s">
        <v>233</v>
      </c>
      <c r="J134" s="364"/>
      <c r="K134" s="548">
        <v>1</v>
      </c>
      <c r="L134" s="564">
        <f t="shared" si="20"/>
        <v>400.8</v>
      </c>
      <c r="M134" s="552">
        <f>((M$127*N$127)/240*($H134/N134))</f>
        <v>2.4999999999999998E-2</v>
      </c>
      <c r="N134" s="296">
        <v>3</v>
      </c>
      <c r="O134" s="401">
        <f t="shared" si="27"/>
        <v>30.06</v>
      </c>
      <c r="P134" s="299">
        <f>VLOOKUP($F134,'[1]Master Harga'!$E$5:$L$351,5,FALSE)</f>
        <v>42840</v>
      </c>
      <c r="Q134" s="543">
        <f t="shared" si="28"/>
        <v>1287770.3999999999</v>
      </c>
      <c r="R134" s="299">
        <f>VLOOKUP($F134,'[1]Master Harga'!$E$5:$L$351,6,FALSE)</f>
        <v>44982</v>
      </c>
      <c r="S134" s="543">
        <f t="shared" si="29"/>
        <v>1352158.92</v>
      </c>
      <c r="T134" s="544"/>
      <c r="U134" s="544"/>
      <c r="V134" s="544"/>
      <c r="W134" s="544"/>
      <c r="X134" s="545"/>
      <c r="Y134" s="296">
        <f t="shared" ref="Y134:Y197" si="30">S134/$AC$1</f>
        <v>3373.6499999999996</v>
      </c>
      <c r="Z134" s="295"/>
    </row>
    <row r="135" spans="2:26" x14ac:dyDescent="0.35">
      <c r="B135" s="738"/>
      <c r="C135" s="739"/>
      <c r="D135" s="739"/>
      <c r="E135" s="740"/>
      <c r="F135" s="295" t="s">
        <v>234</v>
      </c>
      <c r="G135" s="364" t="s">
        <v>194</v>
      </c>
      <c r="H135" s="365">
        <v>12</v>
      </c>
      <c r="I135" s="366" t="s">
        <v>233</v>
      </c>
      <c r="J135" s="364"/>
      <c r="K135" s="548">
        <v>1</v>
      </c>
      <c r="L135" s="564">
        <f t="shared" si="20"/>
        <v>400.8</v>
      </c>
      <c r="M135" s="552">
        <f>((M$127*N$127)/240*($H135/N135))</f>
        <v>7.4999999999999997E-2</v>
      </c>
      <c r="N135" s="296">
        <v>3</v>
      </c>
      <c r="O135" s="401">
        <f t="shared" si="27"/>
        <v>90.179999999999993</v>
      </c>
      <c r="P135" s="299">
        <f>VLOOKUP($F135,'[1]Master Harga'!$E$5:$L$351,5,FALSE)</f>
        <v>14000</v>
      </c>
      <c r="Q135" s="543">
        <f t="shared" si="28"/>
        <v>1262520</v>
      </c>
      <c r="R135" s="299">
        <f>VLOOKUP($F135,'[1]Master Harga'!$E$5:$L$351,6,FALSE)</f>
        <v>14700</v>
      </c>
      <c r="S135" s="543">
        <f t="shared" si="29"/>
        <v>1325646</v>
      </c>
      <c r="T135" s="544"/>
      <c r="U135" s="544"/>
      <c r="V135" s="544"/>
      <c r="W135" s="544"/>
      <c r="X135" s="545"/>
      <c r="Y135" s="296">
        <f t="shared" si="30"/>
        <v>3307.5</v>
      </c>
      <c r="Z135" s="295"/>
    </row>
    <row r="136" spans="2:26" x14ac:dyDescent="0.35">
      <c r="B136" s="738"/>
      <c r="C136" s="739"/>
      <c r="D136" s="739"/>
      <c r="E136" s="740"/>
      <c r="F136" s="295" t="s">
        <v>235</v>
      </c>
      <c r="G136" s="364" t="s">
        <v>194</v>
      </c>
      <c r="H136" s="365">
        <v>1</v>
      </c>
      <c r="I136" s="366" t="s">
        <v>233</v>
      </c>
      <c r="J136" s="364"/>
      <c r="K136" s="548">
        <v>1</v>
      </c>
      <c r="L136" s="564">
        <f t="shared" si="20"/>
        <v>400.8</v>
      </c>
      <c r="M136" s="552">
        <f>((M$127*N$127)/240*($H136/N136))</f>
        <v>6.2499999999999995E-3</v>
      </c>
      <c r="N136" s="296">
        <v>3</v>
      </c>
      <c r="O136" s="401">
        <f t="shared" si="27"/>
        <v>7.5149999999999997</v>
      </c>
      <c r="P136" s="299">
        <f>VLOOKUP($F136,'[1]Master Harga'!$E$5:$L$351,5,FALSE)</f>
        <v>37485</v>
      </c>
      <c r="Q136" s="543">
        <f t="shared" si="28"/>
        <v>281699.77499999997</v>
      </c>
      <c r="R136" s="299">
        <f>VLOOKUP($F136,'[1]Master Harga'!$E$5:$L$351,6,FALSE)</f>
        <v>39359.25</v>
      </c>
      <c r="S136" s="543">
        <f t="shared" si="29"/>
        <v>295784.76374999998</v>
      </c>
      <c r="T136" s="544"/>
      <c r="U136" s="544"/>
      <c r="V136" s="544"/>
      <c r="W136" s="544"/>
      <c r="X136" s="545"/>
      <c r="Y136" s="296">
        <f t="shared" si="30"/>
        <v>737.98593749999998</v>
      </c>
      <c r="Z136" s="295"/>
    </row>
    <row r="137" spans="2:26" x14ac:dyDescent="0.35">
      <c r="B137" s="738"/>
      <c r="C137" s="739"/>
      <c r="D137" s="739"/>
      <c r="E137" s="740"/>
      <c r="F137" s="295" t="s">
        <v>236</v>
      </c>
      <c r="G137" s="364" t="s">
        <v>194</v>
      </c>
      <c r="H137" s="365">
        <v>2</v>
      </c>
      <c r="I137" s="366" t="s">
        <v>233</v>
      </c>
      <c r="J137" s="364"/>
      <c r="K137" s="548">
        <v>1</v>
      </c>
      <c r="L137" s="564">
        <f t="shared" si="20"/>
        <v>400.8</v>
      </c>
      <c r="M137" s="552">
        <f>((M$127*N$127)/240*($H137/N137))</f>
        <v>1.2499999999999999E-2</v>
      </c>
      <c r="N137" s="296">
        <v>3</v>
      </c>
      <c r="O137" s="401">
        <f t="shared" si="27"/>
        <v>15.03</v>
      </c>
      <c r="P137" s="299">
        <f>VLOOKUP($F137,'[1]Master Harga'!$E$5:$L$351,5,FALSE)</f>
        <v>32130</v>
      </c>
      <c r="Q137" s="543">
        <f t="shared" si="28"/>
        <v>482913.89999999997</v>
      </c>
      <c r="R137" s="299">
        <f>VLOOKUP($F137,'[1]Master Harga'!$E$5:$L$351,6,FALSE)</f>
        <v>33736.5</v>
      </c>
      <c r="S137" s="543">
        <f t="shared" si="29"/>
        <v>507059.59499999997</v>
      </c>
      <c r="T137" s="544"/>
      <c r="U137" s="544"/>
      <c r="V137" s="544"/>
      <c r="W137" s="544"/>
      <c r="X137" s="545"/>
      <c r="Y137" s="296">
        <f t="shared" si="30"/>
        <v>1265.1187499999999</v>
      </c>
      <c r="Z137" s="295"/>
    </row>
    <row r="138" spans="2:26" x14ac:dyDescent="0.35">
      <c r="B138" s="738"/>
      <c r="C138" s="739"/>
      <c r="D138" s="739"/>
      <c r="E138" s="740"/>
      <c r="F138" s="295" t="s">
        <v>237</v>
      </c>
      <c r="G138" s="364" t="s">
        <v>194</v>
      </c>
      <c r="H138" s="365">
        <v>1</v>
      </c>
      <c r="I138" s="366" t="s">
        <v>233</v>
      </c>
      <c r="J138" s="364"/>
      <c r="K138" s="548">
        <v>1</v>
      </c>
      <c r="L138" s="564">
        <f t="shared" si="20"/>
        <v>400.8</v>
      </c>
      <c r="M138" s="552">
        <f>((M$127*N$127)/240*($H138/N138))</f>
        <v>6.2499999999999995E-3</v>
      </c>
      <c r="N138" s="296">
        <v>3</v>
      </c>
      <c r="O138" s="401">
        <f t="shared" si="27"/>
        <v>7.5149999999999997</v>
      </c>
      <c r="P138" s="299">
        <f>VLOOKUP($F138,'[1]Master Harga'!$E$5:$L$351,5,FALSE)</f>
        <v>85680</v>
      </c>
      <c r="Q138" s="543">
        <f t="shared" si="28"/>
        <v>643885.19999999995</v>
      </c>
      <c r="R138" s="299">
        <f>VLOOKUP($F138,'[1]Master Harga'!$E$5:$L$351,6,FALSE)</f>
        <v>89964</v>
      </c>
      <c r="S138" s="543">
        <f t="shared" si="29"/>
        <v>676079.46</v>
      </c>
      <c r="T138" s="544"/>
      <c r="U138" s="544"/>
      <c r="V138" s="544"/>
      <c r="W138" s="544"/>
      <c r="X138" s="545"/>
      <c r="Y138" s="296">
        <f t="shared" si="30"/>
        <v>1686.8249999999998</v>
      </c>
      <c r="Z138" s="295"/>
    </row>
    <row r="139" spans="2:26" s="490" customFormat="1" x14ac:dyDescent="0.35">
      <c r="B139" s="685" t="s">
        <v>457</v>
      </c>
      <c r="C139" s="686"/>
      <c r="D139" s="686"/>
      <c r="E139" s="741"/>
      <c r="F139" s="742"/>
      <c r="G139" s="743"/>
      <c r="H139" s="726"/>
      <c r="I139" s="744"/>
      <c r="J139" s="743"/>
      <c r="K139" s="745"/>
      <c r="L139" s="746"/>
      <c r="M139" s="747"/>
      <c r="N139" s="698"/>
      <c r="O139" s="726"/>
      <c r="P139" s="748"/>
      <c r="Q139" s="748"/>
      <c r="R139" s="748"/>
      <c r="S139" s="748">
        <f>SUM(S127:S138)</f>
        <v>364265654.30530202</v>
      </c>
      <c r="T139" s="749"/>
      <c r="U139" s="749"/>
      <c r="V139" s="749"/>
      <c r="W139" s="749"/>
      <c r="X139" s="726"/>
      <c r="Y139" s="698">
        <f t="shared" si="30"/>
        <v>908846.44287750009</v>
      </c>
      <c r="Z139" s="742"/>
    </row>
    <row r="140" spans="2:26" s="357" customFormat="1" x14ac:dyDescent="0.35">
      <c r="B140" s="545"/>
      <c r="C140" s="580" t="s">
        <v>458</v>
      </c>
      <c r="D140" s="580"/>
      <c r="E140" s="723"/>
      <c r="F140" s="436"/>
      <c r="G140" s="579"/>
      <c r="H140" s="545"/>
      <c r="I140" s="580"/>
      <c r="J140" s="579"/>
      <c r="K140" s="439"/>
      <c r="L140" s="702"/>
      <c r="M140" s="552"/>
      <c r="N140" s="437"/>
      <c r="O140" s="545"/>
      <c r="P140" s="683"/>
      <c r="Q140" s="683"/>
      <c r="R140" s="683"/>
      <c r="S140" s="683"/>
      <c r="T140" s="684"/>
      <c r="U140" s="684"/>
      <c r="V140" s="684"/>
      <c r="W140" s="684"/>
      <c r="X140" s="545"/>
      <c r="Y140" s="437">
        <f t="shared" si="30"/>
        <v>0</v>
      </c>
      <c r="Z140" s="436"/>
    </row>
    <row r="141" spans="2:26" x14ac:dyDescent="0.35">
      <c r="B141" s="539"/>
      <c r="C141" s="540"/>
      <c r="D141" s="540" t="s">
        <v>99</v>
      </c>
      <c r="E141" s="541"/>
      <c r="F141" s="295" t="s">
        <v>189</v>
      </c>
      <c r="G141" s="364" t="s">
        <v>190</v>
      </c>
      <c r="H141" s="365"/>
      <c r="I141" s="366"/>
      <c r="J141" s="364"/>
      <c r="K141" s="548">
        <v>0.1</v>
      </c>
      <c r="L141" s="564">
        <f t="shared" ref="L141:L150" si="31">$L$38</f>
        <v>400.8</v>
      </c>
      <c r="M141" s="542">
        <v>4</v>
      </c>
      <c r="N141" s="296">
        <v>1</v>
      </c>
      <c r="O141" s="401">
        <f t="shared" ref="O141:O170" si="32">K141*L141*M141*N141</f>
        <v>160.32000000000002</v>
      </c>
      <c r="P141" s="299">
        <f>VLOOKUP($F141,'[1]Master Harga'!$E$5:$L$351,5,FALSE)</f>
        <v>140008</v>
      </c>
      <c r="Q141" s="543">
        <f t="shared" ref="Q141:Q170" si="33">P141*$O141</f>
        <v>22446082.560000002</v>
      </c>
      <c r="R141" s="299">
        <f>VLOOKUP($F141,'[1]Master Harga'!$E$5:$L$351,6,FALSE)</f>
        <v>149108.51999999999</v>
      </c>
      <c r="S141" s="543">
        <f t="shared" ref="S141:S172" si="34">R141*$O141</f>
        <v>23905077.926400002</v>
      </c>
      <c r="T141" s="296">
        <f>VLOOKUP($F141,'[2]Master Harga'!$E$5:$L$348,7,FALSE)</f>
        <v>163305.33120000002</v>
      </c>
      <c r="U141" s="544">
        <f t="shared" ref="U141:U170" si="35">$O141*T141</f>
        <v>26181110.697984006</v>
      </c>
      <c r="V141" s="296">
        <f t="shared" ref="V141:V170" si="36">W141/O141</f>
        <v>150807.28373333334</v>
      </c>
      <c r="W141" s="307">
        <f t="shared" ref="W141:W170" si="37">AVERAGEIF($P$3:$U$3,W$3,$P141:$U141)</f>
        <v>24177423.728128005</v>
      </c>
      <c r="X141" s="545"/>
      <c r="Y141" s="296">
        <f t="shared" si="30"/>
        <v>59643.408000000003</v>
      </c>
      <c r="Z141" s="295"/>
    </row>
    <row r="142" spans="2:26" x14ac:dyDescent="0.35">
      <c r="B142" s="546"/>
      <c r="E142" s="547"/>
      <c r="F142" s="295" t="s">
        <v>225</v>
      </c>
      <c r="G142" s="364" t="s">
        <v>226</v>
      </c>
      <c r="H142" s="365"/>
      <c r="I142" s="366"/>
      <c r="J142" s="364"/>
      <c r="K142" s="548">
        <v>0.1</v>
      </c>
      <c r="L142" s="564">
        <f t="shared" si="31"/>
        <v>400.8</v>
      </c>
      <c r="M142" s="542">
        <v>4</v>
      </c>
      <c r="N142" s="296">
        <v>1</v>
      </c>
      <c r="O142" s="401">
        <f t="shared" si="32"/>
        <v>160.32000000000002</v>
      </c>
      <c r="P142" s="299">
        <f>VLOOKUP($F142,'[1]Master Harga'!$E$5:$L$351,5,FALSE)</f>
        <v>36352.800000000003</v>
      </c>
      <c r="Q142" s="543">
        <f t="shared" si="33"/>
        <v>5828080.8960000016</v>
      </c>
      <c r="R142" s="299">
        <f>VLOOKUP($F142,'[1]Master Harga'!$E$5:$L$351,6,FALSE)</f>
        <v>35343</v>
      </c>
      <c r="S142" s="543">
        <f t="shared" si="34"/>
        <v>5666189.7600000007</v>
      </c>
      <c r="T142" s="296">
        <f>VLOOKUP($F142,'[2]Master Harga'!$E$5:$L$348,7,FALSE)</f>
        <v>41620.320720000011</v>
      </c>
      <c r="U142" s="544">
        <f t="shared" si="35"/>
        <v>6672569.8178304024</v>
      </c>
      <c r="V142" s="296">
        <f t="shared" si="36"/>
        <v>37772.040240000002</v>
      </c>
      <c r="W142" s="307">
        <f t="shared" si="37"/>
        <v>6055613.4912768016</v>
      </c>
      <c r="X142" s="545"/>
      <c r="Y142" s="296">
        <f t="shared" si="30"/>
        <v>14137.2</v>
      </c>
      <c r="Z142" s="295"/>
    </row>
    <row r="143" spans="2:26" x14ac:dyDescent="0.35">
      <c r="B143" s="546"/>
      <c r="E143" s="547"/>
      <c r="F143" s="295" t="s">
        <v>230</v>
      </c>
      <c r="G143" s="364" t="s">
        <v>226</v>
      </c>
      <c r="H143" s="365"/>
      <c r="I143" s="366"/>
      <c r="J143" s="364"/>
      <c r="K143" s="548">
        <v>0.1</v>
      </c>
      <c r="L143" s="564">
        <f t="shared" si="31"/>
        <v>400.8</v>
      </c>
      <c r="M143" s="542">
        <v>7.2000000000000008E-2</v>
      </c>
      <c r="N143" s="296">
        <v>1</v>
      </c>
      <c r="O143" s="401">
        <f t="shared" si="32"/>
        <v>2.8857600000000008</v>
      </c>
      <c r="P143" s="299">
        <f>VLOOKUP($F143,'[1]Master Harga'!$E$5:$L$351,5,FALSE)</f>
        <v>46267.199999999997</v>
      </c>
      <c r="Q143" s="543">
        <f t="shared" si="33"/>
        <v>133516.03507200003</v>
      </c>
      <c r="R143" s="299">
        <f>VLOOKUP($F143,'[1]Master Harga'!$E$5:$L$351,6,FALSE)</f>
        <v>44982</v>
      </c>
      <c r="S143" s="543">
        <f t="shared" si="34"/>
        <v>129807.25632000003</v>
      </c>
      <c r="T143" s="296">
        <f>VLOOKUP($F143,'[2]Master Harga'!$E$5:$L$348,7,FALSE)</f>
        <v>52971.317280000003</v>
      </c>
      <c r="U143" s="544">
        <f t="shared" si="35"/>
        <v>152862.50855393286</v>
      </c>
      <c r="V143" s="296">
        <f t="shared" si="36"/>
        <v>48073.50576</v>
      </c>
      <c r="W143" s="307">
        <f t="shared" si="37"/>
        <v>138728.59998197763</v>
      </c>
      <c r="X143" s="545"/>
      <c r="Y143" s="296">
        <f t="shared" si="30"/>
        <v>323.87040000000007</v>
      </c>
      <c r="Z143" s="295"/>
    </row>
    <row r="144" spans="2:26" x14ac:dyDescent="0.35">
      <c r="B144" s="546"/>
      <c r="E144" s="547"/>
      <c r="F144" s="295" t="s">
        <v>231</v>
      </c>
      <c r="G144" s="364" t="s">
        <v>190</v>
      </c>
      <c r="H144" s="365"/>
      <c r="I144" s="366"/>
      <c r="J144" s="364"/>
      <c r="K144" s="548">
        <v>0.1</v>
      </c>
      <c r="L144" s="564">
        <f t="shared" si="31"/>
        <v>400.8</v>
      </c>
      <c r="M144" s="542">
        <v>4</v>
      </c>
      <c r="N144" s="296">
        <v>1</v>
      </c>
      <c r="O144" s="401">
        <f t="shared" si="32"/>
        <v>160.32000000000002</v>
      </c>
      <c r="P144" s="299">
        <f>VLOOKUP($F144,'[1]Master Harga'!$E$5:$L$351,5,FALSE)</f>
        <v>3850</v>
      </c>
      <c r="Q144" s="543">
        <f t="shared" si="33"/>
        <v>617232.00000000012</v>
      </c>
      <c r="R144" s="299">
        <f>VLOOKUP($F144,'[1]Master Harga'!$E$5:$L$351,6,FALSE)</f>
        <v>4042.5</v>
      </c>
      <c r="S144" s="543">
        <f t="shared" si="34"/>
        <v>648093.60000000009</v>
      </c>
      <c r="T144" s="296">
        <f>VLOOKUP($F144,'[2]Master Harga'!$E$5:$L$348,7,FALSE)</f>
        <v>4490.6400000000003</v>
      </c>
      <c r="U144" s="544">
        <f t="shared" si="35"/>
        <v>719939.40480000013</v>
      </c>
      <c r="V144" s="296">
        <f t="shared" si="36"/>
        <v>4127.7133333333331</v>
      </c>
      <c r="W144" s="307">
        <f t="shared" si="37"/>
        <v>661755.00160000008</v>
      </c>
      <c r="X144" s="545"/>
      <c r="Y144" s="296">
        <f t="shared" si="30"/>
        <v>1617.0000000000002</v>
      </c>
      <c r="Z144" s="295"/>
    </row>
    <row r="145" spans="2:26" x14ac:dyDescent="0.35">
      <c r="B145" s="546"/>
      <c r="E145" s="547"/>
      <c r="F145" s="295" t="s">
        <v>224</v>
      </c>
      <c r="G145" s="364" t="s">
        <v>194</v>
      </c>
      <c r="H145" s="365"/>
      <c r="I145" s="366"/>
      <c r="J145" s="364"/>
      <c r="K145" s="548">
        <v>0.1</v>
      </c>
      <c r="L145" s="564">
        <f t="shared" si="31"/>
        <v>400.8</v>
      </c>
      <c r="M145" s="552">
        <f>((4*1)/240)</f>
        <v>1.6666666666666666E-2</v>
      </c>
      <c r="N145" s="296">
        <v>1</v>
      </c>
      <c r="O145" s="401">
        <f t="shared" si="32"/>
        <v>0.66800000000000004</v>
      </c>
      <c r="P145" s="299">
        <f>VLOOKUP($F145,'[1]Master Harga'!$E$5:$L$351,5,FALSE)</f>
        <v>1366468.5</v>
      </c>
      <c r="Q145" s="543">
        <f t="shared" si="33"/>
        <v>912800.9580000001</v>
      </c>
      <c r="R145" s="299">
        <f>VLOOKUP($F145,'[1]Master Harga'!$E$5:$L$351,6,FALSE)</f>
        <v>1434791.925</v>
      </c>
      <c r="S145" s="543">
        <f t="shared" si="34"/>
        <v>958441.00590000011</v>
      </c>
      <c r="T145" s="296">
        <f>VLOOKUP($F145,'[2]Master Harga'!$E$5:$L$348,7,FALSE)</f>
        <v>1593848.8584</v>
      </c>
      <c r="U145" s="544">
        <f t="shared" si="35"/>
        <v>1064691.0374112001</v>
      </c>
      <c r="V145" s="296">
        <f t="shared" si="36"/>
        <v>1465036.4278000004</v>
      </c>
      <c r="W145" s="307">
        <f t="shared" si="37"/>
        <v>978644.33377040026</v>
      </c>
      <c r="X145" s="545"/>
      <c r="Y145" s="296">
        <f t="shared" si="30"/>
        <v>2391.3198750000001</v>
      </c>
      <c r="Z145" s="295"/>
    </row>
    <row r="146" spans="2:26" x14ac:dyDescent="0.35">
      <c r="B146" s="546"/>
      <c r="E146" s="547"/>
      <c r="F146" s="295" t="s">
        <v>232</v>
      </c>
      <c r="G146" s="364" t="s">
        <v>194</v>
      </c>
      <c r="H146" s="365">
        <v>4</v>
      </c>
      <c r="I146" s="366" t="s">
        <v>233</v>
      </c>
      <c r="J146" s="364"/>
      <c r="K146" s="548">
        <v>0.1</v>
      </c>
      <c r="L146" s="564">
        <f t="shared" si="31"/>
        <v>400.8</v>
      </c>
      <c r="M146" s="552">
        <f>((M$141*N$141)/240*($H146/N146))</f>
        <v>6.6666666666666666E-2</v>
      </c>
      <c r="N146" s="296">
        <v>1</v>
      </c>
      <c r="O146" s="401">
        <f t="shared" si="32"/>
        <v>2.6720000000000002</v>
      </c>
      <c r="P146" s="299">
        <f>VLOOKUP($F146,'[1]Master Harga'!$E$5:$L$351,5,FALSE)</f>
        <v>42840</v>
      </c>
      <c r="Q146" s="543">
        <f t="shared" si="33"/>
        <v>114468.48000000001</v>
      </c>
      <c r="R146" s="299">
        <f>VLOOKUP($F146,'[1]Master Harga'!$E$5:$L$351,6,FALSE)</f>
        <v>44982</v>
      </c>
      <c r="S146" s="543">
        <f t="shared" si="34"/>
        <v>120191.90400000001</v>
      </c>
      <c r="T146" s="296">
        <f>VLOOKUP($F146,'[2]Master Harga'!$E$5:$L$348,7,FALSE)</f>
        <v>49968.576000000008</v>
      </c>
      <c r="U146" s="544">
        <f t="shared" si="35"/>
        <v>133516.03507200003</v>
      </c>
      <c r="V146" s="296">
        <f t="shared" si="36"/>
        <v>45930.192000000003</v>
      </c>
      <c r="W146" s="307">
        <f t="shared" si="37"/>
        <v>122725.47302400002</v>
      </c>
      <c r="X146" s="545"/>
      <c r="Y146" s="296">
        <f t="shared" si="30"/>
        <v>299.88</v>
      </c>
      <c r="Z146" s="295"/>
    </row>
    <row r="147" spans="2:26" x14ac:dyDescent="0.35">
      <c r="B147" s="546"/>
      <c r="E147" s="547"/>
      <c r="F147" s="295" t="s">
        <v>234</v>
      </c>
      <c r="G147" s="364" t="s">
        <v>194</v>
      </c>
      <c r="H147" s="365">
        <v>12</v>
      </c>
      <c r="I147" s="366" t="s">
        <v>233</v>
      </c>
      <c r="J147" s="364"/>
      <c r="K147" s="548">
        <v>0.1</v>
      </c>
      <c r="L147" s="564">
        <f t="shared" si="31"/>
        <v>400.8</v>
      </c>
      <c r="M147" s="552">
        <f>((M$141*N$141)/240*($H147/N147))</f>
        <v>0.2</v>
      </c>
      <c r="N147" s="296">
        <v>1</v>
      </c>
      <c r="O147" s="401">
        <f t="shared" si="32"/>
        <v>8.0160000000000018</v>
      </c>
      <c r="P147" s="299">
        <f>VLOOKUP($F147,'[1]Master Harga'!$E$5:$L$351,5,FALSE)</f>
        <v>14000</v>
      </c>
      <c r="Q147" s="543">
        <f t="shared" si="33"/>
        <v>112224.00000000003</v>
      </c>
      <c r="R147" s="299">
        <f>VLOOKUP($F147,'[1]Master Harga'!$E$5:$L$351,6,FALSE)</f>
        <v>14700</v>
      </c>
      <c r="S147" s="543">
        <f t="shared" si="34"/>
        <v>117835.20000000003</v>
      </c>
      <c r="T147" s="296">
        <f>VLOOKUP($F147,'[2]Master Harga'!$E$5:$L$348,7,FALSE)</f>
        <v>16329.600000000002</v>
      </c>
      <c r="U147" s="544">
        <f t="shared" si="35"/>
        <v>130898.07360000005</v>
      </c>
      <c r="V147" s="296">
        <f t="shared" si="36"/>
        <v>15009.866666666669</v>
      </c>
      <c r="W147" s="307">
        <f t="shared" si="37"/>
        <v>120319.09120000004</v>
      </c>
      <c r="X147" s="545"/>
      <c r="Y147" s="296">
        <f t="shared" si="30"/>
        <v>294.00000000000006</v>
      </c>
      <c r="Z147" s="295"/>
    </row>
    <row r="148" spans="2:26" x14ac:dyDescent="0.35">
      <c r="B148" s="549"/>
      <c r="C148" s="550"/>
      <c r="D148" s="550"/>
      <c r="E148" s="547"/>
      <c r="F148" s="295" t="s">
        <v>235</v>
      </c>
      <c r="G148" s="364" t="s">
        <v>194</v>
      </c>
      <c r="H148" s="365">
        <v>1</v>
      </c>
      <c r="I148" s="366" t="s">
        <v>233</v>
      </c>
      <c r="J148" s="364"/>
      <c r="K148" s="548">
        <v>0.1</v>
      </c>
      <c r="L148" s="564">
        <f t="shared" si="31"/>
        <v>400.8</v>
      </c>
      <c r="M148" s="552">
        <f>((M$141*N$141)/240*($H148/N148))</f>
        <v>1.6666666666666666E-2</v>
      </c>
      <c r="N148" s="296">
        <v>1</v>
      </c>
      <c r="O148" s="401">
        <f t="shared" si="32"/>
        <v>0.66800000000000004</v>
      </c>
      <c r="P148" s="299">
        <f>VLOOKUP($F148,'[1]Master Harga'!$E$5:$L$351,5,FALSE)</f>
        <v>37485</v>
      </c>
      <c r="Q148" s="543">
        <f t="shared" si="33"/>
        <v>25039.980000000003</v>
      </c>
      <c r="R148" s="299">
        <f>VLOOKUP($F148,'[1]Master Harga'!$E$5:$L$351,6,FALSE)</f>
        <v>39359.25</v>
      </c>
      <c r="S148" s="543">
        <f t="shared" si="34"/>
        <v>26291.979000000003</v>
      </c>
      <c r="T148" s="296">
        <f>VLOOKUP($F148,'[2]Master Harga'!$E$5:$L$348,7,FALSE)</f>
        <v>43722.504000000008</v>
      </c>
      <c r="U148" s="544">
        <f t="shared" si="35"/>
        <v>29206.632672000007</v>
      </c>
      <c r="V148" s="296">
        <f t="shared" si="36"/>
        <v>40188.918000000005</v>
      </c>
      <c r="W148" s="307">
        <f t="shared" si="37"/>
        <v>26846.197224000003</v>
      </c>
      <c r="X148" s="545"/>
      <c r="Y148" s="296">
        <f t="shared" si="30"/>
        <v>65.59875000000001</v>
      </c>
      <c r="Z148" s="295"/>
    </row>
    <row r="149" spans="2:26" x14ac:dyDescent="0.35">
      <c r="B149" s="546"/>
      <c r="E149" s="547"/>
      <c r="F149" s="295" t="s">
        <v>236</v>
      </c>
      <c r="G149" s="364" t="s">
        <v>194</v>
      </c>
      <c r="H149" s="365">
        <v>2</v>
      </c>
      <c r="I149" s="366" t="s">
        <v>233</v>
      </c>
      <c r="J149" s="364"/>
      <c r="K149" s="548">
        <v>0.1</v>
      </c>
      <c r="L149" s="564">
        <f t="shared" si="31"/>
        <v>400.8</v>
      </c>
      <c r="M149" s="552">
        <f>((M$141*N$141)/240*($H149/N149))</f>
        <v>3.3333333333333333E-2</v>
      </c>
      <c r="N149" s="296">
        <v>1</v>
      </c>
      <c r="O149" s="401">
        <f t="shared" si="32"/>
        <v>1.3360000000000001</v>
      </c>
      <c r="P149" s="299">
        <f>VLOOKUP($F149,'[1]Master Harga'!$E$5:$L$351,5,FALSE)</f>
        <v>32130</v>
      </c>
      <c r="Q149" s="543">
        <f t="shared" si="33"/>
        <v>42925.68</v>
      </c>
      <c r="R149" s="299">
        <f>VLOOKUP($F149,'[1]Master Harga'!$E$5:$L$351,6,FALSE)</f>
        <v>33736.5</v>
      </c>
      <c r="S149" s="543">
        <f t="shared" si="34"/>
        <v>45071.964</v>
      </c>
      <c r="T149" s="296">
        <f>VLOOKUP($F149,'[2]Master Harga'!$E$5:$L$348,7,FALSE)</f>
        <v>37476.432000000001</v>
      </c>
      <c r="U149" s="544">
        <f t="shared" si="35"/>
        <v>50068.513152000007</v>
      </c>
      <c r="V149" s="296">
        <f t="shared" si="36"/>
        <v>34447.644</v>
      </c>
      <c r="W149" s="307">
        <f t="shared" si="37"/>
        <v>46022.052384000002</v>
      </c>
      <c r="X149" s="545"/>
      <c r="Y149" s="296">
        <f t="shared" si="30"/>
        <v>112.455</v>
      </c>
      <c r="Z149" s="295"/>
    </row>
    <row r="150" spans="2:26" x14ac:dyDescent="0.35">
      <c r="B150" s="546"/>
      <c r="E150" s="547"/>
      <c r="F150" s="295" t="s">
        <v>237</v>
      </c>
      <c r="G150" s="364" t="s">
        <v>194</v>
      </c>
      <c r="H150" s="365">
        <v>1</v>
      </c>
      <c r="I150" s="366" t="s">
        <v>233</v>
      </c>
      <c r="J150" s="364"/>
      <c r="K150" s="548">
        <v>0.1</v>
      </c>
      <c r="L150" s="564">
        <f t="shared" si="31"/>
        <v>400.8</v>
      </c>
      <c r="M150" s="552">
        <f>((M$141*N$141)/240*($H150/N150))</f>
        <v>1.6666666666666666E-2</v>
      </c>
      <c r="N150" s="296">
        <v>1</v>
      </c>
      <c r="O150" s="401">
        <f t="shared" si="32"/>
        <v>0.66800000000000004</v>
      </c>
      <c r="P150" s="299">
        <f>VLOOKUP($F150,'[1]Master Harga'!$E$5:$L$351,5,FALSE)</f>
        <v>85680</v>
      </c>
      <c r="Q150" s="543">
        <f t="shared" si="33"/>
        <v>57234.240000000005</v>
      </c>
      <c r="R150" s="299">
        <f>VLOOKUP($F150,'[1]Master Harga'!$E$5:$L$351,6,FALSE)</f>
        <v>89964</v>
      </c>
      <c r="S150" s="543">
        <f t="shared" si="34"/>
        <v>60095.952000000005</v>
      </c>
      <c r="T150" s="296">
        <f>VLOOKUP($F150,'[2]Master Harga'!$E$5:$L$348,7,FALSE)</f>
        <v>99937.152000000016</v>
      </c>
      <c r="U150" s="544">
        <f t="shared" si="35"/>
        <v>66758.017536000014</v>
      </c>
      <c r="V150" s="296">
        <f t="shared" si="36"/>
        <v>91860.384000000005</v>
      </c>
      <c r="W150" s="307">
        <f t="shared" si="37"/>
        <v>61362.73651200001</v>
      </c>
      <c r="X150" s="545"/>
      <c r="Y150" s="296">
        <f t="shared" si="30"/>
        <v>149.94</v>
      </c>
      <c r="Z150" s="295"/>
    </row>
    <row r="151" spans="2:26" x14ac:dyDescent="0.35">
      <c r="B151" s="546"/>
      <c r="D151" s="540" t="s">
        <v>97</v>
      </c>
      <c r="E151" s="541"/>
      <c r="F151" s="295" t="s">
        <v>189</v>
      </c>
      <c r="G151" s="364" t="s">
        <v>190</v>
      </c>
      <c r="H151" s="365"/>
      <c r="I151" s="366"/>
      <c r="J151" s="364"/>
      <c r="K151" s="548">
        <v>0.1</v>
      </c>
      <c r="L151" s="564">
        <f>$L$38</f>
        <v>400.8</v>
      </c>
      <c r="M151" s="552">
        <v>1.5</v>
      </c>
      <c r="N151" s="299">
        <v>2</v>
      </c>
      <c r="O151" s="401">
        <f t="shared" si="32"/>
        <v>120.24000000000001</v>
      </c>
      <c r="P151" s="299">
        <f>VLOOKUP($F151,'[1]Master Harga'!$E$5:$L$351,5,FALSE)</f>
        <v>140008</v>
      </c>
      <c r="Q151" s="543">
        <f t="shared" si="33"/>
        <v>16834561.920000002</v>
      </c>
      <c r="R151" s="299">
        <f>VLOOKUP($F151,'[1]Master Harga'!$E$5:$L$351,6,FALSE)</f>
        <v>149108.51999999999</v>
      </c>
      <c r="S151" s="543">
        <f t="shared" si="34"/>
        <v>17928808.444800001</v>
      </c>
      <c r="T151" s="296">
        <f>VLOOKUP($F151,'[2]Master Harga'!$E$5:$L$348,7,FALSE)</f>
        <v>163305.33120000002</v>
      </c>
      <c r="U151" s="544">
        <f t="shared" si="35"/>
        <v>19635833.023488004</v>
      </c>
      <c r="V151" s="296">
        <f t="shared" si="36"/>
        <v>150807.28373333332</v>
      </c>
      <c r="W151" s="307">
        <f t="shared" si="37"/>
        <v>18133067.796096001</v>
      </c>
      <c r="X151" s="545"/>
      <c r="Y151" s="296">
        <f t="shared" si="30"/>
        <v>44732.555999999997</v>
      </c>
      <c r="Z151" s="295"/>
    </row>
    <row r="152" spans="2:26" x14ac:dyDescent="0.35">
      <c r="B152" s="546"/>
      <c r="E152" s="547"/>
      <c r="F152" s="295" t="s">
        <v>225</v>
      </c>
      <c r="G152" s="364" t="s">
        <v>226</v>
      </c>
      <c r="H152" s="365"/>
      <c r="I152" s="366"/>
      <c r="J152" s="364"/>
      <c r="K152" s="548">
        <v>0.1</v>
      </c>
      <c r="L152" s="564">
        <f>$L$38</f>
        <v>400.8</v>
      </c>
      <c r="M152" s="552">
        <v>1.5</v>
      </c>
      <c r="N152" s="299">
        <v>2</v>
      </c>
      <c r="O152" s="401">
        <f t="shared" si="32"/>
        <v>120.24000000000001</v>
      </c>
      <c r="P152" s="299">
        <f>VLOOKUP($F152,'[1]Master Harga'!$E$5:$L$351,5,FALSE)</f>
        <v>36352.800000000003</v>
      </c>
      <c r="Q152" s="543">
        <f t="shared" si="33"/>
        <v>4371060.6720000003</v>
      </c>
      <c r="R152" s="299">
        <f>VLOOKUP($F152,'[1]Master Harga'!$E$5:$L$351,6,FALSE)</f>
        <v>35343</v>
      </c>
      <c r="S152" s="543">
        <f t="shared" si="34"/>
        <v>4249642.32</v>
      </c>
      <c r="T152" s="296">
        <f>VLOOKUP($F152,'[2]Master Harga'!$E$5:$L$348,7,FALSE)</f>
        <v>41620.320720000011</v>
      </c>
      <c r="U152" s="544">
        <f t="shared" si="35"/>
        <v>5004427.3633728018</v>
      </c>
      <c r="V152" s="296">
        <f t="shared" si="36"/>
        <v>37772.040240000002</v>
      </c>
      <c r="W152" s="307">
        <f t="shared" si="37"/>
        <v>4541710.1184576005</v>
      </c>
      <c r="X152" s="545"/>
      <c r="Y152" s="296">
        <f t="shared" si="30"/>
        <v>10602.9</v>
      </c>
      <c r="Z152" s="295"/>
    </row>
    <row r="153" spans="2:26" x14ac:dyDescent="0.35">
      <c r="B153" s="546"/>
      <c r="E153" s="547"/>
      <c r="F153" s="295" t="s">
        <v>230</v>
      </c>
      <c r="G153" s="364" t="s">
        <v>226</v>
      </c>
      <c r="H153" s="365"/>
      <c r="I153" s="366"/>
      <c r="J153" s="364"/>
      <c r="K153" s="548">
        <v>0.1</v>
      </c>
      <c r="L153" s="564">
        <f t="shared" ref="L153:L172" si="38">$L$38</f>
        <v>400.8</v>
      </c>
      <c r="M153" s="552">
        <v>2.7E-2</v>
      </c>
      <c r="N153" s="299">
        <v>2</v>
      </c>
      <c r="O153" s="401">
        <f t="shared" si="32"/>
        <v>2.1643200000000005</v>
      </c>
      <c r="P153" s="299">
        <f>VLOOKUP($F153,'[1]Master Harga'!$E$5:$L$351,5,FALSE)</f>
        <v>46267.199999999997</v>
      </c>
      <c r="Q153" s="543">
        <f t="shared" si="33"/>
        <v>100137.02630400001</v>
      </c>
      <c r="R153" s="299">
        <f>VLOOKUP($F153,'[1]Master Harga'!$E$5:$L$351,6,FALSE)</f>
        <v>44982</v>
      </c>
      <c r="S153" s="543">
        <f t="shared" si="34"/>
        <v>97355.442240000019</v>
      </c>
      <c r="T153" s="296">
        <f>VLOOKUP($F153,'[2]Master Harga'!$E$5:$L$348,7,FALSE)</f>
        <v>52971.317280000003</v>
      </c>
      <c r="U153" s="544">
        <f t="shared" si="35"/>
        <v>114646.88141544964</v>
      </c>
      <c r="V153" s="296">
        <f t="shared" si="36"/>
        <v>48073.50576</v>
      </c>
      <c r="W153" s="307">
        <f t="shared" si="37"/>
        <v>104046.44998648322</v>
      </c>
      <c r="X153" s="545"/>
      <c r="Y153" s="296">
        <f t="shared" si="30"/>
        <v>242.90280000000004</v>
      </c>
      <c r="Z153" s="295"/>
    </row>
    <row r="154" spans="2:26" x14ac:dyDescent="0.35">
      <c r="B154" s="546"/>
      <c r="E154" s="547"/>
      <c r="F154" s="295" t="s">
        <v>231</v>
      </c>
      <c r="G154" s="364" t="s">
        <v>190</v>
      </c>
      <c r="H154" s="365"/>
      <c r="I154" s="366"/>
      <c r="J154" s="364"/>
      <c r="K154" s="548">
        <v>0.1</v>
      </c>
      <c r="L154" s="564">
        <f t="shared" si="38"/>
        <v>400.8</v>
      </c>
      <c r="M154" s="552">
        <v>1.5</v>
      </c>
      <c r="N154" s="299">
        <v>2</v>
      </c>
      <c r="O154" s="401">
        <f t="shared" si="32"/>
        <v>120.24000000000001</v>
      </c>
      <c r="P154" s="299">
        <f>VLOOKUP($F154,'[1]Master Harga'!$E$5:$L$351,5,FALSE)</f>
        <v>3850</v>
      </c>
      <c r="Q154" s="543">
        <f t="shared" si="33"/>
        <v>462924.00000000006</v>
      </c>
      <c r="R154" s="299">
        <f>VLOOKUP($F154,'[1]Master Harga'!$E$5:$L$351,6,FALSE)</f>
        <v>4042.5</v>
      </c>
      <c r="S154" s="543">
        <f t="shared" si="34"/>
        <v>486070.2</v>
      </c>
      <c r="T154" s="296">
        <f>VLOOKUP($F154,'[2]Master Harga'!$E$5:$L$348,7,FALSE)</f>
        <v>4490.6400000000003</v>
      </c>
      <c r="U154" s="544">
        <f t="shared" si="35"/>
        <v>539954.5536000001</v>
      </c>
      <c r="V154" s="296">
        <f t="shared" si="36"/>
        <v>4127.7133333333331</v>
      </c>
      <c r="W154" s="307">
        <f t="shared" si="37"/>
        <v>496316.25120000006</v>
      </c>
      <c r="X154" s="545"/>
      <c r="Y154" s="296">
        <f t="shared" si="30"/>
        <v>1212.75</v>
      </c>
      <c r="Z154" s="295"/>
    </row>
    <row r="155" spans="2:26" x14ac:dyDescent="0.35">
      <c r="B155" s="546"/>
      <c r="E155" s="547"/>
      <c r="F155" s="295" t="s">
        <v>224</v>
      </c>
      <c r="G155" s="364" t="s">
        <v>194</v>
      </c>
      <c r="H155" s="365"/>
      <c r="I155" s="366"/>
      <c r="J155" s="364"/>
      <c r="K155" s="548">
        <v>0.1</v>
      </c>
      <c r="L155" s="564">
        <f t="shared" si="38"/>
        <v>400.8</v>
      </c>
      <c r="M155" s="552">
        <v>6.2500000000000003E-3</v>
      </c>
      <c r="N155" s="299">
        <v>2</v>
      </c>
      <c r="O155" s="401">
        <f t="shared" si="32"/>
        <v>0.50100000000000011</v>
      </c>
      <c r="P155" s="299">
        <f>VLOOKUP($F155,'[1]Master Harga'!$E$5:$L$351,5,FALSE)</f>
        <v>1366468.5</v>
      </c>
      <c r="Q155" s="543">
        <f t="shared" si="33"/>
        <v>684600.71850000019</v>
      </c>
      <c r="R155" s="299">
        <f>VLOOKUP($F155,'[1]Master Harga'!$E$5:$L$351,6,FALSE)</f>
        <v>1434791.925</v>
      </c>
      <c r="S155" s="543">
        <f t="shared" si="34"/>
        <v>718830.75442500017</v>
      </c>
      <c r="T155" s="296">
        <f>VLOOKUP($F155,'[2]Master Harga'!$E$5:$L$348,7,FALSE)</f>
        <v>1593848.8584</v>
      </c>
      <c r="U155" s="544">
        <f t="shared" si="35"/>
        <v>798518.27805840014</v>
      </c>
      <c r="V155" s="296">
        <f t="shared" si="36"/>
        <v>1465036.4277999997</v>
      </c>
      <c r="W155" s="307">
        <f t="shared" si="37"/>
        <v>733983.25032780005</v>
      </c>
      <c r="X155" s="545"/>
      <c r="Y155" s="296">
        <f t="shared" si="30"/>
        <v>1793.4899062500003</v>
      </c>
      <c r="Z155" s="295"/>
    </row>
    <row r="156" spans="2:26" x14ac:dyDescent="0.35">
      <c r="B156" s="546"/>
      <c r="E156" s="547"/>
      <c r="F156" s="295" t="s">
        <v>232</v>
      </c>
      <c r="G156" s="364" t="s">
        <v>194</v>
      </c>
      <c r="H156" s="365">
        <v>4</v>
      </c>
      <c r="I156" s="366" t="s">
        <v>233</v>
      </c>
      <c r="J156" s="364"/>
      <c r="K156" s="548">
        <v>0.1</v>
      </c>
      <c r="L156" s="564">
        <f t="shared" si="38"/>
        <v>400.8</v>
      </c>
      <c r="M156" s="552">
        <f>((M$151*N$151)/240*($H156/N156))</f>
        <v>2.5000000000000001E-2</v>
      </c>
      <c r="N156" s="299">
        <v>2</v>
      </c>
      <c r="O156" s="401">
        <f t="shared" si="32"/>
        <v>2.0040000000000004</v>
      </c>
      <c r="P156" s="299">
        <f>VLOOKUP($F156,'[1]Master Harga'!$E$5:$L$351,5,FALSE)</f>
        <v>42840</v>
      </c>
      <c r="Q156" s="543">
        <f t="shared" si="33"/>
        <v>85851.360000000015</v>
      </c>
      <c r="R156" s="299">
        <f>VLOOKUP($F156,'[1]Master Harga'!$E$5:$L$351,6,FALSE)</f>
        <v>44982</v>
      </c>
      <c r="S156" s="543">
        <f t="shared" si="34"/>
        <v>90143.928000000014</v>
      </c>
      <c r="T156" s="296">
        <f>VLOOKUP($F156,'[2]Master Harga'!$E$5:$L$348,7,FALSE)</f>
        <v>49968.576000000008</v>
      </c>
      <c r="U156" s="544">
        <f t="shared" si="35"/>
        <v>100137.02630400004</v>
      </c>
      <c r="V156" s="296">
        <f t="shared" si="36"/>
        <v>45930.192000000003</v>
      </c>
      <c r="W156" s="307">
        <f t="shared" si="37"/>
        <v>92044.104768000019</v>
      </c>
      <c r="X156" s="545"/>
      <c r="Y156" s="296">
        <f t="shared" si="30"/>
        <v>224.91000000000003</v>
      </c>
      <c r="Z156" s="295"/>
    </row>
    <row r="157" spans="2:26" x14ac:dyDescent="0.35">
      <c r="B157" s="546"/>
      <c r="E157" s="547"/>
      <c r="F157" s="295" t="s">
        <v>234</v>
      </c>
      <c r="G157" s="364" t="s">
        <v>194</v>
      </c>
      <c r="H157" s="365">
        <v>12</v>
      </c>
      <c r="I157" s="366" t="s">
        <v>233</v>
      </c>
      <c r="J157" s="364"/>
      <c r="K157" s="548">
        <v>0.1</v>
      </c>
      <c r="L157" s="564">
        <f t="shared" si="38"/>
        <v>400.8</v>
      </c>
      <c r="M157" s="552">
        <f>((M$151*N$151)/240*($H157/N157))</f>
        <v>7.5000000000000011E-2</v>
      </c>
      <c r="N157" s="299">
        <v>2</v>
      </c>
      <c r="O157" s="401">
        <f t="shared" si="32"/>
        <v>6.0120000000000013</v>
      </c>
      <c r="P157" s="299">
        <f>VLOOKUP($F157,'[1]Master Harga'!$E$5:$L$351,5,FALSE)</f>
        <v>14000</v>
      </c>
      <c r="Q157" s="543">
        <f t="shared" si="33"/>
        <v>84168.000000000015</v>
      </c>
      <c r="R157" s="299">
        <f>VLOOKUP($F157,'[1]Master Harga'!$E$5:$L$351,6,FALSE)</f>
        <v>14700</v>
      </c>
      <c r="S157" s="543">
        <f t="shared" si="34"/>
        <v>88376.400000000023</v>
      </c>
      <c r="T157" s="296">
        <f>VLOOKUP($F157,'[2]Master Harga'!$E$5:$L$348,7,FALSE)</f>
        <v>16329.600000000002</v>
      </c>
      <c r="U157" s="544">
        <f t="shared" si="35"/>
        <v>98173.555200000032</v>
      </c>
      <c r="V157" s="296">
        <f t="shared" si="36"/>
        <v>15009.866666666669</v>
      </c>
      <c r="W157" s="307">
        <f t="shared" si="37"/>
        <v>90239.318400000033</v>
      </c>
      <c r="X157" s="545"/>
      <c r="Y157" s="296">
        <f t="shared" si="30"/>
        <v>220.50000000000006</v>
      </c>
      <c r="Z157" s="295"/>
    </row>
    <row r="158" spans="2:26" x14ac:dyDescent="0.35">
      <c r="B158" s="546"/>
      <c r="E158" s="547"/>
      <c r="F158" s="295" t="s">
        <v>235</v>
      </c>
      <c r="G158" s="364" t="s">
        <v>194</v>
      </c>
      <c r="H158" s="365">
        <v>1</v>
      </c>
      <c r="I158" s="366" t="s">
        <v>233</v>
      </c>
      <c r="J158" s="364"/>
      <c r="K158" s="548">
        <v>0.1</v>
      </c>
      <c r="L158" s="564">
        <f t="shared" si="38"/>
        <v>400.8</v>
      </c>
      <c r="M158" s="552">
        <f>((M$151*N$151)/240*($H158/N158))</f>
        <v>6.2500000000000003E-3</v>
      </c>
      <c r="N158" s="299">
        <v>2</v>
      </c>
      <c r="O158" s="401">
        <f t="shared" si="32"/>
        <v>0.50100000000000011</v>
      </c>
      <c r="P158" s="299">
        <f>VLOOKUP($F158,'[1]Master Harga'!$E$5:$L$351,5,FALSE)</f>
        <v>37485</v>
      </c>
      <c r="Q158" s="543">
        <f t="shared" si="33"/>
        <v>18779.985000000004</v>
      </c>
      <c r="R158" s="299">
        <f>VLOOKUP($F158,'[1]Master Harga'!$E$5:$L$351,6,FALSE)</f>
        <v>39359.25</v>
      </c>
      <c r="S158" s="543">
        <f t="shared" si="34"/>
        <v>19718.984250000005</v>
      </c>
      <c r="T158" s="296">
        <f>VLOOKUP($F158,'[2]Master Harga'!$E$5:$L$348,7,FALSE)</f>
        <v>43722.504000000008</v>
      </c>
      <c r="U158" s="544">
        <f t="shared" si="35"/>
        <v>21904.974504000009</v>
      </c>
      <c r="V158" s="296">
        <f t="shared" si="36"/>
        <v>40188.918000000005</v>
      </c>
      <c r="W158" s="307">
        <f t="shared" si="37"/>
        <v>20134.647918000006</v>
      </c>
      <c r="X158" s="545"/>
      <c r="Y158" s="296">
        <f t="shared" si="30"/>
        <v>49.199062500000011</v>
      </c>
      <c r="Z158" s="295"/>
    </row>
    <row r="159" spans="2:26" x14ac:dyDescent="0.35">
      <c r="B159" s="546"/>
      <c r="C159" t="s">
        <v>459</v>
      </c>
      <c r="E159" s="547"/>
      <c r="F159" s="295" t="s">
        <v>236</v>
      </c>
      <c r="G159" s="364" t="s">
        <v>194</v>
      </c>
      <c r="H159" s="365">
        <v>2</v>
      </c>
      <c r="I159" s="366" t="s">
        <v>233</v>
      </c>
      <c r="J159" s="364"/>
      <c r="K159" s="548">
        <v>0.1</v>
      </c>
      <c r="L159" s="564">
        <f t="shared" si="38"/>
        <v>400.8</v>
      </c>
      <c r="M159" s="552">
        <f>((M$151*N$151)/240*($H159/N159))</f>
        <v>1.2500000000000001E-2</v>
      </c>
      <c r="N159" s="299">
        <v>2</v>
      </c>
      <c r="O159" s="401">
        <f t="shared" si="32"/>
        <v>1.0020000000000002</v>
      </c>
      <c r="P159" s="299">
        <f>VLOOKUP($F159,'[1]Master Harga'!$E$5:$L$351,5,FALSE)</f>
        <v>32130</v>
      </c>
      <c r="Q159" s="543">
        <f t="shared" si="33"/>
        <v>32194.260000000006</v>
      </c>
      <c r="R159" s="299">
        <f>VLOOKUP($F159,'[1]Master Harga'!$E$5:$L$351,6,FALSE)</f>
        <v>33736.5</v>
      </c>
      <c r="S159" s="543">
        <f t="shared" si="34"/>
        <v>33803.973000000005</v>
      </c>
      <c r="T159" s="296">
        <f>VLOOKUP($F159,'[2]Master Harga'!$E$5:$L$348,7,FALSE)</f>
        <v>37476.432000000001</v>
      </c>
      <c r="U159" s="544">
        <f t="shared" si="35"/>
        <v>37551.384864000007</v>
      </c>
      <c r="V159" s="296">
        <f t="shared" si="36"/>
        <v>34447.644</v>
      </c>
      <c r="W159" s="307">
        <f t="shared" si="37"/>
        <v>34516.539288000007</v>
      </c>
      <c r="X159" s="545"/>
      <c r="Y159" s="296">
        <f t="shared" si="30"/>
        <v>84.341250000000016</v>
      </c>
      <c r="Z159" s="295"/>
    </row>
    <row r="160" spans="2:26" x14ac:dyDescent="0.35">
      <c r="B160" s="546"/>
      <c r="E160" s="547"/>
      <c r="F160" s="295" t="s">
        <v>237</v>
      </c>
      <c r="G160" s="364" t="s">
        <v>194</v>
      </c>
      <c r="H160" s="365">
        <v>1</v>
      </c>
      <c r="I160" s="366" t="s">
        <v>233</v>
      </c>
      <c r="J160" s="364"/>
      <c r="K160" s="548">
        <v>0.1</v>
      </c>
      <c r="L160" s="564">
        <f t="shared" si="38"/>
        <v>400.8</v>
      </c>
      <c r="M160" s="552">
        <f>((M$151*N$151)/240*($H160/N160))</f>
        <v>6.2500000000000003E-3</v>
      </c>
      <c r="N160" s="299">
        <v>2</v>
      </c>
      <c r="O160" s="401">
        <f t="shared" si="32"/>
        <v>0.50100000000000011</v>
      </c>
      <c r="P160" s="299">
        <f>VLOOKUP($F160,'[1]Master Harga'!$E$5:$L$351,5,FALSE)</f>
        <v>85680</v>
      </c>
      <c r="Q160" s="543">
        <f t="shared" si="33"/>
        <v>42925.680000000008</v>
      </c>
      <c r="R160" s="299">
        <f>VLOOKUP($F160,'[1]Master Harga'!$E$5:$L$351,6,FALSE)</f>
        <v>89964</v>
      </c>
      <c r="S160" s="543">
        <f t="shared" si="34"/>
        <v>45071.964000000007</v>
      </c>
      <c r="T160" s="296">
        <f>VLOOKUP($F160,'[2]Master Harga'!$E$5:$L$348,7,FALSE)</f>
        <v>99937.152000000016</v>
      </c>
      <c r="U160" s="544">
        <f t="shared" si="35"/>
        <v>50068.513152000021</v>
      </c>
      <c r="V160" s="296">
        <f t="shared" si="36"/>
        <v>91860.384000000005</v>
      </c>
      <c r="W160" s="307">
        <f t="shared" si="37"/>
        <v>46022.05238400001</v>
      </c>
      <c r="X160" s="545"/>
      <c r="Y160" s="296">
        <f t="shared" si="30"/>
        <v>112.45500000000001</v>
      </c>
      <c r="Z160" s="295"/>
    </row>
    <row r="161" spans="2:26" x14ac:dyDescent="0.35">
      <c r="B161" s="546"/>
      <c r="D161" s="540" t="s">
        <v>100</v>
      </c>
      <c r="E161" s="541"/>
      <c r="F161" s="295" t="s">
        <v>189</v>
      </c>
      <c r="G161" s="364" t="s">
        <v>190</v>
      </c>
      <c r="H161" s="365"/>
      <c r="I161" s="366"/>
      <c r="J161" s="364" t="s">
        <v>170</v>
      </c>
      <c r="K161" s="548">
        <v>0.25</v>
      </c>
      <c r="L161" s="564">
        <f t="shared" si="38"/>
        <v>400.8</v>
      </c>
      <c r="M161" s="552">
        <v>0.3</v>
      </c>
      <c r="N161" s="299">
        <v>4</v>
      </c>
      <c r="O161" s="401">
        <f t="shared" si="32"/>
        <v>120.24</v>
      </c>
      <c r="P161" s="299">
        <f>VLOOKUP($F161,'[1]Master Harga'!$E$5:$L$351,5,FALSE)</f>
        <v>140008</v>
      </c>
      <c r="Q161" s="543">
        <f t="shared" si="33"/>
        <v>16834561.919999998</v>
      </c>
      <c r="R161" s="299">
        <f>VLOOKUP($F161,'[1]Master Harga'!$E$5:$L$351,6,FALSE)</f>
        <v>149108.51999999999</v>
      </c>
      <c r="S161" s="543">
        <f t="shared" si="34"/>
        <v>17928808.444799997</v>
      </c>
      <c r="T161" s="296">
        <f>VLOOKUP($F161,'[2]Master Harga'!$E$5:$L$348,7,FALSE)</f>
        <v>163305.33120000002</v>
      </c>
      <c r="U161" s="544">
        <f t="shared" si="35"/>
        <v>19635833.023488</v>
      </c>
      <c r="V161" s="296">
        <f t="shared" si="36"/>
        <v>150807.28373333332</v>
      </c>
      <c r="W161" s="307">
        <f t="shared" si="37"/>
        <v>18133067.796095997</v>
      </c>
      <c r="X161" s="545"/>
      <c r="Y161" s="296">
        <f t="shared" si="30"/>
        <v>44732.55599999999</v>
      </c>
      <c r="Z161" s="295"/>
    </row>
    <row r="162" spans="2:26" x14ac:dyDescent="0.35">
      <c r="B162" s="546"/>
      <c r="E162" s="547"/>
      <c r="F162" s="295" t="s">
        <v>225</v>
      </c>
      <c r="G162" s="364" t="s">
        <v>226</v>
      </c>
      <c r="H162" s="365"/>
      <c r="I162" s="366"/>
      <c r="J162" s="364" t="s">
        <v>170</v>
      </c>
      <c r="K162" s="548">
        <v>0.25</v>
      </c>
      <c r="L162" s="564">
        <f t="shared" si="38"/>
        <v>400.8</v>
      </c>
      <c r="M162" s="552">
        <v>0.25</v>
      </c>
      <c r="N162" s="299">
        <v>4</v>
      </c>
      <c r="O162" s="401">
        <f t="shared" si="32"/>
        <v>100.2</v>
      </c>
      <c r="P162" s="299">
        <f>VLOOKUP($F162,'[1]Master Harga'!$E$5:$L$351,5,FALSE)</f>
        <v>36352.800000000003</v>
      </c>
      <c r="Q162" s="543">
        <f t="shared" si="33"/>
        <v>3642550.5600000005</v>
      </c>
      <c r="R162" s="299">
        <f>VLOOKUP($F162,'[1]Master Harga'!$E$5:$L$351,6,FALSE)</f>
        <v>35343</v>
      </c>
      <c r="S162" s="543">
        <f t="shared" si="34"/>
        <v>3541368.6</v>
      </c>
      <c r="T162" s="296">
        <f>VLOOKUP($F162,'[2]Master Harga'!$E$5:$L$348,7,FALSE)</f>
        <v>41620.320720000011</v>
      </c>
      <c r="U162" s="544">
        <f t="shared" si="35"/>
        <v>4170356.136144001</v>
      </c>
      <c r="V162" s="296">
        <f t="shared" si="36"/>
        <v>37772.040240000002</v>
      </c>
      <c r="W162" s="307">
        <f t="shared" si="37"/>
        <v>3784758.4320480004</v>
      </c>
      <c r="X162" s="545"/>
      <c r="Y162" s="296">
        <f t="shared" si="30"/>
        <v>8835.75</v>
      </c>
      <c r="Z162" s="295"/>
    </row>
    <row r="163" spans="2:26" x14ac:dyDescent="0.35">
      <c r="B163" s="546"/>
      <c r="E163" s="547"/>
      <c r="F163" s="295" t="s">
        <v>231</v>
      </c>
      <c r="G163" s="364" t="s">
        <v>190</v>
      </c>
      <c r="H163" s="365"/>
      <c r="I163" s="366"/>
      <c r="J163" s="364" t="s">
        <v>170</v>
      </c>
      <c r="K163" s="548">
        <v>0.25</v>
      </c>
      <c r="L163" s="564">
        <f t="shared" si="38"/>
        <v>400.8</v>
      </c>
      <c r="M163" s="552">
        <v>0.3</v>
      </c>
      <c r="N163" s="299">
        <v>4</v>
      </c>
      <c r="O163" s="401">
        <f t="shared" si="32"/>
        <v>120.24</v>
      </c>
      <c r="P163" s="299">
        <f>VLOOKUP($F163,'[1]Master Harga'!$E$5:$L$351,5,FALSE)</f>
        <v>3850</v>
      </c>
      <c r="Q163" s="543">
        <f t="shared" si="33"/>
        <v>462924</v>
      </c>
      <c r="R163" s="299">
        <f>VLOOKUP($F163,'[1]Master Harga'!$E$5:$L$351,6,FALSE)</f>
        <v>4042.5</v>
      </c>
      <c r="S163" s="543">
        <f t="shared" si="34"/>
        <v>486070.19999999995</v>
      </c>
      <c r="T163" s="296">
        <f>VLOOKUP($F163,'[2]Master Harga'!$E$5:$L$348,7,FALSE)</f>
        <v>4490.6400000000003</v>
      </c>
      <c r="U163" s="544">
        <f t="shared" si="35"/>
        <v>539954.55359999998</v>
      </c>
      <c r="V163" s="296">
        <f t="shared" si="36"/>
        <v>4127.7133333333331</v>
      </c>
      <c r="W163" s="307">
        <f t="shared" si="37"/>
        <v>496316.2512</v>
      </c>
      <c r="X163" s="545"/>
      <c r="Y163" s="296">
        <f t="shared" si="30"/>
        <v>1212.7499999999998</v>
      </c>
      <c r="Z163" s="295"/>
    </row>
    <row r="164" spans="2:26" x14ac:dyDescent="0.35">
      <c r="B164" s="546"/>
      <c r="E164" s="547"/>
      <c r="F164" s="295" t="s">
        <v>388</v>
      </c>
      <c r="G164" s="364" t="s">
        <v>194</v>
      </c>
      <c r="H164" s="365">
        <v>1</v>
      </c>
      <c r="I164" s="366"/>
      <c r="J164" s="364" t="s">
        <v>170</v>
      </c>
      <c r="K164" s="548">
        <v>0.25</v>
      </c>
      <c r="L164" s="564">
        <f t="shared" si="38"/>
        <v>400.8</v>
      </c>
      <c r="M164" s="552">
        <f t="shared" ref="M164:M170" si="39">((M$161*N$161)/240*($H164/N164))</f>
        <v>1.25E-3</v>
      </c>
      <c r="N164" s="299">
        <v>4</v>
      </c>
      <c r="O164" s="401">
        <f t="shared" si="32"/>
        <v>0.501</v>
      </c>
      <c r="P164" s="299">
        <f>VLOOKUP($F164,'[1]Master Harga'!$E$5:$L$351,5,FALSE)</f>
        <v>7675.5</v>
      </c>
      <c r="Q164" s="543">
        <f t="shared" si="33"/>
        <v>3845.4254999999998</v>
      </c>
      <c r="R164" s="299">
        <f>VLOOKUP($F164,'[1]Master Harga'!$E$5:$L$351,6,FALSE)</f>
        <v>8059.2750000000005</v>
      </c>
      <c r="S164" s="543">
        <f t="shared" si="34"/>
        <v>4037.6967750000003</v>
      </c>
      <c r="T164" s="296">
        <f>VLOOKUP($F164,'[2]Master Harga'!$E$5:$L$348,7,FALSE)</f>
        <v>8952.7032000000017</v>
      </c>
      <c r="U164" s="544">
        <f t="shared" si="35"/>
        <v>4485.3043032000005</v>
      </c>
      <c r="V164" s="296">
        <f t="shared" si="36"/>
        <v>8229.1594000000005</v>
      </c>
      <c r="W164" s="307">
        <f t="shared" si="37"/>
        <v>4122.8088594000001</v>
      </c>
      <c r="X164" s="545"/>
      <c r="Y164" s="296">
        <f t="shared" si="30"/>
        <v>10.074093750000001</v>
      </c>
      <c r="Z164" s="295"/>
    </row>
    <row r="165" spans="2:26" x14ac:dyDescent="0.35">
      <c r="B165" s="546"/>
      <c r="E165" s="547"/>
      <c r="F165" s="295" t="s">
        <v>224</v>
      </c>
      <c r="G165" s="364" t="s">
        <v>194</v>
      </c>
      <c r="H165" s="365"/>
      <c r="I165" s="366"/>
      <c r="J165" s="364"/>
      <c r="K165" s="548">
        <v>0.25</v>
      </c>
      <c r="L165" s="564">
        <f t="shared" si="38"/>
        <v>400.8</v>
      </c>
      <c r="M165" s="552">
        <v>6.2500000000000003E-3</v>
      </c>
      <c r="N165" s="299">
        <v>2</v>
      </c>
      <c r="O165" s="401">
        <f t="shared" si="32"/>
        <v>1.2525000000000002</v>
      </c>
      <c r="P165" s="299">
        <f>VLOOKUP($F165,'[1]Master Harga'!$E$5:$L$351,5,FALSE)</f>
        <v>1366468.5</v>
      </c>
      <c r="Q165" s="543">
        <f t="shared" si="33"/>
        <v>1711501.7962500001</v>
      </c>
      <c r="R165" s="299">
        <f>VLOOKUP($F165,'[1]Master Harga'!$E$5:$L$351,6,FALSE)</f>
        <v>1434791.925</v>
      </c>
      <c r="S165" s="543">
        <f t="shared" si="34"/>
        <v>1797076.8860625003</v>
      </c>
      <c r="T165" s="296">
        <f>VLOOKUP($F165,'[2]Master Harga'!$E$5:$L$348,7,FALSE)</f>
        <v>1593848.8584</v>
      </c>
      <c r="U165" s="544">
        <f t="shared" si="35"/>
        <v>1996295.6951460002</v>
      </c>
      <c r="V165" s="296">
        <f t="shared" si="36"/>
        <v>1465036.4277999999</v>
      </c>
      <c r="W165" s="307">
        <f t="shared" si="37"/>
        <v>1834958.1258195003</v>
      </c>
      <c r="X165" s="545"/>
      <c r="Y165" s="296">
        <f t="shared" si="30"/>
        <v>4483.7247656250011</v>
      </c>
      <c r="Z165" s="295"/>
    </row>
    <row r="166" spans="2:26" x14ac:dyDescent="0.35">
      <c r="B166" s="546"/>
      <c r="E166" s="547"/>
      <c r="F166" s="295" t="s">
        <v>232</v>
      </c>
      <c r="G166" s="364" t="s">
        <v>194</v>
      </c>
      <c r="H166" s="365">
        <v>4</v>
      </c>
      <c r="I166" s="366" t="s">
        <v>233</v>
      </c>
      <c r="J166" s="364" t="s">
        <v>170</v>
      </c>
      <c r="K166" s="548">
        <v>0.25</v>
      </c>
      <c r="L166" s="564">
        <f t="shared" si="38"/>
        <v>400.8</v>
      </c>
      <c r="M166" s="552">
        <f t="shared" si="39"/>
        <v>5.0000000000000001E-3</v>
      </c>
      <c r="N166" s="299">
        <v>4</v>
      </c>
      <c r="O166" s="401">
        <f t="shared" si="32"/>
        <v>2.004</v>
      </c>
      <c r="P166" s="299">
        <f>VLOOKUP($F166,'[1]Master Harga'!$E$5:$L$351,5,FALSE)</f>
        <v>42840</v>
      </c>
      <c r="Q166" s="543">
        <f t="shared" si="33"/>
        <v>85851.36</v>
      </c>
      <c r="R166" s="299">
        <f>VLOOKUP($F166,'[1]Master Harga'!$E$5:$L$351,6,FALSE)</f>
        <v>44982</v>
      </c>
      <c r="S166" s="543">
        <f t="shared" si="34"/>
        <v>90143.928</v>
      </c>
      <c r="T166" s="296">
        <f>VLOOKUP($F166,'[2]Master Harga'!$E$5:$L$348,7,FALSE)</f>
        <v>49968.576000000008</v>
      </c>
      <c r="U166" s="544">
        <f t="shared" si="35"/>
        <v>100137.02630400001</v>
      </c>
      <c r="V166" s="296">
        <f t="shared" si="36"/>
        <v>45930.192000000003</v>
      </c>
      <c r="W166" s="307">
        <f t="shared" si="37"/>
        <v>92044.104768000005</v>
      </c>
      <c r="X166" s="545"/>
      <c r="Y166" s="296">
        <f t="shared" si="30"/>
        <v>224.91</v>
      </c>
      <c r="Z166" s="295"/>
    </row>
    <row r="167" spans="2:26" x14ac:dyDescent="0.35">
      <c r="B167" s="546"/>
      <c r="E167" s="547"/>
      <c r="F167" s="295" t="s">
        <v>234</v>
      </c>
      <c r="G167" s="364" t="s">
        <v>194</v>
      </c>
      <c r="H167" s="365">
        <v>12</v>
      </c>
      <c r="I167" s="366" t="s">
        <v>233</v>
      </c>
      <c r="J167" s="364" t="s">
        <v>170</v>
      </c>
      <c r="K167" s="548">
        <v>0.25</v>
      </c>
      <c r="L167" s="564">
        <f t="shared" si="38"/>
        <v>400.8</v>
      </c>
      <c r="M167" s="552">
        <f t="shared" si="39"/>
        <v>1.4999999999999999E-2</v>
      </c>
      <c r="N167" s="299">
        <v>4</v>
      </c>
      <c r="O167" s="401">
        <f t="shared" si="32"/>
        <v>6.0119999999999996</v>
      </c>
      <c r="P167" s="299">
        <f>VLOOKUP($F167,'[1]Master Harga'!$E$5:$L$351,5,FALSE)</f>
        <v>14000</v>
      </c>
      <c r="Q167" s="543">
        <f t="shared" si="33"/>
        <v>84168</v>
      </c>
      <c r="R167" s="299">
        <f>VLOOKUP($F167,'[1]Master Harga'!$E$5:$L$351,6,FALSE)</f>
        <v>14700</v>
      </c>
      <c r="S167" s="543">
        <f t="shared" si="34"/>
        <v>88376.4</v>
      </c>
      <c r="T167" s="296">
        <f>VLOOKUP($F167,'[2]Master Harga'!$E$5:$L$348,7,FALSE)</f>
        <v>16329.600000000002</v>
      </c>
      <c r="U167" s="544">
        <f t="shared" si="35"/>
        <v>98173.555200000003</v>
      </c>
      <c r="V167" s="296">
        <f t="shared" si="36"/>
        <v>15009.866666666667</v>
      </c>
      <c r="W167" s="307">
        <f t="shared" si="37"/>
        <v>90239.318399999989</v>
      </c>
      <c r="X167" s="545"/>
      <c r="Y167" s="296">
        <f t="shared" si="30"/>
        <v>220.49999999999997</v>
      </c>
      <c r="Z167" s="295"/>
    </row>
    <row r="168" spans="2:26" x14ac:dyDescent="0.35">
      <c r="B168" s="546"/>
      <c r="E168" s="547"/>
      <c r="F168" s="295" t="s">
        <v>235</v>
      </c>
      <c r="G168" s="364" t="s">
        <v>194</v>
      </c>
      <c r="H168" s="365">
        <v>1</v>
      </c>
      <c r="I168" s="366" t="s">
        <v>233</v>
      </c>
      <c r="J168" s="364" t="s">
        <v>170</v>
      </c>
      <c r="K168" s="548">
        <v>0.25</v>
      </c>
      <c r="L168" s="564">
        <f t="shared" si="38"/>
        <v>400.8</v>
      </c>
      <c r="M168" s="552">
        <f t="shared" si="39"/>
        <v>1.25E-3</v>
      </c>
      <c r="N168" s="299">
        <v>4</v>
      </c>
      <c r="O168" s="401">
        <f t="shared" si="32"/>
        <v>0.501</v>
      </c>
      <c r="P168" s="299">
        <f>VLOOKUP($F168,'[1]Master Harga'!$E$5:$L$351,5,FALSE)</f>
        <v>37485</v>
      </c>
      <c r="Q168" s="543">
        <f t="shared" si="33"/>
        <v>18779.985000000001</v>
      </c>
      <c r="R168" s="299">
        <f>VLOOKUP($F168,'[1]Master Harga'!$E$5:$L$351,6,FALSE)</f>
        <v>39359.25</v>
      </c>
      <c r="S168" s="543">
        <f t="shared" si="34"/>
        <v>19718.984250000001</v>
      </c>
      <c r="T168" s="296">
        <f>VLOOKUP($F168,'[2]Master Harga'!$E$5:$L$348,7,FALSE)</f>
        <v>43722.504000000008</v>
      </c>
      <c r="U168" s="544">
        <f t="shared" si="35"/>
        <v>21904.974504000005</v>
      </c>
      <c r="V168" s="296">
        <f t="shared" si="36"/>
        <v>40188.918000000005</v>
      </c>
      <c r="W168" s="307">
        <f t="shared" si="37"/>
        <v>20134.647918000002</v>
      </c>
      <c r="X168" s="545"/>
      <c r="Y168" s="296">
        <f t="shared" si="30"/>
        <v>49.199062500000004</v>
      </c>
      <c r="Z168" s="295"/>
    </row>
    <row r="169" spans="2:26" x14ac:dyDescent="0.35">
      <c r="B169" s="546"/>
      <c r="E169" s="547"/>
      <c r="F169" s="295" t="s">
        <v>236</v>
      </c>
      <c r="G169" s="364" t="s">
        <v>194</v>
      </c>
      <c r="H169" s="365">
        <v>2</v>
      </c>
      <c r="I169" s="366" t="s">
        <v>233</v>
      </c>
      <c r="J169" s="364" t="s">
        <v>170</v>
      </c>
      <c r="K169" s="548">
        <v>0.25</v>
      </c>
      <c r="L169" s="564">
        <f t="shared" si="38"/>
        <v>400.8</v>
      </c>
      <c r="M169" s="552">
        <f t="shared" si="39"/>
        <v>2.5000000000000001E-3</v>
      </c>
      <c r="N169" s="299">
        <v>4</v>
      </c>
      <c r="O169" s="401">
        <f t="shared" si="32"/>
        <v>1.002</v>
      </c>
      <c r="P169" s="299">
        <f>VLOOKUP($F169,'[1]Master Harga'!$E$5:$L$351,5,FALSE)</f>
        <v>32130</v>
      </c>
      <c r="Q169" s="543">
        <f t="shared" si="33"/>
        <v>32194.26</v>
      </c>
      <c r="R169" s="299">
        <f>VLOOKUP($F169,'[1]Master Harga'!$E$5:$L$351,6,FALSE)</f>
        <v>33736.5</v>
      </c>
      <c r="S169" s="543">
        <f t="shared" si="34"/>
        <v>33803.972999999998</v>
      </c>
      <c r="T169" s="296">
        <f>VLOOKUP($F169,'[2]Master Harga'!$E$5:$L$348,7,FALSE)</f>
        <v>37476.432000000001</v>
      </c>
      <c r="U169" s="544">
        <f t="shared" si="35"/>
        <v>37551.384864</v>
      </c>
      <c r="V169" s="296">
        <f t="shared" si="36"/>
        <v>34447.644</v>
      </c>
      <c r="W169" s="307">
        <f t="shared" si="37"/>
        <v>34516.539288</v>
      </c>
      <c r="X169" s="545"/>
      <c r="Y169" s="296">
        <f t="shared" si="30"/>
        <v>84.341249999999988</v>
      </c>
      <c r="Z169" s="295"/>
    </row>
    <row r="170" spans="2:26" x14ac:dyDescent="0.35">
      <c r="B170" s="546"/>
      <c r="E170" s="547"/>
      <c r="F170" s="295" t="s">
        <v>237</v>
      </c>
      <c r="G170" s="364" t="s">
        <v>194</v>
      </c>
      <c r="H170" s="365">
        <v>1</v>
      </c>
      <c r="I170" s="366" t="s">
        <v>233</v>
      </c>
      <c r="J170" s="364" t="s">
        <v>170</v>
      </c>
      <c r="K170" s="548">
        <v>0.25</v>
      </c>
      <c r="L170" s="564">
        <f t="shared" si="38"/>
        <v>400.8</v>
      </c>
      <c r="M170" s="552">
        <f t="shared" si="39"/>
        <v>1.25E-3</v>
      </c>
      <c r="N170" s="299">
        <v>4</v>
      </c>
      <c r="O170" s="401">
        <f t="shared" si="32"/>
        <v>0.501</v>
      </c>
      <c r="P170" s="299">
        <f>VLOOKUP($F170,'[1]Master Harga'!$E$5:$L$351,5,FALSE)</f>
        <v>85680</v>
      </c>
      <c r="Q170" s="543">
        <f t="shared" si="33"/>
        <v>42925.68</v>
      </c>
      <c r="R170" s="299">
        <f>VLOOKUP($F170,'[1]Master Harga'!$E$5:$L$351,6,FALSE)</f>
        <v>89964</v>
      </c>
      <c r="S170" s="543">
        <f t="shared" si="34"/>
        <v>45071.964</v>
      </c>
      <c r="T170" s="296">
        <f>VLOOKUP($F170,'[2]Master Harga'!$E$5:$L$348,7,FALSE)</f>
        <v>99937.152000000016</v>
      </c>
      <c r="U170" s="544">
        <f t="shared" si="35"/>
        <v>50068.513152000007</v>
      </c>
      <c r="V170" s="296">
        <f t="shared" si="36"/>
        <v>91860.384000000005</v>
      </c>
      <c r="W170" s="307">
        <f t="shared" si="37"/>
        <v>46022.052384000002</v>
      </c>
      <c r="X170" s="545"/>
      <c r="Y170" s="296">
        <f t="shared" si="30"/>
        <v>112.455</v>
      </c>
      <c r="Z170" s="295"/>
    </row>
    <row r="171" spans="2:26" x14ac:dyDescent="0.35">
      <c r="B171" s="546"/>
      <c r="C171" s="540" t="s">
        <v>102</v>
      </c>
      <c r="D171" s="540"/>
      <c r="E171" s="541"/>
      <c r="F171" s="295" t="s">
        <v>189</v>
      </c>
      <c r="G171" s="364" t="s">
        <v>190</v>
      </c>
      <c r="H171" s="365"/>
      <c r="I171" s="366"/>
      <c r="J171" s="364"/>
      <c r="K171" s="548">
        <v>0.25</v>
      </c>
      <c r="L171" s="564">
        <f t="shared" si="38"/>
        <v>400.8</v>
      </c>
      <c r="M171" s="552">
        <v>0.73</v>
      </c>
      <c r="N171" s="296">
        <v>1</v>
      </c>
      <c r="O171" s="401">
        <f>K171*L171*M171*N171</f>
        <v>73.146000000000001</v>
      </c>
      <c r="P171" s="299">
        <f>VLOOKUP($F171,'[1]Master Harga'!$E$5:$L$351,5,FALSE)</f>
        <v>140008</v>
      </c>
      <c r="Q171" s="543">
        <f>P171*$O171</f>
        <v>10241025.168</v>
      </c>
      <c r="R171" s="299">
        <f>VLOOKUP($F171,'[1]Master Harga'!$E$5:$L$351,6,FALSE)</f>
        <v>149108.51999999999</v>
      </c>
      <c r="S171" s="750">
        <f t="shared" si="34"/>
        <v>10906691.803919999</v>
      </c>
      <c r="T171" s="544"/>
      <c r="U171" s="544"/>
      <c r="V171" s="544"/>
      <c r="W171" s="544"/>
      <c r="X171" s="751"/>
      <c r="Y171" s="296">
        <f t="shared" si="30"/>
        <v>27212.304899999996</v>
      </c>
      <c r="Z171" s="295"/>
    </row>
    <row r="172" spans="2:26" x14ac:dyDescent="0.35">
      <c r="B172" s="546"/>
      <c r="E172" s="547"/>
      <c r="F172" s="295" t="s">
        <v>354</v>
      </c>
      <c r="G172" s="364" t="s">
        <v>203</v>
      </c>
      <c r="H172" s="365"/>
      <c r="I172" s="366"/>
      <c r="J172" s="364"/>
      <c r="K172" s="548">
        <v>0.25</v>
      </c>
      <c r="L172" s="564">
        <f t="shared" si="38"/>
        <v>400.8</v>
      </c>
      <c r="M172" s="552">
        <v>3.36</v>
      </c>
      <c r="N172" s="296">
        <v>1</v>
      </c>
      <c r="O172" s="401">
        <f>K172*L172*M172*N172</f>
        <v>336.67200000000003</v>
      </c>
      <c r="P172" s="299">
        <f>VLOOKUP($F172,'[1]Master Harga'!$E$5:$L$351,5,FALSE)</f>
        <v>139719</v>
      </c>
      <c r="Q172" s="543">
        <f>P172*$O172</f>
        <v>47039475.168000005</v>
      </c>
      <c r="R172" s="299">
        <f>VLOOKUP($F172,'[1]Master Harga'!$E$5:$L$351,6,FALSE)</f>
        <v>146704.95000000001</v>
      </c>
      <c r="S172" s="750">
        <f t="shared" si="34"/>
        <v>49391448.926400006</v>
      </c>
      <c r="T172" s="544"/>
      <c r="U172" s="544"/>
      <c r="V172" s="544"/>
      <c r="W172" s="544"/>
      <c r="X172" s="751"/>
      <c r="Y172" s="296">
        <f t="shared" si="30"/>
        <v>123232.15800000001</v>
      </c>
      <c r="Z172" s="295"/>
    </row>
    <row r="173" spans="2:26" x14ac:dyDescent="0.35">
      <c r="B173" s="549"/>
      <c r="C173" s="550"/>
      <c r="D173" s="550"/>
      <c r="E173" s="551"/>
      <c r="F173" s="295" t="s">
        <v>239</v>
      </c>
      <c r="G173" s="364" t="s">
        <v>170</v>
      </c>
      <c r="H173" s="365"/>
      <c r="I173" s="366"/>
      <c r="J173" s="364" t="s">
        <v>460</v>
      </c>
      <c r="K173" s="548">
        <v>0.25</v>
      </c>
      <c r="L173" s="564">
        <f>$L$38</f>
        <v>400.8</v>
      </c>
      <c r="M173" s="552">
        <f>20/30</f>
        <v>0.66666666666666663</v>
      </c>
      <c r="N173" s="296">
        <v>12</v>
      </c>
      <c r="O173" s="401">
        <f>K173*L173*M173*N173</f>
        <v>801.59999999999991</v>
      </c>
      <c r="P173" s="299">
        <f>VLOOKUP($F173,'[1]Master Harga'!$E$5:$L$351,5,FALSE)</f>
        <v>65996</v>
      </c>
      <c r="Q173" s="543">
        <f>P173*$O173</f>
        <v>52902393.599999994</v>
      </c>
      <c r="R173" s="299">
        <f>VLOOKUP($F173,'[1]Master Harga'!$E$5:$L$351,6,FALSE)</f>
        <v>68635.839999999997</v>
      </c>
      <c r="S173" s="543">
        <f>R173*$O173</f>
        <v>55018489.343999989</v>
      </c>
      <c r="T173" s="296">
        <f>VLOOKUP($F173,'[2]Master Harga'!$E$5:$L$348,7,FALSE)</f>
        <v>71381.2736</v>
      </c>
      <c r="U173" s="544">
        <f>$O173*T173</f>
        <v>57219228.917759992</v>
      </c>
      <c r="V173" s="296">
        <f>W173/O173</f>
        <v>68671.037866666651</v>
      </c>
      <c r="W173" s="307">
        <f>AVERAGEIF($P$3:$U$3,W$3,$P173:$U173)</f>
        <v>55046703.953919984</v>
      </c>
      <c r="X173" s="752"/>
      <c r="Y173" s="296">
        <f t="shared" si="30"/>
        <v>137271.67999999996</v>
      </c>
      <c r="Z173" s="295"/>
    </row>
    <row r="174" spans="2:26" x14ac:dyDescent="0.35">
      <c r="B174" s="685" t="s">
        <v>461</v>
      </c>
      <c r="C174" s="686"/>
      <c r="D174" s="686"/>
      <c r="E174" s="687"/>
      <c r="F174" s="688"/>
      <c r="G174" s="689"/>
      <c r="H174" s="690"/>
      <c r="I174" s="691"/>
      <c r="J174" s="689"/>
      <c r="K174" s="692"/>
      <c r="L174" s="693"/>
      <c r="M174" s="694"/>
      <c r="N174" s="695"/>
      <c r="O174" s="690"/>
      <c r="P174" s="696"/>
      <c r="Q174" s="696"/>
      <c r="R174" s="696"/>
      <c r="S174" s="697">
        <f>SUM(S141:S173)</f>
        <v>194786026.10954249</v>
      </c>
      <c r="T174" s="684"/>
      <c r="U174" s="684"/>
      <c r="V174" s="684"/>
      <c r="W174" s="684"/>
      <c r="X174" s="690"/>
      <c r="Y174" s="698">
        <f t="shared" si="30"/>
        <v>485993.07911562495</v>
      </c>
      <c r="Z174" s="699">
        <f>(Y174/$Y$410)*100</f>
        <v>3.3773520216397483</v>
      </c>
    </row>
    <row r="175" spans="2:26" x14ac:dyDescent="0.35">
      <c r="B175" s="753" t="s">
        <v>462</v>
      </c>
      <c r="C175" s="754"/>
      <c r="D175" s="754"/>
      <c r="E175" s="755"/>
      <c r="F175" s="668"/>
      <c r="G175" s="669"/>
      <c r="H175" s="670"/>
      <c r="I175" s="671"/>
      <c r="J175" s="669"/>
      <c r="K175" s="672"/>
      <c r="L175" s="673"/>
      <c r="M175" s="674"/>
      <c r="N175" s="675"/>
      <c r="O175" s="670"/>
      <c r="P175" s="676"/>
      <c r="Q175" s="676"/>
      <c r="R175" s="676"/>
      <c r="S175" s="756">
        <f>S71+S84+S113+S126+S174+S139</f>
        <v>1065301248.6249045</v>
      </c>
      <c r="T175" s="677"/>
      <c r="U175" s="677"/>
      <c r="V175" s="677"/>
      <c r="W175" s="677"/>
      <c r="X175" s="670"/>
      <c r="Y175" s="757">
        <f t="shared" si="30"/>
        <v>2657937.2470681248</v>
      </c>
      <c r="Z175" s="758">
        <f>(Y175/$Y$410)*100</f>
        <v>18.471023807813133</v>
      </c>
    </row>
    <row r="176" spans="2:26" x14ac:dyDescent="0.35">
      <c r="B176" s="678" t="s">
        <v>463</v>
      </c>
      <c r="C176" s="366"/>
      <c r="D176" s="366"/>
      <c r="E176" s="553"/>
      <c r="F176" s="295"/>
      <c r="G176" s="364"/>
      <c r="H176" s="365"/>
      <c r="I176" s="366"/>
      <c r="J176" s="364"/>
      <c r="K176" s="308"/>
      <c r="L176" s="662"/>
      <c r="M176" s="542"/>
      <c r="N176" s="296"/>
      <c r="O176" s="365"/>
      <c r="P176" s="543"/>
      <c r="Q176" s="543"/>
      <c r="R176" s="543"/>
      <c r="S176" s="543"/>
      <c r="T176" s="544"/>
      <c r="U176" s="544"/>
      <c r="V176" s="544"/>
      <c r="W176" s="544"/>
      <c r="X176" s="545"/>
      <c r="Y176" s="296">
        <f t="shared" si="30"/>
        <v>0</v>
      </c>
      <c r="Z176" s="295"/>
    </row>
    <row r="177" spans="2:26" x14ac:dyDescent="0.35">
      <c r="B177" s="546"/>
      <c r="C177" t="s">
        <v>464</v>
      </c>
      <c r="E177" s="547"/>
      <c r="F177" s="295" t="s">
        <v>189</v>
      </c>
      <c r="G177" s="364" t="s">
        <v>190</v>
      </c>
      <c r="H177" s="365"/>
      <c r="I177" s="366"/>
      <c r="J177" s="364"/>
      <c r="K177" s="308"/>
      <c r="L177" s="662"/>
      <c r="M177" s="542"/>
      <c r="N177" s="296"/>
      <c r="O177" s="365"/>
      <c r="P177" s="543"/>
      <c r="Q177" s="543"/>
      <c r="R177" s="543"/>
      <c r="S177" s="543"/>
      <c r="T177" s="544"/>
      <c r="U177" s="544"/>
      <c r="V177" s="544"/>
      <c r="W177" s="544"/>
      <c r="X177" s="545"/>
      <c r="Y177" s="296">
        <f t="shared" si="30"/>
        <v>0</v>
      </c>
      <c r="Z177" s="295"/>
    </row>
    <row r="178" spans="2:26" hidden="1" x14ac:dyDescent="0.35">
      <c r="B178" s="546"/>
      <c r="E178" s="547"/>
      <c r="F178" s="295" t="s">
        <v>465</v>
      </c>
      <c r="G178" s="364" t="s">
        <v>194</v>
      </c>
      <c r="H178" s="365"/>
      <c r="I178" s="366"/>
      <c r="J178" s="364"/>
      <c r="K178" s="308"/>
      <c r="L178" s="662"/>
      <c r="M178" s="542"/>
      <c r="N178" s="296"/>
      <c r="O178" s="365"/>
      <c r="P178" s="543"/>
      <c r="Q178" s="543"/>
      <c r="R178" s="543"/>
      <c r="S178" s="543"/>
      <c r="T178" s="544"/>
      <c r="U178" s="544"/>
      <c r="V178" s="544"/>
      <c r="W178" s="544"/>
      <c r="X178" s="545"/>
      <c r="Y178" s="296">
        <f t="shared" si="30"/>
        <v>0</v>
      </c>
      <c r="Z178" s="295"/>
    </row>
    <row r="179" spans="2:26" hidden="1" x14ac:dyDescent="0.35">
      <c r="B179" s="546"/>
      <c r="E179" s="547"/>
      <c r="F179" s="295" t="s">
        <v>466</v>
      </c>
      <c r="G179" s="364" t="s">
        <v>194</v>
      </c>
      <c r="H179" s="365"/>
      <c r="I179" s="366"/>
      <c r="J179" s="364"/>
      <c r="K179" s="308"/>
      <c r="L179" s="662"/>
      <c r="M179" s="542"/>
      <c r="N179" s="296"/>
      <c r="O179" s="365"/>
      <c r="P179" s="543"/>
      <c r="Q179" s="543"/>
      <c r="R179" s="543"/>
      <c r="S179" s="543"/>
      <c r="T179" s="544"/>
      <c r="U179" s="544"/>
      <c r="V179" s="544"/>
      <c r="W179" s="544"/>
      <c r="X179" s="545"/>
      <c r="Y179" s="296">
        <f t="shared" si="30"/>
        <v>0</v>
      </c>
      <c r="Z179" s="295"/>
    </row>
    <row r="180" spans="2:26" hidden="1" x14ac:dyDescent="0.35">
      <c r="B180" s="546"/>
      <c r="E180" s="547"/>
      <c r="F180" s="295" t="s">
        <v>467</v>
      </c>
      <c r="G180" s="364" t="s">
        <v>194</v>
      </c>
      <c r="H180" s="365"/>
      <c r="I180" s="366"/>
      <c r="J180" s="364"/>
      <c r="K180" s="308"/>
      <c r="L180" s="662"/>
      <c r="M180" s="542"/>
      <c r="N180" s="296"/>
      <c r="O180" s="365"/>
      <c r="P180" s="543"/>
      <c r="Q180" s="543"/>
      <c r="R180" s="543"/>
      <c r="S180" s="543"/>
      <c r="T180" s="544"/>
      <c r="U180" s="544"/>
      <c r="V180" s="544"/>
      <c r="W180" s="544"/>
      <c r="X180" s="545"/>
      <c r="Y180" s="296">
        <f t="shared" si="30"/>
        <v>0</v>
      </c>
      <c r="Z180" s="295"/>
    </row>
    <row r="181" spans="2:26" x14ac:dyDescent="0.35">
      <c r="B181" s="539"/>
      <c r="C181" s="540" t="s">
        <v>106</v>
      </c>
      <c r="D181" s="540"/>
      <c r="E181" s="541"/>
      <c r="F181" s="295" t="s">
        <v>189</v>
      </c>
      <c r="G181" s="364" t="s">
        <v>190</v>
      </c>
      <c r="H181" s="365"/>
      <c r="I181" s="366"/>
      <c r="J181" s="364"/>
      <c r="K181" s="548">
        <v>1</v>
      </c>
      <c r="L181" s="564">
        <f>$L$38</f>
        <v>400.8</v>
      </c>
      <c r="M181" s="542">
        <v>1</v>
      </c>
      <c r="N181" s="296">
        <v>2</v>
      </c>
      <c r="O181" s="401">
        <f>K181*L181*M181*N181</f>
        <v>801.6</v>
      </c>
      <c r="P181" s="299">
        <f>VLOOKUP($F181,'[1]Master Harga'!$E$5:$L$351,5,FALSE)</f>
        <v>140008</v>
      </c>
      <c r="Q181" s="543">
        <f>P181*$O181</f>
        <v>112230412.8</v>
      </c>
      <c r="R181" s="299">
        <f>VLOOKUP($F181,'[1]Master Harga'!$E$5:$L$351,6,FALSE)</f>
        <v>149108.51999999999</v>
      </c>
      <c r="S181" s="543">
        <f>R181*$O181</f>
        <v>119525389.632</v>
      </c>
      <c r="T181" s="296">
        <f>VLOOKUP($F181,'[2]Master Harga'!$E$5:$L$348,7,FALSE)</f>
        <v>163305.33120000002</v>
      </c>
      <c r="U181" s="544">
        <f>$O181*T181</f>
        <v>130905553.48992002</v>
      </c>
      <c r="V181" s="296">
        <f>W181/O181</f>
        <v>150807.28373333334</v>
      </c>
      <c r="W181" s="307">
        <f>AVERAGEIF($P$3:$U$3,W$3,$P181:$U181)</f>
        <v>120887118.64064001</v>
      </c>
      <c r="X181" s="545"/>
      <c r="Y181" s="296">
        <f t="shared" si="30"/>
        <v>298217.03999999998</v>
      </c>
      <c r="Z181" s="295"/>
    </row>
    <row r="182" spans="2:26" x14ac:dyDescent="0.35">
      <c r="B182" s="546"/>
      <c r="E182" s="547"/>
      <c r="F182" s="295" t="s">
        <v>468</v>
      </c>
      <c r="G182" s="364" t="s">
        <v>194</v>
      </c>
      <c r="H182" s="365">
        <v>1</v>
      </c>
      <c r="I182" s="366" t="s">
        <v>233</v>
      </c>
      <c r="J182" s="364"/>
      <c r="K182" s="548">
        <v>1</v>
      </c>
      <c r="L182" s="564">
        <f>$L$38</f>
        <v>400.8</v>
      </c>
      <c r="M182" s="552">
        <f>((M$181*N$181)/(300))*($H182/N182)</f>
        <v>3.3333333333333335E-3</v>
      </c>
      <c r="N182" s="296">
        <v>2</v>
      </c>
      <c r="O182" s="401">
        <f>K182*L182*M182*N182</f>
        <v>2.6720000000000002</v>
      </c>
      <c r="P182" s="299">
        <f>VLOOKUP($F182,'[1]Master Harga'!$E$5:$L$351,5,FALSE)</f>
        <v>66380.89</v>
      </c>
      <c r="Q182" s="543">
        <f>P182*$O182</f>
        <v>177369.73808000001</v>
      </c>
      <c r="R182" s="299">
        <f>VLOOKUP($F182,'[1]Master Harga'!$E$5:$L$351,6,FALSE)</f>
        <v>69699.934500000003</v>
      </c>
      <c r="S182" s="543">
        <f>R182*$O182</f>
        <v>186238.22498400003</v>
      </c>
      <c r="T182" s="296">
        <f>VLOOKUP($F182,'[2]Master Harga'!$E$5:$L$348,7,FALSE)</f>
        <v>77426.670096000002</v>
      </c>
      <c r="U182" s="544">
        <f>$O182*T182</f>
        <v>206884.06249651202</v>
      </c>
      <c r="V182" s="296">
        <f>W182/O182</f>
        <v>71169.164865333325</v>
      </c>
      <c r="W182" s="307">
        <f>AVERAGEIF($P$3:$U$3,W$3,$P182:$U182)</f>
        <v>190164.00852017067</v>
      </c>
      <c r="X182" s="545"/>
      <c r="Y182" s="296">
        <f t="shared" si="30"/>
        <v>464.66623000000004</v>
      </c>
      <c r="Z182" s="295"/>
    </row>
    <row r="183" spans="2:26" x14ac:dyDescent="0.35">
      <c r="B183" s="546"/>
      <c r="E183" s="547"/>
      <c r="F183" s="295" t="s">
        <v>466</v>
      </c>
      <c r="G183" s="364" t="s">
        <v>194</v>
      </c>
      <c r="H183" s="365">
        <v>1</v>
      </c>
      <c r="I183" s="366" t="s">
        <v>233</v>
      </c>
      <c r="J183" s="364"/>
      <c r="K183" s="548">
        <v>1</v>
      </c>
      <c r="L183" s="564">
        <f>$L$38</f>
        <v>400.8</v>
      </c>
      <c r="M183" s="552">
        <f>((M$181*N$181)/(300))*($H183/N183)</f>
        <v>3.3333333333333335E-3</v>
      </c>
      <c r="N183" s="296">
        <v>2</v>
      </c>
      <c r="O183" s="401">
        <f>K183*L183*M183*N183</f>
        <v>2.6720000000000002</v>
      </c>
      <c r="P183" s="299">
        <f>VLOOKUP($F183,'[1]Master Harga'!$E$5:$L$351,5,FALSE)</f>
        <v>7841.25</v>
      </c>
      <c r="Q183" s="543">
        <f>P183*$O183</f>
        <v>20951.82</v>
      </c>
      <c r="R183" s="299">
        <f>VLOOKUP($F183,'[1]Master Harga'!$E$5:$L$351,6,FALSE)</f>
        <v>8233.3125</v>
      </c>
      <c r="S183" s="543">
        <f>R183*$O183</f>
        <v>21999.411</v>
      </c>
      <c r="T183" s="296">
        <f>VLOOKUP($F183,'[2]Master Harga'!$E$5:$L$348,7,FALSE)</f>
        <v>9146.0340000000015</v>
      </c>
      <c r="U183" s="544">
        <f>$O183*T183</f>
        <v>24438.202848000004</v>
      </c>
      <c r="V183" s="296">
        <f>W183/O183</f>
        <v>8406.8654999999999</v>
      </c>
      <c r="W183" s="307">
        <f>AVERAGEIF($P$3:$U$3,W$3,$P183:$U183)</f>
        <v>22463.144616000001</v>
      </c>
      <c r="X183" s="545"/>
      <c r="Y183" s="296">
        <f t="shared" si="30"/>
        <v>54.888750000000002</v>
      </c>
      <c r="Z183" s="295"/>
    </row>
    <row r="184" spans="2:26" x14ac:dyDescent="0.35">
      <c r="B184" s="546"/>
      <c r="E184" s="547"/>
      <c r="F184" s="295" t="s">
        <v>467</v>
      </c>
      <c r="G184" s="364" t="s">
        <v>194</v>
      </c>
      <c r="H184" s="365">
        <v>1</v>
      </c>
      <c r="I184" s="366" t="s">
        <v>233</v>
      </c>
      <c r="J184" s="364"/>
      <c r="K184" s="548">
        <v>1</v>
      </c>
      <c r="L184" s="564">
        <f>$L$38</f>
        <v>400.8</v>
      </c>
      <c r="M184" s="552">
        <f>((M$181*N$181)/(300))*($H184/N184)</f>
        <v>3.3333333333333335E-3</v>
      </c>
      <c r="N184" s="296">
        <v>2</v>
      </c>
      <c r="O184" s="401">
        <f>K184*L184*M184*N184</f>
        <v>2.6720000000000002</v>
      </c>
      <c r="P184" s="299">
        <f>VLOOKUP($F184,'[1]Master Harga'!$E$5:$L$351,5,FALSE)</f>
        <v>51229.5</v>
      </c>
      <c r="Q184" s="543">
        <f>P184*$O184</f>
        <v>136885.22400000002</v>
      </c>
      <c r="R184" s="299">
        <f>VLOOKUP($F184,'[1]Master Harga'!$E$5:$L$351,6,FALSE)</f>
        <v>53790.975000000006</v>
      </c>
      <c r="S184" s="543">
        <f>R184*$O184</f>
        <v>143729.48520000002</v>
      </c>
      <c r="T184" s="296">
        <f>VLOOKUP($F184,'[2]Master Harga'!$E$5:$L$348,7,FALSE)</f>
        <v>59754.088800000005</v>
      </c>
      <c r="U184" s="544">
        <f>$O184*T184</f>
        <v>159662.92527360003</v>
      </c>
      <c r="V184" s="296">
        <f>W184/O184</f>
        <v>54924.854600000006</v>
      </c>
      <c r="W184" s="307">
        <f>AVERAGEIF($P$3:$U$3,W$3,$P184:$U184)</f>
        <v>146759.21149120003</v>
      </c>
      <c r="X184" s="545"/>
      <c r="Y184" s="296">
        <f t="shared" si="30"/>
        <v>358.60650000000004</v>
      </c>
      <c r="Z184" s="295"/>
    </row>
    <row r="185" spans="2:26" x14ac:dyDescent="0.35">
      <c r="B185" s="549"/>
      <c r="C185" s="550"/>
      <c r="D185" s="550"/>
      <c r="E185" s="551"/>
      <c r="F185" s="295" t="s">
        <v>237</v>
      </c>
      <c r="G185" s="364" t="s">
        <v>194</v>
      </c>
      <c r="H185" s="365">
        <v>1</v>
      </c>
      <c r="I185" s="366" t="s">
        <v>233</v>
      </c>
      <c r="J185" s="364"/>
      <c r="K185" s="548">
        <v>1</v>
      </c>
      <c r="L185" s="564">
        <f>$L$38</f>
        <v>400.8</v>
      </c>
      <c r="M185" s="552">
        <f>((M$181*N$181)/(300))*($H185/N185)</f>
        <v>3.3333333333333335E-3</v>
      </c>
      <c r="N185" s="296">
        <v>2</v>
      </c>
      <c r="O185" s="401">
        <f>K185*L185*M185*N185</f>
        <v>2.6720000000000002</v>
      </c>
      <c r="P185" s="299">
        <f>VLOOKUP($F185,'[1]Master Harga'!$E$5:$L$351,5,FALSE)</f>
        <v>85680</v>
      </c>
      <c r="Q185" s="543">
        <f>P185*$O185</f>
        <v>228936.96000000002</v>
      </c>
      <c r="R185" s="299">
        <f>VLOOKUP($F185,'[1]Master Harga'!$E$5:$L$351,6,FALSE)</f>
        <v>89964</v>
      </c>
      <c r="S185" s="543">
        <f>R185*$O185</f>
        <v>240383.80800000002</v>
      </c>
      <c r="T185" s="296">
        <f>VLOOKUP($F185,'[2]Master Harga'!$E$5:$L$348,7,FALSE)</f>
        <v>99937.152000000016</v>
      </c>
      <c r="U185" s="544">
        <f>$O185*T185</f>
        <v>267032.07014400006</v>
      </c>
      <c r="V185" s="296">
        <f>W185/O185</f>
        <v>91860.384000000005</v>
      </c>
      <c r="W185" s="307">
        <f>AVERAGEIF($P$3:$U$3,W$3,$P185:$U185)</f>
        <v>245450.94604800004</v>
      </c>
      <c r="X185" s="731"/>
      <c r="Y185" s="296">
        <f t="shared" si="30"/>
        <v>599.76</v>
      </c>
      <c r="Z185" s="295"/>
    </row>
    <row r="186" spans="2:26" s="490" customFormat="1" x14ac:dyDescent="0.35">
      <c r="B186" s="726"/>
      <c r="C186" s="744" t="s">
        <v>469</v>
      </c>
      <c r="D186" s="744"/>
      <c r="E186" s="759"/>
      <c r="F186" s="742"/>
      <c r="G186" s="743"/>
      <c r="H186" s="726"/>
      <c r="I186" s="744"/>
      <c r="J186" s="743"/>
      <c r="K186" s="745"/>
      <c r="L186" s="746"/>
      <c r="M186" s="698"/>
      <c r="N186" s="698"/>
      <c r="O186" s="726"/>
      <c r="P186" s="748"/>
      <c r="Q186" s="748"/>
      <c r="R186" s="748"/>
      <c r="S186" s="748">
        <f>SUM(S177:S185)</f>
        <v>120117740.561184</v>
      </c>
      <c r="T186" s="749"/>
      <c r="U186" s="749"/>
      <c r="V186" s="749"/>
      <c r="W186" s="749"/>
      <c r="X186" s="760"/>
      <c r="Y186" s="698">
        <f t="shared" si="30"/>
        <v>299694.96148</v>
      </c>
      <c r="Z186" s="698">
        <f>(Y186/$Y$410)*100</f>
        <v>2.0826950578629808</v>
      </c>
    </row>
    <row r="187" spans="2:26" x14ac:dyDescent="0.35">
      <c r="B187" s="546"/>
      <c r="D187" t="s">
        <v>108</v>
      </c>
      <c r="E187" s="547"/>
      <c r="F187" s="295" t="s">
        <v>189</v>
      </c>
      <c r="G187" s="364" t="s">
        <v>190</v>
      </c>
      <c r="H187" s="365"/>
      <c r="I187" s="366"/>
      <c r="J187" s="364" t="s">
        <v>343</v>
      </c>
      <c r="K187" s="548">
        <v>0.05</v>
      </c>
      <c r="L187" s="662">
        <f>143*$AC$1</f>
        <v>57314.400000000001</v>
      </c>
      <c r="M187" s="542">
        <v>0.1429</v>
      </c>
      <c r="N187" s="296">
        <v>1</v>
      </c>
      <c r="O187" s="401">
        <f>K187*L187*M187*N187</f>
        <v>409.51138800000001</v>
      </c>
      <c r="P187" s="299">
        <f>VLOOKUP($F187,'[1]Master Harga'!$E$5:$L$351,5,FALSE)</f>
        <v>140008</v>
      </c>
      <c r="Q187" s="543">
        <f>P187*$O187</f>
        <v>57334870.411104001</v>
      </c>
      <c r="R187" s="299">
        <f>VLOOKUP($F187,'[1]Master Harga'!$E$5:$L$351,6,FALSE)</f>
        <v>149108.51999999999</v>
      </c>
      <c r="S187" s="543">
        <f>R187*$O187</f>
        <v>61061636.987825759</v>
      </c>
      <c r="T187" s="296">
        <f>VLOOKUP($F187,'[2]Master Harga'!$E$5:$L$348,7,FALSE)</f>
        <v>163305.33120000002</v>
      </c>
      <c r="U187" s="544">
        <f>$O187*T187</f>
        <v>66875392.847511716</v>
      </c>
      <c r="V187" s="296">
        <f>W187/O187</f>
        <v>150807.28373333334</v>
      </c>
      <c r="W187" s="307">
        <f>AVERAGEIF($P$3:$U$3,W$3,$P187:$U187)</f>
        <v>61757300.082147159</v>
      </c>
      <c r="X187" s="365"/>
      <c r="Y187" s="296">
        <f t="shared" si="30"/>
        <v>152349.3936822</v>
      </c>
      <c r="Z187" s="295"/>
    </row>
    <row r="188" spans="2:26" x14ac:dyDescent="0.35">
      <c r="B188" s="546"/>
      <c r="E188" s="547"/>
      <c r="F188" s="288" t="s">
        <v>372</v>
      </c>
      <c r="G188" s="364" t="s">
        <v>371</v>
      </c>
      <c r="H188" s="365"/>
      <c r="I188" s="366"/>
      <c r="J188" s="364" t="s">
        <v>343</v>
      </c>
      <c r="K188" s="548">
        <v>0.05</v>
      </c>
      <c r="L188" s="662">
        <f>$L$187</f>
        <v>57314.400000000001</v>
      </c>
      <c r="M188" s="542">
        <v>1</v>
      </c>
      <c r="N188" s="296">
        <v>1</v>
      </c>
      <c r="O188" s="401">
        <f>K188*L188*M188*N188</f>
        <v>2865.7200000000003</v>
      </c>
      <c r="P188" s="296">
        <f>VLOOKUP($F188,'[2]Master Harga'!$E$5:$L$348,5,FALSE)</f>
        <v>0</v>
      </c>
      <c r="Q188" s="543">
        <f>P188*$O188</f>
        <v>0</v>
      </c>
      <c r="R188" s="299">
        <f>40114.4960772974*110%</f>
        <v>44125.945685027145</v>
      </c>
      <c r="S188" s="543">
        <f>R188*$O188</f>
        <v>126452605.068496</v>
      </c>
      <c r="T188" s="296">
        <f>VLOOKUP($F188,'[2]Master Harga'!$E$5:$L$348,7,FALSE)</f>
        <v>0</v>
      </c>
      <c r="U188" s="544">
        <f>$O188*T188</f>
        <v>0</v>
      </c>
      <c r="V188" s="296">
        <f>W188/O188</f>
        <v>14708.648561675715</v>
      </c>
      <c r="W188" s="307">
        <f>AVERAGEIF($P$3:$U$3,W$3,$P188:$U188)</f>
        <v>42150868.356165335</v>
      </c>
      <c r="X188" s="365"/>
      <c r="Y188" s="296">
        <f t="shared" si="30"/>
        <v>315500.51164794411</v>
      </c>
      <c r="Z188" s="295"/>
    </row>
    <row r="189" spans="2:26" x14ac:dyDescent="0.35">
      <c r="B189" s="546"/>
      <c r="E189" s="547"/>
      <c r="F189" s="295" t="s">
        <v>324</v>
      </c>
      <c r="G189" s="364" t="s">
        <v>192</v>
      </c>
      <c r="H189" s="365"/>
      <c r="I189" s="366"/>
      <c r="J189" s="364" t="s">
        <v>343</v>
      </c>
      <c r="K189" s="548">
        <v>0.05</v>
      </c>
      <c r="L189" s="662">
        <f>$L$187</f>
        <v>57314.400000000001</v>
      </c>
      <c r="M189" s="542">
        <v>0.5</v>
      </c>
      <c r="N189" s="296">
        <v>1</v>
      </c>
      <c r="O189" s="401">
        <f>K189*L189*M189*N189</f>
        <v>1432.8600000000001</v>
      </c>
      <c r="P189" s="299">
        <f>VLOOKUP($F189,'[1]Master Harga'!$E$5:$L$351,5,FALSE)</f>
        <v>2300</v>
      </c>
      <c r="Q189" s="543">
        <f>P189*$O189</f>
        <v>3295578.0000000005</v>
      </c>
      <c r="R189" s="299">
        <f>VLOOKUP($F189,'[1]Master Harga'!$E$5:$L$351,6,FALSE)</f>
        <v>2300</v>
      </c>
      <c r="S189" s="543">
        <f>R189*$O189</f>
        <v>3295578.0000000005</v>
      </c>
      <c r="T189" s="296">
        <f>VLOOKUP($F189,'[2]Master Harga'!$E$5:$L$348,7,FALSE)</f>
        <v>2783</v>
      </c>
      <c r="U189" s="544">
        <f>$O189*T189</f>
        <v>3987649.3800000004</v>
      </c>
      <c r="V189" s="296">
        <f>W189/O189</f>
        <v>2461</v>
      </c>
      <c r="W189" s="307">
        <f>AVERAGEIF($P$3:$U$3,W$3,$P189:$U189)</f>
        <v>3526268.4600000004</v>
      </c>
      <c r="X189" s="365"/>
      <c r="Y189" s="296">
        <f t="shared" si="30"/>
        <v>8222.5000000000018</v>
      </c>
      <c r="Z189" s="295"/>
    </row>
    <row r="190" spans="2:26" x14ac:dyDescent="0.35">
      <c r="B190" s="546"/>
      <c r="E190" s="547"/>
      <c r="F190" s="295" t="s">
        <v>373</v>
      </c>
      <c r="G190" s="364" t="s">
        <v>371</v>
      </c>
      <c r="H190" s="365"/>
      <c r="I190" s="366"/>
      <c r="J190" s="364" t="s">
        <v>343</v>
      </c>
      <c r="K190" s="548">
        <v>0.05</v>
      </c>
      <c r="L190" s="662">
        <f>$L$187</f>
        <v>57314.400000000001</v>
      </c>
      <c r="M190" s="542">
        <f>M188</f>
        <v>1</v>
      </c>
      <c r="N190" s="296">
        <v>1</v>
      </c>
      <c r="O190" s="401">
        <f>K190*L190*M190*N190</f>
        <v>2865.7200000000003</v>
      </c>
      <c r="P190" s="299">
        <f>VLOOKUP($F190,'[1]Master Harga'!$E$5:$L$351,5,FALSE)</f>
        <v>4500</v>
      </c>
      <c r="Q190" s="543">
        <f>P190*$O190</f>
        <v>12895740.000000002</v>
      </c>
      <c r="R190" s="299">
        <f>VLOOKUP($F190,'[1]Master Harga'!$E$5:$L$351,6,FALSE)</f>
        <v>4725</v>
      </c>
      <c r="S190" s="543">
        <f>R190*$O190</f>
        <v>13540527.000000002</v>
      </c>
      <c r="T190" s="296">
        <f>VLOOKUP($F190,'[2]Master Harga'!$E$5:$L$348,7,FALSE)</f>
        <v>4961.25</v>
      </c>
      <c r="U190" s="544">
        <f>$O190*T190</f>
        <v>14217553.350000001</v>
      </c>
      <c r="V190" s="296">
        <f>W190/O190</f>
        <v>4728.7500000000009</v>
      </c>
      <c r="W190" s="307">
        <f>AVERAGEIF($P$3:$U$3,W$3,$P190:$U190)</f>
        <v>13551273.450000003</v>
      </c>
      <c r="Y190" s="296">
        <f t="shared" si="30"/>
        <v>33783.750000000007</v>
      </c>
      <c r="Z190" s="295"/>
    </row>
    <row r="191" spans="2:26" x14ac:dyDescent="0.35">
      <c r="B191" s="546"/>
      <c r="D191" s="550"/>
      <c r="E191" s="551"/>
      <c r="F191" s="295" t="s">
        <v>354</v>
      </c>
      <c r="G191" s="364" t="s">
        <v>203</v>
      </c>
      <c r="H191" s="365"/>
      <c r="I191" s="366"/>
      <c r="J191" s="364"/>
      <c r="K191" s="308"/>
      <c r="L191" s="662"/>
      <c r="M191" s="542">
        <v>2</v>
      </c>
      <c r="N191" s="296">
        <v>1</v>
      </c>
      <c r="O191" s="365"/>
      <c r="P191" s="543"/>
      <c r="Q191" s="543"/>
      <c r="R191" s="543"/>
      <c r="S191" s="543"/>
      <c r="T191" s="544"/>
      <c r="U191" s="544"/>
      <c r="V191" s="544"/>
      <c r="W191" s="544"/>
      <c r="X191" s="545"/>
      <c r="Y191" s="296">
        <f t="shared" si="30"/>
        <v>0</v>
      </c>
      <c r="Z191" s="295"/>
    </row>
    <row r="192" spans="2:26" x14ac:dyDescent="0.35">
      <c r="B192" s="546"/>
      <c r="D192" t="s">
        <v>470</v>
      </c>
      <c r="E192" s="547"/>
      <c r="F192" s="295" t="s">
        <v>189</v>
      </c>
      <c r="G192" s="364" t="s">
        <v>190</v>
      </c>
      <c r="H192" s="365"/>
      <c r="I192" s="366"/>
      <c r="J192" s="364"/>
      <c r="K192" s="548">
        <v>0.2</v>
      </c>
      <c r="L192" s="564">
        <f>$L$38</f>
        <v>400.8</v>
      </c>
      <c r="M192" s="542">
        <f>1/15</f>
        <v>6.6666666666666666E-2</v>
      </c>
      <c r="N192" s="296">
        <v>1</v>
      </c>
      <c r="O192" s="401">
        <f>K192*L192*M192*N192</f>
        <v>5.3440000000000003</v>
      </c>
      <c r="P192" s="299">
        <f>VLOOKUP($F192,'[1]Master Harga'!$E$5:$L$351,5,FALSE)</f>
        <v>140008</v>
      </c>
      <c r="Q192" s="543">
        <f>P192*$O192</f>
        <v>748202.75200000009</v>
      </c>
      <c r="R192" s="299">
        <f>VLOOKUP($F192,'[1]Master Harga'!$E$5:$L$351,6,FALSE)</f>
        <v>149108.51999999999</v>
      </c>
      <c r="S192" s="543">
        <f>R192*$O192</f>
        <v>796835.93088</v>
      </c>
      <c r="T192" s="544"/>
      <c r="U192" s="544"/>
      <c r="V192" s="544"/>
      <c r="W192" s="544"/>
      <c r="X192" s="545"/>
      <c r="Y192" s="296">
        <f t="shared" si="30"/>
        <v>1988.1135999999999</v>
      </c>
      <c r="Z192" s="295"/>
    </row>
    <row r="193" spans="2:26" x14ac:dyDescent="0.35">
      <c r="B193" s="549"/>
      <c r="C193" s="550"/>
      <c r="D193" s="550"/>
      <c r="E193" s="551"/>
      <c r="F193" s="295" t="s">
        <v>293</v>
      </c>
      <c r="G193" s="364" t="s">
        <v>194</v>
      </c>
      <c r="H193" s="365"/>
      <c r="I193" s="366"/>
      <c r="J193" s="364"/>
      <c r="K193" s="548">
        <v>0.2</v>
      </c>
      <c r="L193" s="564">
        <f>$L$38</f>
        <v>400.8</v>
      </c>
      <c r="M193" s="552">
        <f>M192*N192/300</f>
        <v>2.2222222222222221E-4</v>
      </c>
      <c r="N193" s="296">
        <v>1</v>
      </c>
      <c r="O193" s="401">
        <f>K193*L193*M193*N193</f>
        <v>1.7813333333333334E-2</v>
      </c>
      <c r="P193" s="296"/>
      <c r="Q193" s="543"/>
      <c r="R193" s="299">
        <f>VLOOKUP($F193,'[1]Master Harga'!$E$5:$L$351,6,FALSE)</f>
        <v>79588.6875</v>
      </c>
      <c r="S193" s="543">
        <f>R193*$O193</f>
        <v>1417.73982</v>
      </c>
      <c r="T193" s="544"/>
      <c r="U193" s="544"/>
      <c r="V193" s="544"/>
      <c r="W193" s="544"/>
      <c r="X193" s="545"/>
      <c r="Y193" s="296">
        <f t="shared" si="30"/>
        <v>3.5372749999999997</v>
      </c>
      <c r="Z193" s="295"/>
    </row>
    <row r="194" spans="2:26" x14ac:dyDescent="0.35">
      <c r="B194" s="685" t="s">
        <v>471</v>
      </c>
      <c r="C194" s="686"/>
      <c r="D194" s="686"/>
      <c r="E194" s="687"/>
      <c r="F194" s="688"/>
      <c r="G194" s="689"/>
      <c r="H194" s="690"/>
      <c r="I194" s="691"/>
      <c r="J194" s="689"/>
      <c r="K194" s="692"/>
      <c r="L194" s="693"/>
      <c r="M194" s="694"/>
      <c r="N194" s="695"/>
      <c r="O194" s="690"/>
      <c r="P194" s="696"/>
      <c r="Q194" s="696"/>
      <c r="R194" s="696"/>
      <c r="S194" s="697">
        <f>SUM(S187:S193)</f>
        <v>205148600.72702178</v>
      </c>
      <c r="T194" s="684"/>
      <c r="U194" s="684"/>
      <c r="V194" s="684"/>
      <c r="W194" s="684"/>
      <c r="X194" s="690"/>
      <c r="Y194" s="698">
        <f t="shared" si="30"/>
        <v>511847.80620514415</v>
      </c>
      <c r="Z194" s="699">
        <f>(Y194/$Y$410)*100</f>
        <v>3.5570264214555469</v>
      </c>
    </row>
    <row r="195" spans="2:26" x14ac:dyDescent="0.35">
      <c r="B195" s="546"/>
      <c r="C195" t="s">
        <v>111</v>
      </c>
      <c r="E195" s="547"/>
      <c r="F195" s="295" t="s">
        <v>189</v>
      </c>
      <c r="G195" s="364" t="s">
        <v>190</v>
      </c>
      <c r="H195" s="365"/>
      <c r="I195" s="366"/>
      <c r="J195" s="364" t="s">
        <v>170</v>
      </c>
      <c r="K195" s="548">
        <v>1</v>
      </c>
      <c r="L195" s="564">
        <f>$L$38</f>
        <v>400.8</v>
      </c>
      <c r="M195" s="542">
        <v>0.2</v>
      </c>
      <c r="N195" s="296">
        <v>2</v>
      </c>
      <c r="O195" s="401">
        <f>K195*L195*M195*N195</f>
        <v>160.32000000000002</v>
      </c>
      <c r="P195" s="299">
        <f>VLOOKUP($F195,'[1]Master Harga'!$E$5:$L$351,5,FALSE)</f>
        <v>140008</v>
      </c>
      <c r="Q195" s="543">
        <f>P195*$O195</f>
        <v>22446082.560000002</v>
      </c>
      <c r="R195" s="299">
        <f>VLOOKUP($F195,'[1]Master Harga'!$E$5:$L$351,6,FALSE)</f>
        <v>149108.51999999999</v>
      </c>
      <c r="S195" s="543">
        <f>R195*$O195</f>
        <v>23905077.926400002</v>
      </c>
      <c r="T195" s="296">
        <f>VLOOKUP($F195,'[2]Master Harga'!$E$5:$L$348,7,FALSE)</f>
        <v>163305.33120000002</v>
      </c>
      <c r="U195" s="544">
        <f>$O195*T195</f>
        <v>26181110.697984006</v>
      </c>
      <c r="V195" s="296">
        <f>W195/O195</f>
        <v>150807.28373333334</v>
      </c>
      <c r="W195" s="307">
        <f>AVERAGEIF($P$3:$U$3,W$3,$P195:$U195)</f>
        <v>24177423.728128005</v>
      </c>
      <c r="X195" s="545"/>
      <c r="Y195" s="296">
        <f t="shared" si="30"/>
        <v>59643.408000000003</v>
      </c>
      <c r="Z195" s="295"/>
    </row>
    <row r="196" spans="2:26" x14ac:dyDescent="0.35">
      <c r="B196" s="546"/>
      <c r="E196" s="547"/>
      <c r="F196" s="295" t="s">
        <v>472</v>
      </c>
      <c r="G196" s="364" t="s">
        <v>341</v>
      </c>
      <c r="H196" s="365"/>
      <c r="I196" s="366"/>
      <c r="J196" s="364"/>
      <c r="K196" s="548">
        <v>1</v>
      </c>
      <c r="L196" s="564">
        <f>$L$38</f>
        <v>400.8</v>
      </c>
      <c r="M196" s="542">
        <f>0.02*(1/2)</f>
        <v>0.01</v>
      </c>
      <c r="N196" s="296">
        <v>2</v>
      </c>
      <c r="O196" s="401">
        <f>K196*L196*M196*N196</f>
        <v>8.016</v>
      </c>
      <c r="P196" s="299">
        <f>VLOOKUP($F196,'[1]Master Harga'!$E$5:$L$351,5,FALSE)</f>
        <v>30250</v>
      </c>
      <c r="Q196" s="543">
        <f>P196*$O196</f>
        <v>242484</v>
      </c>
      <c r="R196" s="299">
        <f>VLOOKUP($F196,'[1]Master Harga'!$E$5:$L$351,6,FALSE)</f>
        <v>31762.5</v>
      </c>
      <c r="S196" s="543">
        <f>R196*$O196</f>
        <v>254608.2</v>
      </c>
      <c r="T196" s="544"/>
      <c r="U196" s="544"/>
      <c r="V196" s="544"/>
      <c r="W196" s="544"/>
      <c r="X196" s="545"/>
      <c r="Y196" s="296">
        <f t="shared" si="30"/>
        <v>635.25</v>
      </c>
      <c r="Z196" s="295"/>
    </row>
    <row r="197" spans="2:26" x14ac:dyDescent="0.35">
      <c r="B197" s="685" t="s">
        <v>473</v>
      </c>
      <c r="C197" s="686"/>
      <c r="D197" s="686"/>
      <c r="E197" s="687"/>
      <c r="F197" s="688"/>
      <c r="G197" s="689"/>
      <c r="H197" s="690"/>
      <c r="I197" s="691"/>
      <c r="J197" s="689"/>
      <c r="K197" s="692"/>
      <c r="L197" s="693"/>
      <c r="M197" s="694"/>
      <c r="N197" s="695"/>
      <c r="O197" s="690"/>
      <c r="P197" s="696"/>
      <c r="Q197" s="696"/>
      <c r="R197" s="696"/>
      <c r="S197" s="697">
        <f>SUM(S195:S196)</f>
        <v>24159686.126400001</v>
      </c>
      <c r="T197" s="684"/>
      <c r="U197" s="684"/>
      <c r="V197" s="684"/>
      <c r="W197" s="684"/>
      <c r="X197" s="690"/>
      <c r="Y197" s="698">
        <f t="shared" si="30"/>
        <v>60278.658000000003</v>
      </c>
      <c r="Z197" s="699">
        <f>(Y197/$Y$410)*100</f>
        <v>0.41889947862734028</v>
      </c>
    </row>
    <row r="198" spans="2:26" x14ac:dyDescent="0.35">
      <c r="B198" s="753" t="s">
        <v>474</v>
      </c>
      <c r="C198" s="754"/>
      <c r="D198" s="754"/>
      <c r="E198" s="755"/>
      <c r="F198" s="668"/>
      <c r="G198" s="669"/>
      <c r="H198" s="670"/>
      <c r="I198" s="671"/>
      <c r="J198" s="669"/>
      <c r="K198" s="672"/>
      <c r="L198" s="673"/>
      <c r="M198" s="674"/>
      <c r="N198" s="675"/>
      <c r="O198" s="670"/>
      <c r="P198" s="676"/>
      <c r="Q198" s="676"/>
      <c r="R198" s="676"/>
      <c r="S198" s="756">
        <f>S194+S197+S186</f>
        <v>349426027.4146058</v>
      </c>
      <c r="T198" s="677"/>
      <c r="U198" s="677"/>
      <c r="V198" s="677"/>
      <c r="W198" s="677"/>
      <c r="X198" s="670"/>
      <c r="Y198" s="757">
        <f t="shared" ref="Y198:Y261" si="40">S198/$AC$1</f>
        <v>871821.42568514415</v>
      </c>
      <c r="Z198" s="758">
        <f>(Y198/$Y$410)*100</f>
        <v>6.0586209579458679</v>
      </c>
    </row>
    <row r="199" spans="2:26" x14ac:dyDescent="0.35">
      <c r="B199" s="678" t="s">
        <v>475</v>
      </c>
      <c r="C199" s="366"/>
      <c r="D199" s="366"/>
      <c r="E199" s="553"/>
      <c r="F199" s="295"/>
      <c r="G199" s="364"/>
      <c r="H199" s="365"/>
      <c r="I199" s="366"/>
      <c r="J199" s="364"/>
      <c r="K199" s="308"/>
      <c r="L199" s="662"/>
      <c r="M199" s="542"/>
      <c r="N199" s="296"/>
      <c r="O199" s="365"/>
      <c r="P199" s="543"/>
      <c r="Q199" s="543"/>
      <c r="R199" s="543"/>
      <c r="S199" s="543"/>
      <c r="T199" s="544"/>
      <c r="U199" s="544"/>
      <c r="V199" s="544"/>
      <c r="W199" s="544"/>
      <c r="X199" s="545"/>
      <c r="Y199" s="296">
        <f t="shared" si="40"/>
        <v>0</v>
      </c>
      <c r="Z199" s="295"/>
    </row>
    <row r="200" spans="2:26" x14ac:dyDescent="0.35">
      <c r="B200" s="761"/>
      <c r="C200" s="540" t="s">
        <v>296</v>
      </c>
      <c r="D200" s="366"/>
      <c r="E200" s="553"/>
      <c r="F200" s="295"/>
      <c r="G200" s="364"/>
      <c r="H200" s="365"/>
      <c r="I200" s="366"/>
      <c r="J200" s="364"/>
      <c r="K200" s="308"/>
      <c r="L200" s="662"/>
      <c r="M200" s="542"/>
      <c r="N200" s="296"/>
      <c r="O200" s="365"/>
      <c r="P200" s="543"/>
      <c r="Q200" s="543"/>
      <c r="R200" s="543"/>
      <c r="S200" s="543"/>
      <c r="T200" s="544"/>
      <c r="U200" s="544"/>
      <c r="V200" s="544"/>
      <c r="W200" s="544"/>
      <c r="X200" s="545"/>
      <c r="Y200" s="296">
        <f t="shared" si="40"/>
        <v>0</v>
      </c>
      <c r="Z200" s="295"/>
    </row>
    <row r="201" spans="2:26" x14ac:dyDescent="0.35">
      <c r="B201" s="539"/>
      <c r="C201" s="540"/>
      <c r="D201" t="s">
        <v>115</v>
      </c>
      <c r="E201" s="547"/>
      <c r="F201" s="295" t="s">
        <v>189</v>
      </c>
      <c r="G201" s="364" t="s">
        <v>190</v>
      </c>
      <c r="H201" s="365"/>
      <c r="I201" s="366"/>
      <c r="J201" s="364"/>
      <c r="K201" s="400">
        <v>0.1</v>
      </c>
      <c r="L201" s="662">
        <f>$AC$1</f>
        <v>400.8</v>
      </c>
      <c r="M201" s="508">
        <v>0.5</v>
      </c>
      <c r="N201" s="296">
        <v>1</v>
      </c>
      <c r="O201" s="401">
        <f t="shared" ref="O201:O207" si="41">K201*L201*M201*N201</f>
        <v>20.040000000000003</v>
      </c>
      <c r="P201" s="543"/>
      <c r="Q201" s="543"/>
      <c r="R201" s="299">
        <f>VLOOKUP($F201,'[1]Master Harga'!$E$5:$L$351,6,FALSE)</f>
        <v>149108.51999999999</v>
      </c>
      <c r="S201" s="543">
        <f t="shared" ref="S201:S207" si="42">R201*$O201</f>
        <v>2988134.7408000003</v>
      </c>
      <c r="T201" s="544"/>
      <c r="U201" s="544"/>
      <c r="V201" s="544"/>
      <c r="W201" s="544"/>
      <c r="X201" s="545"/>
      <c r="Y201" s="296">
        <f t="shared" si="40"/>
        <v>7455.4260000000004</v>
      </c>
      <c r="Z201" s="295"/>
    </row>
    <row r="202" spans="2:26" x14ac:dyDescent="0.35">
      <c r="B202" s="546"/>
      <c r="E202" s="547"/>
      <c r="F202" s="295" t="s">
        <v>255</v>
      </c>
      <c r="G202" s="364" t="s">
        <v>256</v>
      </c>
      <c r="H202" s="365"/>
      <c r="I202" s="366"/>
      <c r="J202" s="364"/>
      <c r="K202" s="400">
        <v>0.1</v>
      </c>
      <c r="L202" s="662">
        <f>L201*K202</f>
        <v>40.080000000000005</v>
      </c>
      <c r="M202" s="508">
        <f>1350/1000</f>
        <v>1.35</v>
      </c>
      <c r="N202" s="296">
        <v>1</v>
      </c>
      <c r="O202" s="401">
        <f t="shared" si="41"/>
        <v>5.4108000000000018</v>
      </c>
      <c r="P202" s="543"/>
      <c r="Q202" s="543"/>
      <c r="R202" s="299">
        <f>VLOOKUP($F202,'[1]Master Harga'!$E$5:$L$351,6,FALSE)</f>
        <v>194400</v>
      </c>
      <c r="S202" s="543">
        <f t="shared" si="42"/>
        <v>1051859.5200000003</v>
      </c>
      <c r="T202" s="544"/>
      <c r="U202" s="544"/>
      <c r="V202" s="544"/>
      <c r="W202" s="544"/>
      <c r="X202" s="545"/>
      <c r="Y202" s="296">
        <f t="shared" si="40"/>
        <v>2624.4000000000005</v>
      </c>
      <c r="Z202" s="295"/>
    </row>
    <row r="203" spans="2:26" x14ac:dyDescent="0.35">
      <c r="B203" s="546"/>
      <c r="E203" s="547"/>
      <c r="F203" s="295" t="s">
        <v>257</v>
      </c>
      <c r="G203" s="364" t="s">
        <v>256</v>
      </c>
      <c r="H203" s="365"/>
      <c r="I203" s="366"/>
      <c r="J203" s="364"/>
      <c r="K203" s="400">
        <v>0.1</v>
      </c>
      <c r="L203" s="662">
        <f>$AC$1</f>
        <v>400.8</v>
      </c>
      <c r="M203" s="508">
        <f>1350/1000</f>
        <v>1.35</v>
      </c>
      <c r="N203" s="296">
        <v>1</v>
      </c>
      <c r="O203" s="401">
        <f t="shared" si="41"/>
        <v>54.108000000000011</v>
      </c>
      <c r="P203" s="543"/>
      <c r="Q203" s="543"/>
      <c r="R203" s="299">
        <f>VLOOKUP($F203,'[1]Master Harga'!$E$5:$L$351,6,FALSE)</f>
        <v>116119.5</v>
      </c>
      <c r="S203" s="543">
        <f t="shared" si="42"/>
        <v>6282993.9060000014</v>
      </c>
      <c r="T203" s="544"/>
      <c r="U203" s="544"/>
      <c r="V203" s="544"/>
      <c r="W203" s="544"/>
      <c r="X203" s="545"/>
      <c r="Y203" s="296">
        <f t="shared" si="40"/>
        <v>15676.132500000003</v>
      </c>
      <c r="Z203" s="295"/>
    </row>
    <row r="204" spans="2:26" x14ac:dyDescent="0.35">
      <c r="B204" s="549"/>
      <c r="C204" s="550"/>
      <c r="D204" s="550"/>
      <c r="E204" s="551"/>
      <c r="F204" s="551" t="s">
        <v>204</v>
      </c>
      <c r="G204" s="364" t="s">
        <v>203</v>
      </c>
      <c r="H204" s="365"/>
      <c r="I204" s="366"/>
      <c r="J204" s="364"/>
      <c r="K204" s="400">
        <v>1</v>
      </c>
      <c r="L204" s="662">
        <f>$AC$1</f>
        <v>400.8</v>
      </c>
      <c r="M204" s="294">
        <v>2.8000000000000001E-2</v>
      </c>
      <c r="N204" s="296">
        <v>1</v>
      </c>
      <c r="O204" s="401">
        <f t="shared" si="41"/>
        <v>11.2224</v>
      </c>
      <c r="P204" s="543"/>
      <c r="Q204" s="543"/>
      <c r="R204" s="299">
        <f>VLOOKUP($F204,'[1]Master Harga'!$E$5:$L$351,6,FALSE)</f>
        <v>766238.0730320001</v>
      </c>
      <c r="S204" s="543">
        <f t="shared" si="42"/>
        <v>8599030.1507943179</v>
      </c>
      <c r="T204" s="544"/>
      <c r="U204" s="544"/>
      <c r="V204" s="544"/>
      <c r="W204" s="544"/>
      <c r="X204" s="545"/>
      <c r="Y204" s="296">
        <f t="shared" si="40"/>
        <v>21454.666044896003</v>
      </c>
      <c r="Z204" s="295"/>
    </row>
    <row r="205" spans="2:26" x14ac:dyDescent="0.35">
      <c r="B205" s="546"/>
      <c r="E205" s="547"/>
      <c r="F205" s="762" t="s">
        <v>258</v>
      </c>
      <c r="G205" s="364" t="s">
        <v>203</v>
      </c>
      <c r="H205" s="365"/>
      <c r="I205" s="366"/>
      <c r="J205" s="364"/>
      <c r="K205" s="400">
        <v>0.1</v>
      </c>
      <c r="L205" s="662">
        <f>$AC$1</f>
        <v>400.8</v>
      </c>
      <c r="M205" s="542">
        <f>10/1000</f>
        <v>0.01</v>
      </c>
      <c r="N205" s="296">
        <v>1</v>
      </c>
      <c r="O205" s="401">
        <f t="shared" si="41"/>
        <v>0.40080000000000005</v>
      </c>
      <c r="P205" s="543"/>
      <c r="Q205" s="543"/>
      <c r="R205" s="299">
        <f>VLOOKUP($F205,'[1]Master Harga'!$E$5:$L$351,6,FALSE)</f>
        <v>662748.2415</v>
      </c>
      <c r="S205" s="543">
        <f t="shared" si="42"/>
        <v>265629.49519320001</v>
      </c>
      <c r="T205" s="544"/>
      <c r="U205" s="544"/>
      <c r="V205" s="544"/>
      <c r="W205" s="544"/>
      <c r="X205" s="545"/>
      <c r="Y205" s="296">
        <f t="shared" si="40"/>
        <v>662.74824150000006</v>
      </c>
      <c r="Z205" s="295"/>
    </row>
    <row r="206" spans="2:26" x14ac:dyDescent="0.35">
      <c r="B206" s="546"/>
      <c r="D206" s="550"/>
      <c r="E206" s="551"/>
      <c r="F206" s="295" t="s">
        <v>251</v>
      </c>
      <c r="G206" s="364" t="s">
        <v>203</v>
      </c>
      <c r="H206" s="365"/>
      <c r="I206" s="366"/>
      <c r="J206" s="364"/>
      <c r="K206" s="400">
        <v>0.1</v>
      </c>
      <c r="L206" s="662">
        <f>$AC$1</f>
        <v>400.8</v>
      </c>
      <c r="M206" s="542">
        <f>10/1000</f>
        <v>0.01</v>
      </c>
      <c r="N206" s="296">
        <v>1</v>
      </c>
      <c r="O206" s="401">
        <f t="shared" si="41"/>
        <v>0.40080000000000005</v>
      </c>
      <c r="P206" s="543"/>
      <c r="Q206" s="543"/>
      <c r="R206" s="299">
        <f>VLOOKUP($F206,'[1]Master Harga'!$E$5:$L$351,6,FALSE)</f>
        <v>715047.82649999985</v>
      </c>
      <c r="S206" s="543">
        <f t="shared" si="42"/>
        <v>286591.16886119999</v>
      </c>
      <c r="T206" s="544"/>
      <c r="U206" s="544"/>
      <c r="V206" s="544"/>
      <c r="W206" s="544"/>
      <c r="X206" s="545"/>
      <c r="Y206" s="296">
        <f t="shared" si="40"/>
        <v>715.04782649999993</v>
      </c>
      <c r="Z206" s="295"/>
    </row>
    <row r="207" spans="2:26" x14ac:dyDescent="0.35">
      <c r="B207" s="546"/>
      <c r="D207" t="s">
        <v>117</v>
      </c>
      <c r="E207" s="547"/>
      <c r="F207" s="295" t="s">
        <v>189</v>
      </c>
      <c r="G207" s="364" t="s">
        <v>190</v>
      </c>
      <c r="H207" s="365"/>
      <c r="I207" s="366"/>
      <c r="J207" s="364" t="s">
        <v>253</v>
      </c>
      <c r="K207" s="400">
        <v>0.1</v>
      </c>
      <c r="L207" s="662">
        <f>'SI TB LC'!L87</f>
        <v>4008</v>
      </c>
      <c r="M207" s="508">
        <v>0.5</v>
      </c>
      <c r="N207" s="296">
        <v>1</v>
      </c>
      <c r="O207" s="401">
        <f t="shared" si="41"/>
        <v>200.4</v>
      </c>
      <c r="P207" s="299">
        <f>VLOOKUP($F207,'[1]Master Harga'!$E$5:$L$351,5,FALSE)</f>
        <v>140008</v>
      </c>
      <c r="Q207" s="543">
        <f>P207*$O207</f>
        <v>28057603.199999999</v>
      </c>
      <c r="R207" s="299">
        <f>VLOOKUP($F207,'[1]Master Harga'!$E$5:$L$351,6,FALSE)</f>
        <v>149108.51999999999</v>
      </c>
      <c r="S207" s="543">
        <f t="shared" si="42"/>
        <v>29881347.408</v>
      </c>
      <c r="T207" s="296">
        <f>VLOOKUP($F207,'[2]Master Harga'!$E$5:$L$348,7,FALSE)</f>
        <v>163305.33120000002</v>
      </c>
      <c r="U207" s="544">
        <f>$O207*T207</f>
        <v>32726388.372480005</v>
      </c>
      <c r="V207" s="296">
        <f>W207/O207</f>
        <v>150807.28373333334</v>
      </c>
      <c r="W207" s="307">
        <f>AVERAGEIF($P$3:$U$3,W$3,$P207:$U207)</f>
        <v>30221779.660160001</v>
      </c>
      <c r="X207" s="545"/>
      <c r="Y207" s="296">
        <f t="shared" si="40"/>
        <v>74554.259999999995</v>
      </c>
      <c r="Z207" s="295"/>
    </row>
    <row r="208" spans="2:26" x14ac:dyDescent="0.35">
      <c r="B208" s="546"/>
      <c r="E208" s="547"/>
      <c r="F208" s="295" t="s">
        <v>255</v>
      </c>
      <c r="G208" s="364" t="s">
        <v>256</v>
      </c>
      <c r="H208" s="365"/>
      <c r="I208" s="366"/>
      <c r="J208" s="364"/>
      <c r="K208" s="400">
        <v>0</v>
      </c>
      <c r="L208" s="662"/>
      <c r="M208" s="542"/>
      <c r="N208" s="296"/>
      <c r="O208" s="365"/>
      <c r="P208" s="543"/>
      <c r="Q208" s="543"/>
      <c r="R208" s="543"/>
      <c r="S208" s="543"/>
      <c r="T208" s="544"/>
      <c r="U208" s="544"/>
      <c r="V208" s="544"/>
      <c r="W208" s="544"/>
      <c r="X208" s="545"/>
      <c r="Y208" s="296">
        <f t="shared" si="40"/>
        <v>0</v>
      </c>
      <c r="Z208" s="295"/>
    </row>
    <row r="209" spans="2:26" x14ac:dyDescent="0.35">
      <c r="B209" s="546"/>
      <c r="E209" s="547"/>
      <c r="F209" s="295" t="s">
        <v>257</v>
      </c>
      <c r="G209" s="364" t="s">
        <v>256</v>
      </c>
      <c r="H209" s="365"/>
      <c r="I209" s="366"/>
      <c r="J209" s="364" t="s">
        <v>253</v>
      </c>
      <c r="K209" s="400">
        <v>0.1</v>
      </c>
      <c r="L209" s="662">
        <f>$L$207</f>
        <v>4008</v>
      </c>
      <c r="M209" s="294">
        <f>1050/1000</f>
        <v>1.05</v>
      </c>
      <c r="N209" s="296">
        <v>1</v>
      </c>
      <c r="O209" s="401">
        <f>K209*L209*M209*N209</f>
        <v>420.84000000000003</v>
      </c>
      <c r="P209" s="299">
        <f>VLOOKUP($F209,'[1]Master Harga'!$E$5:$L$351,5,FALSE)</f>
        <v>110590</v>
      </c>
      <c r="Q209" s="543">
        <f>P209*$O209</f>
        <v>46540695.600000001</v>
      </c>
      <c r="R209" s="299">
        <f>VLOOKUP($F209,'[1]Master Harga'!$E$5:$L$351,6,FALSE)</f>
        <v>116119.5</v>
      </c>
      <c r="S209" s="543">
        <f>R209*$O209</f>
        <v>48867730.380000003</v>
      </c>
      <c r="T209" s="296">
        <f>VLOOKUP($F209,'[2]Master Harga'!$E$5:$L$348,7,FALSE)</f>
        <v>133813.90000000002</v>
      </c>
      <c r="U209" s="544">
        <f>$O209*T209</f>
        <v>56314241.676000014</v>
      </c>
      <c r="V209" s="296">
        <f>W209/O209</f>
        <v>120174.46666666667</v>
      </c>
      <c r="W209" s="307">
        <f>AVERAGEIF($P$3:$U$3,W$3,$P209:$U209)</f>
        <v>50574222.552000009</v>
      </c>
      <c r="X209" s="545"/>
      <c r="Y209" s="296">
        <f t="shared" si="40"/>
        <v>121925.47500000001</v>
      </c>
      <c r="Z209" s="450"/>
    </row>
    <row r="210" spans="2:26" x14ac:dyDescent="0.35">
      <c r="B210" s="546"/>
      <c r="E210" s="547"/>
      <c r="F210" t="s">
        <v>204</v>
      </c>
      <c r="G210" s="364" t="s">
        <v>203</v>
      </c>
      <c r="H210" s="365"/>
      <c r="I210" s="366"/>
      <c r="J210" s="364"/>
      <c r="K210" s="400">
        <v>1</v>
      </c>
      <c r="L210" s="662">
        <f>$L$207</f>
        <v>4008</v>
      </c>
      <c r="M210" s="294">
        <v>2.8000000000000001E-2</v>
      </c>
      <c r="N210" s="296">
        <v>1</v>
      </c>
      <c r="O210" s="401">
        <f>K210*L210*M210*N210</f>
        <v>112.224</v>
      </c>
      <c r="P210" s="543"/>
      <c r="Q210" s="543"/>
      <c r="R210" s="299">
        <f>VLOOKUP($F210,'[1]Master Harga'!$E$5:$L$351,6,FALSE)</f>
        <v>766238.0730320001</v>
      </c>
      <c r="S210" s="543">
        <f>R210*$O210</f>
        <v>85990301.507943183</v>
      </c>
      <c r="T210" s="544"/>
      <c r="U210" s="544"/>
      <c r="V210" s="544"/>
      <c r="W210" s="544"/>
      <c r="X210" s="545"/>
      <c r="Y210" s="296">
        <f t="shared" si="40"/>
        <v>214546.66044896003</v>
      </c>
      <c r="Z210" s="295"/>
    </row>
    <row r="211" spans="2:26" x14ac:dyDescent="0.35">
      <c r="B211" s="546"/>
      <c r="E211" s="547"/>
      <c r="F211" s="295" t="s">
        <v>258</v>
      </c>
      <c r="G211" s="364" t="s">
        <v>203</v>
      </c>
      <c r="H211" s="365"/>
      <c r="I211" s="366"/>
      <c r="J211" s="364" t="s">
        <v>253</v>
      </c>
      <c r="K211" s="400">
        <v>0.1</v>
      </c>
      <c r="L211" s="662">
        <f>$L$207</f>
        <v>4008</v>
      </c>
      <c r="M211" s="542">
        <f>8/1000</f>
        <v>8.0000000000000002E-3</v>
      </c>
      <c r="N211" s="296">
        <v>1</v>
      </c>
      <c r="O211" s="401">
        <f>K211*L211*M211*N211</f>
        <v>3.2064000000000004</v>
      </c>
      <c r="P211" s="299">
        <f>VLOOKUP($F211,'[1]Master Harga'!$E$5:$L$351,5,FALSE)</f>
        <v>630976.61249999993</v>
      </c>
      <c r="Q211" s="543">
        <f>P211*$O211</f>
        <v>2023163.41032</v>
      </c>
      <c r="R211" s="299">
        <f>VLOOKUP($F211,'[1]Master Harga'!$E$5:$L$351,6,FALSE)</f>
        <v>662748.2415</v>
      </c>
      <c r="S211" s="543">
        <f>R211*$O211</f>
        <v>2125035.9615456001</v>
      </c>
      <c r="T211" s="296">
        <f>VLOOKUP($F211,'[2]Master Harga'!$E$5:$L$348,7,FALSE)</f>
        <v>577911.85919999995</v>
      </c>
      <c r="U211" s="544">
        <f>$O211*T211</f>
        <v>1853016.5853388801</v>
      </c>
      <c r="V211" s="296">
        <f>W211/O211</f>
        <v>623878.9044</v>
      </c>
      <c r="W211" s="307">
        <f>AVERAGEIF($P$3:$U$3,W$3,$P211:$U211)</f>
        <v>2000405.3190681601</v>
      </c>
      <c r="X211" s="545"/>
      <c r="Y211" s="296">
        <f t="shared" si="40"/>
        <v>5301.9859320000005</v>
      </c>
      <c r="Z211" s="450"/>
    </row>
    <row r="212" spans="2:26" x14ac:dyDescent="0.35">
      <c r="B212" s="546"/>
      <c r="D212" s="550"/>
      <c r="E212" s="551"/>
      <c r="F212" s="295" t="s">
        <v>251</v>
      </c>
      <c r="G212" s="364" t="s">
        <v>203</v>
      </c>
      <c r="H212" s="365"/>
      <c r="I212" s="366"/>
      <c r="J212" s="364" t="s">
        <v>253</v>
      </c>
      <c r="K212" s="400">
        <v>0.1</v>
      </c>
      <c r="L212" s="662">
        <f>$L$207</f>
        <v>4008</v>
      </c>
      <c r="M212" s="542">
        <f>8/1000</f>
        <v>8.0000000000000002E-3</v>
      </c>
      <c r="N212" s="296">
        <v>1</v>
      </c>
      <c r="O212" s="401">
        <f>K212*L212*M212*N212</f>
        <v>3.2064000000000004</v>
      </c>
      <c r="P212" s="299">
        <f>VLOOKUP($F212,'[1]Master Harga'!$E$5:$L$351,5,FALSE)</f>
        <v>680610.48749999993</v>
      </c>
      <c r="Q212" s="543">
        <f>P212*$O212</f>
        <v>2182309.4671200002</v>
      </c>
      <c r="R212" s="299">
        <f>VLOOKUP($F212,'[1]Master Harga'!$E$5:$L$351,6,FALSE)</f>
        <v>715047.82649999985</v>
      </c>
      <c r="S212" s="543">
        <f>R212*$O212</f>
        <v>2292729.3508895999</v>
      </c>
      <c r="T212" s="296">
        <f>VLOOKUP($F212,'[2]Master Harga'!$E$5:$L$348,7,FALSE)</f>
        <v>671314.50879999995</v>
      </c>
      <c r="U212" s="544">
        <f>$O212*T212</f>
        <v>2152502.84101632</v>
      </c>
      <c r="V212" s="296">
        <f>W212/O212</f>
        <v>688990.94093333336</v>
      </c>
      <c r="W212" s="307">
        <f>AVERAGEIF($P$3:$U$3,W$3,$P212:$U212)</f>
        <v>2209180.5530086402</v>
      </c>
      <c r="X212" s="545"/>
      <c r="Y212" s="296">
        <f t="shared" si="40"/>
        <v>5720.3826119999994</v>
      </c>
      <c r="Z212" s="450"/>
    </row>
    <row r="213" spans="2:26" x14ac:dyDescent="0.35">
      <c r="B213" s="546"/>
      <c r="D213" t="s">
        <v>119</v>
      </c>
      <c r="E213" s="547"/>
      <c r="F213" s="295" t="s">
        <v>189</v>
      </c>
      <c r="G213" s="364" t="s">
        <v>190</v>
      </c>
      <c r="H213" s="365"/>
      <c r="I213" s="366"/>
      <c r="J213" s="364" t="s">
        <v>253</v>
      </c>
      <c r="K213" s="400">
        <v>0</v>
      </c>
      <c r="L213" s="662">
        <f>'SI TB LC'!L91</f>
        <v>13358.663999999999</v>
      </c>
      <c r="M213" s="508">
        <v>0.5</v>
      </c>
      <c r="N213" s="296">
        <v>1</v>
      </c>
      <c r="O213" s="401">
        <f>K213*L213*M213*N213</f>
        <v>0</v>
      </c>
      <c r="P213" s="299">
        <f>VLOOKUP($F213,'[1]Master Harga'!$E$5:$L$351,5,FALSE)</f>
        <v>140008</v>
      </c>
      <c r="Q213" s="543">
        <f>P213*$O213</f>
        <v>0</v>
      </c>
      <c r="R213" s="299">
        <f>VLOOKUP($F213,'[1]Master Harga'!$E$5:$L$351,6,FALSE)</f>
        <v>149108.51999999999</v>
      </c>
      <c r="S213" s="543">
        <f>R213*$O213</f>
        <v>0</v>
      </c>
      <c r="T213" s="296">
        <f>VLOOKUP($F213,'[2]Master Harga'!$E$5:$L$348,7,FALSE)</f>
        <v>163305.33120000002</v>
      </c>
      <c r="U213" s="544">
        <f>$O213*T213</f>
        <v>0</v>
      </c>
      <c r="V213" s="296" t="e">
        <f>W213/O213</f>
        <v>#DIV/0!</v>
      </c>
      <c r="W213" s="307">
        <f>AVERAGEIF($P$3:$U$3,W$3,$P213:$U213)</f>
        <v>0</v>
      </c>
      <c r="X213" s="545"/>
      <c r="Y213" s="296">
        <f t="shared" si="40"/>
        <v>0</v>
      </c>
      <c r="Z213" s="295"/>
    </row>
    <row r="214" spans="2:26" x14ac:dyDescent="0.35">
      <c r="B214" s="546"/>
      <c r="E214" s="547"/>
      <c r="F214" s="295" t="s">
        <v>255</v>
      </c>
      <c r="G214" s="364" t="s">
        <v>256</v>
      </c>
      <c r="H214" s="365"/>
      <c r="I214" s="366"/>
      <c r="J214" s="364"/>
      <c r="K214" s="400">
        <v>0</v>
      </c>
      <c r="L214" s="662"/>
      <c r="M214" s="542"/>
      <c r="N214" s="296"/>
      <c r="O214" s="365"/>
      <c r="P214" s="543"/>
      <c r="Q214" s="543"/>
      <c r="R214" s="299">
        <f>VLOOKUP($F214,'[1]Master Harga'!$E$5:$L$351,6,FALSE)</f>
        <v>194400</v>
      </c>
      <c r="S214" s="543"/>
      <c r="T214" s="544"/>
      <c r="U214" s="544"/>
      <c r="V214" s="544"/>
      <c r="W214" s="544"/>
      <c r="X214" s="545"/>
      <c r="Y214" s="296">
        <f t="shared" si="40"/>
        <v>0</v>
      </c>
      <c r="Z214" s="295"/>
    </row>
    <row r="215" spans="2:26" x14ac:dyDescent="0.35">
      <c r="B215" s="546"/>
      <c r="E215" s="547"/>
      <c r="F215" s="295" t="s">
        <v>257</v>
      </c>
      <c r="G215" s="364" t="s">
        <v>256</v>
      </c>
      <c r="H215" s="365"/>
      <c r="I215" s="366"/>
      <c r="J215" s="364"/>
      <c r="K215" s="400">
        <v>0.1</v>
      </c>
      <c r="L215" s="662">
        <f>$L$213</f>
        <v>13358.663999999999</v>
      </c>
      <c r="M215" s="294">
        <f>1050/1000</f>
        <v>1.05</v>
      </c>
      <c r="N215" s="296">
        <v>1</v>
      </c>
      <c r="O215" s="401">
        <f>K215*L215*M215*N215</f>
        <v>1402.6597199999999</v>
      </c>
      <c r="P215" s="299">
        <f>VLOOKUP($F215,'[1]Master Harga'!$E$5:$L$351,5,FALSE)</f>
        <v>110590</v>
      </c>
      <c r="Q215" s="543">
        <f>P215*$O215</f>
        <v>155120138.4348</v>
      </c>
      <c r="R215" s="299">
        <f>VLOOKUP($F215,'[1]Master Harga'!$E$5:$L$351,6,FALSE)</f>
        <v>116119.5</v>
      </c>
      <c r="S215" s="543">
        <f>R215*$O215</f>
        <v>162876145.35653999</v>
      </c>
      <c r="T215" s="296">
        <f>VLOOKUP($F215,'[2]Master Harga'!$E$5:$L$348,7,FALSE)</f>
        <v>133813.90000000002</v>
      </c>
      <c r="U215" s="544">
        <f>$O215*T215</f>
        <v>187695367.50610802</v>
      </c>
      <c r="V215" s="296">
        <f>W215/O215</f>
        <v>120174.46666666667</v>
      </c>
      <c r="W215" s="307">
        <f>AVERAGEIF($P$3:$U$3,W$3,$P215:$U215)</f>
        <v>168563883.765816</v>
      </c>
      <c r="X215" s="545"/>
      <c r="Y215" s="296">
        <f t="shared" si="40"/>
        <v>406377.608175</v>
      </c>
      <c r="Z215" s="295"/>
    </row>
    <row r="216" spans="2:26" x14ac:dyDescent="0.35">
      <c r="B216" s="546"/>
      <c r="E216" s="547"/>
      <c r="F216" t="s">
        <v>204</v>
      </c>
      <c r="G216" s="364" t="s">
        <v>203</v>
      </c>
      <c r="H216" s="365"/>
      <c r="I216" s="366"/>
      <c r="J216" s="364"/>
      <c r="K216" s="400">
        <v>1</v>
      </c>
      <c r="L216" s="662">
        <f>$L$213</f>
        <v>13358.663999999999</v>
      </c>
      <c r="M216" s="294">
        <v>2.8000000000000001E-2</v>
      </c>
      <c r="N216" s="296">
        <v>1</v>
      </c>
      <c r="O216" s="401">
        <f>K216*L216*M216*N216</f>
        <v>374.04259199999996</v>
      </c>
      <c r="P216" s="543"/>
      <c r="Q216" s="543"/>
      <c r="R216" s="299">
        <f>VLOOKUP($F216,'[1]Master Harga'!$E$5:$L$351,6,FALSE)</f>
        <v>766238.0730320001</v>
      </c>
      <c r="S216" s="543">
        <f>R216*$O216</f>
        <v>286605674.92597461</v>
      </c>
      <c r="T216" s="544"/>
      <c r="U216" s="544"/>
      <c r="V216" s="544"/>
      <c r="W216" s="544"/>
      <c r="X216" s="545"/>
      <c r="Y216" s="296">
        <f t="shared" si="40"/>
        <v>715084.01927638368</v>
      </c>
      <c r="Z216" s="295"/>
    </row>
    <row r="217" spans="2:26" x14ac:dyDescent="0.35">
      <c r="B217" s="546"/>
      <c r="E217" s="547"/>
      <c r="F217" s="295" t="s">
        <v>258</v>
      </c>
      <c r="G217" s="364" t="s">
        <v>203</v>
      </c>
      <c r="H217" s="365"/>
      <c r="I217" s="366"/>
      <c r="J217" s="364"/>
      <c r="K217" s="400">
        <v>0.1</v>
      </c>
      <c r="L217" s="662">
        <f>$L$213</f>
        <v>13358.663999999999</v>
      </c>
      <c r="M217" s="542">
        <f>8/1000</f>
        <v>8.0000000000000002E-3</v>
      </c>
      <c r="N217" s="296">
        <v>1</v>
      </c>
      <c r="O217" s="401">
        <f>K217*L217*M217*N217</f>
        <v>10.6869312</v>
      </c>
      <c r="P217" s="299">
        <f>VLOOKUP($F217,'[1]Master Harga'!$E$5:$L$351,5,FALSE)</f>
        <v>630976.61249999993</v>
      </c>
      <c r="Q217" s="543">
        <f>P217*$O217</f>
        <v>6743203.6465965593</v>
      </c>
      <c r="R217" s="299">
        <f>VLOOKUP($F217,'[1]Master Harga'!$E$5:$L$351,6,FALSE)</f>
        <v>662748.2415</v>
      </c>
      <c r="S217" s="543">
        <f>R217*$O217</f>
        <v>7082744.859831485</v>
      </c>
      <c r="T217" s="296">
        <f>VLOOKUP($F217,'[2]Master Harga'!$E$5:$L$348,7,FALSE)</f>
        <v>577911.85919999995</v>
      </c>
      <c r="U217" s="544">
        <f>$O217*T217</f>
        <v>6176104.2789344862</v>
      </c>
      <c r="V217" s="296">
        <f>W217/O217</f>
        <v>623878.90439999988</v>
      </c>
      <c r="W217" s="307">
        <f>AVERAGEIF($P$3:$U$3,W$3,$P217:$U217)</f>
        <v>6667350.9284541765</v>
      </c>
      <c r="X217" s="545"/>
      <c r="Y217" s="296">
        <f t="shared" si="40"/>
        <v>17671.519111355999</v>
      </c>
      <c r="Z217" s="295"/>
    </row>
    <row r="218" spans="2:26" x14ac:dyDescent="0.35">
      <c r="B218" s="546"/>
      <c r="D218" s="550"/>
      <c r="E218" s="551"/>
      <c r="F218" s="295" t="s">
        <v>251</v>
      </c>
      <c r="G218" s="364" t="s">
        <v>203</v>
      </c>
      <c r="H218" s="365"/>
      <c r="I218" s="366"/>
      <c r="J218" s="364"/>
      <c r="K218" s="400">
        <v>0.1</v>
      </c>
      <c r="L218" s="662">
        <f>$L$213</f>
        <v>13358.663999999999</v>
      </c>
      <c r="M218" s="542">
        <f>8/1000</f>
        <v>8.0000000000000002E-3</v>
      </c>
      <c r="N218" s="296">
        <v>1</v>
      </c>
      <c r="O218" s="401">
        <f>K218*L218*M218*N218</f>
        <v>10.6869312</v>
      </c>
      <c r="P218" s="299">
        <f>VLOOKUP($F218,'[1]Master Harga'!$E$5:$L$351,5,FALSE)</f>
        <v>680610.48749999993</v>
      </c>
      <c r="Q218" s="543">
        <f>P218*$O218</f>
        <v>7273637.453910959</v>
      </c>
      <c r="R218" s="299">
        <f>VLOOKUP($F218,'[1]Master Harga'!$E$5:$L$351,6,FALSE)</f>
        <v>715047.82649999985</v>
      </c>
      <c r="S218" s="543">
        <f>R218*$O218</f>
        <v>7641666.9265150353</v>
      </c>
      <c r="T218" s="296">
        <f>VLOOKUP($F218,'[2]Master Harga'!$E$5:$L$348,7,FALSE)</f>
        <v>671314.50879999995</v>
      </c>
      <c r="U218" s="544">
        <f>$O218*T218</f>
        <v>7174291.9691073941</v>
      </c>
      <c r="V218" s="296">
        <f>W218/O218</f>
        <v>688990.94093333324</v>
      </c>
      <c r="W218" s="307">
        <f>AVERAGEIF($P$3:$U$3,W$3,$P218:$U218)</f>
        <v>7363198.7831777958</v>
      </c>
      <c r="X218" s="545"/>
      <c r="Y218" s="296">
        <f t="shared" si="40"/>
        <v>19066.035245795996</v>
      </c>
      <c r="Z218" s="295"/>
    </row>
    <row r="219" spans="2:26" x14ac:dyDescent="0.35">
      <c r="B219" s="546"/>
      <c r="D219" t="s">
        <v>121</v>
      </c>
      <c r="E219" s="547"/>
      <c r="F219" s="295" t="s">
        <v>189</v>
      </c>
      <c r="G219" s="364" t="s">
        <v>190</v>
      </c>
      <c r="H219" s="365"/>
      <c r="I219" s="366"/>
      <c r="J219" s="364"/>
      <c r="K219" s="400">
        <v>0.1</v>
      </c>
      <c r="L219" s="662">
        <f>'SI TB LC'!L95</f>
        <v>15262</v>
      </c>
      <c r="M219" s="508">
        <v>0.5</v>
      </c>
      <c r="N219" s="296">
        <v>1</v>
      </c>
      <c r="O219" s="401">
        <f>K219*L219*M219*N219</f>
        <v>763.1</v>
      </c>
      <c r="P219" s="543"/>
      <c r="Q219" s="543"/>
      <c r="R219" s="299">
        <f>VLOOKUP($F219,'[1]Master Harga'!$E$5:$L$351,6,FALSE)</f>
        <v>149108.51999999999</v>
      </c>
      <c r="S219" s="543">
        <f>R219*$O219</f>
        <v>113784711.61199999</v>
      </c>
      <c r="T219" s="544"/>
      <c r="U219" s="544"/>
      <c r="V219" s="544"/>
      <c r="W219" s="544"/>
      <c r="X219" s="545"/>
      <c r="Y219" s="296">
        <f t="shared" si="40"/>
        <v>283893.99104790413</v>
      </c>
      <c r="Z219" s="295"/>
    </row>
    <row r="220" spans="2:26" x14ac:dyDescent="0.35">
      <c r="B220" s="546"/>
      <c r="E220" s="547"/>
      <c r="F220" s="295" t="s">
        <v>255</v>
      </c>
      <c r="G220" s="364" t="s">
        <v>256</v>
      </c>
      <c r="H220" s="365"/>
      <c r="I220" s="366"/>
      <c r="J220" s="364"/>
      <c r="K220" s="400">
        <v>0</v>
      </c>
      <c r="L220" s="662"/>
      <c r="M220" s="542"/>
      <c r="N220" s="296"/>
      <c r="O220" s="365"/>
      <c r="P220" s="543"/>
      <c r="Q220" s="543"/>
      <c r="R220" s="299">
        <f>VLOOKUP($F220,'[1]Master Harga'!$E$5:$L$351,6,FALSE)</f>
        <v>194400</v>
      </c>
      <c r="S220" s="543"/>
      <c r="T220" s="544"/>
      <c r="U220" s="544"/>
      <c r="V220" s="544"/>
      <c r="W220" s="544"/>
      <c r="X220" s="545"/>
      <c r="Y220" s="296">
        <f t="shared" si="40"/>
        <v>0</v>
      </c>
      <c r="Z220" s="295"/>
    </row>
    <row r="221" spans="2:26" x14ac:dyDescent="0.35">
      <c r="B221" s="700"/>
      <c r="C221" s="357"/>
      <c r="D221" s="357"/>
      <c r="E221" s="701"/>
      <c r="F221" s="436" t="s">
        <v>257</v>
      </c>
      <c r="G221" s="579" t="s">
        <v>256</v>
      </c>
      <c r="H221" s="545"/>
      <c r="I221" s="580"/>
      <c r="J221" s="579"/>
      <c r="K221" s="400">
        <v>0</v>
      </c>
      <c r="L221" s="662">
        <v>10753</v>
      </c>
      <c r="M221" s="294">
        <f>1050/1000</f>
        <v>1.05</v>
      </c>
      <c r="N221" s="296">
        <v>1</v>
      </c>
      <c r="O221" s="401">
        <f t="shared" ref="O221:O229" si="43">K221*L221*M221*N221</f>
        <v>0</v>
      </c>
      <c r="P221" s="683"/>
      <c r="Q221" s="683"/>
      <c r="R221" s="299">
        <f>VLOOKUP($F221,'[1]Master Harga'!$E$5:$L$351,6,FALSE)</f>
        <v>116119.5</v>
      </c>
      <c r="S221" s="543">
        <f t="shared" ref="S221:S229" si="44">R221*$O221</f>
        <v>0</v>
      </c>
      <c r="T221" s="684"/>
      <c r="U221" s="684"/>
      <c r="V221" s="684"/>
      <c r="W221" s="684"/>
      <c r="X221" s="545"/>
      <c r="Y221" s="296">
        <f t="shared" si="40"/>
        <v>0</v>
      </c>
      <c r="Z221" s="295"/>
    </row>
    <row r="222" spans="2:26" x14ac:dyDescent="0.35">
      <c r="B222" s="700"/>
      <c r="C222" s="357"/>
      <c r="D222" s="357"/>
      <c r="E222" s="701"/>
      <c r="F222" t="s">
        <v>204</v>
      </c>
      <c r="G222" s="579" t="s">
        <v>203</v>
      </c>
      <c r="H222" s="545"/>
      <c r="I222" s="580"/>
      <c r="J222" s="579"/>
      <c r="K222" s="400">
        <v>1</v>
      </c>
      <c r="L222" s="662">
        <v>10753</v>
      </c>
      <c r="M222" s="294">
        <v>2.8000000000000001E-2</v>
      </c>
      <c r="N222" s="296">
        <v>1</v>
      </c>
      <c r="O222" s="401">
        <f t="shared" si="43"/>
        <v>301.084</v>
      </c>
      <c r="P222" s="683"/>
      <c r="Q222" s="683"/>
      <c r="R222" s="299">
        <f>VLOOKUP($F222,'[1]Master Harga'!$E$5:$L$351,6,FALSE)</f>
        <v>766238.0730320001</v>
      </c>
      <c r="S222" s="543">
        <f t="shared" si="44"/>
        <v>230702023.98076671</v>
      </c>
      <c r="T222" s="684"/>
      <c r="U222" s="684"/>
      <c r="V222" s="684"/>
      <c r="W222" s="684"/>
      <c r="X222" s="545"/>
      <c r="Y222" s="296">
        <f t="shared" si="40"/>
        <v>575603.85224742198</v>
      </c>
      <c r="Z222" s="295"/>
    </row>
    <row r="223" spans="2:26" x14ac:dyDescent="0.35">
      <c r="B223" s="700"/>
      <c r="C223" s="357"/>
      <c r="D223" s="357"/>
      <c r="E223" s="701"/>
      <c r="F223" s="436" t="s">
        <v>258</v>
      </c>
      <c r="G223" s="579" t="s">
        <v>203</v>
      </c>
      <c r="H223" s="545"/>
      <c r="I223" s="580"/>
      <c r="J223" s="579"/>
      <c r="K223" s="400">
        <v>0.1</v>
      </c>
      <c r="L223" s="662">
        <v>10753</v>
      </c>
      <c r="M223" s="542">
        <f>8/1000</f>
        <v>8.0000000000000002E-3</v>
      </c>
      <c r="N223" s="296">
        <v>1</v>
      </c>
      <c r="O223" s="401">
        <f t="shared" si="43"/>
        <v>8.6023999999999994</v>
      </c>
      <c r="P223" s="683"/>
      <c r="Q223" s="683"/>
      <c r="R223" s="299">
        <f>VLOOKUP($F223,'[1]Master Harga'!$E$5:$L$351,6,FALSE)</f>
        <v>662748.2415</v>
      </c>
      <c r="S223" s="543">
        <f t="shared" si="44"/>
        <v>5701225.4726795992</v>
      </c>
      <c r="T223" s="684"/>
      <c r="U223" s="684"/>
      <c r="V223" s="684"/>
      <c r="W223" s="684"/>
      <c r="X223" s="545"/>
      <c r="Y223" s="296">
        <f t="shared" si="40"/>
        <v>14224.61445279341</v>
      </c>
      <c r="Z223" s="295"/>
    </row>
    <row r="224" spans="2:26" x14ac:dyDescent="0.35">
      <c r="B224" s="700"/>
      <c r="C224" s="357"/>
      <c r="D224" s="681"/>
      <c r="E224" s="682"/>
      <c r="F224" s="436" t="s">
        <v>251</v>
      </c>
      <c r="G224" s="579" t="s">
        <v>203</v>
      </c>
      <c r="H224" s="545"/>
      <c r="I224" s="580"/>
      <c r="J224" s="579"/>
      <c r="K224" s="400">
        <v>0.1</v>
      </c>
      <c r="L224" s="662">
        <v>10753</v>
      </c>
      <c r="M224" s="542">
        <f>8/1000</f>
        <v>8.0000000000000002E-3</v>
      </c>
      <c r="N224" s="296">
        <v>1</v>
      </c>
      <c r="O224" s="401">
        <f t="shared" si="43"/>
        <v>8.6023999999999994</v>
      </c>
      <c r="P224" s="683"/>
      <c r="Q224" s="683"/>
      <c r="R224" s="299">
        <f>VLOOKUP($F224,'[1]Master Harga'!$E$5:$L$351,6,FALSE)</f>
        <v>715047.82649999985</v>
      </c>
      <c r="S224" s="543">
        <f t="shared" si="44"/>
        <v>6151127.4226835985</v>
      </c>
      <c r="T224" s="684"/>
      <c r="U224" s="684"/>
      <c r="V224" s="684"/>
      <c r="W224" s="684"/>
      <c r="X224" s="545"/>
      <c r="Y224" s="296">
        <f t="shared" si="40"/>
        <v>15347.124308092811</v>
      </c>
      <c r="Z224" s="295"/>
    </row>
    <row r="225" spans="2:26" x14ac:dyDescent="0.35">
      <c r="B225" s="700"/>
      <c r="C225" s="357"/>
      <c r="D225" s="763" t="s">
        <v>123</v>
      </c>
      <c r="E225" s="764"/>
      <c r="F225" s="295" t="s">
        <v>189</v>
      </c>
      <c r="G225" s="364" t="s">
        <v>190</v>
      </c>
      <c r="H225" s="365"/>
      <c r="I225" s="366"/>
      <c r="J225" s="364"/>
      <c r="K225" s="400">
        <v>0</v>
      </c>
      <c r="L225" s="662"/>
      <c r="M225" s="508">
        <v>0.5</v>
      </c>
      <c r="N225" s="296">
        <v>1</v>
      </c>
      <c r="O225" s="401">
        <f t="shared" si="43"/>
        <v>0</v>
      </c>
      <c r="P225" s="683"/>
      <c r="Q225" s="683"/>
      <c r="R225" s="299">
        <f>VLOOKUP($F225,'[1]Master Harga'!$E$5:$L$351,6,FALSE)</f>
        <v>149108.51999999999</v>
      </c>
      <c r="S225" s="543">
        <f t="shared" si="44"/>
        <v>0</v>
      </c>
      <c r="T225" s="684"/>
      <c r="U225" s="684"/>
      <c r="V225" s="684"/>
      <c r="W225" s="684"/>
      <c r="X225" s="545"/>
      <c r="Y225" s="296">
        <f t="shared" si="40"/>
        <v>0</v>
      </c>
      <c r="Z225" s="295"/>
    </row>
    <row r="226" spans="2:26" hidden="1" x14ac:dyDescent="0.35">
      <c r="B226" s="700"/>
      <c r="C226" s="357"/>
      <c r="D226" s="357"/>
      <c r="E226" s="701"/>
      <c r="F226" s="436" t="s">
        <v>257</v>
      </c>
      <c r="G226" s="579" t="s">
        <v>256</v>
      </c>
      <c r="H226" s="545"/>
      <c r="I226" s="580"/>
      <c r="J226" s="579"/>
      <c r="K226" s="400">
        <v>0</v>
      </c>
      <c r="L226" s="662"/>
      <c r="M226" s="294">
        <f>1050/1000</f>
        <v>1.05</v>
      </c>
      <c r="N226" s="296">
        <v>1</v>
      </c>
      <c r="O226" s="401">
        <f t="shared" si="43"/>
        <v>0</v>
      </c>
      <c r="P226" s="683"/>
      <c r="Q226" s="683"/>
      <c r="R226" s="299">
        <f>VLOOKUP($F226,'[1]Master Harga'!$E$5:$L$351,6,FALSE)</f>
        <v>116119.5</v>
      </c>
      <c r="S226" s="543">
        <f t="shared" si="44"/>
        <v>0</v>
      </c>
      <c r="T226" s="684"/>
      <c r="U226" s="684"/>
      <c r="V226" s="684"/>
      <c r="W226" s="684"/>
      <c r="X226" s="545"/>
      <c r="Y226" s="296">
        <f t="shared" si="40"/>
        <v>0</v>
      </c>
      <c r="Z226" s="295"/>
    </row>
    <row r="227" spans="2:26" hidden="1" x14ac:dyDescent="0.35">
      <c r="B227" s="700"/>
      <c r="C227" s="357"/>
      <c r="D227" s="357"/>
      <c r="E227" s="701"/>
      <c r="F227" t="s">
        <v>204</v>
      </c>
      <c r="G227" s="579" t="s">
        <v>203</v>
      </c>
      <c r="H227" s="545"/>
      <c r="I227" s="580"/>
      <c r="J227" s="579"/>
      <c r="K227" s="400">
        <v>0</v>
      </c>
      <c r="L227" s="662"/>
      <c r="M227" s="294">
        <v>2.8000000000000001E-2</v>
      </c>
      <c r="N227" s="296">
        <v>1</v>
      </c>
      <c r="O227" s="401">
        <f t="shared" si="43"/>
        <v>0</v>
      </c>
      <c r="P227" s="683"/>
      <c r="Q227" s="683"/>
      <c r="R227" s="299">
        <f>VLOOKUP($F227,'[1]Master Harga'!$E$5:$L$351,6,FALSE)</f>
        <v>766238.0730320001</v>
      </c>
      <c r="S227" s="543">
        <f t="shared" si="44"/>
        <v>0</v>
      </c>
      <c r="T227" s="684"/>
      <c r="U227" s="684"/>
      <c r="V227" s="684"/>
      <c r="W227" s="684"/>
      <c r="X227" s="545"/>
      <c r="Y227" s="296">
        <f t="shared" si="40"/>
        <v>0</v>
      </c>
      <c r="Z227" s="295"/>
    </row>
    <row r="228" spans="2:26" hidden="1" x14ac:dyDescent="0.35">
      <c r="B228" s="700"/>
      <c r="C228" s="357"/>
      <c r="D228" s="357"/>
      <c r="E228" s="701"/>
      <c r="F228" s="436" t="s">
        <v>258</v>
      </c>
      <c r="G228" s="579" t="s">
        <v>203</v>
      </c>
      <c r="H228" s="545"/>
      <c r="I228" s="580"/>
      <c r="J228" s="579"/>
      <c r="K228" s="400">
        <v>0</v>
      </c>
      <c r="L228" s="662"/>
      <c r="M228" s="542">
        <f>8/1000</f>
        <v>8.0000000000000002E-3</v>
      </c>
      <c r="N228" s="296">
        <v>1</v>
      </c>
      <c r="O228" s="401">
        <f t="shared" si="43"/>
        <v>0</v>
      </c>
      <c r="P228" s="683"/>
      <c r="Q228" s="683"/>
      <c r="R228" s="299">
        <f>VLOOKUP($F228,'[1]Master Harga'!$E$5:$L$351,6,FALSE)</f>
        <v>662748.2415</v>
      </c>
      <c r="S228" s="543">
        <f t="shared" si="44"/>
        <v>0</v>
      </c>
      <c r="T228" s="684"/>
      <c r="U228" s="684"/>
      <c r="V228" s="684"/>
      <c r="W228" s="684"/>
      <c r="X228" s="545"/>
      <c r="Y228" s="296">
        <f t="shared" si="40"/>
        <v>0</v>
      </c>
      <c r="Z228" s="295"/>
    </row>
    <row r="229" spans="2:26" hidden="1" x14ac:dyDescent="0.35">
      <c r="B229" s="700"/>
      <c r="C229" s="357"/>
      <c r="D229" s="681"/>
      <c r="E229" s="682"/>
      <c r="F229" s="436" t="s">
        <v>251</v>
      </c>
      <c r="G229" s="579" t="s">
        <v>203</v>
      </c>
      <c r="H229" s="545"/>
      <c r="I229" s="580"/>
      <c r="J229" s="579"/>
      <c r="K229" s="400">
        <v>0</v>
      </c>
      <c r="L229" s="662"/>
      <c r="M229" s="542">
        <f>8/1000</f>
        <v>8.0000000000000002E-3</v>
      </c>
      <c r="N229" s="296">
        <v>1</v>
      </c>
      <c r="O229" s="401">
        <f t="shared" si="43"/>
        <v>0</v>
      </c>
      <c r="P229" s="683"/>
      <c r="Q229" s="683"/>
      <c r="R229" s="299">
        <f>VLOOKUP($F229,'[1]Master Harga'!$E$5:$L$351,6,FALSE)</f>
        <v>715047.82649999985</v>
      </c>
      <c r="S229" s="543">
        <f t="shared" si="44"/>
        <v>0</v>
      </c>
      <c r="T229" s="684"/>
      <c r="U229" s="684"/>
      <c r="V229" s="684"/>
      <c r="W229" s="684"/>
      <c r="X229" s="545"/>
      <c r="Y229" s="296">
        <f t="shared" si="40"/>
        <v>0</v>
      </c>
      <c r="Z229" s="295"/>
    </row>
    <row r="230" spans="2:26" hidden="1" x14ac:dyDescent="0.35">
      <c r="B230" s="700"/>
      <c r="C230" s="357"/>
      <c r="D230" s="763" t="s">
        <v>117</v>
      </c>
      <c r="E230" s="764"/>
      <c r="F230" s="436" t="s">
        <v>189</v>
      </c>
      <c r="G230" s="579" t="s">
        <v>190</v>
      </c>
      <c r="H230" s="545"/>
      <c r="I230" s="580"/>
      <c r="J230" s="579"/>
      <c r="K230" s="439"/>
      <c r="L230" s="702"/>
      <c r="M230" s="552">
        <f>1/100</f>
        <v>0.01</v>
      </c>
      <c r="N230" s="437">
        <v>2</v>
      </c>
      <c r="O230" s="545"/>
      <c r="P230" s="683"/>
      <c r="Q230" s="683"/>
      <c r="R230" s="683"/>
      <c r="S230" s="683"/>
      <c r="T230" s="684"/>
      <c r="U230" s="684"/>
      <c r="V230" s="684"/>
      <c r="W230" s="684"/>
      <c r="X230" s="545"/>
      <c r="Y230" s="296">
        <f t="shared" si="40"/>
        <v>0</v>
      </c>
      <c r="Z230" s="295"/>
    </row>
    <row r="231" spans="2:26" hidden="1" x14ac:dyDescent="0.35">
      <c r="B231" s="700"/>
      <c r="C231" s="357"/>
      <c r="D231" s="357"/>
      <c r="E231" s="701"/>
      <c r="F231" s="436" t="s">
        <v>258</v>
      </c>
      <c r="G231" s="579" t="s">
        <v>203</v>
      </c>
      <c r="H231" s="545"/>
      <c r="I231" s="580"/>
      <c r="J231" s="364" t="s">
        <v>253</v>
      </c>
      <c r="K231" s="400"/>
      <c r="L231" s="702">
        <v>10</v>
      </c>
      <c r="M231" s="552">
        <f>3/1000</f>
        <v>3.0000000000000001E-3</v>
      </c>
      <c r="N231" s="437">
        <v>1</v>
      </c>
      <c r="O231" s="401">
        <f>K231*L231*M231*N231</f>
        <v>0</v>
      </c>
      <c r="P231" s="299">
        <f>VLOOKUP($F231,'[1]Master Harga'!$E$5:$L$351,5,FALSE)</f>
        <v>630976.61249999993</v>
      </c>
      <c r="Q231" s="543">
        <f>P231*$O231</f>
        <v>0</v>
      </c>
      <c r="R231" s="299">
        <f>VLOOKUP($F231,'[1]Master Harga'!$E$5:$L$351,6,FALSE)</f>
        <v>662748.2415</v>
      </c>
      <c r="S231" s="543">
        <f>R231*$O231</f>
        <v>0</v>
      </c>
      <c r="T231" s="296">
        <f>VLOOKUP($F231,'[2]Master Harga'!$E$5:$L$348,7,FALSE)</f>
        <v>577911.85919999995</v>
      </c>
      <c r="U231" s="544">
        <f>$O231*T231</f>
        <v>0</v>
      </c>
      <c r="V231" s="296" t="e">
        <f>W231/O231</f>
        <v>#DIV/0!</v>
      </c>
      <c r="W231" s="307">
        <f>AVERAGEIF($P$3:$U$3,W$3,$P231:$U231)</f>
        <v>0</v>
      </c>
      <c r="X231" s="545"/>
      <c r="Y231" s="296">
        <f t="shared" si="40"/>
        <v>0</v>
      </c>
      <c r="Z231" s="295"/>
    </row>
    <row r="232" spans="2:26" hidden="1" x14ac:dyDescent="0.35">
      <c r="B232" s="700"/>
      <c r="C232" s="357"/>
      <c r="D232" s="681"/>
      <c r="E232" s="682"/>
      <c r="F232" s="436" t="s">
        <v>251</v>
      </c>
      <c r="G232" s="579" t="s">
        <v>203</v>
      </c>
      <c r="H232" s="545"/>
      <c r="I232" s="580"/>
      <c r="J232" s="364" t="s">
        <v>253</v>
      </c>
      <c r="K232" s="400"/>
      <c r="L232" s="702">
        <v>10</v>
      </c>
      <c r="M232" s="552">
        <f>3/1000</f>
        <v>3.0000000000000001E-3</v>
      </c>
      <c r="N232" s="437">
        <v>1</v>
      </c>
      <c r="O232" s="401">
        <f>K232*L232*M232*N232</f>
        <v>0</v>
      </c>
      <c r="P232" s="299">
        <f>VLOOKUP($F232,'[1]Master Harga'!$E$5:$L$351,5,FALSE)</f>
        <v>680610.48749999993</v>
      </c>
      <c r="Q232" s="543">
        <f>P232*$O232</f>
        <v>0</v>
      </c>
      <c r="R232" s="299">
        <f>VLOOKUP($F232,'[1]Master Harga'!$E$5:$L$351,6,FALSE)</f>
        <v>715047.82649999985</v>
      </c>
      <c r="S232" s="543">
        <f>R232*$O232</f>
        <v>0</v>
      </c>
      <c r="T232" s="296">
        <f>VLOOKUP($F232,'[2]Master Harga'!$E$5:$L$348,7,FALSE)</f>
        <v>671314.50879999995</v>
      </c>
      <c r="U232" s="544">
        <f>$O232*T232</f>
        <v>0</v>
      </c>
      <c r="V232" s="296" t="e">
        <f>W232/O232</f>
        <v>#DIV/0!</v>
      </c>
      <c r="W232" s="307">
        <f>AVERAGEIF($P$3:$U$3,W$3,$P232:$U232)</f>
        <v>0</v>
      </c>
      <c r="X232" s="545"/>
      <c r="Y232" s="296">
        <f t="shared" si="40"/>
        <v>0</v>
      </c>
      <c r="Z232" s="295"/>
    </row>
    <row r="233" spans="2:26" hidden="1" x14ac:dyDescent="0.35">
      <c r="B233" s="700"/>
      <c r="C233" s="357"/>
      <c r="D233" s="763" t="s">
        <v>119</v>
      </c>
      <c r="E233" s="764"/>
      <c r="F233" s="436" t="s">
        <v>189</v>
      </c>
      <c r="G233" s="579" t="s">
        <v>190</v>
      </c>
      <c r="H233" s="545"/>
      <c r="I233" s="580"/>
      <c r="J233" s="579"/>
      <c r="K233" s="400"/>
      <c r="L233" s="702"/>
      <c r="M233" s="552">
        <f>1/100</f>
        <v>0.01</v>
      </c>
      <c r="N233" s="437">
        <v>2</v>
      </c>
      <c r="O233" s="545"/>
      <c r="P233" s="683"/>
      <c r="Q233" s="683"/>
      <c r="R233" s="683"/>
      <c r="S233" s="683"/>
      <c r="T233" s="684"/>
      <c r="U233" s="684"/>
      <c r="V233" s="684"/>
      <c r="W233" s="684"/>
      <c r="X233" s="545"/>
      <c r="Y233" s="296">
        <f t="shared" si="40"/>
        <v>0</v>
      </c>
      <c r="Z233" s="295"/>
    </row>
    <row r="234" spans="2:26" hidden="1" x14ac:dyDescent="0.35">
      <c r="B234" s="700"/>
      <c r="C234" s="357"/>
      <c r="D234" s="357"/>
      <c r="E234" s="701"/>
      <c r="F234" s="436" t="s">
        <v>258</v>
      </c>
      <c r="G234" s="579" t="s">
        <v>203</v>
      </c>
      <c r="H234" s="545"/>
      <c r="I234" s="580"/>
      <c r="J234" s="364" t="s">
        <v>253</v>
      </c>
      <c r="K234" s="400"/>
      <c r="L234" s="662">
        <v>33</v>
      </c>
      <c r="M234" s="552">
        <f>2/1000</f>
        <v>2E-3</v>
      </c>
      <c r="N234" s="437">
        <v>1</v>
      </c>
      <c r="O234" s="401">
        <f>K234*L234*M234*N234</f>
        <v>0</v>
      </c>
      <c r="P234" s="299">
        <f>VLOOKUP($F234,'[1]Master Harga'!$E$5:$L$351,5,FALSE)</f>
        <v>630976.61249999993</v>
      </c>
      <c r="Q234" s="543">
        <f>P234*$O234</f>
        <v>0</v>
      </c>
      <c r="R234" s="299">
        <f>VLOOKUP($F234,'[1]Master Harga'!$E$5:$L$351,6,FALSE)</f>
        <v>662748.2415</v>
      </c>
      <c r="S234" s="543">
        <f>R234*$O234</f>
        <v>0</v>
      </c>
      <c r="T234" s="296">
        <f>VLOOKUP($F234,'[2]Master Harga'!$E$5:$L$348,7,FALSE)</f>
        <v>577911.85919999995</v>
      </c>
      <c r="U234" s="544">
        <f>$O234*T234</f>
        <v>0</v>
      </c>
      <c r="V234" s="296" t="e">
        <f>W234/O234</f>
        <v>#DIV/0!</v>
      </c>
      <c r="W234" s="307">
        <f>AVERAGEIF($P$3:$U$3,W$3,$P234:$U234)</f>
        <v>0</v>
      </c>
      <c r="X234" s="545"/>
      <c r="Y234" s="296">
        <f t="shared" si="40"/>
        <v>0</v>
      </c>
      <c r="Z234" s="295"/>
    </row>
    <row r="235" spans="2:26" hidden="1" x14ac:dyDescent="0.35">
      <c r="B235" s="680"/>
      <c r="C235" s="681"/>
      <c r="D235" s="681"/>
      <c r="E235" s="682"/>
      <c r="F235" s="436" t="s">
        <v>251</v>
      </c>
      <c r="G235" s="579" t="s">
        <v>203</v>
      </c>
      <c r="H235" s="545"/>
      <c r="I235" s="580"/>
      <c r="J235" s="364" t="s">
        <v>253</v>
      </c>
      <c r="K235" s="400"/>
      <c r="L235" s="662">
        <v>33</v>
      </c>
      <c r="M235" s="552">
        <f>2/1000</f>
        <v>2E-3</v>
      </c>
      <c r="N235" s="437">
        <v>1</v>
      </c>
      <c r="O235" s="401">
        <f>K235*L235*M235*N235</f>
        <v>0</v>
      </c>
      <c r="P235" s="299">
        <f>VLOOKUP($F235,'[1]Master Harga'!$E$5:$L$351,5,FALSE)</f>
        <v>680610.48749999993</v>
      </c>
      <c r="Q235" s="543">
        <f>P235*$O235</f>
        <v>0</v>
      </c>
      <c r="R235" s="299">
        <f>VLOOKUP($F235,'[1]Master Harga'!$E$5:$L$351,6,FALSE)</f>
        <v>715047.82649999985</v>
      </c>
      <c r="S235" s="543">
        <f>R235*$O235</f>
        <v>0</v>
      </c>
      <c r="T235" s="296">
        <f>VLOOKUP($F235,'[2]Master Harga'!$E$5:$L$348,7,FALSE)</f>
        <v>671314.50879999995</v>
      </c>
      <c r="U235" s="544">
        <f>$O235*T235</f>
        <v>0</v>
      </c>
      <c r="V235" s="296" t="e">
        <f>W235/O235</f>
        <v>#DIV/0!</v>
      </c>
      <c r="W235" s="307">
        <f>AVERAGEIF($P$3:$U$3,W$3,$P235:$U235)</f>
        <v>0</v>
      </c>
      <c r="X235" s="545"/>
      <c r="Y235" s="296">
        <f t="shared" si="40"/>
        <v>0</v>
      </c>
      <c r="Z235" s="295"/>
    </row>
    <row r="236" spans="2:26" x14ac:dyDescent="0.35">
      <c r="B236" s="685" t="s">
        <v>476</v>
      </c>
      <c r="C236" s="686"/>
      <c r="D236" s="686"/>
      <c r="E236" s="687"/>
      <c r="F236" s="688"/>
      <c r="G236" s="689"/>
      <c r="H236" s="690"/>
      <c r="I236" s="691"/>
      <c r="J236" s="689"/>
      <c r="K236" s="692"/>
      <c r="L236" s="693"/>
      <c r="M236" s="694"/>
      <c r="N236" s="695"/>
      <c r="O236" s="690"/>
      <c r="P236" s="696"/>
      <c r="Q236" s="696"/>
      <c r="R236" s="696"/>
      <c r="S236" s="697">
        <f>SUM(S201:S229)</f>
        <v>1009176704.1470181</v>
      </c>
      <c r="T236" s="684"/>
      <c r="U236" s="684"/>
      <c r="V236" s="684"/>
      <c r="W236" s="684"/>
      <c r="X236" s="726"/>
      <c r="Y236" s="698">
        <f t="shared" si="40"/>
        <v>2517905.9484706041</v>
      </c>
      <c r="Z236" s="699">
        <f>(Y236/$Y$410)*100</f>
        <v>17.497892687773749</v>
      </c>
    </row>
    <row r="237" spans="2:26" x14ac:dyDescent="0.35">
      <c r="B237" s="545"/>
      <c r="C237" s="580" t="s">
        <v>477</v>
      </c>
      <c r="D237" s="580"/>
      <c r="E237" s="723"/>
      <c r="F237" s="436"/>
      <c r="G237" s="579"/>
      <c r="H237" s="545"/>
      <c r="I237" s="580"/>
      <c r="J237" s="579"/>
      <c r="K237" s="439"/>
      <c r="L237" s="702"/>
      <c r="M237" s="552"/>
      <c r="N237" s="437"/>
      <c r="O237" s="545"/>
      <c r="P237" s="683"/>
      <c r="Q237" s="683"/>
      <c r="R237" s="299"/>
      <c r="S237" s="683"/>
      <c r="T237" s="684"/>
      <c r="U237" s="684"/>
      <c r="V237" s="684"/>
      <c r="W237" s="684"/>
      <c r="X237" s="545"/>
      <c r="Y237" s="296">
        <f t="shared" si="40"/>
        <v>0</v>
      </c>
      <c r="Z237" s="295"/>
    </row>
    <row r="238" spans="2:26" x14ac:dyDescent="0.35">
      <c r="B238" s="546"/>
      <c r="D238" t="s">
        <v>124</v>
      </c>
      <c r="E238" s="547"/>
      <c r="F238" s="295" t="s">
        <v>189</v>
      </c>
      <c r="G238" s="364" t="s">
        <v>190</v>
      </c>
      <c r="H238" s="365"/>
      <c r="I238" s="366"/>
      <c r="J238" s="364"/>
      <c r="K238" s="400">
        <v>0</v>
      </c>
      <c r="L238" s="662"/>
      <c r="M238" s="509">
        <v>1</v>
      </c>
      <c r="N238" s="296">
        <v>1</v>
      </c>
      <c r="O238" s="401">
        <f t="shared" ref="O238:O250" si="45">K238*L238*M238*N238</f>
        <v>0</v>
      </c>
      <c r="P238" s="543"/>
      <c r="Q238" s="543"/>
      <c r="R238" s="299">
        <f>VLOOKUP($F238,'[1]Master Harga'!$E$5:$L$351,6,FALSE)</f>
        <v>149108.51999999999</v>
      </c>
      <c r="S238" s="543">
        <f t="shared" ref="S238:S250" si="46">R238*$O238</f>
        <v>0</v>
      </c>
      <c r="T238" s="544"/>
      <c r="U238" s="544"/>
      <c r="V238" s="544"/>
      <c r="W238" s="544"/>
      <c r="X238" s="545"/>
      <c r="Y238" s="296">
        <f t="shared" si="40"/>
        <v>0</v>
      </c>
      <c r="Z238" s="295"/>
    </row>
    <row r="239" spans="2:26" hidden="1" x14ac:dyDescent="0.35">
      <c r="B239" s="546"/>
      <c r="E239" s="547"/>
      <c r="F239" s="295" t="s">
        <v>263</v>
      </c>
      <c r="G239" s="364" t="s">
        <v>264</v>
      </c>
      <c r="H239" s="365"/>
      <c r="I239" s="366"/>
      <c r="J239" s="364"/>
      <c r="K239" s="400">
        <v>0</v>
      </c>
      <c r="L239" s="662"/>
      <c r="M239" s="509">
        <v>1</v>
      </c>
      <c r="N239" s="296">
        <v>1</v>
      </c>
      <c r="O239" s="401">
        <f t="shared" si="45"/>
        <v>0</v>
      </c>
      <c r="P239" s="543"/>
      <c r="Q239" s="543"/>
      <c r="R239" s="299">
        <f>VLOOKUP($F239,'[1]Master Harga'!$E$5:$L$351,6,FALSE)</f>
        <v>62315000</v>
      </c>
      <c r="S239" s="543">
        <f t="shared" si="46"/>
        <v>0</v>
      </c>
      <c r="T239" s="544"/>
      <c r="U239" s="544"/>
      <c r="V239" s="544"/>
      <c r="W239" s="544"/>
      <c r="X239" s="545"/>
      <c r="Y239" s="296">
        <f t="shared" si="40"/>
        <v>0</v>
      </c>
      <c r="Z239" s="295"/>
    </row>
    <row r="240" spans="2:26" hidden="1" x14ac:dyDescent="0.35">
      <c r="B240" s="546"/>
      <c r="E240" s="547"/>
      <c r="F240" s="765" t="s">
        <v>478</v>
      </c>
      <c r="G240" s="766" t="s">
        <v>264</v>
      </c>
      <c r="H240" s="767"/>
      <c r="I240" s="768"/>
      <c r="J240" s="766"/>
      <c r="K240" s="400">
        <v>0</v>
      </c>
      <c r="L240" s="769"/>
      <c r="M240" s="770">
        <v>1</v>
      </c>
      <c r="N240" s="771">
        <v>1</v>
      </c>
      <c r="O240" s="401">
        <f t="shared" si="45"/>
        <v>0</v>
      </c>
      <c r="P240" s="772"/>
      <c r="Q240" s="772"/>
      <c r="R240" s="299">
        <v>63525000</v>
      </c>
      <c r="S240" s="543">
        <f t="shared" si="46"/>
        <v>0</v>
      </c>
      <c r="T240" s="773"/>
      <c r="U240" s="773"/>
      <c r="V240" s="773"/>
      <c r="W240" s="773"/>
      <c r="X240" s="545"/>
      <c r="Y240" s="296">
        <f t="shared" si="40"/>
        <v>0</v>
      </c>
      <c r="Z240" s="295"/>
    </row>
    <row r="241" spans="2:26" hidden="1" x14ac:dyDescent="0.35">
      <c r="B241" s="546"/>
      <c r="E241" s="547"/>
      <c r="F241" s="765" t="s">
        <v>479</v>
      </c>
      <c r="G241" s="766" t="s">
        <v>264</v>
      </c>
      <c r="H241" s="767"/>
      <c r="I241" s="768"/>
      <c r="J241" s="766"/>
      <c r="K241" s="400">
        <v>0</v>
      </c>
      <c r="L241" s="769"/>
      <c r="M241" s="770">
        <v>1</v>
      </c>
      <c r="N241" s="771">
        <v>1</v>
      </c>
      <c r="O241" s="401">
        <f t="shared" si="45"/>
        <v>0</v>
      </c>
      <c r="P241" s="772"/>
      <c r="Q241" s="772"/>
      <c r="R241" s="299">
        <f>R240+(12705000*4)</f>
        <v>114345000</v>
      </c>
      <c r="S241" s="543">
        <f t="shared" si="46"/>
        <v>0</v>
      </c>
      <c r="T241" s="773"/>
      <c r="U241" s="773"/>
      <c r="V241" s="773"/>
      <c r="W241" s="773"/>
      <c r="X241" s="545"/>
      <c r="Y241" s="296">
        <f t="shared" si="40"/>
        <v>0</v>
      </c>
      <c r="Z241" s="295"/>
    </row>
    <row r="242" spans="2:26" hidden="1" x14ac:dyDescent="0.35">
      <c r="B242" s="546"/>
      <c r="E242" s="547"/>
      <c r="F242" s="765" t="s">
        <v>480</v>
      </c>
      <c r="G242" s="766" t="s">
        <v>264</v>
      </c>
      <c r="H242" s="767"/>
      <c r="I242" s="768"/>
      <c r="J242" s="766"/>
      <c r="K242" s="400">
        <v>0</v>
      </c>
      <c r="L242" s="769"/>
      <c r="M242" s="770">
        <v>1</v>
      </c>
      <c r="N242" s="771">
        <v>1</v>
      </c>
      <c r="O242" s="401">
        <f t="shared" si="45"/>
        <v>0</v>
      </c>
      <c r="P242" s="772"/>
      <c r="Q242" s="772"/>
      <c r="R242" s="299">
        <f>R240+(12705000*4)</f>
        <v>114345000</v>
      </c>
      <c r="S242" s="543">
        <f t="shared" si="46"/>
        <v>0</v>
      </c>
      <c r="T242" s="773"/>
      <c r="U242" s="773"/>
      <c r="V242" s="773"/>
      <c r="W242" s="773"/>
      <c r="X242" s="545"/>
      <c r="Y242" s="296">
        <f t="shared" si="40"/>
        <v>0</v>
      </c>
      <c r="Z242" s="295"/>
    </row>
    <row r="243" spans="2:26" hidden="1" x14ac:dyDescent="0.35">
      <c r="B243" s="546"/>
      <c r="E243" s="547"/>
      <c r="F243" s="765" t="s">
        <v>481</v>
      </c>
      <c r="G243" s="766" t="s">
        <v>264</v>
      </c>
      <c r="H243" s="767"/>
      <c r="I243" s="768"/>
      <c r="J243" s="766"/>
      <c r="K243" s="400">
        <v>0</v>
      </c>
      <c r="L243" s="769"/>
      <c r="M243" s="770">
        <v>1</v>
      </c>
      <c r="N243" s="771">
        <v>1</v>
      </c>
      <c r="O243" s="401">
        <f t="shared" si="45"/>
        <v>0</v>
      </c>
      <c r="P243" s="772"/>
      <c r="Q243" s="772"/>
      <c r="R243" s="299">
        <f>R240+(12705000*6)</f>
        <v>139755000</v>
      </c>
      <c r="S243" s="543">
        <f t="shared" si="46"/>
        <v>0</v>
      </c>
      <c r="T243" s="773"/>
      <c r="U243" s="773"/>
      <c r="V243" s="773"/>
      <c r="W243" s="773"/>
      <c r="X243" s="545"/>
      <c r="Y243" s="296">
        <f t="shared" si="40"/>
        <v>0</v>
      </c>
      <c r="Z243" s="295"/>
    </row>
    <row r="244" spans="2:26" hidden="1" x14ac:dyDescent="0.35">
      <c r="B244" s="546"/>
      <c r="E244" s="547"/>
      <c r="F244" s="765" t="s">
        <v>482</v>
      </c>
      <c r="G244" s="766" t="s">
        <v>264</v>
      </c>
      <c r="H244" s="767"/>
      <c r="I244" s="768"/>
      <c r="J244" s="766"/>
      <c r="K244" s="400">
        <v>0</v>
      </c>
      <c r="L244" s="769"/>
      <c r="M244" s="770">
        <v>1</v>
      </c>
      <c r="N244" s="771">
        <v>1</v>
      </c>
      <c r="O244" s="401">
        <f t="shared" si="45"/>
        <v>0</v>
      </c>
      <c r="P244" s="772"/>
      <c r="Q244" s="772"/>
      <c r="R244" s="299">
        <f>R240+(12705000*8)</f>
        <v>165165000</v>
      </c>
      <c r="S244" s="543">
        <f t="shared" si="46"/>
        <v>0</v>
      </c>
      <c r="T244" s="773"/>
      <c r="U244" s="773"/>
      <c r="V244" s="773"/>
      <c r="W244" s="773"/>
      <c r="X244" s="545"/>
      <c r="Y244" s="296">
        <f t="shared" si="40"/>
        <v>0</v>
      </c>
      <c r="Z244" s="295"/>
    </row>
    <row r="245" spans="2:26" hidden="1" x14ac:dyDescent="0.35">
      <c r="B245" s="546"/>
      <c r="E245" s="547"/>
      <c r="F245" s="765" t="s">
        <v>483</v>
      </c>
      <c r="G245" s="766" t="s">
        <v>264</v>
      </c>
      <c r="H245" s="767"/>
      <c r="I245" s="768"/>
      <c r="J245" s="766"/>
      <c r="K245" s="400">
        <v>0</v>
      </c>
      <c r="L245" s="769"/>
      <c r="M245" s="770">
        <v>1</v>
      </c>
      <c r="N245" s="771">
        <v>1</v>
      </c>
      <c r="O245" s="401">
        <f t="shared" si="45"/>
        <v>0</v>
      </c>
      <c r="P245" s="772"/>
      <c r="Q245" s="772"/>
      <c r="R245" s="299">
        <v>51809625</v>
      </c>
      <c r="S245" s="543">
        <f t="shared" si="46"/>
        <v>0</v>
      </c>
      <c r="T245" s="773"/>
      <c r="U245" s="773"/>
      <c r="V245" s="773"/>
      <c r="W245" s="773"/>
      <c r="X245" s="545"/>
      <c r="Y245" s="296">
        <f t="shared" si="40"/>
        <v>0</v>
      </c>
      <c r="Z245" s="295"/>
    </row>
    <row r="246" spans="2:26" hidden="1" x14ac:dyDescent="0.35">
      <c r="B246" s="546"/>
      <c r="E246" s="547"/>
      <c r="F246" s="765" t="s">
        <v>484</v>
      </c>
      <c r="G246" s="766" t="s">
        <v>264</v>
      </c>
      <c r="H246" s="767"/>
      <c r="I246" s="768"/>
      <c r="J246" s="766"/>
      <c r="K246" s="400">
        <v>0</v>
      </c>
      <c r="L246" s="769"/>
      <c r="M246" s="774">
        <v>1</v>
      </c>
      <c r="N246" s="771">
        <v>1</v>
      </c>
      <c r="O246" s="401">
        <f t="shared" si="45"/>
        <v>0</v>
      </c>
      <c r="P246" s="772"/>
      <c r="Q246" s="772"/>
      <c r="R246" s="299">
        <f>VLOOKUP($F246,'[1]Master Harga'!$E$5:$L$351,6,FALSE)</f>
        <v>80784000</v>
      </c>
      <c r="S246" s="543">
        <f t="shared" si="46"/>
        <v>0</v>
      </c>
      <c r="T246" s="773"/>
      <c r="U246" s="773"/>
      <c r="V246" s="773"/>
      <c r="W246" s="773"/>
      <c r="X246" s="545"/>
      <c r="Y246" s="296">
        <f t="shared" si="40"/>
        <v>0</v>
      </c>
      <c r="Z246" s="295"/>
    </row>
    <row r="247" spans="2:26" hidden="1" x14ac:dyDescent="0.35">
      <c r="B247" s="546"/>
      <c r="E247" s="547"/>
      <c r="F247" s="765" t="s">
        <v>485</v>
      </c>
      <c r="G247" s="766" t="s">
        <v>264</v>
      </c>
      <c r="H247" s="767"/>
      <c r="I247" s="768"/>
      <c r="J247" s="766"/>
      <c r="K247" s="400">
        <v>0</v>
      </c>
      <c r="L247" s="769"/>
      <c r="M247" s="774">
        <v>1</v>
      </c>
      <c r="N247" s="771">
        <v>1</v>
      </c>
      <c r="O247" s="401">
        <f t="shared" si="45"/>
        <v>0</v>
      </c>
      <c r="P247" s="772"/>
      <c r="Q247" s="772"/>
      <c r="R247" s="299">
        <f>VLOOKUP($F247,'[1]Master Harga'!$E$5:$L$351,6,FALSE)</f>
        <v>104346000</v>
      </c>
      <c r="S247" s="543">
        <f t="shared" si="46"/>
        <v>0</v>
      </c>
      <c r="T247" s="773"/>
      <c r="U247" s="773"/>
      <c r="V247" s="773"/>
      <c r="W247" s="773"/>
      <c r="X247" s="545"/>
      <c r="Y247" s="296">
        <f t="shared" si="40"/>
        <v>0</v>
      </c>
      <c r="Z247" s="295"/>
    </row>
    <row r="248" spans="2:26" hidden="1" x14ac:dyDescent="0.35">
      <c r="B248" s="546"/>
      <c r="E248" s="547"/>
      <c r="F248" s="765" t="s">
        <v>486</v>
      </c>
      <c r="G248" s="766"/>
      <c r="H248" s="767"/>
      <c r="I248" s="768"/>
      <c r="J248" s="766"/>
      <c r="K248" s="400">
        <v>0</v>
      </c>
      <c r="L248" s="769"/>
      <c r="M248" s="774">
        <v>1</v>
      </c>
      <c r="N248" s="771">
        <v>1</v>
      </c>
      <c r="O248" s="401">
        <f t="shared" si="45"/>
        <v>0</v>
      </c>
      <c r="P248" s="772"/>
      <c r="Q248" s="772"/>
      <c r="R248" s="299">
        <v>51809625</v>
      </c>
      <c r="S248" s="543">
        <f t="shared" si="46"/>
        <v>0</v>
      </c>
      <c r="T248" s="773"/>
      <c r="U248" s="773"/>
      <c r="V248" s="773"/>
      <c r="W248" s="773"/>
      <c r="X248" s="545"/>
      <c r="Y248" s="296">
        <f t="shared" si="40"/>
        <v>0</v>
      </c>
      <c r="Z248" s="295"/>
    </row>
    <row r="249" spans="2:26" x14ac:dyDescent="0.35">
      <c r="B249" s="546"/>
      <c r="E249" s="547"/>
      <c r="F249" s="436" t="s">
        <v>215</v>
      </c>
      <c r="G249" s="579" t="s">
        <v>203</v>
      </c>
      <c r="H249" s="545"/>
      <c r="I249" s="580"/>
      <c r="J249" s="579"/>
      <c r="K249" s="400">
        <v>1</v>
      </c>
      <c r="L249" s="702">
        <f>'SI TB LC'!L114</f>
        <v>16.5</v>
      </c>
      <c r="M249" s="775">
        <v>6</v>
      </c>
      <c r="N249" s="776">
        <v>1</v>
      </c>
      <c r="O249" s="777">
        <f t="shared" si="45"/>
        <v>99</v>
      </c>
      <c r="P249" s="772"/>
      <c r="Q249" s="772"/>
      <c r="R249" s="299">
        <f>VLOOKUP($F249,'[1]Master Harga'!$E$5:$L$351,6,FALSE)</f>
        <v>720338.0730320001</v>
      </c>
      <c r="S249" s="543">
        <f t="shared" si="46"/>
        <v>71313469.230168015</v>
      </c>
      <c r="T249" s="773"/>
      <c r="U249" s="773"/>
      <c r="V249" s="773"/>
      <c r="W249" s="773"/>
      <c r="X249" s="545"/>
      <c r="Y249" s="296">
        <f t="shared" si="40"/>
        <v>177927.81744053896</v>
      </c>
      <c r="Z249" s="295"/>
    </row>
    <row r="250" spans="2:26" x14ac:dyDescent="0.35">
      <c r="B250" s="546"/>
      <c r="E250" s="547"/>
      <c r="F250" s="436" t="s">
        <v>265</v>
      </c>
      <c r="G250" s="579" t="s">
        <v>203</v>
      </c>
      <c r="H250" s="545"/>
      <c r="I250" s="580"/>
      <c r="J250" s="579"/>
      <c r="K250" s="400">
        <v>1</v>
      </c>
      <c r="L250" s="702">
        <f>'SI TB LC'!L114</f>
        <v>16.5</v>
      </c>
      <c r="M250" s="775">
        <v>7</v>
      </c>
      <c r="N250" s="776">
        <v>1</v>
      </c>
      <c r="O250" s="777">
        <f t="shared" si="45"/>
        <v>115.5</v>
      </c>
      <c r="P250" s="772"/>
      <c r="Q250" s="772"/>
      <c r="R250" s="299">
        <f>VLOOKUP($F250,'[1]Master Harga'!$E$5:$L$351,6,FALSE)</f>
        <v>680210.06624999992</v>
      </c>
      <c r="S250" s="543">
        <f t="shared" si="46"/>
        <v>78564262.651874989</v>
      </c>
      <c r="T250" s="773"/>
      <c r="U250" s="773"/>
      <c r="V250" s="773"/>
      <c r="W250" s="773"/>
      <c r="X250" s="545"/>
      <c r="Y250" s="296">
        <f t="shared" si="40"/>
        <v>196018.61939090566</v>
      </c>
      <c r="Z250" s="295"/>
    </row>
    <row r="251" spans="2:26" x14ac:dyDescent="0.35">
      <c r="B251" s="546"/>
      <c r="D251" s="540" t="s">
        <v>487</v>
      </c>
      <c r="E251" s="541"/>
      <c r="F251" s="295" t="s">
        <v>189</v>
      </c>
      <c r="G251" s="364" t="s">
        <v>190</v>
      </c>
      <c r="H251" s="365"/>
      <c r="I251" s="366"/>
      <c r="J251" s="364"/>
      <c r="K251" s="308"/>
      <c r="L251" s="662"/>
      <c r="M251" s="542"/>
      <c r="N251" s="296">
        <v>1</v>
      </c>
      <c r="O251" s="365"/>
      <c r="P251" s="543"/>
      <c r="Q251" s="543"/>
      <c r="R251" s="543"/>
      <c r="S251" s="543"/>
      <c r="T251" s="544"/>
      <c r="U251" s="544"/>
      <c r="V251" s="544"/>
      <c r="W251" s="544"/>
      <c r="X251" s="545"/>
      <c r="Y251" s="296">
        <f t="shared" si="40"/>
        <v>0</v>
      </c>
      <c r="Z251" s="295"/>
    </row>
    <row r="252" spans="2:26" x14ac:dyDescent="0.35">
      <c r="B252" s="546"/>
      <c r="E252" s="547"/>
      <c r="F252" s="295" t="s">
        <v>488</v>
      </c>
      <c r="G252" s="364" t="s">
        <v>264</v>
      </c>
      <c r="H252" s="365"/>
      <c r="I252" s="366"/>
      <c r="J252" s="364"/>
      <c r="K252" s="308"/>
      <c r="L252" s="662"/>
      <c r="M252" s="542"/>
      <c r="N252" s="296">
        <v>1</v>
      </c>
      <c r="O252" s="365"/>
      <c r="P252" s="543"/>
      <c r="Q252" s="543"/>
      <c r="R252" s="543"/>
      <c r="S252" s="543"/>
      <c r="T252" s="544"/>
      <c r="U252" s="544"/>
      <c r="V252" s="544"/>
      <c r="W252" s="544"/>
      <c r="X252" s="545"/>
      <c r="Y252" s="296">
        <f t="shared" si="40"/>
        <v>0</v>
      </c>
      <c r="Z252" s="295"/>
    </row>
    <row r="253" spans="2:26" x14ac:dyDescent="0.35">
      <c r="B253" s="546"/>
      <c r="D253" s="550"/>
      <c r="E253" s="551"/>
      <c r="F253" s="295" t="s">
        <v>215</v>
      </c>
      <c r="G253" s="364" t="s">
        <v>203</v>
      </c>
      <c r="H253" s="365"/>
      <c r="I253" s="366"/>
      <c r="J253" s="364"/>
      <c r="K253" s="308"/>
      <c r="L253" s="662"/>
      <c r="M253" s="509">
        <v>10</v>
      </c>
      <c r="N253" s="296">
        <v>1</v>
      </c>
      <c r="O253" s="365"/>
      <c r="P253" s="543"/>
      <c r="Q253" s="543"/>
      <c r="R253" s="543"/>
      <c r="S253" s="543"/>
      <c r="T253" s="544"/>
      <c r="U253" s="544"/>
      <c r="V253" s="544"/>
      <c r="W253" s="544"/>
      <c r="X253" s="545"/>
      <c r="Y253" s="296">
        <f t="shared" si="40"/>
        <v>0</v>
      </c>
      <c r="Z253" s="295"/>
    </row>
    <row r="254" spans="2:26" x14ac:dyDescent="0.35">
      <c r="B254" s="700"/>
      <c r="C254" s="357"/>
      <c r="D254" s="357" t="s">
        <v>125</v>
      </c>
      <c r="E254" s="701"/>
      <c r="F254" s="436" t="s">
        <v>189</v>
      </c>
      <c r="G254" s="579" t="s">
        <v>190</v>
      </c>
      <c r="H254" s="545"/>
      <c r="I254" s="580"/>
      <c r="J254" s="579"/>
      <c r="K254" s="400">
        <v>0</v>
      </c>
      <c r="L254" s="702"/>
      <c r="M254" s="776">
        <v>2</v>
      </c>
      <c r="N254" s="437">
        <v>1</v>
      </c>
      <c r="O254" s="401">
        <f t="shared" ref="O254:O260" si="47">K254*L254*M254*N254</f>
        <v>0</v>
      </c>
      <c r="P254" s="299">
        <f>VLOOKUP($F254,'[1]Master Harga'!$E$5:$L$351,5,FALSE)</f>
        <v>140008</v>
      </c>
      <c r="Q254" s="543">
        <f t="shared" ref="Q254:Q260" si="48">P254*$O254</f>
        <v>0</v>
      </c>
      <c r="R254" s="299">
        <f>VLOOKUP($F254,'[1]Master Harga'!$E$5:$L$351,6,FALSE)</f>
        <v>149108.51999999999</v>
      </c>
      <c r="S254" s="543">
        <f t="shared" ref="S254:S260" si="49">R254*$O254</f>
        <v>0</v>
      </c>
      <c r="T254" s="684"/>
      <c r="U254" s="684"/>
      <c r="V254" s="684"/>
      <c r="W254" s="684"/>
      <c r="X254" s="545"/>
      <c r="Y254" s="296">
        <f t="shared" si="40"/>
        <v>0</v>
      </c>
      <c r="Z254" s="295"/>
    </row>
    <row r="255" spans="2:26" x14ac:dyDescent="0.35">
      <c r="B255" s="700"/>
      <c r="C255" s="357"/>
      <c r="D255" s="357"/>
      <c r="E255" s="701"/>
      <c r="F255" s="436" t="s">
        <v>125</v>
      </c>
      <c r="G255" s="579" t="s">
        <v>264</v>
      </c>
      <c r="H255" s="545"/>
      <c r="I255" s="580"/>
      <c r="J255" s="579"/>
      <c r="K255" s="400">
        <v>0</v>
      </c>
      <c r="L255" s="702"/>
      <c r="M255" s="776">
        <v>6</v>
      </c>
      <c r="N255" s="437">
        <v>1</v>
      </c>
      <c r="O255" s="401">
        <f t="shared" si="47"/>
        <v>0</v>
      </c>
      <c r="P255" s="299">
        <f>VLOOKUP($F255,'[1]Master Harga'!$E$5:$L$351,5,FALSE)</f>
        <v>400000</v>
      </c>
      <c r="Q255" s="543">
        <f t="shared" si="48"/>
        <v>0</v>
      </c>
      <c r="R255" s="299">
        <f>VLOOKUP($F255,'[1]Master Harga'!$E$5:$L$351,6,FALSE)</f>
        <v>420000</v>
      </c>
      <c r="S255" s="543">
        <f t="shared" si="49"/>
        <v>0</v>
      </c>
      <c r="T255" s="684"/>
      <c r="U255" s="684"/>
      <c r="V255" s="684"/>
      <c r="W255" s="684"/>
      <c r="X255" s="545"/>
      <c r="Y255" s="296">
        <f t="shared" si="40"/>
        <v>0</v>
      </c>
      <c r="Z255" s="295"/>
    </row>
    <row r="256" spans="2:26" x14ac:dyDescent="0.35">
      <c r="B256" s="700"/>
      <c r="C256" s="357"/>
      <c r="D256" s="681"/>
      <c r="E256" s="682"/>
      <c r="F256" s="436" t="s">
        <v>265</v>
      </c>
      <c r="G256" s="579" t="s">
        <v>203</v>
      </c>
      <c r="H256" s="545"/>
      <c r="I256" s="580"/>
      <c r="J256" s="579"/>
      <c r="K256" s="400">
        <v>0</v>
      </c>
      <c r="L256" s="702"/>
      <c r="M256" s="776">
        <v>5</v>
      </c>
      <c r="N256" s="437">
        <v>1</v>
      </c>
      <c r="O256" s="401">
        <f t="shared" si="47"/>
        <v>0</v>
      </c>
      <c r="P256" s="299">
        <f>VLOOKUP($F256,'[1]Master Harga'!$E$5:$L$351,5,FALSE)</f>
        <v>647269.96874999988</v>
      </c>
      <c r="Q256" s="543">
        <f t="shared" si="48"/>
        <v>0</v>
      </c>
      <c r="R256" s="299">
        <f>VLOOKUP($F256,'[1]Master Harga'!$E$5:$L$351,6,FALSE)</f>
        <v>680210.06624999992</v>
      </c>
      <c r="S256" s="543">
        <f t="shared" si="49"/>
        <v>0</v>
      </c>
      <c r="T256" s="684"/>
      <c r="U256" s="684"/>
      <c r="V256" s="684"/>
      <c r="W256" s="684"/>
      <c r="X256" s="545"/>
      <c r="Y256" s="296">
        <f t="shared" si="40"/>
        <v>0</v>
      </c>
      <c r="Z256" s="295"/>
    </row>
    <row r="257" spans="2:26" x14ac:dyDescent="0.35">
      <c r="B257" s="700"/>
      <c r="C257" s="357"/>
      <c r="D257" s="763" t="s">
        <v>128</v>
      </c>
      <c r="E257" s="764"/>
      <c r="F257" s="436" t="s">
        <v>189</v>
      </c>
      <c r="G257" s="579" t="s">
        <v>190</v>
      </c>
      <c r="H257" s="545"/>
      <c r="I257" s="580"/>
      <c r="J257" s="579"/>
      <c r="K257" s="400">
        <v>0</v>
      </c>
      <c r="L257" s="702"/>
      <c r="M257" s="776">
        <v>2</v>
      </c>
      <c r="N257" s="437">
        <v>1</v>
      </c>
      <c r="O257" s="401">
        <f t="shared" si="47"/>
        <v>0</v>
      </c>
      <c r="P257" s="299">
        <f>VLOOKUP($F257,'[1]Master Harga'!$E$5:$L$351,5,FALSE)</f>
        <v>140008</v>
      </c>
      <c r="Q257" s="543">
        <f t="shared" si="48"/>
        <v>0</v>
      </c>
      <c r="R257" s="299">
        <f>VLOOKUP($F257,'[1]Master Harga'!$E$5:$L$351,6,FALSE)</f>
        <v>149108.51999999999</v>
      </c>
      <c r="S257" s="543">
        <f t="shared" si="49"/>
        <v>0</v>
      </c>
      <c r="T257" s="684"/>
      <c r="U257" s="684"/>
      <c r="V257" s="684"/>
      <c r="W257" s="684"/>
      <c r="X257" s="545"/>
      <c r="Y257" s="296">
        <f t="shared" si="40"/>
        <v>0</v>
      </c>
      <c r="Z257" s="295"/>
    </row>
    <row r="258" spans="2:26" x14ac:dyDescent="0.35">
      <c r="B258" s="700"/>
      <c r="C258" s="357"/>
      <c r="D258" s="357"/>
      <c r="E258" s="701"/>
      <c r="F258" s="436" t="s">
        <v>489</v>
      </c>
      <c r="G258" s="579" t="s">
        <v>264</v>
      </c>
      <c r="H258" s="545"/>
      <c r="I258" s="580"/>
      <c r="J258" s="579"/>
      <c r="K258" s="400">
        <v>0</v>
      </c>
      <c r="L258" s="702"/>
      <c r="M258" s="776">
        <v>6</v>
      </c>
      <c r="N258" s="437">
        <v>1</v>
      </c>
      <c r="O258" s="401">
        <f t="shared" si="47"/>
        <v>0</v>
      </c>
      <c r="P258" s="299">
        <f>VLOOKUP($F258,'[1]Master Harga'!$E$5:$L$351,5,FALSE)</f>
        <v>550000</v>
      </c>
      <c r="Q258" s="543">
        <f t="shared" si="48"/>
        <v>0</v>
      </c>
      <c r="R258" s="299">
        <f>VLOOKUP($F258,'[1]Master Harga'!$E$5:$L$351,6,FALSE)</f>
        <v>577500</v>
      </c>
      <c r="S258" s="543">
        <f t="shared" si="49"/>
        <v>0</v>
      </c>
      <c r="T258" s="684"/>
      <c r="U258" s="684"/>
      <c r="V258" s="684"/>
      <c r="W258" s="684"/>
      <c r="X258" s="545"/>
      <c r="Y258" s="296">
        <f t="shared" si="40"/>
        <v>0</v>
      </c>
      <c r="Z258" s="295"/>
    </row>
    <row r="259" spans="2:26" x14ac:dyDescent="0.35">
      <c r="B259" s="700"/>
      <c r="C259" s="357"/>
      <c r="D259" s="681"/>
      <c r="E259" s="682"/>
      <c r="F259" s="436" t="s">
        <v>265</v>
      </c>
      <c r="G259" s="579" t="s">
        <v>203</v>
      </c>
      <c r="H259" s="545"/>
      <c r="I259" s="580"/>
      <c r="J259" s="579"/>
      <c r="K259" s="400">
        <v>0</v>
      </c>
      <c r="L259" s="702"/>
      <c r="M259" s="776">
        <v>5</v>
      </c>
      <c r="N259" s="437">
        <v>1</v>
      </c>
      <c r="O259" s="401">
        <f t="shared" si="47"/>
        <v>0</v>
      </c>
      <c r="P259" s="299">
        <f>VLOOKUP($F259,'[1]Master Harga'!$E$5:$L$351,5,FALSE)</f>
        <v>647269.96874999988</v>
      </c>
      <c r="Q259" s="543">
        <f t="shared" si="48"/>
        <v>0</v>
      </c>
      <c r="R259" s="299">
        <f>VLOOKUP($F259,'[1]Master Harga'!$E$5:$L$351,6,FALSE)</f>
        <v>680210.06624999992</v>
      </c>
      <c r="S259" s="543">
        <f t="shared" si="49"/>
        <v>0</v>
      </c>
      <c r="T259" s="684"/>
      <c r="U259" s="684"/>
      <c r="V259" s="684"/>
      <c r="W259" s="684"/>
      <c r="X259" s="545"/>
      <c r="Y259" s="296">
        <f t="shared" si="40"/>
        <v>0</v>
      </c>
      <c r="Z259" s="295"/>
    </row>
    <row r="260" spans="2:26" x14ac:dyDescent="0.35">
      <c r="B260" s="700"/>
      <c r="C260" s="357"/>
      <c r="D260" s="763" t="s">
        <v>131</v>
      </c>
      <c r="E260" s="764"/>
      <c r="F260" s="436" t="s">
        <v>189</v>
      </c>
      <c r="G260" s="579" t="s">
        <v>190</v>
      </c>
      <c r="H260" s="545"/>
      <c r="I260" s="580"/>
      <c r="J260" s="579" t="s">
        <v>264</v>
      </c>
      <c r="K260" s="400">
        <v>0</v>
      </c>
      <c r="L260" s="702"/>
      <c r="M260" s="776">
        <v>2</v>
      </c>
      <c r="N260" s="437">
        <v>1</v>
      </c>
      <c r="O260" s="401">
        <f t="shared" si="47"/>
        <v>0</v>
      </c>
      <c r="P260" s="299">
        <f>VLOOKUP($F260,'[1]Master Harga'!$E$5:$L$351,5,FALSE)</f>
        <v>140008</v>
      </c>
      <c r="Q260" s="543">
        <f t="shared" si="48"/>
        <v>0</v>
      </c>
      <c r="R260" s="299">
        <f>VLOOKUP($F260,'[1]Master Harga'!$E$5:$L$351,6,FALSE)</f>
        <v>149108.51999999999</v>
      </c>
      <c r="S260" s="543">
        <f t="shared" si="49"/>
        <v>0</v>
      </c>
      <c r="T260" s="684"/>
      <c r="U260" s="684"/>
      <c r="V260" s="684"/>
      <c r="W260" s="684"/>
      <c r="X260" s="545"/>
      <c r="Y260" s="296">
        <f t="shared" si="40"/>
        <v>0</v>
      </c>
      <c r="Z260" s="295"/>
    </row>
    <row r="261" spans="2:26" x14ac:dyDescent="0.35">
      <c r="B261" s="700"/>
      <c r="C261" s="357"/>
      <c r="D261" s="357"/>
      <c r="E261" s="701"/>
      <c r="F261" s="436" t="s">
        <v>490</v>
      </c>
      <c r="G261" s="579" t="s">
        <v>264</v>
      </c>
      <c r="H261" s="545"/>
      <c r="I261" s="580"/>
      <c r="J261" s="579" t="s">
        <v>264</v>
      </c>
      <c r="K261" s="400">
        <v>0</v>
      </c>
      <c r="L261" s="702"/>
      <c r="M261" s="776">
        <v>6</v>
      </c>
      <c r="N261" s="437">
        <v>1</v>
      </c>
      <c r="O261" s="401">
        <f>K261*L261*M261*N261</f>
        <v>0</v>
      </c>
      <c r="P261" s="299">
        <f>VLOOKUP($F261,'[1]Master Harga'!$E$5:$L$351,5,FALSE)</f>
        <v>650000</v>
      </c>
      <c r="Q261" s="543">
        <f>P261*$O261</f>
        <v>0</v>
      </c>
      <c r="R261" s="299">
        <f>VLOOKUP($F261,'[1]Master Harga'!$E$5:$L$351,6,FALSE)</f>
        <v>682500</v>
      </c>
      <c r="S261" s="543">
        <f>R261*$O261</f>
        <v>0</v>
      </c>
      <c r="T261" s="296">
        <f>VLOOKUP($F261,'[2]Master Harga'!$E$5:$L$348,7,FALSE)</f>
        <v>716625</v>
      </c>
      <c r="U261" s="544">
        <f>$O261*T261</f>
        <v>0</v>
      </c>
      <c r="V261" s="296" t="e">
        <f>W261/O261</f>
        <v>#DIV/0!</v>
      </c>
      <c r="W261" s="307">
        <f>AVERAGEIF($P$3:$U$3,W$3,$P261:$U261)</f>
        <v>0</v>
      </c>
      <c r="X261" s="545"/>
      <c r="Y261" s="296">
        <f t="shared" si="40"/>
        <v>0</v>
      </c>
      <c r="Z261" s="295"/>
    </row>
    <row r="262" spans="2:26" x14ac:dyDescent="0.35">
      <c r="B262" s="680"/>
      <c r="C262" s="681"/>
      <c r="D262" s="681"/>
      <c r="E262" s="682"/>
      <c r="F262" s="436" t="s">
        <v>265</v>
      </c>
      <c r="G262" s="579" t="s">
        <v>203</v>
      </c>
      <c r="H262" s="545"/>
      <c r="I262" s="580"/>
      <c r="J262" s="579" t="s">
        <v>264</v>
      </c>
      <c r="K262" s="400">
        <v>0</v>
      </c>
      <c r="L262" s="702"/>
      <c r="M262" s="776">
        <v>5</v>
      </c>
      <c r="N262" s="437">
        <v>1</v>
      </c>
      <c r="O262" s="401">
        <f>K262*L262*M262*N262</f>
        <v>0</v>
      </c>
      <c r="P262" s="299">
        <f>VLOOKUP($F262,'[1]Master Harga'!$E$5:$L$351,5,FALSE)</f>
        <v>647269.96874999988</v>
      </c>
      <c r="Q262" s="543">
        <f>P262*$O262</f>
        <v>0</v>
      </c>
      <c r="R262" s="299">
        <f>VLOOKUP($F262,'[1]Master Harga'!$E$5:$L$351,6,FALSE)</f>
        <v>680210.06624999992</v>
      </c>
      <c r="S262" s="543">
        <f>R262*$O262</f>
        <v>0</v>
      </c>
      <c r="T262" s="296">
        <f>VLOOKUP($F262,'[2]Master Harga'!$E$5:$L$348,7,FALSE)</f>
        <v>582130.09920000006</v>
      </c>
      <c r="U262" s="544">
        <f>$O262*T262</f>
        <v>0</v>
      </c>
      <c r="V262" s="296" t="e">
        <f>W262/O262</f>
        <v>#DIV/0!</v>
      </c>
      <c r="W262" s="307">
        <f>AVERAGEIF($P$3:$U$3,W$3,$P262:$U262)</f>
        <v>0</v>
      </c>
      <c r="X262" s="545"/>
      <c r="Y262" s="296">
        <f t="shared" ref="Y262:Y325" si="50">S262/$AC$1</f>
        <v>0</v>
      </c>
      <c r="Z262" s="295"/>
    </row>
    <row r="263" spans="2:26" x14ac:dyDescent="0.35">
      <c r="B263" s="685" t="s">
        <v>491</v>
      </c>
      <c r="C263" s="686"/>
      <c r="D263" s="686"/>
      <c r="E263" s="687"/>
      <c r="F263" s="688"/>
      <c r="G263" s="689"/>
      <c r="H263" s="690"/>
      <c r="I263" s="691"/>
      <c r="J263" s="689"/>
      <c r="K263" s="692"/>
      <c r="L263" s="693"/>
      <c r="M263" s="694"/>
      <c r="N263" s="695"/>
      <c r="O263" s="690"/>
      <c r="P263" s="696"/>
      <c r="Q263" s="696"/>
      <c r="R263" s="696"/>
      <c r="S263" s="697">
        <f>SUM(S238:S262)</f>
        <v>149877731.882043</v>
      </c>
      <c r="T263" s="684"/>
      <c r="U263" s="684"/>
      <c r="V263" s="684"/>
      <c r="W263" s="684"/>
      <c r="X263" s="690"/>
      <c r="Y263" s="698">
        <f t="shared" si="50"/>
        <v>373946.43683144462</v>
      </c>
      <c r="Z263" s="699">
        <f>(Y263/$Y$410)*100</f>
        <v>2.5986969952656174</v>
      </c>
    </row>
    <row r="264" spans="2:26" x14ac:dyDescent="0.35">
      <c r="B264" s="545"/>
      <c r="C264" s="580" t="s">
        <v>492</v>
      </c>
      <c r="D264" s="580"/>
      <c r="E264" s="723"/>
      <c r="F264" s="436"/>
      <c r="G264" s="579"/>
      <c r="H264" s="545"/>
      <c r="I264" s="580"/>
      <c r="J264" s="579"/>
      <c r="K264" s="439"/>
      <c r="L264" s="702"/>
      <c r="M264" s="552"/>
      <c r="N264" s="437"/>
      <c r="O264" s="545"/>
      <c r="P264" s="683"/>
      <c r="Q264" s="683"/>
      <c r="R264" s="683"/>
      <c r="S264" s="683"/>
      <c r="T264" s="684"/>
      <c r="U264" s="684"/>
      <c r="V264" s="684"/>
      <c r="W264" s="684"/>
      <c r="X264" s="545"/>
      <c r="Y264" s="296">
        <f t="shared" si="50"/>
        <v>0</v>
      </c>
      <c r="Z264" s="295"/>
    </row>
    <row r="265" spans="2:26" hidden="1" x14ac:dyDescent="0.35">
      <c r="B265" s="546"/>
      <c r="D265" t="s">
        <v>493</v>
      </c>
      <c r="E265" s="547"/>
      <c r="F265" s="295" t="s">
        <v>189</v>
      </c>
      <c r="G265" s="364" t="s">
        <v>190</v>
      </c>
      <c r="H265" s="365"/>
      <c r="I265" s="366"/>
      <c r="J265" s="364"/>
      <c r="K265" s="400"/>
      <c r="L265" s="662"/>
      <c r="M265" s="542"/>
      <c r="N265" s="296">
        <v>1</v>
      </c>
      <c r="O265" s="365"/>
      <c r="P265" s="543"/>
      <c r="Q265" s="543"/>
      <c r="R265" s="543"/>
      <c r="S265" s="543"/>
      <c r="T265" s="544"/>
      <c r="U265" s="544"/>
      <c r="V265" s="544"/>
      <c r="W265" s="544"/>
      <c r="X265" s="545"/>
      <c r="Y265" s="296">
        <f t="shared" si="50"/>
        <v>0</v>
      </c>
      <c r="Z265" s="295"/>
    </row>
    <row r="266" spans="2:26" hidden="1" x14ac:dyDescent="0.35">
      <c r="B266" s="546"/>
      <c r="E266" s="547"/>
      <c r="F266" s="295" t="s">
        <v>215</v>
      </c>
      <c r="G266" s="364" t="s">
        <v>203</v>
      </c>
      <c r="H266" s="365"/>
      <c r="I266" s="366"/>
      <c r="J266" s="364"/>
      <c r="K266" s="400"/>
      <c r="L266" s="662"/>
      <c r="M266" s="542">
        <f>1/100</f>
        <v>0.01</v>
      </c>
      <c r="N266" s="296">
        <v>1</v>
      </c>
      <c r="O266" s="401">
        <f>K266*L266*M266*N266</f>
        <v>0</v>
      </c>
      <c r="P266" s="299">
        <f>VLOOKUP($F266,'[1]Master Harga'!$E$5:$L$351,5,FALSE)</f>
        <v>681487.17873333325</v>
      </c>
      <c r="Q266" s="543">
        <f>P266*$O266</f>
        <v>0</v>
      </c>
      <c r="R266" s="299">
        <f>VLOOKUP($F266,'[1]Master Harga'!$E$5:$L$351,6,FALSE)</f>
        <v>720338.0730320001</v>
      </c>
      <c r="S266" s="543">
        <f>R266*$O266</f>
        <v>0</v>
      </c>
      <c r="T266" s="544"/>
      <c r="U266" s="544"/>
      <c r="V266" s="544"/>
      <c r="W266" s="544"/>
      <c r="X266" s="545"/>
      <c r="Y266" s="296">
        <f t="shared" si="50"/>
        <v>0</v>
      </c>
      <c r="Z266" s="295"/>
    </row>
    <row r="267" spans="2:26" hidden="1" x14ac:dyDescent="0.35">
      <c r="B267" s="546"/>
      <c r="D267" s="550"/>
      <c r="E267" s="551"/>
      <c r="F267" s="295"/>
      <c r="G267" s="364"/>
      <c r="H267" s="365"/>
      <c r="I267" s="366"/>
      <c r="J267" s="364"/>
      <c r="K267" s="308"/>
      <c r="L267" s="662"/>
      <c r="M267" s="542"/>
      <c r="N267" s="296">
        <v>1</v>
      </c>
      <c r="O267" s="365"/>
      <c r="P267" s="543"/>
      <c r="Q267" s="543"/>
      <c r="R267" s="543"/>
      <c r="S267" s="543"/>
      <c r="T267" s="544"/>
      <c r="U267" s="544"/>
      <c r="V267" s="544"/>
      <c r="W267" s="544"/>
      <c r="X267" s="545"/>
      <c r="Y267" s="296">
        <f t="shared" si="50"/>
        <v>0</v>
      </c>
      <c r="Z267" s="295"/>
    </row>
    <row r="268" spans="2:26" hidden="1" x14ac:dyDescent="0.35">
      <c r="B268" s="546"/>
      <c r="D268" t="s">
        <v>494</v>
      </c>
      <c r="E268" s="547"/>
      <c r="F268" s="295" t="s">
        <v>189</v>
      </c>
      <c r="G268" s="364" t="s">
        <v>190</v>
      </c>
      <c r="H268" s="365"/>
      <c r="I268" s="366"/>
      <c r="J268" s="364"/>
      <c r="K268" s="400"/>
      <c r="L268" s="662"/>
      <c r="M268" s="542"/>
      <c r="N268" s="296">
        <v>1</v>
      </c>
      <c r="O268" s="365"/>
      <c r="P268" s="543"/>
      <c r="Q268" s="543"/>
      <c r="R268" s="543"/>
      <c r="S268" s="543"/>
      <c r="T268" s="544"/>
      <c r="U268" s="544"/>
      <c r="V268" s="544"/>
      <c r="W268" s="544"/>
      <c r="X268" s="545"/>
      <c r="Y268" s="296">
        <f t="shared" si="50"/>
        <v>0</v>
      </c>
      <c r="Z268" s="295"/>
    </row>
    <row r="269" spans="2:26" hidden="1" x14ac:dyDescent="0.35">
      <c r="B269" s="546"/>
      <c r="E269" s="547"/>
      <c r="F269" s="295" t="s">
        <v>215</v>
      </c>
      <c r="G269" s="364" t="s">
        <v>203</v>
      </c>
      <c r="H269" s="365"/>
      <c r="I269" s="366"/>
      <c r="J269" s="364"/>
      <c r="K269" s="400"/>
      <c r="L269" s="662">
        <f>'SI TB LC'!L129</f>
        <v>19388.866244305238</v>
      </c>
      <c r="M269" s="542">
        <f>1/30</f>
        <v>3.3333333333333333E-2</v>
      </c>
      <c r="N269" s="296">
        <v>1</v>
      </c>
      <c r="O269" s="401">
        <f>K269*L269*M269*N269</f>
        <v>0</v>
      </c>
      <c r="P269" s="299">
        <f>VLOOKUP($F269,'[1]Master Harga'!$E$5:$L$351,5,FALSE)</f>
        <v>681487.17873333325</v>
      </c>
      <c r="Q269" s="543">
        <f>P269*$O269</f>
        <v>0</v>
      </c>
      <c r="R269" s="299">
        <f>VLOOKUP($F269,'[1]Master Harga'!$E$5:$L$351,6,FALSE)</f>
        <v>720338.0730320001</v>
      </c>
      <c r="S269" s="543">
        <f>R269*$O269</f>
        <v>0</v>
      </c>
      <c r="T269" s="544"/>
      <c r="U269" s="544"/>
      <c r="V269" s="544"/>
      <c r="W269" s="544"/>
      <c r="X269" s="545"/>
      <c r="Y269" s="296">
        <f t="shared" si="50"/>
        <v>0</v>
      </c>
      <c r="Z269" s="295"/>
    </row>
    <row r="270" spans="2:26" hidden="1" x14ac:dyDescent="0.35">
      <c r="B270" s="546"/>
      <c r="D270" s="550"/>
      <c r="E270" s="551"/>
      <c r="F270" s="295"/>
      <c r="G270" s="364"/>
      <c r="H270" s="365"/>
      <c r="I270" s="366"/>
      <c r="J270" s="364"/>
      <c r="K270" s="308"/>
      <c r="L270" s="662"/>
      <c r="M270" s="542"/>
      <c r="N270" s="296">
        <v>1</v>
      </c>
      <c r="O270" s="365"/>
      <c r="P270" s="543"/>
      <c r="Q270" s="543"/>
      <c r="R270" s="543"/>
      <c r="S270" s="543"/>
      <c r="T270" s="544"/>
      <c r="U270" s="544"/>
      <c r="V270" s="544"/>
      <c r="W270" s="544"/>
      <c r="X270" s="545"/>
      <c r="Y270" s="296">
        <f t="shared" si="50"/>
        <v>0</v>
      </c>
      <c r="Z270" s="295"/>
    </row>
    <row r="271" spans="2:26" hidden="1" x14ac:dyDescent="0.35">
      <c r="B271" s="546"/>
      <c r="D271" t="s">
        <v>495</v>
      </c>
      <c r="E271" s="547"/>
      <c r="F271" s="295" t="s">
        <v>189</v>
      </c>
      <c r="G271" s="364" t="s">
        <v>190</v>
      </c>
      <c r="H271" s="365"/>
      <c r="I271" s="366"/>
      <c r="J271" s="364"/>
      <c r="K271" s="400"/>
      <c r="L271" s="662">
        <f>'SI TB LC'!L132</f>
        <v>400.8</v>
      </c>
      <c r="M271" s="542">
        <f>1/30</f>
        <v>3.3333333333333333E-2</v>
      </c>
      <c r="N271" s="296">
        <v>1</v>
      </c>
      <c r="O271" s="401">
        <f>K271*L271*M271*N271</f>
        <v>0</v>
      </c>
      <c r="P271" s="299">
        <f>VLOOKUP($F271,'[1]Master Harga'!$E$5:$L$351,5,FALSE)</f>
        <v>140008</v>
      </c>
      <c r="Q271" s="543">
        <f>P271*$O271</f>
        <v>0</v>
      </c>
      <c r="R271" s="299">
        <f>VLOOKUP($F271,'[1]Master Harga'!$E$5:$L$351,6,FALSE)</f>
        <v>149108.51999999999</v>
      </c>
      <c r="S271" s="543">
        <f>R271*$O271</f>
        <v>0</v>
      </c>
      <c r="T271" s="544"/>
      <c r="U271" s="544"/>
      <c r="V271" s="544"/>
      <c r="W271" s="544"/>
      <c r="X271" s="545"/>
      <c r="Y271" s="296">
        <f t="shared" si="50"/>
        <v>0</v>
      </c>
      <c r="Z271" s="295"/>
    </row>
    <row r="272" spans="2:26" hidden="1" x14ac:dyDescent="0.35">
      <c r="B272" s="546"/>
      <c r="E272" s="547"/>
      <c r="F272" s="295" t="s">
        <v>215</v>
      </c>
      <c r="G272" s="364" t="s">
        <v>203</v>
      </c>
      <c r="H272" s="365"/>
      <c r="I272" s="366"/>
      <c r="J272" s="364"/>
      <c r="K272" s="400"/>
      <c r="L272" s="662">
        <f>L271</f>
        <v>400.8</v>
      </c>
      <c r="M272" s="542">
        <f>1/60</f>
        <v>1.6666666666666666E-2</v>
      </c>
      <c r="N272" s="296">
        <v>1</v>
      </c>
      <c r="O272" s="401">
        <f>K272*L272*M272*N272</f>
        <v>0</v>
      </c>
      <c r="P272" s="299">
        <f>VLOOKUP($F272,'[1]Master Harga'!$E$5:$L$351,5,FALSE)</f>
        <v>681487.17873333325</v>
      </c>
      <c r="Q272" s="543">
        <f>P272*$O272</f>
        <v>0</v>
      </c>
      <c r="R272" s="299">
        <f>VLOOKUP($F272,'[1]Master Harga'!$E$5:$L$351,6,FALSE)</f>
        <v>720338.0730320001</v>
      </c>
      <c r="S272" s="543">
        <f>R272*$O272</f>
        <v>0</v>
      </c>
      <c r="T272" s="544"/>
      <c r="U272" s="544"/>
      <c r="V272" s="544"/>
      <c r="W272" s="544"/>
      <c r="X272" s="545"/>
      <c r="Y272" s="296">
        <f t="shared" si="50"/>
        <v>0</v>
      </c>
      <c r="Z272" s="295"/>
    </row>
    <row r="273" spans="1:26" hidden="1" x14ac:dyDescent="0.35">
      <c r="B273" s="546"/>
      <c r="D273" s="550"/>
      <c r="E273" s="551"/>
      <c r="F273" s="295"/>
      <c r="G273" s="364"/>
      <c r="H273" s="365"/>
      <c r="I273" s="366"/>
      <c r="J273" s="364"/>
      <c r="K273" s="308"/>
      <c r="L273" s="662"/>
      <c r="M273" s="542"/>
      <c r="N273" s="296">
        <v>1</v>
      </c>
      <c r="O273" s="365"/>
      <c r="P273" s="543"/>
      <c r="Q273" s="543"/>
      <c r="R273" s="543"/>
      <c r="S273" s="543"/>
      <c r="T273" s="544"/>
      <c r="U273" s="544"/>
      <c r="V273" s="544"/>
      <c r="W273" s="544"/>
      <c r="X273" s="545"/>
      <c r="Y273" s="296">
        <f t="shared" si="50"/>
        <v>0</v>
      </c>
      <c r="Z273" s="295"/>
    </row>
    <row r="274" spans="1:26" x14ac:dyDescent="0.35">
      <c r="B274" s="546"/>
      <c r="D274" t="s">
        <v>139</v>
      </c>
      <c r="E274" s="547"/>
      <c r="F274" s="295" t="s">
        <v>189</v>
      </c>
      <c r="G274" s="364" t="s">
        <v>190</v>
      </c>
      <c r="H274" s="365"/>
      <c r="I274" s="366"/>
      <c r="J274" s="364"/>
      <c r="K274" s="400">
        <v>1</v>
      </c>
      <c r="L274" s="564">
        <f>$L$38</f>
        <v>400.8</v>
      </c>
      <c r="M274" s="542">
        <v>0.42799999999999999</v>
      </c>
      <c r="N274" s="296">
        <v>1</v>
      </c>
      <c r="O274" s="401">
        <f>K274*L274*M274*N274</f>
        <v>171.54240000000001</v>
      </c>
      <c r="P274" s="299">
        <f>VLOOKUP($F274,'[1]Master Harga'!$E$5:$L$351,5,FALSE)</f>
        <v>140008</v>
      </c>
      <c r="Q274" s="543">
        <f>P274*$O274</f>
        <v>24017308.339200001</v>
      </c>
      <c r="R274" s="299">
        <f>VLOOKUP($F274,'[1]Master Harga'!$E$5:$L$351,6,FALSE)</f>
        <v>149108.51999999999</v>
      </c>
      <c r="S274" s="543">
        <f>R274*$O274</f>
        <v>25578433.381248001</v>
      </c>
      <c r="T274" s="544"/>
      <c r="U274" s="544"/>
      <c r="V274" s="544"/>
      <c r="W274" s="544"/>
      <c r="X274" s="545"/>
      <c r="Y274" s="296">
        <f t="shared" si="50"/>
        <v>63818.446560000004</v>
      </c>
      <c r="Z274" s="295"/>
    </row>
    <row r="275" spans="1:26" x14ac:dyDescent="0.35">
      <c r="B275" s="546"/>
      <c r="E275" s="547"/>
      <c r="F275" s="295" t="s">
        <v>289</v>
      </c>
      <c r="G275" s="364" t="s">
        <v>264</v>
      </c>
      <c r="H275" s="365"/>
      <c r="I275" s="366"/>
      <c r="J275" s="364"/>
      <c r="K275" s="400">
        <v>1</v>
      </c>
      <c r="L275" s="564">
        <f>$L$38</f>
        <v>400.8</v>
      </c>
      <c r="M275" s="542"/>
      <c r="N275" s="296">
        <v>1</v>
      </c>
      <c r="O275" s="365"/>
      <c r="P275" s="543"/>
      <c r="Q275" s="543"/>
      <c r="R275" s="543"/>
      <c r="S275" s="543"/>
      <c r="T275" s="544"/>
      <c r="U275" s="544"/>
      <c r="V275" s="544"/>
      <c r="W275" s="544"/>
      <c r="X275" s="545"/>
      <c r="Y275" s="296">
        <f t="shared" si="50"/>
        <v>0</v>
      </c>
      <c r="Z275" s="295"/>
    </row>
    <row r="276" spans="1:26" x14ac:dyDescent="0.35">
      <c r="B276" s="546"/>
      <c r="E276" s="547"/>
      <c r="F276" s="295" t="s">
        <v>215</v>
      </c>
      <c r="G276" s="364" t="s">
        <v>203</v>
      </c>
      <c r="H276" s="365"/>
      <c r="I276" s="366"/>
      <c r="J276" s="364"/>
      <c r="K276" s="400">
        <v>1</v>
      </c>
      <c r="L276" s="564">
        <f>$L$38</f>
        <v>400.8</v>
      </c>
      <c r="M276" s="542"/>
      <c r="N276" s="296">
        <v>1</v>
      </c>
      <c r="O276" s="365"/>
      <c r="P276" s="543"/>
      <c r="Q276" s="543"/>
      <c r="R276" s="543"/>
      <c r="S276" s="543"/>
      <c r="T276" s="544"/>
      <c r="U276" s="544"/>
      <c r="V276" s="544"/>
      <c r="W276" s="544"/>
      <c r="X276" s="545"/>
      <c r="Y276" s="296">
        <f t="shared" si="50"/>
        <v>0</v>
      </c>
      <c r="Z276" s="295"/>
    </row>
    <row r="277" spans="1:26" hidden="1" x14ac:dyDescent="0.35">
      <c r="B277" s="539"/>
      <c r="C277" s="540" t="s">
        <v>496</v>
      </c>
      <c r="D277" s="540"/>
      <c r="E277" s="541"/>
      <c r="F277" s="295" t="s">
        <v>189</v>
      </c>
      <c r="G277" s="364" t="s">
        <v>190</v>
      </c>
      <c r="H277" s="365"/>
      <c r="I277" s="366"/>
      <c r="J277" s="364"/>
      <c r="K277" s="308"/>
      <c r="L277" s="662"/>
      <c r="M277" s="542"/>
      <c r="N277" s="296">
        <v>1</v>
      </c>
      <c r="O277" s="365"/>
      <c r="P277" s="543"/>
      <c r="Q277" s="543"/>
      <c r="R277" s="543"/>
      <c r="S277" s="543"/>
      <c r="T277" s="544"/>
      <c r="U277" s="544"/>
      <c r="V277" s="544"/>
      <c r="W277" s="544"/>
      <c r="X277" s="545"/>
      <c r="Y277" s="296">
        <f t="shared" si="50"/>
        <v>0</v>
      </c>
      <c r="Z277" s="295"/>
    </row>
    <row r="278" spans="1:26" hidden="1" x14ac:dyDescent="0.35">
      <c r="B278" s="546"/>
      <c r="E278" s="547"/>
      <c r="F278" s="295" t="s">
        <v>251</v>
      </c>
      <c r="G278" s="364" t="s">
        <v>203</v>
      </c>
      <c r="H278" s="365"/>
      <c r="I278" s="366"/>
      <c r="J278" s="364"/>
      <c r="K278" s="308"/>
      <c r="L278" s="662"/>
      <c r="M278" s="542">
        <f>2/1000</f>
        <v>2E-3</v>
      </c>
      <c r="N278" s="296">
        <v>1</v>
      </c>
      <c r="O278" s="365"/>
      <c r="P278" s="543"/>
      <c r="Q278" s="543"/>
      <c r="R278" s="543"/>
      <c r="S278" s="543"/>
      <c r="T278" s="544"/>
      <c r="U278" s="544"/>
      <c r="V278" s="544"/>
      <c r="W278" s="544"/>
      <c r="X278" s="545"/>
      <c r="Y278" s="296">
        <f t="shared" si="50"/>
        <v>0</v>
      </c>
      <c r="Z278" s="295"/>
    </row>
    <row r="279" spans="1:26" hidden="1" x14ac:dyDescent="0.35">
      <c r="B279" s="546"/>
      <c r="E279" s="547"/>
      <c r="F279" s="778" t="s">
        <v>215</v>
      </c>
      <c r="G279" s="779" t="s">
        <v>203</v>
      </c>
      <c r="H279" s="539"/>
      <c r="I279" s="540"/>
      <c r="J279" s="779"/>
      <c r="K279" s="780"/>
      <c r="L279" s="781"/>
      <c r="M279" s="782"/>
      <c r="N279" s="783">
        <v>1</v>
      </c>
      <c r="O279" s="539"/>
      <c r="P279" s="506"/>
      <c r="Q279" s="506"/>
      <c r="R279" s="506"/>
      <c r="S279" s="506"/>
      <c r="T279" s="784"/>
      <c r="U279" s="784"/>
      <c r="V279" s="784"/>
      <c r="W279" s="784"/>
      <c r="X279" s="785"/>
      <c r="Y279" s="296">
        <f t="shared" si="50"/>
        <v>0</v>
      </c>
      <c r="Z279" s="295"/>
    </row>
    <row r="280" spans="1:26" s="540" customFormat="1" hidden="1" x14ac:dyDescent="0.35">
      <c r="A280" s="547"/>
      <c r="B280" s="539"/>
      <c r="C280" s="540" t="s">
        <v>497</v>
      </c>
      <c r="E280" s="541"/>
      <c r="F280" s="295" t="s">
        <v>189</v>
      </c>
      <c r="G280" s="364" t="s">
        <v>190</v>
      </c>
      <c r="H280" s="365"/>
      <c r="I280" s="366"/>
      <c r="J280" s="364"/>
      <c r="K280" s="308"/>
      <c r="L280" s="662"/>
      <c r="M280" s="542"/>
      <c r="N280" s="296">
        <v>1</v>
      </c>
      <c r="O280" s="365"/>
      <c r="P280" s="543"/>
      <c r="Q280" s="543"/>
      <c r="R280" s="543"/>
      <c r="S280" s="543"/>
      <c r="T280" s="544"/>
      <c r="U280" s="544"/>
      <c r="V280" s="544"/>
      <c r="W280" s="544"/>
      <c r="X280" s="545"/>
      <c r="Y280" s="296">
        <f t="shared" si="50"/>
        <v>0</v>
      </c>
      <c r="Z280" s="295"/>
    </row>
    <row r="281" spans="1:26" hidden="1" x14ac:dyDescent="0.35">
      <c r="B281" s="549"/>
      <c r="C281" s="550"/>
      <c r="D281" s="550"/>
      <c r="E281" s="551"/>
      <c r="F281" s="295"/>
      <c r="G281" s="364"/>
      <c r="H281" s="365"/>
      <c r="I281" s="366"/>
      <c r="J281" s="364"/>
      <c r="K281" s="308"/>
      <c r="L281" s="662"/>
      <c r="M281" s="542"/>
      <c r="N281" s="296">
        <v>1</v>
      </c>
      <c r="O281" s="365"/>
      <c r="P281" s="543"/>
      <c r="Q281" s="543"/>
      <c r="R281" s="543"/>
      <c r="S281" s="543"/>
      <c r="T281" s="544"/>
      <c r="U281" s="544"/>
      <c r="V281" s="544"/>
      <c r="W281" s="544"/>
      <c r="X281" s="545"/>
      <c r="Y281" s="296">
        <f t="shared" si="50"/>
        <v>0</v>
      </c>
      <c r="Z281" s="295"/>
    </row>
    <row r="282" spans="1:26" hidden="1" x14ac:dyDescent="0.35">
      <c r="B282" s="546"/>
      <c r="C282" t="s">
        <v>498</v>
      </c>
      <c r="E282" s="547"/>
      <c r="F282" s="295" t="s">
        <v>189</v>
      </c>
      <c r="G282" s="364" t="s">
        <v>190</v>
      </c>
      <c r="H282" s="365"/>
      <c r="I282" s="366"/>
      <c r="J282" s="364"/>
      <c r="K282" s="308"/>
      <c r="L282" s="662"/>
      <c r="M282" s="542"/>
      <c r="N282" s="296">
        <v>1</v>
      </c>
      <c r="O282" s="365"/>
      <c r="P282" s="543"/>
      <c r="Q282" s="543"/>
      <c r="R282" s="543"/>
      <c r="S282" s="543"/>
      <c r="T282" s="544"/>
      <c r="U282" s="544"/>
      <c r="V282" s="544"/>
      <c r="W282" s="544"/>
      <c r="X282" s="545"/>
      <c r="Y282" s="296">
        <f t="shared" si="50"/>
        <v>0</v>
      </c>
      <c r="Z282" s="295"/>
    </row>
    <row r="283" spans="1:26" hidden="1" x14ac:dyDescent="0.35">
      <c r="B283" s="546"/>
      <c r="E283" s="547"/>
      <c r="F283" s="295" t="s">
        <v>499</v>
      </c>
      <c r="G283" s="364" t="s">
        <v>264</v>
      </c>
      <c r="H283" s="365"/>
      <c r="I283" s="366"/>
      <c r="J283" s="364"/>
      <c r="K283" s="308"/>
      <c r="L283" s="662"/>
      <c r="M283" s="542"/>
      <c r="N283" s="296">
        <v>1</v>
      </c>
      <c r="O283" s="365"/>
      <c r="P283" s="543"/>
      <c r="Q283" s="543"/>
      <c r="R283" s="543"/>
      <c r="S283" s="543"/>
      <c r="T283" s="544"/>
      <c r="U283" s="544"/>
      <c r="V283" s="544"/>
      <c r="W283" s="544"/>
      <c r="X283" s="545"/>
      <c r="Y283" s="296">
        <f t="shared" si="50"/>
        <v>0</v>
      </c>
      <c r="Z283" s="295"/>
    </row>
    <row r="284" spans="1:26" hidden="1" x14ac:dyDescent="0.35">
      <c r="B284" s="549"/>
      <c r="C284" s="550"/>
      <c r="D284" s="550"/>
      <c r="E284" s="551"/>
      <c r="F284" s="295"/>
      <c r="G284" s="364"/>
      <c r="H284" s="365"/>
      <c r="I284" s="366"/>
      <c r="J284" s="364"/>
      <c r="K284" s="308"/>
      <c r="L284" s="662"/>
      <c r="M284" s="542"/>
      <c r="N284" s="296">
        <v>1</v>
      </c>
      <c r="O284" s="365"/>
      <c r="P284" s="543"/>
      <c r="Q284" s="543"/>
      <c r="R284" s="543"/>
      <c r="S284" s="543"/>
      <c r="T284" s="544"/>
      <c r="U284" s="544"/>
      <c r="V284" s="544"/>
      <c r="W284" s="544"/>
      <c r="X284" s="545"/>
      <c r="Y284" s="296">
        <f t="shared" si="50"/>
        <v>0</v>
      </c>
      <c r="Z284" s="295"/>
    </row>
    <row r="285" spans="1:26" x14ac:dyDescent="0.35">
      <c r="B285" s="753" t="s">
        <v>500</v>
      </c>
      <c r="C285" s="754"/>
      <c r="D285" s="754"/>
      <c r="E285" s="755"/>
      <c r="F285" s="668"/>
      <c r="G285" s="669"/>
      <c r="H285" s="670"/>
      <c r="I285" s="671"/>
      <c r="J285" s="669"/>
      <c r="K285" s="672"/>
      <c r="L285" s="673"/>
      <c r="M285" s="674"/>
      <c r="N285" s="675"/>
      <c r="O285" s="670"/>
      <c r="P285" s="676"/>
      <c r="Q285" s="676"/>
      <c r="R285" s="676"/>
      <c r="S285" s="756">
        <f>S263+S236</f>
        <v>1159054436.0290611</v>
      </c>
      <c r="T285" s="677"/>
      <c r="U285" s="677"/>
      <c r="V285" s="677"/>
      <c r="W285" s="677"/>
      <c r="X285" s="670"/>
      <c r="Y285" s="757">
        <f t="shared" si="50"/>
        <v>2891852.3853020486</v>
      </c>
      <c r="Z285" s="758">
        <f>(Y285/$Y$410)*100</f>
        <v>20.096589683039369</v>
      </c>
    </row>
    <row r="286" spans="1:26" x14ac:dyDescent="0.35">
      <c r="B286" s="678" t="s">
        <v>292</v>
      </c>
      <c r="C286" s="366"/>
      <c r="D286" s="366"/>
      <c r="E286" s="553"/>
      <c r="F286" s="295"/>
      <c r="G286" s="364"/>
      <c r="H286" s="365"/>
      <c r="I286" s="366"/>
      <c r="J286" s="364"/>
      <c r="K286" s="308"/>
      <c r="L286" s="662"/>
      <c r="M286" s="542"/>
      <c r="N286" s="296"/>
      <c r="O286" s="365"/>
      <c r="P286" s="543"/>
      <c r="Q286" s="543"/>
      <c r="R286" s="543"/>
      <c r="S286" s="543"/>
      <c r="T286" s="544"/>
      <c r="U286" s="544"/>
      <c r="V286" s="544"/>
      <c r="W286" s="544"/>
      <c r="X286" s="545"/>
      <c r="Y286" s="296">
        <f t="shared" si="50"/>
        <v>0</v>
      </c>
      <c r="Z286" s="295"/>
    </row>
    <row r="287" spans="1:26" x14ac:dyDescent="0.35">
      <c r="B287" s="546"/>
      <c r="C287" t="s">
        <v>134</v>
      </c>
      <c r="E287" s="547"/>
      <c r="F287" s="295" t="s">
        <v>189</v>
      </c>
      <c r="G287" s="364" t="s">
        <v>190</v>
      </c>
      <c r="H287" s="365"/>
      <c r="I287" s="366"/>
      <c r="J287" s="364"/>
      <c r="K287" s="548"/>
      <c r="L287" s="662">
        <f>AC1*143</f>
        <v>57314.400000000001</v>
      </c>
      <c r="M287" s="542">
        <f>1/3</f>
        <v>0.33333333333333331</v>
      </c>
      <c r="N287" s="296">
        <v>1</v>
      </c>
      <c r="O287" s="401">
        <f>K287*L287*M287*N287</f>
        <v>0</v>
      </c>
      <c r="P287" s="299">
        <f>VLOOKUP($F287,'[1]Master Harga'!$E$5:$L$351,5,FALSE)</f>
        <v>140008</v>
      </c>
      <c r="Q287" s="543">
        <f>P287*$O287</f>
        <v>0</v>
      </c>
      <c r="R287" s="299">
        <f>VLOOKUP($F287,'[1]Master Harga'!$E$5:$L$351,6,FALSE)</f>
        <v>149108.51999999999</v>
      </c>
      <c r="S287" s="750">
        <f>R287*$O287</f>
        <v>0</v>
      </c>
      <c r="T287" s="544"/>
      <c r="U287" s="544"/>
      <c r="V287" s="544"/>
      <c r="W287" s="544"/>
      <c r="X287" s="545"/>
      <c r="Y287" s="296">
        <f t="shared" si="50"/>
        <v>0</v>
      </c>
      <c r="Z287" s="295"/>
    </row>
    <row r="288" spans="1:26" hidden="1" x14ac:dyDescent="0.35">
      <c r="B288" s="546"/>
      <c r="D288" s="550"/>
      <c r="E288" s="551"/>
      <c r="F288" s="295"/>
      <c r="G288" s="364"/>
      <c r="H288" s="365"/>
      <c r="I288" s="366"/>
      <c r="J288" s="364"/>
      <c r="K288" s="308"/>
      <c r="L288" s="662"/>
      <c r="M288" s="542"/>
      <c r="N288" s="296">
        <v>1</v>
      </c>
      <c r="O288" s="365"/>
      <c r="P288" s="543"/>
      <c r="Q288" s="543"/>
      <c r="R288" s="543"/>
      <c r="S288" s="543"/>
      <c r="T288" s="544"/>
      <c r="U288" s="544"/>
      <c r="V288" s="544"/>
      <c r="W288" s="544"/>
      <c r="X288" s="545"/>
      <c r="Y288" s="296">
        <f t="shared" si="50"/>
        <v>0</v>
      </c>
      <c r="Z288" s="295"/>
    </row>
    <row r="289" spans="2:26" x14ac:dyDescent="0.35">
      <c r="B289" s="546"/>
      <c r="D289" t="s">
        <v>138</v>
      </c>
      <c r="E289" s="547"/>
      <c r="F289" s="295" t="s">
        <v>189</v>
      </c>
      <c r="G289" s="364" t="s">
        <v>190</v>
      </c>
      <c r="H289" s="365"/>
      <c r="I289" s="366"/>
      <c r="J289" s="364"/>
      <c r="K289" s="548">
        <v>0.2</v>
      </c>
      <c r="L289" s="662">
        <f>L287</f>
        <v>57314.400000000001</v>
      </c>
      <c r="M289" s="542">
        <f>1/3</f>
        <v>0.33333333333333331</v>
      </c>
      <c r="N289" s="296">
        <v>1</v>
      </c>
      <c r="O289" s="401">
        <f>K289*L289*M289*N289</f>
        <v>3820.96</v>
      </c>
      <c r="P289" s="299">
        <f>VLOOKUP($F289,'[1]Master Harga'!$E$5:$L$351,5,FALSE)</f>
        <v>140008</v>
      </c>
      <c r="Q289" s="543">
        <f>P289*$O289</f>
        <v>534964967.68000001</v>
      </c>
      <c r="R289" s="299">
        <f>VLOOKUP($F289,'[1]Master Harga'!$E$5:$L$351,6,FALSE)</f>
        <v>149108.51999999999</v>
      </c>
      <c r="S289" s="750">
        <f>R289*$O289</f>
        <v>569737690.57919991</v>
      </c>
      <c r="T289" s="544"/>
      <c r="U289" s="544"/>
      <c r="V289" s="544"/>
      <c r="W289" s="544"/>
      <c r="X289" s="545"/>
      <c r="Y289" s="296">
        <f t="shared" si="50"/>
        <v>1421501.2239999997</v>
      </c>
      <c r="Z289" s="295"/>
    </row>
    <row r="290" spans="2:26" hidden="1" x14ac:dyDescent="0.35">
      <c r="B290" s="549"/>
      <c r="C290" s="550"/>
      <c r="D290" s="550"/>
      <c r="E290" s="551"/>
      <c r="F290" s="295"/>
      <c r="G290" s="364"/>
      <c r="H290" s="365"/>
      <c r="I290" s="366"/>
      <c r="J290" s="364"/>
      <c r="K290" s="308"/>
      <c r="L290" s="662"/>
      <c r="M290" s="542"/>
      <c r="N290" s="296">
        <v>1</v>
      </c>
      <c r="O290" s="365"/>
      <c r="P290" s="543"/>
      <c r="Q290" s="543"/>
      <c r="R290" s="543"/>
      <c r="S290" s="543"/>
      <c r="T290" s="544"/>
      <c r="U290" s="544"/>
      <c r="V290" s="544"/>
      <c r="W290" s="544"/>
      <c r="X290" s="545"/>
      <c r="Y290" s="296">
        <f t="shared" si="50"/>
        <v>0</v>
      </c>
      <c r="Z290" s="295"/>
    </row>
    <row r="291" spans="2:26" hidden="1" x14ac:dyDescent="0.35">
      <c r="B291" s="546"/>
      <c r="C291" t="s">
        <v>294</v>
      </c>
      <c r="E291" s="547"/>
      <c r="F291" s="295" t="s">
        <v>189</v>
      </c>
      <c r="G291" s="364" t="s">
        <v>190</v>
      </c>
      <c r="H291" s="365"/>
      <c r="I291" s="366"/>
      <c r="J291" s="364"/>
      <c r="K291" s="308"/>
      <c r="L291" s="662"/>
      <c r="M291" s="542">
        <f>1/3</f>
        <v>0.33333333333333331</v>
      </c>
      <c r="N291" s="296">
        <v>1</v>
      </c>
      <c r="O291" s="365"/>
      <c r="P291" s="543"/>
      <c r="Q291" s="543"/>
      <c r="R291" s="543"/>
      <c r="S291" s="543"/>
      <c r="T291" s="544"/>
      <c r="U291" s="544"/>
      <c r="V291" s="544"/>
      <c r="W291" s="544"/>
      <c r="X291" s="545"/>
      <c r="Y291" s="296">
        <f t="shared" si="50"/>
        <v>0</v>
      </c>
      <c r="Z291" s="295"/>
    </row>
    <row r="292" spans="2:26" hidden="1" x14ac:dyDescent="0.35">
      <c r="B292" s="549"/>
      <c r="C292" s="550"/>
      <c r="D292" s="550"/>
      <c r="E292" s="551"/>
      <c r="F292" s="295"/>
      <c r="G292" s="364"/>
      <c r="H292" s="365"/>
      <c r="I292" s="366"/>
      <c r="J292" s="364"/>
      <c r="K292" s="308"/>
      <c r="L292" s="662"/>
      <c r="M292" s="542"/>
      <c r="N292" s="296">
        <v>1</v>
      </c>
      <c r="O292" s="365"/>
      <c r="P292" s="543"/>
      <c r="Q292" s="543"/>
      <c r="R292" s="543"/>
      <c r="S292" s="543"/>
      <c r="T292" s="544"/>
      <c r="U292" s="544"/>
      <c r="V292" s="544"/>
      <c r="W292" s="544"/>
      <c r="X292" s="545"/>
      <c r="Y292" s="296">
        <f t="shared" si="50"/>
        <v>0</v>
      </c>
      <c r="Z292" s="295"/>
    </row>
    <row r="293" spans="2:26" hidden="1" x14ac:dyDescent="0.35">
      <c r="B293" s="546"/>
      <c r="C293" t="s">
        <v>501</v>
      </c>
      <c r="E293" s="547"/>
      <c r="F293" s="295" t="s">
        <v>189</v>
      </c>
      <c r="G293" s="364" t="s">
        <v>190</v>
      </c>
      <c r="H293" s="365"/>
      <c r="I293" s="366"/>
      <c r="J293" s="364"/>
      <c r="K293" s="308"/>
      <c r="L293" s="662"/>
      <c r="M293" s="542"/>
      <c r="N293" s="296">
        <v>1</v>
      </c>
      <c r="O293" s="365"/>
      <c r="P293" s="543"/>
      <c r="Q293" s="543"/>
      <c r="R293" s="543"/>
      <c r="S293" s="543"/>
      <c r="T293" s="544"/>
      <c r="U293" s="544"/>
      <c r="V293" s="544"/>
      <c r="W293" s="544"/>
      <c r="X293" s="545"/>
      <c r="Y293" s="296">
        <f t="shared" si="50"/>
        <v>0</v>
      </c>
      <c r="Z293" s="295"/>
    </row>
    <row r="294" spans="2:26" hidden="1" x14ac:dyDescent="0.35">
      <c r="B294" s="549"/>
      <c r="C294" s="550"/>
      <c r="D294" s="550"/>
      <c r="E294" s="551"/>
      <c r="F294" s="295"/>
      <c r="G294" s="364"/>
      <c r="H294" s="365"/>
      <c r="I294" s="366"/>
      <c r="J294" s="364"/>
      <c r="K294" s="308"/>
      <c r="L294" s="662"/>
      <c r="M294" s="542"/>
      <c r="N294" s="296">
        <v>1</v>
      </c>
      <c r="O294" s="365"/>
      <c r="P294" s="543"/>
      <c r="Q294" s="543"/>
      <c r="R294" s="543"/>
      <c r="S294" s="543"/>
      <c r="T294" s="544"/>
      <c r="U294" s="544"/>
      <c r="V294" s="544"/>
      <c r="W294" s="544"/>
      <c r="X294" s="545"/>
      <c r="Y294" s="296">
        <f t="shared" si="50"/>
        <v>0</v>
      </c>
      <c r="Z294" s="295"/>
    </row>
    <row r="295" spans="2:26" x14ac:dyDescent="0.35">
      <c r="B295" s="753" t="s">
        <v>502</v>
      </c>
      <c r="C295" s="754"/>
      <c r="D295" s="754"/>
      <c r="E295" s="755"/>
      <c r="F295" s="668"/>
      <c r="G295" s="669"/>
      <c r="H295" s="670"/>
      <c r="I295" s="671"/>
      <c r="J295" s="669"/>
      <c r="K295" s="672"/>
      <c r="L295" s="673"/>
      <c r="M295" s="674"/>
      <c r="N295" s="675"/>
      <c r="O295" s="670"/>
      <c r="P295" s="676"/>
      <c r="Q295" s="676"/>
      <c r="R295" s="676"/>
      <c r="S295" s="756">
        <f>SUM(S287:S294)</f>
        <v>569737690.57919991</v>
      </c>
      <c r="T295" s="677"/>
      <c r="U295" s="677"/>
      <c r="V295" s="677"/>
      <c r="W295" s="677"/>
      <c r="X295" s="670"/>
      <c r="Y295" s="757">
        <f t="shared" si="50"/>
        <v>1421501.2239999997</v>
      </c>
      <c r="Z295" s="758">
        <f>(Y295/$Y$410)*100</f>
        <v>9.8785563806302026</v>
      </c>
    </row>
    <row r="296" spans="2:26" x14ac:dyDescent="0.35">
      <c r="B296" s="678" t="s">
        <v>503</v>
      </c>
      <c r="C296" s="366"/>
      <c r="D296" s="366"/>
      <c r="E296" s="553"/>
      <c r="F296" s="295"/>
      <c r="G296" s="364"/>
      <c r="H296" s="365"/>
      <c r="I296" s="366"/>
      <c r="J296" s="364"/>
      <c r="K296" s="308"/>
      <c r="L296" s="662"/>
      <c r="M296" s="542"/>
      <c r="N296" s="296"/>
      <c r="O296" s="365"/>
      <c r="P296" s="543"/>
      <c r="Q296" s="543"/>
      <c r="R296" s="543"/>
      <c r="S296" s="543"/>
      <c r="T296" s="544"/>
      <c r="U296" s="544"/>
      <c r="V296" s="544"/>
      <c r="W296" s="544"/>
      <c r="X296" s="545"/>
      <c r="Y296" s="296">
        <f t="shared" si="50"/>
        <v>0</v>
      </c>
      <c r="Z296" s="295"/>
    </row>
    <row r="297" spans="2:26" x14ac:dyDescent="0.35">
      <c r="B297" s="546"/>
      <c r="C297" t="s">
        <v>142</v>
      </c>
      <c r="E297" s="547"/>
      <c r="F297" s="295" t="s">
        <v>189</v>
      </c>
      <c r="G297" s="364" t="s">
        <v>190</v>
      </c>
      <c r="H297" s="365"/>
      <c r="I297" s="366"/>
      <c r="J297" s="364" t="s">
        <v>170</v>
      </c>
      <c r="K297" s="400">
        <v>0.5</v>
      </c>
      <c r="L297" s="564">
        <f>$L$38</f>
        <v>400.8</v>
      </c>
      <c r="M297" s="542">
        <v>0.25</v>
      </c>
      <c r="N297" s="296">
        <v>3</v>
      </c>
      <c r="O297" s="401">
        <f>K297*L297*M297*N297</f>
        <v>150.30000000000001</v>
      </c>
      <c r="P297" s="299">
        <f>VLOOKUP($F297,'[1]Master Harga'!$E$5:$L$351,5,FALSE)</f>
        <v>140008</v>
      </c>
      <c r="Q297" s="543">
        <f>P297*$O297</f>
        <v>21043202.400000002</v>
      </c>
      <c r="R297" s="299">
        <f>VLOOKUP($F297,'[1]Master Harga'!$E$5:$L$351,6,FALSE)</f>
        <v>149108.51999999999</v>
      </c>
      <c r="S297" s="543">
        <f>R297*$O297</f>
        <v>22411010.556000002</v>
      </c>
      <c r="T297" s="296">
        <f>VLOOKUP($F297,'[2]Master Harga'!$E$5:$L$348,7,FALSE)</f>
        <v>163305.33120000002</v>
      </c>
      <c r="U297" s="544">
        <f>$O297*T297</f>
        <v>24544791.279360004</v>
      </c>
      <c r="V297" s="296">
        <f>W297/O297</f>
        <v>150807.28373333332</v>
      </c>
      <c r="W297" s="307">
        <f>AVERAGEIF($P$3:$U$3,W$3,$P297:$U297)</f>
        <v>22666334.74512</v>
      </c>
      <c r="X297" s="545"/>
      <c r="Y297" s="296">
        <f t="shared" si="50"/>
        <v>55915.695</v>
      </c>
      <c r="Z297" s="295"/>
    </row>
    <row r="298" spans="2:26" x14ac:dyDescent="0.35">
      <c r="B298" s="546"/>
      <c r="E298" s="547"/>
      <c r="F298" s="295" t="s">
        <v>381</v>
      </c>
      <c r="G298" s="364" t="s">
        <v>192</v>
      </c>
      <c r="H298" s="365"/>
      <c r="I298" s="366"/>
      <c r="J298" s="364" t="s">
        <v>170</v>
      </c>
      <c r="K298" s="400">
        <v>0.5</v>
      </c>
      <c r="L298" s="564">
        <f>$L$38</f>
        <v>400.8</v>
      </c>
      <c r="M298" s="542">
        <v>0.54400000000000004</v>
      </c>
      <c r="N298" s="296">
        <v>3</v>
      </c>
      <c r="O298" s="401">
        <f>K298*L298*M298*N298</f>
        <v>327.05280000000005</v>
      </c>
      <c r="P298" s="299">
        <f>VLOOKUP($F298,'[1]Master Harga'!$E$5:$L$351,5,FALSE)</f>
        <v>35251.199999999997</v>
      </c>
      <c r="Q298" s="543">
        <f>P298*$O298</f>
        <v>11529003.663360002</v>
      </c>
      <c r="R298" s="299">
        <f>VLOOKUP($F298,'[1]Master Harga'!$E$5:$L$351,6,FALSE)</f>
        <v>34272</v>
      </c>
      <c r="S298" s="543">
        <f>R298*$O298</f>
        <v>11208753.561600002</v>
      </c>
      <c r="T298" s="296">
        <f>VLOOKUP($F298,'[2]Master Harga'!$E$5:$L$348,7,FALSE)</f>
        <v>40359.098880000005</v>
      </c>
      <c r="U298" s="544">
        <f>$O298*T298</f>
        <v>13199556.294180868</v>
      </c>
      <c r="V298" s="296">
        <f>W298/O298</f>
        <v>36627.432959999998</v>
      </c>
      <c r="W298" s="307">
        <f>AVERAGEIF($P$3:$U$3,W$3,$P298:$U298)</f>
        <v>11979104.50638029</v>
      </c>
      <c r="X298" s="545"/>
      <c r="Y298" s="296">
        <f t="shared" si="50"/>
        <v>27965.952000000005</v>
      </c>
      <c r="Z298" s="295"/>
    </row>
    <row r="299" spans="2:26" hidden="1" x14ac:dyDescent="0.35">
      <c r="B299" s="549"/>
      <c r="C299" s="550"/>
      <c r="D299" s="550"/>
      <c r="E299" s="551"/>
      <c r="F299" s="295"/>
      <c r="G299" s="364"/>
      <c r="H299" s="365"/>
      <c r="I299" s="366"/>
      <c r="J299" s="364"/>
      <c r="K299" s="308"/>
      <c r="L299" s="662"/>
      <c r="M299" s="542"/>
      <c r="N299" s="296"/>
      <c r="O299" s="365"/>
      <c r="P299" s="543"/>
      <c r="Q299" s="543"/>
      <c r="R299" s="543"/>
      <c r="S299" s="543"/>
      <c r="T299" s="544"/>
      <c r="U299" s="544"/>
      <c r="V299" s="544"/>
      <c r="W299" s="544"/>
      <c r="X299" s="545"/>
      <c r="Y299" s="296">
        <f t="shared" si="50"/>
        <v>0</v>
      </c>
      <c r="Z299" s="295"/>
    </row>
    <row r="300" spans="2:26" x14ac:dyDescent="0.35">
      <c r="B300" s="685" t="s">
        <v>504</v>
      </c>
      <c r="C300" s="686"/>
      <c r="D300" s="686"/>
      <c r="E300" s="687"/>
      <c r="F300" s="688"/>
      <c r="G300" s="689"/>
      <c r="H300" s="690"/>
      <c r="I300" s="691"/>
      <c r="J300" s="689"/>
      <c r="K300" s="692"/>
      <c r="L300" s="693"/>
      <c r="M300" s="694"/>
      <c r="N300" s="695"/>
      <c r="O300" s="690"/>
      <c r="P300" s="696"/>
      <c r="Q300" s="696"/>
      <c r="R300" s="696"/>
      <c r="S300" s="697">
        <f>SUM(S297:S299)</f>
        <v>33619764.117600001</v>
      </c>
      <c r="T300" s="684"/>
      <c r="U300" s="684"/>
      <c r="V300" s="684"/>
      <c r="W300" s="684"/>
      <c r="X300" s="690"/>
      <c r="Y300" s="698">
        <f t="shared" si="50"/>
        <v>83881.646999999997</v>
      </c>
      <c r="Z300" s="699">
        <f>(Y300/$Y$410)*100</f>
        <v>0.58292568813828938</v>
      </c>
    </row>
    <row r="301" spans="2:26" x14ac:dyDescent="0.35">
      <c r="B301" s="546"/>
      <c r="C301" t="s">
        <v>505</v>
      </c>
      <c r="E301" s="547"/>
      <c r="F301" s="295" t="s">
        <v>189</v>
      </c>
      <c r="G301" s="364" t="s">
        <v>190</v>
      </c>
      <c r="H301" s="365"/>
      <c r="I301" s="366"/>
      <c r="J301" s="364"/>
      <c r="K301" s="308"/>
      <c r="L301" s="662"/>
      <c r="M301" s="542"/>
      <c r="N301" s="296"/>
      <c r="O301" s="365"/>
      <c r="P301" s="543"/>
      <c r="Q301" s="543"/>
      <c r="R301" s="543"/>
      <c r="S301" s="543"/>
      <c r="T301" s="544"/>
      <c r="U301" s="544"/>
      <c r="V301" s="544"/>
      <c r="W301" s="544"/>
      <c r="X301" s="545"/>
      <c r="Y301" s="296">
        <f t="shared" si="50"/>
        <v>0</v>
      </c>
      <c r="Z301" s="295"/>
    </row>
    <row r="302" spans="2:26" hidden="1" x14ac:dyDescent="0.35">
      <c r="B302" s="549"/>
      <c r="C302" s="550"/>
      <c r="D302" s="550"/>
      <c r="E302" s="551"/>
      <c r="F302" s="295"/>
      <c r="G302" s="364"/>
      <c r="H302" s="365"/>
      <c r="I302" s="366"/>
      <c r="J302" s="364"/>
      <c r="K302" s="308"/>
      <c r="L302" s="662"/>
      <c r="M302" s="542"/>
      <c r="N302" s="296"/>
      <c r="O302" s="365"/>
      <c r="P302" s="543"/>
      <c r="Q302" s="543"/>
      <c r="R302" s="543"/>
      <c r="S302" s="543"/>
      <c r="T302" s="544"/>
      <c r="U302" s="544"/>
      <c r="V302" s="544"/>
      <c r="W302" s="544"/>
      <c r="X302" s="545"/>
      <c r="Y302" s="296">
        <f t="shared" si="50"/>
        <v>0</v>
      </c>
      <c r="Z302" s="295"/>
    </row>
    <row r="303" spans="2:26" x14ac:dyDescent="0.35">
      <c r="B303" s="546"/>
      <c r="C303" t="s">
        <v>144</v>
      </c>
      <c r="E303" s="547"/>
      <c r="F303" s="295" t="s">
        <v>189</v>
      </c>
      <c r="G303" s="364" t="s">
        <v>190</v>
      </c>
      <c r="H303" s="365"/>
      <c r="I303" s="366"/>
      <c r="J303" s="364" t="s">
        <v>170</v>
      </c>
      <c r="K303" s="548">
        <v>0.1</v>
      </c>
      <c r="L303" s="564">
        <f>$L$38</f>
        <v>400.8</v>
      </c>
      <c r="M303" s="542">
        <v>0.5</v>
      </c>
      <c r="N303" s="296">
        <v>6</v>
      </c>
      <c r="O303" s="401">
        <f>K303*L303*M303*N303</f>
        <v>120.24000000000001</v>
      </c>
      <c r="P303" s="299">
        <f>VLOOKUP($F303,'[1]Master Harga'!$E$5:$L$351,5,FALSE)</f>
        <v>140008</v>
      </c>
      <c r="Q303" s="543">
        <f>P303*$O303</f>
        <v>16834561.920000002</v>
      </c>
      <c r="R303" s="299">
        <f>VLOOKUP($F303,'[1]Master Harga'!$E$5:$L$351,6,FALSE)</f>
        <v>149108.51999999999</v>
      </c>
      <c r="S303" s="543">
        <f>R303*$O303</f>
        <v>17928808.444800001</v>
      </c>
      <c r="T303" s="296">
        <f>VLOOKUP($F303,'[2]Master Harga'!$E$5:$L$348,7,FALSE)</f>
        <v>163305.33120000002</v>
      </c>
      <c r="U303" s="544">
        <f>$O303*T303</f>
        <v>19635833.023488004</v>
      </c>
      <c r="V303" s="296">
        <f>W303/O303</f>
        <v>150807.28373333332</v>
      </c>
      <c r="W303" s="307">
        <f>AVERAGEIF($P$3:$U$3,W$3,$P303:$U303)</f>
        <v>18133067.796096001</v>
      </c>
      <c r="X303" s="545"/>
      <c r="Y303" s="296">
        <f t="shared" si="50"/>
        <v>44732.555999999997</v>
      </c>
      <c r="Z303" s="295"/>
    </row>
    <row r="304" spans="2:26" x14ac:dyDescent="0.35">
      <c r="B304" s="546"/>
      <c r="E304" s="547"/>
      <c r="F304" s="295" t="s">
        <v>378</v>
      </c>
      <c r="G304" s="364" t="s">
        <v>226</v>
      </c>
      <c r="H304" s="365"/>
      <c r="I304" s="366"/>
      <c r="J304" s="364" t="s">
        <v>170</v>
      </c>
      <c r="K304" s="548">
        <v>0.1</v>
      </c>
      <c r="L304" s="564">
        <f t="shared" ref="L304:L311" si="51">$L$38</f>
        <v>400.8</v>
      </c>
      <c r="M304" s="542">
        <v>0.2</v>
      </c>
      <c r="N304" s="296">
        <v>1</v>
      </c>
      <c r="O304" s="401">
        <f>K304*L304*M304*N304</f>
        <v>8.0160000000000018</v>
      </c>
      <c r="P304" s="299">
        <f>VLOOKUP($F304,'[1]Master Harga'!$E$5:$L$351,5,FALSE)</f>
        <v>107100</v>
      </c>
      <c r="Q304" s="543">
        <f>P304*$O304</f>
        <v>858513.60000000021</v>
      </c>
      <c r="R304" s="299">
        <f>VLOOKUP($F304,'[1]Master Harga'!$E$5:$L$351,6,FALSE)</f>
        <v>112455</v>
      </c>
      <c r="S304" s="543">
        <f t="shared" ref="S304:S311" si="52">R304*$O304</f>
        <v>901439.28000000014</v>
      </c>
      <c r="T304" s="296">
        <f>VLOOKUP($F304,'[2]Master Harga'!$E$5:$L$348,7,FALSE)</f>
        <v>122618.79000000001</v>
      </c>
      <c r="U304" s="544">
        <f>$O304*T304</f>
        <v>982912.22064000031</v>
      </c>
      <c r="V304" s="296">
        <f>W304/O304</f>
        <v>114057.93000000001</v>
      </c>
      <c r="W304" s="307">
        <f>AVERAGEIF($P$3:$U$3,W$3,$P304:$U304)</f>
        <v>914288.36688000022</v>
      </c>
      <c r="X304" s="545"/>
      <c r="Y304" s="296">
        <f t="shared" si="50"/>
        <v>2249.1000000000004</v>
      </c>
      <c r="Z304" s="295"/>
    </row>
    <row r="305" spans="2:28" x14ac:dyDescent="0.35">
      <c r="B305" s="546"/>
      <c r="E305" s="547"/>
      <c r="F305" s="295" t="s">
        <v>231</v>
      </c>
      <c r="G305" s="364" t="s">
        <v>226</v>
      </c>
      <c r="H305" s="365"/>
      <c r="I305" s="366"/>
      <c r="J305" s="364" t="s">
        <v>170</v>
      </c>
      <c r="K305" s="548">
        <v>0.1</v>
      </c>
      <c r="L305" s="564">
        <f t="shared" si="51"/>
        <v>400.8</v>
      </c>
      <c r="M305" s="542">
        <f>M303</f>
        <v>0.5</v>
      </c>
      <c r="N305" s="296">
        <v>6</v>
      </c>
      <c r="O305" s="401">
        <f>K305*L305*M305*N305</f>
        <v>120.24000000000001</v>
      </c>
      <c r="P305" s="296">
        <f>VLOOKUP($F305,'[2]Master Harga'!$E$5:$L$348,6,FALSE)</f>
        <v>4158</v>
      </c>
      <c r="Q305" s="543">
        <f>P305*$O305</f>
        <v>499957.92000000004</v>
      </c>
      <c r="R305" s="299">
        <f>VLOOKUP($F305,'[1]Master Harga'!$E$5:$L$351,6,FALSE)</f>
        <v>4042.5</v>
      </c>
      <c r="S305" s="543">
        <f t="shared" si="52"/>
        <v>486070.2</v>
      </c>
      <c r="T305" s="544">
        <f>R305*1.1</f>
        <v>4446.75</v>
      </c>
      <c r="U305" s="544">
        <f>O305*T305</f>
        <v>534677.22000000009</v>
      </c>
      <c r="V305" s="296">
        <f>W305/O305</f>
        <v>4215.75</v>
      </c>
      <c r="W305" s="307">
        <f>AVERAGEIF($P$3:$U$3,W$3,$P305:$U305)</f>
        <v>506901.78000000009</v>
      </c>
      <c r="X305" s="545"/>
      <c r="Y305" s="296">
        <f t="shared" si="50"/>
        <v>1212.75</v>
      </c>
      <c r="Z305" s="295"/>
    </row>
    <row r="306" spans="2:28" x14ac:dyDescent="0.35">
      <c r="B306" s="546"/>
      <c r="E306" s="547"/>
      <c r="F306" s="295" t="s">
        <v>232</v>
      </c>
      <c r="G306" s="364" t="s">
        <v>194</v>
      </c>
      <c r="H306" s="365">
        <v>4</v>
      </c>
      <c r="I306" s="366"/>
      <c r="J306" s="364" t="s">
        <v>170</v>
      </c>
      <c r="K306" s="548"/>
      <c r="L306" s="564">
        <f t="shared" si="51"/>
        <v>400.8</v>
      </c>
      <c r="M306" s="552">
        <f>((M$303*N$303)/240*($H306/N306))</f>
        <v>0.05</v>
      </c>
      <c r="N306" s="296">
        <v>1</v>
      </c>
      <c r="O306" s="401">
        <f t="shared" ref="O306:O311" si="53">K306*L306*M306*N306</f>
        <v>0</v>
      </c>
      <c r="P306" s="543"/>
      <c r="Q306" s="543"/>
      <c r="R306" s="299">
        <f>VLOOKUP($F306,'[1]Master Harga'!$E$5:$L$351,6,FALSE)</f>
        <v>44982</v>
      </c>
      <c r="S306" s="543">
        <f t="shared" si="52"/>
        <v>0</v>
      </c>
      <c r="T306" s="544"/>
      <c r="U306" s="544"/>
      <c r="V306" s="544"/>
      <c r="W306" s="544"/>
      <c r="X306" s="545"/>
      <c r="Y306" s="296">
        <f t="shared" si="50"/>
        <v>0</v>
      </c>
      <c r="Z306" s="295"/>
    </row>
    <row r="307" spans="2:28" x14ac:dyDescent="0.35">
      <c r="B307" s="546"/>
      <c r="E307" s="547"/>
      <c r="F307" s="295" t="s">
        <v>224</v>
      </c>
      <c r="G307" s="364"/>
      <c r="H307" s="365"/>
      <c r="I307" s="366"/>
      <c r="J307" s="364"/>
      <c r="K307" s="548">
        <v>0.1</v>
      </c>
      <c r="L307" s="564">
        <f t="shared" si="51"/>
        <v>400.8</v>
      </c>
      <c r="M307" s="542">
        <v>2.0999999999999999E-3</v>
      </c>
      <c r="N307" s="296">
        <v>1</v>
      </c>
      <c r="O307" s="401">
        <f t="shared" si="53"/>
        <v>8.4168000000000007E-2</v>
      </c>
      <c r="P307" s="543"/>
      <c r="Q307" s="543"/>
      <c r="R307" s="299">
        <f>VLOOKUP($F307,'[1]Master Harga'!$E$5:$L$351,6,FALSE)</f>
        <v>1434791.925</v>
      </c>
      <c r="S307" s="543">
        <f t="shared" si="52"/>
        <v>120763.56674340002</v>
      </c>
      <c r="T307" s="544"/>
      <c r="U307" s="544"/>
      <c r="V307" s="544"/>
      <c r="W307" s="544"/>
      <c r="X307" s="545"/>
      <c r="Y307" s="296">
        <f t="shared" si="50"/>
        <v>301.30630425000004</v>
      </c>
      <c r="Z307" s="295"/>
    </row>
    <row r="308" spans="2:28" hidden="1" x14ac:dyDescent="0.35">
      <c r="B308" s="546"/>
      <c r="E308" s="547"/>
      <c r="F308" s="295" t="s">
        <v>234</v>
      </c>
      <c r="G308" s="364"/>
      <c r="H308" s="365">
        <v>12</v>
      </c>
      <c r="I308" s="366"/>
      <c r="J308" s="364"/>
      <c r="K308" s="548"/>
      <c r="L308" s="564">
        <f t="shared" si="51"/>
        <v>400.8</v>
      </c>
      <c r="M308" s="663">
        <f>((M$303*N$303)/240*($H308/N308))</f>
        <v>0.15000000000000002</v>
      </c>
      <c r="N308" s="296">
        <v>1</v>
      </c>
      <c r="O308" s="401">
        <f t="shared" si="53"/>
        <v>0</v>
      </c>
      <c r="P308" s="543"/>
      <c r="Q308" s="543"/>
      <c r="R308" s="299">
        <f>VLOOKUP($F308,'[1]Master Harga'!$E$5:$L$351,6,FALSE)</f>
        <v>14700</v>
      </c>
      <c r="S308" s="543">
        <f t="shared" si="52"/>
        <v>0</v>
      </c>
      <c r="T308" s="544"/>
      <c r="U308" s="544"/>
      <c r="V308" s="544"/>
      <c r="W308" s="544"/>
      <c r="X308" s="545"/>
      <c r="Y308" s="296">
        <f t="shared" si="50"/>
        <v>0</v>
      </c>
      <c r="Z308" s="295"/>
    </row>
    <row r="309" spans="2:28" hidden="1" x14ac:dyDescent="0.35">
      <c r="B309" s="546"/>
      <c r="E309" s="547"/>
      <c r="F309" s="295" t="s">
        <v>235</v>
      </c>
      <c r="G309" s="364"/>
      <c r="H309" s="365">
        <v>1</v>
      </c>
      <c r="I309" s="366"/>
      <c r="J309" s="364"/>
      <c r="K309" s="548"/>
      <c r="L309" s="564">
        <f t="shared" si="51"/>
        <v>400.8</v>
      </c>
      <c r="M309" s="663">
        <f t="shared" ref="M309:M311" si="54">((M$303*N$303)/240*($H309/N309))</f>
        <v>1.2500000000000001E-2</v>
      </c>
      <c r="N309" s="296">
        <v>1</v>
      </c>
      <c r="O309" s="401">
        <f t="shared" si="53"/>
        <v>0</v>
      </c>
      <c r="P309" s="543"/>
      <c r="Q309" s="543"/>
      <c r="R309" s="299">
        <f>VLOOKUP($F309,'[1]Master Harga'!$E$5:$L$351,6,FALSE)</f>
        <v>39359.25</v>
      </c>
      <c r="S309" s="543">
        <f t="shared" si="52"/>
        <v>0</v>
      </c>
      <c r="T309" s="544"/>
      <c r="U309" s="544"/>
      <c r="V309" s="544"/>
      <c r="W309" s="544"/>
      <c r="X309" s="545"/>
      <c r="Y309" s="296">
        <f t="shared" si="50"/>
        <v>0</v>
      </c>
      <c r="Z309" s="295"/>
    </row>
    <row r="310" spans="2:28" hidden="1" x14ac:dyDescent="0.35">
      <c r="B310" s="546"/>
      <c r="E310" s="547"/>
      <c r="F310" s="295" t="s">
        <v>236</v>
      </c>
      <c r="G310" s="364"/>
      <c r="H310" s="365">
        <v>2</v>
      </c>
      <c r="I310" s="366"/>
      <c r="J310" s="364"/>
      <c r="K310" s="548"/>
      <c r="L310" s="564">
        <f t="shared" si="51"/>
        <v>400.8</v>
      </c>
      <c r="M310" s="663">
        <f t="shared" si="54"/>
        <v>2.5000000000000001E-2</v>
      </c>
      <c r="N310" s="296">
        <v>1</v>
      </c>
      <c r="O310" s="401">
        <f t="shared" si="53"/>
        <v>0</v>
      </c>
      <c r="P310" s="543"/>
      <c r="Q310" s="543"/>
      <c r="R310" s="299">
        <f>VLOOKUP($F310,'[1]Master Harga'!$E$5:$L$351,6,FALSE)</f>
        <v>33736.5</v>
      </c>
      <c r="S310" s="543">
        <f t="shared" si="52"/>
        <v>0</v>
      </c>
      <c r="T310" s="544"/>
      <c r="U310" s="544"/>
      <c r="V310" s="544"/>
      <c r="W310" s="544"/>
      <c r="X310" s="545"/>
      <c r="Y310" s="296">
        <f t="shared" si="50"/>
        <v>0</v>
      </c>
      <c r="Z310" s="295"/>
    </row>
    <row r="311" spans="2:28" hidden="1" x14ac:dyDescent="0.35">
      <c r="B311" s="546"/>
      <c r="E311" s="547"/>
      <c r="F311" s="295" t="s">
        <v>237</v>
      </c>
      <c r="G311" s="364"/>
      <c r="H311" s="365">
        <v>1</v>
      </c>
      <c r="I311" s="366"/>
      <c r="J311" s="364"/>
      <c r="K311" s="548"/>
      <c r="L311" s="564">
        <f t="shared" si="51"/>
        <v>400.8</v>
      </c>
      <c r="M311" s="663">
        <f t="shared" si="54"/>
        <v>1.2500000000000001E-2</v>
      </c>
      <c r="N311" s="296">
        <v>1</v>
      </c>
      <c r="O311" s="401">
        <f t="shared" si="53"/>
        <v>0</v>
      </c>
      <c r="P311" s="543"/>
      <c r="Q311" s="543"/>
      <c r="R311" s="299">
        <f>VLOOKUP($F311,'[1]Master Harga'!$E$5:$L$351,6,FALSE)</f>
        <v>89964</v>
      </c>
      <c r="S311" s="543">
        <f t="shared" si="52"/>
        <v>0</v>
      </c>
      <c r="T311" s="544"/>
      <c r="U311" s="544"/>
      <c r="V311" s="544"/>
      <c r="W311" s="544"/>
      <c r="X311" s="545"/>
      <c r="Y311" s="296">
        <f t="shared" si="50"/>
        <v>0</v>
      </c>
      <c r="Z311" s="295"/>
    </row>
    <row r="312" spans="2:28" x14ac:dyDescent="0.35">
      <c r="B312" s="685" t="s">
        <v>506</v>
      </c>
      <c r="C312" s="686"/>
      <c r="D312" s="686"/>
      <c r="E312" s="687"/>
      <c r="F312" s="688"/>
      <c r="G312" s="689"/>
      <c r="H312" s="690"/>
      <c r="I312" s="691"/>
      <c r="J312" s="689"/>
      <c r="K312" s="692"/>
      <c r="L312" s="693"/>
      <c r="M312" s="694"/>
      <c r="N312" s="695"/>
      <c r="O312" s="690"/>
      <c r="P312" s="696"/>
      <c r="Q312" s="696"/>
      <c r="R312" s="696"/>
      <c r="S312" s="697">
        <f>SUM(S303:S311)</f>
        <v>19437081.491543401</v>
      </c>
      <c r="T312" s="684"/>
      <c r="U312" s="684"/>
      <c r="V312" s="684"/>
      <c r="W312" s="684"/>
      <c r="X312" s="690"/>
      <c r="Y312" s="698">
        <f t="shared" si="50"/>
        <v>48495.712304250002</v>
      </c>
      <c r="Z312" s="699">
        <f>(Y312/$Y$410)*100</f>
        <v>0.33701527661600922</v>
      </c>
    </row>
    <row r="313" spans="2:28" x14ac:dyDescent="0.35">
      <c r="B313" s="549"/>
      <c r="C313" s="550"/>
      <c r="D313" s="550"/>
      <c r="E313" s="551"/>
      <c r="F313" s="295"/>
      <c r="G313" s="364"/>
      <c r="H313" s="365"/>
      <c r="I313" s="366"/>
      <c r="J313" s="364"/>
      <c r="K313" s="308"/>
      <c r="L313" s="662"/>
      <c r="M313" s="542"/>
      <c r="N313" s="296"/>
      <c r="O313" s="365"/>
      <c r="P313" s="543"/>
      <c r="Q313" s="543"/>
      <c r="R313" s="543"/>
      <c r="S313" s="543"/>
      <c r="T313" s="544"/>
      <c r="U313" s="544"/>
      <c r="V313" s="544"/>
      <c r="W313" s="544"/>
      <c r="X313" s="545"/>
      <c r="Y313" s="296">
        <f t="shared" si="50"/>
        <v>0</v>
      </c>
      <c r="Z313" s="295"/>
    </row>
    <row r="314" spans="2:28" x14ac:dyDescent="0.35">
      <c r="B314" s="539"/>
      <c r="C314" s="540" t="s">
        <v>507</v>
      </c>
      <c r="D314" s="540"/>
      <c r="E314" s="541"/>
      <c r="F314" s="295" t="s">
        <v>189</v>
      </c>
      <c r="G314" s="308" t="s">
        <v>190</v>
      </c>
      <c r="H314" s="365"/>
      <c r="I314" s="366"/>
      <c r="J314" s="364"/>
      <c r="K314" s="308"/>
      <c r="L314" s="662"/>
      <c r="M314" s="542">
        <v>0.5</v>
      </c>
      <c r="N314" s="508">
        <v>1</v>
      </c>
      <c r="O314" s="786"/>
      <c r="P314" s="787"/>
      <c r="Q314" s="787"/>
      <c r="R314" s="787"/>
      <c r="S314" s="787"/>
      <c r="T314" s="788"/>
      <c r="U314" s="788"/>
      <c r="V314" s="788"/>
      <c r="W314" s="788"/>
      <c r="X314" s="545"/>
      <c r="Y314" s="296">
        <f t="shared" si="50"/>
        <v>0</v>
      </c>
      <c r="Z314" s="295"/>
      <c r="AB314" s="395"/>
    </row>
    <row r="315" spans="2:28" hidden="1" x14ac:dyDescent="0.35">
      <c r="B315" s="549"/>
      <c r="C315" s="550"/>
      <c r="D315" s="550"/>
      <c r="E315" s="551"/>
      <c r="F315" s="295" t="s">
        <v>387</v>
      </c>
      <c r="G315" s="308" t="s">
        <v>192</v>
      </c>
      <c r="H315" s="365"/>
      <c r="I315" s="366"/>
      <c r="J315" s="364"/>
      <c r="K315" s="308"/>
      <c r="L315" s="662"/>
      <c r="M315" s="542">
        <v>1.92</v>
      </c>
      <c r="N315" s="508">
        <v>1</v>
      </c>
      <c r="O315" s="786"/>
      <c r="P315" s="787"/>
      <c r="Q315" s="787"/>
      <c r="R315" s="787"/>
      <c r="S315" s="787"/>
      <c r="T315" s="788"/>
      <c r="U315" s="788"/>
      <c r="V315" s="788"/>
      <c r="W315" s="788"/>
      <c r="X315" s="545"/>
      <c r="Y315" s="296">
        <f t="shared" si="50"/>
        <v>0</v>
      </c>
      <c r="Z315" s="295"/>
    </row>
    <row r="316" spans="2:28" x14ac:dyDescent="0.35">
      <c r="B316" s="546"/>
      <c r="C316" t="s">
        <v>508</v>
      </c>
      <c r="E316" s="547"/>
      <c r="F316" s="295" t="s">
        <v>189</v>
      </c>
      <c r="G316" s="364" t="s">
        <v>190</v>
      </c>
      <c r="H316" s="365"/>
      <c r="I316" s="366"/>
      <c r="J316" s="364" t="s">
        <v>170</v>
      </c>
      <c r="K316" s="548">
        <v>0.1</v>
      </c>
      <c r="L316" s="564">
        <f t="shared" ref="L316:L327" si="55">$L$38</f>
        <v>400.8</v>
      </c>
      <c r="M316" s="542">
        <v>0.25</v>
      </c>
      <c r="N316" s="296">
        <v>12</v>
      </c>
      <c r="O316" s="401">
        <f>K316*L316*M316*N316</f>
        <v>120.24000000000001</v>
      </c>
      <c r="P316" s="299">
        <f>VLOOKUP($F316,'[1]Master Harga'!$E$5:$L$351,5,FALSE)</f>
        <v>140008</v>
      </c>
      <c r="Q316" s="543">
        <f>P316*$O316</f>
        <v>16834561.920000002</v>
      </c>
      <c r="R316" s="299">
        <f>VLOOKUP($F316,'[1]Master Harga'!$E$5:$L$351,6,FALSE)</f>
        <v>149108.51999999999</v>
      </c>
      <c r="S316" s="543">
        <f>R316*$O316</f>
        <v>17928808.444800001</v>
      </c>
      <c r="T316" s="296">
        <f>VLOOKUP($F316,'[2]Master Harga'!$E$5:$L$348,7,FALSE)</f>
        <v>163305.33120000002</v>
      </c>
      <c r="U316" s="544">
        <f>$O316*T316</f>
        <v>19635833.023488004</v>
      </c>
      <c r="V316" s="296">
        <f>W316/O316</f>
        <v>150807.28373333332</v>
      </c>
      <c r="W316" s="307">
        <f>AVERAGEIF($P$3:$U$3,W$3,$P316:$U316)</f>
        <v>18133067.796096001</v>
      </c>
      <c r="X316" s="545"/>
      <c r="Y316" s="296">
        <f t="shared" si="50"/>
        <v>44732.555999999997</v>
      </c>
      <c r="Z316" s="295"/>
    </row>
    <row r="317" spans="2:28" x14ac:dyDescent="0.35">
      <c r="B317" s="546"/>
      <c r="E317" s="547"/>
      <c r="F317" s="295" t="s">
        <v>509</v>
      </c>
      <c r="G317" s="364" t="s">
        <v>510</v>
      </c>
      <c r="H317" s="365"/>
      <c r="I317" s="366"/>
      <c r="J317" s="364" t="s">
        <v>170</v>
      </c>
      <c r="K317" s="548">
        <v>0.1</v>
      </c>
      <c r="L317" s="564">
        <f t="shared" si="55"/>
        <v>400.8</v>
      </c>
      <c r="M317" s="542">
        <f>1/2*6/12</f>
        <v>0.25</v>
      </c>
      <c r="N317" s="296">
        <v>12</v>
      </c>
      <c r="O317" s="401">
        <f>K317*L317*M317*N317</f>
        <v>120.24000000000001</v>
      </c>
      <c r="P317" s="299">
        <f>VLOOKUP($F317,'[1]Master Harga'!$E$5:$L$351,5,FALSE)</f>
        <v>73807.199999999997</v>
      </c>
      <c r="Q317" s="543">
        <f>P317*$O317</f>
        <v>8874577.7280000001</v>
      </c>
      <c r="R317" s="299">
        <f>VLOOKUP($F317,'[1]Master Harga'!$E$5:$L$351,6,FALSE)</f>
        <v>77497.56</v>
      </c>
      <c r="S317" s="543">
        <f>R317*$O317</f>
        <v>9318306.6144000012</v>
      </c>
      <c r="T317" s="296">
        <f>VLOOKUP($F317,'[2]Master Harga'!$E$5:$L$348,7,FALSE)</f>
        <v>84501.863280000005</v>
      </c>
      <c r="U317" s="544">
        <f>$O317*T317</f>
        <v>10160504.040787201</v>
      </c>
      <c r="V317" s="296">
        <f>W317/O317</f>
        <v>78602.20775999999</v>
      </c>
      <c r="W317" s="307">
        <f>AVERAGEIF($P$3:$U$3,W$3,$P317:$U317)</f>
        <v>9451129.4610623997</v>
      </c>
      <c r="X317" s="545"/>
      <c r="Y317" s="296">
        <f t="shared" si="50"/>
        <v>23249.268000000004</v>
      </c>
      <c r="Z317" s="295"/>
    </row>
    <row r="318" spans="2:28" x14ac:dyDescent="0.35">
      <c r="B318" s="546"/>
      <c r="E318" s="551"/>
      <c r="F318" s="295" t="s">
        <v>511</v>
      </c>
      <c r="G318" s="364" t="s">
        <v>194</v>
      </c>
      <c r="H318" s="365"/>
      <c r="I318" s="366"/>
      <c r="J318" s="364" t="s">
        <v>170</v>
      </c>
      <c r="K318" s="548">
        <v>0.1</v>
      </c>
      <c r="L318" s="564">
        <f t="shared" si="55"/>
        <v>400.8</v>
      </c>
      <c r="M318" s="542">
        <f>1/2*3/12</f>
        <v>0.125</v>
      </c>
      <c r="N318" s="296">
        <v>12</v>
      </c>
      <c r="O318" s="401">
        <f>K318*L318*M318*N318</f>
        <v>60.120000000000005</v>
      </c>
      <c r="P318" s="299">
        <f>VLOOKUP($F318,'[1]Master Harga'!$E$5:$L$351,5,FALSE)</f>
        <v>50000</v>
      </c>
      <c r="Q318" s="543">
        <f>P318*$O318</f>
        <v>3006000</v>
      </c>
      <c r="R318" s="299">
        <f>VLOOKUP($F318,'[1]Master Harga'!$E$5:$L$351,6,FALSE)</f>
        <v>52500</v>
      </c>
      <c r="S318" s="543">
        <f>R318*$O318</f>
        <v>3156300.0000000005</v>
      </c>
      <c r="T318" s="296">
        <f>VLOOKUP($F318,'[2]Master Harga'!$E$5:$L$348,7,FALSE)</f>
        <v>58320.000000000007</v>
      </c>
      <c r="U318" s="544">
        <f>$O318*T318</f>
        <v>3506198.4000000008</v>
      </c>
      <c r="V318" s="296">
        <f>W318/O318</f>
        <v>53606.666666666664</v>
      </c>
      <c r="W318" s="307">
        <f>AVERAGEIF($P$3:$U$3,W$3,$P318:$U318)</f>
        <v>3222832.8000000003</v>
      </c>
      <c r="X318" s="545"/>
      <c r="Y318" s="296">
        <f t="shared" si="50"/>
        <v>7875.0000000000009</v>
      </c>
      <c r="Z318" s="295"/>
    </row>
    <row r="319" spans="2:28" x14ac:dyDescent="0.35">
      <c r="B319" s="546"/>
      <c r="E319" s="547"/>
      <c r="F319" s="295" t="s">
        <v>189</v>
      </c>
      <c r="G319" s="364" t="s">
        <v>190</v>
      </c>
      <c r="H319" s="365"/>
      <c r="I319" s="366"/>
      <c r="J319" s="364" t="s">
        <v>170</v>
      </c>
      <c r="K319" s="548"/>
      <c r="L319" s="564">
        <f t="shared" si="55"/>
        <v>400.8</v>
      </c>
      <c r="M319" s="542">
        <v>0.25</v>
      </c>
      <c r="N319" s="296">
        <v>12</v>
      </c>
      <c r="O319" s="401">
        <f>K319*L319*M319*N319</f>
        <v>0</v>
      </c>
      <c r="P319" s="750"/>
      <c r="Q319" s="543"/>
      <c r="R319" s="299">
        <f>VLOOKUP($F319,'[1]Master Harga'!$E$5:$L$351,6,FALSE)</f>
        <v>149108.51999999999</v>
      </c>
      <c r="S319" s="543">
        <f>R319*$O319</f>
        <v>0</v>
      </c>
      <c r="T319" s="543"/>
      <c r="U319" s="544"/>
      <c r="V319" s="543"/>
      <c r="W319" s="307"/>
      <c r="X319" s="545"/>
      <c r="Y319" s="296">
        <f t="shared" si="50"/>
        <v>0</v>
      </c>
      <c r="Z319" s="295"/>
    </row>
    <row r="320" spans="2:28" x14ac:dyDescent="0.35">
      <c r="B320" s="546"/>
      <c r="E320" s="547"/>
      <c r="F320" s="295" t="s">
        <v>231</v>
      </c>
      <c r="G320" s="364" t="s">
        <v>190</v>
      </c>
      <c r="H320" s="365"/>
      <c r="I320" s="366"/>
      <c r="J320" s="364" t="s">
        <v>170</v>
      </c>
      <c r="K320" s="548">
        <v>0.1</v>
      </c>
      <c r="L320" s="564">
        <f t="shared" si="55"/>
        <v>400.8</v>
      </c>
      <c r="M320" s="542">
        <v>0.25</v>
      </c>
      <c r="N320" s="299">
        <v>12</v>
      </c>
      <c r="O320" s="401">
        <f t="shared" ref="O320:O326" si="56">K320*L320*M320*N320</f>
        <v>120.24000000000001</v>
      </c>
      <c r="P320" s="299">
        <f>VLOOKUP($F320,'[1]Master Harga'!$E$5:$L$351,5,FALSE)</f>
        <v>3850</v>
      </c>
      <c r="Q320" s="543">
        <f t="shared" ref="Q320:Q326" si="57">P320*$O320</f>
        <v>462924.00000000006</v>
      </c>
      <c r="R320" s="299">
        <f>VLOOKUP($F320,'[1]Master Harga'!$E$5:$L$351,6,FALSE)</f>
        <v>4042.5</v>
      </c>
      <c r="S320" s="543">
        <f t="shared" ref="S320:S326" si="58">R320*$O320</f>
        <v>486070.2</v>
      </c>
      <c r="T320" s="543"/>
      <c r="U320" s="544"/>
      <c r="V320" s="543"/>
      <c r="W320" s="307"/>
      <c r="X320" s="545"/>
      <c r="Y320" s="296">
        <f t="shared" si="50"/>
        <v>1212.75</v>
      </c>
      <c r="Z320" s="295"/>
    </row>
    <row r="321" spans="2:26" x14ac:dyDescent="0.35">
      <c r="B321" s="546"/>
      <c r="E321" s="547"/>
      <c r="F321" s="295" t="s">
        <v>232</v>
      </c>
      <c r="G321" s="364" t="s">
        <v>194</v>
      </c>
      <c r="H321" s="365">
        <v>4</v>
      </c>
      <c r="I321" s="366" t="s">
        <v>233</v>
      </c>
      <c r="J321" s="364" t="s">
        <v>170</v>
      </c>
      <c r="K321" s="548">
        <v>0.1</v>
      </c>
      <c r="L321" s="564">
        <f t="shared" si="55"/>
        <v>400.8</v>
      </c>
      <c r="M321" s="552">
        <f>((M$161*N$161)/240*($H321/N321))</f>
        <v>5.0000000000000001E-3</v>
      </c>
      <c r="N321" s="299">
        <v>4</v>
      </c>
      <c r="O321" s="401">
        <f t="shared" si="56"/>
        <v>0.80160000000000009</v>
      </c>
      <c r="P321" s="299">
        <f>VLOOKUP($F321,'[1]Master Harga'!$E$5:$L$351,5,FALSE)</f>
        <v>42840</v>
      </c>
      <c r="Q321" s="543">
        <f t="shared" si="57"/>
        <v>34340.544000000002</v>
      </c>
      <c r="R321" s="299">
        <f>VLOOKUP($F321,'[1]Master Harga'!$E$5:$L$351,6,FALSE)</f>
        <v>44982</v>
      </c>
      <c r="S321" s="543">
        <f t="shared" si="58"/>
        <v>36057.571200000006</v>
      </c>
      <c r="T321" s="543"/>
      <c r="U321" s="544"/>
      <c r="V321" s="543"/>
      <c r="W321" s="307"/>
      <c r="X321" s="545"/>
      <c r="Y321" s="296">
        <f t="shared" si="50"/>
        <v>89.964000000000013</v>
      </c>
      <c r="Z321" s="295"/>
    </row>
    <row r="322" spans="2:26" x14ac:dyDescent="0.35">
      <c r="B322" s="546"/>
      <c r="E322" s="547"/>
      <c r="F322" s="295" t="s">
        <v>224</v>
      </c>
      <c r="G322" s="364" t="s">
        <v>194</v>
      </c>
      <c r="H322" s="365"/>
      <c r="I322" s="366"/>
      <c r="J322" s="364"/>
      <c r="K322" s="548">
        <v>0.1</v>
      </c>
      <c r="L322" s="564">
        <f t="shared" si="55"/>
        <v>400.8</v>
      </c>
      <c r="M322" s="552">
        <v>6.2500000000000003E-3</v>
      </c>
      <c r="N322" s="299">
        <v>2</v>
      </c>
      <c r="O322" s="401">
        <f t="shared" si="56"/>
        <v>0.50100000000000011</v>
      </c>
      <c r="P322" s="299">
        <f>VLOOKUP($F322,'[1]Master Harga'!$E$5:$L$351,5,FALSE)</f>
        <v>1366468.5</v>
      </c>
      <c r="Q322" s="543">
        <f t="shared" si="57"/>
        <v>684600.71850000019</v>
      </c>
      <c r="R322" s="299">
        <f>VLOOKUP($F322,'[1]Master Harga'!$E$5:$L$351,6,FALSE)</f>
        <v>1434791.925</v>
      </c>
      <c r="S322" s="543">
        <f t="shared" si="58"/>
        <v>718830.75442500017</v>
      </c>
      <c r="T322" s="296">
        <f>VLOOKUP($F322,'[2]Master Harga'!$E$5:$L$348,7,FALSE)</f>
        <v>1593848.8584</v>
      </c>
      <c r="U322" s="544">
        <f t="shared" ref="U322" si="59">$O322*T322</f>
        <v>798518.27805840014</v>
      </c>
      <c r="V322" s="296">
        <f t="shared" ref="V322" si="60">W322/O322</f>
        <v>1465036.4277999997</v>
      </c>
      <c r="W322" s="307">
        <f t="shared" ref="W322" si="61">AVERAGEIF($P$3:$U$3,W$3,$P322:$U322)</f>
        <v>733983.25032780005</v>
      </c>
      <c r="X322" s="545"/>
      <c r="Y322" s="296">
        <f t="shared" si="50"/>
        <v>1793.4899062500003</v>
      </c>
      <c r="Z322" s="295"/>
    </row>
    <row r="323" spans="2:26" x14ac:dyDescent="0.35">
      <c r="B323" s="546"/>
      <c r="E323" s="547"/>
      <c r="F323" s="295" t="s">
        <v>234</v>
      </c>
      <c r="G323" s="364" t="s">
        <v>194</v>
      </c>
      <c r="H323" s="365">
        <v>12</v>
      </c>
      <c r="I323" s="366" t="s">
        <v>233</v>
      </c>
      <c r="J323" s="364" t="s">
        <v>170</v>
      </c>
      <c r="K323" s="548">
        <v>0.1</v>
      </c>
      <c r="L323" s="564">
        <f t="shared" si="55"/>
        <v>400.8</v>
      </c>
      <c r="M323" s="552">
        <f>((M$161*N$161)/240*($H323/N323))</f>
        <v>1.4999999999999999E-2</v>
      </c>
      <c r="N323" s="299">
        <v>4</v>
      </c>
      <c r="O323" s="401">
        <f t="shared" si="56"/>
        <v>2.4048000000000003</v>
      </c>
      <c r="P323" s="299">
        <f>VLOOKUP($F323,'[1]Master Harga'!$E$5:$L$351,5,FALSE)</f>
        <v>14000</v>
      </c>
      <c r="Q323" s="543">
        <f t="shared" si="57"/>
        <v>33667.200000000004</v>
      </c>
      <c r="R323" s="299">
        <f>VLOOKUP($F323,'[1]Master Harga'!$E$5:$L$351,6,FALSE)</f>
        <v>14700</v>
      </c>
      <c r="S323" s="543">
        <f t="shared" si="58"/>
        <v>35350.560000000005</v>
      </c>
      <c r="T323" s="543"/>
      <c r="U323" s="544"/>
      <c r="V323" s="543"/>
      <c r="W323" s="307"/>
      <c r="X323" s="545"/>
      <c r="Y323" s="296">
        <f t="shared" si="50"/>
        <v>88.2</v>
      </c>
      <c r="Z323" s="295"/>
    </row>
    <row r="324" spans="2:26" x14ac:dyDescent="0.35">
      <c r="B324" s="546"/>
      <c r="E324" s="547"/>
      <c r="F324" s="295" t="s">
        <v>235</v>
      </c>
      <c r="G324" s="364" t="s">
        <v>194</v>
      </c>
      <c r="H324" s="365">
        <v>1</v>
      </c>
      <c r="I324" s="366" t="s">
        <v>233</v>
      </c>
      <c r="J324" s="364" t="s">
        <v>170</v>
      </c>
      <c r="K324" s="548">
        <v>0.1</v>
      </c>
      <c r="L324" s="564">
        <f t="shared" si="55"/>
        <v>400.8</v>
      </c>
      <c r="M324" s="552">
        <f>((M$161*N$161)/240*($H324/N324))</f>
        <v>1.25E-3</v>
      </c>
      <c r="N324" s="299">
        <v>4</v>
      </c>
      <c r="O324" s="401">
        <f t="shared" si="56"/>
        <v>0.20040000000000002</v>
      </c>
      <c r="P324" s="299">
        <f>VLOOKUP($F324,'[1]Master Harga'!$E$5:$L$351,5,FALSE)</f>
        <v>37485</v>
      </c>
      <c r="Q324" s="543">
        <f t="shared" si="57"/>
        <v>7511.9940000000006</v>
      </c>
      <c r="R324" s="299">
        <f>VLOOKUP($F324,'[1]Master Harga'!$E$5:$L$351,6,FALSE)</f>
        <v>39359.25</v>
      </c>
      <c r="S324" s="543">
        <f t="shared" si="58"/>
        <v>7887.5937000000013</v>
      </c>
      <c r="T324" s="543"/>
      <c r="U324" s="544"/>
      <c r="V324" s="543"/>
      <c r="W324" s="307"/>
      <c r="X324" s="545"/>
      <c r="Y324" s="296">
        <f t="shared" si="50"/>
        <v>19.679625000000001</v>
      </c>
      <c r="Z324" s="295"/>
    </row>
    <row r="325" spans="2:26" x14ac:dyDescent="0.35">
      <c r="B325" s="546"/>
      <c r="E325" s="547"/>
      <c r="F325" s="295" t="s">
        <v>236</v>
      </c>
      <c r="G325" s="364" t="s">
        <v>194</v>
      </c>
      <c r="H325" s="365">
        <v>2</v>
      </c>
      <c r="I325" s="366" t="s">
        <v>233</v>
      </c>
      <c r="J325" s="364" t="s">
        <v>170</v>
      </c>
      <c r="K325" s="548">
        <v>0.1</v>
      </c>
      <c r="L325" s="564">
        <f t="shared" si="55"/>
        <v>400.8</v>
      </c>
      <c r="M325" s="552">
        <f>((M$161*N$161)/240*($H325/N325))</f>
        <v>2.5000000000000001E-3</v>
      </c>
      <c r="N325" s="299">
        <v>4</v>
      </c>
      <c r="O325" s="401">
        <f t="shared" si="56"/>
        <v>0.40080000000000005</v>
      </c>
      <c r="P325" s="299">
        <f>VLOOKUP($F325,'[1]Master Harga'!$E$5:$L$351,5,FALSE)</f>
        <v>32130</v>
      </c>
      <c r="Q325" s="543">
        <f t="shared" si="57"/>
        <v>12877.704000000002</v>
      </c>
      <c r="R325" s="299">
        <f>VLOOKUP($F325,'[1]Master Harga'!$E$5:$L$351,6,FALSE)</f>
        <v>33736.5</v>
      </c>
      <c r="S325" s="543">
        <f t="shared" si="58"/>
        <v>13521.589200000002</v>
      </c>
      <c r="T325" s="543"/>
      <c r="U325" s="544"/>
      <c r="V325" s="543"/>
      <c r="W325" s="307"/>
      <c r="X325" s="545"/>
      <c r="Y325" s="296">
        <f t="shared" si="50"/>
        <v>33.736500000000007</v>
      </c>
      <c r="Z325" s="295"/>
    </row>
    <row r="326" spans="2:26" x14ac:dyDescent="0.35">
      <c r="B326" s="546"/>
      <c r="E326" s="547"/>
      <c r="F326" s="295" t="s">
        <v>237</v>
      </c>
      <c r="G326" s="364" t="s">
        <v>194</v>
      </c>
      <c r="H326" s="365">
        <v>1</v>
      </c>
      <c r="I326" s="366" t="s">
        <v>233</v>
      </c>
      <c r="J326" s="364" t="s">
        <v>170</v>
      </c>
      <c r="K326" s="548">
        <v>0.1</v>
      </c>
      <c r="L326" s="564">
        <f t="shared" si="55"/>
        <v>400.8</v>
      </c>
      <c r="M326" s="552">
        <f>((M$161*N$161)/240*($H326/N326))</f>
        <v>1.25E-3</v>
      </c>
      <c r="N326" s="299">
        <v>4</v>
      </c>
      <c r="O326" s="401">
        <f t="shared" si="56"/>
        <v>0.20040000000000002</v>
      </c>
      <c r="P326" s="299">
        <f>VLOOKUP($F326,'[1]Master Harga'!$E$5:$L$351,5,FALSE)</f>
        <v>85680</v>
      </c>
      <c r="Q326" s="543">
        <f t="shared" si="57"/>
        <v>17170.272000000001</v>
      </c>
      <c r="R326" s="299">
        <f>VLOOKUP($F326,'[1]Master Harga'!$E$5:$L$351,6,FALSE)</f>
        <v>89964</v>
      </c>
      <c r="S326" s="543">
        <f t="shared" si="58"/>
        <v>18028.785600000003</v>
      </c>
      <c r="T326" s="543"/>
      <c r="U326" s="544"/>
      <c r="V326" s="543"/>
      <c r="W326" s="307"/>
      <c r="X326" s="545"/>
      <c r="Y326" s="296">
        <f t="shared" ref="Y326:Y389" si="62">S326/$AC$1</f>
        <v>44.982000000000006</v>
      </c>
      <c r="Z326" s="295"/>
    </row>
    <row r="327" spans="2:26" x14ac:dyDescent="0.35">
      <c r="B327" s="546"/>
      <c r="E327" s="547"/>
      <c r="F327" s="295" t="s">
        <v>512</v>
      </c>
      <c r="G327" s="364" t="s">
        <v>226</v>
      </c>
      <c r="H327" s="365"/>
      <c r="I327" s="366"/>
      <c r="J327" s="364" t="s">
        <v>170</v>
      </c>
      <c r="K327" s="548">
        <v>0.1</v>
      </c>
      <c r="L327" s="564">
        <f t="shared" si="55"/>
        <v>400.8</v>
      </c>
      <c r="M327" s="542">
        <f>55.2/1000</f>
        <v>5.5200000000000006E-2</v>
      </c>
      <c r="N327" s="299">
        <v>12</v>
      </c>
      <c r="O327" s="401">
        <f>K327*L327*M327*N327</f>
        <v>26.548992000000005</v>
      </c>
      <c r="P327" s="750"/>
      <c r="Q327" s="543"/>
      <c r="R327" s="299">
        <f>VLOOKUP($F327,'[1]Master Harga'!$E$5:$L$351,6,FALSE)</f>
        <v>53496.45</v>
      </c>
      <c r="S327" s="543">
        <f>R327*$O327</f>
        <v>1420276.8230784002</v>
      </c>
      <c r="T327" s="543"/>
      <c r="U327" s="544"/>
      <c r="V327" s="543"/>
      <c r="W327" s="307"/>
      <c r="X327" s="545"/>
      <c r="Y327" s="296">
        <f t="shared" si="62"/>
        <v>3543.6048480000004</v>
      </c>
      <c r="Z327" s="295"/>
    </row>
    <row r="328" spans="2:26" x14ac:dyDescent="0.35">
      <c r="B328" s="685" t="s">
        <v>513</v>
      </c>
      <c r="C328" s="686"/>
      <c r="D328" s="686"/>
      <c r="E328" s="687"/>
      <c r="F328" s="688"/>
      <c r="G328" s="689"/>
      <c r="H328" s="690"/>
      <c r="I328" s="691"/>
      <c r="J328" s="689"/>
      <c r="K328" s="692"/>
      <c r="L328" s="693"/>
      <c r="M328" s="694"/>
      <c r="N328" s="695"/>
      <c r="O328" s="690"/>
      <c r="P328" s="696"/>
      <c r="Q328" s="696"/>
      <c r="R328" s="696"/>
      <c r="S328" s="697">
        <f>SUM(S316:S327)</f>
        <v>33139438.936403401</v>
      </c>
      <c r="T328" s="684"/>
      <c r="U328" s="684"/>
      <c r="V328" s="684"/>
      <c r="W328" s="684"/>
      <c r="X328" s="690"/>
      <c r="Y328" s="698">
        <f t="shared" si="62"/>
        <v>82683.230879249997</v>
      </c>
      <c r="Z328" s="699">
        <f>(Y328/$Y$410)*100</f>
        <v>0.57459743557233511</v>
      </c>
    </row>
    <row r="329" spans="2:26" x14ac:dyDescent="0.35">
      <c r="B329" s="539"/>
      <c r="C329" s="540"/>
      <c r="D329" s="540"/>
      <c r="E329" s="547"/>
      <c r="F329" s="295"/>
      <c r="G329" s="364"/>
      <c r="H329" s="365"/>
      <c r="I329" s="366"/>
      <c r="J329" s="364"/>
      <c r="K329" s="400"/>
      <c r="L329" s="662"/>
      <c r="M329" s="789"/>
      <c r="N329" s="296"/>
      <c r="O329" s="401"/>
      <c r="P329" s="750"/>
      <c r="Q329" s="543"/>
      <c r="R329" s="750"/>
      <c r="S329" s="543"/>
      <c r="T329" s="543"/>
      <c r="U329" s="544"/>
      <c r="V329" s="543"/>
      <c r="W329" s="307"/>
      <c r="X329" s="545"/>
      <c r="Y329" s="296">
        <f t="shared" si="62"/>
        <v>0</v>
      </c>
      <c r="Z329" s="295"/>
    </row>
    <row r="330" spans="2:26" x14ac:dyDescent="0.35">
      <c r="B330" s="546"/>
      <c r="C330" t="s">
        <v>514</v>
      </c>
      <c r="E330" s="547"/>
      <c r="F330" s="295" t="s">
        <v>189</v>
      </c>
      <c r="G330" s="364" t="s">
        <v>190</v>
      </c>
      <c r="H330" s="365"/>
      <c r="I330" s="366"/>
      <c r="J330" s="364"/>
      <c r="K330" s="308"/>
      <c r="L330" s="662"/>
      <c r="M330" s="542"/>
      <c r="N330" s="296"/>
      <c r="O330" s="365"/>
      <c r="P330" s="543"/>
      <c r="Q330" s="543"/>
      <c r="R330" s="543"/>
      <c r="S330" s="543"/>
      <c r="T330" s="544"/>
      <c r="U330" s="544"/>
      <c r="V330" s="544"/>
      <c r="W330" s="544"/>
      <c r="X330" s="545"/>
      <c r="Y330" s="296">
        <f t="shared" si="62"/>
        <v>0</v>
      </c>
      <c r="Z330" s="295"/>
    </row>
    <row r="331" spans="2:26" hidden="1" x14ac:dyDescent="0.35">
      <c r="B331" s="546"/>
      <c r="E331" s="547"/>
      <c r="F331" s="295" t="s">
        <v>515</v>
      </c>
      <c r="G331" s="364" t="s">
        <v>226</v>
      </c>
      <c r="H331" s="365"/>
      <c r="I331" s="366"/>
      <c r="J331" s="364"/>
      <c r="K331" s="308"/>
      <c r="L331" s="662"/>
      <c r="M331" s="542"/>
      <c r="N331" s="296"/>
      <c r="O331" s="365"/>
      <c r="P331" s="543"/>
      <c r="Q331" s="543"/>
      <c r="R331" s="543"/>
      <c r="S331" s="543"/>
      <c r="T331" s="544"/>
      <c r="U331" s="544"/>
      <c r="V331" s="544"/>
      <c r="W331" s="544"/>
      <c r="X331" s="545"/>
      <c r="Y331" s="296">
        <f t="shared" si="62"/>
        <v>0</v>
      </c>
      <c r="Z331" s="295"/>
    </row>
    <row r="332" spans="2:26" hidden="1" x14ac:dyDescent="0.35">
      <c r="B332" s="549"/>
      <c r="C332" s="550"/>
      <c r="D332" s="550"/>
      <c r="E332" s="551"/>
      <c r="F332" s="295"/>
      <c r="G332" s="364"/>
      <c r="H332" s="365"/>
      <c r="I332" s="366"/>
      <c r="J332" s="364"/>
      <c r="K332" s="308"/>
      <c r="L332" s="662"/>
      <c r="M332" s="542"/>
      <c r="N332" s="296"/>
      <c r="O332" s="365"/>
      <c r="P332" s="543"/>
      <c r="Q332" s="543"/>
      <c r="R332" s="543"/>
      <c r="S332" s="543"/>
      <c r="T332" s="544"/>
      <c r="U332" s="544"/>
      <c r="V332" s="544"/>
      <c r="W332" s="544"/>
      <c r="X332" s="545"/>
      <c r="Y332" s="296">
        <f t="shared" si="62"/>
        <v>0</v>
      </c>
      <c r="Z332" s="295"/>
    </row>
    <row r="333" spans="2:26" ht="15" customHeight="1" x14ac:dyDescent="0.35">
      <c r="B333" s="539"/>
      <c r="C333" s="540" t="s">
        <v>516</v>
      </c>
      <c r="D333" s="540"/>
      <c r="E333" s="541"/>
      <c r="F333" s="436" t="s">
        <v>189</v>
      </c>
      <c r="G333" s="439" t="s">
        <v>190</v>
      </c>
      <c r="H333" s="785"/>
      <c r="I333" s="763"/>
      <c r="J333" s="790"/>
      <c r="K333" s="791" t="s">
        <v>517</v>
      </c>
      <c r="L333" s="792"/>
      <c r="M333" s="552">
        <v>11.5</v>
      </c>
      <c r="N333" s="589">
        <v>1</v>
      </c>
      <c r="O333" s="793"/>
      <c r="P333" s="589"/>
      <c r="Q333" s="589"/>
      <c r="R333" s="589"/>
      <c r="S333" s="589"/>
      <c r="T333" s="794"/>
      <c r="U333" s="794"/>
      <c r="V333" s="794"/>
      <c r="W333" s="794"/>
      <c r="X333" s="545"/>
      <c r="Y333" s="296">
        <f t="shared" si="62"/>
        <v>0</v>
      </c>
      <c r="Z333" s="295"/>
    </row>
    <row r="334" spans="2:26" hidden="1" x14ac:dyDescent="0.35">
      <c r="B334" s="546"/>
      <c r="E334" s="547"/>
      <c r="F334" s="436" t="s">
        <v>392</v>
      </c>
      <c r="G334" s="439" t="s">
        <v>393</v>
      </c>
      <c r="H334" s="545"/>
      <c r="I334" s="580"/>
      <c r="J334" s="439"/>
      <c r="K334" s="795"/>
      <c r="L334" s="796"/>
      <c r="M334" s="552">
        <f>0.002*136</f>
        <v>0.27200000000000002</v>
      </c>
      <c r="N334" s="589">
        <v>1</v>
      </c>
      <c r="O334" s="793"/>
      <c r="P334" s="589"/>
      <c r="Q334" s="589"/>
      <c r="R334" s="589"/>
      <c r="S334" s="589"/>
      <c r="T334" s="794"/>
      <c r="U334" s="794"/>
      <c r="V334" s="794"/>
      <c r="W334" s="794"/>
      <c r="X334" s="545"/>
      <c r="Y334" s="296">
        <f t="shared" si="62"/>
        <v>0</v>
      </c>
      <c r="Z334" s="295"/>
    </row>
    <row r="335" spans="2:26" hidden="1" x14ac:dyDescent="0.35">
      <c r="B335" s="546"/>
      <c r="E335" s="547"/>
      <c r="F335" s="436" t="s">
        <v>394</v>
      </c>
      <c r="G335" s="439" t="s">
        <v>192</v>
      </c>
      <c r="H335" s="680"/>
      <c r="I335" s="681"/>
      <c r="J335" s="797"/>
      <c r="K335" s="798"/>
      <c r="L335" s="799"/>
      <c r="M335" s="552">
        <f>0.001*136</f>
        <v>0.13600000000000001</v>
      </c>
      <c r="N335" s="589">
        <v>1</v>
      </c>
      <c r="O335" s="793"/>
      <c r="P335" s="589"/>
      <c r="Q335" s="589"/>
      <c r="R335" s="589"/>
      <c r="S335" s="589"/>
      <c r="T335" s="794"/>
      <c r="U335" s="794"/>
      <c r="V335" s="794"/>
      <c r="W335" s="794"/>
      <c r="X335" s="545"/>
      <c r="Y335" s="296">
        <f t="shared" si="62"/>
        <v>0</v>
      </c>
      <c r="Z335" s="295"/>
    </row>
    <row r="336" spans="2:26" x14ac:dyDescent="0.35">
      <c r="B336" s="539"/>
      <c r="C336" s="540" t="s">
        <v>518</v>
      </c>
      <c r="D336" s="540"/>
      <c r="E336" s="541"/>
      <c r="F336" s="295" t="s">
        <v>189</v>
      </c>
      <c r="G336" s="364" t="s">
        <v>190</v>
      </c>
      <c r="H336" s="365"/>
      <c r="I336" s="366"/>
      <c r="J336" s="364"/>
      <c r="K336" s="308"/>
      <c r="L336" s="662"/>
      <c r="M336" s="542"/>
      <c r="N336" s="296"/>
      <c r="O336" s="365"/>
      <c r="P336" s="543"/>
      <c r="Q336" s="543"/>
      <c r="R336" s="543"/>
      <c r="S336" s="543"/>
      <c r="T336" s="544"/>
      <c r="U336" s="544"/>
      <c r="V336" s="544"/>
      <c r="W336" s="544"/>
      <c r="X336" s="545"/>
      <c r="Y336" s="296">
        <f t="shared" si="62"/>
        <v>0</v>
      </c>
      <c r="Z336" s="295"/>
    </row>
    <row r="337" spans="2:26" hidden="1" x14ac:dyDescent="0.35">
      <c r="B337" s="549"/>
      <c r="C337" s="550"/>
      <c r="D337" s="550"/>
      <c r="E337" s="551"/>
      <c r="F337" s="295"/>
      <c r="G337" s="364"/>
      <c r="H337" s="365"/>
      <c r="I337" s="366"/>
      <c r="J337" s="364"/>
      <c r="K337" s="308"/>
      <c r="L337" s="662"/>
      <c r="M337" s="542"/>
      <c r="N337" s="296"/>
      <c r="O337" s="365"/>
      <c r="P337" s="543"/>
      <c r="Q337" s="543"/>
      <c r="R337" s="543"/>
      <c r="S337" s="543"/>
      <c r="T337" s="544"/>
      <c r="U337" s="544"/>
      <c r="V337" s="544"/>
      <c r="W337" s="544"/>
      <c r="X337" s="545"/>
      <c r="Y337" s="296">
        <f t="shared" si="62"/>
        <v>0</v>
      </c>
      <c r="Z337" s="295"/>
    </row>
    <row r="338" spans="2:26" x14ac:dyDescent="0.35">
      <c r="B338" s="753" t="s">
        <v>519</v>
      </c>
      <c r="C338" s="754"/>
      <c r="D338" s="754"/>
      <c r="E338" s="755"/>
      <c r="F338" s="668"/>
      <c r="G338" s="669"/>
      <c r="H338" s="670"/>
      <c r="I338" s="671"/>
      <c r="J338" s="669"/>
      <c r="K338" s="672"/>
      <c r="L338" s="673"/>
      <c r="M338" s="674"/>
      <c r="N338" s="675"/>
      <c r="O338" s="670"/>
      <c r="P338" s="676"/>
      <c r="Q338" s="676"/>
      <c r="R338" s="676"/>
      <c r="S338" s="756">
        <f>S300+S312+S328</f>
        <v>86196284.5455468</v>
      </c>
      <c r="T338" s="677"/>
      <c r="U338" s="677"/>
      <c r="V338" s="677"/>
      <c r="W338" s="677"/>
      <c r="X338" s="670"/>
      <c r="Y338" s="757">
        <f t="shared" si="62"/>
        <v>215060.5901835</v>
      </c>
      <c r="Z338" s="758">
        <f>(Y338/$Y$410)*100</f>
        <v>1.4945384003266335</v>
      </c>
    </row>
    <row r="339" spans="2:26" x14ac:dyDescent="0.35">
      <c r="B339" s="678" t="s">
        <v>520</v>
      </c>
      <c r="C339" s="366"/>
      <c r="D339" s="366"/>
      <c r="E339" s="553"/>
      <c r="F339" s="295"/>
      <c r="G339" s="364"/>
      <c r="H339" s="365"/>
      <c r="I339" s="366"/>
      <c r="J339" s="364"/>
      <c r="K339" s="308"/>
      <c r="L339" s="662"/>
      <c r="M339" s="800">
        <v>143</v>
      </c>
      <c r="N339" s="296"/>
      <c r="O339" s="401"/>
      <c r="P339" s="543"/>
      <c r="Q339" s="543"/>
      <c r="R339" s="543"/>
      <c r="S339" s="543"/>
      <c r="T339" s="544"/>
      <c r="U339" s="544"/>
      <c r="V339" s="544"/>
      <c r="W339" s="544"/>
      <c r="X339" s="545"/>
      <c r="Y339" s="296">
        <f t="shared" si="62"/>
        <v>0</v>
      </c>
      <c r="Z339" s="295"/>
    </row>
    <row r="340" spans="2:26" x14ac:dyDescent="0.35">
      <c r="B340" s="365"/>
      <c r="C340" s="366" t="s">
        <v>521</v>
      </c>
      <c r="E340" s="547"/>
      <c r="F340" s="295"/>
      <c r="G340" s="364"/>
      <c r="H340" s="365"/>
      <c r="I340" s="366"/>
      <c r="J340" s="364"/>
      <c r="K340" s="308"/>
      <c r="L340" s="662"/>
      <c r="M340" s="542"/>
      <c r="N340" s="296"/>
      <c r="O340" s="365"/>
      <c r="P340" s="543"/>
      <c r="Q340" s="543"/>
      <c r="R340" s="543"/>
      <c r="S340" s="543"/>
      <c r="T340" s="544"/>
      <c r="U340" s="544"/>
      <c r="V340" s="544"/>
      <c r="W340" s="544"/>
      <c r="X340" s="545"/>
      <c r="Y340" s="296">
        <f t="shared" si="62"/>
        <v>0</v>
      </c>
      <c r="Z340" s="295"/>
    </row>
    <row r="341" spans="2:26" x14ac:dyDescent="0.35">
      <c r="B341" s="561"/>
      <c r="C341" s="562"/>
      <c r="D341" s="801" t="s">
        <v>522</v>
      </c>
      <c r="E341" s="802"/>
      <c r="F341" s="295" t="s">
        <v>189</v>
      </c>
      <c r="G341" s="364" t="s">
        <v>190</v>
      </c>
      <c r="H341" s="365"/>
      <c r="I341" s="366"/>
      <c r="J341" s="364" t="s">
        <v>170</v>
      </c>
      <c r="K341" s="548">
        <v>1</v>
      </c>
      <c r="L341" s="564">
        <f t="shared" ref="L341:L349" si="63">$L$38</f>
        <v>400.8</v>
      </c>
      <c r="M341" s="803">
        <v>0.5</v>
      </c>
      <c r="N341" s="508">
        <v>4</v>
      </c>
      <c r="O341" s="401">
        <f t="shared" ref="O341:O369" si="64">K341*L341*M341*N341</f>
        <v>801.6</v>
      </c>
      <c r="P341" s="299">
        <f>VLOOKUP($F341,'[1]Master Harga'!$E$5:$L$351,5,FALSE)</f>
        <v>140008</v>
      </c>
      <c r="Q341" s="543">
        <f t="shared" ref="Q341:Q369" si="65">P341*$O341</f>
        <v>112230412.8</v>
      </c>
      <c r="R341" s="299">
        <f>VLOOKUP($F341,'[1]Master Harga'!$E$5:$L$351,6,FALSE)</f>
        <v>149108.51999999999</v>
      </c>
      <c r="S341" s="543">
        <f t="shared" ref="S341:S369" si="66">R341*$O341</f>
        <v>119525389.632</v>
      </c>
      <c r="T341" s="296">
        <f>VLOOKUP($F341,'[2]Master Harga'!$E$5:$L$348,7,FALSE)</f>
        <v>163305.33120000002</v>
      </c>
      <c r="U341" s="544">
        <f t="shared" ref="U341:U369" si="67">$O341*T341</f>
        <v>130905553.48992002</v>
      </c>
      <c r="V341" s="296">
        <f>W341/O341</f>
        <v>150807.28373333334</v>
      </c>
      <c r="W341" s="307">
        <f t="shared" ref="W341:W369" si="68">AVERAGEIF($P$3:$U$3,W$3,$P341:$U341)</f>
        <v>120887118.64064001</v>
      </c>
      <c r="X341" s="545"/>
      <c r="Y341" s="296">
        <f t="shared" si="62"/>
        <v>298217.03999999998</v>
      </c>
      <c r="Z341" s="295"/>
    </row>
    <row r="342" spans="2:26" x14ac:dyDescent="0.35">
      <c r="B342" s="546"/>
      <c r="E342" s="547"/>
      <c r="F342" s="295" t="s">
        <v>349</v>
      </c>
      <c r="G342" s="364" t="s">
        <v>190</v>
      </c>
      <c r="H342" s="365"/>
      <c r="I342" s="366"/>
      <c r="J342" s="364" t="s">
        <v>170</v>
      </c>
      <c r="K342" s="548">
        <v>1</v>
      </c>
      <c r="L342" s="564">
        <f t="shared" si="63"/>
        <v>400.8</v>
      </c>
      <c r="M342" s="803">
        <v>0.18</v>
      </c>
      <c r="N342" s="508">
        <v>4</v>
      </c>
      <c r="O342" s="401">
        <f t="shared" si="64"/>
        <v>288.57600000000002</v>
      </c>
      <c r="P342" s="299">
        <f>VLOOKUP($F342,'[1]Master Harga'!$E$5:$L$351,5,FALSE)</f>
        <v>140008</v>
      </c>
      <c r="Q342" s="543">
        <f t="shared" si="65"/>
        <v>40402948.608000003</v>
      </c>
      <c r="R342" s="299">
        <f>VLOOKUP($F342,'[1]Master Harga'!$E$5:$L$351,6,FALSE)</f>
        <v>149108.51999999999</v>
      </c>
      <c r="S342" s="543">
        <f t="shared" si="66"/>
        <v>43029140.267520003</v>
      </c>
      <c r="T342" s="296">
        <f>VLOOKUP($F342,'[2]Master Harga'!$E$5:$L$348,7,FALSE)</f>
        <v>163305.33120000002</v>
      </c>
      <c r="U342" s="544">
        <f t="shared" si="67"/>
        <v>47125999.256371208</v>
      </c>
      <c r="V342" s="788"/>
      <c r="W342" s="307">
        <f t="shared" si="68"/>
        <v>43519362.710630409</v>
      </c>
      <c r="X342" s="545"/>
      <c r="Y342" s="296">
        <f t="shared" si="62"/>
        <v>107358.13440000001</v>
      </c>
      <c r="Z342" s="295"/>
    </row>
    <row r="343" spans="2:26" x14ac:dyDescent="0.35">
      <c r="B343" s="546"/>
      <c r="E343" s="547"/>
      <c r="F343" s="295" t="s">
        <v>231</v>
      </c>
      <c r="G343" s="364" t="s">
        <v>190</v>
      </c>
      <c r="H343" s="365"/>
      <c r="I343" s="366"/>
      <c r="J343" s="364" t="s">
        <v>170</v>
      </c>
      <c r="K343" s="548">
        <v>1</v>
      </c>
      <c r="L343" s="564">
        <f t="shared" si="63"/>
        <v>400.8</v>
      </c>
      <c r="M343" s="803">
        <f>M341</f>
        <v>0.5</v>
      </c>
      <c r="N343" s="508">
        <v>4</v>
      </c>
      <c r="O343" s="401">
        <f t="shared" si="64"/>
        <v>801.6</v>
      </c>
      <c r="P343" s="299">
        <f>VLOOKUP($F343,'[1]Master Harga'!$E$5:$L$351,5,FALSE)</f>
        <v>3850</v>
      </c>
      <c r="Q343" s="543">
        <f t="shared" si="65"/>
        <v>3086160</v>
      </c>
      <c r="R343" s="299">
        <f>VLOOKUP($F343,'[1]Master Harga'!$E$5:$L$351,6,FALSE)</f>
        <v>4042.5</v>
      </c>
      <c r="S343" s="543">
        <f t="shared" si="66"/>
        <v>3240468</v>
      </c>
      <c r="T343" s="296">
        <f>VLOOKUP($F343,'[2]Master Harga'!$E$5:$L$348,7,FALSE)</f>
        <v>4490.6400000000003</v>
      </c>
      <c r="U343" s="544">
        <f t="shared" si="67"/>
        <v>3599697.0240000002</v>
      </c>
      <c r="V343" s="296">
        <f t="shared" ref="V343:V369" si="69">W343/O343</f>
        <v>4127.7133333333331</v>
      </c>
      <c r="W343" s="307">
        <f t="shared" si="68"/>
        <v>3308775.0079999999</v>
      </c>
      <c r="X343" s="545"/>
      <c r="Y343" s="296">
        <f t="shared" si="62"/>
        <v>8085</v>
      </c>
      <c r="Z343" s="295"/>
    </row>
    <row r="344" spans="2:26" x14ac:dyDescent="0.35">
      <c r="B344" s="546"/>
      <c r="E344" s="547"/>
      <c r="F344" s="295" t="s">
        <v>350</v>
      </c>
      <c r="G344" s="364" t="s">
        <v>194</v>
      </c>
      <c r="H344" s="365">
        <v>1</v>
      </c>
      <c r="I344" s="366" t="s">
        <v>233</v>
      </c>
      <c r="J344" s="364" t="s">
        <v>170</v>
      </c>
      <c r="K344" s="548">
        <v>1</v>
      </c>
      <c r="L344" s="564">
        <f t="shared" si="63"/>
        <v>400.8</v>
      </c>
      <c r="M344" s="804">
        <f>((M$341*N$341)/240)*($H344/N344)</f>
        <v>2.0833333333333333E-3</v>
      </c>
      <c r="N344" s="508">
        <v>4</v>
      </c>
      <c r="O344" s="401">
        <f t="shared" si="64"/>
        <v>3.34</v>
      </c>
      <c r="P344" s="299">
        <f>VLOOKUP($F344,'[1]Master Harga'!$E$5:$L$351,5,FALSE)</f>
        <v>5000</v>
      </c>
      <c r="Q344" s="543">
        <f t="shared" si="65"/>
        <v>16700</v>
      </c>
      <c r="R344" s="299">
        <f>VLOOKUP($F344,'[1]Master Harga'!$E$5:$L$351,6,FALSE)</f>
        <v>5250</v>
      </c>
      <c r="S344" s="543">
        <f t="shared" si="66"/>
        <v>17535</v>
      </c>
      <c r="T344" s="296">
        <f>VLOOKUP($F344,'[2]Master Harga'!$E$5:$L$348,7,FALSE)</f>
        <v>5832</v>
      </c>
      <c r="U344" s="544">
        <f t="shared" si="67"/>
        <v>19478.879999999997</v>
      </c>
      <c r="V344" s="296">
        <f t="shared" si="69"/>
        <v>5360.666666666667</v>
      </c>
      <c r="W344" s="307">
        <f t="shared" si="68"/>
        <v>17904.626666666667</v>
      </c>
      <c r="X344" s="545"/>
      <c r="Y344" s="296">
        <f t="shared" si="62"/>
        <v>43.75</v>
      </c>
      <c r="Z344" s="295"/>
    </row>
    <row r="345" spans="2:26" x14ac:dyDescent="0.35">
      <c r="B345" s="546"/>
      <c r="E345" s="547"/>
      <c r="F345" s="295" t="s">
        <v>232</v>
      </c>
      <c r="G345" s="364" t="s">
        <v>194</v>
      </c>
      <c r="H345" s="365">
        <v>4</v>
      </c>
      <c r="I345" s="366" t="s">
        <v>233</v>
      </c>
      <c r="J345" s="364" t="s">
        <v>170</v>
      </c>
      <c r="K345" s="548">
        <v>1</v>
      </c>
      <c r="L345" s="564">
        <f t="shared" si="63"/>
        <v>400.8</v>
      </c>
      <c r="M345" s="804">
        <f>((M$341*N$341)/240)*($H345/N345)</f>
        <v>8.3333333333333332E-3</v>
      </c>
      <c r="N345" s="508">
        <v>4</v>
      </c>
      <c r="O345" s="401">
        <f t="shared" si="64"/>
        <v>13.36</v>
      </c>
      <c r="P345" s="299">
        <f>VLOOKUP($F345,'[1]Master Harga'!$E$5:$L$351,5,FALSE)</f>
        <v>42840</v>
      </c>
      <c r="Q345" s="543">
        <f t="shared" si="65"/>
        <v>572342.4</v>
      </c>
      <c r="R345" s="299">
        <f>VLOOKUP($F345,'[1]Master Harga'!$E$5:$L$351,6,FALSE)</f>
        <v>44982</v>
      </c>
      <c r="S345" s="543">
        <f t="shared" si="66"/>
        <v>600959.52</v>
      </c>
      <c r="T345" s="296">
        <f>VLOOKUP($F345,'[2]Master Harga'!$E$5:$L$348,7,FALSE)</f>
        <v>49968.576000000008</v>
      </c>
      <c r="U345" s="544">
        <f t="shared" si="67"/>
        <v>667580.17536000011</v>
      </c>
      <c r="V345" s="296">
        <f t="shared" si="69"/>
        <v>45930.19200000001</v>
      </c>
      <c r="W345" s="307">
        <f t="shared" si="68"/>
        <v>613627.36512000009</v>
      </c>
      <c r="X345" s="545"/>
      <c r="Y345" s="296">
        <f t="shared" si="62"/>
        <v>1499.4</v>
      </c>
      <c r="Z345" s="295"/>
    </row>
    <row r="346" spans="2:26" x14ac:dyDescent="0.35">
      <c r="B346" s="546"/>
      <c r="E346" s="547"/>
      <c r="F346" s="295" t="s">
        <v>234</v>
      </c>
      <c r="G346" s="364" t="s">
        <v>194</v>
      </c>
      <c r="H346" s="365">
        <v>12</v>
      </c>
      <c r="I346" s="366" t="s">
        <v>233</v>
      </c>
      <c r="J346" s="364" t="s">
        <v>170</v>
      </c>
      <c r="K346" s="548">
        <v>1</v>
      </c>
      <c r="L346" s="564">
        <f t="shared" si="63"/>
        <v>400.8</v>
      </c>
      <c r="M346" s="804">
        <f>((M$341*N$341)/240)*($H346/N346)</f>
        <v>2.5000000000000001E-2</v>
      </c>
      <c r="N346" s="508">
        <v>4</v>
      </c>
      <c r="O346" s="401">
        <f t="shared" si="64"/>
        <v>40.080000000000005</v>
      </c>
      <c r="P346" s="299">
        <f>VLOOKUP($F346,'[1]Master Harga'!$E$5:$L$351,5,FALSE)</f>
        <v>14000</v>
      </c>
      <c r="Q346" s="543">
        <f t="shared" si="65"/>
        <v>561120.00000000012</v>
      </c>
      <c r="R346" s="299">
        <f>VLOOKUP($F346,'[1]Master Harga'!$E$5:$L$351,6,FALSE)</f>
        <v>14700</v>
      </c>
      <c r="S346" s="543">
        <f t="shared" si="66"/>
        <v>589176.00000000012</v>
      </c>
      <c r="T346" s="296">
        <f>VLOOKUP($F346,'[2]Master Harga'!$E$5:$L$348,7,FALSE)</f>
        <v>16329.600000000002</v>
      </c>
      <c r="U346" s="544">
        <f t="shared" si="67"/>
        <v>654490.36800000013</v>
      </c>
      <c r="V346" s="296">
        <f t="shared" si="69"/>
        <v>15009.866666666667</v>
      </c>
      <c r="W346" s="307">
        <f t="shared" si="68"/>
        <v>601595.45600000012</v>
      </c>
      <c r="X346" s="545"/>
      <c r="Y346" s="296">
        <f t="shared" si="62"/>
        <v>1470.0000000000002</v>
      </c>
      <c r="Z346" s="295"/>
    </row>
    <row r="347" spans="2:26" x14ac:dyDescent="0.35">
      <c r="B347" s="546"/>
      <c r="E347" s="547"/>
      <c r="F347" s="295" t="s">
        <v>236</v>
      </c>
      <c r="G347" s="364" t="s">
        <v>194</v>
      </c>
      <c r="H347" s="365">
        <v>2</v>
      </c>
      <c r="I347" s="366" t="s">
        <v>233</v>
      </c>
      <c r="J347" s="364" t="s">
        <v>170</v>
      </c>
      <c r="K347" s="548">
        <v>1</v>
      </c>
      <c r="L347" s="564">
        <f t="shared" si="63"/>
        <v>400.8</v>
      </c>
      <c r="M347" s="804">
        <f>((M$341*N$341)/240)*($H347/N347)</f>
        <v>4.1666666666666666E-3</v>
      </c>
      <c r="N347" s="508">
        <v>4</v>
      </c>
      <c r="O347" s="401">
        <f t="shared" si="64"/>
        <v>6.68</v>
      </c>
      <c r="P347" s="299">
        <f>VLOOKUP($F347,'[1]Master Harga'!$E$5:$L$351,5,FALSE)</f>
        <v>32130</v>
      </c>
      <c r="Q347" s="543">
        <f t="shared" si="65"/>
        <v>214628.4</v>
      </c>
      <c r="R347" s="299">
        <f>VLOOKUP($F347,'[1]Master Harga'!$E$5:$L$351,6,FALSE)</f>
        <v>33736.5</v>
      </c>
      <c r="S347" s="543">
        <f t="shared" si="66"/>
        <v>225359.81999999998</v>
      </c>
      <c r="T347" s="296">
        <f>VLOOKUP($F347,'[2]Master Harga'!$E$5:$L$348,7,FALSE)</f>
        <v>37476.432000000001</v>
      </c>
      <c r="U347" s="544">
        <f t="shared" si="67"/>
        <v>250342.56576</v>
      </c>
      <c r="V347" s="296">
        <f t="shared" si="69"/>
        <v>34447.644</v>
      </c>
      <c r="W347" s="307">
        <f t="shared" si="68"/>
        <v>230110.26191999999</v>
      </c>
      <c r="X347" s="545"/>
      <c r="Y347" s="296">
        <f t="shared" si="62"/>
        <v>562.27499999999998</v>
      </c>
      <c r="Z347" s="295"/>
    </row>
    <row r="348" spans="2:26" x14ac:dyDescent="0.35">
      <c r="B348" s="546"/>
      <c r="E348" s="547"/>
      <c r="F348" s="295" t="s">
        <v>237</v>
      </c>
      <c r="G348" s="364" t="s">
        <v>194</v>
      </c>
      <c r="H348" s="365">
        <v>1</v>
      </c>
      <c r="I348" s="366" t="s">
        <v>233</v>
      </c>
      <c r="J348" s="364" t="s">
        <v>170</v>
      </c>
      <c r="K348" s="548">
        <v>1</v>
      </c>
      <c r="L348" s="564">
        <f t="shared" si="63"/>
        <v>400.8</v>
      </c>
      <c r="M348" s="804">
        <f>((M$341*N$341)/240)*($H348/N348)</f>
        <v>2.0833333333333333E-3</v>
      </c>
      <c r="N348" s="508">
        <v>4</v>
      </c>
      <c r="O348" s="401">
        <f t="shared" si="64"/>
        <v>3.34</v>
      </c>
      <c r="P348" s="299">
        <f>VLOOKUP($F348,'[1]Master Harga'!$E$5:$L$351,5,FALSE)</f>
        <v>85680</v>
      </c>
      <c r="Q348" s="543">
        <f t="shared" si="65"/>
        <v>286171.2</v>
      </c>
      <c r="R348" s="299">
        <f>VLOOKUP($F348,'[1]Master Harga'!$E$5:$L$351,6,FALSE)</f>
        <v>89964</v>
      </c>
      <c r="S348" s="543">
        <f t="shared" si="66"/>
        <v>300479.76</v>
      </c>
      <c r="T348" s="296">
        <f>VLOOKUP($F348,'[2]Master Harga'!$E$5:$L$348,7,FALSE)</f>
        <v>99937.152000000016</v>
      </c>
      <c r="U348" s="544">
        <f t="shared" si="67"/>
        <v>333790.08768000006</v>
      </c>
      <c r="V348" s="296">
        <f t="shared" si="69"/>
        <v>91860.38400000002</v>
      </c>
      <c r="W348" s="307">
        <f t="shared" si="68"/>
        <v>306813.68256000004</v>
      </c>
      <c r="X348" s="545"/>
      <c r="Y348" s="296">
        <f t="shared" si="62"/>
        <v>749.7</v>
      </c>
      <c r="Z348" s="295"/>
    </row>
    <row r="349" spans="2:26" x14ac:dyDescent="0.35">
      <c r="B349" s="546"/>
      <c r="E349" s="547"/>
      <c r="F349" s="505" t="s">
        <v>523</v>
      </c>
      <c r="G349" s="364" t="s">
        <v>192</v>
      </c>
      <c r="H349" s="365"/>
      <c r="I349" s="366"/>
      <c r="J349" s="364" t="s">
        <v>326</v>
      </c>
      <c r="K349" s="548">
        <v>1</v>
      </c>
      <c r="L349" s="564">
        <f t="shared" si="63"/>
        <v>400.8</v>
      </c>
      <c r="M349" s="571">
        <f>(3050*M339)/1000</f>
        <v>436.15</v>
      </c>
      <c r="N349" s="508">
        <v>1</v>
      </c>
      <c r="O349" s="401">
        <f t="shared" si="64"/>
        <v>174808.91999999998</v>
      </c>
      <c r="P349" s="299">
        <f>VLOOKUP($F349,'[1]Master Harga'!$E$5:$L$351,5,FALSE)</f>
        <v>6152.5</v>
      </c>
      <c r="Q349" s="543">
        <f t="shared" si="65"/>
        <v>1075511880.3</v>
      </c>
      <c r="R349" s="299">
        <f>VLOOKUP($F349,'[1]Master Harga'!$E$5:$L$351,6,FALSE)</f>
        <v>6460.125</v>
      </c>
      <c r="S349" s="543">
        <f t="shared" si="66"/>
        <v>1129287474.3149998</v>
      </c>
      <c r="T349" s="296">
        <f>VLOOKUP($F349,'[2]Master Harga'!$E$5:$L$348,7,FALSE)</f>
        <v>7444.5250000000015</v>
      </c>
      <c r="U349" s="544">
        <f t="shared" si="67"/>
        <v>1301369375.1630001</v>
      </c>
      <c r="V349" s="296">
        <f t="shared" si="69"/>
        <v>6685.7166666666662</v>
      </c>
      <c r="W349" s="307">
        <f t="shared" si="68"/>
        <v>1168722909.9259999</v>
      </c>
      <c r="X349" s="545"/>
      <c r="Y349" s="296">
        <f t="shared" si="62"/>
        <v>2817583.5187499993</v>
      </c>
      <c r="Z349" s="295"/>
    </row>
    <row r="350" spans="2:26" x14ac:dyDescent="0.35">
      <c r="B350" s="685" t="s">
        <v>524</v>
      </c>
      <c r="C350" s="686"/>
      <c r="D350" s="686"/>
      <c r="E350" s="687"/>
      <c r="F350" s="688"/>
      <c r="G350" s="689"/>
      <c r="H350" s="690"/>
      <c r="I350" s="691"/>
      <c r="J350" s="689"/>
      <c r="K350" s="692"/>
      <c r="L350" s="693"/>
      <c r="M350" s="694"/>
      <c r="N350" s="695"/>
      <c r="O350" s="690"/>
      <c r="P350" s="696"/>
      <c r="Q350" s="696"/>
      <c r="R350" s="696"/>
      <c r="S350" s="697">
        <f>SUM(S341:S349)</f>
        <v>1296815982.3145199</v>
      </c>
      <c r="T350" s="684"/>
      <c r="U350" s="684"/>
      <c r="V350" s="684"/>
      <c r="W350" s="684"/>
      <c r="X350" s="690"/>
      <c r="Y350" s="698">
        <f t="shared" si="62"/>
        <v>3235568.8181499997</v>
      </c>
      <c r="Z350" s="699">
        <f>(Y350/$Y$410)*100</f>
        <v>22.485206803806321</v>
      </c>
    </row>
    <row r="351" spans="2:26" x14ac:dyDescent="0.35">
      <c r="B351" s="561"/>
      <c r="C351" s="562"/>
      <c r="D351" s="801" t="s">
        <v>525</v>
      </c>
      <c r="E351" s="802"/>
      <c r="F351" s="295" t="s">
        <v>189</v>
      </c>
      <c r="G351" s="364" t="s">
        <v>190</v>
      </c>
      <c r="H351" s="365"/>
      <c r="I351" s="366"/>
      <c r="J351" s="364" t="s">
        <v>170</v>
      </c>
      <c r="K351" s="548">
        <v>1</v>
      </c>
      <c r="L351" s="564">
        <f t="shared" ref="L351:L359" si="70">$L$38</f>
        <v>400.8</v>
      </c>
      <c r="M351" s="803">
        <v>0.5</v>
      </c>
      <c r="N351" s="508">
        <v>3</v>
      </c>
      <c r="O351" s="401">
        <f t="shared" si="64"/>
        <v>601.20000000000005</v>
      </c>
      <c r="P351" s="299">
        <f>VLOOKUP($F351,'[1]Master Harga'!$E$5:$L$351,5,FALSE)</f>
        <v>140008</v>
      </c>
      <c r="Q351" s="543">
        <f t="shared" si="65"/>
        <v>84172809.600000009</v>
      </c>
      <c r="R351" s="299">
        <f>VLOOKUP($F351,'[1]Master Harga'!$E$5:$L$351,6,FALSE)</f>
        <v>149108.51999999999</v>
      </c>
      <c r="S351" s="543">
        <f t="shared" si="66"/>
        <v>89644042.224000007</v>
      </c>
      <c r="T351" s="296">
        <f>VLOOKUP($F351,'[2]Master Harga'!$E$5:$L$348,7,FALSE)</f>
        <v>163305.33120000002</v>
      </c>
      <c r="U351" s="544">
        <f t="shared" si="67"/>
        <v>98179165.117440015</v>
      </c>
      <c r="V351" s="296">
        <f t="shared" si="69"/>
        <v>150807.28373333332</v>
      </c>
      <c r="W351" s="307">
        <f t="shared" si="68"/>
        <v>90665338.98048</v>
      </c>
      <c r="X351" s="545"/>
      <c r="Y351" s="296">
        <f t="shared" si="62"/>
        <v>223662.78</v>
      </c>
      <c r="Z351" s="295"/>
    </row>
    <row r="352" spans="2:26" x14ac:dyDescent="0.35">
      <c r="B352" s="546"/>
      <c r="E352" s="547"/>
      <c r="F352" s="295" t="s">
        <v>349</v>
      </c>
      <c r="G352" s="364" t="s">
        <v>190</v>
      </c>
      <c r="H352" s="365"/>
      <c r="I352" s="366"/>
      <c r="J352" s="364" t="s">
        <v>170</v>
      </c>
      <c r="K352" s="548">
        <v>1</v>
      </c>
      <c r="L352" s="564">
        <f t="shared" si="70"/>
        <v>400.8</v>
      </c>
      <c r="M352" s="803">
        <v>0.18</v>
      </c>
      <c r="N352" s="508">
        <v>3</v>
      </c>
      <c r="O352" s="401">
        <f t="shared" si="64"/>
        <v>216.43200000000002</v>
      </c>
      <c r="P352" s="299">
        <f>VLOOKUP($F352,'[1]Master Harga'!$E$5:$L$351,5,FALSE)</f>
        <v>140008</v>
      </c>
      <c r="Q352" s="543">
        <f t="shared" si="65"/>
        <v>30302211.456000004</v>
      </c>
      <c r="R352" s="299">
        <f>VLOOKUP($F352,'[1]Master Harga'!$E$5:$L$351,6,FALSE)</f>
        <v>149108.51999999999</v>
      </c>
      <c r="S352" s="543">
        <f t="shared" si="66"/>
        <v>32271855.20064</v>
      </c>
      <c r="T352" s="296">
        <f>VLOOKUP($F352,'[2]Master Harga'!$E$5:$L$348,7,FALSE)</f>
        <v>163305.33120000002</v>
      </c>
      <c r="U352" s="544">
        <f t="shared" si="67"/>
        <v>35344499.442278408</v>
      </c>
      <c r="V352" s="296">
        <f t="shared" si="69"/>
        <v>150807.28373333332</v>
      </c>
      <c r="W352" s="307">
        <f t="shared" si="68"/>
        <v>32639522.032972801</v>
      </c>
      <c r="X352" s="545"/>
      <c r="Y352" s="296">
        <f t="shared" si="62"/>
        <v>80518.6008</v>
      </c>
      <c r="Z352" s="295"/>
    </row>
    <row r="353" spans="2:26" x14ac:dyDescent="0.35">
      <c r="B353" s="546"/>
      <c r="E353" s="547"/>
      <c r="F353" s="295" t="s">
        <v>231</v>
      </c>
      <c r="G353" s="364" t="s">
        <v>190</v>
      </c>
      <c r="H353" s="365"/>
      <c r="I353" s="366"/>
      <c r="J353" s="364" t="s">
        <v>170</v>
      </c>
      <c r="K353" s="548">
        <v>1</v>
      </c>
      <c r="L353" s="564">
        <f t="shared" si="70"/>
        <v>400.8</v>
      </c>
      <c r="M353" s="803">
        <f>M351</f>
        <v>0.5</v>
      </c>
      <c r="N353" s="508">
        <v>3</v>
      </c>
      <c r="O353" s="401">
        <f t="shared" si="64"/>
        <v>601.20000000000005</v>
      </c>
      <c r="P353" s="299">
        <f>VLOOKUP($F353,'[1]Master Harga'!$E$5:$L$351,5,FALSE)</f>
        <v>3850</v>
      </c>
      <c r="Q353" s="543">
        <f t="shared" si="65"/>
        <v>2314620</v>
      </c>
      <c r="R353" s="299">
        <f>VLOOKUP($F353,'[1]Master Harga'!$E$5:$L$351,6,FALSE)</f>
        <v>4042.5</v>
      </c>
      <c r="S353" s="543">
        <f t="shared" si="66"/>
        <v>2430351</v>
      </c>
      <c r="T353" s="296">
        <f>VLOOKUP($F353,'[2]Master Harga'!$E$5:$L$348,7,FALSE)</f>
        <v>4490.6400000000003</v>
      </c>
      <c r="U353" s="544">
        <f t="shared" si="67"/>
        <v>2699772.7680000006</v>
      </c>
      <c r="V353" s="296">
        <f t="shared" si="69"/>
        <v>4127.713333333334</v>
      </c>
      <c r="W353" s="307">
        <f t="shared" si="68"/>
        <v>2481581.2560000005</v>
      </c>
      <c r="X353" s="545"/>
      <c r="Y353" s="296">
        <f t="shared" si="62"/>
        <v>6063.75</v>
      </c>
      <c r="Z353" s="295"/>
    </row>
    <row r="354" spans="2:26" x14ac:dyDescent="0.35">
      <c r="B354" s="546"/>
      <c r="E354" s="547"/>
      <c r="F354" s="295" t="s">
        <v>350</v>
      </c>
      <c r="G354" s="364" t="s">
        <v>194</v>
      </c>
      <c r="H354" s="365">
        <v>1</v>
      </c>
      <c r="I354" s="366" t="s">
        <v>233</v>
      </c>
      <c r="J354" s="364" t="s">
        <v>170</v>
      </c>
      <c r="K354" s="548">
        <v>1</v>
      </c>
      <c r="L354" s="564">
        <f t="shared" si="70"/>
        <v>400.8</v>
      </c>
      <c r="M354" s="804">
        <f>((M$351*N$351)/240)*($H354/N354)</f>
        <v>2.0833333333333333E-3</v>
      </c>
      <c r="N354" s="508">
        <v>3</v>
      </c>
      <c r="O354" s="401">
        <f t="shared" si="64"/>
        <v>2.5049999999999999</v>
      </c>
      <c r="P354" s="299">
        <f>VLOOKUP($F354,'[1]Master Harga'!$E$5:$L$351,5,FALSE)</f>
        <v>5000</v>
      </c>
      <c r="Q354" s="543">
        <f t="shared" si="65"/>
        <v>12525</v>
      </c>
      <c r="R354" s="299">
        <f>VLOOKUP($F354,'[1]Master Harga'!$E$5:$L$351,6,FALSE)</f>
        <v>5250</v>
      </c>
      <c r="S354" s="543">
        <f t="shared" si="66"/>
        <v>13151.25</v>
      </c>
      <c r="T354" s="296">
        <f>VLOOKUP($F354,'[2]Master Harga'!$E$5:$L$348,7,FALSE)</f>
        <v>5832</v>
      </c>
      <c r="U354" s="544">
        <f t="shared" si="67"/>
        <v>14609.16</v>
      </c>
      <c r="V354" s="296">
        <f t="shared" si="69"/>
        <v>5360.666666666667</v>
      </c>
      <c r="W354" s="307">
        <f t="shared" si="68"/>
        <v>13428.470000000001</v>
      </c>
      <c r="X354" s="545"/>
      <c r="Y354" s="296">
        <f t="shared" si="62"/>
        <v>32.8125</v>
      </c>
      <c r="Z354" s="295"/>
    </row>
    <row r="355" spans="2:26" x14ac:dyDescent="0.35">
      <c r="B355" s="546"/>
      <c r="E355" s="547"/>
      <c r="F355" s="295" t="s">
        <v>232</v>
      </c>
      <c r="G355" s="364" t="s">
        <v>194</v>
      </c>
      <c r="H355" s="365">
        <v>4</v>
      </c>
      <c r="I355" s="366" t="s">
        <v>233</v>
      </c>
      <c r="J355" s="364" t="s">
        <v>170</v>
      </c>
      <c r="K355" s="548">
        <v>1</v>
      </c>
      <c r="L355" s="564">
        <f t="shared" si="70"/>
        <v>400.8</v>
      </c>
      <c r="M355" s="804">
        <f>((M$351*N$351)/240)*($H355/N355)</f>
        <v>8.3333333333333332E-3</v>
      </c>
      <c r="N355" s="508">
        <v>3</v>
      </c>
      <c r="O355" s="401">
        <f t="shared" si="64"/>
        <v>10.02</v>
      </c>
      <c r="P355" s="299">
        <f>VLOOKUP($F355,'[1]Master Harga'!$E$5:$L$351,5,FALSE)</f>
        <v>42840</v>
      </c>
      <c r="Q355" s="543">
        <f t="shared" si="65"/>
        <v>429256.8</v>
      </c>
      <c r="R355" s="299">
        <f>VLOOKUP($F355,'[1]Master Harga'!$E$5:$L$351,6,FALSE)</f>
        <v>44982</v>
      </c>
      <c r="S355" s="543">
        <f t="shared" si="66"/>
        <v>450719.63999999996</v>
      </c>
      <c r="T355" s="296">
        <f>VLOOKUP($F355,'[2]Master Harga'!$E$5:$L$348,7,FALSE)</f>
        <v>49968.576000000008</v>
      </c>
      <c r="U355" s="544">
        <f t="shared" si="67"/>
        <v>500685.13152000005</v>
      </c>
      <c r="V355" s="296">
        <f t="shared" si="69"/>
        <v>45930.192000000003</v>
      </c>
      <c r="W355" s="307">
        <f t="shared" si="68"/>
        <v>460220.52383999998</v>
      </c>
      <c r="X355" s="545"/>
      <c r="Y355" s="296">
        <f t="shared" si="62"/>
        <v>1124.55</v>
      </c>
      <c r="Z355" s="295"/>
    </row>
    <row r="356" spans="2:26" x14ac:dyDescent="0.35">
      <c r="B356" s="546"/>
      <c r="E356" s="547"/>
      <c r="F356" s="295" t="s">
        <v>234</v>
      </c>
      <c r="G356" s="364" t="s">
        <v>194</v>
      </c>
      <c r="H356" s="365">
        <v>12</v>
      </c>
      <c r="I356" s="366" t="s">
        <v>233</v>
      </c>
      <c r="J356" s="364" t="s">
        <v>170</v>
      </c>
      <c r="K356" s="548">
        <v>1</v>
      </c>
      <c r="L356" s="564">
        <f t="shared" si="70"/>
        <v>400.8</v>
      </c>
      <c r="M356" s="804">
        <f>((M$351*N$351)/240)*($H356/N356)</f>
        <v>2.5000000000000001E-2</v>
      </c>
      <c r="N356" s="508">
        <v>3</v>
      </c>
      <c r="O356" s="401">
        <f t="shared" si="64"/>
        <v>30.060000000000002</v>
      </c>
      <c r="P356" s="299">
        <f>VLOOKUP($F356,'[1]Master Harga'!$E$5:$L$351,5,FALSE)</f>
        <v>14000</v>
      </c>
      <c r="Q356" s="543">
        <f t="shared" si="65"/>
        <v>420840.00000000006</v>
      </c>
      <c r="R356" s="299">
        <f>VLOOKUP($F356,'[1]Master Harga'!$E$5:$L$351,6,FALSE)</f>
        <v>14700</v>
      </c>
      <c r="S356" s="543">
        <f t="shared" si="66"/>
        <v>441882.00000000006</v>
      </c>
      <c r="T356" s="296">
        <f>VLOOKUP($F356,'[2]Master Harga'!$E$5:$L$348,7,FALSE)</f>
        <v>16329.600000000002</v>
      </c>
      <c r="U356" s="544">
        <f t="shared" si="67"/>
        <v>490867.77600000013</v>
      </c>
      <c r="V356" s="296">
        <f t="shared" si="69"/>
        <v>15009.86666666667</v>
      </c>
      <c r="W356" s="307">
        <f t="shared" si="68"/>
        <v>451196.59200000012</v>
      </c>
      <c r="X356" s="545"/>
      <c r="Y356" s="296">
        <f t="shared" si="62"/>
        <v>1102.5000000000002</v>
      </c>
      <c r="Z356" s="295"/>
    </row>
    <row r="357" spans="2:26" x14ac:dyDescent="0.35">
      <c r="B357" s="546"/>
      <c r="E357" s="547"/>
      <c r="F357" s="295" t="s">
        <v>236</v>
      </c>
      <c r="G357" s="364" t="s">
        <v>194</v>
      </c>
      <c r="H357" s="365">
        <v>2</v>
      </c>
      <c r="I357" s="366" t="s">
        <v>233</v>
      </c>
      <c r="J357" s="364" t="s">
        <v>170</v>
      </c>
      <c r="K357" s="548">
        <v>1</v>
      </c>
      <c r="L357" s="564">
        <f t="shared" si="70"/>
        <v>400.8</v>
      </c>
      <c r="M357" s="804">
        <f>((M$351*N$351)/240)*($H357/N357)</f>
        <v>4.1666666666666666E-3</v>
      </c>
      <c r="N357" s="508">
        <v>3</v>
      </c>
      <c r="O357" s="401">
        <f t="shared" si="64"/>
        <v>5.01</v>
      </c>
      <c r="P357" s="299">
        <f>VLOOKUP($F357,'[1]Master Harga'!$E$5:$L$351,5,FALSE)</f>
        <v>32130</v>
      </c>
      <c r="Q357" s="543">
        <f t="shared" si="65"/>
        <v>160971.29999999999</v>
      </c>
      <c r="R357" s="299">
        <f>VLOOKUP($F357,'[1]Master Harga'!$E$5:$L$351,6,FALSE)</f>
        <v>33736.5</v>
      </c>
      <c r="S357" s="543">
        <f t="shared" si="66"/>
        <v>169019.86499999999</v>
      </c>
      <c r="T357" s="296">
        <f>VLOOKUP($F357,'[2]Master Harga'!$E$5:$L$348,7,FALSE)</f>
        <v>37476.432000000001</v>
      </c>
      <c r="U357" s="544">
        <f t="shared" si="67"/>
        <v>187756.92431999999</v>
      </c>
      <c r="V357" s="296">
        <f t="shared" si="69"/>
        <v>34447.644</v>
      </c>
      <c r="W357" s="307">
        <f t="shared" si="68"/>
        <v>172582.69644</v>
      </c>
      <c r="X357" s="545"/>
      <c r="Y357" s="296">
        <f t="shared" si="62"/>
        <v>421.70624999999995</v>
      </c>
      <c r="Z357" s="295"/>
    </row>
    <row r="358" spans="2:26" x14ac:dyDescent="0.35">
      <c r="B358" s="546"/>
      <c r="E358" s="547"/>
      <c r="F358" s="295" t="s">
        <v>237</v>
      </c>
      <c r="G358" s="364" t="s">
        <v>194</v>
      </c>
      <c r="H358" s="365">
        <v>1</v>
      </c>
      <c r="I358" s="366" t="s">
        <v>233</v>
      </c>
      <c r="J358" s="364" t="s">
        <v>170</v>
      </c>
      <c r="K358" s="548">
        <v>1</v>
      </c>
      <c r="L358" s="564">
        <f t="shared" si="70"/>
        <v>400.8</v>
      </c>
      <c r="M358" s="804">
        <f>((M$351*N$351)/240)*($H358/N358)</f>
        <v>2.0833333333333333E-3</v>
      </c>
      <c r="N358" s="508">
        <v>3</v>
      </c>
      <c r="O358" s="401">
        <f t="shared" si="64"/>
        <v>2.5049999999999999</v>
      </c>
      <c r="P358" s="299">
        <f>VLOOKUP($F358,'[1]Master Harga'!$E$5:$L$351,5,FALSE)</f>
        <v>85680</v>
      </c>
      <c r="Q358" s="543">
        <f t="shared" si="65"/>
        <v>214628.4</v>
      </c>
      <c r="R358" s="299">
        <f>VLOOKUP($F358,'[1]Master Harga'!$E$5:$L$351,6,FALSE)</f>
        <v>89964</v>
      </c>
      <c r="S358" s="543">
        <f t="shared" si="66"/>
        <v>225359.81999999998</v>
      </c>
      <c r="T358" s="296">
        <f>VLOOKUP($F358,'[2]Master Harga'!$E$5:$L$348,7,FALSE)</f>
        <v>99937.152000000016</v>
      </c>
      <c r="U358" s="544">
        <f t="shared" si="67"/>
        <v>250342.56576000003</v>
      </c>
      <c r="V358" s="296">
        <f t="shared" si="69"/>
        <v>91860.384000000005</v>
      </c>
      <c r="W358" s="307">
        <f t="shared" si="68"/>
        <v>230110.26191999999</v>
      </c>
      <c r="X358" s="545"/>
      <c r="Y358" s="296">
        <f t="shared" si="62"/>
        <v>562.27499999999998</v>
      </c>
      <c r="Z358" s="295"/>
    </row>
    <row r="359" spans="2:26" x14ac:dyDescent="0.35">
      <c r="B359" s="546"/>
      <c r="E359" s="547"/>
      <c r="F359" s="505" t="s">
        <v>368</v>
      </c>
      <c r="G359" s="364" t="s">
        <v>192</v>
      </c>
      <c r="H359" s="365"/>
      <c r="I359" s="366"/>
      <c r="J359" s="364" t="s">
        <v>326</v>
      </c>
      <c r="K359" s="548">
        <v>1</v>
      </c>
      <c r="L359" s="564">
        <f t="shared" si="70"/>
        <v>400.8</v>
      </c>
      <c r="M359" s="571">
        <f>(1700*M339)/1000</f>
        <v>243.1</v>
      </c>
      <c r="N359" s="508">
        <v>1</v>
      </c>
      <c r="O359" s="401">
        <f>K359*L359*M359*N359</f>
        <v>97434.48</v>
      </c>
      <c r="P359" s="299">
        <f>VLOOKUP($F359,'[1]Master Harga'!$E$5:$L$351,5,FALSE)</f>
        <v>870</v>
      </c>
      <c r="Q359" s="543">
        <f t="shared" si="65"/>
        <v>84767997.599999994</v>
      </c>
      <c r="R359" s="299">
        <f>VLOOKUP($F359,'[1]Master Harga'!$E$5:$L$351,6,FALSE)</f>
        <v>870</v>
      </c>
      <c r="S359" s="543">
        <f t="shared" si="66"/>
        <v>84767997.599999994</v>
      </c>
      <c r="T359" s="296">
        <f>VLOOKUP($F359,'[2]Master Harga'!$E$5:$L$348,7,FALSE)</f>
        <v>1052.7000000000003</v>
      </c>
      <c r="U359" s="544">
        <f t="shared" si="67"/>
        <v>102569277.09600002</v>
      </c>
      <c r="V359" s="296">
        <f t="shared" si="69"/>
        <v>930.9</v>
      </c>
      <c r="W359" s="307">
        <f t="shared" si="68"/>
        <v>90701757.431999996</v>
      </c>
      <c r="X359" s="545"/>
      <c r="Y359" s="296">
        <f t="shared" si="62"/>
        <v>211496.99999999997</v>
      </c>
      <c r="Z359" s="295"/>
    </row>
    <row r="360" spans="2:26" x14ac:dyDescent="0.35">
      <c r="B360" s="685" t="s">
        <v>526</v>
      </c>
      <c r="C360" s="686"/>
      <c r="D360" s="686"/>
      <c r="E360" s="687"/>
      <c r="F360" s="688"/>
      <c r="G360" s="689"/>
      <c r="H360" s="690"/>
      <c r="I360" s="691"/>
      <c r="J360" s="689"/>
      <c r="K360" s="692"/>
      <c r="L360" s="693"/>
      <c r="M360" s="694"/>
      <c r="N360" s="695"/>
      <c r="O360" s="690"/>
      <c r="P360" s="696"/>
      <c r="Q360" s="696"/>
      <c r="R360" s="696"/>
      <c r="S360" s="697">
        <f>SUM(S351:S359)</f>
        <v>210414378.59963998</v>
      </c>
      <c r="T360" s="684"/>
      <c r="U360" s="684"/>
      <c r="V360" s="684"/>
      <c r="W360" s="684"/>
      <c r="X360" s="690"/>
      <c r="Y360" s="698">
        <f t="shared" si="62"/>
        <v>524985.97454999993</v>
      </c>
      <c r="Z360" s="699">
        <f>(Y360/$Y$410)*100</f>
        <v>3.6483285846486675</v>
      </c>
    </row>
    <row r="361" spans="2:26" x14ac:dyDescent="0.35">
      <c r="B361" s="561"/>
      <c r="C361" s="562"/>
      <c r="D361" s="801" t="s">
        <v>527</v>
      </c>
      <c r="E361" s="802"/>
      <c r="F361" s="295" t="s">
        <v>189</v>
      </c>
      <c r="G361" s="364" t="s">
        <v>190</v>
      </c>
      <c r="H361" s="365"/>
      <c r="I361" s="366"/>
      <c r="J361" s="364" t="s">
        <v>170</v>
      </c>
      <c r="K361" s="548">
        <v>1</v>
      </c>
      <c r="L361" s="564">
        <f t="shared" ref="L361:L368" si="71">$L$38</f>
        <v>400.8</v>
      </c>
      <c r="M361" s="803">
        <v>0.2</v>
      </c>
      <c r="N361" s="508">
        <v>1</v>
      </c>
      <c r="O361" s="401">
        <f t="shared" si="64"/>
        <v>80.160000000000011</v>
      </c>
      <c r="P361" s="299">
        <f>VLOOKUP($F361,'[1]Master Harga'!$E$5:$L$351,5,FALSE)</f>
        <v>140008</v>
      </c>
      <c r="Q361" s="543">
        <f t="shared" si="65"/>
        <v>11223041.280000001</v>
      </c>
      <c r="R361" s="299">
        <f>VLOOKUP($F361,'[1]Master Harga'!$E$5:$L$351,6,FALSE)</f>
        <v>149108.51999999999</v>
      </c>
      <c r="S361" s="543">
        <f t="shared" si="66"/>
        <v>11952538.963200001</v>
      </c>
      <c r="T361" s="296">
        <f>VLOOKUP($F361,'[2]Master Harga'!$E$5:$L$348,7,FALSE)</f>
        <v>163305.33120000002</v>
      </c>
      <c r="U361" s="544">
        <f t="shared" si="67"/>
        <v>13090555.348992003</v>
      </c>
      <c r="V361" s="296">
        <f t="shared" si="69"/>
        <v>150807.28373333334</v>
      </c>
      <c r="W361" s="307">
        <f t="shared" si="68"/>
        <v>12088711.864064002</v>
      </c>
      <c r="X361" s="545"/>
      <c r="Y361" s="296">
        <f t="shared" si="62"/>
        <v>29821.704000000002</v>
      </c>
      <c r="Z361" s="295"/>
    </row>
    <row r="362" spans="2:26" x14ac:dyDescent="0.35">
      <c r="B362" s="546"/>
      <c r="D362" t="s">
        <v>528</v>
      </c>
      <c r="E362" s="547"/>
      <c r="F362" s="295" t="s">
        <v>349</v>
      </c>
      <c r="G362" s="364" t="s">
        <v>190</v>
      </c>
      <c r="H362" s="365"/>
      <c r="I362" s="366"/>
      <c r="J362" s="364" t="s">
        <v>170</v>
      </c>
      <c r="K362" s="548">
        <v>1</v>
      </c>
      <c r="L362" s="564">
        <f t="shared" si="71"/>
        <v>400.8</v>
      </c>
      <c r="M362" s="803">
        <v>0.18</v>
      </c>
      <c r="N362" s="508">
        <f>N361</f>
        <v>1</v>
      </c>
      <c r="O362" s="401">
        <f t="shared" si="64"/>
        <v>72.144000000000005</v>
      </c>
      <c r="P362" s="299">
        <f>VLOOKUP($F362,'[1]Master Harga'!$E$5:$L$351,5,FALSE)</f>
        <v>140008</v>
      </c>
      <c r="Q362" s="543">
        <f t="shared" si="65"/>
        <v>10100737.152000001</v>
      </c>
      <c r="R362" s="299">
        <f>VLOOKUP($F362,'[1]Master Harga'!$E$5:$L$351,6,FALSE)</f>
        <v>149108.51999999999</v>
      </c>
      <c r="S362" s="543">
        <f t="shared" si="66"/>
        <v>10757285.066880001</v>
      </c>
      <c r="T362" s="296">
        <f>VLOOKUP($F362,'[2]Master Harga'!$E$5:$L$348,7,FALSE)</f>
        <v>163305.33120000002</v>
      </c>
      <c r="U362" s="544">
        <f t="shared" si="67"/>
        <v>11781499.814092802</v>
      </c>
      <c r="V362" s="296">
        <f t="shared" si="69"/>
        <v>150807.28373333334</v>
      </c>
      <c r="W362" s="307">
        <f t="shared" si="68"/>
        <v>10879840.677657602</v>
      </c>
      <c r="X362" s="545"/>
      <c r="Y362" s="296">
        <f t="shared" si="62"/>
        <v>26839.533600000002</v>
      </c>
      <c r="Z362" s="295"/>
    </row>
    <row r="363" spans="2:26" x14ac:dyDescent="0.35">
      <c r="B363" s="546"/>
      <c r="E363" s="547"/>
      <c r="F363" s="295" t="s">
        <v>231</v>
      </c>
      <c r="G363" s="364" t="s">
        <v>190</v>
      </c>
      <c r="H363" s="365"/>
      <c r="I363" s="366"/>
      <c r="J363" s="364" t="s">
        <v>170</v>
      </c>
      <c r="K363" s="548">
        <v>1</v>
      </c>
      <c r="L363" s="564">
        <f t="shared" si="71"/>
        <v>400.8</v>
      </c>
      <c r="M363" s="803">
        <f>M361</f>
        <v>0.2</v>
      </c>
      <c r="N363" s="508">
        <f t="shared" ref="N363:N368" si="72">N362</f>
        <v>1</v>
      </c>
      <c r="O363" s="401">
        <f t="shared" si="64"/>
        <v>80.160000000000011</v>
      </c>
      <c r="P363" s="299">
        <f>VLOOKUP($F363,'[1]Master Harga'!$E$5:$L$351,5,FALSE)</f>
        <v>3850</v>
      </c>
      <c r="Q363" s="543">
        <f t="shared" si="65"/>
        <v>308616.00000000006</v>
      </c>
      <c r="R363" s="299">
        <f>VLOOKUP($F363,'[1]Master Harga'!$E$5:$L$351,6,FALSE)</f>
        <v>4042.5</v>
      </c>
      <c r="S363" s="543">
        <f t="shared" si="66"/>
        <v>324046.80000000005</v>
      </c>
      <c r="T363" s="296">
        <f>VLOOKUP($F363,'[2]Master Harga'!$E$5:$L$348,7,FALSE)</f>
        <v>4490.6400000000003</v>
      </c>
      <c r="U363" s="544">
        <f t="shared" si="67"/>
        <v>359969.70240000007</v>
      </c>
      <c r="V363" s="296">
        <f t="shared" si="69"/>
        <v>4127.7133333333331</v>
      </c>
      <c r="W363" s="307">
        <f t="shared" si="68"/>
        <v>330877.50080000004</v>
      </c>
      <c r="X363" s="545"/>
      <c r="Y363" s="296">
        <f t="shared" si="62"/>
        <v>808.50000000000011</v>
      </c>
      <c r="Z363" s="295"/>
    </row>
    <row r="364" spans="2:26" x14ac:dyDescent="0.35">
      <c r="B364" s="546"/>
      <c r="E364" s="547"/>
      <c r="F364" s="295" t="s">
        <v>350</v>
      </c>
      <c r="G364" s="364" t="s">
        <v>194</v>
      </c>
      <c r="H364" s="365">
        <v>1</v>
      </c>
      <c r="I364" s="366" t="s">
        <v>233</v>
      </c>
      <c r="J364" s="364" t="s">
        <v>170</v>
      </c>
      <c r="K364" s="548">
        <v>1</v>
      </c>
      <c r="L364" s="564">
        <f t="shared" si="71"/>
        <v>400.8</v>
      </c>
      <c r="M364" s="804">
        <f>((M$351*N$351)/240)*($H364/N364)</f>
        <v>6.2500000000000003E-3</v>
      </c>
      <c r="N364" s="508">
        <f t="shared" si="72"/>
        <v>1</v>
      </c>
      <c r="O364" s="401">
        <f t="shared" si="64"/>
        <v>2.5050000000000003</v>
      </c>
      <c r="P364" s="299">
        <f>VLOOKUP($F364,'[1]Master Harga'!$E$5:$L$351,5,FALSE)</f>
        <v>5000</v>
      </c>
      <c r="Q364" s="543">
        <f t="shared" si="65"/>
        <v>12525.000000000002</v>
      </c>
      <c r="R364" s="299">
        <f>VLOOKUP($F364,'[1]Master Harga'!$E$5:$L$351,6,FALSE)</f>
        <v>5250</v>
      </c>
      <c r="S364" s="543">
        <f t="shared" si="66"/>
        <v>13151.250000000002</v>
      </c>
      <c r="T364" s="296">
        <f>VLOOKUP($F364,'[2]Master Harga'!$E$5:$L$348,7,FALSE)</f>
        <v>5832</v>
      </c>
      <c r="U364" s="544">
        <f t="shared" si="67"/>
        <v>14609.160000000002</v>
      </c>
      <c r="V364" s="296">
        <f t="shared" si="69"/>
        <v>5360.6666666666661</v>
      </c>
      <c r="W364" s="307">
        <f t="shared" si="68"/>
        <v>13428.470000000001</v>
      </c>
      <c r="X364" s="545"/>
      <c r="Y364" s="296">
        <f t="shared" si="62"/>
        <v>32.812500000000007</v>
      </c>
      <c r="Z364" s="295"/>
    </row>
    <row r="365" spans="2:26" x14ac:dyDescent="0.35">
      <c r="B365" s="546"/>
      <c r="E365" s="547"/>
      <c r="F365" s="295" t="s">
        <v>232</v>
      </c>
      <c r="G365" s="364" t="s">
        <v>194</v>
      </c>
      <c r="H365" s="365">
        <v>4</v>
      </c>
      <c r="I365" s="366" t="s">
        <v>233</v>
      </c>
      <c r="J365" s="364" t="s">
        <v>170</v>
      </c>
      <c r="K365" s="548">
        <v>1</v>
      </c>
      <c r="L365" s="564">
        <f t="shared" si="71"/>
        <v>400.8</v>
      </c>
      <c r="M365" s="804">
        <f>((M$351*N$351)/240)*($H365/N365)</f>
        <v>2.5000000000000001E-2</v>
      </c>
      <c r="N365" s="508">
        <f t="shared" si="72"/>
        <v>1</v>
      </c>
      <c r="O365" s="401">
        <f t="shared" si="64"/>
        <v>10.020000000000001</v>
      </c>
      <c r="P365" s="299">
        <f>VLOOKUP($F365,'[1]Master Harga'!$E$5:$L$351,5,FALSE)</f>
        <v>42840</v>
      </c>
      <c r="Q365" s="543">
        <f t="shared" si="65"/>
        <v>429256.80000000005</v>
      </c>
      <c r="R365" s="299">
        <f>VLOOKUP($F365,'[1]Master Harga'!$E$5:$L$351,6,FALSE)</f>
        <v>44982</v>
      </c>
      <c r="S365" s="543">
        <f t="shared" si="66"/>
        <v>450719.64000000007</v>
      </c>
      <c r="T365" s="296">
        <f>VLOOKUP($F365,'[2]Master Harga'!$E$5:$L$348,7,FALSE)</f>
        <v>49968.576000000008</v>
      </c>
      <c r="U365" s="544">
        <f t="shared" si="67"/>
        <v>500685.13152000017</v>
      </c>
      <c r="V365" s="296">
        <f t="shared" si="69"/>
        <v>45930.192000000003</v>
      </c>
      <c r="W365" s="307">
        <f t="shared" si="68"/>
        <v>460220.5238400001</v>
      </c>
      <c r="X365" s="545"/>
      <c r="Y365" s="296">
        <f t="shared" si="62"/>
        <v>1124.5500000000002</v>
      </c>
      <c r="Z365" s="295"/>
    </row>
    <row r="366" spans="2:26" x14ac:dyDescent="0.35">
      <c r="B366" s="546"/>
      <c r="E366" s="547"/>
      <c r="F366" s="295" t="s">
        <v>234</v>
      </c>
      <c r="G366" s="364" t="s">
        <v>194</v>
      </c>
      <c r="H366" s="365">
        <v>12</v>
      </c>
      <c r="I366" s="366" t="s">
        <v>233</v>
      </c>
      <c r="J366" s="364" t="s">
        <v>170</v>
      </c>
      <c r="K366" s="548">
        <v>1</v>
      </c>
      <c r="L366" s="564">
        <f t="shared" si="71"/>
        <v>400.8</v>
      </c>
      <c r="M366" s="804">
        <f>((M$351*N$351)/240)*($H366/N366)</f>
        <v>7.5000000000000011E-2</v>
      </c>
      <c r="N366" s="508">
        <f t="shared" si="72"/>
        <v>1</v>
      </c>
      <c r="O366" s="401">
        <f t="shared" si="64"/>
        <v>30.060000000000006</v>
      </c>
      <c r="P366" s="299">
        <f>VLOOKUP($F366,'[1]Master Harga'!$E$5:$L$351,5,FALSE)</f>
        <v>14000</v>
      </c>
      <c r="Q366" s="543">
        <f t="shared" si="65"/>
        <v>420840.00000000006</v>
      </c>
      <c r="R366" s="299">
        <f>VLOOKUP($F366,'[1]Master Harga'!$E$5:$L$351,6,FALSE)</f>
        <v>14700</v>
      </c>
      <c r="S366" s="543">
        <f t="shared" si="66"/>
        <v>441882.00000000006</v>
      </c>
      <c r="T366" s="296">
        <f>VLOOKUP($F366,'[2]Master Harga'!$E$5:$L$348,7,FALSE)</f>
        <v>16329.600000000002</v>
      </c>
      <c r="U366" s="544">
        <f t="shared" si="67"/>
        <v>490867.77600000019</v>
      </c>
      <c r="V366" s="296">
        <f t="shared" si="69"/>
        <v>15009.866666666669</v>
      </c>
      <c r="W366" s="307">
        <f t="shared" si="68"/>
        <v>451196.59200000012</v>
      </c>
      <c r="X366" s="545"/>
      <c r="Y366" s="296">
        <f t="shared" si="62"/>
        <v>1102.5000000000002</v>
      </c>
      <c r="Z366" s="295"/>
    </row>
    <row r="367" spans="2:26" x14ac:dyDescent="0.35">
      <c r="B367" s="546"/>
      <c r="E367" s="547"/>
      <c r="F367" s="295" t="s">
        <v>236</v>
      </c>
      <c r="G367" s="364" t="s">
        <v>194</v>
      </c>
      <c r="H367" s="365">
        <v>2</v>
      </c>
      <c r="I367" s="366" t="s">
        <v>233</v>
      </c>
      <c r="J367" s="364" t="s">
        <v>170</v>
      </c>
      <c r="K367" s="548">
        <v>1</v>
      </c>
      <c r="L367" s="564">
        <f t="shared" si="71"/>
        <v>400.8</v>
      </c>
      <c r="M367" s="804">
        <f>((M$351*N$351)/240)*($H367/N367)</f>
        <v>1.2500000000000001E-2</v>
      </c>
      <c r="N367" s="508">
        <f t="shared" si="72"/>
        <v>1</v>
      </c>
      <c r="O367" s="401">
        <f t="shared" si="64"/>
        <v>5.0100000000000007</v>
      </c>
      <c r="P367" s="299">
        <f>VLOOKUP($F367,'[1]Master Harga'!$E$5:$L$351,5,FALSE)</f>
        <v>32130</v>
      </c>
      <c r="Q367" s="543">
        <f t="shared" si="65"/>
        <v>160971.30000000002</v>
      </c>
      <c r="R367" s="299">
        <f>VLOOKUP($F367,'[1]Master Harga'!$E$5:$L$351,6,FALSE)</f>
        <v>33736.5</v>
      </c>
      <c r="S367" s="543">
        <f t="shared" si="66"/>
        <v>169019.86500000002</v>
      </c>
      <c r="T367" s="296">
        <f>VLOOKUP($F367,'[2]Master Harga'!$E$5:$L$348,7,FALSE)</f>
        <v>37476.432000000001</v>
      </c>
      <c r="U367" s="544">
        <f t="shared" si="67"/>
        <v>187756.92432000002</v>
      </c>
      <c r="V367" s="296">
        <f t="shared" si="69"/>
        <v>34447.643999999993</v>
      </c>
      <c r="W367" s="307">
        <f t="shared" si="68"/>
        <v>172582.69644</v>
      </c>
      <c r="X367" s="545"/>
      <c r="Y367" s="296">
        <f t="shared" si="62"/>
        <v>421.70625000000001</v>
      </c>
      <c r="Z367" s="295"/>
    </row>
    <row r="368" spans="2:26" x14ac:dyDescent="0.35">
      <c r="B368" s="546"/>
      <c r="E368" s="547"/>
      <c r="F368" s="295" t="s">
        <v>237</v>
      </c>
      <c r="G368" s="364" t="s">
        <v>194</v>
      </c>
      <c r="H368" s="365">
        <v>1</v>
      </c>
      <c r="I368" s="366" t="s">
        <v>233</v>
      </c>
      <c r="J368" s="364" t="s">
        <v>170</v>
      </c>
      <c r="K368" s="548">
        <v>1</v>
      </c>
      <c r="L368" s="564">
        <f t="shared" si="71"/>
        <v>400.8</v>
      </c>
      <c r="M368" s="804">
        <f>((M$351*N$351)/240)*($H368/N368)</f>
        <v>6.2500000000000003E-3</v>
      </c>
      <c r="N368" s="508">
        <f t="shared" si="72"/>
        <v>1</v>
      </c>
      <c r="O368" s="401">
        <f t="shared" si="64"/>
        <v>2.5050000000000003</v>
      </c>
      <c r="P368" s="299">
        <f>VLOOKUP($F368,'[1]Master Harga'!$E$5:$L$351,5,FALSE)</f>
        <v>85680</v>
      </c>
      <c r="Q368" s="543">
        <f t="shared" si="65"/>
        <v>214628.40000000002</v>
      </c>
      <c r="R368" s="299">
        <f>VLOOKUP($F368,'[1]Master Harga'!$E$5:$L$351,6,FALSE)</f>
        <v>89964</v>
      </c>
      <c r="S368" s="543">
        <f t="shared" si="66"/>
        <v>225359.82000000004</v>
      </c>
      <c r="T368" s="296">
        <f>VLOOKUP($F368,'[2]Master Harga'!$E$5:$L$348,7,FALSE)</f>
        <v>99937.152000000016</v>
      </c>
      <c r="U368" s="544">
        <f t="shared" si="67"/>
        <v>250342.56576000008</v>
      </c>
      <c r="V368" s="296">
        <f t="shared" si="69"/>
        <v>91860.384000000005</v>
      </c>
      <c r="W368" s="307">
        <f t="shared" si="68"/>
        <v>230110.26192000005</v>
      </c>
      <c r="X368" s="545"/>
      <c r="Y368" s="296">
        <f t="shared" si="62"/>
        <v>562.27500000000009</v>
      </c>
      <c r="Z368" s="295"/>
    </row>
    <row r="369" spans="2:29" x14ac:dyDescent="0.35">
      <c r="B369" s="546"/>
      <c r="E369" s="547"/>
      <c r="F369" s="505" t="s">
        <v>529</v>
      </c>
      <c r="G369" s="364" t="s">
        <v>192</v>
      </c>
      <c r="H369" s="365"/>
      <c r="I369" s="366"/>
      <c r="J369" s="364" t="s">
        <v>326</v>
      </c>
      <c r="K369" s="548">
        <v>1</v>
      </c>
      <c r="L369" s="564">
        <f>$L$38</f>
        <v>400.8</v>
      </c>
      <c r="M369" s="805">
        <f>(20*M339)/1000</f>
        <v>2.86</v>
      </c>
      <c r="N369" s="508">
        <v>1</v>
      </c>
      <c r="O369" s="401">
        <f t="shared" si="64"/>
        <v>1146.288</v>
      </c>
      <c r="P369" s="299">
        <f>VLOOKUP($F369,'[1]Master Harga'!$E$5:$L$351,5,FALSE)</f>
        <v>11120</v>
      </c>
      <c r="Q369" s="543">
        <f t="shared" si="65"/>
        <v>12746722.560000001</v>
      </c>
      <c r="R369" s="299">
        <f>VLOOKUP($F369,'[1]Master Harga'!$E$5:$L$351,6,FALSE)</f>
        <v>11120</v>
      </c>
      <c r="S369" s="543">
        <f t="shared" si="66"/>
        <v>12746722.560000001</v>
      </c>
      <c r="T369" s="296" t="e">
        <f>VLOOKUP($F369,'[2]Master Harga'!$E$5:$L$348,7,FALSE)</f>
        <v>#N/A</v>
      </c>
      <c r="U369" s="544" t="e">
        <f t="shared" si="67"/>
        <v>#N/A</v>
      </c>
      <c r="V369" s="296" t="e">
        <f t="shared" si="69"/>
        <v>#N/A</v>
      </c>
      <c r="W369" s="307" t="e">
        <f t="shared" si="68"/>
        <v>#N/A</v>
      </c>
      <c r="X369" s="545"/>
      <c r="Y369" s="296">
        <f t="shared" si="62"/>
        <v>31803.200000000001</v>
      </c>
      <c r="Z369" s="295"/>
    </row>
    <row r="370" spans="2:29" x14ac:dyDescent="0.35">
      <c r="B370" s="685" t="s">
        <v>530</v>
      </c>
      <c r="C370" s="686"/>
      <c r="D370" s="686"/>
      <c r="E370" s="687"/>
      <c r="F370" s="688"/>
      <c r="G370" s="689"/>
      <c r="H370" s="690"/>
      <c r="I370" s="691"/>
      <c r="J370" s="689"/>
      <c r="K370" s="692"/>
      <c r="L370" s="693"/>
      <c r="M370" s="694"/>
      <c r="N370" s="695"/>
      <c r="O370" s="690"/>
      <c r="P370" s="696"/>
      <c r="Q370" s="696"/>
      <c r="R370" s="696"/>
      <c r="S370" s="697">
        <f>SUM(S361:S369)</f>
        <v>37080725.96508</v>
      </c>
      <c r="T370" s="684"/>
      <c r="U370" s="684"/>
      <c r="V370" s="684"/>
      <c r="W370" s="684"/>
      <c r="X370" s="690"/>
      <c r="Y370" s="698">
        <f t="shared" si="62"/>
        <v>92516.781350000005</v>
      </c>
      <c r="Z370" s="699">
        <f>(Y370/$Y$410)*100</f>
        <v>0.64293454362893476</v>
      </c>
    </row>
    <row r="371" spans="2:29" ht="18.399999999999999" customHeight="1" x14ac:dyDescent="0.35">
      <c r="B371" s="539"/>
      <c r="C371" s="806" t="s">
        <v>156</v>
      </c>
      <c r="D371" s="806"/>
      <c r="E371" s="541"/>
      <c r="F371" s="807" t="s">
        <v>189</v>
      </c>
      <c r="G371" s="808" t="s">
        <v>190</v>
      </c>
      <c r="H371" s="809"/>
      <c r="I371" s="810"/>
      <c r="J371" s="808"/>
      <c r="K371" s="811">
        <v>0.33329999999999999</v>
      </c>
      <c r="L371" s="812">
        <f t="shared" ref="L371:L375" si="73">$L$38</f>
        <v>400.8</v>
      </c>
      <c r="M371" s="813">
        <v>5</v>
      </c>
      <c r="N371" s="333">
        <v>1</v>
      </c>
      <c r="O371" s="814">
        <f>K371*L371*M371*N371</f>
        <v>667.93319999999994</v>
      </c>
      <c r="P371" s="319">
        <f>VLOOKUP($F371,'[1]Master Harga'!$E$5:$L$351,5,FALSE)</f>
        <v>140008</v>
      </c>
      <c r="Q371" s="815">
        <f>P371*$O371</f>
        <v>93515991.465599999</v>
      </c>
      <c r="R371" s="319">
        <f>VLOOKUP($F371,'[1]Master Harga'!$E$5:$L$351,6,FALSE)</f>
        <v>149108.51999999999</v>
      </c>
      <c r="S371" s="815">
        <f>R371*$O371</f>
        <v>99594530.910863981</v>
      </c>
      <c r="T371" s="296">
        <f>VLOOKUP($F371,'[2]Master Harga'!$E$5:$L$348,7,FALSE)</f>
        <v>163305.33120000002</v>
      </c>
      <c r="U371" s="544">
        <f>$O371*T371</f>
        <v>109077052.44547585</v>
      </c>
      <c r="V371" s="296">
        <f>W371/O371</f>
        <v>150807.28373333334</v>
      </c>
      <c r="W371" s="307">
        <f>AVERAGEIF($P$3:$U$3,W$3,$P371:$U371)</f>
        <v>100729191.60731328</v>
      </c>
      <c r="X371" s="816" t="s">
        <v>531</v>
      </c>
      <c r="Y371" s="296">
        <f t="shared" si="62"/>
        <v>248489.34857999993</v>
      </c>
      <c r="Z371" s="817"/>
    </row>
    <row r="372" spans="2:29" x14ac:dyDescent="0.35">
      <c r="B372" s="546"/>
      <c r="E372" s="547"/>
      <c r="F372" s="295" t="s">
        <v>409</v>
      </c>
      <c r="G372" s="364" t="s">
        <v>356</v>
      </c>
      <c r="H372" s="365"/>
      <c r="I372" s="366"/>
      <c r="J372" s="364"/>
      <c r="K372" s="811">
        <v>0.33329999999999999</v>
      </c>
      <c r="L372" s="564">
        <f t="shared" si="73"/>
        <v>400.8</v>
      </c>
      <c r="M372" s="542">
        <f>78*M339/1000</f>
        <v>11.154</v>
      </c>
      <c r="N372" s="296">
        <v>1</v>
      </c>
      <c r="O372" s="401">
        <f>K372*L372*M372*N372</f>
        <v>1490.0253825599998</v>
      </c>
      <c r="P372" s="299">
        <f>VLOOKUP($F372,'[1]Master Harga'!$E$5:$L$351,5,FALSE)</f>
        <v>108900</v>
      </c>
      <c r="Q372" s="543">
        <f>P372*$O372</f>
        <v>162263764.16078398</v>
      </c>
      <c r="R372" s="299">
        <f>VLOOKUP($F372,'[1]Master Harga'!$E$5:$L$351,6,FALSE)</f>
        <v>117612.00000000001</v>
      </c>
      <c r="S372" s="543">
        <f>R372*$O372</f>
        <v>175244865.29364672</v>
      </c>
      <c r="T372" s="296">
        <f>VLOOKUP($F372,'[2]Master Harga'!$E$5:$L$348,7,FALSE)</f>
        <v>52349.440000000002</v>
      </c>
      <c r="U372" s="544">
        <f>$O372*T372</f>
        <v>78001994.36280176</v>
      </c>
      <c r="V372" s="296">
        <f>W372/O372</f>
        <v>92953.813333333354</v>
      </c>
      <c r="W372" s="307">
        <f>AVERAGEIF($P$3:$U$3,W$3,$P372:$U372)</f>
        <v>138503541.27241084</v>
      </c>
      <c r="X372" s="545"/>
      <c r="Y372" s="296">
        <f t="shared" si="62"/>
        <v>437237.68785839999</v>
      </c>
      <c r="Z372" s="295"/>
    </row>
    <row r="373" spans="2:29" x14ac:dyDescent="0.35">
      <c r="B373" s="546"/>
      <c r="E373" s="547"/>
      <c r="F373" s="295" t="s">
        <v>532</v>
      </c>
      <c r="G373" s="364" t="s">
        <v>194</v>
      </c>
      <c r="H373" s="365"/>
      <c r="I373" s="366"/>
      <c r="J373" s="364"/>
      <c r="K373" s="811">
        <v>0.33329999999999999</v>
      </c>
      <c r="L373" s="564">
        <f t="shared" si="73"/>
        <v>400.8</v>
      </c>
      <c r="M373" s="542">
        <v>1.67E-2</v>
      </c>
      <c r="N373" s="296">
        <v>1</v>
      </c>
      <c r="O373" s="401">
        <f>K373*L373*M373*N373</f>
        <v>2.2308968879999997</v>
      </c>
      <c r="P373" s="299">
        <f>VLOOKUP($F373,'[1]Master Harga'!$E$5:$L$351,5,FALSE)</f>
        <v>537481</v>
      </c>
      <c r="Q373" s="543">
        <f>P373*$O373</f>
        <v>1199064.6902591279</v>
      </c>
      <c r="R373" s="299">
        <f>VLOOKUP($F373,'[1]Master Harga'!$E$5:$L$351,6,FALSE)</f>
        <v>564355.05000000005</v>
      </c>
      <c r="S373" s="543">
        <f>R373*$O373</f>
        <v>1259017.9247720845</v>
      </c>
      <c r="T373" s="296">
        <f>VLOOKUP($F373,'[2]Master Harga'!$E$5:$L$348,7,FALSE)</f>
        <v>626917.83840000001</v>
      </c>
      <c r="U373" s="544">
        <f>$O373*T373</f>
        <v>1398589.0547182467</v>
      </c>
      <c r="V373" s="296">
        <f>W373/O373</f>
        <v>576251.29613333347</v>
      </c>
      <c r="W373" s="307">
        <f>AVERAGEIF($P$3:$U$3,W$3,$P373:$U373)</f>
        <v>1285557.2232498198</v>
      </c>
      <c r="X373" s="295"/>
      <c r="Y373" s="296">
        <f t="shared" si="62"/>
        <v>3141.2622873555001</v>
      </c>
      <c r="Z373" s="817"/>
    </row>
    <row r="374" spans="2:29" x14ac:dyDescent="0.35">
      <c r="B374" s="546"/>
      <c r="E374" s="547"/>
      <c r="F374" s="295" t="s">
        <v>533</v>
      </c>
      <c r="G374" s="364" t="s">
        <v>194</v>
      </c>
      <c r="H374" s="365"/>
      <c r="I374" s="366"/>
      <c r="J374" s="364"/>
      <c r="K374" s="811">
        <v>0.33329999999999999</v>
      </c>
      <c r="L374" s="564">
        <f t="shared" si="73"/>
        <v>400.8</v>
      </c>
      <c r="M374" s="542">
        <v>1.67E-2</v>
      </c>
      <c r="N374" s="296">
        <v>1</v>
      </c>
      <c r="O374" s="401">
        <f>K374*L374*M374*N374</f>
        <v>2.2308968879999997</v>
      </c>
      <c r="P374" s="296">
        <f>VLOOKUP($F374,'[2]Master Harga'!$E$5:$L$348,5,FALSE)</f>
        <v>0</v>
      </c>
      <c r="Q374" s="543">
        <f>P374*$O374</f>
        <v>0</v>
      </c>
      <c r="R374" s="299">
        <f>VLOOKUP($F374,'[1]Master Harga'!$E$5:$L$351,6,FALSE)</f>
        <v>48195</v>
      </c>
      <c r="S374" s="543">
        <f>R374*$O374</f>
        <v>107518.07551715999</v>
      </c>
      <c r="T374" s="296">
        <f>VLOOKUP($F374,'[2]Master Harga'!$E$5:$L$348,7,FALSE)</f>
        <v>0</v>
      </c>
      <c r="U374" s="544">
        <f>$O374*T374</f>
        <v>0</v>
      </c>
      <c r="V374" s="296">
        <f>W374/O374</f>
        <v>16065</v>
      </c>
      <c r="W374" s="307">
        <f>AVERAGEIF($P$3:$U$3,W$3,$P374:$U374)</f>
        <v>35839.358505719996</v>
      </c>
      <c r="Y374" s="296">
        <f t="shared" si="62"/>
        <v>268.25867144999995</v>
      </c>
      <c r="Z374" s="295"/>
    </row>
    <row r="375" spans="2:29" x14ac:dyDescent="0.35">
      <c r="B375" s="546"/>
      <c r="E375" s="547"/>
      <c r="F375" s="295" t="s">
        <v>237</v>
      </c>
      <c r="G375" s="364" t="s">
        <v>194</v>
      </c>
      <c r="H375" s="365"/>
      <c r="I375" s="366"/>
      <c r="J375" s="364"/>
      <c r="K375" s="811">
        <v>0.33329999999999999</v>
      </c>
      <c r="L375" s="564">
        <f t="shared" si="73"/>
        <v>400.8</v>
      </c>
      <c r="M375" s="542">
        <v>1.67E-2</v>
      </c>
      <c r="N375" s="296">
        <v>1</v>
      </c>
      <c r="O375" s="401">
        <f>K375*L375*M375*N375</f>
        <v>2.2308968879999997</v>
      </c>
      <c r="P375" s="299">
        <f>VLOOKUP($F375,'[1]Master Harga'!$E$5:$L$351,5,FALSE)</f>
        <v>85680</v>
      </c>
      <c r="Q375" s="543">
        <f>P375*$O375</f>
        <v>191143.24536383999</v>
      </c>
      <c r="R375" s="299">
        <f>VLOOKUP($F375,'[1]Master Harga'!$E$5:$L$351,6,FALSE)</f>
        <v>89964</v>
      </c>
      <c r="S375" s="543">
        <f>R375*$O375</f>
        <v>200700.40763203197</v>
      </c>
      <c r="T375" s="296">
        <f>VLOOKUP($F375,'[2]Master Harga'!$E$5:$L$348,7,FALSE)</f>
        <v>99937.152000000016</v>
      </c>
      <c r="U375" s="544">
        <f>$O375*T375</f>
        <v>222949.48139238299</v>
      </c>
      <c r="V375" s="296">
        <f>W375/O375</f>
        <v>91860.384000000005</v>
      </c>
      <c r="W375" s="307">
        <f>AVERAGEIF($P$3:$U$3,W$3,$P375:$U375)</f>
        <v>204931.04479608499</v>
      </c>
      <c r="X375" s="545"/>
      <c r="Y375" s="296">
        <f t="shared" si="62"/>
        <v>500.74952003999994</v>
      </c>
      <c r="Z375" s="295"/>
    </row>
    <row r="376" spans="2:29" x14ac:dyDescent="0.35">
      <c r="B376" s="685" t="s">
        <v>534</v>
      </c>
      <c r="C376" s="686"/>
      <c r="D376" s="686"/>
      <c r="E376" s="687"/>
      <c r="F376" s="688"/>
      <c r="G376" s="689"/>
      <c r="H376" s="690"/>
      <c r="I376" s="691"/>
      <c r="J376" s="689"/>
      <c r="K376" s="692"/>
      <c r="L376" s="693"/>
      <c r="M376" s="694"/>
      <c r="N376" s="695"/>
      <c r="O376" s="690"/>
      <c r="P376" s="696"/>
      <c r="Q376" s="696"/>
      <c r="R376" s="696"/>
      <c r="S376" s="697">
        <f>SUM(S371:S375)</f>
        <v>276406632.612432</v>
      </c>
      <c r="T376" s="684"/>
      <c r="U376" s="684"/>
      <c r="V376" s="684"/>
      <c r="W376" s="684"/>
      <c r="X376" s="690"/>
      <c r="Y376" s="698">
        <f t="shared" si="62"/>
        <v>689637.3069172455</v>
      </c>
      <c r="Z376" s="699">
        <f>(Y376/$Y$410)*100</f>
        <v>4.7925537477890963</v>
      </c>
    </row>
    <row r="377" spans="2:29" x14ac:dyDescent="0.35">
      <c r="B377" s="539"/>
      <c r="C377" s="540" t="s">
        <v>535</v>
      </c>
      <c r="D377" s="540"/>
      <c r="E377" s="541"/>
      <c r="F377" s="295" t="s">
        <v>189</v>
      </c>
      <c r="G377" s="364" t="s">
        <v>190</v>
      </c>
      <c r="H377" s="365"/>
      <c r="I377" s="366"/>
      <c r="J377" s="364"/>
      <c r="K377" s="308"/>
      <c r="L377" s="662"/>
      <c r="M377" s="542"/>
      <c r="N377" s="296"/>
      <c r="O377" s="365"/>
      <c r="P377" s="543"/>
      <c r="Q377" s="543"/>
      <c r="R377" s="543"/>
      <c r="S377" s="543"/>
      <c r="T377" s="544"/>
      <c r="U377" s="544"/>
      <c r="V377" s="544"/>
      <c r="W377" s="544"/>
      <c r="X377" s="545"/>
      <c r="Y377" s="296">
        <f t="shared" si="62"/>
        <v>0</v>
      </c>
      <c r="Z377" s="295"/>
      <c r="AC377">
        <f>100/3</f>
        <v>33.333333333333336</v>
      </c>
    </row>
    <row r="378" spans="2:29" hidden="1" x14ac:dyDescent="0.35">
      <c r="B378" s="549"/>
      <c r="C378" s="550"/>
      <c r="D378" s="550"/>
      <c r="E378" s="551"/>
      <c r="F378" s="295"/>
      <c r="G378" s="364"/>
      <c r="H378" s="365"/>
      <c r="I378" s="366"/>
      <c r="J378" s="364"/>
      <c r="K378" s="308"/>
      <c r="L378" s="662"/>
      <c r="M378" s="542"/>
      <c r="N378" s="296"/>
      <c r="O378" s="365"/>
      <c r="P378" s="543"/>
      <c r="Q378" s="543"/>
      <c r="R378" s="543"/>
      <c r="S378" s="543"/>
      <c r="T378" s="544"/>
      <c r="U378" s="544"/>
      <c r="V378" s="544"/>
      <c r="W378" s="544"/>
      <c r="X378" s="545"/>
      <c r="Y378" s="296">
        <f t="shared" si="62"/>
        <v>0</v>
      </c>
      <c r="Z378" s="295"/>
    </row>
    <row r="379" spans="2:29" x14ac:dyDescent="0.35">
      <c r="B379" s="546"/>
      <c r="C379" t="s">
        <v>352</v>
      </c>
      <c r="E379" s="547"/>
      <c r="F379" s="295" t="s">
        <v>189</v>
      </c>
      <c r="G379" s="364" t="s">
        <v>190</v>
      </c>
      <c r="H379" s="365"/>
      <c r="I379" s="366"/>
      <c r="J379" s="364"/>
      <c r="K379" s="308"/>
      <c r="L379" s="662"/>
      <c r="M379" s="542"/>
      <c r="N379" s="296"/>
      <c r="O379" s="365"/>
      <c r="P379" s="543"/>
      <c r="Q379" s="543"/>
      <c r="R379" s="543"/>
      <c r="S379" s="543"/>
      <c r="T379" s="544"/>
      <c r="U379" s="544"/>
      <c r="V379" s="544"/>
      <c r="W379" s="544"/>
      <c r="X379" s="545"/>
      <c r="Y379" s="296">
        <f t="shared" si="62"/>
        <v>0</v>
      </c>
      <c r="Z379" s="295"/>
    </row>
    <row r="380" spans="2:29" hidden="1" x14ac:dyDescent="0.35">
      <c r="B380" s="546"/>
      <c r="E380" s="547"/>
      <c r="F380" s="295"/>
      <c r="G380" s="364"/>
      <c r="H380" s="365"/>
      <c r="I380" s="366"/>
      <c r="J380" s="364"/>
      <c r="K380" s="308"/>
      <c r="L380" s="662"/>
      <c r="M380" s="542"/>
      <c r="N380" s="296"/>
      <c r="O380" s="365"/>
      <c r="P380" s="543"/>
      <c r="Q380" s="543"/>
      <c r="R380" s="543"/>
      <c r="S380" s="543"/>
      <c r="T380" s="544"/>
      <c r="U380" s="544"/>
      <c r="V380" s="544"/>
      <c r="W380" s="544"/>
      <c r="X380" s="545"/>
      <c r="Y380" s="296">
        <f t="shared" si="62"/>
        <v>0</v>
      </c>
      <c r="Z380" s="295"/>
    </row>
    <row r="381" spans="2:29" hidden="1" x14ac:dyDescent="0.35">
      <c r="B381" s="549"/>
      <c r="C381" s="550"/>
      <c r="D381" s="550"/>
      <c r="E381" s="551"/>
      <c r="F381" s="295"/>
      <c r="G381" s="364"/>
      <c r="H381" s="365"/>
      <c r="I381" s="366"/>
      <c r="J381" s="364"/>
      <c r="K381" s="308"/>
      <c r="L381" s="662"/>
      <c r="M381" s="542"/>
      <c r="N381" s="296"/>
      <c r="O381" s="365"/>
      <c r="P381" s="543"/>
      <c r="Q381" s="543"/>
      <c r="R381" s="543"/>
      <c r="S381" s="543"/>
      <c r="T381" s="544"/>
      <c r="U381" s="544"/>
      <c r="V381" s="544"/>
      <c r="W381" s="544"/>
      <c r="X381" s="545"/>
      <c r="Y381" s="296">
        <f t="shared" si="62"/>
        <v>0</v>
      </c>
      <c r="Z381" s="295"/>
    </row>
    <row r="382" spans="2:29" x14ac:dyDescent="0.35">
      <c r="B382" s="546"/>
      <c r="C382" t="s">
        <v>159</v>
      </c>
      <c r="E382" s="547"/>
      <c r="F382" s="295" t="s">
        <v>357</v>
      </c>
      <c r="G382" s="364" t="s">
        <v>190</v>
      </c>
      <c r="H382" s="365"/>
      <c r="I382" s="366"/>
      <c r="J382" s="364" t="s">
        <v>356</v>
      </c>
      <c r="K382" s="548">
        <v>1</v>
      </c>
      <c r="L382" s="662">
        <f>(O359+O349+O369+O189)/1000</f>
        <v>274.82254799999993</v>
      </c>
      <c r="M382" s="776">
        <v>1</v>
      </c>
      <c r="N382" s="437">
        <v>1</v>
      </c>
      <c r="O382" s="590">
        <f>K382*L382*M382*N382</f>
        <v>274.82254799999993</v>
      </c>
      <c r="P382" s="299">
        <f>VLOOKUP($F382,'[1]Master Harga'!$E$5:$L$351,5,FALSE)</f>
        <v>19500</v>
      </c>
      <c r="Q382" s="543">
        <f>P382*$O382</f>
        <v>5359039.6859999988</v>
      </c>
      <c r="R382" s="299">
        <f>VLOOKUP($F382,'[1]Master Harga'!$E$5:$L$351,6,FALSE)</f>
        <v>20475</v>
      </c>
      <c r="S382" s="543">
        <f>R382*$O382</f>
        <v>5626991.6702999985</v>
      </c>
      <c r="T382" s="296">
        <f>VLOOKUP($F382,'[2]Master Harga'!$E$5:$L$348,7,FALSE)</f>
        <v>22744.800000000003</v>
      </c>
      <c r="U382" s="544">
        <f>$O382*T382</f>
        <v>6250783.8897503987</v>
      </c>
      <c r="V382" s="296">
        <f>W382/O382</f>
        <v>20906.600000000002</v>
      </c>
      <c r="W382" s="307">
        <f>AVERAGEIF($P$3:$U$3,W$3,$P382:$U382)</f>
        <v>5745605.0820167987</v>
      </c>
      <c r="X382" s="545"/>
      <c r="Y382" s="296">
        <f t="shared" si="62"/>
        <v>14039.400374999996</v>
      </c>
      <c r="Z382" s="295"/>
    </row>
    <row r="383" spans="2:29" x14ac:dyDescent="0.35">
      <c r="B383" s="546"/>
      <c r="E383" s="547"/>
      <c r="F383" s="295" t="s">
        <v>354</v>
      </c>
      <c r="G383" s="364" t="s">
        <v>203</v>
      </c>
      <c r="H383" s="365"/>
      <c r="I383" s="366"/>
      <c r="J383" s="364"/>
      <c r="K383" s="548"/>
      <c r="L383" s="662"/>
      <c r="M383" s="776"/>
      <c r="N383" s="437"/>
      <c r="O383" s="590"/>
      <c r="P383" s="296"/>
      <c r="Q383" s="543"/>
      <c r="R383" s="296"/>
      <c r="S383" s="543"/>
      <c r="T383" s="296"/>
      <c r="U383" s="544"/>
      <c r="V383" s="296"/>
      <c r="W383" s="307"/>
      <c r="X383" s="545"/>
      <c r="Y383" s="296">
        <f t="shared" si="62"/>
        <v>0</v>
      </c>
      <c r="Z383" s="295"/>
    </row>
    <row r="384" spans="2:29" x14ac:dyDescent="0.35">
      <c r="B384" s="549"/>
      <c r="C384" s="550"/>
      <c r="D384" s="550"/>
      <c r="E384" s="551"/>
      <c r="F384" s="295" t="s">
        <v>359</v>
      </c>
      <c r="G384" s="308" t="s">
        <v>356</v>
      </c>
      <c r="H384" s="365"/>
      <c r="I384" s="366"/>
      <c r="J384" s="364" t="s">
        <v>356</v>
      </c>
      <c r="K384" s="548">
        <v>1</v>
      </c>
      <c r="L384" s="662">
        <f>L382</f>
        <v>274.82254799999993</v>
      </c>
      <c r="M384" s="818">
        <v>1</v>
      </c>
      <c r="N384" s="589">
        <v>1</v>
      </c>
      <c r="O384" s="590">
        <f>K384*L384*M384*N384</f>
        <v>274.82254799999993</v>
      </c>
      <c r="P384" s="299">
        <f>VLOOKUP($F384,'[1]Master Harga'!$E$5:$L$351,5,FALSE)</f>
        <v>59500</v>
      </c>
      <c r="Q384" s="543">
        <f>P384*$O384</f>
        <v>16351941.605999995</v>
      </c>
      <c r="R384" s="299">
        <f>VLOOKUP($F384,'[1]Master Harga'!$E$5:$L$351,6,FALSE)</f>
        <v>62200</v>
      </c>
      <c r="S384" s="543">
        <f>R384*$O384</f>
        <v>17093962.485599995</v>
      </c>
      <c r="T384" s="296">
        <f>VLOOKUP($F384,'[2]Master Harga'!$E$5:$L$348,7,FALSE)</f>
        <v>53647.360000000001</v>
      </c>
      <c r="U384" s="544">
        <f>$O384*T384</f>
        <v>14743504.168673277</v>
      </c>
      <c r="V384" s="296">
        <f>W384/O384</f>
        <v>58449.119999999995</v>
      </c>
      <c r="W384" s="307">
        <f>AVERAGEIF($P$3:$U$3,W$3,$P384:$U384)</f>
        <v>16063136.086757755</v>
      </c>
      <c r="X384" s="545"/>
      <c r="Y384" s="296">
        <f t="shared" si="62"/>
        <v>42649.606999999989</v>
      </c>
      <c r="Z384" s="295"/>
    </row>
    <row r="385" spans="2:26" x14ac:dyDescent="0.35">
      <c r="B385" s="546"/>
      <c r="C385" t="s">
        <v>161</v>
      </c>
      <c r="E385" s="547"/>
      <c r="F385" s="295" t="s">
        <v>360</v>
      </c>
      <c r="G385" s="364" t="s">
        <v>190</v>
      </c>
      <c r="H385" s="365"/>
      <c r="I385" s="366"/>
      <c r="J385" s="364" t="s">
        <v>356</v>
      </c>
      <c r="K385" s="548">
        <v>1</v>
      </c>
      <c r="L385" s="662">
        <f>L382</f>
        <v>274.82254799999993</v>
      </c>
      <c r="M385" s="776">
        <v>1</v>
      </c>
      <c r="N385" s="437">
        <v>1</v>
      </c>
      <c r="O385" s="590">
        <f>K385*L385*M385*N385</f>
        <v>274.82254799999993</v>
      </c>
      <c r="P385" s="299">
        <f>VLOOKUP($F385,'[1]Master Harga'!$E$5:$L$351,5,FALSE)</f>
        <v>32000</v>
      </c>
      <c r="Q385" s="543">
        <f>P385*$O385</f>
        <v>8794321.5359999985</v>
      </c>
      <c r="R385" s="299">
        <f>VLOOKUP($F385,'[1]Master Harga'!$E$5:$L$351,6,FALSE)</f>
        <v>33600</v>
      </c>
      <c r="S385" s="543">
        <f>R385*$O385</f>
        <v>9234037.6127999984</v>
      </c>
      <c r="T385" s="296">
        <f>VLOOKUP($F385,'[2]Master Harga'!$E$5:$L$348,7,FALSE)</f>
        <v>37324.800000000003</v>
      </c>
      <c r="U385" s="544">
        <f>$O385*T385</f>
        <v>10257696.639590397</v>
      </c>
      <c r="V385" s="296">
        <f>W385/O385</f>
        <v>34308.26666666667</v>
      </c>
      <c r="W385" s="307">
        <f>AVERAGEIF($P$3:$U$3,W$3,$P385:$U385)</f>
        <v>9428685.2627967987</v>
      </c>
      <c r="X385" s="545"/>
      <c r="Y385" s="296">
        <f t="shared" si="62"/>
        <v>23039.015999999996</v>
      </c>
      <c r="Z385" s="295"/>
    </row>
    <row r="386" spans="2:26" x14ac:dyDescent="0.35">
      <c r="B386" s="546"/>
      <c r="E386" s="547"/>
      <c r="F386" s="295" t="s">
        <v>411</v>
      </c>
      <c r="G386" s="364" t="s">
        <v>356</v>
      </c>
      <c r="H386" s="365"/>
      <c r="I386" s="366"/>
      <c r="J386" s="364" t="s">
        <v>356</v>
      </c>
      <c r="K386" s="548">
        <v>1</v>
      </c>
      <c r="L386" s="662">
        <f>L385</f>
        <v>274.82254799999993</v>
      </c>
      <c r="M386" s="818">
        <v>1</v>
      </c>
      <c r="N386" s="508">
        <v>1</v>
      </c>
      <c r="O386" s="590">
        <f>K386*L386*M386*N386</f>
        <v>274.82254799999993</v>
      </c>
      <c r="P386" s="296">
        <f>VLOOKUP($F386,'[2]Master Harga'!$E$5:$L$348,5,FALSE)</f>
        <v>0</v>
      </c>
      <c r="Q386" s="543">
        <f>P386*$O386</f>
        <v>0</v>
      </c>
      <c r="R386" s="296">
        <f>VLOOKUP($F386,'[2]Master Harga'!$E$5:$L$348,6,FALSE)</f>
        <v>0</v>
      </c>
      <c r="S386" s="543">
        <f>R386*$O386</f>
        <v>0</v>
      </c>
      <c r="T386" s="296">
        <f>VLOOKUP($F386,'[2]Master Harga'!$E$5:$L$348,7,FALSE)</f>
        <v>0</v>
      </c>
      <c r="U386" s="544">
        <f>$O386*T386</f>
        <v>0</v>
      </c>
      <c r="V386" s="788"/>
      <c r="W386" s="788"/>
      <c r="X386" s="545"/>
      <c r="Y386" s="296">
        <f t="shared" si="62"/>
        <v>0</v>
      </c>
      <c r="Z386" s="295"/>
    </row>
    <row r="387" spans="2:26" x14ac:dyDescent="0.35">
      <c r="B387" s="685" t="s">
        <v>536</v>
      </c>
      <c r="C387" s="686"/>
      <c r="D387" s="686"/>
      <c r="E387" s="687"/>
      <c r="F387" s="688"/>
      <c r="G387" s="689"/>
      <c r="H387" s="690"/>
      <c r="I387" s="691"/>
      <c r="J387" s="689"/>
      <c r="K387" s="692"/>
      <c r="L387" s="693"/>
      <c r="M387" s="694"/>
      <c r="N387" s="695"/>
      <c r="O387" s="690"/>
      <c r="P387" s="696"/>
      <c r="Q387" s="696"/>
      <c r="R387" s="696"/>
      <c r="S387" s="697">
        <f>SUM(S382:S386)</f>
        <v>31954991.768699992</v>
      </c>
      <c r="T387" s="684"/>
      <c r="U387" s="684"/>
      <c r="V387" s="684"/>
      <c r="W387" s="684"/>
      <c r="X387" s="690"/>
      <c r="Y387" s="698">
        <f t="shared" si="62"/>
        <v>79728.023374999975</v>
      </c>
      <c r="Z387" s="699">
        <f>(Y387/$Y$410)*100</f>
        <v>0.55406056690538608</v>
      </c>
    </row>
    <row r="388" spans="2:26" x14ac:dyDescent="0.35">
      <c r="B388" s="753" t="s">
        <v>537</v>
      </c>
      <c r="C388" s="754"/>
      <c r="D388" s="754"/>
      <c r="E388" s="755"/>
      <c r="F388" s="668"/>
      <c r="G388" s="669"/>
      <c r="H388" s="670"/>
      <c r="I388" s="671"/>
      <c r="J388" s="669"/>
      <c r="K388" s="672"/>
      <c r="L388" s="673"/>
      <c r="M388" s="674"/>
      <c r="N388" s="675"/>
      <c r="O388" s="670"/>
      <c r="P388" s="676"/>
      <c r="Q388" s="676"/>
      <c r="R388" s="676"/>
      <c r="S388" s="756">
        <f>S350+S360+S370+S376+S387</f>
        <v>1852672711.2603717</v>
      </c>
      <c r="T388" s="677"/>
      <c r="U388" s="677"/>
      <c r="V388" s="677"/>
      <c r="W388" s="677"/>
      <c r="X388" s="670"/>
      <c r="Y388" s="757">
        <f t="shared" si="62"/>
        <v>4622436.9043422444</v>
      </c>
      <c r="Z388" s="758">
        <f>(Y388/$Y$410)*100</f>
        <v>32.123084246778397</v>
      </c>
    </row>
    <row r="389" spans="2:26" x14ac:dyDescent="0.35">
      <c r="B389" s="678" t="s">
        <v>346</v>
      </c>
      <c r="C389" s="366"/>
      <c r="D389" s="366"/>
      <c r="E389" s="553"/>
      <c r="F389" s="295"/>
      <c r="G389" s="364"/>
      <c r="H389" s="365"/>
      <c r="I389" s="366"/>
      <c r="J389" s="364"/>
      <c r="K389" s="308"/>
      <c r="L389" s="662"/>
      <c r="M389" s="542"/>
      <c r="N389" s="296"/>
      <c r="O389" s="365"/>
      <c r="P389" s="543"/>
      <c r="Q389" s="543"/>
      <c r="R389" s="543"/>
      <c r="S389" s="543"/>
      <c r="T389" s="544"/>
      <c r="U389" s="544"/>
      <c r="V389" s="544"/>
      <c r="W389" s="544"/>
      <c r="X389" s="545"/>
      <c r="Y389" s="296">
        <f t="shared" si="62"/>
        <v>0</v>
      </c>
      <c r="Z389" s="295"/>
    </row>
    <row r="390" spans="2:26" x14ac:dyDescent="0.35">
      <c r="B390" s="546"/>
      <c r="C390" t="s">
        <v>521</v>
      </c>
      <c r="E390" s="547"/>
      <c r="F390" s="295" t="s">
        <v>189</v>
      </c>
      <c r="G390" s="364" t="s">
        <v>190</v>
      </c>
      <c r="H390" s="365"/>
      <c r="I390" s="366"/>
      <c r="J390" s="364"/>
      <c r="K390" s="308">
        <v>100</v>
      </c>
      <c r="L390" s="662"/>
      <c r="M390" s="542">
        <v>1</v>
      </c>
      <c r="N390" s="296">
        <v>1</v>
      </c>
      <c r="O390" s="365"/>
      <c r="P390" s="543"/>
      <c r="Q390" s="543"/>
      <c r="R390" s="543"/>
      <c r="S390" s="543"/>
      <c r="T390" s="544"/>
      <c r="U390" s="544"/>
      <c r="V390" s="544"/>
      <c r="W390" s="544"/>
      <c r="X390" s="545"/>
      <c r="Y390" s="296">
        <f t="shared" ref="Y390:Y410" si="74">S390/$AC$1</f>
        <v>0</v>
      </c>
      <c r="Z390" s="295"/>
    </row>
    <row r="391" spans="2:26" hidden="1" x14ac:dyDescent="0.35">
      <c r="B391" s="546"/>
      <c r="E391" s="547"/>
      <c r="F391" s="295" t="s">
        <v>398</v>
      </c>
      <c r="G391" s="364" t="s">
        <v>192</v>
      </c>
      <c r="H391" s="365"/>
      <c r="I391" s="366"/>
      <c r="J391" s="364"/>
      <c r="K391" s="308">
        <v>100</v>
      </c>
      <c r="L391" s="662"/>
      <c r="M391" s="542">
        <v>25</v>
      </c>
      <c r="N391" s="296">
        <v>1</v>
      </c>
      <c r="O391" s="365"/>
      <c r="P391" s="543"/>
      <c r="Q391" s="543"/>
      <c r="R391" s="543"/>
      <c r="S391" s="543"/>
      <c r="T391" s="544"/>
      <c r="U391" s="544"/>
      <c r="V391" s="544"/>
      <c r="W391" s="544"/>
      <c r="X391" s="545"/>
      <c r="Y391" s="296">
        <f t="shared" si="74"/>
        <v>0</v>
      </c>
      <c r="Z391" s="295"/>
    </row>
    <row r="392" spans="2:26" hidden="1" x14ac:dyDescent="0.35">
      <c r="B392" s="549"/>
      <c r="C392" s="550"/>
      <c r="D392" s="550"/>
      <c r="E392" s="551"/>
      <c r="F392" s="295"/>
      <c r="G392" s="364"/>
      <c r="H392" s="365"/>
      <c r="I392" s="366"/>
      <c r="J392" s="364"/>
      <c r="K392" s="308"/>
      <c r="L392" s="662"/>
      <c r="M392" s="542"/>
      <c r="N392" s="296"/>
      <c r="O392" s="365"/>
      <c r="P392" s="543"/>
      <c r="Q392" s="543"/>
      <c r="R392" s="543"/>
      <c r="S392" s="543"/>
      <c r="T392" s="544"/>
      <c r="U392" s="544"/>
      <c r="V392" s="544"/>
      <c r="W392" s="544"/>
      <c r="X392" s="545"/>
      <c r="Y392" s="296">
        <f t="shared" si="74"/>
        <v>0</v>
      </c>
      <c r="Z392" s="295"/>
    </row>
    <row r="393" spans="2:26" x14ac:dyDescent="0.35">
      <c r="B393" s="546"/>
      <c r="C393" t="s">
        <v>352</v>
      </c>
      <c r="E393" s="547"/>
      <c r="F393" s="295" t="s">
        <v>189</v>
      </c>
      <c r="G393" s="364" t="s">
        <v>190</v>
      </c>
      <c r="H393" s="365"/>
      <c r="I393" s="366"/>
      <c r="J393" s="364"/>
      <c r="K393" s="308"/>
      <c r="L393" s="662"/>
      <c r="M393" s="542"/>
      <c r="N393" s="296"/>
      <c r="O393" s="365"/>
      <c r="P393" s="543"/>
      <c r="Q393" s="543"/>
      <c r="R393" s="543"/>
      <c r="S393" s="543"/>
      <c r="T393" s="544"/>
      <c r="U393" s="544"/>
      <c r="V393" s="544"/>
      <c r="W393" s="544"/>
      <c r="X393" s="545"/>
      <c r="Y393" s="296">
        <f t="shared" si="74"/>
        <v>0</v>
      </c>
      <c r="Z393" s="295"/>
    </row>
    <row r="394" spans="2:26" hidden="1" x14ac:dyDescent="0.35">
      <c r="B394" s="546"/>
      <c r="E394" s="547"/>
      <c r="F394" s="295"/>
      <c r="G394" s="364"/>
      <c r="H394" s="365"/>
      <c r="I394" s="366"/>
      <c r="J394" s="364"/>
      <c r="K394" s="308"/>
      <c r="L394" s="662"/>
      <c r="M394" s="542"/>
      <c r="N394" s="296"/>
      <c r="O394" s="365"/>
      <c r="P394" s="543"/>
      <c r="Q394" s="543"/>
      <c r="R394" s="543"/>
      <c r="S394" s="543"/>
      <c r="T394" s="544"/>
      <c r="U394" s="544"/>
      <c r="V394" s="544"/>
      <c r="W394" s="544"/>
      <c r="X394" s="545"/>
      <c r="Y394" s="296">
        <f t="shared" si="74"/>
        <v>0</v>
      </c>
      <c r="Z394" s="295"/>
    </row>
    <row r="395" spans="2:26" hidden="1" x14ac:dyDescent="0.35">
      <c r="B395" s="549"/>
      <c r="C395" s="550"/>
      <c r="D395" s="550"/>
      <c r="E395" s="551"/>
      <c r="F395" s="295"/>
      <c r="G395" s="364"/>
      <c r="H395" s="365"/>
      <c r="I395" s="366"/>
      <c r="J395" s="364"/>
      <c r="K395" s="308"/>
      <c r="L395" s="662"/>
      <c r="M395" s="542"/>
      <c r="N395" s="296"/>
      <c r="O395" s="365"/>
      <c r="P395" s="543"/>
      <c r="Q395" s="543"/>
      <c r="R395" s="543"/>
      <c r="S395" s="543"/>
      <c r="T395" s="544"/>
      <c r="U395" s="544"/>
      <c r="V395" s="544"/>
      <c r="W395" s="544"/>
      <c r="X395" s="545"/>
      <c r="Y395" s="296">
        <f t="shared" si="74"/>
        <v>0</v>
      </c>
      <c r="Z395" s="295"/>
    </row>
    <row r="396" spans="2:26" x14ac:dyDescent="0.35">
      <c r="B396" s="546"/>
      <c r="C396" t="s">
        <v>159</v>
      </c>
      <c r="E396" s="547"/>
      <c r="F396" s="295" t="s">
        <v>357</v>
      </c>
      <c r="G396" s="308" t="s">
        <v>356</v>
      </c>
      <c r="H396" s="365"/>
      <c r="I396" s="366"/>
      <c r="J396" s="364"/>
      <c r="K396" s="308">
        <v>100</v>
      </c>
      <c r="L396" s="662"/>
      <c r="M396" s="804">
        <v>1</v>
      </c>
      <c r="N396" s="589">
        <v>1</v>
      </c>
      <c r="O396" s="793"/>
      <c r="P396" s="589"/>
      <c r="Q396" s="589"/>
      <c r="R396" s="589"/>
      <c r="S396" s="589"/>
      <c r="T396" s="819"/>
      <c r="U396" s="819"/>
      <c r="V396" s="819"/>
      <c r="W396" s="819"/>
      <c r="X396" s="545"/>
      <c r="Y396" s="296">
        <f t="shared" si="74"/>
        <v>0</v>
      </c>
      <c r="Z396" s="295"/>
    </row>
    <row r="397" spans="2:26" hidden="1" x14ac:dyDescent="0.35">
      <c r="B397" s="546"/>
      <c r="E397" s="547"/>
      <c r="F397" s="295" t="s">
        <v>354</v>
      </c>
      <c r="G397" s="308" t="s">
        <v>203</v>
      </c>
      <c r="H397" s="365"/>
      <c r="I397" s="366"/>
      <c r="J397" s="364"/>
      <c r="K397" s="308">
        <v>100</v>
      </c>
      <c r="L397" s="662"/>
      <c r="M397" s="804">
        <f>2/4</f>
        <v>0.5</v>
      </c>
      <c r="N397" s="589">
        <v>1</v>
      </c>
      <c r="O397" s="793"/>
      <c r="P397" s="589"/>
      <c r="Q397" s="589"/>
      <c r="R397" s="589"/>
      <c r="S397" s="589"/>
      <c r="T397" s="819"/>
      <c r="U397" s="819"/>
      <c r="V397" s="819"/>
      <c r="W397" s="819"/>
      <c r="X397" s="545"/>
      <c r="Y397" s="296">
        <f t="shared" si="74"/>
        <v>0</v>
      </c>
      <c r="Z397" s="295"/>
    </row>
    <row r="398" spans="2:26" hidden="1" x14ac:dyDescent="0.35">
      <c r="B398" s="549"/>
      <c r="C398" s="550"/>
      <c r="D398" s="550"/>
      <c r="E398" s="551"/>
      <c r="F398" s="295" t="s">
        <v>359</v>
      </c>
      <c r="G398" s="308" t="s">
        <v>356</v>
      </c>
      <c r="H398" s="365"/>
      <c r="I398" s="366"/>
      <c r="J398" s="364"/>
      <c r="K398" s="308">
        <v>100</v>
      </c>
      <c r="L398" s="662"/>
      <c r="M398" s="804">
        <v>1</v>
      </c>
      <c r="N398" s="589">
        <v>1</v>
      </c>
      <c r="O398" s="793"/>
      <c r="P398" s="589"/>
      <c r="Q398" s="589"/>
      <c r="R398" s="589"/>
      <c r="S398" s="589"/>
      <c r="T398" s="819"/>
      <c r="U398" s="819"/>
      <c r="V398" s="819"/>
      <c r="W398" s="819"/>
      <c r="X398" s="545"/>
      <c r="Y398" s="296">
        <f t="shared" si="74"/>
        <v>0</v>
      </c>
      <c r="Z398" s="295"/>
    </row>
    <row r="399" spans="2:26" x14ac:dyDescent="0.35">
      <c r="B399" s="546"/>
      <c r="C399" t="s">
        <v>161</v>
      </c>
      <c r="E399" s="547"/>
      <c r="F399" s="295" t="s">
        <v>360</v>
      </c>
      <c r="G399" s="308" t="s">
        <v>356</v>
      </c>
      <c r="H399" s="365"/>
      <c r="I399" s="366"/>
      <c r="J399" s="364"/>
      <c r="K399" s="308">
        <v>100</v>
      </c>
      <c r="L399" s="662"/>
      <c r="M399" s="804">
        <v>1</v>
      </c>
      <c r="N399" s="508">
        <v>1</v>
      </c>
      <c r="O399" s="571"/>
      <c r="P399" s="508"/>
      <c r="Q399" s="508"/>
      <c r="R399" s="508"/>
      <c r="S399" s="508"/>
      <c r="T399" s="820"/>
      <c r="U399" s="820"/>
      <c r="V399" s="820"/>
      <c r="W399" s="820"/>
      <c r="X399" s="545"/>
      <c r="Y399" s="296">
        <f t="shared" si="74"/>
        <v>0</v>
      </c>
      <c r="Z399" s="295"/>
    </row>
    <row r="400" spans="2:26" hidden="1" x14ac:dyDescent="0.35">
      <c r="B400" s="546"/>
      <c r="E400" s="547"/>
      <c r="F400" s="295" t="s">
        <v>359</v>
      </c>
      <c r="G400" s="308" t="s">
        <v>356</v>
      </c>
      <c r="H400" s="365"/>
      <c r="I400" s="366"/>
      <c r="J400" s="364"/>
      <c r="K400" s="308">
        <v>100</v>
      </c>
      <c r="L400" s="662"/>
      <c r="M400" s="804">
        <v>1</v>
      </c>
      <c r="N400" s="508">
        <v>1</v>
      </c>
      <c r="O400" s="786"/>
      <c r="P400" s="787"/>
      <c r="Q400" s="787"/>
      <c r="R400" s="787"/>
      <c r="S400" s="787"/>
      <c r="T400" s="788"/>
      <c r="U400" s="788"/>
      <c r="V400" s="788"/>
      <c r="W400" s="788"/>
      <c r="X400" s="545"/>
      <c r="Y400" s="296">
        <f t="shared" si="74"/>
        <v>0</v>
      </c>
      <c r="Z400" s="295"/>
    </row>
    <row r="401" spans="2:26" hidden="1" x14ac:dyDescent="0.35">
      <c r="B401" s="549"/>
      <c r="C401" s="550"/>
      <c r="D401" s="550"/>
      <c r="E401" s="551"/>
      <c r="F401" s="295"/>
      <c r="G401" s="364"/>
      <c r="H401" s="365"/>
      <c r="I401" s="366"/>
      <c r="J401" s="364"/>
      <c r="K401" s="308"/>
      <c r="L401" s="662"/>
      <c r="M401" s="542"/>
      <c r="N401" s="296"/>
      <c r="O401" s="365"/>
      <c r="P401" s="543"/>
      <c r="Q401" s="543"/>
      <c r="R401" s="543"/>
      <c r="S401" s="543"/>
      <c r="T401" s="544"/>
      <c r="U401" s="544"/>
      <c r="V401" s="544"/>
      <c r="W401" s="544"/>
      <c r="X401" s="545"/>
      <c r="Y401" s="296">
        <f t="shared" si="74"/>
        <v>0</v>
      </c>
      <c r="Z401" s="295"/>
    </row>
    <row r="402" spans="2:26" x14ac:dyDescent="0.35">
      <c r="B402" s="678" t="s">
        <v>414</v>
      </c>
      <c r="C402" s="366"/>
      <c r="D402" s="366"/>
      <c r="E402" s="553"/>
      <c r="F402" s="295"/>
      <c r="G402" s="364"/>
      <c r="H402" s="365"/>
      <c r="I402" s="366"/>
      <c r="J402" s="364"/>
      <c r="K402" s="308"/>
      <c r="L402" s="662"/>
      <c r="M402" s="542"/>
      <c r="N402" s="296"/>
      <c r="O402" s="365"/>
      <c r="P402" s="543"/>
      <c r="Q402" s="543"/>
      <c r="R402" s="543"/>
      <c r="S402" s="543"/>
      <c r="T402" s="544">
        <f>R402*1.1</f>
        <v>0</v>
      </c>
      <c r="U402" s="544">
        <f>O402*T402</f>
        <v>0</v>
      </c>
      <c r="V402" s="296"/>
      <c r="W402" s="296"/>
      <c r="X402" s="545"/>
      <c r="Y402" s="296">
        <f t="shared" si="74"/>
        <v>0</v>
      </c>
      <c r="Z402" s="295"/>
    </row>
    <row r="403" spans="2:26" x14ac:dyDescent="0.35">
      <c r="B403" s="546"/>
      <c r="C403" t="s">
        <v>164</v>
      </c>
      <c r="E403" s="547"/>
      <c r="F403" s="295" t="s">
        <v>189</v>
      </c>
      <c r="G403" s="364" t="s">
        <v>190</v>
      </c>
      <c r="H403" s="365"/>
      <c r="I403" s="366"/>
      <c r="J403" s="364" t="s">
        <v>170</v>
      </c>
      <c r="K403" s="548">
        <v>1</v>
      </c>
      <c r="L403" s="564">
        <f t="shared" ref="L403:L405" si="75">$L$38</f>
        <v>400.8</v>
      </c>
      <c r="M403" s="542">
        <f>(0.12/15)*25</f>
        <v>0.2</v>
      </c>
      <c r="N403" s="437">
        <v>12</v>
      </c>
      <c r="O403" s="401">
        <f>K403*L403*M403*N403</f>
        <v>961.92000000000007</v>
      </c>
      <c r="P403" s="299">
        <f>VLOOKUP($F403,'[1]Master Harga'!$E$5:$L$351,5,FALSE)</f>
        <v>140008</v>
      </c>
      <c r="Q403" s="543">
        <f>P403*$O403</f>
        <v>134676495.36000001</v>
      </c>
      <c r="R403" s="299">
        <f>VLOOKUP($F403,'[1]Master Harga'!$E$5:$L$351,6,FALSE)</f>
        <v>149108.51999999999</v>
      </c>
      <c r="S403" s="543">
        <f>R403*$O403</f>
        <v>143430467.55840001</v>
      </c>
      <c r="T403" s="296">
        <f>VLOOKUP($F403,'[2]Master Harga'!$E$5:$L$348,7,FALSE)</f>
        <v>163305.33120000002</v>
      </c>
      <c r="U403" s="544">
        <f>$O403*T403</f>
        <v>157086664.18790403</v>
      </c>
      <c r="V403" s="296">
        <f>W403/O403</f>
        <v>150807.28373333332</v>
      </c>
      <c r="W403" s="307">
        <f>AVERAGEIF($P$3:$U$3,W$3,$P403:$U403)</f>
        <v>145064542.36876801</v>
      </c>
      <c r="X403" s="545"/>
      <c r="Y403" s="296">
        <f t="shared" si="74"/>
        <v>357860.44799999997</v>
      </c>
      <c r="Z403" s="295"/>
    </row>
    <row r="404" spans="2:26" x14ac:dyDescent="0.35">
      <c r="B404" s="546"/>
      <c r="E404" s="547"/>
      <c r="F404" s="295" t="s">
        <v>415</v>
      </c>
      <c r="G404" s="364" t="s">
        <v>538</v>
      </c>
      <c r="H404" s="365"/>
      <c r="I404" s="366"/>
      <c r="J404" s="364" t="s">
        <v>170</v>
      </c>
      <c r="K404" s="548">
        <v>1</v>
      </c>
      <c r="L404" s="564">
        <f t="shared" si="75"/>
        <v>400.8</v>
      </c>
      <c r="M404" s="542">
        <v>1</v>
      </c>
      <c r="N404" s="437">
        <v>12</v>
      </c>
      <c r="O404" s="401">
        <f>K404*L404*M404*N404</f>
        <v>4809.6000000000004</v>
      </c>
      <c r="P404" s="299">
        <f>VLOOKUP($F404,'[1]Master Harga'!$E$5:$L$351,5,FALSE)</f>
        <v>2498.34</v>
      </c>
      <c r="Q404" s="543">
        <f>P404*$O404</f>
        <v>12016016.064000001</v>
      </c>
      <c r="R404" s="299">
        <f>VLOOKUP($F404,'[1]Master Harga'!$E$5:$L$351,6,FALSE)</f>
        <v>2623.2570000000001</v>
      </c>
      <c r="S404" s="543">
        <f>R404*$O404</f>
        <v>12616816.867200002</v>
      </c>
      <c r="T404" s="296">
        <f>VLOOKUP($F404,'[2]Master Harga'!$E$5:$L$348,7,FALSE)</f>
        <v>2754.4198500000002</v>
      </c>
      <c r="U404" s="544">
        <f>$O404*T404</f>
        <v>13247657.710560001</v>
      </c>
      <c r="V404" s="296">
        <f>W404/O404</f>
        <v>2625.3389500000003</v>
      </c>
      <c r="W404" s="307">
        <f>AVERAGEIF($P$3:$U$3,W$3,$P404:$U404)</f>
        <v>12626830.213920003</v>
      </c>
      <c r="X404" s="545"/>
      <c r="Y404" s="296">
        <f t="shared" si="74"/>
        <v>31479.084000000003</v>
      </c>
      <c r="Z404" s="295"/>
    </row>
    <row r="405" spans="2:26" x14ac:dyDescent="0.35">
      <c r="B405" s="546"/>
      <c r="E405" s="547"/>
      <c r="F405" s="295" t="s">
        <v>417</v>
      </c>
      <c r="G405" s="364" t="s">
        <v>538</v>
      </c>
      <c r="H405" s="365"/>
      <c r="I405" s="366"/>
      <c r="J405" s="364" t="s">
        <v>170</v>
      </c>
      <c r="K405" s="548">
        <v>1</v>
      </c>
      <c r="L405" s="564">
        <f t="shared" si="75"/>
        <v>400.8</v>
      </c>
      <c r="M405" s="542">
        <v>1</v>
      </c>
      <c r="N405" s="437">
        <v>12</v>
      </c>
      <c r="O405" s="401">
        <f>K405*L405*M405*N405</f>
        <v>4809.6000000000004</v>
      </c>
      <c r="P405" s="299">
        <f>VLOOKUP($F405,'[1]Master Harga'!$E$5:$L$351,5,FALSE)</f>
        <v>1213.03</v>
      </c>
      <c r="Q405" s="543">
        <f>P405*$O405</f>
        <v>5834189.0880000005</v>
      </c>
      <c r="R405" s="299">
        <f>VLOOKUP($F405,'[1]Master Harga'!$E$5:$L$351,6,FALSE)</f>
        <v>1273.6814999999999</v>
      </c>
      <c r="S405" s="543">
        <f>R405*$O405</f>
        <v>6125898.5423999997</v>
      </c>
      <c r="T405" s="296">
        <f>VLOOKUP($F405,'[2]Master Harga'!$E$5:$L$348,7,FALSE)</f>
        <v>1337.365575</v>
      </c>
      <c r="U405" s="544">
        <f>$O405*T405</f>
        <v>6432193.4695200007</v>
      </c>
      <c r="V405" s="296">
        <f>W405/O405</f>
        <v>1274.6923583333335</v>
      </c>
      <c r="W405" s="307">
        <f>AVERAGEIF($P$3:$U$3,W$3,$P405:$U405)</f>
        <v>6130760.3666400006</v>
      </c>
      <c r="X405" s="545"/>
      <c r="Y405" s="296">
        <f t="shared" si="74"/>
        <v>15284.177999999998</v>
      </c>
      <c r="Z405" s="295"/>
    </row>
    <row r="406" spans="2:26" x14ac:dyDescent="0.35">
      <c r="B406" s="549"/>
      <c r="C406" s="550"/>
      <c r="D406" s="550"/>
      <c r="E406" s="551"/>
      <c r="F406" s="295"/>
      <c r="G406" s="364"/>
      <c r="H406" s="365"/>
      <c r="I406" s="366"/>
      <c r="J406" s="364"/>
      <c r="K406" s="308"/>
      <c r="L406" s="662"/>
      <c r="M406" s="542"/>
      <c r="N406" s="437"/>
      <c r="O406" s="545"/>
      <c r="P406" s="683"/>
      <c r="Q406" s="683"/>
      <c r="R406" s="683"/>
      <c r="S406" s="683"/>
      <c r="T406" s="684"/>
      <c r="U406" s="684"/>
      <c r="V406" s="684"/>
      <c r="W406" s="307"/>
      <c r="X406" s="545"/>
      <c r="Y406" s="296">
        <f t="shared" si="74"/>
        <v>0</v>
      </c>
      <c r="Z406" s="295"/>
    </row>
    <row r="407" spans="2:26" x14ac:dyDescent="0.35">
      <c r="B407" s="546"/>
      <c r="C407" t="s">
        <v>165</v>
      </c>
      <c r="E407" s="547"/>
      <c r="F407" s="295" t="s">
        <v>189</v>
      </c>
      <c r="G407" s="364" t="s">
        <v>190</v>
      </c>
      <c r="H407" s="365"/>
      <c r="I407" s="366"/>
      <c r="J407" s="364" t="s">
        <v>170</v>
      </c>
      <c r="K407" s="548">
        <v>1</v>
      </c>
      <c r="L407" s="564">
        <f t="shared" ref="L407:L408" si="76">$L$38</f>
        <v>400.8</v>
      </c>
      <c r="M407" s="542">
        <f>(1/500)*25</f>
        <v>0.05</v>
      </c>
      <c r="N407" s="437">
        <v>12</v>
      </c>
      <c r="O407" s="401">
        <f>K407*L407*M407*N407</f>
        <v>240.48000000000002</v>
      </c>
      <c r="P407" s="299">
        <f>VLOOKUP($F407,'[1]Master Harga'!$E$5:$L$351,5,FALSE)</f>
        <v>140008</v>
      </c>
      <c r="Q407" s="543">
        <f>P407*$O407</f>
        <v>33669123.840000004</v>
      </c>
      <c r="R407" s="299">
        <f>VLOOKUP($F407,'[1]Master Harga'!$E$5:$L$351,6,FALSE)</f>
        <v>149108.51999999999</v>
      </c>
      <c r="S407" s="543">
        <f>R407*$O407</f>
        <v>35857616.889600001</v>
      </c>
      <c r="T407" s="296">
        <f>VLOOKUP($F407,'[2]Master Harga'!$E$5:$L$348,7,FALSE)</f>
        <v>163305.33120000002</v>
      </c>
      <c r="U407" s="544">
        <f>$O407*T407</f>
        <v>39271666.046976008</v>
      </c>
      <c r="V407" s="296">
        <f>W407/O407</f>
        <v>150807.28373333332</v>
      </c>
      <c r="W407" s="307">
        <f>AVERAGEIF($P$3:$U$3,W$3,$P407:$U407)</f>
        <v>36266135.592192002</v>
      </c>
      <c r="X407" s="545"/>
      <c r="Y407" s="296">
        <f t="shared" si="74"/>
        <v>89465.111999999994</v>
      </c>
      <c r="Z407" s="295"/>
    </row>
    <row r="408" spans="2:26" x14ac:dyDescent="0.35">
      <c r="B408" s="546"/>
      <c r="E408" s="547"/>
      <c r="F408" s="295" t="s">
        <v>419</v>
      </c>
      <c r="G408" s="364" t="s">
        <v>341</v>
      </c>
      <c r="H408" s="365"/>
      <c r="I408" s="366"/>
      <c r="J408" s="364" t="s">
        <v>170</v>
      </c>
      <c r="K408" s="548">
        <v>1</v>
      </c>
      <c r="L408" s="564">
        <f t="shared" si="76"/>
        <v>400.8</v>
      </c>
      <c r="M408" s="804">
        <v>0.08</v>
      </c>
      <c r="N408" s="437">
        <v>12</v>
      </c>
      <c r="O408" s="401">
        <f>K408*L408*M408*N408</f>
        <v>384.76800000000003</v>
      </c>
      <c r="P408" s="299">
        <f>VLOOKUP($F408,'[1]Master Harga'!$E$5:$L$351,5,FALSE)</f>
        <v>20000</v>
      </c>
      <c r="Q408" s="543">
        <f>P408*$O408</f>
        <v>7695360.0000000009</v>
      </c>
      <c r="R408" s="299">
        <f>VLOOKUP($F408,'[1]Master Harga'!$E$5:$L$351,6,FALSE)</f>
        <v>21000</v>
      </c>
      <c r="S408" s="543">
        <f>R408*$O408</f>
        <v>8080128.0000000009</v>
      </c>
      <c r="T408" s="296">
        <f>VLOOKUP($F408,'[2]Master Harga'!$E$5:$L$348,7,FALSE)</f>
        <v>23328</v>
      </c>
      <c r="U408" s="544">
        <f>$O408*T408</f>
        <v>8975867.904000001</v>
      </c>
      <c r="V408" s="296">
        <f>W408/O408</f>
        <v>21442.666666666668</v>
      </c>
      <c r="W408" s="307">
        <f>AVERAGEIF($P$3:$U$3,W$3,$P408:$U408)</f>
        <v>8250451.9680000013</v>
      </c>
      <c r="X408" s="545"/>
      <c r="Y408" s="296">
        <f t="shared" si="74"/>
        <v>20160</v>
      </c>
      <c r="Z408" s="295"/>
    </row>
    <row r="409" spans="2:26" x14ac:dyDescent="0.35">
      <c r="B409" s="753" t="s">
        <v>539</v>
      </c>
      <c r="C409" s="754"/>
      <c r="D409" s="754"/>
      <c r="E409" s="755"/>
      <c r="F409" s="668"/>
      <c r="G409" s="669"/>
      <c r="H409" s="670"/>
      <c r="I409" s="671"/>
      <c r="J409" s="669"/>
      <c r="K409" s="672"/>
      <c r="L409" s="673"/>
      <c r="M409" s="674"/>
      <c r="N409" s="675"/>
      <c r="O409" s="670"/>
      <c r="P409" s="676"/>
      <c r="Q409" s="676"/>
      <c r="R409" s="676"/>
      <c r="S409" s="756">
        <f>SUM(S403:S408)</f>
        <v>206110927.8576</v>
      </c>
      <c r="T409" s="677"/>
      <c r="U409" s="677"/>
      <c r="V409" s="677"/>
      <c r="W409" s="677"/>
      <c r="X409" s="670"/>
      <c r="Y409" s="757">
        <f t="shared" si="74"/>
        <v>514248.82199999999</v>
      </c>
      <c r="Z409" s="758">
        <f>(Y409/$Y$410)*100</f>
        <v>3.5737119997018492</v>
      </c>
    </row>
    <row r="410" spans="2:26" x14ac:dyDescent="0.35">
      <c r="B410" s="665" t="s">
        <v>540</v>
      </c>
      <c r="C410" s="666"/>
      <c r="D410" s="666"/>
      <c r="E410" s="821"/>
      <c r="F410" s="668"/>
      <c r="G410" s="669"/>
      <c r="H410" s="670"/>
      <c r="I410" s="671"/>
      <c r="J410" s="669"/>
      <c r="K410" s="672"/>
      <c r="L410" s="673"/>
      <c r="M410" s="674"/>
      <c r="N410" s="675"/>
      <c r="O410" s="670"/>
      <c r="P410" s="676"/>
      <c r="Q410" s="822">
        <f>SUM(Q5:Q409)</f>
        <v>4238379660.0510645</v>
      </c>
      <c r="R410" s="676"/>
      <c r="S410" s="822">
        <f>S35+S58+S175+S198+S285+S295+S338+S388+S409</f>
        <v>5767418523.7869081</v>
      </c>
      <c r="T410" s="677"/>
      <c r="U410" s="822" t="e">
        <f>SUM(U5:U409)</f>
        <v>#N/A</v>
      </c>
      <c r="V410" s="677"/>
      <c r="W410" s="822" t="e">
        <f>SUM(W5:W409)</f>
        <v>#N/A</v>
      </c>
      <c r="X410" s="670"/>
      <c r="Y410" s="757">
        <f t="shared" si="74"/>
        <v>14389766.775915438</v>
      </c>
      <c r="Z410" s="758">
        <f>(Y410/$Y$410)*100</f>
        <v>100</v>
      </c>
    </row>
    <row r="412" spans="2:26" x14ac:dyDescent="0.35">
      <c r="P412" s="395"/>
    </row>
    <row r="413" spans="2:26" x14ac:dyDescent="0.35">
      <c r="B413" t="s">
        <v>541</v>
      </c>
      <c r="P413" s="395"/>
    </row>
    <row r="414" spans="2:26" x14ac:dyDescent="0.35">
      <c r="Q414" s="395"/>
    </row>
    <row r="415" spans="2:26" x14ac:dyDescent="0.35">
      <c r="Q415" s="395"/>
    </row>
  </sheetData>
  <mergeCells count="57">
    <mergeCell ref="B410:E410"/>
    <mergeCell ref="B360:D360"/>
    <mergeCell ref="B370:D370"/>
    <mergeCell ref="B376:D376"/>
    <mergeCell ref="B387:D387"/>
    <mergeCell ref="B388:D388"/>
    <mergeCell ref="B409:D409"/>
    <mergeCell ref="B300:D300"/>
    <mergeCell ref="B312:D312"/>
    <mergeCell ref="B328:D328"/>
    <mergeCell ref="K333:K335"/>
    <mergeCell ref="B338:D338"/>
    <mergeCell ref="B350:D350"/>
    <mergeCell ref="B197:D197"/>
    <mergeCell ref="B198:D198"/>
    <mergeCell ref="B236:D236"/>
    <mergeCell ref="B263:D263"/>
    <mergeCell ref="B285:D285"/>
    <mergeCell ref="B295:D295"/>
    <mergeCell ref="B113:D113"/>
    <mergeCell ref="B126:D126"/>
    <mergeCell ref="B139:D139"/>
    <mergeCell ref="B174:D174"/>
    <mergeCell ref="B175:D175"/>
    <mergeCell ref="B194:D194"/>
    <mergeCell ref="B35:D35"/>
    <mergeCell ref="B41:D41"/>
    <mergeCell ref="B51:D51"/>
    <mergeCell ref="B58:D58"/>
    <mergeCell ref="B71:D71"/>
    <mergeCell ref="B84:D84"/>
    <mergeCell ref="S3:S4"/>
    <mergeCell ref="T3:T4"/>
    <mergeCell ref="U3:U4"/>
    <mergeCell ref="V3:V4"/>
    <mergeCell ref="W3:W4"/>
    <mergeCell ref="X3:X4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 verticalCentered="1"/>
  <pageMargins left="0.45" right="0" top="0" bottom="0" header="0.3" footer="0.3"/>
  <pageSetup paperSize="9" scale="69" orientation="landscape" r:id="rId1"/>
  <rowBreaks count="3" manualBreakCount="3">
    <brk id="58" max="25" man="1"/>
    <brk id="300" max="25" man="1"/>
    <brk id="360" max="2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FBF9-92A9-4958-9C8C-EDA280040CFB}">
  <sheetPr>
    <tabColor theme="9" tint="-0.249977111117893"/>
  </sheetPr>
  <dimension ref="B2:AD423"/>
  <sheetViews>
    <sheetView view="pageBreakPreview" zoomScale="80" zoomScaleNormal="85" zoomScaleSheetLayoutView="80" workbookViewId="0">
      <pane xSplit="7" ySplit="5" topLeftCell="J392" activePane="bottomRight" state="frozen"/>
      <selection activeCell="D17" sqref="D17"/>
      <selection pane="topRight" activeCell="D17" sqref="D17"/>
      <selection pane="bottomLeft" activeCell="D17" sqref="D17"/>
      <selection pane="bottomRight" activeCell="D17" sqref="D17"/>
    </sheetView>
  </sheetViews>
  <sheetFormatPr defaultRowHeight="14.5" x14ac:dyDescent="0.35"/>
  <cols>
    <col min="1" max="1" width="2.1796875" customWidth="1"/>
    <col min="2" max="2" width="5.81640625" customWidth="1"/>
    <col min="3" max="3" width="8.81640625" customWidth="1"/>
    <col min="4" max="4" width="22.81640625" customWidth="1"/>
    <col min="5" max="5" width="19.7265625" customWidth="1"/>
    <col min="6" max="6" width="26.81640625" customWidth="1"/>
    <col min="7" max="7" width="7.54296875" style="630" bestFit="1" customWidth="1"/>
    <col min="8" max="8" width="7.54296875" hidden="1" customWidth="1"/>
    <col min="9" max="9" width="6" hidden="1" customWidth="1"/>
    <col min="10" max="10" width="6" style="630" customWidth="1"/>
    <col min="11" max="11" width="9.7265625" style="630" customWidth="1"/>
    <col min="12" max="12" width="10.453125" style="630" customWidth="1"/>
    <col min="13" max="13" width="11.453125" style="228" bestFit="1" customWidth="1"/>
    <col min="14" max="14" width="7.26953125" style="229" bestFit="1" customWidth="1"/>
    <col min="15" max="15" width="16.26953125" bestFit="1" customWidth="1"/>
    <col min="16" max="16" width="15" bestFit="1" customWidth="1"/>
    <col min="17" max="17" width="19" bestFit="1" customWidth="1"/>
    <col min="18" max="19" width="15" hidden="1" customWidth="1"/>
    <col min="20" max="20" width="16.26953125" hidden="1" customWidth="1"/>
    <col min="21" max="23" width="15" hidden="1" customWidth="1"/>
    <col min="24" max="24" width="16.54296875" hidden="1" customWidth="1"/>
    <col min="25" max="25" width="14.81640625" customWidth="1"/>
    <col min="26" max="26" width="10.1796875" customWidth="1"/>
  </cols>
  <sheetData>
    <row r="2" spans="2:30" ht="15" customHeight="1" x14ac:dyDescent="0.35">
      <c r="B2" s="235" t="s">
        <v>7</v>
      </c>
      <c r="C2" s="631"/>
      <c r="D2" s="631"/>
      <c r="E2" s="236"/>
      <c r="F2" s="233" t="s">
        <v>171</v>
      </c>
      <c r="G2" s="234"/>
      <c r="H2" s="235" t="s">
        <v>172</v>
      </c>
      <c r="I2" s="236"/>
      <c r="J2" s="233" t="s">
        <v>59</v>
      </c>
      <c r="K2" s="634"/>
      <c r="L2" s="634"/>
      <c r="M2" s="634"/>
      <c r="N2" s="634"/>
      <c r="O2" s="234"/>
      <c r="P2" s="240">
        <v>2028</v>
      </c>
      <c r="Q2" s="241"/>
      <c r="R2" s="240">
        <v>2028</v>
      </c>
      <c r="S2" s="241"/>
      <c r="T2" s="242">
        <v>2029</v>
      </c>
      <c r="U2" s="243"/>
      <c r="V2" s="246" t="s">
        <v>174</v>
      </c>
      <c r="W2" s="247"/>
      <c r="X2" s="635"/>
      <c r="Y2" s="642" t="s">
        <v>64</v>
      </c>
      <c r="Z2" s="636" t="s">
        <v>65</v>
      </c>
      <c r="AB2" t="s">
        <v>169</v>
      </c>
      <c r="AC2">
        <v>400.8</v>
      </c>
      <c r="AD2" t="s">
        <v>170</v>
      </c>
    </row>
    <row r="3" spans="2:30" s="630" customFormat="1" x14ac:dyDescent="0.35">
      <c r="B3" s="255"/>
      <c r="C3" s="637"/>
      <c r="D3" s="637"/>
      <c r="E3" s="256"/>
      <c r="F3" s="254" t="s">
        <v>176</v>
      </c>
      <c r="G3" s="254" t="s">
        <v>177</v>
      </c>
      <c r="H3" s="255"/>
      <c r="I3" s="256"/>
      <c r="J3" s="254" t="s">
        <v>177</v>
      </c>
      <c r="K3" s="233" t="s">
        <v>178</v>
      </c>
      <c r="L3" s="234"/>
      <c r="M3" s="257" t="s">
        <v>179</v>
      </c>
      <c r="N3" s="640" t="s">
        <v>180</v>
      </c>
      <c r="O3" s="641" t="s">
        <v>181</v>
      </c>
      <c r="P3" s="259" t="s">
        <v>182</v>
      </c>
      <c r="Q3" s="259" t="s">
        <v>183</v>
      </c>
      <c r="R3" s="259" t="s">
        <v>182</v>
      </c>
      <c r="S3" s="259" t="s">
        <v>183</v>
      </c>
      <c r="T3" s="261" t="s">
        <v>182</v>
      </c>
      <c r="U3" s="261" t="s">
        <v>183</v>
      </c>
      <c r="V3" s="263" t="s">
        <v>182</v>
      </c>
      <c r="W3" s="263" t="s">
        <v>183</v>
      </c>
      <c r="X3" s="823" t="s">
        <v>175</v>
      </c>
      <c r="Y3" s="642"/>
      <c r="Z3" s="642"/>
    </row>
    <row r="4" spans="2:30" s="630" customFormat="1" ht="29" x14ac:dyDescent="0.35">
      <c r="B4" s="271"/>
      <c r="C4" s="824"/>
      <c r="D4" s="824"/>
      <c r="E4" s="272"/>
      <c r="F4" s="270"/>
      <c r="G4" s="270"/>
      <c r="H4" s="271"/>
      <c r="I4" s="272"/>
      <c r="J4" s="270"/>
      <c r="K4" s="273" t="s">
        <v>184</v>
      </c>
      <c r="L4" s="274" t="s">
        <v>185</v>
      </c>
      <c r="M4" s="275"/>
      <c r="N4" s="645"/>
      <c r="O4" s="646"/>
      <c r="P4" s="277"/>
      <c r="Q4" s="277"/>
      <c r="R4" s="277"/>
      <c r="S4" s="277"/>
      <c r="T4" s="279"/>
      <c r="U4" s="279"/>
      <c r="V4" s="281"/>
      <c r="W4" s="281"/>
      <c r="X4" s="823"/>
      <c r="Y4" s="642"/>
      <c r="Z4" s="642"/>
    </row>
    <row r="5" spans="2:30" s="661" customFormat="1" hidden="1" x14ac:dyDescent="0.35">
      <c r="B5" s="647" t="s">
        <v>314</v>
      </c>
      <c r="C5" s="648"/>
      <c r="D5" s="649"/>
      <c r="E5" s="650"/>
      <c r="F5" s="651"/>
      <c r="G5" s="652"/>
      <c r="H5" s="652"/>
      <c r="I5" s="653"/>
      <c r="J5" s="652"/>
      <c r="K5" s="654"/>
      <c r="L5" s="655"/>
      <c r="M5" s="656"/>
      <c r="N5" s="657"/>
      <c r="O5" s="658"/>
      <c r="P5" s="659"/>
      <c r="Q5" s="659"/>
      <c r="R5" s="659"/>
      <c r="S5" s="659"/>
      <c r="T5" s="307"/>
      <c r="U5" s="307"/>
      <c r="V5" s="307"/>
      <c r="W5" s="307"/>
      <c r="X5" s="660"/>
      <c r="Y5" s="439"/>
      <c r="Z5" s="439"/>
    </row>
    <row r="6" spans="2:30" hidden="1" x14ac:dyDescent="0.35">
      <c r="B6" s="539"/>
      <c r="C6" s="540" t="s">
        <v>68</v>
      </c>
      <c r="D6" s="540"/>
      <c r="E6" s="541"/>
      <c r="F6" s="295" t="s">
        <v>189</v>
      </c>
      <c r="G6" s="364" t="s">
        <v>190</v>
      </c>
      <c r="H6" s="365"/>
      <c r="I6" s="366"/>
      <c r="J6" s="364"/>
      <c r="K6" s="308"/>
      <c r="L6" s="825"/>
      <c r="M6" s="542"/>
      <c r="N6" s="296"/>
      <c r="O6" s="365"/>
      <c r="P6" s="543"/>
      <c r="Q6" s="543"/>
      <c r="R6" s="543"/>
      <c r="S6" s="543"/>
      <c r="T6" s="544"/>
      <c r="U6" s="544"/>
      <c r="V6" s="544"/>
      <c r="W6" s="544"/>
      <c r="X6" s="545"/>
      <c r="Y6" s="296">
        <f t="shared" ref="Y6:Y58" si="0">Q6/$AC$2</f>
        <v>0</v>
      </c>
      <c r="Z6" s="295"/>
    </row>
    <row r="7" spans="2:30" hidden="1" x14ac:dyDescent="0.35">
      <c r="B7" s="546"/>
      <c r="E7" s="547"/>
      <c r="F7" s="295" t="s">
        <v>316</v>
      </c>
      <c r="G7" s="364" t="s">
        <v>192</v>
      </c>
      <c r="H7" s="365"/>
      <c r="I7" s="366"/>
      <c r="J7" s="364"/>
      <c r="K7" s="308"/>
      <c r="L7" s="825"/>
      <c r="M7" s="542"/>
      <c r="N7" s="296"/>
      <c r="O7" s="365"/>
      <c r="P7" s="543"/>
      <c r="Q7" s="543"/>
      <c r="R7" s="543"/>
      <c r="S7" s="543"/>
      <c r="T7" s="544"/>
      <c r="U7" s="544"/>
      <c r="V7" s="544"/>
      <c r="W7" s="544"/>
      <c r="X7" s="545"/>
      <c r="Y7" s="296">
        <f t="shared" si="0"/>
        <v>0</v>
      </c>
      <c r="Z7" s="295"/>
    </row>
    <row r="8" spans="2:30" hidden="1" x14ac:dyDescent="0.35">
      <c r="B8" s="546"/>
      <c r="E8" s="547"/>
      <c r="F8" s="295" t="s">
        <v>318</v>
      </c>
      <c r="G8" s="364" t="s">
        <v>192</v>
      </c>
      <c r="H8" s="365"/>
      <c r="I8" s="366"/>
      <c r="J8" s="364"/>
      <c r="K8" s="308"/>
      <c r="L8" s="825"/>
      <c r="M8" s="542"/>
      <c r="N8" s="296"/>
      <c r="O8" s="365"/>
      <c r="P8" s="543"/>
      <c r="Q8" s="543"/>
      <c r="R8" s="543"/>
      <c r="S8" s="543"/>
      <c r="T8" s="544"/>
      <c r="U8" s="544"/>
      <c r="V8" s="544"/>
      <c r="W8" s="544"/>
      <c r="X8" s="545"/>
      <c r="Y8" s="296">
        <f t="shared" si="0"/>
        <v>0</v>
      </c>
      <c r="Z8" s="295"/>
    </row>
    <row r="9" spans="2:30" hidden="1" x14ac:dyDescent="0.35">
      <c r="B9" s="546"/>
      <c r="E9" s="547"/>
      <c r="F9" s="295" t="s">
        <v>325</v>
      </c>
      <c r="G9" s="364" t="s">
        <v>192</v>
      </c>
      <c r="H9" s="365"/>
      <c r="I9" s="366"/>
      <c r="J9" s="364"/>
      <c r="K9" s="308"/>
      <c r="L9" s="825"/>
      <c r="M9" s="542"/>
      <c r="N9" s="296"/>
      <c r="O9" s="365"/>
      <c r="P9" s="543"/>
      <c r="Q9" s="543"/>
      <c r="R9" s="543"/>
      <c r="S9" s="543"/>
      <c r="T9" s="544"/>
      <c r="U9" s="544"/>
      <c r="V9" s="544"/>
      <c r="W9" s="544"/>
      <c r="X9" s="545"/>
      <c r="Y9" s="296">
        <f t="shared" si="0"/>
        <v>0</v>
      </c>
      <c r="Z9" s="295"/>
    </row>
    <row r="10" spans="2:30" hidden="1" x14ac:dyDescent="0.35">
      <c r="B10" s="546"/>
      <c r="E10" s="547"/>
      <c r="F10" s="295" t="s">
        <v>344</v>
      </c>
      <c r="G10" s="364" t="s">
        <v>192</v>
      </c>
      <c r="H10" s="365"/>
      <c r="I10" s="366"/>
      <c r="J10" s="364"/>
      <c r="K10" s="308"/>
      <c r="L10" s="825"/>
      <c r="M10" s="542"/>
      <c r="N10" s="296"/>
      <c r="O10" s="365"/>
      <c r="P10" s="543"/>
      <c r="Q10" s="543"/>
      <c r="R10" s="543"/>
      <c r="S10" s="543"/>
      <c r="T10" s="544"/>
      <c r="U10" s="544"/>
      <c r="V10" s="544"/>
      <c r="W10" s="544"/>
      <c r="X10" s="545"/>
      <c r="Y10" s="296">
        <f t="shared" si="0"/>
        <v>0</v>
      </c>
      <c r="Z10" s="295"/>
    </row>
    <row r="11" spans="2:30" hidden="1" x14ac:dyDescent="0.35">
      <c r="B11" s="546"/>
      <c r="E11" s="547"/>
      <c r="F11" s="295" t="s">
        <v>324</v>
      </c>
      <c r="G11" s="364" t="s">
        <v>192</v>
      </c>
      <c r="H11" s="365"/>
      <c r="I11" s="366"/>
      <c r="J11" s="364"/>
      <c r="K11" s="308"/>
      <c r="L11" s="825"/>
      <c r="M11" s="542"/>
      <c r="N11" s="296"/>
      <c r="O11" s="365"/>
      <c r="P11" s="543"/>
      <c r="Q11" s="543"/>
      <c r="R11" s="543"/>
      <c r="S11" s="543"/>
      <c r="T11" s="544"/>
      <c r="U11" s="544"/>
      <c r="V11" s="544"/>
      <c r="W11" s="544"/>
      <c r="X11" s="545"/>
      <c r="Y11" s="296">
        <f t="shared" si="0"/>
        <v>0</v>
      </c>
      <c r="Z11" s="295"/>
    </row>
    <row r="12" spans="2:30" hidden="1" x14ac:dyDescent="0.35">
      <c r="B12" s="549"/>
      <c r="C12" s="550"/>
      <c r="D12" s="550"/>
      <c r="E12" s="551"/>
      <c r="F12" s="295" t="s">
        <v>237</v>
      </c>
      <c r="G12" s="364" t="s">
        <v>194</v>
      </c>
      <c r="H12" s="365">
        <v>1</v>
      </c>
      <c r="I12" s="366" t="s">
        <v>233</v>
      </c>
      <c r="J12" s="364"/>
      <c r="K12" s="308"/>
      <c r="L12" s="825"/>
      <c r="M12" s="663"/>
      <c r="N12" s="296"/>
      <c r="O12" s="365"/>
      <c r="P12" s="543"/>
      <c r="Q12" s="543"/>
      <c r="R12" s="543"/>
      <c r="S12" s="543"/>
      <c r="T12" s="544"/>
      <c r="U12" s="544"/>
      <c r="V12" s="544"/>
      <c r="W12" s="544"/>
      <c r="X12" s="545"/>
      <c r="Y12" s="296">
        <f t="shared" si="0"/>
        <v>0</v>
      </c>
      <c r="Z12" s="295"/>
    </row>
    <row r="13" spans="2:30" hidden="1" x14ac:dyDescent="0.35">
      <c r="B13" s="365"/>
      <c r="C13" s="366" t="s">
        <v>73</v>
      </c>
      <c r="D13" s="366"/>
      <c r="E13" s="553"/>
      <c r="F13" s="295" t="s">
        <v>189</v>
      </c>
      <c r="G13" s="364" t="s">
        <v>190</v>
      </c>
      <c r="H13" s="365"/>
      <c r="I13" s="366"/>
      <c r="J13" s="364"/>
      <c r="K13" s="308"/>
      <c r="L13" s="825"/>
      <c r="M13" s="542"/>
      <c r="N13" s="296"/>
      <c r="O13" s="365"/>
      <c r="P13" s="543"/>
      <c r="Q13" s="543"/>
      <c r="R13" s="543"/>
      <c r="S13" s="543"/>
      <c r="T13" s="544"/>
      <c r="U13" s="544"/>
      <c r="V13" s="544"/>
      <c r="W13" s="544"/>
      <c r="X13" s="545"/>
      <c r="Y13" s="296">
        <f t="shared" si="0"/>
        <v>0</v>
      </c>
      <c r="Z13" s="295"/>
    </row>
    <row r="14" spans="2:30" hidden="1" x14ac:dyDescent="0.35">
      <c r="B14" s="539"/>
      <c r="C14" s="540" t="s">
        <v>433</v>
      </c>
      <c r="D14" s="540"/>
      <c r="E14" s="541"/>
      <c r="F14" s="295" t="s">
        <v>189</v>
      </c>
      <c r="G14" s="364" t="s">
        <v>190</v>
      </c>
      <c r="H14" s="365"/>
      <c r="I14" s="366"/>
      <c r="J14" s="364"/>
      <c r="K14" s="308"/>
      <c r="L14" s="825"/>
      <c r="M14" s="542"/>
      <c r="N14" s="296"/>
      <c r="O14" s="365"/>
      <c r="P14" s="543"/>
      <c r="Q14" s="543"/>
      <c r="R14" s="543"/>
      <c r="S14" s="543"/>
      <c r="T14" s="544"/>
      <c r="U14" s="544"/>
      <c r="V14" s="544"/>
      <c r="W14" s="544"/>
      <c r="X14" s="664"/>
      <c r="Y14" s="296">
        <f t="shared" si="0"/>
        <v>0</v>
      </c>
      <c r="Z14" s="295"/>
    </row>
    <row r="15" spans="2:30" hidden="1" x14ac:dyDescent="0.35">
      <c r="B15" s="546"/>
      <c r="E15" s="547"/>
      <c r="F15" s="295" t="s">
        <v>225</v>
      </c>
      <c r="G15" s="364" t="s">
        <v>226</v>
      </c>
      <c r="H15" s="365"/>
      <c r="I15" s="366"/>
      <c r="J15" s="364"/>
      <c r="K15" s="308"/>
      <c r="L15" s="825"/>
      <c r="M15" s="542"/>
      <c r="N15" s="296"/>
      <c r="O15" s="365"/>
      <c r="P15" s="543"/>
      <c r="Q15" s="543"/>
      <c r="R15" s="543"/>
      <c r="S15" s="543"/>
      <c r="T15" s="544"/>
      <c r="U15" s="544"/>
      <c r="V15" s="544"/>
      <c r="W15" s="544"/>
      <c r="X15" s="545"/>
      <c r="Y15" s="296">
        <f t="shared" si="0"/>
        <v>0</v>
      </c>
      <c r="Z15" s="295"/>
    </row>
    <row r="16" spans="2:30" hidden="1" x14ac:dyDescent="0.35">
      <c r="B16" s="546"/>
      <c r="E16" s="547"/>
      <c r="F16" s="295" t="s">
        <v>227</v>
      </c>
      <c r="G16" s="364" t="s">
        <v>192</v>
      </c>
      <c r="H16" s="365"/>
      <c r="I16" s="366"/>
      <c r="J16" s="364"/>
      <c r="K16" s="308"/>
      <c r="L16" s="825"/>
      <c r="M16" s="542"/>
      <c r="N16" s="296"/>
      <c r="O16" s="365"/>
      <c r="P16" s="543"/>
      <c r="Q16" s="543"/>
      <c r="R16" s="543"/>
      <c r="S16" s="543"/>
      <c r="T16" s="544"/>
      <c r="U16" s="544"/>
      <c r="V16" s="544"/>
      <c r="W16" s="544"/>
      <c r="X16" s="545"/>
      <c r="Y16" s="296">
        <f t="shared" si="0"/>
        <v>0</v>
      </c>
      <c r="Z16" s="295"/>
    </row>
    <row r="17" spans="2:26" hidden="1" x14ac:dyDescent="0.35">
      <c r="B17" s="546"/>
      <c r="E17" s="547"/>
      <c r="F17" s="295" t="s">
        <v>230</v>
      </c>
      <c r="G17" s="364" t="s">
        <v>226</v>
      </c>
      <c r="H17" s="365"/>
      <c r="I17" s="366"/>
      <c r="J17" s="364"/>
      <c r="K17" s="308"/>
      <c r="L17" s="825"/>
      <c r="M17" s="542"/>
      <c r="N17" s="296"/>
      <c r="O17" s="365"/>
      <c r="P17" s="543"/>
      <c r="Q17" s="543"/>
      <c r="R17" s="543"/>
      <c r="S17" s="543"/>
      <c r="T17" s="544"/>
      <c r="U17" s="544"/>
      <c r="V17" s="544"/>
      <c r="W17" s="544"/>
      <c r="X17" s="545"/>
      <c r="Y17" s="296">
        <f t="shared" si="0"/>
        <v>0</v>
      </c>
      <c r="Z17" s="295"/>
    </row>
    <row r="18" spans="2:26" hidden="1" x14ac:dyDescent="0.35">
      <c r="B18" s="546"/>
      <c r="E18" s="547"/>
      <c r="F18" s="295" t="s">
        <v>379</v>
      </c>
      <c r="G18" s="364" t="s">
        <v>194</v>
      </c>
      <c r="H18" s="365"/>
      <c r="I18" s="366"/>
      <c r="J18" s="364"/>
      <c r="K18" s="308"/>
      <c r="L18" s="825"/>
      <c r="M18" s="542"/>
      <c r="N18" s="296"/>
      <c r="O18" s="365"/>
      <c r="P18" s="543"/>
      <c r="Q18" s="543"/>
      <c r="R18" s="543"/>
      <c r="S18" s="543"/>
      <c r="T18" s="544"/>
      <c r="U18" s="544"/>
      <c r="V18" s="544"/>
      <c r="W18" s="544"/>
      <c r="X18" s="545"/>
      <c r="Y18" s="296">
        <f t="shared" si="0"/>
        <v>0</v>
      </c>
      <c r="Z18" s="295"/>
    </row>
    <row r="19" spans="2:26" hidden="1" x14ac:dyDescent="0.35">
      <c r="B19" s="546"/>
      <c r="E19" s="547"/>
      <c r="F19" s="295" t="s">
        <v>231</v>
      </c>
      <c r="G19" s="364" t="s">
        <v>190</v>
      </c>
      <c r="H19" s="365"/>
      <c r="I19" s="366"/>
      <c r="J19" s="364"/>
      <c r="K19" s="308"/>
      <c r="L19" s="825"/>
      <c r="M19" s="542"/>
      <c r="N19" s="296"/>
      <c r="O19" s="365"/>
      <c r="P19" s="543"/>
      <c r="Q19" s="543"/>
      <c r="R19" s="543"/>
      <c r="S19" s="543"/>
      <c r="T19" s="544"/>
      <c r="U19" s="544"/>
      <c r="V19" s="544"/>
      <c r="W19" s="544"/>
      <c r="X19" s="545"/>
      <c r="Y19" s="296">
        <f t="shared" si="0"/>
        <v>0</v>
      </c>
      <c r="Z19" s="295"/>
    </row>
    <row r="20" spans="2:26" hidden="1" x14ac:dyDescent="0.35">
      <c r="B20" s="546"/>
      <c r="E20" s="547"/>
      <c r="F20" s="295" t="s">
        <v>232</v>
      </c>
      <c r="G20" s="364" t="s">
        <v>194</v>
      </c>
      <c r="H20" s="365">
        <v>4</v>
      </c>
      <c r="I20" s="366" t="s">
        <v>233</v>
      </c>
      <c r="J20" s="364"/>
      <c r="K20" s="308"/>
      <c r="L20" s="825"/>
      <c r="M20" s="663"/>
      <c r="N20" s="296"/>
      <c r="O20" s="365"/>
      <c r="P20" s="543"/>
      <c r="Q20" s="543"/>
      <c r="R20" s="543"/>
      <c r="S20" s="543"/>
      <c r="T20" s="544"/>
      <c r="U20" s="544"/>
      <c r="V20" s="544"/>
      <c r="W20" s="544"/>
      <c r="X20" s="545"/>
      <c r="Y20" s="296">
        <f t="shared" si="0"/>
        <v>0</v>
      </c>
      <c r="Z20" s="295"/>
    </row>
    <row r="21" spans="2:26" hidden="1" x14ac:dyDescent="0.35">
      <c r="B21" s="546"/>
      <c r="E21" s="547"/>
      <c r="F21" s="295" t="s">
        <v>234</v>
      </c>
      <c r="G21" s="364" t="s">
        <v>194</v>
      </c>
      <c r="H21" s="365">
        <v>12</v>
      </c>
      <c r="I21" s="366" t="s">
        <v>233</v>
      </c>
      <c r="J21" s="364"/>
      <c r="K21" s="308"/>
      <c r="L21" s="825"/>
      <c r="M21" s="663"/>
      <c r="N21" s="296"/>
      <c r="O21" s="365"/>
      <c r="P21" s="543"/>
      <c r="Q21" s="543"/>
      <c r="R21" s="543"/>
      <c r="S21" s="543"/>
      <c r="T21" s="544"/>
      <c r="U21" s="544"/>
      <c r="V21" s="544"/>
      <c r="W21" s="544"/>
      <c r="X21" s="545"/>
      <c r="Y21" s="296">
        <f t="shared" si="0"/>
        <v>0</v>
      </c>
      <c r="Z21" s="295"/>
    </row>
    <row r="22" spans="2:26" hidden="1" x14ac:dyDescent="0.35">
      <c r="B22" s="546"/>
      <c r="E22" s="547"/>
      <c r="F22" s="295" t="s">
        <v>235</v>
      </c>
      <c r="G22" s="364" t="s">
        <v>194</v>
      </c>
      <c r="H22" s="365">
        <v>1</v>
      </c>
      <c r="I22" s="366" t="s">
        <v>233</v>
      </c>
      <c r="J22" s="364"/>
      <c r="K22" s="308"/>
      <c r="L22" s="825"/>
      <c r="M22" s="663"/>
      <c r="N22" s="296"/>
      <c r="O22" s="365"/>
      <c r="P22" s="543"/>
      <c r="Q22" s="543"/>
      <c r="R22" s="543"/>
      <c r="S22" s="543"/>
      <c r="T22" s="544"/>
      <c r="U22" s="544"/>
      <c r="V22" s="544"/>
      <c r="W22" s="544"/>
      <c r="X22" s="545"/>
      <c r="Y22" s="296">
        <f t="shared" si="0"/>
        <v>0</v>
      </c>
      <c r="Z22" s="295"/>
    </row>
    <row r="23" spans="2:26" hidden="1" x14ac:dyDescent="0.35">
      <c r="B23" s="546"/>
      <c r="E23" s="547"/>
      <c r="F23" s="295" t="s">
        <v>236</v>
      </c>
      <c r="G23" s="364" t="s">
        <v>194</v>
      </c>
      <c r="H23" s="365">
        <v>2</v>
      </c>
      <c r="I23" s="366" t="s">
        <v>233</v>
      </c>
      <c r="J23" s="364"/>
      <c r="K23" s="308"/>
      <c r="L23" s="825"/>
      <c r="M23" s="663"/>
      <c r="N23" s="296"/>
      <c r="O23" s="365"/>
      <c r="P23" s="543"/>
      <c r="Q23" s="543"/>
      <c r="R23" s="543"/>
      <c r="S23" s="543"/>
      <c r="T23" s="544"/>
      <c r="U23" s="544"/>
      <c r="V23" s="544"/>
      <c r="W23" s="544"/>
      <c r="X23" s="545"/>
      <c r="Y23" s="296">
        <f t="shared" si="0"/>
        <v>0</v>
      </c>
      <c r="Z23" s="295"/>
    </row>
    <row r="24" spans="2:26" hidden="1" x14ac:dyDescent="0.35">
      <c r="B24" s="549"/>
      <c r="C24" s="550"/>
      <c r="D24" s="550"/>
      <c r="E24" s="551"/>
      <c r="F24" s="295" t="s">
        <v>237</v>
      </c>
      <c r="G24" s="364" t="s">
        <v>194</v>
      </c>
      <c r="H24" s="365">
        <v>1</v>
      </c>
      <c r="I24" s="366" t="s">
        <v>233</v>
      </c>
      <c r="J24" s="364"/>
      <c r="K24" s="308"/>
      <c r="L24" s="825"/>
      <c r="M24" s="663"/>
      <c r="N24" s="296"/>
      <c r="O24" s="365"/>
      <c r="P24" s="543"/>
      <c r="Q24" s="543"/>
      <c r="R24" s="543"/>
      <c r="S24" s="543"/>
      <c r="T24" s="544"/>
      <c r="U24" s="544"/>
      <c r="V24" s="544"/>
      <c r="W24" s="544"/>
      <c r="X24" s="545"/>
      <c r="Y24" s="296">
        <f t="shared" si="0"/>
        <v>0</v>
      </c>
      <c r="Z24" s="295"/>
    </row>
    <row r="25" spans="2:26" hidden="1" x14ac:dyDescent="0.35">
      <c r="B25" s="539"/>
      <c r="C25" s="540" t="s">
        <v>96</v>
      </c>
      <c r="D25" s="540"/>
      <c r="E25" s="541"/>
      <c r="F25" s="295" t="s">
        <v>189</v>
      </c>
      <c r="G25" s="364" t="s">
        <v>190</v>
      </c>
      <c r="H25" s="365"/>
      <c r="I25" s="366"/>
      <c r="J25" s="364"/>
      <c r="K25" s="308"/>
      <c r="L25" s="825"/>
      <c r="M25" s="542"/>
      <c r="N25" s="296"/>
      <c r="O25" s="365"/>
      <c r="P25" s="543"/>
      <c r="Q25" s="543"/>
      <c r="R25" s="543"/>
      <c r="S25" s="543"/>
      <c r="T25" s="544"/>
      <c r="U25" s="544"/>
      <c r="V25" s="544"/>
      <c r="W25" s="544"/>
      <c r="X25" s="545"/>
      <c r="Y25" s="296">
        <f t="shared" si="0"/>
        <v>0</v>
      </c>
      <c r="Z25" s="295"/>
    </row>
    <row r="26" spans="2:26" hidden="1" x14ac:dyDescent="0.35">
      <c r="B26" s="546"/>
      <c r="E26" s="547"/>
      <c r="F26" s="295" t="s">
        <v>225</v>
      </c>
      <c r="G26" s="364" t="s">
        <v>226</v>
      </c>
      <c r="H26" s="365"/>
      <c r="I26" s="366"/>
      <c r="J26" s="364"/>
      <c r="K26" s="308"/>
      <c r="L26" s="825"/>
      <c r="M26" s="542"/>
      <c r="N26" s="296"/>
      <c r="O26" s="365"/>
      <c r="P26" s="543"/>
      <c r="Q26" s="543"/>
      <c r="R26" s="543"/>
      <c r="S26" s="543"/>
      <c r="T26" s="544"/>
      <c r="U26" s="544"/>
      <c r="V26" s="544"/>
      <c r="W26" s="544"/>
      <c r="X26" s="545"/>
      <c r="Y26" s="296">
        <f t="shared" si="0"/>
        <v>0</v>
      </c>
      <c r="Z26" s="295"/>
    </row>
    <row r="27" spans="2:26" hidden="1" x14ac:dyDescent="0.35">
      <c r="B27" s="546"/>
      <c r="E27" s="547"/>
      <c r="F27" s="295" t="s">
        <v>230</v>
      </c>
      <c r="G27" s="364" t="s">
        <v>226</v>
      </c>
      <c r="H27" s="365"/>
      <c r="I27" s="366"/>
      <c r="J27" s="364"/>
      <c r="K27" s="308"/>
      <c r="L27" s="825"/>
      <c r="M27" s="542"/>
      <c r="N27" s="296"/>
      <c r="O27" s="365"/>
      <c r="P27" s="543"/>
      <c r="Q27" s="543"/>
      <c r="R27" s="543"/>
      <c r="S27" s="543"/>
      <c r="T27" s="544"/>
      <c r="U27" s="544"/>
      <c r="V27" s="544"/>
      <c r="W27" s="544"/>
      <c r="X27" s="545"/>
      <c r="Y27" s="296">
        <f t="shared" si="0"/>
        <v>0</v>
      </c>
      <c r="Z27" s="295"/>
    </row>
    <row r="28" spans="2:26" hidden="1" x14ac:dyDescent="0.35">
      <c r="B28" s="546"/>
      <c r="E28" s="547"/>
      <c r="F28" s="295" t="s">
        <v>379</v>
      </c>
      <c r="G28" s="364" t="s">
        <v>194</v>
      </c>
      <c r="H28" s="365"/>
      <c r="I28" s="366"/>
      <c r="J28" s="364"/>
      <c r="K28" s="308"/>
      <c r="L28" s="825"/>
      <c r="M28" s="542"/>
      <c r="N28" s="296"/>
      <c r="O28" s="365"/>
      <c r="P28" s="543"/>
      <c r="Q28" s="543"/>
      <c r="R28" s="543"/>
      <c r="S28" s="543"/>
      <c r="T28" s="544"/>
      <c r="U28" s="544"/>
      <c r="V28" s="544"/>
      <c r="W28" s="544"/>
      <c r="X28" s="545"/>
      <c r="Y28" s="296">
        <f t="shared" si="0"/>
        <v>0</v>
      </c>
      <c r="Z28" s="295"/>
    </row>
    <row r="29" spans="2:26" hidden="1" x14ac:dyDescent="0.35">
      <c r="B29" s="546"/>
      <c r="E29" s="547"/>
      <c r="F29" s="295" t="s">
        <v>231</v>
      </c>
      <c r="G29" s="364" t="s">
        <v>190</v>
      </c>
      <c r="H29" s="365"/>
      <c r="I29" s="366"/>
      <c r="J29" s="364"/>
      <c r="K29" s="308"/>
      <c r="L29" s="825"/>
      <c r="M29" s="542"/>
      <c r="N29" s="296"/>
      <c r="O29" s="365"/>
      <c r="P29" s="543"/>
      <c r="Q29" s="543"/>
      <c r="R29" s="543"/>
      <c r="S29" s="543"/>
      <c r="T29" s="544"/>
      <c r="U29" s="544"/>
      <c r="V29" s="544"/>
      <c r="W29" s="544"/>
      <c r="X29" s="545"/>
      <c r="Y29" s="296">
        <f t="shared" si="0"/>
        <v>0</v>
      </c>
      <c r="Z29" s="295"/>
    </row>
    <row r="30" spans="2:26" hidden="1" x14ac:dyDescent="0.35">
      <c r="B30" s="546"/>
      <c r="E30" s="547"/>
      <c r="F30" s="295" t="s">
        <v>232</v>
      </c>
      <c r="G30" s="364" t="s">
        <v>194</v>
      </c>
      <c r="H30" s="365">
        <v>4</v>
      </c>
      <c r="I30" s="366" t="s">
        <v>233</v>
      </c>
      <c r="J30" s="364"/>
      <c r="K30" s="308"/>
      <c r="L30" s="825"/>
      <c r="M30" s="663"/>
      <c r="N30" s="296"/>
      <c r="O30" s="365"/>
      <c r="P30" s="543"/>
      <c r="Q30" s="543"/>
      <c r="R30" s="543"/>
      <c r="S30" s="543"/>
      <c r="T30" s="544"/>
      <c r="U30" s="544"/>
      <c r="V30" s="544"/>
      <c r="W30" s="544"/>
      <c r="X30" s="545"/>
      <c r="Y30" s="296">
        <f t="shared" si="0"/>
        <v>0</v>
      </c>
      <c r="Z30" s="295"/>
    </row>
    <row r="31" spans="2:26" hidden="1" x14ac:dyDescent="0.35">
      <c r="B31" s="546"/>
      <c r="E31" s="547"/>
      <c r="F31" s="295" t="s">
        <v>451</v>
      </c>
      <c r="G31" s="364" t="s">
        <v>194</v>
      </c>
      <c r="H31" s="365">
        <v>12</v>
      </c>
      <c r="I31" s="366" t="s">
        <v>233</v>
      </c>
      <c r="J31" s="364"/>
      <c r="K31" s="308"/>
      <c r="L31" s="825"/>
      <c r="M31" s="663"/>
      <c r="N31" s="296"/>
      <c r="O31" s="365"/>
      <c r="P31" s="543"/>
      <c r="Q31" s="543"/>
      <c r="R31" s="543"/>
      <c r="S31" s="543"/>
      <c r="T31" s="544"/>
      <c r="U31" s="544"/>
      <c r="V31" s="544"/>
      <c r="W31" s="544"/>
      <c r="X31" s="545"/>
      <c r="Y31" s="296">
        <f t="shared" si="0"/>
        <v>0</v>
      </c>
      <c r="Z31" s="295"/>
    </row>
    <row r="32" spans="2:26" hidden="1" x14ac:dyDescent="0.35">
      <c r="B32" s="546"/>
      <c r="E32" s="547"/>
      <c r="F32" s="295" t="s">
        <v>235</v>
      </c>
      <c r="G32" s="364" t="s">
        <v>194</v>
      </c>
      <c r="H32" s="365">
        <v>1</v>
      </c>
      <c r="I32" s="366" t="s">
        <v>233</v>
      </c>
      <c r="J32" s="364"/>
      <c r="K32" s="308"/>
      <c r="L32" s="825"/>
      <c r="M32" s="663"/>
      <c r="N32" s="296"/>
      <c r="O32" s="365"/>
      <c r="P32" s="543"/>
      <c r="Q32" s="543"/>
      <c r="R32" s="543"/>
      <c r="S32" s="543"/>
      <c r="T32" s="544"/>
      <c r="U32" s="544"/>
      <c r="V32" s="544"/>
      <c r="W32" s="544"/>
      <c r="X32" s="545"/>
      <c r="Y32" s="296">
        <f t="shared" si="0"/>
        <v>0</v>
      </c>
      <c r="Z32" s="295"/>
    </row>
    <row r="33" spans="2:26" hidden="1" x14ac:dyDescent="0.35">
      <c r="B33" s="546"/>
      <c r="E33" s="547"/>
      <c r="F33" s="295" t="s">
        <v>236</v>
      </c>
      <c r="G33" s="364" t="s">
        <v>194</v>
      </c>
      <c r="H33" s="365">
        <v>2</v>
      </c>
      <c r="I33" s="366" t="s">
        <v>233</v>
      </c>
      <c r="J33" s="364"/>
      <c r="K33" s="308"/>
      <c r="L33" s="825"/>
      <c r="M33" s="663"/>
      <c r="N33" s="296"/>
      <c r="O33" s="365"/>
      <c r="P33" s="543"/>
      <c r="Q33" s="543"/>
      <c r="R33" s="543"/>
      <c r="S33" s="543"/>
      <c r="T33" s="544"/>
      <c r="U33" s="544"/>
      <c r="V33" s="544"/>
      <c r="W33" s="544"/>
      <c r="X33" s="545"/>
      <c r="Y33" s="296">
        <f t="shared" si="0"/>
        <v>0</v>
      </c>
      <c r="Z33" s="295"/>
    </row>
    <row r="34" spans="2:26" hidden="1" x14ac:dyDescent="0.35">
      <c r="B34" s="546"/>
      <c r="E34" s="547"/>
      <c r="F34" s="778" t="s">
        <v>237</v>
      </c>
      <c r="G34" s="779" t="s">
        <v>194</v>
      </c>
      <c r="H34" s="539">
        <v>1</v>
      </c>
      <c r="I34" s="540" t="s">
        <v>233</v>
      </c>
      <c r="J34" s="779"/>
      <c r="K34" s="780"/>
      <c r="L34" s="826"/>
      <c r="M34" s="827"/>
      <c r="N34" s="783"/>
      <c r="O34" s="539"/>
      <c r="P34" s="506"/>
      <c r="Q34" s="506"/>
      <c r="R34" s="506"/>
      <c r="S34" s="506"/>
      <c r="T34" s="784"/>
      <c r="U34" s="784"/>
      <c r="V34" s="784"/>
      <c r="W34" s="784"/>
      <c r="X34" s="785"/>
      <c r="Y34" s="783">
        <f t="shared" si="0"/>
        <v>0</v>
      </c>
      <c r="Z34" s="778"/>
    </row>
    <row r="35" spans="2:26" ht="15" hidden="1" thickBot="1" x14ac:dyDescent="0.4">
      <c r="B35" s="828" t="s">
        <v>434</v>
      </c>
      <c r="C35" s="829"/>
      <c r="D35" s="829"/>
      <c r="E35" s="830"/>
      <c r="F35" s="831"/>
      <c r="G35" s="832"/>
      <c r="H35" s="833"/>
      <c r="I35" s="834"/>
      <c r="J35" s="832"/>
      <c r="K35" s="835"/>
      <c r="L35" s="836"/>
      <c r="M35" s="837"/>
      <c r="N35" s="838"/>
      <c r="O35" s="833"/>
      <c r="P35" s="839"/>
      <c r="Q35" s="839">
        <f>SUM(Q6:Q34)</f>
        <v>0</v>
      </c>
      <c r="R35" s="839"/>
      <c r="S35" s="839">
        <f>SUM(S6:S34)</f>
        <v>0</v>
      </c>
      <c r="T35" s="840"/>
      <c r="U35" s="840"/>
      <c r="V35" s="840"/>
      <c r="W35" s="840"/>
      <c r="X35" s="833"/>
      <c r="Y35" s="838">
        <f t="shared" si="0"/>
        <v>0</v>
      </c>
      <c r="Z35" s="831"/>
    </row>
    <row r="36" spans="2:26" x14ac:dyDescent="0.35">
      <c r="B36" s="841" t="s">
        <v>435</v>
      </c>
      <c r="C36" s="550"/>
      <c r="D36" s="550"/>
      <c r="E36" s="551"/>
      <c r="F36" s="762"/>
      <c r="G36" s="842"/>
      <c r="H36" s="549"/>
      <c r="I36" s="550"/>
      <c r="J36" s="842"/>
      <c r="K36" s="843"/>
      <c r="L36" s="844"/>
      <c r="M36" s="845"/>
      <c r="N36" s="846"/>
      <c r="O36" s="549"/>
      <c r="P36" s="847"/>
      <c r="Q36" s="847"/>
      <c r="R36" s="847"/>
      <c r="S36" s="847"/>
      <c r="T36" s="848"/>
      <c r="U36" s="848"/>
      <c r="V36" s="848"/>
      <c r="W36" s="848"/>
      <c r="X36" s="680"/>
      <c r="Y36" s="846">
        <f t="shared" si="0"/>
        <v>0</v>
      </c>
      <c r="Z36" s="762"/>
    </row>
    <row r="37" spans="2:26" x14ac:dyDescent="0.35">
      <c r="B37" s="679" t="s">
        <v>436</v>
      </c>
      <c r="E37" s="547"/>
      <c r="F37" s="295"/>
      <c r="G37" s="364"/>
      <c r="H37" s="365"/>
      <c r="I37" s="366"/>
      <c r="J37" s="364"/>
      <c r="K37" s="308"/>
      <c r="L37" s="825"/>
      <c r="M37" s="552"/>
      <c r="N37" s="296"/>
      <c r="O37" s="365"/>
      <c r="P37" s="543"/>
      <c r="Q37" s="543"/>
      <c r="R37" s="543"/>
      <c r="S37" s="543"/>
      <c r="T37" s="544"/>
      <c r="U37" s="544"/>
      <c r="V37" s="544"/>
      <c r="W37" s="544"/>
      <c r="X37" s="545"/>
      <c r="Y37" s="296">
        <f t="shared" si="0"/>
        <v>0</v>
      </c>
      <c r="Z37" s="295"/>
    </row>
    <row r="38" spans="2:26" x14ac:dyDescent="0.35">
      <c r="B38" s="539"/>
      <c r="C38" s="540" t="s">
        <v>71</v>
      </c>
      <c r="D38" s="540"/>
      <c r="E38" s="541"/>
      <c r="F38" s="295" t="s">
        <v>189</v>
      </c>
      <c r="G38" s="364" t="s">
        <v>190</v>
      </c>
      <c r="H38" s="365"/>
      <c r="I38" s="366"/>
      <c r="J38" s="364"/>
      <c r="K38" s="548"/>
      <c r="L38" s="825"/>
      <c r="M38" s="542"/>
      <c r="N38" s="296"/>
      <c r="O38" s="401">
        <f>K38*L38*M38*N38</f>
        <v>0</v>
      </c>
      <c r="P38" s="296">
        <f>VLOOKUP($F38,'[2]Master Harga'!$E$5:$L$348,6,FALSE)</f>
        <v>151208.64000000001</v>
      </c>
      <c r="Q38" s="543">
        <f>P38*$O38</f>
        <v>0</v>
      </c>
      <c r="R38" s="296">
        <f>VLOOKUP($F38,'[2]Master Harga'!$E$5:$L$348,7,FALSE)</f>
        <v>163305.33120000002</v>
      </c>
      <c r="S38" s="543">
        <f>R38*$O38</f>
        <v>0</v>
      </c>
      <c r="T38" s="296">
        <f>VLOOKUP($F38,'[2]Master Harga'!$E$5:$L$348,8,FALSE)</f>
        <v>179635.86432000002</v>
      </c>
      <c r="U38" s="544">
        <f>$O38*T38</f>
        <v>0</v>
      </c>
      <c r="V38" s="296" t="e">
        <f>W38/O38</f>
        <v>#DIV/0!</v>
      </c>
      <c r="W38" s="307">
        <f>AVERAGEIF($P$3:$U$3,W$3,$P38:$U38)</f>
        <v>0</v>
      </c>
      <c r="X38" s="545"/>
      <c r="Y38" s="296">
        <f t="shared" si="0"/>
        <v>0</v>
      </c>
      <c r="Z38" s="295"/>
    </row>
    <row r="39" spans="2:26" hidden="1" x14ac:dyDescent="0.35">
      <c r="B39" s="546"/>
      <c r="E39" s="547"/>
      <c r="F39" s="295" t="s">
        <v>293</v>
      </c>
      <c r="G39" s="364" t="s">
        <v>194</v>
      </c>
      <c r="H39" s="365"/>
      <c r="I39" s="366"/>
      <c r="J39" s="364"/>
      <c r="K39" s="308"/>
      <c r="L39" s="825"/>
      <c r="M39" s="542"/>
      <c r="N39" s="296"/>
      <c r="O39" s="365"/>
      <c r="P39" s="543"/>
      <c r="Q39" s="543"/>
      <c r="R39" s="543"/>
      <c r="S39" s="543"/>
      <c r="T39" s="544"/>
      <c r="U39" s="544"/>
      <c r="V39" s="544"/>
      <c r="W39" s="544"/>
      <c r="X39" s="545"/>
      <c r="Y39" s="296">
        <f t="shared" si="0"/>
        <v>0</v>
      </c>
      <c r="Z39" s="295"/>
    </row>
    <row r="40" spans="2:26" hidden="1" x14ac:dyDescent="0.35">
      <c r="B40" s="549"/>
      <c r="C40" s="550"/>
      <c r="D40" s="550"/>
      <c r="E40" s="551"/>
      <c r="F40" s="295" t="s">
        <v>237</v>
      </c>
      <c r="G40" s="364" t="s">
        <v>194</v>
      </c>
      <c r="H40" s="365"/>
      <c r="I40" s="366"/>
      <c r="J40" s="364"/>
      <c r="K40" s="308"/>
      <c r="L40" s="825"/>
      <c r="M40" s="729"/>
      <c r="N40" s="411"/>
      <c r="O40" s="365"/>
      <c r="P40" s="710"/>
      <c r="Q40" s="710"/>
      <c r="R40" s="710"/>
      <c r="S40" s="710"/>
      <c r="T40" s="711"/>
      <c r="U40" s="711"/>
      <c r="V40" s="711"/>
      <c r="W40" s="711"/>
      <c r="X40" s="365"/>
      <c r="Y40" s="296">
        <f t="shared" si="0"/>
        <v>0</v>
      </c>
      <c r="Z40" s="295"/>
    </row>
    <row r="41" spans="2:26" x14ac:dyDescent="0.35">
      <c r="B41" s="539"/>
      <c r="C41" s="540" t="s">
        <v>74</v>
      </c>
      <c r="D41" s="540"/>
      <c r="E41" s="541"/>
      <c r="F41" s="295" t="s">
        <v>189</v>
      </c>
      <c r="G41" s="364" t="s">
        <v>190</v>
      </c>
      <c r="H41" s="365"/>
      <c r="I41" s="366"/>
      <c r="J41" s="364"/>
      <c r="K41" s="548">
        <v>0.5</v>
      </c>
      <c r="L41" s="825">
        <f t="shared" ref="L41:L43" si="1">$L$59</f>
        <v>400.8</v>
      </c>
      <c r="M41" s="542">
        <v>1</v>
      </c>
      <c r="N41" s="296">
        <v>1</v>
      </c>
      <c r="O41" s="401">
        <f t="shared" ref="O41:O43" si="2">K41*L41*M41*N41</f>
        <v>200.4</v>
      </c>
      <c r="P41" s="296">
        <f>VLOOKUP($F41,'[2]Master Harga'!$E$5:$L$348,6,FALSE)</f>
        <v>151208.64000000001</v>
      </c>
      <c r="Q41" s="543">
        <f t="shared" ref="Q41:Q43" si="3">P41*$O41</f>
        <v>30302211.456000004</v>
      </c>
      <c r="R41" s="543"/>
      <c r="S41" s="543"/>
      <c r="T41" s="544"/>
      <c r="U41" s="544"/>
      <c r="V41" s="544"/>
      <c r="W41" s="544"/>
      <c r="X41" s="545"/>
      <c r="Y41" s="296">
        <f t="shared" si="0"/>
        <v>75604.320000000007</v>
      </c>
      <c r="Z41" s="295"/>
    </row>
    <row r="42" spans="2:26" x14ac:dyDescent="0.35">
      <c r="B42" s="546"/>
      <c r="E42" s="547"/>
      <c r="F42" s="295" t="s">
        <v>293</v>
      </c>
      <c r="G42" s="364" t="s">
        <v>194</v>
      </c>
      <c r="H42" s="365"/>
      <c r="I42" s="366"/>
      <c r="J42" s="364"/>
      <c r="K42" s="548">
        <v>0.5</v>
      </c>
      <c r="L42" s="825">
        <f t="shared" si="1"/>
        <v>400.8</v>
      </c>
      <c r="M42" s="542">
        <v>3.3E-3</v>
      </c>
      <c r="N42" s="296">
        <v>1</v>
      </c>
      <c r="O42" s="401">
        <f t="shared" si="2"/>
        <v>0.66132000000000002</v>
      </c>
      <c r="P42" s="296">
        <f>VLOOKUP($F42,'[2]Master Harga'!$E$5:$L$348,6,FALSE)</f>
        <v>81862.650000000009</v>
      </c>
      <c r="Q42" s="543">
        <f t="shared" si="3"/>
        <v>54137.40769800001</v>
      </c>
      <c r="R42" s="543"/>
      <c r="S42" s="543"/>
      <c r="T42" s="544"/>
      <c r="U42" s="544"/>
      <c r="V42" s="544"/>
      <c r="W42" s="544"/>
      <c r="X42" s="545"/>
      <c r="Y42" s="296">
        <f t="shared" si="0"/>
        <v>135.07337250000003</v>
      </c>
      <c r="Z42" s="295"/>
    </row>
    <row r="43" spans="2:26" x14ac:dyDescent="0.35">
      <c r="B43" s="549"/>
      <c r="C43" s="550"/>
      <c r="D43" s="550"/>
      <c r="E43" s="551"/>
      <c r="F43" s="295" t="s">
        <v>237</v>
      </c>
      <c r="G43" s="364" t="s">
        <v>194</v>
      </c>
      <c r="H43" s="365"/>
      <c r="I43" s="366"/>
      <c r="J43" s="364"/>
      <c r="K43" s="548">
        <v>0.5</v>
      </c>
      <c r="L43" s="825">
        <f t="shared" si="1"/>
        <v>400.8</v>
      </c>
      <c r="M43" s="552">
        <v>3.3E-3</v>
      </c>
      <c r="N43" s="437">
        <v>1</v>
      </c>
      <c r="O43" s="401">
        <f t="shared" si="2"/>
        <v>0.66132000000000002</v>
      </c>
      <c r="P43" s="296">
        <f>VLOOKUP($F43,'[2]Master Harga'!$E$5:$L$348,6,FALSE)</f>
        <v>92534.400000000009</v>
      </c>
      <c r="Q43" s="543">
        <f t="shared" si="3"/>
        <v>61194.849408000009</v>
      </c>
      <c r="R43" s="710"/>
      <c r="S43" s="710"/>
      <c r="T43" s="711"/>
      <c r="U43" s="711"/>
      <c r="V43" s="711"/>
      <c r="W43" s="711"/>
      <c r="X43" s="365"/>
      <c r="Y43" s="296">
        <f t="shared" si="0"/>
        <v>152.68176000000003</v>
      </c>
      <c r="Z43" s="295"/>
    </row>
    <row r="44" spans="2:26" s="357" customFormat="1" x14ac:dyDescent="0.35">
      <c r="B44" s="700"/>
      <c r="C44" s="357" t="s">
        <v>77</v>
      </c>
      <c r="E44" s="701"/>
      <c r="F44" s="295" t="s">
        <v>189</v>
      </c>
      <c r="G44" s="364" t="s">
        <v>190</v>
      </c>
      <c r="H44" s="545"/>
      <c r="I44" s="580"/>
      <c r="J44" s="579"/>
      <c r="K44" s="439"/>
      <c r="L44" s="849"/>
      <c r="M44" s="552"/>
      <c r="N44" s="437"/>
      <c r="O44" s="545"/>
      <c r="P44" s="683"/>
      <c r="Q44" s="683"/>
      <c r="R44" s="683"/>
      <c r="S44" s="683"/>
      <c r="T44" s="684"/>
      <c r="U44" s="684"/>
      <c r="V44" s="684"/>
      <c r="W44" s="684"/>
      <c r="X44" s="545"/>
      <c r="Y44" s="437">
        <f t="shared" si="0"/>
        <v>0</v>
      </c>
      <c r="Z44" s="436"/>
    </row>
    <row r="45" spans="2:26" s="357" customFormat="1" hidden="1" x14ac:dyDescent="0.35">
      <c r="B45" s="700"/>
      <c r="E45" s="701"/>
      <c r="F45" s="295" t="s">
        <v>293</v>
      </c>
      <c r="G45" s="364" t="s">
        <v>194</v>
      </c>
      <c r="H45" s="545"/>
      <c r="I45" s="580"/>
      <c r="J45" s="579"/>
      <c r="K45" s="439"/>
      <c r="L45" s="849"/>
      <c r="M45" s="552"/>
      <c r="N45" s="437"/>
      <c r="O45" s="545"/>
      <c r="P45" s="683"/>
      <c r="Q45" s="683"/>
      <c r="R45" s="683"/>
      <c r="S45" s="683"/>
      <c r="T45" s="684"/>
      <c r="U45" s="684"/>
      <c r="V45" s="684"/>
      <c r="W45" s="684"/>
      <c r="X45" s="545"/>
      <c r="Y45" s="437">
        <f t="shared" si="0"/>
        <v>0</v>
      </c>
      <c r="Z45" s="436"/>
    </row>
    <row r="46" spans="2:26" s="357" customFormat="1" hidden="1" x14ac:dyDescent="0.35">
      <c r="B46" s="700"/>
      <c r="E46" s="701"/>
      <c r="F46" s="436" t="s">
        <v>237</v>
      </c>
      <c r="G46" s="579"/>
      <c r="H46" s="545"/>
      <c r="I46" s="580"/>
      <c r="J46" s="579"/>
      <c r="K46" s="439"/>
      <c r="L46" s="849"/>
      <c r="M46" s="552"/>
      <c r="N46" s="437"/>
      <c r="O46" s="545"/>
      <c r="P46" s="683"/>
      <c r="Q46" s="683"/>
      <c r="R46" s="683"/>
      <c r="S46" s="683"/>
      <c r="T46" s="684"/>
      <c r="U46" s="684"/>
      <c r="V46" s="684"/>
      <c r="W46" s="684"/>
      <c r="X46" s="545"/>
      <c r="Y46" s="437">
        <f t="shared" si="0"/>
        <v>0</v>
      </c>
      <c r="Z46" s="436"/>
    </row>
    <row r="47" spans="2:26" x14ac:dyDescent="0.35">
      <c r="B47" s="539"/>
      <c r="C47" s="540" t="s">
        <v>80</v>
      </c>
      <c r="D47" s="540"/>
      <c r="E47" s="541"/>
      <c r="F47" s="295" t="s">
        <v>189</v>
      </c>
      <c r="G47" s="364" t="s">
        <v>190</v>
      </c>
      <c r="H47" s="365"/>
      <c r="I47" s="366"/>
      <c r="J47" s="364"/>
      <c r="K47" s="548">
        <v>0.25</v>
      </c>
      <c r="L47" s="825">
        <f>$L$59</f>
        <v>400.8</v>
      </c>
      <c r="M47" s="542">
        <v>0.5</v>
      </c>
      <c r="N47" s="296">
        <v>1</v>
      </c>
      <c r="O47" s="401">
        <f>K47*L47*M47*N47</f>
        <v>50.1</v>
      </c>
      <c r="P47" s="296">
        <f>VLOOKUP($F47,'[2]Master Harga'!$E$5:$L$348,6,FALSE)</f>
        <v>151208.64000000001</v>
      </c>
      <c r="Q47" s="543">
        <f>P47*$O47</f>
        <v>7575552.864000001</v>
      </c>
      <c r="R47" s="296">
        <f>VLOOKUP($F47,'[2]Master Harga'!$E$5:$L$348,7,FALSE)</f>
        <v>163305.33120000002</v>
      </c>
      <c r="S47" s="543">
        <f>R47*$O47</f>
        <v>8181597.0931200013</v>
      </c>
      <c r="T47" s="296">
        <f>VLOOKUP($F47,'[2]Master Harga'!$E$5:$L$348,8,FALSE)</f>
        <v>179635.86432000002</v>
      </c>
      <c r="U47" s="544">
        <f>$O47*T47</f>
        <v>8999756.8024320006</v>
      </c>
      <c r="V47" s="296">
        <f>W47/O47</f>
        <v>164716.61184000003</v>
      </c>
      <c r="W47" s="307">
        <f>AVERAGEIF($P$3:$U$3,W$3,$P47:$U47)</f>
        <v>8252302.253184001</v>
      </c>
      <c r="X47" s="545"/>
      <c r="Y47" s="296">
        <f t="shared" si="0"/>
        <v>18901.080000000002</v>
      </c>
      <c r="Z47" s="295"/>
    </row>
    <row r="48" spans="2:26" x14ac:dyDescent="0.35">
      <c r="B48" s="546"/>
      <c r="E48" s="547"/>
      <c r="F48" s="295" t="s">
        <v>438</v>
      </c>
      <c r="G48" s="364" t="s">
        <v>194</v>
      </c>
      <c r="H48" s="365"/>
      <c r="I48" s="366"/>
      <c r="J48" s="364"/>
      <c r="K48" s="548">
        <v>0.25</v>
      </c>
      <c r="L48" s="825">
        <f t="shared" ref="L48:L49" si="4">$L$59</f>
        <v>400.8</v>
      </c>
      <c r="M48" s="542">
        <v>0.5</v>
      </c>
      <c r="N48" s="296">
        <v>1</v>
      </c>
      <c r="O48" s="401">
        <f>K48*L48*M48*N48</f>
        <v>50.1</v>
      </c>
      <c r="P48" s="296">
        <f>VLOOKUP($F48,'[2]Master Harga'!$E$5:$L$348,6,FALSE)</f>
        <v>495000.00000000006</v>
      </c>
      <c r="Q48" s="543">
        <f>P48*$O48</f>
        <v>24799500.000000004</v>
      </c>
      <c r="R48" s="296">
        <f>VLOOKUP($F48,'[2]Master Harga'!$E$5:$L$348,7,FALSE)</f>
        <v>544500.00000000012</v>
      </c>
      <c r="S48" s="543">
        <f>R48*$O48</f>
        <v>27279450.000000007</v>
      </c>
      <c r="T48" s="296">
        <f>VLOOKUP($F48,'[2]Master Harga'!$E$5:$L$348,8,FALSE)</f>
        <v>598950.00000000023</v>
      </c>
      <c r="U48" s="544">
        <f>$O48*T48</f>
        <v>30007395.000000011</v>
      </c>
      <c r="V48" s="296">
        <f>W48/O48</f>
        <v>546150.00000000023</v>
      </c>
      <c r="W48" s="307">
        <f>AVERAGEIF($P$3:$U$3,W$3,$P48:$U48)</f>
        <v>27362115.000000011</v>
      </c>
      <c r="X48" s="545"/>
      <c r="Y48" s="296">
        <f t="shared" si="0"/>
        <v>61875.000000000007</v>
      </c>
      <c r="Z48" s="295"/>
    </row>
    <row r="49" spans="2:26" hidden="1" x14ac:dyDescent="0.35">
      <c r="B49" s="549"/>
      <c r="C49" s="550"/>
      <c r="D49" s="550"/>
      <c r="E49" s="551"/>
      <c r="F49" s="295" t="s">
        <v>237</v>
      </c>
      <c r="G49" s="364" t="s">
        <v>194</v>
      </c>
      <c r="H49" s="365"/>
      <c r="I49" s="366"/>
      <c r="J49" s="364"/>
      <c r="K49" s="548">
        <v>1</v>
      </c>
      <c r="L49" s="825">
        <f t="shared" si="4"/>
        <v>400.8</v>
      </c>
      <c r="M49" s="729"/>
      <c r="N49" s="411"/>
      <c r="O49" s="365"/>
      <c r="P49" s="710"/>
      <c r="Q49" s="710"/>
      <c r="R49" s="710"/>
      <c r="S49" s="710"/>
      <c r="T49" s="711"/>
      <c r="U49" s="711"/>
      <c r="V49" s="711"/>
      <c r="W49" s="711"/>
      <c r="X49" s="365"/>
      <c r="Y49" s="296">
        <f t="shared" si="0"/>
        <v>0</v>
      </c>
      <c r="Z49" s="295"/>
    </row>
    <row r="50" spans="2:26" x14ac:dyDescent="0.35">
      <c r="B50" s="539"/>
      <c r="C50" s="540" t="s">
        <v>542</v>
      </c>
      <c r="D50" s="540"/>
      <c r="E50" s="541"/>
      <c r="F50" s="295" t="s">
        <v>189</v>
      </c>
      <c r="G50" s="364" t="s">
        <v>190</v>
      </c>
      <c r="H50" s="365"/>
      <c r="I50" s="366"/>
      <c r="J50" s="364"/>
      <c r="K50" s="548">
        <v>0.5</v>
      </c>
      <c r="L50" s="825">
        <f>$L$59</f>
        <v>400.8</v>
      </c>
      <c r="M50" s="542">
        <v>0.15</v>
      </c>
      <c r="N50" s="296">
        <v>1</v>
      </c>
      <c r="O50" s="401">
        <f>K50*L50*M50*N50</f>
        <v>30.06</v>
      </c>
      <c r="P50" s="299">
        <f>VLOOKUP($F50,'[1]Master Harga'!$E$5:$L$351,7,FALSE)</f>
        <v>158800.57379999998</v>
      </c>
      <c r="Q50" s="543">
        <f>P50*$O50</f>
        <v>4773545.2484279992</v>
      </c>
      <c r="R50" s="296">
        <f>VLOOKUP($F50,'[2]Master Harga'!$E$5:$L$348,7,FALSE)</f>
        <v>163305.33120000002</v>
      </c>
      <c r="S50" s="543">
        <f>R50*$O50</f>
        <v>4908958.255872</v>
      </c>
      <c r="T50" s="296">
        <f>VLOOKUP($F50,'[2]Master Harga'!$E$5:$L$348,8,FALSE)</f>
        <v>179635.86432000002</v>
      </c>
      <c r="U50" s="544">
        <f>$O50*T50</f>
        <v>5399854.0814592</v>
      </c>
      <c r="V50" s="296">
        <f>W50/O50</f>
        <v>167247.25644</v>
      </c>
      <c r="W50" s="307">
        <f>AVERAGEIF($P$3:$U$3,W$3,$P50:$U50)</f>
        <v>5027452.5285863997</v>
      </c>
      <c r="X50" s="545"/>
      <c r="Y50" s="296">
        <f>Q50/$AC$2</f>
        <v>11910.043034999997</v>
      </c>
      <c r="Z50" s="295"/>
    </row>
    <row r="51" spans="2:26" x14ac:dyDescent="0.35">
      <c r="B51" s="546"/>
      <c r="E51" s="547"/>
      <c r="F51" s="295" t="s">
        <v>441</v>
      </c>
      <c r="G51" s="364" t="s">
        <v>194</v>
      </c>
      <c r="H51" s="365"/>
      <c r="I51" s="366"/>
      <c r="J51" s="364"/>
      <c r="K51" s="548">
        <v>0.5</v>
      </c>
      <c r="L51" s="825">
        <f>$L$59</f>
        <v>400.8</v>
      </c>
      <c r="M51" s="542">
        <v>5.0000000000000001E-4</v>
      </c>
      <c r="N51" s="296">
        <v>1</v>
      </c>
      <c r="O51" s="401">
        <f>K51*L51*M51*N51</f>
        <v>0.10020000000000001</v>
      </c>
      <c r="P51" s="299">
        <f>VLOOKUP($F51,'[1]Master Harga'!$E$5:$L$351,7,FALSE)</f>
        <v>132556.33125000002</v>
      </c>
      <c r="Q51" s="543">
        <f>P51*$O51</f>
        <v>13282.144391250004</v>
      </c>
      <c r="R51" s="296">
        <f>VLOOKUP($F51,'[2]Master Harga'!$E$5:$L$348,7,FALSE)</f>
        <v>0</v>
      </c>
      <c r="S51" s="543">
        <f>R51*$O51</f>
        <v>0</v>
      </c>
      <c r="T51" s="296">
        <f>VLOOKUP($F51,'[2]Master Harga'!$E$5:$L$348,8,FALSE)</f>
        <v>0</v>
      </c>
      <c r="U51" s="544">
        <f>$O51*T51</f>
        <v>0</v>
      </c>
      <c r="V51" s="296">
        <f>W51/O51</f>
        <v>44185.443750000006</v>
      </c>
      <c r="W51" s="307">
        <f>AVERAGEIF($P$3:$U$3,W$3,$P51:$U51)</f>
        <v>4427.3814637500009</v>
      </c>
      <c r="X51" s="545"/>
      <c r="Y51" s="296">
        <f>Q51/$AC$2</f>
        <v>33.139082812500007</v>
      </c>
      <c r="Z51" s="295"/>
    </row>
    <row r="52" spans="2:26" x14ac:dyDescent="0.35">
      <c r="B52" s="549"/>
      <c r="C52" s="550"/>
      <c r="D52" s="550"/>
      <c r="E52" s="551"/>
      <c r="F52" s="295" t="s">
        <v>237</v>
      </c>
      <c r="G52" s="364" t="s">
        <v>194</v>
      </c>
      <c r="H52" s="365">
        <v>1</v>
      </c>
      <c r="I52" s="366" t="s">
        <v>233</v>
      </c>
      <c r="J52" s="364"/>
      <c r="K52" s="548">
        <v>0.5</v>
      </c>
      <c r="L52" s="825">
        <f>$L$59</f>
        <v>400.8</v>
      </c>
      <c r="M52" s="729">
        <f>((M$50*N$50)/240*($H52/N52))</f>
        <v>6.2500000000000001E-4</v>
      </c>
      <c r="N52" s="411">
        <v>1</v>
      </c>
      <c r="O52" s="401">
        <f>K52*L52*M52*N52</f>
        <v>0.12525</v>
      </c>
      <c r="P52" s="299">
        <f>VLOOKUP($F52,'[1]Master Harga'!$E$5:$L$351,7,FALSE)</f>
        <v>94462.2</v>
      </c>
      <c r="Q52" s="543">
        <f>P52*$O52</f>
        <v>11831.39055</v>
      </c>
      <c r="R52" s="296">
        <f>VLOOKUP($F52,'[2]Master Harga'!$E$5:$L$348,7,FALSE)</f>
        <v>99937.152000000016</v>
      </c>
      <c r="S52" s="543">
        <f>R52*$O52</f>
        <v>12517.128288000002</v>
      </c>
      <c r="T52" s="296">
        <f>VLOOKUP($F52,'[2]Master Harga'!$E$5:$L$348,8,FALSE)</f>
        <v>107932.12416000002</v>
      </c>
      <c r="U52" s="544">
        <f>$O52*T52</f>
        <v>13518.498551040002</v>
      </c>
      <c r="V52" s="296">
        <f>W52/O52</f>
        <v>100777.15872000002</v>
      </c>
      <c r="W52" s="307">
        <f>AVERAGEIF($P$3:$U$3,W$3,$P52:$U52)</f>
        <v>12622.339129680002</v>
      </c>
      <c r="X52" s="545"/>
      <c r="Y52" s="296">
        <f>Q52/$AC$2</f>
        <v>29.519437499999999</v>
      </c>
      <c r="Z52" s="295"/>
    </row>
    <row r="53" spans="2:26" hidden="1" x14ac:dyDescent="0.35">
      <c r="B53" s="546"/>
      <c r="C53" s="850" t="s">
        <v>307</v>
      </c>
      <c r="D53" s="851"/>
      <c r="E53" s="708"/>
      <c r="F53" s="288" t="s">
        <v>189</v>
      </c>
      <c r="G53" s="289" t="s">
        <v>190</v>
      </c>
      <c r="H53" s="290"/>
      <c r="I53" s="291"/>
      <c r="J53" s="709"/>
      <c r="K53" s="292"/>
      <c r="L53" s="292"/>
      <c r="M53" s="542"/>
      <c r="N53" s="296">
        <v>1</v>
      </c>
      <c r="O53" s="296"/>
      <c r="P53" s="710"/>
      <c r="Q53" s="710"/>
      <c r="R53" s="710"/>
      <c r="S53" s="710"/>
      <c r="T53" s="711"/>
      <c r="U53" s="711"/>
      <c r="V53" s="711"/>
      <c r="W53" s="711"/>
      <c r="X53" s="365"/>
      <c r="Y53" s="296">
        <f t="shared" si="0"/>
        <v>0</v>
      </c>
      <c r="Z53" s="295"/>
    </row>
    <row r="54" spans="2:26" hidden="1" x14ac:dyDescent="0.35">
      <c r="B54" s="546"/>
      <c r="C54" s="851"/>
      <c r="D54" s="851"/>
      <c r="E54" s="708"/>
      <c r="F54" s="295" t="s">
        <v>438</v>
      </c>
      <c r="G54" s="289" t="s">
        <v>264</v>
      </c>
      <c r="H54" s="290"/>
      <c r="I54" s="291"/>
      <c r="J54" s="709"/>
      <c r="K54" s="292"/>
      <c r="L54" s="292"/>
      <c r="M54" s="542"/>
      <c r="N54" s="296">
        <v>1</v>
      </c>
      <c r="O54" s="296"/>
      <c r="P54" s="710"/>
      <c r="Q54" s="710"/>
      <c r="R54" s="710"/>
      <c r="S54" s="710"/>
      <c r="T54" s="711"/>
      <c r="U54" s="711"/>
      <c r="V54" s="711"/>
      <c r="W54" s="711"/>
      <c r="X54" s="365"/>
      <c r="Y54" s="296">
        <f t="shared" si="0"/>
        <v>0</v>
      </c>
      <c r="Z54" s="295"/>
    </row>
    <row r="55" spans="2:26" hidden="1" x14ac:dyDescent="0.35">
      <c r="B55" s="549"/>
      <c r="C55" s="852"/>
      <c r="D55" s="852"/>
      <c r="E55" s="712"/>
      <c r="F55" s="288" t="s">
        <v>265</v>
      </c>
      <c r="G55" s="289" t="s">
        <v>203</v>
      </c>
      <c r="H55" s="290"/>
      <c r="I55" s="291"/>
      <c r="J55" s="709"/>
      <c r="K55" s="292"/>
      <c r="L55" s="292"/>
      <c r="M55" s="542"/>
      <c r="N55" s="296">
        <v>1</v>
      </c>
      <c r="O55" s="296"/>
      <c r="P55" s="710"/>
      <c r="Q55" s="710"/>
      <c r="R55" s="710"/>
      <c r="S55" s="710"/>
      <c r="T55" s="711"/>
      <c r="U55" s="711"/>
      <c r="V55" s="711"/>
      <c r="W55" s="711"/>
      <c r="X55" s="365"/>
      <c r="Y55" s="296">
        <f t="shared" si="0"/>
        <v>0</v>
      </c>
      <c r="Z55" s="295"/>
    </row>
    <row r="56" spans="2:26" s="863" customFormat="1" ht="34.5" customHeight="1" x14ac:dyDescent="0.35">
      <c r="B56" s="753" t="s">
        <v>442</v>
      </c>
      <c r="C56" s="853"/>
      <c r="D56" s="853"/>
      <c r="E56" s="854"/>
      <c r="F56" s="855"/>
      <c r="G56" s="856"/>
      <c r="H56" s="857"/>
      <c r="I56" s="857"/>
      <c r="J56" s="857"/>
      <c r="K56" s="858"/>
      <c r="L56" s="858"/>
      <c r="M56" s="859"/>
      <c r="N56" s="860"/>
      <c r="O56" s="860"/>
      <c r="P56" s="860"/>
      <c r="Q56" s="860">
        <f>SUM(Q38:Q55)</f>
        <v>67591255.360475272</v>
      </c>
      <c r="R56" s="860"/>
      <c r="S56" s="720">
        <f>SUM(S49+S39)</f>
        <v>0</v>
      </c>
      <c r="T56" s="861"/>
      <c r="U56" s="861"/>
      <c r="V56" s="861"/>
      <c r="W56" s="861"/>
      <c r="X56" s="862"/>
      <c r="Y56" s="860">
        <f t="shared" si="0"/>
        <v>168640.85668781254</v>
      </c>
      <c r="Z56" s="860">
        <f>(Y56/$Y$421)*100</f>
        <v>1.2169873000362714</v>
      </c>
    </row>
    <row r="57" spans="2:26" s="357" customFormat="1" x14ac:dyDescent="0.35">
      <c r="B57" s="722" t="s">
        <v>443</v>
      </c>
      <c r="C57" s="580"/>
      <c r="D57" s="580"/>
      <c r="E57" s="723"/>
      <c r="F57" s="436"/>
      <c r="G57" s="579"/>
      <c r="H57" s="545"/>
      <c r="I57" s="580"/>
      <c r="J57" s="579"/>
      <c r="K57" s="439"/>
      <c r="L57" s="849"/>
      <c r="M57" s="552"/>
      <c r="N57" s="437"/>
      <c r="O57" s="545"/>
      <c r="P57" s="683"/>
      <c r="Q57" s="683"/>
      <c r="R57" s="683"/>
      <c r="S57" s="683"/>
      <c r="T57" s="684"/>
      <c r="U57" s="684"/>
      <c r="V57" s="684"/>
      <c r="W57" s="684"/>
      <c r="X57" s="545"/>
      <c r="Y57" s="437">
        <f t="shared" si="0"/>
        <v>0</v>
      </c>
      <c r="Z57" s="436"/>
    </row>
    <row r="58" spans="2:26" s="357" customFormat="1" x14ac:dyDescent="0.35">
      <c r="B58" s="724"/>
      <c r="C58" s="357" t="s">
        <v>444</v>
      </c>
      <c r="E58" s="701"/>
      <c r="F58" s="436"/>
      <c r="G58" s="579"/>
      <c r="H58" s="545"/>
      <c r="I58" s="580"/>
      <c r="J58" s="579"/>
      <c r="K58" s="439"/>
      <c r="L58" s="849"/>
      <c r="M58" s="552"/>
      <c r="N58" s="437"/>
      <c r="O58" s="545"/>
      <c r="P58" s="683"/>
      <c r="Q58" s="683"/>
      <c r="R58" s="683"/>
      <c r="S58" s="683"/>
      <c r="T58" s="684"/>
      <c r="U58" s="684"/>
      <c r="V58" s="684"/>
      <c r="W58" s="684"/>
      <c r="X58" s="545"/>
      <c r="Y58" s="437">
        <f t="shared" si="0"/>
        <v>0</v>
      </c>
      <c r="Z58" s="436"/>
    </row>
    <row r="59" spans="2:26" x14ac:dyDescent="0.35">
      <c r="B59" s="539"/>
      <c r="C59" s="540"/>
      <c r="D59" s="540" t="s">
        <v>86</v>
      </c>
      <c r="E59" s="541"/>
      <c r="F59" s="295" t="s">
        <v>189</v>
      </c>
      <c r="G59" s="579" t="s">
        <v>190</v>
      </c>
      <c r="H59" s="545"/>
      <c r="I59" s="580"/>
      <c r="J59" s="579" t="s">
        <v>170</v>
      </c>
      <c r="K59" s="548">
        <v>1</v>
      </c>
      <c r="L59" s="825">
        <f>$AC$2</f>
        <v>400.8</v>
      </c>
      <c r="M59" s="552">
        <v>2.5</v>
      </c>
      <c r="N59" s="296">
        <v>1</v>
      </c>
      <c r="O59" s="401">
        <f>K59*L59*M59*N59</f>
        <v>1002</v>
      </c>
      <c r="P59" s="299">
        <f>VLOOKUP($F59,'[1]Master Harga'!$E$5:$L$351,7,FALSE)</f>
        <v>158800.57379999998</v>
      </c>
      <c r="Q59" s="543">
        <f>P59*$O59</f>
        <v>159118174.94759998</v>
      </c>
      <c r="R59" s="296">
        <f>VLOOKUP($F59,'[2]Master Harga'!$E$5:$L$348,7,FALSE)</f>
        <v>163305.33120000002</v>
      </c>
      <c r="S59" s="543">
        <f>R59*$O59</f>
        <v>163631941.86240003</v>
      </c>
      <c r="T59" s="296">
        <f>VLOOKUP($F59,'[2]Master Harga'!$E$5:$L$348,8,FALSE)</f>
        <v>179635.86432000002</v>
      </c>
      <c r="U59" s="544">
        <f>$O59*T59</f>
        <v>179995136.04864001</v>
      </c>
      <c r="V59" s="296">
        <f>W59/O59</f>
        <v>167247.25644</v>
      </c>
      <c r="W59" s="307">
        <f>AVERAGEIF($P$3:$U$3,W$3,$P59:$U59)</f>
        <v>167581750.95288</v>
      </c>
      <c r="X59" s="545"/>
      <c r="Y59" s="296">
        <f>Q59/$AC$2</f>
        <v>397001.43449999992</v>
      </c>
      <c r="Z59" s="450"/>
    </row>
    <row r="60" spans="2:26" x14ac:dyDescent="0.35">
      <c r="B60" s="546"/>
      <c r="E60" s="547"/>
      <c r="F60" s="295" t="s">
        <v>293</v>
      </c>
      <c r="G60" s="579" t="s">
        <v>194</v>
      </c>
      <c r="H60" s="545"/>
      <c r="I60" s="580"/>
      <c r="J60" s="579" t="s">
        <v>170</v>
      </c>
      <c r="K60" s="548">
        <v>1</v>
      </c>
      <c r="L60" s="825">
        <f>$L$59</f>
        <v>400.8</v>
      </c>
      <c r="M60" s="552">
        <v>8.3000000000000001E-3</v>
      </c>
      <c r="N60" s="296">
        <v>1</v>
      </c>
      <c r="O60" s="401">
        <f t="shared" ref="O60:O61" si="5">K60*L60*M60*N60</f>
        <v>3.3266400000000003</v>
      </c>
      <c r="P60" s="299">
        <f>VLOOKUP($F60,'[1]Master Harga'!$E$5:$L$351,7,FALSE)</f>
        <v>83568.121874999997</v>
      </c>
      <c r="Q60" s="543">
        <f t="shared" ref="Q60:Q61" si="6">P60*$O60</f>
        <v>278001.05695425003</v>
      </c>
      <c r="R60" s="543"/>
      <c r="S60" s="543"/>
      <c r="T60" s="544"/>
      <c r="U60" s="544"/>
      <c r="V60" s="544"/>
      <c r="W60" s="544"/>
      <c r="X60" s="545"/>
      <c r="Y60" s="296">
        <f t="shared" ref="Y60:Y123" si="7">Q60/$AC$2</f>
        <v>693.61541156250007</v>
      </c>
      <c r="Z60" s="295"/>
    </row>
    <row r="61" spans="2:26" x14ac:dyDescent="0.35">
      <c r="B61" s="546"/>
      <c r="D61" s="550"/>
      <c r="E61" s="551"/>
      <c r="F61" s="295" t="s">
        <v>237</v>
      </c>
      <c r="G61" s="364" t="s">
        <v>194</v>
      </c>
      <c r="H61" s="365">
        <v>1</v>
      </c>
      <c r="I61" s="366" t="s">
        <v>233</v>
      </c>
      <c r="J61" s="364"/>
      <c r="K61" s="548">
        <v>1</v>
      </c>
      <c r="L61" s="825">
        <f>$L$59</f>
        <v>400.8</v>
      </c>
      <c r="M61" s="729">
        <f>((M$59*N$59)/240*($H61/N61))</f>
        <v>1.0416666666666666E-2</v>
      </c>
      <c r="N61" s="411">
        <v>1</v>
      </c>
      <c r="O61" s="401">
        <f t="shared" si="5"/>
        <v>4.1749999999999998</v>
      </c>
      <c r="P61" s="299">
        <f>VLOOKUP($F61,'[1]Master Harga'!$E$5:$L$351,7,FALSE)</f>
        <v>94462.2</v>
      </c>
      <c r="Q61" s="543">
        <f t="shared" si="6"/>
        <v>394379.685</v>
      </c>
      <c r="R61" s="710"/>
      <c r="S61" s="710"/>
      <c r="T61" s="711"/>
      <c r="U61" s="711"/>
      <c r="V61" s="711"/>
      <c r="W61" s="711"/>
      <c r="X61" s="365"/>
      <c r="Y61" s="296">
        <f t="shared" si="7"/>
        <v>983.98124999999993</v>
      </c>
      <c r="Z61" s="295"/>
    </row>
    <row r="62" spans="2:26" x14ac:dyDescent="0.35">
      <c r="B62" s="546"/>
      <c r="D62" s="540" t="s">
        <v>445</v>
      </c>
      <c r="E62" s="541"/>
      <c r="F62" s="295" t="s">
        <v>189</v>
      </c>
      <c r="G62" s="579" t="s">
        <v>190</v>
      </c>
      <c r="H62" s="545"/>
      <c r="I62" s="580"/>
      <c r="J62" s="579"/>
      <c r="K62" s="439"/>
      <c r="L62" s="849"/>
      <c r="M62" s="552"/>
      <c r="N62" s="437"/>
      <c r="O62" s="545"/>
      <c r="P62" s="683"/>
      <c r="Q62" s="683"/>
      <c r="R62" s="683"/>
      <c r="S62" s="683"/>
      <c r="T62" s="684"/>
      <c r="U62" s="684"/>
      <c r="V62" s="684"/>
      <c r="W62" s="684"/>
      <c r="X62" s="545"/>
      <c r="Y62" s="296">
        <f t="shared" si="7"/>
        <v>0</v>
      </c>
      <c r="Z62" s="295"/>
    </row>
    <row r="63" spans="2:26" hidden="1" x14ac:dyDescent="0.35">
      <c r="B63" s="546"/>
      <c r="E63" s="547"/>
      <c r="F63" s="295" t="s">
        <v>293</v>
      </c>
      <c r="G63" s="579" t="s">
        <v>194</v>
      </c>
      <c r="H63" s="545"/>
      <c r="I63" s="580"/>
      <c r="J63" s="579"/>
      <c r="K63" s="439"/>
      <c r="L63" s="849"/>
      <c r="M63" s="552"/>
      <c r="N63" s="437"/>
      <c r="O63" s="545"/>
      <c r="P63" s="683"/>
      <c r="Q63" s="683"/>
      <c r="R63" s="683"/>
      <c r="S63" s="683"/>
      <c r="T63" s="684"/>
      <c r="U63" s="684"/>
      <c r="V63" s="684"/>
      <c r="W63" s="684"/>
      <c r="X63" s="545"/>
      <c r="Y63" s="296">
        <f t="shared" si="7"/>
        <v>0</v>
      </c>
      <c r="Z63" s="295"/>
    </row>
    <row r="64" spans="2:26" hidden="1" x14ac:dyDescent="0.35">
      <c r="B64" s="546"/>
      <c r="D64" s="550"/>
      <c r="E64" s="551"/>
      <c r="F64" s="295" t="s">
        <v>237</v>
      </c>
      <c r="G64" s="364" t="s">
        <v>194</v>
      </c>
      <c r="H64" s="365"/>
      <c r="I64" s="366"/>
      <c r="J64" s="364"/>
      <c r="K64" s="308"/>
      <c r="L64" s="825"/>
      <c r="M64" s="729"/>
      <c r="N64" s="411"/>
      <c r="O64" s="365"/>
      <c r="P64" s="710"/>
      <c r="Q64" s="710"/>
      <c r="R64" s="710"/>
      <c r="S64" s="710"/>
      <c r="T64" s="711"/>
      <c r="U64" s="711"/>
      <c r="V64" s="711"/>
      <c r="W64" s="711"/>
      <c r="X64" s="365"/>
      <c r="Y64" s="296">
        <f t="shared" si="7"/>
        <v>0</v>
      </c>
      <c r="Z64" s="295"/>
    </row>
    <row r="65" spans="2:27" x14ac:dyDescent="0.35">
      <c r="B65" s="546"/>
      <c r="D65" s="540" t="s">
        <v>446</v>
      </c>
      <c r="E65" s="541"/>
      <c r="F65" s="295" t="s">
        <v>189</v>
      </c>
      <c r="G65" s="579" t="s">
        <v>190</v>
      </c>
      <c r="H65" s="545"/>
      <c r="I65" s="580"/>
      <c r="J65" s="579"/>
      <c r="K65" s="548">
        <v>1</v>
      </c>
      <c r="L65" s="825">
        <f>$L$59</f>
        <v>400.8</v>
      </c>
      <c r="M65" s="552">
        <v>2</v>
      </c>
      <c r="N65" s="437">
        <v>1</v>
      </c>
      <c r="O65" s="401">
        <f>K65*L65*M65*N65</f>
        <v>801.6</v>
      </c>
      <c r="P65" s="299">
        <f>VLOOKUP($F65,'[1]Master Harga'!$E$5:$L$351,7,FALSE)</f>
        <v>158800.57379999998</v>
      </c>
      <c r="Q65" s="543">
        <f>P65*$O65</f>
        <v>127294539.95807999</v>
      </c>
      <c r="R65" s="296">
        <f>VLOOKUP($F65,'[2]Master Harga'!$E$5:$L$348,7,FALSE)</f>
        <v>163305.33120000002</v>
      </c>
      <c r="S65" s="543">
        <f>R65*$O65</f>
        <v>130905553.48992002</v>
      </c>
      <c r="T65" s="296">
        <f>VLOOKUP($F65,'[2]Master Harga'!$E$5:$L$348,8,FALSE)</f>
        <v>179635.86432000002</v>
      </c>
      <c r="U65" s="544">
        <f>$O65*T65</f>
        <v>143996108.83891201</v>
      </c>
      <c r="V65" s="296">
        <f>W65/O65</f>
        <v>167247.25644</v>
      </c>
      <c r="W65" s="307">
        <f>AVERAGEIF($P$3:$U$3,W$3,$P65:$U65)</f>
        <v>134065400.76230401</v>
      </c>
      <c r="X65" s="545"/>
      <c r="Y65" s="296">
        <f>Q65/$AC$2</f>
        <v>317601.14759999997</v>
      </c>
      <c r="Z65" s="450"/>
    </row>
    <row r="66" spans="2:27" hidden="1" x14ac:dyDescent="0.35">
      <c r="B66" s="546"/>
      <c r="E66" s="547"/>
      <c r="F66" s="295" t="s">
        <v>441</v>
      </c>
      <c r="G66" s="579" t="s">
        <v>194</v>
      </c>
      <c r="H66" s="545"/>
      <c r="I66" s="580"/>
      <c r="J66" s="579"/>
      <c r="K66" s="308"/>
      <c r="L66" s="825"/>
      <c r="M66" s="552">
        <v>5.0000000000000001E-3</v>
      </c>
      <c r="N66" s="437">
        <v>1</v>
      </c>
      <c r="O66" s="545"/>
      <c r="P66" s="683"/>
      <c r="Q66" s="683"/>
      <c r="R66" s="683"/>
      <c r="S66" s="683"/>
      <c r="T66" s="684"/>
      <c r="U66" s="684"/>
      <c r="V66" s="684"/>
      <c r="W66" s="684"/>
      <c r="X66" s="545"/>
      <c r="Y66" s="296">
        <f t="shared" si="7"/>
        <v>0</v>
      </c>
      <c r="Z66" s="295"/>
    </row>
    <row r="67" spans="2:27" hidden="1" x14ac:dyDescent="0.35">
      <c r="B67" s="546"/>
      <c r="E67" s="547"/>
      <c r="F67" s="295" t="s">
        <v>237</v>
      </c>
      <c r="G67" s="364" t="s">
        <v>194</v>
      </c>
      <c r="H67" s="365">
        <v>1</v>
      </c>
      <c r="I67" s="366" t="s">
        <v>233</v>
      </c>
      <c r="J67" s="364"/>
      <c r="K67" s="308"/>
      <c r="L67" s="825"/>
      <c r="M67" s="729">
        <f>((M$65*N$65)/240*($H67/N67))</f>
        <v>8.3333333333333332E-3</v>
      </c>
      <c r="N67" s="411">
        <v>1</v>
      </c>
      <c r="O67" s="365"/>
      <c r="P67" s="710"/>
      <c r="Q67" s="710"/>
      <c r="R67" s="710"/>
      <c r="S67" s="710"/>
      <c r="T67" s="711"/>
      <c r="U67" s="711"/>
      <c r="V67" s="711"/>
      <c r="W67" s="711"/>
      <c r="X67" s="365"/>
      <c r="Y67" s="296">
        <f t="shared" si="7"/>
        <v>0</v>
      </c>
      <c r="Z67" s="295"/>
    </row>
    <row r="68" spans="2:27" hidden="1" x14ac:dyDescent="0.35">
      <c r="B68" s="549"/>
      <c r="C68" s="550"/>
      <c r="D68" s="550"/>
      <c r="E68" s="551"/>
      <c r="F68" s="295"/>
      <c r="G68" s="364"/>
      <c r="H68" s="365"/>
      <c r="I68" s="366"/>
      <c r="J68" s="364"/>
      <c r="K68" s="439"/>
      <c r="L68" s="849"/>
      <c r="M68" s="552"/>
      <c r="N68" s="437"/>
      <c r="O68" s="545"/>
      <c r="P68" s="683"/>
      <c r="Q68" s="683"/>
      <c r="R68" s="683"/>
      <c r="S68" s="683"/>
      <c r="T68" s="684"/>
      <c r="U68" s="684"/>
      <c r="V68" s="684"/>
      <c r="W68" s="684"/>
      <c r="X68" s="545"/>
      <c r="Y68" s="296">
        <f t="shared" si="7"/>
        <v>0</v>
      </c>
      <c r="Z68" s="295"/>
    </row>
    <row r="69" spans="2:27" ht="29.25" customHeight="1" x14ac:dyDescent="0.35">
      <c r="B69" s="685" t="s">
        <v>447</v>
      </c>
      <c r="C69" s="864"/>
      <c r="D69" s="864"/>
      <c r="E69" s="865"/>
      <c r="F69" s="688"/>
      <c r="G69" s="689"/>
      <c r="H69" s="690"/>
      <c r="I69" s="691"/>
      <c r="J69" s="689"/>
      <c r="K69" s="692"/>
      <c r="L69" s="866"/>
      <c r="M69" s="694"/>
      <c r="N69" s="695"/>
      <c r="O69" s="690"/>
      <c r="P69" s="696"/>
      <c r="Q69" s="697">
        <f>SUM(Q59:Q68)</f>
        <v>287085095.64763427</v>
      </c>
      <c r="R69" s="696"/>
      <c r="S69" s="697">
        <f>SUM(S58:S68)</f>
        <v>294537495.35232008</v>
      </c>
      <c r="T69" s="684"/>
      <c r="U69" s="684"/>
      <c r="V69" s="684"/>
      <c r="W69" s="684"/>
      <c r="X69" s="690"/>
      <c r="Y69" s="727">
        <f t="shared" si="7"/>
        <v>716280.17876156257</v>
      </c>
      <c r="Z69" s="867">
        <f>(Y69/$Y$421)*100</f>
        <v>5.1689958052942506</v>
      </c>
    </row>
    <row r="70" spans="2:27" x14ac:dyDescent="0.35">
      <c r="B70" s="546"/>
      <c r="C70" t="s">
        <v>448</v>
      </c>
      <c r="E70" s="547"/>
      <c r="F70" s="295"/>
      <c r="G70" s="364"/>
      <c r="H70" s="365"/>
      <c r="I70" s="366"/>
      <c r="J70" s="364"/>
      <c r="K70" s="439"/>
      <c r="L70" s="849"/>
      <c r="M70" s="552"/>
      <c r="N70" s="437"/>
      <c r="O70" s="545"/>
      <c r="P70" s="683"/>
      <c r="Q70" s="683"/>
      <c r="R70" s="683"/>
      <c r="S70" s="683"/>
      <c r="T70" s="684"/>
      <c r="U70" s="684"/>
      <c r="V70" s="684"/>
      <c r="W70" s="684"/>
      <c r="X70" s="545"/>
      <c r="Y70" s="296">
        <f t="shared" si="7"/>
        <v>0</v>
      </c>
      <c r="Z70" s="295"/>
    </row>
    <row r="71" spans="2:27" x14ac:dyDescent="0.35">
      <c r="B71" s="539"/>
      <c r="C71" s="540"/>
      <c r="D71" s="540" t="s">
        <v>89</v>
      </c>
      <c r="E71" s="541"/>
      <c r="F71" s="295" t="s">
        <v>189</v>
      </c>
      <c r="G71" s="579" t="s">
        <v>190</v>
      </c>
      <c r="H71" s="545"/>
      <c r="I71" s="580"/>
      <c r="J71" s="579" t="s">
        <v>170</v>
      </c>
      <c r="K71" s="548">
        <v>1</v>
      </c>
      <c r="L71" s="825">
        <f t="shared" ref="L71:L82" si="8">$L$59</f>
        <v>400.8</v>
      </c>
      <c r="M71" s="552">
        <v>0.75</v>
      </c>
      <c r="N71" s="437">
        <v>3</v>
      </c>
      <c r="O71" s="401">
        <f t="shared" ref="O71:O82" si="9">K71*L71*M71*N71</f>
        <v>901.80000000000007</v>
      </c>
      <c r="P71" s="299">
        <f>VLOOKUP($F71,'[1]Master Harga'!$E$5:$L$351,7,FALSE)</f>
        <v>158800.57379999998</v>
      </c>
      <c r="Q71" s="543">
        <f t="shared" ref="Q71:Q82" si="10">P71*$O71</f>
        <v>143206357.45284</v>
      </c>
      <c r="R71" s="296">
        <f>VLOOKUP($F71,'[2]Master Harga'!$E$5:$L$348,7,FALSE)</f>
        <v>163305.33120000002</v>
      </c>
      <c r="S71" s="543">
        <f t="shared" ref="S71:S82" si="11">R71*$O71</f>
        <v>147268747.67616004</v>
      </c>
      <c r="T71" s="296">
        <f>VLOOKUP($F71,'[2]Master Harga'!$E$5:$L$348,8,FALSE)</f>
        <v>179635.86432000002</v>
      </c>
      <c r="U71" s="544">
        <f t="shared" ref="U71:U82" si="12">$O71*T71</f>
        <v>161995622.44377604</v>
      </c>
      <c r="V71" s="296">
        <f t="shared" ref="V71:V82" si="13">W71/O71</f>
        <v>167247.25644</v>
      </c>
      <c r="W71" s="307">
        <f t="shared" ref="W71:W82" si="14">AVERAGEIF($P$3:$U$3,W$3,$P71:$U71)</f>
        <v>150823575.85759202</v>
      </c>
      <c r="X71" s="545"/>
      <c r="Y71" s="296">
        <f t="shared" si="7"/>
        <v>357301.29105</v>
      </c>
      <c r="Z71" s="295"/>
    </row>
    <row r="72" spans="2:27" x14ac:dyDescent="0.35">
      <c r="B72" s="546"/>
      <c r="E72" s="547"/>
      <c r="F72" s="295" t="s">
        <v>225</v>
      </c>
      <c r="G72" s="579" t="s">
        <v>226</v>
      </c>
      <c r="H72" s="545"/>
      <c r="I72" s="580"/>
      <c r="J72" s="579" t="s">
        <v>170</v>
      </c>
      <c r="K72" s="548">
        <v>1</v>
      </c>
      <c r="L72" s="825">
        <f t="shared" si="8"/>
        <v>400.8</v>
      </c>
      <c r="M72" s="552">
        <v>0.45</v>
      </c>
      <c r="N72" s="437">
        <v>1</v>
      </c>
      <c r="O72" s="401">
        <f t="shared" si="9"/>
        <v>180.36</v>
      </c>
      <c r="P72" s="299">
        <f>VLOOKUP($F72,'[1]Master Harga'!$E$5:$L$351,7,FALSE)</f>
        <v>37110.15</v>
      </c>
      <c r="Q72" s="543">
        <f t="shared" si="10"/>
        <v>6693186.654000001</v>
      </c>
      <c r="R72" s="296">
        <f>VLOOKUP($F72,'[2]Master Harga'!$E$5:$L$348,7,FALSE)</f>
        <v>41620.320720000011</v>
      </c>
      <c r="S72" s="543">
        <f t="shared" si="11"/>
        <v>7506641.0450592022</v>
      </c>
      <c r="T72" s="296">
        <f>VLOOKUP($F72,'[2]Master Harga'!$E$5:$L$348,8,FALSE)</f>
        <v>44533.743170400012</v>
      </c>
      <c r="U72" s="544">
        <f t="shared" si="12"/>
        <v>8032105.918213347</v>
      </c>
      <c r="V72" s="296">
        <f t="shared" si="13"/>
        <v>41088.071296800008</v>
      </c>
      <c r="W72" s="307">
        <f t="shared" si="14"/>
        <v>7410644.5390908495</v>
      </c>
      <c r="X72" s="545"/>
      <c r="Y72" s="296">
        <f t="shared" si="7"/>
        <v>16699.567500000001</v>
      </c>
      <c r="Z72" s="450"/>
    </row>
    <row r="73" spans="2:27" x14ac:dyDescent="0.35">
      <c r="B73" s="546"/>
      <c r="E73" s="547"/>
      <c r="F73" s="295" t="s">
        <v>227</v>
      </c>
      <c r="G73" s="579" t="s">
        <v>192</v>
      </c>
      <c r="H73" s="545"/>
      <c r="I73" s="580"/>
      <c r="J73" s="579" t="s">
        <v>170</v>
      </c>
      <c r="K73" s="548">
        <v>1</v>
      </c>
      <c r="L73" s="825">
        <f t="shared" si="8"/>
        <v>400.8</v>
      </c>
      <c r="M73" s="552">
        <f>18/1000</f>
        <v>1.7999999999999999E-2</v>
      </c>
      <c r="N73" s="437">
        <v>1</v>
      </c>
      <c r="O73" s="401">
        <f t="shared" si="9"/>
        <v>7.2143999999999995</v>
      </c>
      <c r="P73" s="299">
        <f>VLOOKUP($F73,'[1]Master Harga'!$E$5:$L$351,7,FALSE)</f>
        <v>101209.5</v>
      </c>
      <c r="Q73" s="543">
        <f t="shared" si="10"/>
        <v>730165.81679999991</v>
      </c>
      <c r="R73" s="296">
        <f>VLOOKUP($F73,'[2]Master Harga'!$E$5:$L$348,7,FALSE)</f>
        <v>113509.96560000001</v>
      </c>
      <c r="S73" s="543">
        <f t="shared" si="11"/>
        <v>818906.29582463996</v>
      </c>
      <c r="T73" s="296">
        <f>VLOOKUP($F73,'[2]Master Harga'!$E$5:$L$348,8,FALSE)</f>
        <v>121455.66319200002</v>
      </c>
      <c r="U73" s="544">
        <f t="shared" si="12"/>
        <v>876229.73653236486</v>
      </c>
      <c r="V73" s="296">
        <f t="shared" si="13"/>
        <v>112058.37626400001</v>
      </c>
      <c r="W73" s="307">
        <f t="shared" si="14"/>
        <v>808433.94971900154</v>
      </c>
      <c r="X73" s="545"/>
      <c r="Y73" s="296">
        <f t="shared" si="7"/>
        <v>1821.7709999999997</v>
      </c>
      <c r="Z73" s="450"/>
    </row>
    <row r="74" spans="2:27" x14ac:dyDescent="0.35">
      <c r="B74" s="546"/>
      <c r="E74" s="547"/>
      <c r="F74" s="295" t="s">
        <v>230</v>
      </c>
      <c r="G74" s="364" t="s">
        <v>226</v>
      </c>
      <c r="H74" s="365"/>
      <c r="I74" s="366"/>
      <c r="J74" s="579" t="s">
        <v>170</v>
      </c>
      <c r="K74" s="548">
        <v>1</v>
      </c>
      <c r="L74" s="825">
        <f t="shared" si="8"/>
        <v>400.8</v>
      </c>
      <c r="M74" s="542">
        <v>0.13500000000000001</v>
      </c>
      <c r="N74" s="437">
        <v>3</v>
      </c>
      <c r="O74" s="401">
        <f t="shared" si="9"/>
        <v>162.32400000000001</v>
      </c>
      <c r="P74" s="299">
        <f>VLOOKUP($F74,'[1]Master Harga'!$E$5:$L$351,7,FALSE)</f>
        <v>47231.1</v>
      </c>
      <c r="Q74" s="543">
        <f t="shared" si="10"/>
        <v>7666741.0764000006</v>
      </c>
      <c r="R74" s="296">
        <f>VLOOKUP($F74,'[2]Master Harga'!$E$5:$L$348,7,FALSE)</f>
        <v>52971.317280000003</v>
      </c>
      <c r="S74" s="543">
        <f t="shared" si="11"/>
        <v>8598516.1061587203</v>
      </c>
      <c r="T74" s="296">
        <f>VLOOKUP($F74,'[2]Master Harga'!$E$5:$L$348,8,FALSE)</f>
        <v>56679.309489600004</v>
      </c>
      <c r="U74" s="544">
        <f t="shared" si="12"/>
        <v>9200412.2335898317</v>
      </c>
      <c r="V74" s="296">
        <f t="shared" si="13"/>
        <v>52293.908923200004</v>
      </c>
      <c r="W74" s="307">
        <f t="shared" si="14"/>
        <v>8488556.4720495176</v>
      </c>
      <c r="X74" s="545"/>
      <c r="Y74" s="296">
        <f t="shared" si="7"/>
        <v>19128.595499999999</v>
      </c>
      <c r="Z74" s="450"/>
    </row>
    <row r="75" spans="2:27" x14ac:dyDescent="0.35">
      <c r="B75" s="546"/>
      <c r="E75" s="547"/>
      <c r="F75" s="295" t="s">
        <v>543</v>
      </c>
      <c r="G75" s="364" t="s">
        <v>226</v>
      </c>
      <c r="H75" s="365"/>
      <c r="I75" s="366"/>
      <c r="J75" s="579" t="s">
        <v>170</v>
      </c>
      <c r="K75" s="548">
        <v>0</v>
      </c>
      <c r="L75" s="825">
        <f t="shared" si="8"/>
        <v>400.8</v>
      </c>
      <c r="M75" s="542">
        <v>0.5</v>
      </c>
      <c r="N75" s="437">
        <v>2</v>
      </c>
      <c r="O75" s="401">
        <f t="shared" si="9"/>
        <v>0</v>
      </c>
      <c r="P75" s="299">
        <v>152847</v>
      </c>
      <c r="Q75" s="543">
        <f t="shared" si="10"/>
        <v>0</v>
      </c>
      <c r="R75" s="296"/>
      <c r="S75" s="543"/>
      <c r="T75" s="296"/>
      <c r="U75" s="544"/>
      <c r="V75" s="296"/>
      <c r="W75" s="307"/>
      <c r="X75" s="545"/>
      <c r="Y75" s="296">
        <f t="shared" si="7"/>
        <v>0</v>
      </c>
      <c r="Z75" s="450"/>
    </row>
    <row r="76" spans="2:27" x14ac:dyDescent="0.35">
      <c r="B76" s="546"/>
      <c r="E76" s="547"/>
      <c r="F76" s="295" t="s">
        <v>231</v>
      </c>
      <c r="G76" s="364" t="s">
        <v>190</v>
      </c>
      <c r="H76" s="365"/>
      <c r="I76" s="366"/>
      <c r="J76" s="579" t="s">
        <v>170</v>
      </c>
      <c r="K76" s="548">
        <v>1</v>
      </c>
      <c r="L76" s="825">
        <f t="shared" si="8"/>
        <v>400.8</v>
      </c>
      <c r="M76" s="542">
        <f>M71</f>
        <v>0.75</v>
      </c>
      <c r="N76" s="437">
        <v>3</v>
      </c>
      <c r="O76" s="401">
        <f t="shared" si="9"/>
        <v>901.80000000000007</v>
      </c>
      <c r="P76" s="299">
        <f>VLOOKUP($F76,'[1]Master Harga'!$E$5:$L$351,7,FALSE)</f>
        <v>4244.625</v>
      </c>
      <c r="Q76" s="543">
        <f t="shared" si="10"/>
        <v>3827802.8250000002</v>
      </c>
      <c r="R76" s="296">
        <f>VLOOKUP($F76,'[2]Master Harga'!$E$5:$L$348,7,FALSE)</f>
        <v>4490.6400000000003</v>
      </c>
      <c r="S76" s="543">
        <f t="shared" si="11"/>
        <v>4049659.1520000007</v>
      </c>
      <c r="T76" s="296">
        <f>VLOOKUP($F76,'[2]Master Harga'!$E$5:$L$348,8,FALSE)</f>
        <v>4849.8912000000009</v>
      </c>
      <c r="U76" s="544">
        <f t="shared" si="12"/>
        <v>4373631.8841600008</v>
      </c>
      <c r="V76" s="296">
        <f t="shared" si="13"/>
        <v>4528.385400000001</v>
      </c>
      <c r="W76" s="307">
        <f t="shared" si="14"/>
        <v>4083697.953720001</v>
      </c>
      <c r="X76" s="545"/>
      <c r="Y76" s="296">
        <f t="shared" si="7"/>
        <v>9550.40625</v>
      </c>
      <c r="Z76" s="450"/>
      <c r="AA76" s="395"/>
    </row>
    <row r="77" spans="2:27" x14ac:dyDescent="0.35">
      <c r="B77" s="546"/>
      <c r="E77" s="547"/>
      <c r="F77" s="295" t="s">
        <v>449</v>
      </c>
      <c r="G77" s="364" t="s">
        <v>194</v>
      </c>
      <c r="H77" s="365"/>
      <c r="I77" s="366"/>
      <c r="J77" s="579" t="s">
        <v>170</v>
      </c>
      <c r="K77" s="548">
        <v>1</v>
      </c>
      <c r="L77" s="825">
        <f t="shared" si="8"/>
        <v>400.8</v>
      </c>
      <c r="M77" s="542">
        <f>0.00625*(1/2)</f>
        <v>3.1250000000000002E-3</v>
      </c>
      <c r="N77" s="437">
        <v>3</v>
      </c>
      <c r="O77" s="401">
        <f t="shared" si="9"/>
        <v>3.7575000000000003</v>
      </c>
      <c r="P77" s="299">
        <f>VLOOKUP($F77,'[1]Master Harga'!$E$5:$L$351,7,FALSE)</f>
        <v>0</v>
      </c>
      <c r="Q77" s="543">
        <f t="shared" si="10"/>
        <v>0</v>
      </c>
      <c r="R77" s="296">
        <f>VLOOKUP($F77,'[2]Master Harga'!$E$5:$L$348,7,FALSE)</f>
        <v>0</v>
      </c>
      <c r="S77" s="543">
        <f t="shared" si="11"/>
        <v>0</v>
      </c>
      <c r="T77" s="296">
        <f>VLOOKUP($F77,'[2]Master Harga'!$E$5:$L$348,8,FALSE)</f>
        <v>0</v>
      </c>
      <c r="U77" s="544">
        <f t="shared" si="12"/>
        <v>0</v>
      </c>
      <c r="V77" s="296">
        <f t="shared" si="13"/>
        <v>0</v>
      </c>
      <c r="W77" s="307">
        <f t="shared" si="14"/>
        <v>0</v>
      </c>
      <c r="X77" s="545"/>
      <c r="Y77" s="296">
        <f t="shared" si="7"/>
        <v>0</v>
      </c>
      <c r="Z77" s="450"/>
    </row>
    <row r="78" spans="2:27" x14ac:dyDescent="0.35">
      <c r="B78" s="546"/>
      <c r="E78" s="547"/>
      <c r="F78" s="295" t="s">
        <v>232</v>
      </c>
      <c r="G78" s="364" t="s">
        <v>194</v>
      </c>
      <c r="H78" s="365">
        <v>4</v>
      </c>
      <c r="I78" s="366" t="s">
        <v>233</v>
      </c>
      <c r="J78" s="579" t="s">
        <v>170</v>
      </c>
      <c r="K78" s="548">
        <v>1</v>
      </c>
      <c r="L78" s="825">
        <f t="shared" si="8"/>
        <v>400.8</v>
      </c>
      <c r="M78" s="552">
        <f>((M$71*N$71)/240*($H78/N78))</f>
        <v>1.2499999999999999E-2</v>
      </c>
      <c r="N78" s="437">
        <v>3</v>
      </c>
      <c r="O78" s="401">
        <f t="shared" si="9"/>
        <v>15.03</v>
      </c>
      <c r="P78" s="299">
        <f>VLOOKUP($F78,'[1]Master Harga'!$E$5:$L$351,7,FALSE)</f>
        <v>47231.1</v>
      </c>
      <c r="Q78" s="543">
        <f t="shared" si="10"/>
        <v>709883.43299999996</v>
      </c>
      <c r="R78" s="296">
        <f>VLOOKUP($F78,'[2]Master Harga'!$E$5:$L$348,7,FALSE)</f>
        <v>49968.576000000008</v>
      </c>
      <c r="S78" s="543">
        <f t="shared" si="11"/>
        <v>751027.69728000008</v>
      </c>
      <c r="T78" s="296">
        <f>VLOOKUP($F78,'[2]Master Harga'!$E$5:$L$348,8,FALSE)</f>
        <v>53966.062080000011</v>
      </c>
      <c r="U78" s="544">
        <f t="shared" si="12"/>
        <v>811109.91306240007</v>
      </c>
      <c r="V78" s="296">
        <f t="shared" si="13"/>
        <v>50388.579360000011</v>
      </c>
      <c r="W78" s="307">
        <f t="shared" si="14"/>
        <v>757340.34778080008</v>
      </c>
      <c r="X78" s="731"/>
      <c r="Y78" s="296">
        <f t="shared" si="7"/>
        <v>1771.1662499999998</v>
      </c>
      <c r="Z78" s="450"/>
    </row>
    <row r="79" spans="2:27" x14ac:dyDescent="0.35">
      <c r="B79" s="546"/>
      <c r="E79" s="547"/>
      <c r="F79" s="295" t="s">
        <v>234</v>
      </c>
      <c r="G79" s="364" t="s">
        <v>194</v>
      </c>
      <c r="H79" s="365">
        <v>12</v>
      </c>
      <c r="I79" s="366" t="s">
        <v>233</v>
      </c>
      <c r="J79" s="579" t="s">
        <v>170</v>
      </c>
      <c r="K79" s="548">
        <v>1</v>
      </c>
      <c r="L79" s="825">
        <f t="shared" si="8"/>
        <v>400.8</v>
      </c>
      <c r="M79" s="552">
        <f>((M$71*N$71)/240*($H79/N79))</f>
        <v>3.7499999999999999E-2</v>
      </c>
      <c r="N79" s="437">
        <v>3</v>
      </c>
      <c r="O79" s="401">
        <f t="shared" si="9"/>
        <v>45.089999999999996</v>
      </c>
      <c r="P79" s="299">
        <f>VLOOKUP($F79,'[1]Master Harga'!$E$5:$L$351,7,FALSE)</f>
        <v>15435</v>
      </c>
      <c r="Q79" s="543">
        <f t="shared" si="10"/>
        <v>695964.14999999991</v>
      </c>
      <c r="R79" s="296">
        <f>VLOOKUP($F79,'[2]Master Harga'!$E$5:$L$348,7,FALSE)</f>
        <v>16329.600000000002</v>
      </c>
      <c r="S79" s="543">
        <f t="shared" si="11"/>
        <v>736301.66399999999</v>
      </c>
      <c r="T79" s="296">
        <f>VLOOKUP($F79,'[2]Master Harga'!$E$5:$L$348,8,FALSE)</f>
        <v>17635.968000000004</v>
      </c>
      <c r="U79" s="544">
        <f t="shared" si="12"/>
        <v>795205.79712000012</v>
      </c>
      <c r="V79" s="296">
        <f t="shared" si="13"/>
        <v>16466.856</v>
      </c>
      <c r="W79" s="307">
        <f t="shared" si="14"/>
        <v>742490.53703999997</v>
      </c>
      <c r="X79" s="731"/>
      <c r="Y79" s="296">
        <f t="shared" si="7"/>
        <v>1736.4374999999998</v>
      </c>
      <c r="Z79" s="450"/>
    </row>
    <row r="80" spans="2:27" x14ac:dyDescent="0.35">
      <c r="B80" s="546"/>
      <c r="E80" s="547"/>
      <c r="F80" s="295" t="s">
        <v>235</v>
      </c>
      <c r="G80" s="364" t="s">
        <v>194</v>
      </c>
      <c r="H80" s="365">
        <v>1</v>
      </c>
      <c r="I80" s="366" t="s">
        <v>233</v>
      </c>
      <c r="J80" s="579" t="s">
        <v>170</v>
      </c>
      <c r="K80" s="548">
        <v>1</v>
      </c>
      <c r="L80" s="825">
        <f t="shared" si="8"/>
        <v>400.8</v>
      </c>
      <c r="M80" s="552">
        <f>((M$71*N$71)/240*($H80/N80))</f>
        <v>3.1249999999999997E-3</v>
      </c>
      <c r="N80" s="437">
        <v>3</v>
      </c>
      <c r="O80" s="401">
        <f t="shared" si="9"/>
        <v>3.7574999999999998</v>
      </c>
      <c r="P80" s="299">
        <f>VLOOKUP($F80,'[1]Master Harga'!$E$5:$L$351,7,FALSE)</f>
        <v>41327.212500000001</v>
      </c>
      <c r="Q80" s="543">
        <f t="shared" si="10"/>
        <v>155287.00096875001</v>
      </c>
      <c r="R80" s="296">
        <f>VLOOKUP($F80,'[2]Master Harga'!$E$5:$L$348,7,FALSE)</f>
        <v>43722.504000000008</v>
      </c>
      <c r="S80" s="543">
        <f t="shared" si="11"/>
        <v>164287.30878000002</v>
      </c>
      <c r="T80" s="296">
        <f>VLOOKUP($F80,'[2]Master Harga'!$E$5:$L$348,8,FALSE)</f>
        <v>47220.30432000001</v>
      </c>
      <c r="U80" s="544">
        <f t="shared" si="12"/>
        <v>177430.29348240004</v>
      </c>
      <c r="V80" s="296">
        <f t="shared" si="13"/>
        <v>44090.006940000014</v>
      </c>
      <c r="W80" s="307">
        <f t="shared" si="14"/>
        <v>165668.20107705003</v>
      </c>
      <c r="X80" s="731"/>
      <c r="Y80" s="296">
        <f t="shared" si="7"/>
        <v>387.44261718750005</v>
      </c>
      <c r="Z80" s="450"/>
    </row>
    <row r="81" spans="2:26" x14ac:dyDescent="0.35">
      <c r="B81" s="546"/>
      <c r="E81" s="547"/>
      <c r="F81" s="295" t="s">
        <v>236</v>
      </c>
      <c r="G81" s="364" t="s">
        <v>194</v>
      </c>
      <c r="H81" s="365">
        <v>2</v>
      </c>
      <c r="I81" s="366" t="s">
        <v>233</v>
      </c>
      <c r="J81" s="579" t="s">
        <v>170</v>
      </c>
      <c r="K81" s="548">
        <v>1</v>
      </c>
      <c r="L81" s="825">
        <f t="shared" si="8"/>
        <v>400.8</v>
      </c>
      <c r="M81" s="552">
        <f>((M$71*N$71)/240*($H81/N81))</f>
        <v>6.2499999999999995E-3</v>
      </c>
      <c r="N81" s="437">
        <v>3</v>
      </c>
      <c r="O81" s="401">
        <f t="shared" si="9"/>
        <v>7.5149999999999997</v>
      </c>
      <c r="P81" s="299">
        <f>VLOOKUP($F81,'[1]Master Harga'!$E$5:$L$351,7,FALSE)</f>
        <v>35423.325000000004</v>
      </c>
      <c r="Q81" s="543">
        <f t="shared" si="10"/>
        <v>266206.28737500001</v>
      </c>
      <c r="R81" s="296">
        <f>VLOOKUP($F81,'[2]Master Harga'!$E$5:$L$348,7,FALSE)</f>
        <v>37476.432000000001</v>
      </c>
      <c r="S81" s="543">
        <f t="shared" si="11"/>
        <v>281635.38647999999</v>
      </c>
      <c r="T81" s="296">
        <f>VLOOKUP($F81,'[2]Master Harga'!$E$5:$L$348,8,FALSE)</f>
        <v>40474.546560000003</v>
      </c>
      <c r="U81" s="544">
        <f t="shared" si="12"/>
        <v>304166.21739840001</v>
      </c>
      <c r="V81" s="296">
        <f t="shared" si="13"/>
        <v>37791.434520000003</v>
      </c>
      <c r="W81" s="307">
        <f t="shared" si="14"/>
        <v>284002.63041779998</v>
      </c>
      <c r="X81" s="731"/>
      <c r="Y81" s="296">
        <f t="shared" si="7"/>
        <v>664.18734374999997</v>
      </c>
      <c r="Z81" s="450"/>
    </row>
    <row r="82" spans="2:26" x14ac:dyDescent="0.35">
      <c r="B82" s="546"/>
      <c r="D82" s="550"/>
      <c r="E82" s="551"/>
      <c r="F82" s="295" t="s">
        <v>237</v>
      </c>
      <c r="G82" s="364" t="s">
        <v>194</v>
      </c>
      <c r="H82" s="365">
        <v>1</v>
      </c>
      <c r="I82" s="366" t="s">
        <v>233</v>
      </c>
      <c r="J82" s="579" t="s">
        <v>170</v>
      </c>
      <c r="K82" s="548">
        <v>1</v>
      </c>
      <c r="L82" s="825">
        <f t="shared" si="8"/>
        <v>400.8</v>
      </c>
      <c r="M82" s="552">
        <f>((M$71*N$71)/240*($H82/N82))</f>
        <v>3.1249999999999997E-3</v>
      </c>
      <c r="N82" s="437">
        <v>3</v>
      </c>
      <c r="O82" s="401">
        <f t="shared" si="9"/>
        <v>3.7574999999999998</v>
      </c>
      <c r="P82" s="299">
        <f>VLOOKUP($F82,'[1]Master Harga'!$E$5:$L$351,7,FALSE)</f>
        <v>94462.2</v>
      </c>
      <c r="Q82" s="543">
        <f t="shared" si="10"/>
        <v>354941.71649999998</v>
      </c>
      <c r="R82" s="296">
        <f>VLOOKUP($F82,'[2]Master Harga'!$E$5:$L$348,7,FALSE)</f>
        <v>99937.152000000016</v>
      </c>
      <c r="S82" s="543">
        <f t="shared" si="11"/>
        <v>375513.84864000004</v>
      </c>
      <c r="T82" s="296">
        <f>VLOOKUP($F82,'[2]Master Harga'!$E$5:$L$348,8,FALSE)</f>
        <v>107932.12416000002</v>
      </c>
      <c r="U82" s="544">
        <f t="shared" si="12"/>
        <v>405554.95653120003</v>
      </c>
      <c r="V82" s="296">
        <f t="shared" si="13"/>
        <v>100777.15872000002</v>
      </c>
      <c r="W82" s="307">
        <f t="shared" si="14"/>
        <v>378670.17389040004</v>
      </c>
      <c r="X82" s="731"/>
      <c r="Y82" s="296">
        <f t="shared" si="7"/>
        <v>885.58312499999988</v>
      </c>
      <c r="Z82" s="450"/>
    </row>
    <row r="83" spans="2:26" ht="29.25" customHeight="1" x14ac:dyDescent="0.35">
      <c r="B83" s="685" t="s">
        <v>544</v>
      </c>
      <c r="C83" s="864"/>
      <c r="D83" s="864"/>
      <c r="E83" s="865"/>
      <c r="F83" s="688"/>
      <c r="G83" s="689"/>
      <c r="H83" s="690"/>
      <c r="I83" s="691"/>
      <c r="J83" s="689"/>
      <c r="K83" s="692"/>
      <c r="L83" s="866"/>
      <c r="M83" s="694"/>
      <c r="N83" s="695"/>
      <c r="O83" s="690"/>
      <c r="P83" s="696"/>
      <c r="Q83" s="697">
        <f>SUM(Q71:Q82)</f>
        <v>164306536.41288379</v>
      </c>
      <c r="R83" s="696"/>
      <c r="S83" s="697">
        <f>SUM(S71:S82)</f>
        <v>170551236.18038264</v>
      </c>
      <c r="T83" s="684"/>
      <c r="U83" s="684"/>
      <c r="V83" s="684"/>
      <c r="W83" s="684"/>
      <c r="X83" s="690"/>
      <c r="Y83" s="727">
        <f t="shared" si="7"/>
        <v>409946.44813593756</v>
      </c>
      <c r="Z83" s="867">
        <f>(Y83/$Y$421)*100</f>
        <v>2.958355589950397</v>
      </c>
    </row>
    <row r="84" spans="2:26" x14ac:dyDescent="0.35">
      <c r="B84" s="546"/>
      <c r="D84" s="540" t="s">
        <v>450</v>
      </c>
      <c r="E84" s="541"/>
      <c r="F84" s="295" t="s">
        <v>189</v>
      </c>
      <c r="G84" s="364" t="s">
        <v>190</v>
      </c>
      <c r="H84" s="365"/>
      <c r="I84" s="366"/>
      <c r="J84" s="364"/>
      <c r="K84" s="308"/>
      <c r="L84" s="825"/>
      <c r="M84" s="542"/>
      <c r="N84" s="296"/>
      <c r="O84" s="365"/>
      <c r="P84" s="543"/>
      <c r="Q84" s="543"/>
      <c r="R84" s="543"/>
      <c r="S84" s="543"/>
      <c r="T84" s="544"/>
      <c r="U84" s="544"/>
      <c r="V84" s="544"/>
      <c r="W84" s="544"/>
      <c r="X84" s="545"/>
      <c r="Y84" s="296">
        <f t="shared" si="7"/>
        <v>0</v>
      </c>
      <c r="Z84" s="295"/>
    </row>
    <row r="85" spans="2:26" hidden="1" x14ac:dyDescent="0.35">
      <c r="B85" s="546"/>
      <c r="E85" s="547"/>
      <c r="F85" s="295" t="s">
        <v>225</v>
      </c>
      <c r="G85" s="364" t="s">
        <v>226</v>
      </c>
      <c r="H85" s="365"/>
      <c r="I85" s="366"/>
      <c r="J85" s="364"/>
      <c r="K85" s="308"/>
      <c r="L85" s="825"/>
      <c r="M85" s="542"/>
      <c r="N85" s="296"/>
      <c r="O85" s="365"/>
      <c r="P85" s="543"/>
      <c r="Q85" s="543"/>
      <c r="R85" s="543"/>
      <c r="S85" s="543"/>
      <c r="T85" s="544"/>
      <c r="U85" s="544"/>
      <c r="V85" s="544"/>
      <c r="W85" s="544"/>
      <c r="X85" s="545"/>
      <c r="Y85" s="296">
        <f t="shared" si="7"/>
        <v>0</v>
      </c>
      <c r="Z85" s="295"/>
    </row>
    <row r="86" spans="2:26" hidden="1" x14ac:dyDescent="0.35">
      <c r="B86" s="546"/>
      <c r="E86" s="547"/>
      <c r="F86" s="295" t="s">
        <v>227</v>
      </c>
      <c r="G86" s="364" t="s">
        <v>192</v>
      </c>
      <c r="H86" s="365"/>
      <c r="I86" s="366"/>
      <c r="J86" s="364"/>
      <c r="K86" s="308"/>
      <c r="L86" s="825"/>
      <c r="M86" s="542"/>
      <c r="N86" s="296"/>
      <c r="O86" s="365"/>
      <c r="P86" s="543"/>
      <c r="Q86" s="543"/>
      <c r="R86" s="543"/>
      <c r="S86" s="543"/>
      <c r="T86" s="544"/>
      <c r="U86" s="544"/>
      <c r="V86" s="544"/>
      <c r="W86" s="544"/>
      <c r="X86" s="545"/>
      <c r="Y86" s="296">
        <f t="shared" si="7"/>
        <v>0</v>
      </c>
      <c r="Z86" s="295"/>
    </row>
    <row r="87" spans="2:26" hidden="1" x14ac:dyDescent="0.35">
      <c r="B87" s="546"/>
      <c r="E87" s="547"/>
      <c r="F87" s="295" t="s">
        <v>230</v>
      </c>
      <c r="G87" s="364" t="s">
        <v>226</v>
      </c>
      <c r="H87" s="365"/>
      <c r="I87" s="366"/>
      <c r="J87" s="364"/>
      <c r="K87" s="308"/>
      <c r="L87" s="825"/>
      <c r="M87" s="542"/>
      <c r="N87" s="296"/>
      <c r="O87" s="365"/>
      <c r="P87" s="543"/>
      <c r="Q87" s="543"/>
      <c r="R87" s="543"/>
      <c r="S87" s="543"/>
      <c r="T87" s="544"/>
      <c r="U87" s="544"/>
      <c r="V87" s="544"/>
      <c r="W87" s="544"/>
      <c r="X87" s="545"/>
      <c r="Y87" s="296">
        <f t="shared" si="7"/>
        <v>0</v>
      </c>
      <c r="Z87" s="295"/>
    </row>
    <row r="88" spans="2:26" hidden="1" x14ac:dyDescent="0.35">
      <c r="B88" s="546"/>
      <c r="E88" s="547"/>
      <c r="F88" s="295" t="s">
        <v>231</v>
      </c>
      <c r="G88" s="364" t="s">
        <v>190</v>
      </c>
      <c r="H88" s="365"/>
      <c r="I88" s="366"/>
      <c r="J88" s="364"/>
      <c r="K88" s="308"/>
      <c r="L88" s="825"/>
      <c r="M88" s="542"/>
      <c r="N88" s="296"/>
      <c r="O88" s="365"/>
      <c r="P88" s="543"/>
      <c r="Q88" s="543"/>
      <c r="R88" s="543"/>
      <c r="S88" s="543"/>
      <c r="T88" s="544"/>
      <c r="U88" s="544"/>
      <c r="V88" s="544"/>
      <c r="W88" s="544"/>
      <c r="X88" s="545"/>
      <c r="Y88" s="296">
        <f t="shared" si="7"/>
        <v>0</v>
      </c>
      <c r="Z88" s="295"/>
    </row>
    <row r="89" spans="2:26" hidden="1" x14ac:dyDescent="0.35">
      <c r="B89" s="546"/>
      <c r="E89" s="547"/>
      <c r="F89" s="295" t="s">
        <v>224</v>
      </c>
      <c r="G89" s="364" t="s">
        <v>194</v>
      </c>
      <c r="H89" s="365"/>
      <c r="I89" s="366"/>
      <c r="J89" s="364"/>
      <c r="K89" s="308"/>
      <c r="L89" s="825"/>
      <c r="M89" s="542"/>
      <c r="N89" s="296"/>
      <c r="O89" s="365"/>
      <c r="P89" s="543"/>
      <c r="Q89" s="543"/>
      <c r="R89" s="543"/>
      <c r="S89" s="543"/>
      <c r="T89" s="544"/>
      <c r="U89" s="544"/>
      <c r="V89" s="544"/>
      <c r="W89" s="544"/>
      <c r="X89" s="545"/>
      <c r="Y89" s="296">
        <f t="shared" si="7"/>
        <v>0</v>
      </c>
      <c r="Z89" s="295"/>
    </row>
    <row r="90" spans="2:26" hidden="1" x14ac:dyDescent="0.35">
      <c r="B90" s="546"/>
      <c r="E90" s="547"/>
      <c r="F90" s="295" t="s">
        <v>232</v>
      </c>
      <c r="G90" s="364" t="s">
        <v>194</v>
      </c>
      <c r="H90" s="365"/>
      <c r="I90" s="366"/>
      <c r="J90" s="364"/>
      <c r="K90" s="308"/>
      <c r="L90" s="825"/>
      <c r="M90" s="542"/>
      <c r="N90" s="296"/>
      <c r="O90" s="365"/>
      <c r="P90" s="543"/>
      <c r="Q90" s="543"/>
      <c r="R90" s="543"/>
      <c r="S90" s="543"/>
      <c r="T90" s="544"/>
      <c r="U90" s="544"/>
      <c r="V90" s="544"/>
      <c r="W90" s="544"/>
      <c r="X90" s="545"/>
      <c r="Y90" s="296">
        <f t="shared" si="7"/>
        <v>0</v>
      </c>
      <c r="Z90" s="295"/>
    </row>
    <row r="91" spans="2:26" hidden="1" x14ac:dyDescent="0.35">
      <c r="B91" s="546"/>
      <c r="E91" s="547"/>
      <c r="F91" s="295" t="s">
        <v>451</v>
      </c>
      <c r="G91" s="364" t="s">
        <v>194</v>
      </c>
      <c r="H91" s="365"/>
      <c r="I91" s="366"/>
      <c r="J91" s="364"/>
      <c r="K91" s="308"/>
      <c r="L91" s="825"/>
      <c r="M91" s="542"/>
      <c r="N91" s="296"/>
      <c r="O91" s="365"/>
      <c r="P91" s="543"/>
      <c r="Q91" s="543"/>
      <c r="R91" s="543"/>
      <c r="S91" s="543"/>
      <c r="T91" s="544"/>
      <c r="U91" s="544"/>
      <c r="V91" s="544"/>
      <c r="W91" s="544"/>
      <c r="X91" s="545"/>
      <c r="Y91" s="296">
        <f t="shared" si="7"/>
        <v>0</v>
      </c>
      <c r="Z91" s="295"/>
    </row>
    <row r="92" spans="2:26" hidden="1" x14ac:dyDescent="0.35">
      <c r="B92" s="546"/>
      <c r="E92" s="547"/>
      <c r="F92" s="295" t="s">
        <v>235</v>
      </c>
      <c r="G92" s="364" t="s">
        <v>194</v>
      </c>
      <c r="H92" s="365"/>
      <c r="I92" s="366"/>
      <c r="J92" s="364"/>
      <c r="K92" s="308"/>
      <c r="L92" s="825"/>
      <c r="M92" s="542"/>
      <c r="N92" s="296"/>
      <c r="O92" s="365"/>
      <c r="P92" s="543"/>
      <c r="Q92" s="543"/>
      <c r="R92" s="543"/>
      <c r="S92" s="543"/>
      <c r="T92" s="544"/>
      <c r="U92" s="544"/>
      <c r="V92" s="544"/>
      <c r="W92" s="544"/>
      <c r="X92" s="545"/>
      <c r="Y92" s="296">
        <f t="shared" si="7"/>
        <v>0</v>
      </c>
      <c r="Z92" s="295"/>
    </row>
    <row r="93" spans="2:26" hidden="1" x14ac:dyDescent="0.35">
      <c r="B93" s="546"/>
      <c r="E93" s="547"/>
      <c r="F93" s="295" t="s">
        <v>236</v>
      </c>
      <c r="G93" s="364" t="s">
        <v>194</v>
      </c>
      <c r="H93" s="365"/>
      <c r="I93" s="366"/>
      <c r="J93" s="364"/>
      <c r="K93" s="308"/>
      <c r="L93" s="825"/>
      <c r="M93" s="542"/>
      <c r="N93" s="296"/>
      <c r="O93" s="365"/>
      <c r="P93" s="543"/>
      <c r="Q93" s="543"/>
      <c r="R93" s="543"/>
      <c r="S93" s="543"/>
      <c r="T93" s="544"/>
      <c r="U93" s="544"/>
      <c r="V93" s="544"/>
      <c r="W93" s="544"/>
      <c r="X93" s="545"/>
      <c r="Y93" s="296">
        <f t="shared" si="7"/>
        <v>0</v>
      </c>
      <c r="Z93" s="295"/>
    </row>
    <row r="94" spans="2:26" hidden="1" x14ac:dyDescent="0.35">
      <c r="B94" s="546"/>
      <c r="D94" s="550"/>
      <c r="E94" s="551"/>
      <c r="F94" s="295" t="s">
        <v>237</v>
      </c>
      <c r="G94" s="364" t="s">
        <v>194</v>
      </c>
      <c r="H94" s="365"/>
      <c r="I94" s="366"/>
      <c r="J94" s="364"/>
      <c r="K94" s="308"/>
      <c r="L94" s="825"/>
      <c r="M94" s="542"/>
      <c r="N94" s="296"/>
      <c r="O94" s="365"/>
      <c r="P94" s="543"/>
      <c r="Q94" s="543"/>
      <c r="R94" s="543"/>
      <c r="S94" s="543"/>
      <c r="T94" s="544"/>
      <c r="U94" s="544"/>
      <c r="V94" s="544"/>
      <c r="W94" s="544"/>
      <c r="X94" s="545"/>
      <c r="Y94" s="296">
        <f t="shared" si="7"/>
        <v>0</v>
      </c>
      <c r="Z94" s="295"/>
    </row>
    <row r="95" spans="2:26" x14ac:dyDescent="0.35">
      <c r="B95" s="546"/>
      <c r="D95" s="540" t="s">
        <v>452</v>
      </c>
      <c r="E95" s="541"/>
      <c r="F95" s="295" t="s">
        <v>189</v>
      </c>
      <c r="G95" s="364" t="s">
        <v>190</v>
      </c>
      <c r="H95" s="365"/>
      <c r="I95" s="366"/>
      <c r="J95" s="364"/>
      <c r="K95" s="308"/>
      <c r="L95" s="825"/>
      <c r="M95" s="542"/>
      <c r="N95" s="296"/>
      <c r="O95" s="365"/>
      <c r="P95" s="543"/>
      <c r="Q95" s="543"/>
      <c r="R95" s="543"/>
      <c r="S95" s="543"/>
      <c r="T95" s="544"/>
      <c r="U95" s="544"/>
      <c r="V95" s="544"/>
      <c r="W95" s="544"/>
      <c r="X95" s="545"/>
      <c r="Y95" s="296">
        <f t="shared" si="7"/>
        <v>0</v>
      </c>
      <c r="Z95" s="295"/>
    </row>
    <row r="96" spans="2:26" hidden="1" x14ac:dyDescent="0.35">
      <c r="B96" s="546"/>
      <c r="E96" s="547"/>
      <c r="F96" s="295" t="s">
        <v>225</v>
      </c>
      <c r="G96" s="364" t="s">
        <v>226</v>
      </c>
      <c r="H96" s="365"/>
      <c r="I96" s="366"/>
      <c r="J96" s="364"/>
      <c r="K96" s="308"/>
      <c r="L96" s="825"/>
      <c r="M96" s="542"/>
      <c r="N96" s="296"/>
      <c r="O96" s="365"/>
      <c r="P96" s="543"/>
      <c r="Q96" s="543"/>
      <c r="R96" s="543"/>
      <c r="S96" s="543"/>
      <c r="T96" s="544"/>
      <c r="U96" s="544"/>
      <c r="V96" s="544"/>
      <c r="W96" s="544"/>
      <c r="X96" s="545"/>
      <c r="Y96" s="296">
        <f t="shared" si="7"/>
        <v>0</v>
      </c>
      <c r="Z96" s="295"/>
    </row>
    <row r="97" spans="2:26" hidden="1" x14ac:dyDescent="0.35">
      <c r="B97" s="546"/>
      <c r="E97" s="547"/>
      <c r="F97" s="295" t="s">
        <v>227</v>
      </c>
      <c r="G97" s="364" t="s">
        <v>192</v>
      </c>
      <c r="H97" s="365"/>
      <c r="I97" s="366"/>
      <c r="J97" s="364"/>
      <c r="K97" s="308"/>
      <c r="L97" s="825"/>
      <c r="M97" s="542"/>
      <c r="N97" s="296"/>
      <c r="O97" s="365"/>
      <c r="P97" s="543"/>
      <c r="Q97" s="543"/>
      <c r="R97" s="543"/>
      <c r="S97" s="543"/>
      <c r="T97" s="544"/>
      <c r="U97" s="544"/>
      <c r="V97" s="544"/>
      <c r="W97" s="544"/>
      <c r="X97" s="545"/>
      <c r="Y97" s="296">
        <f t="shared" si="7"/>
        <v>0</v>
      </c>
      <c r="Z97" s="295"/>
    </row>
    <row r="98" spans="2:26" hidden="1" x14ac:dyDescent="0.35">
      <c r="B98" s="546"/>
      <c r="E98" s="547"/>
      <c r="F98" s="295" t="s">
        <v>230</v>
      </c>
      <c r="G98" s="364" t="s">
        <v>226</v>
      </c>
      <c r="H98" s="365"/>
      <c r="I98" s="366"/>
      <c r="J98" s="364"/>
      <c r="K98" s="308"/>
      <c r="L98" s="825"/>
      <c r="M98" s="542"/>
      <c r="N98" s="296"/>
      <c r="O98" s="365"/>
      <c r="P98" s="543"/>
      <c r="Q98" s="543"/>
      <c r="R98" s="543"/>
      <c r="S98" s="543"/>
      <c r="T98" s="544"/>
      <c r="U98" s="544"/>
      <c r="V98" s="544"/>
      <c r="W98" s="544"/>
      <c r="X98" s="545"/>
      <c r="Y98" s="296">
        <f t="shared" si="7"/>
        <v>0</v>
      </c>
      <c r="Z98" s="295"/>
    </row>
    <row r="99" spans="2:26" hidden="1" x14ac:dyDescent="0.35">
      <c r="B99" s="546"/>
      <c r="E99" s="547"/>
      <c r="F99" s="295" t="s">
        <v>231</v>
      </c>
      <c r="G99" s="364" t="s">
        <v>190</v>
      </c>
      <c r="H99" s="365"/>
      <c r="I99" s="366"/>
      <c r="J99" s="364"/>
      <c r="K99" s="308"/>
      <c r="L99" s="825"/>
      <c r="M99" s="542"/>
      <c r="N99" s="296"/>
      <c r="O99" s="365"/>
      <c r="P99" s="543"/>
      <c r="Q99" s="543"/>
      <c r="R99" s="543"/>
      <c r="S99" s="543"/>
      <c r="T99" s="544"/>
      <c r="U99" s="544"/>
      <c r="V99" s="544"/>
      <c r="W99" s="544"/>
      <c r="X99" s="545"/>
      <c r="Y99" s="296">
        <f t="shared" si="7"/>
        <v>0</v>
      </c>
      <c r="Z99" s="295"/>
    </row>
    <row r="100" spans="2:26" hidden="1" x14ac:dyDescent="0.35">
      <c r="B100" s="546"/>
      <c r="E100" s="547"/>
      <c r="F100" s="295" t="s">
        <v>224</v>
      </c>
      <c r="G100" s="364" t="s">
        <v>194</v>
      </c>
      <c r="H100" s="365"/>
      <c r="I100" s="366"/>
      <c r="J100" s="364"/>
      <c r="K100" s="308"/>
      <c r="L100" s="825"/>
      <c r="M100" s="542"/>
      <c r="N100" s="296"/>
      <c r="O100" s="365"/>
      <c r="P100" s="543"/>
      <c r="Q100" s="543"/>
      <c r="R100" s="543"/>
      <c r="S100" s="543"/>
      <c r="T100" s="544"/>
      <c r="U100" s="544"/>
      <c r="V100" s="544"/>
      <c r="W100" s="544"/>
      <c r="X100" s="545"/>
      <c r="Y100" s="296">
        <f t="shared" si="7"/>
        <v>0</v>
      </c>
      <c r="Z100" s="295"/>
    </row>
    <row r="101" spans="2:26" hidden="1" x14ac:dyDescent="0.35">
      <c r="B101" s="546"/>
      <c r="E101" s="547"/>
      <c r="F101" s="295" t="s">
        <v>232</v>
      </c>
      <c r="G101" s="364" t="s">
        <v>194</v>
      </c>
      <c r="H101" s="365"/>
      <c r="I101" s="366"/>
      <c r="J101" s="364"/>
      <c r="K101" s="308"/>
      <c r="L101" s="825"/>
      <c r="M101" s="542"/>
      <c r="N101" s="296"/>
      <c r="O101" s="365"/>
      <c r="P101" s="543"/>
      <c r="Q101" s="543"/>
      <c r="R101" s="543"/>
      <c r="S101" s="543"/>
      <c r="T101" s="544"/>
      <c r="U101" s="544"/>
      <c r="V101" s="544"/>
      <c r="W101" s="544"/>
      <c r="X101" s="545"/>
      <c r="Y101" s="296">
        <f t="shared" si="7"/>
        <v>0</v>
      </c>
      <c r="Z101" s="295"/>
    </row>
    <row r="102" spans="2:26" hidden="1" x14ac:dyDescent="0.35">
      <c r="B102" s="546"/>
      <c r="E102" s="547"/>
      <c r="F102" s="295" t="s">
        <v>451</v>
      </c>
      <c r="G102" s="364" t="s">
        <v>194</v>
      </c>
      <c r="H102" s="365"/>
      <c r="I102" s="366"/>
      <c r="J102" s="364"/>
      <c r="K102" s="308"/>
      <c r="L102" s="825"/>
      <c r="M102" s="542"/>
      <c r="N102" s="296"/>
      <c r="O102" s="365"/>
      <c r="P102" s="543"/>
      <c r="Q102" s="543"/>
      <c r="R102" s="543"/>
      <c r="S102" s="543"/>
      <c r="T102" s="544"/>
      <c r="U102" s="544"/>
      <c r="V102" s="544"/>
      <c r="W102" s="544"/>
      <c r="X102" s="545"/>
      <c r="Y102" s="296">
        <f t="shared" si="7"/>
        <v>0</v>
      </c>
      <c r="Z102" s="295"/>
    </row>
    <row r="103" spans="2:26" hidden="1" x14ac:dyDescent="0.35">
      <c r="B103" s="546"/>
      <c r="E103" s="547"/>
      <c r="F103" s="295" t="s">
        <v>235</v>
      </c>
      <c r="G103" s="364" t="s">
        <v>194</v>
      </c>
      <c r="H103" s="365"/>
      <c r="I103" s="366"/>
      <c r="J103" s="364"/>
      <c r="K103" s="308"/>
      <c r="L103" s="825"/>
      <c r="M103" s="542"/>
      <c r="N103" s="296"/>
      <c r="O103" s="365"/>
      <c r="P103" s="543"/>
      <c r="Q103" s="543"/>
      <c r="R103" s="543"/>
      <c r="S103" s="543"/>
      <c r="T103" s="544"/>
      <c r="U103" s="544"/>
      <c r="V103" s="544"/>
      <c r="W103" s="544"/>
      <c r="X103" s="545"/>
      <c r="Y103" s="296">
        <f t="shared" si="7"/>
        <v>0</v>
      </c>
      <c r="Z103" s="295"/>
    </row>
    <row r="104" spans="2:26" hidden="1" x14ac:dyDescent="0.35">
      <c r="B104" s="546"/>
      <c r="E104" s="547"/>
      <c r="F104" s="295" t="s">
        <v>236</v>
      </c>
      <c r="G104" s="364" t="s">
        <v>194</v>
      </c>
      <c r="H104" s="365"/>
      <c r="I104" s="366"/>
      <c r="J104" s="364"/>
      <c r="K104" s="308"/>
      <c r="L104" s="825"/>
      <c r="M104" s="542"/>
      <c r="N104" s="296"/>
      <c r="O104" s="365"/>
      <c r="P104" s="543"/>
      <c r="Q104" s="543"/>
      <c r="R104" s="543"/>
      <c r="S104" s="543"/>
      <c r="T104" s="544"/>
      <c r="U104" s="544"/>
      <c r="V104" s="544"/>
      <c r="W104" s="544"/>
      <c r="X104" s="545"/>
      <c r="Y104" s="296">
        <f t="shared" si="7"/>
        <v>0</v>
      </c>
      <c r="Z104" s="295"/>
    </row>
    <row r="105" spans="2:26" hidden="1" x14ac:dyDescent="0.35">
      <c r="B105" s="549"/>
      <c r="C105" s="550"/>
      <c r="D105" s="550"/>
      <c r="E105" s="551"/>
      <c r="F105" s="295" t="s">
        <v>237</v>
      </c>
      <c r="G105" s="364" t="s">
        <v>194</v>
      </c>
      <c r="H105" s="365"/>
      <c r="I105" s="366"/>
      <c r="J105" s="364"/>
      <c r="K105" s="308"/>
      <c r="L105" s="825"/>
      <c r="M105" s="542"/>
      <c r="N105" s="296"/>
      <c r="O105" s="365"/>
      <c r="P105" s="543"/>
      <c r="Q105" s="543"/>
      <c r="R105" s="543"/>
      <c r="S105" s="543"/>
      <c r="T105" s="544"/>
      <c r="U105" s="544"/>
      <c r="V105" s="544"/>
      <c r="W105" s="544"/>
      <c r="X105" s="545"/>
      <c r="Y105" s="296">
        <f t="shared" si="7"/>
        <v>0</v>
      </c>
      <c r="Z105" s="295"/>
    </row>
    <row r="106" spans="2:26" x14ac:dyDescent="0.35">
      <c r="B106" s="539"/>
      <c r="C106" s="540" t="s">
        <v>91</v>
      </c>
      <c r="D106" s="540"/>
      <c r="E106" s="541"/>
      <c r="F106" s="295" t="s">
        <v>189</v>
      </c>
      <c r="G106" s="364" t="s">
        <v>190</v>
      </c>
      <c r="H106" s="365"/>
      <c r="I106" s="366"/>
      <c r="J106" s="364" t="s">
        <v>170</v>
      </c>
      <c r="K106" s="548">
        <v>1</v>
      </c>
      <c r="L106" s="825">
        <f t="shared" ref="L106:L108" si="15">$L$59</f>
        <v>400.8</v>
      </c>
      <c r="M106" s="542">
        <v>2</v>
      </c>
      <c r="N106" s="296">
        <v>2</v>
      </c>
      <c r="O106" s="401">
        <f>K106*L106*M106*N106</f>
        <v>1603.2</v>
      </c>
      <c r="P106" s="299">
        <f>VLOOKUP($F106,'[1]Master Harga'!$E$5:$L$351,7,FALSE)</f>
        <v>158800.57379999998</v>
      </c>
      <c r="Q106" s="543">
        <f>P106*$O106</f>
        <v>254589079.91615999</v>
      </c>
      <c r="R106" s="296">
        <f>VLOOKUP($F106,'[2]Master Harga'!$E$5:$L$348,7,FALSE)</f>
        <v>163305.33120000002</v>
      </c>
      <c r="S106" s="543">
        <f>R106*$O106</f>
        <v>261811106.97984004</v>
      </c>
      <c r="T106" s="296">
        <f>VLOOKUP($F106,'[2]Master Harga'!$E$5:$L$348,8,FALSE)</f>
        <v>179635.86432000002</v>
      </c>
      <c r="U106" s="544">
        <f>$O106*T106</f>
        <v>287992217.67782402</v>
      </c>
      <c r="V106" s="296">
        <f>W106/O106</f>
        <v>167247.25644</v>
      </c>
      <c r="W106" s="307">
        <f>AVERAGEIF($P$3:$U$3,W$3,$P106:$U106)</f>
        <v>268130801.52460802</v>
      </c>
      <c r="X106" s="545"/>
      <c r="Y106" s="296">
        <f t="shared" si="7"/>
        <v>635202.29519999993</v>
      </c>
      <c r="Z106" s="295"/>
    </row>
    <row r="107" spans="2:26" x14ac:dyDescent="0.35">
      <c r="B107" s="546"/>
      <c r="E107" s="547"/>
      <c r="F107" s="295" t="s">
        <v>293</v>
      </c>
      <c r="G107" s="364" t="s">
        <v>194</v>
      </c>
      <c r="H107" s="365"/>
      <c r="I107" s="366"/>
      <c r="J107" s="364"/>
      <c r="K107" s="548">
        <v>1</v>
      </c>
      <c r="L107" s="825">
        <f t="shared" si="15"/>
        <v>400.8</v>
      </c>
      <c r="M107" s="552">
        <f>0.017*(1/2)</f>
        <v>8.5000000000000006E-3</v>
      </c>
      <c r="N107" s="437">
        <v>2</v>
      </c>
      <c r="O107" s="401">
        <f>K107*L107*M107*N107</f>
        <v>6.813600000000001</v>
      </c>
      <c r="P107" s="299">
        <f>VLOOKUP($F107,'[1]Master Harga'!$E$5:$L$351,7,FALSE)</f>
        <v>83568.121874999997</v>
      </c>
      <c r="Q107" s="543">
        <f>P107*$O107</f>
        <v>569399.75520750007</v>
      </c>
      <c r="R107" s="296">
        <f>VLOOKUP($F107,'[2]Master Harga'!$E$5:$L$348,7,FALSE)</f>
        <v>88411.662000000011</v>
      </c>
      <c r="S107" s="543">
        <f>R107*$O107</f>
        <v>602401.70020320022</v>
      </c>
      <c r="T107" s="296">
        <f>VLOOKUP($F107,'[2]Master Harga'!$E$5:$L$348,8,FALSE)</f>
        <v>95484.594960000017</v>
      </c>
      <c r="U107" s="544">
        <f>$O107*T107</f>
        <v>650593.83621945616</v>
      </c>
      <c r="V107" s="296">
        <f>W107/O107</f>
        <v>89154.792944999994</v>
      </c>
      <c r="W107" s="307">
        <f>AVERAGEIF($P$3:$U$3,W$3,$P107:$U107)</f>
        <v>607465.09721005207</v>
      </c>
      <c r="X107" s="545"/>
      <c r="Y107" s="296">
        <f t="shared" si="7"/>
        <v>1420.6580718750001</v>
      </c>
      <c r="Z107" s="295"/>
    </row>
    <row r="108" spans="2:26" x14ac:dyDescent="0.35">
      <c r="B108" s="546"/>
      <c r="D108" s="550"/>
      <c r="E108" s="551"/>
      <c r="F108" s="295" t="s">
        <v>237</v>
      </c>
      <c r="G108" s="364" t="s">
        <v>194</v>
      </c>
      <c r="H108" s="365"/>
      <c r="I108" s="366"/>
      <c r="J108" s="364" t="s">
        <v>170</v>
      </c>
      <c r="K108" s="548">
        <v>1</v>
      </c>
      <c r="L108" s="825">
        <f t="shared" si="15"/>
        <v>400.8</v>
      </c>
      <c r="M108" s="552">
        <f>0.017*(1/2)</f>
        <v>8.5000000000000006E-3</v>
      </c>
      <c r="N108" s="437">
        <v>2</v>
      </c>
      <c r="O108" s="401">
        <f>K108*L108*M108*N108</f>
        <v>6.813600000000001</v>
      </c>
      <c r="P108" s="299">
        <f>VLOOKUP($F108,'[1]Master Harga'!$E$5:$L$351,7,FALSE)</f>
        <v>94462.2</v>
      </c>
      <c r="Q108" s="543">
        <f>P108*$O108</f>
        <v>643627.64592000004</v>
      </c>
      <c r="R108" s="296">
        <f>VLOOKUP($F108,'[2]Master Harga'!$E$5:$L$348,7,FALSE)</f>
        <v>99937.152000000016</v>
      </c>
      <c r="S108" s="543">
        <f>R108*$O108</f>
        <v>680931.77886720025</v>
      </c>
      <c r="T108" s="296">
        <f>VLOOKUP($F108,'[2]Master Harga'!$E$5:$L$348,8,FALSE)</f>
        <v>107932.12416000002</v>
      </c>
      <c r="U108" s="544">
        <f>$O108*T108</f>
        <v>735406.3211765762</v>
      </c>
      <c r="V108" s="296">
        <f>W108/O108</f>
        <v>100777.15872000002</v>
      </c>
      <c r="W108" s="307">
        <f>AVERAGEIF($P$3:$U$3,W$3,$P108:$U108)</f>
        <v>686655.2486545922</v>
      </c>
      <c r="X108" s="545"/>
      <c r="Y108" s="296">
        <f t="shared" si="7"/>
        <v>1605.8574000000001</v>
      </c>
      <c r="Z108" s="295"/>
    </row>
    <row r="109" spans="2:26" ht="29.25" customHeight="1" x14ac:dyDescent="0.35">
      <c r="B109" s="685" t="s">
        <v>454</v>
      </c>
      <c r="C109" s="864"/>
      <c r="D109" s="864"/>
      <c r="E109" s="865"/>
      <c r="F109" s="688"/>
      <c r="G109" s="689"/>
      <c r="H109" s="690"/>
      <c r="I109" s="691"/>
      <c r="J109" s="689"/>
      <c r="K109" s="692"/>
      <c r="L109" s="866"/>
      <c r="M109" s="694"/>
      <c r="N109" s="695"/>
      <c r="O109" s="690"/>
      <c r="P109" s="696"/>
      <c r="Q109" s="697">
        <f>SUM(Q106:Q108)</f>
        <v>255802107.3172875</v>
      </c>
      <c r="R109" s="696"/>
      <c r="S109" s="697">
        <f>SUM(S98:S108)</f>
        <v>263094440.45891047</v>
      </c>
      <c r="T109" s="684"/>
      <c r="U109" s="684"/>
      <c r="V109" s="684"/>
      <c r="W109" s="684"/>
      <c r="X109" s="690"/>
      <c r="Y109" s="727">
        <f t="shared" si="7"/>
        <v>638228.81067187502</v>
      </c>
      <c r="Z109" s="867">
        <f>(Y109/$Y$421)*100</f>
        <v>4.6057424775941502</v>
      </c>
    </row>
    <row r="110" spans="2:26" x14ac:dyDescent="0.35">
      <c r="B110" s="546"/>
      <c r="D110" s="540" t="s">
        <v>453</v>
      </c>
      <c r="E110" s="541"/>
      <c r="F110" s="295" t="s">
        <v>189</v>
      </c>
      <c r="G110" s="364" t="s">
        <v>190</v>
      </c>
      <c r="H110" s="365"/>
      <c r="I110" s="366"/>
      <c r="J110" s="364"/>
      <c r="K110" s="308"/>
      <c r="L110" s="825"/>
      <c r="M110" s="552">
        <v>12</v>
      </c>
      <c r="N110" s="437">
        <v>1</v>
      </c>
      <c r="O110" s="545"/>
      <c r="P110" s="683"/>
      <c r="Q110" s="683"/>
      <c r="R110" s="683"/>
      <c r="S110" s="683"/>
      <c r="T110" s="684"/>
      <c r="U110" s="684"/>
      <c r="V110" s="684"/>
      <c r="W110" s="684"/>
      <c r="X110" s="545"/>
      <c r="Y110" s="296">
        <f t="shared" si="7"/>
        <v>0</v>
      </c>
      <c r="Z110" s="295"/>
    </row>
    <row r="111" spans="2:26" hidden="1" x14ac:dyDescent="0.35">
      <c r="B111" s="546"/>
      <c r="E111" s="547"/>
      <c r="F111" s="295" t="s">
        <v>293</v>
      </c>
      <c r="G111" s="364" t="s">
        <v>194</v>
      </c>
      <c r="H111" s="365"/>
      <c r="I111" s="366"/>
      <c r="J111" s="364"/>
      <c r="K111" s="308"/>
      <c r="L111" s="825"/>
      <c r="M111" s="552">
        <v>1.7000000000000001E-2</v>
      </c>
      <c r="N111" s="437">
        <v>1</v>
      </c>
      <c r="O111" s="545"/>
      <c r="P111" s="683"/>
      <c r="Q111" s="683"/>
      <c r="R111" s="683"/>
      <c r="S111" s="683"/>
      <c r="T111" s="684"/>
      <c r="U111" s="684"/>
      <c r="V111" s="684"/>
      <c r="W111" s="684"/>
      <c r="X111" s="545"/>
      <c r="Y111" s="296">
        <f t="shared" si="7"/>
        <v>0</v>
      </c>
      <c r="Z111" s="295"/>
    </row>
    <row r="112" spans="2:26" hidden="1" x14ac:dyDescent="0.35">
      <c r="B112" s="546"/>
      <c r="E112" s="547"/>
      <c r="F112" s="295" t="s">
        <v>237</v>
      </c>
      <c r="G112" s="364" t="s">
        <v>194</v>
      </c>
      <c r="H112" s="365">
        <v>1</v>
      </c>
      <c r="I112" s="366" t="s">
        <v>233</v>
      </c>
      <c r="J112" s="364"/>
      <c r="K112" s="308"/>
      <c r="L112" s="825"/>
      <c r="M112" s="663">
        <f>((M$110*N$110)/240*($H112/N112))</f>
        <v>0.05</v>
      </c>
      <c r="N112" s="437">
        <v>1</v>
      </c>
      <c r="O112" s="545"/>
      <c r="P112" s="683"/>
      <c r="Q112" s="683"/>
      <c r="R112" s="683"/>
      <c r="S112" s="683"/>
      <c r="T112" s="684"/>
      <c r="U112" s="684"/>
      <c r="V112" s="684"/>
      <c r="W112" s="684"/>
      <c r="X112" s="545"/>
      <c r="Y112" s="296">
        <f t="shared" si="7"/>
        <v>0</v>
      </c>
      <c r="Z112" s="295"/>
    </row>
    <row r="113" spans="2:26" x14ac:dyDescent="0.35">
      <c r="B113" s="539"/>
      <c r="C113" s="540" t="s">
        <v>94</v>
      </c>
      <c r="D113" s="540"/>
      <c r="E113" s="541"/>
      <c r="F113" s="295" t="s">
        <v>189</v>
      </c>
      <c r="G113" s="364" t="s">
        <v>190</v>
      </c>
      <c r="H113" s="365"/>
      <c r="I113" s="366"/>
      <c r="J113" s="364" t="s">
        <v>170</v>
      </c>
      <c r="K113" s="548">
        <v>0</v>
      </c>
      <c r="L113" s="825">
        <f t="shared" ref="L113:L137" si="16">$L$59</f>
        <v>400.8</v>
      </c>
      <c r="M113" s="552">
        <v>1.25</v>
      </c>
      <c r="N113" s="437">
        <v>2</v>
      </c>
      <c r="O113" s="401">
        <f t="shared" ref="O113:O124" si="17">K113*L113*M113*N113</f>
        <v>0</v>
      </c>
      <c r="P113" s="299">
        <f>VLOOKUP($F113,'[1]Master Harga'!$E$5:$L$351,7,FALSE)</f>
        <v>158800.57379999998</v>
      </c>
      <c r="Q113" s="543">
        <f t="shared" ref="Q113:Q124" si="18">P113*$O113</f>
        <v>0</v>
      </c>
      <c r="R113" s="296">
        <f>VLOOKUP($F113,'[2]Master Harga'!$E$5:$L$348,7,FALSE)</f>
        <v>163305.33120000002</v>
      </c>
      <c r="S113" s="543">
        <f t="shared" ref="S113:S124" si="19">R113*$O113</f>
        <v>0</v>
      </c>
      <c r="T113" s="296">
        <f>VLOOKUP($F113,'[2]Master Harga'!$E$5:$L$348,8,FALSE)</f>
        <v>179635.86432000002</v>
      </c>
      <c r="U113" s="544">
        <f t="shared" ref="U113:U124" si="20">$O113*T113</f>
        <v>0</v>
      </c>
      <c r="V113" s="296" t="e">
        <f t="shared" ref="V113:V124" si="21">W113/O113</f>
        <v>#DIV/0!</v>
      </c>
      <c r="W113" s="307">
        <f t="shared" ref="W113:W124" si="22">AVERAGEIF($P$3:$U$3,W$3,$P113:$U113)</f>
        <v>0</v>
      </c>
      <c r="X113" s="545"/>
      <c r="Y113" s="296">
        <f t="shared" si="7"/>
        <v>0</v>
      </c>
      <c r="Z113" s="295"/>
    </row>
    <row r="114" spans="2:26" hidden="1" x14ac:dyDescent="0.35">
      <c r="B114" s="546"/>
      <c r="E114" s="547"/>
      <c r="F114" s="295" t="s">
        <v>229</v>
      </c>
      <c r="G114" s="364" t="s">
        <v>226</v>
      </c>
      <c r="H114" s="365"/>
      <c r="I114" s="366"/>
      <c r="J114" s="364" t="s">
        <v>170</v>
      </c>
      <c r="K114" s="548">
        <v>0</v>
      </c>
      <c r="L114" s="825">
        <f t="shared" si="16"/>
        <v>400.8</v>
      </c>
      <c r="M114" s="552">
        <v>0.36</v>
      </c>
      <c r="N114" s="437">
        <v>2</v>
      </c>
      <c r="O114" s="401">
        <f t="shared" si="17"/>
        <v>0</v>
      </c>
      <c r="P114" s="299">
        <f>VLOOKUP($F114,'[1]Master Harga'!$E$5:$L$351,7,FALSE)</f>
        <v>199045.35</v>
      </c>
      <c r="Q114" s="543">
        <f t="shared" si="18"/>
        <v>0</v>
      </c>
      <c r="R114" s="296">
        <f>VLOOKUP($F114,'[2]Master Harga'!$E$5:$L$348,7,FALSE)</f>
        <v>223236.26568000004</v>
      </c>
      <c r="S114" s="543">
        <f t="shared" si="19"/>
        <v>0</v>
      </c>
      <c r="T114" s="296">
        <f>VLOOKUP($F114,'[2]Master Harga'!$E$5:$L$348,8,FALSE)</f>
        <v>238862.80427760005</v>
      </c>
      <c r="U114" s="544">
        <f t="shared" si="20"/>
        <v>0</v>
      </c>
      <c r="V114" s="296" t="e">
        <f t="shared" si="21"/>
        <v>#DIV/0!</v>
      </c>
      <c r="W114" s="307">
        <f t="shared" si="22"/>
        <v>0</v>
      </c>
      <c r="X114" s="545"/>
      <c r="Y114" s="296">
        <f t="shared" si="7"/>
        <v>0</v>
      </c>
      <c r="Z114" s="295"/>
    </row>
    <row r="115" spans="2:26" hidden="1" x14ac:dyDescent="0.35">
      <c r="B115" s="546"/>
      <c r="E115" s="547"/>
      <c r="F115" s="295" t="s">
        <v>227</v>
      </c>
      <c r="G115" s="364" t="s">
        <v>192</v>
      </c>
      <c r="H115" s="365"/>
      <c r="I115" s="366"/>
      <c r="J115" s="364" t="s">
        <v>170</v>
      </c>
      <c r="K115" s="548">
        <v>0</v>
      </c>
      <c r="L115" s="825">
        <f t="shared" si="16"/>
        <v>400.8</v>
      </c>
      <c r="M115" s="552">
        <f>36/1000</f>
        <v>3.5999999999999997E-2</v>
      </c>
      <c r="N115" s="437">
        <v>2</v>
      </c>
      <c r="O115" s="401">
        <f t="shared" si="17"/>
        <v>0</v>
      </c>
      <c r="P115" s="299">
        <f>VLOOKUP($F115,'[1]Master Harga'!$E$5:$L$351,7,FALSE)</f>
        <v>101209.5</v>
      </c>
      <c r="Q115" s="543">
        <f t="shared" si="18"/>
        <v>0</v>
      </c>
      <c r="R115" s="296">
        <f>VLOOKUP($F115,'[2]Master Harga'!$E$5:$L$348,7,FALSE)</f>
        <v>113509.96560000001</v>
      </c>
      <c r="S115" s="543">
        <f t="shared" si="19"/>
        <v>0</v>
      </c>
      <c r="T115" s="296">
        <f>VLOOKUP($F115,'[2]Master Harga'!$E$5:$L$348,8,FALSE)</f>
        <v>121455.66319200002</v>
      </c>
      <c r="U115" s="544">
        <f t="shared" si="20"/>
        <v>0</v>
      </c>
      <c r="V115" s="296" t="e">
        <f t="shared" si="21"/>
        <v>#DIV/0!</v>
      </c>
      <c r="W115" s="307">
        <f t="shared" si="22"/>
        <v>0</v>
      </c>
      <c r="X115" s="545"/>
      <c r="Y115" s="296">
        <f t="shared" si="7"/>
        <v>0</v>
      </c>
      <c r="Z115" s="295"/>
    </row>
    <row r="116" spans="2:26" hidden="1" x14ac:dyDescent="0.35">
      <c r="B116" s="546"/>
      <c r="E116" s="547"/>
      <c r="F116" s="295" t="s">
        <v>228</v>
      </c>
      <c r="G116" s="364" t="s">
        <v>226</v>
      </c>
      <c r="H116" s="365"/>
      <c r="I116" s="366"/>
      <c r="J116" s="364" t="s">
        <v>170</v>
      </c>
      <c r="K116" s="548">
        <v>0</v>
      </c>
      <c r="L116" s="825">
        <f t="shared" si="16"/>
        <v>400.8</v>
      </c>
      <c r="M116" s="542">
        <v>0.90000000000000013</v>
      </c>
      <c r="N116" s="296">
        <v>2</v>
      </c>
      <c r="O116" s="401">
        <f t="shared" si="17"/>
        <v>0</v>
      </c>
      <c r="P116" s="299">
        <f>VLOOKUP($F116,'[1]Master Harga'!$E$5:$L$351,7,FALSE)</f>
        <v>29800.575000000001</v>
      </c>
      <c r="Q116" s="543">
        <f t="shared" si="18"/>
        <v>0</v>
      </c>
      <c r="R116" s="296">
        <f>VLOOKUP($F116,'[2]Master Harga'!$E$5:$L$348,7,FALSE)</f>
        <v>33422.378760000007</v>
      </c>
      <c r="S116" s="543">
        <f t="shared" si="19"/>
        <v>0</v>
      </c>
      <c r="T116" s="296">
        <f>VLOOKUP($F116,'[2]Master Harga'!$E$5:$L$348,8,FALSE)</f>
        <v>35761.945273200006</v>
      </c>
      <c r="U116" s="544">
        <f t="shared" si="20"/>
        <v>0</v>
      </c>
      <c r="V116" s="296" t="e">
        <f t="shared" si="21"/>
        <v>#DIV/0!</v>
      </c>
      <c r="W116" s="307">
        <f t="shared" si="22"/>
        <v>0</v>
      </c>
      <c r="X116" s="545"/>
      <c r="Y116" s="296">
        <f t="shared" si="7"/>
        <v>0</v>
      </c>
      <c r="Z116" s="295"/>
    </row>
    <row r="117" spans="2:26" hidden="1" x14ac:dyDescent="0.35">
      <c r="B117" s="546"/>
      <c r="E117" s="547"/>
      <c r="F117" s="295" t="s">
        <v>230</v>
      </c>
      <c r="G117" s="364" t="s">
        <v>226</v>
      </c>
      <c r="H117" s="365"/>
      <c r="I117" s="366"/>
      <c r="J117" s="364" t="s">
        <v>170</v>
      </c>
      <c r="K117" s="548">
        <v>0</v>
      </c>
      <c r="L117" s="825">
        <f t="shared" si="16"/>
        <v>400.8</v>
      </c>
      <c r="M117" s="542">
        <v>0.27</v>
      </c>
      <c r="N117" s="296">
        <v>2</v>
      </c>
      <c r="O117" s="401">
        <f t="shared" si="17"/>
        <v>0</v>
      </c>
      <c r="P117" s="299">
        <f>VLOOKUP($F117,'[1]Master Harga'!$E$5:$L$351,7,FALSE)</f>
        <v>47231.1</v>
      </c>
      <c r="Q117" s="543">
        <f t="shared" si="18"/>
        <v>0</v>
      </c>
      <c r="R117" s="296">
        <f>VLOOKUP($F117,'[2]Master Harga'!$E$5:$L$348,7,FALSE)</f>
        <v>52971.317280000003</v>
      </c>
      <c r="S117" s="543">
        <f t="shared" si="19"/>
        <v>0</v>
      </c>
      <c r="T117" s="296">
        <f>VLOOKUP($F117,'[2]Master Harga'!$E$5:$L$348,8,FALSE)</f>
        <v>56679.309489600004</v>
      </c>
      <c r="U117" s="544">
        <f t="shared" si="20"/>
        <v>0</v>
      </c>
      <c r="V117" s="296" t="e">
        <f t="shared" si="21"/>
        <v>#DIV/0!</v>
      </c>
      <c r="W117" s="307">
        <f t="shared" si="22"/>
        <v>0</v>
      </c>
      <c r="X117" s="545"/>
      <c r="Y117" s="296">
        <f t="shared" si="7"/>
        <v>0</v>
      </c>
      <c r="Z117" s="295"/>
    </row>
    <row r="118" spans="2:26" hidden="1" x14ac:dyDescent="0.35">
      <c r="B118" s="546"/>
      <c r="E118" s="547"/>
      <c r="F118" s="295" t="s">
        <v>231</v>
      </c>
      <c r="G118" s="364" t="s">
        <v>190</v>
      </c>
      <c r="H118" s="365"/>
      <c r="I118" s="366"/>
      <c r="J118" s="364" t="s">
        <v>170</v>
      </c>
      <c r="K118" s="548">
        <v>0</v>
      </c>
      <c r="L118" s="825">
        <f t="shared" si="16"/>
        <v>400.8</v>
      </c>
      <c r="M118" s="542">
        <f>M113</f>
        <v>1.25</v>
      </c>
      <c r="N118" s="296">
        <v>2</v>
      </c>
      <c r="O118" s="401">
        <f t="shared" si="17"/>
        <v>0</v>
      </c>
      <c r="P118" s="299">
        <f>VLOOKUP($F118,'[1]Master Harga'!$E$5:$L$351,7,FALSE)</f>
        <v>4244.625</v>
      </c>
      <c r="Q118" s="543">
        <f t="shared" si="18"/>
        <v>0</v>
      </c>
      <c r="R118" s="296">
        <f>VLOOKUP($F118,'[2]Master Harga'!$E$5:$L$348,7,FALSE)</f>
        <v>4490.6400000000003</v>
      </c>
      <c r="S118" s="543">
        <f t="shared" si="19"/>
        <v>0</v>
      </c>
      <c r="T118" s="296">
        <f>VLOOKUP($F118,'[2]Master Harga'!$E$5:$L$348,8,FALSE)</f>
        <v>4849.8912000000009</v>
      </c>
      <c r="U118" s="544">
        <f t="shared" si="20"/>
        <v>0</v>
      </c>
      <c r="V118" s="296" t="e">
        <f t="shared" si="21"/>
        <v>#DIV/0!</v>
      </c>
      <c r="W118" s="307">
        <f t="shared" si="22"/>
        <v>0</v>
      </c>
      <c r="X118" s="545"/>
      <c r="Y118" s="296">
        <f t="shared" si="7"/>
        <v>0</v>
      </c>
      <c r="Z118" s="295"/>
    </row>
    <row r="119" spans="2:26" hidden="1" x14ac:dyDescent="0.35">
      <c r="B119" s="546"/>
      <c r="E119" s="547"/>
      <c r="F119" s="295" t="s">
        <v>224</v>
      </c>
      <c r="G119" s="364" t="s">
        <v>194</v>
      </c>
      <c r="H119" s="365"/>
      <c r="I119" s="366"/>
      <c r="J119" s="364" t="s">
        <v>170</v>
      </c>
      <c r="K119" s="548">
        <v>0</v>
      </c>
      <c r="L119" s="825">
        <f t="shared" si="16"/>
        <v>400.8</v>
      </c>
      <c r="M119" s="542">
        <f>0.0125*(1/2)</f>
        <v>6.2500000000000003E-3</v>
      </c>
      <c r="N119" s="296">
        <v>2</v>
      </c>
      <c r="O119" s="401">
        <f t="shared" si="17"/>
        <v>0</v>
      </c>
      <c r="P119" s="299">
        <f>VLOOKUP($F119,'[1]Master Harga'!$E$5:$L$351,7,FALSE)</f>
        <v>1506531.5212500002</v>
      </c>
      <c r="Q119" s="543">
        <f t="shared" si="18"/>
        <v>0</v>
      </c>
      <c r="R119" s="296">
        <f>VLOOKUP($F119,'[2]Master Harga'!$E$5:$L$348,7,FALSE)</f>
        <v>1593848.8584</v>
      </c>
      <c r="S119" s="543">
        <f t="shared" si="19"/>
        <v>0</v>
      </c>
      <c r="T119" s="296">
        <f>VLOOKUP($F119,'[2]Master Harga'!$E$5:$L$348,8,FALSE)</f>
        <v>1721356.7670720001</v>
      </c>
      <c r="U119" s="544">
        <f t="shared" si="20"/>
        <v>0</v>
      </c>
      <c r="V119" s="296" t="e">
        <f t="shared" si="21"/>
        <v>#DIV/0!</v>
      </c>
      <c r="W119" s="307">
        <f t="shared" si="22"/>
        <v>0</v>
      </c>
      <c r="X119" s="545"/>
      <c r="Y119" s="296">
        <f t="shared" si="7"/>
        <v>0</v>
      </c>
      <c r="Z119" s="295"/>
    </row>
    <row r="120" spans="2:26" hidden="1" x14ac:dyDescent="0.35">
      <c r="B120" s="546"/>
      <c r="E120" s="547"/>
      <c r="F120" s="295" t="s">
        <v>232</v>
      </c>
      <c r="G120" s="364" t="s">
        <v>194</v>
      </c>
      <c r="H120" s="365">
        <v>4</v>
      </c>
      <c r="I120" s="366" t="s">
        <v>233</v>
      </c>
      <c r="J120" s="364" t="s">
        <v>170</v>
      </c>
      <c r="K120" s="548">
        <v>0</v>
      </c>
      <c r="L120" s="825">
        <f t="shared" si="16"/>
        <v>400.8</v>
      </c>
      <c r="M120" s="663">
        <f>((M$113*N$113)/240*($H120/N120))</f>
        <v>2.0833333333333332E-2</v>
      </c>
      <c r="N120" s="296">
        <v>2</v>
      </c>
      <c r="O120" s="401">
        <f t="shared" si="17"/>
        <v>0</v>
      </c>
      <c r="P120" s="299">
        <f>VLOOKUP($F120,'[1]Master Harga'!$E$5:$L$351,7,FALSE)</f>
        <v>47231.1</v>
      </c>
      <c r="Q120" s="543">
        <f t="shared" si="18"/>
        <v>0</v>
      </c>
      <c r="R120" s="296">
        <f>VLOOKUP($F120,'[2]Master Harga'!$E$5:$L$348,7,FALSE)</f>
        <v>49968.576000000008</v>
      </c>
      <c r="S120" s="543">
        <f t="shared" si="19"/>
        <v>0</v>
      </c>
      <c r="T120" s="296">
        <f>VLOOKUP($F120,'[2]Master Harga'!$E$5:$L$348,8,FALSE)</f>
        <v>53966.062080000011</v>
      </c>
      <c r="U120" s="544">
        <f t="shared" si="20"/>
        <v>0</v>
      </c>
      <c r="V120" s="296" t="e">
        <f t="shared" si="21"/>
        <v>#DIV/0!</v>
      </c>
      <c r="W120" s="307">
        <f t="shared" si="22"/>
        <v>0</v>
      </c>
      <c r="X120" s="731"/>
      <c r="Y120" s="296">
        <f t="shared" si="7"/>
        <v>0</v>
      </c>
      <c r="Z120" s="295"/>
    </row>
    <row r="121" spans="2:26" hidden="1" x14ac:dyDescent="0.35">
      <c r="B121" s="546"/>
      <c r="E121" s="547"/>
      <c r="F121" s="295" t="s">
        <v>234</v>
      </c>
      <c r="G121" s="364" t="s">
        <v>194</v>
      </c>
      <c r="H121" s="365">
        <v>12</v>
      </c>
      <c r="I121" s="366" t="s">
        <v>233</v>
      </c>
      <c r="J121" s="364" t="s">
        <v>170</v>
      </c>
      <c r="K121" s="548">
        <v>0</v>
      </c>
      <c r="L121" s="825">
        <f t="shared" si="16"/>
        <v>400.8</v>
      </c>
      <c r="M121" s="663">
        <f>((M$113*N$113)/240*($H121/N121))</f>
        <v>6.25E-2</v>
      </c>
      <c r="N121" s="296">
        <v>2</v>
      </c>
      <c r="O121" s="401">
        <f t="shared" si="17"/>
        <v>0</v>
      </c>
      <c r="P121" s="299">
        <f>VLOOKUP($F121,'[1]Master Harga'!$E$5:$L$351,7,FALSE)</f>
        <v>15435</v>
      </c>
      <c r="Q121" s="543">
        <f t="shared" si="18"/>
        <v>0</v>
      </c>
      <c r="R121" s="296">
        <f>VLOOKUP($F121,'[2]Master Harga'!$E$5:$L$348,7,FALSE)</f>
        <v>16329.600000000002</v>
      </c>
      <c r="S121" s="543">
        <f t="shared" si="19"/>
        <v>0</v>
      </c>
      <c r="T121" s="296">
        <f>VLOOKUP($F121,'[2]Master Harga'!$E$5:$L$348,8,FALSE)</f>
        <v>17635.968000000004</v>
      </c>
      <c r="U121" s="544">
        <f t="shared" si="20"/>
        <v>0</v>
      </c>
      <c r="V121" s="296" t="e">
        <f t="shared" si="21"/>
        <v>#DIV/0!</v>
      </c>
      <c r="W121" s="307">
        <f t="shared" si="22"/>
        <v>0</v>
      </c>
      <c r="X121" s="731"/>
      <c r="Y121" s="296">
        <f t="shared" si="7"/>
        <v>0</v>
      </c>
      <c r="Z121" s="295"/>
    </row>
    <row r="122" spans="2:26" hidden="1" x14ac:dyDescent="0.35">
      <c r="B122" s="546"/>
      <c r="E122" s="547"/>
      <c r="F122" s="295" t="s">
        <v>235</v>
      </c>
      <c r="G122" s="364" t="s">
        <v>194</v>
      </c>
      <c r="H122" s="365">
        <v>1</v>
      </c>
      <c r="I122" s="366" t="s">
        <v>233</v>
      </c>
      <c r="J122" s="364" t="s">
        <v>170</v>
      </c>
      <c r="K122" s="548">
        <v>0</v>
      </c>
      <c r="L122" s="825">
        <f t="shared" si="16"/>
        <v>400.8</v>
      </c>
      <c r="M122" s="663">
        <f>((M$113*N$113)/240*($H122/N122))</f>
        <v>5.208333333333333E-3</v>
      </c>
      <c r="N122" s="296">
        <v>2</v>
      </c>
      <c r="O122" s="401">
        <f t="shared" si="17"/>
        <v>0</v>
      </c>
      <c r="P122" s="299">
        <f>VLOOKUP($F122,'[1]Master Harga'!$E$5:$L$351,7,FALSE)</f>
        <v>41327.212500000001</v>
      </c>
      <c r="Q122" s="543">
        <f t="shared" si="18"/>
        <v>0</v>
      </c>
      <c r="R122" s="296">
        <f>VLOOKUP($F122,'[2]Master Harga'!$E$5:$L$348,7,FALSE)</f>
        <v>43722.504000000008</v>
      </c>
      <c r="S122" s="543">
        <f t="shared" si="19"/>
        <v>0</v>
      </c>
      <c r="T122" s="296">
        <f>VLOOKUP($F122,'[2]Master Harga'!$E$5:$L$348,8,FALSE)</f>
        <v>47220.30432000001</v>
      </c>
      <c r="U122" s="544">
        <f t="shared" si="20"/>
        <v>0</v>
      </c>
      <c r="V122" s="296" t="e">
        <f t="shared" si="21"/>
        <v>#DIV/0!</v>
      </c>
      <c r="W122" s="307">
        <f t="shared" si="22"/>
        <v>0</v>
      </c>
      <c r="X122" s="731"/>
      <c r="Y122" s="296">
        <f t="shared" si="7"/>
        <v>0</v>
      </c>
      <c r="Z122" s="295"/>
    </row>
    <row r="123" spans="2:26" hidden="1" x14ac:dyDescent="0.35">
      <c r="B123" s="546"/>
      <c r="E123" s="547"/>
      <c r="F123" s="295" t="s">
        <v>236</v>
      </c>
      <c r="G123" s="364" t="s">
        <v>194</v>
      </c>
      <c r="H123" s="365">
        <v>2</v>
      </c>
      <c r="I123" s="366" t="s">
        <v>233</v>
      </c>
      <c r="J123" s="364" t="s">
        <v>170</v>
      </c>
      <c r="K123" s="548">
        <v>0</v>
      </c>
      <c r="L123" s="825">
        <f t="shared" si="16"/>
        <v>400.8</v>
      </c>
      <c r="M123" s="663">
        <f>((M$113*N$113)/240*($H123/N123))</f>
        <v>1.0416666666666666E-2</v>
      </c>
      <c r="N123" s="296">
        <v>2</v>
      </c>
      <c r="O123" s="401">
        <f t="shared" si="17"/>
        <v>0</v>
      </c>
      <c r="P123" s="299">
        <f>VLOOKUP($F123,'[1]Master Harga'!$E$5:$L$351,7,FALSE)</f>
        <v>35423.325000000004</v>
      </c>
      <c r="Q123" s="543">
        <f t="shared" si="18"/>
        <v>0</v>
      </c>
      <c r="R123" s="296">
        <f>VLOOKUP($F123,'[2]Master Harga'!$E$5:$L$348,7,FALSE)</f>
        <v>37476.432000000001</v>
      </c>
      <c r="S123" s="543">
        <f t="shared" si="19"/>
        <v>0</v>
      </c>
      <c r="T123" s="296">
        <f>VLOOKUP($F123,'[2]Master Harga'!$E$5:$L$348,8,FALSE)</f>
        <v>40474.546560000003</v>
      </c>
      <c r="U123" s="544">
        <f t="shared" si="20"/>
        <v>0</v>
      </c>
      <c r="V123" s="296" t="e">
        <f t="shared" si="21"/>
        <v>#DIV/0!</v>
      </c>
      <c r="W123" s="307">
        <f t="shared" si="22"/>
        <v>0</v>
      </c>
      <c r="X123" s="731"/>
      <c r="Y123" s="296">
        <f t="shared" si="7"/>
        <v>0</v>
      </c>
      <c r="Z123" s="295"/>
    </row>
    <row r="124" spans="2:26" hidden="1" x14ac:dyDescent="0.35">
      <c r="B124" s="546"/>
      <c r="E124" s="547"/>
      <c r="F124" s="295" t="s">
        <v>237</v>
      </c>
      <c r="G124" s="364" t="s">
        <v>194</v>
      </c>
      <c r="H124" s="365">
        <v>1</v>
      </c>
      <c r="I124" s="366" t="s">
        <v>233</v>
      </c>
      <c r="J124" s="364" t="s">
        <v>170</v>
      </c>
      <c r="K124" s="548">
        <v>0</v>
      </c>
      <c r="L124" s="825">
        <f t="shared" si="16"/>
        <v>400.8</v>
      </c>
      <c r="M124" s="663">
        <f>((M$113*N$113)/240*($H124/N124))</f>
        <v>5.208333333333333E-3</v>
      </c>
      <c r="N124" s="296">
        <v>2</v>
      </c>
      <c r="O124" s="401">
        <f t="shared" si="17"/>
        <v>0</v>
      </c>
      <c r="P124" s="299">
        <f>VLOOKUP($F124,'[1]Master Harga'!$E$5:$L$351,7,FALSE)</f>
        <v>94462.2</v>
      </c>
      <c r="Q124" s="543">
        <f t="shared" si="18"/>
        <v>0</v>
      </c>
      <c r="R124" s="296">
        <f>VLOOKUP($F124,'[2]Master Harga'!$E$5:$L$348,7,FALSE)</f>
        <v>99937.152000000016</v>
      </c>
      <c r="S124" s="543">
        <f t="shared" si="19"/>
        <v>0</v>
      </c>
      <c r="T124" s="296">
        <f>VLOOKUP($F124,'[2]Master Harga'!$E$5:$L$348,8,FALSE)</f>
        <v>107932.12416000002</v>
      </c>
      <c r="U124" s="544">
        <f t="shared" si="20"/>
        <v>0</v>
      </c>
      <c r="V124" s="296" t="e">
        <f t="shared" si="21"/>
        <v>#DIV/0!</v>
      </c>
      <c r="W124" s="307">
        <f t="shared" si="22"/>
        <v>0</v>
      </c>
      <c r="X124" s="731"/>
      <c r="Y124" s="296">
        <f t="shared" ref="Y124:Y187" si="23">Q124/$AC$2</f>
        <v>0</v>
      </c>
      <c r="Z124" s="295"/>
    </row>
    <row r="125" spans="2:26" ht="29.25" customHeight="1" x14ac:dyDescent="0.35">
      <c r="B125" s="685" t="s">
        <v>455</v>
      </c>
      <c r="C125" s="864"/>
      <c r="D125" s="864"/>
      <c r="E125" s="865"/>
      <c r="F125" s="688"/>
      <c r="G125" s="689"/>
      <c r="H125" s="690"/>
      <c r="I125" s="691"/>
      <c r="J125" s="689"/>
      <c r="K125" s="692"/>
      <c r="L125" s="866"/>
      <c r="M125" s="694"/>
      <c r="N125" s="695"/>
      <c r="O125" s="690"/>
      <c r="P125" s="696"/>
      <c r="Q125" s="697">
        <f>SUM(Q113:Q124)</f>
        <v>0</v>
      </c>
      <c r="R125" s="696"/>
      <c r="S125" s="697">
        <f>SUM(S114:S124)</f>
        <v>0</v>
      </c>
      <c r="T125" s="684"/>
      <c r="U125" s="684"/>
      <c r="V125" s="684"/>
      <c r="W125" s="684"/>
      <c r="X125" s="690"/>
      <c r="Y125" s="727">
        <f t="shared" si="23"/>
        <v>0</v>
      </c>
      <c r="Z125" s="867">
        <f>(Y125/$Y$421)*100</f>
        <v>0</v>
      </c>
    </row>
    <row r="126" spans="2:26" x14ac:dyDescent="0.35">
      <c r="B126" s="732"/>
      <c r="C126" s="733" t="s">
        <v>94</v>
      </c>
      <c r="D126" s="733"/>
      <c r="E126" s="734"/>
      <c r="F126" s="295" t="s">
        <v>189</v>
      </c>
      <c r="G126" s="364" t="s">
        <v>190</v>
      </c>
      <c r="H126" s="365"/>
      <c r="I126" s="366"/>
      <c r="J126" s="364" t="s">
        <v>170</v>
      </c>
      <c r="K126" s="548">
        <v>1</v>
      </c>
      <c r="L126" s="825">
        <f t="shared" si="16"/>
        <v>400.8</v>
      </c>
      <c r="M126" s="552">
        <v>1.5</v>
      </c>
      <c r="N126" s="437">
        <v>3</v>
      </c>
      <c r="O126" s="401">
        <f t="shared" ref="O126:O137" si="24">K126*L126*M126*N126</f>
        <v>1803.6000000000001</v>
      </c>
      <c r="P126" s="299">
        <f>VLOOKUP($F126,'[1]Master Harga'!$E$5:$L$351,7,FALSE)</f>
        <v>158800.57379999998</v>
      </c>
      <c r="Q126" s="543">
        <f t="shared" ref="Q126:Q137" si="25">P126*$O126</f>
        <v>286412714.90568</v>
      </c>
      <c r="R126" s="683"/>
      <c r="S126" s="683"/>
      <c r="T126" s="684"/>
      <c r="U126" s="684"/>
      <c r="V126" s="684"/>
      <c r="W126" s="684"/>
      <c r="X126" s="545"/>
      <c r="Y126" s="296">
        <f t="shared" si="23"/>
        <v>714602.5821</v>
      </c>
      <c r="Z126" s="295"/>
    </row>
    <row r="127" spans="2:26" x14ac:dyDescent="0.35">
      <c r="B127" s="735"/>
      <c r="C127" s="736" t="s">
        <v>456</v>
      </c>
      <c r="D127" s="736"/>
      <c r="E127" s="737"/>
      <c r="F127" s="295" t="s">
        <v>229</v>
      </c>
      <c r="G127" s="364" t="s">
        <v>226</v>
      </c>
      <c r="H127" s="365"/>
      <c r="I127" s="366"/>
      <c r="J127" s="364" t="s">
        <v>170</v>
      </c>
      <c r="K127" s="548">
        <v>0.5</v>
      </c>
      <c r="L127" s="825">
        <f t="shared" si="16"/>
        <v>400.8</v>
      </c>
      <c r="M127" s="552">
        <v>0.36</v>
      </c>
      <c r="N127" s="437">
        <v>3</v>
      </c>
      <c r="O127" s="401">
        <f t="shared" si="24"/>
        <v>216.43200000000002</v>
      </c>
      <c r="P127" s="299">
        <f>VLOOKUP($F127,'[1]Master Harga'!$E$5:$L$351,7,FALSE)</f>
        <v>199045.35</v>
      </c>
      <c r="Q127" s="543">
        <f t="shared" si="25"/>
        <v>43079783.191200003</v>
      </c>
      <c r="R127" s="683"/>
      <c r="S127" s="683"/>
      <c r="T127" s="684"/>
      <c r="U127" s="684"/>
      <c r="V127" s="684"/>
      <c r="W127" s="684"/>
      <c r="X127" s="545"/>
      <c r="Y127" s="296">
        <f t="shared" si="23"/>
        <v>107484.489</v>
      </c>
      <c r="Z127" s="295"/>
    </row>
    <row r="128" spans="2:26" x14ac:dyDescent="0.35">
      <c r="B128" s="738"/>
      <c r="C128" s="739"/>
      <c r="D128" s="739"/>
      <c r="E128" s="740"/>
      <c r="F128" s="295" t="s">
        <v>227</v>
      </c>
      <c r="G128" s="364" t="s">
        <v>192</v>
      </c>
      <c r="H128" s="365"/>
      <c r="I128" s="366"/>
      <c r="J128" s="364" t="s">
        <v>170</v>
      </c>
      <c r="K128" s="548">
        <v>0.5</v>
      </c>
      <c r="L128" s="825">
        <f t="shared" si="16"/>
        <v>400.8</v>
      </c>
      <c r="M128" s="552">
        <f>36/1000</f>
        <v>3.5999999999999997E-2</v>
      </c>
      <c r="N128" s="437">
        <v>3</v>
      </c>
      <c r="O128" s="401">
        <f t="shared" si="24"/>
        <v>21.6432</v>
      </c>
      <c r="P128" s="299">
        <f>VLOOKUP($F128,'[1]Master Harga'!$E$5:$L$351,7,FALSE)</f>
        <v>101209.5</v>
      </c>
      <c r="Q128" s="543">
        <f t="shared" si="25"/>
        <v>2190497.4504</v>
      </c>
      <c r="R128" s="683"/>
      <c r="S128" s="683"/>
      <c r="T128" s="684"/>
      <c r="U128" s="684"/>
      <c r="V128" s="684"/>
      <c r="W128" s="684"/>
      <c r="X128" s="545"/>
      <c r="Y128" s="296">
        <f t="shared" si="23"/>
        <v>5465.3130000000001</v>
      </c>
      <c r="Z128" s="295"/>
    </row>
    <row r="129" spans="2:26" x14ac:dyDescent="0.35">
      <c r="B129" s="738"/>
      <c r="C129" s="739"/>
      <c r="D129" s="739"/>
      <c r="E129" s="740"/>
      <c r="F129" s="295" t="s">
        <v>228</v>
      </c>
      <c r="G129" s="364" t="s">
        <v>226</v>
      </c>
      <c r="H129" s="365"/>
      <c r="I129" s="366"/>
      <c r="J129" s="364" t="s">
        <v>170</v>
      </c>
      <c r="K129" s="548">
        <v>0.5</v>
      </c>
      <c r="L129" s="825">
        <f t="shared" si="16"/>
        <v>400.8</v>
      </c>
      <c r="M129" s="542">
        <v>0.90000000000000013</v>
      </c>
      <c r="N129" s="296">
        <v>3</v>
      </c>
      <c r="O129" s="401">
        <f t="shared" si="24"/>
        <v>541.08000000000015</v>
      </c>
      <c r="P129" s="299">
        <f>VLOOKUP($F129,'[1]Master Harga'!$E$5:$L$351,7,FALSE)</f>
        <v>29800.575000000001</v>
      </c>
      <c r="Q129" s="543">
        <f t="shared" si="25"/>
        <v>16124495.121000005</v>
      </c>
      <c r="R129" s="543"/>
      <c r="S129" s="543"/>
      <c r="T129" s="544"/>
      <c r="U129" s="544"/>
      <c r="V129" s="544"/>
      <c r="W129" s="544"/>
      <c r="X129" s="545"/>
      <c r="Y129" s="296">
        <f t="shared" si="23"/>
        <v>40230.77625000001</v>
      </c>
      <c r="Z129" s="295"/>
    </row>
    <row r="130" spans="2:26" x14ac:dyDescent="0.35">
      <c r="B130" s="738"/>
      <c r="C130" s="739"/>
      <c r="D130" s="739"/>
      <c r="E130" s="740"/>
      <c r="F130" s="295" t="s">
        <v>230</v>
      </c>
      <c r="G130" s="364" t="s">
        <v>226</v>
      </c>
      <c r="H130" s="365"/>
      <c r="I130" s="366"/>
      <c r="J130" s="364" t="s">
        <v>170</v>
      </c>
      <c r="K130" s="548">
        <v>1</v>
      </c>
      <c r="L130" s="825">
        <f t="shared" si="16"/>
        <v>400.8</v>
      </c>
      <c r="M130" s="542">
        <v>0.27</v>
      </c>
      <c r="N130" s="296">
        <v>3</v>
      </c>
      <c r="O130" s="401">
        <f t="shared" si="24"/>
        <v>324.64800000000002</v>
      </c>
      <c r="P130" s="299">
        <f>VLOOKUP($F130,'[1]Master Harga'!$E$5:$L$351,7,FALSE)</f>
        <v>47231.1</v>
      </c>
      <c r="Q130" s="543">
        <f t="shared" si="25"/>
        <v>15333482.152800001</v>
      </c>
      <c r="R130" s="543"/>
      <c r="S130" s="543"/>
      <c r="T130" s="544"/>
      <c r="U130" s="544"/>
      <c r="V130" s="544"/>
      <c r="W130" s="544"/>
      <c r="X130" s="545"/>
      <c r="Y130" s="296">
        <f t="shared" si="23"/>
        <v>38257.190999999999</v>
      </c>
      <c r="Z130" s="295"/>
    </row>
    <row r="131" spans="2:26" x14ac:dyDescent="0.35">
      <c r="B131" s="868"/>
      <c r="C131" s="869"/>
      <c r="D131" s="869"/>
      <c r="E131" s="870"/>
      <c r="F131" s="295" t="s">
        <v>231</v>
      </c>
      <c r="G131" s="364" t="s">
        <v>190</v>
      </c>
      <c r="H131" s="365"/>
      <c r="I131" s="366"/>
      <c r="J131" s="364" t="s">
        <v>170</v>
      </c>
      <c r="K131" s="548">
        <v>1</v>
      </c>
      <c r="L131" s="825">
        <f t="shared" si="16"/>
        <v>400.8</v>
      </c>
      <c r="M131" s="542">
        <v>1.5</v>
      </c>
      <c r="N131" s="296">
        <v>3</v>
      </c>
      <c r="O131" s="401">
        <f t="shared" si="24"/>
        <v>1803.6000000000001</v>
      </c>
      <c r="P131" s="299">
        <f>VLOOKUP($F131,'[1]Master Harga'!$E$5:$L$351,7,FALSE)</f>
        <v>4244.625</v>
      </c>
      <c r="Q131" s="543">
        <f t="shared" si="25"/>
        <v>7655605.6500000004</v>
      </c>
      <c r="R131" s="543"/>
      <c r="S131" s="543"/>
      <c r="T131" s="544"/>
      <c r="U131" s="544"/>
      <c r="V131" s="544"/>
      <c r="W131" s="544"/>
      <c r="X131" s="545"/>
      <c r="Y131" s="296">
        <f t="shared" si="23"/>
        <v>19100.8125</v>
      </c>
      <c r="Z131" s="295"/>
    </row>
    <row r="132" spans="2:26" x14ac:dyDescent="0.35">
      <c r="B132" s="738"/>
      <c r="C132" s="739"/>
      <c r="D132" s="739"/>
      <c r="E132" s="740"/>
      <c r="F132" s="295" t="s">
        <v>224</v>
      </c>
      <c r="G132" s="364" t="s">
        <v>194</v>
      </c>
      <c r="H132" s="365"/>
      <c r="I132" s="366"/>
      <c r="J132" s="364" t="s">
        <v>170</v>
      </c>
      <c r="K132" s="548">
        <v>1</v>
      </c>
      <c r="L132" s="825">
        <f t="shared" si="16"/>
        <v>400.8</v>
      </c>
      <c r="M132" s="542">
        <f>0.0188*(1/3)</f>
        <v>6.2666666666666669E-3</v>
      </c>
      <c r="N132" s="296">
        <v>3</v>
      </c>
      <c r="O132" s="401">
        <f t="shared" si="24"/>
        <v>7.5350400000000004</v>
      </c>
      <c r="P132" s="299">
        <f>VLOOKUP($F132,'[1]Master Harga'!$E$5:$L$351,7,FALSE)</f>
        <v>1506531.5212500002</v>
      </c>
      <c r="Q132" s="543">
        <f t="shared" si="25"/>
        <v>11351775.273879603</v>
      </c>
      <c r="R132" s="543"/>
      <c r="S132" s="543"/>
      <c r="T132" s="544"/>
      <c r="U132" s="544"/>
      <c r="V132" s="544"/>
      <c r="W132" s="544"/>
      <c r="X132" s="545"/>
      <c r="Y132" s="296">
        <f t="shared" si="23"/>
        <v>28322.792599500004</v>
      </c>
      <c r="Z132" s="295"/>
    </row>
    <row r="133" spans="2:26" x14ac:dyDescent="0.35">
      <c r="B133" s="738"/>
      <c r="C133" s="739"/>
      <c r="D133" s="739"/>
      <c r="E133" s="740"/>
      <c r="F133" s="295" t="s">
        <v>232</v>
      </c>
      <c r="G133" s="364" t="s">
        <v>194</v>
      </c>
      <c r="H133" s="365">
        <v>4</v>
      </c>
      <c r="I133" s="366" t="s">
        <v>233</v>
      </c>
      <c r="J133" s="364" t="s">
        <v>170</v>
      </c>
      <c r="K133" s="548">
        <v>1</v>
      </c>
      <c r="L133" s="825">
        <f t="shared" si="16"/>
        <v>400.8</v>
      </c>
      <c r="M133" s="552">
        <f>((M$126*N$126)/240*($H133/N133))</f>
        <v>2.4999999999999998E-2</v>
      </c>
      <c r="N133" s="296">
        <v>3</v>
      </c>
      <c r="O133" s="401">
        <f t="shared" si="24"/>
        <v>30.06</v>
      </c>
      <c r="P133" s="299">
        <f>VLOOKUP($F133,'[1]Master Harga'!$E$5:$L$351,7,FALSE)</f>
        <v>47231.1</v>
      </c>
      <c r="Q133" s="543">
        <f t="shared" si="25"/>
        <v>1419766.8659999999</v>
      </c>
      <c r="R133" s="543"/>
      <c r="S133" s="543"/>
      <c r="T133" s="544"/>
      <c r="U133" s="544"/>
      <c r="V133" s="544"/>
      <c r="W133" s="544"/>
      <c r="X133" s="545"/>
      <c r="Y133" s="296">
        <f t="shared" si="23"/>
        <v>3542.3324999999995</v>
      </c>
      <c r="Z133" s="295"/>
    </row>
    <row r="134" spans="2:26" x14ac:dyDescent="0.35">
      <c r="B134" s="738"/>
      <c r="C134" s="739"/>
      <c r="D134" s="739"/>
      <c r="E134" s="740"/>
      <c r="F134" s="295" t="s">
        <v>234</v>
      </c>
      <c r="G134" s="364" t="s">
        <v>194</v>
      </c>
      <c r="H134" s="365">
        <v>12</v>
      </c>
      <c r="I134" s="366" t="s">
        <v>233</v>
      </c>
      <c r="J134" s="364" t="s">
        <v>170</v>
      </c>
      <c r="K134" s="548">
        <v>1</v>
      </c>
      <c r="L134" s="825">
        <f t="shared" si="16"/>
        <v>400.8</v>
      </c>
      <c r="M134" s="552">
        <f>((M$126*N$126)/240*($H134/N134))</f>
        <v>7.4999999999999997E-2</v>
      </c>
      <c r="N134" s="296">
        <v>3</v>
      </c>
      <c r="O134" s="401">
        <f t="shared" si="24"/>
        <v>90.179999999999993</v>
      </c>
      <c r="P134" s="299">
        <f>VLOOKUP($F134,'[1]Master Harga'!$E$5:$L$351,7,FALSE)</f>
        <v>15435</v>
      </c>
      <c r="Q134" s="543">
        <f t="shared" si="25"/>
        <v>1391928.2999999998</v>
      </c>
      <c r="R134" s="543"/>
      <c r="S134" s="543"/>
      <c r="T134" s="544"/>
      <c r="U134" s="544"/>
      <c r="V134" s="544"/>
      <c r="W134" s="544"/>
      <c r="X134" s="545"/>
      <c r="Y134" s="296">
        <f t="shared" si="23"/>
        <v>3472.8749999999995</v>
      </c>
      <c r="Z134" s="295"/>
    </row>
    <row r="135" spans="2:26" x14ac:dyDescent="0.35">
      <c r="B135" s="738"/>
      <c r="C135" s="739"/>
      <c r="D135" s="739"/>
      <c r="E135" s="740"/>
      <c r="F135" s="295" t="s">
        <v>235</v>
      </c>
      <c r="G135" s="364" t="s">
        <v>194</v>
      </c>
      <c r="H135" s="365">
        <v>1</v>
      </c>
      <c r="I135" s="366" t="s">
        <v>233</v>
      </c>
      <c r="J135" s="364" t="s">
        <v>170</v>
      </c>
      <c r="K135" s="548">
        <v>1</v>
      </c>
      <c r="L135" s="825">
        <f t="shared" si="16"/>
        <v>400.8</v>
      </c>
      <c r="M135" s="552">
        <f>((M$126*N$126)/240*($H135/N135))</f>
        <v>6.2499999999999995E-3</v>
      </c>
      <c r="N135" s="296">
        <v>3</v>
      </c>
      <c r="O135" s="401">
        <f t="shared" si="24"/>
        <v>7.5149999999999997</v>
      </c>
      <c r="P135" s="299">
        <f>VLOOKUP($F135,'[1]Master Harga'!$E$5:$L$351,7,FALSE)</f>
        <v>41327.212500000001</v>
      </c>
      <c r="Q135" s="543">
        <f t="shared" si="25"/>
        <v>310574.00193750003</v>
      </c>
      <c r="R135" s="543"/>
      <c r="S135" s="543"/>
      <c r="T135" s="544"/>
      <c r="U135" s="544"/>
      <c r="V135" s="544"/>
      <c r="W135" s="544"/>
      <c r="X135" s="545"/>
      <c r="Y135" s="296">
        <f t="shared" si="23"/>
        <v>774.8852343750001</v>
      </c>
      <c r="Z135" s="295"/>
    </row>
    <row r="136" spans="2:26" x14ac:dyDescent="0.35">
      <c r="B136" s="738"/>
      <c r="C136" s="739"/>
      <c r="D136" s="739"/>
      <c r="E136" s="740"/>
      <c r="F136" s="295" t="s">
        <v>236</v>
      </c>
      <c r="G136" s="364" t="s">
        <v>194</v>
      </c>
      <c r="H136" s="365">
        <v>2</v>
      </c>
      <c r="I136" s="366" t="s">
        <v>233</v>
      </c>
      <c r="J136" s="364" t="s">
        <v>170</v>
      </c>
      <c r="K136" s="548">
        <v>1</v>
      </c>
      <c r="L136" s="825">
        <f t="shared" si="16"/>
        <v>400.8</v>
      </c>
      <c r="M136" s="552">
        <f>((M$126*N$126)/240*($H136/N136))</f>
        <v>1.2499999999999999E-2</v>
      </c>
      <c r="N136" s="296">
        <v>3</v>
      </c>
      <c r="O136" s="401">
        <f t="shared" si="24"/>
        <v>15.03</v>
      </c>
      <c r="P136" s="299">
        <f>VLOOKUP($F136,'[1]Master Harga'!$E$5:$L$351,7,FALSE)</f>
        <v>35423.325000000004</v>
      </c>
      <c r="Q136" s="543">
        <f t="shared" si="25"/>
        <v>532412.57475000003</v>
      </c>
      <c r="R136" s="543"/>
      <c r="S136" s="543"/>
      <c r="T136" s="544"/>
      <c r="U136" s="544"/>
      <c r="V136" s="544"/>
      <c r="W136" s="544"/>
      <c r="X136" s="545"/>
      <c r="Y136" s="296">
        <f t="shared" si="23"/>
        <v>1328.3746874999999</v>
      </c>
      <c r="Z136" s="295"/>
    </row>
    <row r="137" spans="2:26" x14ac:dyDescent="0.35">
      <c r="B137" s="738"/>
      <c r="C137" s="739"/>
      <c r="D137" s="739"/>
      <c r="E137" s="740"/>
      <c r="F137" s="295" t="s">
        <v>237</v>
      </c>
      <c r="G137" s="364" t="s">
        <v>194</v>
      </c>
      <c r="H137" s="365">
        <v>1</v>
      </c>
      <c r="I137" s="366" t="s">
        <v>233</v>
      </c>
      <c r="J137" s="364" t="s">
        <v>170</v>
      </c>
      <c r="K137" s="548">
        <v>1</v>
      </c>
      <c r="L137" s="825">
        <f t="shared" si="16"/>
        <v>400.8</v>
      </c>
      <c r="M137" s="552">
        <f>((M$126*N$126)/240*($H137/N137))</f>
        <v>6.2499999999999995E-3</v>
      </c>
      <c r="N137" s="296">
        <v>3</v>
      </c>
      <c r="O137" s="401">
        <f t="shared" si="24"/>
        <v>7.5149999999999997</v>
      </c>
      <c r="P137" s="299">
        <f>VLOOKUP($F137,'[1]Master Harga'!$E$5:$L$351,7,FALSE)</f>
        <v>94462.2</v>
      </c>
      <c r="Q137" s="543">
        <f t="shared" si="25"/>
        <v>709883.43299999996</v>
      </c>
      <c r="R137" s="543"/>
      <c r="S137" s="543"/>
      <c r="T137" s="544"/>
      <c r="U137" s="544"/>
      <c r="V137" s="544"/>
      <c r="W137" s="544"/>
      <c r="X137" s="545"/>
      <c r="Y137" s="296">
        <f t="shared" si="23"/>
        <v>1771.1662499999998</v>
      </c>
      <c r="Z137" s="295"/>
    </row>
    <row r="138" spans="2:26" x14ac:dyDescent="0.35">
      <c r="B138" s="871" t="s">
        <v>457</v>
      </c>
      <c r="C138" s="872"/>
      <c r="D138" s="872"/>
      <c r="E138" s="873"/>
      <c r="F138" s="688"/>
      <c r="G138" s="689"/>
      <c r="H138" s="690"/>
      <c r="I138" s="691"/>
      <c r="J138" s="689"/>
      <c r="K138" s="692"/>
      <c r="L138" s="866"/>
      <c r="M138" s="694"/>
      <c r="N138" s="695"/>
      <c r="O138" s="690"/>
      <c r="P138" s="696"/>
      <c r="Q138" s="748">
        <f>SUM(Q126:Q137)</f>
        <v>386512918.92064714</v>
      </c>
      <c r="R138" s="696"/>
      <c r="S138" s="696"/>
      <c r="T138" s="874"/>
      <c r="U138" s="874"/>
      <c r="V138" s="874"/>
      <c r="W138" s="874"/>
      <c r="X138" s="690"/>
      <c r="Y138" s="695">
        <f t="shared" si="23"/>
        <v>964353.59012137505</v>
      </c>
      <c r="Z138" s="688"/>
    </row>
    <row r="139" spans="2:26" s="357" customFormat="1" x14ac:dyDescent="0.35">
      <c r="B139" s="545"/>
      <c r="C139" s="580" t="s">
        <v>458</v>
      </c>
      <c r="D139" s="580"/>
      <c r="E139" s="723"/>
      <c r="F139" s="436"/>
      <c r="G139" s="579"/>
      <c r="H139" s="545"/>
      <c r="I139" s="580"/>
      <c r="J139" s="579"/>
      <c r="K139" s="439"/>
      <c r="L139" s="849"/>
      <c r="M139" s="552"/>
      <c r="N139" s="437"/>
      <c r="O139" s="545"/>
      <c r="P139" s="683"/>
      <c r="Q139" s="683"/>
      <c r="R139" s="683"/>
      <c r="S139" s="683"/>
      <c r="T139" s="684"/>
      <c r="U139" s="684"/>
      <c r="V139" s="684"/>
      <c r="W139" s="684"/>
      <c r="X139" s="545"/>
      <c r="Y139" s="437">
        <f t="shared" si="23"/>
        <v>0</v>
      </c>
      <c r="Z139" s="436"/>
    </row>
    <row r="140" spans="2:26" x14ac:dyDescent="0.35">
      <c r="B140" s="539"/>
      <c r="C140" s="540"/>
      <c r="D140" s="540" t="s">
        <v>99</v>
      </c>
      <c r="E140" s="541"/>
      <c r="F140" s="295" t="s">
        <v>189</v>
      </c>
      <c r="G140" s="364" t="s">
        <v>190</v>
      </c>
      <c r="H140" s="365"/>
      <c r="I140" s="366"/>
      <c r="J140" s="364"/>
      <c r="K140" s="308"/>
      <c r="L140" s="825"/>
      <c r="M140" s="542">
        <v>4</v>
      </c>
      <c r="N140" s="296">
        <v>1</v>
      </c>
      <c r="O140" s="365"/>
      <c r="P140" s="543"/>
      <c r="Q140" s="543"/>
      <c r="R140" s="543"/>
      <c r="S140" s="543"/>
      <c r="T140" s="544"/>
      <c r="U140" s="544"/>
      <c r="V140" s="544"/>
      <c r="W140" s="544"/>
      <c r="X140" s="545"/>
      <c r="Y140" s="296">
        <f t="shared" si="23"/>
        <v>0</v>
      </c>
      <c r="Z140" s="295"/>
    </row>
    <row r="141" spans="2:26" hidden="1" x14ac:dyDescent="0.35">
      <c r="B141" s="546"/>
      <c r="E141" s="547"/>
      <c r="F141" s="295" t="s">
        <v>225</v>
      </c>
      <c r="G141" s="364" t="s">
        <v>226</v>
      </c>
      <c r="H141" s="365"/>
      <c r="I141" s="366"/>
      <c r="J141" s="364"/>
      <c r="K141" s="308"/>
      <c r="L141" s="825"/>
      <c r="M141" s="542">
        <v>4</v>
      </c>
      <c r="N141" s="296">
        <v>1</v>
      </c>
      <c r="O141" s="365"/>
      <c r="P141" s="543"/>
      <c r="Q141" s="543"/>
      <c r="R141" s="543"/>
      <c r="S141" s="543"/>
      <c r="T141" s="544"/>
      <c r="U141" s="544"/>
      <c r="V141" s="544"/>
      <c r="W141" s="544"/>
      <c r="X141" s="545"/>
      <c r="Y141" s="296">
        <f t="shared" si="23"/>
        <v>0</v>
      </c>
      <c r="Z141" s="295"/>
    </row>
    <row r="142" spans="2:26" hidden="1" x14ac:dyDescent="0.35">
      <c r="B142" s="546"/>
      <c r="E142" s="547"/>
      <c r="F142" s="295" t="s">
        <v>230</v>
      </c>
      <c r="G142" s="364" t="s">
        <v>226</v>
      </c>
      <c r="H142" s="365"/>
      <c r="I142" s="366"/>
      <c r="J142" s="364"/>
      <c r="K142" s="308"/>
      <c r="L142" s="825"/>
      <c r="M142" s="542">
        <v>7.2000000000000008E-2</v>
      </c>
      <c r="N142" s="296">
        <v>1</v>
      </c>
      <c r="O142" s="365"/>
      <c r="P142" s="543"/>
      <c r="Q142" s="543"/>
      <c r="R142" s="543"/>
      <c r="S142" s="543"/>
      <c r="T142" s="544"/>
      <c r="U142" s="544"/>
      <c r="V142" s="544"/>
      <c r="W142" s="544"/>
      <c r="X142" s="545"/>
      <c r="Y142" s="296">
        <f t="shared" si="23"/>
        <v>0</v>
      </c>
      <c r="Z142" s="295"/>
    </row>
    <row r="143" spans="2:26" hidden="1" x14ac:dyDescent="0.35">
      <c r="B143" s="546"/>
      <c r="E143" s="547"/>
      <c r="F143" s="295" t="s">
        <v>231</v>
      </c>
      <c r="G143" s="364" t="s">
        <v>190</v>
      </c>
      <c r="H143" s="365"/>
      <c r="I143" s="366"/>
      <c r="J143" s="364"/>
      <c r="K143" s="308"/>
      <c r="L143" s="825"/>
      <c r="M143" s="542">
        <v>4</v>
      </c>
      <c r="N143" s="296">
        <v>1</v>
      </c>
      <c r="O143" s="365"/>
      <c r="P143" s="543"/>
      <c r="Q143" s="543"/>
      <c r="R143" s="543"/>
      <c r="S143" s="543"/>
      <c r="T143" s="544"/>
      <c r="U143" s="544"/>
      <c r="V143" s="544"/>
      <c r="W143" s="544"/>
      <c r="X143" s="545"/>
      <c r="Y143" s="296">
        <f t="shared" si="23"/>
        <v>0</v>
      </c>
      <c r="Z143" s="295"/>
    </row>
    <row r="144" spans="2:26" hidden="1" x14ac:dyDescent="0.35">
      <c r="B144" s="546"/>
      <c r="E144" s="547"/>
      <c r="F144" s="295" t="s">
        <v>224</v>
      </c>
      <c r="G144" s="364" t="s">
        <v>194</v>
      </c>
      <c r="H144" s="365"/>
      <c r="I144" s="366"/>
      <c r="J144" s="364"/>
      <c r="K144" s="308"/>
      <c r="L144" s="825"/>
      <c r="M144" s="542">
        <f>((4*1)/240)</f>
        <v>1.6666666666666666E-2</v>
      </c>
      <c r="N144" s="296">
        <v>1</v>
      </c>
      <c r="O144" s="365"/>
      <c r="P144" s="543"/>
      <c r="Q144" s="543"/>
      <c r="R144" s="543"/>
      <c r="S144" s="543"/>
      <c r="T144" s="544"/>
      <c r="U144" s="544"/>
      <c r="V144" s="544"/>
      <c r="W144" s="544"/>
      <c r="X144" s="545"/>
      <c r="Y144" s="296">
        <f t="shared" si="23"/>
        <v>0</v>
      </c>
      <c r="Z144" s="295"/>
    </row>
    <row r="145" spans="2:26" hidden="1" x14ac:dyDescent="0.35">
      <c r="B145" s="546"/>
      <c r="E145" s="547"/>
      <c r="F145" s="295" t="s">
        <v>232</v>
      </c>
      <c r="G145" s="364" t="s">
        <v>194</v>
      </c>
      <c r="H145" s="365">
        <v>4</v>
      </c>
      <c r="I145" s="366" t="s">
        <v>233</v>
      </c>
      <c r="J145" s="364"/>
      <c r="K145" s="308"/>
      <c r="L145" s="825"/>
      <c r="M145" s="663">
        <f>((M$140*N$140)/240*($H145/N145))</f>
        <v>6.6666666666666666E-2</v>
      </c>
      <c r="N145" s="296">
        <v>1</v>
      </c>
      <c r="O145" s="365"/>
      <c r="P145" s="543"/>
      <c r="Q145" s="543"/>
      <c r="R145" s="543"/>
      <c r="S145" s="543"/>
      <c r="T145" s="544"/>
      <c r="U145" s="544"/>
      <c r="V145" s="544"/>
      <c r="W145" s="544"/>
      <c r="X145" s="545"/>
      <c r="Y145" s="296">
        <f t="shared" si="23"/>
        <v>0</v>
      </c>
      <c r="Z145" s="295"/>
    </row>
    <row r="146" spans="2:26" hidden="1" x14ac:dyDescent="0.35">
      <c r="B146" s="546"/>
      <c r="E146" s="547"/>
      <c r="F146" s="295" t="s">
        <v>234</v>
      </c>
      <c r="G146" s="364" t="s">
        <v>194</v>
      </c>
      <c r="H146" s="365">
        <v>12</v>
      </c>
      <c r="I146" s="366" t="s">
        <v>233</v>
      </c>
      <c r="J146" s="364"/>
      <c r="K146" s="308"/>
      <c r="L146" s="825"/>
      <c r="M146" s="663">
        <f>((M$140*N$140)/240*($H146/N146))</f>
        <v>0.2</v>
      </c>
      <c r="N146" s="296">
        <v>1</v>
      </c>
      <c r="O146" s="365"/>
      <c r="P146" s="543"/>
      <c r="Q146" s="543"/>
      <c r="R146" s="543"/>
      <c r="S146" s="543"/>
      <c r="T146" s="544"/>
      <c r="U146" s="544"/>
      <c r="V146" s="544"/>
      <c r="W146" s="544"/>
      <c r="X146" s="545"/>
      <c r="Y146" s="296">
        <f t="shared" si="23"/>
        <v>0</v>
      </c>
      <c r="Z146" s="295"/>
    </row>
    <row r="147" spans="2:26" hidden="1" x14ac:dyDescent="0.35">
      <c r="B147" s="546"/>
      <c r="E147" s="547"/>
      <c r="F147" s="295" t="s">
        <v>235</v>
      </c>
      <c r="G147" s="364" t="s">
        <v>194</v>
      </c>
      <c r="H147" s="365">
        <v>1</v>
      </c>
      <c r="I147" s="366" t="s">
        <v>233</v>
      </c>
      <c r="J147" s="364"/>
      <c r="K147" s="308"/>
      <c r="L147" s="825"/>
      <c r="M147" s="663">
        <f>((M$140*N$140)/240*($H147/N147))</f>
        <v>1.6666666666666666E-2</v>
      </c>
      <c r="N147" s="296">
        <v>1</v>
      </c>
      <c r="O147" s="365"/>
      <c r="P147" s="543"/>
      <c r="Q147" s="543"/>
      <c r="R147" s="543"/>
      <c r="S147" s="543"/>
      <c r="T147" s="544"/>
      <c r="U147" s="544"/>
      <c r="V147" s="544"/>
      <c r="W147" s="544"/>
      <c r="X147" s="545"/>
      <c r="Y147" s="296">
        <f t="shared" si="23"/>
        <v>0</v>
      </c>
      <c r="Z147" s="295"/>
    </row>
    <row r="148" spans="2:26" hidden="1" x14ac:dyDescent="0.35">
      <c r="B148" s="546"/>
      <c r="E148" s="547"/>
      <c r="F148" s="295" t="s">
        <v>236</v>
      </c>
      <c r="G148" s="364" t="s">
        <v>194</v>
      </c>
      <c r="H148" s="365">
        <v>2</v>
      </c>
      <c r="I148" s="366" t="s">
        <v>233</v>
      </c>
      <c r="J148" s="364"/>
      <c r="K148" s="308"/>
      <c r="L148" s="825"/>
      <c r="M148" s="663">
        <f>((M$140*N$140)/240*($H148/N148))</f>
        <v>3.3333333333333333E-2</v>
      </c>
      <c r="N148" s="296">
        <v>1</v>
      </c>
      <c r="O148" s="365"/>
      <c r="P148" s="543"/>
      <c r="Q148" s="543"/>
      <c r="R148" s="543"/>
      <c r="S148" s="543"/>
      <c r="T148" s="544"/>
      <c r="U148" s="544"/>
      <c r="V148" s="544"/>
      <c r="W148" s="544"/>
      <c r="X148" s="545"/>
      <c r="Y148" s="296">
        <f t="shared" si="23"/>
        <v>0</v>
      </c>
      <c r="Z148" s="295"/>
    </row>
    <row r="149" spans="2:26" hidden="1" x14ac:dyDescent="0.35">
      <c r="B149" s="546"/>
      <c r="E149" s="547"/>
      <c r="F149" s="295" t="s">
        <v>237</v>
      </c>
      <c r="G149" s="364" t="s">
        <v>194</v>
      </c>
      <c r="H149" s="365">
        <v>1</v>
      </c>
      <c r="I149" s="366" t="s">
        <v>233</v>
      </c>
      <c r="J149" s="364"/>
      <c r="K149" s="308"/>
      <c r="L149" s="825"/>
      <c r="M149" s="663">
        <f>((M$140*N$140)/240*($H149/N149))</f>
        <v>1.6666666666666666E-2</v>
      </c>
      <c r="N149" s="296">
        <v>1</v>
      </c>
      <c r="O149" s="365"/>
      <c r="P149" s="543"/>
      <c r="Q149" s="543"/>
      <c r="R149" s="543"/>
      <c r="S149" s="543"/>
      <c r="T149" s="544"/>
      <c r="U149" s="544"/>
      <c r="V149" s="544"/>
      <c r="W149" s="544"/>
      <c r="X149" s="545"/>
      <c r="Y149" s="296">
        <f t="shared" si="23"/>
        <v>0</v>
      </c>
      <c r="Z149" s="295"/>
    </row>
    <row r="150" spans="2:26" x14ac:dyDescent="0.35">
      <c r="B150" s="546"/>
      <c r="D150" s="540" t="s">
        <v>97</v>
      </c>
      <c r="E150" s="541"/>
      <c r="F150" s="295" t="s">
        <v>189</v>
      </c>
      <c r="G150" s="364" t="s">
        <v>190</v>
      </c>
      <c r="H150" s="365"/>
      <c r="I150" s="366"/>
      <c r="J150" s="364" t="s">
        <v>170</v>
      </c>
      <c r="K150" s="548">
        <v>0.1</v>
      </c>
      <c r="L150" s="825">
        <f t="shared" ref="L150:L168" si="26">$L$59</f>
        <v>400.8</v>
      </c>
      <c r="M150" s="542">
        <v>1.5</v>
      </c>
      <c r="N150" s="296">
        <v>2</v>
      </c>
      <c r="O150" s="401">
        <f t="shared" ref="O150:O168" si="27">K150*L150*M150*N150</f>
        <v>120.24000000000001</v>
      </c>
      <c r="P150" s="299">
        <f>VLOOKUP($F150,'[1]Master Harga'!$E$5:$L$351,7,FALSE)</f>
        <v>158800.57379999998</v>
      </c>
      <c r="Q150" s="543">
        <f t="shared" ref="Q150:Q168" si="28">P150*$O150</f>
        <v>19094180.993712001</v>
      </c>
      <c r="R150" s="296">
        <f>VLOOKUP($F150,'[2]Master Harga'!$E$5:$L$348,7,FALSE)</f>
        <v>163305.33120000002</v>
      </c>
      <c r="S150" s="543">
        <f t="shared" ref="S150:S168" si="29">R150*$O150</f>
        <v>19635833.023488004</v>
      </c>
      <c r="T150" s="296">
        <f>VLOOKUP($F150,'[2]Master Harga'!$E$5:$L$348,8,FALSE)</f>
        <v>179635.86432000002</v>
      </c>
      <c r="U150" s="544">
        <f t="shared" ref="U150:U168" si="30">$O150*T150</f>
        <v>21599416.325836804</v>
      </c>
      <c r="V150" s="296">
        <f t="shared" ref="V150:V168" si="31">W150/O150</f>
        <v>167247.25644000003</v>
      </c>
      <c r="W150" s="307">
        <f t="shared" ref="W150:W168" si="32">AVERAGEIF($P$3:$U$3,W$3,$P150:$U150)</f>
        <v>20109810.114345606</v>
      </c>
      <c r="X150" s="545"/>
      <c r="Y150" s="296">
        <f t="shared" si="23"/>
        <v>47640.172140000002</v>
      </c>
      <c r="Z150" s="295"/>
    </row>
    <row r="151" spans="2:26" x14ac:dyDescent="0.35">
      <c r="B151" s="546"/>
      <c r="E151" s="547"/>
      <c r="F151" s="295" t="s">
        <v>225</v>
      </c>
      <c r="G151" s="364" t="s">
        <v>226</v>
      </c>
      <c r="H151" s="365"/>
      <c r="I151" s="366"/>
      <c r="J151" s="364" t="s">
        <v>170</v>
      </c>
      <c r="K151" s="548">
        <v>0.1</v>
      </c>
      <c r="L151" s="825">
        <f t="shared" si="26"/>
        <v>400.8</v>
      </c>
      <c r="M151" s="542">
        <v>1.5</v>
      </c>
      <c r="N151" s="296">
        <v>2</v>
      </c>
      <c r="O151" s="401">
        <f t="shared" si="27"/>
        <v>120.24000000000001</v>
      </c>
      <c r="P151" s="299">
        <f>VLOOKUP($F151,'[1]Master Harga'!$E$5:$L$351,7,FALSE)</f>
        <v>37110.15</v>
      </c>
      <c r="Q151" s="543">
        <f t="shared" si="28"/>
        <v>4462124.4360000007</v>
      </c>
      <c r="R151" s="296">
        <f>VLOOKUP($F151,'[2]Master Harga'!$E$5:$L$348,7,FALSE)</f>
        <v>41620.320720000011</v>
      </c>
      <c r="S151" s="543">
        <f t="shared" si="29"/>
        <v>5004427.3633728018</v>
      </c>
      <c r="T151" s="296">
        <f>VLOOKUP($F151,'[2]Master Harga'!$E$5:$L$348,8,FALSE)</f>
        <v>44533.743170400012</v>
      </c>
      <c r="U151" s="544">
        <f t="shared" si="30"/>
        <v>5354737.2788088983</v>
      </c>
      <c r="V151" s="296">
        <f t="shared" si="31"/>
        <v>41088.071296800015</v>
      </c>
      <c r="W151" s="307">
        <f t="shared" si="32"/>
        <v>4940429.6927272342</v>
      </c>
      <c r="X151" s="545"/>
      <c r="Y151" s="296">
        <f t="shared" si="23"/>
        <v>11133.045000000002</v>
      </c>
      <c r="Z151" s="295"/>
    </row>
    <row r="152" spans="2:26" x14ac:dyDescent="0.35">
      <c r="B152" s="546"/>
      <c r="E152" s="547"/>
      <c r="F152" s="295" t="s">
        <v>230</v>
      </c>
      <c r="G152" s="364" t="s">
        <v>226</v>
      </c>
      <c r="H152" s="365"/>
      <c r="I152" s="366"/>
      <c r="J152" s="364" t="s">
        <v>170</v>
      </c>
      <c r="K152" s="548">
        <v>0.1</v>
      </c>
      <c r="L152" s="825">
        <f t="shared" si="26"/>
        <v>400.8</v>
      </c>
      <c r="M152" s="542">
        <v>2.7E-2</v>
      </c>
      <c r="N152" s="296">
        <v>2</v>
      </c>
      <c r="O152" s="401">
        <f t="shared" si="27"/>
        <v>2.1643200000000005</v>
      </c>
      <c r="P152" s="299">
        <f>VLOOKUP($F152,'[1]Master Harga'!$E$5:$L$351,7,FALSE)</f>
        <v>47231.1</v>
      </c>
      <c r="Q152" s="543">
        <f t="shared" si="28"/>
        <v>102223.21435200002</v>
      </c>
      <c r="R152" s="296">
        <f>VLOOKUP($F152,'[2]Master Harga'!$E$5:$L$348,7,FALSE)</f>
        <v>52971.317280000003</v>
      </c>
      <c r="S152" s="543">
        <f t="shared" si="29"/>
        <v>114646.88141544964</v>
      </c>
      <c r="T152" s="296">
        <f>VLOOKUP($F152,'[2]Master Harga'!$E$5:$L$348,8,FALSE)</f>
        <v>56679.309489600004</v>
      </c>
      <c r="U152" s="544">
        <f t="shared" si="30"/>
        <v>122672.16311453111</v>
      </c>
      <c r="V152" s="296">
        <f t="shared" si="31"/>
        <v>52293.908923200004</v>
      </c>
      <c r="W152" s="307">
        <f t="shared" si="32"/>
        <v>113180.75296066026</v>
      </c>
      <c r="X152" s="545"/>
      <c r="Y152" s="296">
        <f t="shared" si="23"/>
        <v>255.04794000000007</v>
      </c>
      <c r="Z152" s="295"/>
    </row>
    <row r="153" spans="2:26" x14ac:dyDescent="0.35">
      <c r="B153" s="546"/>
      <c r="E153" s="547"/>
      <c r="F153" s="295" t="s">
        <v>231</v>
      </c>
      <c r="G153" s="364" t="s">
        <v>190</v>
      </c>
      <c r="H153" s="365"/>
      <c r="I153" s="366"/>
      <c r="J153" s="364" t="s">
        <v>170</v>
      </c>
      <c r="K153" s="548">
        <v>0.1</v>
      </c>
      <c r="L153" s="825">
        <f t="shared" si="26"/>
        <v>400.8</v>
      </c>
      <c r="M153" s="542">
        <v>1.5</v>
      </c>
      <c r="N153" s="296">
        <v>2</v>
      </c>
      <c r="O153" s="401">
        <f t="shared" si="27"/>
        <v>120.24000000000001</v>
      </c>
      <c r="P153" s="299">
        <f>VLOOKUP($F153,'[1]Master Harga'!$E$5:$L$351,7,FALSE)</f>
        <v>4244.625</v>
      </c>
      <c r="Q153" s="543">
        <f t="shared" si="28"/>
        <v>510373.71</v>
      </c>
      <c r="R153" s="296">
        <f>VLOOKUP($F153,'[2]Master Harga'!$E$5:$L$348,7,FALSE)</f>
        <v>4490.6400000000003</v>
      </c>
      <c r="S153" s="543">
        <f t="shared" si="29"/>
        <v>539954.5536000001</v>
      </c>
      <c r="T153" s="296">
        <f>VLOOKUP($F153,'[2]Master Harga'!$E$5:$L$348,8,FALSE)</f>
        <v>4849.8912000000009</v>
      </c>
      <c r="U153" s="544">
        <f t="shared" si="30"/>
        <v>583150.91788800014</v>
      </c>
      <c r="V153" s="296">
        <f t="shared" si="31"/>
        <v>4528.3854000000001</v>
      </c>
      <c r="W153" s="307">
        <f t="shared" si="32"/>
        <v>544493.06049600011</v>
      </c>
      <c r="X153" s="545"/>
      <c r="Y153" s="296">
        <f t="shared" si="23"/>
        <v>1273.3875</v>
      </c>
      <c r="Z153" s="295"/>
    </row>
    <row r="154" spans="2:26" x14ac:dyDescent="0.35">
      <c r="B154" s="546"/>
      <c r="E154" s="547"/>
      <c r="F154" s="295" t="s">
        <v>224</v>
      </c>
      <c r="G154" s="364" t="s">
        <v>194</v>
      </c>
      <c r="H154" s="365"/>
      <c r="I154" s="366"/>
      <c r="J154" s="364" t="s">
        <v>170</v>
      </c>
      <c r="K154" s="548">
        <v>0.1</v>
      </c>
      <c r="L154" s="825">
        <f t="shared" si="26"/>
        <v>400.8</v>
      </c>
      <c r="M154" s="542">
        <v>6.2500000000000003E-3</v>
      </c>
      <c r="N154" s="296">
        <v>2</v>
      </c>
      <c r="O154" s="401">
        <f t="shared" si="27"/>
        <v>0.50100000000000011</v>
      </c>
      <c r="P154" s="299">
        <f>VLOOKUP($F154,'[1]Master Harga'!$E$5:$L$351,7,FALSE)</f>
        <v>1506531.5212500002</v>
      </c>
      <c r="Q154" s="543">
        <f t="shared" si="28"/>
        <v>754772.29214625026</v>
      </c>
      <c r="R154" s="296">
        <f>VLOOKUP($F154,'[2]Master Harga'!$E$5:$L$348,7,FALSE)</f>
        <v>1593848.8584</v>
      </c>
      <c r="S154" s="543">
        <f t="shared" si="29"/>
        <v>798518.27805840014</v>
      </c>
      <c r="T154" s="296">
        <f>VLOOKUP($F154,'[2]Master Harga'!$E$5:$L$348,8,FALSE)</f>
        <v>1721356.7670720001</v>
      </c>
      <c r="U154" s="544">
        <f t="shared" si="30"/>
        <v>862399.74030307226</v>
      </c>
      <c r="V154" s="296">
        <f t="shared" si="31"/>
        <v>1607245.7155740003</v>
      </c>
      <c r="W154" s="307">
        <f t="shared" si="32"/>
        <v>805230.10350257426</v>
      </c>
      <c r="X154" s="545"/>
      <c r="Y154" s="296">
        <f t="shared" si="23"/>
        <v>1883.1644015625006</v>
      </c>
      <c r="Z154" s="295"/>
    </row>
    <row r="155" spans="2:26" x14ac:dyDescent="0.35">
      <c r="B155" s="546"/>
      <c r="E155" s="547"/>
      <c r="F155" s="295" t="s">
        <v>232</v>
      </c>
      <c r="G155" s="364" t="s">
        <v>194</v>
      </c>
      <c r="H155" s="365">
        <v>4</v>
      </c>
      <c r="I155" s="366" t="s">
        <v>233</v>
      </c>
      <c r="J155" s="364" t="s">
        <v>170</v>
      </c>
      <c r="K155" s="548">
        <v>0.1</v>
      </c>
      <c r="L155" s="825">
        <f t="shared" si="26"/>
        <v>400.8</v>
      </c>
      <c r="M155" s="552">
        <f>((M$150*N$150)/240*($H155/N155))</f>
        <v>2.5000000000000001E-2</v>
      </c>
      <c r="N155" s="296">
        <v>2</v>
      </c>
      <c r="O155" s="401">
        <f t="shared" si="27"/>
        <v>2.0040000000000004</v>
      </c>
      <c r="P155" s="299">
        <f>VLOOKUP($F155,'[1]Master Harga'!$E$5:$L$351,7,FALSE)</f>
        <v>47231.1</v>
      </c>
      <c r="Q155" s="543">
        <f t="shared" si="28"/>
        <v>94651.124400000015</v>
      </c>
      <c r="R155" s="296">
        <f>VLOOKUP($F155,'[2]Master Harga'!$E$5:$L$348,7,FALSE)</f>
        <v>49968.576000000008</v>
      </c>
      <c r="S155" s="543">
        <f t="shared" si="29"/>
        <v>100137.02630400004</v>
      </c>
      <c r="T155" s="296">
        <f>VLOOKUP($F155,'[2]Master Harga'!$E$5:$L$348,8,FALSE)</f>
        <v>53966.062080000011</v>
      </c>
      <c r="U155" s="544">
        <f t="shared" si="30"/>
        <v>108147.98840832004</v>
      </c>
      <c r="V155" s="296">
        <f t="shared" si="31"/>
        <v>50388.579360000003</v>
      </c>
      <c r="W155" s="307">
        <f>AVERAGEIF($P$3:$U$3,W$3,$P155:$U155)</f>
        <v>100978.71303744003</v>
      </c>
      <c r="X155" s="545"/>
      <c r="Y155" s="296">
        <f t="shared" si="23"/>
        <v>236.15550000000002</v>
      </c>
      <c r="Z155" s="295"/>
    </row>
    <row r="156" spans="2:26" x14ac:dyDescent="0.35">
      <c r="B156" s="546"/>
      <c r="E156" s="547"/>
      <c r="F156" s="295" t="s">
        <v>234</v>
      </c>
      <c r="G156" s="364" t="s">
        <v>194</v>
      </c>
      <c r="H156" s="365">
        <v>12</v>
      </c>
      <c r="I156" s="366" t="s">
        <v>233</v>
      </c>
      <c r="J156" s="364" t="s">
        <v>170</v>
      </c>
      <c r="K156" s="548">
        <v>0.1</v>
      </c>
      <c r="L156" s="825">
        <f t="shared" si="26"/>
        <v>400.8</v>
      </c>
      <c r="M156" s="552">
        <f>((M$150*N$150)/240*($H156/N156))</f>
        <v>7.5000000000000011E-2</v>
      </c>
      <c r="N156" s="296">
        <v>2</v>
      </c>
      <c r="O156" s="401">
        <f t="shared" si="27"/>
        <v>6.0120000000000013</v>
      </c>
      <c r="P156" s="299">
        <f>VLOOKUP($F156,'[1]Master Harga'!$E$5:$L$351,7,FALSE)</f>
        <v>15435</v>
      </c>
      <c r="Q156" s="543">
        <f t="shared" si="28"/>
        <v>92795.220000000016</v>
      </c>
      <c r="R156" s="296">
        <f>VLOOKUP($F156,'[2]Master Harga'!$E$5:$L$348,7,FALSE)</f>
        <v>16329.600000000002</v>
      </c>
      <c r="S156" s="543">
        <f t="shared" si="29"/>
        <v>98173.555200000032</v>
      </c>
      <c r="T156" s="296">
        <f>VLOOKUP($F156,'[2]Master Harga'!$E$5:$L$348,8,FALSE)</f>
        <v>17635.968000000004</v>
      </c>
      <c r="U156" s="544">
        <f t="shared" si="30"/>
        <v>106027.43961600005</v>
      </c>
      <c r="V156" s="296">
        <f t="shared" si="31"/>
        <v>16466.856</v>
      </c>
      <c r="W156" s="307">
        <f t="shared" si="32"/>
        <v>98998.738272000031</v>
      </c>
      <c r="X156" s="545"/>
      <c r="Y156" s="296">
        <f t="shared" si="23"/>
        <v>231.52500000000003</v>
      </c>
      <c r="Z156" s="295"/>
    </row>
    <row r="157" spans="2:26" x14ac:dyDescent="0.35">
      <c r="B157" s="546"/>
      <c r="E157" s="547"/>
      <c r="F157" s="295" t="s">
        <v>235</v>
      </c>
      <c r="G157" s="364" t="s">
        <v>194</v>
      </c>
      <c r="H157" s="365">
        <v>1</v>
      </c>
      <c r="I157" s="366" t="s">
        <v>233</v>
      </c>
      <c r="J157" s="364" t="s">
        <v>170</v>
      </c>
      <c r="K157" s="548">
        <v>0.1</v>
      </c>
      <c r="L157" s="825">
        <f t="shared" si="26"/>
        <v>400.8</v>
      </c>
      <c r="M157" s="552">
        <f>((M$150*N$150)/240*($H157/N157))</f>
        <v>6.2500000000000003E-3</v>
      </c>
      <c r="N157" s="296">
        <v>2</v>
      </c>
      <c r="O157" s="401">
        <f t="shared" si="27"/>
        <v>0.50100000000000011</v>
      </c>
      <c r="P157" s="299">
        <f>VLOOKUP($F157,'[1]Master Harga'!$E$5:$L$351,7,FALSE)</f>
        <v>41327.212500000001</v>
      </c>
      <c r="Q157" s="543">
        <f t="shared" si="28"/>
        <v>20704.933462500005</v>
      </c>
      <c r="R157" s="296">
        <f>VLOOKUP($F157,'[2]Master Harga'!$E$5:$L$348,7,FALSE)</f>
        <v>43722.504000000008</v>
      </c>
      <c r="S157" s="543">
        <f t="shared" si="29"/>
        <v>21904.974504000009</v>
      </c>
      <c r="T157" s="296">
        <f>VLOOKUP($F157,'[2]Master Harga'!$E$5:$L$348,8,FALSE)</f>
        <v>47220.30432000001</v>
      </c>
      <c r="U157" s="544">
        <f t="shared" si="30"/>
        <v>23657.372464320011</v>
      </c>
      <c r="V157" s="296">
        <f t="shared" si="31"/>
        <v>44090.006940000007</v>
      </c>
      <c r="W157" s="307">
        <f t="shared" si="32"/>
        <v>22089.093476940008</v>
      </c>
      <c r="X157" s="545"/>
      <c r="Y157" s="296">
        <f t="shared" si="23"/>
        <v>51.659015625000009</v>
      </c>
      <c r="Z157" s="295"/>
    </row>
    <row r="158" spans="2:26" x14ac:dyDescent="0.35">
      <c r="B158" s="546"/>
      <c r="E158" s="547"/>
      <c r="F158" s="295" t="s">
        <v>236</v>
      </c>
      <c r="G158" s="364" t="s">
        <v>194</v>
      </c>
      <c r="H158" s="365">
        <v>2</v>
      </c>
      <c r="I158" s="366" t="s">
        <v>233</v>
      </c>
      <c r="J158" s="364" t="s">
        <v>170</v>
      </c>
      <c r="K158" s="548">
        <v>0.1</v>
      </c>
      <c r="L158" s="825">
        <f t="shared" si="26"/>
        <v>400.8</v>
      </c>
      <c r="M158" s="552">
        <f>((M$150*N$150)/240*($H158/N158))</f>
        <v>1.2500000000000001E-2</v>
      </c>
      <c r="N158" s="296">
        <v>2</v>
      </c>
      <c r="O158" s="401">
        <f t="shared" si="27"/>
        <v>1.0020000000000002</v>
      </c>
      <c r="P158" s="299">
        <f>VLOOKUP($F158,'[1]Master Harga'!$E$5:$L$351,7,FALSE)</f>
        <v>35423.325000000004</v>
      </c>
      <c r="Q158" s="543">
        <f t="shared" si="28"/>
        <v>35494.171650000011</v>
      </c>
      <c r="R158" s="296">
        <f>VLOOKUP($F158,'[2]Master Harga'!$E$5:$L$348,7,FALSE)</f>
        <v>37476.432000000001</v>
      </c>
      <c r="S158" s="543">
        <f t="shared" si="29"/>
        <v>37551.384864000007</v>
      </c>
      <c r="T158" s="296">
        <f>VLOOKUP($F158,'[2]Master Harga'!$E$5:$L$348,8,FALSE)</f>
        <v>40474.546560000003</v>
      </c>
      <c r="U158" s="544">
        <f t="shared" si="30"/>
        <v>40555.495653120015</v>
      </c>
      <c r="V158" s="296">
        <f t="shared" si="31"/>
        <v>37791.434520000003</v>
      </c>
      <c r="W158" s="307">
        <f t="shared" si="32"/>
        <v>37867.017389040011</v>
      </c>
      <c r="X158" s="545"/>
      <c r="Y158" s="296">
        <f t="shared" si="23"/>
        <v>88.558312500000028</v>
      </c>
      <c r="Z158" s="295"/>
    </row>
    <row r="159" spans="2:26" x14ac:dyDescent="0.35">
      <c r="B159" s="546"/>
      <c r="E159" s="547"/>
      <c r="F159" s="295" t="s">
        <v>237</v>
      </c>
      <c r="G159" s="364" t="s">
        <v>194</v>
      </c>
      <c r="H159" s="365">
        <v>1</v>
      </c>
      <c r="I159" s="366" t="s">
        <v>233</v>
      </c>
      <c r="J159" s="364" t="s">
        <v>170</v>
      </c>
      <c r="K159" s="548">
        <v>0.1</v>
      </c>
      <c r="L159" s="825">
        <f t="shared" si="26"/>
        <v>400.8</v>
      </c>
      <c r="M159" s="552">
        <f>((M$150*N$150)/240*($H159/N159))</f>
        <v>6.2500000000000003E-3</v>
      </c>
      <c r="N159" s="296">
        <v>2</v>
      </c>
      <c r="O159" s="401">
        <f t="shared" si="27"/>
        <v>0.50100000000000011</v>
      </c>
      <c r="P159" s="299">
        <f>VLOOKUP($F159,'[1]Master Harga'!$E$5:$L$351,7,FALSE)</f>
        <v>94462.2</v>
      </c>
      <c r="Q159" s="543">
        <f t="shared" si="28"/>
        <v>47325.562200000008</v>
      </c>
      <c r="R159" s="296">
        <f>VLOOKUP($F159,'[2]Master Harga'!$E$5:$L$348,7,FALSE)</f>
        <v>99937.152000000016</v>
      </c>
      <c r="S159" s="543">
        <f t="shared" si="29"/>
        <v>50068.513152000021</v>
      </c>
      <c r="T159" s="296">
        <f>VLOOKUP($F159,'[2]Master Harga'!$E$5:$L$348,8,FALSE)</f>
        <v>107932.12416000002</v>
      </c>
      <c r="U159" s="544">
        <f t="shared" si="30"/>
        <v>54073.994204160022</v>
      </c>
      <c r="V159" s="296">
        <f t="shared" si="31"/>
        <v>100777.15872000001</v>
      </c>
      <c r="W159" s="307">
        <f t="shared" si="32"/>
        <v>50489.356518720015</v>
      </c>
      <c r="X159" s="545"/>
      <c r="Y159" s="296">
        <f t="shared" si="23"/>
        <v>118.07775000000001</v>
      </c>
      <c r="Z159" s="295"/>
    </row>
    <row r="160" spans="2:26" x14ac:dyDescent="0.35">
      <c r="B160" s="546"/>
      <c r="D160" s="540" t="s">
        <v>100</v>
      </c>
      <c r="E160" s="541"/>
      <c r="F160" s="295" t="s">
        <v>189</v>
      </c>
      <c r="G160" s="364" t="s">
        <v>190</v>
      </c>
      <c r="H160" s="365"/>
      <c r="I160" s="366"/>
      <c r="J160" s="364" t="s">
        <v>170</v>
      </c>
      <c r="K160" s="548">
        <v>0.5</v>
      </c>
      <c r="L160" s="825">
        <f t="shared" si="26"/>
        <v>400.8</v>
      </c>
      <c r="M160" s="552">
        <v>0.3</v>
      </c>
      <c r="N160" s="296">
        <v>4</v>
      </c>
      <c r="O160" s="401">
        <f t="shared" si="27"/>
        <v>240.48</v>
      </c>
      <c r="P160" s="299">
        <f>VLOOKUP($F160,'[1]Master Harga'!$E$5:$L$351,7,FALSE)</f>
        <v>158800.57379999998</v>
      </c>
      <c r="Q160" s="543">
        <f t="shared" si="28"/>
        <v>38188361.987423994</v>
      </c>
      <c r="R160" s="296">
        <f>VLOOKUP($F160,'[2]Master Harga'!$E$5:$L$348,7,FALSE)</f>
        <v>163305.33120000002</v>
      </c>
      <c r="S160" s="543">
        <f t="shared" si="29"/>
        <v>39271666.046976</v>
      </c>
      <c r="T160" s="296">
        <f>VLOOKUP($F160,'[2]Master Harga'!$E$5:$L$348,8,FALSE)</f>
        <v>179635.86432000002</v>
      </c>
      <c r="U160" s="544">
        <f t="shared" si="30"/>
        <v>43198832.6516736</v>
      </c>
      <c r="V160" s="296">
        <f t="shared" si="31"/>
        <v>167247.25644</v>
      </c>
      <c r="W160" s="307">
        <f t="shared" si="32"/>
        <v>40219620.228691198</v>
      </c>
      <c r="X160" s="545"/>
      <c r="Y160" s="296">
        <f t="shared" si="23"/>
        <v>95280.344279999976</v>
      </c>
      <c r="Z160" s="295"/>
    </row>
    <row r="161" spans="2:26" x14ac:dyDescent="0.35">
      <c r="B161" s="546"/>
      <c r="E161" s="547"/>
      <c r="F161" s="295" t="s">
        <v>225</v>
      </c>
      <c r="G161" s="364" t="s">
        <v>226</v>
      </c>
      <c r="H161" s="365"/>
      <c r="I161" s="366"/>
      <c r="J161" s="364" t="s">
        <v>170</v>
      </c>
      <c r="K161" s="548">
        <v>0.5</v>
      </c>
      <c r="L161" s="825">
        <f t="shared" si="26"/>
        <v>400.8</v>
      </c>
      <c r="M161" s="552">
        <v>0.25</v>
      </c>
      <c r="N161" s="296">
        <v>4</v>
      </c>
      <c r="O161" s="401">
        <f t="shared" si="27"/>
        <v>200.4</v>
      </c>
      <c r="P161" s="299">
        <f>VLOOKUP($F161,'[1]Master Harga'!$E$5:$L$351,7,FALSE)</f>
        <v>37110.15</v>
      </c>
      <c r="Q161" s="543">
        <f t="shared" si="28"/>
        <v>7436874.0600000005</v>
      </c>
      <c r="R161" s="296">
        <f>VLOOKUP($F161,'[2]Master Harga'!$E$5:$L$348,7,FALSE)</f>
        <v>41620.320720000011</v>
      </c>
      <c r="S161" s="543">
        <f t="shared" si="29"/>
        <v>8340712.2722880021</v>
      </c>
      <c r="T161" s="296">
        <f>VLOOKUP($F161,'[2]Master Harga'!$E$5:$L$348,8,FALSE)</f>
        <v>44533.743170400012</v>
      </c>
      <c r="U161" s="544">
        <f t="shared" si="30"/>
        <v>8924562.1313481629</v>
      </c>
      <c r="V161" s="296">
        <f t="shared" si="31"/>
        <v>41088.071296800008</v>
      </c>
      <c r="W161" s="307">
        <f t="shared" si="32"/>
        <v>8234049.4878787221</v>
      </c>
      <c r="X161" s="545"/>
      <c r="Y161" s="296">
        <f t="shared" si="23"/>
        <v>18555.075000000001</v>
      </c>
      <c r="Z161" s="295"/>
    </row>
    <row r="162" spans="2:26" x14ac:dyDescent="0.35">
      <c r="B162" s="546"/>
      <c r="E162" s="547"/>
      <c r="F162" s="295" t="s">
        <v>231</v>
      </c>
      <c r="G162" s="364" t="s">
        <v>190</v>
      </c>
      <c r="H162" s="365"/>
      <c r="I162" s="366"/>
      <c r="J162" s="364" t="s">
        <v>170</v>
      </c>
      <c r="K162" s="548">
        <v>0.5</v>
      </c>
      <c r="L162" s="825">
        <f t="shared" si="26"/>
        <v>400.8</v>
      </c>
      <c r="M162" s="552">
        <v>0.3</v>
      </c>
      <c r="N162" s="296">
        <v>4</v>
      </c>
      <c r="O162" s="401">
        <f t="shared" si="27"/>
        <v>240.48</v>
      </c>
      <c r="P162" s="299">
        <f>VLOOKUP($F162,'[1]Master Harga'!$E$5:$L$351,7,FALSE)</f>
        <v>4244.625</v>
      </c>
      <c r="Q162" s="543">
        <f t="shared" si="28"/>
        <v>1020747.4199999999</v>
      </c>
      <c r="R162" s="296">
        <f>VLOOKUP($F162,'[2]Master Harga'!$E$5:$L$348,7,FALSE)</f>
        <v>4490.6400000000003</v>
      </c>
      <c r="S162" s="543">
        <f t="shared" si="29"/>
        <v>1079909.1072</v>
      </c>
      <c r="T162" s="296">
        <f>VLOOKUP($F162,'[2]Master Harga'!$E$5:$L$348,8,FALSE)</f>
        <v>4849.8912000000009</v>
      </c>
      <c r="U162" s="544">
        <f t="shared" si="30"/>
        <v>1166301.8357760003</v>
      </c>
      <c r="V162" s="296">
        <f t="shared" si="31"/>
        <v>4528.3854000000001</v>
      </c>
      <c r="W162" s="307">
        <f t="shared" si="32"/>
        <v>1088986.120992</v>
      </c>
      <c r="X162" s="545"/>
      <c r="Y162" s="296">
        <f t="shared" si="23"/>
        <v>2546.7749999999996</v>
      </c>
      <c r="Z162" s="295"/>
    </row>
    <row r="163" spans="2:26" x14ac:dyDescent="0.35">
      <c r="B163" s="546"/>
      <c r="E163" s="547"/>
      <c r="F163" s="295" t="s">
        <v>388</v>
      </c>
      <c r="G163" s="364" t="s">
        <v>194</v>
      </c>
      <c r="H163" s="365">
        <v>1</v>
      </c>
      <c r="I163" s="366"/>
      <c r="J163" s="364" t="s">
        <v>170</v>
      </c>
      <c r="K163" s="548">
        <v>0.5</v>
      </c>
      <c r="L163" s="825">
        <f t="shared" si="26"/>
        <v>400.8</v>
      </c>
      <c r="M163" s="552">
        <f t="shared" ref="M163:M168" si="33">((M$160*N$160)/240*($H163/N163))</f>
        <v>1.25E-3</v>
      </c>
      <c r="N163" s="296">
        <v>4</v>
      </c>
      <c r="O163" s="401">
        <f t="shared" si="27"/>
        <v>1.002</v>
      </c>
      <c r="P163" s="299">
        <f>VLOOKUP($F163,'[1]Master Harga'!$E$5:$L$351,7,FALSE)</f>
        <v>8462.2387500000004</v>
      </c>
      <c r="Q163" s="543">
        <f t="shared" si="28"/>
        <v>8479.1632275000011</v>
      </c>
      <c r="R163" s="296">
        <f>VLOOKUP($F163,'[2]Master Harga'!$E$5:$L$348,7,FALSE)</f>
        <v>8952.7032000000017</v>
      </c>
      <c r="S163" s="543">
        <f t="shared" si="29"/>
        <v>8970.608606400001</v>
      </c>
      <c r="T163" s="296">
        <f>VLOOKUP($F163,'[2]Master Harga'!$E$5:$L$348,8,FALSE)</f>
        <v>9668.9194560000033</v>
      </c>
      <c r="U163" s="544">
        <f t="shared" si="30"/>
        <v>9688.257294912004</v>
      </c>
      <c r="V163" s="296">
        <f t="shared" si="31"/>
        <v>9027.9538020000018</v>
      </c>
      <c r="W163" s="307">
        <f t="shared" si="32"/>
        <v>9046.0097096040026</v>
      </c>
      <c r="X163" s="545"/>
      <c r="Y163" s="296">
        <f t="shared" si="23"/>
        <v>21.155596875000001</v>
      </c>
      <c r="Z163" s="295"/>
    </row>
    <row r="164" spans="2:26" x14ac:dyDescent="0.35">
      <c r="B164" s="546"/>
      <c r="E164" s="547"/>
      <c r="F164" s="295" t="s">
        <v>232</v>
      </c>
      <c r="G164" s="364" t="s">
        <v>194</v>
      </c>
      <c r="H164" s="365">
        <v>4</v>
      </c>
      <c r="I164" s="366" t="s">
        <v>233</v>
      </c>
      <c r="J164" s="364" t="s">
        <v>170</v>
      </c>
      <c r="K164" s="548">
        <v>0.5</v>
      </c>
      <c r="L164" s="825">
        <f t="shared" si="26"/>
        <v>400.8</v>
      </c>
      <c r="M164" s="552">
        <f t="shared" si="33"/>
        <v>5.0000000000000001E-3</v>
      </c>
      <c r="N164" s="296">
        <v>4</v>
      </c>
      <c r="O164" s="401">
        <f t="shared" si="27"/>
        <v>4.008</v>
      </c>
      <c r="P164" s="299">
        <f>VLOOKUP($F164,'[1]Master Harga'!$E$5:$L$351,7,FALSE)</f>
        <v>47231.1</v>
      </c>
      <c r="Q164" s="543">
        <f t="shared" si="28"/>
        <v>189302.2488</v>
      </c>
      <c r="R164" s="296">
        <f>VLOOKUP($F164,'[2]Master Harga'!$E$5:$L$348,7,FALSE)</f>
        <v>49968.576000000008</v>
      </c>
      <c r="S164" s="543">
        <f t="shared" si="29"/>
        <v>200274.05260800003</v>
      </c>
      <c r="T164" s="296">
        <f>VLOOKUP($F164,'[2]Master Harga'!$E$5:$L$348,8,FALSE)</f>
        <v>53966.062080000011</v>
      </c>
      <c r="U164" s="544">
        <f t="shared" si="30"/>
        <v>216295.97681664003</v>
      </c>
      <c r="V164" s="296">
        <f t="shared" si="31"/>
        <v>50388.579360000011</v>
      </c>
      <c r="W164" s="307">
        <f t="shared" si="32"/>
        <v>201957.42607488003</v>
      </c>
      <c r="X164" s="545"/>
      <c r="Y164" s="296">
        <f t="shared" si="23"/>
        <v>472.31099999999998</v>
      </c>
      <c r="Z164" s="295"/>
    </row>
    <row r="165" spans="2:26" x14ac:dyDescent="0.35">
      <c r="B165" s="546"/>
      <c r="E165" s="547"/>
      <c r="F165" s="295" t="s">
        <v>234</v>
      </c>
      <c r="G165" s="364" t="s">
        <v>194</v>
      </c>
      <c r="H165" s="365">
        <v>12</v>
      </c>
      <c r="I165" s="366" t="s">
        <v>233</v>
      </c>
      <c r="J165" s="364" t="s">
        <v>170</v>
      </c>
      <c r="K165" s="548">
        <v>0.5</v>
      </c>
      <c r="L165" s="825">
        <f t="shared" si="26"/>
        <v>400.8</v>
      </c>
      <c r="M165" s="552">
        <f t="shared" si="33"/>
        <v>1.4999999999999999E-2</v>
      </c>
      <c r="N165" s="296">
        <v>4</v>
      </c>
      <c r="O165" s="401">
        <f t="shared" si="27"/>
        <v>12.023999999999999</v>
      </c>
      <c r="P165" s="299">
        <f>VLOOKUP($F165,'[1]Master Harga'!$E$5:$L$351,7,FALSE)</f>
        <v>15435</v>
      </c>
      <c r="Q165" s="543">
        <f t="shared" si="28"/>
        <v>185590.43999999997</v>
      </c>
      <c r="R165" s="296">
        <f>VLOOKUP($F165,'[2]Master Harga'!$E$5:$L$348,7,FALSE)</f>
        <v>16329.600000000002</v>
      </c>
      <c r="S165" s="543">
        <f t="shared" si="29"/>
        <v>196347.11040000001</v>
      </c>
      <c r="T165" s="296">
        <f>VLOOKUP($F165,'[2]Master Harga'!$E$5:$L$348,8,FALSE)</f>
        <v>17635.968000000004</v>
      </c>
      <c r="U165" s="544">
        <f t="shared" si="30"/>
        <v>212054.87923200004</v>
      </c>
      <c r="V165" s="296">
        <f t="shared" si="31"/>
        <v>16466.856</v>
      </c>
      <c r="W165" s="307">
        <f t="shared" si="32"/>
        <v>197997.47654399998</v>
      </c>
      <c r="X165" s="545"/>
      <c r="Y165" s="296">
        <f t="shared" si="23"/>
        <v>463.0499999999999</v>
      </c>
      <c r="Z165" s="295"/>
    </row>
    <row r="166" spans="2:26" x14ac:dyDescent="0.35">
      <c r="B166" s="546"/>
      <c r="E166" s="547"/>
      <c r="F166" s="295" t="s">
        <v>235</v>
      </c>
      <c r="G166" s="364" t="s">
        <v>194</v>
      </c>
      <c r="H166" s="365">
        <v>1</v>
      </c>
      <c r="I166" s="366" t="s">
        <v>233</v>
      </c>
      <c r="J166" s="364" t="s">
        <v>170</v>
      </c>
      <c r="K166" s="548">
        <v>0.5</v>
      </c>
      <c r="L166" s="825">
        <f t="shared" si="26"/>
        <v>400.8</v>
      </c>
      <c r="M166" s="552">
        <f t="shared" si="33"/>
        <v>1.25E-3</v>
      </c>
      <c r="N166" s="296">
        <v>4</v>
      </c>
      <c r="O166" s="401">
        <f t="shared" si="27"/>
        <v>1.002</v>
      </c>
      <c r="P166" s="299">
        <f>VLOOKUP($F166,'[1]Master Harga'!$E$5:$L$351,7,FALSE)</f>
        <v>41327.212500000001</v>
      </c>
      <c r="Q166" s="543">
        <f t="shared" si="28"/>
        <v>41409.866925000002</v>
      </c>
      <c r="R166" s="296">
        <f>VLOOKUP($F166,'[2]Master Harga'!$E$5:$L$348,7,FALSE)</f>
        <v>43722.504000000008</v>
      </c>
      <c r="S166" s="543">
        <f t="shared" si="29"/>
        <v>43809.949008000011</v>
      </c>
      <c r="T166" s="296">
        <f>VLOOKUP($F166,'[2]Master Harga'!$E$5:$L$348,8,FALSE)</f>
        <v>47220.30432000001</v>
      </c>
      <c r="U166" s="544">
        <f t="shared" si="30"/>
        <v>47314.744928640008</v>
      </c>
      <c r="V166" s="296">
        <f t="shared" si="31"/>
        <v>44090.006940000007</v>
      </c>
      <c r="W166" s="307">
        <f t="shared" si="32"/>
        <v>44178.186953880009</v>
      </c>
      <c r="X166" s="545"/>
      <c r="Y166" s="296">
        <f t="shared" si="23"/>
        <v>103.31803125</v>
      </c>
      <c r="Z166" s="295"/>
    </row>
    <row r="167" spans="2:26" x14ac:dyDescent="0.35">
      <c r="B167" s="546"/>
      <c r="E167" s="547"/>
      <c r="F167" s="295" t="s">
        <v>236</v>
      </c>
      <c r="G167" s="364" t="s">
        <v>194</v>
      </c>
      <c r="H167" s="365">
        <v>2</v>
      </c>
      <c r="I167" s="366" t="s">
        <v>233</v>
      </c>
      <c r="J167" s="364" t="s">
        <v>170</v>
      </c>
      <c r="K167" s="548">
        <v>0.5</v>
      </c>
      <c r="L167" s="825">
        <f t="shared" si="26"/>
        <v>400.8</v>
      </c>
      <c r="M167" s="552">
        <f t="shared" si="33"/>
        <v>2.5000000000000001E-3</v>
      </c>
      <c r="N167" s="296">
        <v>4</v>
      </c>
      <c r="O167" s="401">
        <f t="shared" si="27"/>
        <v>2.004</v>
      </c>
      <c r="P167" s="299">
        <f>VLOOKUP($F167,'[1]Master Harga'!$E$5:$L$351,7,FALSE)</f>
        <v>35423.325000000004</v>
      </c>
      <c r="Q167" s="543">
        <f t="shared" si="28"/>
        <v>70988.343300000008</v>
      </c>
      <c r="R167" s="296">
        <f>VLOOKUP($F167,'[2]Master Harga'!$E$5:$L$348,7,FALSE)</f>
        <v>37476.432000000001</v>
      </c>
      <c r="S167" s="543">
        <f t="shared" si="29"/>
        <v>75102.769727999999</v>
      </c>
      <c r="T167" s="296">
        <f>VLOOKUP($F167,'[2]Master Harga'!$E$5:$L$348,8,FALSE)</f>
        <v>40474.546560000003</v>
      </c>
      <c r="U167" s="544">
        <f t="shared" si="30"/>
        <v>81110.991306240001</v>
      </c>
      <c r="V167" s="296">
        <f t="shared" si="31"/>
        <v>37791.434519999995</v>
      </c>
      <c r="W167" s="307">
        <f t="shared" si="32"/>
        <v>75734.034778079993</v>
      </c>
      <c r="X167" s="545"/>
      <c r="Y167" s="296">
        <f t="shared" si="23"/>
        <v>177.11662500000003</v>
      </c>
      <c r="Z167" s="295"/>
    </row>
    <row r="168" spans="2:26" x14ac:dyDescent="0.35">
      <c r="B168" s="546"/>
      <c r="E168" s="547"/>
      <c r="F168" s="295" t="s">
        <v>237</v>
      </c>
      <c r="G168" s="364" t="s">
        <v>194</v>
      </c>
      <c r="H168" s="365">
        <v>1</v>
      </c>
      <c r="I168" s="366" t="s">
        <v>233</v>
      </c>
      <c r="J168" s="364" t="s">
        <v>170</v>
      </c>
      <c r="K168" s="548">
        <v>0.5</v>
      </c>
      <c r="L168" s="825">
        <f t="shared" si="26"/>
        <v>400.8</v>
      </c>
      <c r="M168" s="552">
        <f t="shared" si="33"/>
        <v>1.25E-3</v>
      </c>
      <c r="N168" s="296">
        <v>4</v>
      </c>
      <c r="O168" s="401">
        <f t="shared" si="27"/>
        <v>1.002</v>
      </c>
      <c r="P168" s="299">
        <f>VLOOKUP($F168,'[1]Master Harga'!$E$5:$L$351,7,FALSE)</f>
        <v>94462.2</v>
      </c>
      <c r="Q168" s="543">
        <f t="shared" si="28"/>
        <v>94651.124400000001</v>
      </c>
      <c r="R168" s="296">
        <f>VLOOKUP($F168,'[2]Master Harga'!$E$5:$L$348,7,FALSE)</f>
        <v>99937.152000000016</v>
      </c>
      <c r="S168" s="543">
        <f t="shared" si="29"/>
        <v>100137.02630400001</v>
      </c>
      <c r="T168" s="296">
        <f>VLOOKUP($F168,'[2]Master Harga'!$E$5:$L$348,8,FALSE)</f>
        <v>107932.12416000002</v>
      </c>
      <c r="U168" s="544">
        <f t="shared" si="30"/>
        <v>108147.98840832002</v>
      </c>
      <c r="V168" s="296">
        <f t="shared" si="31"/>
        <v>100777.15872000002</v>
      </c>
      <c r="W168" s="307">
        <f t="shared" si="32"/>
        <v>100978.71303744001</v>
      </c>
      <c r="X168" s="545"/>
      <c r="Y168" s="296">
        <f t="shared" si="23"/>
        <v>236.15549999999999</v>
      </c>
      <c r="Z168" s="295"/>
    </row>
    <row r="169" spans="2:26" x14ac:dyDescent="0.35">
      <c r="B169" s="539"/>
      <c r="C169" s="540" t="s">
        <v>102</v>
      </c>
      <c r="D169" s="540"/>
      <c r="E169" s="541"/>
      <c r="F169" s="295" t="s">
        <v>189</v>
      </c>
      <c r="G169" s="364" t="s">
        <v>190</v>
      </c>
      <c r="H169" s="365"/>
      <c r="I169" s="366"/>
      <c r="J169" s="364"/>
      <c r="K169" s="308"/>
      <c r="L169" s="825"/>
      <c r="M169" s="552">
        <v>0.73</v>
      </c>
      <c r="N169" s="296">
        <v>1</v>
      </c>
      <c r="O169" s="365"/>
      <c r="P169" s="543"/>
      <c r="Q169" s="543"/>
      <c r="R169" s="543"/>
      <c r="S169" s="543"/>
      <c r="T169" s="544"/>
      <c r="U169" s="544"/>
      <c r="V169" s="544"/>
      <c r="W169" s="544"/>
      <c r="X169" s="545"/>
      <c r="Y169" s="296">
        <f t="shared" si="23"/>
        <v>0</v>
      </c>
      <c r="Z169" s="295"/>
    </row>
    <row r="170" spans="2:26" x14ac:dyDescent="0.35">
      <c r="B170" s="546"/>
      <c r="E170" s="547"/>
      <c r="F170" s="295" t="s">
        <v>354</v>
      </c>
      <c r="G170" s="364" t="s">
        <v>203</v>
      </c>
      <c r="H170" s="365"/>
      <c r="I170" s="366"/>
      <c r="J170" s="364"/>
      <c r="K170" s="308"/>
      <c r="L170" s="825"/>
      <c r="M170" s="542">
        <v>3.36</v>
      </c>
      <c r="N170" s="296">
        <v>1</v>
      </c>
      <c r="O170" s="365"/>
      <c r="P170" s="543"/>
      <c r="Q170" s="543"/>
      <c r="R170" s="543"/>
      <c r="S170" s="543"/>
      <c r="T170" s="544"/>
      <c r="U170" s="544"/>
      <c r="V170" s="544"/>
      <c r="W170" s="544"/>
      <c r="X170" s="545"/>
      <c r="Y170" s="296">
        <f t="shared" si="23"/>
        <v>0</v>
      </c>
      <c r="Z170" s="295"/>
    </row>
    <row r="171" spans="2:26" x14ac:dyDescent="0.35">
      <c r="B171" s="549"/>
      <c r="C171" s="550"/>
      <c r="D171" s="550"/>
      <c r="E171" s="551"/>
      <c r="F171" s="295" t="s">
        <v>239</v>
      </c>
      <c r="G171" s="364" t="s">
        <v>170</v>
      </c>
      <c r="H171" s="365"/>
      <c r="I171" s="366"/>
      <c r="J171" s="364" t="s">
        <v>460</v>
      </c>
      <c r="K171" s="548">
        <v>0.15</v>
      </c>
      <c r="L171" s="825">
        <f>$L$59</f>
        <v>400.8</v>
      </c>
      <c r="M171" s="542">
        <f>20/30</f>
        <v>0.66666666666666663</v>
      </c>
      <c r="N171" s="296">
        <v>12</v>
      </c>
      <c r="O171" s="401">
        <f>K171*L171*M171*N171</f>
        <v>480.96</v>
      </c>
      <c r="P171" s="299">
        <f>VLOOKUP($F171,'[1]Master Harga'!$E$5:$L$351,7,FALSE)</f>
        <v>71381.2736</v>
      </c>
      <c r="Q171" s="543">
        <f>P171*$O171</f>
        <v>34331537.350655995</v>
      </c>
      <c r="R171" s="296">
        <f>VLOOKUP($F171,'[2]Master Harga'!$E$5:$L$348,7,FALSE)</f>
        <v>71381.2736</v>
      </c>
      <c r="S171" s="543">
        <f>R171*$O171</f>
        <v>34331537.350655995</v>
      </c>
      <c r="T171" s="296">
        <f>VLOOKUP($F171,'[2]Master Harga'!$E$5:$L$348,8,FALSE)</f>
        <v>74236.524544</v>
      </c>
      <c r="U171" s="544">
        <f>$O171*T171</f>
        <v>35704798.844682239</v>
      </c>
      <c r="V171" s="296">
        <f>W171/O171</f>
        <v>72333.023914666657</v>
      </c>
      <c r="W171" s="307">
        <f>AVERAGEIF($P$3:$U$3,W$3,$P171:$U171)</f>
        <v>34789291.181998074</v>
      </c>
      <c r="X171" s="545"/>
      <c r="Y171" s="296">
        <f t="shared" si="23"/>
        <v>85657.528319999983</v>
      </c>
      <c r="Z171" s="295"/>
    </row>
    <row r="172" spans="2:26" x14ac:dyDescent="0.35">
      <c r="B172" s="685" t="s">
        <v>461</v>
      </c>
      <c r="C172" s="864"/>
      <c r="D172" s="864"/>
      <c r="E172" s="865"/>
      <c r="F172" s="688"/>
      <c r="G172" s="689"/>
      <c r="H172" s="690"/>
      <c r="I172" s="691"/>
      <c r="J172" s="689"/>
      <c r="K172" s="692"/>
      <c r="L172" s="866"/>
      <c r="M172" s="694"/>
      <c r="N172" s="695"/>
      <c r="O172" s="690"/>
      <c r="P172" s="696"/>
      <c r="Q172" s="697">
        <f>SUM(Q140:Q171)</f>
        <v>106782587.66265523</v>
      </c>
      <c r="R172" s="696"/>
      <c r="S172" s="697">
        <f>SUM(S161:S171)</f>
        <v>44376800.246798396</v>
      </c>
      <c r="T172" s="684"/>
      <c r="U172" s="684"/>
      <c r="V172" s="684"/>
      <c r="W172" s="684"/>
      <c r="X172" s="690"/>
      <c r="Y172" s="727">
        <f t="shared" si="23"/>
        <v>266423.62191281246</v>
      </c>
      <c r="Z172" s="875">
        <f t="shared" ref="Z172:Z173" si="34">(Y172/$Y$421)*100</f>
        <v>1.9226311503966051</v>
      </c>
    </row>
    <row r="173" spans="2:26" x14ac:dyDescent="0.35">
      <c r="B173" s="753" t="s">
        <v>462</v>
      </c>
      <c r="C173" s="853"/>
      <c r="D173" s="853"/>
      <c r="E173" s="854"/>
      <c r="F173" s="668"/>
      <c r="G173" s="669"/>
      <c r="H173" s="670"/>
      <c r="I173" s="671"/>
      <c r="J173" s="669"/>
      <c r="K173" s="672"/>
      <c r="L173" s="876"/>
      <c r="M173" s="674"/>
      <c r="N173" s="675"/>
      <c r="O173" s="670"/>
      <c r="P173" s="676"/>
      <c r="Q173" s="756">
        <f>Q69+Q83+Q109+Q125+Q172+Q138</f>
        <v>1200489245.9611077</v>
      </c>
      <c r="R173" s="676"/>
      <c r="S173" s="756">
        <f>SUM(S162:S172)</f>
        <v>80412888.221308798</v>
      </c>
      <c r="T173" s="677"/>
      <c r="U173" s="677"/>
      <c r="V173" s="677"/>
      <c r="W173" s="677"/>
      <c r="X173" s="670"/>
      <c r="Y173" s="720">
        <f t="shared" si="23"/>
        <v>2995232.649603562</v>
      </c>
      <c r="Z173" s="877">
        <f t="shared" si="34"/>
        <v>21.614928711904234</v>
      </c>
    </row>
    <row r="174" spans="2:26" x14ac:dyDescent="0.35">
      <c r="B174" s="678" t="s">
        <v>463</v>
      </c>
      <c r="C174" s="366"/>
      <c r="D174" s="366"/>
      <c r="E174" s="553"/>
      <c r="F174" s="295"/>
      <c r="G174" s="364"/>
      <c r="H174" s="365"/>
      <c r="I174" s="366"/>
      <c r="J174" s="364"/>
      <c r="K174" s="308"/>
      <c r="L174" s="825"/>
      <c r="M174" s="542"/>
      <c r="N174" s="296"/>
      <c r="O174" s="365"/>
      <c r="P174" s="543"/>
      <c r="Q174" s="543"/>
      <c r="R174" s="543"/>
      <c r="S174" s="543"/>
      <c r="T174" s="544"/>
      <c r="U174" s="544"/>
      <c r="V174" s="544"/>
      <c r="W174" s="544"/>
      <c r="X174" s="545"/>
      <c r="Y174" s="296">
        <f t="shared" si="23"/>
        <v>0</v>
      </c>
      <c r="Z174" s="295"/>
    </row>
    <row r="175" spans="2:26" x14ac:dyDescent="0.35">
      <c r="B175" s="546"/>
      <c r="C175" t="s">
        <v>464</v>
      </c>
      <c r="E175" s="547"/>
      <c r="F175" s="295" t="s">
        <v>189</v>
      </c>
      <c r="G175" s="364" t="s">
        <v>190</v>
      </c>
      <c r="H175" s="365"/>
      <c r="I175" s="366"/>
      <c r="J175" s="364"/>
      <c r="K175" s="308"/>
      <c r="L175" s="825"/>
      <c r="M175" s="542"/>
      <c r="N175" s="296"/>
      <c r="O175" s="365"/>
      <c r="P175" s="543"/>
      <c r="Q175" s="543"/>
      <c r="R175" s="543"/>
      <c r="S175" s="543"/>
      <c r="T175" s="544"/>
      <c r="U175" s="544"/>
      <c r="V175" s="544"/>
      <c r="W175" s="544"/>
      <c r="X175" s="545"/>
      <c r="Y175" s="296">
        <f t="shared" si="23"/>
        <v>0</v>
      </c>
      <c r="Z175" s="295"/>
    </row>
    <row r="176" spans="2:26" hidden="1" x14ac:dyDescent="0.35">
      <c r="B176" s="546"/>
      <c r="E176" s="547"/>
      <c r="F176" s="295" t="s">
        <v>465</v>
      </c>
      <c r="G176" s="364" t="s">
        <v>194</v>
      </c>
      <c r="H176" s="365"/>
      <c r="I176" s="366"/>
      <c r="J176" s="364"/>
      <c r="K176" s="308"/>
      <c r="L176" s="825"/>
      <c r="M176" s="542"/>
      <c r="N176" s="296"/>
      <c r="O176" s="365"/>
      <c r="P176" s="543"/>
      <c r="Q176" s="543"/>
      <c r="R176" s="543"/>
      <c r="S176" s="543"/>
      <c r="T176" s="544"/>
      <c r="U176" s="544"/>
      <c r="V176" s="544"/>
      <c r="W176" s="544"/>
      <c r="X176" s="545"/>
      <c r="Y176" s="296">
        <f t="shared" si="23"/>
        <v>0</v>
      </c>
      <c r="Z176" s="295"/>
    </row>
    <row r="177" spans="2:26" hidden="1" x14ac:dyDescent="0.35">
      <c r="B177" s="546"/>
      <c r="E177" s="547"/>
      <c r="F177" s="295" t="s">
        <v>466</v>
      </c>
      <c r="G177" s="364" t="s">
        <v>194</v>
      </c>
      <c r="H177" s="365"/>
      <c r="I177" s="366"/>
      <c r="J177" s="364"/>
      <c r="K177" s="308"/>
      <c r="L177" s="825"/>
      <c r="M177" s="542"/>
      <c r="N177" s="296"/>
      <c r="O177" s="365"/>
      <c r="P177" s="543"/>
      <c r="Q177" s="543"/>
      <c r="R177" s="543"/>
      <c r="S177" s="543"/>
      <c r="T177" s="544"/>
      <c r="U177" s="544"/>
      <c r="V177" s="544"/>
      <c r="W177" s="544"/>
      <c r="X177" s="545"/>
      <c r="Y177" s="296">
        <f t="shared" si="23"/>
        <v>0</v>
      </c>
      <c r="Z177" s="295"/>
    </row>
    <row r="178" spans="2:26" hidden="1" x14ac:dyDescent="0.35">
      <c r="B178" s="546"/>
      <c r="E178" s="547"/>
      <c r="F178" s="295" t="s">
        <v>467</v>
      </c>
      <c r="G178" s="364" t="s">
        <v>194</v>
      </c>
      <c r="H178" s="365"/>
      <c r="I178" s="366"/>
      <c r="J178" s="364"/>
      <c r="K178" s="308"/>
      <c r="L178" s="825"/>
      <c r="M178" s="542"/>
      <c r="N178" s="296"/>
      <c r="O178" s="365"/>
      <c r="P178" s="543"/>
      <c r="Q178" s="543"/>
      <c r="R178" s="543"/>
      <c r="S178" s="543"/>
      <c r="T178" s="544"/>
      <c r="U178" s="544"/>
      <c r="V178" s="544"/>
      <c r="W178" s="544"/>
      <c r="X178" s="545"/>
      <c r="Y178" s="296">
        <f t="shared" si="23"/>
        <v>0</v>
      </c>
      <c r="Z178" s="295"/>
    </row>
    <row r="179" spans="2:26" x14ac:dyDescent="0.35">
      <c r="B179" s="539"/>
      <c r="C179" s="540" t="s">
        <v>106</v>
      </c>
      <c r="D179" s="540"/>
      <c r="E179" s="541"/>
      <c r="F179" s="295" t="s">
        <v>189</v>
      </c>
      <c r="G179" s="364" t="s">
        <v>190</v>
      </c>
      <c r="H179" s="365"/>
      <c r="I179" s="366"/>
      <c r="J179" s="364" t="s">
        <v>170</v>
      </c>
      <c r="K179" s="548">
        <v>1</v>
      </c>
      <c r="L179" s="825">
        <f t="shared" ref="L179:L183" si="35">$L$59</f>
        <v>400.8</v>
      </c>
      <c r="M179" s="542">
        <v>1</v>
      </c>
      <c r="N179" s="296">
        <v>6</v>
      </c>
      <c r="O179" s="401">
        <f>K179*L179*M179*N179</f>
        <v>2404.8000000000002</v>
      </c>
      <c r="P179" s="299">
        <f>VLOOKUP($F179,'[1]Master Harga'!$E$5:$L$351,7,FALSE)</f>
        <v>158800.57379999998</v>
      </c>
      <c r="Q179" s="543">
        <f>P179*$O179</f>
        <v>381883619.87423998</v>
      </c>
      <c r="R179" s="296">
        <f>VLOOKUP($F179,'[2]Master Harga'!$E$5:$L$348,7,FALSE)</f>
        <v>163305.33120000002</v>
      </c>
      <c r="S179" s="543">
        <f>R179*$O179</f>
        <v>392716660.46976006</v>
      </c>
      <c r="T179" s="296">
        <f>VLOOKUP($F179,'[2]Master Harga'!$E$5:$L$348,8,FALSE)</f>
        <v>179635.86432000002</v>
      </c>
      <c r="U179" s="544">
        <f>$O179*T179</f>
        <v>431988326.51673609</v>
      </c>
      <c r="V179" s="296">
        <f>W179/O179</f>
        <v>167247.25644</v>
      </c>
      <c r="W179" s="307">
        <f>AVERAGEIF($P$3:$U$3,W$3,$P179:$U179)</f>
        <v>402196202.28691202</v>
      </c>
      <c r="X179" s="545"/>
      <c r="Y179" s="296">
        <f t="shared" si="23"/>
        <v>952803.44279999996</v>
      </c>
      <c r="Z179" s="295"/>
    </row>
    <row r="180" spans="2:26" x14ac:dyDescent="0.35">
      <c r="B180" s="546"/>
      <c r="E180" s="547"/>
      <c r="F180" s="295" t="s">
        <v>468</v>
      </c>
      <c r="G180" s="364" t="s">
        <v>194</v>
      </c>
      <c r="H180" s="365">
        <v>1</v>
      </c>
      <c r="I180" s="366" t="s">
        <v>233</v>
      </c>
      <c r="J180" s="364" t="s">
        <v>170</v>
      </c>
      <c r="K180" s="548">
        <v>1</v>
      </c>
      <c r="L180" s="825">
        <f t="shared" si="35"/>
        <v>400.8</v>
      </c>
      <c r="M180" s="552">
        <f>((M$179*N$179)/(300))*($H180/N180)</f>
        <v>0.01</v>
      </c>
      <c r="N180" s="296">
        <v>2</v>
      </c>
      <c r="O180" s="401">
        <f>K180*L180*M180*N180</f>
        <v>8.016</v>
      </c>
      <c r="P180" s="299">
        <f>VLOOKUP($F180,'[1]Master Harga'!$E$5:$L$351,7,FALSE)</f>
        <v>73184.931225000008</v>
      </c>
      <c r="Q180" s="543">
        <f>P180*$O180</f>
        <v>586650.40869960003</v>
      </c>
      <c r="R180" s="296">
        <f>VLOOKUP($F180,'[2]Master Harga'!$E$5:$L$348,7,FALSE)</f>
        <v>77426.670096000002</v>
      </c>
      <c r="S180" s="543">
        <f>R180*$O180</f>
        <v>620652.18748953601</v>
      </c>
      <c r="T180" s="296">
        <f>VLOOKUP($F180,'[2]Master Harga'!$E$5:$L$348,8,FALSE)</f>
        <v>83620.803703680009</v>
      </c>
      <c r="U180" s="544">
        <f>$O180*T180</f>
        <v>670304.36248869891</v>
      </c>
      <c r="V180" s="296">
        <f>W180/O180</f>
        <v>78077.468341560016</v>
      </c>
      <c r="W180" s="307">
        <f>AVERAGEIF($P$3:$U$3,W$3,$P180:$U180)</f>
        <v>625868.98622594506</v>
      </c>
      <c r="X180" s="545"/>
      <c r="Y180" s="296">
        <f t="shared" si="23"/>
        <v>1463.6986245000001</v>
      </c>
      <c r="Z180" s="295"/>
    </row>
    <row r="181" spans="2:26" x14ac:dyDescent="0.35">
      <c r="B181" s="546"/>
      <c r="E181" s="547"/>
      <c r="F181" s="295" t="s">
        <v>466</v>
      </c>
      <c r="G181" s="364" t="s">
        <v>194</v>
      </c>
      <c r="H181" s="365">
        <v>1</v>
      </c>
      <c r="I181" s="366" t="s">
        <v>233</v>
      </c>
      <c r="J181" s="364" t="s">
        <v>170</v>
      </c>
      <c r="K181" s="548">
        <v>1</v>
      </c>
      <c r="L181" s="825">
        <f t="shared" si="35"/>
        <v>400.8</v>
      </c>
      <c r="M181" s="552">
        <f>((M$179*N$179)/(300))*($H181/N181)</f>
        <v>0.01</v>
      </c>
      <c r="N181" s="296">
        <v>2</v>
      </c>
      <c r="O181" s="401">
        <f>K181*L181*M181*N181</f>
        <v>8.016</v>
      </c>
      <c r="P181" s="299">
        <f>VLOOKUP($F181,'[1]Master Harga'!$E$5:$L$351,7,FALSE)</f>
        <v>8644.9781249999996</v>
      </c>
      <c r="Q181" s="543">
        <f>P181*$O181</f>
        <v>69298.144650000002</v>
      </c>
      <c r="R181" s="296">
        <f>VLOOKUP($F181,'[2]Master Harga'!$E$5:$L$348,7,FALSE)</f>
        <v>9146.0340000000015</v>
      </c>
      <c r="S181" s="543">
        <f>R181*$O181</f>
        <v>73314.608544000017</v>
      </c>
      <c r="T181" s="296">
        <f>VLOOKUP($F181,'[2]Master Harga'!$E$5:$L$348,8,FALSE)</f>
        <v>9877.7167200000022</v>
      </c>
      <c r="U181" s="544">
        <f>$O181*T181</f>
        <v>79179.777227520011</v>
      </c>
      <c r="V181" s="296">
        <f>W181/O181</f>
        <v>9222.9096150000005</v>
      </c>
      <c r="W181" s="307">
        <f>AVERAGEIF($P$3:$U$3,W$3,$P181:$U181)</f>
        <v>73930.84347384001</v>
      </c>
      <c r="X181" s="545"/>
      <c r="Y181" s="296">
        <f t="shared" si="23"/>
        <v>172.8995625</v>
      </c>
      <c r="Z181" s="295"/>
    </row>
    <row r="182" spans="2:26" x14ac:dyDescent="0.35">
      <c r="B182" s="546"/>
      <c r="E182" s="547"/>
      <c r="F182" s="295" t="s">
        <v>467</v>
      </c>
      <c r="G182" s="364" t="s">
        <v>194</v>
      </c>
      <c r="H182" s="365">
        <v>1</v>
      </c>
      <c r="I182" s="366" t="s">
        <v>233</v>
      </c>
      <c r="J182" s="364" t="s">
        <v>170</v>
      </c>
      <c r="K182" s="548">
        <v>1</v>
      </c>
      <c r="L182" s="825">
        <f t="shared" si="35"/>
        <v>400.8</v>
      </c>
      <c r="M182" s="552">
        <f>((M$179*N$179)/(300))*($H182/N182)</f>
        <v>0.01</v>
      </c>
      <c r="N182" s="296">
        <v>2</v>
      </c>
      <c r="O182" s="401">
        <f>K182*L182*M182*N182</f>
        <v>8.016</v>
      </c>
      <c r="P182" s="299">
        <f>VLOOKUP($F182,'[1]Master Harga'!$E$5:$L$351,7,FALSE)</f>
        <v>56480.523750000008</v>
      </c>
      <c r="Q182" s="543">
        <f>P182*$O182</f>
        <v>452747.87838000007</v>
      </c>
      <c r="R182" s="296">
        <f>VLOOKUP($F182,'[2]Master Harga'!$E$5:$L$348,7,FALSE)</f>
        <v>59754.088800000005</v>
      </c>
      <c r="S182" s="543">
        <f>R182*$O182</f>
        <v>478988.77582080005</v>
      </c>
      <c r="T182" s="296">
        <f>VLOOKUP($F182,'[2]Master Harga'!$E$5:$L$348,8,FALSE)</f>
        <v>64534.415904000009</v>
      </c>
      <c r="U182" s="544">
        <f>$O182*T182</f>
        <v>517307.87788646406</v>
      </c>
      <c r="V182" s="296">
        <f>W182/O182</f>
        <v>60256.342818000005</v>
      </c>
      <c r="W182" s="307">
        <f>AVERAGEIF($P$3:$U$3,W$3,$P182:$U182)</f>
        <v>483014.84402908804</v>
      </c>
      <c r="X182" s="545"/>
      <c r="Y182" s="296">
        <f t="shared" si="23"/>
        <v>1129.6104750000002</v>
      </c>
      <c r="Z182" s="295"/>
    </row>
    <row r="183" spans="2:26" x14ac:dyDescent="0.35">
      <c r="B183" s="549"/>
      <c r="C183" s="550"/>
      <c r="D183" s="550"/>
      <c r="E183" s="551"/>
      <c r="F183" s="295" t="s">
        <v>237</v>
      </c>
      <c r="G183" s="364" t="s">
        <v>194</v>
      </c>
      <c r="H183" s="365">
        <v>1</v>
      </c>
      <c r="I183" s="366" t="s">
        <v>233</v>
      </c>
      <c r="J183" s="364" t="s">
        <v>170</v>
      </c>
      <c r="K183" s="548">
        <v>1</v>
      </c>
      <c r="L183" s="825">
        <f t="shared" si="35"/>
        <v>400.8</v>
      </c>
      <c r="M183" s="552">
        <f>((M$179*N$179)/(300))*($H183/N183)</f>
        <v>0.01</v>
      </c>
      <c r="N183" s="296">
        <v>2</v>
      </c>
      <c r="O183" s="401">
        <f>K183*L183*M183*N183</f>
        <v>8.016</v>
      </c>
      <c r="P183" s="299">
        <f>VLOOKUP($F183,'[1]Master Harga'!$E$5:$L$351,7,FALSE)</f>
        <v>94462.2</v>
      </c>
      <c r="Q183" s="543">
        <f>P183*$O183</f>
        <v>757208.9952</v>
      </c>
      <c r="R183" s="296">
        <f>VLOOKUP($F183,'[2]Master Harga'!$E$5:$L$348,7,FALSE)</f>
        <v>99937.152000000016</v>
      </c>
      <c r="S183" s="543">
        <f>R183*$O183</f>
        <v>801096.21043200011</v>
      </c>
      <c r="T183" s="296">
        <f>VLOOKUP($F183,'[2]Master Harga'!$E$5:$L$348,8,FALSE)</f>
        <v>107932.12416000002</v>
      </c>
      <c r="U183" s="544">
        <f>$O183*T183</f>
        <v>865183.90726656013</v>
      </c>
      <c r="V183" s="296">
        <f>W183/O183</f>
        <v>100777.15872000002</v>
      </c>
      <c r="W183" s="307">
        <f>AVERAGEIF($P$3:$U$3,W$3,$P183:$U183)</f>
        <v>807829.70429952012</v>
      </c>
      <c r="X183" s="731"/>
      <c r="Y183" s="296">
        <f t="shared" si="23"/>
        <v>1889.2439999999999</v>
      </c>
      <c r="Z183" s="295"/>
    </row>
    <row r="184" spans="2:26" x14ac:dyDescent="0.35">
      <c r="B184" s="685" t="s">
        <v>545</v>
      </c>
      <c r="C184" s="864"/>
      <c r="D184" s="864"/>
      <c r="E184" s="865"/>
      <c r="F184" s="688"/>
      <c r="G184" s="689"/>
      <c r="H184" s="690"/>
      <c r="I184" s="691"/>
      <c r="J184" s="689"/>
      <c r="K184" s="692"/>
      <c r="L184" s="866"/>
      <c r="M184" s="694"/>
      <c r="N184" s="695"/>
      <c r="O184" s="690"/>
      <c r="P184" s="696"/>
      <c r="Q184" s="697">
        <f>SUM(Q175:Q183)</f>
        <v>383749525.30116951</v>
      </c>
      <c r="R184" s="696"/>
      <c r="S184" s="697">
        <f>SUM(S172:S183)</f>
        <v>519480400.72015357</v>
      </c>
      <c r="T184" s="684"/>
      <c r="U184" s="684"/>
      <c r="V184" s="684"/>
      <c r="W184" s="684"/>
      <c r="X184" s="690"/>
      <c r="Y184" s="727">
        <f t="shared" si="23"/>
        <v>957458.89546199981</v>
      </c>
      <c r="Z184" s="875">
        <f>(Y184/$Y$421)*100</f>
        <v>6.9094485106954417</v>
      </c>
    </row>
    <row r="185" spans="2:26" x14ac:dyDescent="0.35">
      <c r="B185" s="365"/>
      <c r="C185" s="366" t="s">
        <v>469</v>
      </c>
      <c r="D185" s="366"/>
      <c r="E185" s="553"/>
      <c r="F185" s="295"/>
      <c r="G185" s="364"/>
      <c r="H185" s="365"/>
      <c r="I185" s="366"/>
      <c r="J185" s="364"/>
      <c r="K185" s="308"/>
      <c r="L185" s="825"/>
      <c r="M185" s="729"/>
      <c r="N185" s="296"/>
      <c r="O185" s="365"/>
      <c r="P185" s="543"/>
      <c r="Q185" s="543"/>
      <c r="R185" s="543"/>
      <c r="S185" s="543"/>
      <c r="T185" s="544"/>
      <c r="U185" s="544"/>
      <c r="V185" s="544"/>
      <c r="W185" s="544"/>
      <c r="X185" s="731"/>
      <c r="Y185" s="296">
        <f t="shared" si="23"/>
        <v>0</v>
      </c>
      <c r="Z185" s="295"/>
    </row>
    <row r="186" spans="2:26" x14ac:dyDescent="0.35">
      <c r="B186" s="546"/>
      <c r="D186" t="s">
        <v>108</v>
      </c>
      <c r="E186" s="547"/>
      <c r="F186" s="295" t="s">
        <v>189</v>
      </c>
      <c r="G186" s="364" t="s">
        <v>190</v>
      </c>
      <c r="H186" s="365"/>
      <c r="I186" s="366"/>
      <c r="J186" s="364" t="s">
        <v>343</v>
      </c>
      <c r="K186" s="548">
        <v>0.02</v>
      </c>
      <c r="L186" s="878">
        <f>143*$AC$2</f>
        <v>57314.400000000001</v>
      </c>
      <c r="M186" s="542">
        <v>0.1429</v>
      </c>
      <c r="N186" s="296">
        <v>1</v>
      </c>
      <c r="O186" s="401">
        <f>K186*L186*M186*N186</f>
        <v>163.80455520000001</v>
      </c>
      <c r="P186" s="299">
        <f>VLOOKUP($F186,'[1]Master Harga'!$E$5:$L$351,7,FALSE)</f>
        <v>158800.57379999998</v>
      </c>
      <c r="Q186" s="543">
        <f>P186*$O186</f>
        <v>26012257.356813774</v>
      </c>
      <c r="R186" s="296">
        <f>VLOOKUP($F186,'[2]Master Harga'!$E$5:$L$348,7,FALSE)</f>
        <v>163305.33120000002</v>
      </c>
      <c r="S186" s="543">
        <f>R186*$O186</f>
        <v>26750157.139004685</v>
      </c>
      <c r="T186" s="296">
        <f>VLOOKUP($F186,'[2]Master Harga'!$E$5:$L$348,8,FALSE)</f>
        <v>179635.86432000002</v>
      </c>
      <c r="U186" s="544">
        <f>$O186*T186</f>
        <v>29425172.852905154</v>
      </c>
      <c r="V186" s="296">
        <f>W186/O186</f>
        <v>167247.25644000003</v>
      </c>
      <c r="W186" s="307">
        <f>AVERAGEIF($P$3:$U$3,W$3,$P186:$U186)</f>
        <v>27395862.449574541</v>
      </c>
      <c r="X186" s="545"/>
      <c r="Y186" s="296">
        <f t="shared" si="23"/>
        <v>64900.841708617198</v>
      </c>
      <c r="Z186" s="295"/>
    </row>
    <row r="187" spans="2:26" x14ac:dyDescent="0.35">
      <c r="B187" s="546"/>
      <c r="E187" s="547"/>
      <c r="F187" s="295" t="s">
        <v>372</v>
      </c>
      <c r="G187" s="364" t="s">
        <v>371</v>
      </c>
      <c r="H187" s="365"/>
      <c r="I187" s="366"/>
      <c r="J187" s="364" t="s">
        <v>343</v>
      </c>
      <c r="K187" s="548">
        <v>0.02</v>
      </c>
      <c r="L187" s="878">
        <f>$L$186</f>
        <v>57314.400000000001</v>
      </c>
      <c r="M187" s="542">
        <v>1</v>
      </c>
      <c r="N187" s="296">
        <v>1</v>
      </c>
      <c r="O187" s="401">
        <f>K187*L187*M187*N187</f>
        <v>1146.288</v>
      </c>
      <c r="P187" s="299">
        <f>44125.9456850271*110%</f>
        <v>48538.540253529813</v>
      </c>
      <c r="Q187" s="543">
        <f>P187*$O187</f>
        <v>55639146.230138183</v>
      </c>
      <c r="R187" s="296">
        <f>VLOOKUP($F187,'[2]Master Harga'!$E$5:$L$348,7,FALSE)</f>
        <v>0</v>
      </c>
      <c r="S187" s="543">
        <f>R187*$O187</f>
        <v>0</v>
      </c>
      <c r="T187" s="296">
        <f>VLOOKUP($F187,'[2]Master Harga'!$E$5:$L$348,8,FALSE)</f>
        <v>0</v>
      </c>
      <c r="U187" s="544">
        <f>$O187*T187</f>
        <v>0</v>
      </c>
      <c r="V187" s="296">
        <f>W187/O187</f>
        <v>16179.513417843271</v>
      </c>
      <c r="W187" s="307">
        <f>AVERAGEIF($P$3:$U$3,W$3,$P187:$U187)</f>
        <v>18546382.076712728</v>
      </c>
      <c r="X187" s="545"/>
      <c r="Y187" s="296">
        <f t="shared" si="23"/>
        <v>138820.22512509525</v>
      </c>
      <c r="Z187" s="295"/>
    </row>
    <row r="188" spans="2:26" x14ac:dyDescent="0.35">
      <c r="B188" s="546"/>
      <c r="E188" s="547"/>
      <c r="F188" s="295" t="s">
        <v>324</v>
      </c>
      <c r="G188" s="364" t="s">
        <v>192</v>
      </c>
      <c r="H188" s="365"/>
      <c r="I188" s="366"/>
      <c r="J188" s="364" t="s">
        <v>343</v>
      </c>
      <c r="K188" s="548">
        <v>0.02</v>
      </c>
      <c r="L188" s="878">
        <f>$L$186</f>
        <v>57314.400000000001</v>
      </c>
      <c r="M188" s="542">
        <v>0.5</v>
      </c>
      <c r="N188" s="296">
        <v>1</v>
      </c>
      <c r="O188" s="401">
        <f>K188*L188*M188*N188</f>
        <v>573.14400000000001</v>
      </c>
      <c r="P188" s="299">
        <f>VLOOKUP($F188,'[1]Master Harga'!$E$5:$L$351,7,FALSE)</f>
        <v>2415</v>
      </c>
      <c r="Q188" s="543">
        <f>P188*$O188</f>
        <v>1384142.76</v>
      </c>
      <c r="R188" s="296">
        <f>VLOOKUP($F188,'[2]Master Harga'!$E$5:$L$348,7,FALSE)</f>
        <v>2783</v>
      </c>
      <c r="S188" s="543">
        <f>R188*$O188</f>
        <v>1595059.7520000001</v>
      </c>
      <c r="T188" s="296">
        <f>VLOOKUP($F188,'[2]Master Harga'!$E$5:$L$348,8,FALSE)</f>
        <v>3061.3</v>
      </c>
      <c r="U188" s="544">
        <f>$O188*T188</f>
        <v>1754565.7272000001</v>
      </c>
      <c r="V188" s="296">
        <f>W188/O188</f>
        <v>2753.0999999999995</v>
      </c>
      <c r="W188" s="307">
        <f>AVERAGEIF($P$3:$U$3,W$3,$P188:$U188)</f>
        <v>1577922.7463999998</v>
      </c>
      <c r="X188" s="545"/>
      <c r="Y188" s="296">
        <f t="shared" ref="Y188:Y251" si="36">Q188/$AC$2</f>
        <v>3453.45</v>
      </c>
      <c r="Z188" s="295"/>
    </row>
    <row r="189" spans="2:26" x14ac:dyDescent="0.35">
      <c r="B189" s="546"/>
      <c r="E189" s="547"/>
      <c r="F189" s="295" t="s">
        <v>373</v>
      </c>
      <c r="G189" s="364" t="s">
        <v>371</v>
      </c>
      <c r="H189" s="365"/>
      <c r="I189" s="366"/>
      <c r="J189" s="364" t="s">
        <v>343</v>
      </c>
      <c r="K189" s="548">
        <v>0.02</v>
      </c>
      <c r="L189" s="878">
        <f>$L$186</f>
        <v>57314.400000000001</v>
      </c>
      <c r="M189" s="542">
        <f>M187</f>
        <v>1</v>
      </c>
      <c r="N189" s="296">
        <v>1</v>
      </c>
      <c r="O189" s="401">
        <f>K189*L189*M189*N189</f>
        <v>1146.288</v>
      </c>
      <c r="P189" s="299">
        <f>VLOOKUP($F189,'[1]Master Harga'!$E$5:$L$351,7,FALSE)</f>
        <v>4961.25</v>
      </c>
      <c r="Q189" s="543">
        <f>P189*$O189</f>
        <v>5687021.3399999999</v>
      </c>
      <c r="R189" s="543"/>
      <c r="S189" s="543"/>
      <c r="T189" s="544"/>
      <c r="U189" s="544"/>
      <c r="V189" s="544"/>
      <c r="W189" s="544"/>
      <c r="X189" s="545"/>
      <c r="Y189" s="296">
        <f t="shared" si="36"/>
        <v>14189.174999999999</v>
      </c>
      <c r="Z189" s="295"/>
    </row>
    <row r="190" spans="2:26" x14ac:dyDescent="0.35">
      <c r="B190" s="546"/>
      <c r="D190" s="550"/>
      <c r="E190" s="551"/>
      <c r="F190" s="295" t="s">
        <v>354</v>
      </c>
      <c r="G190" s="364" t="s">
        <v>203</v>
      </c>
      <c r="H190" s="365"/>
      <c r="I190" s="366"/>
      <c r="J190" s="364"/>
      <c r="K190" s="308"/>
      <c r="L190" s="825"/>
      <c r="M190" s="542">
        <v>2</v>
      </c>
      <c r="N190" s="296">
        <v>1</v>
      </c>
      <c r="O190" s="365"/>
      <c r="P190" s="543"/>
      <c r="Q190" s="543"/>
      <c r="R190" s="543"/>
      <c r="S190" s="543"/>
      <c r="T190" s="544"/>
      <c r="U190" s="544"/>
      <c r="V190" s="544"/>
      <c r="W190" s="544"/>
      <c r="X190" s="545"/>
      <c r="Y190" s="296">
        <f t="shared" si="36"/>
        <v>0</v>
      </c>
      <c r="Z190" s="295"/>
    </row>
    <row r="191" spans="2:26" ht="29.25" customHeight="1" x14ac:dyDescent="0.35">
      <c r="B191" s="685" t="s">
        <v>546</v>
      </c>
      <c r="C191" s="864"/>
      <c r="D191" s="864"/>
      <c r="E191" s="865"/>
      <c r="F191" s="688"/>
      <c r="G191" s="689"/>
      <c r="H191" s="690"/>
      <c r="I191" s="691"/>
      <c r="J191" s="689"/>
      <c r="K191" s="692"/>
      <c r="L191" s="866"/>
      <c r="M191" s="694"/>
      <c r="N191" s="695"/>
      <c r="O191" s="690"/>
      <c r="P191" s="696"/>
      <c r="Q191" s="697">
        <f>SUM(Q186:Q190)</f>
        <v>88722567.686951965</v>
      </c>
      <c r="R191" s="696"/>
      <c r="S191" s="697">
        <f>SUM(S180:S190)</f>
        <v>549799669.39344454</v>
      </c>
      <c r="T191" s="684"/>
      <c r="U191" s="684"/>
      <c r="V191" s="684"/>
      <c r="W191" s="684"/>
      <c r="X191" s="690"/>
      <c r="Y191" s="727">
        <f t="shared" si="36"/>
        <v>221363.69183371248</v>
      </c>
      <c r="Z191" s="879">
        <f>(Y191/$Y$421)*100</f>
        <v>1.5974586878995616</v>
      </c>
    </row>
    <row r="192" spans="2:26" x14ac:dyDescent="0.35">
      <c r="B192" s="546"/>
      <c r="D192" t="s">
        <v>470</v>
      </c>
      <c r="E192" s="547"/>
      <c r="F192" s="295" t="s">
        <v>189</v>
      </c>
      <c r="G192" s="364" t="s">
        <v>190</v>
      </c>
      <c r="H192" s="365"/>
      <c r="I192" s="366"/>
      <c r="J192" s="364"/>
      <c r="K192" s="308"/>
      <c r="L192" s="825"/>
      <c r="M192" s="542">
        <f>1/15</f>
        <v>6.6666666666666666E-2</v>
      </c>
      <c r="N192" s="296">
        <v>1</v>
      </c>
      <c r="O192" s="365"/>
      <c r="P192" s="543"/>
      <c r="Q192" s="543"/>
      <c r="R192" s="543"/>
      <c r="S192" s="543"/>
      <c r="T192" s="544"/>
      <c r="U192" s="544"/>
      <c r="V192" s="544"/>
      <c r="W192" s="544"/>
      <c r="X192" s="545"/>
      <c r="Y192" s="296">
        <f t="shared" si="36"/>
        <v>0</v>
      </c>
      <c r="Z192" s="295"/>
    </row>
    <row r="193" spans="2:26" x14ac:dyDescent="0.35">
      <c r="B193" s="549"/>
      <c r="C193" s="550"/>
      <c r="D193" s="550"/>
      <c r="E193" s="551"/>
      <c r="F193" s="295" t="s">
        <v>293</v>
      </c>
      <c r="G193" s="364" t="s">
        <v>194</v>
      </c>
      <c r="H193" s="365"/>
      <c r="I193" s="366"/>
      <c r="J193" s="364"/>
      <c r="K193" s="308"/>
      <c r="L193" s="825"/>
      <c r="M193" s="552">
        <f>M192*N192/300</f>
        <v>2.2222222222222221E-4</v>
      </c>
      <c r="N193" s="296">
        <v>1</v>
      </c>
      <c r="O193" s="401"/>
      <c r="P193" s="296"/>
      <c r="Q193" s="543"/>
      <c r="R193" s="296"/>
      <c r="S193" s="543"/>
      <c r="T193" s="544"/>
      <c r="U193" s="544"/>
      <c r="V193" s="544"/>
      <c r="W193" s="544"/>
      <c r="X193" s="545"/>
      <c r="Y193" s="296">
        <f t="shared" si="36"/>
        <v>0</v>
      </c>
      <c r="Z193" s="295"/>
    </row>
    <row r="194" spans="2:26" x14ac:dyDescent="0.35">
      <c r="B194" s="546"/>
      <c r="C194" t="s">
        <v>111</v>
      </c>
      <c r="E194" s="547"/>
      <c r="F194" s="295" t="s">
        <v>189</v>
      </c>
      <c r="G194" s="364" t="s">
        <v>190</v>
      </c>
      <c r="H194" s="365"/>
      <c r="I194" s="366"/>
      <c r="J194" s="364" t="s">
        <v>170</v>
      </c>
      <c r="K194" s="548">
        <v>1</v>
      </c>
      <c r="L194" s="825">
        <f t="shared" ref="L194:L195" si="37">$L$59</f>
        <v>400.8</v>
      </c>
      <c r="M194" s="542">
        <v>0.5</v>
      </c>
      <c r="N194" s="296">
        <v>2</v>
      </c>
      <c r="O194" s="401">
        <f>K194*L194*M194*N194</f>
        <v>400.8</v>
      </c>
      <c r="P194" s="299">
        <f>VLOOKUP($F194,'[1]Master Harga'!$E$5:$L$351,7,FALSE)</f>
        <v>158800.57379999998</v>
      </c>
      <c r="Q194" s="543">
        <f>P194*$O194</f>
        <v>63647269.979039997</v>
      </c>
      <c r="R194" s="296">
        <f>VLOOKUP($F194,'[2]Master Harga'!$E$5:$L$348,7,FALSE)</f>
        <v>163305.33120000002</v>
      </c>
      <c r="S194" s="543">
        <f>R194*$O194</f>
        <v>65452776.74496001</v>
      </c>
      <c r="T194" s="296">
        <f>VLOOKUP($F194,'[2]Master Harga'!$E$5:$L$348,8,FALSE)</f>
        <v>179635.86432000002</v>
      </c>
      <c r="U194" s="544">
        <f>$O194*T194</f>
        <v>71998054.419456005</v>
      </c>
      <c r="V194" s="296">
        <f>W194/O194</f>
        <v>167247.25644</v>
      </c>
      <c r="W194" s="307">
        <f>AVERAGEIF($P$3:$U$3,W$3,$P194:$U194)</f>
        <v>67032700.381152004</v>
      </c>
      <c r="X194" s="545"/>
      <c r="Y194" s="296">
        <f t="shared" si="36"/>
        <v>158800.57379999998</v>
      </c>
      <c r="Z194" s="295"/>
    </row>
    <row r="195" spans="2:26" x14ac:dyDescent="0.35">
      <c r="B195" s="546"/>
      <c r="E195" s="547"/>
      <c r="F195" s="295" t="s">
        <v>472</v>
      </c>
      <c r="G195" s="364" t="s">
        <v>341</v>
      </c>
      <c r="H195" s="365"/>
      <c r="I195" s="366"/>
      <c r="J195" s="364" t="s">
        <v>170</v>
      </c>
      <c r="K195" s="548">
        <v>1</v>
      </c>
      <c r="L195" s="825">
        <f t="shared" si="37"/>
        <v>400.8</v>
      </c>
      <c r="M195" s="542">
        <f>0.02*(1/2)</f>
        <v>0.01</v>
      </c>
      <c r="N195" s="296">
        <v>2</v>
      </c>
      <c r="O195" s="401">
        <f>K195*L195*M195*N195</f>
        <v>8.016</v>
      </c>
      <c r="P195" s="299">
        <f>VLOOKUP($F195,'[1]Master Harga'!$E$5:$L$351,7,FALSE)</f>
        <v>33350.625</v>
      </c>
      <c r="Q195" s="543">
        <f>P195*$O195</f>
        <v>267338.61</v>
      </c>
      <c r="R195" s="543"/>
      <c r="S195" s="543"/>
      <c r="T195" s="544"/>
      <c r="U195" s="544"/>
      <c r="V195" s="544"/>
      <c r="W195" s="544"/>
      <c r="X195" s="545"/>
      <c r="Y195" s="296">
        <f t="shared" si="36"/>
        <v>667.01249999999993</v>
      </c>
      <c r="Z195" s="295"/>
    </row>
    <row r="196" spans="2:26" x14ac:dyDescent="0.35">
      <c r="B196" s="685" t="s">
        <v>473</v>
      </c>
      <c r="C196" s="864"/>
      <c r="D196" s="864"/>
      <c r="E196" s="865"/>
      <c r="F196" s="688"/>
      <c r="G196" s="689"/>
      <c r="H196" s="690"/>
      <c r="I196" s="691"/>
      <c r="J196" s="689"/>
      <c r="K196" s="692"/>
      <c r="L196" s="866"/>
      <c r="M196" s="694"/>
      <c r="N196" s="695"/>
      <c r="O196" s="690"/>
      <c r="P196" s="696"/>
      <c r="Q196" s="697">
        <f>SUM(Q194:Q195)</f>
        <v>63914608.589039996</v>
      </c>
      <c r="R196" s="696"/>
      <c r="S196" s="697">
        <f>SUM(S185:S195)</f>
        <v>643597663.02940917</v>
      </c>
      <c r="T196" s="684"/>
      <c r="U196" s="684"/>
      <c r="V196" s="684"/>
      <c r="W196" s="684"/>
      <c r="X196" s="690"/>
      <c r="Y196" s="727">
        <f t="shared" si="36"/>
        <v>159467.5863</v>
      </c>
      <c r="Z196" s="875">
        <f t="shared" ref="Z196:Z197" si="38">(Y196/$Y$421)*100</f>
        <v>1.1507889078967379</v>
      </c>
    </row>
    <row r="197" spans="2:26" x14ac:dyDescent="0.35">
      <c r="B197" s="753" t="s">
        <v>474</v>
      </c>
      <c r="C197" s="853"/>
      <c r="D197" s="853"/>
      <c r="E197" s="854"/>
      <c r="F197" s="668"/>
      <c r="G197" s="669"/>
      <c r="H197" s="670"/>
      <c r="I197" s="671"/>
      <c r="J197" s="669"/>
      <c r="K197" s="672"/>
      <c r="L197" s="876"/>
      <c r="M197" s="674"/>
      <c r="N197" s="675"/>
      <c r="O197" s="670"/>
      <c r="P197" s="676"/>
      <c r="Q197" s="756">
        <f>Q184+Q191+Q196</f>
        <v>536386701.57716149</v>
      </c>
      <c r="R197" s="676"/>
      <c r="S197" s="756">
        <f>SUM(S186:S196)</f>
        <v>1287195326.0588183</v>
      </c>
      <c r="T197" s="677"/>
      <c r="U197" s="677"/>
      <c r="V197" s="677"/>
      <c r="W197" s="677"/>
      <c r="X197" s="670"/>
      <c r="Y197" s="720">
        <f t="shared" si="36"/>
        <v>1338290.1735957123</v>
      </c>
      <c r="Z197" s="877">
        <f t="shared" si="38"/>
        <v>9.6576961064917413</v>
      </c>
    </row>
    <row r="198" spans="2:26" x14ac:dyDescent="0.35">
      <c r="B198" s="678" t="s">
        <v>475</v>
      </c>
      <c r="C198" s="366"/>
      <c r="D198" s="366"/>
      <c r="E198" s="553"/>
      <c r="F198" s="295"/>
      <c r="G198" s="364"/>
      <c r="H198" s="365"/>
      <c r="I198" s="366"/>
      <c r="J198" s="364"/>
      <c r="K198" s="308"/>
      <c r="L198" s="825"/>
      <c r="M198" s="542"/>
      <c r="N198" s="296"/>
      <c r="O198" s="365"/>
      <c r="P198" s="543"/>
      <c r="Q198" s="543"/>
      <c r="R198" s="543"/>
      <c r="S198" s="543"/>
      <c r="T198" s="544"/>
      <c r="U198" s="544"/>
      <c r="V198" s="544"/>
      <c r="W198" s="544"/>
      <c r="X198" s="545"/>
      <c r="Y198" s="296">
        <f t="shared" si="36"/>
        <v>0</v>
      </c>
      <c r="Z198" s="295"/>
    </row>
    <row r="199" spans="2:26" x14ac:dyDescent="0.35">
      <c r="B199" s="678"/>
      <c r="C199" s="366" t="s">
        <v>296</v>
      </c>
      <c r="D199" s="366"/>
      <c r="E199" s="553"/>
      <c r="F199" s="295"/>
      <c r="G199" s="364"/>
      <c r="H199" s="365"/>
      <c r="I199" s="366"/>
      <c r="J199" s="364"/>
      <c r="K199" s="308"/>
      <c r="L199" s="825"/>
      <c r="M199" s="542"/>
      <c r="N199" s="296"/>
      <c r="O199" s="365"/>
      <c r="P199" s="543"/>
      <c r="Q199" s="543"/>
      <c r="R199" s="543"/>
      <c r="S199" s="543"/>
      <c r="T199" s="544"/>
      <c r="U199" s="544"/>
      <c r="V199" s="544"/>
      <c r="W199" s="544"/>
      <c r="X199" s="545"/>
      <c r="Y199" s="296">
        <f t="shared" si="36"/>
        <v>0</v>
      </c>
      <c r="Z199" s="295"/>
    </row>
    <row r="200" spans="2:26" x14ac:dyDescent="0.35">
      <c r="B200" s="546"/>
      <c r="D200" t="s">
        <v>115</v>
      </c>
      <c r="E200" s="547"/>
      <c r="F200" s="295" t="s">
        <v>189</v>
      </c>
      <c r="G200" s="364" t="s">
        <v>190</v>
      </c>
      <c r="H200" s="365"/>
      <c r="I200" s="366"/>
      <c r="J200" s="364"/>
      <c r="K200" s="400">
        <v>0.4</v>
      </c>
      <c r="L200" s="825">
        <f>$AC$2</f>
        <v>400.8</v>
      </c>
      <c r="M200" s="542">
        <v>0.5</v>
      </c>
      <c r="N200" s="296">
        <v>1</v>
      </c>
      <c r="O200" s="401">
        <f t="shared" ref="O200:O206" si="39">K200*L200*M200*N200</f>
        <v>80.160000000000011</v>
      </c>
      <c r="P200" s="299">
        <f>VLOOKUP($F200,'[1]Master Harga'!$E$5:$L$351,7,FALSE)</f>
        <v>158800.57379999998</v>
      </c>
      <c r="Q200" s="543">
        <f t="shared" ref="Q200:Q205" si="40">P200*$O200</f>
        <v>12729453.995808</v>
      </c>
      <c r="R200" s="543"/>
      <c r="S200" s="543"/>
      <c r="T200" s="544"/>
      <c r="U200" s="544"/>
      <c r="V200" s="544"/>
      <c r="W200" s="544"/>
      <c r="X200" s="545"/>
      <c r="Y200" s="296">
        <f t="shared" si="36"/>
        <v>31760.114759999997</v>
      </c>
      <c r="Z200" s="295"/>
    </row>
    <row r="201" spans="2:26" x14ac:dyDescent="0.35">
      <c r="B201" s="546"/>
      <c r="E201" s="547"/>
      <c r="F201" s="295" t="s">
        <v>255</v>
      </c>
      <c r="G201" s="364" t="s">
        <v>256</v>
      </c>
      <c r="H201" s="365"/>
      <c r="I201" s="366"/>
      <c r="J201" s="364"/>
      <c r="K201" s="400">
        <v>0.4</v>
      </c>
      <c r="L201" s="825">
        <f>L200*K201</f>
        <v>160.32000000000002</v>
      </c>
      <c r="M201" s="542">
        <f>M202</f>
        <v>1.35</v>
      </c>
      <c r="N201" s="296">
        <v>1</v>
      </c>
      <c r="O201" s="401">
        <f t="shared" si="39"/>
        <v>86.572800000000029</v>
      </c>
      <c r="P201" s="299">
        <f>VLOOKUP($F201,'[1]Master Harga'!$E$5:$L$351,7,FALSE)</f>
        <v>209952</v>
      </c>
      <c r="Q201" s="543">
        <f t="shared" si="40"/>
        <v>18176132.505600005</v>
      </c>
      <c r="R201" s="543"/>
      <c r="S201" s="543"/>
      <c r="T201" s="544"/>
      <c r="U201" s="544"/>
      <c r="V201" s="544"/>
      <c r="W201" s="544"/>
      <c r="X201" s="545"/>
      <c r="Y201" s="296">
        <f t="shared" si="36"/>
        <v>45349.632000000012</v>
      </c>
      <c r="Z201" s="295"/>
    </row>
    <row r="202" spans="2:26" x14ac:dyDescent="0.35">
      <c r="B202" s="546"/>
      <c r="E202" s="547"/>
      <c r="F202" s="295" t="s">
        <v>257</v>
      </c>
      <c r="G202" s="364" t="s">
        <v>256</v>
      </c>
      <c r="H202" s="365"/>
      <c r="I202" s="366"/>
      <c r="J202" s="364"/>
      <c r="K202" s="400">
        <v>0.4</v>
      </c>
      <c r="L202" s="825">
        <f>$L$200</f>
        <v>400.8</v>
      </c>
      <c r="M202" s="542">
        <f>1350/1000</f>
        <v>1.35</v>
      </c>
      <c r="N202" s="296">
        <v>1</v>
      </c>
      <c r="O202" s="401">
        <f t="shared" si="39"/>
        <v>216.43200000000004</v>
      </c>
      <c r="P202" s="299">
        <f>VLOOKUP($F202,'[1]Master Harga'!$E$5:$L$351,7,FALSE)</f>
        <v>121925.47500000001</v>
      </c>
      <c r="Q202" s="543">
        <f t="shared" si="40"/>
        <v>26388574.405200008</v>
      </c>
      <c r="R202" s="543"/>
      <c r="S202" s="543"/>
      <c r="T202" s="544"/>
      <c r="U202" s="544"/>
      <c r="V202" s="544"/>
      <c r="W202" s="544"/>
      <c r="X202" s="545"/>
      <c r="Y202" s="296">
        <f t="shared" si="36"/>
        <v>65839.756500000018</v>
      </c>
      <c r="Z202" s="295"/>
    </row>
    <row r="203" spans="2:26" x14ac:dyDescent="0.35">
      <c r="B203" s="546"/>
      <c r="E203" s="547"/>
      <c r="F203" s="295" t="s">
        <v>215</v>
      </c>
      <c r="G203" s="364" t="s">
        <v>203</v>
      </c>
      <c r="H203" s="365"/>
      <c r="I203" s="366"/>
      <c r="J203" s="364"/>
      <c r="K203" s="400">
        <v>0.4</v>
      </c>
      <c r="L203" s="825">
        <f t="shared" ref="L203:L205" si="41">$L$200</f>
        <v>400.8</v>
      </c>
      <c r="M203" s="542">
        <v>2.8000000000000001E-2</v>
      </c>
      <c r="N203" s="296">
        <v>1</v>
      </c>
      <c r="O203" s="401">
        <f t="shared" si="39"/>
        <v>4.4889600000000005</v>
      </c>
      <c r="P203" s="299">
        <f>VLOOKUP($F203,'[1]Master Harga'!$E$5:$L$351,7,FALSE)</f>
        <v>761671.70213055995</v>
      </c>
      <c r="Q203" s="543">
        <f t="shared" si="40"/>
        <v>3419113.8039959986</v>
      </c>
      <c r="R203" s="543"/>
      <c r="S203" s="543"/>
      <c r="T203" s="544"/>
      <c r="U203" s="544"/>
      <c r="V203" s="544"/>
      <c r="W203" s="544"/>
      <c r="X203" s="545"/>
      <c r="Y203" s="296">
        <f t="shared" si="36"/>
        <v>8530.7230638622714</v>
      </c>
      <c r="Z203" s="295"/>
    </row>
    <row r="204" spans="2:26" x14ac:dyDescent="0.35">
      <c r="B204" s="546"/>
      <c r="E204" s="547"/>
      <c r="F204" s="295" t="s">
        <v>258</v>
      </c>
      <c r="G204" s="364" t="s">
        <v>203</v>
      </c>
      <c r="H204" s="365"/>
      <c r="I204" s="366"/>
      <c r="J204" s="364"/>
      <c r="K204" s="400">
        <v>0.4</v>
      </c>
      <c r="L204" s="825">
        <f t="shared" si="41"/>
        <v>400.8</v>
      </c>
      <c r="M204" s="542">
        <f>10/1000</f>
        <v>0.01</v>
      </c>
      <c r="N204" s="296">
        <v>1</v>
      </c>
      <c r="O204" s="401">
        <f t="shared" si="39"/>
        <v>1.6032000000000002</v>
      </c>
      <c r="P204" s="299">
        <f>VLOOKUP($F204,'[1]Master Harga'!$E$5:$L$351,7,FALSE)</f>
        <v>696305.06082000001</v>
      </c>
      <c r="Q204" s="543">
        <f t="shared" si="40"/>
        <v>1116316.2735066242</v>
      </c>
      <c r="R204" s="543"/>
      <c r="S204" s="543"/>
      <c r="T204" s="544"/>
      <c r="U204" s="544"/>
      <c r="V204" s="544"/>
      <c r="W204" s="544"/>
      <c r="X204" s="545"/>
      <c r="Y204" s="296">
        <f t="shared" si="36"/>
        <v>2785.2202432800004</v>
      </c>
      <c r="Z204" s="295"/>
    </row>
    <row r="205" spans="2:26" x14ac:dyDescent="0.35">
      <c r="B205" s="546"/>
      <c r="D205" s="550"/>
      <c r="E205" s="551"/>
      <c r="F205" s="295" t="s">
        <v>251</v>
      </c>
      <c r="G205" s="364" t="s">
        <v>203</v>
      </c>
      <c r="H205" s="365"/>
      <c r="I205" s="366"/>
      <c r="J205" s="364"/>
      <c r="K205" s="400">
        <v>0.4</v>
      </c>
      <c r="L205" s="825">
        <f t="shared" si="41"/>
        <v>400.8</v>
      </c>
      <c r="M205" s="542">
        <f>10/1000</f>
        <v>0.01</v>
      </c>
      <c r="N205" s="296">
        <v>1</v>
      </c>
      <c r="O205" s="401">
        <f t="shared" si="39"/>
        <v>1.6032000000000002</v>
      </c>
      <c r="P205" s="299">
        <f>VLOOKUP($F205,'[1]Master Harga'!$E$5:$L$351,7,FALSE)</f>
        <v>751428.66536999994</v>
      </c>
      <c r="Q205" s="543">
        <f t="shared" si="40"/>
        <v>1204690.436321184</v>
      </c>
      <c r="R205" s="543"/>
      <c r="S205" s="543"/>
      <c r="T205" s="544"/>
      <c r="U205" s="544"/>
      <c r="V205" s="544"/>
      <c r="W205" s="544"/>
      <c r="X205" s="545"/>
      <c r="Y205" s="296">
        <f t="shared" si="36"/>
        <v>3005.7146614799999</v>
      </c>
      <c r="Z205" s="295"/>
    </row>
    <row r="206" spans="2:26" x14ac:dyDescent="0.35">
      <c r="B206" s="546"/>
      <c r="D206" t="s">
        <v>117</v>
      </c>
      <c r="E206" s="547"/>
      <c r="F206" s="295" t="s">
        <v>189</v>
      </c>
      <c r="G206" s="364" t="s">
        <v>190</v>
      </c>
      <c r="H206" s="365"/>
      <c r="I206" s="366"/>
      <c r="J206" s="364" t="s">
        <v>253</v>
      </c>
      <c r="K206" s="400">
        <v>0.1</v>
      </c>
      <c r="L206" s="825">
        <f>'S1 TBM 1'!L207</f>
        <v>4008</v>
      </c>
      <c r="M206" s="542">
        <v>0.5</v>
      </c>
      <c r="N206" s="296">
        <v>1</v>
      </c>
      <c r="O206" s="401">
        <f t="shared" si="39"/>
        <v>200.4</v>
      </c>
      <c r="P206" s="299">
        <f>VLOOKUP($F206,'[1]Master Harga'!$E$5:$L$351,7,FALSE)</f>
        <v>158800.57379999998</v>
      </c>
      <c r="Q206" s="543">
        <f>P206*$O206</f>
        <v>31823634.989519998</v>
      </c>
      <c r="R206" s="296">
        <f>VLOOKUP($F206,'[2]Master Harga'!$E$5:$L$348,7,FALSE)</f>
        <v>163305.33120000002</v>
      </c>
      <c r="S206" s="543">
        <f>R206*$O206</f>
        <v>32726388.372480005</v>
      </c>
      <c r="T206" s="296">
        <f>VLOOKUP($F206,'[2]Master Harga'!$E$5:$L$348,8,FALSE)</f>
        <v>179635.86432000002</v>
      </c>
      <c r="U206" s="544">
        <f>$O206*T206</f>
        <v>35999027.209728003</v>
      </c>
      <c r="V206" s="296">
        <f>W206/O206</f>
        <v>167247.25644</v>
      </c>
      <c r="W206" s="307">
        <f>AVERAGEIF($P$3:$U$3,W$3,$P206:$U206)</f>
        <v>33516350.190576002</v>
      </c>
      <c r="X206" s="545"/>
      <c r="Y206" s="296">
        <f t="shared" si="36"/>
        <v>79400.286899999992</v>
      </c>
      <c r="Z206" s="295"/>
    </row>
    <row r="207" spans="2:26" x14ac:dyDescent="0.35">
      <c r="B207" s="546"/>
      <c r="E207" s="547"/>
      <c r="F207" s="295" t="s">
        <v>255</v>
      </c>
      <c r="G207" s="364" t="s">
        <v>256</v>
      </c>
      <c r="H207" s="365"/>
      <c r="I207" s="366"/>
      <c r="J207" s="364"/>
      <c r="K207" s="400">
        <v>0</v>
      </c>
      <c r="L207" s="825"/>
      <c r="M207" s="542"/>
      <c r="N207" s="296"/>
      <c r="O207" s="365"/>
      <c r="P207" s="543"/>
      <c r="Q207" s="543"/>
      <c r="R207" s="543"/>
      <c r="S207" s="543"/>
      <c r="T207" s="544"/>
      <c r="U207" s="544"/>
      <c r="V207" s="544"/>
      <c r="W207" s="544"/>
      <c r="X207" s="545"/>
      <c r="Y207" s="296">
        <f t="shared" si="36"/>
        <v>0</v>
      </c>
      <c r="Z207" s="295"/>
    </row>
    <row r="208" spans="2:26" x14ac:dyDescent="0.35">
      <c r="B208" s="546"/>
      <c r="E208" s="547"/>
      <c r="F208" s="295" t="s">
        <v>257</v>
      </c>
      <c r="G208" s="364" t="s">
        <v>256</v>
      </c>
      <c r="H208" s="365"/>
      <c r="I208" s="366"/>
      <c r="J208" s="364" t="s">
        <v>253</v>
      </c>
      <c r="K208" s="400">
        <v>0.2</v>
      </c>
      <c r="L208" s="825">
        <f>$L$206</f>
        <v>4008</v>
      </c>
      <c r="M208" s="542">
        <f>1050/1000</f>
        <v>1.05</v>
      </c>
      <c r="N208" s="296">
        <v>1</v>
      </c>
      <c r="O208" s="401">
        <f>K208*L208*M208*N208</f>
        <v>841.68000000000006</v>
      </c>
      <c r="P208" s="299">
        <f>VLOOKUP($F208,'[1]Master Harga'!$E$5:$L$351,7,FALSE)</f>
        <v>121925.47500000001</v>
      </c>
      <c r="Q208" s="543">
        <f>P208*$O208</f>
        <v>102622233.79800001</v>
      </c>
      <c r="R208" s="296">
        <f>VLOOKUP($F208,'[2]Master Harga'!$E$5:$L$348,7,FALSE)</f>
        <v>133813.90000000002</v>
      </c>
      <c r="S208" s="543">
        <f>R208*$O208</f>
        <v>112628483.35200003</v>
      </c>
      <c r="T208" s="296">
        <f>VLOOKUP($F208,'[2]Master Harga'!$E$5:$L$348,8,FALSE)</f>
        <v>147195.29000000004</v>
      </c>
      <c r="U208" s="544">
        <f>$O208*T208</f>
        <v>123891331.68720004</v>
      </c>
      <c r="V208" s="296">
        <f>W208/O208</f>
        <v>134311.55499999999</v>
      </c>
      <c r="W208" s="307">
        <f>AVERAGEIF($P$3:$U$3,W$3,$P208:$U208)</f>
        <v>113047349.61240001</v>
      </c>
      <c r="X208" s="545"/>
      <c r="Y208" s="296">
        <f t="shared" si="36"/>
        <v>256043.49750000003</v>
      </c>
      <c r="Z208" s="295"/>
    </row>
    <row r="209" spans="2:26" x14ac:dyDescent="0.35">
      <c r="B209" s="546"/>
      <c r="E209" s="547"/>
      <c r="F209" s="295" t="s">
        <v>215</v>
      </c>
      <c r="G209" s="364" t="s">
        <v>203</v>
      </c>
      <c r="H209" s="365"/>
      <c r="I209" s="366"/>
      <c r="J209" s="364"/>
      <c r="K209" s="400">
        <v>0.4</v>
      </c>
      <c r="L209" s="825">
        <f>$L$206</f>
        <v>4008</v>
      </c>
      <c r="M209" s="542">
        <v>2.8000000000000001E-2</v>
      </c>
      <c r="N209" s="296">
        <v>1</v>
      </c>
      <c r="O209" s="401">
        <f>K209*L209*M209*N209</f>
        <v>44.889600000000002</v>
      </c>
      <c r="P209" s="299">
        <f>VLOOKUP($F209,'[1]Master Harga'!$E$5:$L$351,7,FALSE)</f>
        <v>761671.70213055995</v>
      </c>
      <c r="Q209" s="543">
        <f>P209*$O209</f>
        <v>34191138.039959982</v>
      </c>
      <c r="R209" s="543"/>
      <c r="S209" s="543"/>
      <c r="T209" s="544"/>
      <c r="U209" s="544"/>
      <c r="V209" s="544"/>
      <c r="W209" s="544"/>
      <c r="X209" s="545"/>
      <c r="Y209" s="296">
        <f t="shared" si="36"/>
        <v>85307.230638622714</v>
      </c>
      <c r="Z209" s="295"/>
    </row>
    <row r="210" spans="2:26" x14ac:dyDescent="0.35">
      <c r="B210" s="546"/>
      <c r="E210" s="547"/>
      <c r="F210" s="295" t="s">
        <v>258</v>
      </c>
      <c r="G210" s="364" t="s">
        <v>203</v>
      </c>
      <c r="H210" s="365"/>
      <c r="I210" s="366"/>
      <c r="J210" s="364" t="s">
        <v>253</v>
      </c>
      <c r="K210" s="400">
        <v>0.4</v>
      </c>
      <c r="L210" s="825">
        <f>$L$206</f>
        <v>4008</v>
      </c>
      <c r="M210" s="542">
        <f>8/1000</f>
        <v>8.0000000000000002E-3</v>
      </c>
      <c r="N210" s="296">
        <v>1</v>
      </c>
      <c r="O210" s="401">
        <f>K210*L210*M210*N210</f>
        <v>12.825600000000001</v>
      </c>
      <c r="P210" s="299">
        <f>VLOOKUP($F210,'[1]Master Harga'!$E$5:$L$351,7,FALSE)</f>
        <v>696305.06082000001</v>
      </c>
      <c r="Q210" s="543">
        <f>P210*$O210</f>
        <v>8930530.1880529933</v>
      </c>
      <c r="R210" s="296">
        <f>VLOOKUP($F210,'[2]Master Harga'!$E$5:$L$348,7,FALSE)</f>
        <v>577911.85919999995</v>
      </c>
      <c r="S210" s="543">
        <f>R210*$O210</f>
        <v>7412066.3413555203</v>
      </c>
      <c r="T210" s="296">
        <f>VLOOKUP($F210,'[2]Master Harga'!$E$5:$L$348,8,FALSE)</f>
        <v>601028.333568</v>
      </c>
      <c r="U210" s="544">
        <f>$O210*T210</f>
        <v>7708548.9950097417</v>
      </c>
      <c r="V210" s="296">
        <f>W210/O210</f>
        <v>625081.75119600003</v>
      </c>
      <c r="W210" s="307">
        <f>AVERAGEIF($P$3:$U$3,W$3,$P210:$U210)</f>
        <v>8017048.5081394194</v>
      </c>
      <c r="X210" s="545"/>
      <c r="Y210" s="296">
        <f t="shared" si="36"/>
        <v>22281.761946240003</v>
      </c>
      <c r="Z210" s="295"/>
    </row>
    <row r="211" spans="2:26" x14ac:dyDescent="0.35">
      <c r="B211" s="546"/>
      <c r="D211" s="550"/>
      <c r="E211" s="551"/>
      <c r="F211" s="295" t="s">
        <v>251</v>
      </c>
      <c r="G211" s="364" t="s">
        <v>203</v>
      </c>
      <c r="H211" s="365"/>
      <c r="I211" s="366"/>
      <c r="J211" s="364" t="s">
        <v>253</v>
      </c>
      <c r="K211" s="400">
        <v>0.4</v>
      </c>
      <c r="L211" s="825">
        <f>$L$206</f>
        <v>4008</v>
      </c>
      <c r="M211" s="542">
        <f>8/1000</f>
        <v>8.0000000000000002E-3</v>
      </c>
      <c r="N211" s="296">
        <v>1</v>
      </c>
      <c r="O211" s="401">
        <f>K211*L211*M211*N211</f>
        <v>12.825600000000001</v>
      </c>
      <c r="P211" s="299">
        <f>VLOOKUP($F211,'[1]Master Harga'!$E$5:$L$351,7,FALSE)</f>
        <v>751428.66536999994</v>
      </c>
      <c r="Q211" s="543">
        <f>P211*$O211</f>
        <v>9637523.4905694723</v>
      </c>
      <c r="R211" s="296">
        <f>VLOOKUP($F211,'[2]Master Harga'!$E$5:$L$348,7,FALSE)</f>
        <v>671314.50879999995</v>
      </c>
      <c r="S211" s="543">
        <f>R211*$O211</f>
        <v>8610011.3640652802</v>
      </c>
      <c r="T211" s="296">
        <f>VLOOKUP($F211,'[2]Master Harga'!$E$5:$L$348,8,FALSE)</f>
        <v>698167.08915200003</v>
      </c>
      <c r="U211" s="544">
        <f>$O211*T211</f>
        <v>8954411.8186278921</v>
      </c>
      <c r="V211" s="296">
        <f>W211/O211</f>
        <v>706970.08777400013</v>
      </c>
      <c r="W211" s="307">
        <f>AVERAGEIF($P$3:$U$3,W$3,$P211:$U211)</f>
        <v>9067315.5577542167</v>
      </c>
      <c r="X211" s="545"/>
      <c r="Y211" s="296">
        <f t="shared" si="36"/>
        <v>24045.717291839999</v>
      </c>
      <c r="Z211" s="295"/>
    </row>
    <row r="212" spans="2:26" x14ac:dyDescent="0.35">
      <c r="B212" s="546"/>
      <c r="D212" t="s">
        <v>119</v>
      </c>
      <c r="E212" s="547"/>
      <c r="F212" s="295" t="s">
        <v>189</v>
      </c>
      <c r="G212" s="364" t="s">
        <v>190</v>
      </c>
      <c r="H212" s="365"/>
      <c r="I212" s="366"/>
      <c r="J212" s="364" t="s">
        <v>253</v>
      </c>
      <c r="K212" s="400">
        <v>0.1</v>
      </c>
      <c r="L212" s="825">
        <f>'S1 TBM 1'!L215</f>
        <v>13358.663999999999</v>
      </c>
      <c r="M212" s="542">
        <v>0.5</v>
      </c>
      <c r="N212" s="296">
        <v>1</v>
      </c>
      <c r="O212" s="401">
        <f>K212*L212*M212*N212</f>
        <v>667.93319999999994</v>
      </c>
      <c r="P212" s="299">
        <f>VLOOKUP($F212,'[1]Master Harga'!$E$5:$L$351,7,FALSE)</f>
        <v>158800.57379999998</v>
      </c>
      <c r="Q212" s="543">
        <f>P212*$O212</f>
        <v>106068175.42007014</v>
      </c>
      <c r="R212" s="296">
        <f>VLOOKUP($F212,'[2]Master Harga'!$E$5:$L$348,7,FALSE)</f>
        <v>163305.33120000002</v>
      </c>
      <c r="S212" s="543">
        <f>R212*$O212</f>
        <v>109077052.44547585</v>
      </c>
      <c r="T212" s="296">
        <f>VLOOKUP($F212,'[2]Master Harga'!$E$5:$L$348,8,FALSE)</f>
        <v>179635.86432000002</v>
      </c>
      <c r="U212" s="544">
        <f>$O212*T212</f>
        <v>119984757.69002342</v>
      </c>
      <c r="V212" s="296">
        <f>W212/O212</f>
        <v>167247.25644</v>
      </c>
      <c r="W212" s="307">
        <f>AVERAGEIF($P$3:$U$3,W$3,$P212:$U212)</f>
        <v>111709995.1851898</v>
      </c>
      <c r="X212" s="545"/>
      <c r="Y212" s="296">
        <f t="shared" si="36"/>
        <v>264641.15623769996</v>
      </c>
      <c r="Z212" s="295"/>
    </row>
    <row r="213" spans="2:26" x14ac:dyDescent="0.35">
      <c r="B213" s="546"/>
      <c r="E213" s="547"/>
      <c r="F213" s="295" t="s">
        <v>255</v>
      </c>
      <c r="G213" s="364" t="s">
        <v>256</v>
      </c>
      <c r="H213" s="365"/>
      <c r="I213" s="366"/>
      <c r="J213" s="364"/>
      <c r="K213" s="400">
        <v>0</v>
      </c>
      <c r="L213" s="825"/>
      <c r="M213" s="542"/>
      <c r="N213" s="296"/>
      <c r="O213" s="365"/>
      <c r="P213" s="543"/>
      <c r="Q213" s="543"/>
      <c r="R213" s="543"/>
      <c r="S213" s="543"/>
      <c r="T213" s="544"/>
      <c r="U213" s="544"/>
      <c r="V213" s="544"/>
      <c r="W213" s="544"/>
      <c r="X213" s="545"/>
      <c r="Y213" s="296">
        <f t="shared" si="36"/>
        <v>0</v>
      </c>
      <c r="Z213" s="295"/>
    </row>
    <row r="214" spans="2:26" x14ac:dyDescent="0.35">
      <c r="B214" s="546"/>
      <c r="E214" s="547"/>
      <c r="F214" s="295" t="s">
        <v>257</v>
      </c>
      <c r="G214" s="364" t="s">
        <v>256</v>
      </c>
      <c r="H214" s="365"/>
      <c r="I214" s="366"/>
      <c r="J214" s="364"/>
      <c r="K214" s="400">
        <v>0.2</v>
      </c>
      <c r="L214" s="825">
        <f>$L$212</f>
        <v>13358.663999999999</v>
      </c>
      <c r="M214" s="542">
        <f>1050/1000</f>
        <v>1.05</v>
      </c>
      <c r="N214" s="296">
        <v>1</v>
      </c>
      <c r="O214" s="401">
        <f>K214*L214*M214*N214</f>
        <v>2805.3194399999998</v>
      </c>
      <c r="P214" s="299">
        <f>VLOOKUP($F214,'[1]Master Harga'!$E$5:$L$351,7,FALSE)</f>
        <v>121925.47500000001</v>
      </c>
      <c r="Q214" s="543">
        <f>P214*$O214</f>
        <v>342039905.248734</v>
      </c>
      <c r="R214" s="296">
        <f>VLOOKUP($F214,'[2]Master Harga'!$E$5:$L$348,7,FALSE)</f>
        <v>133813.90000000002</v>
      </c>
      <c r="S214" s="543">
        <f>R214*$O214</f>
        <v>375390735.01221603</v>
      </c>
      <c r="T214" s="296">
        <f>VLOOKUP($F214,'[2]Master Harga'!$E$5:$L$348,8,FALSE)</f>
        <v>147195.29000000004</v>
      </c>
      <c r="U214" s="544">
        <f>$O214*T214</f>
        <v>412929808.51343769</v>
      </c>
      <c r="V214" s="296">
        <f>W214/O214</f>
        <v>134311.55500000005</v>
      </c>
      <c r="W214" s="307">
        <f>AVERAGEIF($P$3:$U$3,W$3,$P214:$U214)</f>
        <v>376786816.2581293</v>
      </c>
      <c r="X214" s="545"/>
      <c r="Y214" s="296">
        <f t="shared" si="36"/>
        <v>853392.97716749995</v>
      </c>
      <c r="Z214" s="295"/>
    </row>
    <row r="215" spans="2:26" x14ac:dyDescent="0.35">
      <c r="B215" s="546"/>
      <c r="E215" s="547"/>
      <c r="F215" s="295" t="s">
        <v>215</v>
      </c>
      <c r="G215" s="364" t="s">
        <v>203</v>
      </c>
      <c r="H215" s="365"/>
      <c r="I215" s="366"/>
      <c r="J215" s="364"/>
      <c r="K215" s="400">
        <v>0.4</v>
      </c>
      <c r="L215" s="825">
        <f>$L$212</f>
        <v>13358.663999999999</v>
      </c>
      <c r="M215" s="542">
        <v>2.8000000000000001E-2</v>
      </c>
      <c r="N215" s="296">
        <v>1</v>
      </c>
      <c r="O215" s="401">
        <f>K215*L215*M215*N215</f>
        <v>149.61703679999999</v>
      </c>
      <c r="P215" s="299">
        <f>VLOOKUP($F215,'[1]Master Harga'!$E$5:$L$351,7,FALSE)</f>
        <v>761671.70213055995</v>
      </c>
      <c r="Q215" s="543">
        <f>P215*$O215</f>
        <v>113959063.08718662</v>
      </c>
      <c r="R215" s="543"/>
      <c r="S215" s="543"/>
      <c r="T215" s="544"/>
      <c r="U215" s="544"/>
      <c r="V215" s="544"/>
      <c r="W215" s="544"/>
      <c r="X215" s="545"/>
      <c r="Y215" s="296">
        <f t="shared" si="36"/>
        <v>284328.99971852946</v>
      </c>
      <c r="Z215" s="295"/>
    </row>
    <row r="216" spans="2:26" x14ac:dyDescent="0.35">
      <c r="B216" s="546"/>
      <c r="E216" s="547"/>
      <c r="F216" s="295" t="s">
        <v>258</v>
      </c>
      <c r="G216" s="364" t="s">
        <v>203</v>
      </c>
      <c r="H216" s="365"/>
      <c r="I216" s="366"/>
      <c r="J216" s="364"/>
      <c r="K216" s="400">
        <v>0.4</v>
      </c>
      <c r="L216" s="825">
        <f>$L$212</f>
        <v>13358.663999999999</v>
      </c>
      <c r="M216" s="542">
        <f>8/1000</f>
        <v>8.0000000000000002E-3</v>
      </c>
      <c r="N216" s="296">
        <v>1</v>
      </c>
      <c r="O216" s="401">
        <f>K216*L216*M216*N216</f>
        <v>42.7477248</v>
      </c>
      <c r="P216" s="299">
        <f>VLOOKUP($F216,'[1]Master Harga'!$E$5:$L$351,7,FALSE)</f>
        <v>696305.06082000001</v>
      </c>
      <c r="Q216" s="543">
        <f>P216*$O216</f>
        <v>29765457.116780624</v>
      </c>
      <c r="R216" s="296">
        <f>VLOOKUP($F216,'[2]Master Harga'!$E$5:$L$348,7,FALSE)</f>
        <v>577911.85919999995</v>
      </c>
      <c r="S216" s="543">
        <f>R216*$O216</f>
        <v>24704417.115737945</v>
      </c>
      <c r="T216" s="296">
        <f>VLOOKUP($F216,'[2]Master Harga'!$E$5:$L$348,8,FALSE)</f>
        <v>601028.333568</v>
      </c>
      <c r="U216" s="544">
        <f>$O216*T216</f>
        <v>25692593.800367467</v>
      </c>
      <c r="V216" s="296">
        <f>W216/O216</f>
        <v>625081.75119599991</v>
      </c>
      <c r="W216" s="307">
        <f>AVERAGEIF($P$3:$U$3,W$3,$P216:$U216)</f>
        <v>26720822.677628677</v>
      </c>
      <c r="X216" s="545"/>
      <c r="Y216" s="296">
        <f t="shared" si="36"/>
        <v>74265.112566817916</v>
      </c>
      <c r="Z216" s="450"/>
    </row>
    <row r="217" spans="2:26" x14ac:dyDescent="0.35">
      <c r="B217" s="546"/>
      <c r="D217" s="550"/>
      <c r="E217" s="551"/>
      <c r="F217" s="295" t="s">
        <v>251</v>
      </c>
      <c r="G217" s="364" t="s">
        <v>203</v>
      </c>
      <c r="H217" s="365"/>
      <c r="I217" s="366"/>
      <c r="J217" s="364"/>
      <c r="K217" s="400">
        <v>0.4</v>
      </c>
      <c r="L217" s="825">
        <f>$L$212</f>
        <v>13358.663999999999</v>
      </c>
      <c r="M217" s="542">
        <f>8/1000</f>
        <v>8.0000000000000002E-3</v>
      </c>
      <c r="N217" s="296">
        <v>1</v>
      </c>
      <c r="O217" s="401">
        <f>K217*L217*M217*N217</f>
        <v>42.7477248</v>
      </c>
      <c r="P217" s="299">
        <f>VLOOKUP($F217,'[1]Master Harga'!$E$5:$L$351,7,FALSE)</f>
        <v>751428.66536999994</v>
      </c>
      <c r="Q217" s="543">
        <f>P217*$O217</f>
        <v>32121865.79406805</v>
      </c>
      <c r="R217" s="296">
        <f>VLOOKUP($F217,'[2]Master Harga'!$E$5:$L$348,7,FALSE)</f>
        <v>671314.50879999995</v>
      </c>
      <c r="S217" s="543">
        <f>R217*$O217</f>
        <v>28697167.876429576</v>
      </c>
      <c r="T217" s="296">
        <f>VLOOKUP($F217,'[2]Master Harga'!$E$5:$L$348,8,FALSE)</f>
        <v>698167.08915200003</v>
      </c>
      <c r="U217" s="544">
        <f>$O217*T217</f>
        <v>29845054.591486763</v>
      </c>
      <c r="V217" s="296">
        <f>W217/O217</f>
        <v>706970.08777400001</v>
      </c>
      <c r="W217" s="307">
        <f>AVERAGEIF($P$3:$U$3,W$3,$P217:$U217)</f>
        <v>30221362.753994796</v>
      </c>
      <c r="X217" s="545"/>
      <c r="Y217" s="296">
        <f t="shared" si="36"/>
        <v>80144.37573370272</v>
      </c>
      <c r="Z217" s="450"/>
    </row>
    <row r="218" spans="2:26" x14ac:dyDescent="0.35">
      <c r="B218" s="546"/>
      <c r="D218" t="s">
        <v>121</v>
      </c>
      <c r="E218" s="547"/>
      <c r="F218" s="295" t="s">
        <v>189</v>
      </c>
      <c r="G218" s="364" t="s">
        <v>190</v>
      </c>
      <c r="H218" s="365"/>
      <c r="I218" s="366"/>
      <c r="J218" s="364"/>
      <c r="K218" s="400">
        <v>0.1</v>
      </c>
      <c r="L218" s="825">
        <f>'S1 TBM 1'!L221</f>
        <v>10753</v>
      </c>
      <c r="M218" s="542">
        <v>0.5</v>
      </c>
      <c r="N218" s="296">
        <v>1</v>
      </c>
      <c r="O218" s="401">
        <f>K218*L218*M218*N218</f>
        <v>537.65</v>
      </c>
      <c r="P218" s="299">
        <f>VLOOKUP($F218,'[1]Master Harga'!$E$5:$L$351,7,FALSE)</f>
        <v>158800.57379999998</v>
      </c>
      <c r="Q218" s="543">
        <f t="shared" ref="Q218:Q223" si="42">P218*$O218</f>
        <v>85379128.50356999</v>
      </c>
      <c r="R218" s="543"/>
      <c r="S218" s="543"/>
      <c r="T218" s="544"/>
      <c r="U218" s="544"/>
      <c r="V218" s="544"/>
      <c r="W218" s="544"/>
      <c r="X218" s="545"/>
      <c r="Y218" s="296">
        <f t="shared" si="36"/>
        <v>213021.77770351793</v>
      </c>
      <c r="Z218" s="295"/>
    </row>
    <row r="219" spans="2:26" x14ac:dyDescent="0.35">
      <c r="B219" s="546"/>
      <c r="E219" s="547"/>
      <c r="F219" s="295" t="s">
        <v>255</v>
      </c>
      <c r="G219" s="364" t="s">
        <v>256</v>
      </c>
      <c r="H219" s="365"/>
      <c r="I219" s="366"/>
      <c r="J219" s="364"/>
      <c r="K219" s="400">
        <v>0</v>
      </c>
      <c r="L219" s="825"/>
      <c r="M219" s="542"/>
      <c r="N219" s="296"/>
      <c r="O219" s="365"/>
      <c r="P219" s="299">
        <f>VLOOKUP($F219,'[1]Master Harga'!$E$5:$L$351,7,FALSE)</f>
        <v>209952</v>
      </c>
      <c r="Q219" s="543">
        <f t="shared" si="42"/>
        <v>0</v>
      </c>
      <c r="R219" s="543"/>
      <c r="S219" s="543"/>
      <c r="T219" s="544"/>
      <c r="U219" s="544"/>
      <c r="V219" s="544"/>
      <c r="W219" s="544"/>
      <c r="X219" s="545"/>
      <c r="Y219" s="296">
        <f t="shared" si="36"/>
        <v>0</v>
      </c>
      <c r="Z219" s="295"/>
    </row>
    <row r="220" spans="2:26" x14ac:dyDescent="0.35">
      <c r="B220" s="700"/>
      <c r="C220" s="357"/>
      <c r="D220" s="357"/>
      <c r="E220" s="701"/>
      <c r="F220" s="436" t="s">
        <v>257</v>
      </c>
      <c r="G220" s="579" t="s">
        <v>256</v>
      </c>
      <c r="H220" s="545"/>
      <c r="I220" s="580"/>
      <c r="J220" s="579"/>
      <c r="K220" s="400">
        <v>0</v>
      </c>
      <c r="L220" s="825">
        <f>$L$218</f>
        <v>10753</v>
      </c>
      <c r="M220" s="542">
        <f>1050/1000</f>
        <v>1.05</v>
      </c>
      <c r="N220" s="296">
        <v>1</v>
      </c>
      <c r="O220" s="401">
        <f t="shared" ref="O220:O228" si="43">K220*L220*M220*N220</f>
        <v>0</v>
      </c>
      <c r="P220" s="299">
        <f>VLOOKUP($F220,'[1]Master Harga'!$E$5:$L$351,7,FALSE)</f>
        <v>121925.47500000001</v>
      </c>
      <c r="Q220" s="543">
        <f t="shared" si="42"/>
        <v>0</v>
      </c>
      <c r="R220" s="683"/>
      <c r="S220" s="683"/>
      <c r="T220" s="684"/>
      <c r="U220" s="684"/>
      <c r="V220" s="684"/>
      <c r="W220" s="684"/>
      <c r="X220" s="545"/>
      <c r="Y220" s="296">
        <f t="shared" si="36"/>
        <v>0</v>
      </c>
      <c r="Z220" s="295"/>
    </row>
    <row r="221" spans="2:26" x14ac:dyDescent="0.35">
      <c r="B221" s="700"/>
      <c r="C221" s="357"/>
      <c r="D221" s="357"/>
      <c r="E221" s="701"/>
      <c r="F221" s="436" t="s">
        <v>215</v>
      </c>
      <c r="G221" s="579" t="s">
        <v>203</v>
      </c>
      <c r="H221" s="545"/>
      <c r="I221" s="580"/>
      <c r="J221" s="579"/>
      <c r="K221" s="400">
        <v>0.4</v>
      </c>
      <c r="L221" s="825">
        <f>$L$218</f>
        <v>10753</v>
      </c>
      <c r="M221" s="542">
        <v>2.8000000000000001E-2</v>
      </c>
      <c r="N221" s="296">
        <v>1</v>
      </c>
      <c r="O221" s="401">
        <f t="shared" si="43"/>
        <v>120.4336</v>
      </c>
      <c r="P221" s="299">
        <f>VLOOKUP($F221,'[1]Master Harga'!$E$5:$L$351,7,FALSE)</f>
        <v>761671.70213055995</v>
      </c>
      <c r="Q221" s="543">
        <f t="shared" si="42"/>
        <v>91730865.105710998</v>
      </c>
      <c r="R221" s="683"/>
      <c r="S221" s="683"/>
      <c r="T221" s="684"/>
      <c r="U221" s="684"/>
      <c r="V221" s="684"/>
      <c r="W221" s="684"/>
      <c r="X221" s="545"/>
      <c r="Y221" s="296">
        <f t="shared" si="36"/>
        <v>228869.42391644459</v>
      </c>
      <c r="Z221" s="295"/>
    </row>
    <row r="222" spans="2:26" x14ac:dyDescent="0.35">
      <c r="B222" s="700"/>
      <c r="C222" s="357"/>
      <c r="D222" s="357"/>
      <c r="E222" s="701"/>
      <c r="F222" s="436" t="s">
        <v>258</v>
      </c>
      <c r="G222" s="579" t="s">
        <v>203</v>
      </c>
      <c r="H222" s="545"/>
      <c r="I222" s="580"/>
      <c r="J222" s="579"/>
      <c r="K222" s="400">
        <v>0.4</v>
      </c>
      <c r="L222" s="825">
        <f>$L$218</f>
        <v>10753</v>
      </c>
      <c r="M222" s="542">
        <f>8/1000</f>
        <v>8.0000000000000002E-3</v>
      </c>
      <c r="N222" s="296">
        <v>1</v>
      </c>
      <c r="O222" s="401">
        <f t="shared" si="43"/>
        <v>34.409599999999998</v>
      </c>
      <c r="P222" s="299">
        <f>VLOOKUP($F222,'[1]Master Harga'!$E$5:$L$351,7,FALSE)</f>
        <v>696305.06082000001</v>
      </c>
      <c r="Q222" s="543">
        <f t="shared" si="42"/>
        <v>23959578.620791871</v>
      </c>
      <c r="R222" s="683"/>
      <c r="S222" s="683"/>
      <c r="T222" s="684"/>
      <c r="U222" s="684"/>
      <c r="V222" s="684"/>
      <c r="W222" s="684"/>
      <c r="X222" s="545"/>
      <c r="Y222" s="296">
        <f t="shared" si="36"/>
        <v>59779.387776426825</v>
      </c>
      <c r="Z222" s="295"/>
    </row>
    <row r="223" spans="2:26" x14ac:dyDescent="0.35">
      <c r="B223" s="700"/>
      <c r="C223" s="357"/>
      <c r="D223" s="681"/>
      <c r="E223" s="682"/>
      <c r="F223" s="436" t="s">
        <v>251</v>
      </c>
      <c r="G223" s="579" t="s">
        <v>203</v>
      </c>
      <c r="H223" s="545"/>
      <c r="I223" s="580"/>
      <c r="J223" s="579"/>
      <c r="K223" s="400">
        <v>0.4</v>
      </c>
      <c r="L223" s="825">
        <f>$L$218</f>
        <v>10753</v>
      </c>
      <c r="M223" s="542">
        <f>8/1000</f>
        <v>8.0000000000000002E-3</v>
      </c>
      <c r="N223" s="296">
        <v>1</v>
      </c>
      <c r="O223" s="401">
        <f t="shared" si="43"/>
        <v>34.409599999999998</v>
      </c>
      <c r="P223" s="299">
        <f>VLOOKUP($F223,'[1]Master Harga'!$E$5:$L$351,7,FALSE)</f>
        <v>751428.66536999994</v>
      </c>
      <c r="Q223" s="543">
        <f t="shared" si="42"/>
        <v>25856359.803915549</v>
      </c>
      <c r="R223" s="683"/>
      <c r="S223" s="683"/>
      <c r="T223" s="684"/>
      <c r="U223" s="684"/>
      <c r="V223" s="684"/>
      <c r="W223" s="684"/>
      <c r="X223" s="545"/>
      <c r="Y223" s="296">
        <f t="shared" si="36"/>
        <v>64511.875758272326</v>
      </c>
      <c r="Z223" s="295"/>
    </row>
    <row r="224" spans="2:26" x14ac:dyDescent="0.35">
      <c r="B224" s="700"/>
      <c r="C224" s="357"/>
      <c r="D224" s="763" t="s">
        <v>123</v>
      </c>
      <c r="E224" s="764"/>
      <c r="F224" s="295" t="s">
        <v>189</v>
      </c>
      <c r="G224" s="364" t="s">
        <v>190</v>
      </c>
      <c r="H224" s="365"/>
      <c r="I224" s="366"/>
      <c r="J224" s="364"/>
      <c r="K224" s="400">
        <v>0</v>
      </c>
      <c r="L224" s="825"/>
      <c r="M224" s="542">
        <v>0.5</v>
      </c>
      <c r="N224" s="296">
        <v>1</v>
      </c>
      <c r="O224" s="401">
        <f t="shared" si="43"/>
        <v>0</v>
      </c>
      <c r="P224" s="299">
        <f>VLOOKUP($F224,'[1]Master Harga'!$E$5:$L$351,7,FALSE)</f>
        <v>158800.57379999998</v>
      </c>
      <c r="Q224" s="543">
        <f>P224*$O224</f>
        <v>0</v>
      </c>
      <c r="R224" s="296">
        <f>VLOOKUP($F224,'[2]Master Harga'!$E$5:$L$348,7,FALSE)</f>
        <v>163305.33120000002</v>
      </c>
      <c r="S224" s="543">
        <f>R224*$O224</f>
        <v>0</v>
      </c>
      <c r="T224" s="296">
        <f>VLOOKUP($F224,'[2]Master Harga'!$E$5:$L$348,8,FALSE)</f>
        <v>179635.86432000002</v>
      </c>
      <c r="U224" s="544">
        <f>$O224*T224</f>
        <v>0</v>
      </c>
      <c r="V224" s="296" t="e">
        <f>W224/O224</f>
        <v>#DIV/0!</v>
      </c>
      <c r="W224" s="307">
        <f>AVERAGEIF($P$3:$U$3,W$3,$P224:$U224)</f>
        <v>0</v>
      </c>
      <c r="X224" s="545"/>
      <c r="Y224" s="296">
        <f t="shared" si="36"/>
        <v>0</v>
      </c>
      <c r="Z224" s="295"/>
    </row>
    <row r="225" spans="2:26" hidden="1" x14ac:dyDescent="0.35">
      <c r="B225" s="700"/>
      <c r="C225" s="357"/>
      <c r="D225" s="357"/>
      <c r="E225" s="701"/>
      <c r="F225" s="436" t="s">
        <v>257</v>
      </c>
      <c r="G225" s="579" t="s">
        <v>256</v>
      </c>
      <c r="H225" s="545"/>
      <c r="I225" s="580"/>
      <c r="J225" s="579"/>
      <c r="K225" s="400">
        <v>0</v>
      </c>
      <c r="L225" s="825"/>
      <c r="M225" s="542">
        <f>1050/1000</f>
        <v>1.05</v>
      </c>
      <c r="N225" s="296">
        <v>1</v>
      </c>
      <c r="O225" s="401">
        <f t="shared" si="43"/>
        <v>0</v>
      </c>
      <c r="P225" s="299">
        <f>VLOOKUP($F225,'[1]Master Harga'!$E$5:$L$351,7,FALSE)</f>
        <v>121925.47500000001</v>
      </c>
      <c r="Q225" s="543">
        <f t="shared" ref="Q225:Q228" si="44">P225*$O225</f>
        <v>0</v>
      </c>
      <c r="R225" s="296">
        <f>VLOOKUP($F225,'[2]Master Harga'!$E$5:$L$348,7,FALSE)</f>
        <v>133813.90000000002</v>
      </c>
      <c r="S225" s="543">
        <f>R225*$O225</f>
        <v>0</v>
      </c>
      <c r="T225" s="296">
        <f>VLOOKUP($F225,'[2]Master Harga'!$E$5:$L$348,8,FALSE)</f>
        <v>147195.29000000004</v>
      </c>
      <c r="U225" s="544">
        <f>$O225*T225</f>
        <v>0</v>
      </c>
      <c r="V225" s="296" t="e">
        <f>W225/O225</f>
        <v>#DIV/0!</v>
      </c>
      <c r="W225" s="307">
        <f>AVERAGEIF($P$3:$U$3,W$3,$P225:$U225)</f>
        <v>0</v>
      </c>
      <c r="X225" s="545"/>
      <c r="Y225" s="296">
        <f t="shared" si="36"/>
        <v>0</v>
      </c>
      <c r="Z225" s="295"/>
    </row>
    <row r="226" spans="2:26" hidden="1" x14ac:dyDescent="0.35">
      <c r="B226" s="700"/>
      <c r="C226" s="357"/>
      <c r="D226" s="357"/>
      <c r="E226" s="701"/>
      <c r="F226" s="436" t="s">
        <v>215</v>
      </c>
      <c r="G226" s="579" t="s">
        <v>203</v>
      </c>
      <c r="H226" s="545"/>
      <c r="I226" s="580"/>
      <c r="J226" s="579"/>
      <c r="K226" s="400">
        <v>0</v>
      </c>
      <c r="L226" s="825"/>
      <c r="M226" s="542">
        <v>2.8000000000000001E-2</v>
      </c>
      <c r="N226" s="296">
        <v>1</v>
      </c>
      <c r="O226" s="401">
        <f t="shared" si="43"/>
        <v>0</v>
      </c>
      <c r="P226" s="299">
        <f>VLOOKUP($F226,'[1]Master Harga'!$E$5:$L$351,7,FALSE)</f>
        <v>761671.70213055995</v>
      </c>
      <c r="Q226" s="543">
        <f t="shared" si="44"/>
        <v>0</v>
      </c>
      <c r="R226" s="296"/>
      <c r="S226" s="543"/>
      <c r="T226" s="296"/>
      <c r="U226" s="544"/>
      <c r="V226" s="296"/>
      <c r="W226" s="307"/>
      <c r="X226" s="545"/>
      <c r="Y226" s="296">
        <f t="shared" si="36"/>
        <v>0</v>
      </c>
      <c r="Z226" s="295"/>
    </row>
    <row r="227" spans="2:26" hidden="1" x14ac:dyDescent="0.35">
      <c r="B227" s="700"/>
      <c r="C227" s="357"/>
      <c r="D227" s="357"/>
      <c r="E227" s="701"/>
      <c r="F227" s="436" t="s">
        <v>258</v>
      </c>
      <c r="G227" s="579" t="s">
        <v>203</v>
      </c>
      <c r="H227" s="545"/>
      <c r="I227" s="580"/>
      <c r="J227" s="579"/>
      <c r="K227" s="400">
        <v>0</v>
      </c>
      <c r="L227" s="825"/>
      <c r="M227" s="542">
        <f>8/1000</f>
        <v>8.0000000000000002E-3</v>
      </c>
      <c r="N227" s="296">
        <v>1</v>
      </c>
      <c r="O227" s="401">
        <f t="shared" si="43"/>
        <v>0</v>
      </c>
      <c r="P227" s="299">
        <f>VLOOKUP($F227,'[1]Master Harga'!$E$5:$L$351,7,FALSE)</f>
        <v>696305.06082000001</v>
      </c>
      <c r="Q227" s="543">
        <f t="shared" si="44"/>
        <v>0</v>
      </c>
      <c r="R227" s="296"/>
      <c r="S227" s="543"/>
      <c r="T227" s="296"/>
      <c r="U227" s="544"/>
      <c r="V227" s="296"/>
      <c r="W227" s="307"/>
      <c r="X227" s="545"/>
      <c r="Y227" s="296">
        <f t="shared" si="36"/>
        <v>0</v>
      </c>
      <c r="Z227" s="295"/>
    </row>
    <row r="228" spans="2:26" hidden="1" x14ac:dyDescent="0.35">
      <c r="B228" s="700"/>
      <c r="C228" s="357"/>
      <c r="D228" s="681"/>
      <c r="E228" s="682"/>
      <c r="F228" s="436" t="s">
        <v>251</v>
      </c>
      <c r="G228" s="579" t="s">
        <v>203</v>
      </c>
      <c r="H228" s="545"/>
      <c r="I228" s="580"/>
      <c r="J228" s="579"/>
      <c r="K228" s="400">
        <v>0</v>
      </c>
      <c r="L228" s="825"/>
      <c r="M228" s="542">
        <f>8/1000</f>
        <v>8.0000000000000002E-3</v>
      </c>
      <c r="N228" s="296">
        <v>1</v>
      </c>
      <c r="O228" s="401">
        <f t="shared" si="43"/>
        <v>0</v>
      </c>
      <c r="P228" s="299">
        <f>VLOOKUP($F228,'[1]Master Harga'!$E$5:$L$351,7,FALSE)</f>
        <v>751428.66536999994</v>
      </c>
      <c r="Q228" s="543">
        <f t="shared" si="44"/>
        <v>0</v>
      </c>
      <c r="R228" s="296">
        <f>VLOOKUP($F228,'[2]Master Harga'!$E$5:$L$348,7,FALSE)</f>
        <v>671314.50879999995</v>
      </c>
      <c r="S228" s="543">
        <f>R228*$O228</f>
        <v>0</v>
      </c>
      <c r="T228" s="296">
        <f>VLOOKUP($F228,'[2]Master Harga'!$E$5:$L$348,8,FALSE)</f>
        <v>698167.08915200003</v>
      </c>
      <c r="U228" s="544">
        <f>$O228*T228</f>
        <v>0</v>
      </c>
      <c r="V228" s="296" t="e">
        <f>W228/O228</f>
        <v>#DIV/0!</v>
      </c>
      <c r="W228" s="307">
        <f>AVERAGEIF($P$3:$U$3,W$3,$P228:$U228)</f>
        <v>0</v>
      </c>
      <c r="X228" s="545"/>
      <c r="Y228" s="296">
        <f t="shared" si="36"/>
        <v>0</v>
      </c>
      <c r="Z228" s="295"/>
    </row>
    <row r="229" spans="2:26" hidden="1" x14ac:dyDescent="0.35">
      <c r="B229" s="700"/>
      <c r="C229" s="357"/>
      <c r="D229" s="763" t="s">
        <v>117</v>
      </c>
      <c r="E229" s="764"/>
      <c r="F229" s="436" t="s">
        <v>189</v>
      </c>
      <c r="G229" s="579" t="s">
        <v>190</v>
      </c>
      <c r="H229" s="545"/>
      <c r="I229" s="580"/>
      <c r="J229" s="579"/>
      <c r="K229" s="439"/>
      <c r="L229" s="849"/>
      <c r="M229" s="552">
        <f>1/100</f>
        <v>0.01</v>
      </c>
      <c r="N229" s="437">
        <v>2</v>
      </c>
      <c r="O229" s="545"/>
      <c r="P229" s="683"/>
      <c r="Q229" s="683"/>
      <c r="R229" s="683"/>
      <c r="S229" s="683"/>
      <c r="T229" s="684"/>
      <c r="U229" s="684"/>
      <c r="V229" s="684"/>
      <c r="W229" s="684"/>
      <c r="X229" s="545"/>
      <c r="Y229" s="296">
        <f t="shared" si="36"/>
        <v>0</v>
      </c>
      <c r="Z229" s="295"/>
    </row>
    <row r="230" spans="2:26" hidden="1" x14ac:dyDescent="0.35">
      <c r="B230" s="700"/>
      <c r="C230" s="357"/>
      <c r="D230" s="357"/>
      <c r="E230" s="701"/>
      <c r="F230" s="436" t="s">
        <v>258</v>
      </c>
      <c r="G230" s="579" t="s">
        <v>203</v>
      </c>
      <c r="H230" s="545"/>
      <c r="I230" s="580"/>
      <c r="J230" s="364" t="s">
        <v>253</v>
      </c>
      <c r="K230" s="548">
        <v>0.5</v>
      </c>
      <c r="L230" s="849"/>
      <c r="M230" s="552">
        <f>3/1000</f>
        <v>3.0000000000000001E-3</v>
      </c>
      <c r="N230" s="437">
        <v>1</v>
      </c>
      <c r="O230" s="401">
        <f>K230*L230*M230*N230</f>
        <v>0</v>
      </c>
      <c r="P230" s="299">
        <f>VLOOKUP($F230,'[1]Master Harga'!$E$5:$L$351,7,FALSE)</f>
        <v>696305.06082000001</v>
      </c>
      <c r="Q230" s="543">
        <f>P230*$O230</f>
        <v>0</v>
      </c>
      <c r="R230" s="296">
        <f>VLOOKUP($F230,'[2]Master Harga'!$E$5:$L$348,7,FALSE)</f>
        <v>577911.85919999995</v>
      </c>
      <c r="S230" s="543">
        <f>R230*$O230</f>
        <v>0</v>
      </c>
      <c r="T230" s="296">
        <f>VLOOKUP($F230,'[2]Master Harga'!$E$5:$L$348,8,FALSE)</f>
        <v>601028.333568</v>
      </c>
      <c r="U230" s="544">
        <f>$O230*T230</f>
        <v>0</v>
      </c>
      <c r="V230" s="296" t="e">
        <f>W230/O230</f>
        <v>#DIV/0!</v>
      </c>
      <c r="W230" s="307">
        <f>AVERAGEIF($P$3:$U$3,W$3,$P230:$U230)</f>
        <v>0</v>
      </c>
      <c r="X230" s="545"/>
      <c r="Y230" s="296">
        <f t="shared" si="36"/>
        <v>0</v>
      </c>
      <c r="Z230" s="295"/>
    </row>
    <row r="231" spans="2:26" hidden="1" x14ac:dyDescent="0.35">
      <c r="B231" s="700"/>
      <c r="C231" s="357"/>
      <c r="D231" s="681"/>
      <c r="E231" s="682"/>
      <c r="F231" s="436" t="s">
        <v>251</v>
      </c>
      <c r="G231" s="579" t="s">
        <v>203</v>
      </c>
      <c r="H231" s="545"/>
      <c r="I231" s="580"/>
      <c r="J231" s="364" t="s">
        <v>253</v>
      </c>
      <c r="K231" s="548">
        <v>0.5</v>
      </c>
      <c r="L231" s="849"/>
      <c r="M231" s="552">
        <f>3/1000</f>
        <v>3.0000000000000001E-3</v>
      </c>
      <c r="N231" s="437">
        <v>1</v>
      </c>
      <c r="O231" s="401">
        <f>K231*L231*M231*N231</f>
        <v>0</v>
      </c>
      <c r="P231" s="299">
        <f>VLOOKUP($F231,'[1]Master Harga'!$E$5:$L$351,7,FALSE)</f>
        <v>751428.66536999994</v>
      </c>
      <c r="Q231" s="543">
        <f>P231*$O231</f>
        <v>0</v>
      </c>
      <c r="R231" s="296">
        <f>VLOOKUP($F231,'[2]Master Harga'!$E$5:$L$348,7,FALSE)</f>
        <v>671314.50879999995</v>
      </c>
      <c r="S231" s="543">
        <f>R231*$O231</f>
        <v>0</v>
      </c>
      <c r="T231" s="296">
        <f>VLOOKUP($F231,'[2]Master Harga'!$E$5:$L$348,8,FALSE)</f>
        <v>698167.08915200003</v>
      </c>
      <c r="U231" s="544">
        <f>$O231*T231</f>
        <v>0</v>
      </c>
      <c r="V231" s="296" t="e">
        <f>W231/O231</f>
        <v>#DIV/0!</v>
      </c>
      <c r="W231" s="307">
        <f>AVERAGEIF($P$3:$U$3,W$3,$P231:$U231)</f>
        <v>0</v>
      </c>
      <c r="X231" s="545"/>
      <c r="Y231" s="296">
        <f t="shared" si="36"/>
        <v>0</v>
      </c>
      <c r="Z231" s="295"/>
    </row>
    <row r="232" spans="2:26" hidden="1" x14ac:dyDescent="0.35">
      <c r="B232" s="700"/>
      <c r="C232" s="357"/>
      <c r="D232" s="763" t="s">
        <v>119</v>
      </c>
      <c r="E232" s="764"/>
      <c r="F232" s="436" t="s">
        <v>189</v>
      </c>
      <c r="G232" s="579" t="s">
        <v>190</v>
      </c>
      <c r="H232" s="545"/>
      <c r="I232" s="580"/>
      <c r="J232" s="579"/>
      <c r="K232" s="400"/>
      <c r="L232" s="849"/>
      <c r="M232" s="552">
        <f>1/100</f>
        <v>0.01</v>
      </c>
      <c r="N232" s="437">
        <v>2</v>
      </c>
      <c r="O232" s="545"/>
      <c r="P232" s="683"/>
      <c r="Q232" s="683"/>
      <c r="R232" s="683"/>
      <c r="S232" s="683"/>
      <c r="T232" s="684"/>
      <c r="U232" s="684"/>
      <c r="V232" s="684"/>
      <c r="W232" s="684"/>
      <c r="X232" s="545"/>
      <c r="Y232" s="296">
        <f t="shared" si="36"/>
        <v>0</v>
      </c>
      <c r="Z232" s="295"/>
    </row>
    <row r="233" spans="2:26" hidden="1" x14ac:dyDescent="0.35">
      <c r="B233" s="700"/>
      <c r="C233" s="357"/>
      <c r="D233" s="357"/>
      <c r="E233" s="701"/>
      <c r="F233" s="436" t="s">
        <v>258</v>
      </c>
      <c r="G233" s="579" t="s">
        <v>203</v>
      </c>
      <c r="H233" s="545"/>
      <c r="I233" s="580"/>
      <c r="J233" s="364" t="s">
        <v>253</v>
      </c>
      <c r="K233" s="548">
        <v>0.5</v>
      </c>
      <c r="L233" s="825"/>
      <c r="M233" s="552">
        <f>2/1000</f>
        <v>2E-3</v>
      </c>
      <c r="N233" s="437">
        <v>1</v>
      </c>
      <c r="O233" s="401">
        <f>K233*L233*M233*N233</f>
        <v>0</v>
      </c>
      <c r="P233" s="299">
        <f>VLOOKUP($F233,'[1]Master Harga'!$E$5:$L$351,7,FALSE)</f>
        <v>696305.06082000001</v>
      </c>
      <c r="Q233" s="543">
        <f>P233*$O233</f>
        <v>0</v>
      </c>
      <c r="R233" s="296">
        <f>VLOOKUP($F233,'[2]Master Harga'!$E$5:$L$348,7,FALSE)</f>
        <v>577911.85919999995</v>
      </c>
      <c r="S233" s="543">
        <f>R233*$O233</f>
        <v>0</v>
      </c>
      <c r="T233" s="296">
        <f>VLOOKUP($F233,'[2]Master Harga'!$E$5:$L$348,8,FALSE)</f>
        <v>601028.333568</v>
      </c>
      <c r="U233" s="544">
        <f>$O233*T233</f>
        <v>0</v>
      </c>
      <c r="V233" s="296" t="e">
        <f>W233/O233</f>
        <v>#DIV/0!</v>
      </c>
      <c r="W233" s="307">
        <f>AVERAGEIF($P$3:$U$3,W$3,$P233:$U233)</f>
        <v>0</v>
      </c>
      <c r="X233" s="545"/>
      <c r="Y233" s="296">
        <f t="shared" si="36"/>
        <v>0</v>
      </c>
      <c r="Z233" s="295"/>
    </row>
    <row r="234" spans="2:26" hidden="1" x14ac:dyDescent="0.35">
      <c r="B234" s="680"/>
      <c r="C234" s="681"/>
      <c r="D234" s="681"/>
      <c r="E234" s="682"/>
      <c r="F234" s="436" t="s">
        <v>251</v>
      </c>
      <c r="G234" s="579" t="s">
        <v>203</v>
      </c>
      <c r="H234" s="545"/>
      <c r="I234" s="580"/>
      <c r="J234" s="364" t="s">
        <v>253</v>
      </c>
      <c r="K234" s="548">
        <v>0.5</v>
      </c>
      <c r="L234" s="825"/>
      <c r="M234" s="552">
        <f>2/1000</f>
        <v>2E-3</v>
      </c>
      <c r="N234" s="437">
        <v>1</v>
      </c>
      <c r="O234" s="401">
        <f>K234*L234*M234*N234</f>
        <v>0</v>
      </c>
      <c r="P234" s="299">
        <f>VLOOKUP($F234,'[1]Master Harga'!$E$5:$L$351,7,FALSE)</f>
        <v>751428.66536999994</v>
      </c>
      <c r="Q234" s="543">
        <f>P234*$O234</f>
        <v>0</v>
      </c>
      <c r="R234" s="296">
        <f>VLOOKUP($F234,'[2]Master Harga'!$E$5:$L$348,7,FALSE)</f>
        <v>671314.50879999995</v>
      </c>
      <c r="S234" s="543">
        <f>R234*$O234</f>
        <v>0</v>
      </c>
      <c r="T234" s="296">
        <f>VLOOKUP($F234,'[2]Master Harga'!$E$5:$L$348,8,FALSE)</f>
        <v>698167.08915200003</v>
      </c>
      <c r="U234" s="544">
        <f>$O234*T234</f>
        <v>0</v>
      </c>
      <c r="V234" s="296" t="e">
        <f>W234/O234</f>
        <v>#DIV/0!</v>
      </c>
      <c r="W234" s="307">
        <f>AVERAGEIF($P$3:$U$3,W$3,$P234:$U234)</f>
        <v>0</v>
      </c>
      <c r="X234" s="545"/>
      <c r="Y234" s="296">
        <f t="shared" si="36"/>
        <v>0</v>
      </c>
      <c r="Z234" s="295"/>
    </row>
    <row r="235" spans="2:26" ht="29.25" customHeight="1" x14ac:dyDescent="0.35">
      <c r="B235" s="685" t="s">
        <v>476</v>
      </c>
      <c r="C235" s="864"/>
      <c r="D235" s="864"/>
      <c r="E235" s="865"/>
      <c r="F235" s="688"/>
      <c r="G235" s="689"/>
      <c r="H235" s="690"/>
      <c r="I235" s="691"/>
      <c r="J235" s="689"/>
      <c r="K235" s="692"/>
      <c r="L235" s="866"/>
      <c r="M235" s="694"/>
      <c r="N235" s="695"/>
      <c r="O235" s="690"/>
      <c r="P235" s="696"/>
      <c r="Q235" s="697">
        <f>SUM(Q200:Q228)</f>
        <v>1101119740.627362</v>
      </c>
      <c r="R235" s="696"/>
      <c r="S235" s="697">
        <f>SUM(S224:S234)</f>
        <v>0</v>
      </c>
      <c r="T235" s="684"/>
      <c r="U235" s="684"/>
      <c r="V235" s="684"/>
      <c r="W235" s="684"/>
      <c r="X235" s="690"/>
      <c r="Y235" s="727">
        <f t="shared" si="36"/>
        <v>2747304.7420842363</v>
      </c>
      <c r="Z235" s="867">
        <f>(Y235/$Y$421)*100</f>
        <v>19.825770848847721</v>
      </c>
    </row>
    <row r="236" spans="2:26" x14ac:dyDescent="0.35">
      <c r="B236" s="545"/>
      <c r="C236" s="580" t="s">
        <v>477</v>
      </c>
      <c r="D236" s="580"/>
      <c r="E236" s="723"/>
      <c r="F236" s="436"/>
      <c r="G236" s="579"/>
      <c r="H236" s="545"/>
      <c r="I236" s="580"/>
      <c r="J236" s="579"/>
      <c r="K236" s="439"/>
      <c r="L236" s="849"/>
      <c r="M236" s="552"/>
      <c r="N236" s="437"/>
      <c r="O236" s="545"/>
      <c r="P236" s="683"/>
      <c r="Q236" s="683"/>
      <c r="R236" s="683"/>
      <c r="S236" s="683"/>
      <c r="T236" s="684"/>
      <c r="U236" s="684"/>
      <c r="V236" s="684"/>
      <c r="W236" s="684"/>
      <c r="X236" s="545"/>
      <c r="Y236" s="296">
        <f t="shared" si="36"/>
        <v>0</v>
      </c>
      <c r="Z236" s="295"/>
    </row>
    <row r="237" spans="2:26" x14ac:dyDescent="0.35">
      <c r="B237" s="546"/>
      <c r="D237" t="s">
        <v>124</v>
      </c>
      <c r="E237" s="547"/>
      <c r="F237" s="295" t="s">
        <v>189</v>
      </c>
      <c r="G237" s="364" t="s">
        <v>190</v>
      </c>
      <c r="H237" s="365"/>
      <c r="I237" s="366"/>
      <c r="J237" s="364"/>
      <c r="K237" s="400">
        <v>0</v>
      </c>
      <c r="L237" s="825"/>
      <c r="M237" s="542">
        <v>1</v>
      </c>
      <c r="N237" s="296">
        <v>1</v>
      </c>
      <c r="O237" s="401">
        <f t="shared" ref="O237:O249" si="45">K237*L237*M237*N237</f>
        <v>0</v>
      </c>
      <c r="P237" s="543"/>
      <c r="Q237" s="543"/>
      <c r="R237" s="543"/>
      <c r="S237" s="543"/>
      <c r="T237" s="544"/>
      <c r="U237" s="544"/>
      <c r="V237" s="544"/>
      <c r="W237" s="544"/>
      <c r="X237" s="545"/>
      <c r="Y237" s="296">
        <f t="shared" si="36"/>
        <v>0</v>
      </c>
      <c r="Z237" s="295"/>
    </row>
    <row r="238" spans="2:26" hidden="1" x14ac:dyDescent="0.35">
      <c r="B238" s="546"/>
      <c r="E238" s="547"/>
      <c r="F238" s="295" t="s">
        <v>263</v>
      </c>
      <c r="G238" s="364" t="s">
        <v>264</v>
      </c>
      <c r="H238" s="365"/>
      <c r="I238" s="366"/>
      <c r="J238" s="364"/>
      <c r="K238" s="400">
        <v>0</v>
      </c>
      <c r="L238" s="825"/>
      <c r="M238" s="542">
        <v>1</v>
      </c>
      <c r="N238" s="296">
        <v>1</v>
      </c>
      <c r="O238" s="401">
        <f t="shared" si="45"/>
        <v>0</v>
      </c>
      <c r="P238" s="543"/>
      <c r="Q238" s="543"/>
      <c r="R238" s="543"/>
      <c r="S238" s="543"/>
      <c r="T238" s="544"/>
      <c r="U238" s="544"/>
      <c r="V238" s="544"/>
      <c r="W238" s="544"/>
      <c r="X238" s="545"/>
      <c r="Y238" s="296">
        <f t="shared" si="36"/>
        <v>0</v>
      </c>
      <c r="Z238" s="295"/>
    </row>
    <row r="239" spans="2:26" hidden="1" x14ac:dyDescent="0.35">
      <c r="B239" s="546"/>
      <c r="E239" s="547"/>
      <c r="F239" s="765" t="s">
        <v>478</v>
      </c>
      <c r="G239" s="766" t="s">
        <v>264</v>
      </c>
      <c r="H239" s="767"/>
      <c r="I239" s="768"/>
      <c r="J239" s="766"/>
      <c r="K239" s="400">
        <v>0</v>
      </c>
      <c r="L239" s="880"/>
      <c r="M239" s="881">
        <v>1</v>
      </c>
      <c r="N239" s="771">
        <v>1</v>
      </c>
      <c r="O239" s="401">
        <f t="shared" si="45"/>
        <v>0</v>
      </c>
      <c r="P239" s="772">
        <f>63525000*110%</f>
        <v>69877500</v>
      </c>
      <c r="Q239" s="882">
        <f t="shared" ref="Q239:Q241" si="46">P239*$O239</f>
        <v>0</v>
      </c>
      <c r="R239" s="772"/>
      <c r="S239" s="772"/>
      <c r="T239" s="773"/>
      <c r="U239" s="773"/>
      <c r="V239" s="773"/>
      <c r="W239" s="773"/>
      <c r="X239" s="545"/>
      <c r="Y239" s="296">
        <f t="shared" si="36"/>
        <v>0</v>
      </c>
      <c r="Z239" s="295"/>
    </row>
    <row r="240" spans="2:26" hidden="1" x14ac:dyDescent="0.35">
      <c r="B240" s="546"/>
      <c r="E240" s="547"/>
      <c r="F240" s="765" t="s">
        <v>479</v>
      </c>
      <c r="G240" s="766" t="s">
        <v>264</v>
      </c>
      <c r="H240" s="767"/>
      <c r="I240" s="768"/>
      <c r="J240" s="766"/>
      <c r="K240" s="400">
        <v>0</v>
      </c>
      <c r="L240" s="880"/>
      <c r="M240" s="881">
        <v>1</v>
      </c>
      <c r="N240" s="771">
        <v>1</v>
      </c>
      <c r="O240" s="401">
        <f t="shared" si="45"/>
        <v>0</v>
      </c>
      <c r="P240" s="772">
        <f>114345000*110%</f>
        <v>125779500.00000001</v>
      </c>
      <c r="Q240" s="882">
        <f t="shared" si="46"/>
        <v>0</v>
      </c>
      <c r="R240" s="772"/>
      <c r="S240" s="772"/>
      <c r="T240" s="773"/>
      <c r="U240" s="773"/>
      <c r="V240" s="773"/>
      <c r="W240" s="773"/>
      <c r="X240" s="545"/>
      <c r="Y240" s="296">
        <f t="shared" si="36"/>
        <v>0</v>
      </c>
      <c r="Z240" s="295"/>
    </row>
    <row r="241" spans="2:26" hidden="1" x14ac:dyDescent="0.35">
      <c r="B241" s="546"/>
      <c r="E241" s="547"/>
      <c r="F241" s="765" t="s">
        <v>480</v>
      </c>
      <c r="G241" s="766" t="s">
        <v>264</v>
      </c>
      <c r="H241" s="767"/>
      <c r="I241" s="768"/>
      <c r="J241" s="766"/>
      <c r="K241" s="400">
        <v>0</v>
      </c>
      <c r="L241" s="880"/>
      <c r="M241" s="881">
        <v>1</v>
      </c>
      <c r="N241" s="771">
        <v>1</v>
      </c>
      <c r="O241" s="401">
        <f t="shared" si="45"/>
        <v>0</v>
      </c>
      <c r="P241" s="772">
        <f>114345000*110%</f>
        <v>125779500.00000001</v>
      </c>
      <c r="Q241" s="882">
        <f t="shared" si="46"/>
        <v>0</v>
      </c>
      <c r="R241" s="772"/>
      <c r="S241" s="772"/>
      <c r="T241" s="773"/>
      <c r="U241" s="773"/>
      <c r="V241" s="773"/>
      <c r="W241" s="773"/>
      <c r="X241" s="545"/>
      <c r="Y241" s="296">
        <f t="shared" si="36"/>
        <v>0</v>
      </c>
      <c r="Z241" s="295"/>
    </row>
    <row r="242" spans="2:26" hidden="1" x14ac:dyDescent="0.35">
      <c r="B242" s="546"/>
      <c r="E242" s="547"/>
      <c r="F242" s="765" t="s">
        <v>481</v>
      </c>
      <c r="G242" s="766" t="s">
        <v>264</v>
      </c>
      <c r="H242" s="767"/>
      <c r="I242" s="768"/>
      <c r="J242" s="766"/>
      <c r="K242" s="400">
        <v>0</v>
      </c>
      <c r="L242" s="880"/>
      <c r="M242" s="881">
        <v>1</v>
      </c>
      <c r="N242" s="771">
        <v>1</v>
      </c>
      <c r="O242" s="401">
        <f t="shared" si="45"/>
        <v>0</v>
      </c>
      <c r="P242" s="299">
        <f>139755000*110%</f>
        <v>153730500</v>
      </c>
      <c r="Q242" s="882">
        <f>P242*$O242</f>
        <v>0</v>
      </c>
      <c r="R242" s="883" t="e">
        <f>VLOOKUP($F242,'[2]Master Harga'!$E$5:$L$348,7,FALSE)</f>
        <v>#N/A</v>
      </c>
      <c r="S242" s="882" t="e">
        <f>R242*$O242</f>
        <v>#N/A</v>
      </c>
      <c r="T242" s="883" t="e">
        <f>VLOOKUP($F242,'[2]Master Harga'!$E$5:$L$348,8,FALSE)</f>
        <v>#N/A</v>
      </c>
      <c r="U242" s="884" t="e">
        <f>$O242*T242</f>
        <v>#N/A</v>
      </c>
      <c r="V242" s="883" t="e">
        <f>W242/O242</f>
        <v>#N/A</v>
      </c>
      <c r="W242" s="885" t="e">
        <f>AVERAGEIF($P$3:$U$3,W$3,$P242:$U242)</f>
        <v>#N/A</v>
      </c>
      <c r="X242" s="545"/>
      <c r="Y242" s="296">
        <f t="shared" si="36"/>
        <v>0</v>
      </c>
      <c r="Z242" s="295"/>
    </row>
    <row r="243" spans="2:26" hidden="1" x14ac:dyDescent="0.35">
      <c r="B243" s="546"/>
      <c r="E243" s="547"/>
      <c r="F243" s="765" t="s">
        <v>482</v>
      </c>
      <c r="G243" s="766" t="s">
        <v>264</v>
      </c>
      <c r="H243" s="767"/>
      <c r="I243" s="768"/>
      <c r="J243" s="766"/>
      <c r="K243" s="400">
        <v>0</v>
      </c>
      <c r="L243" s="880"/>
      <c r="M243" s="881">
        <v>1</v>
      </c>
      <c r="N243" s="771">
        <v>1</v>
      </c>
      <c r="O243" s="401">
        <f t="shared" si="45"/>
        <v>0</v>
      </c>
      <c r="P243" s="772">
        <f>165165000*110%</f>
        <v>181681500</v>
      </c>
      <c r="Q243" s="882">
        <f t="shared" ref="Q243:Q249" si="47">P243*$O243</f>
        <v>0</v>
      </c>
      <c r="R243" s="772"/>
      <c r="S243" s="772"/>
      <c r="T243" s="773"/>
      <c r="U243" s="773"/>
      <c r="V243" s="773"/>
      <c r="W243" s="773"/>
      <c r="X243" s="545"/>
      <c r="Y243" s="296">
        <f t="shared" si="36"/>
        <v>0</v>
      </c>
      <c r="Z243" s="295"/>
    </row>
    <row r="244" spans="2:26" hidden="1" x14ac:dyDescent="0.35">
      <c r="B244" s="546"/>
      <c r="E244" s="547"/>
      <c r="F244" s="765" t="s">
        <v>483</v>
      </c>
      <c r="G244" s="766" t="s">
        <v>264</v>
      </c>
      <c r="H244" s="767"/>
      <c r="I244" s="768"/>
      <c r="J244" s="766"/>
      <c r="K244" s="400">
        <v>0</v>
      </c>
      <c r="L244" s="880"/>
      <c r="M244" s="881">
        <v>1</v>
      </c>
      <c r="N244" s="771">
        <v>1</v>
      </c>
      <c r="O244" s="401">
        <f t="shared" si="45"/>
        <v>0</v>
      </c>
      <c r="P244" s="772">
        <f>51809625*110%</f>
        <v>56990587.500000007</v>
      </c>
      <c r="Q244" s="882">
        <f t="shared" si="47"/>
        <v>0</v>
      </c>
      <c r="R244" s="772"/>
      <c r="S244" s="772"/>
      <c r="T244" s="773"/>
      <c r="U244" s="773"/>
      <c r="V244" s="773"/>
      <c r="W244" s="773"/>
      <c r="X244" s="545"/>
      <c r="Y244" s="296">
        <f t="shared" si="36"/>
        <v>0</v>
      </c>
      <c r="Z244" s="295"/>
    </row>
    <row r="245" spans="2:26" hidden="1" x14ac:dyDescent="0.35">
      <c r="B245" s="546"/>
      <c r="E245" s="547"/>
      <c r="F245" s="765" t="s">
        <v>484</v>
      </c>
      <c r="G245" s="766" t="s">
        <v>264</v>
      </c>
      <c r="H245" s="767"/>
      <c r="I245" s="768"/>
      <c r="J245" s="766"/>
      <c r="K245" s="400">
        <v>0</v>
      </c>
      <c r="L245" s="880"/>
      <c r="M245" s="886">
        <v>1</v>
      </c>
      <c r="N245" s="771">
        <v>1</v>
      </c>
      <c r="O245" s="401">
        <f t="shared" si="45"/>
        <v>0</v>
      </c>
      <c r="P245" s="299">
        <f>82895400*110%</f>
        <v>91184940</v>
      </c>
      <c r="Q245" s="882">
        <f t="shared" si="47"/>
        <v>0</v>
      </c>
      <c r="R245" s="883">
        <f>VLOOKUP($F245,'[2]Master Harga'!$E$5:$L$348,7,FALSE)</f>
        <v>87040170</v>
      </c>
      <c r="S245" s="882">
        <f>R245*$O245</f>
        <v>0</v>
      </c>
      <c r="T245" s="883">
        <f>VLOOKUP($F245,'[2]Master Harga'!$E$5:$L$348,8,FALSE)</f>
        <v>91392178.5</v>
      </c>
      <c r="U245" s="884">
        <f>$O245*T245</f>
        <v>0</v>
      </c>
      <c r="V245" s="883" t="e">
        <f>W245/O245</f>
        <v>#DIV/0!</v>
      </c>
      <c r="W245" s="885">
        <f>AVERAGEIF($P$3:$U$3,W$3,$P245:$U245)</f>
        <v>0</v>
      </c>
      <c r="X245" s="545"/>
      <c r="Y245" s="296">
        <f t="shared" si="36"/>
        <v>0</v>
      </c>
      <c r="Z245" s="295"/>
    </row>
    <row r="246" spans="2:26" hidden="1" x14ac:dyDescent="0.35">
      <c r="B246" s="546"/>
      <c r="E246" s="547"/>
      <c r="F246" s="765" t="s">
        <v>485</v>
      </c>
      <c r="G246" s="766" t="s">
        <v>264</v>
      </c>
      <c r="H246" s="767"/>
      <c r="I246" s="768"/>
      <c r="J246" s="766"/>
      <c r="K246" s="400">
        <v>0</v>
      </c>
      <c r="L246" s="880"/>
      <c r="M246" s="886">
        <v>1</v>
      </c>
      <c r="N246" s="771">
        <v>1</v>
      </c>
      <c r="O246" s="401">
        <f t="shared" si="45"/>
        <v>0</v>
      </c>
      <c r="P246" s="750"/>
      <c r="Q246" s="882"/>
      <c r="R246" s="882"/>
      <c r="S246" s="882"/>
      <c r="T246" s="882"/>
      <c r="U246" s="884"/>
      <c r="V246" s="882"/>
      <c r="W246" s="885"/>
      <c r="X246" s="545"/>
      <c r="Y246" s="296">
        <f t="shared" si="36"/>
        <v>0</v>
      </c>
      <c r="Z246" s="295"/>
    </row>
    <row r="247" spans="2:26" hidden="1" x14ac:dyDescent="0.35">
      <c r="B247" s="546"/>
      <c r="E247" s="547"/>
      <c r="F247" s="765" t="s">
        <v>486</v>
      </c>
      <c r="G247" s="766"/>
      <c r="H247" s="767"/>
      <c r="I247" s="768"/>
      <c r="J247" s="766"/>
      <c r="K247" s="400">
        <v>0</v>
      </c>
      <c r="L247" s="880"/>
      <c r="M247" s="886">
        <v>1</v>
      </c>
      <c r="N247" s="771">
        <v>1</v>
      </c>
      <c r="O247" s="401">
        <f t="shared" si="45"/>
        <v>0</v>
      </c>
      <c r="P247" s="750">
        <f>51809625*110%</f>
        <v>56990587.500000007</v>
      </c>
      <c r="Q247" s="882">
        <f t="shared" si="47"/>
        <v>0</v>
      </c>
      <c r="R247" s="882"/>
      <c r="S247" s="882"/>
      <c r="T247" s="882"/>
      <c r="U247" s="884"/>
      <c r="V247" s="882"/>
      <c r="W247" s="885"/>
      <c r="X247" s="545"/>
      <c r="Y247" s="296">
        <f t="shared" si="36"/>
        <v>0</v>
      </c>
      <c r="Z247" s="295"/>
    </row>
    <row r="248" spans="2:26" hidden="1" x14ac:dyDescent="0.35">
      <c r="B248" s="546"/>
      <c r="E248" s="547"/>
      <c r="F248" s="765" t="s">
        <v>215</v>
      </c>
      <c r="G248" s="766" t="s">
        <v>203</v>
      </c>
      <c r="H248" s="767"/>
      <c r="I248" s="768"/>
      <c r="J248" s="766"/>
      <c r="K248" s="400">
        <v>0</v>
      </c>
      <c r="L248" s="880"/>
      <c r="M248" s="886">
        <v>6</v>
      </c>
      <c r="N248" s="771">
        <v>1</v>
      </c>
      <c r="O248" s="777">
        <f t="shared" si="45"/>
        <v>0</v>
      </c>
      <c r="P248" s="299">
        <f>VLOOKUP($F248,'[1]Master Harga'!$E$5:$L$351,7,FALSE)</f>
        <v>761671.70213055995</v>
      </c>
      <c r="Q248" s="882">
        <f t="shared" si="47"/>
        <v>0</v>
      </c>
      <c r="R248" s="882"/>
      <c r="S248" s="882"/>
      <c r="T248" s="882"/>
      <c r="U248" s="884"/>
      <c r="V248" s="882"/>
      <c r="W248" s="885"/>
      <c r="X248" s="545"/>
      <c r="Y248" s="296">
        <f t="shared" si="36"/>
        <v>0</v>
      </c>
      <c r="Z248" s="295"/>
    </row>
    <row r="249" spans="2:26" hidden="1" x14ac:dyDescent="0.35">
      <c r="B249" s="546"/>
      <c r="E249" s="547"/>
      <c r="F249" s="765" t="s">
        <v>265</v>
      </c>
      <c r="G249" s="766" t="s">
        <v>203</v>
      </c>
      <c r="H249" s="767"/>
      <c r="I249" s="768"/>
      <c r="J249" s="766"/>
      <c r="K249" s="400">
        <v>0</v>
      </c>
      <c r="L249" s="880"/>
      <c r="M249" s="886">
        <v>7</v>
      </c>
      <c r="N249" s="771">
        <v>1</v>
      </c>
      <c r="O249" s="777">
        <f t="shared" si="45"/>
        <v>0</v>
      </c>
      <c r="P249" s="299">
        <f>VLOOKUP($F249,'[1]Master Harga'!$E$5:$L$351,7,FALSE)</f>
        <v>715015.96154999989</v>
      </c>
      <c r="Q249" s="882">
        <f t="shared" si="47"/>
        <v>0</v>
      </c>
      <c r="R249" s="882"/>
      <c r="S249" s="882"/>
      <c r="T249" s="882"/>
      <c r="U249" s="884"/>
      <c r="V249" s="882"/>
      <c r="W249" s="885"/>
      <c r="X249" s="545"/>
      <c r="Y249" s="296">
        <f t="shared" si="36"/>
        <v>0</v>
      </c>
      <c r="Z249" s="295"/>
    </row>
    <row r="250" spans="2:26" x14ac:dyDescent="0.35">
      <c r="B250" s="546"/>
      <c r="D250" s="540" t="s">
        <v>487</v>
      </c>
      <c r="E250" s="541"/>
      <c r="F250" s="295" t="s">
        <v>189</v>
      </c>
      <c r="G250" s="364" t="s">
        <v>190</v>
      </c>
      <c r="H250" s="365"/>
      <c r="I250" s="366"/>
      <c r="J250" s="364"/>
      <c r="K250" s="308"/>
      <c r="L250" s="825"/>
      <c r="M250" s="542"/>
      <c r="N250" s="296">
        <v>1</v>
      </c>
      <c r="O250" s="365"/>
      <c r="P250" s="543"/>
      <c r="Q250" s="543"/>
      <c r="R250" s="543"/>
      <c r="S250" s="543"/>
      <c r="T250" s="544"/>
      <c r="U250" s="544"/>
      <c r="V250" s="544"/>
      <c r="W250" s="544"/>
      <c r="X250" s="545"/>
      <c r="Y250" s="296">
        <f t="shared" si="36"/>
        <v>0</v>
      </c>
      <c r="Z250" s="295"/>
    </row>
    <row r="251" spans="2:26" hidden="1" x14ac:dyDescent="0.35">
      <c r="B251" s="546"/>
      <c r="E251" s="547"/>
      <c r="F251" s="295" t="s">
        <v>488</v>
      </c>
      <c r="G251" s="364" t="s">
        <v>264</v>
      </c>
      <c r="H251" s="365"/>
      <c r="I251" s="366"/>
      <c r="J251" s="364"/>
      <c r="K251" s="308"/>
      <c r="L251" s="825"/>
      <c r="M251" s="542"/>
      <c r="N251" s="296">
        <v>1</v>
      </c>
      <c r="O251" s="365"/>
      <c r="P251" s="543"/>
      <c r="Q251" s="543"/>
      <c r="R251" s="543"/>
      <c r="S251" s="543"/>
      <c r="T251" s="544"/>
      <c r="U251" s="544"/>
      <c r="V251" s="544"/>
      <c r="W251" s="544"/>
      <c r="X251" s="545"/>
      <c r="Y251" s="296">
        <f t="shared" si="36"/>
        <v>0</v>
      </c>
      <c r="Z251" s="295"/>
    </row>
    <row r="252" spans="2:26" hidden="1" x14ac:dyDescent="0.35">
      <c r="B252" s="546"/>
      <c r="D252" s="550"/>
      <c r="E252" s="551"/>
      <c r="F252" s="295" t="s">
        <v>215</v>
      </c>
      <c r="G252" s="364" t="s">
        <v>203</v>
      </c>
      <c r="H252" s="365"/>
      <c r="I252" s="366"/>
      <c r="J252" s="364"/>
      <c r="K252" s="308"/>
      <c r="L252" s="825"/>
      <c r="M252" s="542">
        <v>10</v>
      </c>
      <c r="N252" s="296">
        <v>1</v>
      </c>
      <c r="O252" s="365"/>
      <c r="P252" s="543"/>
      <c r="Q252" s="543"/>
      <c r="R252" s="543"/>
      <c r="S252" s="543"/>
      <c r="T252" s="544"/>
      <c r="U252" s="544"/>
      <c r="V252" s="544"/>
      <c r="W252" s="544"/>
      <c r="X252" s="545"/>
      <c r="Y252" s="296">
        <f t="shared" ref="Y252:Y315" si="48">Q252/$AC$2</f>
        <v>0</v>
      </c>
      <c r="Z252" s="295"/>
    </row>
    <row r="253" spans="2:26" x14ac:dyDescent="0.35">
      <c r="B253" s="700"/>
      <c r="C253" s="357"/>
      <c r="D253" s="357" t="s">
        <v>125</v>
      </c>
      <c r="E253" s="701"/>
      <c r="F253" s="436" t="s">
        <v>189</v>
      </c>
      <c r="G253" s="579" t="s">
        <v>190</v>
      </c>
      <c r="H253" s="545"/>
      <c r="I253" s="580"/>
      <c r="J253" s="579" t="s">
        <v>264</v>
      </c>
      <c r="K253" s="400">
        <v>0</v>
      </c>
      <c r="L253" s="849"/>
      <c r="M253" s="552">
        <v>2</v>
      </c>
      <c r="N253" s="437">
        <v>1</v>
      </c>
      <c r="O253" s="401">
        <f t="shared" ref="O253:O259" si="49">K253*L253*M253*N253</f>
        <v>0</v>
      </c>
      <c r="P253" s="299">
        <f>VLOOKUP($F253,'[1]Master Harga'!$E$5:$L$351,7,FALSE)</f>
        <v>158800.57379999998</v>
      </c>
      <c r="Q253" s="543">
        <f t="shared" ref="Q253:Q261" si="50">P253*$O253</f>
        <v>0</v>
      </c>
      <c r="R253" s="683"/>
      <c r="S253" s="683"/>
      <c r="T253" s="684"/>
      <c r="U253" s="684"/>
      <c r="V253" s="684"/>
      <c r="W253" s="684"/>
      <c r="X253" s="545"/>
      <c r="Y253" s="296">
        <f t="shared" si="48"/>
        <v>0</v>
      </c>
      <c r="Z253" s="295"/>
    </row>
    <row r="254" spans="2:26" hidden="1" x14ac:dyDescent="0.35">
      <c r="B254" s="700"/>
      <c r="C254" s="357"/>
      <c r="D254" s="357"/>
      <c r="E254" s="701"/>
      <c r="F254" s="436" t="s">
        <v>125</v>
      </c>
      <c r="G254" s="579" t="s">
        <v>264</v>
      </c>
      <c r="H254" s="545"/>
      <c r="I254" s="580"/>
      <c r="J254" s="579" t="s">
        <v>264</v>
      </c>
      <c r="K254" s="400">
        <v>0</v>
      </c>
      <c r="L254" s="849"/>
      <c r="M254" s="552">
        <v>6</v>
      </c>
      <c r="N254" s="437">
        <v>1</v>
      </c>
      <c r="O254" s="401">
        <f t="shared" si="49"/>
        <v>0</v>
      </c>
      <c r="P254" s="299">
        <f>VLOOKUP($F254,'[1]Master Harga'!$E$5:$L$351,7,FALSE)</f>
        <v>441000</v>
      </c>
      <c r="Q254" s="543">
        <f t="shared" si="50"/>
        <v>0</v>
      </c>
      <c r="R254" s="683"/>
      <c r="S254" s="683"/>
      <c r="T254" s="684"/>
      <c r="U254" s="684"/>
      <c r="V254" s="684"/>
      <c r="W254" s="684"/>
      <c r="X254" s="545"/>
      <c r="Y254" s="296">
        <f t="shared" si="48"/>
        <v>0</v>
      </c>
      <c r="Z254" s="295"/>
    </row>
    <row r="255" spans="2:26" hidden="1" x14ac:dyDescent="0.35">
      <c r="B255" s="700"/>
      <c r="C255" s="357"/>
      <c r="D255" s="681"/>
      <c r="E255" s="682"/>
      <c r="F255" s="436" t="s">
        <v>265</v>
      </c>
      <c r="G255" s="579" t="s">
        <v>203</v>
      </c>
      <c r="H255" s="545"/>
      <c r="I255" s="580"/>
      <c r="J255" s="579" t="s">
        <v>264</v>
      </c>
      <c r="K255" s="400">
        <v>0</v>
      </c>
      <c r="L255" s="849"/>
      <c r="M255" s="552">
        <v>5</v>
      </c>
      <c r="N255" s="437">
        <v>1</v>
      </c>
      <c r="O255" s="401">
        <f t="shared" si="49"/>
        <v>0</v>
      </c>
      <c r="P255" s="299">
        <f>VLOOKUP($F255,'[1]Master Harga'!$E$5:$L$351,7,FALSE)</f>
        <v>715015.96154999989</v>
      </c>
      <c r="Q255" s="543">
        <f t="shared" si="50"/>
        <v>0</v>
      </c>
      <c r="R255" s="683"/>
      <c r="S255" s="683"/>
      <c r="T255" s="684"/>
      <c r="U255" s="684"/>
      <c r="V255" s="684"/>
      <c r="W255" s="684"/>
      <c r="X255" s="545"/>
      <c r="Y255" s="296">
        <f t="shared" si="48"/>
        <v>0</v>
      </c>
      <c r="Z255" s="295"/>
    </row>
    <row r="256" spans="2:26" x14ac:dyDescent="0.35">
      <c r="B256" s="700"/>
      <c r="C256" s="357"/>
      <c r="D256" s="763" t="s">
        <v>128</v>
      </c>
      <c r="E256" s="764"/>
      <c r="F256" s="436" t="s">
        <v>189</v>
      </c>
      <c r="G256" s="579" t="s">
        <v>190</v>
      </c>
      <c r="H256" s="545"/>
      <c r="I256" s="580"/>
      <c r="J256" s="579" t="s">
        <v>264</v>
      </c>
      <c r="K256" s="400">
        <v>0</v>
      </c>
      <c r="L256" s="849"/>
      <c r="M256" s="552">
        <v>2</v>
      </c>
      <c r="N256" s="437">
        <v>1</v>
      </c>
      <c r="O256" s="401">
        <f t="shared" si="49"/>
        <v>0</v>
      </c>
      <c r="P256" s="299">
        <f>VLOOKUP($F256,'[1]Master Harga'!$E$5:$L$351,7,FALSE)</f>
        <v>158800.57379999998</v>
      </c>
      <c r="Q256" s="543">
        <f t="shared" si="50"/>
        <v>0</v>
      </c>
      <c r="R256" s="683"/>
      <c r="S256" s="683"/>
      <c r="T256" s="684"/>
      <c r="U256" s="684"/>
      <c r="V256" s="684"/>
      <c r="W256" s="684"/>
      <c r="X256" s="545"/>
      <c r="Y256" s="296">
        <f t="shared" si="48"/>
        <v>0</v>
      </c>
      <c r="Z256" s="295"/>
    </row>
    <row r="257" spans="2:26" hidden="1" x14ac:dyDescent="0.35">
      <c r="B257" s="700"/>
      <c r="C257" s="357"/>
      <c r="D257" s="357"/>
      <c r="E257" s="701"/>
      <c r="F257" s="436" t="s">
        <v>489</v>
      </c>
      <c r="G257" s="579" t="s">
        <v>264</v>
      </c>
      <c r="H257" s="545"/>
      <c r="I257" s="580"/>
      <c r="J257" s="579" t="s">
        <v>264</v>
      </c>
      <c r="K257" s="400">
        <v>0</v>
      </c>
      <c r="L257" s="849"/>
      <c r="M257" s="552">
        <v>6</v>
      </c>
      <c r="N257" s="437">
        <v>1</v>
      </c>
      <c r="O257" s="401">
        <f t="shared" si="49"/>
        <v>0</v>
      </c>
      <c r="P257" s="299">
        <f>VLOOKUP($F257,'[1]Master Harga'!$E$5:$L$351,7,FALSE)</f>
        <v>606375</v>
      </c>
      <c r="Q257" s="543">
        <f t="shared" si="50"/>
        <v>0</v>
      </c>
      <c r="R257" s="683"/>
      <c r="S257" s="683"/>
      <c r="T257" s="684"/>
      <c r="U257" s="684"/>
      <c r="V257" s="684"/>
      <c r="W257" s="684"/>
      <c r="X257" s="545"/>
      <c r="Y257" s="296">
        <f t="shared" si="48"/>
        <v>0</v>
      </c>
      <c r="Z257" s="295"/>
    </row>
    <row r="258" spans="2:26" hidden="1" x14ac:dyDescent="0.35">
      <c r="B258" s="700"/>
      <c r="C258" s="357"/>
      <c r="D258" s="681"/>
      <c r="E258" s="682"/>
      <c r="F258" s="436" t="s">
        <v>265</v>
      </c>
      <c r="G258" s="579" t="s">
        <v>203</v>
      </c>
      <c r="H258" s="545"/>
      <c r="I258" s="580"/>
      <c r="J258" s="579" t="s">
        <v>264</v>
      </c>
      <c r="K258" s="400">
        <v>0</v>
      </c>
      <c r="L258" s="849"/>
      <c r="M258" s="552">
        <v>5</v>
      </c>
      <c r="N258" s="437">
        <v>1</v>
      </c>
      <c r="O258" s="401">
        <f t="shared" si="49"/>
        <v>0</v>
      </c>
      <c r="P258" s="299">
        <f>VLOOKUP($F258,'[1]Master Harga'!$E$5:$L$351,7,FALSE)</f>
        <v>715015.96154999989</v>
      </c>
      <c r="Q258" s="543">
        <f t="shared" si="50"/>
        <v>0</v>
      </c>
      <c r="R258" s="683"/>
      <c r="S258" s="683"/>
      <c r="T258" s="684"/>
      <c r="U258" s="684"/>
      <c r="V258" s="684"/>
      <c r="W258" s="684"/>
      <c r="X258" s="545"/>
      <c r="Y258" s="296">
        <f t="shared" si="48"/>
        <v>0</v>
      </c>
      <c r="Z258" s="295"/>
    </row>
    <row r="259" spans="2:26" x14ac:dyDescent="0.35">
      <c r="B259" s="700"/>
      <c r="C259" s="357"/>
      <c r="D259" s="763" t="s">
        <v>131</v>
      </c>
      <c r="E259" s="764"/>
      <c r="F259" s="436" t="s">
        <v>189</v>
      </c>
      <c r="G259" s="579" t="s">
        <v>190</v>
      </c>
      <c r="H259" s="545"/>
      <c r="I259" s="580"/>
      <c r="J259" s="579" t="s">
        <v>264</v>
      </c>
      <c r="K259" s="400">
        <v>0</v>
      </c>
      <c r="L259" s="849"/>
      <c r="M259" s="552">
        <v>2</v>
      </c>
      <c r="N259" s="437">
        <v>1</v>
      </c>
      <c r="O259" s="401">
        <f t="shared" si="49"/>
        <v>0</v>
      </c>
      <c r="P259" s="299">
        <f>VLOOKUP($F259,'[1]Master Harga'!$E$5:$L$351,7,FALSE)</f>
        <v>158800.57379999998</v>
      </c>
      <c r="Q259" s="543">
        <f t="shared" si="50"/>
        <v>0</v>
      </c>
      <c r="R259" s="683"/>
      <c r="S259" s="683"/>
      <c r="T259" s="684"/>
      <c r="U259" s="684"/>
      <c r="V259" s="684"/>
      <c r="W259" s="684"/>
      <c r="X259" s="545"/>
      <c r="Y259" s="296">
        <f t="shared" si="48"/>
        <v>0</v>
      </c>
      <c r="Z259" s="295"/>
    </row>
    <row r="260" spans="2:26" hidden="1" x14ac:dyDescent="0.35">
      <c r="B260" s="700"/>
      <c r="C260" s="357"/>
      <c r="D260" s="357"/>
      <c r="E260" s="701"/>
      <c r="F260" s="436" t="s">
        <v>490</v>
      </c>
      <c r="G260" s="579" t="s">
        <v>264</v>
      </c>
      <c r="H260" s="545"/>
      <c r="I260" s="580"/>
      <c r="J260" s="579" t="s">
        <v>264</v>
      </c>
      <c r="K260" s="400">
        <v>0</v>
      </c>
      <c r="L260" s="849"/>
      <c r="M260" s="552">
        <v>6</v>
      </c>
      <c r="N260" s="437">
        <v>1</v>
      </c>
      <c r="O260" s="401">
        <f>K260*L260*M260*N260</f>
        <v>0</v>
      </c>
      <c r="P260" s="299">
        <f>VLOOKUP($F260,'[1]Master Harga'!$E$5:$L$351,7,FALSE)</f>
        <v>716625</v>
      </c>
      <c r="Q260" s="543">
        <f t="shared" si="50"/>
        <v>0</v>
      </c>
      <c r="R260" s="296">
        <f>VLOOKUP($F260,'[2]Master Harga'!$E$5:$L$348,7,FALSE)</f>
        <v>716625</v>
      </c>
      <c r="S260" s="543">
        <f>R260*$O260</f>
        <v>0</v>
      </c>
      <c r="T260" s="296">
        <f>VLOOKUP($F260,'[2]Master Harga'!$E$5:$L$348,8,FALSE)</f>
        <v>752456.25</v>
      </c>
      <c r="U260" s="544">
        <f>$O260*T260</f>
        <v>0</v>
      </c>
      <c r="V260" s="296" t="e">
        <f>W260/O260</f>
        <v>#DIV/0!</v>
      </c>
      <c r="W260" s="307">
        <f>AVERAGEIF($P$3:$U$3,W$3,$P260:$U260)</f>
        <v>0</v>
      </c>
      <c r="X260" s="545"/>
      <c r="Y260" s="296">
        <f t="shared" si="48"/>
        <v>0</v>
      </c>
      <c r="Z260" s="295"/>
    </row>
    <row r="261" spans="2:26" hidden="1" x14ac:dyDescent="0.35">
      <c r="B261" s="680"/>
      <c r="C261" s="681"/>
      <c r="D261" s="681"/>
      <c r="E261" s="682"/>
      <c r="F261" s="436" t="s">
        <v>265</v>
      </c>
      <c r="G261" s="579" t="s">
        <v>203</v>
      </c>
      <c r="H261" s="545"/>
      <c r="I261" s="580"/>
      <c r="J261" s="579" t="s">
        <v>264</v>
      </c>
      <c r="K261" s="400">
        <v>0</v>
      </c>
      <c r="L261" s="849"/>
      <c r="M261" s="552">
        <v>5</v>
      </c>
      <c r="N261" s="437">
        <v>1</v>
      </c>
      <c r="O261" s="401">
        <f>K261*L261*M261*N261</f>
        <v>0</v>
      </c>
      <c r="P261" s="299">
        <f>VLOOKUP($F261,'[1]Master Harga'!$E$5:$L$351,7,FALSE)</f>
        <v>715015.96154999989</v>
      </c>
      <c r="Q261" s="543">
        <f t="shared" si="50"/>
        <v>0</v>
      </c>
      <c r="R261" s="296">
        <f>VLOOKUP($F261,'[2]Master Harga'!$E$5:$L$348,7,FALSE)</f>
        <v>582130.09920000006</v>
      </c>
      <c r="S261" s="543">
        <f>R261*$O261</f>
        <v>0</v>
      </c>
      <c r="T261" s="296">
        <f>VLOOKUP($F261,'[2]Master Harga'!$E$5:$L$348,8,FALSE)</f>
        <v>605415.30316800007</v>
      </c>
      <c r="U261" s="544">
        <f>$O261*T261</f>
        <v>0</v>
      </c>
      <c r="V261" s="296" t="e">
        <f>W261/O261</f>
        <v>#DIV/0!</v>
      </c>
      <c r="W261" s="307">
        <f>AVERAGEIF($P$3:$U$3,W$3,$P261:$U261)</f>
        <v>0</v>
      </c>
      <c r="X261" s="545"/>
      <c r="Y261" s="296">
        <f t="shared" si="48"/>
        <v>0</v>
      </c>
      <c r="Z261" s="295"/>
    </row>
    <row r="262" spans="2:26" ht="29.25" customHeight="1" x14ac:dyDescent="0.35">
      <c r="B262" s="685" t="s">
        <v>491</v>
      </c>
      <c r="C262" s="864"/>
      <c r="D262" s="864"/>
      <c r="E262" s="865"/>
      <c r="F262" s="688"/>
      <c r="G262" s="689"/>
      <c r="H262" s="690"/>
      <c r="I262" s="691"/>
      <c r="J262" s="689"/>
      <c r="K262" s="692"/>
      <c r="L262" s="866"/>
      <c r="M262" s="694"/>
      <c r="N262" s="695"/>
      <c r="O262" s="690"/>
      <c r="P262" s="696"/>
      <c r="Q262" s="697">
        <f>SUM(Q237:Q261)</f>
        <v>0</v>
      </c>
      <c r="R262" s="696"/>
      <c r="S262" s="697">
        <f>SUM(S251:S261)</f>
        <v>0</v>
      </c>
      <c r="T262" s="684"/>
      <c r="U262" s="684"/>
      <c r="V262" s="684"/>
      <c r="W262" s="684"/>
      <c r="X262" s="690"/>
      <c r="Y262" s="727">
        <f t="shared" si="48"/>
        <v>0</v>
      </c>
      <c r="Z262" s="879">
        <f>(Y262/$Y$421)*100</f>
        <v>0</v>
      </c>
    </row>
    <row r="263" spans="2:26" x14ac:dyDescent="0.35">
      <c r="B263" s="545"/>
      <c r="C263" s="580" t="s">
        <v>492</v>
      </c>
      <c r="D263" s="580"/>
      <c r="E263" s="723"/>
      <c r="F263" s="436"/>
      <c r="G263" s="579"/>
      <c r="H263" s="545"/>
      <c r="I263" s="580"/>
      <c r="J263" s="579"/>
      <c r="K263" s="439"/>
      <c r="L263" s="887"/>
      <c r="M263" s="552"/>
      <c r="N263" s="437"/>
      <c r="O263" s="545"/>
      <c r="P263" s="683"/>
      <c r="Q263" s="683"/>
      <c r="R263" s="683"/>
      <c r="S263" s="683"/>
      <c r="T263" s="684"/>
      <c r="U263" s="684"/>
      <c r="V263" s="684"/>
      <c r="W263" s="684"/>
      <c r="X263" s="545"/>
      <c r="Y263" s="296">
        <f t="shared" si="48"/>
        <v>0</v>
      </c>
      <c r="Z263" s="295"/>
    </row>
    <row r="264" spans="2:26" x14ac:dyDescent="0.35">
      <c r="B264" s="546"/>
      <c r="D264" t="s">
        <v>493</v>
      </c>
      <c r="E264" s="547"/>
      <c r="F264" s="295" t="s">
        <v>189</v>
      </c>
      <c r="G264" s="364" t="s">
        <v>190</v>
      </c>
      <c r="H264" s="365"/>
      <c r="I264" s="366"/>
      <c r="J264" s="364"/>
      <c r="K264" s="308"/>
      <c r="L264" s="825"/>
      <c r="M264" s="542"/>
      <c r="N264" s="296">
        <v>1</v>
      </c>
      <c r="O264" s="365"/>
      <c r="P264" s="543"/>
      <c r="Q264" s="543"/>
      <c r="R264" s="543"/>
      <c r="S264" s="543"/>
      <c r="T264" s="544"/>
      <c r="U264" s="544"/>
      <c r="V264" s="544"/>
      <c r="W264" s="544"/>
      <c r="X264" s="545"/>
      <c r="Y264" s="296">
        <f t="shared" si="48"/>
        <v>0</v>
      </c>
      <c r="Z264" s="295"/>
    </row>
    <row r="265" spans="2:26" hidden="1" x14ac:dyDescent="0.35">
      <c r="B265" s="546"/>
      <c r="E265" s="547"/>
      <c r="F265" s="295" t="s">
        <v>215</v>
      </c>
      <c r="G265" s="364" t="s">
        <v>203</v>
      </c>
      <c r="H265" s="365"/>
      <c r="I265" s="366"/>
      <c r="J265" s="364"/>
      <c r="K265" s="400">
        <v>0.5</v>
      </c>
      <c r="L265" s="825"/>
      <c r="M265" s="542">
        <f>1/100</f>
        <v>0.01</v>
      </c>
      <c r="N265" s="296">
        <v>1</v>
      </c>
      <c r="O265" s="365"/>
      <c r="P265" s="543"/>
      <c r="Q265" s="543"/>
      <c r="R265" s="543"/>
      <c r="S265" s="543"/>
      <c r="T265" s="544"/>
      <c r="U265" s="544"/>
      <c r="V265" s="544"/>
      <c r="W265" s="544"/>
      <c r="X265" s="545"/>
      <c r="Y265" s="296">
        <f t="shared" si="48"/>
        <v>0</v>
      </c>
      <c r="Z265" s="295"/>
    </row>
    <row r="266" spans="2:26" hidden="1" x14ac:dyDescent="0.35">
      <c r="B266" s="546"/>
      <c r="D266" s="550"/>
      <c r="E266" s="551"/>
      <c r="F266" s="295"/>
      <c r="G266" s="364"/>
      <c r="H266" s="365"/>
      <c r="I266" s="366"/>
      <c r="J266" s="364"/>
      <c r="K266" s="308"/>
      <c r="L266" s="825"/>
      <c r="M266" s="542"/>
      <c r="N266" s="296">
        <v>1</v>
      </c>
      <c r="O266" s="365"/>
      <c r="P266" s="543"/>
      <c r="Q266" s="543"/>
      <c r="R266" s="543"/>
      <c r="S266" s="543"/>
      <c r="T266" s="544"/>
      <c r="U266" s="544"/>
      <c r="V266" s="544"/>
      <c r="W266" s="544"/>
      <c r="X266" s="545"/>
      <c r="Y266" s="296">
        <f t="shared" si="48"/>
        <v>0</v>
      </c>
      <c r="Z266" s="295"/>
    </row>
    <row r="267" spans="2:26" x14ac:dyDescent="0.35">
      <c r="B267" s="546"/>
      <c r="D267" t="s">
        <v>494</v>
      </c>
      <c r="E267" s="547"/>
      <c r="F267" s="295" t="s">
        <v>189</v>
      </c>
      <c r="G267" s="364" t="s">
        <v>190</v>
      </c>
      <c r="H267" s="365"/>
      <c r="I267" s="366"/>
      <c r="J267" s="364"/>
      <c r="K267" s="308"/>
      <c r="L267" s="825"/>
      <c r="M267" s="542"/>
      <c r="N267" s="296">
        <v>1</v>
      </c>
      <c r="O267" s="365"/>
      <c r="P267" s="543"/>
      <c r="Q267" s="543"/>
      <c r="R267" s="543"/>
      <c r="S267" s="543"/>
      <c r="T267" s="544"/>
      <c r="U267" s="544"/>
      <c r="V267" s="544"/>
      <c r="W267" s="544"/>
      <c r="X267" s="545"/>
      <c r="Y267" s="296">
        <f t="shared" si="48"/>
        <v>0</v>
      </c>
      <c r="Z267" s="295"/>
    </row>
    <row r="268" spans="2:26" x14ac:dyDescent="0.35">
      <c r="B268" s="546"/>
      <c r="E268" s="547"/>
      <c r="F268" s="295" t="s">
        <v>215</v>
      </c>
      <c r="G268" s="364" t="s">
        <v>203</v>
      </c>
      <c r="H268" s="365"/>
      <c r="I268" s="366"/>
      <c r="J268" s="364"/>
      <c r="K268" s="400">
        <v>0.5</v>
      </c>
      <c r="L268" s="825">
        <f>'SI TB LC'!L129</f>
        <v>19388.866244305238</v>
      </c>
      <c r="M268" s="542">
        <f>1/30</f>
        <v>3.3333333333333333E-2</v>
      </c>
      <c r="N268" s="296">
        <v>1</v>
      </c>
      <c r="O268" s="401">
        <f>K268*L268*M268*N268</f>
        <v>323.1477707384206</v>
      </c>
      <c r="P268" s="299">
        <f>VLOOKUP($F268,'[1]Master Harga'!$E$5:$L$351,7,FALSE)</f>
        <v>761671.70213055995</v>
      </c>
      <c r="Q268" s="543">
        <f t="shared" ref="Q268" si="51">P268*$O268</f>
        <v>246132512.57802877</v>
      </c>
      <c r="R268" s="543"/>
      <c r="S268" s="543"/>
      <c r="T268" s="544"/>
      <c r="U268" s="544"/>
      <c r="V268" s="544"/>
      <c r="W268" s="544"/>
      <c r="X268" s="545"/>
      <c r="Y268" s="296">
        <f t="shared" si="48"/>
        <v>614103.07529448299</v>
      </c>
      <c r="Z268" s="295"/>
    </row>
    <row r="269" spans="2:26" hidden="1" x14ac:dyDescent="0.35">
      <c r="B269" s="546"/>
      <c r="D269" s="550"/>
      <c r="E269" s="551"/>
      <c r="F269" s="295"/>
      <c r="G269" s="364"/>
      <c r="H269" s="365"/>
      <c r="I269" s="366"/>
      <c r="J269" s="364"/>
      <c r="K269" s="308"/>
      <c r="L269" s="825"/>
      <c r="M269" s="542"/>
      <c r="N269" s="296">
        <v>1</v>
      </c>
      <c r="O269" s="365"/>
      <c r="P269" s="543"/>
      <c r="Q269" s="543"/>
      <c r="R269" s="543"/>
      <c r="S269" s="543"/>
      <c r="T269" s="544"/>
      <c r="U269" s="544"/>
      <c r="V269" s="544"/>
      <c r="W269" s="544"/>
      <c r="X269" s="545"/>
      <c r="Y269" s="296">
        <f t="shared" si="48"/>
        <v>0</v>
      </c>
      <c r="Z269" s="295"/>
    </row>
    <row r="270" spans="2:26" x14ac:dyDescent="0.35">
      <c r="B270" s="546"/>
      <c r="D270" t="s">
        <v>495</v>
      </c>
      <c r="E270" s="547"/>
      <c r="F270" s="295" t="s">
        <v>189</v>
      </c>
      <c r="G270" s="364" t="s">
        <v>190</v>
      </c>
      <c r="H270" s="365"/>
      <c r="I270" s="366"/>
      <c r="J270" s="364"/>
      <c r="K270" s="400"/>
      <c r="L270" s="888">
        <f>'SI TB LC'!L132</f>
        <v>400.8</v>
      </c>
      <c r="M270" s="542">
        <f>1/30</f>
        <v>3.3333333333333333E-2</v>
      </c>
      <c r="N270" s="296">
        <v>1</v>
      </c>
      <c r="O270" s="401">
        <f>K270*L270*M270*N270</f>
        <v>0</v>
      </c>
      <c r="P270" s="299">
        <f>VLOOKUP($F270,'[1]Master Harga'!$E$5:$L$351,7,FALSE)</f>
        <v>158800.57379999998</v>
      </c>
      <c r="Q270" s="543">
        <f t="shared" ref="Q270:Q271" si="52">P270*$O270</f>
        <v>0</v>
      </c>
      <c r="R270" s="543"/>
      <c r="S270" s="543"/>
      <c r="T270" s="544"/>
      <c r="U270" s="544"/>
      <c r="V270" s="544"/>
      <c r="W270" s="544"/>
      <c r="X270" s="545"/>
      <c r="Y270" s="296">
        <f t="shared" si="48"/>
        <v>0</v>
      </c>
      <c r="Z270" s="295"/>
    </row>
    <row r="271" spans="2:26" x14ac:dyDescent="0.35">
      <c r="B271" s="546"/>
      <c r="E271" s="547"/>
      <c r="F271" s="295" t="s">
        <v>215</v>
      </c>
      <c r="G271" s="364" t="s">
        <v>203</v>
      </c>
      <c r="H271" s="365"/>
      <c r="I271" s="366"/>
      <c r="J271" s="364"/>
      <c r="K271" s="400"/>
      <c r="L271" s="888">
        <f>L270</f>
        <v>400.8</v>
      </c>
      <c r="M271" s="542">
        <f>1/60</f>
        <v>1.6666666666666666E-2</v>
      </c>
      <c r="N271" s="296">
        <v>1</v>
      </c>
      <c r="O271" s="401">
        <f>K271*L271*M271*N271</f>
        <v>0</v>
      </c>
      <c r="P271" s="299">
        <f>VLOOKUP($F271,'[1]Master Harga'!$E$5:$L$351,7,FALSE)</f>
        <v>761671.70213055995</v>
      </c>
      <c r="Q271" s="543">
        <f t="shared" si="52"/>
        <v>0</v>
      </c>
      <c r="R271" s="543"/>
      <c r="S271" s="543"/>
      <c r="T271" s="544"/>
      <c r="U271" s="544"/>
      <c r="V271" s="544"/>
      <c r="W271" s="544"/>
      <c r="X271" s="545"/>
      <c r="Y271" s="296">
        <f t="shared" si="48"/>
        <v>0</v>
      </c>
      <c r="Z271" s="295"/>
    </row>
    <row r="272" spans="2:26" hidden="1" x14ac:dyDescent="0.35">
      <c r="B272" s="546"/>
      <c r="D272" s="550"/>
      <c r="E272" s="551"/>
      <c r="F272" s="295"/>
      <c r="G272" s="364"/>
      <c r="H272" s="365"/>
      <c r="I272" s="366"/>
      <c r="J272" s="364"/>
      <c r="K272" s="308"/>
      <c r="L272" s="825"/>
      <c r="M272" s="542"/>
      <c r="N272" s="296">
        <v>1</v>
      </c>
      <c r="O272" s="365"/>
      <c r="P272" s="543"/>
      <c r="Q272" s="543"/>
      <c r="R272" s="543"/>
      <c r="S272" s="543"/>
      <c r="T272" s="544"/>
      <c r="U272" s="544"/>
      <c r="V272" s="544"/>
      <c r="W272" s="544"/>
      <c r="X272" s="545"/>
      <c r="Y272" s="296">
        <f t="shared" si="48"/>
        <v>0</v>
      </c>
      <c r="Z272" s="295"/>
    </row>
    <row r="273" spans="2:26" x14ac:dyDescent="0.35">
      <c r="B273" s="546"/>
      <c r="D273" t="s">
        <v>139</v>
      </c>
      <c r="E273" s="547"/>
      <c r="F273" s="295" t="s">
        <v>189</v>
      </c>
      <c r="G273" s="364" t="s">
        <v>190</v>
      </c>
      <c r="H273" s="365"/>
      <c r="I273" s="366"/>
      <c r="J273" s="364"/>
      <c r="K273" s="400">
        <v>1</v>
      </c>
      <c r="L273" s="292">
        <f>$L$195</f>
        <v>400.8</v>
      </c>
      <c r="M273" s="542">
        <v>0.42799999999999999</v>
      </c>
      <c r="N273" s="296">
        <v>1</v>
      </c>
      <c r="O273" s="401">
        <f>K273*L273*M273*N273</f>
        <v>171.54240000000001</v>
      </c>
      <c r="P273" s="299">
        <f>VLOOKUP($F273,'[1]Master Harga'!$E$5:$L$351,5,FALSE)</f>
        <v>140008</v>
      </c>
      <c r="Q273" s="543">
        <f>P273*$O273</f>
        <v>24017308.339200001</v>
      </c>
      <c r="R273" s="299">
        <f>VLOOKUP($F273,'[1]Master Harga'!$E$5:$L$351,6,FALSE)</f>
        <v>149108.51999999999</v>
      </c>
      <c r="S273" s="543">
        <f>R273*$O273</f>
        <v>25578433.381248001</v>
      </c>
      <c r="T273" s="544"/>
      <c r="U273" s="544"/>
      <c r="V273" s="544"/>
      <c r="W273" s="544"/>
      <c r="X273" s="545"/>
      <c r="Y273" s="296">
        <f t="shared" si="48"/>
        <v>59923.423999999999</v>
      </c>
      <c r="Z273" s="295"/>
    </row>
    <row r="274" spans="2:26" hidden="1" x14ac:dyDescent="0.35">
      <c r="B274" s="546"/>
      <c r="E274" s="547"/>
      <c r="F274" s="295" t="s">
        <v>289</v>
      </c>
      <c r="G274" s="364" t="s">
        <v>264</v>
      </c>
      <c r="H274" s="365"/>
      <c r="I274" s="366"/>
      <c r="J274" s="364"/>
      <c r="K274" s="400">
        <v>1</v>
      </c>
      <c r="L274" s="292">
        <f>$L$195</f>
        <v>400.8</v>
      </c>
      <c r="M274" s="542"/>
      <c r="N274" s="296">
        <v>1</v>
      </c>
      <c r="O274" s="365"/>
      <c r="P274" s="543"/>
      <c r="Q274" s="543"/>
      <c r="R274" s="543"/>
      <c r="S274" s="543"/>
      <c r="T274" s="544"/>
      <c r="U274" s="544"/>
      <c r="V274" s="544"/>
      <c r="W274" s="544"/>
      <c r="X274" s="545"/>
      <c r="Y274" s="296">
        <f t="shared" si="48"/>
        <v>0</v>
      </c>
      <c r="Z274" s="295"/>
    </row>
    <row r="275" spans="2:26" hidden="1" x14ac:dyDescent="0.35">
      <c r="B275" s="546"/>
      <c r="E275" s="547"/>
      <c r="F275" s="295" t="s">
        <v>215</v>
      </c>
      <c r="G275" s="364" t="s">
        <v>203</v>
      </c>
      <c r="H275" s="365"/>
      <c r="I275" s="366"/>
      <c r="J275" s="364"/>
      <c r="K275" s="400">
        <v>1</v>
      </c>
      <c r="L275" s="292">
        <f>$L$195</f>
        <v>400.8</v>
      </c>
      <c r="M275" s="542"/>
      <c r="N275" s="296">
        <v>1</v>
      </c>
      <c r="O275" s="365"/>
      <c r="P275" s="543"/>
      <c r="Q275" s="543"/>
      <c r="R275" s="543"/>
      <c r="S275" s="543"/>
      <c r="T275" s="544"/>
      <c r="U275" s="544"/>
      <c r="V275" s="544"/>
      <c r="W275" s="544"/>
      <c r="X275" s="545"/>
      <c r="Y275" s="296">
        <f t="shared" si="48"/>
        <v>0</v>
      </c>
      <c r="Z275" s="295"/>
    </row>
    <row r="276" spans="2:26" hidden="1" x14ac:dyDescent="0.35">
      <c r="B276" s="539"/>
      <c r="C276" s="540" t="s">
        <v>496</v>
      </c>
      <c r="D276" s="540"/>
      <c r="E276" s="541"/>
      <c r="F276" s="295" t="s">
        <v>189</v>
      </c>
      <c r="G276" s="364" t="s">
        <v>190</v>
      </c>
      <c r="H276" s="365"/>
      <c r="I276" s="366"/>
      <c r="J276" s="364"/>
      <c r="K276" s="308"/>
      <c r="L276" s="825"/>
      <c r="M276" s="542"/>
      <c r="N276" s="296">
        <v>1</v>
      </c>
      <c r="O276" s="365"/>
      <c r="P276" s="543"/>
      <c r="Q276" s="543"/>
      <c r="R276" s="543"/>
      <c r="S276" s="543"/>
      <c r="T276" s="544"/>
      <c r="U276" s="544"/>
      <c r="V276" s="544"/>
      <c r="W276" s="544"/>
      <c r="X276" s="545"/>
      <c r="Y276" s="296">
        <f t="shared" si="48"/>
        <v>0</v>
      </c>
      <c r="Z276" s="295"/>
    </row>
    <row r="277" spans="2:26" hidden="1" x14ac:dyDescent="0.35">
      <c r="B277" s="546"/>
      <c r="E277" s="547"/>
      <c r="F277" s="295" t="s">
        <v>251</v>
      </c>
      <c r="G277" s="364" t="s">
        <v>203</v>
      </c>
      <c r="H277" s="365"/>
      <c r="I277" s="366"/>
      <c r="J277" s="364"/>
      <c r="K277" s="308"/>
      <c r="L277" s="825"/>
      <c r="M277" s="542">
        <f>2/1000</f>
        <v>2E-3</v>
      </c>
      <c r="N277" s="296">
        <v>1</v>
      </c>
      <c r="O277" s="365"/>
      <c r="P277" s="543"/>
      <c r="Q277" s="543"/>
      <c r="R277" s="543"/>
      <c r="S277" s="543"/>
      <c r="T277" s="544"/>
      <c r="U277" s="544"/>
      <c r="V277" s="544"/>
      <c r="W277" s="544"/>
      <c r="X277" s="545"/>
      <c r="Y277" s="296">
        <f t="shared" si="48"/>
        <v>0</v>
      </c>
      <c r="Z277" s="295"/>
    </row>
    <row r="278" spans="2:26" hidden="1" x14ac:dyDescent="0.35">
      <c r="B278" s="546"/>
      <c r="E278" s="547"/>
      <c r="F278" s="295" t="s">
        <v>215</v>
      </c>
      <c r="G278" s="364" t="s">
        <v>203</v>
      </c>
      <c r="H278" s="365"/>
      <c r="I278" s="366"/>
      <c r="J278" s="364"/>
      <c r="K278" s="308"/>
      <c r="L278" s="825"/>
      <c r="M278" s="542"/>
      <c r="N278" s="296">
        <v>1</v>
      </c>
      <c r="O278" s="365"/>
      <c r="P278" s="543"/>
      <c r="Q278" s="543"/>
      <c r="R278" s="543"/>
      <c r="S278" s="543"/>
      <c r="T278" s="544"/>
      <c r="U278" s="544"/>
      <c r="V278" s="544"/>
      <c r="W278" s="544"/>
      <c r="X278" s="545"/>
      <c r="Y278" s="296">
        <f t="shared" si="48"/>
        <v>0</v>
      </c>
      <c r="Z278" s="295"/>
    </row>
    <row r="279" spans="2:26" hidden="1" x14ac:dyDescent="0.35">
      <c r="B279" s="539"/>
      <c r="C279" s="540" t="s">
        <v>497</v>
      </c>
      <c r="D279" s="540"/>
      <c r="E279" s="541"/>
      <c r="F279" s="295" t="s">
        <v>189</v>
      </c>
      <c r="G279" s="364" t="s">
        <v>190</v>
      </c>
      <c r="H279" s="365"/>
      <c r="I279" s="366"/>
      <c r="J279" s="364"/>
      <c r="K279" s="308"/>
      <c r="L279" s="825"/>
      <c r="M279" s="542"/>
      <c r="N279" s="296">
        <v>1</v>
      </c>
      <c r="O279" s="365"/>
      <c r="P279" s="543"/>
      <c r="Q279" s="543"/>
      <c r="R279" s="543"/>
      <c r="S279" s="543"/>
      <c r="T279" s="544"/>
      <c r="U279" s="544"/>
      <c r="V279" s="544"/>
      <c r="W279" s="544"/>
      <c r="X279" s="545"/>
      <c r="Y279" s="296">
        <f t="shared" si="48"/>
        <v>0</v>
      </c>
      <c r="Z279" s="295"/>
    </row>
    <row r="280" spans="2:26" hidden="1" x14ac:dyDescent="0.35">
      <c r="B280" s="549"/>
      <c r="C280" s="550"/>
      <c r="D280" s="550"/>
      <c r="E280" s="551"/>
      <c r="F280" s="295"/>
      <c r="G280" s="364"/>
      <c r="H280" s="365"/>
      <c r="I280" s="366"/>
      <c r="J280" s="364"/>
      <c r="K280" s="308"/>
      <c r="L280" s="825"/>
      <c r="M280" s="542"/>
      <c r="N280" s="296">
        <v>1</v>
      </c>
      <c r="O280" s="365"/>
      <c r="P280" s="543"/>
      <c r="Q280" s="543"/>
      <c r="R280" s="543"/>
      <c r="S280" s="543"/>
      <c r="T280" s="544"/>
      <c r="U280" s="544"/>
      <c r="V280" s="544"/>
      <c r="W280" s="544"/>
      <c r="X280" s="545"/>
      <c r="Y280" s="296">
        <f t="shared" si="48"/>
        <v>0</v>
      </c>
      <c r="Z280" s="295"/>
    </row>
    <row r="281" spans="2:26" hidden="1" x14ac:dyDescent="0.35">
      <c r="B281" s="546"/>
      <c r="C281" t="s">
        <v>498</v>
      </c>
      <c r="E281" s="547"/>
      <c r="F281" s="295" t="s">
        <v>189</v>
      </c>
      <c r="G281" s="364" t="s">
        <v>190</v>
      </c>
      <c r="H281" s="365"/>
      <c r="I281" s="366"/>
      <c r="J281" s="364"/>
      <c r="K281" s="308"/>
      <c r="L281" s="825"/>
      <c r="M281" s="542"/>
      <c r="N281" s="296">
        <v>1</v>
      </c>
      <c r="O281" s="365"/>
      <c r="P281" s="543"/>
      <c r="Q281" s="543"/>
      <c r="R281" s="543"/>
      <c r="S281" s="543"/>
      <c r="T281" s="544"/>
      <c r="U281" s="544"/>
      <c r="V281" s="544"/>
      <c r="W281" s="544"/>
      <c r="X281" s="545"/>
      <c r="Y281" s="296">
        <f t="shared" si="48"/>
        <v>0</v>
      </c>
      <c r="Z281" s="295"/>
    </row>
    <row r="282" spans="2:26" hidden="1" x14ac:dyDescent="0.35">
      <c r="B282" s="546"/>
      <c r="E282" s="547"/>
      <c r="F282" s="295" t="s">
        <v>499</v>
      </c>
      <c r="G282" s="364" t="s">
        <v>264</v>
      </c>
      <c r="H282" s="365"/>
      <c r="I282" s="366"/>
      <c r="J282" s="364"/>
      <c r="K282" s="308"/>
      <c r="L282" s="825"/>
      <c r="M282" s="542"/>
      <c r="N282" s="296">
        <v>1</v>
      </c>
      <c r="O282" s="365"/>
      <c r="P282" s="543"/>
      <c r="Q282" s="543"/>
      <c r="R282" s="543"/>
      <c r="S282" s="543"/>
      <c r="T282" s="544"/>
      <c r="U282" s="544"/>
      <c r="V282" s="544"/>
      <c r="W282" s="544"/>
      <c r="X282" s="545"/>
      <c r="Y282" s="296">
        <f t="shared" si="48"/>
        <v>0</v>
      </c>
      <c r="Z282" s="295"/>
    </row>
    <row r="283" spans="2:26" hidden="1" x14ac:dyDescent="0.35">
      <c r="B283" s="549"/>
      <c r="C283" s="550"/>
      <c r="D283" s="550"/>
      <c r="E283" s="551"/>
      <c r="F283" s="295"/>
      <c r="G283" s="364"/>
      <c r="H283" s="365"/>
      <c r="I283" s="366"/>
      <c r="J283" s="364"/>
      <c r="K283" s="308"/>
      <c r="L283" s="825"/>
      <c r="M283" s="542"/>
      <c r="N283" s="296">
        <v>1</v>
      </c>
      <c r="O283" s="365"/>
      <c r="P283" s="543"/>
      <c r="Q283" s="543"/>
      <c r="R283" s="543"/>
      <c r="S283" s="543"/>
      <c r="T283" s="544"/>
      <c r="U283" s="544"/>
      <c r="V283" s="544"/>
      <c r="W283" s="544"/>
      <c r="X283" s="545"/>
      <c r="Y283" s="296">
        <f t="shared" si="48"/>
        <v>0</v>
      </c>
      <c r="Z283" s="295"/>
    </row>
    <row r="284" spans="2:26" ht="29.25" customHeight="1" x14ac:dyDescent="0.35">
      <c r="B284" s="753" t="s">
        <v>500</v>
      </c>
      <c r="C284" s="853"/>
      <c r="D284" s="853"/>
      <c r="E284" s="854"/>
      <c r="F284" s="668"/>
      <c r="G284" s="669"/>
      <c r="H284" s="670"/>
      <c r="I284" s="671"/>
      <c r="J284" s="669"/>
      <c r="K284" s="672"/>
      <c r="L284" s="876"/>
      <c r="M284" s="674"/>
      <c r="N284" s="675"/>
      <c r="O284" s="670"/>
      <c r="P284" s="676"/>
      <c r="Q284" s="756">
        <f>Q235+Q262</f>
        <v>1101119740.627362</v>
      </c>
      <c r="R284" s="676"/>
      <c r="S284" s="756">
        <f>SUM(S273:S283)</f>
        <v>25578433.381248001</v>
      </c>
      <c r="T284" s="677"/>
      <c r="U284" s="677"/>
      <c r="V284" s="677"/>
      <c r="W284" s="677"/>
      <c r="X284" s="670"/>
      <c r="Y284" s="720">
        <f t="shared" si="48"/>
        <v>2747304.7420842363</v>
      </c>
      <c r="Z284" s="889">
        <f>(Y284/$Y$421)*100</f>
        <v>19.825770848847721</v>
      </c>
    </row>
    <row r="285" spans="2:26" x14ac:dyDescent="0.35">
      <c r="B285" s="678" t="s">
        <v>292</v>
      </c>
      <c r="C285" s="366"/>
      <c r="D285" s="366"/>
      <c r="E285" s="553"/>
      <c r="F285" s="295"/>
      <c r="G285" s="364"/>
      <c r="H285" s="365"/>
      <c r="I285" s="366"/>
      <c r="J285" s="364"/>
      <c r="K285" s="308"/>
      <c r="L285" s="825"/>
      <c r="M285" s="542"/>
      <c r="N285" s="296"/>
      <c r="O285" s="365"/>
      <c r="P285" s="543"/>
      <c r="Q285" s="543"/>
      <c r="R285" s="543"/>
      <c r="S285" s="543"/>
      <c r="T285" s="544"/>
      <c r="U285" s="544"/>
      <c r="V285" s="544"/>
      <c r="W285" s="544"/>
      <c r="X285" s="545"/>
      <c r="Y285" s="296">
        <f t="shared" si="48"/>
        <v>0</v>
      </c>
      <c r="Z285" s="295"/>
    </row>
    <row r="286" spans="2:26" hidden="1" x14ac:dyDescent="0.35">
      <c r="B286" s="546"/>
      <c r="C286" t="s">
        <v>134</v>
      </c>
      <c r="E286" s="547"/>
      <c r="F286" s="295" t="s">
        <v>189</v>
      </c>
      <c r="G286" s="364" t="s">
        <v>190</v>
      </c>
      <c r="H286" s="365"/>
      <c r="I286" s="366"/>
      <c r="J286" s="364"/>
      <c r="K286" s="890">
        <v>0</v>
      </c>
      <c r="L286" s="662"/>
      <c r="M286" s="891">
        <v>0.33333333333333331</v>
      </c>
      <c r="N286" s="892">
        <v>1</v>
      </c>
      <c r="O286" s="893">
        <f>K286*L286*M286*N286</f>
        <v>0</v>
      </c>
      <c r="P286" s="894">
        <f>VLOOKUP($F286,'[1]Master Harga'!$E$5:$L$351,7,FALSE)</f>
        <v>158800.57379999998</v>
      </c>
      <c r="Q286" s="895">
        <f>P286*$O286</f>
        <v>0</v>
      </c>
      <c r="R286" s="896">
        <f>VLOOKUP($F286,'[2]Master Harga'!$E$5:$L$348,7,FALSE)</f>
        <v>163305.33120000002</v>
      </c>
      <c r="S286" s="897">
        <f>R286*$O286</f>
        <v>0</v>
      </c>
      <c r="T286" s="896">
        <f>VLOOKUP($F286,'[2]Master Harga'!$E$5:$L$348,8,FALSE)</f>
        <v>179635.86432000002</v>
      </c>
      <c r="U286" s="898">
        <f>$O286*T286</f>
        <v>0</v>
      </c>
      <c r="V286" s="896" t="e">
        <f>W286/O286</f>
        <v>#DIV/0!</v>
      </c>
      <c r="W286" s="899">
        <f>AVERAGEIF($P$3:$U$3,W$3,$P286:$U286)</f>
        <v>0</v>
      </c>
      <c r="X286" s="545"/>
      <c r="Y286" s="296">
        <f t="shared" si="48"/>
        <v>0</v>
      </c>
      <c r="Z286" s="295"/>
    </row>
    <row r="287" spans="2:26" hidden="1" x14ac:dyDescent="0.35">
      <c r="B287" s="546"/>
      <c r="D287" s="550"/>
      <c r="E287" s="551"/>
      <c r="F287" s="295"/>
      <c r="G287" s="364"/>
      <c r="H287" s="365"/>
      <c r="I287" s="366"/>
      <c r="J287" s="364"/>
      <c r="K287" s="900"/>
      <c r="L287" s="901"/>
      <c r="M287" s="891"/>
      <c r="N287" s="892">
        <v>1</v>
      </c>
      <c r="O287" s="902"/>
      <c r="P287" s="895"/>
      <c r="Q287" s="895"/>
      <c r="R287" s="897"/>
      <c r="S287" s="897"/>
      <c r="T287" s="898"/>
      <c r="U287" s="898"/>
      <c r="V287" s="898"/>
      <c r="W287" s="898"/>
      <c r="X287" s="545"/>
      <c r="Y287" s="296">
        <f t="shared" si="48"/>
        <v>0</v>
      </c>
      <c r="Z287" s="295"/>
    </row>
    <row r="288" spans="2:26" x14ac:dyDescent="0.35">
      <c r="B288" s="546"/>
      <c r="D288" t="s">
        <v>138</v>
      </c>
      <c r="E288" s="547"/>
      <c r="F288" s="295" t="s">
        <v>189</v>
      </c>
      <c r="G288" s="364" t="s">
        <v>190</v>
      </c>
      <c r="H288" s="365"/>
      <c r="I288" s="366"/>
      <c r="J288" s="364"/>
      <c r="K288" s="890">
        <v>0.2</v>
      </c>
      <c r="L288" s="662">
        <f>AC2</f>
        <v>400.8</v>
      </c>
      <c r="M288" s="891">
        <v>0.33333333333333331</v>
      </c>
      <c r="N288" s="892">
        <v>1</v>
      </c>
      <c r="O288" s="893">
        <f>K288*L288*M288*N288</f>
        <v>26.720000000000002</v>
      </c>
      <c r="P288" s="894">
        <f>VLOOKUP($F288,'[1]Master Harga'!$E$5:$L$351,7,FALSE)</f>
        <v>158800.57379999998</v>
      </c>
      <c r="Q288" s="895">
        <f>P288*$O288</f>
        <v>4243151.3319359999</v>
      </c>
      <c r="R288" s="896">
        <f>VLOOKUP($F288,'[2]Master Harga'!$E$5:$L$348,7,FALSE)</f>
        <v>163305.33120000002</v>
      </c>
      <c r="S288" s="897">
        <f>R288*$O288</f>
        <v>4363518.4496640004</v>
      </c>
      <c r="T288" s="896">
        <f>VLOOKUP($F288,'[2]Master Harga'!$E$5:$L$348,8,FALSE)</f>
        <v>179635.86432000002</v>
      </c>
      <c r="U288" s="898">
        <f>$O288*T288</f>
        <v>4799870.2946304008</v>
      </c>
      <c r="V288" s="896">
        <f>W288/O288</f>
        <v>167247.25644</v>
      </c>
      <c r="W288" s="899">
        <f>AVERAGEIF($P$3:$U$3,W$3,$P288:$U288)</f>
        <v>4468846.6920768004</v>
      </c>
      <c r="X288" s="545"/>
      <c r="Y288" s="296">
        <f t="shared" si="48"/>
        <v>10586.70492</v>
      </c>
      <c r="Z288" s="295"/>
    </row>
    <row r="289" spans="2:26" hidden="1" x14ac:dyDescent="0.35">
      <c r="B289" s="549"/>
      <c r="C289" s="550"/>
      <c r="D289" s="550"/>
      <c r="E289" s="551"/>
      <c r="F289" s="295"/>
      <c r="G289" s="364"/>
      <c r="H289" s="365"/>
      <c r="I289" s="366"/>
      <c r="J289" s="364"/>
      <c r="K289" s="900"/>
      <c r="L289" s="825"/>
      <c r="M289" s="542"/>
      <c r="N289" s="296">
        <v>1</v>
      </c>
      <c r="O289" s="365"/>
      <c r="P289" s="543"/>
      <c r="Q289" s="543"/>
      <c r="R289" s="543"/>
      <c r="S289" s="543"/>
      <c r="T289" s="544"/>
      <c r="U289" s="544"/>
      <c r="V289" s="544"/>
      <c r="W289" s="544"/>
      <c r="X289" s="545"/>
      <c r="Y289" s="296">
        <f t="shared" si="48"/>
        <v>0</v>
      </c>
      <c r="Z289" s="295"/>
    </row>
    <row r="290" spans="2:26" hidden="1" x14ac:dyDescent="0.35">
      <c r="B290" s="546"/>
      <c r="C290" t="s">
        <v>294</v>
      </c>
      <c r="E290" s="547"/>
      <c r="F290" s="295" t="s">
        <v>189</v>
      </c>
      <c r="G290" s="364" t="s">
        <v>190</v>
      </c>
      <c r="H290" s="365"/>
      <c r="I290" s="366"/>
      <c r="J290" s="364"/>
      <c r="K290" s="308"/>
      <c r="L290" s="903"/>
      <c r="M290" s="542">
        <f>1/3</f>
        <v>0.33333333333333331</v>
      </c>
      <c r="N290" s="296">
        <v>1</v>
      </c>
      <c r="O290" s="365"/>
      <c r="P290" s="543"/>
      <c r="Q290" s="543"/>
      <c r="R290" s="543"/>
      <c r="S290" s="543"/>
      <c r="T290" s="544"/>
      <c r="U290" s="544"/>
      <c r="V290" s="544"/>
      <c r="W290" s="544"/>
      <c r="X290" s="545"/>
      <c r="Y290" s="296">
        <f t="shared" si="48"/>
        <v>0</v>
      </c>
      <c r="Z290" s="295"/>
    </row>
    <row r="291" spans="2:26" hidden="1" x14ac:dyDescent="0.35">
      <c r="B291" s="549"/>
      <c r="C291" s="550"/>
      <c r="D291" s="550"/>
      <c r="E291" s="551"/>
      <c r="F291" s="295"/>
      <c r="G291" s="364"/>
      <c r="H291" s="365"/>
      <c r="I291" s="366"/>
      <c r="J291" s="364"/>
      <c r="K291" s="308"/>
      <c r="L291" s="825"/>
      <c r="M291" s="542"/>
      <c r="N291" s="296">
        <v>1</v>
      </c>
      <c r="O291" s="365"/>
      <c r="P291" s="543"/>
      <c r="Q291" s="543"/>
      <c r="R291" s="543"/>
      <c r="S291" s="543"/>
      <c r="T291" s="544"/>
      <c r="U291" s="544"/>
      <c r="V291" s="544"/>
      <c r="W291" s="544"/>
      <c r="X291" s="545"/>
      <c r="Y291" s="296">
        <f t="shared" si="48"/>
        <v>0</v>
      </c>
      <c r="Z291" s="295"/>
    </row>
    <row r="292" spans="2:26" hidden="1" x14ac:dyDescent="0.35">
      <c r="B292" s="546"/>
      <c r="C292" t="s">
        <v>501</v>
      </c>
      <c r="E292" s="547"/>
      <c r="F292" s="295" t="s">
        <v>189</v>
      </c>
      <c r="G292" s="364" t="s">
        <v>190</v>
      </c>
      <c r="H292" s="365"/>
      <c r="I292" s="366"/>
      <c r="J292" s="364"/>
      <c r="K292" s="308"/>
      <c r="L292" s="825"/>
      <c r="M292" s="542"/>
      <c r="N292" s="296">
        <v>1</v>
      </c>
      <c r="O292" s="365"/>
      <c r="P292" s="543"/>
      <c r="Q292" s="543"/>
      <c r="R292" s="543"/>
      <c r="S292" s="543"/>
      <c r="T292" s="544"/>
      <c r="U292" s="544"/>
      <c r="V292" s="544"/>
      <c r="W292" s="544"/>
      <c r="X292" s="545"/>
      <c r="Y292" s="296">
        <f t="shared" si="48"/>
        <v>0</v>
      </c>
      <c r="Z292" s="295"/>
    </row>
    <row r="293" spans="2:26" hidden="1" x14ac:dyDescent="0.35">
      <c r="B293" s="549"/>
      <c r="C293" s="550"/>
      <c r="D293" s="550"/>
      <c r="E293" s="551"/>
      <c r="F293" s="295"/>
      <c r="G293" s="364"/>
      <c r="H293" s="365"/>
      <c r="I293" s="366"/>
      <c r="J293" s="364"/>
      <c r="K293" s="308"/>
      <c r="L293" s="825"/>
      <c r="M293" s="542"/>
      <c r="N293" s="296">
        <v>1</v>
      </c>
      <c r="O293" s="365"/>
      <c r="P293" s="543"/>
      <c r="Q293" s="543"/>
      <c r="R293" s="543"/>
      <c r="S293" s="543"/>
      <c r="T293" s="544"/>
      <c r="U293" s="544"/>
      <c r="V293" s="544"/>
      <c r="W293" s="544"/>
      <c r="X293" s="545"/>
      <c r="Y293" s="296">
        <f t="shared" si="48"/>
        <v>0</v>
      </c>
      <c r="Z293" s="295"/>
    </row>
    <row r="294" spans="2:26" ht="29.25" customHeight="1" x14ac:dyDescent="0.35">
      <c r="B294" s="753" t="s">
        <v>502</v>
      </c>
      <c r="C294" s="853"/>
      <c r="D294" s="853"/>
      <c r="E294" s="854"/>
      <c r="F294" s="668"/>
      <c r="G294" s="669"/>
      <c r="H294" s="670"/>
      <c r="I294" s="671"/>
      <c r="J294" s="669"/>
      <c r="K294" s="672"/>
      <c r="L294" s="876"/>
      <c r="M294" s="674"/>
      <c r="N294" s="675"/>
      <c r="O294" s="670"/>
      <c r="P294" s="676"/>
      <c r="Q294" s="756">
        <f>Q286+Q288</f>
        <v>4243151.3319359999</v>
      </c>
      <c r="R294" s="676"/>
      <c r="S294" s="756">
        <f>SUM(S283:S293)</f>
        <v>29941951.830912001</v>
      </c>
      <c r="T294" s="677"/>
      <c r="U294" s="677"/>
      <c r="V294" s="677"/>
      <c r="W294" s="677"/>
      <c r="X294" s="670"/>
      <c r="Y294" s="720">
        <f t="shared" si="48"/>
        <v>10586.70492</v>
      </c>
      <c r="Z294" s="889">
        <f>(Y294/$Y$421)*100</f>
        <v>7.6398363302447647E-2</v>
      </c>
    </row>
    <row r="295" spans="2:26" x14ac:dyDescent="0.35">
      <c r="B295" s="678" t="s">
        <v>503</v>
      </c>
      <c r="C295" s="366"/>
      <c r="D295" s="366"/>
      <c r="E295" s="553"/>
      <c r="F295" s="295"/>
      <c r="G295" s="364"/>
      <c r="H295" s="365"/>
      <c r="I295" s="366"/>
      <c r="J295" s="364"/>
      <c r="K295" s="308"/>
      <c r="L295" s="825"/>
      <c r="M295" s="542"/>
      <c r="N295" s="296"/>
      <c r="O295" s="365"/>
      <c r="P295" s="543"/>
      <c r="Q295" s="543"/>
      <c r="R295" s="543"/>
      <c r="S295" s="543"/>
      <c r="T295" s="544"/>
      <c r="U295" s="544"/>
      <c r="V295" s="544"/>
      <c r="W295" s="544"/>
      <c r="X295" s="545"/>
      <c r="Y295" s="296">
        <f t="shared" si="48"/>
        <v>0</v>
      </c>
      <c r="Z295" s="295"/>
    </row>
    <row r="296" spans="2:26" x14ac:dyDescent="0.35">
      <c r="B296" s="546"/>
      <c r="C296" t="s">
        <v>142</v>
      </c>
      <c r="E296" s="547"/>
      <c r="F296" s="295" t="s">
        <v>189</v>
      </c>
      <c r="G296" s="364" t="s">
        <v>190</v>
      </c>
      <c r="H296" s="365"/>
      <c r="I296" s="366"/>
      <c r="J296" s="364" t="s">
        <v>170</v>
      </c>
      <c r="K296" s="400">
        <v>0.5</v>
      </c>
      <c r="L296" s="825">
        <f t="shared" ref="L296:L297" si="53">$L$59</f>
        <v>400.8</v>
      </c>
      <c r="M296" s="542">
        <v>0.25</v>
      </c>
      <c r="N296" s="296">
        <v>3</v>
      </c>
      <c r="O296" s="401">
        <f>K296*L296*M296*N296</f>
        <v>150.30000000000001</v>
      </c>
      <c r="P296" s="299">
        <f>VLOOKUP($F296,'[1]Master Harga'!$E$5:$L$351,7,FALSE)</f>
        <v>158800.57379999998</v>
      </c>
      <c r="Q296" s="543">
        <f>P296*$O296</f>
        <v>23867726.242139999</v>
      </c>
      <c r="R296" s="296">
        <f>VLOOKUP($F296,'[2]Master Harga'!$E$5:$L$348,7,FALSE)</f>
        <v>163305.33120000002</v>
      </c>
      <c r="S296" s="543">
        <f>R296*$O296</f>
        <v>24544791.279360004</v>
      </c>
      <c r="T296" s="296">
        <f>VLOOKUP($F296,'[2]Master Harga'!$E$5:$L$348,8,FALSE)</f>
        <v>179635.86432000002</v>
      </c>
      <c r="U296" s="544">
        <f>$O296*T296</f>
        <v>26999270.407296006</v>
      </c>
      <c r="V296" s="296">
        <f>W296/O296</f>
        <v>167247.25644</v>
      </c>
      <c r="W296" s="307">
        <f>AVERAGEIF($P$3:$U$3,W$3,$P296:$U296)</f>
        <v>25137262.642932002</v>
      </c>
      <c r="X296" s="545"/>
      <c r="Y296" s="296">
        <f t="shared" si="48"/>
        <v>59550.215174999998</v>
      </c>
      <c r="Z296" s="295"/>
    </row>
    <row r="297" spans="2:26" x14ac:dyDescent="0.35">
      <c r="B297" s="546"/>
      <c r="E297" s="547"/>
      <c r="F297" s="295" t="s">
        <v>381</v>
      </c>
      <c r="G297" s="364" t="s">
        <v>192</v>
      </c>
      <c r="H297" s="365"/>
      <c r="I297" s="366"/>
      <c r="J297" s="364" t="s">
        <v>170</v>
      </c>
      <c r="K297" s="400">
        <v>0.5</v>
      </c>
      <c r="L297" s="825">
        <f t="shared" si="53"/>
        <v>400.8</v>
      </c>
      <c r="M297" s="542">
        <v>0.54400000000000004</v>
      </c>
      <c r="N297" s="296">
        <v>3</v>
      </c>
      <c r="O297" s="401">
        <f>K297*L297*M297*N297</f>
        <v>327.05280000000005</v>
      </c>
      <c r="P297" s="299">
        <f>VLOOKUP($F297,'[1]Master Harga'!$E$5:$L$351,7,FALSE)</f>
        <v>35985.599999999999</v>
      </c>
      <c r="Q297" s="543">
        <f>P297*$O297</f>
        <v>11769191.239680002</v>
      </c>
      <c r="R297" s="296">
        <f>VLOOKUP($F297,'[2]Master Harga'!$E$5:$L$348,7,FALSE)</f>
        <v>40359.098880000005</v>
      </c>
      <c r="S297" s="543">
        <f>R297*$O297</f>
        <v>13199556.294180868</v>
      </c>
      <c r="T297" s="296">
        <f>VLOOKUP($F297,'[2]Master Harga'!$E$5:$L$348,8,FALSE)</f>
        <v>43184.235801600007</v>
      </c>
      <c r="U297" s="544">
        <f>$O297*T297</f>
        <v>14123525.23477353</v>
      </c>
      <c r="V297" s="296">
        <f>W297/O297</f>
        <v>39842.978227200008</v>
      </c>
      <c r="W297" s="307">
        <f>AVERAGEIF($P$3:$U$3,W$3,$P297:$U297)</f>
        <v>13030757.589544801</v>
      </c>
      <c r="X297" s="545"/>
      <c r="Y297" s="296">
        <f t="shared" si="48"/>
        <v>29364.249600000003</v>
      </c>
      <c r="Z297" s="295"/>
    </row>
    <row r="298" spans="2:26" ht="29.25" customHeight="1" x14ac:dyDescent="0.35">
      <c r="B298" s="685" t="s">
        <v>504</v>
      </c>
      <c r="C298" s="864"/>
      <c r="D298" s="864"/>
      <c r="E298" s="865"/>
      <c r="F298" s="688"/>
      <c r="G298" s="689"/>
      <c r="H298" s="690"/>
      <c r="I298" s="691"/>
      <c r="J298" s="689"/>
      <c r="K298" s="692"/>
      <c r="L298" s="866"/>
      <c r="M298" s="694"/>
      <c r="N298" s="695"/>
      <c r="O298" s="690"/>
      <c r="P298" s="696"/>
      <c r="Q298" s="697">
        <f>SUM(Q296:Q297)</f>
        <v>35636917.481820002</v>
      </c>
      <c r="R298" s="696"/>
      <c r="S298" s="697">
        <f>SUM(S287:S297)</f>
        <v>72049817.854116872</v>
      </c>
      <c r="T298" s="684"/>
      <c r="U298" s="684"/>
      <c r="V298" s="684"/>
      <c r="W298" s="684"/>
      <c r="X298" s="690"/>
      <c r="Y298" s="727">
        <f t="shared" si="48"/>
        <v>88914.464775</v>
      </c>
      <c r="Z298" s="879">
        <f>(Y298/$Y$421)*100</f>
        <v>0.64164625670166819</v>
      </c>
    </row>
    <row r="299" spans="2:26" x14ac:dyDescent="0.35">
      <c r="B299" s="546"/>
      <c r="C299" t="s">
        <v>505</v>
      </c>
      <c r="E299" s="547"/>
      <c r="F299" s="295" t="s">
        <v>189</v>
      </c>
      <c r="G299" s="364" t="s">
        <v>190</v>
      </c>
      <c r="H299" s="365"/>
      <c r="I299" s="366"/>
      <c r="J299" s="364"/>
      <c r="K299" s="308"/>
      <c r="L299" s="825"/>
      <c r="M299" s="542"/>
      <c r="N299" s="296"/>
      <c r="O299" s="365"/>
      <c r="P299" s="543"/>
      <c r="Q299" s="543"/>
      <c r="R299" s="543"/>
      <c r="S299" s="543"/>
      <c r="T299" s="544"/>
      <c r="U299" s="544"/>
      <c r="V299" s="544"/>
      <c r="W299" s="544"/>
      <c r="X299" s="545"/>
      <c r="Y299" s="296">
        <f t="shared" si="48"/>
        <v>0</v>
      </c>
      <c r="Z299" s="295"/>
    </row>
    <row r="300" spans="2:26" hidden="1" x14ac:dyDescent="0.35">
      <c r="B300" s="549"/>
      <c r="C300" s="550"/>
      <c r="D300" s="550"/>
      <c r="E300" s="551"/>
      <c r="F300" s="295"/>
      <c r="G300" s="364"/>
      <c r="H300" s="365"/>
      <c r="I300" s="366"/>
      <c r="J300" s="364"/>
      <c r="K300" s="308"/>
      <c r="L300" s="825"/>
      <c r="M300" s="542"/>
      <c r="N300" s="296"/>
      <c r="O300" s="365"/>
      <c r="P300" s="543"/>
      <c r="Q300" s="543"/>
      <c r="R300" s="543"/>
      <c r="S300" s="543"/>
      <c r="T300" s="544"/>
      <c r="U300" s="544"/>
      <c r="V300" s="544"/>
      <c r="W300" s="544"/>
      <c r="X300" s="545"/>
      <c r="Y300" s="296">
        <f t="shared" si="48"/>
        <v>0</v>
      </c>
      <c r="Z300" s="295"/>
    </row>
    <row r="301" spans="2:26" x14ac:dyDescent="0.35">
      <c r="B301" s="546"/>
      <c r="C301" t="s">
        <v>144</v>
      </c>
      <c r="E301" s="547"/>
      <c r="F301" s="295" t="s">
        <v>189</v>
      </c>
      <c r="G301" s="364" t="s">
        <v>190</v>
      </c>
      <c r="H301" s="365"/>
      <c r="I301" s="366"/>
      <c r="J301" s="364" t="s">
        <v>170</v>
      </c>
      <c r="K301" s="548">
        <v>0.1</v>
      </c>
      <c r="L301" s="825">
        <f t="shared" ref="L301:L309" si="54">$L$59</f>
        <v>400.8</v>
      </c>
      <c r="M301" s="542">
        <v>0.5</v>
      </c>
      <c r="N301" s="296">
        <v>6</v>
      </c>
      <c r="O301" s="401">
        <f>K301*L301*M301*N301</f>
        <v>120.24000000000001</v>
      </c>
      <c r="P301" s="299">
        <f>VLOOKUP($F301,'[1]Master Harga'!$E$5:$L$351,7,FALSE)</f>
        <v>158800.57379999998</v>
      </c>
      <c r="Q301" s="543">
        <f>P301*$O301</f>
        <v>19094180.993712001</v>
      </c>
      <c r="R301" s="296">
        <f>VLOOKUP($F301,'[2]Master Harga'!$E$5:$L$348,7,FALSE)</f>
        <v>163305.33120000002</v>
      </c>
      <c r="S301" s="543">
        <f>R301*$O301</f>
        <v>19635833.023488004</v>
      </c>
      <c r="T301" s="296">
        <f>VLOOKUP($F301,'[2]Master Harga'!$E$5:$L$348,8,FALSE)</f>
        <v>179635.86432000002</v>
      </c>
      <c r="U301" s="544">
        <f>$O301*T301</f>
        <v>21599416.325836804</v>
      </c>
      <c r="V301" s="296">
        <f>W301/O301</f>
        <v>167247.25644000003</v>
      </c>
      <c r="W301" s="307">
        <f>AVERAGEIF($P$3:$U$3,W$3,$P301:$U301)</f>
        <v>20109810.114345606</v>
      </c>
      <c r="X301" s="545"/>
      <c r="Y301" s="296">
        <f t="shared" si="48"/>
        <v>47640.172140000002</v>
      </c>
      <c r="Z301" s="295"/>
    </row>
    <row r="302" spans="2:26" x14ac:dyDescent="0.35">
      <c r="B302" s="546"/>
      <c r="E302" s="547"/>
      <c r="F302" s="295" t="s">
        <v>378</v>
      </c>
      <c r="G302" s="364" t="s">
        <v>226</v>
      </c>
      <c r="H302" s="365"/>
      <c r="I302" s="366"/>
      <c r="J302" s="364" t="s">
        <v>170</v>
      </c>
      <c r="K302" s="548">
        <v>0.1</v>
      </c>
      <c r="L302" s="825">
        <f t="shared" si="54"/>
        <v>400.8</v>
      </c>
      <c r="M302" s="542">
        <v>0.2</v>
      </c>
      <c r="N302" s="296">
        <v>1</v>
      </c>
      <c r="O302" s="401">
        <f>K302*L302*M302*N302</f>
        <v>8.0160000000000018</v>
      </c>
      <c r="P302" s="299">
        <f>VLOOKUP($F302,'[1]Master Harga'!$E$5:$L$351,7,FALSE)</f>
        <v>118077.75</v>
      </c>
      <c r="Q302" s="543">
        <f>P302*$O302</f>
        <v>946511.24400000018</v>
      </c>
      <c r="R302" s="296">
        <f>VLOOKUP($F302,'[2]Master Harga'!$E$5:$L$348,7,FALSE)</f>
        <v>122618.79000000001</v>
      </c>
      <c r="S302" s="543">
        <f>R302*$O302</f>
        <v>982912.22064000031</v>
      </c>
      <c r="T302" s="296">
        <f>VLOOKUP($F302,'[2]Master Harga'!$E$5:$L$348,8,FALSE)</f>
        <v>131202.10530000002</v>
      </c>
      <c r="U302" s="544">
        <f>$O302*T302</f>
        <v>1051716.0760848005</v>
      </c>
      <c r="V302" s="296">
        <f>W302/O302</f>
        <v>123966.2151</v>
      </c>
      <c r="W302" s="307">
        <f>AVERAGEIF($P$3:$U$3,W$3,$P302:$U302)</f>
        <v>993713.18024160026</v>
      </c>
      <c r="X302" s="545"/>
      <c r="Y302" s="296">
        <f t="shared" si="48"/>
        <v>2361.5550000000003</v>
      </c>
      <c r="Z302" s="295"/>
    </row>
    <row r="303" spans="2:26" x14ac:dyDescent="0.35">
      <c r="B303" s="549"/>
      <c r="C303" s="550"/>
      <c r="D303" s="550"/>
      <c r="E303" s="551"/>
      <c r="F303" s="295" t="s">
        <v>231</v>
      </c>
      <c r="G303" s="364" t="s">
        <v>226</v>
      </c>
      <c r="H303" s="365"/>
      <c r="I303" s="366"/>
      <c r="J303" s="364" t="s">
        <v>170</v>
      </c>
      <c r="K303" s="548">
        <v>0.1</v>
      </c>
      <c r="L303" s="825">
        <f t="shared" si="54"/>
        <v>400.8</v>
      </c>
      <c r="M303" s="542">
        <f>M301</f>
        <v>0.5</v>
      </c>
      <c r="N303" s="296">
        <v>6</v>
      </c>
      <c r="O303" s="401">
        <f>K303*L303*M303*N303</f>
        <v>120.24000000000001</v>
      </c>
      <c r="P303" s="296">
        <f>VLOOKUP($F303,'[2]Master Harga'!$E$5:$L$348,6,FALSE)</f>
        <v>4158</v>
      </c>
      <c r="Q303" s="543">
        <f>P303*$O303</f>
        <v>499957.92000000004</v>
      </c>
      <c r="R303" s="296">
        <f>VLOOKUP($F303,'[2]Master Harga'!$E$5:$L$348,6,FALSE)</f>
        <v>4158</v>
      </c>
      <c r="S303" s="543">
        <f>R303*$O303</f>
        <v>499957.92000000004</v>
      </c>
      <c r="T303" s="544">
        <f>R303*1.1</f>
        <v>4573.8</v>
      </c>
      <c r="U303" s="544">
        <f>O303*T303</f>
        <v>549953.71200000006</v>
      </c>
      <c r="V303" s="296">
        <f>W303/O303</f>
        <v>4296.6000000000004</v>
      </c>
      <c r="W303" s="307">
        <f>AVERAGEIF($P$3:$U$3,W$3,$P303:$U303)</f>
        <v>516623.18400000007</v>
      </c>
      <c r="X303" s="545"/>
      <c r="Y303" s="296">
        <f t="shared" si="48"/>
        <v>1247.4000000000001</v>
      </c>
      <c r="Z303" s="295"/>
    </row>
    <row r="304" spans="2:26" x14ac:dyDescent="0.35">
      <c r="B304" s="546"/>
      <c r="E304" s="547"/>
      <c r="F304" s="295" t="s">
        <v>232</v>
      </c>
      <c r="G304" s="364" t="s">
        <v>194</v>
      </c>
      <c r="H304" s="365">
        <v>4</v>
      </c>
      <c r="I304" s="366"/>
      <c r="J304" s="364" t="s">
        <v>170</v>
      </c>
      <c r="K304" s="548"/>
      <c r="L304" s="825">
        <f t="shared" si="54"/>
        <v>400.8</v>
      </c>
      <c r="M304" s="552">
        <f>((M$301*N$301)/240*($H304/N304))</f>
        <v>0.05</v>
      </c>
      <c r="N304" s="296">
        <v>1</v>
      </c>
      <c r="O304" s="401">
        <f t="shared" ref="O304:O309" si="55">K304*L304*M304*N304</f>
        <v>0</v>
      </c>
      <c r="P304" s="299">
        <f>VLOOKUP($F304,'[1]Master Harga'!$E$5:$L$351,7,FALSE)</f>
        <v>47231.1</v>
      </c>
      <c r="Q304" s="543">
        <f>P304*$O304</f>
        <v>0</v>
      </c>
      <c r="R304" s="296">
        <f>VLOOKUP($F304,'[2]Master Harga'!$E$5:$L$348,6,FALSE)</f>
        <v>46267.200000000004</v>
      </c>
      <c r="S304" s="543">
        <f>R304*$O304</f>
        <v>0</v>
      </c>
      <c r="T304" s="544">
        <f>R304*1.1</f>
        <v>50893.920000000006</v>
      </c>
      <c r="U304" s="544">
        <f>O304*T304</f>
        <v>0</v>
      </c>
      <c r="V304" s="296" t="e">
        <f>W304/O304</f>
        <v>#DIV/0!</v>
      </c>
      <c r="W304" s="307">
        <f>AVERAGEIF($P$3:$U$3,W$3,$P304:$U304)</f>
        <v>0</v>
      </c>
      <c r="X304" s="545"/>
      <c r="Y304" s="296">
        <f t="shared" si="48"/>
        <v>0</v>
      </c>
      <c r="Z304" s="295"/>
    </row>
    <row r="305" spans="2:28" x14ac:dyDescent="0.35">
      <c r="B305" s="546"/>
      <c r="E305" s="547"/>
      <c r="F305" s="295" t="s">
        <v>224</v>
      </c>
      <c r="G305" s="364"/>
      <c r="H305" s="365"/>
      <c r="I305" s="366"/>
      <c r="J305" s="364"/>
      <c r="K305" s="548">
        <v>0.1</v>
      </c>
      <c r="L305" s="825">
        <f t="shared" si="54"/>
        <v>400.8</v>
      </c>
      <c r="M305" s="542">
        <v>2.0999999999999999E-3</v>
      </c>
      <c r="N305" s="296">
        <v>1</v>
      </c>
      <c r="O305" s="401">
        <f t="shared" si="55"/>
        <v>8.4168000000000007E-2</v>
      </c>
      <c r="P305" s="299">
        <f>VLOOKUP($F305,'[1]Master Harga'!$E$5:$L$351,7,FALSE)</f>
        <v>1506531.5212500002</v>
      </c>
      <c r="Q305" s="543">
        <f t="shared" ref="Q305:Q309" si="56">P305*$O305</f>
        <v>126801.74508057004</v>
      </c>
      <c r="R305" s="543"/>
      <c r="S305" s="543"/>
      <c r="T305" s="544"/>
      <c r="U305" s="544"/>
      <c r="V305" s="543"/>
      <c r="W305" s="307"/>
      <c r="X305" s="545"/>
      <c r="Y305" s="296">
        <f t="shared" si="48"/>
        <v>316.37161946250006</v>
      </c>
      <c r="Z305" s="295"/>
    </row>
    <row r="306" spans="2:28" hidden="1" x14ac:dyDescent="0.35">
      <c r="B306" s="546"/>
      <c r="E306" s="547"/>
      <c r="F306" s="295" t="s">
        <v>234</v>
      </c>
      <c r="G306" s="364"/>
      <c r="H306" s="365">
        <v>12</v>
      </c>
      <c r="I306" s="366"/>
      <c r="J306" s="364"/>
      <c r="K306" s="548"/>
      <c r="L306" s="825">
        <f t="shared" si="54"/>
        <v>400.8</v>
      </c>
      <c r="M306" s="663">
        <f t="shared" ref="M306:M309" si="57">((M$301*N$301)/240*($H306/N306))</f>
        <v>0.15000000000000002</v>
      </c>
      <c r="N306" s="296">
        <v>1</v>
      </c>
      <c r="O306" s="401">
        <f t="shared" si="55"/>
        <v>0</v>
      </c>
      <c r="P306" s="299">
        <f>VLOOKUP($F306,'[1]Master Harga'!$E$5:$L$351,7,FALSE)</f>
        <v>15435</v>
      </c>
      <c r="Q306" s="543">
        <f t="shared" si="56"/>
        <v>0</v>
      </c>
      <c r="R306" s="543"/>
      <c r="S306" s="543"/>
      <c r="T306" s="544"/>
      <c r="U306" s="544"/>
      <c r="V306" s="543"/>
      <c r="W306" s="307"/>
      <c r="X306" s="545"/>
      <c r="Y306" s="296">
        <f t="shared" si="48"/>
        <v>0</v>
      </c>
      <c r="Z306" s="295"/>
    </row>
    <row r="307" spans="2:28" hidden="1" x14ac:dyDescent="0.35">
      <c r="B307" s="546"/>
      <c r="E307" s="547"/>
      <c r="F307" s="295" t="s">
        <v>235</v>
      </c>
      <c r="G307" s="364"/>
      <c r="H307" s="365">
        <v>1</v>
      </c>
      <c r="I307" s="366"/>
      <c r="J307" s="364"/>
      <c r="K307" s="548"/>
      <c r="L307" s="825">
        <f t="shared" si="54"/>
        <v>400.8</v>
      </c>
      <c r="M307" s="663">
        <f t="shared" si="57"/>
        <v>1.2500000000000001E-2</v>
      </c>
      <c r="N307" s="296">
        <v>1</v>
      </c>
      <c r="O307" s="401">
        <f t="shared" si="55"/>
        <v>0</v>
      </c>
      <c r="P307" s="299">
        <f>VLOOKUP($F307,'[1]Master Harga'!$E$5:$L$351,7,FALSE)</f>
        <v>41327.212500000001</v>
      </c>
      <c r="Q307" s="543">
        <f t="shared" si="56"/>
        <v>0</v>
      </c>
      <c r="R307" s="543"/>
      <c r="S307" s="543"/>
      <c r="T307" s="544"/>
      <c r="U307" s="544"/>
      <c r="V307" s="543"/>
      <c r="W307" s="307"/>
      <c r="X307" s="545"/>
      <c r="Y307" s="296">
        <f t="shared" si="48"/>
        <v>0</v>
      </c>
      <c r="Z307" s="295"/>
    </row>
    <row r="308" spans="2:28" hidden="1" x14ac:dyDescent="0.35">
      <c r="B308" s="546"/>
      <c r="E308" s="547"/>
      <c r="F308" s="295" t="s">
        <v>236</v>
      </c>
      <c r="G308" s="364"/>
      <c r="H308" s="365">
        <v>2</v>
      </c>
      <c r="I308" s="366"/>
      <c r="J308" s="364"/>
      <c r="K308" s="548"/>
      <c r="L308" s="825">
        <f t="shared" si="54"/>
        <v>400.8</v>
      </c>
      <c r="M308" s="663">
        <f t="shared" si="57"/>
        <v>2.5000000000000001E-2</v>
      </c>
      <c r="N308" s="296">
        <v>1</v>
      </c>
      <c r="O308" s="401">
        <f t="shared" si="55"/>
        <v>0</v>
      </c>
      <c r="P308" s="299">
        <f>VLOOKUP($F308,'[1]Master Harga'!$E$5:$L$351,7,FALSE)</f>
        <v>35423.325000000004</v>
      </c>
      <c r="Q308" s="543">
        <f t="shared" si="56"/>
        <v>0</v>
      </c>
      <c r="R308" s="543"/>
      <c r="S308" s="543"/>
      <c r="T308" s="544"/>
      <c r="U308" s="544"/>
      <c r="V308" s="543"/>
      <c r="W308" s="307"/>
      <c r="X308" s="545"/>
      <c r="Y308" s="296">
        <f t="shared" si="48"/>
        <v>0</v>
      </c>
      <c r="Z308" s="295"/>
    </row>
    <row r="309" spans="2:28" hidden="1" x14ac:dyDescent="0.35">
      <c r="B309" s="546"/>
      <c r="E309" s="547"/>
      <c r="F309" s="295" t="s">
        <v>237</v>
      </c>
      <c r="G309" s="364"/>
      <c r="H309" s="365">
        <v>1</v>
      </c>
      <c r="I309" s="366"/>
      <c r="J309" s="364"/>
      <c r="K309" s="548"/>
      <c r="L309" s="825">
        <f t="shared" si="54"/>
        <v>400.8</v>
      </c>
      <c r="M309" s="663">
        <f t="shared" si="57"/>
        <v>1.2500000000000001E-2</v>
      </c>
      <c r="N309" s="296">
        <v>1</v>
      </c>
      <c r="O309" s="401">
        <f t="shared" si="55"/>
        <v>0</v>
      </c>
      <c r="P309" s="299">
        <f>VLOOKUP($F309,'[1]Master Harga'!$E$5:$L$351,7,FALSE)</f>
        <v>94462.2</v>
      </c>
      <c r="Q309" s="543">
        <f t="shared" si="56"/>
        <v>0</v>
      </c>
      <c r="R309" s="543"/>
      <c r="S309" s="543"/>
      <c r="T309" s="544"/>
      <c r="U309" s="544"/>
      <c r="V309" s="543"/>
      <c r="W309" s="307"/>
      <c r="X309" s="545"/>
      <c r="Y309" s="296">
        <f t="shared" si="48"/>
        <v>0</v>
      </c>
      <c r="Z309" s="295"/>
    </row>
    <row r="310" spans="2:28" hidden="1" x14ac:dyDescent="0.35">
      <c r="B310" s="549"/>
      <c r="C310" s="550"/>
      <c r="D310" s="550"/>
      <c r="E310" s="551"/>
      <c r="F310" s="295"/>
      <c r="G310" s="364"/>
      <c r="H310" s="365"/>
      <c r="I310" s="366"/>
      <c r="J310" s="364"/>
      <c r="K310" s="308"/>
      <c r="L310" s="825"/>
      <c r="M310" s="542"/>
      <c r="N310" s="296"/>
      <c r="O310" s="365"/>
      <c r="P310" s="543"/>
      <c r="Q310" s="543"/>
      <c r="R310" s="543"/>
      <c r="S310" s="543"/>
      <c r="T310" s="544"/>
      <c r="U310" s="544"/>
      <c r="V310" s="544"/>
      <c r="W310" s="544"/>
      <c r="X310" s="545"/>
      <c r="Y310" s="296">
        <f t="shared" si="48"/>
        <v>0</v>
      </c>
      <c r="Z310" s="295"/>
    </row>
    <row r="311" spans="2:28" ht="29.25" customHeight="1" x14ac:dyDescent="0.35">
      <c r="B311" s="685" t="s">
        <v>506</v>
      </c>
      <c r="C311" s="864"/>
      <c r="D311" s="864"/>
      <c r="E311" s="865"/>
      <c r="F311" s="688"/>
      <c r="G311" s="689"/>
      <c r="H311" s="690"/>
      <c r="I311" s="691"/>
      <c r="J311" s="689"/>
      <c r="K311" s="692"/>
      <c r="L311" s="866"/>
      <c r="M311" s="694"/>
      <c r="N311" s="695"/>
      <c r="O311" s="690"/>
      <c r="P311" s="696"/>
      <c r="Q311" s="697">
        <f>SUM(Q301:Q310)</f>
        <v>20667451.902792573</v>
      </c>
      <c r="R311" s="696"/>
      <c r="S311" s="697">
        <f>SUM(S300:S310)</f>
        <v>21118703.164128006</v>
      </c>
      <c r="T311" s="684"/>
      <c r="U311" s="684"/>
      <c r="V311" s="684"/>
      <c r="W311" s="684"/>
      <c r="X311" s="690"/>
      <c r="Y311" s="727">
        <f t="shared" si="48"/>
        <v>51565.498759462505</v>
      </c>
      <c r="Z311" s="879">
        <f>(Y311/$Y$421)*100</f>
        <v>0.37211953463016989</v>
      </c>
    </row>
    <row r="312" spans="2:28" x14ac:dyDescent="0.35">
      <c r="B312" s="539"/>
      <c r="C312" s="540" t="s">
        <v>507</v>
      </c>
      <c r="D312" s="540"/>
      <c r="E312" s="541"/>
      <c r="F312" s="295" t="s">
        <v>189</v>
      </c>
      <c r="G312" s="308" t="s">
        <v>190</v>
      </c>
      <c r="H312" s="365"/>
      <c r="I312" s="366"/>
      <c r="J312" s="364"/>
      <c r="K312" s="308"/>
      <c r="L312" s="825"/>
      <c r="M312" s="542">
        <v>0.5</v>
      </c>
      <c r="N312" s="508">
        <v>1</v>
      </c>
      <c r="O312" s="786"/>
      <c r="P312" s="787"/>
      <c r="Q312" s="787"/>
      <c r="R312" s="787"/>
      <c r="S312" s="787"/>
      <c r="T312" s="788"/>
      <c r="U312" s="788"/>
      <c r="V312" s="788"/>
      <c r="W312" s="788"/>
      <c r="X312" s="545"/>
      <c r="Y312" s="296">
        <f t="shared" si="48"/>
        <v>0</v>
      </c>
      <c r="Z312" s="295"/>
      <c r="AB312" s="395"/>
    </row>
    <row r="313" spans="2:28" x14ac:dyDescent="0.35">
      <c r="B313" s="549"/>
      <c r="C313" s="550"/>
      <c r="D313" s="550"/>
      <c r="E313" s="551"/>
      <c r="F313" s="295" t="s">
        <v>387</v>
      </c>
      <c r="G313" s="308" t="s">
        <v>192</v>
      </c>
      <c r="H313" s="365"/>
      <c r="I313" s="366"/>
      <c r="J313" s="364"/>
      <c r="K313" s="308"/>
      <c r="L313" s="825"/>
      <c r="M313" s="542">
        <v>1.92</v>
      </c>
      <c r="N313" s="508">
        <v>1</v>
      </c>
      <c r="O313" s="786"/>
      <c r="P313" s="787"/>
      <c r="Q313" s="787"/>
      <c r="R313" s="787"/>
      <c r="S313" s="787"/>
      <c r="T313" s="788"/>
      <c r="U313" s="788"/>
      <c r="V313" s="788"/>
      <c r="W313" s="788"/>
      <c r="X313" s="545"/>
      <c r="Y313" s="296">
        <f t="shared" si="48"/>
        <v>0</v>
      </c>
      <c r="Z313" s="295"/>
    </row>
    <row r="314" spans="2:28" x14ac:dyDescent="0.35">
      <c r="B314" s="546"/>
      <c r="C314" t="s">
        <v>508</v>
      </c>
      <c r="E314" s="547"/>
      <c r="F314" s="295" t="s">
        <v>189</v>
      </c>
      <c r="G314" s="364" t="s">
        <v>190</v>
      </c>
      <c r="H314" s="365"/>
      <c r="I314" s="366"/>
      <c r="J314" s="364" t="s">
        <v>170</v>
      </c>
      <c r="K314" s="400">
        <v>0.1</v>
      </c>
      <c r="L314" s="825">
        <f t="shared" ref="L314:L327" si="58">$L$59</f>
        <v>400.8</v>
      </c>
      <c r="M314" s="542">
        <v>0.25</v>
      </c>
      <c r="N314" s="299">
        <v>12</v>
      </c>
      <c r="O314" s="401">
        <f>K314*L314*M314*N314</f>
        <v>120.24000000000001</v>
      </c>
      <c r="P314" s="299">
        <f>VLOOKUP($F314,'[1]Master Harga'!$E$5:$L$351,7,FALSE)</f>
        <v>158800.57379999998</v>
      </c>
      <c r="Q314" s="543">
        <f>P314*$O314</f>
        <v>19094180.993712001</v>
      </c>
      <c r="R314" s="296">
        <f>VLOOKUP($F314,'[2]Master Harga'!$E$5:$L$348,7,FALSE)</f>
        <v>163305.33120000002</v>
      </c>
      <c r="S314" s="543">
        <f>R314*$O314</f>
        <v>19635833.023488004</v>
      </c>
      <c r="T314" s="296">
        <f>VLOOKUP($F314,'[2]Master Harga'!$E$5:$L$348,8,FALSE)</f>
        <v>179635.86432000002</v>
      </c>
      <c r="U314" s="544">
        <f>$O314*T314</f>
        <v>21599416.325836804</v>
      </c>
      <c r="V314" s="296">
        <f>W314/O314</f>
        <v>167247.25644000003</v>
      </c>
      <c r="W314" s="307">
        <f>AVERAGEIF($P$3:$U$3,W$3,$P314:$U314)</f>
        <v>20109810.114345606</v>
      </c>
      <c r="X314" s="545"/>
      <c r="Y314" s="296">
        <f t="shared" si="48"/>
        <v>47640.172140000002</v>
      </c>
      <c r="Z314" s="295"/>
    </row>
    <row r="315" spans="2:28" x14ac:dyDescent="0.35">
      <c r="B315" s="546"/>
      <c r="E315" s="547"/>
      <c r="F315" s="295" t="s">
        <v>509</v>
      </c>
      <c r="G315" s="364" t="s">
        <v>510</v>
      </c>
      <c r="H315" s="365"/>
      <c r="I315" s="366"/>
      <c r="J315" s="364" t="s">
        <v>170</v>
      </c>
      <c r="K315" s="400">
        <v>0.1</v>
      </c>
      <c r="L315" s="825">
        <f t="shared" si="58"/>
        <v>400.8</v>
      </c>
      <c r="M315" s="542">
        <f>1/2</f>
        <v>0.5</v>
      </c>
      <c r="N315" s="299">
        <v>6</v>
      </c>
      <c r="O315" s="401">
        <f>K315*L315*M315*N315</f>
        <v>120.24000000000001</v>
      </c>
      <c r="P315" s="299">
        <f>VLOOKUP($F315,'[1]Master Harga'!$E$5:$L$351,7,FALSE)</f>
        <v>81372.437999999995</v>
      </c>
      <c r="Q315" s="543">
        <f>P315*$O315</f>
        <v>9784221.9451199993</v>
      </c>
      <c r="R315" s="296">
        <f>VLOOKUP($F315,'[2]Master Harga'!$E$5:$L$348,7,FALSE)</f>
        <v>84501.863280000005</v>
      </c>
      <c r="S315" s="543">
        <f>R315*$O315</f>
        <v>10160504.040787201</v>
      </c>
      <c r="T315" s="296">
        <f>VLOOKUP($F315,'[2]Master Harga'!$E$5:$L$348,8,FALSE)</f>
        <v>90416.993709600007</v>
      </c>
      <c r="U315" s="544">
        <f>$O315*T315</f>
        <v>10871739.323642306</v>
      </c>
      <c r="V315" s="296">
        <f>W315/O315</f>
        <v>85430.431663199997</v>
      </c>
      <c r="W315" s="307">
        <f>AVERAGEIF($P$3:$U$3,W$3,$P315:$U315)</f>
        <v>10272155.103183169</v>
      </c>
      <c r="X315" s="545"/>
      <c r="Y315" s="296">
        <f t="shared" si="48"/>
        <v>24411.731399999997</v>
      </c>
      <c r="Z315" s="295"/>
    </row>
    <row r="316" spans="2:28" x14ac:dyDescent="0.35">
      <c r="B316" s="546"/>
      <c r="E316" s="547"/>
      <c r="F316" s="295" t="s">
        <v>511</v>
      </c>
      <c r="G316" s="364" t="s">
        <v>194</v>
      </c>
      <c r="H316" s="365"/>
      <c r="I316" s="366"/>
      <c r="J316" s="364" t="s">
        <v>170</v>
      </c>
      <c r="K316" s="400">
        <v>0.1</v>
      </c>
      <c r="L316" s="825">
        <f t="shared" si="58"/>
        <v>400.8</v>
      </c>
      <c r="M316" s="542">
        <f>1/2</f>
        <v>0.5</v>
      </c>
      <c r="N316" s="299">
        <v>3</v>
      </c>
      <c r="O316" s="401">
        <f>K316*L316*M316*N316</f>
        <v>60.120000000000005</v>
      </c>
      <c r="P316" s="299">
        <f>VLOOKUP($F316,'[1]Master Harga'!$E$5:$L$351,7,FALSE)</f>
        <v>55125</v>
      </c>
      <c r="Q316" s="543">
        <f>P316*$O316</f>
        <v>3314115.0000000005</v>
      </c>
      <c r="R316" s="296"/>
      <c r="S316" s="543"/>
      <c r="T316" s="296"/>
      <c r="U316" s="544"/>
      <c r="V316" s="296"/>
      <c r="W316" s="307"/>
      <c r="X316" s="545"/>
      <c r="Y316" s="296">
        <f t="shared" ref="Y316:Y379" si="59">Q316/$AC$2</f>
        <v>8268.7500000000018</v>
      </c>
      <c r="Z316" s="295"/>
    </row>
    <row r="317" spans="2:28" x14ac:dyDescent="0.35">
      <c r="B317" s="546"/>
      <c r="E317" s="547"/>
      <c r="F317" s="295" t="s">
        <v>189</v>
      </c>
      <c r="G317" s="364" t="s">
        <v>190</v>
      </c>
      <c r="H317" s="365"/>
      <c r="I317" s="366"/>
      <c r="J317" s="364" t="s">
        <v>170</v>
      </c>
      <c r="K317" s="400"/>
      <c r="L317" s="825">
        <f t="shared" si="58"/>
        <v>400.8</v>
      </c>
      <c r="M317" s="542">
        <v>0.25</v>
      </c>
      <c r="N317" s="299">
        <v>6</v>
      </c>
      <c r="O317" s="401">
        <f>K317*L317*M317*N317</f>
        <v>0</v>
      </c>
      <c r="P317" s="299">
        <f>VLOOKUP($F317,'[1]Master Harga'!$E$5:$L$351,7,FALSE)</f>
        <v>158800.57379999998</v>
      </c>
      <c r="Q317" s="543">
        <f t="shared" ref="Q317:Q324" si="60">P317*$O317</f>
        <v>0</v>
      </c>
      <c r="R317" s="296"/>
      <c r="S317" s="543"/>
      <c r="T317" s="296"/>
      <c r="U317" s="544"/>
      <c r="V317" s="296"/>
      <c r="W317" s="307"/>
      <c r="X317" s="545"/>
      <c r="Y317" s="296">
        <f t="shared" si="59"/>
        <v>0</v>
      </c>
      <c r="Z317" s="295"/>
    </row>
    <row r="318" spans="2:28" x14ac:dyDescent="0.35">
      <c r="B318" s="546"/>
      <c r="E318" s="547"/>
      <c r="F318" s="295" t="s">
        <v>231</v>
      </c>
      <c r="G318" s="364" t="s">
        <v>190</v>
      </c>
      <c r="H318" s="365"/>
      <c r="I318" s="366"/>
      <c r="J318" s="364" t="s">
        <v>170</v>
      </c>
      <c r="K318" s="400">
        <v>0.1</v>
      </c>
      <c r="L318" s="825">
        <f t="shared" si="58"/>
        <v>400.8</v>
      </c>
      <c r="M318" s="542">
        <v>0.25</v>
      </c>
      <c r="N318" s="299">
        <v>6</v>
      </c>
      <c r="O318" s="401">
        <f t="shared" ref="O318:O324" si="61">K318*L318*M318*N318</f>
        <v>60.120000000000005</v>
      </c>
      <c r="P318" s="299">
        <f>VLOOKUP($F318,'[1]Master Harga'!$E$5:$L$351,7,FALSE)</f>
        <v>4244.625</v>
      </c>
      <c r="Q318" s="543">
        <f t="shared" si="60"/>
        <v>255186.85500000001</v>
      </c>
      <c r="R318" s="296"/>
      <c r="S318" s="543"/>
      <c r="T318" s="296"/>
      <c r="U318" s="544"/>
      <c r="V318" s="296"/>
      <c r="W318" s="307"/>
      <c r="X318" s="545"/>
      <c r="Y318" s="296">
        <f t="shared" si="59"/>
        <v>636.69375000000002</v>
      </c>
      <c r="Z318" s="295"/>
    </row>
    <row r="319" spans="2:28" x14ac:dyDescent="0.35">
      <c r="B319" s="546"/>
      <c r="E319" s="547"/>
      <c r="F319" s="295" t="s">
        <v>232</v>
      </c>
      <c r="G319" s="364" t="s">
        <v>194</v>
      </c>
      <c r="H319" s="365">
        <v>4</v>
      </c>
      <c r="I319" s="366" t="s">
        <v>233</v>
      </c>
      <c r="J319" s="364" t="s">
        <v>170</v>
      </c>
      <c r="K319" s="400">
        <v>0.1</v>
      </c>
      <c r="L319" s="825">
        <f t="shared" si="58"/>
        <v>400.8</v>
      </c>
      <c r="M319" s="552">
        <f>((M$317*N$317)/240*($H319/N319))</f>
        <v>1.2500000000000001E-2</v>
      </c>
      <c r="N319" s="299">
        <v>2</v>
      </c>
      <c r="O319" s="401">
        <f t="shared" si="61"/>
        <v>1.0020000000000002</v>
      </c>
      <c r="P319" s="299">
        <f>VLOOKUP($F319,'[1]Master Harga'!$E$5:$L$351,7,FALSE)</f>
        <v>47231.1</v>
      </c>
      <c r="Q319" s="543">
        <f t="shared" si="60"/>
        <v>47325.562200000008</v>
      </c>
      <c r="R319" s="296"/>
      <c r="S319" s="543"/>
      <c r="T319" s="296"/>
      <c r="U319" s="544"/>
      <c r="V319" s="296"/>
      <c r="W319" s="307"/>
      <c r="X319" s="545"/>
      <c r="Y319" s="296">
        <f t="shared" si="59"/>
        <v>118.07775000000001</v>
      </c>
      <c r="Z319" s="295"/>
    </row>
    <row r="320" spans="2:28" x14ac:dyDescent="0.35">
      <c r="B320" s="546"/>
      <c r="E320" s="547"/>
      <c r="F320" s="295" t="s">
        <v>224</v>
      </c>
      <c r="G320" s="364" t="s">
        <v>194</v>
      </c>
      <c r="H320" s="365"/>
      <c r="I320" s="366"/>
      <c r="J320" s="364"/>
      <c r="K320" s="400">
        <v>0.1</v>
      </c>
      <c r="L320" s="825">
        <f t="shared" si="58"/>
        <v>400.8</v>
      </c>
      <c r="M320" s="552">
        <v>6.2500000000000003E-3</v>
      </c>
      <c r="N320" s="299">
        <v>1</v>
      </c>
      <c r="O320" s="401">
        <f t="shared" si="61"/>
        <v>0.25050000000000006</v>
      </c>
      <c r="P320" s="299">
        <f>VLOOKUP($F320,'[1]Master Harga'!$E$5:$L$351,7,FALSE)</f>
        <v>1506531.5212500002</v>
      </c>
      <c r="Q320" s="543">
        <f t="shared" si="60"/>
        <v>377386.14607312513</v>
      </c>
      <c r="R320" s="296"/>
      <c r="S320" s="543"/>
      <c r="T320" s="296"/>
      <c r="U320" s="544"/>
      <c r="V320" s="296"/>
      <c r="W320" s="307"/>
      <c r="X320" s="545"/>
      <c r="Y320" s="296">
        <f t="shared" si="59"/>
        <v>941.58220078125032</v>
      </c>
      <c r="Z320" s="295"/>
    </row>
    <row r="321" spans="2:26" x14ac:dyDescent="0.35">
      <c r="B321" s="546"/>
      <c r="E321" s="547"/>
      <c r="F321" s="295" t="s">
        <v>234</v>
      </c>
      <c r="G321" s="364" t="s">
        <v>194</v>
      </c>
      <c r="H321" s="365">
        <v>12</v>
      </c>
      <c r="I321" s="366" t="s">
        <v>233</v>
      </c>
      <c r="J321" s="364" t="s">
        <v>170</v>
      </c>
      <c r="K321" s="400">
        <v>0.1</v>
      </c>
      <c r="L321" s="825">
        <f t="shared" si="58"/>
        <v>400.8</v>
      </c>
      <c r="M321" s="552">
        <f t="shared" ref="M321:M324" si="62">((M$317*N$317)/240*($H321/N321))</f>
        <v>3.7500000000000006E-2</v>
      </c>
      <c r="N321" s="299">
        <v>2</v>
      </c>
      <c r="O321" s="401">
        <f t="shared" si="61"/>
        <v>3.0060000000000007</v>
      </c>
      <c r="P321" s="299">
        <f>VLOOKUP($F321,'[1]Master Harga'!$E$5:$L$351,7,FALSE)</f>
        <v>15435</v>
      </c>
      <c r="Q321" s="543">
        <f t="shared" si="60"/>
        <v>46397.610000000008</v>
      </c>
      <c r="R321" s="296"/>
      <c r="S321" s="543"/>
      <c r="T321" s="296"/>
      <c r="U321" s="544"/>
      <c r="V321" s="296"/>
      <c r="W321" s="307"/>
      <c r="X321" s="545"/>
      <c r="Y321" s="296">
        <f t="shared" si="59"/>
        <v>115.76250000000002</v>
      </c>
      <c r="Z321" s="295"/>
    </row>
    <row r="322" spans="2:26" x14ac:dyDescent="0.35">
      <c r="B322" s="546"/>
      <c r="E322" s="547"/>
      <c r="F322" s="295" t="s">
        <v>235</v>
      </c>
      <c r="G322" s="364" t="s">
        <v>194</v>
      </c>
      <c r="H322" s="365">
        <v>1</v>
      </c>
      <c r="I322" s="366" t="s">
        <v>233</v>
      </c>
      <c r="J322" s="364" t="s">
        <v>170</v>
      </c>
      <c r="K322" s="400">
        <v>0.1</v>
      </c>
      <c r="L322" s="825">
        <f t="shared" si="58"/>
        <v>400.8</v>
      </c>
      <c r="M322" s="552">
        <f t="shared" si="62"/>
        <v>3.1250000000000002E-3</v>
      </c>
      <c r="N322" s="299">
        <v>2</v>
      </c>
      <c r="O322" s="401">
        <f t="shared" si="61"/>
        <v>0.25050000000000006</v>
      </c>
      <c r="P322" s="299">
        <f>VLOOKUP($F322,'[1]Master Harga'!$E$5:$L$351,7,FALSE)</f>
        <v>41327.212500000001</v>
      </c>
      <c r="Q322" s="543">
        <f t="shared" si="60"/>
        <v>10352.466731250002</v>
      </c>
      <c r="R322" s="296"/>
      <c r="S322" s="543"/>
      <c r="T322" s="296"/>
      <c r="U322" s="544"/>
      <c r="V322" s="296"/>
      <c r="W322" s="307"/>
      <c r="X322" s="545"/>
      <c r="Y322" s="296">
        <f t="shared" si="59"/>
        <v>25.829507812500005</v>
      </c>
      <c r="Z322" s="295"/>
    </row>
    <row r="323" spans="2:26" x14ac:dyDescent="0.35">
      <c r="B323" s="546"/>
      <c r="E323" s="547"/>
      <c r="F323" s="295" t="s">
        <v>236</v>
      </c>
      <c r="G323" s="364" t="s">
        <v>194</v>
      </c>
      <c r="H323" s="365">
        <v>2</v>
      </c>
      <c r="I323" s="366" t="s">
        <v>233</v>
      </c>
      <c r="J323" s="364" t="s">
        <v>170</v>
      </c>
      <c r="K323" s="400">
        <v>0.1</v>
      </c>
      <c r="L323" s="825">
        <f t="shared" si="58"/>
        <v>400.8</v>
      </c>
      <c r="M323" s="552">
        <f t="shared" si="62"/>
        <v>6.2500000000000003E-3</v>
      </c>
      <c r="N323" s="299">
        <v>2</v>
      </c>
      <c r="O323" s="401">
        <f t="shared" si="61"/>
        <v>0.50100000000000011</v>
      </c>
      <c r="P323" s="299">
        <f>VLOOKUP($F323,'[1]Master Harga'!$E$5:$L$351,7,FALSE)</f>
        <v>35423.325000000004</v>
      </c>
      <c r="Q323" s="543">
        <f t="shared" si="60"/>
        <v>17747.085825000006</v>
      </c>
      <c r="R323" s="296"/>
      <c r="S323" s="543"/>
      <c r="T323" s="296"/>
      <c r="U323" s="544"/>
      <c r="V323" s="296"/>
      <c r="W323" s="307"/>
      <c r="X323" s="545"/>
      <c r="Y323" s="296">
        <f t="shared" si="59"/>
        <v>44.279156250000014</v>
      </c>
      <c r="Z323" s="295"/>
    </row>
    <row r="324" spans="2:26" x14ac:dyDescent="0.35">
      <c r="B324" s="546"/>
      <c r="E324" s="547"/>
      <c r="F324" s="295" t="s">
        <v>237</v>
      </c>
      <c r="G324" s="364" t="s">
        <v>194</v>
      </c>
      <c r="H324" s="365">
        <v>1</v>
      </c>
      <c r="I324" s="366" t="s">
        <v>233</v>
      </c>
      <c r="J324" s="364" t="s">
        <v>170</v>
      </c>
      <c r="K324" s="400">
        <v>0.1</v>
      </c>
      <c r="L324" s="825">
        <f t="shared" si="58"/>
        <v>400.8</v>
      </c>
      <c r="M324" s="552">
        <f t="shared" si="62"/>
        <v>6.2500000000000003E-3</v>
      </c>
      <c r="N324" s="299">
        <v>1</v>
      </c>
      <c r="O324" s="401">
        <f t="shared" si="61"/>
        <v>0.25050000000000006</v>
      </c>
      <c r="P324" s="299">
        <f>VLOOKUP($F324,'[1]Master Harga'!$E$5:$L$351,7,FALSE)</f>
        <v>94462.2</v>
      </c>
      <c r="Q324" s="543">
        <f t="shared" si="60"/>
        <v>23662.781100000004</v>
      </c>
      <c r="R324" s="296"/>
      <c r="S324" s="543"/>
      <c r="T324" s="296"/>
      <c r="U324" s="544"/>
      <c r="V324" s="296"/>
      <c r="W324" s="307"/>
      <c r="X324" s="545"/>
      <c r="Y324" s="296">
        <f t="shared" si="59"/>
        <v>59.038875000000004</v>
      </c>
      <c r="Z324" s="295"/>
    </row>
    <row r="325" spans="2:26" x14ac:dyDescent="0.35">
      <c r="B325" s="546"/>
      <c r="E325" s="547"/>
      <c r="F325" s="295" t="s">
        <v>512</v>
      </c>
      <c r="G325" s="364" t="s">
        <v>226</v>
      </c>
      <c r="H325" s="365"/>
      <c r="I325" s="366"/>
      <c r="J325" s="364" t="s">
        <v>170</v>
      </c>
      <c r="K325" s="400">
        <v>0.1</v>
      </c>
      <c r="L325" s="825">
        <f t="shared" si="58"/>
        <v>400.8</v>
      </c>
      <c r="M325" s="542">
        <f>91.08/1000</f>
        <v>9.1079999999999994E-2</v>
      </c>
      <c r="N325" s="299">
        <v>6</v>
      </c>
      <c r="O325" s="401">
        <f>K325*L325*M325*N325</f>
        <v>21.902918400000001</v>
      </c>
      <c r="P325" s="299">
        <f>VLOOKUP($F325,'[1]Master Harga'!$E$5:$L$351,7,FALSE)</f>
        <v>56171.272499999999</v>
      </c>
      <c r="Q325" s="543">
        <f>P325*$O325</f>
        <v>1230314.7979916639</v>
      </c>
      <c r="R325" s="296"/>
      <c r="S325" s="543"/>
      <c r="T325" s="296"/>
      <c r="U325" s="544"/>
      <c r="V325" s="296"/>
      <c r="W325" s="307"/>
      <c r="X325" s="545"/>
      <c r="Y325" s="437">
        <f t="shared" si="59"/>
        <v>3069.6476995799999</v>
      </c>
      <c r="Z325" s="295"/>
    </row>
    <row r="326" spans="2:26" x14ac:dyDescent="0.35">
      <c r="B326" s="546"/>
      <c r="E326" s="547"/>
      <c r="F326" s="288" t="s">
        <v>189</v>
      </c>
      <c r="G326" s="289" t="s">
        <v>190</v>
      </c>
      <c r="H326" s="290"/>
      <c r="I326" s="291"/>
      <c r="J326" s="709"/>
      <c r="K326" s="400"/>
      <c r="L326" s="825">
        <f t="shared" si="58"/>
        <v>400.8</v>
      </c>
      <c r="M326" s="542">
        <v>0.25</v>
      </c>
      <c r="N326" s="299">
        <v>12</v>
      </c>
      <c r="O326" s="508">
        <f>K326*L326*M326*N326</f>
        <v>0</v>
      </c>
      <c r="P326" s="299">
        <f>VLOOKUP($F326,'[1]Master Harga'!$E$5:$L$351,7,FALSE)</f>
        <v>158800.57379999998</v>
      </c>
      <c r="Q326" s="543">
        <f t="shared" ref="Q326:Q327" si="63">P326*$O326</f>
        <v>0</v>
      </c>
      <c r="R326" s="296"/>
      <c r="S326" s="543"/>
      <c r="T326" s="296"/>
      <c r="U326" s="544"/>
      <c r="V326" s="296"/>
      <c r="W326" s="307"/>
      <c r="X326" s="545"/>
      <c r="Y326" s="437">
        <f t="shared" si="59"/>
        <v>0</v>
      </c>
      <c r="Z326" s="295"/>
    </row>
    <row r="327" spans="2:26" x14ac:dyDescent="0.35">
      <c r="B327" s="549"/>
      <c r="C327" s="550"/>
      <c r="D327" s="550"/>
      <c r="E327" s="551"/>
      <c r="F327" s="288" t="s">
        <v>383</v>
      </c>
      <c r="G327" s="289" t="s">
        <v>384</v>
      </c>
      <c r="H327" s="290"/>
      <c r="I327" s="291"/>
      <c r="J327" s="709"/>
      <c r="K327" s="400">
        <v>0.1</v>
      </c>
      <c r="L327" s="825">
        <f t="shared" si="58"/>
        <v>400.8</v>
      </c>
      <c r="M327" s="542">
        <f>5*136/1000</f>
        <v>0.68</v>
      </c>
      <c r="N327" s="299">
        <v>12</v>
      </c>
      <c r="O327" s="508">
        <f>K327*L327*M327*N327</f>
        <v>327.05280000000005</v>
      </c>
      <c r="P327" s="299">
        <f>VLOOKUP($F327,'[1]Master Harga'!$E$5:$L$351,7,FALSE)</f>
        <v>34006.392</v>
      </c>
      <c r="Q327" s="543">
        <f t="shared" si="63"/>
        <v>11121885.721497601</v>
      </c>
      <c r="R327" s="296">
        <f>VLOOKUP($F327,'[2]Master Harga'!$E$5:$L$348,7,FALSE)</f>
        <v>0</v>
      </c>
      <c r="S327" s="543">
        <f>R327*$O327</f>
        <v>0</v>
      </c>
      <c r="T327" s="296">
        <f>VLOOKUP($F327,'[2]Master Harga'!$E$5:$L$348,8,FALSE)</f>
        <v>0</v>
      </c>
      <c r="U327" s="544">
        <f>$O327*T327</f>
        <v>0</v>
      </c>
      <c r="V327" s="296">
        <f>W327/O327</f>
        <v>11335.464</v>
      </c>
      <c r="W327" s="307">
        <f>AVERAGEIF($P$3:$U$3,W$3,$P327:$U327)</f>
        <v>3707295.2404992003</v>
      </c>
      <c r="X327" s="545"/>
      <c r="Y327" s="437">
        <f t="shared" si="59"/>
        <v>27749.215872000001</v>
      </c>
      <c r="Z327" s="295"/>
    </row>
    <row r="328" spans="2:26" ht="29.25" customHeight="1" x14ac:dyDescent="0.35">
      <c r="B328" s="685" t="s">
        <v>513</v>
      </c>
      <c r="C328" s="864"/>
      <c r="D328" s="864"/>
      <c r="E328" s="865"/>
      <c r="F328" s="688"/>
      <c r="G328" s="689"/>
      <c r="H328" s="690"/>
      <c r="I328" s="691"/>
      <c r="J328" s="689"/>
      <c r="K328" s="692"/>
      <c r="L328" s="866"/>
      <c r="M328" s="694"/>
      <c r="N328" s="695"/>
      <c r="O328" s="690"/>
      <c r="P328" s="696"/>
      <c r="Q328" s="697">
        <f>SUM(Q314:Q327)</f>
        <v>45322776.965250641</v>
      </c>
      <c r="R328" s="696"/>
      <c r="S328" s="697">
        <f>SUM(S317:S327)</f>
        <v>0</v>
      </c>
      <c r="T328" s="684"/>
      <c r="U328" s="684"/>
      <c r="V328" s="684"/>
      <c r="W328" s="684"/>
      <c r="X328" s="690"/>
      <c r="Y328" s="727">
        <f t="shared" si="59"/>
        <v>113080.78085142375</v>
      </c>
      <c r="Z328" s="879">
        <f>(Y328/$Y$421)*100</f>
        <v>0.81604112358801217</v>
      </c>
    </row>
    <row r="329" spans="2:26" x14ac:dyDescent="0.35">
      <c r="B329" s="546"/>
      <c r="C329" t="s">
        <v>514</v>
      </c>
      <c r="E329" s="547"/>
      <c r="F329" s="295" t="s">
        <v>189</v>
      </c>
      <c r="G329" s="364" t="s">
        <v>190</v>
      </c>
      <c r="H329" s="365"/>
      <c r="I329" s="366"/>
      <c r="J329" s="364"/>
      <c r="K329" s="308"/>
      <c r="L329" s="825"/>
      <c r="M329" s="542"/>
      <c r="N329" s="296"/>
      <c r="O329" s="365"/>
      <c r="P329" s="543"/>
      <c r="Q329" s="543"/>
      <c r="R329" s="543"/>
      <c r="S329" s="543"/>
      <c r="T329" s="544"/>
      <c r="U329" s="544"/>
      <c r="V329" s="544"/>
      <c r="W329" s="544"/>
      <c r="X329" s="545"/>
      <c r="Y329" s="296">
        <f t="shared" si="59"/>
        <v>0</v>
      </c>
      <c r="Z329" s="295"/>
    </row>
    <row r="330" spans="2:26" hidden="1" x14ac:dyDescent="0.35">
      <c r="B330" s="546"/>
      <c r="E330" s="547"/>
      <c r="F330" s="295" t="s">
        <v>515</v>
      </c>
      <c r="G330" s="364" t="s">
        <v>226</v>
      </c>
      <c r="H330" s="365"/>
      <c r="I330" s="366"/>
      <c r="J330" s="364"/>
      <c r="K330" s="308"/>
      <c r="L330" s="825"/>
      <c r="M330" s="542"/>
      <c r="N330" s="296"/>
      <c r="O330" s="365"/>
      <c r="P330" s="543"/>
      <c r="Q330" s="543"/>
      <c r="R330" s="543"/>
      <c r="S330" s="543"/>
      <c r="T330" s="544"/>
      <c r="U330" s="544"/>
      <c r="V330" s="544"/>
      <c r="W330" s="544"/>
      <c r="X330" s="545"/>
      <c r="Y330" s="296">
        <f t="shared" si="59"/>
        <v>0</v>
      </c>
      <c r="Z330" s="295"/>
    </row>
    <row r="331" spans="2:26" hidden="1" x14ac:dyDescent="0.35">
      <c r="B331" s="549"/>
      <c r="C331" s="550"/>
      <c r="D331" s="550"/>
      <c r="E331" s="551"/>
      <c r="F331" s="295"/>
      <c r="G331" s="364"/>
      <c r="H331" s="365"/>
      <c r="I331" s="366"/>
      <c r="J331" s="364"/>
      <c r="K331" s="308"/>
      <c r="L331" s="825"/>
      <c r="M331" s="542"/>
      <c r="N331" s="296"/>
      <c r="O331" s="365"/>
      <c r="P331" s="543"/>
      <c r="Q331" s="543"/>
      <c r="R331" s="543"/>
      <c r="S331" s="543"/>
      <c r="T331" s="544"/>
      <c r="U331" s="544"/>
      <c r="V331" s="544"/>
      <c r="W331" s="544"/>
      <c r="X331" s="545"/>
      <c r="Y331" s="296">
        <f t="shared" si="59"/>
        <v>0</v>
      </c>
      <c r="Z331" s="295"/>
    </row>
    <row r="332" spans="2:26" ht="15" customHeight="1" x14ac:dyDescent="0.35">
      <c r="B332" s="539"/>
      <c r="C332" s="540" t="s">
        <v>516</v>
      </c>
      <c r="D332" s="540"/>
      <c r="E332" s="541"/>
      <c r="F332" s="765" t="s">
        <v>189</v>
      </c>
      <c r="G332" s="904" t="s">
        <v>190</v>
      </c>
      <c r="H332" s="905"/>
      <c r="I332" s="906"/>
      <c r="J332" s="907"/>
      <c r="K332" s="908"/>
      <c r="L332" s="909"/>
      <c r="M332" s="881">
        <v>11.5</v>
      </c>
      <c r="N332" s="910">
        <v>1</v>
      </c>
      <c r="O332" s="911"/>
      <c r="P332" s="910"/>
      <c r="Q332" s="910"/>
      <c r="R332" s="910"/>
      <c r="S332" s="910"/>
      <c r="T332" s="794"/>
      <c r="U332" s="794"/>
      <c r="V332" s="794"/>
      <c r="W332" s="794"/>
      <c r="X332" s="545"/>
      <c r="Y332" s="296">
        <f t="shared" si="59"/>
        <v>0</v>
      </c>
      <c r="Z332" s="295"/>
    </row>
    <row r="333" spans="2:26" hidden="1" x14ac:dyDescent="0.35">
      <c r="B333" s="546"/>
      <c r="E333" s="547"/>
      <c r="F333" s="765" t="s">
        <v>392</v>
      </c>
      <c r="G333" s="904" t="s">
        <v>393</v>
      </c>
      <c r="H333" s="912"/>
      <c r="I333" s="913"/>
      <c r="J333" s="914"/>
      <c r="K333" s="915"/>
      <c r="L333" s="916"/>
      <c r="M333" s="881">
        <f>0.002*136</f>
        <v>0.27200000000000002</v>
      </c>
      <c r="N333" s="910">
        <v>1</v>
      </c>
      <c r="O333" s="911"/>
      <c r="P333" s="910"/>
      <c r="Q333" s="910"/>
      <c r="R333" s="910"/>
      <c r="S333" s="910"/>
      <c r="T333" s="794"/>
      <c r="U333" s="794"/>
      <c r="V333" s="794"/>
      <c r="W333" s="794"/>
      <c r="X333" s="545"/>
      <c r="Y333" s="296">
        <f t="shared" si="59"/>
        <v>0</v>
      </c>
      <c r="Z333" s="295"/>
    </row>
    <row r="334" spans="2:26" hidden="1" x14ac:dyDescent="0.35">
      <c r="B334" s="546"/>
      <c r="E334" s="547"/>
      <c r="F334" s="765" t="s">
        <v>394</v>
      </c>
      <c r="G334" s="904" t="s">
        <v>192</v>
      </c>
      <c r="H334" s="917"/>
      <c r="I334" s="918"/>
      <c r="J334" s="919"/>
      <c r="K334" s="920"/>
      <c r="L334" s="921"/>
      <c r="M334" s="881">
        <f>0.001*136</f>
        <v>0.13600000000000001</v>
      </c>
      <c r="N334" s="910">
        <v>1</v>
      </c>
      <c r="O334" s="911"/>
      <c r="P334" s="910"/>
      <c r="Q334" s="910"/>
      <c r="R334" s="910"/>
      <c r="S334" s="910"/>
      <c r="T334" s="794"/>
      <c r="U334" s="794"/>
      <c r="V334" s="794"/>
      <c r="W334" s="794"/>
      <c r="X334" s="545"/>
      <c r="Y334" s="296">
        <f t="shared" si="59"/>
        <v>0</v>
      </c>
      <c r="Z334" s="295"/>
    </row>
    <row r="335" spans="2:26" x14ac:dyDescent="0.35">
      <c r="B335" s="539"/>
      <c r="C335" s="540" t="s">
        <v>518</v>
      </c>
      <c r="D335" s="540"/>
      <c r="E335" s="541"/>
      <c r="F335" s="295" t="s">
        <v>189</v>
      </c>
      <c r="G335" s="364" t="s">
        <v>190</v>
      </c>
      <c r="H335" s="365"/>
      <c r="I335" s="366"/>
      <c r="J335" s="364"/>
      <c r="K335" s="308"/>
      <c r="L335" s="825"/>
      <c r="M335" s="542"/>
      <c r="N335" s="296"/>
      <c r="O335" s="365"/>
      <c r="P335" s="543"/>
      <c r="Q335" s="543"/>
      <c r="R335" s="543"/>
      <c r="S335" s="543"/>
      <c r="T335" s="544"/>
      <c r="U335" s="544"/>
      <c r="V335" s="544"/>
      <c r="W335" s="544"/>
      <c r="X335" s="545"/>
      <c r="Y335" s="296">
        <f t="shared" si="59"/>
        <v>0</v>
      </c>
      <c r="Z335" s="295"/>
    </row>
    <row r="336" spans="2:26" hidden="1" x14ac:dyDescent="0.35">
      <c r="B336" s="549"/>
      <c r="C336" s="550"/>
      <c r="D336" s="550"/>
      <c r="E336" s="551"/>
      <c r="F336" s="295"/>
      <c r="G336" s="364"/>
      <c r="H336" s="365"/>
      <c r="I336" s="366"/>
      <c r="J336" s="364"/>
      <c r="K336" s="308"/>
      <c r="L336" s="825"/>
      <c r="M336" s="542"/>
      <c r="N336" s="296"/>
      <c r="O336" s="365"/>
      <c r="P336" s="543"/>
      <c r="Q336" s="543"/>
      <c r="R336" s="543"/>
      <c r="S336" s="543"/>
      <c r="T336" s="544"/>
      <c r="U336" s="544"/>
      <c r="V336" s="544"/>
      <c r="W336" s="544"/>
      <c r="X336" s="545"/>
      <c r="Y336" s="296">
        <f t="shared" si="59"/>
        <v>0</v>
      </c>
      <c r="Z336" s="295"/>
    </row>
    <row r="337" spans="2:26" ht="29.25" customHeight="1" x14ac:dyDescent="0.35">
      <c r="B337" s="753" t="s">
        <v>547</v>
      </c>
      <c r="C337" s="853"/>
      <c r="D337" s="853"/>
      <c r="E337" s="854"/>
      <c r="F337" s="668"/>
      <c r="G337" s="669"/>
      <c r="H337" s="670"/>
      <c r="I337" s="671"/>
      <c r="J337" s="669"/>
      <c r="K337" s="672"/>
      <c r="L337" s="876"/>
      <c r="M337" s="674"/>
      <c r="N337" s="675"/>
      <c r="O337" s="670"/>
      <c r="P337" s="676"/>
      <c r="Q337" s="756">
        <f>Q298+Q311+Q328</f>
        <v>101627146.34986322</v>
      </c>
      <c r="R337" s="676"/>
      <c r="S337" s="756">
        <f>SUM(S326:S336)</f>
        <v>0</v>
      </c>
      <c r="T337" s="677"/>
      <c r="U337" s="677"/>
      <c r="V337" s="677"/>
      <c r="W337" s="677"/>
      <c r="X337" s="670"/>
      <c r="Y337" s="720">
        <f t="shared" si="59"/>
        <v>253560.74438588627</v>
      </c>
      <c r="Z337" s="889">
        <f>(Y337/$Y$421)*100</f>
        <v>1.8298069149198504</v>
      </c>
    </row>
    <row r="338" spans="2:26" x14ac:dyDescent="0.35">
      <c r="B338" s="678" t="s">
        <v>520</v>
      </c>
      <c r="C338" s="366"/>
      <c r="D338" s="366"/>
      <c r="E338" s="553"/>
      <c r="F338" s="295"/>
      <c r="G338" s="364"/>
      <c r="H338" s="365"/>
      <c r="I338" s="366"/>
      <c r="J338" s="364"/>
      <c r="K338" s="308"/>
      <c r="L338" s="825"/>
      <c r="M338" s="800">
        <v>143</v>
      </c>
      <c r="N338" s="296"/>
      <c r="O338" s="365"/>
      <c r="P338" s="543"/>
      <c r="Q338" s="543"/>
      <c r="R338" s="543"/>
      <c r="S338" s="543"/>
      <c r="T338" s="544"/>
      <c r="U338" s="544"/>
      <c r="V338" s="544"/>
      <c r="W338" s="544"/>
      <c r="X338" s="545"/>
      <c r="Y338" s="296">
        <f t="shared" si="59"/>
        <v>0</v>
      </c>
      <c r="Z338" s="295"/>
    </row>
    <row r="339" spans="2:26" x14ac:dyDescent="0.35">
      <c r="B339" s="365"/>
      <c r="C339" s="366" t="s">
        <v>521</v>
      </c>
      <c r="D339" s="366"/>
      <c r="E339" s="553"/>
      <c r="F339" s="295"/>
      <c r="G339" s="364"/>
      <c r="H339" s="365"/>
      <c r="I339" s="366"/>
      <c r="J339" s="364"/>
      <c r="K339" s="308"/>
      <c r="L339" s="825"/>
      <c r="M339" s="542"/>
      <c r="N339" s="296"/>
      <c r="O339" s="365"/>
      <c r="P339" s="543"/>
      <c r="Q339" s="543"/>
      <c r="R339" s="543"/>
      <c r="S339" s="543"/>
      <c r="T339" s="544"/>
      <c r="U339" s="544"/>
      <c r="V339" s="544"/>
      <c r="W339" s="544"/>
      <c r="X339" s="545"/>
      <c r="Y339" s="296">
        <f t="shared" si="59"/>
        <v>0</v>
      </c>
      <c r="Z339" s="295"/>
    </row>
    <row r="340" spans="2:26" x14ac:dyDescent="0.35">
      <c r="B340" s="561"/>
      <c r="C340" s="562"/>
      <c r="D340" s="801" t="s">
        <v>366</v>
      </c>
      <c r="E340" s="563"/>
      <c r="F340" s="295" t="s">
        <v>189</v>
      </c>
      <c r="G340" s="364" t="s">
        <v>190</v>
      </c>
      <c r="H340" s="365"/>
      <c r="I340" s="366"/>
      <c r="J340" s="364" t="s">
        <v>170</v>
      </c>
      <c r="K340" s="548">
        <v>0</v>
      </c>
      <c r="L340" s="825">
        <f t="shared" ref="L340:L348" si="64">$L$59</f>
        <v>400.8</v>
      </c>
      <c r="M340" s="542">
        <v>0.5</v>
      </c>
      <c r="N340" s="508">
        <v>1</v>
      </c>
      <c r="O340" s="401">
        <f t="shared" ref="O340:O368" si="65">K340*L340*M340*N340</f>
        <v>0</v>
      </c>
      <c r="P340" s="299">
        <f>VLOOKUP($F340,'[1]Master Harga'!$E$5:$L$351,7,FALSE)</f>
        <v>158800.57379999998</v>
      </c>
      <c r="Q340" s="543">
        <f t="shared" ref="Q340:Q368" si="66">P340*$O340</f>
        <v>0</v>
      </c>
      <c r="R340" s="296">
        <f>VLOOKUP($F340,'[2]Master Harga'!$E$5:$L$348,7,FALSE)</f>
        <v>163305.33120000002</v>
      </c>
      <c r="S340" s="543">
        <f t="shared" ref="S340:S368" si="67">R340*$O340</f>
        <v>0</v>
      </c>
      <c r="T340" s="296">
        <f>VLOOKUP($F340,'[2]Master Harga'!$E$5:$L$348,8,FALSE)</f>
        <v>179635.86432000002</v>
      </c>
      <c r="U340" s="544">
        <f t="shared" ref="U340:U368" si="68">$O340*T340</f>
        <v>0</v>
      </c>
      <c r="V340" s="296" t="e">
        <f>W340/O340</f>
        <v>#DIV/0!</v>
      </c>
      <c r="W340" s="307">
        <f t="shared" ref="W340:W368" si="69">AVERAGEIF($P$3:$U$3,W$3,$P340:$U340)</f>
        <v>0</v>
      </c>
      <c r="X340" s="545"/>
      <c r="Y340" s="296">
        <f t="shared" si="59"/>
        <v>0</v>
      </c>
      <c r="Z340" s="295"/>
    </row>
    <row r="341" spans="2:26" hidden="1" x14ac:dyDescent="0.35">
      <c r="B341" s="546"/>
      <c r="E341" s="547"/>
      <c r="F341" s="295" t="s">
        <v>349</v>
      </c>
      <c r="G341" s="364" t="s">
        <v>190</v>
      </c>
      <c r="H341" s="365"/>
      <c r="I341" s="366"/>
      <c r="J341" s="364" t="s">
        <v>170</v>
      </c>
      <c r="K341" s="548">
        <v>0</v>
      </c>
      <c r="L341" s="825">
        <f t="shared" si="64"/>
        <v>400.8</v>
      </c>
      <c r="M341" s="542">
        <v>0.18</v>
      </c>
      <c r="N341" s="508">
        <f>N340</f>
        <v>1</v>
      </c>
      <c r="O341" s="401">
        <f t="shared" si="65"/>
        <v>0</v>
      </c>
      <c r="P341" s="299">
        <f>VLOOKUP($F341,'[1]Master Harga'!$E$5:$L$351,7,FALSE)</f>
        <v>158800.57379999998</v>
      </c>
      <c r="Q341" s="543">
        <f t="shared" si="66"/>
        <v>0</v>
      </c>
      <c r="R341" s="296">
        <f>VLOOKUP($F341,'[2]Master Harga'!$E$5:$L$348,7,FALSE)</f>
        <v>163305.33120000002</v>
      </c>
      <c r="S341" s="543">
        <f t="shared" si="67"/>
        <v>0</v>
      </c>
      <c r="T341" s="296">
        <f>VLOOKUP($F341,'[2]Master Harga'!$E$5:$L$348,8,FALSE)</f>
        <v>179635.86432000002</v>
      </c>
      <c r="U341" s="544">
        <f t="shared" si="68"/>
        <v>0</v>
      </c>
      <c r="V341" s="296" t="e">
        <f>W341/O341</f>
        <v>#DIV/0!</v>
      </c>
      <c r="W341" s="307">
        <f t="shared" si="69"/>
        <v>0</v>
      </c>
      <c r="X341" s="545"/>
      <c r="Y341" s="296">
        <f t="shared" si="59"/>
        <v>0</v>
      </c>
      <c r="Z341" s="295"/>
    </row>
    <row r="342" spans="2:26" hidden="1" x14ac:dyDescent="0.35">
      <c r="B342" s="546"/>
      <c r="E342" s="547"/>
      <c r="F342" s="295" t="s">
        <v>231</v>
      </c>
      <c r="G342" s="364" t="s">
        <v>190</v>
      </c>
      <c r="H342" s="365"/>
      <c r="I342" s="366"/>
      <c r="J342" s="364" t="s">
        <v>170</v>
      </c>
      <c r="K342" s="548">
        <v>0</v>
      </c>
      <c r="L342" s="825">
        <f t="shared" si="64"/>
        <v>400.8</v>
      </c>
      <c r="M342" s="542">
        <f>M340</f>
        <v>0.5</v>
      </c>
      <c r="N342" s="508">
        <f t="shared" ref="N342:N348" si="70">N341</f>
        <v>1</v>
      </c>
      <c r="O342" s="401">
        <f t="shared" si="65"/>
        <v>0</v>
      </c>
      <c r="P342" s="299">
        <f>VLOOKUP($F342,'[1]Master Harga'!$E$5:$L$351,7,FALSE)</f>
        <v>4244.625</v>
      </c>
      <c r="Q342" s="543">
        <f t="shared" si="66"/>
        <v>0</v>
      </c>
      <c r="R342" s="296">
        <f>VLOOKUP($F342,'[2]Master Harga'!$E$5:$L$348,7,FALSE)</f>
        <v>4490.6400000000003</v>
      </c>
      <c r="S342" s="543">
        <f t="shared" si="67"/>
        <v>0</v>
      </c>
      <c r="T342" s="296">
        <f>VLOOKUP($F342,'[2]Master Harga'!$E$5:$L$348,8,FALSE)</f>
        <v>4849.8912000000009</v>
      </c>
      <c r="U342" s="544">
        <f t="shared" si="68"/>
        <v>0</v>
      </c>
      <c r="V342" s="296" t="e">
        <f t="shared" ref="V342:V368" si="71">W342/O342</f>
        <v>#DIV/0!</v>
      </c>
      <c r="W342" s="307">
        <f t="shared" si="69"/>
        <v>0</v>
      </c>
      <c r="X342" s="545"/>
      <c r="Y342" s="296">
        <f t="shared" si="59"/>
        <v>0</v>
      </c>
      <c r="Z342" s="295"/>
    </row>
    <row r="343" spans="2:26" hidden="1" x14ac:dyDescent="0.35">
      <c r="B343" s="546"/>
      <c r="E343" s="547"/>
      <c r="F343" s="295" t="s">
        <v>350</v>
      </c>
      <c r="G343" s="364" t="s">
        <v>194</v>
      </c>
      <c r="H343" s="365">
        <v>1</v>
      </c>
      <c r="I343" s="366" t="s">
        <v>233</v>
      </c>
      <c r="J343" s="364" t="s">
        <v>170</v>
      </c>
      <c r="K343" s="548">
        <v>0</v>
      </c>
      <c r="L343" s="825">
        <f t="shared" si="64"/>
        <v>400.8</v>
      </c>
      <c r="M343" s="663">
        <f>((M$340*N$340)/240)*($H343/N343)</f>
        <v>2.0833333333333333E-3</v>
      </c>
      <c r="N343" s="508">
        <f t="shared" si="70"/>
        <v>1</v>
      </c>
      <c r="O343" s="401">
        <f t="shared" si="65"/>
        <v>0</v>
      </c>
      <c r="P343" s="299">
        <f>VLOOKUP($F343,'[1]Master Harga'!$E$5:$L$351,7,FALSE)</f>
        <v>5512.5</v>
      </c>
      <c r="Q343" s="543">
        <f t="shared" si="66"/>
        <v>0</v>
      </c>
      <c r="R343" s="296">
        <f>VLOOKUP($F343,'[2]Master Harga'!$E$5:$L$348,7,FALSE)</f>
        <v>5832</v>
      </c>
      <c r="S343" s="543">
        <f t="shared" si="67"/>
        <v>0</v>
      </c>
      <c r="T343" s="296">
        <f>VLOOKUP($F343,'[2]Master Harga'!$E$5:$L$348,8,FALSE)</f>
        <v>6298.56</v>
      </c>
      <c r="U343" s="544">
        <f t="shared" si="68"/>
        <v>0</v>
      </c>
      <c r="V343" s="296" t="e">
        <f t="shared" si="71"/>
        <v>#DIV/0!</v>
      </c>
      <c r="W343" s="307">
        <f t="shared" si="69"/>
        <v>0</v>
      </c>
      <c r="X343" s="545"/>
      <c r="Y343" s="296">
        <f t="shared" si="59"/>
        <v>0</v>
      </c>
      <c r="Z343" s="450"/>
    </row>
    <row r="344" spans="2:26" hidden="1" x14ac:dyDescent="0.35">
      <c r="B344" s="546"/>
      <c r="E344" s="547"/>
      <c r="F344" s="295" t="s">
        <v>232</v>
      </c>
      <c r="G344" s="364" t="s">
        <v>194</v>
      </c>
      <c r="H344" s="365">
        <v>4</v>
      </c>
      <c r="I344" s="366" t="s">
        <v>233</v>
      </c>
      <c r="J344" s="364" t="s">
        <v>170</v>
      </c>
      <c r="K344" s="548">
        <v>0</v>
      </c>
      <c r="L344" s="825">
        <f t="shared" si="64"/>
        <v>400.8</v>
      </c>
      <c r="M344" s="663">
        <f>((M$340*N$340)/240)*($H344/N344)</f>
        <v>8.3333333333333332E-3</v>
      </c>
      <c r="N344" s="508">
        <f t="shared" si="70"/>
        <v>1</v>
      </c>
      <c r="O344" s="401">
        <f t="shared" si="65"/>
        <v>0</v>
      </c>
      <c r="P344" s="299">
        <f>VLOOKUP($F344,'[1]Master Harga'!$E$5:$L$351,7,FALSE)</f>
        <v>47231.1</v>
      </c>
      <c r="Q344" s="543">
        <f t="shared" si="66"/>
        <v>0</v>
      </c>
      <c r="R344" s="296">
        <f>VLOOKUP($F344,'[2]Master Harga'!$E$5:$L$348,7,FALSE)</f>
        <v>49968.576000000008</v>
      </c>
      <c r="S344" s="543">
        <f t="shared" si="67"/>
        <v>0</v>
      </c>
      <c r="T344" s="296">
        <f>VLOOKUP($F344,'[2]Master Harga'!$E$5:$L$348,8,FALSE)</f>
        <v>53966.062080000011</v>
      </c>
      <c r="U344" s="544">
        <f t="shared" si="68"/>
        <v>0</v>
      </c>
      <c r="V344" s="296" t="e">
        <f t="shared" si="71"/>
        <v>#DIV/0!</v>
      </c>
      <c r="W344" s="307">
        <f t="shared" si="69"/>
        <v>0</v>
      </c>
      <c r="X344" s="545"/>
      <c r="Y344" s="296">
        <f t="shared" si="59"/>
        <v>0</v>
      </c>
      <c r="Z344" s="295"/>
    </row>
    <row r="345" spans="2:26" hidden="1" x14ac:dyDescent="0.35">
      <c r="B345" s="546"/>
      <c r="E345" s="547"/>
      <c r="F345" s="295" t="s">
        <v>234</v>
      </c>
      <c r="G345" s="364" t="s">
        <v>194</v>
      </c>
      <c r="H345" s="365">
        <v>12</v>
      </c>
      <c r="I345" s="366" t="s">
        <v>233</v>
      </c>
      <c r="J345" s="364" t="s">
        <v>170</v>
      </c>
      <c r="K345" s="548">
        <v>0</v>
      </c>
      <c r="L345" s="825">
        <f t="shared" si="64"/>
        <v>400.8</v>
      </c>
      <c r="M345" s="663">
        <f>((M$340*N$340)/240)*($H345/N345)</f>
        <v>2.5000000000000001E-2</v>
      </c>
      <c r="N345" s="508">
        <f t="shared" si="70"/>
        <v>1</v>
      </c>
      <c r="O345" s="401">
        <f t="shared" si="65"/>
        <v>0</v>
      </c>
      <c r="P345" s="299">
        <f>VLOOKUP($F345,'[1]Master Harga'!$E$5:$L$351,7,FALSE)</f>
        <v>15435</v>
      </c>
      <c r="Q345" s="543">
        <f t="shared" si="66"/>
        <v>0</v>
      </c>
      <c r="R345" s="296">
        <f>VLOOKUP($F345,'[2]Master Harga'!$E$5:$L$348,7,FALSE)</f>
        <v>16329.600000000002</v>
      </c>
      <c r="S345" s="543">
        <f t="shared" si="67"/>
        <v>0</v>
      </c>
      <c r="T345" s="296">
        <f>VLOOKUP($F345,'[2]Master Harga'!$E$5:$L$348,8,FALSE)</f>
        <v>17635.968000000004</v>
      </c>
      <c r="U345" s="544">
        <f t="shared" si="68"/>
        <v>0</v>
      </c>
      <c r="V345" s="296" t="e">
        <f t="shared" si="71"/>
        <v>#DIV/0!</v>
      </c>
      <c r="W345" s="307">
        <f t="shared" si="69"/>
        <v>0</v>
      </c>
      <c r="X345" s="545"/>
      <c r="Y345" s="296">
        <f t="shared" si="59"/>
        <v>0</v>
      </c>
      <c r="Z345" s="295"/>
    </row>
    <row r="346" spans="2:26" hidden="1" x14ac:dyDescent="0.35">
      <c r="B346" s="546"/>
      <c r="E346" s="547"/>
      <c r="F346" s="295" t="s">
        <v>236</v>
      </c>
      <c r="G346" s="364" t="s">
        <v>194</v>
      </c>
      <c r="H346" s="365">
        <v>2</v>
      </c>
      <c r="I346" s="366" t="s">
        <v>233</v>
      </c>
      <c r="J346" s="364" t="s">
        <v>170</v>
      </c>
      <c r="K346" s="548">
        <v>0</v>
      </c>
      <c r="L346" s="825">
        <f t="shared" si="64"/>
        <v>400.8</v>
      </c>
      <c r="M346" s="663">
        <f>((M$340*N$340)/240)*($H346/N346)</f>
        <v>4.1666666666666666E-3</v>
      </c>
      <c r="N346" s="508">
        <f t="shared" si="70"/>
        <v>1</v>
      </c>
      <c r="O346" s="401">
        <f t="shared" si="65"/>
        <v>0</v>
      </c>
      <c r="P346" s="299">
        <f>VLOOKUP($F346,'[1]Master Harga'!$E$5:$L$351,7,FALSE)</f>
        <v>35423.325000000004</v>
      </c>
      <c r="Q346" s="543">
        <f t="shared" si="66"/>
        <v>0</v>
      </c>
      <c r="R346" s="296">
        <f>VLOOKUP($F346,'[2]Master Harga'!$E$5:$L$348,7,FALSE)</f>
        <v>37476.432000000001</v>
      </c>
      <c r="S346" s="543">
        <f t="shared" si="67"/>
        <v>0</v>
      </c>
      <c r="T346" s="296">
        <f>VLOOKUP($F346,'[2]Master Harga'!$E$5:$L$348,8,FALSE)</f>
        <v>40474.546560000003</v>
      </c>
      <c r="U346" s="544">
        <f t="shared" si="68"/>
        <v>0</v>
      </c>
      <c r="V346" s="296" t="e">
        <f t="shared" si="71"/>
        <v>#DIV/0!</v>
      </c>
      <c r="W346" s="307">
        <f t="shared" si="69"/>
        <v>0</v>
      </c>
      <c r="X346" s="545"/>
      <c r="Y346" s="296">
        <f t="shared" si="59"/>
        <v>0</v>
      </c>
      <c r="Z346" s="295"/>
    </row>
    <row r="347" spans="2:26" hidden="1" x14ac:dyDescent="0.35">
      <c r="B347" s="546"/>
      <c r="E347" s="547"/>
      <c r="F347" s="295" t="s">
        <v>237</v>
      </c>
      <c r="G347" s="364" t="s">
        <v>194</v>
      </c>
      <c r="H347" s="365">
        <v>1</v>
      </c>
      <c r="I347" s="366" t="s">
        <v>233</v>
      </c>
      <c r="J347" s="364" t="s">
        <v>170</v>
      </c>
      <c r="K347" s="548">
        <v>0</v>
      </c>
      <c r="L347" s="825">
        <f t="shared" si="64"/>
        <v>400.8</v>
      </c>
      <c r="M347" s="663">
        <f>((M$340*N$340)/240)*($H347/N347)</f>
        <v>2.0833333333333333E-3</v>
      </c>
      <c r="N347" s="508">
        <f t="shared" si="70"/>
        <v>1</v>
      </c>
      <c r="O347" s="401">
        <f t="shared" si="65"/>
        <v>0</v>
      </c>
      <c r="P347" s="299">
        <f>VLOOKUP($F347,'[1]Master Harga'!$E$5:$L$351,7,FALSE)</f>
        <v>94462.2</v>
      </c>
      <c r="Q347" s="543">
        <f t="shared" si="66"/>
        <v>0</v>
      </c>
      <c r="R347" s="296">
        <f>VLOOKUP($F347,'[2]Master Harga'!$E$5:$L$348,7,FALSE)</f>
        <v>99937.152000000016</v>
      </c>
      <c r="S347" s="543">
        <f t="shared" si="67"/>
        <v>0</v>
      </c>
      <c r="T347" s="296">
        <f>VLOOKUP($F347,'[2]Master Harga'!$E$5:$L$348,8,FALSE)</f>
        <v>107932.12416000002</v>
      </c>
      <c r="U347" s="544">
        <f t="shared" si="68"/>
        <v>0</v>
      </c>
      <c r="V347" s="296" t="e">
        <f t="shared" si="71"/>
        <v>#DIV/0!</v>
      </c>
      <c r="W347" s="307">
        <f t="shared" si="69"/>
        <v>0</v>
      </c>
      <c r="X347" s="545"/>
      <c r="Y347" s="296">
        <f t="shared" si="59"/>
        <v>0</v>
      </c>
      <c r="Z347" s="295"/>
    </row>
    <row r="348" spans="2:26" hidden="1" x14ac:dyDescent="0.35">
      <c r="B348" s="546"/>
      <c r="E348" s="547"/>
      <c r="F348" s="801" t="s">
        <v>366</v>
      </c>
      <c r="G348" s="364" t="s">
        <v>192</v>
      </c>
      <c r="H348" s="365"/>
      <c r="I348" s="366"/>
      <c r="J348" s="364" t="s">
        <v>326</v>
      </c>
      <c r="K348" s="548">
        <v>0</v>
      </c>
      <c r="L348" s="825">
        <f t="shared" si="64"/>
        <v>400.8</v>
      </c>
      <c r="M348" s="542">
        <f>(500*136)/1000</f>
        <v>68</v>
      </c>
      <c r="N348" s="508">
        <f t="shared" si="70"/>
        <v>1</v>
      </c>
      <c r="O348" s="401">
        <f t="shared" si="65"/>
        <v>0</v>
      </c>
      <c r="P348" s="299">
        <f>VLOOKUP($F348,'[1]Master Harga'!$E$5:$L$351,7,FALSE)</f>
        <v>5292</v>
      </c>
      <c r="Q348" s="543">
        <f t="shared" si="66"/>
        <v>0</v>
      </c>
      <c r="R348" s="296">
        <f>VLOOKUP($F348,'[2]Master Harga'!$E$5:$L$348,7,FALSE)</f>
        <v>6478.9450000000015</v>
      </c>
      <c r="S348" s="543">
        <f t="shared" si="67"/>
        <v>0</v>
      </c>
      <c r="T348" s="296">
        <f>VLOOKUP($F348,'[2]Master Harga'!$E$5:$L$348,8,FALSE)</f>
        <v>7126.8395000000019</v>
      </c>
      <c r="U348" s="544">
        <f t="shared" si="68"/>
        <v>0</v>
      </c>
      <c r="V348" s="296" t="e">
        <f t="shared" si="71"/>
        <v>#DIV/0!</v>
      </c>
      <c r="W348" s="307">
        <f t="shared" si="69"/>
        <v>0</v>
      </c>
      <c r="X348" s="545"/>
      <c r="Y348" s="296">
        <f t="shared" si="59"/>
        <v>0</v>
      </c>
      <c r="Z348" s="295"/>
    </row>
    <row r="349" spans="2:26" x14ac:dyDescent="0.35">
      <c r="B349" s="685" t="s">
        <v>548</v>
      </c>
      <c r="C349" s="864"/>
      <c r="D349" s="864"/>
      <c r="E349" s="865"/>
      <c r="F349" s="688"/>
      <c r="G349" s="689"/>
      <c r="H349" s="690"/>
      <c r="I349" s="691"/>
      <c r="J349" s="689"/>
      <c r="K349" s="692"/>
      <c r="L349" s="866"/>
      <c r="M349" s="694"/>
      <c r="N349" s="695"/>
      <c r="O349" s="690"/>
      <c r="P349" s="696"/>
      <c r="Q349" s="697">
        <f>SUM(Q340:Q348)</f>
        <v>0</v>
      </c>
      <c r="R349" s="696"/>
      <c r="S349" s="697">
        <f>SUM(S338:S348)</f>
        <v>0</v>
      </c>
      <c r="T349" s="684"/>
      <c r="U349" s="684"/>
      <c r="V349" s="684"/>
      <c r="W349" s="684"/>
      <c r="X349" s="690"/>
      <c r="Y349" s="727">
        <f t="shared" si="59"/>
        <v>0</v>
      </c>
      <c r="Z349" s="875">
        <f>(Y349/$Y$421)*100</f>
        <v>0</v>
      </c>
    </row>
    <row r="350" spans="2:26" x14ac:dyDescent="0.35">
      <c r="B350" s="561"/>
      <c r="C350" s="562"/>
      <c r="D350" s="801" t="s">
        <v>525</v>
      </c>
      <c r="E350" s="802"/>
      <c r="F350" s="295" t="s">
        <v>189</v>
      </c>
      <c r="G350" s="364" t="s">
        <v>190</v>
      </c>
      <c r="H350" s="365"/>
      <c r="I350" s="366"/>
      <c r="J350" s="364" t="s">
        <v>170</v>
      </c>
      <c r="K350" s="548">
        <v>1</v>
      </c>
      <c r="L350" s="825">
        <f t="shared" ref="L350:L358" si="72">$L$59</f>
        <v>400.8</v>
      </c>
      <c r="M350" s="542">
        <v>0.5</v>
      </c>
      <c r="N350" s="508">
        <v>3</v>
      </c>
      <c r="O350" s="401">
        <f t="shared" si="65"/>
        <v>601.20000000000005</v>
      </c>
      <c r="P350" s="299">
        <f>VLOOKUP($F350,'[1]Master Harga'!$E$5:$L$351,7,FALSE)</f>
        <v>158800.57379999998</v>
      </c>
      <c r="Q350" s="543">
        <f t="shared" si="66"/>
        <v>95470904.968559995</v>
      </c>
      <c r="R350" s="296">
        <f>VLOOKUP($F350,'[2]Master Harga'!$E$5:$L$348,7,FALSE)</f>
        <v>163305.33120000002</v>
      </c>
      <c r="S350" s="543">
        <f t="shared" si="67"/>
        <v>98179165.117440015</v>
      </c>
      <c r="T350" s="296">
        <f>VLOOKUP($F350,'[2]Master Harga'!$E$5:$L$348,8,FALSE)</f>
        <v>179635.86432000002</v>
      </c>
      <c r="U350" s="544">
        <f t="shared" si="68"/>
        <v>107997081.62918402</v>
      </c>
      <c r="V350" s="296">
        <f t="shared" si="71"/>
        <v>167247.25644</v>
      </c>
      <c r="W350" s="307">
        <f t="shared" si="69"/>
        <v>100549050.57172801</v>
      </c>
      <c r="X350" s="545"/>
      <c r="Y350" s="296">
        <f t="shared" si="59"/>
        <v>238200.86069999999</v>
      </c>
      <c r="Z350" s="295"/>
    </row>
    <row r="351" spans="2:26" x14ac:dyDescent="0.35">
      <c r="B351" s="546"/>
      <c r="E351" s="547"/>
      <c r="F351" s="295" t="s">
        <v>349</v>
      </c>
      <c r="G351" s="364" t="s">
        <v>190</v>
      </c>
      <c r="H351" s="365"/>
      <c r="I351" s="366"/>
      <c r="J351" s="364" t="s">
        <v>170</v>
      </c>
      <c r="K351" s="548">
        <v>1</v>
      </c>
      <c r="L351" s="825">
        <f t="shared" si="72"/>
        <v>400.8</v>
      </c>
      <c r="M351" s="542">
        <v>0.18</v>
      </c>
      <c r="N351" s="508">
        <f>N350</f>
        <v>3</v>
      </c>
      <c r="O351" s="401">
        <f t="shared" si="65"/>
        <v>216.43200000000002</v>
      </c>
      <c r="P351" s="299">
        <f>VLOOKUP($F351,'[1]Master Harga'!$E$5:$L$351,7,FALSE)</f>
        <v>158800.57379999998</v>
      </c>
      <c r="Q351" s="543">
        <f t="shared" si="66"/>
        <v>34369525.788681597</v>
      </c>
      <c r="R351" s="296">
        <f>VLOOKUP($F351,'[2]Master Harga'!$E$5:$L$348,7,FALSE)</f>
        <v>163305.33120000002</v>
      </c>
      <c r="S351" s="543">
        <f t="shared" si="67"/>
        <v>35344499.442278408</v>
      </c>
      <c r="T351" s="296">
        <f>VLOOKUP($F351,'[2]Master Harga'!$E$5:$L$348,8,FALSE)</f>
        <v>179635.86432000002</v>
      </c>
      <c r="U351" s="544">
        <f t="shared" si="68"/>
        <v>38878949.386506245</v>
      </c>
      <c r="V351" s="296">
        <f t="shared" si="71"/>
        <v>167247.25644000003</v>
      </c>
      <c r="W351" s="307">
        <f t="shared" si="69"/>
        <v>36197658.205822088</v>
      </c>
      <c r="X351" s="545"/>
      <c r="Y351" s="296">
        <f t="shared" si="59"/>
        <v>85752.309851999991</v>
      </c>
      <c r="Z351" s="295"/>
    </row>
    <row r="352" spans="2:26" x14ac:dyDescent="0.35">
      <c r="B352" s="546"/>
      <c r="E352" s="547"/>
      <c r="F352" s="295" t="s">
        <v>231</v>
      </c>
      <c r="G352" s="364" t="s">
        <v>190</v>
      </c>
      <c r="H352" s="365"/>
      <c r="I352" s="366"/>
      <c r="J352" s="364" t="s">
        <v>170</v>
      </c>
      <c r="K352" s="548">
        <v>1</v>
      </c>
      <c r="L352" s="825">
        <f t="shared" si="72"/>
        <v>400.8</v>
      </c>
      <c r="M352" s="542">
        <f>M350</f>
        <v>0.5</v>
      </c>
      <c r="N352" s="508">
        <f t="shared" ref="N352:N357" si="73">N351</f>
        <v>3</v>
      </c>
      <c r="O352" s="401">
        <f t="shared" si="65"/>
        <v>601.20000000000005</v>
      </c>
      <c r="P352" s="299">
        <f>VLOOKUP($F352,'[1]Master Harga'!$E$5:$L$351,7,FALSE)</f>
        <v>4244.625</v>
      </c>
      <c r="Q352" s="543">
        <f t="shared" si="66"/>
        <v>2551868.5500000003</v>
      </c>
      <c r="R352" s="296">
        <f>VLOOKUP($F352,'[2]Master Harga'!$E$5:$L$348,7,FALSE)</f>
        <v>4490.6400000000003</v>
      </c>
      <c r="S352" s="543">
        <f t="shared" si="67"/>
        <v>2699772.7680000006</v>
      </c>
      <c r="T352" s="296">
        <f>VLOOKUP($F352,'[2]Master Harga'!$E$5:$L$348,8,FALSE)</f>
        <v>4849.8912000000009</v>
      </c>
      <c r="U352" s="544">
        <f t="shared" si="68"/>
        <v>2915754.5894400007</v>
      </c>
      <c r="V352" s="296">
        <f t="shared" si="71"/>
        <v>4528.3854000000001</v>
      </c>
      <c r="W352" s="307">
        <f t="shared" si="69"/>
        <v>2722465.3024800005</v>
      </c>
      <c r="X352" s="545"/>
      <c r="Y352" s="296">
        <f t="shared" si="59"/>
        <v>6366.9375000000009</v>
      </c>
      <c r="Z352" s="295"/>
    </row>
    <row r="353" spans="2:26" x14ac:dyDescent="0.35">
      <c r="B353" s="546"/>
      <c r="E353" s="547"/>
      <c r="F353" s="295" t="s">
        <v>350</v>
      </c>
      <c r="G353" s="364" t="s">
        <v>194</v>
      </c>
      <c r="H353" s="365">
        <v>1</v>
      </c>
      <c r="I353" s="366" t="s">
        <v>233</v>
      </c>
      <c r="J353" s="364" t="s">
        <v>170</v>
      </c>
      <c r="K353" s="548">
        <v>1</v>
      </c>
      <c r="L353" s="825">
        <f t="shared" si="72"/>
        <v>400.8</v>
      </c>
      <c r="M353" s="552">
        <f>((M$350*N$350)/240)*($H353/N353)</f>
        <v>2.0833333333333333E-3</v>
      </c>
      <c r="N353" s="508">
        <f t="shared" si="73"/>
        <v>3</v>
      </c>
      <c r="O353" s="401">
        <f t="shared" si="65"/>
        <v>2.5049999999999999</v>
      </c>
      <c r="P353" s="299">
        <f>VLOOKUP($F353,'[1]Master Harga'!$E$5:$L$351,7,FALSE)</f>
        <v>5512.5</v>
      </c>
      <c r="Q353" s="543">
        <f t="shared" si="66"/>
        <v>13808.8125</v>
      </c>
      <c r="R353" s="296">
        <f>VLOOKUP($F353,'[2]Master Harga'!$E$5:$L$348,7,FALSE)</f>
        <v>5832</v>
      </c>
      <c r="S353" s="543">
        <f t="shared" si="67"/>
        <v>14609.16</v>
      </c>
      <c r="T353" s="296">
        <f>VLOOKUP($F353,'[2]Master Harga'!$E$5:$L$348,8,FALSE)</f>
        <v>6298.56</v>
      </c>
      <c r="U353" s="544">
        <f t="shared" si="68"/>
        <v>15777.8928</v>
      </c>
      <c r="V353" s="296">
        <f t="shared" si="71"/>
        <v>5881.0199999999995</v>
      </c>
      <c r="W353" s="307">
        <f t="shared" si="69"/>
        <v>14731.955099999999</v>
      </c>
      <c r="X353" s="545"/>
      <c r="Y353" s="296">
        <f t="shared" si="59"/>
        <v>34.453125</v>
      </c>
      <c r="Z353" s="295"/>
    </row>
    <row r="354" spans="2:26" x14ac:dyDescent="0.35">
      <c r="B354" s="546"/>
      <c r="E354" s="547"/>
      <c r="F354" s="295" t="s">
        <v>232</v>
      </c>
      <c r="G354" s="364" t="s">
        <v>194</v>
      </c>
      <c r="H354" s="365">
        <v>4</v>
      </c>
      <c r="I354" s="366" t="s">
        <v>233</v>
      </c>
      <c r="J354" s="364" t="s">
        <v>170</v>
      </c>
      <c r="K354" s="548">
        <v>1</v>
      </c>
      <c r="L354" s="825">
        <f t="shared" si="72"/>
        <v>400.8</v>
      </c>
      <c r="M354" s="552">
        <f>((M$350*N$350)/240)*($H354/N354)</f>
        <v>8.3333333333333332E-3</v>
      </c>
      <c r="N354" s="508">
        <f t="shared" si="73"/>
        <v>3</v>
      </c>
      <c r="O354" s="401">
        <f t="shared" si="65"/>
        <v>10.02</v>
      </c>
      <c r="P354" s="299">
        <f>VLOOKUP($F354,'[1]Master Harga'!$E$5:$L$351,7,FALSE)</f>
        <v>47231.1</v>
      </c>
      <c r="Q354" s="543">
        <f t="shared" si="66"/>
        <v>473255.62199999997</v>
      </c>
      <c r="R354" s="296">
        <f>VLOOKUP($F354,'[2]Master Harga'!$E$5:$L$348,7,FALSE)</f>
        <v>49968.576000000008</v>
      </c>
      <c r="S354" s="543">
        <f t="shared" si="67"/>
        <v>500685.13152000005</v>
      </c>
      <c r="T354" s="296">
        <f>VLOOKUP($F354,'[2]Master Harga'!$E$5:$L$348,8,FALSE)</f>
        <v>53966.062080000011</v>
      </c>
      <c r="U354" s="544">
        <f t="shared" si="68"/>
        <v>540739.94204160012</v>
      </c>
      <c r="V354" s="296">
        <f t="shared" si="71"/>
        <v>50388.579360000003</v>
      </c>
      <c r="W354" s="307">
        <f t="shared" si="69"/>
        <v>504893.56518720003</v>
      </c>
      <c r="X354" s="545"/>
      <c r="Y354" s="296">
        <f t="shared" si="59"/>
        <v>1180.7774999999999</v>
      </c>
      <c r="Z354" s="295"/>
    </row>
    <row r="355" spans="2:26" x14ac:dyDescent="0.35">
      <c r="B355" s="546"/>
      <c r="E355" s="547"/>
      <c r="F355" s="295" t="s">
        <v>234</v>
      </c>
      <c r="G355" s="364" t="s">
        <v>194</v>
      </c>
      <c r="H355" s="365">
        <v>12</v>
      </c>
      <c r="I355" s="366" t="s">
        <v>233</v>
      </c>
      <c r="J355" s="364" t="s">
        <v>170</v>
      </c>
      <c r="K355" s="548">
        <v>1</v>
      </c>
      <c r="L355" s="825">
        <f t="shared" si="72"/>
        <v>400.8</v>
      </c>
      <c r="M355" s="552">
        <f>((M$350*N$350)/240)*($H355/N355)</f>
        <v>2.5000000000000001E-2</v>
      </c>
      <c r="N355" s="508">
        <f t="shared" si="73"/>
        <v>3</v>
      </c>
      <c r="O355" s="401">
        <f t="shared" si="65"/>
        <v>30.060000000000002</v>
      </c>
      <c r="P355" s="299">
        <f>VLOOKUP($F355,'[1]Master Harga'!$E$5:$L$351,7,FALSE)</f>
        <v>15435</v>
      </c>
      <c r="Q355" s="543">
        <f t="shared" si="66"/>
        <v>463976.10000000003</v>
      </c>
      <c r="R355" s="296">
        <f>VLOOKUP($F355,'[2]Master Harga'!$E$5:$L$348,7,FALSE)</f>
        <v>16329.600000000002</v>
      </c>
      <c r="S355" s="543">
        <f t="shared" si="67"/>
        <v>490867.77600000013</v>
      </c>
      <c r="T355" s="296">
        <f>VLOOKUP($F355,'[2]Master Harga'!$E$5:$L$348,8,FALSE)</f>
        <v>17635.968000000004</v>
      </c>
      <c r="U355" s="544">
        <f t="shared" si="68"/>
        <v>530137.19808000012</v>
      </c>
      <c r="V355" s="296">
        <f t="shared" si="71"/>
        <v>16466.856</v>
      </c>
      <c r="W355" s="307">
        <f t="shared" si="69"/>
        <v>494993.69136000006</v>
      </c>
      <c r="X355" s="545"/>
      <c r="Y355" s="296">
        <f t="shared" si="59"/>
        <v>1157.625</v>
      </c>
      <c r="Z355" s="295"/>
    </row>
    <row r="356" spans="2:26" x14ac:dyDescent="0.35">
      <c r="B356" s="546"/>
      <c r="E356" s="547"/>
      <c r="F356" s="295" t="s">
        <v>236</v>
      </c>
      <c r="G356" s="364" t="s">
        <v>194</v>
      </c>
      <c r="H356" s="365">
        <v>2</v>
      </c>
      <c r="I356" s="366" t="s">
        <v>233</v>
      </c>
      <c r="J356" s="364" t="s">
        <v>170</v>
      </c>
      <c r="K356" s="548">
        <v>1</v>
      </c>
      <c r="L356" s="825">
        <f t="shared" si="72"/>
        <v>400.8</v>
      </c>
      <c r="M356" s="552">
        <f>((M$350*N$350)/240)*($H356/N356)</f>
        <v>4.1666666666666666E-3</v>
      </c>
      <c r="N356" s="508">
        <f t="shared" si="73"/>
        <v>3</v>
      </c>
      <c r="O356" s="401">
        <f t="shared" si="65"/>
        <v>5.01</v>
      </c>
      <c r="P356" s="299">
        <f>VLOOKUP($F356,'[1]Master Harga'!$E$5:$L$351,7,FALSE)</f>
        <v>35423.325000000004</v>
      </c>
      <c r="Q356" s="543">
        <f t="shared" si="66"/>
        <v>177470.85825000002</v>
      </c>
      <c r="R356" s="296">
        <f>VLOOKUP($F356,'[2]Master Harga'!$E$5:$L$348,7,FALSE)</f>
        <v>37476.432000000001</v>
      </c>
      <c r="S356" s="543">
        <f t="shared" si="67"/>
        <v>187756.92431999999</v>
      </c>
      <c r="T356" s="296">
        <f>VLOOKUP($F356,'[2]Master Harga'!$E$5:$L$348,8,FALSE)</f>
        <v>40474.546560000003</v>
      </c>
      <c r="U356" s="544">
        <f t="shared" si="68"/>
        <v>202777.47826560002</v>
      </c>
      <c r="V356" s="296">
        <f t="shared" si="71"/>
        <v>37791.434520000003</v>
      </c>
      <c r="W356" s="307">
        <f t="shared" si="69"/>
        <v>189335.08694520002</v>
      </c>
      <c r="X356" s="545"/>
      <c r="Y356" s="296">
        <f t="shared" si="59"/>
        <v>442.79156250000005</v>
      </c>
      <c r="Z356" s="295"/>
    </row>
    <row r="357" spans="2:26" x14ac:dyDescent="0.35">
      <c r="B357" s="546"/>
      <c r="E357" s="547"/>
      <c r="F357" s="295" t="s">
        <v>237</v>
      </c>
      <c r="G357" s="364" t="s">
        <v>194</v>
      </c>
      <c r="H357" s="365">
        <v>1</v>
      </c>
      <c r="I357" s="366" t="s">
        <v>233</v>
      </c>
      <c r="J357" s="364" t="s">
        <v>170</v>
      </c>
      <c r="K357" s="548">
        <v>1</v>
      </c>
      <c r="L357" s="825">
        <f t="shared" si="72"/>
        <v>400.8</v>
      </c>
      <c r="M357" s="552">
        <f>((M$350*N$350)/240)*($H357/N357)</f>
        <v>2.0833333333333333E-3</v>
      </c>
      <c r="N357" s="508">
        <f t="shared" si="73"/>
        <v>3</v>
      </c>
      <c r="O357" s="401">
        <f t="shared" si="65"/>
        <v>2.5049999999999999</v>
      </c>
      <c r="P357" s="299">
        <f>VLOOKUP($F357,'[1]Master Harga'!$E$5:$L$351,7,FALSE)</f>
        <v>94462.2</v>
      </c>
      <c r="Q357" s="543">
        <f t="shared" si="66"/>
        <v>236627.81099999999</v>
      </c>
      <c r="R357" s="296">
        <f>VLOOKUP($F357,'[2]Master Harga'!$E$5:$L$348,7,FALSE)</f>
        <v>99937.152000000016</v>
      </c>
      <c r="S357" s="543">
        <f t="shared" si="67"/>
        <v>250342.56576000003</v>
      </c>
      <c r="T357" s="296">
        <f>VLOOKUP($F357,'[2]Master Harga'!$E$5:$L$348,8,FALSE)</f>
        <v>107932.12416000002</v>
      </c>
      <c r="U357" s="544">
        <f t="shared" si="68"/>
        <v>270369.97102080006</v>
      </c>
      <c r="V357" s="296">
        <f t="shared" si="71"/>
        <v>100777.15872000001</v>
      </c>
      <c r="W357" s="307">
        <f t="shared" si="69"/>
        <v>252446.78259360002</v>
      </c>
      <c r="X357" s="545"/>
      <c r="Y357" s="296">
        <f t="shared" si="59"/>
        <v>590.38874999999996</v>
      </c>
      <c r="Z357" s="295"/>
    </row>
    <row r="358" spans="2:26" x14ac:dyDescent="0.35">
      <c r="B358" s="546"/>
      <c r="E358" s="547"/>
      <c r="F358" s="505" t="s">
        <v>368</v>
      </c>
      <c r="G358" s="364" t="s">
        <v>192</v>
      </c>
      <c r="H358" s="365"/>
      <c r="I358" s="366"/>
      <c r="J358" s="364" t="s">
        <v>326</v>
      </c>
      <c r="K358" s="548">
        <v>1</v>
      </c>
      <c r="L358" s="825">
        <f t="shared" si="72"/>
        <v>400.8</v>
      </c>
      <c r="M358" s="542">
        <f>(1125*M338)/1000</f>
        <v>160.875</v>
      </c>
      <c r="N358" s="508">
        <v>1</v>
      </c>
      <c r="O358" s="401">
        <f>K358*L358*M358*N358</f>
        <v>64478.700000000004</v>
      </c>
      <c r="P358" s="299">
        <f>VLOOKUP($F358,'[1]Master Harga'!$E$5:$L$351,7,FALSE)</f>
        <v>913.5</v>
      </c>
      <c r="Q358" s="543">
        <f t="shared" si="66"/>
        <v>58901292.450000003</v>
      </c>
      <c r="R358" s="296">
        <f>VLOOKUP($F358,'[2]Master Harga'!$E$5:$L$348,7,FALSE)</f>
        <v>1052.7000000000003</v>
      </c>
      <c r="S358" s="543">
        <f t="shared" si="67"/>
        <v>67876727.490000024</v>
      </c>
      <c r="T358" s="296">
        <f>VLOOKUP($F358,'[2]Master Harga'!$E$5:$L$348,8,FALSE)</f>
        <v>1157.9700000000005</v>
      </c>
      <c r="U358" s="544">
        <f t="shared" si="68"/>
        <v>74664400.239000037</v>
      </c>
      <c r="V358" s="296">
        <f t="shared" si="71"/>
        <v>1041.3900000000003</v>
      </c>
      <c r="W358" s="307">
        <f t="shared" si="69"/>
        <v>67147473.393000022</v>
      </c>
      <c r="X358" s="545"/>
      <c r="Y358" s="296">
        <f t="shared" si="59"/>
        <v>146959.3125</v>
      </c>
      <c r="Z358" s="295"/>
    </row>
    <row r="359" spans="2:26" x14ac:dyDescent="0.35">
      <c r="B359" s="685" t="s">
        <v>549</v>
      </c>
      <c r="C359" s="864"/>
      <c r="D359" s="864"/>
      <c r="E359" s="865"/>
      <c r="F359" s="688"/>
      <c r="G359" s="689"/>
      <c r="H359" s="690"/>
      <c r="I359" s="691"/>
      <c r="J359" s="689"/>
      <c r="K359" s="692"/>
      <c r="L359" s="866"/>
      <c r="M359" s="694"/>
      <c r="N359" s="695"/>
      <c r="O359" s="690"/>
      <c r="P359" s="696"/>
      <c r="Q359" s="697">
        <f>SUM(Q350:Q358)</f>
        <v>192658730.96099159</v>
      </c>
      <c r="R359" s="696"/>
      <c r="S359" s="697">
        <f>SUM(S348:S358)</f>
        <v>205544426.37531847</v>
      </c>
      <c r="T359" s="684"/>
      <c r="U359" s="684"/>
      <c r="V359" s="684"/>
      <c r="W359" s="684"/>
      <c r="X359" s="690"/>
      <c r="Y359" s="727">
        <f t="shared" si="59"/>
        <v>480685.45648949995</v>
      </c>
      <c r="Z359" s="875">
        <f>(Y359/$Y$421)*100</f>
        <v>3.4688396830359292</v>
      </c>
    </row>
    <row r="360" spans="2:26" x14ac:dyDescent="0.35">
      <c r="B360" s="561"/>
      <c r="C360" s="562"/>
      <c r="D360" s="801" t="s">
        <v>550</v>
      </c>
      <c r="E360" s="802"/>
      <c r="F360" s="295" t="s">
        <v>189</v>
      </c>
      <c r="G360" s="364" t="s">
        <v>190</v>
      </c>
      <c r="H360" s="365"/>
      <c r="I360" s="366"/>
      <c r="J360" s="364" t="s">
        <v>170</v>
      </c>
      <c r="K360" s="548">
        <v>1</v>
      </c>
      <c r="L360" s="825">
        <f t="shared" ref="L360:L368" si="74">$L$59</f>
        <v>400.8</v>
      </c>
      <c r="M360" s="542">
        <v>0.5</v>
      </c>
      <c r="N360" s="508">
        <v>3</v>
      </c>
      <c r="O360" s="401">
        <f t="shared" si="65"/>
        <v>601.20000000000005</v>
      </c>
      <c r="P360" s="299">
        <f>VLOOKUP($F360,'[1]Master Harga'!$E$5:$L$351,7,FALSE)</f>
        <v>158800.57379999998</v>
      </c>
      <c r="Q360" s="543">
        <f t="shared" si="66"/>
        <v>95470904.968559995</v>
      </c>
      <c r="R360" s="296">
        <f>VLOOKUP($F360,'[2]Master Harga'!$E$5:$L$348,7,FALSE)</f>
        <v>163305.33120000002</v>
      </c>
      <c r="S360" s="543">
        <f t="shared" si="67"/>
        <v>98179165.117440015</v>
      </c>
      <c r="T360" s="296">
        <f>VLOOKUP($F360,'[2]Master Harga'!$E$5:$L$348,8,FALSE)</f>
        <v>179635.86432000002</v>
      </c>
      <c r="U360" s="544">
        <f t="shared" si="68"/>
        <v>107997081.62918402</v>
      </c>
      <c r="V360" s="296">
        <f t="shared" si="71"/>
        <v>167247.25644</v>
      </c>
      <c r="W360" s="307">
        <f t="shared" si="69"/>
        <v>100549050.57172801</v>
      </c>
      <c r="X360" s="545"/>
      <c r="Y360" s="296">
        <f t="shared" si="59"/>
        <v>238200.86069999999</v>
      </c>
      <c r="Z360" s="295"/>
    </row>
    <row r="361" spans="2:26" x14ac:dyDescent="0.35">
      <c r="B361" s="546"/>
      <c r="E361" s="547"/>
      <c r="F361" s="295" t="s">
        <v>349</v>
      </c>
      <c r="G361" s="364" t="s">
        <v>190</v>
      </c>
      <c r="H361" s="365"/>
      <c r="I361" s="366"/>
      <c r="J361" s="364" t="s">
        <v>170</v>
      </c>
      <c r="K361" s="548">
        <v>1</v>
      </c>
      <c r="L361" s="825">
        <f t="shared" si="74"/>
        <v>400.8</v>
      </c>
      <c r="M361" s="542">
        <v>0.18</v>
      </c>
      <c r="N361" s="508">
        <f>N360</f>
        <v>3</v>
      </c>
      <c r="O361" s="401">
        <f t="shared" si="65"/>
        <v>216.43200000000002</v>
      </c>
      <c r="P361" s="299">
        <f>VLOOKUP($F361,'[1]Master Harga'!$E$5:$L$351,7,FALSE)</f>
        <v>158800.57379999998</v>
      </c>
      <c r="Q361" s="543">
        <f t="shared" si="66"/>
        <v>34369525.788681597</v>
      </c>
      <c r="R361" s="296">
        <f>VLOOKUP($F361,'[2]Master Harga'!$E$5:$L$348,7,FALSE)</f>
        <v>163305.33120000002</v>
      </c>
      <c r="S361" s="543">
        <f t="shared" si="67"/>
        <v>35344499.442278408</v>
      </c>
      <c r="T361" s="296">
        <f>VLOOKUP($F361,'[2]Master Harga'!$E$5:$L$348,8,FALSE)</f>
        <v>179635.86432000002</v>
      </c>
      <c r="U361" s="544">
        <f t="shared" si="68"/>
        <v>38878949.386506245</v>
      </c>
      <c r="V361" s="296">
        <f t="shared" si="71"/>
        <v>167247.25644000003</v>
      </c>
      <c r="W361" s="307">
        <f t="shared" si="69"/>
        <v>36197658.205822088</v>
      </c>
      <c r="X361" s="545"/>
      <c r="Y361" s="296">
        <f t="shared" si="59"/>
        <v>85752.309851999991</v>
      </c>
      <c r="Z361" s="295"/>
    </row>
    <row r="362" spans="2:26" x14ac:dyDescent="0.35">
      <c r="B362" s="546"/>
      <c r="E362" s="547"/>
      <c r="F362" s="295" t="s">
        <v>231</v>
      </c>
      <c r="G362" s="364" t="s">
        <v>190</v>
      </c>
      <c r="H362" s="365"/>
      <c r="I362" s="366"/>
      <c r="J362" s="364" t="s">
        <v>170</v>
      </c>
      <c r="K362" s="548">
        <v>1</v>
      </c>
      <c r="L362" s="825">
        <f t="shared" si="74"/>
        <v>400.8</v>
      </c>
      <c r="M362" s="542">
        <f>M360</f>
        <v>0.5</v>
      </c>
      <c r="N362" s="508">
        <f t="shared" ref="N362:N367" si="75">N361</f>
        <v>3</v>
      </c>
      <c r="O362" s="401">
        <f t="shared" si="65"/>
        <v>601.20000000000005</v>
      </c>
      <c r="P362" s="299">
        <f>VLOOKUP($F362,'[1]Master Harga'!$E$5:$L$351,7,FALSE)</f>
        <v>4244.625</v>
      </c>
      <c r="Q362" s="543">
        <f t="shared" si="66"/>
        <v>2551868.5500000003</v>
      </c>
      <c r="R362" s="296">
        <f>VLOOKUP($F362,'[2]Master Harga'!$E$5:$L$348,7,FALSE)</f>
        <v>4490.6400000000003</v>
      </c>
      <c r="S362" s="543">
        <f t="shared" si="67"/>
        <v>2699772.7680000006</v>
      </c>
      <c r="T362" s="296">
        <f>VLOOKUP($F362,'[2]Master Harga'!$E$5:$L$348,8,FALSE)</f>
        <v>4849.8912000000009</v>
      </c>
      <c r="U362" s="544">
        <f t="shared" si="68"/>
        <v>2915754.5894400007</v>
      </c>
      <c r="V362" s="296">
        <f t="shared" si="71"/>
        <v>4528.3854000000001</v>
      </c>
      <c r="W362" s="307">
        <f t="shared" si="69"/>
        <v>2722465.3024800005</v>
      </c>
      <c r="X362" s="545"/>
      <c r="Y362" s="296">
        <f t="shared" si="59"/>
        <v>6366.9375000000009</v>
      </c>
      <c r="Z362" s="295"/>
    </row>
    <row r="363" spans="2:26" x14ac:dyDescent="0.35">
      <c r="B363" s="546"/>
      <c r="E363" s="547"/>
      <c r="F363" s="295" t="s">
        <v>350</v>
      </c>
      <c r="G363" s="364" t="s">
        <v>194</v>
      </c>
      <c r="H363" s="365">
        <v>1</v>
      </c>
      <c r="I363" s="366" t="s">
        <v>233</v>
      </c>
      <c r="J363" s="364" t="s">
        <v>170</v>
      </c>
      <c r="K363" s="548">
        <v>1</v>
      </c>
      <c r="L363" s="825">
        <f t="shared" si="74"/>
        <v>400.8</v>
      </c>
      <c r="M363" s="552">
        <f>((M$350*N$350)/240)*($H363/N363)</f>
        <v>2.0833333333333333E-3</v>
      </c>
      <c r="N363" s="508">
        <f t="shared" si="75"/>
        <v>3</v>
      </c>
      <c r="O363" s="401">
        <f t="shared" si="65"/>
        <v>2.5049999999999999</v>
      </c>
      <c r="P363" s="299">
        <f>VLOOKUP($F363,'[1]Master Harga'!$E$5:$L$351,7,FALSE)</f>
        <v>5512.5</v>
      </c>
      <c r="Q363" s="543">
        <f t="shared" si="66"/>
        <v>13808.8125</v>
      </c>
      <c r="R363" s="296">
        <f>VLOOKUP($F363,'[2]Master Harga'!$E$5:$L$348,7,FALSE)</f>
        <v>5832</v>
      </c>
      <c r="S363" s="543">
        <f t="shared" si="67"/>
        <v>14609.16</v>
      </c>
      <c r="T363" s="296">
        <f>VLOOKUP($F363,'[2]Master Harga'!$E$5:$L$348,8,FALSE)</f>
        <v>6298.56</v>
      </c>
      <c r="U363" s="544">
        <f t="shared" si="68"/>
        <v>15777.8928</v>
      </c>
      <c r="V363" s="296">
        <f t="shared" si="71"/>
        <v>5881.0199999999995</v>
      </c>
      <c r="W363" s="307">
        <f t="shared" si="69"/>
        <v>14731.955099999999</v>
      </c>
      <c r="X363" s="545"/>
      <c r="Y363" s="296">
        <f t="shared" si="59"/>
        <v>34.453125</v>
      </c>
      <c r="Z363" s="295"/>
    </row>
    <row r="364" spans="2:26" x14ac:dyDescent="0.35">
      <c r="B364" s="546"/>
      <c r="E364" s="547"/>
      <c r="F364" s="295" t="s">
        <v>232</v>
      </c>
      <c r="G364" s="364" t="s">
        <v>194</v>
      </c>
      <c r="H364" s="365">
        <v>4</v>
      </c>
      <c r="I364" s="366" t="s">
        <v>233</v>
      </c>
      <c r="J364" s="364" t="s">
        <v>170</v>
      </c>
      <c r="K364" s="548">
        <v>1</v>
      </c>
      <c r="L364" s="825">
        <f t="shared" si="74"/>
        <v>400.8</v>
      </c>
      <c r="M364" s="552">
        <f>((M$350*N$350)/240)*($H364/N364)</f>
        <v>8.3333333333333332E-3</v>
      </c>
      <c r="N364" s="508">
        <f t="shared" si="75"/>
        <v>3</v>
      </c>
      <c r="O364" s="401">
        <f t="shared" si="65"/>
        <v>10.02</v>
      </c>
      <c r="P364" s="299">
        <f>VLOOKUP($F364,'[1]Master Harga'!$E$5:$L$351,7,FALSE)</f>
        <v>47231.1</v>
      </c>
      <c r="Q364" s="543">
        <f t="shared" si="66"/>
        <v>473255.62199999997</v>
      </c>
      <c r="R364" s="296">
        <f>VLOOKUP($F364,'[2]Master Harga'!$E$5:$L$348,7,FALSE)</f>
        <v>49968.576000000008</v>
      </c>
      <c r="S364" s="543">
        <f t="shared" si="67"/>
        <v>500685.13152000005</v>
      </c>
      <c r="T364" s="296">
        <f>VLOOKUP($F364,'[2]Master Harga'!$E$5:$L$348,8,FALSE)</f>
        <v>53966.062080000011</v>
      </c>
      <c r="U364" s="544">
        <f t="shared" si="68"/>
        <v>540739.94204160012</v>
      </c>
      <c r="V364" s="296">
        <f t="shared" si="71"/>
        <v>50388.579360000003</v>
      </c>
      <c r="W364" s="307">
        <f t="shared" si="69"/>
        <v>504893.56518720003</v>
      </c>
      <c r="X364" s="545"/>
      <c r="Y364" s="296">
        <f t="shared" si="59"/>
        <v>1180.7774999999999</v>
      </c>
      <c r="Z364" s="295"/>
    </row>
    <row r="365" spans="2:26" x14ac:dyDescent="0.35">
      <c r="B365" s="546"/>
      <c r="E365" s="547"/>
      <c r="F365" s="295" t="s">
        <v>234</v>
      </c>
      <c r="G365" s="364" t="s">
        <v>194</v>
      </c>
      <c r="H365" s="365">
        <v>12</v>
      </c>
      <c r="I365" s="366" t="s">
        <v>233</v>
      </c>
      <c r="J365" s="364" t="s">
        <v>170</v>
      </c>
      <c r="K365" s="548">
        <v>1</v>
      </c>
      <c r="L365" s="825">
        <f t="shared" si="74"/>
        <v>400.8</v>
      </c>
      <c r="M365" s="552">
        <f>((M$350*N$350)/240)*($H365/N365)</f>
        <v>2.5000000000000001E-2</v>
      </c>
      <c r="N365" s="508">
        <f t="shared" si="75"/>
        <v>3</v>
      </c>
      <c r="O365" s="401">
        <f t="shared" si="65"/>
        <v>30.060000000000002</v>
      </c>
      <c r="P365" s="299">
        <f>VLOOKUP($F365,'[1]Master Harga'!$E$5:$L$351,7,FALSE)</f>
        <v>15435</v>
      </c>
      <c r="Q365" s="543">
        <f t="shared" si="66"/>
        <v>463976.10000000003</v>
      </c>
      <c r="R365" s="296">
        <f>VLOOKUP($F365,'[2]Master Harga'!$E$5:$L$348,7,FALSE)</f>
        <v>16329.600000000002</v>
      </c>
      <c r="S365" s="543">
        <f t="shared" si="67"/>
        <v>490867.77600000013</v>
      </c>
      <c r="T365" s="296">
        <f>VLOOKUP($F365,'[2]Master Harga'!$E$5:$L$348,8,FALSE)</f>
        <v>17635.968000000004</v>
      </c>
      <c r="U365" s="544">
        <f t="shared" si="68"/>
        <v>530137.19808000012</v>
      </c>
      <c r="V365" s="296">
        <f t="shared" si="71"/>
        <v>16466.856</v>
      </c>
      <c r="W365" s="307">
        <f t="shared" si="69"/>
        <v>494993.69136000006</v>
      </c>
      <c r="X365" s="545"/>
      <c r="Y365" s="296">
        <f t="shared" si="59"/>
        <v>1157.625</v>
      </c>
      <c r="Z365" s="295"/>
    </row>
    <row r="366" spans="2:26" x14ac:dyDescent="0.35">
      <c r="B366" s="546"/>
      <c r="E366" s="547"/>
      <c r="F366" s="295" t="s">
        <v>236</v>
      </c>
      <c r="G366" s="364" t="s">
        <v>194</v>
      </c>
      <c r="H366" s="365">
        <v>2</v>
      </c>
      <c r="I366" s="366" t="s">
        <v>233</v>
      </c>
      <c r="J366" s="364" t="s">
        <v>170</v>
      </c>
      <c r="K366" s="548">
        <v>1</v>
      </c>
      <c r="L366" s="825">
        <f t="shared" si="74"/>
        <v>400.8</v>
      </c>
      <c r="M366" s="552">
        <f>((M$350*N$350)/240)*($H366/N366)</f>
        <v>4.1666666666666666E-3</v>
      </c>
      <c r="N366" s="508">
        <f t="shared" si="75"/>
        <v>3</v>
      </c>
      <c r="O366" s="401">
        <f t="shared" si="65"/>
        <v>5.01</v>
      </c>
      <c r="P366" s="299">
        <f>VLOOKUP($F366,'[1]Master Harga'!$E$5:$L$351,7,FALSE)</f>
        <v>35423.325000000004</v>
      </c>
      <c r="Q366" s="543">
        <f t="shared" si="66"/>
        <v>177470.85825000002</v>
      </c>
      <c r="R366" s="296">
        <f>VLOOKUP($F366,'[2]Master Harga'!$E$5:$L$348,7,FALSE)</f>
        <v>37476.432000000001</v>
      </c>
      <c r="S366" s="543">
        <f t="shared" si="67"/>
        <v>187756.92431999999</v>
      </c>
      <c r="T366" s="296">
        <f>VLOOKUP($F366,'[2]Master Harga'!$E$5:$L$348,8,FALSE)</f>
        <v>40474.546560000003</v>
      </c>
      <c r="U366" s="544">
        <f t="shared" si="68"/>
        <v>202777.47826560002</v>
      </c>
      <c r="V366" s="296">
        <f t="shared" si="71"/>
        <v>37791.434520000003</v>
      </c>
      <c r="W366" s="307">
        <f t="shared" si="69"/>
        <v>189335.08694520002</v>
      </c>
      <c r="X366" s="545"/>
      <c r="Y366" s="296">
        <f t="shared" si="59"/>
        <v>442.79156250000005</v>
      </c>
      <c r="Z366" s="295"/>
    </row>
    <row r="367" spans="2:26" x14ac:dyDescent="0.35">
      <c r="B367" s="546"/>
      <c r="E367" s="547"/>
      <c r="F367" s="295" t="s">
        <v>237</v>
      </c>
      <c r="G367" s="364" t="s">
        <v>194</v>
      </c>
      <c r="H367" s="365">
        <v>1</v>
      </c>
      <c r="I367" s="366" t="s">
        <v>233</v>
      </c>
      <c r="J367" s="364" t="s">
        <v>170</v>
      </c>
      <c r="K367" s="548">
        <v>1</v>
      </c>
      <c r="L367" s="825">
        <f t="shared" si="74"/>
        <v>400.8</v>
      </c>
      <c r="M367" s="552">
        <f>((M$350*N$350)/240)*($H367/N367)</f>
        <v>2.0833333333333333E-3</v>
      </c>
      <c r="N367" s="508">
        <f t="shared" si="75"/>
        <v>3</v>
      </c>
      <c r="O367" s="401">
        <f t="shared" si="65"/>
        <v>2.5049999999999999</v>
      </c>
      <c r="P367" s="299">
        <f>VLOOKUP($F367,'[1]Master Harga'!$E$5:$L$351,7,FALSE)</f>
        <v>94462.2</v>
      </c>
      <c r="Q367" s="543">
        <f t="shared" si="66"/>
        <v>236627.81099999999</v>
      </c>
      <c r="R367" s="296">
        <f>VLOOKUP($F367,'[2]Master Harga'!$E$5:$L$348,7,FALSE)</f>
        <v>99937.152000000016</v>
      </c>
      <c r="S367" s="543">
        <f t="shared" si="67"/>
        <v>250342.56576000003</v>
      </c>
      <c r="T367" s="296">
        <f>VLOOKUP($F367,'[2]Master Harga'!$E$5:$L$348,8,FALSE)</f>
        <v>107932.12416000002</v>
      </c>
      <c r="U367" s="544">
        <f t="shared" si="68"/>
        <v>270369.97102080006</v>
      </c>
      <c r="V367" s="296">
        <f t="shared" si="71"/>
        <v>100777.15872000001</v>
      </c>
      <c r="W367" s="307">
        <f t="shared" si="69"/>
        <v>252446.78259360002</v>
      </c>
      <c r="X367" s="545"/>
      <c r="Y367" s="296">
        <f t="shared" si="59"/>
        <v>590.38874999999996</v>
      </c>
      <c r="Z367" s="295"/>
    </row>
    <row r="368" spans="2:26" x14ac:dyDescent="0.35">
      <c r="B368" s="546"/>
      <c r="E368" s="547"/>
      <c r="F368" s="505" t="s">
        <v>523</v>
      </c>
      <c r="G368" s="364" t="s">
        <v>192</v>
      </c>
      <c r="H368" s="365"/>
      <c r="I368" s="366"/>
      <c r="J368" s="364" t="s">
        <v>326</v>
      </c>
      <c r="K368" s="548">
        <v>1</v>
      </c>
      <c r="L368" s="825">
        <f t="shared" si="74"/>
        <v>400.8</v>
      </c>
      <c r="M368" s="542">
        <f>(4125*M338)/1000</f>
        <v>589.875</v>
      </c>
      <c r="N368" s="296">
        <v>1</v>
      </c>
      <c r="O368" s="401">
        <f t="shared" si="65"/>
        <v>236421.9</v>
      </c>
      <c r="P368" s="299">
        <f>VLOOKUP($F368,'[1]Master Harga'!$E$5:$L$351,7,FALSE)</f>
        <v>6783.1312500000004</v>
      </c>
      <c r="Q368" s="543">
        <f t="shared" si="66"/>
        <v>1603680778.0743752</v>
      </c>
      <c r="R368" s="296">
        <f>VLOOKUP($F368,'[2]Master Harga'!$E$5:$L$348,7,FALSE)</f>
        <v>7444.5250000000015</v>
      </c>
      <c r="S368" s="543">
        <f t="shared" si="67"/>
        <v>1760048745.0975003</v>
      </c>
      <c r="T368" s="296">
        <f>VLOOKUP($F368,'[2]Master Harga'!$E$5:$L$348,8,FALSE)</f>
        <v>8188.9775000000027</v>
      </c>
      <c r="U368" s="544">
        <f t="shared" si="68"/>
        <v>1936053619.6072507</v>
      </c>
      <c r="V368" s="296">
        <f t="shared" si="71"/>
        <v>7472.2112500000021</v>
      </c>
      <c r="W368" s="307">
        <f t="shared" si="69"/>
        <v>1766594380.9263754</v>
      </c>
      <c r="X368" s="545"/>
      <c r="Y368" s="296">
        <f t="shared" si="59"/>
        <v>4001199.5460937503</v>
      </c>
      <c r="Z368" s="295"/>
    </row>
    <row r="369" spans="2:26" x14ac:dyDescent="0.35">
      <c r="B369" s="685" t="s">
        <v>551</v>
      </c>
      <c r="C369" s="864"/>
      <c r="D369" s="864"/>
      <c r="E369" s="865"/>
      <c r="F369" s="688"/>
      <c r="G369" s="689"/>
      <c r="H369" s="690"/>
      <c r="I369" s="691"/>
      <c r="J369" s="689"/>
      <c r="K369" s="692"/>
      <c r="L369" s="866"/>
      <c r="M369" s="694"/>
      <c r="N369" s="695"/>
      <c r="O369" s="690"/>
      <c r="P369" s="696"/>
      <c r="Q369" s="697">
        <f>SUM(Q360:Q368)</f>
        <v>1737438216.5853667</v>
      </c>
      <c r="R369" s="696"/>
      <c r="S369" s="697">
        <f>SUM(S358:S368)</f>
        <v>2171137597.8481374</v>
      </c>
      <c r="T369" s="684"/>
      <c r="U369" s="684"/>
      <c r="V369" s="684"/>
      <c r="W369" s="684"/>
      <c r="X369" s="690"/>
      <c r="Y369" s="727">
        <f t="shared" si="59"/>
        <v>4334925.6900832504</v>
      </c>
      <c r="Z369" s="875">
        <f>(Y369/$Y$421)*100</f>
        <v>31.282748528717256</v>
      </c>
    </row>
    <row r="370" spans="2:26" x14ac:dyDescent="0.35">
      <c r="B370" s="546"/>
      <c r="D370" s="801" t="s">
        <v>527</v>
      </c>
      <c r="E370" s="802"/>
      <c r="F370" s="295" t="s">
        <v>189</v>
      </c>
      <c r="G370" s="364" t="s">
        <v>190</v>
      </c>
      <c r="H370" s="365"/>
      <c r="I370" s="366"/>
      <c r="J370" s="364" t="s">
        <v>170</v>
      </c>
      <c r="K370" s="548">
        <v>1</v>
      </c>
      <c r="L370" s="825">
        <f t="shared" ref="L370:L378" si="76">$L$59</f>
        <v>400.8</v>
      </c>
      <c r="M370" s="542">
        <v>0.2</v>
      </c>
      <c r="N370" s="508">
        <v>1</v>
      </c>
      <c r="O370" s="401">
        <f t="shared" ref="O370:O378" si="77">K370*L370*M370*N370</f>
        <v>80.160000000000011</v>
      </c>
      <c r="P370" s="299">
        <f>VLOOKUP($F370,'[1]Master Harga'!$E$5:$L$351,7,FALSE)</f>
        <v>158800.57379999998</v>
      </c>
      <c r="Q370" s="543">
        <f t="shared" ref="Q370:Q378" si="78">P370*$O370</f>
        <v>12729453.995808</v>
      </c>
      <c r="R370" s="543"/>
      <c r="S370" s="543"/>
      <c r="T370" s="543"/>
      <c r="U370" s="544"/>
      <c r="V370" s="543"/>
      <c r="W370" s="307"/>
      <c r="X370" s="545"/>
      <c r="Y370" s="296">
        <f t="shared" si="59"/>
        <v>31760.114759999997</v>
      </c>
      <c r="Z370" s="295"/>
    </row>
    <row r="371" spans="2:26" x14ac:dyDescent="0.35">
      <c r="B371" s="546"/>
      <c r="E371" s="547"/>
      <c r="F371" s="295" t="s">
        <v>349</v>
      </c>
      <c r="G371" s="364" t="s">
        <v>190</v>
      </c>
      <c r="H371" s="365"/>
      <c r="I371" s="366"/>
      <c r="J371" s="364" t="s">
        <v>170</v>
      </c>
      <c r="K371" s="548">
        <v>1</v>
      </c>
      <c r="L371" s="825">
        <f t="shared" si="76"/>
        <v>400.8</v>
      </c>
      <c r="M371" s="542">
        <v>0.18</v>
      </c>
      <c r="N371" s="508">
        <f>N370</f>
        <v>1</v>
      </c>
      <c r="O371" s="401">
        <f t="shared" si="77"/>
        <v>72.144000000000005</v>
      </c>
      <c r="P371" s="299">
        <f>VLOOKUP($F371,'[1]Master Harga'!$E$5:$L$351,7,FALSE)</f>
        <v>158800.57379999998</v>
      </c>
      <c r="Q371" s="543">
        <f t="shared" si="78"/>
        <v>11456508.596227199</v>
      </c>
      <c r="R371" s="543"/>
      <c r="S371" s="543"/>
      <c r="T371" s="543"/>
      <c r="U371" s="544"/>
      <c r="V371" s="543"/>
      <c r="W371" s="307"/>
      <c r="X371" s="545"/>
      <c r="Y371" s="296">
        <f t="shared" si="59"/>
        <v>28584.103283999997</v>
      </c>
      <c r="Z371" s="295"/>
    </row>
    <row r="372" spans="2:26" x14ac:dyDescent="0.35">
      <c r="B372" s="546"/>
      <c r="E372" s="547"/>
      <c r="F372" s="295" t="s">
        <v>231</v>
      </c>
      <c r="G372" s="364" t="s">
        <v>190</v>
      </c>
      <c r="H372" s="365"/>
      <c r="I372" s="366"/>
      <c r="J372" s="364" t="s">
        <v>170</v>
      </c>
      <c r="K372" s="548">
        <v>1</v>
      </c>
      <c r="L372" s="825">
        <f t="shared" si="76"/>
        <v>400.8</v>
      </c>
      <c r="M372" s="542">
        <f>M370</f>
        <v>0.2</v>
      </c>
      <c r="N372" s="508">
        <f t="shared" ref="N372:N377" si="79">N371</f>
        <v>1</v>
      </c>
      <c r="O372" s="401">
        <f t="shared" si="77"/>
        <v>80.160000000000011</v>
      </c>
      <c r="P372" s="299">
        <f>VLOOKUP($F372,'[1]Master Harga'!$E$5:$L$351,7,FALSE)</f>
        <v>4244.625</v>
      </c>
      <c r="Q372" s="543">
        <f t="shared" si="78"/>
        <v>340249.14000000007</v>
      </c>
      <c r="R372" s="543"/>
      <c r="S372" s="543"/>
      <c r="T372" s="543"/>
      <c r="U372" s="544"/>
      <c r="V372" s="543"/>
      <c r="W372" s="307"/>
      <c r="X372" s="545"/>
      <c r="Y372" s="296">
        <f t="shared" si="59"/>
        <v>848.92500000000018</v>
      </c>
      <c r="Z372" s="295"/>
    </row>
    <row r="373" spans="2:26" x14ac:dyDescent="0.35">
      <c r="B373" s="546"/>
      <c r="E373" s="547"/>
      <c r="F373" s="295" t="s">
        <v>350</v>
      </c>
      <c r="G373" s="364" t="s">
        <v>194</v>
      </c>
      <c r="H373" s="365">
        <v>1</v>
      </c>
      <c r="I373" s="366" t="s">
        <v>233</v>
      </c>
      <c r="J373" s="364" t="s">
        <v>170</v>
      </c>
      <c r="K373" s="548">
        <v>1</v>
      </c>
      <c r="L373" s="825">
        <f t="shared" si="76"/>
        <v>400.8</v>
      </c>
      <c r="M373" s="552">
        <f>((M$350*N$350)/240)*($H373/N373)</f>
        <v>6.2500000000000003E-3</v>
      </c>
      <c r="N373" s="508">
        <f t="shared" si="79"/>
        <v>1</v>
      </c>
      <c r="O373" s="401">
        <f t="shared" si="77"/>
        <v>2.5050000000000003</v>
      </c>
      <c r="P373" s="299">
        <f>VLOOKUP($F373,'[1]Master Harga'!$E$5:$L$351,7,FALSE)</f>
        <v>5512.5</v>
      </c>
      <c r="Q373" s="543">
        <f t="shared" si="78"/>
        <v>13808.812500000002</v>
      </c>
      <c r="R373" s="543"/>
      <c r="S373" s="543"/>
      <c r="T373" s="543"/>
      <c r="U373" s="544"/>
      <c r="V373" s="543"/>
      <c r="W373" s="307"/>
      <c r="X373" s="545"/>
      <c r="Y373" s="296">
        <f t="shared" si="59"/>
        <v>34.453125000000007</v>
      </c>
      <c r="Z373" s="295"/>
    </row>
    <row r="374" spans="2:26" x14ac:dyDescent="0.35">
      <c r="B374" s="546"/>
      <c r="E374" s="547"/>
      <c r="F374" s="295" t="s">
        <v>232</v>
      </c>
      <c r="G374" s="364" t="s">
        <v>194</v>
      </c>
      <c r="H374" s="365">
        <v>4</v>
      </c>
      <c r="I374" s="366" t="s">
        <v>233</v>
      </c>
      <c r="J374" s="364" t="s">
        <v>170</v>
      </c>
      <c r="K374" s="548">
        <v>1</v>
      </c>
      <c r="L374" s="825">
        <f t="shared" si="76"/>
        <v>400.8</v>
      </c>
      <c r="M374" s="552">
        <f>((M$350*N$350)/240)*($H374/N374)</f>
        <v>2.5000000000000001E-2</v>
      </c>
      <c r="N374" s="508">
        <f t="shared" si="79"/>
        <v>1</v>
      </c>
      <c r="O374" s="401">
        <f t="shared" si="77"/>
        <v>10.020000000000001</v>
      </c>
      <c r="P374" s="299">
        <f>VLOOKUP($F374,'[1]Master Harga'!$E$5:$L$351,7,FALSE)</f>
        <v>47231.1</v>
      </c>
      <c r="Q374" s="543">
        <f t="shared" si="78"/>
        <v>473255.62200000003</v>
      </c>
      <c r="R374" s="543"/>
      <c r="S374" s="543"/>
      <c r="T374" s="543"/>
      <c r="U374" s="544"/>
      <c r="V374" s="543"/>
      <c r="W374" s="307"/>
      <c r="X374" s="545"/>
      <c r="Y374" s="296">
        <f t="shared" si="59"/>
        <v>1180.7775000000001</v>
      </c>
      <c r="Z374" s="295"/>
    </row>
    <row r="375" spans="2:26" x14ac:dyDescent="0.35">
      <c r="B375" s="549"/>
      <c r="C375" s="550"/>
      <c r="D375" s="550"/>
      <c r="E375" s="551"/>
      <c r="F375" s="295" t="s">
        <v>234</v>
      </c>
      <c r="G375" s="364" t="s">
        <v>194</v>
      </c>
      <c r="H375" s="365">
        <v>12</v>
      </c>
      <c r="I375" s="366" t="s">
        <v>233</v>
      </c>
      <c r="J375" s="364" t="s">
        <v>170</v>
      </c>
      <c r="K375" s="548">
        <v>1</v>
      </c>
      <c r="L375" s="825">
        <f t="shared" si="76"/>
        <v>400.8</v>
      </c>
      <c r="M375" s="552">
        <f>((M$350*N$350)/240)*($H375/N375)</f>
        <v>7.5000000000000011E-2</v>
      </c>
      <c r="N375" s="508">
        <f t="shared" si="79"/>
        <v>1</v>
      </c>
      <c r="O375" s="401">
        <f t="shared" si="77"/>
        <v>30.060000000000006</v>
      </c>
      <c r="P375" s="299">
        <f>VLOOKUP($F375,'[1]Master Harga'!$E$5:$L$351,7,FALSE)</f>
        <v>15435</v>
      </c>
      <c r="Q375" s="543">
        <f t="shared" si="78"/>
        <v>463976.10000000009</v>
      </c>
      <c r="R375" s="543"/>
      <c r="S375" s="543"/>
      <c r="T375" s="543"/>
      <c r="U375" s="544"/>
      <c r="V375" s="543"/>
      <c r="W375" s="307"/>
      <c r="X375" s="545"/>
      <c r="Y375" s="296">
        <f t="shared" si="59"/>
        <v>1157.6250000000002</v>
      </c>
      <c r="Z375" s="295"/>
    </row>
    <row r="376" spans="2:26" x14ac:dyDescent="0.35">
      <c r="B376" s="546"/>
      <c r="E376" s="547"/>
      <c r="F376" s="295" t="s">
        <v>236</v>
      </c>
      <c r="G376" s="364" t="s">
        <v>194</v>
      </c>
      <c r="H376" s="365">
        <v>2</v>
      </c>
      <c r="I376" s="366" t="s">
        <v>233</v>
      </c>
      <c r="J376" s="364" t="s">
        <v>170</v>
      </c>
      <c r="K376" s="548">
        <v>1</v>
      </c>
      <c r="L376" s="825">
        <f t="shared" si="76"/>
        <v>400.8</v>
      </c>
      <c r="M376" s="552">
        <f>((M$350*N$350)/240)*($H376/N376)</f>
        <v>1.2500000000000001E-2</v>
      </c>
      <c r="N376" s="508">
        <f t="shared" si="79"/>
        <v>1</v>
      </c>
      <c r="O376" s="401">
        <f t="shared" si="77"/>
        <v>5.0100000000000007</v>
      </c>
      <c r="P376" s="299">
        <f>VLOOKUP($F376,'[1]Master Harga'!$E$5:$L$351,7,FALSE)</f>
        <v>35423.325000000004</v>
      </c>
      <c r="Q376" s="543">
        <f t="shared" si="78"/>
        <v>177470.85825000005</v>
      </c>
      <c r="R376" s="543"/>
      <c r="S376" s="543"/>
      <c r="T376" s="543"/>
      <c r="U376" s="544"/>
      <c r="V376" s="543"/>
      <c r="W376" s="307"/>
      <c r="X376" s="545"/>
      <c r="Y376" s="296">
        <f t="shared" si="59"/>
        <v>442.79156250000011</v>
      </c>
      <c r="Z376" s="295"/>
    </row>
    <row r="377" spans="2:26" x14ac:dyDescent="0.35">
      <c r="B377" s="546"/>
      <c r="E377" s="547"/>
      <c r="F377" s="295" t="s">
        <v>237</v>
      </c>
      <c r="G377" s="364" t="s">
        <v>194</v>
      </c>
      <c r="H377" s="365">
        <v>1</v>
      </c>
      <c r="I377" s="366" t="s">
        <v>233</v>
      </c>
      <c r="J377" s="364" t="s">
        <v>170</v>
      </c>
      <c r="K377" s="548">
        <v>1</v>
      </c>
      <c r="L377" s="825">
        <f t="shared" si="76"/>
        <v>400.8</v>
      </c>
      <c r="M377" s="552">
        <f>((M$350*N$350)/240)*($H377/N377)</f>
        <v>6.2500000000000003E-3</v>
      </c>
      <c r="N377" s="508">
        <f t="shared" si="79"/>
        <v>1</v>
      </c>
      <c r="O377" s="401">
        <f t="shared" si="77"/>
        <v>2.5050000000000003</v>
      </c>
      <c r="P377" s="299">
        <f>VLOOKUP($F377,'[1]Master Harga'!$E$5:$L$351,7,FALSE)</f>
        <v>94462.2</v>
      </c>
      <c r="Q377" s="543">
        <f t="shared" si="78"/>
        <v>236627.81100000002</v>
      </c>
      <c r="R377" s="543"/>
      <c r="S377" s="543"/>
      <c r="T377" s="543"/>
      <c r="U377" s="544"/>
      <c r="V377" s="543"/>
      <c r="W377" s="307"/>
      <c r="X377" s="545"/>
      <c r="Y377" s="296">
        <f t="shared" si="59"/>
        <v>590.38875000000007</v>
      </c>
      <c r="Z377" s="295"/>
    </row>
    <row r="378" spans="2:26" x14ac:dyDescent="0.35">
      <c r="B378" s="546"/>
      <c r="E378" s="547"/>
      <c r="F378" s="505" t="s">
        <v>529</v>
      </c>
      <c r="G378" s="364" t="s">
        <v>192</v>
      </c>
      <c r="H378" s="365"/>
      <c r="I378" s="366"/>
      <c r="J378" s="364" t="s">
        <v>326</v>
      </c>
      <c r="K378" s="548">
        <v>1</v>
      </c>
      <c r="L378" s="825">
        <f t="shared" si="76"/>
        <v>400.8</v>
      </c>
      <c r="M378" s="552">
        <f>(50*M338)/1000</f>
        <v>7.15</v>
      </c>
      <c r="N378" s="508">
        <v>1</v>
      </c>
      <c r="O378" s="401">
        <f t="shared" si="77"/>
        <v>2865.7200000000003</v>
      </c>
      <c r="P378" s="299">
        <f>VLOOKUP($F378,'[1]Master Harga'!$E$5:$L$351,7,FALSE)</f>
        <v>11676</v>
      </c>
      <c r="Q378" s="543">
        <f t="shared" si="78"/>
        <v>33460146.720000003</v>
      </c>
      <c r="R378" s="543"/>
      <c r="S378" s="543"/>
      <c r="T378" s="543"/>
      <c r="U378" s="544"/>
      <c r="V378" s="543"/>
      <c r="W378" s="307"/>
      <c r="X378" s="545"/>
      <c r="Y378" s="296">
        <f t="shared" si="59"/>
        <v>83483.400000000009</v>
      </c>
      <c r="Z378" s="295"/>
    </row>
    <row r="379" spans="2:26" x14ac:dyDescent="0.35">
      <c r="B379" s="546"/>
      <c r="E379" s="547"/>
      <c r="F379" s="505"/>
      <c r="G379" s="364"/>
      <c r="H379" s="365"/>
      <c r="I379" s="366"/>
      <c r="J379" s="364"/>
      <c r="K379" s="548"/>
      <c r="L379" s="825"/>
      <c r="M379" s="542"/>
      <c r="N379" s="296"/>
      <c r="O379" s="401"/>
      <c r="P379" s="750"/>
      <c r="Q379" s="543"/>
      <c r="R379" s="543"/>
      <c r="S379" s="543"/>
      <c r="T379" s="543"/>
      <c r="U379" s="544"/>
      <c r="V379" s="543"/>
      <c r="W379" s="307"/>
      <c r="X379" s="545"/>
      <c r="Y379" s="296">
        <f t="shared" si="59"/>
        <v>0</v>
      </c>
      <c r="Z379" s="295"/>
    </row>
    <row r="380" spans="2:26" x14ac:dyDescent="0.35">
      <c r="B380" s="685" t="s">
        <v>552</v>
      </c>
      <c r="C380" s="864"/>
      <c r="D380" s="864"/>
      <c r="E380" s="865"/>
      <c r="F380" s="688"/>
      <c r="G380" s="689"/>
      <c r="H380" s="690"/>
      <c r="I380" s="691"/>
      <c r="J380" s="689"/>
      <c r="K380" s="692"/>
      <c r="L380" s="866"/>
      <c r="M380" s="694"/>
      <c r="N380" s="695"/>
      <c r="O380" s="690"/>
      <c r="P380" s="696"/>
      <c r="Q380" s="697">
        <f>SUM(Q370:Q379)</f>
        <v>59351497.655785203</v>
      </c>
      <c r="R380" s="696"/>
      <c r="S380" s="697">
        <f>SUM(S369:S379)</f>
        <v>2171137597.8481374</v>
      </c>
      <c r="T380" s="684"/>
      <c r="U380" s="684"/>
      <c r="V380" s="684"/>
      <c r="W380" s="684"/>
      <c r="X380" s="690"/>
      <c r="Y380" s="727">
        <f t="shared" ref="Y380:Y421" si="80">Q380/$AC$2</f>
        <v>148082.5789815</v>
      </c>
      <c r="Z380" s="875">
        <f>(Y380/$Y$421)*100</f>
        <v>1.068629640032702</v>
      </c>
    </row>
    <row r="381" spans="2:26" x14ac:dyDescent="0.35">
      <c r="B381" s="539"/>
      <c r="C381" s="540" t="s">
        <v>156</v>
      </c>
      <c r="D381" s="540"/>
      <c r="E381" s="541"/>
      <c r="F381" s="295" t="s">
        <v>189</v>
      </c>
      <c r="G381" s="364" t="s">
        <v>190</v>
      </c>
      <c r="H381" s="365"/>
      <c r="I381" s="366"/>
      <c r="J381" s="364"/>
      <c r="K381" s="548">
        <v>0.33329999999999999</v>
      </c>
      <c r="L381" s="825">
        <f t="shared" ref="L381:L385" si="81">$L$59</f>
        <v>400.8</v>
      </c>
      <c r="M381" s="552">
        <v>5</v>
      </c>
      <c r="N381" s="296">
        <v>1</v>
      </c>
      <c r="O381" s="401">
        <f t="shared" ref="O381:O385" si="82">K381*L381*M381*N381</f>
        <v>667.93319999999994</v>
      </c>
      <c r="P381" s="299">
        <f>VLOOKUP($F381,'[1]Master Harga'!$E$5:$L$351,7,FALSE)</f>
        <v>158800.57379999998</v>
      </c>
      <c r="Q381" s="543">
        <f t="shared" ref="Q381:Q385" si="83">P381*$O381</f>
        <v>106068175.42007014</v>
      </c>
      <c r="R381" s="543"/>
      <c r="S381" s="543"/>
      <c r="T381" s="544"/>
      <c r="U381" s="544"/>
      <c r="V381" s="544"/>
      <c r="W381" s="544"/>
      <c r="X381" s="922">
        <f>Q381/O382</f>
        <v>71185.482248520711</v>
      </c>
      <c r="Y381" s="296">
        <f t="shared" si="80"/>
        <v>264641.15623769996</v>
      </c>
      <c r="Z381" s="295"/>
    </row>
    <row r="382" spans="2:26" x14ac:dyDescent="0.35">
      <c r="B382" s="546"/>
      <c r="E382" s="547"/>
      <c r="F382" s="295" t="s">
        <v>409</v>
      </c>
      <c r="G382" s="364" t="s">
        <v>356</v>
      </c>
      <c r="H382" s="365"/>
      <c r="I382" s="366"/>
      <c r="J382" s="364"/>
      <c r="K382" s="548">
        <v>0.33329999999999999</v>
      </c>
      <c r="L382" s="825">
        <f t="shared" si="81"/>
        <v>400.8</v>
      </c>
      <c r="M382" s="542">
        <f>78*M338/1000</f>
        <v>11.154</v>
      </c>
      <c r="N382" s="296">
        <v>1</v>
      </c>
      <c r="O382" s="401">
        <f t="shared" si="82"/>
        <v>1490.0253825599998</v>
      </c>
      <c r="P382" s="299">
        <f>VLOOKUP($F382,'[1]Master Harga'!$E$5:$L$351,7,FALSE)</f>
        <v>127020.96000000002</v>
      </c>
      <c r="Q382" s="543">
        <f t="shared" si="83"/>
        <v>189264454.51713845</v>
      </c>
      <c r="R382" s="543"/>
      <c r="S382" s="543"/>
      <c r="T382" s="544"/>
      <c r="U382" s="544"/>
      <c r="V382" s="544"/>
      <c r="W382" s="544"/>
      <c r="X382" s="545" t="s">
        <v>553</v>
      </c>
      <c r="Y382" s="296">
        <f t="shared" si="80"/>
        <v>472216.702887072</v>
      </c>
      <c r="Z382" s="295"/>
    </row>
    <row r="383" spans="2:26" x14ac:dyDescent="0.35">
      <c r="B383" s="546"/>
      <c r="E383" s="547"/>
      <c r="F383" s="295" t="s">
        <v>532</v>
      </c>
      <c r="G383" s="364" t="s">
        <v>194</v>
      </c>
      <c r="H383" s="365"/>
      <c r="I383" s="366"/>
      <c r="J383" s="364"/>
      <c r="K383" s="548">
        <v>0.33329999999999999</v>
      </c>
      <c r="L383" s="825">
        <f t="shared" si="81"/>
        <v>400.8</v>
      </c>
      <c r="M383" s="542">
        <v>1.67E-2</v>
      </c>
      <c r="N383" s="296">
        <v>1</v>
      </c>
      <c r="O383" s="401">
        <f t="shared" si="82"/>
        <v>2.2308968879999997</v>
      </c>
      <c r="P383" s="299">
        <f>VLOOKUP($F383,'[1]Master Harga'!$E$5:$L$351,7,FALSE)</f>
        <v>592572.80250000011</v>
      </c>
      <c r="Q383" s="543">
        <f t="shared" si="83"/>
        <v>1321968.8210106888</v>
      </c>
      <c r="R383" s="543"/>
      <c r="S383" s="543"/>
      <c r="T383" s="544"/>
      <c r="U383" s="544"/>
      <c r="V383" s="544"/>
      <c r="W383" s="544"/>
      <c r="X383" s="545" t="s">
        <v>554</v>
      </c>
      <c r="Y383" s="296">
        <f t="shared" si="80"/>
        <v>3298.3254017232753</v>
      </c>
      <c r="Z383" s="295"/>
    </row>
    <row r="384" spans="2:26" x14ac:dyDescent="0.35">
      <c r="B384" s="546"/>
      <c r="E384" s="547"/>
      <c r="F384" s="295" t="s">
        <v>533</v>
      </c>
      <c r="G384" s="364" t="s">
        <v>194</v>
      </c>
      <c r="H384" s="365"/>
      <c r="I384" s="366"/>
      <c r="J384" s="364"/>
      <c r="K384" s="548">
        <v>0.33329999999999999</v>
      </c>
      <c r="L384" s="825">
        <f t="shared" si="81"/>
        <v>400.8</v>
      </c>
      <c r="M384" s="542">
        <v>1.67E-2</v>
      </c>
      <c r="N384" s="296">
        <v>1</v>
      </c>
      <c r="O384" s="401">
        <f t="shared" si="82"/>
        <v>2.2308968879999997</v>
      </c>
      <c r="P384" s="299">
        <f>VLOOKUP($F384,'[1]Master Harga'!$E$5:$L$351,7,FALSE)</f>
        <v>48195</v>
      </c>
      <c r="Q384" s="543">
        <f t="shared" si="83"/>
        <v>107518.07551715999</v>
      </c>
      <c r="R384" s="543"/>
      <c r="S384" s="543"/>
      <c r="T384" s="544"/>
      <c r="U384" s="544"/>
      <c r="V384" s="544"/>
      <c r="W384" s="544"/>
      <c r="X384" s="545"/>
      <c r="Y384" s="296">
        <f t="shared" si="80"/>
        <v>268.25867144999995</v>
      </c>
      <c r="Z384" s="295"/>
    </row>
    <row r="385" spans="2:26" x14ac:dyDescent="0.35">
      <c r="B385" s="546"/>
      <c r="E385" s="547"/>
      <c r="F385" s="295" t="s">
        <v>237</v>
      </c>
      <c r="G385" s="364" t="s">
        <v>194</v>
      </c>
      <c r="H385" s="365"/>
      <c r="I385" s="366"/>
      <c r="J385" s="364"/>
      <c r="K385" s="548">
        <v>0.33329999999999999</v>
      </c>
      <c r="L385" s="825">
        <f t="shared" si="81"/>
        <v>400.8</v>
      </c>
      <c r="M385" s="542">
        <v>1.67E-2</v>
      </c>
      <c r="N385" s="296">
        <v>1</v>
      </c>
      <c r="O385" s="401">
        <f t="shared" si="82"/>
        <v>2.2308968879999997</v>
      </c>
      <c r="P385" s="299">
        <f>VLOOKUP($F385,'[1]Master Harga'!$E$5:$L$351,7,FALSE)</f>
        <v>94462.2</v>
      </c>
      <c r="Q385" s="543">
        <f t="shared" si="83"/>
        <v>210735.42801363356</v>
      </c>
      <c r="R385" s="543"/>
      <c r="S385" s="543"/>
      <c r="T385" s="544"/>
      <c r="U385" s="544"/>
      <c r="V385" s="544"/>
      <c r="W385" s="544"/>
      <c r="X385" s="545"/>
      <c r="Y385" s="296">
        <f t="shared" si="80"/>
        <v>525.78699604199983</v>
      </c>
      <c r="Z385" s="295"/>
    </row>
    <row r="386" spans="2:26" x14ac:dyDescent="0.35">
      <c r="B386" s="685" t="s">
        <v>555</v>
      </c>
      <c r="C386" s="864"/>
      <c r="D386" s="864"/>
      <c r="E386" s="865"/>
      <c r="F386" s="688"/>
      <c r="G386" s="689"/>
      <c r="H386" s="690"/>
      <c r="I386" s="691"/>
      <c r="J386" s="689"/>
      <c r="K386" s="692"/>
      <c r="L386" s="866"/>
      <c r="M386" s="694"/>
      <c r="N386" s="695"/>
      <c r="O386" s="690"/>
      <c r="P386" s="696"/>
      <c r="Q386" s="697">
        <f>SUM(Q381:Q385)</f>
        <v>296972852.2617501</v>
      </c>
      <c r="R386" s="696"/>
      <c r="S386" s="697">
        <f>SUM(S375:S385)</f>
        <v>2171137597.8481374</v>
      </c>
      <c r="T386" s="684"/>
      <c r="U386" s="684"/>
      <c r="V386" s="684"/>
      <c r="W386" s="684"/>
      <c r="X386" s="690"/>
      <c r="Y386" s="727">
        <f t="shared" si="80"/>
        <v>740950.23019398726</v>
      </c>
      <c r="Z386" s="875">
        <f>(Y386/$Y$421)*100</f>
        <v>5.3470258501728836</v>
      </c>
    </row>
    <row r="387" spans="2:26" x14ac:dyDescent="0.35">
      <c r="B387" s="539"/>
      <c r="C387" s="540" t="s">
        <v>535</v>
      </c>
      <c r="D387" s="540"/>
      <c r="E387" s="541"/>
      <c r="F387" s="295" t="s">
        <v>189</v>
      </c>
      <c r="G387" s="364" t="s">
        <v>190</v>
      </c>
      <c r="H387" s="365"/>
      <c r="I387" s="366"/>
      <c r="J387" s="364"/>
      <c r="K387" s="308"/>
      <c r="L387" s="825"/>
      <c r="M387" s="542"/>
      <c r="N387" s="296"/>
      <c r="O387" s="365"/>
      <c r="P387" s="543"/>
      <c r="Q387" s="543"/>
      <c r="R387" s="543"/>
      <c r="S387" s="543"/>
      <c r="T387" s="544"/>
      <c r="U387" s="544"/>
      <c r="V387" s="544"/>
      <c r="W387" s="544"/>
      <c r="X387" s="545"/>
      <c r="Y387" s="296">
        <f t="shared" si="80"/>
        <v>0</v>
      </c>
      <c r="Z387" s="295"/>
    </row>
    <row r="388" spans="2:26" hidden="1" x14ac:dyDescent="0.35">
      <c r="B388" s="549"/>
      <c r="C388" s="550"/>
      <c r="D388" s="550"/>
      <c r="E388" s="551"/>
      <c r="F388" s="295"/>
      <c r="G388" s="364"/>
      <c r="H388" s="365"/>
      <c r="I388" s="366"/>
      <c r="J388" s="364"/>
      <c r="K388" s="308"/>
      <c r="L388" s="825"/>
      <c r="M388" s="542"/>
      <c r="N388" s="296"/>
      <c r="O388" s="365"/>
      <c r="P388" s="543"/>
      <c r="Q388" s="543"/>
      <c r="R388" s="543"/>
      <c r="S388" s="543"/>
      <c r="T388" s="544"/>
      <c r="U388" s="544"/>
      <c r="V388" s="544"/>
      <c r="W388" s="544"/>
      <c r="X388" s="545"/>
      <c r="Y388" s="296">
        <f t="shared" si="80"/>
        <v>0</v>
      </c>
      <c r="Z388" s="295"/>
    </row>
    <row r="389" spans="2:26" x14ac:dyDescent="0.35">
      <c r="B389" s="546"/>
      <c r="C389" t="s">
        <v>352</v>
      </c>
      <c r="E389" s="547"/>
      <c r="F389" s="295" t="s">
        <v>189</v>
      </c>
      <c r="G389" s="364" t="s">
        <v>190</v>
      </c>
      <c r="H389" s="365"/>
      <c r="I389" s="366"/>
      <c r="J389" s="364"/>
      <c r="K389" s="308"/>
      <c r="L389" s="825"/>
      <c r="M389" s="542"/>
      <c r="N389" s="296"/>
      <c r="O389" s="365"/>
      <c r="P389" s="543"/>
      <c r="Q389" s="543"/>
      <c r="R389" s="543"/>
      <c r="S389" s="543"/>
      <c r="T389" s="544"/>
      <c r="U389" s="544"/>
      <c r="V389" s="544"/>
      <c r="W389" s="544"/>
      <c r="X389" s="545"/>
      <c r="Y389" s="296">
        <f t="shared" si="80"/>
        <v>0</v>
      </c>
      <c r="Z389" s="295"/>
    </row>
    <row r="390" spans="2:26" hidden="1" x14ac:dyDescent="0.35">
      <c r="B390" s="546"/>
      <c r="E390" s="547"/>
      <c r="F390" s="295"/>
      <c r="G390" s="364"/>
      <c r="H390" s="365"/>
      <c r="I390" s="366"/>
      <c r="J390" s="364"/>
      <c r="K390" s="308"/>
      <c r="L390" s="825"/>
      <c r="M390" s="542"/>
      <c r="N390" s="296"/>
      <c r="O390" s="365"/>
      <c r="P390" s="543"/>
      <c r="Q390" s="543"/>
      <c r="R390" s="543"/>
      <c r="S390" s="543"/>
      <c r="T390" s="544"/>
      <c r="U390" s="544"/>
      <c r="V390" s="544"/>
      <c r="W390" s="544"/>
      <c r="X390" s="752"/>
      <c r="Y390" s="296">
        <f t="shared" si="80"/>
        <v>0</v>
      </c>
      <c r="Z390" s="295"/>
    </row>
    <row r="391" spans="2:26" hidden="1" x14ac:dyDescent="0.35">
      <c r="B391" s="549"/>
      <c r="C391" s="550"/>
      <c r="D391" s="550"/>
      <c r="E391" s="551"/>
      <c r="F391" s="295"/>
      <c r="G391" s="364"/>
      <c r="H391" s="365"/>
      <c r="I391" s="366"/>
      <c r="J391" s="364"/>
      <c r="K391" s="308"/>
      <c r="L391" s="825"/>
      <c r="M391" s="542"/>
      <c r="N391" s="296"/>
      <c r="O391" s="365"/>
      <c r="P391" s="543"/>
      <c r="Q391" s="543"/>
      <c r="R391" s="543"/>
      <c r="S391" s="543"/>
      <c r="T391" s="544"/>
      <c r="U391" s="544"/>
      <c r="V391" s="544"/>
      <c r="W391" s="544"/>
      <c r="X391" s="545"/>
      <c r="Y391" s="296">
        <f t="shared" si="80"/>
        <v>0</v>
      </c>
      <c r="Z391" s="295"/>
    </row>
    <row r="392" spans="2:26" x14ac:dyDescent="0.35">
      <c r="B392" s="546"/>
      <c r="C392" t="s">
        <v>159</v>
      </c>
      <c r="E392" s="547"/>
      <c r="F392" s="295" t="s">
        <v>357</v>
      </c>
      <c r="G392" s="364" t="s">
        <v>190</v>
      </c>
      <c r="H392" s="365"/>
      <c r="I392" s="366"/>
      <c r="J392" s="364" t="s">
        <v>356</v>
      </c>
      <c r="K392" s="548">
        <v>1</v>
      </c>
      <c r="L392" s="903">
        <f>(O378+O368+O358+O348)/1000</f>
        <v>303.76632000000001</v>
      </c>
      <c r="M392" s="552">
        <v>1</v>
      </c>
      <c r="N392" s="437">
        <v>1</v>
      </c>
      <c r="O392" s="590">
        <f>K392*L392*M392*N392</f>
        <v>303.76632000000001</v>
      </c>
      <c r="P392" s="299">
        <f>VLOOKUP($F392,'[1]Master Harga'!$E$5:$L$351,7,FALSE)</f>
        <v>21498.75</v>
      </c>
      <c r="Q392" s="543">
        <f>P392*$O392</f>
        <v>6530596.1721000001</v>
      </c>
      <c r="R392" s="296">
        <f>VLOOKUP($F392,'[2]Master Harga'!$E$5:$L$348,7,FALSE)</f>
        <v>22744.800000000003</v>
      </c>
      <c r="S392" s="543">
        <f>R392*$O392</f>
        <v>6909104.1951360013</v>
      </c>
      <c r="T392" s="296">
        <f>VLOOKUP($F392,'[2]Master Harga'!$E$5:$L$348,8,FALSE)</f>
        <v>24564.384000000005</v>
      </c>
      <c r="U392" s="544">
        <f>$O392*T392</f>
        <v>7461832.5307468819</v>
      </c>
      <c r="V392" s="296">
        <f>W392/O392</f>
        <v>22935.978000000006</v>
      </c>
      <c r="W392" s="307">
        <f>AVERAGEIF($P$3:$U$3,W$3,$P392:$U392)</f>
        <v>6967177.6326609617</v>
      </c>
      <c r="X392" s="545"/>
      <c r="Y392" s="296">
        <f t="shared" si="80"/>
        <v>16293.902625000001</v>
      </c>
      <c r="Z392" s="295"/>
    </row>
    <row r="393" spans="2:26" x14ac:dyDescent="0.35">
      <c r="B393" s="546"/>
      <c r="E393" s="547"/>
      <c r="F393" s="295" t="s">
        <v>354</v>
      </c>
      <c r="G393" s="364" t="s">
        <v>203</v>
      </c>
      <c r="H393" s="365"/>
      <c r="I393" s="366"/>
      <c r="J393" s="364" t="s">
        <v>356</v>
      </c>
      <c r="K393" s="548"/>
      <c r="L393" s="825"/>
      <c r="M393" s="552"/>
      <c r="N393" s="437"/>
      <c r="O393" s="590"/>
      <c r="P393" s="296"/>
      <c r="Q393" s="543"/>
      <c r="R393" s="296"/>
      <c r="S393" s="543"/>
      <c r="T393" s="296"/>
      <c r="U393" s="544"/>
      <c r="V393" s="296" t="e">
        <f>W393/O393</f>
        <v>#DIV/0!</v>
      </c>
      <c r="W393" s="307"/>
      <c r="X393" s="545"/>
      <c r="Y393" s="296">
        <f t="shared" si="80"/>
        <v>0</v>
      </c>
      <c r="Z393" s="295"/>
    </row>
    <row r="394" spans="2:26" x14ac:dyDescent="0.35">
      <c r="B394" s="549"/>
      <c r="C394" s="550"/>
      <c r="D394" s="550"/>
      <c r="E394" s="551"/>
      <c r="F394" s="295" t="s">
        <v>359</v>
      </c>
      <c r="G394" s="308" t="s">
        <v>356</v>
      </c>
      <c r="H394" s="365"/>
      <c r="I394" s="366"/>
      <c r="J394" s="364" t="s">
        <v>356</v>
      </c>
      <c r="K394" s="548">
        <v>1</v>
      </c>
      <c r="L394" s="825">
        <f>L392</f>
        <v>303.76632000000001</v>
      </c>
      <c r="M394" s="552">
        <v>1</v>
      </c>
      <c r="N394" s="589">
        <v>1</v>
      </c>
      <c r="O394" s="590">
        <f>K394*L394*M394*N394</f>
        <v>303.76632000000001</v>
      </c>
      <c r="P394" s="299">
        <f>VLOOKUP($F394,'[1]Master Harga'!$E$5:$L$351,7,FALSE)</f>
        <v>65017.659999999996</v>
      </c>
      <c r="Q394" s="543">
        <f>P394*$O394</f>
        <v>19750175.313211199</v>
      </c>
      <c r="R394" s="296">
        <f>VLOOKUP($F394,'[2]Master Harga'!$E$5:$L$348,7,FALSE)</f>
        <v>53647.360000000001</v>
      </c>
      <c r="S394" s="543">
        <f>R394*$O394</f>
        <v>16296261.124915201</v>
      </c>
      <c r="T394" s="296">
        <f>VLOOKUP($F394,'[2]Master Harga'!$E$5:$L$348,8,FALSE)</f>
        <v>55793.254400000005</v>
      </c>
      <c r="U394" s="544">
        <f>$O394*T394</f>
        <v>16948111.569911812</v>
      </c>
      <c r="V394" s="296">
        <f>W394/O394</f>
        <v>58152.758133333329</v>
      </c>
      <c r="W394" s="307">
        <f>AVERAGEIF($P$3:$U$3,W$3,$P394:$U394)</f>
        <v>17664849.336012736</v>
      </c>
      <c r="X394" s="545"/>
      <c r="Y394" s="296">
        <f t="shared" si="80"/>
        <v>49276.884513999998</v>
      </c>
      <c r="Z394" s="295"/>
    </row>
    <row r="395" spans="2:26" x14ac:dyDescent="0.35">
      <c r="B395" s="546"/>
      <c r="C395" t="s">
        <v>161</v>
      </c>
      <c r="E395" s="547"/>
      <c r="F395" s="295" t="s">
        <v>360</v>
      </c>
      <c r="G395" s="364" t="s">
        <v>190</v>
      </c>
      <c r="H395" s="365"/>
      <c r="I395" s="366"/>
      <c r="J395" s="364" t="s">
        <v>356</v>
      </c>
      <c r="K395" s="548">
        <v>1</v>
      </c>
      <c r="L395" s="825">
        <f>L392</f>
        <v>303.76632000000001</v>
      </c>
      <c r="M395" s="552">
        <v>1</v>
      </c>
      <c r="N395" s="437">
        <v>1</v>
      </c>
      <c r="O395" s="590">
        <f>K395*L395*M395*N395</f>
        <v>303.76632000000001</v>
      </c>
      <c r="P395" s="299">
        <f>VLOOKUP($F395,'[1]Master Harga'!$E$5:$L$351,7,FALSE)</f>
        <v>35280</v>
      </c>
      <c r="Q395" s="543">
        <f>P395*$O395</f>
        <v>10716875.7696</v>
      </c>
      <c r="R395" s="296">
        <f>VLOOKUP($F395,'[2]Master Harga'!$E$5:$L$348,7,FALSE)</f>
        <v>37324.800000000003</v>
      </c>
      <c r="S395" s="543">
        <f>R395*$O395</f>
        <v>11338017.140736001</v>
      </c>
      <c r="T395" s="296">
        <f>VLOOKUP($F395,'[2]Master Harga'!$E$5:$L$348,8,FALSE)</f>
        <v>40310.784000000007</v>
      </c>
      <c r="U395" s="544">
        <f>$O395*T395</f>
        <v>12245058.511994882</v>
      </c>
      <c r="V395" s="296">
        <f>W395/O395</f>
        <v>37638.528000000006</v>
      </c>
      <c r="W395" s="307">
        <f>AVERAGEIF($P$3:$U$3,W$3,$P395:$U395)</f>
        <v>11433317.140776962</v>
      </c>
      <c r="X395" s="545"/>
      <c r="Y395" s="296">
        <f t="shared" si="80"/>
        <v>26738.712</v>
      </c>
      <c r="Z395" s="295"/>
    </row>
    <row r="396" spans="2:26" x14ac:dyDescent="0.35">
      <c r="B396" s="546"/>
      <c r="E396" s="547"/>
      <c r="F396" s="295" t="s">
        <v>411</v>
      </c>
      <c r="G396" s="364" t="s">
        <v>356</v>
      </c>
      <c r="H396" s="365"/>
      <c r="I396" s="366"/>
      <c r="J396" s="364" t="s">
        <v>356</v>
      </c>
      <c r="K396" s="548"/>
      <c r="L396" s="825">
        <f>L395</f>
        <v>303.76632000000001</v>
      </c>
      <c r="M396" s="552">
        <v>1</v>
      </c>
      <c r="N396" s="508">
        <v>1</v>
      </c>
      <c r="O396" s="590">
        <f>K396*L396*M396*N396</f>
        <v>0</v>
      </c>
      <c r="P396" s="296">
        <f>VLOOKUP($F396,'[2]Master Harga'!$E$5:$L$348,6,FALSE)</f>
        <v>0</v>
      </c>
      <c r="Q396" s="543">
        <f>P396*$O396</f>
        <v>0</v>
      </c>
      <c r="R396" s="296">
        <f>VLOOKUP($F396,'[2]Master Harga'!$E$5:$L$348,7,FALSE)</f>
        <v>0</v>
      </c>
      <c r="S396" s="543">
        <f>R396*$O396</f>
        <v>0</v>
      </c>
      <c r="T396" s="296">
        <f>VLOOKUP($F396,'[2]Master Harga'!$E$5:$L$348,8,FALSE)</f>
        <v>0</v>
      </c>
      <c r="U396" s="544">
        <f>$O396*T396</f>
        <v>0</v>
      </c>
      <c r="V396" s="788"/>
      <c r="W396" s="788"/>
      <c r="X396" s="545"/>
      <c r="Y396" s="296">
        <f t="shared" si="80"/>
        <v>0</v>
      </c>
      <c r="Z396" s="295"/>
    </row>
    <row r="397" spans="2:26" x14ac:dyDescent="0.35">
      <c r="B397" s="685" t="s">
        <v>536</v>
      </c>
      <c r="C397" s="864"/>
      <c r="D397" s="864"/>
      <c r="E397" s="865"/>
      <c r="F397" s="688"/>
      <c r="G397" s="689"/>
      <c r="H397" s="690"/>
      <c r="I397" s="691"/>
      <c r="J397" s="689"/>
      <c r="K397" s="692"/>
      <c r="L397" s="866"/>
      <c r="M397" s="694"/>
      <c r="N397" s="695"/>
      <c r="O397" s="690"/>
      <c r="P397" s="696"/>
      <c r="Q397" s="697">
        <f>SUM(Q392:Q396)</f>
        <v>36997647.254911199</v>
      </c>
      <c r="R397" s="696"/>
      <c r="S397" s="697">
        <f>SUM(S386:S396)</f>
        <v>2205680980.3089247</v>
      </c>
      <c r="T397" s="684"/>
      <c r="U397" s="684"/>
      <c r="V397" s="684"/>
      <c r="W397" s="684"/>
      <c r="X397" s="690"/>
      <c r="Y397" s="727">
        <f t="shared" si="80"/>
        <v>92309.499138999992</v>
      </c>
      <c r="Z397" s="875">
        <f t="shared" ref="Z397:Z398" si="84">(Y397/$Y$421)*100</f>
        <v>0.66614633210049834</v>
      </c>
    </row>
    <row r="398" spans="2:26" ht="29.25" customHeight="1" x14ac:dyDescent="0.35">
      <c r="B398" s="753" t="s">
        <v>537</v>
      </c>
      <c r="C398" s="853"/>
      <c r="D398" s="853"/>
      <c r="E398" s="854"/>
      <c r="F398" s="668"/>
      <c r="G398" s="669"/>
      <c r="H398" s="670"/>
      <c r="I398" s="671"/>
      <c r="J398" s="669"/>
      <c r="K398" s="672"/>
      <c r="L398" s="876"/>
      <c r="M398" s="674"/>
      <c r="N398" s="675"/>
      <c r="O398" s="670"/>
      <c r="P398" s="676"/>
      <c r="Q398" s="756">
        <f>Q349+Q359+Q369+Q380+Q386+Q397</f>
        <v>2323418944.7188053</v>
      </c>
      <c r="R398" s="676"/>
      <c r="S398" s="756">
        <f>SUM(S387:S397)</f>
        <v>2240224362.769712</v>
      </c>
      <c r="T398" s="677"/>
      <c r="U398" s="677"/>
      <c r="V398" s="677"/>
      <c r="W398" s="677"/>
      <c r="X398" s="670"/>
      <c r="Y398" s="720">
        <f t="shared" si="80"/>
        <v>5796953.4548872383</v>
      </c>
      <c r="Z398" s="889">
        <f t="shared" si="84"/>
        <v>41.833390034059278</v>
      </c>
    </row>
    <row r="399" spans="2:26" x14ac:dyDescent="0.35">
      <c r="B399" s="678" t="s">
        <v>346</v>
      </c>
      <c r="C399" s="366"/>
      <c r="D399" s="366"/>
      <c r="E399" s="553"/>
      <c r="F399" s="295"/>
      <c r="G399" s="364"/>
      <c r="H399" s="365"/>
      <c r="I399" s="366"/>
      <c r="J399" s="364"/>
      <c r="K399" s="308"/>
      <c r="L399" s="825"/>
      <c r="M399" s="542"/>
      <c r="N399" s="296"/>
      <c r="O399" s="365"/>
      <c r="P399" s="543"/>
      <c r="Q399" s="543"/>
      <c r="R399" s="543"/>
      <c r="S399" s="543"/>
      <c r="T399" s="544"/>
      <c r="U399" s="544"/>
      <c r="V399" s="544"/>
      <c r="W399" s="544"/>
      <c r="X399" s="545"/>
      <c r="Y399" s="296">
        <f t="shared" si="80"/>
        <v>0</v>
      </c>
      <c r="Z399" s="295"/>
    </row>
    <row r="400" spans="2:26" x14ac:dyDescent="0.35">
      <c r="B400" s="546"/>
      <c r="C400" t="s">
        <v>521</v>
      </c>
      <c r="E400" s="547"/>
      <c r="F400" s="295" t="s">
        <v>189</v>
      </c>
      <c r="G400" s="364" t="s">
        <v>190</v>
      </c>
      <c r="H400" s="365"/>
      <c r="I400" s="366"/>
      <c r="J400" s="364"/>
      <c r="K400" s="308"/>
      <c r="L400" s="825"/>
      <c r="M400" s="542">
        <v>1</v>
      </c>
      <c r="N400" s="296">
        <v>1</v>
      </c>
      <c r="O400" s="365"/>
      <c r="P400" s="543"/>
      <c r="Q400" s="543"/>
      <c r="R400" s="543"/>
      <c r="S400" s="543"/>
      <c r="T400" s="544"/>
      <c r="U400" s="544"/>
      <c r="V400" s="544"/>
      <c r="W400" s="544"/>
      <c r="X400" s="545"/>
      <c r="Y400" s="296">
        <f t="shared" si="80"/>
        <v>0</v>
      </c>
      <c r="Z400" s="295"/>
    </row>
    <row r="401" spans="2:26" hidden="1" x14ac:dyDescent="0.35">
      <c r="B401" s="546"/>
      <c r="E401" s="547"/>
      <c r="F401" s="295" t="s">
        <v>398</v>
      </c>
      <c r="G401" s="364" t="s">
        <v>192</v>
      </c>
      <c r="H401" s="365"/>
      <c r="I401" s="366"/>
      <c r="J401" s="364"/>
      <c r="K401" s="308"/>
      <c r="L401" s="825"/>
      <c r="M401" s="542">
        <v>25</v>
      </c>
      <c r="N401" s="296">
        <v>1</v>
      </c>
      <c r="O401" s="365"/>
      <c r="P401" s="543"/>
      <c r="Q401" s="543"/>
      <c r="R401" s="543"/>
      <c r="S401" s="543"/>
      <c r="T401" s="544"/>
      <c r="U401" s="544"/>
      <c r="V401" s="544"/>
      <c r="W401" s="544"/>
      <c r="X401" s="545"/>
      <c r="Y401" s="296">
        <f t="shared" si="80"/>
        <v>0</v>
      </c>
      <c r="Z401" s="295"/>
    </row>
    <row r="402" spans="2:26" hidden="1" x14ac:dyDescent="0.35">
      <c r="B402" s="549"/>
      <c r="C402" s="550"/>
      <c r="D402" s="550"/>
      <c r="E402" s="551"/>
      <c r="F402" s="295"/>
      <c r="G402" s="364"/>
      <c r="H402" s="365"/>
      <c r="I402" s="366"/>
      <c r="J402" s="364"/>
      <c r="K402" s="308"/>
      <c r="L402" s="825"/>
      <c r="M402" s="542"/>
      <c r="N402" s="296"/>
      <c r="O402" s="365"/>
      <c r="P402" s="543"/>
      <c r="Q402" s="543"/>
      <c r="R402" s="543"/>
      <c r="S402" s="543"/>
      <c r="T402" s="544"/>
      <c r="U402" s="544"/>
      <c r="V402" s="544"/>
      <c r="W402" s="544"/>
      <c r="X402" s="545"/>
      <c r="Y402" s="296">
        <f t="shared" si="80"/>
        <v>0</v>
      </c>
      <c r="Z402" s="295"/>
    </row>
    <row r="403" spans="2:26" x14ac:dyDescent="0.35">
      <c r="B403" s="546"/>
      <c r="C403" t="s">
        <v>352</v>
      </c>
      <c r="E403" s="547"/>
      <c r="F403" s="295" t="s">
        <v>189</v>
      </c>
      <c r="G403" s="364" t="s">
        <v>190</v>
      </c>
      <c r="H403" s="365"/>
      <c r="I403" s="366"/>
      <c r="J403" s="364"/>
      <c r="K403" s="308"/>
      <c r="L403" s="825"/>
      <c r="M403" s="542"/>
      <c r="N403" s="296"/>
      <c r="O403" s="365"/>
      <c r="P403" s="543"/>
      <c r="Q403" s="543"/>
      <c r="R403" s="543"/>
      <c r="S403" s="543"/>
      <c r="T403" s="544"/>
      <c r="U403" s="544"/>
      <c r="V403" s="544"/>
      <c r="W403" s="544"/>
      <c r="X403" s="545"/>
      <c r="Y403" s="296">
        <f t="shared" si="80"/>
        <v>0</v>
      </c>
      <c r="Z403" s="295"/>
    </row>
    <row r="404" spans="2:26" hidden="1" x14ac:dyDescent="0.35">
      <c r="B404" s="546"/>
      <c r="E404" s="547"/>
      <c r="F404" s="295"/>
      <c r="G404" s="364"/>
      <c r="H404" s="365"/>
      <c r="I404" s="366"/>
      <c r="J404" s="364"/>
      <c r="K404" s="308"/>
      <c r="L404" s="825"/>
      <c r="M404" s="542"/>
      <c r="N404" s="296"/>
      <c r="O404" s="365"/>
      <c r="P404" s="543"/>
      <c r="Q404" s="543"/>
      <c r="R404" s="543"/>
      <c r="S404" s="543"/>
      <c r="T404" s="544"/>
      <c r="U404" s="544"/>
      <c r="V404" s="544"/>
      <c r="W404" s="544"/>
      <c r="X404" s="545"/>
      <c r="Y404" s="296">
        <f t="shared" si="80"/>
        <v>0</v>
      </c>
      <c r="Z404" s="295"/>
    </row>
    <row r="405" spans="2:26" hidden="1" x14ac:dyDescent="0.35">
      <c r="B405" s="549"/>
      <c r="C405" s="550"/>
      <c r="D405" s="550"/>
      <c r="E405" s="551"/>
      <c r="F405" s="295"/>
      <c r="G405" s="364"/>
      <c r="H405" s="365"/>
      <c r="I405" s="366"/>
      <c r="J405" s="364"/>
      <c r="K405" s="308"/>
      <c r="L405" s="825"/>
      <c r="M405" s="542"/>
      <c r="N405" s="296"/>
      <c r="O405" s="365"/>
      <c r="P405" s="543"/>
      <c r="Q405" s="543"/>
      <c r="R405" s="543"/>
      <c r="S405" s="543"/>
      <c r="T405" s="544"/>
      <c r="U405" s="544"/>
      <c r="V405" s="544"/>
      <c r="W405" s="544"/>
      <c r="X405" s="545"/>
      <c r="Y405" s="296">
        <f t="shared" si="80"/>
        <v>0</v>
      </c>
      <c r="Z405" s="295"/>
    </row>
    <row r="406" spans="2:26" x14ac:dyDescent="0.35">
      <c r="B406" s="546"/>
      <c r="C406" t="s">
        <v>159</v>
      </c>
      <c r="E406" s="547"/>
      <c r="F406" s="295" t="s">
        <v>357</v>
      </c>
      <c r="G406" s="308" t="s">
        <v>356</v>
      </c>
      <c r="H406" s="365"/>
      <c r="I406" s="366"/>
      <c r="J406" s="364"/>
      <c r="K406" s="308"/>
      <c r="L406" s="825"/>
      <c r="M406" s="552">
        <v>1</v>
      </c>
      <c r="N406" s="589">
        <v>1</v>
      </c>
      <c r="O406" s="793"/>
      <c r="P406" s="589"/>
      <c r="Q406" s="589"/>
      <c r="R406" s="589"/>
      <c r="S406" s="589"/>
      <c r="T406" s="819"/>
      <c r="U406" s="819"/>
      <c r="V406" s="819"/>
      <c r="W406" s="819"/>
      <c r="X406" s="545"/>
      <c r="Y406" s="296">
        <f t="shared" si="80"/>
        <v>0</v>
      </c>
      <c r="Z406" s="295"/>
    </row>
    <row r="407" spans="2:26" hidden="1" x14ac:dyDescent="0.35">
      <c r="B407" s="546"/>
      <c r="E407" s="547"/>
      <c r="F407" s="295" t="s">
        <v>354</v>
      </c>
      <c r="G407" s="308" t="s">
        <v>203</v>
      </c>
      <c r="H407" s="365"/>
      <c r="I407" s="366"/>
      <c r="J407" s="364"/>
      <c r="K407" s="308"/>
      <c r="L407" s="825"/>
      <c r="M407" s="552">
        <f>2/4</f>
        <v>0.5</v>
      </c>
      <c r="N407" s="589">
        <v>1</v>
      </c>
      <c r="O407" s="793"/>
      <c r="P407" s="589"/>
      <c r="Q407" s="589"/>
      <c r="R407" s="589"/>
      <c r="S407" s="589"/>
      <c r="T407" s="819"/>
      <c r="U407" s="819"/>
      <c r="V407" s="819"/>
      <c r="W407" s="819"/>
      <c r="X407" s="545"/>
      <c r="Y407" s="296">
        <f t="shared" si="80"/>
        <v>0</v>
      </c>
      <c r="Z407" s="295"/>
    </row>
    <row r="408" spans="2:26" hidden="1" x14ac:dyDescent="0.35">
      <c r="B408" s="549"/>
      <c r="C408" s="550"/>
      <c r="D408" s="550"/>
      <c r="E408" s="551"/>
      <c r="F408" s="295" t="s">
        <v>359</v>
      </c>
      <c r="G408" s="308" t="s">
        <v>356</v>
      </c>
      <c r="H408" s="365"/>
      <c r="I408" s="366"/>
      <c r="J408" s="364"/>
      <c r="K408" s="308"/>
      <c r="L408" s="825"/>
      <c r="M408" s="552">
        <v>1</v>
      </c>
      <c r="N408" s="589">
        <v>1</v>
      </c>
      <c r="O408" s="793"/>
      <c r="P408" s="589"/>
      <c r="Q408" s="589"/>
      <c r="R408" s="589"/>
      <c r="S408" s="589"/>
      <c r="T408" s="819"/>
      <c r="U408" s="819"/>
      <c r="V408" s="819"/>
      <c r="W408" s="819"/>
      <c r="X408" s="545"/>
      <c r="Y408" s="296">
        <f t="shared" si="80"/>
        <v>0</v>
      </c>
      <c r="Z408" s="295"/>
    </row>
    <row r="409" spans="2:26" x14ac:dyDescent="0.35">
      <c r="B409" s="546"/>
      <c r="C409" t="s">
        <v>161</v>
      </c>
      <c r="E409" s="547"/>
      <c r="F409" s="295" t="s">
        <v>360</v>
      </c>
      <c r="G409" s="308" t="s">
        <v>356</v>
      </c>
      <c r="H409" s="365"/>
      <c r="I409" s="366"/>
      <c r="J409" s="364"/>
      <c r="K409" s="308"/>
      <c r="L409" s="825"/>
      <c r="M409" s="552">
        <v>1</v>
      </c>
      <c r="N409" s="508">
        <v>1</v>
      </c>
      <c r="O409" s="571"/>
      <c r="P409" s="508"/>
      <c r="Q409" s="508"/>
      <c r="R409" s="508"/>
      <c r="S409" s="508"/>
      <c r="T409" s="820"/>
      <c r="U409" s="820"/>
      <c r="V409" s="820"/>
      <c r="W409" s="820"/>
      <c r="X409" s="545"/>
      <c r="Y409" s="296">
        <f t="shared" si="80"/>
        <v>0</v>
      </c>
      <c r="Z409" s="295"/>
    </row>
    <row r="410" spans="2:26" hidden="1" x14ac:dyDescent="0.35">
      <c r="B410" s="546"/>
      <c r="E410" s="547"/>
      <c r="F410" s="295" t="s">
        <v>359</v>
      </c>
      <c r="G410" s="308" t="s">
        <v>356</v>
      </c>
      <c r="H410" s="365"/>
      <c r="I410" s="366"/>
      <c r="J410" s="364"/>
      <c r="K410" s="308"/>
      <c r="L410" s="825"/>
      <c r="M410" s="552">
        <v>1</v>
      </c>
      <c r="N410" s="508">
        <v>1</v>
      </c>
      <c r="O410" s="786"/>
      <c r="P410" s="787"/>
      <c r="Q410" s="787"/>
      <c r="R410" s="787"/>
      <c r="S410" s="787"/>
      <c r="T410" s="788"/>
      <c r="U410" s="788"/>
      <c r="V410" s="788"/>
      <c r="W410" s="788"/>
      <c r="X410" s="545"/>
      <c r="Y410" s="296">
        <f t="shared" si="80"/>
        <v>0</v>
      </c>
      <c r="Z410" s="295"/>
    </row>
    <row r="411" spans="2:26" hidden="1" x14ac:dyDescent="0.35">
      <c r="B411" s="549"/>
      <c r="C411" s="550"/>
      <c r="D411" s="550"/>
      <c r="E411" s="551"/>
      <c r="F411" s="295"/>
      <c r="G411" s="364"/>
      <c r="H411" s="365"/>
      <c r="I411" s="366"/>
      <c r="J411" s="364"/>
      <c r="K411" s="308"/>
      <c r="L411" s="825"/>
      <c r="M411" s="542"/>
      <c r="N411" s="296"/>
      <c r="O411" s="365"/>
      <c r="P411" s="543"/>
      <c r="Q411" s="543"/>
      <c r="R411" s="543"/>
      <c r="S411" s="543"/>
      <c r="T411" s="544"/>
      <c r="U411" s="544"/>
      <c r="V411" s="544"/>
      <c r="W411" s="544"/>
      <c r="X411" s="545"/>
      <c r="Y411" s="296">
        <f t="shared" si="80"/>
        <v>0</v>
      </c>
      <c r="Z411" s="295"/>
    </row>
    <row r="412" spans="2:26" x14ac:dyDescent="0.35">
      <c r="B412" s="678" t="s">
        <v>414</v>
      </c>
      <c r="C412" s="366"/>
      <c r="D412" s="366"/>
      <c r="E412" s="553"/>
      <c r="F412" s="295"/>
      <c r="G412" s="364"/>
      <c r="H412" s="365"/>
      <c r="I412" s="366"/>
      <c r="J412" s="364"/>
      <c r="K412" s="308"/>
      <c r="L412" s="825"/>
      <c r="M412" s="542"/>
      <c r="N412" s="296"/>
      <c r="O412" s="365"/>
      <c r="P412" s="543"/>
      <c r="Q412" s="543"/>
      <c r="R412" s="543"/>
      <c r="S412" s="543"/>
      <c r="T412" s="544">
        <f>R412*1.1</f>
        <v>0</v>
      </c>
      <c r="U412" s="544">
        <f>O412*T412</f>
        <v>0</v>
      </c>
      <c r="V412" s="296"/>
      <c r="W412" s="296"/>
      <c r="X412" s="545"/>
      <c r="Y412" s="296">
        <f t="shared" si="80"/>
        <v>0</v>
      </c>
      <c r="Z412" s="295"/>
    </row>
    <row r="413" spans="2:26" x14ac:dyDescent="0.35">
      <c r="B413" s="546"/>
      <c r="C413" t="s">
        <v>164</v>
      </c>
      <c r="E413" s="547"/>
      <c r="F413" s="295" t="s">
        <v>189</v>
      </c>
      <c r="G413" s="364" t="s">
        <v>190</v>
      </c>
      <c r="H413" s="365"/>
      <c r="I413" s="366"/>
      <c r="J413" s="364" t="s">
        <v>170</v>
      </c>
      <c r="K413" s="548">
        <v>1</v>
      </c>
      <c r="L413" s="825">
        <f t="shared" ref="L413:L415" si="85">$L$59</f>
        <v>400.8</v>
      </c>
      <c r="M413" s="542">
        <f>(0.12/15)*25</f>
        <v>0.2</v>
      </c>
      <c r="N413" s="437">
        <v>12</v>
      </c>
      <c r="O413" s="401">
        <f>K413*L413*M413*N413</f>
        <v>961.92000000000007</v>
      </c>
      <c r="P413" s="299">
        <f>VLOOKUP($F413,'[1]Master Harga'!$E$5:$L$351,7,FALSE)</f>
        <v>158800.57379999998</v>
      </c>
      <c r="Q413" s="543">
        <f>P413*$O413</f>
        <v>152753447.949696</v>
      </c>
      <c r="R413" s="296">
        <f>VLOOKUP($F413,'[2]Master Harga'!$E$5:$L$348,7,FALSE)</f>
        <v>163305.33120000002</v>
      </c>
      <c r="S413" s="543">
        <f>R413*$O413</f>
        <v>157086664.18790403</v>
      </c>
      <c r="T413" s="296">
        <f>VLOOKUP($F413,'[2]Master Harga'!$E$5:$L$348,8,FALSE)</f>
        <v>179635.86432000002</v>
      </c>
      <c r="U413" s="544">
        <f>$O413*T413</f>
        <v>172795330.60669443</v>
      </c>
      <c r="V413" s="296">
        <f>W413/O413</f>
        <v>167247.25644000003</v>
      </c>
      <c r="W413" s="307">
        <f>AVERAGEIF($P$3:$U$3,W$3,$P413:$U413)</f>
        <v>160878480.91476485</v>
      </c>
      <c r="X413" s="545"/>
      <c r="Y413" s="296">
        <f t="shared" si="80"/>
        <v>381121.37712000002</v>
      </c>
      <c r="Z413" s="295"/>
    </row>
    <row r="414" spans="2:26" x14ac:dyDescent="0.35">
      <c r="B414" s="546"/>
      <c r="E414" s="547"/>
      <c r="F414" s="295" t="s">
        <v>415</v>
      </c>
      <c r="G414" s="364" t="s">
        <v>538</v>
      </c>
      <c r="H414" s="365"/>
      <c r="I414" s="366"/>
      <c r="J414" s="364" t="s">
        <v>170</v>
      </c>
      <c r="K414" s="548">
        <v>1</v>
      </c>
      <c r="L414" s="825">
        <f t="shared" si="85"/>
        <v>400.8</v>
      </c>
      <c r="M414" s="542">
        <v>1</v>
      </c>
      <c r="N414" s="437">
        <v>12</v>
      </c>
      <c r="O414" s="401">
        <f>K414*L414*M414*N414</f>
        <v>4809.6000000000004</v>
      </c>
      <c r="P414" s="299">
        <f>VLOOKUP($F414,'[1]Master Harga'!$E$5:$L$351,7,FALSE)</f>
        <v>2754.4198500000002</v>
      </c>
      <c r="Q414" s="543">
        <f>P414*$O414</f>
        <v>13247657.710560001</v>
      </c>
      <c r="R414" s="296">
        <f>VLOOKUP($F414,'[2]Master Harga'!$E$5:$L$348,7,FALSE)</f>
        <v>2754.4198500000002</v>
      </c>
      <c r="S414" s="543">
        <f>R414*$O414</f>
        <v>13247657.710560001</v>
      </c>
      <c r="T414" s="296">
        <f>VLOOKUP($F414,'[2]Master Harga'!$E$5:$L$348,8,FALSE)</f>
        <v>2892.1408425000004</v>
      </c>
      <c r="U414" s="544">
        <f>$O414*T414</f>
        <v>13910040.596088003</v>
      </c>
      <c r="V414" s="296">
        <f>W414/O414</f>
        <v>2800.3268475000004</v>
      </c>
      <c r="W414" s="307">
        <f>AVERAGEIF($P$3:$U$3,W$3,$P414:$U414)</f>
        <v>13468452.005736003</v>
      </c>
      <c r="X414" s="545"/>
      <c r="Y414" s="296">
        <f t="shared" si="80"/>
        <v>33053.038200000003</v>
      </c>
      <c r="Z414" s="295"/>
    </row>
    <row r="415" spans="2:26" x14ac:dyDescent="0.35">
      <c r="B415" s="546"/>
      <c r="E415" s="547"/>
      <c r="F415" s="295" t="s">
        <v>417</v>
      </c>
      <c r="G415" s="364" t="s">
        <v>538</v>
      </c>
      <c r="H415" s="365"/>
      <c r="I415" s="366"/>
      <c r="J415" s="364" t="s">
        <v>170</v>
      </c>
      <c r="K415" s="548">
        <v>1</v>
      </c>
      <c r="L415" s="825">
        <f t="shared" si="85"/>
        <v>400.8</v>
      </c>
      <c r="M415" s="542">
        <v>1</v>
      </c>
      <c r="N415" s="437">
        <v>12</v>
      </c>
      <c r="O415" s="401">
        <f>K415*L415*M415*N415</f>
        <v>4809.6000000000004</v>
      </c>
      <c r="P415" s="299">
        <f>VLOOKUP($F415,'[1]Master Harga'!$E$5:$L$351,7,FALSE)</f>
        <v>1337.365575</v>
      </c>
      <c r="Q415" s="543">
        <f>P415*$O415</f>
        <v>6432193.4695200007</v>
      </c>
      <c r="R415" s="296">
        <f>VLOOKUP($F415,'[2]Master Harga'!$E$5:$L$348,7,FALSE)</f>
        <v>1337.365575</v>
      </c>
      <c r="S415" s="543">
        <f>R415*$O415</f>
        <v>6432193.4695200007</v>
      </c>
      <c r="T415" s="296">
        <f>VLOOKUP($F415,'[2]Master Harga'!$E$5:$L$348,8,FALSE)</f>
        <v>1404.2338537500002</v>
      </c>
      <c r="U415" s="544">
        <f>$O415*T415</f>
        <v>6753803.1429960011</v>
      </c>
      <c r="V415" s="296">
        <f>W415/O415</f>
        <v>1359.6550012500002</v>
      </c>
      <c r="W415" s="307">
        <f>AVERAGEIF($P$3:$U$3,W$3,$P415:$U415)</f>
        <v>6539396.6940120012</v>
      </c>
      <c r="X415" s="545"/>
      <c r="Y415" s="296">
        <f t="shared" si="80"/>
        <v>16048.386900000001</v>
      </c>
      <c r="Z415" s="295"/>
    </row>
    <row r="416" spans="2:26" x14ac:dyDescent="0.35">
      <c r="B416" s="549"/>
      <c r="C416" s="550"/>
      <c r="D416" s="550"/>
      <c r="E416" s="551"/>
      <c r="F416" s="295"/>
      <c r="G416" s="364"/>
      <c r="H416" s="365"/>
      <c r="I416" s="366"/>
      <c r="J416" s="364"/>
      <c r="K416" s="308"/>
      <c r="L416" s="825"/>
      <c r="M416" s="542"/>
      <c r="N416" s="437"/>
      <c r="O416" s="545"/>
      <c r="P416" s="296"/>
      <c r="Q416" s="683"/>
      <c r="R416" s="683"/>
      <c r="S416" s="683"/>
      <c r="T416" s="684"/>
      <c r="U416" s="684"/>
      <c r="V416" s="684"/>
      <c r="W416" s="307"/>
      <c r="X416" s="545"/>
      <c r="Y416" s="296">
        <f t="shared" si="80"/>
        <v>0</v>
      </c>
      <c r="Z416" s="295"/>
    </row>
    <row r="417" spans="2:26" x14ac:dyDescent="0.35">
      <c r="B417" s="546"/>
      <c r="C417" t="s">
        <v>165</v>
      </c>
      <c r="E417" s="547"/>
      <c r="F417" s="295" t="s">
        <v>189</v>
      </c>
      <c r="G417" s="364" t="s">
        <v>190</v>
      </c>
      <c r="H417" s="365"/>
      <c r="I417" s="366"/>
      <c r="J417" s="364" t="s">
        <v>170</v>
      </c>
      <c r="K417" s="548">
        <v>1</v>
      </c>
      <c r="L417" s="825">
        <f t="shared" ref="L417:L418" si="86">$L$59</f>
        <v>400.8</v>
      </c>
      <c r="M417" s="542">
        <f>(1/500)*25</f>
        <v>0.05</v>
      </c>
      <c r="N417" s="437">
        <v>12</v>
      </c>
      <c r="O417" s="401">
        <f>K417*L417*M417*N417</f>
        <v>240.48000000000002</v>
      </c>
      <c r="P417" s="299">
        <f>VLOOKUP($F417,'[1]Master Harga'!$E$5:$L$351,7,FALSE)</f>
        <v>158800.57379999998</v>
      </c>
      <c r="Q417" s="543">
        <f>P417*$O417</f>
        <v>38188361.987424001</v>
      </c>
      <c r="R417" s="296">
        <f>VLOOKUP($F417,'[2]Master Harga'!$E$5:$L$348,7,FALSE)</f>
        <v>163305.33120000002</v>
      </c>
      <c r="S417" s="543">
        <f>R417*$O417</f>
        <v>39271666.046976008</v>
      </c>
      <c r="T417" s="296">
        <f>VLOOKUP($F417,'[2]Master Harga'!$E$5:$L$348,8,FALSE)</f>
        <v>179635.86432000002</v>
      </c>
      <c r="U417" s="544">
        <f>$O417*T417</f>
        <v>43198832.651673608</v>
      </c>
      <c r="V417" s="296">
        <f>W417/O417</f>
        <v>167247.25644000003</v>
      </c>
      <c r="W417" s="307">
        <f>AVERAGEIF($P$3:$U$3,W$3,$P417:$U417)</f>
        <v>40219620.228691213</v>
      </c>
      <c r="X417" s="545"/>
      <c r="Y417" s="296">
        <f t="shared" si="80"/>
        <v>95280.344280000005</v>
      </c>
      <c r="Z417" s="295"/>
    </row>
    <row r="418" spans="2:26" x14ac:dyDescent="0.35">
      <c r="B418" s="546"/>
      <c r="E418" s="547"/>
      <c r="F418" s="295" t="s">
        <v>419</v>
      </c>
      <c r="G418" s="364" t="s">
        <v>341</v>
      </c>
      <c r="H418" s="365"/>
      <c r="I418" s="366"/>
      <c r="J418" s="364" t="s">
        <v>170</v>
      </c>
      <c r="K418" s="548">
        <v>1</v>
      </c>
      <c r="L418" s="825">
        <f t="shared" si="86"/>
        <v>400.8</v>
      </c>
      <c r="M418" s="552">
        <v>0.08</v>
      </c>
      <c r="N418" s="437">
        <v>12</v>
      </c>
      <c r="O418" s="401">
        <f>K418*L418*M418*N418</f>
        <v>384.76800000000003</v>
      </c>
      <c r="P418" s="299">
        <f>VLOOKUP($F418,'[1]Master Harga'!$E$5:$L$351,7,FALSE)</f>
        <v>22050</v>
      </c>
      <c r="Q418" s="543">
        <f>P418*$O418</f>
        <v>8484134.4000000004</v>
      </c>
      <c r="R418" s="296">
        <f>VLOOKUP($F418,'[2]Master Harga'!$E$5:$L$348,7,FALSE)</f>
        <v>23328</v>
      </c>
      <c r="S418" s="543">
        <f>R418*$O418</f>
        <v>8975867.904000001</v>
      </c>
      <c r="T418" s="296">
        <f>VLOOKUP($F418,'[2]Master Harga'!$E$5:$L$348,8,FALSE)</f>
        <v>25194.240000000002</v>
      </c>
      <c r="U418" s="544">
        <f>$O418*T418</f>
        <v>9693937.3363200016</v>
      </c>
      <c r="V418" s="296">
        <f>W418/O418</f>
        <v>23524.080000000002</v>
      </c>
      <c r="W418" s="307">
        <f>AVERAGEIF($P$3:$U$3,W$3,$P418:$U418)</f>
        <v>9051313.213440001</v>
      </c>
      <c r="X418" s="545"/>
      <c r="Y418" s="296">
        <f t="shared" si="80"/>
        <v>21168</v>
      </c>
      <c r="Z418" s="295"/>
    </row>
    <row r="419" spans="2:26" x14ac:dyDescent="0.35">
      <c r="B419" s="546"/>
      <c r="E419" s="547"/>
      <c r="F419" s="295"/>
      <c r="G419" s="364"/>
      <c r="H419" s="365"/>
      <c r="I419" s="366"/>
      <c r="J419" s="364"/>
      <c r="K419" s="308"/>
      <c r="L419" s="825"/>
      <c r="M419" s="552"/>
      <c r="N419" s="437"/>
      <c r="O419" s="683"/>
      <c r="P419" s="683"/>
      <c r="Q419" s="683"/>
      <c r="R419" s="683"/>
      <c r="S419" s="683"/>
      <c r="T419" s="684"/>
      <c r="U419" s="684"/>
      <c r="V419" s="684"/>
      <c r="W419" s="684"/>
      <c r="X419" s="545"/>
      <c r="Y419" s="296">
        <f t="shared" si="80"/>
        <v>0</v>
      </c>
      <c r="Z419" s="295"/>
    </row>
    <row r="420" spans="2:26" x14ac:dyDescent="0.35">
      <c r="B420" s="753" t="s">
        <v>556</v>
      </c>
      <c r="C420" s="853"/>
      <c r="D420" s="853"/>
      <c r="E420" s="854"/>
      <c r="F420" s="668"/>
      <c r="G420" s="669"/>
      <c r="H420" s="670"/>
      <c r="I420" s="671"/>
      <c r="J420" s="669"/>
      <c r="K420" s="672"/>
      <c r="L420" s="876"/>
      <c r="M420" s="674"/>
      <c r="N420" s="675"/>
      <c r="O420" s="670"/>
      <c r="P420" s="676"/>
      <c r="Q420" s="756">
        <f>SUM(Q413:Q419)</f>
        <v>219105795.51720002</v>
      </c>
      <c r="R420" s="676"/>
      <c r="S420" s="756">
        <f>SUM(S409:S419)</f>
        <v>225014049.31896004</v>
      </c>
      <c r="T420" s="677"/>
      <c r="U420" s="677"/>
      <c r="V420" s="677"/>
      <c r="W420" s="677"/>
      <c r="X420" s="670"/>
      <c r="Y420" s="757">
        <f t="shared" si="80"/>
        <v>546671.14650000003</v>
      </c>
      <c r="Z420" s="877">
        <f t="shared" ref="Z420:Z421" si="87">(Y420/$Y$421)*100</f>
        <v>3.9450217204384486</v>
      </c>
    </row>
    <row r="421" spans="2:26" x14ac:dyDescent="0.35">
      <c r="B421" s="753" t="s">
        <v>557</v>
      </c>
      <c r="C421" s="853"/>
      <c r="D421" s="853"/>
      <c r="E421" s="854"/>
      <c r="F421" s="668"/>
      <c r="G421" s="669"/>
      <c r="H421" s="670"/>
      <c r="I421" s="671"/>
      <c r="J421" s="669"/>
      <c r="K421" s="672"/>
      <c r="L421" s="876"/>
      <c r="M421" s="674"/>
      <c r="N421" s="675"/>
      <c r="O421" s="670"/>
      <c r="P421" s="676"/>
      <c r="Q421" s="756">
        <f>Q35+Q56+Q173+Q197+Q284+Q294+Q337+Q398+Q420</f>
        <v>5553981981.4439116</v>
      </c>
      <c r="R421" s="676"/>
      <c r="S421" s="756">
        <f>SUM(S410:S420)</f>
        <v>450028098.63792008</v>
      </c>
      <c r="T421" s="677"/>
      <c r="U421" s="677"/>
      <c r="V421" s="677"/>
      <c r="W421" s="677"/>
      <c r="X421" s="670"/>
      <c r="Y421" s="757">
        <f t="shared" si="80"/>
        <v>13857240.472664449</v>
      </c>
      <c r="Z421" s="877">
        <f t="shared" si="87"/>
        <v>100</v>
      </c>
    </row>
    <row r="423" spans="2:26" x14ac:dyDescent="0.35">
      <c r="Q423" s="578"/>
    </row>
  </sheetData>
  <mergeCells count="56">
    <mergeCell ref="B380:E380"/>
    <mergeCell ref="B386:E386"/>
    <mergeCell ref="B397:E397"/>
    <mergeCell ref="B398:E398"/>
    <mergeCell ref="B420:E420"/>
    <mergeCell ref="B421:E421"/>
    <mergeCell ref="B328:E328"/>
    <mergeCell ref="K332:K334"/>
    <mergeCell ref="B337:E337"/>
    <mergeCell ref="B349:E349"/>
    <mergeCell ref="B359:E359"/>
    <mergeCell ref="B369:E369"/>
    <mergeCell ref="B235:E235"/>
    <mergeCell ref="B262:E262"/>
    <mergeCell ref="B284:E284"/>
    <mergeCell ref="B294:E294"/>
    <mergeCell ref="B298:E298"/>
    <mergeCell ref="B311:E311"/>
    <mergeCell ref="B172:E172"/>
    <mergeCell ref="B173:E173"/>
    <mergeCell ref="B184:E184"/>
    <mergeCell ref="B191:E191"/>
    <mergeCell ref="B196:E196"/>
    <mergeCell ref="B197:E197"/>
    <mergeCell ref="B56:E56"/>
    <mergeCell ref="B69:E69"/>
    <mergeCell ref="B83:E83"/>
    <mergeCell ref="B109:E109"/>
    <mergeCell ref="B125:E125"/>
    <mergeCell ref="B138:E138"/>
    <mergeCell ref="S3:S4"/>
    <mergeCell ref="T3:T4"/>
    <mergeCell ref="U3:U4"/>
    <mergeCell ref="V3:V4"/>
    <mergeCell ref="W3:W4"/>
    <mergeCell ref="B35:D35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7" right="0.2" top="0.24" bottom="0.25" header="0.3" footer="0.12"/>
  <pageSetup paperSize="9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0457-C97F-4972-A0AE-1017EDD30F37}">
  <sheetPr>
    <tabColor theme="9" tint="-0.249977111117893"/>
  </sheetPr>
  <dimension ref="B2:AD412"/>
  <sheetViews>
    <sheetView view="pageBreakPreview" zoomScale="85" zoomScaleNormal="85" zoomScaleSheetLayoutView="85" workbookViewId="0">
      <pane xSplit="7" ySplit="5" topLeftCell="H248" activePane="bottomRight" state="frozen"/>
      <selection activeCell="D17" sqref="D17"/>
      <selection pane="topRight" activeCell="D17" sqref="D17"/>
      <selection pane="bottomLeft" activeCell="D17" sqref="D17"/>
      <selection pane="bottomRight" activeCell="D17" sqref="D17"/>
    </sheetView>
  </sheetViews>
  <sheetFormatPr defaultColWidth="9.1796875" defaultRowHeight="14.5" x14ac:dyDescent="0.35"/>
  <cols>
    <col min="1" max="1" width="2.1796875" style="357" customWidth="1"/>
    <col min="2" max="2" width="5.81640625" style="357" customWidth="1"/>
    <col min="3" max="3" width="8.81640625" style="357" customWidth="1"/>
    <col min="4" max="4" width="18" style="357" customWidth="1"/>
    <col min="5" max="5" width="11.81640625" style="357" customWidth="1"/>
    <col min="6" max="6" width="29" style="357" customWidth="1"/>
    <col min="7" max="7" width="7.54296875" style="661" bestFit="1" customWidth="1"/>
    <col min="8" max="9" width="3.26953125" style="357" customWidth="1"/>
    <col min="10" max="10" width="6" style="661" customWidth="1"/>
    <col min="11" max="11" width="9.7265625" style="661" customWidth="1"/>
    <col min="12" max="12" width="11.1796875" style="661" customWidth="1"/>
    <col min="13" max="13" width="11.453125" style="951" bestFit="1" customWidth="1"/>
    <col min="14" max="14" width="7.26953125" style="952" bestFit="1" customWidth="1"/>
    <col min="15" max="15" width="12.453125" style="357" customWidth="1"/>
    <col min="16" max="16" width="16.81640625" style="357" bestFit="1" customWidth="1"/>
    <col min="17" max="17" width="17.453125" style="357" bestFit="1" customWidth="1"/>
    <col min="18" max="19" width="15" style="357" hidden="1" customWidth="1"/>
    <col min="20" max="20" width="16.26953125" style="357" hidden="1" customWidth="1"/>
    <col min="21" max="21" width="15" style="357" hidden="1" customWidth="1"/>
    <col min="22" max="22" width="16.26953125" style="357" hidden="1" customWidth="1"/>
    <col min="23" max="23" width="15" style="357" hidden="1" customWidth="1"/>
    <col min="24" max="24" width="28.81640625" style="357" hidden="1" customWidth="1"/>
    <col min="25" max="25" width="17.453125" style="357" customWidth="1"/>
    <col min="26" max="26" width="10.81640625" style="357" bestFit="1" customWidth="1"/>
    <col min="27" max="16384" width="9.1796875" style="357"/>
  </cols>
  <sheetData>
    <row r="2" spans="2:30" customFormat="1" ht="15" customHeight="1" x14ac:dyDescent="0.35">
      <c r="B2" s="235" t="s">
        <v>7</v>
      </c>
      <c r="C2" s="631"/>
      <c r="D2" s="631"/>
      <c r="E2" s="236"/>
      <c r="F2" s="233" t="s">
        <v>171</v>
      </c>
      <c r="G2" s="234"/>
      <c r="H2" s="632" t="s">
        <v>172</v>
      </c>
      <c r="I2" s="633"/>
      <c r="J2" s="233" t="s">
        <v>60</v>
      </c>
      <c r="K2" s="634"/>
      <c r="L2" s="634"/>
      <c r="M2" s="634"/>
      <c r="N2" s="634"/>
      <c r="O2" s="234"/>
      <c r="P2" s="240">
        <v>2029</v>
      </c>
      <c r="Q2" s="241"/>
      <c r="R2" s="240">
        <v>2029</v>
      </c>
      <c r="S2" s="241"/>
      <c r="T2" s="242">
        <v>2029</v>
      </c>
      <c r="U2" s="243"/>
      <c r="V2" s="246" t="s">
        <v>174</v>
      </c>
      <c r="W2" s="247"/>
      <c r="X2" s="635"/>
      <c r="Y2" s="642" t="s">
        <v>64</v>
      </c>
      <c r="Z2" s="636" t="s">
        <v>65</v>
      </c>
    </row>
    <row r="3" spans="2:30" s="630" customFormat="1" x14ac:dyDescent="0.35">
      <c r="B3" s="255"/>
      <c r="C3" s="637"/>
      <c r="D3" s="637"/>
      <c r="E3" s="256"/>
      <c r="F3" s="254" t="s">
        <v>176</v>
      </c>
      <c r="G3" s="254" t="s">
        <v>177</v>
      </c>
      <c r="H3" s="638"/>
      <c r="I3" s="639"/>
      <c r="J3" s="254" t="s">
        <v>177</v>
      </c>
      <c r="K3" s="233" t="s">
        <v>178</v>
      </c>
      <c r="L3" s="234"/>
      <c r="M3" s="257" t="s">
        <v>179</v>
      </c>
      <c r="N3" s="640" t="s">
        <v>180</v>
      </c>
      <c r="O3" s="641" t="s">
        <v>181</v>
      </c>
      <c r="P3" s="259" t="s">
        <v>182</v>
      </c>
      <c r="Q3" s="259" t="s">
        <v>183</v>
      </c>
      <c r="R3" s="259" t="s">
        <v>182</v>
      </c>
      <c r="S3" s="259" t="s">
        <v>183</v>
      </c>
      <c r="T3" s="261" t="s">
        <v>182</v>
      </c>
      <c r="U3" s="261" t="s">
        <v>183</v>
      </c>
      <c r="V3" s="263" t="s">
        <v>182</v>
      </c>
      <c r="W3" s="263" t="s">
        <v>183</v>
      </c>
      <c r="X3" s="823" t="s">
        <v>175</v>
      </c>
      <c r="Y3" s="642"/>
      <c r="Z3" s="642"/>
      <c r="AB3" t="s">
        <v>169</v>
      </c>
      <c r="AC3">
        <v>400.8</v>
      </c>
      <c r="AD3" t="s">
        <v>170</v>
      </c>
    </row>
    <row r="4" spans="2:30" s="630" customFormat="1" ht="29" x14ac:dyDescent="0.35">
      <c r="B4" s="271"/>
      <c r="C4" s="824"/>
      <c r="D4" s="824"/>
      <c r="E4" s="272"/>
      <c r="F4" s="270"/>
      <c r="G4" s="270"/>
      <c r="H4" s="643"/>
      <c r="I4" s="644"/>
      <c r="J4" s="270"/>
      <c r="K4" s="273" t="s">
        <v>184</v>
      </c>
      <c r="L4" s="274" t="s">
        <v>185</v>
      </c>
      <c r="M4" s="275"/>
      <c r="N4" s="645"/>
      <c r="O4" s="646"/>
      <c r="P4" s="277"/>
      <c r="Q4" s="277"/>
      <c r="R4" s="277"/>
      <c r="S4" s="277"/>
      <c r="T4" s="279"/>
      <c r="U4" s="279"/>
      <c r="V4" s="281"/>
      <c r="W4" s="281"/>
      <c r="X4" s="823"/>
      <c r="Y4" s="642"/>
      <c r="Z4" s="642"/>
    </row>
    <row r="5" spans="2:30" s="661" customFormat="1" hidden="1" x14ac:dyDescent="0.35">
      <c r="B5" s="647" t="s">
        <v>314</v>
      </c>
      <c r="C5" s="648"/>
      <c r="D5" s="649"/>
      <c r="E5" s="650"/>
      <c r="F5" s="651"/>
      <c r="G5" s="652"/>
      <c r="H5" s="652"/>
      <c r="I5" s="653"/>
      <c r="J5" s="652"/>
      <c r="K5" s="654"/>
      <c r="L5" s="655"/>
      <c r="M5" s="656"/>
      <c r="N5" s="657"/>
      <c r="O5" s="658"/>
      <c r="P5" s="659"/>
      <c r="Q5" s="659"/>
      <c r="R5" s="659"/>
      <c r="S5" s="659"/>
      <c r="T5" s="307"/>
      <c r="U5" s="307"/>
      <c r="V5" s="307"/>
      <c r="W5" s="307"/>
      <c r="X5" s="660"/>
      <c r="Y5" s="439"/>
      <c r="Z5" s="439"/>
    </row>
    <row r="6" spans="2:30" hidden="1" x14ac:dyDescent="0.35">
      <c r="B6" s="785"/>
      <c r="C6" s="763" t="s">
        <v>68</v>
      </c>
      <c r="D6" s="763"/>
      <c r="E6" s="764"/>
      <c r="F6" s="436" t="s">
        <v>189</v>
      </c>
      <c r="G6" s="579" t="s">
        <v>190</v>
      </c>
      <c r="H6" s="545"/>
      <c r="I6" s="580"/>
      <c r="J6" s="579"/>
      <c r="K6" s="439"/>
      <c r="L6" s="849"/>
      <c r="M6" s="552"/>
      <c r="N6" s="437"/>
      <c r="O6" s="545"/>
      <c r="P6" s="683"/>
      <c r="Q6" s="683"/>
      <c r="R6" s="683"/>
      <c r="S6" s="683"/>
      <c r="T6" s="684"/>
      <c r="U6" s="684"/>
      <c r="V6" s="684"/>
      <c r="W6" s="684"/>
      <c r="X6" s="545"/>
      <c r="Y6" s="437">
        <f t="shared" ref="Y6:Y43" si="0">Q6/$AC$3</f>
        <v>0</v>
      </c>
      <c r="Z6" s="436"/>
    </row>
    <row r="7" spans="2:30" hidden="1" x14ac:dyDescent="0.35">
      <c r="B7" s="700"/>
      <c r="E7" s="701"/>
      <c r="F7" s="436" t="s">
        <v>316</v>
      </c>
      <c r="G7" s="579" t="s">
        <v>192</v>
      </c>
      <c r="H7" s="545"/>
      <c r="I7" s="580"/>
      <c r="J7" s="579"/>
      <c r="K7" s="439"/>
      <c r="L7" s="849"/>
      <c r="M7" s="552"/>
      <c r="N7" s="437"/>
      <c r="O7" s="545"/>
      <c r="P7" s="683"/>
      <c r="Q7" s="683"/>
      <c r="R7" s="683"/>
      <c r="S7" s="683"/>
      <c r="T7" s="684"/>
      <c r="U7" s="684"/>
      <c r="V7" s="684"/>
      <c r="W7" s="684"/>
      <c r="X7" s="545"/>
      <c r="Y7" s="437">
        <f t="shared" si="0"/>
        <v>0</v>
      </c>
      <c r="Z7" s="436"/>
    </row>
    <row r="8" spans="2:30" hidden="1" x14ac:dyDescent="0.35">
      <c r="B8" s="700"/>
      <c r="E8" s="701"/>
      <c r="F8" s="436" t="s">
        <v>318</v>
      </c>
      <c r="G8" s="579" t="s">
        <v>192</v>
      </c>
      <c r="H8" s="545"/>
      <c r="I8" s="580"/>
      <c r="J8" s="579"/>
      <c r="K8" s="439"/>
      <c r="L8" s="849"/>
      <c r="M8" s="552"/>
      <c r="N8" s="437"/>
      <c r="O8" s="545"/>
      <c r="P8" s="683"/>
      <c r="Q8" s="683"/>
      <c r="R8" s="683"/>
      <c r="S8" s="683"/>
      <c r="T8" s="684"/>
      <c r="U8" s="684"/>
      <c r="V8" s="684"/>
      <c r="W8" s="684"/>
      <c r="X8" s="545"/>
      <c r="Y8" s="437">
        <f t="shared" si="0"/>
        <v>0</v>
      </c>
      <c r="Z8" s="436"/>
    </row>
    <row r="9" spans="2:30" customFormat="1" hidden="1" x14ac:dyDescent="0.35">
      <c r="B9" s="700"/>
      <c r="C9" s="357"/>
      <c r="D9" s="357"/>
      <c r="E9" s="701"/>
      <c r="F9" s="295" t="s">
        <v>325</v>
      </c>
      <c r="G9" s="579" t="s">
        <v>192</v>
      </c>
      <c r="H9" s="365"/>
      <c r="I9" s="366"/>
      <c r="J9" s="364"/>
      <c r="K9" s="308"/>
      <c r="L9" s="825"/>
      <c r="M9" s="542"/>
      <c r="N9" s="296"/>
      <c r="O9" s="365"/>
      <c r="P9" s="543"/>
      <c r="Q9" s="543"/>
      <c r="R9" s="543"/>
      <c r="S9" s="543"/>
      <c r="T9" s="544"/>
      <c r="U9" s="544"/>
      <c r="V9" s="544"/>
      <c r="W9" s="544"/>
      <c r="X9" s="545"/>
      <c r="Y9" s="296">
        <f t="shared" si="0"/>
        <v>0</v>
      </c>
      <c r="Z9" s="295"/>
    </row>
    <row r="10" spans="2:30" hidden="1" x14ac:dyDescent="0.35">
      <c r="B10" s="700"/>
      <c r="E10" s="701"/>
      <c r="F10" s="436" t="s">
        <v>344</v>
      </c>
      <c r="G10" s="579" t="s">
        <v>192</v>
      </c>
      <c r="H10" s="545"/>
      <c r="I10" s="580"/>
      <c r="J10" s="579"/>
      <c r="K10" s="439"/>
      <c r="L10" s="849"/>
      <c r="M10" s="552"/>
      <c r="N10" s="437"/>
      <c r="O10" s="545"/>
      <c r="P10" s="683"/>
      <c r="Q10" s="683"/>
      <c r="R10" s="683"/>
      <c r="S10" s="683"/>
      <c r="T10" s="684"/>
      <c r="U10" s="684"/>
      <c r="V10" s="684"/>
      <c r="W10" s="684"/>
      <c r="X10" s="545"/>
      <c r="Y10" s="437">
        <f t="shared" si="0"/>
        <v>0</v>
      </c>
      <c r="Z10" s="436"/>
    </row>
    <row r="11" spans="2:30" hidden="1" x14ac:dyDescent="0.35">
      <c r="B11" s="700"/>
      <c r="E11" s="701"/>
      <c r="F11" s="436" t="s">
        <v>324</v>
      </c>
      <c r="G11" s="579" t="s">
        <v>192</v>
      </c>
      <c r="H11" s="545"/>
      <c r="I11" s="580"/>
      <c r="J11" s="579"/>
      <c r="K11" s="439"/>
      <c r="L11" s="849"/>
      <c r="M11" s="552"/>
      <c r="N11" s="437"/>
      <c r="O11" s="545"/>
      <c r="P11" s="683"/>
      <c r="Q11" s="683"/>
      <c r="R11" s="683"/>
      <c r="S11" s="683"/>
      <c r="T11" s="684"/>
      <c r="U11" s="684"/>
      <c r="V11" s="684"/>
      <c r="W11" s="684"/>
      <c r="X11" s="545"/>
      <c r="Y11" s="437">
        <f t="shared" si="0"/>
        <v>0</v>
      </c>
      <c r="Z11" s="436"/>
    </row>
    <row r="12" spans="2:30" hidden="1" x14ac:dyDescent="0.35">
      <c r="B12" s="680"/>
      <c r="C12" s="681"/>
      <c r="D12" s="681"/>
      <c r="E12" s="682"/>
      <c r="F12" s="436" t="s">
        <v>237</v>
      </c>
      <c r="G12" s="579" t="s">
        <v>194</v>
      </c>
      <c r="H12" s="545">
        <v>1</v>
      </c>
      <c r="I12" s="580" t="s">
        <v>233</v>
      </c>
      <c r="J12" s="579"/>
      <c r="K12" s="439"/>
      <c r="L12" s="849"/>
      <c r="M12" s="552"/>
      <c r="N12" s="437"/>
      <c r="O12" s="545"/>
      <c r="P12" s="683"/>
      <c r="Q12" s="683"/>
      <c r="R12" s="683"/>
      <c r="S12" s="683"/>
      <c r="T12" s="684"/>
      <c r="U12" s="684"/>
      <c r="V12" s="684"/>
      <c r="W12" s="684"/>
      <c r="X12" s="545"/>
      <c r="Y12" s="437">
        <f t="shared" si="0"/>
        <v>0</v>
      </c>
      <c r="Z12" s="436"/>
    </row>
    <row r="13" spans="2:30" hidden="1" x14ac:dyDescent="0.35">
      <c r="B13" s="545"/>
      <c r="C13" s="580" t="s">
        <v>73</v>
      </c>
      <c r="D13" s="580"/>
      <c r="E13" s="723"/>
      <c r="F13" s="436" t="s">
        <v>189</v>
      </c>
      <c r="G13" s="579" t="s">
        <v>190</v>
      </c>
      <c r="H13" s="545"/>
      <c r="I13" s="580"/>
      <c r="J13" s="579"/>
      <c r="K13" s="439"/>
      <c r="L13" s="849"/>
      <c r="M13" s="552"/>
      <c r="N13" s="437"/>
      <c r="O13" s="545"/>
      <c r="P13" s="683"/>
      <c r="Q13" s="683"/>
      <c r="R13" s="683"/>
      <c r="S13" s="683"/>
      <c r="T13" s="684"/>
      <c r="U13" s="684"/>
      <c r="V13" s="684"/>
      <c r="W13" s="684"/>
      <c r="X13" s="545"/>
      <c r="Y13" s="437">
        <f t="shared" si="0"/>
        <v>0</v>
      </c>
      <c r="Z13" s="436"/>
    </row>
    <row r="14" spans="2:30" hidden="1" x14ac:dyDescent="0.35">
      <c r="B14" s="785"/>
      <c r="C14" s="763" t="s">
        <v>433</v>
      </c>
      <c r="D14" s="763"/>
      <c r="E14" s="764"/>
      <c r="F14" s="436" t="s">
        <v>189</v>
      </c>
      <c r="G14" s="579" t="s">
        <v>190</v>
      </c>
      <c r="H14" s="545"/>
      <c r="I14" s="580"/>
      <c r="J14" s="579"/>
      <c r="K14" s="439"/>
      <c r="L14" s="849"/>
      <c r="M14" s="552"/>
      <c r="N14" s="437"/>
      <c r="O14" s="545"/>
      <c r="P14" s="683"/>
      <c r="Q14" s="683"/>
      <c r="R14" s="683"/>
      <c r="S14" s="683"/>
      <c r="T14" s="684"/>
      <c r="U14" s="684"/>
      <c r="V14" s="684"/>
      <c r="W14" s="684"/>
      <c r="X14" s="664"/>
      <c r="Y14" s="437">
        <f t="shared" si="0"/>
        <v>0</v>
      </c>
      <c r="Z14" s="436"/>
    </row>
    <row r="15" spans="2:30" hidden="1" x14ac:dyDescent="0.35">
      <c r="B15" s="700"/>
      <c r="E15" s="701"/>
      <c r="F15" s="436" t="s">
        <v>225</v>
      </c>
      <c r="G15" s="579" t="s">
        <v>226</v>
      </c>
      <c r="H15" s="545"/>
      <c r="I15" s="580"/>
      <c r="J15" s="579"/>
      <c r="K15" s="439"/>
      <c r="L15" s="849"/>
      <c r="M15" s="552"/>
      <c r="N15" s="437"/>
      <c r="O15" s="545"/>
      <c r="P15" s="683"/>
      <c r="Q15" s="683"/>
      <c r="R15" s="683"/>
      <c r="S15" s="683"/>
      <c r="T15" s="684"/>
      <c r="U15" s="684"/>
      <c r="V15" s="684"/>
      <c r="W15" s="684"/>
      <c r="X15" s="545"/>
      <c r="Y15" s="437">
        <f t="shared" si="0"/>
        <v>0</v>
      </c>
      <c r="Z15" s="436"/>
    </row>
    <row r="16" spans="2:30" hidden="1" x14ac:dyDescent="0.35">
      <c r="B16" s="700"/>
      <c r="E16" s="701"/>
      <c r="F16" s="436" t="s">
        <v>227</v>
      </c>
      <c r="G16" s="579" t="s">
        <v>192</v>
      </c>
      <c r="H16" s="545"/>
      <c r="I16" s="580"/>
      <c r="J16" s="579"/>
      <c r="K16" s="439"/>
      <c r="L16" s="849"/>
      <c r="M16" s="552"/>
      <c r="N16" s="437"/>
      <c r="O16" s="545"/>
      <c r="P16" s="683"/>
      <c r="Q16" s="683"/>
      <c r="R16" s="683"/>
      <c r="S16" s="683"/>
      <c r="T16" s="684"/>
      <c r="U16" s="684"/>
      <c r="V16" s="684"/>
      <c r="W16" s="684"/>
      <c r="X16" s="545"/>
      <c r="Y16" s="437">
        <f t="shared" si="0"/>
        <v>0</v>
      </c>
      <c r="Z16" s="436"/>
    </row>
    <row r="17" spans="2:26" hidden="1" x14ac:dyDescent="0.35">
      <c r="B17" s="700"/>
      <c r="E17" s="701"/>
      <c r="F17" s="436" t="s">
        <v>230</v>
      </c>
      <c r="G17" s="579" t="s">
        <v>226</v>
      </c>
      <c r="H17" s="545"/>
      <c r="I17" s="580"/>
      <c r="J17" s="579"/>
      <c r="K17" s="439"/>
      <c r="L17" s="849"/>
      <c r="M17" s="552"/>
      <c r="N17" s="437"/>
      <c r="O17" s="545"/>
      <c r="P17" s="683"/>
      <c r="Q17" s="683"/>
      <c r="R17" s="683"/>
      <c r="S17" s="683"/>
      <c r="T17" s="684"/>
      <c r="U17" s="684"/>
      <c r="V17" s="684"/>
      <c r="W17" s="684"/>
      <c r="X17" s="545"/>
      <c r="Y17" s="437">
        <f t="shared" si="0"/>
        <v>0</v>
      </c>
      <c r="Z17" s="436"/>
    </row>
    <row r="18" spans="2:26" hidden="1" x14ac:dyDescent="0.35">
      <c r="B18" s="700"/>
      <c r="E18" s="701"/>
      <c r="F18" s="436" t="s">
        <v>379</v>
      </c>
      <c r="G18" s="579" t="s">
        <v>194</v>
      </c>
      <c r="H18" s="545"/>
      <c r="I18" s="580"/>
      <c r="J18" s="579"/>
      <c r="K18" s="439"/>
      <c r="L18" s="849"/>
      <c r="M18" s="552"/>
      <c r="N18" s="437"/>
      <c r="O18" s="545"/>
      <c r="P18" s="683"/>
      <c r="Q18" s="683"/>
      <c r="R18" s="683"/>
      <c r="S18" s="683"/>
      <c r="T18" s="684"/>
      <c r="U18" s="684"/>
      <c r="V18" s="684"/>
      <c r="W18" s="684"/>
      <c r="X18" s="545"/>
      <c r="Y18" s="437">
        <f t="shared" si="0"/>
        <v>0</v>
      </c>
      <c r="Z18" s="436"/>
    </row>
    <row r="19" spans="2:26" hidden="1" x14ac:dyDescent="0.35">
      <c r="B19" s="700"/>
      <c r="E19" s="701"/>
      <c r="F19" s="436" t="s">
        <v>231</v>
      </c>
      <c r="G19" s="579" t="s">
        <v>190</v>
      </c>
      <c r="H19" s="545"/>
      <c r="I19" s="580"/>
      <c r="J19" s="579"/>
      <c r="K19" s="439"/>
      <c r="L19" s="849"/>
      <c r="M19" s="552"/>
      <c r="N19" s="437"/>
      <c r="O19" s="545"/>
      <c r="P19" s="683"/>
      <c r="Q19" s="683"/>
      <c r="R19" s="683"/>
      <c r="S19" s="683"/>
      <c r="T19" s="684"/>
      <c r="U19" s="684"/>
      <c r="V19" s="684"/>
      <c r="W19" s="684"/>
      <c r="X19" s="545"/>
      <c r="Y19" s="437">
        <f t="shared" si="0"/>
        <v>0</v>
      </c>
      <c r="Z19" s="436"/>
    </row>
    <row r="20" spans="2:26" hidden="1" x14ac:dyDescent="0.35">
      <c r="B20" s="700"/>
      <c r="E20" s="701"/>
      <c r="F20" s="436" t="s">
        <v>232</v>
      </c>
      <c r="G20" s="579" t="s">
        <v>194</v>
      </c>
      <c r="H20" s="545">
        <v>4</v>
      </c>
      <c r="I20" s="580" t="s">
        <v>233</v>
      </c>
      <c r="J20" s="579"/>
      <c r="K20" s="439"/>
      <c r="L20" s="849"/>
      <c r="M20" s="552"/>
      <c r="N20" s="437"/>
      <c r="O20" s="545"/>
      <c r="P20" s="683"/>
      <c r="Q20" s="683"/>
      <c r="R20" s="683"/>
      <c r="S20" s="683"/>
      <c r="T20" s="684"/>
      <c r="U20" s="684"/>
      <c r="V20" s="684"/>
      <c r="W20" s="684"/>
      <c r="X20" s="545"/>
      <c r="Y20" s="437">
        <f t="shared" si="0"/>
        <v>0</v>
      </c>
      <c r="Z20" s="436"/>
    </row>
    <row r="21" spans="2:26" hidden="1" x14ac:dyDescent="0.35">
      <c r="B21" s="700"/>
      <c r="E21" s="701"/>
      <c r="F21" s="436" t="s">
        <v>234</v>
      </c>
      <c r="G21" s="579" t="s">
        <v>194</v>
      </c>
      <c r="H21" s="545">
        <v>12</v>
      </c>
      <c r="I21" s="580" t="s">
        <v>233</v>
      </c>
      <c r="J21" s="579"/>
      <c r="K21" s="439"/>
      <c r="L21" s="849"/>
      <c r="M21" s="552"/>
      <c r="N21" s="437"/>
      <c r="O21" s="545"/>
      <c r="P21" s="683"/>
      <c r="Q21" s="683"/>
      <c r="R21" s="683"/>
      <c r="S21" s="683"/>
      <c r="T21" s="684"/>
      <c r="U21" s="684"/>
      <c r="V21" s="684"/>
      <c r="W21" s="684"/>
      <c r="X21" s="545"/>
      <c r="Y21" s="437">
        <f t="shared" si="0"/>
        <v>0</v>
      </c>
      <c r="Z21" s="436"/>
    </row>
    <row r="22" spans="2:26" hidden="1" x14ac:dyDescent="0.35">
      <c r="B22" s="700"/>
      <c r="E22" s="701"/>
      <c r="F22" s="436" t="s">
        <v>235</v>
      </c>
      <c r="G22" s="579" t="s">
        <v>194</v>
      </c>
      <c r="H22" s="545">
        <v>1</v>
      </c>
      <c r="I22" s="580" t="s">
        <v>233</v>
      </c>
      <c r="J22" s="579"/>
      <c r="K22" s="439"/>
      <c r="L22" s="849"/>
      <c r="M22" s="552"/>
      <c r="N22" s="437"/>
      <c r="O22" s="545"/>
      <c r="P22" s="683"/>
      <c r="Q22" s="683"/>
      <c r="R22" s="683"/>
      <c r="S22" s="683"/>
      <c r="T22" s="684"/>
      <c r="U22" s="684"/>
      <c r="V22" s="684"/>
      <c r="W22" s="684"/>
      <c r="X22" s="545"/>
      <c r="Y22" s="437">
        <f t="shared" si="0"/>
        <v>0</v>
      </c>
      <c r="Z22" s="436"/>
    </row>
    <row r="23" spans="2:26" hidden="1" x14ac:dyDescent="0.35">
      <c r="B23" s="700"/>
      <c r="E23" s="701"/>
      <c r="F23" s="436" t="s">
        <v>236</v>
      </c>
      <c r="G23" s="579" t="s">
        <v>194</v>
      </c>
      <c r="H23" s="545">
        <v>2</v>
      </c>
      <c r="I23" s="580" t="s">
        <v>233</v>
      </c>
      <c r="J23" s="579"/>
      <c r="K23" s="439"/>
      <c r="L23" s="849"/>
      <c r="M23" s="552"/>
      <c r="N23" s="437"/>
      <c r="O23" s="545"/>
      <c r="P23" s="683"/>
      <c r="Q23" s="683"/>
      <c r="R23" s="683"/>
      <c r="S23" s="683"/>
      <c r="T23" s="684"/>
      <c r="U23" s="684"/>
      <c r="V23" s="684"/>
      <c r="W23" s="684"/>
      <c r="X23" s="545"/>
      <c r="Y23" s="437">
        <f t="shared" si="0"/>
        <v>0</v>
      </c>
      <c r="Z23" s="436"/>
    </row>
    <row r="24" spans="2:26" hidden="1" x14ac:dyDescent="0.35">
      <c r="B24" s="680"/>
      <c r="C24" s="681"/>
      <c r="D24" s="681"/>
      <c r="E24" s="682"/>
      <c r="F24" s="436" t="s">
        <v>237</v>
      </c>
      <c r="G24" s="579" t="s">
        <v>194</v>
      </c>
      <c r="H24" s="545">
        <v>1</v>
      </c>
      <c r="I24" s="580" t="s">
        <v>233</v>
      </c>
      <c r="J24" s="579"/>
      <c r="K24" s="439"/>
      <c r="L24" s="849"/>
      <c r="M24" s="552"/>
      <c r="N24" s="437"/>
      <c r="O24" s="545"/>
      <c r="P24" s="683"/>
      <c r="Q24" s="683"/>
      <c r="R24" s="683"/>
      <c r="S24" s="683"/>
      <c r="T24" s="684"/>
      <c r="U24" s="684"/>
      <c r="V24" s="684"/>
      <c r="W24" s="684"/>
      <c r="X24" s="545"/>
      <c r="Y24" s="437">
        <f t="shared" si="0"/>
        <v>0</v>
      </c>
      <c r="Z24" s="436"/>
    </row>
    <row r="25" spans="2:26" hidden="1" x14ac:dyDescent="0.35">
      <c r="B25" s="785"/>
      <c r="C25" s="763" t="s">
        <v>96</v>
      </c>
      <c r="D25" s="763"/>
      <c r="E25" s="764"/>
      <c r="F25" s="436" t="s">
        <v>189</v>
      </c>
      <c r="G25" s="579" t="s">
        <v>190</v>
      </c>
      <c r="H25" s="545"/>
      <c r="I25" s="580"/>
      <c r="J25" s="579"/>
      <c r="K25" s="439"/>
      <c r="L25" s="849"/>
      <c r="M25" s="552"/>
      <c r="N25" s="437"/>
      <c r="O25" s="545"/>
      <c r="P25" s="683"/>
      <c r="Q25" s="683"/>
      <c r="R25" s="683"/>
      <c r="S25" s="683"/>
      <c r="T25" s="684"/>
      <c r="U25" s="684"/>
      <c r="V25" s="684"/>
      <c r="W25" s="684"/>
      <c r="X25" s="545"/>
      <c r="Y25" s="437">
        <f t="shared" si="0"/>
        <v>0</v>
      </c>
      <c r="Z25" s="436"/>
    </row>
    <row r="26" spans="2:26" hidden="1" x14ac:dyDescent="0.35">
      <c r="B26" s="700"/>
      <c r="E26" s="701"/>
      <c r="F26" s="436" t="s">
        <v>225</v>
      </c>
      <c r="G26" s="579" t="s">
        <v>226</v>
      </c>
      <c r="H26" s="545"/>
      <c r="I26" s="580"/>
      <c r="J26" s="579"/>
      <c r="K26" s="439"/>
      <c r="L26" s="849"/>
      <c r="M26" s="552"/>
      <c r="N26" s="437"/>
      <c r="O26" s="545"/>
      <c r="P26" s="683"/>
      <c r="Q26" s="683"/>
      <c r="R26" s="683"/>
      <c r="S26" s="683"/>
      <c r="T26" s="684"/>
      <c r="U26" s="684"/>
      <c r="V26" s="684"/>
      <c r="W26" s="684"/>
      <c r="X26" s="545"/>
      <c r="Y26" s="437">
        <f t="shared" si="0"/>
        <v>0</v>
      </c>
      <c r="Z26" s="436"/>
    </row>
    <row r="27" spans="2:26" hidden="1" x14ac:dyDescent="0.35">
      <c r="B27" s="700"/>
      <c r="E27" s="701"/>
      <c r="F27" s="436" t="s">
        <v>230</v>
      </c>
      <c r="G27" s="579" t="s">
        <v>226</v>
      </c>
      <c r="H27" s="545"/>
      <c r="I27" s="580"/>
      <c r="J27" s="579"/>
      <c r="K27" s="439"/>
      <c r="L27" s="849"/>
      <c r="M27" s="552"/>
      <c r="N27" s="437"/>
      <c r="O27" s="545"/>
      <c r="P27" s="683"/>
      <c r="Q27" s="683"/>
      <c r="R27" s="683"/>
      <c r="S27" s="683"/>
      <c r="T27" s="684"/>
      <c r="U27" s="684"/>
      <c r="V27" s="684"/>
      <c r="W27" s="684"/>
      <c r="X27" s="545"/>
      <c r="Y27" s="437">
        <f t="shared" si="0"/>
        <v>0</v>
      </c>
      <c r="Z27" s="436"/>
    </row>
    <row r="28" spans="2:26" hidden="1" x14ac:dyDescent="0.35">
      <c r="B28" s="700"/>
      <c r="E28" s="701"/>
      <c r="F28" s="436" t="s">
        <v>379</v>
      </c>
      <c r="G28" s="579" t="s">
        <v>194</v>
      </c>
      <c r="H28" s="545"/>
      <c r="I28" s="580"/>
      <c r="J28" s="579"/>
      <c r="K28" s="439"/>
      <c r="L28" s="849"/>
      <c r="M28" s="552"/>
      <c r="N28" s="437"/>
      <c r="O28" s="545"/>
      <c r="P28" s="683"/>
      <c r="Q28" s="683"/>
      <c r="R28" s="683"/>
      <c r="S28" s="683"/>
      <c r="T28" s="684"/>
      <c r="U28" s="684"/>
      <c r="V28" s="684"/>
      <c r="W28" s="684"/>
      <c r="X28" s="545"/>
      <c r="Y28" s="437">
        <f t="shared" si="0"/>
        <v>0</v>
      </c>
      <c r="Z28" s="436"/>
    </row>
    <row r="29" spans="2:26" hidden="1" x14ac:dyDescent="0.35">
      <c r="B29" s="700"/>
      <c r="E29" s="701"/>
      <c r="F29" s="436" t="s">
        <v>231</v>
      </c>
      <c r="G29" s="579" t="s">
        <v>190</v>
      </c>
      <c r="H29" s="545"/>
      <c r="I29" s="580"/>
      <c r="J29" s="579"/>
      <c r="K29" s="439"/>
      <c r="L29" s="849"/>
      <c r="M29" s="552"/>
      <c r="N29" s="437"/>
      <c r="O29" s="545"/>
      <c r="P29" s="683"/>
      <c r="Q29" s="683"/>
      <c r="R29" s="683"/>
      <c r="S29" s="683"/>
      <c r="T29" s="684"/>
      <c r="U29" s="684"/>
      <c r="V29" s="684"/>
      <c r="W29" s="684"/>
      <c r="X29" s="545"/>
      <c r="Y29" s="437">
        <f t="shared" si="0"/>
        <v>0</v>
      </c>
      <c r="Z29" s="436"/>
    </row>
    <row r="30" spans="2:26" hidden="1" x14ac:dyDescent="0.35">
      <c r="B30" s="700"/>
      <c r="E30" s="701"/>
      <c r="F30" s="436" t="s">
        <v>232</v>
      </c>
      <c r="G30" s="579" t="s">
        <v>194</v>
      </c>
      <c r="H30" s="545">
        <v>4</v>
      </c>
      <c r="I30" s="580" t="s">
        <v>233</v>
      </c>
      <c r="J30" s="579"/>
      <c r="K30" s="439"/>
      <c r="L30" s="849"/>
      <c r="M30" s="552"/>
      <c r="N30" s="437"/>
      <c r="O30" s="545"/>
      <c r="P30" s="683"/>
      <c r="Q30" s="683"/>
      <c r="R30" s="683"/>
      <c r="S30" s="683"/>
      <c r="T30" s="684"/>
      <c r="U30" s="684"/>
      <c r="V30" s="684"/>
      <c r="W30" s="684"/>
      <c r="X30" s="545"/>
      <c r="Y30" s="437">
        <f t="shared" si="0"/>
        <v>0</v>
      </c>
      <c r="Z30" s="436"/>
    </row>
    <row r="31" spans="2:26" hidden="1" x14ac:dyDescent="0.35">
      <c r="B31" s="700"/>
      <c r="E31" s="701"/>
      <c r="F31" s="436" t="s">
        <v>451</v>
      </c>
      <c r="G31" s="579" t="s">
        <v>194</v>
      </c>
      <c r="H31" s="545">
        <v>12</v>
      </c>
      <c r="I31" s="580" t="s">
        <v>233</v>
      </c>
      <c r="J31" s="579"/>
      <c r="K31" s="439"/>
      <c r="L31" s="849"/>
      <c r="M31" s="552"/>
      <c r="N31" s="437"/>
      <c r="O31" s="545"/>
      <c r="P31" s="683"/>
      <c r="Q31" s="683"/>
      <c r="R31" s="683"/>
      <c r="S31" s="683"/>
      <c r="T31" s="684"/>
      <c r="U31" s="684"/>
      <c r="V31" s="684"/>
      <c r="W31" s="684"/>
      <c r="X31" s="545"/>
      <c r="Y31" s="437">
        <f t="shared" si="0"/>
        <v>0</v>
      </c>
      <c r="Z31" s="436"/>
    </row>
    <row r="32" spans="2:26" hidden="1" x14ac:dyDescent="0.35">
      <c r="B32" s="700"/>
      <c r="E32" s="701"/>
      <c r="F32" s="436" t="s">
        <v>235</v>
      </c>
      <c r="G32" s="579" t="s">
        <v>194</v>
      </c>
      <c r="H32" s="545">
        <v>1</v>
      </c>
      <c r="I32" s="580" t="s">
        <v>233</v>
      </c>
      <c r="J32" s="579"/>
      <c r="K32" s="439"/>
      <c r="L32" s="849"/>
      <c r="M32" s="552"/>
      <c r="N32" s="437"/>
      <c r="O32" s="545"/>
      <c r="P32" s="683"/>
      <c r="Q32" s="683"/>
      <c r="R32" s="683"/>
      <c r="S32" s="683"/>
      <c r="T32" s="684"/>
      <c r="U32" s="684"/>
      <c r="V32" s="684"/>
      <c r="W32" s="684"/>
      <c r="X32" s="545"/>
      <c r="Y32" s="437">
        <f t="shared" si="0"/>
        <v>0</v>
      </c>
      <c r="Z32" s="436"/>
    </row>
    <row r="33" spans="2:26" hidden="1" x14ac:dyDescent="0.35">
      <c r="B33" s="700"/>
      <c r="E33" s="701"/>
      <c r="F33" s="436" t="s">
        <v>236</v>
      </c>
      <c r="G33" s="579" t="s">
        <v>194</v>
      </c>
      <c r="H33" s="545">
        <v>2</v>
      </c>
      <c r="I33" s="580" t="s">
        <v>233</v>
      </c>
      <c r="J33" s="579"/>
      <c r="K33" s="439"/>
      <c r="L33" s="849"/>
      <c r="M33" s="552"/>
      <c r="N33" s="437"/>
      <c r="O33" s="545"/>
      <c r="P33" s="683"/>
      <c r="Q33" s="683"/>
      <c r="R33" s="683"/>
      <c r="S33" s="683"/>
      <c r="T33" s="684"/>
      <c r="U33" s="684"/>
      <c r="V33" s="684"/>
      <c r="W33" s="684"/>
      <c r="X33" s="545"/>
      <c r="Y33" s="437">
        <f t="shared" si="0"/>
        <v>0</v>
      </c>
      <c r="Z33" s="436"/>
    </row>
    <row r="34" spans="2:26" hidden="1" x14ac:dyDescent="0.35">
      <c r="B34" s="680"/>
      <c r="C34" s="681"/>
      <c r="D34" s="681"/>
      <c r="E34" s="682"/>
      <c r="F34" s="436" t="s">
        <v>237</v>
      </c>
      <c r="G34" s="579" t="s">
        <v>194</v>
      </c>
      <c r="H34" s="545">
        <v>1</v>
      </c>
      <c r="I34" s="580" t="s">
        <v>233</v>
      </c>
      <c r="J34" s="579"/>
      <c r="K34" s="439"/>
      <c r="L34" s="849"/>
      <c r="M34" s="552"/>
      <c r="N34" s="437"/>
      <c r="O34" s="545"/>
      <c r="P34" s="683"/>
      <c r="Q34" s="683"/>
      <c r="R34" s="683"/>
      <c r="S34" s="683"/>
      <c r="T34" s="684"/>
      <c r="U34" s="684"/>
      <c r="V34" s="684"/>
      <c r="W34" s="684"/>
      <c r="X34" s="545"/>
      <c r="Y34" s="437">
        <f t="shared" si="0"/>
        <v>0</v>
      </c>
      <c r="Z34" s="436"/>
    </row>
    <row r="35" spans="2:26" customFormat="1" hidden="1" x14ac:dyDescent="0.35">
      <c r="B35" s="753" t="s">
        <v>558</v>
      </c>
      <c r="C35" s="853"/>
      <c r="D35" s="853"/>
      <c r="E35" s="854"/>
      <c r="F35" s="668"/>
      <c r="G35" s="669"/>
      <c r="H35" s="670"/>
      <c r="I35" s="671"/>
      <c r="J35" s="669"/>
      <c r="K35" s="672"/>
      <c r="L35" s="876"/>
      <c r="M35" s="674"/>
      <c r="N35" s="675"/>
      <c r="O35" s="670"/>
      <c r="P35" s="676"/>
      <c r="Q35" s="756">
        <f>SUM(Q6:Q34)</f>
        <v>0</v>
      </c>
      <c r="R35" s="676"/>
      <c r="S35" s="756">
        <f>SUM(S24:S34)</f>
        <v>0</v>
      </c>
      <c r="T35" s="677"/>
      <c r="U35" s="677"/>
      <c r="V35" s="677"/>
      <c r="W35" s="677"/>
      <c r="X35" s="670"/>
      <c r="Y35" s="675">
        <f t="shared" si="0"/>
        <v>0</v>
      </c>
      <c r="Z35" s="668"/>
    </row>
    <row r="36" spans="2:26" x14ac:dyDescent="0.35">
      <c r="B36" s="722" t="s">
        <v>435</v>
      </c>
      <c r="C36" s="580"/>
      <c r="D36" s="580"/>
      <c r="E36" s="723"/>
      <c r="F36" s="436"/>
      <c r="G36" s="579"/>
      <c r="H36" s="545"/>
      <c r="I36" s="580"/>
      <c r="J36" s="579"/>
      <c r="K36" s="439"/>
      <c r="L36" s="849"/>
      <c r="M36" s="552"/>
      <c r="N36" s="437"/>
      <c r="O36" s="545"/>
      <c r="P36" s="683"/>
      <c r="Q36" s="683"/>
      <c r="R36" s="683"/>
      <c r="S36" s="683"/>
      <c r="T36" s="684"/>
      <c r="U36" s="684"/>
      <c r="V36" s="684"/>
      <c r="W36" s="684"/>
      <c r="X36" s="545"/>
      <c r="Y36" s="437">
        <f t="shared" si="0"/>
        <v>0</v>
      </c>
      <c r="Z36" s="436"/>
    </row>
    <row r="37" spans="2:26" x14ac:dyDescent="0.35">
      <c r="B37" s="724" t="s">
        <v>436</v>
      </c>
      <c r="E37" s="701"/>
      <c r="F37" s="436"/>
      <c r="G37" s="579"/>
      <c r="H37" s="545"/>
      <c r="I37" s="580"/>
      <c r="J37" s="579"/>
      <c r="K37" s="439"/>
      <c r="L37" s="849"/>
      <c r="M37" s="552"/>
      <c r="N37" s="437"/>
      <c r="O37" s="545"/>
      <c r="P37" s="683"/>
      <c r="Q37" s="683"/>
      <c r="R37" s="683"/>
      <c r="S37" s="683"/>
      <c r="T37" s="684"/>
      <c r="U37" s="684"/>
      <c r="V37" s="684"/>
      <c r="W37" s="684"/>
      <c r="X37" s="545"/>
      <c r="Y37" s="437">
        <f t="shared" si="0"/>
        <v>0</v>
      </c>
      <c r="Z37" s="436"/>
    </row>
    <row r="38" spans="2:26" hidden="1" x14ac:dyDescent="0.35">
      <c r="B38" s="785"/>
      <c r="C38" s="763" t="s">
        <v>71</v>
      </c>
      <c r="D38" s="763"/>
      <c r="E38" s="764"/>
      <c r="F38" s="436" t="s">
        <v>189</v>
      </c>
      <c r="G38" s="579" t="s">
        <v>190</v>
      </c>
      <c r="H38" s="545"/>
      <c r="I38" s="580"/>
      <c r="J38" s="579"/>
      <c r="K38" s="400"/>
      <c r="L38" s="849"/>
      <c r="M38" s="552"/>
      <c r="N38" s="437"/>
      <c r="O38" s="590">
        <f>K38*L38*M38*N38</f>
        <v>0</v>
      </c>
      <c r="P38" s="299">
        <f>VLOOKUP($F38,'[1]Master Harga'!$E$5:$L$351,8,FALSE)</f>
        <v>169122.61109699999</v>
      </c>
      <c r="Q38" s="683">
        <f>P38*$O38</f>
        <v>0</v>
      </c>
      <c r="R38" s="437">
        <f>VLOOKUP($F38,'[2]Master Harga'!$E$5:$M$348,8,FALSE)</f>
        <v>179635.86432000002</v>
      </c>
      <c r="S38" s="683">
        <f>R38*$O38</f>
        <v>0</v>
      </c>
      <c r="T38" s="437">
        <f>VLOOKUP($F38,'[2]Master Harga'!$E$5:$M$348,9,FALSE)</f>
        <v>197599.45075200003</v>
      </c>
      <c r="U38" s="684">
        <f>$O38*T38</f>
        <v>0</v>
      </c>
      <c r="V38" s="437" t="e">
        <f>W38/O38</f>
        <v>#DIV/0!</v>
      </c>
      <c r="W38" s="307">
        <f>AVERAGEIF($P$3:$U$3,W$3,$P38:$U38)</f>
        <v>0</v>
      </c>
      <c r="X38" s="545"/>
      <c r="Y38" s="437">
        <f t="shared" si="0"/>
        <v>0</v>
      </c>
      <c r="Z38" s="436"/>
    </row>
    <row r="39" spans="2:26" hidden="1" x14ac:dyDescent="0.35">
      <c r="B39" s="700"/>
      <c r="E39" s="701"/>
      <c r="F39" s="436" t="s">
        <v>293</v>
      </c>
      <c r="G39" s="579" t="s">
        <v>194</v>
      </c>
      <c r="H39" s="545"/>
      <c r="I39" s="580"/>
      <c r="J39" s="579"/>
      <c r="K39" s="439"/>
      <c r="L39" s="849"/>
      <c r="M39" s="552"/>
      <c r="N39" s="437"/>
      <c r="O39" s="545"/>
      <c r="P39" s="683"/>
      <c r="Q39" s="683"/>
      <c r="R39" s="683"/>
      <c r="S39" s="683"/>
      <c r="T39" s="684"/>
      <c r="U39" s="684"/>
      <c r="V39" s="684"/>
      <c r="W39" s="684"/>
      <c r="X39" s="545"/>
      <c r="Y39" s="437">
        <f t="shared" si="0"/>
        <v>0</v>
      </c>
      <c r="Z39" s="436"/>
    </row>
    <row r="40" spans="2:26" hidden="1" x14ac:dyDescent="0.35">
      <c r="B40" s="680"/>
      <c r="C40" s="681"/>
      <c r="D40" s="681"/>
      <c r="E40" s="682"/>
      <c r="F40" s="436" t="s">
        <v>237</v>
      </c>
      <c r="G40" s="579" t="s">
        <v>194</v>
      </c>
      <c r="H40" s="545"/>
      <c r="I40" s="580"/>
      <c r="J40" s="579"/>
      <c r="K40" s="439"/>
      <c r="L40" s="849"/>
      <c r="M40" s="552"/>
      <c r="N40" s="437"/>
      <c r="O40" s="545"/>
      <c r="P40" s="683"/>
      <c r="Q40" s="683"/>
      <c r="R40" s="683"/>
      <c r="S40" s="683"/>
      <c r="T40" s="684"/>
      <c r="U40" s="684"/>
      <c r="V40" s="684"/>
      <c r="W40" s="684"/>
      <c r="X40" s="545"/>
      <c r="Y40" s="437">
        <f t="shared" si="0"/>
        <v>0</v>
      </c>
      <c r="Z40" s="436"/>
    </row>
    <row r="41" spans="2:26" hidden="1" x14ac:dyDescent="0.35">
      <c r="B41" s="785"/>
      <c r="C41" s="763" t="s">
        <v>74</v>
      </c>
      <c r="D41" s="763"/>
      <c r="E41" s="764"/>
      <c r="F41" s="436" t="s">
        <v>189</v>
      </c>
      <c r="G41" s="579" t="s">
        <v>190</v>
      </c>
      <c r="H41" s="545"/>
      <c r="I41" s="580"/>
      <c r="J41" s="579"/>
      <c r="K41" s="439"/>
      <c r="L41" s="849"/>
      <c r="M41" s="552"/>
      <c r="N41" s="437"/>
      <c r="O41" s="545"/>
      <c r="P41" s="683"/>
      <c r="Q41" s="683"/>
      <c r="R41" s="683"/>
      <c r="S41" s="683"/>
      <c r="T41" s="684"/>
      <c r="U41" s="684"/>
      <c r="V41" s="684"/>
      <c r="W41" s="684"/>
      <c r="X41" s="545"/>
      <c r="Y41" s="437">
        <f t="shared" si="0"/>
        <v>0</v>
      </c>
      <c r="Z41" s="436"/>
    </row>
    <row r="42" spans="2:26" hidden="1" x14ac:dyDescent="0.35">
      <c r="B42" s="700"/>
      <c r="E42" s="701"/>
      <c r="F42" s="436" t="s">
        <v>293</v>
      </c>
      <c r="G42" s="579" t="s">
        <v>194</v>
      </c>
      <c r="H42" s="545"/>
      <c r="I42" s="580"/>
      <c r="J42" s="579"/>
      <c r="K42" s="439"/>
      <c r="L42" s="849"/>
      <c r="M42" s="552"/>
      <c r="N42" s="437"/>
      <c r="O42" s="545"/>
      <c r="P42" s="683"/>
      <c r="Q42" s="683"/>
      <c r="R42" s="683"/>
      <c r="S42" s="683"/>
      <c r="T42" s="684"/>
      <c r="U42" s="684"/>
      <c r="V42" s="684"/>
      <c r="W42" s="684"/>
      <c r="X42" s="545"/>
      <c r="Y42" s="437">
        <f t="shared" si="0"/>
        <v>0</v>
      </c>
      <c r="Z42" s="436"/>
    </row>
    <row r="43" spans="2:26" hidden="1" x14ac:dyDescent="0.35">
      <c r="B43" s="680"/>
      <c r="C43" s="681"/>
      <c r="D43" s="681"/>
      <c r="E43" s="682"/>
      <c r="F43" s="436" t="s">
        <v>237</v>
      </c>
      <c r="G43" s="579" t="s">
        <v>194</v>
      </c>
      <c r="H43" s="545"/>
      <c r="I43" s="580"/>
      <c r="J43" s="579"/>
      <c r="K43" s="439"/>
      <c r="L43" s="849"/>
      <c r="M43" s="552"/>
      <c r="N43" s="437"/>
      <c r="O43" s="545"/>
      <c r="P43" s="683"/>
      <c r="Q43" s="683"/>
      <c r="R43" s="683"/>
      <c r="S43" s="683"/>
      <c r="T43" s="684"/>
      <c r="U43" s="684"/>
      <c r="V43" s="684"/>
      <c r="W43" s="684"/>
      <c r="X43" s="545"/>
      <c r="Y43" s="437">
        <f t="shared" si="0"/>
        <v>0</v>
      </c>
      <c r="Z43" s="436"/>
    </row>
    <row r="44" spans="2:26" x14ac:dyDescent="0.35">
      <c r="B44" s="700"/>
      <c r="C44" s="357" t="s">
        <v>77</v>
      </c>
      <c r="E44" s="701"/>
      <c r="F44" s="436" t="s">
        <v>189</v>
      </c>
      <c r="G44" s="579" t="s">
        <v>190</v>
      </c>
      <c r="H44" s="545"/>
      <c r="I44" s="580"/>
      <c r="J44" s="579"/>
      <c r="K44" s="400">
        <v>1</v>
      </c>
      <c r="L44" s="849">
        <f>AC3</f>
        <v>400.8</v>
      </c>
      <c r="M44" s="552">
        <f>1/8</f>
        <v>0.125</v>
      </c>
      <c r="N44" s="437">
        <v>1</v>
      </c>
      <c r="O44" s="590">
        <f>K44*L44*M44*N44</f>
        <v>50.1</v>
      </c>
      <c r="P44" s="299">
        <f>VLOOKUP($F44,'[1]Master Harga'!$E$5:$L$351,8,FALSE)</f>
        <v>169122.61109699999</v>
      </c>
      <c r="Q44" s="683">
        <f>P44*$O44</f>
        <v>8473042.8159596995</v>
      </c>
      <c r="R44" s="437">
        <f>VLOOKUP($F44,'[2]Master Harga'!$E$5:$M$348,8,FALSE)</f>
        <v>179635.86432000002</v>
      </c>
      <c r="S44" s="683">
        <f>R44*$O44</f>
        <v>8999756.8024320006</v>
      </c>
      <c r="T44" s="437">
        <f>VLOOKUP($F44,'[2]Master Harga'!$E$5:$M$348,9,FALSE)</f>
        <v>197599.45075200003</v>
      </c>
      <c r="U44" s="684">
        <f>$O44*T44</f>
        <v>9899732.4826752022</v>
      </c>
      <c r="V44" s="437">
        <f>W44/O44</f>
        <v>182119.30872299999</v>
      </c>
      <c r="W44" s="307">
        <f>AVERAGEIF($P$3:$U$3,W$3,$P44:$U44)</f>
        <v>9124177.3670223001</v>
      </c>
      <c r="X44" s="545"/>
      <c r="Y44" s="437">
        <f>Q44/$AC$3</f>
        <v>21140.326387124998</v>
      </c>
      <c r="Z44" s="436"/>
    </row>
    <row r="45" spans="2:26" x14ac:dyDescent="0.35">
      <c r="B45" s="700"/>
      <c r="E45" s="701"/>
      <c r="F45" s="436" t="s">
        <v>293</v>
      </c>
      <c r="G45" s="579" t="s">
        <v>194</v>
      </c>
      <c r="H45" s="545"/>
      <c r="I45" s="580"/>
      <c r="J45" s="579"/>
      <c r="K45" s="400">
        <v>1</v>
      </c>
      <c r="L45" s="849">
        <f>$L$44</f>
        <v>400.8</v>
      </c>
      <c r="M45" s="552">
        <v>8.3000000000000001E-3</v>
      </c>
      <c r="N45" s="437">
        <v>1</v>
      </c>
      <c r="O45" s="590">
        <f t="shared" ref="O45:O46" si="1">K45*L45*M45*N45</f>
        <v>3.3266400000000003</v>
      </c>
      <c r="P45" s="299">
        <f>VLOOKUP($F45,'[1]Master Harga'!$E$5:$L$351,8,FALSE)</f>
        <v>87746.527968750001</v>
      </c>
      <c r="Q45" s="683">
        <f t="shared" ref="Q45:Q46" si="2">P45*$O45</f>
        <v>291901.10980196251</v>
      </c>
      <c r="R45" s="683"/>
      <c r="S45" s="683"/>
      <c r="T45" s="684"/>
      <c r="U45" s="684"/>
      <c r="V45" s="684"/>
      <c r="W45" s="684"/>
      <c r="X45" s="545"/>
      <c r="Y45" s="437">
        <f t="shared" ref="Y45:Y108" si="3">Q45/$AC$3</f>
        <v>728.29618214062498</v>
      </c>
      <c r="Z45" s="436"/>
    </row>
    <row r="46" spans="2:26" x14ac:dyDescent="0.35">
      <c r="B46" s="700"/>
      <c r="E46" s="701"/>
      <c r="F46" s="436" t="s">
        <v>237</v>
      </c>
      <c r="G46" s="579"/>
      <c r="H46" s="545"/>
      <c r="I46" s="580"/>
      <c r="J46" s="579"/>
      <c r="K46" s="400">
        <v>1</v>
      </c>
      <c r="L46" s="849">
        <f>$L$44</f>
        <v>400.8</v>
      </c>
      <c r="M46" s="552">
        <v>1.0416666666666666E-2</v>
      </c>
      <c r="N46" s="437">
        <v>1</v>
      </c>
      <c r="O46" s="590">
        <f t="shared" si="1"/>
        <v>4.1749999999999998</v>
      </c>
      <c r="P46" s="299">
        <f>VLOOKUP($F46,'[1]Master Harga'!$E$5:$L$351,8,FALSE)</f>
        <v>99185.31</v>
      </c>
      <c r="Q46" s="683">
        <f t="shared" si="2"/>
        <v>414098.66924999998</v>
      </c>
      <c r="R46" s="683"/>
      <c r="S46" s="683"/>
      <c r="T46" s="684"/>
      <c r="U46" s="684"/>
      <c r="V46" s="684"/>
      <c r="W46" s="684"/>
      <c r="X46" s="545"/>
      <c r="Y46" s="437">
        <f t="shared" si="3"/>
        <v>1033.1803124999999</v>
      </c>
      <c r="Z46" s="436"/>
    </row>
    <row r="47" spans="2:26" customFormat="1" x14ac:dyDescent="0.35">
      <c r="B47" s="685" t="s">
        <v>559</v>
      </c>
      <c r="C47" s="864"/>
      <c r="D47" s="864"/>
      <c r="E47" s="865"/>
      <c r="F47" s="688"/>
      <c r="G47" s="689"/>
      <c r="H47" s="690"/>
      <c r="I47" s="691"/>
      <c r="J47" s="689"/>
      <c r="K47" s="692"/>
      <c r="L47" s="866"/>
      <c r="M47" s="694"/>
      <c r="N47" s="695"/>
      <c r="O47" s="690"/>
      <c r="P47" s="696"/>
      <c r="Q47" s="697">
        <f>SUM(Q44:Q46)</f>
        <v>9179042.5950116627</v>
      </c>
      <c r="R47" s="696"/>
      <c r="S47" s="697">
        <f>SUM(S36:S46)</f>
        <v>8999756.8024320006</v>
      </c>
      <c r="T47" s="874"/>
      <c r="U47" s="874"/>
      <c r="V47" s="874"/>
      <c r="W47" s="874"/>
      <c r="X47" s="690"/>
      <c r="Y47" s="698">
        <f t="shared" si="3"/>
        <v>22901.802881765623</v>
      </c>
      <c r="Z47" s="875">
        <f>(Y47/$Y$404)*100</f>
        <v>0.12224827921353447</v>
      </c>
    </row>
    <row r="48" spans="2:26" x14ac:dyDescent="0.35">
      <c r="B48" s="785"/>
      <c r="C48" s="763" t="s">
        <v>80</v>
      </c>
      <c r="D48" s="763"/>
      <c r="E48" s="764"/>
      <c r="F48" s="436" t="s">
        <v>189</v>
      </c>
      <c r="G48" s="579" t="s">
        <v>190</v>
      </c>
      <c r="H48" s="545"/>
      <c r="I48" s="580"/>
      <c r="J48" s="579"/>
      <c r="K48" s="400">
        <v>0.25</v>
      </c>
      <c r="L48" s="849">
        <f t="shared" ref="L48:L53" si="4">$L$44</f>
        <v>400.8</v>
      </c>
      <c r="M48" s="552">
        <v>1</v>
      </c>
      <c r="N48" s="437">
        <v>1</v>
      </c>
      <c r="O48" s="590">
        <f t="shared" ref="O48:O53" si="5">K48*L48*M48*N48</f>
        <v>100.2</v>
      </c>
      <c r="P48" s="299">
        <f>VLOOKUP($F48,'[1]Master Harga'!$E$5:$L$351,8,FALSE)</f>
        <v>169122.61109699999</v>
      </c>
      <c r="Q48" s="683">
        <f t="shared" ref="Q48:Q53" si="6">P48*$O48</f>
        <v>16946085.631919399</v>
      </c>
      <c r="R48" s="437">
        <f>VLOOKUP($F48,'[2]Master Harga'!$E$5:$M$348,8,FALSE)</f>
        <v>179635.86432000002</v>
      </c>
      <c r="S48" s="683">
        <f>R48*$O48</f>
        <v>17999513.604864001</v>
      </c>
      <c r="T48" s="437">
        <f>VLOOKUP($F48,'[2]Master Harga'!$E$5:$M$348,9,FALSE)</f>
        <v>197599.45075200003</v>
      </c>
      <c r="U48" s="684">
        <f>$O48*T48</f>
        <v>19799464.965350404</v>
      </c>
      <c r="V48" s="437">
        <f>W48/O48</f>
        <v>182119.30872299999</v>
      </c>
      <c r="W48" s="307">
        <f>AVERAGEIF($P$3:$U$3,W$3,$P48:$U48)</f>
        <v>18248354.7340446</v>
      </c>
      <c r="X48" s="545"/>
      <c r="Y48" s="437">
        <f t="shared" si="3"/>
        <v>42280.652774249997</v>
      </c>
      <c r="Z48" s="436"/>
    </row>
    <row r="49" spans="2:26" x14ac:dyDescent="0.35">
      <c r="B49" s="700"/>
      <c r="E49" s="701"/>
      <c r="F49" s="436" t="s">
        <v>438</v>
      </c>
      <c r="G49" s="579" t="s">
        <v>194</v>
      </c>
      <c r="H49" s="545"/>
      <c r="I49" s="580"/>
      <c r="J49" s="579"/>
      <c r="K49" s="400">
        <v>0.25</v>
      </c>
      <c r="L49" s="849">
        <f t="shared" si="4"/>
        <v>400.8</v>
      </c>
      <c r="M49" s="552">
        <v>0.66669999999999996</v>
      </c>
      <c r="N49" s="437">
        <v>1</v>
      </c>
      <c r="O49" s="590">
        <f t="shared" si="5"/>
        <v>66.803339999999992</v>
      </c>
      <c r="P49" s="299">
        <f>VLOOKUP($F49,'[1]Master Harga'!$E$5:$L$351,8,FALSE)</f>
        <v>598950.00000000023</v>
      </c>
      <c r="Q49" s="683">
        <f t="shared" si="6"/>
        <v>40011860.493000008</v>
      </c>
      <c r="R49" s="437">
        <f>VLOOKUP($F49,'[2]Master Harga'!$E$5:$M$348,8,FALSE)</f>
        <v>598950.00000000023</v>
      </c>
      <c r="S49" s="683">
        <f>R49*$O49</f>
        <v>40011860.493000008</v>
      </c>
      <c r="T49" s="437">
        <f>VLOOKUP($F49,'[2]Master Harga'!$E$5:$M$348,9,FALSE)</f>
        <v>658845.00000000035</v>
      </c>
      <c r="U49" s="684">
        <f>$O49*T49</f>
        <v>44013046.542300016</v>
      </c>
      <c r="V49" s="437">
        <f>W49/O49</f>
        <v>618915.00000000023</v>
      </c>
      <c r="W49" s="307">
        <f>AVERAGEIF($P$3:$U$3,W$3,$P49:$U49)</f>
        <v>41345589.176100008</v>
      </c>
      <c r="X49" s="545"/>
      <c r="Y49" s="437">
        <f t="shared" si="3"/>
        <v>99829.991250000021</v>
      </c>
      <c r="Z49" s="436"/>
    </row>
    <row r="50" spans="2:26" x14ac:dyDescent="0.35">
      <c r="B50" s="680"/>
      <c r="C50" s="681"/>
      <c r="D50" s="681"/>
      <c r="E50" s="682"/>
      <c r="F50" s="436" t="s">
        <v>237</v>
      </c>
      <c r="G50" s="579" t="s">
        <v>194</v>
      </c>
      <c r="H50" s="545"/>
      <c r="I50" s="580"/>
      <c r="J50" s="579"/>
      <c r="K50" s="400">
        <v>0.25</v>
      </c>
      <c r="L50" s="849">
        <f t="shared" si="4"/>
        <v>400.8</v>
      </c>
      <c r="M50" s="552">
        <v>4.0000000000000001E-3</v>
      </c>
      <c r="N50" s="437">
        <v>1</v>
      </c>
      <c r="O50" s="590">
        <f t="shared" si="5"/>
        <v>0.40080000000000005</v>
      </c>
      <c r="P50" s="299">
        <f>VLOOKUP($F50,'[1]Master Harga'!$E$5:$L$351,8,FALSE)</f>
        <v>99185.31</v>
      </c>
      <c r="Q50" s="683">
        <f t="shared" si="6"/>
        <v>39753.472248000005</v>
      </c>
      <c r="R50" s="683"/>
      <c r="S50" s="683"/>
      <c r="T50" s="684"/>
      <c r="U50" s="684"/>
      <c r="V50" s="684"/>
      <c r="W50" s="684"/>
      <c r="X50" s="545"/>
      <c r="Y50" s="437">
        <f t="shared" si="3"/>
        <v>99.185310000000015</v>
      </c>
      <c r="Z50" s="436"/>
    </row>
    <row r="51" spans="2:26" x14ac:dyDescent="0.35">
      <c r="B51" s="785"/>
      <c r="C51" s="763" t="s">
        <v>542</v>
      </c>
      <c r="D51" s="763"/>
      <c r="E51" s="764"/>
      <c r="F51" s="436" t="s">
        <v>189</v>
      </c>
      <c r="G51" s="579" t="s">
        <v>190</v>
      </c>
      <c r="H51" s="545"/>
      <c r="I51" s="580"/>
      <c r="J51" s="579"/>
      <c r="K51" s="400">
        <v>0.5</v>
      </c>
      <c r="L51" s="849">
        <f t="shared" si="4"/>
        <v>400.8</v>
      </c>
      <c r="M51" s="552">
        <v>0.15</v>
      </c>
      <c r="N51" s="437">
        <v>1</v>
      </c>
      <c r="O51" s="590">
        <f t="shared" si="5"/>
        <v>30.06</v>
      </c>
      <c r="P51" s="299">
        <f>VLOOKUP($F51,'[1]Master Harga'!$E$5:$L$351,8,FALSE)</f>
        <v>169122.61109699999</v>
      </c>
      <c r="Q51" s="683">
        <f t="shared" si="6"/>
        <v>5083825.6895758193</v>
      </c>
      <c r="R51" s="683"/>
      <c r="S51" s="683"/>
      <c r="T51" s="684"/>
      <c r="U51" s="684"/>
      <c r="V51" s="684"/>
      <c r="W51" s="684"/>
      <c r="X51" s="545"/>
      <c r="Y51" s="437">
        <f t="shared" si="3"/>
        <v>12684.195832274998</v>
      </c>
      <c r="Z51" s="436"/>
    </row>
    <row r="52" spans="2:26" x14ac:dyDescent="0.35">
      <c r="B52" s="700"/>
      <c r="E52" s="701"/>
      <c r="F52" s="436" t="s">
        <v>441</v>
      </c>
      <c r="G52" s="579" t="s">
        <v>194</v>
      </c>
      <c r="H52" s="545"/>
      <c r="I52" s="580"/>
      <c r="J52" s="579"/>
      <c r="K52" s="400">
        <v>0.5</v>
      </c>
      <c r="L52" s="849">
        <f t="shared" si="4"/>
        <v>400.8</v>
      </c>
      <c r="M52" s="552">
        <v>1E-3</v>
      </c>
      <c r="N52" s="437">
        <v>1</v>
      </c>
      <c r="O52" s="590">
        <f t="shared" si="5"/>
        <v>0.20040000000000002</v>
      </c>
      <c r="P52" s="299">
        <f>VLOOKUP($F52,'[1]Master Harga'!$E$5:$L$351,8,FALSE)</f>
        <v>139184.14781250001</v>
      </c>
      <c r="Q52" s="683">
        <f t="shared" si="6"/>
        <v>27892.503221625007</v>
      </c>
      <c r="R52" s="683"/>
      <c r="S52" s="683"/>
      <c r="T52" s="684"/>
      <c r="U52" s="684"/>
      <c r="V52" s="684"/>
      <c r="W52" s="684"/>
      <c r="X52" s="545"/>
      <c r="Y52" s="437">
        <f t="shared" si="3"/>
        <v>69.592073906250022</v>
      </c>
      <c r="Z52" s="436"/>
    </row>
    <row r="53" spans="2:26" x14ac:dyDescent="0.35">
      <c r="B53" s="680"/>
      <c r="C53" s="681"/>
      <c r="D53" s="681"/>
      <c r="E53" s="682"/>
      <c r="F53" s="436" t="s">
        <v>237</v>
      </c>
      <c r="G53" s="579" t="s">
        <v>194</v>
      </c>
      <c r="H53" s="545">
        <v>1</v>
      </c>
      <c r="I53" s="580" t="s">
        <v>233</v>
      </c>
      <c r="J53" s="579"/>
      <c r="K53" s="400">
        <v>0.5</v>
      </c>
      <c r="L53" s="849">
        <f t="shared" si="4"/>
        <v>400.8</v>
      </c>
      <c r="M53" s="552">
        <v>5.9999999999999995E-4</v>
      </c>
      <c r="N53" s="437">
        <v>1</v>
      </c>
      <c r="O53" s="590">
        <f t="shared" si="5"/>
        <v>0.12024</v>
      </c>
      <c r="P53" s="299">
        <f>VLOOKUP($F53,'[1]Master Harga'!$E$5:$L$351,8,FALSE)</f>
        <v>99185.31</v>
      </c>
      <c r="Q53" s="683">
        <f t="shared" si="6"/>
        <v>11926.041674399999</v>
      </c>
      <c r="R53" s="683"/>
      <c r="S53" s="683"/>
      <c r="T53" s="684"/>
      <c r="U53" s="684"/>
      <c r="V53" s="684"/>
      <c r="W53" s="684"/>
      <c r="X53" s="545"/>
      <c r="Y53" s="437">
        <f t="shared" si="3"/>
        <v>29.755592999999998</v>
      </c>
      <c r="Z53" s="436"/>
    </row>
    <row r="54" spans="2:26" customFormat="1" x14ac:dyDescent="0.35">
      <c r="B54" s="700"/>
      <c r="C54" s="456" t="s">
        <v>307</v>
      </c>
      <c r="D54" s="310"/>
      <c r="E54" s="311"/>
      <c r="F54" s="288" t="s">
        <v>189</v>
      </c>
      <c r="G54" s="289" t="s">
        <v>190</v>
      </c>
      <c r="H54" s="290"/>
      <c r="I54" s="291"/>
      <c r="J54" s="709"/>
      <c r="K54" s="292"/>
      <c r="L54" s="292"/>
      <c r="M54" s="542"/>
      <c r="N54" s="296">
        <v>1</v>
      </c>
      <c r="O54" s="296"/>
      <c r="P54" s="710"/>
      <c r="Q54" s="710"/>
      <c r="R54" s="710"/>
      <c r="S54" s="710"/>
      <c r="T54" s="711"/>
      <c r="U54" s="711"/>
      <c r="V54" s="711"/>
      <c r="W54" s="711"/>
      <c r="X54" s="365"/>
      <c r="Y54" s="296">
        <f t="shared" si="3"/>
        <v>0</v>
      </c>
      <c r="Z54" s="295"/>
    </row>
    <row r="55" spans="2:26" customFormat="1" x14ac:dyDescent="0.35">
      <c r="B55" s="700"/>
      <c r="C55" s="310"/>
      <c r="D55" s="310"/>
      <c r="E55" s="311"/>
      <c r="F55" s="295" t="s">
        <v>438</v>
      </c>
      <c r="G55" s="289" t="s">
        <v>264</v>
      </c>
      <c r="H55" s="290"/>
      <c r="I55" s="291"/>
      <c r="J55" s="709"/>
      <c r="K55" s="292"/>
      <c r="L55" s="292"/>
      <c r="M55" s="542"/>
      <c r="N55" s="296">
        <v>1</v>
      </c>
      <c r="O55" s="296"/>
      <c r="P55" s="710"/>
      <c r="Q55" s="710"/>
      <c r="R55" s="710"/>
      <c r="S55" s="710"/>
      <c r="T55" s="711"/>
      <c r="U55" s="711"/>
      <c r="V55" s="711"/>
      <c r="W55" s="711"/>
      <c r="X55" s="365"/>
      <c r="Y55" s="296">
        <f t="shared" si="3"/>
        <v>0</v>
      </c>
      <c r="Z55" s="295"/>
    </row>
    <row r="56" spans="2:26" customFormat="1" x14ac:dyDescent="0.35">
      <c r="B56" s="680"/>
      <c r="C56" s="442"/>
      <c r="D56" s="442"/>
      <c r="E56" s="443"/>
      <c r="F56" s="288" t="s">
        <v>265</v>
      </c>
      <c r="G56" s="289" t="s">
        <v>203</v>
      </c>
      <c r="H56" s="290"/>
      <c r="I56" s="291"/>
      <c r="J56" s="709"/>
      <c r="K56" s="292"/>
      <c r="L56" s="292"/>
      <c r="M56" s="542"/>
      <c r="N56" s="296">
        <v>1</v>
      </c>
      <c r="O56" s="296"/>
      <c r="P56" s="710"/>
      <c r="Q56" s="710"/>
      <c r="R56" s="710"/>
      <c r="S56" s="710"/>
      <c r="T56" s="711"/>
      <c r="U56" s="711"/>
      <c r="V56" s="711"/>
      <c r="W56" s="711"/>
      <c r="X56" s="365"/>
      <c r="Y56" s="296">
        <f t="shared" si="3"/>
        <v>0</v>
      </c>
      <c r="Z56" s="295"/>
    </row>
    <row r="57" spans="2:26" customFormat="1" ht="38.25" customHeight="1" x14ac:dyDescent="0.35">
      <c r="B57" s="753" t="s">
        <v>560</v>
      </c>
      <c r="C57" s="853"/>
      <c r="D57" s="853"/>
      <c r="E57" s="854"/>
      <c r="F57" s="668"/>
      <c r="G57" s="669"/>
      <c r="H57" s="670"/>
      <c r="I57" s="671"/>
      <c r="J57" s="669"/>
      <c r="K57" s="672"/>
      <c r="L57" s="876"/>
      <c r="M57" s="674"/>
      <c r="N57" s="675"/>
      <c r="O57" s="670"/>
      <c r="P57" s="676"/>
      <c r="Q57" s="756">
        <f>SUM(Q47:Q56)</f>
        <v>71300386.426650926</v>
      </c>
      <c r="R57" s="676"/>
      <c r="S57" s="756">
        <f>SUM(S46:S56)</f>
        <v>67011130.90029601</v>
      </c>
      <c r="T57" s="677"/>
      <c r="U57" s="677"/>
      <c r="V57" s="677"/>
      <c r="W57" s="677"/>
      <c r="X57" s="670"/>
      <c r="Y57" s="923">
        <f t="shared" si="3"/>
        <v>177895.17571519691</v>
      </c>
      <c r="Z57" s="924">
        <f>(Y57/$Y$404)*100</f>
        <v>0.94959245015978178</v>
      </c>
    </row>
    <row r="58" spans="2:26" x14ac:dyDescent="0.35">
      <c r="B58" s="722" t="s">
        <v>443</v>
      </c>
      <c r="C58" s="580"/>
      <c r="D58" s="580"/>
      <c r="E58" s="723"/>
      <c r="F58" s="436"/>
      <c r="G58" s="579"/>
      <c r="H58" s="545"/>
      <c r="I58" s="580"/>
      <c r="J58" s="579"/>
      <c r="K58" s="439"/>
      <c r="L58" s="849"/>
      <c r="M58" s="552"/>
      <c r="N58" s="437"/>
      <c r="O58" s="545"/>
      <c r="P58" s="683"/>
      <c r="Q58" s="683"/>
      <c r="R58" s="683"/>
      <c r="S58" s="683"/>
      <c r="T58" s="684"/>
      <c r="U58" s="684"/>
      <c r="V58" s="684"/>
      <c r="W58" s="684"/>
      <c r="X58" s="545"/>
      <c r="Y58" s="437">
        <f t="shared" si="3"/>
        <v>0</v>
      </c>
      <c r="Z58" s="436"/>
    </row>
    <row r="59" spans="2:26" x14ac:dyDescent="0.35">
      <c r="B59" s="724"/>
      <c r="C59" s="357" t="s">
        <v>444</v>
      </c>
      <c r="E59" s="701"/>
      <c r="F59" s="436"/>
      <c r="G59" s="579"/>
      <c r="H59" s="545"/>
      <c r="I59" s="580"/>
      <c r="J59" s="579"/>
      <c r="K59" s="439"/>
      <c r="L59" s="849"/>
      <c r="M59" s="552"/>
      <c r="N59" s="437"/>
      <c r="O59" s="545"/>
      <c r="P59" s="683"/>
      <c r="Q59" s="683"/>
      <c r="R59" s="683"/>
      <c r="S59" s="683"/>
      <c r="T59" s="684"/>
      <c r="U59" s="684"/>
      <c r="V59" s="684"/>
      <c r="W59" s="684"/>
      <c r="X59" s="545"/>
      <c r="Y59" s="437">
        <f t="shared" si="3"/>
        <v>0</v>
      </c>
      <c r="Z59" s="436"/>
    </row>
    <row r="60" spans="2:26" x14ac:dyDescent="0.35">
      <c r="B60" s="785"/>
      <c r="C60" s="763"/>
      <c r="D60" s="763" t="s">
        <v>86</v>
      </c>
      <c r="E60" s="764"/>
      <c r="F60" s="436" t="s">
        <v>189</v>
      </c>
      <c r="G60" s="579" t="s">
        <v>190</v>
      </c>
      <c r="H60" s="545"/>
      <c r="I60" s="580"/>
      <c r="J60" s="579" t="s">
        <v>170</v>
      </c>
      <c r="K60" s="400">
        <v>1</v>
      </c>
      <c r="L60" s="849">
        <f t="shared" ref="L60:L69" si="7">$L$44</f>
        <v>400.8</v>
      </c>
      <c r="M60" s="552">
        <v>2.5</v>
      </c>
      <c r="N60" s="437">
        <v>1</v>
      </c>
      <c r="O60" s="590">
        <f>K60*L60*M60*N60</f>
        <v>1002</v>
      </c>
      <c r="P60" s="299">
        <f>VLOOKUP($F60,'[1]Master Harga'!$E$5:$L$351,8,FALSE)</f>
        <v>169122.61109699999</v>
      </c>
      <c r="Q60" s="683">
        <f>P60*$O60</f>
        <v>169460856.31919399</v>
      </c>
      <c r="R60" s="437">
        <f>VLOOKUP($F60,'[2]Master Harga'!$E$5:$M$348,8,FALSE)</f>
        <v>179635.86432000002</v>
      </c>
      <c r="S60" s="683">
        <f>R60*$O60</f>
        <v>179995136.04864001</v>
      </c>
      <c r="T60" s="437">
        <f>VLOOKUP($F60,'[2]Master Harga'!$E$5:$M$348,9,FALSE)</f>
        <v>197599.45075200003</v>
      </c>
      <c r="U60" s="684">
        <f>$O60*T60</f>
        <v>197994649.65350404</v>
      </c>
      <c r="V60" s="437">
        <f>W60/O60</f>
        <v>182119.30872299999</v>
      </c>
      <c r="W60" s="307">
        <f>AVERAGEIF($P$3:$U$3,W$3,$P60:$U60)</f>
        <v>182483547.340446</v>
      </c>
      <c r="X60" s="545"/>
      <c r="Y60" s="437">
        <f t="shared" si="3"/>
        <v>422806.52774249995</v>
      </c>
      <c r="Z60" s="925"/>
    </row>
    <row r="61" spans="2:26" x14ac:dyDescent="0.35">
      <c r="B61" s="700"/>
      <c r="E61" s="701"/>
      <c r="F61" s="436" t="s">
        <v>293</v>
      </c>
      <c r="G61" s="579" t="s">
        <v>194</v>
      </c>
      <c r="H61" s="545"/>
      <c r="I61" s="580"/>
      <c r="J61" s="579" t="s">
        <v>170</v>
      </c>
      <c r="K61" s="400">
        <v>1</v>
      </c>
      <c r="L61" s="849">
        <f t="shared" si="7"/>
        <v>400.8</v>
      </c>
      <c r="M61" s="552">
        <v>8.3000000000000001E-3</v>
      </c>
      <c r="N61" s="437">
        <v>1</v>
      </c>
      <c r="O61" s="590">
        <f t="shared" ref="O61:O62" si="8">K61*L61*M61*N61</f>
        <v>3.3266400000000003</v>
      </c>
      <c r="P61" s="299">
        <f>VLOOKUP($F61,'[1]Master Harga'!$E$5:$L$351,8,FALSE)</f>
        <v>87746.527968750001</v>
      </c>
      <c r="Q61" s="683">
        <f t="shared" ref="Q61:Q62" si="9">P61*$O61</f>
        <v>291901.10980196251</v>
      </c>
      <c r="R61" s="683"/>
      <c r="S61" s="683"/>
      <c r="T61" s="684"/>
      <c r="U61" s="684"/>
      <c r="V61" s="684"/>
      <c r="W61" s="684"/>
      <c r="X61" s="545"/>
      <c r="Y61" s="437">
        <f t="shared" si="3"/>
        <v>728.29618214062498</v>
      </c>
      <c r="Z61" s="436"/>
    </row>
    <row r="62" spans="2:26" x14ac:dyDescent="0.35">
      <c r="B62" s="700"/>
      <c r="D62" s="681"/>
      <c r="E62" s="682"/>
      <c r="F62" s="436" t="s">
        <v>237</v>
      </c>
      <c r="G62" s="579" t="s">
        <v>194</v>
      </c>
      <c r="H62" s="545">
        <v>1</v>
      </c>
      <c r="I62" s="580" t="s">
        <v>233</v>
      </c>
      <c r="J62" s="579"/>
      <c r="K62" s="400">
        <v>1</v>
      </c>
      <c r="L62" s="849">
        <f t="shared" si="7"/>
        <v>400.8</v>
      </c>
      <c r="M62" s="552">
        <f>((M$60*N$60)/240*($H62/N62))</f>
        <v>1.0416666666666666E-2</v>
      </c>
      <c r="N62" s="437">
        <v>1</v>
      </c>
      <c r="O62" s="590">
        <f t="shared" si="8"/>
        <v>4.1749999999999998</v>
      </c>
      <c r="P62" s="299">
        <f>VLOOKUP($F62,'[1]Master Harga'!$E$5:$L$351,8,FALSE)</f>
        <v>99185.31</v>
      </c>
      <c r="Q62" s="683">
        <f t="shared" si="9"/>
        <v>414098.66924999998</v>
      </c>
      <c r="R62" s="683"/>
      <c r="S62" s="683"/>
      <c r="T62" s="684"/>
      <c r="U62" s="684"/>
      <c r="V62" s="684"/>
      <c r="W62" s="684"/>
      <c r="X62" s="545"/>
      <c r="Y62" s="437">
        <f t="shared" si="3"/>
        <v>1033.1803124999999</v>
      </c>
      <c r="Z62" s="436"/>
    </row>
    <row r="63" spans="2:26" customFormat="1" x14ac:dyDescent="0.35">
      <c r="B63" s="685" t="s">
        <v>561</v>
      </c>
      <c r="C63" s="864"/>
      <c r="D63" s="864"/>
      <c r="E63" s="865"/>
      <c r="F63" s="688"/>
      <c r="G63" s="689"/>
      <c r="H63" s="690"/>
      <c r="I63" s="691"/>
      <c r="J63" s="689"/>
      <c r="K63" s="692"/>
      <c r="L63" s="866"/>
      <c r="M63" s="694"/>
      <c r="N63" s="695"/>
      <c r="O63" s="690"/>
      <c r="P63" s="696"/>
      <c r="Q63" s="697">
        <f>SUM(Q60:Q62)</f>
        <v>170166856.09824595</v>
      </c>
      <c r="R63" s="696"/>
      <c r="S63" s="697">
        <f>SUM(S52:S62)</f>
        <v>247006266.94893602</v>
      </c>
      <c r="T63" s="874"/>
      <c r="U63" s="874"/>
      <c r="V63" s="874"/>
      <c r="W63" s="874"/>
      <c r="X63" s="690"/>
      <c r="Y63" s="698">
        <f t="shared" si="3"/>
        <v>424568.00423714059</v>
      </c>
      <c r="Z63" s="875">
        <f>(Y63/$Y$404)*100</f>
        <v>2.2663153724216141</v>
      </c>
    </row>
    <row r="64" spans="2:26" x14ac:dyDescent="0.35">
      <c r="B64" s="700"/>
      <c r="D64" s="763" t="s">
        <v>445</v>
      </c>
      <c r="E64" s="764"/>
      <c r="F64" s="436" t="s">
        <v>189</v>
      </c>
      <c r="G64" s="579" t="s">
        <v>190</v>
      </c>
      <c r="H64" s="545"/>
      <c r="I64" s="580"/>
      <c r="J64" s="579"/>
      <c r="K64" s="400">
        <v>1</v>
      </c>
      <c r="L64" s="849">
        <f t="shared" si="7"/>
        <v>400.8</v>
      </c>
      <c r="M64" s="552">
        <v>0.35</v>
      </c>
      <c r="N64" s="437">
        <v>1</v>
      </c>
      <c r="O64" s="590">
        <f t="shared" ref="O64:O66" si="10">K64*L64*M64*N64</f>
        <v>140.28</v>
      </c>
      <c r="P64" s="299">
        <f>VLOOKUP($F64,'[1]Master Harga'!$E$5:$L$351,8,FALSE)</f>
        <v>169122.61109699999</v>
      </c>
      <c r="Q64" s="683">
        <f t="shared" ref="Q64:Q66" si="11">P64*$O64</f>
        <v>23724519.884687159</v>
      </c>
      <c r="R64" s="683"/>
      <c r="S64" s="683"/>
      <c r="T64" s="684"/>
      <c r="U64" s="684"/>
      <c r="V64" s="684"/>
      <c r="W64" s="684"/>
      <c r="X64" s="545"/>
      <c r="Y64" s="437">
        <f t="shared" si="3"/>
        <v>59192.913883949994</v>
      </c>
      <c r="Z64" s="436"/>
    </row>
    <row r="65" spans="2:26" x14ac:dyDescent="0.35">
      <c r="B65" s="700"/>
      <c r="E65" s="701"/>
      <c r="F65" s="436" t="s">
        <v>293</v>
      </c>
      <c r="G65" s="579" t="s">
        <v>194</v>
      </c>
      <c r="H65" s="545"/>
      <c r="I65" s="580"/>
      <c r="J65" s="579"/>
      <c r="K65" s="400">
        <v>1</v>
      </c>
      <c r="L65" s="849">
        <f t="shared" si="7"/>
        <v>400.8</v>
      </c>
      <c r="M65" s="552">
        <v>1.1999999999999999E-3</v>
      </c>
      <c r="N65" s="437">
        <v>1</v>
      </c>
      <c r="O65" s="590">
        <f t="shared" si="10"/>
        <v>0.48096</v>
      </c>
      <c r="P65" s="299">
        <f>VLOOKUP($F65,'[1]Master Harga'!$E$5:$L$351,8,FALSE)</f>
        <v>87746.527968750001</v>
      </c>
      <c r="Q65" s="683">
        <f t="shared" si="11"/>
        <v>42202.570091850001</v>
      </c>
      <c r="R65" s="683"/>
      <c r="S65" s="683"/>
      <c r="T65" s="684"/>
      <c r="U65" s="684"/>
      <c r="V65" s="684"/>
      <c r="W65" s="684"/>
      <c r="X65" s="545"/>
      <c r="Y65" s="437">
        <f t="shared" si="3"/>
        <v>105.29583356249999</v>
      </c>
      <c r="Z65" s="436"/>
    </row>
    <row r="66" spans="2:26" x14ac:dyDescent="0.35">
      <c r="B66" s="700"/>
      <c r="D66" s="681"/>
      <c r="E66" s="682"/>
      <c r="F66" s="436" t="s">
        <v>237</v>
      </c>
      <c r="G66" s="579" t="s">
        <v>194</v>
      </c>
      <c r="H66" s="545"/>
      <c r="I66" s="580"/>
      <c r="J66" s="579"/>
      <c r="K66" s="400">
        <v>1</v>
      </c>
      <c r="L66" s="849">
        <f t="shared" si="7"/>
        <v>400.8</v>
      </c>
      <c r="M66" s="552">
        <v>1.1999999999999999E-3</v>
      </c>
      <c r="N66" s="437">
        <v>1</v>
      </c>
      <c r="O66" s="590">
        <f t="shared" si="10"/>
        <v>0.48096</v>
      </c>
      <c r="P66" s="299">
        <f>VLOOKUP($F66,'[1]Master Harga'!$E$5:$L$351,8,FALSE)</f>
        <v>99185.31</v>
      </c>
      <c r="Q66" s="683">
        <f t="shared" si="11"/>
        <v>47704.166697599998</v>
      </c>
      <c r="R66" s="683"/>
      <c r="S66" s="683"/>
      <c r="T66" s="684"/>
      <c r="U66" s="684"/>
      <c r="V66" s="684"/>
      <c r="W66" s="684"/>
      <c r="X66" s="545"/>
      <c r="Y66" s="437">
        <f t="shared" si="3"/>
        <v>119.02237199999999</v>
      </c>
      <c r="Z66" s="436"/>
    </row>
    <row r="67" spans="2:26" x14ac:dyDescent="0.35">
      <c r="B67" s="700"/>
      <c r="D67" s="763" t="s">
        <v>446</v>
      </c>
      <c r="E67" s="764"/>
      <c r="F67" s="436" t="s">
        <v>189</v>
      </c>
      <c r="G67" s="579" t="s">
        <v>190</v>
      </c>
      <c r="H67" s="545"/>
      <c r="I67" s="580"/>
      <c r="J67" s="579" t="s">
        <v>170</v>
      </c>
      <c r="K67" s="400">
        <v>1</v>
      </c>
      <c r="L67" s="849">
        <f t="shared" si="7"/>
        <v>400.8</v>
      </c>
      <c r="M67" s="552">
        <v>2</v>
      </c>
      <c r="N67" s="437">
        <v>1</v>
      </c>
      <c r="O67" s="590">
        <f>K67*L67*M67*N67</f>
        <v>801.6</v>
      </c>
      <c r="P67" s="299">
        <f>VLOOKUP($F67,'[1]Master Harga'!$E$5:$L$351,8,FALSE)</f>
        <v>169122.61109699999</v>
      </c>
      <c r="Q67" s="683">
        <f>P67*$O67</f>
        <v>135568685.05535519</v>
      </c>
      <c r="R67" s="437">
        <f>VLOOKUP($F67,'[2]Master Harga'!$E$5:$M$348,8,FALSE)</f>
        <v>179635.86432000002</v>
      </c>
      <c r="S67" s="683">
        <f>R67*$O67</f>
        <v>143996108.83891201</v>
      </c>
      <c r="T67" s="437">
        <f>VLOOKUP($F67,'[2]Master Harga'!$E$5:$M$348,9,FALSE)</f>
        <v>197599.45075200003</v>
      </c>
      <c r="U67" s="684">
        <f>$O67*T67</f>
        <v>158395719.72280324</v>
      </c>
      <c r="V67" s="437">
        <f>W67/O67</f>
        <v>182119.30872299999</v>
      </c>
      <c r="W67" s="307">
        <f>AVERAGEIF($P$3:$U$3,W$3,$P67:$U67)</f>
        <v>145986837.8723568</v>
      </c>
      <c r="X67" s="545"/>
      <c r="Y67" s="437">
        <f t="shared" si="3"/>
        <v>338245.22219399997</v>
      </c>
      <c r="Z67" s="436"/>
    </row>
    <row r="68" spans="2:26" x14ac:dyDescent="0.35">
      <c r="B68" s="700"/>
      <c r="E68" s="701"/>
      <c r="F68" s="436" t="s">
        <v>441</v>
      </c>
      <c r="G68" s="579" t="s">
        <v>194</v>
      </c>
      <c r="H68" s="545"/>
      <c r="I68" s="580"/>
      <c r="J68" s="579" t="s">
        <v>170</v>
      </c>
      <c r="K68" s="400">
        <v>1</v>
      </c>
      <c r="L68" s="849">
        <f t="shared" si="7"/>
        <v>400.8</v>
      </c>
      <c r="M68" s="552">
        <v>7.0000000000000001E-3</v>
      </c>
      <c r="N68" s="437">
        <v>1</v>
      </c>
      <c r="O68" s="590">
        <f t="shared" ref="O68:O69" si="12">K68*L68*M68*N68</f>
        <v>2.8056000000000001</v>
      </c>
      <c r="P68" s="299">
        <f>VLOOKUP($F68,'[1]Master Harga'!$E$5:$L$351,8,FALSE)</f>
        <v>139184.14781250001</v>
      </c>
      <c r="Q68" s="683">
        <f t="shared" ref="Q68:Q69" si="13">P68*$O68</f>
        <v>390495.04510275007</v>
      </c>
      <c r="R68" s="683"/>
      <c r="S68" s="683"/>
      <c r="T68" s="684"/>
      <c r="U68" s="684"/>
      <c r="V68" s="684"/>
      <c r="W68" s="684"/>
      <c r="X68" s="545"/>
      <c r="Y68" s="437">
        <f t="shared" si="3"/>
        <v>974.28903468750013</v>
      </c>
      <c r="Z68" s="436"/>
    </row>
    <row r="69" spans="2:26" x14ac:dyDescent="0.35">
      <c r="B69" s="700"/>
      <c r="E69" s="701"/>
      <c r="F69" s="436" t="s">
        <v>237</v>
      </c>
      <c r="G69" s="579" t="s">
        <v>194</v>
      </c>
      <c r="H69" s="545">
        <v>1</v>
      </c>
      <c r="I69" s="580" t="s">
        <v>233</v>
      </c>
      <c r="J69" s="579"/>
      <c r="K69" s="400">
        <v>1</v>
      </c>
      <c r="L69" s="849">
        <f t="shared" si="7"/>
        <v>400.8</v>
      </c>
      <c r="M69" s="552">
        <f>((M$67*N$67)/240*($H69/N69))</f>
        <v>8.3333333333333332E-3</v>
      </c>
      <c r="N69" s="437">
        <v>1</v>
      </c>
      <c r="O69" s="590">
        <f t="shared" si="12"/>
        <v>3.34</v>
      </c>
      <c r="P69" s="299">
        <f>VLOOKUP($F69,'[1]Master Harga'!$E$5:$L$351,8,FALSE)</f>
        <v>99185.31</v>
      </c>
      <c r="Q69" s="683">
        <f t="shared" si="13"/>
        <v>331278.93539999996</v>
      </c>
      <c r="R69" s="683"/>
      <c r="S69" s="683"/>
      <c r="T69" s="684"/>
      <c r="U69" s="684"/>
      <c r="V69" s="684"/>
      <c r="W69" s="684"/>
      <c r="X69" s="545"/>
      <c r="Y69" s="437">
        <f t="shared" si="3"/>
        <v>826.54424999999992</v>
      </c>
      <c r="Z69" s="436"/>
    </row>
    <row r="70" spans="2:26" x14ac:dyDescent="0.35">
      <c r="B70" s="680"/>
      <c r="C70" s="681"/>
      <c r="D70" s="681"/>
      <c r="E70" s="682"/>
      <c r="F70" s="436"/>
      <c r="G70" s="579"/>
      <c r="H70" s="545"/>
      <c r="I70" s="580"/>
      <c r="J70" s="579"/>
      <c r="K70" s="439"/>
      <c r="L70" s="849"/>
      <c r="M70" s="552"/>
      <c r="N70" s="437"/>
      <c r="O70" s="545"/>
      <c r="P70" s="683"/>
      <c r="Q70" s="683"/>
      <c r="R70" s="683"/>
      <c r="S70" s="683"/>
      <c r="T70" s="684"/>
      <c r="U70" s="684"/>
      <c r="V70" s="684"/>
      <c r="W70" s="684"/>
      <c r="X70" s="545"/>
      <c r="Y70" s="437">
        <f t="shared" si="3"/>
        <v>0</v>
      </c>
      <c r="Z70" s="436"/>
    </row>
    <row r="71" spans="2:26" customFormat="1" x14ac:dyDescent="0.35">
      <c r="B71" s="685" t="s">
        <v>562</v>
      </c>
      <c r="C71" s="864"/>
      <c r="D71" s="864"/>
      <c r="E71" s="865"/>
      <c r="F71" s="688"/>
      <c r="G71" s="689"/>
      <c r="H71" s="690"/>
      <c r="I71" s="691"/>
      <c r="J71" s="689"/>
      <c r="K71" s="692"/>
      <c r="L71" s="866"/>
      <c r="M71" s="694"/>
      <c r="N71" s="695"/>
      <c r="O71" s="690"/>
      <c r="P71" s="696"/>
      <c r="Q71" s="697">
        <f>SUM(Q64:Q70)</f>
        <v>160104885.65733457</v>
      </c>
      <c r="R71" s="696"/>
      <c r="S71" s="697">
        <f>SUM(S60:S70)</f>
        <v>570997511.83648801</v>
      </c>
      <c r="T71" s="874"/>
      <c r="U71" s="874"/>
      <c r="V71" s="874"/>
      <c r="W71" s="874"/>
      <c r="X71" s="690"/>
      <c r="Y71" s="698">
        <f t="shared" si="3"/>
        <v>399463.28756820003</v>
      </c>
      <c r="Z71" s="875">
        <f>(Y71/$Y$404)*100</f>
        <v>2.1323080879835468</v>
      </c>
    </row>
    <row r="72" spans="2:26" x14ac:dyDescent="0.35">
      <c r="B72" s="700"/>
      <c r="C72" s="357" t="s">
        <v>448</v>
      </c>
      <c r="E72" s="701"/>
      <c r="F72" s="436"/>
      <c r="G72" s="579"/>
      <c r="H72" s="545"/>
      <c r="I72" s="580"/>
      <c r="J72" s="579"/>
      <c r="K72" s="439"/>
      <c r="L72" s="849"/>
      <c r="M72" s="552"/>
      <c r="N72" s="437"/>
      <c r="O72" s="545"/>
      <c r="P72" s="683"/>
      <c r="Q72" s="683"/>
      <c r="R72" s="683"/>
      <c r="S72" s="683"/>
      <c r="T72" s="684"/>
      <c r="U72" s="684"/>
      <c r="V72" s="684"/>
      <c r="W72" s="684"/>
      <c r="X72" s="545"/>
      <c r="Y72" s="437">
        <f t="shared" si="3"/>
        <v>0</v>
      </c>
      <c r="Z72" s="436"/>
    </row>
    <row r="73" spans="2:26" x14ac:dyDescent="0.35">
      <c r="B73" s="785"/>
      <c r="C73" s="763"/>
      <c r="D73" s="763" t="s">
        <v>89</v>
      </c>
      <c r="E73" s="764"/>
      <c r="F73" s="436" t="s">
        <v>189</v>
      </c>
      <c r="G73" s="579" t="s">
        <v>190</v>
      </c>
      <c r="H73" s="545"/>
      <c r="I73" s="580"/>
      <c r="J73" s="579" t="s">
        <v>170</v>
      </c>
      <c r="K73" s="400">
        <v>1</v>
      </c>
      <c r="L73" s="849">
        <f t="shared" ref="L73:L84" si="14">$L$44</f>
        <v>400.8</v>
      </c>
      <c r="M73" s="552">
        <v>0.75</v>
      </c>
      <c r="N73" s="437">
        <v>3</v>
      </c>
      <c r="O73" s="590">
        <f t="shared" ref="O73:O84" si="15">K73*L73*M73*N73</f>
        <v>901.80000000000007</v>
      </c>
      <c r="P73" s="299">
        <f>VLOOKUP($F73,'[1]Master Harga'!$E$5:$L$351,8,FALSE)</f>
        <v>169122.61109699999</v>
      </c>
      <c r="Q73" s="683">
        <f t="shared" ref="Q73:Q84" si="16">P73*$O73</f>
        <v>152514770.68727461</v>
      </c>
      <c r="R73" s="437">
        <f>VLOOKUP($F73,'[2]Master Harga'!$E$5:$M$348,8,FALSE)</f>
        <v>179635.86432000002</v>
      </c>
      <c r="S73" s="683">
        <f t="shared" ref="S73:S84" si="17">R73*$O73</f>
        <v>161995622.44377604</v>
      </c>
      <c r="T73" s="437">
        <f>VLOOKUP($F73,'[2]Master Harga'!$E$5:$M$348,9,FALSE)</f>
        <v>197599.45075200003</v>
      </c>
      <c r="U73" s="684">
        <f t="shared" ref="U73:U84" si="18">$O73*T73</f>
        <v>178195184.68815365</v>
      </c>
      <c r="V73" s="437">
        <f t="shared" ref="V73:V84" si="19">W73/O73</f>
        <v>182119.30872300002</v>
      </c>
      <c r="W73" s="307">
        <f t="shared" ref="W73:W84" si="20">AVERAGEIF($P$3:$U$3,W$3,$P73:$U73)</f>
        <v>164235192.60640144</v>
      </c>
      <c r="X73" s="545"/>
      <c r="Y73" s="437">
        <f t="shared" si="3"/>
        <v>380525.87496824999</v>
      </c>
      <c r="Z73" s="436"/>
    </row>
    <row r="74" spans="2:26" x14ac:dyDescent="0.35">
      <c r="B74" s="700"/>
      <c r="E74" s="701"/>
      <c r="F74" s="436" t="s">
        <v>225</v>
      </c>
      <c r="G74" s="579" t="s">
        <v>226</v>
      </c>
      <c r="H74" s="545"/>
      <c r="I74" s="580"/>
      <c r="J74" s="579" t="s">
        <v>170</v>
      </c>
      <c r="K74" s="400">
        <v>1</v>
      </c>
      <c r="L74" s="849">
        <f t="shared" si="14"/>
        <v>400.8</v>
      </c>
      <c r="M74" s="552">
        <v>0.45</v>
      </c>
      <c r="N74" s="437">
        <v>3</v>
      </c>
      <c r="O74" s="590">
        <f t="shared" si="15"/>
        <v>541.08000000000004</v>
      </c>
      <c r="P74" s="299">
        <f>VLOOKUP($F74,'[1]Master Harga'!$E$5:$L$351,8,FALSE)</f>
        <v>38223.4545</v>
      </c>
      <c r="Q74" s="683">
        <f t="shared" si="16"/>
        <v>20681946.76086</v>
      </c>
      <c r="R74" s="437">
        <f>VLOOKUP($F74,'[2]Master Harga'!$E$5:$M$348,8,FALSE)</f>
        <v>44533.743170400012</v>
      </c>
      <c r="S74" s="683">
        <f t="shared" si="17"/>
        <v>24096317.754640039</v>
      </c>
      <c r="T74" s="437">
        <f>VLOOKUP($F74,'[2]Master Harga'!$E$5:$M$348,9,FALSE)</f>
        <v>47651.105192328017</v>
      </c>
      <c r="U74" s="684">
        <f t="shared" si="18"/>
        <v>25783059.997464847</v>
      </c>
      <c r="V74" s="437">
        <f t="shared" si="19"/>
        <v>43469.434287576012</v>
      </c>
      <c r="W74" s="307">
        <f t="shared" si="20"/>
        <v>23520441.504321631</v>
      </c>
      <c r="X74" s="545"/>
      <c r="Y74" s="437">
        <f t="shared" si="3"/>
        <v>51601.663574999999</v>
      </c>
      <c r="Z74" s="436"/>
    </row>
    <row r="75" spans="2:26" x14ac:dyDescent="0.35">
      <c r="B75" s="700"/>
      <c r="E75" s="701"/>
      <c r="F75" s="436" t="s">
        <v>227</v>
      </c>
      <c r="G75" s="579" t="s">
        <v>192</v>
      </c>
      <c r="H75" s="545"/>
      <c r="I75" s="580"/>
      <c r="J75" s="579" t="s">
        <v>170</v>
      </c>
      <c r="K75" s="400">
        <v>1</v>
      </c>
      <c r="L75" s="849">
        <f t="shared" si="14"/>
        <v>400.8</v>
      </c>
      <c r="M75" s="552">
        <f>18/1000</f>
        <v>1.7999999999999999E-2</v>
      </c>
      <c r="N75" s="437">
        <v>3</v>
      </c>
      <c r="O75" s="590">
        <f t="shared" si="15"/>
        <v>21.6432</v>
      </c>
      <c r="P75" s="299">
        <f>VLOOKUP($F75,'[1]Master Harga'!$E$5:$L$351,8,FALSE)</f>
        <v>104245.785</v>
      </c>
      <c r="Q75" s="683">
        <f t="shared" si="16"/>
        <v>2256212.3739120001</v>
      </c>
      <c r="R75" s="437">
        <f>VLOOKUP($F75,'[2]Master Harga'!$E$5:$M$348,8,FALSE)</f>
        <v>121455.66319200002</v>
      </c>
      <c r="S75" s="683">
        <f t="shared" si="17"/>
        <v>2628689.2095970949</v>
      </c>
      <c r="T75" s="437">
        <f>VLOOKUP($F75,'[2]Master Harga'!$E$5:$M$348,9,FALSE)</f>
        <v>129957.55961544003</v>
      </c>
      <c r="U75" s="684">
        <f t="shared" si="18"/>
        <v>2812697.4542688918</v>
      </c>
      <c r="V75" s="437">
        <f t="shared" si="19"/>
        <v>118553.00260248002</v>
      </c>
      <c r="W75" s="307">
        <f t="shared" si="20"/>
        <v>2565866.3459259956</v>
      </c>
      <c r="X75" s="545"/>
      <c r="Y75" s="437">
        <f t="shared" si="3"/>
        <v>5629.2723900000001</v>
      </c>
      <c r="Z75" s="436"/>
    </row>
    <row r="76" spans="2:26" x14ac:dyDescent="0.35">
      <c r="B76" s="700"/>
      <c r="E76" s="701"/>
      <c r="F76" s="436" t="s">
        <v>230</v>
      </c>
      <c r="G76" s="579" t="s">
        <v>226</v>
      </c>
      <c r="H76" s="545"/>
      <c r="I76" s="580"/>
      <c r="J76" s="579" t="s">
        <v>170</v>
      </c>
      <c r="K76" s="400">
        <v>1</v>
      </c>
      <c r="L76" s="849">
        <f t="shared" si="14"/>
        <v>400.8</v>
      </c>
      <c r="M76" s="552">
        <v>0.13500000000000001</v>
      </c>
      <c r="N76" s="437">
        <v>3</v>
      </c>
      <c r="O76" s="590">
        <f t="shared" si="15"/>
        <v>162.32400000000001</v>
      </c>
      <c r="P76" s="299">
        <f>VLOOKUP($F76,'[1]Master Harga'!$E$5:$L$351,8,FALSE)</f>
        <v>48648.033000000003</v>
      </c>
      <c r="Q76" s="683">
        <f t="shared" si="16"/>
        <v>7896743.3086920008</v>
      </c>
      <c r="R76" s="437">
        <f>VLOOKUP($F76,'[2]Master Harga'!$E$5:$M$348,8,FALSE)</f>
        <v>56679.309489600004</v>
      </c>
      <c r="S76" s="683">
        <f t="shared" si="17"/>
        <v>9200412.2335898317</v>
      </c>
      <c r="T76" s="437">
        <f>VLOOKUP($F76,'[2]Master Harga'!$E$5:$M$348,9,FALSE)</f>
        <v>60646.861153872007</v>
      </c>
      <c r="U76" s="684">
        <f t="shared" si="18"/>
        <v>9844441.0899411198</v>
      </c>
      <c r="V76" s="437">
        <f t="shared" si="19"/>
        <v>55324.734547824002</v>
      </c>
      <c r="W76" s="307">
        <f t="shared" si="20"/>
        <v>8980532.2107409835</v>
      </c>
      <c r="X76" s="545"/>
      <c r="Y76" s="437">
        <f t="shared" si="3"/>
        <v>19702.453365000001</v>
      </c>
      <c r="Z76" s="436"/>
    </row>
    <row r="77" spans="2:26" x14ac:dyDescent="0.35">
      <c r="B77" s="700"/>
      <c r="E77" s="701"/>
      <c r="F77" s="436" t="s">
        <v>543</v>
      </c>
      <c r="G77" s="579" t="s">
        <v>226</v>
      </c>
      <c r="H77" s="545"/>
      <c r="I77" s="580"/>
      <c r="J77" s="579" t="s">
        <v>170</v>
      </c>
      <c r="K77" s="400">
        <v>0</v>
      </c>
      <c r="L77" s="849">
        <f t="shared" si="14"/>
        <v>400.8</v>
      </c>
      <c r="M77" s="552">
        <v>0.5</v>
      </c>
      <c r="N77" s="437">
        <v>3</v>
      </c>
      <c r="O77" s="590">
        <f t="shared" si="15"/>
        <v>0</v>
      </c>
      <c r="P77" s="299">
        <v>165074.76</v>
      </c>
      <c r="Q77" s="683">
        <f t="shared" si="16"/>
        <v>0</v>
      </c>
      <c r="R77" s="437"/>
      <c r="S77" s="683"/>
      <c r="T77" s="437"/>
      <c r="U77" s="684"/>
      <c r="V77" s="437"/>
      <c r="W77" s="307"/>
      <c r="X77" s="545"/>
      <c r="Y77" s="437">
        <f t="shared" si="3"/>
        <v>0</v>
      </c>
      <c r="Z77" s="436"/>
    </row>
    <row r="78" spans="2:26" x14ac:dyDescent="0.35">
      <c r="B78" s="700"/>
      <c r="E78" s="701"/>
      <c r="F78" s="436" t="s">
        <v>231</v>
      </c>
      <c r="G78" s="579" t="s">
        <v>190</v>
      </c>
      <c r="H78" s="545"/>
      <c r="I78" s="580"/>
      <c r="J78" s="579" t="s">
        <v>170</v>
      </c>
      <c r="K78" s="400">
        <v>1</v>
      </c>
      <c r="L78" s="849">
        <f t="shared" si="14"/>
        <v>400.8</v>
      </c>
      <c r="M78" s="552">
        <f>M73</f>
        <v>0.75</v>
      </c>
      <c r="N78" s="437">
        <v>3</v>
      </c>
      <c r="O78" s="590">
        <f t="shared" si="15"/>
        <v>901.80000000000007</v>
      </c>
      <c r="P78" s="299">
        <f>VLOOKUP($F78,'[1]Master Harga'!$E$5:$L$351,8,FALSE)</f>
        <v>4456.8562499999998</v>
      </c>
      <c r="Q78" s="683">
        <f t="shared" si="16"/>
        <v>4019192.9662500001</v>
      </c>
      <c r="R78" s="437">
        <f>VLOOKUP($F78,'[2]Master Harga'!$E$5:$M$348,8,FALSE)</f>
        <v>4849.8912000000009</v>
      </c>
      <c r="S78" s="683">
        <f t="shared" si="17"/>
        <v>4373631.8841600008</v>
      </c>
      <c r="T78" s="437">
        <f>VLOOKUP($F78,'[2]Master Harga'!$E$5:$M$348,9,FALSE)</f>
        <v>5237.8824960000011</v>
      </c>
      <c r="U78" s="684">
        <f t="shared" si="18"/>
        <v>4723522.4348928016</v>
      </c>
      <c r="V78" s="437">
        <f t="shared" si="19"/>
        <v>4848.2099820000003</v>
      </c>
      <c r="W78" s="307">
        <f t="shared" si="20"/>
        <v>4372115.7617676007</v>
      </c>
      <c r="X78" s="545"/>
      <c r="Y78" s="437">
        <f t="shared" si="3"/>
        <v>10027.926562500001</v>
      </c>
      <c r="Z78" s="436"/>
    </row>
    <row r="79" spans="2:26" x14ac:dyDescent="0.35">
      <c r="B79" s="700"/>
      <c r="E79" s="701"/>
      <c r="F79" s="436" t="s">
        <v>449</v>
      </c>
      <c r="G79" s="579" t="s">
        <v>194</v>
      </c>
      <c r="H79" s="545"/>
      <c r="I79" s="580"/>
      <c r="J79" s="579" t="s">
        <v>170</v>
      </c>
      <c r="K79" s="400">
        <v>0</v>
      </c>
      <c r="L79" s="849">
        <f t="shared" si="14"/>
        <v>400.8</v>
      </c>
      <c r="M79" s="552">
        <f>0.00625*(1/2)</f>
        <v>3.1250000000000002E-3</v>
      </c>
      <c r="N79" s="437">
        <v>3</v>
      </c>
      <c r="O79" s="590">
        <f t="shared" si="15"/>
        <v>0</v>
      </c>
      <c r="P79" s="299">
        <f>VLOOKUP($F79,'[1]Master Harga'!$E$5:$L$351,8,FALSE)</f>
        <v>0</v>
      </c>
      <c r="Q79" s="683">
        <f t="shared" si="16"/>
        <v>0</v>
      </c>
      <c r="R79" s="437">
        <f>VLOOKUP($F79,'[2]Master Harga'!$E$5:$M$348,8,FALSE)</f>
        <v>0</v>
      </c>
      <c r="S79" s="683">
        <f t="shared" si="17"/>
        <v>0</v>
      </c>
      <c r="T79" s="437">
        <f>VLOOKUP($F79,'[2]Master Harga'!$E$5:$M$348,9,FALSE)</f>
        <v>0</v>
      </c>
      <c r="U79" s="684">
        <f t="shared" si="18"/>
        <v>0</v>
      </c>
      <c r="V79" s="437" t="e">
        <f t="shared" si="19"/>
        <v>#DIV/0!</v>
      </c>
      <c r="W79" s="307">
        <f t="shared" si="20"/>
        <v>0</v>
      </c>
      <c r="X79" s="545"/>
      <c r="Y79" s="437">
        <f t="shared" si="3"/>
        <v>0</v>
      </c>
      <c r="Z79" s="436"/>
    </row>
    <row r="80" spans="2:26" x14ac:dyDescent="0.35">
      <c r="B80" s="700"/>
      <c r="E80" s="701"/>
      <c r="F80" s="436" t="s">
        <v>232</v>
      </c>
      <c r="G80" s="579" t="s">
        <v>194</v>
      </c>
      <c r="H80" s="545">
        <v>4</v>
      </c>
      <c r="I80" s="580" t="s">
        <v>233</v>
      </c>
      <c r="J80" s="579" t="s">
        <v>170</v>
      </c>
      <c r="K80" s="400">
        <v>1</v>
      </c>
      <c r="L80" s="849">
        <f t="shared" si="14"/>
        <v>400.8</v>
      </c>
      <c r="M80" s="552">
        <f>((M$73*N$73)/240*($H80/N80))</f>
        <v>1.2499999999999999E-2</v>
      </c>
      <c r="N80" s="437">
        <v>3</v>
      </c>
      <c r="O80" s="590">
        <f t="shared" si="15"/>
        <v>15.03</v>
      </c>
      <c r="P80" s="299">
        <f>VLOOKUP($F80,'[1]Master Harga'!$E$5:$L$351,8,FALSE)</f>
        <v>49592.654999999999</v>
      </c>
      <c r="Q80" s="683">
        <f t="shared" si="16"/>
        <v>745377.60464999999</v>
      </c>
      <c r="R80" s="437">
        <f>VLOOKUP($F80,'[2]Master Harga'!$E$5:$M$348,8,FALSE)</f>
        <v>53966.062080000011</v>
      </c>
      <c r="S80" s="683">
        <f t="shared" si="17"/>
        <v>811109.91306240007</v>
      </c>
      <c r="T80" s="437">
        <f>VLOOKUP($F80,'[2]Master Harga'!$E$5:$M$348,9,FALSE)</f>
        <v>58283.347046400013</v>
      </c>
      <c r="U80" s="684">
        <f t="shared" si="18"/>
        <v>875998.70610739221</v>
      </c>
      <c r="V80" s="437">
        <f t="shared" si="19"/>
        <v>53947.354708800005</v>
      </c>
      <c r="W80" s="307">
        <f t="shared" si="20"/>
        <v>810828.74127326405</v>
      </c>
      <c r="X80" s="731"/>
      <c r="Y80" s="437">
        <f t="shared" si="3"/>
        <v>1859.7245624999998</v>
      </c>
      <c r="Z80" s="436"/>
    </row>
    <row r="81" spans="2:26" x14ac:dyDescent="0.35">
      <c r="B81" s="700"/>
      <c r="E81" s="701"/>
      <c r="F81" s="436" t="s">
        <v>234</v>
      </c>
      <c r="G81" s="579" t="s">
        <v>194</v>
      </c>
      <c r="H81" s="545">
        <v>12</v>
      </c>
      <c r="I81" s="580" t="s">
        <v>233</v>
      </c>
      <c r="J81" s="579" t="s">
        <v>170</v>
      </c>
      <c r="K81" s="400">
        <v>1</v>
      </c>
      <c r="L81" s="849">
        <f t="shared" si="14"/>
        <v>400.8</v>
      </c>
      <c r="M81" s="552">
        <f>((M$73*N$73)/240*($H81/N81))</f>
        <v>3.7499999999999999E-2</v>
      </c>
      <c r="N81" s="437">
        <v>3</v>
      </c>
      <c r="O81" s="590">
        <f t="shared" si="15"/>
        <v>45.089999999999996</v>
      </c>
      <c r="P81" s="299">
        <f>VLOOKUP($F81,'[1]Master Harga'!$E$5:$L$351,8,FALSE)</f>
        <v>16206.75</v>
      </c>
      <c r="Q81" s="683">
        <f t="shared" si="16"/>
        <v>730762.35749999993</v>
      </c>
      <c r="R81" s="437">
        <f>VLOOKUP($F81,'[2]Master Harga'!$E$5:$M$348,8,FALSE)</f>
        <v>17635.968000000004</v>
      </c>
      <c r="S81" s="683">
        <f t="shared" si="17"/>
        <v>795205.79712000012</v>
      </c>
      <c r="T81" s="437">
        <f>VLOOKUP($F81,'[2]Master Harga'!$E$5:$M$348,9,FALSE)</f>
        <v>19046.845440000005</v>
      </c>
      <c r="U81" s="684">
        <f t="shared" si="18"/>
        <v>858822.26088960015</v>
      </c>
      <c r="V81" s="437">
        <f t="shared" si="19"/>
        <v>17629.854480000002</v>
      </c>
      <c r="W81" s="307">
        <f t="shared" si="20"/>
        <v>794930.13850320003</v>
      </c>
      <c r="X81" s="731"/>
      <c r="Y81" s="437">
        <f t="shared" si="3"/>
        <v>1823.2593749999999</v>
      </c>
      <c r="Z81" s="436"/>
    </row>
    <row r="82" spans="2:26" x14ac:dyDescent="0.35">
      <c r="B82" s="700"/>
      <c r="E82" s="701"/>
      <c r="F82" s="436" t="s">
        <v>235</v>
      </c>
      <c r="G82" s="579" t="s">
        <v>194</v>
      </c>
      <c r="H82" s="545">
        <v>1</v>
      </c>
      <c r="I82" s="580" t="s">
        <v>233</v>
      </c>
      <c r="J82" s="579" t="s">
        <v>170</v>
      </c>
      <c r="K82" s="400">
        <v>1</v>
      </c>
      <c r="L82" s="849">
        <f t="shared" si="14"/>
        <v>400.8</v>
      </c>
      <c r="M82" s="552">
        <f>((M$73*N$73)/240*($H82/N82))</f>
        <v>3.1249999999999997E-3</v>
      </c>
      <c r="N82" s="437">
        <v>3</v>
      </c>
      <c r="O82" s="590">
        <f t="shared" si="15"/>
        <v>3.7574999999999998</v>
      </c>
      <c r="P82" s="299">
        <f>VLOOKUP($F82,'[1]Master Harga'!$E$5:$L$351,8,FALSE)</f>
        <v>43393.573125000003</v>
      </c>
      <c r="Q82" s="683">
        <f t="shared" si="16"/>
        <v>163051.3510171875</v>
      </c>
      <c r="R82" s="437">
        <f>VLOOKUP($F82,'[2]Master Harga'!$E$5:$M$348,8,FALSE)</f>
        <v>47220.30432000001</v>
      </c>
      <c r="S82" s="683">
        <f t="shared" si="17"/>
        <v>177430.29348240004</v>
      </c>
      <c r="T82" s="437">
        <f>VLOOKUP($F82,'[2]Master Harga'!$E$5:$M$348,9,FALSE)</f>
        <v>50997.928665600011</v>
      </c>
      <c r="U82" s="684">
        <f t="shared" si="18"/>
        <v>191624.71696099202</v>
      </c>
      <c r="V82" s="437">
        <f t="shared" si="19"/>
        <v>47203.935370200008</v>
      </c>
      <c r="W82" s="307">
        <f t="shared" si="20"/>
        <v>177368.78715352653</v>
      </c>
      <c r="X82" s="731"/>
      <c r="Y82" s="437">
        <f t="shared" si="3"/>
        <v>406.81474804687497</v>
      </c>
      <c r="Z82" s="436"/>
    </row>
    <row r="83" spans="2:26" x14ac:dyDescent="0.35">
      <c r="B83" s="700"/>
      <c r="E83" s="701"/>
      <c r="F83" s="436" t="s">
        <v>236</v>
      </c>
      <c r="G83" s="579" t="s">
        <v>194</v>
      </c>
      <c r="H83" s="545">
        <v>2</v>
      </c>
      <c r="I83" s="580" t="s">
        <v>233</v>
      </c>
      <c r="J83" s="579" t="s">
        <v>170</v>
      </c>
      <c r="K83" s="400">
        <v>1</v>
      </c>
      <c r="L83" s="849">
        <f t="shared" si="14"/>
        <v>400.8</v>
      </c>
      <c r="M83" s="552">
        <f>((M$73*N$73)/240*($H83/N83))</f>
        <v>6.2499999999999995E-3</v>
      </c>
      <c r="N83" s="437">
        <v>3</v>
      </c>
      <c r="O83" s="590">
        <f t="shared" si="15"/>
        <v>7.5149999999999997</v>
      </c>
      <c r="P83" s="299">
        <f>VLOOKUP($F83,'[1]Master Harga'!$E$5:$L$351,8,FALSE)</f>
        <v>37194.491250000006</v>
      </c>
      <c r="Q83" s="683">
        <f t="shared" si="16"/>
        <v>279516.60174375004</v>
      </c>
      <c r="R83" s="437">
        <f>VLOOKUP($F83,'[2]Master Harga'!$E$5:$M$348,8,FALSE)</f>
        <v>40474.546560000003</v>
      </c>
      <c r="S83" s="683">
        <f t="shared" si="17"/>
        <v>304166.21739840001</v>
      </c>
      <c r="T83" s="437">
        <f>VLOOKUP($F83,'[2]Master Harga'!$E$5:$M$348,9,FALSE)</f>
        <v>43712.510284800002</v>
      </c>
      <c r="U83" s="684">
        <f t="shared" si="18"/>
        <v>328499.51479027199</v>
      </c>
      <c r="V83" s="437">
        <f t="shared" si="19"/>
        <v>40460.516031599996</v>
      </c>
      <c r="W83" s="307">
        <f t="shared" si="20"/>
        <v>304060.77797747398</v>
      </c>
      <c r="X83" s="731"/>
      <c r="Y83" s="437">
        <f t="shared" si="3"/>
        <v>697.39671093750007</v>
      </c>
      <c r="Z83" s="436"/>
    </row>
    <row r="84" spans="2:26" x14ac:dyDescent="0.35">
      <c r="B84" s="700"/>
      <c r="D84" s="681"/>
      <c r="E84" s="682"/>
      <c r="F84" s="436" t="s">
        <v>237</v>
      </c>
      <c r="G84" s="579" t="s">
        <v>194</v>
      </c>
      <c r="H84" s="545">
        <v>1</v>
      </c>
      <c r="I84" s="580" t="s">
        <v>233</v>
      </c>
      <c r="J84" s="579" t="s">
        <v>170</v>
      </c>
      <c r="K84" s="400">
        <v>1</v>
      </c>
      <c r="L84" s="849">
        <f t="shared" si="14"/>
        <v>400.8</v>
      </c>
      <c r="M84" s="552">
        <f>((M$73*N$73)/240*($H84/N84))</f>
        <v>3.1249999999999997E-3</v>
      </c>
      <c r="N84" s="437">
        <v>3</v>
      </c>
      <c r="O84" s="590">
        <f t="shared" si="15"/>
        <v>3.7574999999999998</v>
      </c>
      <c r="P84" s="299">
        <f>VLOOKUP($F84,'[1]Master Harga'!$E$5:$L$351,8,FALSE)</f>
        <v>99185.31</v>
      </c>
      <c r="Q84" s="683">
        <f t="shared" si="16"/>
        <v>372688.802325</v>
      </c>
      <c r="R84" s="437">
        <f>VLOOKUP($F84,'[2]Master Harga'!$E$5:$M$348,8,FALSE)</f>
        <v>107932.12416000002</v>
      </c>
      <c r="S84" s="683">
        <f t="shared" si="17"/>
        <v>405554.95653120003</v>
      </c>
      <c r="T84" s="437">
        <f>VLOOKUP($F84,'[2]Master Harga'!$E$5:$M$348,9,FALSE)</f>
        <v>116566.69409280003</v>
      </c>
      <c r="U84" s="684">
        <f t="shared" si="18"/>
        <v>437999.3530536961</v>
      </c>
      <c r="V84" s="437">
        <f t="shared" si="19"/>
        <v>107894.70941760001</v>
      </c>
      <c r="W84" s="307">
        <f t="shared" si="20"/>
        <v>405414.37063663203</v>
      </c>
      <c r="X84" s="731"/>
      <c r="Y84" s="437">
        <f t="shared" si="3"/>
        <v>929.86228124999991</v>
      </c>
      <c r="Z84" s="436"/>
    </row>
    <row r="85" spans="2:26" customFormat="1" ht="29.25" customHeight="1" x14ac:dyDescent="0.35">
      <c r="B85" s="685" t="s">
        <v>563</v>
      </c>
      <c r="C85" s="864"/>
      <c r="D85" s="864"/>
      <c r="E85" s="865"/>
      <c r="F85" s="688"/>
      <c r="G85" s="689"/>
      <c r="H85" s="690"/>
      <c r="I85" s="691"/>
      <c r="J85" s="689"/>
      <c r="K85" s="692"/>
      <c r="L85" s="866"/>
      <c r="M85" s="694"/>
      <c r="N85" s="695"/>
      <c r="O85" s="690"/>
      <c r="P85" s="696"/>
      <c r="Q85" s="697">
        <f>SUM(Q73:Q84)</f>
        <v>189660262.81422454</v>
      </c>
      <c r="R85" s="696"/>
      <c r="S85" s="697">
        <f>SUM(S73:S84)</f>
        <v>204788140.7033574</v>
      </c>
      <c r="T85" s="874"/>
      <c r="U85" s="874"/>
      <c r="V85" s="874"/>
      <c r="W85" s="874"/>
      <c r="X85" s="690"/>
      <c r="Y85" s="727">
        <f t="shared" si="3"/>
        <v>473204.24853848439</v>
      </c>
      <c r="Z85" s="879">
        <f>(Y85/$Y$404)*100</f>
        <v>2.5259323643215095</v>
      </c>
    </row>
    <row r="86" spans="2:26" x14ac:dyDescent="0.35">
      <c r="B86" s="700"/>
      <c r="D86" s="763" t="s">
        <v>450</v>
      </c>
      <c r="E86" s="764"/>
      <c r="F86" s="436" t="s">
        <v>189</v>
      </c>
      <c r="G86" s="579" t="s">
        <v>190</v>
      </c>
      <c r="H86" s="545"/>
      <c r="I86" s="580"/>
      <c r="J86" s="579"/>
      <c r="K86" s="439"/>
      <c r="L86" s="849"/>
      <c r="M86" s="552"/>
      <c r="N86" s="437"/>
      <c r="O86" s="545"/>
      <c r="P86" s="683"/>
      <c r="Q86" s="683"/>
      <c r="R86" s="683"/>
      <c r="S86" s="683"/>
      <c r="T86" s="684"/>
      <c r="U86" s="684"/>
      <c r="V86" s="684"/>
      <c r="W86" s="684"/>
      <c r="X86" s="545"/>
      <c r="Y86" s="437">
        <f t="shared" si="3"/>
        <v>0</v>
      </c>
      <c r="Z86" s="436"/>
    </row>
    <row r="87" spans="2:26" hidden="1" x14ac:dyDescent="0.35">
      <c r="B87" s="700"/>
      <c r="E87" s="701"/>
      <c r="F87" s="436" t="s">
        <v>225</v>
      </c>
      <c r="G87" s="579" t="s">
        <v>226</v>
      </c>
      <c r="H87" s="545"/>
      <c r="I87" s="580"/>
      <c r="J87" s="579"/>
      <c r="K87" s="439"/>
      <c r="L87" s="849"/>
      <c r="M87" s="552"/>
      <c r="N87" s="437"/>
      <c r="O87" s="545"/>
      <c r="P87" s="683"/>
      <c r="Q87" s="683"/>
      <c r="R87" s="683"/>
      <c r="S87" s="683"/>
      <c r="T87" s="684"/>
      <c r="U87" s="684"/>
      <c r="V87" s="684"/>
      <c r="W87" s="684"/>
      <c r="X87" s="545"/>
      <c r="Y87" s="437">
        <f t="shared" si="3"/>
        <v>0</v>
      </c>
      <c r="Z87" s="436"/>
    </row>
    <row r="88" spans="2:26" hidden="1" x14ac:dyDescent="0.35">
      <c r="B88" s="700"/>
      <c r="E88" s="701"/>
      <c r="F88" s="436" t="s">
        <v>227</v>
      </c>
      <c r="G88" s="579" t="s">
        <v>192</v>
      </c>
      <c r="H88" s="545"/>
      <c r="I88" s="580"/>
      <c r="J88" s="579"/>
      <c r="K88" s="439"/>
      <c r="L88" s="849"/>
      <c r="M88" s="552"/>
      <c r="N88" s="437"/>
      <c r="O88" s="545"/>
      <c r="P88" s="683"/>
      <c r="Q88" s="683"/>
      <c r="R88" s="683"/>
      <c r="S88" s="683"/>
      <c r="T88" s="684"/>
      <c r="U88" s="684"/>
      <c r="V88" s="684"/>
      <c r="W88" s="684"/>
      <c r="X88" s="545"/>
      <c r="Y88" s="437">
        <f t="shared" si="3"/>
        <v>0</v>
      </c>
      <c r="Z88" s="436"/>
    </row>
    <row r="89" spans="2:26" hidden="1" x14ac:dyDescent="0.35">
      <c r="B89" s="700"/>
      <c r="E89" s="701"/>
      <c r="F89" s="436" t="s">
        <v>230</v>
      </c>
      <c r="G89" s="579" t="s">
        <v>226</v>
      </c>
      <c r="H89" s="545"/>
      <c r="I89" s="580"/>
      <c r="J89" s="579"/>
      <c r="K89" s="439"/>
      <c r="L89" s="849"/>
      <c r="M89" s="552"/>
      <c r="N89" s="437"/>
      <c r="O89" s="545"/>
      <c r="P89" s="683"/>
      <c r="Q89" s="683"/>
      <c r="R89" s="683"/>
      <c r="S89" s="683"/>
      <c r="T89" s="684"/>
      <c r="U89" s="684"/>
      <c r="V89" s="684"/>
      <c r="W89" s="684"/>
      <c r="X89" s="545"/>
      <c r="Y89" s="437">
        <f t="shared" si="3"/>
        <v>0</v>
      </c>
      <c r="Z89" s="436"/>
    </row>
    <row r="90" spans="2:26" hidden="1" x14ac:dyDescent="0.35">
      <c r="B90" s="700"/>
      <c r="E90" s="701"/>
      <c r="F90" s="436" t="s">
        <v>231</v>
      </c>
      <c r="G90" s="579" t="s">
        <v>190</v>
      </c>
      <c r="H90" s="545"/>
      <c r="I90" s="580"/>
      <c r="J90" s="579"/>
      <c r="K90" s="439"/>
      <c r="L90" s="849"/>
      <c r="M90" s="552"/>
      <c r="N90" s="437"/>
      <c r="O90" s="545"/>
      <c r="P90" s="683"/>
      <c r="Q90" s="683"/>
      <c r="R90" s="683"/>
      <c r="S90" s="683"/>
      <c r="T90" s="684"/>
      <c r="U90" s="684"/>
      <c r="V90" s="684"/>
      <c r="W90" s="684"/>
      <c r="X90" s="545"/>
      <c r="Y90" s="437">
        <f t="shared" si="3"/>
        <v>0</v>
      </c>
      <c r="Z90" s="436"/>
    </row>
    <row r="91" spans="2:26" hidden="1" x14ac:dyDescent="0.35">
      <c r="B91" s="700"/>
      <c r="E91" s="701"/>
      <c r="F91" s="436" t="s">
        <v>224</v>
      </c>
      <c r="G91" s="579" t="s">
        <v>194</v>
      </c>
      <c r="H91" s="545"/>
      <c r="I91" s="580"/>
      <c r="J91" s="579"/>
      <c r="K91" s="439"/>
      <c r="L91" s="849"/>
      <c r="M91" s="552"/>
      <c r="N91" s="437"/>
      <c r="O91" s="545"/>
      <c r="P91" s="683"/>
      <c r="Q91" s="683"/>
      <c r="R91" s="683"/>
      <c r="S91" s="683"/>
      <c r="T91" s="684"/>
      <c r="U91" s="684"/>
      <c r="V91" s="684"/>
      <c r="W91" s="684"/>
      <c r="X91" s="545"/>
      <c r="Y91" s="437">
        <f t="shared" si="3"/>
        <v>0</v>
      </c>
      <c r="Z91" s="436"/>
    </row>
    <row r="92" spans="2:26" hidden="1" x14ac:dyDescent="0.35">
      <c r="B92" s="700"/>
      <c r="E92" s="701"/>
      <c r="F92" s="436" t="s">
        <v>232</v>
      </c>
      <c r="G92" s="579" t="s">
        <v>194</v>
      </c>
      <c r="H92" s="545"/>
      <c r="I92" s="580"/>
      <c r="J92" s="579"/>
      <c r="K92" s="439"/>
      <c r="L92" s="849"/>
      <c r="M92" s="552"/>
      <c r="N92" s="437"/>
      <c r="O92" s="545"/>
      <c r="P92" s="683"/>
      <c r="Q92" s="683"/>
      <c r="R92" s="683"/>
      <c r="S92" s="683"/>
      <c r="T92" s="684"/>
      <c r="U92" s="684"/>
      <c r="V92" s="684"/>
      <c r="W92" s="684"/>
      <c r="X92" s="545"/>
      <c r="Y92" s="437">
        <f t="shared" si="3"/>
        <v>0</v>
      </c>
      <c r="Z92" s="436"/>
    </row>
    <row r="93" spans="2:26" hidden="1" x14ac:dyDescent="0.35">
      <c r="B93" s="700"/>
      <c r="E93" s="701"/>
      <c r="F93" s="436" t="s">
        <v>451</v>
      </c>
      <c r="G93" s="579" t="s">
        <v>194</v>
      </c>
      <c r="H93" s="545"/>
      <c r="I93" s="580"/>
      <c r="J93" s="579"/>
      <c r="K93" s="439"/>
      <c r="L93" s="849"/>
      <c r="M93" s="552"/>
      <c r="N93" s="437"/>
      <c r="O93" s="545"/>
      <c r="P93" s="683"/>
      <c r="Q93" s="683"/>
      <c r="R93" s="683"/>
      <c r="S93" s="683"/>
      <c r="T93" s="684"/>
      <c r="U93" s="684"/>
      <c r="V93" s="684"/>
      <c r="W93" s="684"/>
      <c r="X93" s="545"/>
      <c r="Y93" s="437">
        <f t="shared" si="3"/>
        <v>0</v>
      </c>
      <c r="Z93" s="436"/>
    </row>
    <row r="94" spans="2:26" hidden="1" x14ac:dyDescent="0.35">
      <c r="B94" s="700"/>
      <c r="E94" s="701"/>
      <c r="F94" s="436" t="s">
        <v>235</v>
      </c>
      <c r="G94" s="579" t="s">
        <v>194</v>
      </c>
      <c r="H94" s="545"/>
      <c r="I94" s="580"/>
      <c r="J94" s="579"/>
      <c r="K94" s="439"/>
      <c r="L94" s="849"/>
      <c r="M94" s="552"/>
      <c r="N94" s="437"/>
      <c r="O94" s="545"/>
      <c r="P94" s="683"/>
      <c r="Q94" s="683"/>
      <c r="R94" s="683"/>
      <c r="S94" s="683"/>
      <c r="T94" s="684"/>
      <c r="U94" s="684"/>
      <c r="V94" s="684"/>
      <c r="W94" s="684"/>
      <c r="X94" s="545"/>
      <c r="Y94" s="437">
        <f t="shared" si="3"/>
        <v>0</v>
      </c>
      <c r="Z94" s="436"/>
    </row>
    <row r="95" spans="2:26" hidden="1" x14ac:dyDescent="0.35">
      <c r="B95" s="700"/>
      <c r="E95" s="701"/>
      <c r="F95" s="436" t="s">
        <v>236</v>
      </c>
      <c r="G95" s="579" t="s">
        <v>194</v>
      </c>
      <c r="H95" s="545"/>
      <c r="I95" s="580"/>
      <c r="J95" s="579"/>
      <c r="K95" s="439"/>
      <c r="L95" s="849"/>
      <c r="M95" s="552"/>
      <c r="N95" s="437"/>
      <c r="O95" s="545"/>
      <c r="P95" s="683"/>
      <c r="Q95" s="683"/>
      <c r="R95" s="683"/>
      <c r="S95" s="683"/>
      <c r="T95" s="684"/>
      <c r="U95" s="684"/>
      <c r="V95" s="684"/>
      <c r="W95" s="684"/>
      <c r="X95" s="545"/>
      <c r="Y95" s="437">
        <f t="shared" si="3"/>
        <v>0</v>
      </c>
      <c r="Z95" s="436"/>
    </row>
    <row r="96" spans="2:26" hidden="1" x14ac:dyDescent="0.35">
      <c r="B96" s="700"/>
      <c r="D96" s="681"/>
      <c r="E96" s="682"/>
      <c r="F96" s="436" t="s">
        <v>237</v>
      </c>
      <c r="G96" s="579" t="s">
        <v>194</v>
      </c>
      <c r="H96" s="545"/>
      <c r="I96" s="580"/>
      <c r="J96" s="579"/>
      <c r="K96" s="439"/>
      <c r="L96" s="849"/>
      <c r="M96" s="552"/>
      <c r="N96" s="437"/>
      <c r="O96" s="545"/>
      <c r="P96" s="683"/>
      <c r="Q96" s="683"/>
      <c r="R96" s="683"/>
      <c r="S96" s="683"/>
      <c r="T96" s="684"/>
      <c r="U96" s="684"/>
      <c r="V96" s="684"/>
      <c r="W96" s="684"/>
      <c r="X96" s="545"/>
      <c r="Y96" s="437">
        <f t="shared" si="3"/>
        <v>0</v>
      </c>
      <c r="Z96" s="436"/>
    </row>
    <row r="97" spans="2:26" x14ac:dyDescent="0.35">
      <c r="B97" s="700"/>
      <c r="D97" s="763" t="s">
        <v>452</v>
      </c>
      <c r="E97" s="764"/>
      <c r="F97" s="436" t="s">
        <v>189</v>
      </c>
      <c r="G97" s="579" t="s">
        <v>190</v>
      </c>
      <c r="H97" s="545"/>
      <c r="I97" s="580"/>
      <c r="J97" s="579"/>
      <c r="K97" s="439"/>
      <c r="L97" s="849"/>
      <c r="M97" s="552"/>
      <c r="N97" s="437"/>
      <c r="O97" s="545"/>
      <c r="P97" s="683"/>
      <c r="Q97" s="683"/>
      <c r="R97" s="683"/>
      <c r="S97" s="683"/>
      <c r="T97" s="684"/>
      <c r="U97" s="684"/>
      <c r="V97" s="684"/>
      <c r="W97" s="684"/>
      <c r="X97" s="545"/>
      <c r="Y97" s="437">
        <f t="shared" si="3"/>
        <v>0</v>
      </c>
      <c r="Z97" s="436"/>
    </row>
    <row r="98" spans="2:26" hidden="1" x14ac:dyDescent="0.35">
      <c r="B98" s="700"/>
      <c r="E98" s="701"/>
      <c r="F98" s="436" t="s">
        <v>225</v>
      </c>
      <c r="G98" s="579" t="s">
        <v>226</v>
      </c>
      <c r="H98" s="545"/>
      <c r="I98" s="580"/>
      <c r="J98" s="579"/>
      <c r="K98" s="439"/>
      <c r="L98" s="849"/>
      <c r="M98" s="552"/>
      <c r="N98" s="437"/>
      <c r="O98" s="545"/>
      <c r="P98" s="683"/>
      <c r="Q98" s="683"/>
      <c r="R98" s="683"/>
      <c r="S98" s="683"/>
      <c r="T98" s="684"/>
      <c r="U98" s="684"/>
      <c r="V98" s="684"/>
      <c r="W98" s="684"/>
      <c r="X98" s="545"/>
      <c r="Y98" s="437">
        <f t="shared" si="3"/>
        <v>0</v>
      </c>
      <c r="Z98" s="436"/>
    </row>
    <row r="99" spans="2:26" hidden="1" x14ac:dyDescent="0.35">
      <c r="B99" s="700"/>
      <c r="E99" s="701"/>
      <c r="F99" s="436" t="s">
        <v>227</v>
      </c>
      <c r="G99" s="579" t="s">
        <v>192</v>
      </c>
      <c r="H99" s="545"/>
      <c r="I99" s="580"/>
      <c r="J99" s="579"/>
      <c r="K99" s="439"/>
      <c r="L99" s="849"/>
      <c r="M99" s="552"/>
      <c r="N99" s="437"/>
      <c r="O99" s="545"/>
      <c r="P99" s="683"/>
      <c r="Q99" s="683"/>
      <c r="R99" s="683"/>
      <c r="S99" s="683"/>
      <c r="T99" s="684"/>
      <c r="U99" s="684"/>
      <c r="V99" s="684"/>
      <c r="W99" s="684"/>
      <c r="X99" s="545"/>
      <c r="Y99" s="437">
        <f t="shared" si="3"/>
        <v>0</v>
      </c>
      <c r="Z99" s="436"/>
    </row>
    <row r="100" spans="2:26" hidden="1" x14ac:dyDescent="0.35">
      <c r="B100" s="700"/>
      <c r="E100" s="701"/>
      <c r="F100" s="436" t="s">
        <v>230</v>
      </c>
      <c r="G100" s="579" t="s">
        <v>226</v>
      </c>
      <c r="H100" s="545"/>
      <c r="I100" s="580"/>
      <c r="J100" s="579"/>
      <c r="K100" s="439"/>
      <c r="L100" s="849"/>
      <c r="M100" s="552"/>
      <c r="N100" s="437"/>
      <c r="O100" s="545"/>
      <c r="P100" s="683"/>
      <c r="Q100" s="683"/>
      <c r="R100" s="683"/>
      <c r="S100" s="683"/>
      <c r="T100" s="684"/>
      <c r="U100" s="684"/>
      <c r="V100" s="684"/>
      <c r="W100" s="684"/>
      <c r="X100" s="545"/>
      <c r="Y100" s="437">
        <f t="shared" si="3"/>
        <v>0</v>
      </c>
      <c r="Z100" s="436"/>
    </row>
    <row r="101" spans="2:26" hidden="1" x14ac:dyDescent="0.35">
      <c r="B101" s="700"/>
      <c r="E101" s="701"/>
      <c r="F101" s="436" t="s">
        <v>231</v>
      </c>
      <c r="G101" s="579" t="s">
        <v>190</v>
      </c>
      <c r="H101" s="545"/>
      <c r="I101" s="580"/>
      <c r="J101" s="579"/>
      <c r="K101" s="439"/>
      <c r="L101" s="849"/>
      <c r="M101" s="552"/>
      <c r="N101" s="437"/>
      <c r="O101" s="545"/>
      <c r="P101" s="683"/>
      <c r="Q101" s="683"/>
      <c r="R101" s="683"/>
      <c r="S101" s="683"/>
      <c r="T101" s="684"/>
      <c r="U101" s="684"/>
      <c r="V101" s="684"/>
      <c r="W101" s="684"/>
      <c r="X101" s="545"/>
      <c r="Y101" s="437">
        <f t="shared" si="3"/>
        <v>0</v>
      </c>
      <c r="Z101" s="436"/>
    </row>
    <row r="102" spans="2:26" hidden="1" x14ac:dyDescent="0.35">
      <c r="B102" s="700"/>
      <c r="E102" s="701"/>
      <c r="F102" s="436" t="s">
        <v>224</v>
      </c>
      <c r="G102" s="579" t="s">
        <v>194</v>
      </c>
      <c r="H102" s="545"/>
      <c r="I102" s="580"/>
      <c r="J102" s="579"/>
      <c r="K102" s="439"/>
      <c r="L102" s="849"/>
      <c r="M102" s="552"/>
      <c r="N102" s="437"/>
      <c r="O102" s="545"/>
      <c r="P102" s="683"/>
      <c r="Q102" s="683"/>
      <c r="R102" s="683"/>
      <c r="S102" s="683"/>
      <c r="T102" s="684"/>
      <c r="U102" s="684"/>
      <c r="V102" s="684"/>
      <c r="W102" s="684"/>
      <c r="X102" s="545"/>
      <c r="Y102" s="437">
        <f t="shared" si="3"/>
        <v>0</v>
      </c>
      <c r="Z102" s="436"/>
    </row>
    <row r="103" spans="2:26" hidden="1" x14ac:dyDescent="0.35">
      <c r="B103" s="700"/>
      <c r="E103" s="701"/>
      <c r="F103" s="436" t="s">
        <v>232</v>
      </c>
      <c r="G103" s="579" t="s">
        <v>194</v>
      </c>
      <c r="H103" s="545"/>
      <c r="I103" s="580"/>
      <c r="J103" s="579"/>
      <c r="K103" s="439"/>
      <c r="L103" s="849"/>
      <c r="M103" s="552"/>
      <c r="N103" s="437"/>
      <c r="O103" s="545"/>
      <c r="P103" s="683"/>
      <c r="Q103" s="683"/>
      <c r="R103" s="683"/>
      <c r="S103" s="683"/>
      <c r="T103" s="684"/>
      <c r="U103" s="684"/>
      <c r="V103" s="684"/>
      <c r="W103" s="684"/>
      <c r="X103" s="545"/>
      <c r="Y103" s="437">
        <f t="shared" si="3"/>
        <v>0</v>
      </c>
      <c r="Z103" s="436"/>
    </row>
    <row r="104" spans="2:26" hidden="1" x14ac:dyDescent="0.35">
      <c r="B104" s="700"/>
      <c r="E104" s="701"/>
      <c r="F104" s="436" t="s">
        <v>451</v>
      </c>
      <c r="G104" s="579" t="s">
        <v>194</v>
      </c>
      <c r="H104" s="545"/>
      <c r="I104" s="580"/>
      <c r="J104" s="579"/>
      <c r="K104" s="439"/>
      <c r="L104" s="849"/>
      <c r="M104" s="552"/>
      <c r="N104" s="437"/>
      <c r="O104" s="545"/>
      <c r="P104" s="683"/>
      <c r="Q104" s="683"/>
      <c r="R104" s="683"/>
      <c r="S104" s="683"/>
      <c r="T104" s="684"/>
      <c r="U104" s="684"/>
      <c r="V104" s="684"/>
      <c r="W104" s="684"/>
      <c r="X104" s="545"/>
      <c r="Y104" s="437">
        <f t="shared" si="3"/>
        <v>0</v>
      </c>
      <c r="Z104" s="436"/>
    </row>
    <row r="105" spans="2:26" hidden="1" x14ac:dyDescent="0.35">
      <c r="B105" s="700"/>
      <c r="E105" s="701"/>
      <c r="F105" s="436" t="s">
        <v>235</v>
      </c>
      <c r="G105" s="579" t="s">
        <v>194</v>
      </c>
      <c r="H105" s="545"/>
      <c r="I105" s="580"/>
      <c r="J105" s="579"/>
      <c r="K105" s="439"/>
      <c r="L105" s="849"/>
      <c r="M105" s="552"/>
      <c r="N105" s="437"/>
      <c r="O105" s="545"/>
      <c r="P105" s="683"/>
      <c r="Q105" s="683"/>
      <c r="R105" s="683"/>
      <c r="S105" s="683"/>
      <c r="T105" s="684"/>
      <c r="U105" s="684"/>
      <c r="V105" s="684"/>
      <c r="W105" s="684"/>
      <c r="X105" s="545"/>
      <c r="Y105" s="437">
        <f t="shared" si="3"/>
        <v>0</v>
      </c>
      <c r="Z105" s="436"/>
    </row>
    <row r="106" spans="2:26" hidden="1" x14ac:dyDescent="0.35">
      <c r="B106" s="700"/>
      <c r="E106" s="701"/>
      <c r="F106" s="436" t="s">
        <v>236</v>
      </c>
      <c r="G106" s="579" t="s">
        <v>194</v>
      </c>
      <c r="H106" s="545"/>
      <c r="I106" s="580"/>
      <c r="J106" s="579"/>
      <c r="K106" s="439"/>
      <c r="L106" s="849"/>
      <c r="M106" s="552"/>
      <c r="N106" s="437"/>
      <c r="O106" s="545"/>
      <c r="P106" s="683"/>
      <c r="Q106" s="683"/>
      <c r="R106" s="683"/>
      <c r="S106" s="683"/>
      <c r="T106" s="684"/>
      <c r="U106" s="684"/>
      <c r="V106" s="684"/>
      <c r="W106" s="684"/>
      <c r="X106" s="545"/>
      <c r="Y106" s="437">
        <f t="shared" si="3"/>
        <v>0</v>
      </c>
      <c r="Z106" s="436"/>
    </row>
    <row r="107" spans="2:26" x14ac:dyDescent="0.35">
      <c r="B107" s="680"/>
      <c r="C107" s="681"/>
      <c r="D107" s="681"/>
      <c r="E107" s="682"/>
      <c r="F107" s="436" t="s">
        <v>237</v>
      </c>
      <c r="G107" s="579" t="s">
        <v>194</v>
      </c>
      <c r="H107" s="545"/>
      <c r="I107" s="580"/>
      <c r="J107" s="579"/>
      <c r="K107" s="439"/>
      <c r="L107" s="849"/>
      <c r="M107" s="552"/>
      <c r="N107" s="437"/>
      <c r="O107" s="545"/>
      <c r="P107" s="683"/>
      <c r="Q107" s="683"/>
      <c r="R107" s="683"/>
      <c r="S107" s="683"/>
      <c r="T107" s="684"/>
      <c r="U107" s="684"/>
      <c r="V107" s="684"/>
      <c r="W107" s="684"/>
      <c r="X107" s="545"/>
      <c r="Y107" s="437">
        <f t="shared" si="3"/>
        <v>0</v>
      </c>
      <c r="Z107" s="436"/>
    </row>
    <row r="108" spans="2:26" x14ac:dyDescent="0.35">
      <c r="B108" s="785"/>
      <c r="C108" s="763" t="s">
        <v>91</v>
      </c>
      <c r="D108" s="763"/>
      <c r="E108" s="764"/>
      <c r="F108" s="436" t="s">
        <v>189</v>
      </c>
      <c r="G108" s="579" t="s">
        <v>190</v>
      </c>
      <c r="H108" s="545"/>
      <c r="I108" s="580"/>
      <c r="J108" s="579" t="s">
        <v>170</v>
      </c>
      <c r="K108" s="400">
        <v>1</v>
      </c>
      <c r="L108" s="849">
        <f t="shared" ref="L108:L139" si="21">$L$44</f>
        <v>400.8</v>
      </c>
      <c r="M108" s="552">
        <v>2</v>
      </c>
      <c r="N108" s="437">
        <v>1</v>
      </c>
      <c r="O108" s="590">
        <f>K108*L108*M108*N108</f>
        <v>801.6</v>
      </c>
      <c r="P108" s="299">
        <f>VLOOKUP($F108,'[1]Master Harga'!$E$5:$L$351,8,FALSE)</f>
        <v>169122.61109699999</v>
      </c>
      <c r="Q108" s="683">
        <f>P108*$O108</f>
        <v>135568685.05535519</v>
      </c>
      <c r="R108" s="437">
        <f>VLOOKUP($F108,'[2]Master Harga'!$E$5:$M$348,8,FALSE)</f>
        <v>179635.86432000002</v>
      </c>
      <c r="S108" s="683">
        <f>R108*$O108</f>
        <v>143996108.83891201</v>
      </c>
      <c r="T108" s="437">
        <f>VLOOKUP($F108,'[2]Master Harga'!$E$5:$M$348,9,FALSE)</f>
        <v>197599.45075200003</v>
      </c>
      <c r="U108" s="684">
        <f>$O108*T108</f>
        <v>158395719.72280324</v>
      </c>
      <c r="V108" s="437">
        <f>W108/O108</f>
        <v>182119.30872299999</v>
      </c>
      <c r="W108" s="307">
        <f>AVERAGEIF($P$3:$U$3,W$3,$P108:$U108)</f>
        <v>145986837.8723568</v>
      </c>
      <c r="X108" s="545"/>
      <c r="Y108" s="437">
        <f t="shared" si="3"/>
        <v>338245.22219399997</v>
      </c>
      <c r="Z108" s="436"/>
    </row>
    <row r="109" spans="2:26" x14ac:dyDescent="0.35">
      <c r="B109" s="700"/>
      <c r="E109" s="701"/>
      <c r="F109" s="436" t="s">
        <v>293</v>
      </c>
      <c r="G109" s="579" t="s">
        <v>194</v>
      </c>
      <c r="H109" s="545"/>
      <c r="I109" s="580"/>
      <c r="J109" s="579"/>
      <c r="K109" s="400">
        <v>1</v>
      </c>
      <c r="L109" s="849">
        <f t="shared" si="21"/>
        <v>400.8</v>
      </c>
      <c r="M109" s="552">
        <v>6.7000000000000002E-3</v>
      </c>
      <c r="N109" s="437">
        <v>1</v>
      </c>
      <c r="O109" s="590">
        <f>K109*L109*M109*N109</f>
        <v>2.6853600000000002</v>
      </c>
      <c r="P109" s="299">
        <f>VLOOKUP($F109,'[1]Master Harga'!$E$5:$L$351,8,FALSE)</f>
        <v>87746.527968750001</v>
      </c>
      <c r="Q109" s="683">
        <f>P109*$O109</f>
        <v>235631.01634616251</v>
      </c>
      <c r="R109" s="437">
        <f>VLOOKUP($F109,'[2]Master Harga'!$E$5:$M$348,8,FALSE)</f>
        <v>95484.594960000017</v>
      </c>
      <c r="S109" s="683">
        <f>R109*$O109</f>
        <v>256410.51192178566</v>
      </c>
      <c r="T109" s="437">
        <f>VLOOKUP($F109,'[2]Master Harga'!$E$5:$M$348,9,FALSE)</f>
        <v>103123.36255680003</v>
      </c>
      <c r="U109" s="684">
        <f>$O109*T109</f>
        <v>276923.35287552857</v>
      </c>
      <c r="V109" s="437">
        <f>W109/O109</f>
        <v>95451.49516185002</v>
      </c>
      <c r="W109" s="307">
        <f>AVERAGEIF($P$3:$U$3,W$3,$P109:$U109)</f>
        <v>256321.6270478256</v>
      </c>
      <c r="X109" s="545"/>
      <c r="Y109" s="437">
        <f t="shared" ref="Y109:Y172" si="22">Q109/$AC$3</f>
        <v>587.90173739062504</v>
      </c>
      <c r="Z109" s="436"/>
    </row>
    <row r="110" spans="2:26" x14ac:dyDescent="0.35">
      <c r="B110" s="700"/>
      <c r="D110" s="681"/>
      <c r="E110" s="682"/>
      <c r="F110" s="436" t="s">
        <v>237</v>
      </c>
      <c r="G110" s="579" t="s">
        <v>194</v>
      </c>
      <c r="H110" s="545"/>
      <c r="I110" s="580"/>
      <c r="J110" s="579" t="s">
        <v>170</v>
      </c>
      <c r="K110" s="400">
        <v>1</v>
      </c>
      <c r="L110" s="849">
        <f t="shared" si="21"/>
        <v>400.8</v>
      </c>
      <c r="M110" s="552">
        <v>6.7000000000000002E-3</v>
      </c>
      <c r="N110" s="437">
        <v>1</v>
      </c>
      <c r="O110" s="590">
        <f>K110*L110*M110*N110</f>
        <v>2.6853600000000002</v>
      </c>
      <c r="P110" s="299">
        <f>VLOOKUP($F110,'[1]Master Harga'!$E$5:$L$351,8,FALSE)</f>
        <v>99185.31</v>
      </c>
      <c r="Q110" s="683">
        <f>P110*$O110</f>
        <v>266348.26406160003</v>
      </c>
      <c r="R110" s="437">
        <f>VLOOKUP($F110,'[2]Master Harga'!$E$5:$M$348,8,FALSE)</f>
        <v>107932.12416000002</v>
      </c>
      <c r="S110" s="683">
        <f>R110*$O110</f>
        <v>289836.60893429769</v>
      </c>
      <c r="T110" s="437">
        <f>VLOOKUP($F110,'[2]Master Harga'!$E$5:$M$348,9,FALSE)</f>
        <v>116566.69409280003</v>
      </c>
      <c r="U110" s="684">
        <f>$O110*T110</f>
        <v>313023.53764904151</v>
      </c>
      <c r="V110" s="437">
        <f>W110/O110</f>
        <v>107894.70941760002</v>
      </c>
      <c r="W110" s="307">
        <f>AVERAGEIF($P$3:$U$3,W$3,$P110:$U110)</f>
        <v>289736.13688164641</v>
      </c>
      <c r="X110" s="545"/>
      <c r="Y110" s="437">
        <f t="shared" si="22"/>
        <v>664.54157700000007</v>
      </c>
      <c r="Z110" s="436"/>
    </row>
    <row r="111" spans="2:26" customFormat="1" ht="29.25" customHeight="1" x14ac:dyDescent="0.35">
      <c r="B111" s="685" t="s">
        <v>564</v>
      </c>
      <c r="C111" s="864"/>
      <c r="D111" s="864"/>
      <c r="E111" s="865"/>
      <c r="F111" s="688"/>
      <c r="G111" s="689"/>
      <c r="H111" s="690"/>
      <c r="I111" s="691"/>
      <c r="J111" s="689"/>
      <c r="K111" s="692"/>
      <c r="L111" s="866"/>
      <c r="M111" s="694"/>
      <c r="N111" s="695"/>
      <c r="O111" s="690"/>
      <c r="P111" s="696"/>
      <c r="Q111" s="697">
        <f>SUM(Q108:Q110)</f>
        <v>136070664.33576295</v>
      </c>
      <c r="R111" s="696"/>
      <c r="S111" s="697">
        <f>SUM(S100:S110)</f>
        <v>144542355.95976809</v>
      </c>
      <c r="T111" s="874"/>
      <c r="U111" s="874"/>
      <c r="V111" s="874"/>
      <c r="W111" s="874"/>
      <c r="X111" s="690"/>
      <c r="Y111" s="727">
        <f t="shared" si="22"/>
        <v>339497.66550839058</v>
      </c>
      <c r="Z111" s="879">
        <f>(Y111/$Y$404)*100</f>
        <v>1.8122156416976887</v>
      </c>
    </row>
    <row r="112" spans="2:26" x14ac:dyDescent="0.35">
      <c r="B112" s="700"/>
      <c r="D112" s="763" t="s">
        <v>453</v>
      </c>
      <c r="E112" s="764"/>
      <c r="F112" s="436" t="s">
        <v>189</v>
      </c>
      <c r="G112" s="579" t="s">
        <v>190</v>
      </c>
      <c r="H112" s="545"/>
      <c r="I112" s="580"/>
      <c r="J112" s="579"/>
      <c r="K112" s="400">
        <v>0</v>
      </c>
      <c r="L112" s="849">
        <f t="shared" si="21"/>
        <v>400.8</v>
      </c>
      <c r="M112" s="552">
        <v>12</v>
      </c>
      <c r="N112" s="437">
        <v>1</v>
      </c>
      <c r="O112" s="590">
        <f>K112*L112*M112*N112</f>
        <v>0</v>
      </c>
      <c r="P112" s="299">
        <f>VLOOKUP($F112,'[1]Master Harga'!$E$5:$L$351,8,FALSE)</f>
        <v>169122.61109699999</v>
      </c>
      <c r="Q112" s="683">
        <f>P112*$O112</f>
        <v>0</v>
      </c>
      <c r="R112" s="683"/>
      <c r="S112" s="683"/>
      <c r="T112" s="684"/>
      <c r="U112" s="684"/>
      <c r="V112" s="684"/>
      <c r="W112" s="684"/>
      <c r="X112" s="545"/>
      <c r="Y112" s="437">
        <f t="shared" si="22"/>
        <v>0</v>
      </c>
      <c r="Z112" s="436"/>
    </row>
    <row r="113" spans="2:26" hidden="1" x14ac:dyDescent="0.35">
      <c r="B113" s="700"/>
      <c r="E113" s="701"/>
      <c r="F113" s="436" t="s">
        <v>293</v>
      </c>
      <c r="G113" s="579" t="s">
        <v>194</v>
      </c>
      <c r="H113" s="545"/>
      <c r="I113" s="580"/>
      <c r="J113" s="579"/>
      <c r="K113" s="400">
        <v>0</v>
      </c>
      <c r="L113" s="849">
        <f t="shared" si="21"/>
        <v>400.8</v>
      </c>
      <c r="M113" s="552">
        <v>1.7000000000000001E-2</v>
      </c>
      <c r="N113" s="437">
        <v>1</v>
      </c>
      <c r="O113" s="590">
        <f>K113*L113*M113*N113</f>
        <v>0</v>
      </c>
      <c r="P113" s="299">
        <f>VLOOKUP($F113,'[1]Master Harga'!$E$5:$L$351,8,FALSE)</f>
        <v>87746.527968750001</v>
      </c>
      <c r="Q113" s="683">
        <f>P113*$O113</f>
        <v>0</v>
      </c>
      <c r="R113" s="683"/>
      <c r="S113" s="683"/>
      <c r="T113" s="684"/>
      <c r="U113" s="684"/>
      <c r="V113" s="684"/>
      <c r="W113" s="684"/>
      <c r="X113" s="545"/>
      <c r="Y113" s="437">
        <f t="shared" si="22"/>
        <v>0</v>
      </c>
      <c r="Z113" s="436"/>
    </row>
    <row r="114" spans="2:26" hidden="1" x14ac:dyDescent="0.35">
      <c r="B114" s="700"/>
      <c r="E114" s="701"/>
      <c r="F114" s="436" t="s">
        <v>237</v>
      </c>
      <c r="G114" s="579" t="s">
        <v>194</v>
      </c>
      <c r="H114" s="545">
        <v>1</v>
      </c>
      <c r="I114" s="580" t="s">
        <v>233</v>
      </c>
      <c r="J114" s="579"/>
      <c r="K114" s="400">
        <v>0</v>
      </c>
      <c r="L114" s="849">
        <f t="shared" si="21"/>
        <v>400.8</v>
      </c>
      <c r="M114" s="552">
        <f>((M$112*N$112)/240*($H114/N114))</f>
        <v>0.05</v>
      </c>
      <c r="N114" s="437">
        <v>1</v>
      </c>
      <c r="O114" s="590">
        <f>K114*L114*M114*N114</f>
        <v>0</v>
      </c>
      <c r="P114" s="299">
        <f>VLOOKUP($F114,'[1]Master Harga'!$E$5:$L$351,8,FALSE)</f>
        <v>99185.31</v>
      </c>
      <c r="Q114" s="683">
        <f>P114*$O114</f>
        <v>0</v>
      </c>
      <c r="R114" s="683"/>
      <c r="S114" s="683"/>
      <c r="T114" s="684"/>
      <c r="U114" s="684"/>
      <c r="V114" s="684"/>
      <c r="W114" s="684"/>
      <c r="X114" s="545"/>
      <c r="Y114" s="437">
        <f t="shared" si="22"/>
        <v>0</v>
      </c>
      <c r="Z114" s="436"/>
    </row>
    <row r="115" spans="2:26" x14ac:dyDescent="0.35">
      <c r="B115" s="785"/>
      <c r="C115" s="763" t="s">
        <v>94</v>
      </c>
      <c r="D115" s="763"/>
      <c r="E115" s="764"/>
      <c r="F115" s="436" t="s">
        <v>189</v>
      </c>
      <c r="G115" s="579" t="s">
        <v>190</v>
      </c>
      <c r="H115" s="545"/>
      <c r="I115" s="580"/>
      <c r="J115" s="579" t="s">
        <v>170</v>
      </c>
      <c r="K115" s="400">
        <v>0</v>
      </c>
      <c r="L115" s="849">
        <f t="shared" si="21"/>
        <v>400.8</v>
      </c>
      <c r="M115" s="552">
        <v>0.75</v>
      </c>
      <c r="N115" s="437">
        <v>2</v>
      </c>
      <c r="O115" s="590">
        <f t="shared" ref="O115:O126" si="23">K115*L115*M115*N115</f>
        <v>0</v>
      </c>
      <c r="P115" s="299">
        <f>VLOOKUP($F115,'[1]Master Harga'!$E$5:$L$351,8,FALSE)</f>
        <v>169122.61109699999</v>
      </c>
      <c r="Q115" s="683">
        <f t="shared" ref="Q115:Q126" si="24">P115*$O115</f>
        <v>0</v>
      </c>
      <c r="R115" s="437">
        <f>VLOOKUP($F115,'[2]Master Harga'!$E$5:$M$348,8,FALSE)</f>
        <v>179635.86432000002</v>
      </c>
      <c r="S115" s="683">
        <f t="shared" ref="S115:S126" si="25">R115*$O115</f>
        <v>0</v>
      </c>
      <c r="T115" s="437">
        <f>VLOOKUP($F115,'[2]Master Harga'!$E$5:$M$348,9,FALSE)</f>
        <v>197599.45075200003</v>
      </c>
      <c r="U115" s="684">
        <f t="shared" ref="U115:U126" si="26">$O115*T115</f>
        <v>0</v>
      </c>
      <c r="V115" s="437" t="e">
        <f t="shared" ref="V115:V126" si="27">W115/O115</f>
        <v>#DIV/0!</v>
      </c>
      <c r="W115" s="307">
        <f t="shared" ref="W115:W126" si="28">AVERAGEIF($P$3:$U$3,W$3,$P115:$U115)</f>
        <v>0</v>
      </c>
      <c r="X115" s="545"/>
      <c r="Y115" s="437">
        <f t="shared" si="22"/>
        <v>0</v>
      </c>
      <c r="Z115" s="436"/>
    </row>
    <row r="116" spans="2:26" hidden="1" x14ac:dyDescent="0.35">
      <c r="B116" s="700"/>
      <c r="E116" s="701"/>
      <c r="F116" s="436" t="s">
        <v>229</v>
      </c>
      <c r="G116" s="579" t="s">
        <v>226</v>
      </c>
      <c r="H116" s="545"/>
      <c r="I116" s="580"/>
      <c r="J116" s="579" t="s">
        <v>170</v>
      </c>
      <c r="K116" s="400">
        <v>0</v>
      </c>
      <c r="L116" s="849">
        <f t="shared" si="21"/>
        <v>400.8</v>
      </c>
      <c r="M116" s="552">
        <v>0.18</v>
      </c>
      <c r="N116" s="437">
        <v>2</v>
      </c>
      <c r="O116" s="590">
        <f t="shared" si="23"/>
        <v>0</v>
      </c>
      <c r="P116" s="299">
        <f>VLOOKUP($F116,'[1]Master Harga'!$E$5:$L$351,8,FALSE)</f>
        <v>205016.71050000002</v>
      </c>
      <c r="Q116" s="683">
        <f t="shared" si="24"/>
        <v>0</v>
      </c>
      <c r="R116" s="437">
        <f>VLOOKUP($F116,'[2]Master Harga'!$E$5:$M$348,8,FALSE)</f>
        <v>238862.80427760005</v>
      </c>
      <c r="S116" s="683">
        <f t="shared" si="25"/>
        <v>0</v>
      </c>
      <c r="T116" s="437">
        <f>VLOOKUP($F116,'[2]Master Harga'!$E$5:$M$348,9,FALSE)</f>
        <v>255583.20057703208</v>
      </c>
      <c r="U116" s="684">
        <f t="shared" si="26"/>
        <v>0</v>
      </c>
      <c r="V116" s="437" t="e">
        <f t="shared" si="27"/>
        <v>#DIV/0!</v>
      </c>
      <c r="W116" s="307">
        <f t="shared" si="28"/>
        <v>0</v>
      </c>
      <c r="X116" s="545"/>
      <c r="Y116" s="437">
        <f t="shared" si="22"/>
        <v>0</v>
      </c>
      <c r="Z116" s="436"/>
    </row>
    <row r="117" spans="2:26" hidden="1" x14ac:dyDescent="0.35">
      <c r="B117" s="700"/>
      <c r="E117" s="701"/>
      <c r="F117" s="436" t="s">
        <v>227</v>
      </c>
      <c r="G117" s="579" t="s">
        <v>192</v>
      </c>
      <c r="H117" s="545"/>
      <c r="I117" s="580"/>
      <c r="J117" s="579" t="s">
        <v>170</v>
      </c>
      <c r="K117" s="400">
        <v>0</v>
      </c>
      <c r="L117" s="849">
        <f t="shared" si="21"/>
        <v>400.8</v>
      </c>
      <c r="M117" s="552">
        <v>1.7999999999999999E-2</v>
      </c>
      <c r="N117" s="437">
        <v>2</v>
      </c>
      <c r="O117" s="590">
        <f t="shared" si="23"/>
        <v>0</v>
      </c>
      <c r="P117" s="299">
        <f>VLOOKUP($F117,'[1]Master Harga'!$E$5:$L$351,8,FALSE)</f>
        <v>104245.785</v>
      </c>
      <c r="Q117" s="683">
        <f t="shared" si="24"/>
        <v>0</v>
      </c>
      <c r="R117" s="437">
        <f>VLOOKUP($F117,'[2]Master Harga'!$E$5:$M$348,8,FALSE)</f>
        <v>121455.66319200002</v>
      </c>
      <c r="S117" s="683">
        <f t="shared" si="25"/>
        <v>0</v>
      </c>
      <c r="T117" s="437">
        <f>VLOOKUP($F117,'[2]Master Harga'!$E$5:$M$348,9,FALSE)</f>
        <v>129957.55961544003</v>
      </c>
      <c r="U117" s="684">
        <f t="shared" si="26"/>
        <v>0</v>
      </c>
      <c r="V117" s="437" t="e">
        <f t="shared" si="27"/>
        <v>#DIV/0!</v>
      </c>
      <c r="W117" s="307">
        <f t="shared" si="28"/>
        <v>0</v>
      </c>
      <c r="X117" s="545"/>
      <c r="Y117" s="437">
        <f t="shared" si="22"/>
        <v>0</v>
      </c>
      <c r="Z117" s="436"/>
    </row>
    <row r="118" spans="2:26" hidden="1" x14ac:dyDescent="0.35">
      <c r="B118" s="700"/>
      <c r="E118" s="701"/>
      <c r="F118" s="436" t="s">
        <v>228</v>
      </c>
      <c r="G118" s="579" t="s">
        <v>226</v>
      </c>
      <c r="H118" s="545"/>
      <c r="I118" s="580"/>
      <c r="J118" s="579" t="s">
        <v>170</v>
      </c>
      <c r="K118" s="400">
        <v>0</v>
      </c>
      <c r="L118" s="849">
        <f t="shared" si="21"/>
        <v>400.8</v>
      </c>
      <c r="M118" s="552">
        <v>0.45</v>
      </c>
      <c r="N118" s="437">
        <v>2</v>
      </c>
      <c r="O118" s="590">
        <f t="shared" si="23"/>
        <v>0</v>
      </c>
      <c r="P118" s="299">
        <f>VLOOKUP($F118,'[1]Master Harga'!$E$5:$L$351,8,FALSE)</f>
        <v>30694.592250000002</v>
      </c>
      <c r="Q118" s="683">
        <f t="shared" si="24"/>
        <v>0</v>
      </c>
      <c r="R118" s="437">
        <f>VLOOKUP($F118,'[2]Master Harga'!$E$5:$M$348,8,FALSE)</f>
        <v>35761.945273200006</v>
      </c>
      <c r="S118" s="683">
        <f t="shared" si="25"/>
        <v>0</v>
      </c>
      <c r="T118" s="437">
        <f>VLOOKUP($F118,'[2]Master Harga'!$E$5:$M$348,9,FALSE)</f>
        <v>38265.281442324012</v>
      </c>
      <c r="U118" s="684">
        <f t="shared" si="26"/>
        <v>0</v>
      </c>
      <c r="V118" s="437" t="e">
        <f t="shared" si="27"/>
        <v>#DIV/0!</v>
      </c>
      <c r="W118" s="307">
        <f t="shared" si="28"/>
        <v>0</v>
      </c>
      <c r="X118" s="545"/>
      <c r="Y118" s="437">
        <f t="shared" si="22"/>
        <v>0</v>
      </c>
      <c r="Z118" s="436"/>
    </row>
    <row r="119" spans="2:26" hidden="1" x14ac:dyDescent="0.35">
      <c r="B119" s="700"/>
      <c r="E119" s="701"/>
      <c r="F119" s="436" t="s">
        <v>230</v>
      </c>
      <c r="G119" s="579" t="s">
        <v>226</v>
      </c>
      <c r="H119" s="545"/>
      <c r="I119" s="580"/>
      <c r="J119" s="579" t="s">
        <v>170</v>
      </c>
      <c r="K119" s="400">
        <v>0</v>
      </c>
      <c r="L119" s="849">
        <f t="shared" si="21"/>
        <v>400.8</v>
      </c>
      <c r="M119" s="552">
        <v>0.13500000000000001</v>
      </c>
      <c r="N119" s="437">
        <v>2</v>
      </c>
      <c r="O119" s="590">
        <f t="shared" si="23"/>
        <v>0</v>
      </c>
      <c r="P119" s="299">
        <f>VLOOKUP($F119,'[1]Master Harga'!$E$5:$L$351,8,FALSE)</f>
        <v>48648.033000000003</v>
      </c>
      <c r="Q119" s="683">
        <f t="shared" si="24"/>
        <v>0</v>
      </c>
      <c r="R119" s="437">
        <f>VLOOKUP($F119,'[2]Master Harga'!$E$5:$M$348,8,FALSE)</f>
        <v>56679.309489600004</v>
      </c>
      <c r="S119" s="683">
        <f t="shared" si="25"/>
        <v>0</v>
      </c>
      <c r="T119" s="437">
        <f>VLOOKUP($F119,'[2]Master Harga'!$E$5:$M$348,9,FALSE)</f>
        <v>60646.861153872007</v>
      </c>
      <c r="U119" s="684">
        <f t="shared" si="26"/>
        <v>0</v>
      </c>
      <c r="V119" s="437" t="e">
        <f t="shared" si="27"/>
        <v>#DIV/0!</v>
      </c>
      <c r="W119" s="307">
        <f t="shared" si="28"/>
        <v>0</v>
      </c>
      <c r="X119" s="545"/>
      <c r="Y119" s="437">
        <f t="shared" si="22"/>
        <v>0</v>
      </c>
      <c r="Z119" s="436"/>
    </row>
    <row r="120" spans="2:26" hidden="1" x14ac:dyDescent="0.35">
      <c r="B120" s="700"/>
      <c r="E120" s="701"/>
      <c r="F120" s="436" t="s">
        <v>231</v>
      </c>
      <c r="G120" s="579" t="s">
        <v>190</v>
      </c>
      <c r="H120" s="545"/>
      <c r="I120" s="580"/>
      <c r="J120" s="579" t="s">
        <v>170</v>
      </c>
      <c r="K120" s="400">
        <v>0</v>
      </c>
      <c r="L120" s="849">
        <f t="shared" si="21"/>
        <v>400.8</v>
      </c>
      <c r="M120" s="552">
        <f>M115</f>
        <v>0.75</v>
      </c>
      <c r="N120" s="437">
        <v>2</v>
      </c>
      <c r="O120" s="590">
        <f t="shared" si="23"/>
        <v>0</v>
      </c>
      <c r="P120" s="299">
        <f>VLOOKUP($F120,'[1]Master Harga'!$E$5:$L$351,8,FALSE)</f>
        <v>4456.8562499999998</v>
      </c>
      <c r="Q120" s="683">
        <f t="shared" si="24"/>
        <v>0</v>
      </c>
      <c r="R120" s="437">
        <f>VLOOKUP($F120,'[2]Master Harga'!$E$5:$M$348,8,FALSE)</f>
        <v>4849.8912000000009</v>
      </c>
      <c r="S120" s="683">
        <f t="shared" si="25"/>
        <v>0</v>
      </c>
      <c r="T120" s="437">
        <f>VLOOKUP($F120,'[2]Master Harga'!$E$5:$M$348,9,FALSE)</f>
        <v>5237.8824960000011</v>
      </c>
      <c r="U120" s="684">
        <f t="shared" si="26"/>
        <v>0</v>
      </c>
      <c r="V120" s="437" t="e">
        <f t="shared" si="27"/>
        <v>#DIV/0!</v>
      </c>
      <c r="W120" s="307">
        <f t="shared" si="28"/>
        <v>0</v>
      </c>
      <c r="X120" s="545"/>
      <c r="Y120" s="437">
        <f t="shared" si="22"/>
        <v>0</v>
      </c>
      <c r="Z120" s="436"/>
    </row>
    <row r="121" spans="2:26" hidden="1" x14ac:dyDescent="0.35">
      <c r="B121" s="700"/>
      <c r="E121" s="701"/>
      <c r="F121" s="436" t="s">
        <v>224</v>
      </c>
      <c r="G121" s="579" t="s">
        <v>194</v>
      </c>
      <c r="H121" s="545"/>
      <c r="I121" s="580"/>
      <c r="J121" s="579" t="s">
        <v>170</v>
      </c>
      <c r="K121" s="400">
        <v>0</v>
      </c>
      <c r="L121" s="849">
        <f t="shared" si="21"/>
        <v>400.8</v>
      </c>
      <c r="M121" s="552">
        <v>3.0000000000000001E-3</v>
      </c>
      <c r="N121" s="437">
        <v>2</v>
      </c>
      <c r="O121" s="590">
        <f t="shared" si="23"/>
        <v>0</v>
      </c>
      <c r="P121" s="299">
        <f>VLOOKUP($F121,'[1]Master Harga'!$E$5:$L$351,8,FALSE)</f>
        <v>1581858.0973125002</v>
      </c>
      <c r="Q121" s="683">
        <f t="shared" si="24"/>
        <v>0</v>
      </c>
      <c r="R121" s="437">
        <f>VLOOKUP($F121,'[2]Master Harga'!$E$5:$M$348,8,FALSE)</f>
        <v>1721356.7670720001</v>
      </c>
      <c r="S121" s="683">
        <f t="shared" si="25"/>
        <v>0</v>
      </c>
      <c r="T121" s="437">
        <f>VLOOKUP($F121,'[2]Master Harga'!$E$5:$M$348,9,FALSE)</f>
        <v>1859065.3084377602</v>
      </c>
      <c r="U121" s="684">
        <f t="shared" si="26"/>
        <v>0</v>
      </c>
      <c r="V121" s="437" t="e">
        <f t="shared" si="27"/>
        <v>#DIV/0!</v>
      </c>
      <c r="W121" s="307">
        <f t="shared" si="28"/>
        <v>0</v>
      </c>
      <c r="X121" s="545"/>
      <c r="Y121" s="437">
        <f t="shared" si="22"/>
        <v>0</v>
      </c>
      <c r="Z121" s="436"/>
    </row>
    <row r="122" spans="2:26" hidden="1" x14ac:dyDescent="0.35">
      <c r="B122" s="700"/>
      <c r="E122" s="701"/>
      <c r="F122" s="436" t="s">
        <v>232</v>
      </c>
      <c r="G122" s="579" t="s">
        <v>194</v>
      </c>
      <c r="H122" s="545">
        <v>4</v>
      </c>
      <c r="I122" s="580" t="s">
        <v>233</v>
      </c>
      <c r="J122" s="579" t="s">
        <v>170</v>
      </c>
      <c r="K122" s="400">
        <v>0</v>
      </c>
      <c r="L122" s="849">
        <f t="shared" si="21"/>
        <v>400.8</v>
      </c>
      <c r="M122" s="552">
        <f>((M$115*N$115)/240*($H122/N122))</f>
        <v>1.2500000000000001E-2</v>
      </c>
      <c r="N122" s="437">
        <v>2</v>
      </c>
      <c r="O122" s="590">
        <f t="shared" si="23"/>
        <v>0</v>
      </c>
      <c r="P122" s="299">
        <f>VLOOKUP($F122,'[1]Master Harga'!$E$5:$L$351,8,FALSE)</f>
        <v>49592.654999999999</v>
      </c>
      <c r="Q122" s="683">
        <f t="shared" si="24"/>
        <v>0</v>
      </c>
      <c r="R122" s="437">
        <f>VLOOKUP($F122,'[2]Master Harga'!$E$5:$M$348,8,FALSE)</f>
        <v>53966.062080000011</v>
      </c>
      <c r="S122" s="683">
        <f t="shared" si="25"/>
        <v>0</v>
      </c>
      <c r="T122" s="437">
        <f>VLOOKUP($F122,'[2]Master Harga'!$E$5:$M$348,9,FALSE)</f>
        <v>58283.347046400013</v>
      </c>
      <c r="U122" s="684">
        <f t="shared" si="26"/>
        <v>0</v>
      </c>
      <c r="V122" s="437" t="e">
        <f t="shared" si="27"/>
        <v>#DIV/0!</v>
      </c>
      <c r="W122" s="307">
        <f t="shared" si="28"/>
        <v>0</v>
      </c>
      <c r="X122" s="731"/>
      <c r="Y122" s="437">
        <f t="shared" si="22"/>
        <v>0</v>
      </c>
      <c r="Z122" s="436"/>
    </row>
    <row r="123" spans="2:26" hidden="1" x14ac:dyDescent="0.35">
      <c r="B123" s="700"/>
      <c r="E123" s="701"/>
      <c r="F123" s="436" t="s">
        <v>234</v>
      </c>
      <c r="G123" s="579" t="s">
        <v>194</v>
      </c>
      <c r="H123" s="545">
        <v>12</v>
      </c>
      <c r="I123" s="580" t="s">
        <v>233</v>
      </c>
      <c r="J123" s="579" t="s">
        <v>170</v>
      </c>
      <c r="K123" s="400">
        <v>0</v>
      </c>
      <c r="L123" s="849">
        <f t="shared" si="21"/>
        <v>400.8</v>
      </c>
      <c r="M123" s="552">
        <f>((M$115*N$115)/240*($H123/N123))</f>
        <v>3.7500000000000006E-2</v>
      </c>
      <c r="N123" s="437">
        <v>2</v>
      </c>
      <c r="O123" s="590">
        <f t="shared" si="23"/>
        <v>0</v>
      </c>
      <c r="P123" s="299">
        <f>VLOOKUP($F123,'[1]Master Harga'!$E$5:$L$351,8,FALSE)</f>
        <v>16206.75</v>
      </c>
      <c r="Q123" s="683">
        <f t="shared" si="24"/>
        <v>0</v>
      </c>
      <c r="R123" s="437">
        <f>VLOOKUP($F123,'[2]Master Harga'!$E$5:$M$348,8,FALSE)</f>
        <v>17635.968000000004</v>
      </c>
      <c r="S123" s="683">
        <f t="shared" si="25"/>
        <v>0</v>
      </c>
      <c r="T123" s="437">
        <f>VLOOKUP($F123,'[2]Master Harga'!$E$5:$M$348,9,FALSE)</f>
        <v>19046.845440000005</v>
      </c>
      <c r="U123" s="684">
        <f t="shared" si="26"/>
        <v>0</v>
      </c>
      <c r="V123" s="437" t="e">
        <f t="shared" si="27"/>
        <v>#DIV/0!</v>
      </c>
      <c r="W123" s="307">
        <f t="shared" si="28"/>
        <v>0</v>
      </c>
      <c r="X123" s="731"/>
      <c r="Y123" s="437">
        <f t="shared" si="22"/>
        <v>0</v>
      </c>
      <c r="Z123" s="436"/>
    </row>
    <row r="124" spans="2:26" hidden="1" x14ac:dyDescent="0.35">
      <c r="B124" s="700"/>
      <c r="E124" s="701"/>
      <c r="F124" s="436" t="s">
        <v>235</v>
      </c>
      <c r="G124" s="579" t="s">
        <v>194</v>
      </c>
      <c r="H124" s="545">
        <v>1</v>
      </c>
      <c r="I124" s="580" t="s">
        <v>233</v>
      </c>
      <c r="J124" s="579" t="s">
        <v>170</v>
      </c>
      <c r="K124" s="400">
        <v>0</v>
      </c>
      <c r="L124" s="849">
        <f t="shared" si="21"/>
        <v>400.8</v>
      </c>
      <c r="M124" s="552">
        <f>((M$115*N$115)/240*($H124/N124))</f>
        <v>3.1250000000000002E-3</v>
      </c>
      <c r="N124" s="437">
        <v>2</v>
      </c>
      <c r="O124" s="590">
        <f t="shared" si="23"/>
        <v>0</v>
      </c>
      <c r="P124" s="299">
        <f>VLOOKUP($F124,'[1]Master Harga'!$E$5:$L$351,8,FALSE)</f>
        <v>43393.573125000003</v>
      </c>
      <c r="Q124" s="683">
        <f t="shared" si="24"/>
        <v>0</v>
      </c>
      <c r="R124" s="437">
        <f>VLOOKUP($F124,'[2]Master Harga'!$E$5:$M$348,8,FALSE)</f>
        <v>47220.30432000001</v>
      </c>
      <c r="S124" s="683">
        <f t="shared" si="25"/>
        <v>0</v>
      </c>
      <c r="T124" s="437">
        <f>VLOOKUP($F124,'[2]Master Harga'!$E$5:$M$348,9,FALSE)</f>
        <v>50997.928665600011</v>
      </c>
      <c r="U124" s="684">
        <f t="shared" si="26"/>
        <v>0</v>
      </c>
      <c r="V124" s="437" t="e">
        <f t="shared" si="27"/>
        <v>#DIV/0!</v>
      </c>
      <c r="W124" s="307">
        <f t="shared" si="28"/>
        <v>0</v>
      </c>
      <c r="X124" s="731"/>
      <c r="Y124" s="437">
        <f t="shared" si="22"/>
        <v>0</v>
      </c>
      <c r="Z124" s="436"/>
    </row>
    <row r="125" spans="2:26" hidden="1" x14ac:dyDescent="0.35">
      <c r="B125" s="700"/>
      <c r="E125" s="701"/>
      <c r="F125" s="436" t="s">
        <v>236</v>
      </c>
      <c r="G125" s="579" t="s">
        <v>194</v>
      </c>
      <c r="H125" s="545">
        <v>2</v>
      </c>
      <c r="I125" s="580" t="s">
        <v>233</v>
      </c>
      <c r="J125" s="579" t="s">
        <v>170</v>
      </c>
      <c r="K125" s="400">
        <v>0</v>
      </c>
      <c r="L125" s="849">
        <f t="shared" si="21"/>
        <v>400.8</v>
      </c>
      <c r="M125" s="552">
        <f>((M$115*N$115)/240*($H125/N125))</f>
        <v>6.2500000000000003E-3</v>
      </c>
      <c r="N125" s="437">
        <v>2</v>
      </c>
      <c r="O125" s="590">
        <f t="shared" si="23"/>
        <v>0</v>
      </c>
      <c r="P125" s="299">
        <f>VLOOKUP($F125,'[1]Master Harga'!$E$5:$L$351,8,FALSE)</f>
        <v>37194.491250000006</v>
      </c>
      <c r="Q125" s="683">
        <f t="shared" si="24"/>
        <v>0</v>
      </c>
      <c r="R125" s="437">
        <f>VLOOKUP($F125,'[2]Master Harga'!$E$5:$M$348,8,FALSE)</f>
        <v>40474.546560000003</v>
      </c>
      <c r="S125" s="683">
        <f t="shared" si="25"/>
        <v>0</v>
      </c>
      <c r="T125" s="437">
        <f>VLOOKUP($F125,'[2]Master Harga'!$E$5:$M$348,9,FALSE)</f>
        <v>43712.510284800002</v>
      </c>
      <c r="U125" s="684">
        <f t="shared" si="26"/>
        <v>0</v>
      </c>
      <c r="V125" s="437" t="e">
        <f t="shared" si="27"/>
        <v>#DIV/0!</v>
      </c>
      <c r="W125" s="307">
        <f t="shared" si="28"/>
        <v>0</v>
      </c>
      <c r="X125" s="731"/>
      <c r="Y125" s="437">
        <f t="shared" si="22"/>
        <v>0</v>
      </c>
      <c r="Z125" s="436"/>
    </row>
    <row r="126" spans="2:26" hidden="1" x14ac:dyDescent="0.35">
      <c r="B126" s="700"/>
      <c r="E126" s="701"/>
      <c r="F126" s="436" t="s">
        <v>237</v>
      </c>
      <c r="G126" s="579" t="s">
        <v>194</v>
      </c>
      <c r="H126" s="545">
        <v>1</v>
      </c>
      <c r="I126" s="580" t="s">
        <v>233</v>
      </c>
      <c r="J126" s="579" t="s">
        <v>170</v>
      </c>
      <c r="K126" s="400">
        <v>0</v>
      </c>
      <c r="L126" s="849">
        <f t="shared" si="21"/>
        <v>400.8</v>
      </c>
      <c r="M126" s="552">
        <f>((M$115*N$115)/240*($H126/N126))</f>
        <v>3.1250000000000002E-3</v>
      </c>
      <c r="N126" s="437">
        <v>2</v>
      </c>
      <c r="O126" s="590">
        <f t="shared" si="23"/>
        <v>0</v>
      </c>
      <c r="P126" s="299">
        <f>VLOOKUP($F126,'[1]Master Harga'!$E$5:$L$351,8,FALSE)</f>
        <v>99185.31</v>
      </c>
      <c r="Q126" s="683">
        <f t="shared" si="24"/>
        <v>0</v>
      </c>
      <c r="R126" s="437">
        <f>VLOOKUP($F126,'[2]Master Harga'!$E$5:$M$348,8,FALSE)</f>
        <v>107932.12416000002</v>
      </c>
      <c r="S126" s="683">
        <f t="shared" si="25"/>
        <v>0</v>
      </c>
      <c r="T126" s="437">
        <f>VLOOKUP($F126,'[2]Master Harga'!$E$5:$M$348,9,FALSE)</f>
        <v>116566.69409280003</v>
      </c>
      <c r="U126" s="684">
        <f t="shared" si="26"/>
        <v>0</v>
      </c>
      <c r="V126" s="437" t="e">
        <f t="shared" si="27"/>
        <v>#DIV/0!</v>
      </c>
      <c r="W126" s="307">
        <f t="shared" si="28"/>
        <v>0</v>
      </c>
      <c r="X126" s="731"/>
      <c r="Y126" s="437">
        <f t="shared" si="22"/>
        <v>0</v>
      </c>
      <c r="Z126" s="436"/>
    </row>
    <row r="127" spans="2:26" customFormat="1" ht="29.25" customHeight="1" x14ac:dyDescent="0.35">
      <c r="B127" s="685" t="s">
        <v>565</v>
      </c>
      <c r="C127" s="864"/>
      <c r="D127" s="864"/>
      <c r="E127" s="865"/>
      <c r="F127" s="688"/>
      <c r="G127" s="689"/>
      <c r="H127" s="690"/>
      <c r="I127" s="691"/>
      <c r="J127" s="689"/>
      <c r="K127" s="692"/>
      <c r="L127" s="866"/>
      <c r="M127" s="694"/>
      <c r="N127" s="695"/>
      <c r="O127" s="690"/>
      <c r="P127" s="696"/>
      <c r="Q127" s="697">
        <f>SUM(Q115:Q126)</f>
        <v>0</v>
      </c>
      <c r="R127" s="696"/>
      <c r="S127" s="697">
        <f>SUM(S116:S126)</f>
        <v>0</v>
      </c>
      <c r="T127" s="874"/>
      <c r="U127" s="874"/>
      <c r="V127" s="874"/>
      <c r="W127" s="874"/>
      <c r="X127" s="690"/>
      <c r="Y127" s="727">
        <f t="shared" si="22"/>
        <v>0</v>
      </c>
      <c r="Z127" s="879">
        <f>(Y127/$Y$404)*100</f>
        <v>0</v>
      </c>
    </row>
    <row r="128" spans="2:26" x14ac:dyDescent="0.35">
      <c r="B128" s="732"/>
      <c r="C128" s="733" t="s">
        <v>94</v>
      </c>
      <c r="D128" s="733"/>
      <c r="E128" s="734"/>
      <c r="F128" s="436" t="s">
        <v>189</v>
      </c>
      <c r="G128" s="579" t="s">
        <v>190</v>
      </c>
      <c r="H128" s="545"/>
      <c r="I128" s="580"/>
      <c r="J128" s="579" t="s">
        <v>170</v>
      </c>
      <c r="K128" s="400">
        <v>1</v>
      </c>
      <c r="L128" s="849">
        <f t="shared" si="21"/>
        <v>400.8</v>
      </c>
      <c r="M128" s="552">
        <v>0.75</v>
      </c>
      <c r="N128" s="437">
        <v>3</v>
      </c>
      <c r="O128" s="590">
        <f t="shared" ref="O128:O139" si="29">K128*L128*M128*N128</f>
        <v>901.80000000000007</v>
      </c>
      <c r="P128" s="299">
        <f>VLOOKUP($F128,'[1]Master Harga'!$E$5:$L$351,8,FALSE)</f>
        <v>169122.61109699999</v>
      </c>
      <c r="Q128" s="683">
        <f t="shared" ref="Q128:Q139" si="30">P128*$O128</f>
        <v>152514770.68727461</v>
      </c>
      <c r="R128" s="683"/>
      <c r="S128" s="683"/>
      <c r="T128" s="684"/>
      <c r="U128" s="684"/>
      <c r="V128" s="684"/>
      <c r="W128" s="684"/>
      <c r="X128" s="545"/>
      <c r="Y128" s="437">
        <f t="shared" si="22"/>
        <v>380525.87496824999</v>
      </c>
      <c r="Z128" s="436"/>
    </row>
    <row r="129" spans="2:26" x14ac:dyDescent="0.35">
      <c r="B129" s="735"/>
      <c r="C129" s="736" t="s">
        <v>456</v>
      </c>
      <c r="D129" s="736"/>
      <c r="E129" s="737"/>
      <c r="F129" s="436" t="s">
        <v>229</v>
      </c>
      <c r="G129" s="579" t="s">
        <v>226</v>
      </c>
      <c r="H129" s="545"/>
      <c r="I129" s="580"/>
      <c r="J129" s="579" t="s">
        <v>170</v>
      </c>
      <c r="K129" s="400">
        <v>0.5</v>
      </c>
      <c r="L129" s="849">
        <f t="shared" si="21"/>
        <v>400.8</v>
      </c>
      <c r="M129" s="552">
        <v>0.18</v>
      </c>
      <c r="N129" s="437">
        <v>3</v>
      </c>
      <c r="O129" s="590">
        <f t="shared" si="29"/>
        <v>108.21600000000001</v>
      </c>
      <c r="P129" s="299">
        <f>VLOOKUP($F129,'[1]Master Harga'!$E$5:$L$351,8,FALSE)</f>
        <v>205016.71050000002</v>
      </c>
      <c r="Q129" s="683">
        <f t="shared" si="30"/>
        <v>22186088.343468003</v>
      </c>
      <c r="R129" s="683"/>
      <c r="S129" s="683"/>
      <c r="T129" s="684"/>
      <c r="U129" s="684"/>
      <c r="V129" s="684"/>
      <c r="W129" s="684"/>
      <c r="X129" s="545"/>
      <c r="Y129" s="437">
        <f t="shared" si="22"/>
        <v>55354.511835000005</v>
      </c>
      <c r="Z129" s="436"/>
    </row>
    <row r="130" spans="2:26" x14ac:dyDescent="0.35">
      <c r="B130" s="738"/>
      <c r="C130" s="739"/>
      <c r="D130" s="739"/>
      <c r="E130" s="740"/>
      <c r="F130" s="436" t="s">
        <v>227</v>
      </c>
      <c r="G130" s="579" t="s">
        <v>192</v>
      </c>
      <c r="H130" s="545"/>
      <c r="I130" s="580"/>
      <c r="J130" s="579" t="s">
        <v>170</v>
      </c>
      <c r="K130" s="400">
        <v>0.5</v>
      </c>
      <c r="L130" s="849">
        <f t="shared" si="21"/>
        <v>400.8</v>
      </c>
      <c r="M130" s="552">
        <v>1.7999999999999999E-2</v>
      </c>
      <c r="N130" s="437">
        <v>3</v>
      </c>
      <c r="O130" s="590">
        <f t="shared" si="29"/>
        <v>10.8216</v>
      </c>
      <c r="P130" s="299">
        <f>VLOOKUP($F130,'[1]Master Harga'!$E$5:$L$351,8,FALSE)</f>
        <v>104245.785</v>
      </c>
      <c r="Q130" s="683">
        <f t="shared" si="30"/>
        <v>1128106.186956</v>
      </c>
      <c r="R130" s="683"/>
      <c r="S130" s="683"/>
      <c r="T130" s="684"/>
      <c r="U130" s="684"/>
      <c r="V130" s="684"/>
      <c r="W130" s="684"/>
      <c r="X130" s="545"/>
      <c r="Y130" s="437">
        <f t="shared" si="22"/>
        <v>2814.636195</v>
      </c>
      <c r="Z130" s="436"/>
    </row>
    <row r="131" spans="2:26" x14ac:dyDescent="0.35">
      <c r="B131" s="738"/>
      <c r="C131" s="739"/>
      <c r="D131" s="739"/>
      <c r="E131" s="740"/>
      <c r="F131" s="436" t="s">
        <v>228</v>
      </c>
      <c r="G131" s="579" t="s">
        <v>226</v>
      </c>
      <c r="H131" s="545"/>
      <c r="I131" s="580"/>
      <c r="J131" s="579" t="s">
        <v>170</v>
      </c>
      <c r="K131" s="400">
        <v>0.5</v>
      </c>
      <c r="L131" s="849">
        <f t="shared" si="21"/>
        <v>400.8</v>
      </c>
      <c r="M131" s="552">
        <v>0.45</v>
      </c>
      <c r="N131" s="437">
        <v>3</v>
      </c>
      <c r="O131" s="590">
        <f t="shared" si="29"/>
        <v>270.54000000000002</v>
      </c>
      <c r="P131" s="299">
        <f>VLOOKUP($F131,'[1]Master Harga'!$E$5:$L$351,8,FALSE)</f>
        <v>30694.592250000002</v>
      </c>
      <c r="Q131" s="683">
        <f t="shared" si="30"/>
        <v>8304114.987315001</v>
      </c>
      <c r="R131" s="683"/>
      <c r="S131" s="683"/>
      <c r="T131" s="684"/>
      <c r="U131" s="684"/>
      <c r="V131" s="684"/>
      <c r="W131" s="684"/>
      <c r="X131" s="545"/>
      <c r="Y131" s="437">
        <f t="shared" si="22"/>
        <v>20718.849768750002</v>
      </c>
      <c r="Z131" s="436"/>
    </row>
    <row r="132" spans="2:26" x14ac:dyDescent="0.35">
      <c r="B132" s="738"/>
      <c r="C132" s="739"/>
      <c r="D132" s="739"/>
      <c r="E132" s="740"/>
      <c r="F132" s="436" t="s">
        <v>230</v>
      </c>
      <c r="G132" s="579" t="s">
        <v>226</v>
      </c>
      <c r="H132" s="545"/>
      <c r="I132" s="580"/>
      <c r="J132" s="579" t="s">
        <v>170</v>
      </c>
      <c r="K132" s="400">
        <v>1</v>
      </c>
      <c r="L132" s="849">
        <f t="shared" si="21"/>
        <v>400.8</v>
      </c>
      <c r="M132" s="552">
        <v>0.13500000000000001</v>
      </c>
      <c r="N132" s="437">
        <v>3</v>
      </c>
      <c r="O132" s="590">
        <f t="shared" si="29"/>
        <v>162.32400000000001</v>
      </c>
      <c r="P132" s="299">
        <f>VLOOKUP($F132,'[1]Master Harga'!$E$5:$L$351,8,FALSE)</f>
        <v>48648.033000000003</v>
      </c>
      <c r="Q132" s="683">
        <f t="shared" si="30"/>
        <v>7896743.3086920008</v>
      </c>
      <c r="R132" s="683"/>
      <c r="S132" s="683"/>
      <c r="T132" s="684"/>
      <c r="U132" s="684"/>
      <c r="V132" s="684"/>
      <c r="W132" s="684"/>
      <c r="X132" s="545"/>
      <c r="Y132" s="437">
        <f t="shared" si="22"/>
        <v>19702.453365000001</v>
      </c>
      <c r="Z132" s="436"/>
    </row>
    <row r="133" spans="2:26" x14ac:dyDescent="0.35">
      <c r="B133" s="738"/>
      <c r="C133" s="739"/>
      <c r="D133" s="739"/>
      <c r="E133" s="740"/>
      <c r="F133" s="436" t="s">
        <v>231</v>
      </c>
      <c r="G133" s="579" t="s">
        <v>190</v>
      </c>
      <c r="H133" s="545"/>
      <c r="I133" s="580"/>
      <c r="J133" s="579" t="s">
        <v>170</v>
      </c>
      <c r="K133" s="400">
        <v>1</v>
      </c>
      <c r="L133" s="849">
        <f t="shared" si="21"/>
        <v>400.8</v>
      </c>
      <c r="M133" s="552">
        <f>M128</f>
        <v>0.75</v>
      </c>
      <c r="N133" s="437">
        <v>3</v>
      </c>
      <c r="O133" s="590">
        <f t="shared" si="29"/>
        <v>901.80000000000007</v>
      </c>
      <c r="P133" s="299">
        <f>VLOOKUP($F133,'[1]Master Harga'!$E$5:$L$351,8,FALSE)</f>
        <v>4456.8562499999998</v>
      </c>
      <c r="Q133" s="683">
        <f t="shared" si="30"/>
        <v>4019192.9662500001</v>
      </c>
      <c r="R133" s="683"/>
      <c r="S133" s="683"/>
      <c r="T133" s="684"/>
      <c r="U133" s="684"/>
      <c r="V133" s="684"/>
      <c r="W133" s="684"/>
      <c r="X133" s="545"/>
      <c r="Y133" s="437">
        <f t="shared" si="22"/>
        <v>10027.926562500001</v>
      </c>
      <c r="Z133" s="436"/>
    </row>
    <row r="134" spans="2:26" x14ac:dyDescent="0.35">
      <c r="B134" s="738"/>
      <c r="C134" s="739"/>
      <c r="D134" s="739"/>
      <c r="E134" s="740"/>
      <c r="F134" s="436" t="s">
        <v>224</v>
      </c>
      <c r="G134" s="579" t="s">
        <v>194</v>
      </c>
      <c r="H134" s="545"/>
      <c r="I134" s="580"/>
      <c r="J134" s="579" t="s">
        <v>170</v>
      </c>
      <c r="K134" s="400">
        <v>1</v>
      </c>
      <c r="L134" s="849">
        <f t="shared" si="21"/>
        <v>400.8</v>
      </c>
      <c r="M134" s="552">
        <v>3.0000000000000001E-3</v>
      </c>
      <c r="N134" s="437">
        <v>3</v>
      </c>
      <c r="O134" s="590">
        <f t="shared" si="29"/>
        <v>3.6072000000000006</v>
      </c>
      <c r="P134" s="299">
        <f>VLOOKUP($F134,'[1]Master Harga'!$E$5:$L$351,8,FALSE)</f>
        <v>1581858.0973125002</v>
      </c>
      <c r="Q134" s="683">
        <f t="shared" si="30"/>
        <v>5706078.5286256522</v>
      </c>
      <c r="R134" s="683"/>
      <c r="S134" s="683"/>
      <c r="T134" s="684"/>
      <c r="U134" s="684"/>
      <c r="V134" s="684"/>
      <c r="W134" s="684"/>
      <c r="X134" s="545"/>
      <c r="Y134" s="437">
        <f t="shared" si="22"/>
        <v>14236.722875812506</v>
      </c>
      <c r="Z134" s="436"/>
    </row>
    <row r="135" spans="2:26" x14ac:dyDescent="0.35">
      <c r="B135" s="738"/>
      <c r="C135" s="739"/>
      <c r="D135" s="739"/>
      <c r="E135" s="740"/>
      <c r="F135" s="436" t="s">
        <v>232</v>
      </c>
      <c r="G135" s="579" t="s">
        <v>194</v>
      </c>
      <c r="H135" s="545">
        <v>4</v>
      </c>
      <c r="I135" s="580" t="s">
        <v>233</v>
      </c>
      <c r="J135" s="579" t="s">
        <v>170</v>
      </c>
      <c r="K135" s="400">
        <v>1</v>
      </c>
      <c r="L135" s="849">
        <f t="shared" si="21"/>
        <v>400.8</v>
      </c>
      <c r="M135" s="552">
        <v>1.2500000000000001E-2</v>
      </c>
      <c r="N135" s="437">
        <v>3</v>
      </c>
      <c r="O135" s="590">
        <f t="shared" si="29"/>
        <v>15.030000000000001</v>
      </c>
      <c r="P135" s="299">
        <f>VLOOKUP($F135,'[1]Master Harga'!$E$5:$L$351,8,FALSE)</f>
        <v>49592.654999999999</v>
      </c>
      <c r="Q135" s="683">
        <f t="shared" si="30"/>
        <v>745377.60464999999</v>
      </c>
      <c r="R135" s="683"/>
      <c r="S135" s="683"/>
      <c r="T135" s="684"/>
      <c r="U135" s="684"/>
      <c r="V135" s="684"/>
      <c r="W135" s="684"/>
      <c r="X135" s="545"/>
      <c r="Y135" s="437">
        <f t="shared" si="22"/>
        <v>1859.7245624999998</v>
      </c>
      <c r="Z135" s="436"/>
    </row>
    <row r="136" spans="2:26" x14ac:dyDescent="0.35">
      <c r="B136" s="738"/>
      <c r="C136" s="739"/>
      <c r="D136" s="739"/>
      <c r="E136" s="740"/>
      <c r="F136" s="436" t="s">
        <v>234</v>
      </c>
      <c r="G136" s="579" t="s">
        <v>194</v>
      </c>
      <c r="H136" s="545">
        <v>12</v>
      </c>
      <c r="I136" s="580" t="s">
        <v>233</v>
      </c>
      <c r="J136" s="579" t="s">
        <v>170</v>
      </c>
      <c r="K136" s="400">
        <v>1</v>
      </c>
      <c r="L136" s="849">
        <f t="shared" si="21"/>
        <v>400.8</v>
      </c>
      <c r="M136" s="552">
        <v>3.7499999999999999E-2</v>
      </c>
      <c r="N136" s="437">
        <v>3</v>
      </c>
      <c r="O136" s="590">
        <f t="shared" si="29"/>
        <v>45.089999999999996</v>
      </c>
      <c r="P136" s="299">
        <f>VLOOKUP($F136,'[1]Master Harga'!$E$5:$L$351,8,FALSE)</f>
        <v>16206.75</v>
      </c>
      <c r="Q136" s="683">
        <f t="shared" si="30"/>
        <v>730762.35749999993</v>
      </c>
      <c r="R136" s="683"/>
      <c r="S136" s="683"/>
      <c r="T136" s="684"/>
      <c r="U136" s="684"/>
      <c r="V136" s="684"/>
      <c r="W136" s="684"/>
      <c r="X136" s="545"/>
      <c r="Y136" s="437">
        <f t="shared" si="22"/>
        <v>1823.2593749999999</v>
      </c>
      <c r="Z136" s="436"/>
    </row>
    <row r="137" spans="2:26" x14ac:dyDescent="0.35">
      <c r="B137" s="738"/>
      <c r="C137" s="739"/>
      <c r="D137" s="739"/>
      <c r="E137" s="740"/>
      <c r="F137" s="436" t="s">
        <v>235</v>
      </c>
      <c r="G137" s="579" t="s">
        <v>194</v>
      </c>
      <c r="H137" s="545">
        <v>1</v>
      </c>
      <c r="I137" s="580" t="s">
        <v>233</v>
      </c>
      <c r="J137" s="579" t="s">
        <v>170</v>
      </c>
      <c r="K137" s="400">
        <v>1</v>
      </c>
      <c r="L137" s="849">
        <f t="shared" si="21"/>
        <v>400.8</v>
      </c>
      <c r="M137" s="552">
        <v>3.0999999999999999E-3</v>
      </c>
      <c r="N137" s="437">
        <v>3</v>
      </c>
      <c r="O137" s="590">
        <f t="shared" si="29"/>
        <v>3.7274400000000001</v>
      </c>
      <c r="P137" s="299">
        <f>VLOOKUP($F137,'[1]Master Harga'!$E$5:$L$351,8,FALSE)</f>
        <v>43393.573125000003</v>
      </c>
      <c r="Q137" s="683">
        <f t="shared" si="30"/>
        <v>161746.94020905002</v>
      </c>
      <c r="R137" s="683"/>
      <c r="S137" s="683"/>
      <c r="T137" s="684"/>
      <c r="U137" s="684"/>
      <c r="V137" s="684"/>
      <c r="W137" s="684"/>
      <c r="X137" s="545"/>
      <c r="Y137" s="437">
        <f t="shared" si="22"/>
        <v>403.56023006250007</v>
      </c>
      <c r="Z137" s="436"/>
    </row>
    <row r="138" spans="2:26" x14ac:dyDescent="0.35">
      <c r="B138" s="738"/>
      <c r="C138" s="739"/>
      <c r="D138" s="739"/>
      <c r="E138" s="740"/>
      <c r="F138" s="436" t="s">
        <v>236</v>
      </c>
      <c r="G138" s="579" t="s">
        <v>194</v>
      </c>
      <c r="H138" s="545">
        <v>2</v>
      </c>
      <c r="I138" s="580" t="s">
        <v>233</v>
      </c>
      <c r="J138" s="579" t="s">
        <v>170</v>
      </c>
      <c r="K138" s="400">
        <v>1</v>
      </c>
      <c r="L138" s="849">
        <f t="shared" si="21"/>
        <v>400.8</v>
      </c>
      <c r="M138" s="552">
        <v>6.3E-3</v>
      </c>
      <c r="N138" s="437">
        <v>3</v>
      </c>
      <c r="O138" s="590">
        <f t="shared" si="29"/>
        <v>7.5751200000000001</v>
      </c>
      <c r="P138" s="299">
        <f>VLOOKUP($F138,'[1]Master Harga'!$E$5:$L$351,8,FALSE)</f>
        <v>37194.491250000006</v>
      </c>
      <c r="Q138" s="683">
        <f t="shared" si="30"/>
        <v>281752.73455770005</v>
      </c>
      <c r="R138" s="683"/>
      <c r="S138" s="683"/>
      <c r="T138" s="684"/>
      <c r="U138" s="684"/>
      <c r="V138" s="684"/>
      <c r="W138" s="684"/>
      <c r="X138" s="545"/>
      <c r="Y138" s="437">
        <f t="shared" si="22"/>
        <v>702.97588462500016</v>
      </c>
      <c r="Z138" s="436"/>
    </row>
    <row r="139" spans="2:26" x14ac:dyDescent="0.35">
      <c r="B139" s="738"/>
      <c r="C139" s="739"/>
      <c r="D139" s="739"/>
      <c r="E139" s="740"/>
      <c r="F139" s="436" t="s">
        <v>237</v>
      </c>
      <c r="G139" s="579" t="s">
        <v>194</v>
      </c>
      <c r="H139" s="545">
        <v>1</v>
      </c>
      <c r="I139" s="580" t="s">
        <v>233</v>
      </c>
      <c r="J139" s="579" t="s">
        <v>170</v>
      </c>
      <c r="K139" s="400">
        <v>1</v>
      </c>
      <c r="L139" s="849">
        <f t="shared" si="21"/>
        <v>400.8</v>
      </c>
      <c r="M139" s="552">
        <v>3.0999999999999999E-3</v>
      </c>
      <c r="N139" s="437">
        <v>3</v>
      </c>
      <c r="O139" s="590">
        <f t="shared" si="29"/>
        <v>3.7274400000000001</v>
      </c>
      <c r="P139" s="299">
        <f>VLOOKUP($F139,'[1]Master Harga'!$E$5:$L$351,8,FALSE)</f>
        <v>99185.31</v>
      </c>
      <c r="Q139" s="683">
        <f t="shared" si="30"/>
        <v>369707.2919064</v>
      </c>
      <c r="R139" s="683"/>
      <c r="S139" s="683"/>
      <c r="T139" s="684"/>
      <c r="U139" s="684"/>
      <c r="V139" s="684"/>
      <c r="W139" s="684"/>
      <c r="X139" s="545"/>
      <c r="Y139" s="437">
        <f t="shared" si="22"/>
        <v>922.42338299999994</v>
      </c>
      <c r="Z139" s="436"/>
    </row>
    <row r="140" spans="2:26" x14ac:dyDescent="0.35">
      <c r="B140" s="926" t="s">
        <v>457</v>
      </c>
      <c r="C140" s="927"/>
      <c r="D140" s="927"/>
      <c r="E140" s="687"/>
      <c r="F140" s="688"/>
      <c r="G140" s="689"/>
      <c r="H140" s="690"/>
      <c r="I140" s="691"/>
      <c r="J140" s="689"/>
      <c r="K140" s="692"/>
      <c r="L140" s="866"/>
      <c r="M140" s="694"/>
      <c r="N140" s="695"/>
      <c r="O140" s="690"/>
      <c r="P140" s="696"/>
      <c r="Q140" s="748">
        <f>SUM(Q128:Q139)</f>
        <v>204044441.93740439</v>
      </c>
      <c r="R140" s="696"/>
      <c r="S140" s="696"/>
      <c r="T140" s="874"/>
      <c r="U140" s="874"/>
      <c r="V140" s="874"/>
      <c r="W140" s="874"/>
      <c r="X140" s="690"/>
      <c r="Y140" s="695">
        <f t="shared" si="22"/>
        <v>509092.91900549998</v>
      </c>
      <c r="Z140" s="688"/>
    </row>
    <row r="141" spans="2:26" x14ac:dyDescent="0.35">
      <c r="B141" s="545"/>
      <c r="C141" s="580" t="s">
        <v>458</v>
      </c>
      <c r="D141" s="580"/>
      <c r="E141" s="723"/>
      <c r="F141" s="436"/>
      <c r="G141" s="579"/>
      <c r="H141" s="545"/>
      <c r="I141" s="580"/>
      <c r="J141" s="579"/>
      <c r="K141" s="439"/>
      <c r="L141" s="849"/>
      <c r="M141" s="552"/>
      <c r="N141" s="437"/>
      <c r="O141" s="545"/>
      <c r="P141" s="683"/>
      <c r="Q141" s="683"/>
      <c r="R141" s="683"/>
      <c r="S141" s="683"/>
      <c r="T141" s="684"/>
      <c r="U141" s="684"/>
      <c r="V141" s="684"/>
      <c r="W141" s="684"/>
      <c r="X141" s="545"/>
      <c r="Y141" s="437">
        <f t="shared" si="22"/>
        <v>0</v>
      </c>
      <c r="Z141" s="436"/>
    </row>
    <row r="142" spans="2:26" x14ac:dyDescent="0.35">
      <c r="B142" s="785"/>
      <c r="C142" s="763"/>
      <c r="D142" s="763" t="s">
        <v>99</v>
      </c>
      <c r="E142" s="764"/>
      <c r="F142" s="436" t="s">
        <v>189</v>
      </c>
      <c r="G142" s="579" t="s">
        <v>190</v>
      </c>
      <c r="H142" s="545"/>
      <c r="I142" s="580"/>
      <c r="J142" s="579"/>
      <c r="K142" s="400">
        <v>0</v>
      </c>
      <c r="L142" s="849">
        <f t="shared" ref="L142:L173" si="31">$L$44</f>
        <v>400.8</v>
      </c>
      <c r="M142" s="552">
        <v>4</v>
      </c>
      <c r="N142" s="437">
        <v>1</v>
      </c>
      <c r="O142" s="590">
        <f t="shared" ref="O142:O151" si="32">K142*L142*M142*N142</f>
        <v>0</v>
      </c>
      <c r="P142" s="299">
        <f>VLOOKUP($F142,'[1]Master Harga'!$E$5:$L$351,8,FALSE)</f>
        <v>169122.61109699999</v>
      </c>
      <c r="Q142" s="683">
        <f t="shared" ref="Q142:Q170" si="33">P142*$O142</f>
        <v>0</v>
      </c>
      <c r="R142" s="683"/>
      <c r="S142" s="683"/>
      <c r="T142" s="684"/>
      <c r="U142" s="684"/>
      <c r="V142" s="684"/>
      <c r="W142" s="684"/>
      <c r="X142" s="545"/>
      <c r="Y142" s="437">
        <f t="shared" si="22"/>
        <v>0</v>
      </c>
      <c r="Z142" s="436"/>
    </row>
    <row r="143" spans="2:26" hidden="1" x14ac:dyDescent="0.35">
      <c r="B143" s="700"/>
      <c r="E143" s="701"/>
      <c r="F143" s="436" t="s">
        <v>225</v>
      </c>
      <c r="G143" s="579" t="s">
        <v>226</v>
      </c>
      <c r="H143" s="545"/>
      <c r="I143" s="580"/>
      <c r="J143" s="579"/>
      <c r="K143" s="400">
        <v>0</v>
      </c>
      <c r="L143" s="849">
        <f t="shared" si="31"/>
        <v>400.8</v>
      </c>
      <c r="M143" s="552">
        <v>4</v>
      </c>
      <c r="N143" s="437">
        <v>1</v>
      </c>
      <c r="O143" s="590">
        <f t="shared" si="32"/>
        <v>0</v>
      </c>
      <c r="P143" s="299">
        <f>VLOOKUP($F143,'[1]Master Harga'!$E$5:$L$351,8,FALSE)</f>
        <v>38223.4545</v>
      </c>
      <c r="Q143" s="683">
        <f t="shared" si="33"/>
        <v>0</v>
      </c>
      <c r="R143" s="683"/>
      <c r="S143" s="683"/>
      <c r="T143" s="684"/>
      <c r="U143" s="684"/>
      <c r="V143" s="684"/>
      <c r="W143" s="684"/>
      <c r="X143" s="545"/>
      <c r="Y143" s="437">
        <f t="shared" si="22"/>
        <v>0</v>
      </c>
      <c r="Z143" s="436"/>
    </row>
    <row r="144" spans="2:26" hidden="1" x14ac:dyDescent="0.35">
      <c r="B144" s="700"/>
      <c r="E144" s="701"/>
      <c r="F144" s="436" t="s">
        <v>230</v>
      </c>
      <c r="G144" s="579" t="s">
        <v>226</v>
      </c>
      <c r="H144" s="545"/>
      <c r="I144" s="580"/>
      <c r="J144" s="579"/>
      <c r="K144" s="400">
        <v>0</v>
      </c>
      <c r="L144" s="849">
        <f t="shared" si="31"/>
        <v>400.8</v>
      </c>
      <c r="M144" s="552">
        <v>7.2000000000000008E-2</v>
      </c>
      <c r="N144" s="437">
        <v>1</v>
      </c>
      <c r="O144" s="590">
        <f t="shared" si="32"/>
        <v>0</v>
      </c>
      <c r="P144" s="299">
        <f>VLOOKUP($F144,'[1]Master Harga'!$E$5:$L$351,8,FALSE)</f>
        <v>48648.033000000003</v>
      </c>
      <c r="Q144" s="683">
        <f t="shared" si="33"/>
        <v>0</v>
      </c>
      <c r="R144" s="683"/>
      <c r="S144" s="683"/>
      <c r="T144" s="684"/>
      <c r="U144" s="684"/>
      <c r="V144" s="684"/>
      <c r="W144" s="684"/>
      <c r="X144" s="545"/>
      <c r="Y144" s="437">
        <f t="shared" si="22"/>
        <v>0</v>
      </c>
      <c r="Z144" s="436"/>
    </row>
    <row r="145" spans="2:26" hidden="1" x14ac:dyDescent="0.35">
      <c r="B145" s="700"/>
      <c r="E145" s="701"/>
      <c r="F145" s="436" t="s">
        <v>231</v>
      </c>
      <c r="G145" s="579" t="s">
        <v>190</v>
      </c>
      <c r="H145" s="545"/>
      <c r="I145" s="580"/>
      <c r="J145" s="579"/>
      <c r="K145" s="400">
        <v>0</v>
      </c>
      <c r="L145" s="849">
        <f t="shared" si="31"/>
        <v>400.8</v>
      </c>
      <c r="M145" s="552">
        <v>4</v>
      </c>
      <c r="N145" s="437">
        <v>1</v>
      </c>
      <c r="O145" s="590">
        <f t="shared" si="32"/>
        <v>0</v>
      </c>
      <c r="P145" s="299">
        <f>VLOOKUP($F145,'[1]Master Harga'!$E$5:$L$351,8,FALSE)</f>
        <v>4456.8562499999998</v>
      </c>
      <c r="Q145" s="683">
        <f t="shared" si="33"/>
        <v>0</v>
      </c>
      <c r="R145" s="683"/>
      <c r="S145" s="683"/>
      <c r="T145" s="684"/>
      <c r="U145" s="684"/>
      <c r="V145" s="684"/>
      <c r="W145" s="684"/>
      <c r="X145" s="545"/>
      <c r="Y145" s="437">
        <f t="shared" si="22"/>
        <v>0</v>
      </c>
      <c r="Z145" s="436"/>
    </row>
    <row r="146" spans="2:26" hidden="1" x14ac:dyDescent="0.35">
      <c r="B146" s="700"/>
      <c r="E146" s="701"/>
      <c r="F146" s="436" t="s">
        <v>224</v>
      </c>
      <c r="G146" s="579" t="s">
        <v>194</v>
      </c>
      <c r="H146" s="545"/>
      <c r="I146" s="580"/>
      <c r="J146" s="579"/>
      <c r="K146" s="400">
        <v>0</v>
      </c>
      <c r="L146" s="849">
        <f t="shared" si="31"/>
        <v>400.8</v>
      </c>
      <c r="M146" s="552">
        <f>((4*1)/240)</f>
        <v>1.6666666666666666E-2</v>
      </c>
      <c r="N146" s="437">
        <v>1</v>
      </c>
      <c r="O146" s="590">
        <f t="shared" si="32"/>
        <v>0</v>
      </c>
      <c r="P146" s="299">
        <f>VLOOKUP($F146,'[1]Master Harga'!$E$5:$L$351,8,FALSE)</f>
        <v>1581858.0973125002</v>
      </c>
      <c r="Q146" s="683">
        <f t="shared" si="33"/>
        <v>0</v>
      </c>
      <c r="R146" s="683"/>
      <c r="S146" s="683"/>
      <c r="T146" s="684"/>
      <c r="U146" s="684"/>
      <c r="V146" s="684"/>
      <c r="W146" s="684"/>
      <c r="X146" s="545"/>
      <c r="Y146" s="437">
        <f t="shared" si="22"/>
        <v>0</v>
      </c>
      <c r="Z146" s="436"/>
    </row>
    <row r="147" spans="2:26" hidden="1" x14ac:dyDescent="0.35">
      <c r="B147" s="700"/>
      <c r="E147" s="701"/>
      <c r="F147" s="436" t="s">
        <v>232</v>
      </c>
      <c r="G147" s="579" t="s">
        <v>194</v>
      </c>
      <c r="H147" s="545">
        <v>4</v>
      </c>
      <c r="I147" s="580" t="s">
        <v>233</v>
      </c>
      <c r="J147" s="579"/>
      <c r="K147" s="400">
        <v>0</v>
      </c>
      <c r="L147" s="849">
        <f t="shared" si="31"/>
        <v>400.8</v>
      </c>
      <c r="M147" s="552">
        <f>((M$142*N$142)/240*($H147/N147))</f>
        <v>6.6666666666666666E-2</v>
      </c>
      <c r="N147" s="437">
        <v>1</v>
      </c>
      <c r="O147" s="590">
        <f t="shared" si="32"/>
        <v>0</v>
      </c>
      <c r="P147" s="299">
        <f>VLOOKUP($F147,'[1]Master Harga'!$E$5:$L$351,8,FALSE)</f>
        <v>49592.654999999999</v>
      </c>
      <c r="Q147" s="683">
        <f t="shared" si="33"/>
        <v>0</v>
      </c>
      <c r="R147" s="683"/>
      <c r="S147" s="683"/>
      <c r="T147" s="684"/>
      <c r="U147" s="684"/>
      <c r="V147" s="684"/>
      <c r="W147" s="684"/>
      <c r="X147" s="545"/>
      <c r="Y147" s="437">
        <f t="shared" si="22"/>
        <v>0</v>
      </c>
      <c r="Z147" s="436"/>
    </row>
    <row r="148" spans="2:26" hidden="1" x14ac:dyDescent="0.35">
      <c r="B148" s="700"/>
      <c r="E148" s="701"/>
      <c r="F148" s="436" t="s">
        <v>234</v>
      </c>
      <c r="G148" s="579" t="s">
        <v>194</v>
      </c>
      <c r="H148" s="545">
        <v>12</v>
      </c>
      <c r="I148" s="580" t="s">
        <v>233</v>
      </c>
      <c r="J148" s="579"/>
      <c r="K148" s="400">
        <v>0</v>
      </c>
      <c r="L148" s="849">
        <f t="shared" si="31"/>
        <v>400.8</v>
      </c>
      <c r="M148" s="552">
        <f>((M$142*N$142)/240*($H148/N148))</f>
        <v>0.2</v>
      </c>
      <c r="N148" s="437">
        <v>1</v>
      </c>
      <c r="O148" s="590">
        <f t="shared" si="32"/>
        <v>0</v>
      </c>
      <c r="P148" s="299">
        <f>VLOOKUP($F148,'[1]Master Harga'!$E$5:$L$351,8,FALSE)</f>
        <v>16206.75</v>
      </c>
      <c r="Q148" s="683">
        <f t="shared" si="33"/>
        <v>0</v>
      </c>
      <c r="R148" s="683"/>
      <c r="S148" s="683"/>
      <c r="T148" s="684"/>
      <c r="U148" s="684"/>
      <c r="V148" s="684"/>
      <c r="W148" s="684"/>
      <c r="X148" s="545"/>
      <c r="Y148" s="437">
        <f t="shared" si="22"/>
        <v>0</v>
      </c>
      <c r="Z148" s="436"/>
    </row>
    <row r="149" spans="2:26" hidden="1" x14ac:dyDescent="0.35">
      <c r="B149" s="700"/>
      <c r="E149" s="701"/>
      <c r="F149" s="436" t="s">
        <v>235</v>
      </c>
      <c r="G149" s="579" t="s">
        <v>194</v>
      </c>
      <c r="H149" s="545">
        <v>1</v>
      </c>
      <c r="I149" s="580" t="s">
        <v>233</v>
      </c>
      <c r="J149" s="579"/>
      <c r="K149" s="400">
        <v>0</v>
      </c>
      <c r="L149" s="849">
        <f t="shared" si="31"/>
        <v>400.8</v>
      </c>
      <c r="M149" s="552">
        <f>((M$142*N$142)/240*($H149/N149))</f>
        <v>1.6666666666666666E-2</v>
      </c>
      <c r="N149" s="437">
        <v>1</v>
      </c>
      <c r="O149" s="590">
        <f t="shared" si="32"/>
        <v>0</v>
      </c>
      <c r="P149" s="299">
        <f>VLOOKUP($F149,'[1]Master Harga'!$E$5:$L$351,8,FALSE)</f>
        <v>43393.573125000003</v>
      </c>
      <c r="Q149" s="683">
        <f t="shared" si="33"/>
        <v>0</v>
      </c>
      <c r="R149" s="683"/>
      <c r="S149" s="683"/>
      <c r="T149" s="684"/>
      <c r="U149" s="684"/>
      <c r="V149" s="684"/>
      <c r="W149" s="684"/>
      <c r="X149" s="545"/>
      <c r="Y149" s="437">
        <f t="shared" si="22"/>
        <v>0</v>
      </c>
      <c r="Z149" s="436"/>
    </row>
    <row r="150" spans="2:26" hidden="1" x14ac:dyDescent="0.35">
      <c r="B150" s="700"/>
      <c r="E150" s="701"/>
      <c r="F150" s="436" t="s">
        <v>236</v>
      </c>
      <c r="G150" s="579" t="s">
        <v>194</v>
      </c>
      <c r="H150" s="545">
        <v>2</v>
      </c>
      <c r="I150" s="580" t="s">
        <v>233</v>
      </c>
      <c r="J150" s="579"/>
      <c r="K150" s="400">
        <v>0</v>
      </c>
      <c r="L150" s="849">
        <f t="shared" si="31"/>
        <v>400.8</v>
      </c>
      <c r="M150" s="552">
        <f>((M$142*N$142)/240*($H150/N150))</f>
        <v>3.3333333333333333E-2</v>
      </c>
      <c r="N150" s="437">
        <v>1</v>
      </c>
      <c r="O150" s="590">
        <f t="shared" si="32"/>
        <v>0</v>
      </c>
      <c r="P150" s="299">
        <f>VLOOKUP($F150,'[1]Master Harga'!$E$5:$L$351,8,FALSE)</f>
        <v>37194.491250000006</v>
      </c>
      <c r="Q150" s="683">
        <f t="shared" si="33"/>
        <v>0</v>
      </c>
      <c r="R150" s="683"/>
      <c r="S150" s="683"/>
      <c r="T150" s="684"/>
      <c r="U150" s="684"/>
      <c r="V150" s="684"/>
      <c r="W150" s="684"/>
      <c r="X150" s="545"/>
      <c r="Y150" s="437">
        <f t="shared" si="22"/>
        <v>0</v>
      </c>
      <c r="Z150" s="436"/>
    </row>
    <row r="151" spans="2:26" hidden="1" x14ac:dyDescent="0.35">
      <c r="B151" s="700"/>
      <c r="E151" s="701"/>
      <c r="F151" s="436" t="s">
        <v>237</v>
      </c>
      <c r="G151" s="579" t="s">
        <v>194</v>
      </c>
      <c r="H151" s="545">
        <v>1</v>
      </c>
      <c r="I151" s="580" t="s">
        <v>233</v>
      </c>
      <c r="J151" s="579"/>
      <c r="K151" s="400">
        <v>0</v>
      </c>
      <c r="L151" s="849">
        <f t="shared" si="31"/>
        <v>400.8</v>
      </c>
      <c r="M151" s="552">
        <f>((M$142*N$142)/240*($H151/N151))</f>
        <v>1.6666666666666666E-2</v>
      </c>
      <c r="N151" s="437">
        <v>1</v>
      </c>
      <c r="O151" s="590">
        <f t="shared" si="32"/>
        <v>0</v>
      </c>
      <c r="P151" s="299">
        <f>VLOOKUP($F151,'[1]Master Harga'!$E$5:$L$351,8,FALSE)</f>
        <v>99185.31</v>
      </c>
      <c r="Q151" s="683">
        <f t="shared" si="33"/>
        <v>0</v>
      </c>
      <c r="R151" s="683"/>
      <c r="S151" s="683"/>
      <c r="T151" s="684"/>
      <c r="U151" s="684"/>
      <c r="V151" s="684"/>
      <c r="W151" s="684"/>
      <c r="X151" s="545"/>
      <c r="Y151" s="437">
        <f t="shared" si="22"/>
        <v>0</v>
      </c>
      <c r="Z151" s="436"/>
    </row>
    <row r="152" spans="2:26" x14ac:dyDescent="0.35">
      <c r="B152" s="700"/>
      <c r="D152" s="763" t="s">
        <v>97</v>
      </c>
      <c r="E152" s="764"/>
      <c r="F152" s="436" t="s">
        <v>189</v>
      </c>
      <c r="G152" s="579" t="s">
        <v>190</v>
      </c>
      <c r="H152" s="545"/>
      <c r="I152" s="580"/>
      <c r="J152" s="579" t="s">
        <v>170</v>
      </c>
      <c r="K152" s="400">
        <v>0</v>
      </c>
      <c r="L152" s="849">
        <f t="shared" si="31"/>
        <v>400.8</v>
      </c>
      <c r="M152" s="552">
        <v>1.5</v>
      </c>
      <c r="N152" s="437">
        <v>1</v>
      </c>
      <c r="O152" s="590">
        <f>K152*L152*M152*N152</f>
        <v>0</v>
      </c>
      <c r="P152" s="299">
        <f>VLOOKUP($F152,'[1]Master Harga'!$E$5:$L$351,8,FALSE)</f>
        <v>169122.61109699999</v>
      </c>
      <c r="Q152" s="683">
        <f t="shared" si="33"/>
        <v>0</v>
      </c>
      <c r="R152" s="437">
        <f>VLOOKUP($F152,'[2]Master Harga'!$E$5:$M$348,8,FALSE)</f>
        <v>179635.86432000002</v>
      </c>
      <c r="S152" s="683">
        <f t="shared" ref="S152:S170" si="34">R152*$O152</f>
        <v>0</v>
      </c>
      <c r="T152" s="437">
        <f>VLOOKUP($F152,'[2]Master Harga'!$E$5:$M$348,9,FALSE)</f>
        <v>197599.45075200003</v>
      </c>
      <c r="U152" s="684">
        <f t="shared" ref="U152:U170" si="35">$O152*T152</f>
        <v>0</v>
      </c>
      <c r="V152" s="437" t="e">
        <f t="shared" ref="V152:V170" si="36">W152/O152</f>
        <v>#DIV/0!</v>
      </c>
      <c r="W152" s="307">
        <f t="shared" ref="W152:W170" si="37">AVERAGEIF($P$3:$U$3,W$3,$P152:$U152)</f>
        <v>0</v>
      </c>
      <c r="X152" s="545"/>
      <c r="Y152" s="437">
        <f t="shared" si="22"/>
        <v>0</v>
      </c>
      <c r="Z152" s="436"/>
    </row>
    <row r="153" spans="2:26" hidden="1" x14ac:dyDescent="0.35">
      <c r="B153" s="700"/>
      <c r="E153" s="701"/>
      <c r="F153" s="436" t="s">
        <v>225</v>
      </c>
      <c r="G153" s="579" t="s">
        <v>226</v>
      </c>
      <c r="H153" s="545"/>
      <c r="I153" s="580"/>
      <c r="J153" s="579" t="s">
        <v>170</v>
      </c>
      <c r="K153" s="400">
        <v>0</v>
      </c>
      <c r="L153" s="849">
        <f t="shared" si="31"/>
        <v>400.8</v>
      </c>
      <c r="M153" s="552">
        <v>1</v>
      </c>
      <c r="N153" s="437">
        <v>1</v>
      </c>
      <c r="O153" s="590">
        <f>K153*L153*M153*N153</f>
        <v>0</v>
      </c>
      <c r="P153" s="299">
        <f>VLOOKUP($F153,'[1]Master Harga'!$E$5:$L$351,8,FALSE)</f>
        <v>38223.4545</v>
      </c>
      <c r="Q153" s="683">
        <f t="shared" si="33"/>
        <v>0</v>
      </c>
      <c r="R153" s="437">
        <f>VLOOKUP($F153,'[2]Master Harga'!$E$5:$M$348,8,FALSE)</f>
        <v>44533.743170400012</v>
      </c>
      <c r="S153" s="683">
        <f t="shared" si="34"/>
        <v>0</v>
      </c>
      <c r="T153" s="437">
        <f>VLOOKUP($F153,'[2]Master Harga'!$E$5:$M$348,9,FALSE)</f>
        <v>47651.105192328017</v>
      </c>
      <c r="U153" s="684">
        <f t="shared" si="35"/>
        <v>0</v>
      </c>
      <c r="V153" s="437" t="e">
        <f t="shared" si="36"/>
        <v>#DIV/0!</v>
      </c>
      <c r="W153" s="307">
        <f t="shared" si="37"/>
        <v>0</v>
      </c>
      <c r="X153" s="545"/>
      <c r="Y153" s="437">
        <f t="shared" si="22"/>
        <v>0</v>
      </c>
      <c r="Z153" s="436"/>
    </row>
    <row r="154" spans="2:26" hidden="1" x14ac:dyDescent="0.35">
      <c r="B154" s="700"/>
      <c r="E154" s="701"/>
      <c r="F154" s="436" t="s">
        <v>230</v>
      </c>
      <c r="G154" s="579" t="s">
        <v>226</v>
      </c>
      <c r="H154" s="545"/>
      <c r="I154" s="580"/>
      <c r="J154" s="579" t="s">
        <v>170</v>
      </c>
      <c r="K154" s="400">
        <v>0</v>
      </c>
      <c r="L154" s="849">
        <f t="shared" si="31"/>
        <v>400.8</v>
      </c>
      <c r="M154" s="552">
        <v>0.18</v>
      </c>
      <c r="N154" s="437">
        <v>1</v>
      </c>
      <c r="O154" s="590">
        <f t="shared" ref="O154:O170" si="38">K154*L154*M154*N154</f>
        <v>0</v>
      </c>
      <c r="P154" s="299">
        <f>VLOOKUP($F154,'[1]Master Harga'!$E$5:$L$351,8,FALSE)</f>
        <v>48648.033000000003</v>
      </c>
      <c r="Q154" s="683">
        <f t="shared" si="33"/>
        <v>0</v>
      </c>
      <c r="R154" s="437">
        <f>VLOOKUP($F154,'[2]Master Harga'!$E$5:$M$348,8,FALSE)</f>
        <v>56679.309489600004</v>
      </c>
      <c r="S154" s="683">
        <f t="shared" si="34"/>
        <v>0</v>
      </c>
      <c r="T154" s="437">
        <f>VLOOKUP($F154,'[2]Master Harga'!$E$5:$M$348,9,FALSE)</f>
        <v>60646.861153872007</v>
      </c>
      <c r="U154" s="684">
        <f t="shared" si="35"/>
        <v>0</v>
      </c>
      <c r="V154" s="437" t="e">
        <f t="shared" si="36"/>
        <v>#DIV/0!</v>
      </c>
      <c r="W154" s="307">
        <f t="shared" si="37"/>
        <v>0</v>
      </c>
      <c r="X154" s="545"/>
      <c r="Y154" s="437">
        <f t="shared" si="22"/>
        <v>0</v>
      </c>
      <c r="Z154" s="436"/>
    </row>
    <row r="155" spans="2:26" hidden="1" x14ac:dyDescent="0.35">
      <c r="B155" s="700"/>
      <c r="E155" s="701"/>
      <c r="F155" s="436" t="s">
        <v>231</v>
      </c>
      <c r="G155" s="579" t="s">
        <v>190</v>
      </c>
      <c r="H155" s="545"/>
      <c r="I155" s="580"/>
      <c r="J155" s="579" t="s">
        <v>170</v>
      </c>
      <c r="K155" s="400">
        <v>0</v>
      </c>
      <c r="L155" s="849">
        <f t="shared" si="31"/>
        <v>400.8</v>
      </c>
      <c r="M155" s="552">
        <v>1.5</v>
      </c>
      <c r="N155" s="437">
        <v>1</v>
      </c>
      <c r="O155" s="590">
        <f t="shared" si="38"/>
        <v>0</v>
      </c>
      <c r="P155" s="299">
        <f>VLOOKUP($F155,'[1]Master Harga'!$E$5:$L$351,8,FALSE)</f>
        <v>4456.8562499999998</v>
      </c>
      <c r="Q155" s="683">
        <f t="shared" si="33"/>
        <v>0</v>
      </c>
      <c r="R155" s="437">
        <f>VLOOKUP($F155,'[2]Master Harga'!$E$5:$M$348,8,FALSE)</f>
        <v>4849.8912000000009</v>
      </c>
      <c r="S155" s="683">
        <f t="shared" si="34"/>
        <v>0</v>
      </c>
      <c r="T155" s="437">
        <f>VLOOKUP($F155,'[2]Master Harga'!$E$5:$M$348,9,FALSE)</f>
        <v>5237.8824960000011</v>
      </c>
      <c r="U155" s="684">
        <f t="shared" si="35"/>
        <v>0</v>
      </c>
      <c r="V155" s="437" t="e">
        <f t="shared" si="36"/>
        <v>#DIV/0!</v>
      </c>
      <c r="W155" s="307">
        <f t="shared" si="37"/>
        <v>0</v>
      </c>
      <c r="X155" s="545"/>
      <c r="Y155" s="437">
        <f t="shared" si="22"/>
        <v>0</v>
      </c>
      <c r="Z155" s="436"/>
    </row>
    <row r="156" spans="2:26" hidden="1" x14ac:dyDescent="0.35">
      <c r="B156" s="700"/>
      <c r="E156" s="701"/>
      <c r="F156" s="436" t="s">
        <v>224</v>
      </c>
      <c r="G156" s="579" t="s">
        <v>194</v>
      </c>
      <c r="H156" s="545"/>
      <c r="I156" s="580"/>
      <c r="J156" s="579" t="s">
        <v>170</v>
      </c>
      <c r="K156" s="400">
        <v>0</v>
      </c>
      <c r="L156" s="849">
        <f t="shared" si="31"/>
        <v>400.8</v>
      </c>
      <c r="M156" s="552">
        <v>6.2500000000000003E-3</v>
      </c>
      <c r="N156" s="437">
        <v>1</v>
      </c>
      <c r="O156" s="590">
        <f t="shared" si="38"/>
        <v>0</v>
      </c>
      <c r="P156" s="299">
        <f>VLOOKUP($F156,'[1]Master Harga'!$E$5:$L$351,8,FALSE)</f>
        <v>1581858.0973125002</v>
      </c>
      <c r="Q156" s="683">
        <f t="shared" si="33"/>
        <v>0</v>
      </c>
      <c r="R156" s="437">
        <f>VLOOKUP($F156,'[2]Master Harga'!$E$5:$M$348,8,FALSE)</f>
        <v>1721356.7670720001</v>
      </c>
      <c r="S156" s="683">
        <f t="shared" si="34"/>
        <v>0</v>
      </c>
      <c r="T156" s="437">
        <f>VLOOKUP($F156,'[2]Master Harga'!$E$5:$M$348,9,FALSE)</f>
        <v>1859065.3084377602</v>
      </c>
      <c r="U156" s="684">
        <f t="shared" si="35"/>
        <v>0</v>
      </c>
      <c r="V156" s="437" t="e">
        <f t="shared" si="36"/>
        <v>#DIV/0!</v>
      </c>
      <c r="W156" s="307">
        <f t="shared" si="37"/>
        <v>0</v>
      </c>
      <c r="X156" s="545"/>
      <c r="Y156" s="437">
        <f t="shared" si="22"/>
        <v>0</v>
      </c>
      <c r="Z156" s="436"/>
    </row>
    <row r="157" spans="2:26" hidden="1" x14ac:dyDescent="0.35">
      <c r="B157" s="700"/>
      <c r="E157" s="701"/>
      <c r="F157" s="436" t="s">
        <v>232</v>
      </c>
      <c r="G157" s="579" t="s">
        <v>194</v>
      </c>
      <c r="H157" s="545">
        <v>4</v>
      </c>
      <c r="I157" s="580" t="s">
        <v>233</v>
      </c>
      <c r="J157" s="579" t="s">
        <v>170</v>
      </c>
      <c r="K157" s="400">
        <v>0</v>
      </c>
      <c r="L157" s="849">
        <f t="shared" si="31"/>
        <v>400.8</v>
      </c>
      <c r="M157" s="552">
        <f>((M$152*N$152)/240*($H157/N157))</f>
        <v>2.5000000000000001E-2</v>
      </c>
      <c r="N157" s="437">
        <v>1</v>
      </c>
      <c r="O157" s="590">
        <f t="shared" si="38"/>
        <v>0</v>
      </c>
      <c r="P157" s="299">
        <f>VLOOKUP($F157,'[1]Master Harga'!$E$5:$L$351,8,FALSE)</f>
        <v>49592.654999999999</v>
      </c>
      <c r="Q157" s="683">
        <f t="shared" si="33"/>
        <v>0</v>
      </c>
      <c r="R157" s="437">
        <f>VLOOKUP($F157,'[2]Master Harga'!$E$5:$M$348,8,FALSE)</f>
        <v>53966.062080000011</v>
      </c>
      <c r="S157" s="683">
        <f t="shared" si="34"/>
        <v>0</v>
      </c>
      <c r="T157" s="437">
        <f>VLOOKUP($F157,'[2]Master Harga'!$E$5:$M$348,9,FALSE)</f>
        <v>58283.347046400013</v>
      </c>
      <c r="U157" s="684">
        <f t="shared" si="35"/>
        <v>0</v>
      </c>
      <c r="V157" s="437" t="e">
        <f t="shared" si="36"/>
        <v>#DIV/0!</v>
      </c>
      <c r="W157" s="307">
        <f t="shared" si="37"/>
        <v>0</v>
      </c>
      <c r="X157" s="545"/>
      <c r="Y157" s="437">
        <f t="shared" si="22"/>
        <v>0</v>
      </c>
      <c r="Z157" s="436"/>
    </row>
    <row r="158" spans="2:26" hidden="1" x14ac:dyDescent="0.35">
      <c r="B158" s="700"/>
      <c r="E158" s="701"/>
      <c r="F158" s="436" t="s">
        <v>234</v>
      </c>
      <c r="G158" s="579" t="s">
        <v>194</v>
      </c>
      <c r="H158" s="545">
        <v>12</v>
      </c>
      <c r="I158" s="580" t="s">
        <v>233</v>
      </c>
      <c r="J158" s="579" t="s">
        <v>170</v>
      </c>
      <c r="K158" s="400">
        <v>0</v>
      </c>
      <c r="L158" s="849">
        <f t="shared" si="31"/>
        <v>400.8</v>
      </c>
      <c r="M158" s="552">
        <f>((M$152*N$152)/240*($H158/N158))</f>
        <v>7.5000000000000011E-2</v>
      </c>
      <c r="N158" s="437">
        <v>1</v>
      </c>
      <c r="O158" s="590">
        <f t="shared" si="38"/>
        <v>0</v>
      </c>
      <c r="P158" s="299">
        <f>VLOOKUP($F158,'[1]Master Harga'!$E$5:$L$351,8,FALSE)</f>
        <v>16206.75</v>
      </c>
      <c r="Q158" s="683">
        <f t="shared" si="33"/>
        <v>0</v>
      </c>
      <c r="R158" s="437">
        <f>VLOOKUP($F158,'[2]Master Harga'!$E$5:$M$348,8,FALSE)</f>
        <v>17635.968000000004</v>
      </c>
      <c r="S158" s="683">
        <f t="shared" si="34"/>
        <v>0</v>
      </c>
      <c r="T158" s="437">
        <f>VLOOKUP($F158,'[2]Master Harga'!$E$5:$M$348,9,FALSE)</f>
        <v>19046.845440000005</v>
      </c>
      <c r="U158" s="684">
        <f t="shared" si="35"/>
        <v>0</v>
      </c>
      <c r="V158" s="437" t="e">
        <f t="shared" si="36"/>
        <v>#DIV/0!</v>
      </c>
      <c r="W158" s="307">
        <f t="shared" si="37"/>
        <v>0</v>
      </c>
      <c r="X158" s="545"/>
      <c r="Y158" s="437">
        <f t="shared" si="22"/>
        <v>0</v>
      </c>
      <c r="Z158" s="436"/>
    </row>
    <row r="159" spans="2:26" hidden="1" x14ac:dyDescent="0.35">
      <c r="B159" s="700"/>
      <c r="E159" s="701"/>
      <c r="F159" s="436" t="s">
        <v>235</v>
      </c>
      <c r="G159" s="579" t="s">
        <v>194</v>
      </c>
      <c r="H159" s="545">
        <v>1</v>
      </c>
      <c r="I159" s="580" t="s">
        <v>233</v>
      </c>
      <c r="J159" s="579" t="s">
        <v>170</v>
      </c>
      <c r="K159" s="400">
        <v>0</v>
      </c>
      <c r="L159" s="849">
        <f t="shared" si="31"/>
        <v>400.8</v>
      </c>
      <c r="M159" s="552">
        <f>((M$152*N$152)/240*($H159/N159))</f>
        <v>6.2500000000000003E-3</v>
      </c>
      <c r="N159" s="437">
        <v>1</v>
      </c>
      <c r="O159" s="590">
        <f t="shared" si="38"/>
        <v>0</v>
      </c>
      <c r="P159" s="299">
        <f>VLOOKUP($F159,'[1]Master Harga'!$E$5:$L$351,8,FALSE)</f>
        <v>43393.573125000003</v>
      </c>
      <c r="Q159" s="683">
        <f t="shared" si="33"/>
        <v>0</v>
      </c>
      <c r="R159" s="437">
        <f>VLOOKUP($F159,'[2]Master Harga'!$E$5:$M$348,8,FALSE)</f>
        <v>47220.30432000001</v>
      </c>
      <c r="S159" s="683">
        <f t="shared" si="34"/>
        <v>0</v>
      </c>
      <c r="T159" s="437">
        <f>VLOOKUP($F159,'[2]Master Harga'!$E$5:$M$348,9,FALSE)</f>
        <v>50997.928665600011</v>
      </c>
      <c r="U159" s="684">
        <f t="shared" si="35"/>
        <v>0</v>
      </c>
      <c r="V159" s="437" t="e">
        <f t="shared" si="36"/>
        <v>#DIV/0!</v>
      </c>
      <c r="W159" s="307">
        <f t="shared" si="37"/>
        <v>0</v>
      </c>
      <c r="X159" s="545"/>
      <c r="Y159" s="437">
        <f t="shared" si="22"/>
        <v>0</v>
      </c>
      <c r="Z159" s="436"/>
    </row>
    <row r="160" spans="2:26" hidden="1" x14ac:dyDescent="0.35">
      <c r="B160" s="700"/>
      <c r="E160" s="701"/>
      <c r="F160" s="436" t="s">
        <v>236</v>
      </c>
      <c r="G160" s="579" t="s">
        <v>194</v>
      </c>
      <c r="H160" s="545">
        <v>2</v>
      </c>
      <c r="I160" s="580" t="s">
        <v>233</v>
      </c>
      <c r="J160" s="579" t="s">
        <v>170</v>
      </c>
      <c r="K160" s="400">
        <v>0</v>
      </c>
      <c r="L160" s="849">
        <f t="shared" si="31"/>
        <v>400.8</v>
      </c>
      <c r="M160" s="552">
        <f>((M$152*N$152)/240*($H160/N160))</f>
        <v>1.2500000000000001E-2</v>
      </c>
      <c r="N160" s="437">
        <v>1</v>
      </c>
      <c r="O160" s="590">
        <f t="shared" si="38"/>
        <v>0</v>
      </c>
      <c r="P160" s="299">
        <f>VLOOKUP($F160,'[1]Master Harga'!$E$5:$L$351,8,FALSE)</f>
        <v>37194.491250000006</v>
      </c>
      <c r="Q160" s="683">
        <f t="shared" si="33"/>
        <v>0</v>
      </c>
      <c r="R160" s="437">
        <f>VLOOKUP($F160,'[2]Master Harga'!$E$5:$M$348,8,FALSE)</f>
        <v>40474.546560000003</v>
      </c>
      <c r="S160" s="683">
        <f t="shared" si="34"/>
        <v>0</v>
      </c>
      <c r="T160" s="437">
        <f>VLOOKUP($F160,'[2]Master Harga'!$E$5:$M$348,9,FALSE)</f>
        <v>43712.510284800002</v>
      </c>
      <c r="U160" s="684">
        <f t="shared" si="35"/>
        <v>0</v>
      </c>
      <c r="V160" s="437" t="e">
        <f t="shared" si="36"/>
        <v>#DIV/0!</v>
      </c>
      <c r="W160" s="307">
        <f t="shared" si="37"/>
        <v>0</v>
      </c>
      <c r="X160" s="545"/>
      <c r="Y160" s="437">
        <f t="shared" si="22"/>
        <v>0</v>
      </c>
      <c r="Z160" s="436"/>
    </row>
    <row r="161" spans="2:26" hidden="1" x14ac:dyDescent="0.35">
      <c r="B161" s="700"/>
      <c r="E161" s="701"/>
      <c r="F161" s="436" t="s">
        <v>237</v>
      </c>
      <c r="G161" s="579" t="s">
        <v>194</v>
      </c>
      <c r="H161" s="545">
        <v>1</v>
      </c>
      <c r="I161" s="580" t="s">
        <v>233</v>
      </c>
      <c r="J161" s="579" t="s">
        <v>170</v>
      </c>
      <c r="K161" s="400">
        <v>0</v>
      </c>
      <c r="L161" s="849">
        <f t="shared" si="31"/>
        <v>400.8</v>
      </c>
      <c r="M161" s="552">
        <f>((M$152*N$152)/240*($H161/N161))</f>
        <v>6.2500000000000003E-3</v>
      </c>
      <c r="N161" s="437">
        <v>1</v>
      </c>
      <c r="O161" s="590">
        <f t="shared" si="38"/>
        <v>0</v>
      </c>
      <c r="P161" s="299">
        <f>VLOOKUP($F161,'[1]Master Harga'!$E$5:$L$351,8,FALSE)</f>
        <v>99185.31</v>
      </c>
      <c r="Q161" s="683">
        <f t="shared" si="33"/>
        <v>0</v>
      </c>
      <c r="R161" s="437">
        <f>VLOOKUP($F161,'[2]Master Harga'!$E$5:$M$348,8,FALSE)</f>
        <v>107932.12416000002</v>
      </c>
      <c r="S161" s="683">
        <f t="shared" si="34"/>
        <v>0</v>
      </c>
      <c r="T161" s="437">
        <f>VLOOKUP($F161,'[2]Master Harga'!$E$5:$M$348,9,FALSE)</f>
        <v>116566.69409280003</v>
      </c>
      <c r="U161" s="684">
        <f t="shared" si="35"/>
        <v>0</v>
      </c>
      <c r="V161" s="437" t="e">
        <f t="shared" si="36"/>
        <v>#DIV/0!</v>
      </c>
      <c r="W161" s="307">
        <f t="shared" si="37"/>
        <v>0</v>
      </c>
      <c r="X161" s="545"/>
      <c r="Y161" s="437">
        <f t="shared" si="22"/>
        <v>0</v>
      </c>
      <c r="Z161" s="436"/>
    </row>
    <row r="162" spans="2:26" x14ac:dyDescent="0.35">
      <c r="B162" s="700"/>
      <c r="D162" s="763" t="s">
        <v>100</v>
      </c>
      <c r="E162" s="764"/>
      <c r="F162" s="436" t="s">
        <v>189</v>
      </c>
      <c r="G162" s="579" t="s">
        <v>190</v>
      </c>
      <c r="H162" s="545"/>
      <c r="I162" s="580"/>
      <c r="J162" s="579" t="s">
        <v>170</v>
      </c>
      <c r="K162" s="400">
        <v>0.5</v>
      </c>
      <c r="L162" s="849">
        <f t="shared" si="31"/>
        <v>400.8</v>
      </c>
      <c r="M162" s="552">
        <v>0.3</v>
      </c>
      <c r="N162" s="437">
        <v>4</v>
      </c>
      <c r="O162" s="590">
        <f t="shared" si="38"/>
        <v>240.48</v>
      </c>
      <c r="P162" s="299">
        <f>VLOOKUP($F162,'[1]Master Harga'!$E$5:$L$351,8,FALSE)</f>
        <v>169122.61109699999</v>
      </c>
      <c r="Q162" s="683">
        <f t="shared" si="33"/>
        <v>40670605.516606554</v>
      </c>
      <c r="R162" s="437">
        <f>VLOOKUP($F162,'[2]Master Harga'!$E$5:$M$348,8,FALSE)</f>
        <v>179635.86432000002</v>
      </c>
      <c r="S162" s="683">
        <f t="shared" si="34"/>
        <v>43198832.6516736</v>
      </c>
      <c r="T162" s="437">
        <f>VLOOKUP($F162,'[2]Master Harga'!$E$5:$M$348,9,FALSE)</f>
        <v>197599.45075200003</v>
      </c>
      <c r="U162" s="684">
        <f t="shared" si="35"/>
        <v>47518715.916840963</v>
      </c>
      <c r="V162" s="437">
        <f t="shared" si="36"/>
        <v>182119.30872299999</v>
      </c>
      <c r="W162" s="307">
        <f t="shared" si="37"/>
        <v>43796051.361707039</v>
      </c>
      <c r="X162" s="545"/>
      <c r="Y162" s="437">
        <f t="shared" si="22"/>
        <v>101473.56665819998</v>
      </c>
      <c r="Z162" s="436"/>
    </row>
    <row r="163" spans="2:26" x14ac:dyDescent="0.35">
      <c r="B163" s="700"/>
      <c r="E163" s="701"/>
      <c r="F163" s="436" t="s">
        <v>225</v>
      </c>
      <c r="G163" s="579" t="s">
        <v>226</v>
      </c>
      <c r="H163" s="545"/>
      <c r="I163" s="580"/>
      <c r="J163" s="579" t="s">
        <v>170</v>
      </c>
      <c r="K163" s="400">
        <v>0.5</v>
      </c>
      <c r="L163" s="849">
        <f t="shared" si="31"/>
        <v>400.8</v>
      </c>
      <c r="M163" s="552">
        <v>0.25</v>
      </c>
      <c r="N163" s="437">
        <v>4</v>
      </c>
      <c r="O163" s="590">
        <f t="shared" si="38"/>
        <v>200.4</v>
      </c>
      <c r="P163" s="299">
        <f>VLOOKUP($F163,'[1]Master Harga'!$E$5:$L$351,8,FALSE)</f>
        <v>38223.4545</v>
      </c>
      <c r="Q163" s="683">
        <f t="shared" si="33"/>
        <v>7659980.2818</v>
      </c>
      <c r="R163" s="437">
        <f>VLOOKUP($F163,'[2]Master Harga'!$E$5:$M$348,8,FALSE)</f>
        <v>44533.743170400012</v>
      </c>
      <c r="S163" s="683">
        <f t="shared" si="34"/>
        <v>8924562.1313481629</v>
      </c>
      <c r="T163" s="437">
        <f>VLOOKUP($F163,'[2]Master Harga'!$E$5:$M$348,9,FALSE)</f>
        <v>47651.105192328017</v>
      </c>
      <c r="U163" s="684">
        <f t="shared" si="35"/>
        <v>9549281.480542535</v>
      </c>
      <c r="V163" s="437">
        <f t="shared" si="36"/>
        <v>43469.434287576012</v>
      </c>
      <c r="W163" s="307">
        <f t="shared" si="37"/>
        <v>8711274.6312302332</v>
      </c>
      <c r="X163" s="545"/>
      <c r="Y163" s="437">
        <f t="shared" si="22"/>
        <v>19111.72725</v>
      </c>
      <c r="Z163" s="436"/>
    </row>
    <row r="164" spans="2:26" x14ac:dyDescent="0.35">
      <c r="B164" s="700"/>
      <c r="E164" s="701"/>
      <c r="F164" s="436" t="s">
        <v>231</v>
      </c>
      <c r="G164" s="579" t="s">
        <v>190</v>
      </c>
      <c r="H164" s="545"/>
      <c r="I164" s="580"/>
      <c r="J164" s="579" t="s">
        <v>170</v>
      </c>
      <c r="K164" s="400">
        <v>0.5</v>
      </c>
      <c r="L164" s="849">
        <f t="shared" si="31"/>
        <v>400.8</v>
      </c>
      <c r="M164" s="552">
        <v>0.3</v>
      </c>
      <c r="N164" s="437">
        <v>4</v>
      </c>
      <c r="O164" s="590">
        <f t="shared" si="38"/>
        <v>240.48</v>
      </c>
      <c r="P164" s="299">
        <f>VLOOKUP($F164,'[1]Master Harga'!$E$5:$L$351,8,FALSE)</f>
        <v>4456.8562499999998</v>
      </c>
      <c r="Q164" s="683">
        <f t="shared" si="33"/>
        <v>1071784.791</v>
      </c>
      <c r="R164" s="437">
        <f>VLOOKUP($F164,'[2]Master Harga'!$E$5:$M$348,8,FALSE)</f>
        <v>4849.8912000000009</v>
      </c>
      <c r="S164" s="683">
        <f t="shared" si="34"/>
        <v>1166301.8357760003</v>
      </c>
      <c r="T164" s="437">
        <f>VLOOKUP($F164,'[2]Master Harga'!$E$5:$M$348,9,FALSE)</f>
        <v>5237.8824960000011</v>
      </c>
      <c r="U164" s="684">
        <f t="shared" si="35"/>
        <v>1259605.9826380801</v>
      </c>
      <c r="V164" s="437">
        <f t="shared" si="36"/>
        <v>4848.2099820000003</v>
      </c>
      <c r="W164" s="307">
        <f t="shared" si="37"/>
        <v>1165897.5364713601</v>
      </c>
      <c r="X164" s="545"/>
      <c r="Y164" s="437">
        <f t="shared" si="22"/>
        <v>2674.11375</v>
      </c>
      <c r="Z164" s="436"/>
    </row>
    <row r="165" spans="2:26" x14ac:dyDescent="0.35">
      <c r="B165" s="700"/>
      <c r="E165" s="701"/>
      <c r="F165" s="436" t="s">
        <v>388</v>
      </c>
      <c r="G165" s="579" t="s">
        <v>194</v>
      </c>
      <c r="H165" s="545">
        <v>1</v>
      </c>
      <c r="I165" s="580"/>
      <c r="J165" s="579" t="s">
        <v>170</v>
      </c>
      <c r="K165" s="400">
        <v>0.5</v>
      </c>
      <c r="L165" s="849">
        <f t="shared" si="31"/>
        <v>400.8</v>
      </c>
      <c r="M165" s="552">
        <f t="shared" ref="M165:M170" si="39">((M$162*N$162)/240*($H165/N165))</f>
        <v>1.25E-3</v>
      </c>
      <c r="N165" s="437">
        <v>4</v>
      </c>
      <c r="O165" s="590">
        <f t="shared" si="38"/>
        <v>1.002</v>
      </c>
      <c r="P165" s="299">
        <f>VLOOKUP($F165,'[1]Master Harga'!$E$5:$L$351,8,FALSE)</f>
        <v>8885.3506875000003</v>
      </c>
      <c r="Q165" s="683">
        <f t="shared" si="33"/>
        <v>8903.1213888750008</v>
      </c>
      <c r="R165" s="437">
        <f>VLOOKUP($F165,'[2]Master Harga'!$E$5:$M$348,8,FALSE)</f>
        <v>9668.9194560000033</v>
      </c>
      <c r="S165" s="683">
        <f t="shared" si="34"/>
        <v>9688.257294912004</v>
      </c>
      <c r="T165" s="437">
        <f>VLOOKUP($F165,'[2]Master Harga'!$E$5:$M$348,9,FALSE)</f>
        <v>10442.433012480004</v>
      </c>
      <c r="U165" s="684">
        <f t="shared" si="35"/>
        <v>10463.317878504964</v>
      </c>
      <c r="V165" s="437">
        <f t="shared" si="36"/>
        <v>9665.5677186600042</v>
      </c>
      <c r="W165" s="307">
        <f t="shared" si="37"/>
        <v>9684.8988540973241</v>
      </c>
      <c r="X165" s="545"/>
      <c r="Y165" s="437">
        <f t="shared" si="22"/>
        <v>22.213376718750002</v>
      </c>
      <c r="Z165" s="436"/>
    </row>
    <row r="166" spans="2:26" x14ac:dyDescent="0.35">
      <c r="B166" s="700"/>
      <c r="E166" s="701"/>
      <c r="F166" s="436" t="s">
        <v>232</v>
      </c>
      <c r="G166" s="579" t="s">
        <v>194</v>
      </c>
      <c r="H166" s="545">
        <v>4</v>
      </c>
      <c r="I166" s="580" t="s">
        <v>233</v>
      </c>
      <c r="J166" s="579" t="s">
        <v>170</v>
      </c>
      <c r="K166" s="400">
        <v>0.5</v>
      </c>
      <c r="L166" s="849">
        <f t="shared" si="31"/>
        <v>400.8</v>
      </c>
      <c r="M166" s="552">
        <f t="shared" si="39"/>
        <v>5.0000000000000001E-3</v>
      </c>
      <c r="N166" s="437">
        <v>4</v>
      </c>
      <c r="O166" s="590">
        <f t="shared" si="38"/>
        <v>4.008</v>
      </c>
      <c r="P166" s="299">
        <f>VLOOKUP($F166,'[1]Master Harga'!$E$5:$L$351,8,FALSE)</f>
        <v>49592.654999999999</v>
      </c>
      <c r="Q166" s="683">
        <f t="shared" si="33"/>
        <v>198767.36124</v>
      </c>
      <c r="R166" s="437">
        <f>VLOOKUP($F166,'[2]Master Harga'!$E$5:$M$348,8,FALSE)</f>
        <v>53966.062080000011</v>
      </c>
      <c r="S166" s="683">
        <f t="shared" si="34"/>
        <v>216295.97681664003</v>
      </c>
      <c r="T166" s="437">
        <f>VLOOKUP($F166,'[2]Master Harga'!$E$5:$M$348,9,FALSE)</f>
        <v>58283.347046400013</v>
      </c>
      <c r="U166" s="684">
        <f t="shared" si="35"/>
        <v>233599.65496197125</v>
      </c>
      <c r="V166" s="437">
        <f t="shared" si="36"/>
        <v>53947.354708800005</v>
      </c>
      <c r="W166" s="307">
        <f t="shared" si="37"/>
        <v>216220.99767287041</v>
      </c>
      <c r="X166" s="545"/>
      <c r="Y166" s="437">
        <f t="shared" si="22"/>
        <v>495.92654999999996</v>
      </c>
      <c r="Z166" s="436"/>
    </row>
    <row r="167" spans="2:26" x14ac:dyDescent="0.35">
      <c r="B167" s="700"/>
      <c r="E167" s="701"/>
      <c r="F167" s="436" t="s">
        <v>234</v>
      </c>
      <c r="G167" s="579" t="s">
        <v>194</v>
      </c>
      <c r="H167" s="545">
        <v>12</v>
      </c>
      <c r="I167" s="580" t="s">
        <v>233</v>
      </c>
      <c r="J167" s="579" t="s">
        <v>170</v>
      </c>
      <c r="K167" s="400">
        <v>0.5</v>
      </c>
      <c r="L167" s="849">
        <f t="shared" si="31"/>
        <v>400.8</v>
      </c>
      <c r="M167" s="552">
        <f t="shared" si="39"/>
        <v>1.4999999999999999E-2</v>
      </c>
      <c r="N167" s="437">
        <v>4</v>
      </c>
      <c r="O167" s="590">
        <f t="shared" si="38"/>
        <v>12.023999999999999</v>
      </c>
      <c r="P167" s="299">
        <f>VLOOKUP($F167,'[1]Master Harga'!$E$5:$L$351,8,FALSE)</f>
        <v>16206.75</v>
      </c>
      <c r="Q167" s="683">
        <f t="shared" si="33"/>
        <v>194869.962</v>
      </c>
      <c r="R167" s="437">
        <f>VLOOKUP($F167,'[2]Master Harga'!$E$5:$M$348,8,FALSE)</f>
        <v>17635.968000000004</v>
      </c>
      <c r="S167" s="683">
        <f t="shared" si="34"/>
        <v>212054.87923200004</v>
      </c>
      <c r="T167" s="437">
        <f>VLOOKUP($F167,'[2]Master Harga'!$E$5:$M$348,9,FALSE)</f>
        <v>19046.845440000005</v>
      </c>
      <c r="U167" s="684">
        <f t="shared" si="35"/>
        <v>229019.26957056005</v>
      </c>
      <c r="V167" s="437">
        <f t="shared" si="36"/>
        <v>17629.854480000005</v>
      </c>
      <c r="W167" s="307">
        <f t="shared" si="37"/>
        <v>211981.37026752005</v>
      </c>
      <c r="X167" s="545"/>
      <c r="Y167" s="437">
        <f t="shared" si="22"/>
        <v>486.20249999999999</v>
      </c>
      <c r="Z167" s="436"/>
    </row>
    <row r="168" spans="2:26" x14ac:dyDescent="0.35">
      <c r="B168" s="700"/>
      <c r="E168" s="701"/>
      <c r="F168" s="436" t="s">
        <v>235</v>
      </c>
      <c r="G168" s="579" t="s">
        <v>194</v>
      </c>
      <c r="H168" s="545">
        <v>1</v>
      </c>
      <c r="I168" s="580" t="s">
        <v>233</v>
      </c>
      <c r="J168" s="579" t="s">
        <v>170</v>
      </c>
      <c r="K168" s="400">
        <v>0.5</v>
      </c>
      <c r="L168" s="849">
        <f t="shared" si="31"/>
        <v>400.8</v>
      </c>
      <c r="M168" s="552">
        <f t="shared" si="39"/>
        <v>1.25E-3</v>
      </c>
      <c r="N168" s="437">
        <v>4</v>
      </c>
      <c r="O168" s="590">
        <f t="shared" si="38"/>
        <v>1.002</v>
      </c>
      <c r="P168" s="299">
        <f>VLOOKUP($F168,'[1]Master Harga'!$E$5:$L$351,8,FALSE)</f>
        <v>43393.573125000003</v>
      </c>
      <c r="Q168" s="683">
        <f t="shared" si="33"/>
        <v>43480.36027125</v>
      </c>
      <c r="R168" s="437">
        <f>VLOOKUP($F168,'[2]Master Harga'!$E$5:$M$348,8,FALSE)</f>
        <v>47220.30432000001</v>
      </c>
      <c r="S168" s="683">
        <f t="shared" si="34"/>
        <v>47314.744928640008</v>
      </c>
      <c r="T168" s="437">
        <f>VLOOKUP($F168,'[2]Master Harga'!$E$5:$M$348,9,FALSE)</f>
        <v>50997.928665600011</v>
      </c>
      <c r="U168" s="684">
        <f t="shared" si="35"/>
        <v>51099.924522931215</v>
      </c>
      <c r="V168" s="437">
        <f t="shared" si="36"/>
        <v>47203.935370200015</v>
      </c>
      <c r="W168" s="307">
        <f t="shared" si="37"/>
        <v>47298.343240940412</v>
      </c>
      <c r="X168" s="545"/>
      <c r="Y168" s="437">
        <f t="shared" si="22"/>
        <v>108.4839328125</v>
      </c>
      <c r="Z168" s="436"/>
    </row>
    <row r="169" spans="2:26" x14ac:dyDescent="0.35">
      <c r="B169" s="700"/>
      <c r="E169" s="701"/>
      <c r="F169" s="436" t="s">
        <v>236</v>
      </c>
      <c r="G169" s="579" t="s">
        <v>194</v>
      </c>
      <c r="H169" s="545">
        <v>2</v>
      </c>
      <c r="I169" s="580" t="s">
        <v>233</v>
      </c>
      <c r="J169" s="579" t="s">
        <v>170</v>
      </c>
      <c r="K169" s="400">
        <v>0.5</v>
      </c>
      <c r="L169" s="849">
        <f t="shared" si="31"/>
        <v>400.8</v>
      </c>
      <c r="M169" s="552">
        <f t="shared" si="39"/>
        <v>2.5000000000000001E-3</v>
      </c>
      <c r="N169" s="437">
        <v>4</v>
      </c>
      <c r="O169" s="590">
        <f t="shared" si="38"/>
        <v>2.004</v>
      </c>
      <c r="P169" s="299">
        <f>VLOOKUP($F169,'[1]Master Harga'!$E$5:$L$351,8,FALSE)</f>
        <v>37194.491250000006</v>
      </c>
      <c r="Q169" s="683">
        <f t="shared" si="33"/>
        <v>74537.760465000014</v>
      </c>
      <c r="R169" s="437">
        <f>VLOOKUP($F169,'[2]Master Harga'!$E$5:$M$348,8,FALSE)</f>
        <v>40474.546560000003</v>
      </c>
      <c r="S169" s="683">
        <f t="shared" si="34"/>
        <v>81110.991306240001</v>
      </c>
      <c r="T169" s="437">
        <f>VLOOKUP($F169,'[2]Master Harga'!$E$5:$M$348,9,FALSE)</f>
        <v>43712.510284800002</v>
      </c>
      <c r="U169" s="684">
        <f t="shared" si="35"/>
        <v>87599.870610739206</v>
      </c>
      <c r="V169" s="437">
        <f t="shared" si="36"/>
        <v>40460.516031600011</v>
      </c>
      <c r="W169" s="307">
        <f t="shared" si="37"/>
        <v>81082.874127326417</v>
      </c>
      <c r="X169" s="545"/>
      <c r="Y169" s="437">
        <f t="shared" si="22"/>
        <v>185.97245625000002</v>
      </c>
      <c r="Z169" s="436"/>
    </row>
    <row r="170" spans="2:26" x14ac:dyDescent="0.35">
      <c r="B170" s="700"/>
      <c r="E170" s="701"/>
      <c r="F170" s="436" t="s">
        <v>237</v>
      </c>
      <c r="G170" s="579" t="s">
        <v>194</v>
      </c>
      <c r="H170" s="545">
        <v>1</v>
      </c>
      <c r="I170" s="580" t="s">
        <v>233</v>
      </c>
      <c r="J170" s="579" t="s">
        <v>170</v>
      </c>
      <c r="K170" s="400">
        <v>0.5</v>
      </c>
      <c r="L170" s="849">
        <f t="shared" si="31"/>
        <v>400.8</v>
      </c>
      <c r="M170" s="552">
        <f t="shared" si="39"/>
        <v>1.25E-3</v>
      </c>
      <c r="N170" s="437">
        <v>4</v>
      </c>
      <c r="O170" s="590">
        <f t="shared" si="38"/>
        <v>1.002</v>
      </c>
      <c r="P170" s="299">
        <f>VLOOKUP($F170,'[1]Master Harga'!$E$5:$L$351,8,FALSE)</f>
        <v>99185.31</v>
      </c>
      <c r="Q170" s="683">
        <f t="shared" si="33"/>
        <v>99383.680619999999</v>
      </c>
      <c r="R170" s="437">
        <f>VLOOKUP($F170,'[2]Master Harga'!$E$5:$M$348,8,FALSE)</f>
        <v>107932.12416000002</v>
      </c>
      <c r="S170" s="683">
        <f t="shared" si="34"/>
        <v>108147.98840832002</v>
      </c>
      <c r="T170" s="437">
        <f>VLOOKUP($F170,'[2]Master Harga'!$E$5:$M$348,9,FALSE)</f>
        <v>116566.69409280003</v>
      </c>
      <c r="U170" s="684">
        <f t="shared" si="35"/>
        <v>116799.82748098562</v>
      </c>
      <c r="V170" s="437">
        <f t="shared" si="36"/>
        <v>107894.70941760001</v>
      </c>
      <c r="W170" s="307">
        <f t="shared" si="37"/>
        <v>108110.4988364352</v>
      </c>
      <c r="X170" s="545"/>
      <c r="Y170" s="437">
        <f t="shared" si="22"/>
        <v>247.96327499999998</v>
      </c>
      <c r="Z170" s="436"/>
    </row>
    <row r="171" spans="2:26" x14ac:dyDescent="0.35">
      <c r="B171" s="785"/>
      <c r="C171" s="763" t="s">
        <v>102</v>
      </c>
      <c r="D171" s="763"/>
      <c r="E171" s="764"/>
      <c r="F171" s="436" t="s">
        <v>189</v>
      </c>
      <c r="G171" s="579" t="s">
        <v>190</v>
      </c>
      <c r="H171" s="545"/>
      <c r="I171" s="580"/>
      <c r="J171" s="579"/>
      <c r="K171" s="439"/>
      <c r="L171" s="849">
        <f t="shared" si="31"/>
        <v>400.8</v>
      </c>
      <c r="M171" s="552">
        <v>2E-3</v>
      </c>
      <c r="N171" s="437">
        <v>1</v>
      </c>
      <c r="O171" s="545"/>
      <c r="P171" s="683"/>
      <c r="Q171" s="683"/>
      <c r="R171" s="683"/>
      <c r="S171" s="683"/>
      <c r="T171" s="684"/>
      <c r="U171" s="684"/>
      <c r="V171" s="684"/>
      <c r="W171" s="684"/>
      <c r="X171" s="545"/>
      <c r="Y171" s="437">
        <f t="shared" si="22"/>
        <v>0</v>
      </c>
      <c r="Z171" s="436"/>
    </row>
    <row r="172" spans="2:26" x14ac:dyDescent="0.35">
      <c r="B172" s="700"/>
      <c r="E172" s="701"/>
      <c r="F172" s="436" t="s">
        <v>354</v>
      </c>
      <c r="G172" s="579" t="s">
        <v>203</v>
      </c>
      <c r="H172" s="545"/>
      <c r="I172" s="580"/>
      <c r="J172" s="579"/>
      <c r="K172" s="439"/>
      <c r="L172" s="849">
        <f t="shared" si="31"/>
        <v>400.8</v>
      </c>
      <c r="M172" s="552">
        <v>3.36</v>
      </c>
      <c r="N172" s="437">
        <v>1</v>
      </c>
      <c r="O172" s="545"/>
      <c r="P172" s="683"/>
      <c r="Q172" s="683"/>
      <c r="R172" s="683"/>
      <c r="S172" s="683"/>
      <c r="T172" s="684"/>
      <c r="U172" s="684"/>
      <c r="V172" s="684"/>
      <c r="W172" s="684"/>
      <c r="X172" s="545"/>
      <c r="Y172" s="437">
        <f t="shared" si="22"/>
        <v>0</v>
      </c>
      <c r="Z172" s="436"/>
    </row>
    <row r="173" spans="2:26" x14ac:dyDescent="0.35">
      <c r="B173" s="680"/>
      <c r="C173" s="681"/>
      <c r="D173" s="681"/>
      <c r="E173" s="682"/>
      <c r="F173" s="436" t="s">
        <v>239</v>
      </c>
      <c r="G173" s="579" t="s">
        <v>170</v>
      </c>
      <c r="H173" s="545"/>
      <c r="I173" s="580"/>
      <c r="J173" s="579" t="s">
        <v>460</v>
      </c>
      <c r="K173" s="400">
        <v>0.15</v>
      </c>
      <c r="L173" s="849">
        <f t="shared" si="31"/>
        <v>400.8</v>
      </c>
      <c r="M173" s="552">
        <v>1</v>
      </c>
      <c r="N173" s="437">
        <v>12</v>
      </c>
      <c r="O173" s="590">
        <f>K173*L173*M173*N173</f>
        <v>721.43999999999994</v>
      </c>
      <c r="P173" s="299">
        <f>VLOOKUP($F173,'[1]Master Harga'!$E$5:$L$351,8,FALSE)</f>
        <v>74236.524544</v>
      </c>
      <c r="Q173" s="683">
        <f>P173*$O173</f>
        <v>53557198.267023355</v>
      </c>
      <c r="R173" s="437">
        <f>VLOOKUP($F173,'[2]Master Harga'!$E$5:$M$348,8,FALSE)</f>
        <v>74236.524544</v>
      </c>
      <c r="S173" s="683">
        <f>R173*$O173</f>
        <v>53557198.267023355</v>
      </c>
      <c r="T173" s="437">
        <f>VLOOKUP($F173,'[2]Master Harga'!$E$5:$M$348,9,FALSE)</f>
        <v>77205.985525759999</v>
      </c>
      <c r="U173" s="684">
        <f>$O173*T173</f>
        <v>55699486.197704293</v>
      </c>
      <c r="V173" s="437">
        <f>W173/O173</f>
        <v>75226.344871253328</v>
      </c>
      <c r="W173" s="307">
        <f t="shared" ref="W173:W180" si="40">AVERAGEIF($P$3:$U$3,W$3,$P173:$U173)</f>
        <v>54271294.243916996</v>
      </c>
      <c r="X173" s="590"/>
      <c r="Y173" s="437">
        <f t="shared" ref="Y173:Y236" si="41">Q173/$AC$3</f>
        <v>133625.74417919997</v>
      </c>
      <c r="Z173" s="436"/>
    </row>
    <row r="174" spans="2:26" customFormat="1" x14ac:dyDescent="0.35">
      <c r="B174" s="685" t="s">
        <v>461</v>
      </c>
      <c r="C174" s="864"/>
      <c r="D174" s="864"/>
      <c r="E174" s="865"/>
      <c r="F174" s="688"/>
      <c r="G174" s="689"/>
      <c r="H174" s="690"/>
      <c r="I174" s="691"/>
      <c r="J174" s="689"/>
      <c r="K174" s="692"/>
      <c r="L174" s="866"/>
      <c r="M174" s="694"/>
      <c r="N174" s="695"/>
      <c r="O174" s="690"/>
      <c r="P174" s="696"/>
      <c r="Q174" s="697">
        <f>SUM(Q142:Q173)</f>
        <v>103579511.10241504</v>
      </c>
      <c r="R174" s="696"/>
      <c r="S174" s="697">
        <f>SUM(S163:S173)</f>
        <v>64322675.072134271</v>
      </c>
      <c r="T174" s="874"/>
      <c r="U174" s="874"/>
      <c r="V174" s="874"/>
      <c r="W174" s="874"/>
      <c r="X174" s="690"/>
      <c r="Y174" s="727">
        <f t="shared" si="41"/>
        <v>258431.91392818122</v>
      </c>
      <c r="Z174" s="875">
        <f>(Y174/$Y$404)*100</f>
        <v>1.379492127090771</v>
      </c>
    </row>
    <row r="175" spans="2:26" customFormat="1" x14ac:dyDescent="0.35">
      <c r="B175" s="753" t="s">
        <v>462</v>
      </c>
      <c r="C175" s="853"/>
      <c r="D175" s="853"/>
      <c r="E175" s="854"/>
      <c r="F175" s="668"/>
      <c r="G175" s="669"/>
      <c r="H175" s="670"/>
      <c r="I175" s="671"/>
      <c r="J175" s="669"/>
      <c r="K175" s="672"/>
      <c r="L175" s="876"/>
      <c r="M175" s="674"/>
      <c r="N175" s="675"/>
      <c r="O175" s="670"/>
      <c r="P175" s="676"/>
      <c r="Q175" s="756">
        <f>Q63+Q71+Q85+Q111+Q127+Q174+Q140</f>
        <v>963626621.94538748</v>
      </c>
      <c r="R175" s="676"/>
      <c r="S175" s="756">
        <f>SUM(S164:S174)</f>
        <v>119720788.01292038</v>
      </c>
      <c r="T175" s="677"/>
      <c r="U175" s="677"/>
      <c r="V175" s="677"/>
      <c r="W175" s="677"/>
      <c r="X175" s="670"/>
      <c r="Y175" s="757">
        <f t="shared" si="41"/>
        <v>2404258.0387858967</v>
      </c>
      <c r="Z175" s="877">
        <f>(Y175/$Y$404)*100</f>
        <v>12.833767260345203</v>
      </c>
    </row>
    <row r="176" spans="2:26" x14ac:dyDescent="0.35">
      <c r="B176" s="722" t="s">
        <v>463</v>
      </c>
      <c r="C176" s="580"/>
      <c r="D176" s="580"/>
      <c r="E176" s="723"/>
      <c r="F176" s="436"/>
      <c r="G176" s="579"/>
      <c r="H176" s="545"/>
      <c r="I176" s="580"/>
      <c r="J176" s="579"/>
      <c r="K176" s="439"/>
      <c r="L176" s="849"/>
      <c r="M176" s="552"/>
      <c r="N176" s="437"/>
      <c r="O176" s="545"/>
      <c r="P176" s="683"/>
      <c r="Q176" s="683"/>
      <c r="R176" s="683"/>
      <c r="S176" s="683"/>
      <c r="T176" s="684"/>
      <c r="U176" s="684"/>
      <c r="V176" s="684"/>
      <c r="W176" s="684"/>
      <c r="X176" s="545"/>
      <c r="Y176" s="437">
        <f t="shared" si="41"/>
        <v>0</v>
      </c>
      <c r="Z176" s="436"/>
    </row>
    <row r="177" spans="2:26" x14ac:dyDescent="0.35">
      <c r="B177" s="700"/>
      <c r="C177" s="357" t="s">
        <v>464</v>
      </c>
      <c r="E177" s="701"/>
      <c r="F177" s="436" t="s">
        <v>189</v>
      </c>
      <c r="G177" s="579" t="s">
        <v>190</v>
      </c>
      <c r="H177" s="545"/>
      <c r="I177" s="580"/>
      <c r="J177" s="579" t="s">
        <v>170</v>
      </c>
      <c r="K177" s="400">
        <v>0</v>
      </c>
      <c r="L177" s="849">
        <f t="shared" ref="L177:L180" si="42">$L$44</f>
        <v>400.8</v>
      </c>
      <c r="M177" s="552">
        <v>2</v>
      </c>
      <c r="N177" s="437">
        <v>1</v>
      </c>
      <c r="O177" s="590">
        <f t="shared" ref="O177:O186" si="43">K177*L177*M177*N177</f>
        <v>0</v>
      </c>
      <c r="P177" s="299">
        <f>VLOOKUP($F177,'[1]Master Harga'!$E$5:$L$351,8,FALSE)</f>
        <v>169122.61109699999</v>
      </c>
      <c r="Q177" s="683">
        <f t="shared" ref="Q177:Q186" si="44">P177*$O177</f>
        <v>0</v>
      </c>
      <c r="R177" s="437">
        <f>VLOOKUP($F177,'[2]Master Harga'!$E$5:$M$348,8,FALSE)</f>
        <v>179635.86432000002</v>
      </c>
      <c r="S177" s="683">
        <f t="shared" ref="S177:S186" si="45">R177*$O177</f>
        <v>0</v>
      </c>
      <c r="T177" s="437">
        <f>VLOOKUP($F177,'[2]Master Harga'!$E$5:$M$348,9,FALSE)</f>
        <v>197599.45075200003</v>
      </c>
      <c r="U177" s="684">
        <f t="shared" ref="U177:U186" si="46">$O177*T177</f>
        <v>0</v>
      </c>
      <c r="V177" s="437" t="e">
        <f t="shared" ref="V177:V186" si="47">W177/O177</f>
        <v>#DIV/0!</v>
      </c>
      <c r="W177" s="307">
        <f t="shared" si="40"/>
        <v>0</v>
      </c>
      <c r="X177" s="545"/>
      <c r="Y177" s="437">
        <f t="shared" si="41"/>
        <v>0</v>
      </c>
      <c r="Z177" s="436"/>
    </row>
    <row r="178" spans="2:26" x14ac:dyDescent="0.35">
      <c r="B178" s="700"/>
      <c r="E178" s="701"/>
      <c r="F178" s="436" t="s">
        <v>465</v>
      </c>
      <c r="G178" s="579" t="s">
        <v>194</v>
      </c>
      <c r="H178" s="545"/>
      <c r="I178" s="580"/>
      <c r="J178" s="579" t="s">
        <v>170</v>
      </c>
      <c r="K178" s="400">
        <v>0</v>
      </c>
      <c r="L178" s="849">
        <f t="shared" si="42"/>
        <v>400.8</v>
      </c>
      <c r="M178" s="552">
        <v>3.3333333333333335E-3</v>
      </c>
      <c r="N178" s="437">
        <v>1</v>
      </c>
      <c r="O178" s="590">
        <f t="shared" si="43"/>
        <v>0</v>
      </c>
      <c r="P178" s="299">
        <f>VLOOKUP($F178,'[1]Master Harga'!$E$5:$L$351,8,FALSE)</f>
        <v>109410.84315</v>
      </c>
      <c r="Q178" s="683">
        <f t="shared" si="44"/>
        <v>0</v>
      </c>
      <c r="R178" s="437">
        <f>VLOOKUP($F178,'[2]Master Harga'!$E$5:$M$348,8,FALSE)</f>
        <v>119059.41219840002</v>
      </c>
      <c r="S178" s="683">
        <f t="shared" si="45"/>
        <v>0</v>
      </c>
      <c r="T178" s="437">
        <f>VLOOKUP($F178,'[2]Master Harga'!$E$5:$M$348,9,FALSE)</f>
        <v>128584.16517427203</v>
      </c>
      <c r="U178" s="684">
        <f t="shared" si="46"/>
        <v>0</v>
      </c>
      <c r="V178" s="437" t="e">
        <f t="shared" si="47"/>
        <v>#DIV/0!</v>
      </c>
      <c r="W178" s="307">
        <f t="shared" si="40"/>
        <v>0</v>
      </c>
      <c r="X178" s="545"/>
      <c r="Y178" s="437">
        <f t="shared" si="41"/>
        <v>0</v>
      </c>
      <c r="Z178" s="436"/>
    </row>
    <row r="179" spans="2:26" x14ac:dyDescent="0.35">
      <c r="B179" s="700"/>
      <c r="E179" s="701"/>
      <c r="F179" s="436" t="s">
        <v>466</v>
      </c>
      <c r="G179" s="579" t="s">
        <v>194</v>
      </c>
      <c r="H179" s="545"/>
      <c r="I179" s="580"/>
      <c r="J179" s="579" t="s">
        <v>170</v>
      </c>
      <c r="K179" s="400">
        <v>0</v>
      </c>
      <c r="L179" s="849">
        <f t="shared" si="42"/>
        <v>400.8</v>
      </c>
      <c r="M179" s="552">
        <v>3.3333333333333335E-3</v>
      </c>
      <c r="N179" s="437">
        <v>1</v>
      </c>
      <c r="O179" s="590">
        <f t="shared" si="43"/>
        <v>0</v>
      </c>
      <c r="P179" s="299">
        <f>VLOOKUP($F179,'[1]Master Harga'!$E$5:$L$351,8,FALSE)</f>
        <v>9077.2270312500004</v>
      </c>
      <c r="Q179" s="683">
        <f t="shared" si="44"/>
        <v>0</v>
      </c>
      <c r="R179" s="437">
        <f>VLOOKUP($F179,'[2]Master Harga'!$E$5:$M$348,8,FALSE)</f>
        <v>9877.7167200000022</v>
      </c>
      <c r="S179" s="683">
        <f t="shared" si="45"/>
        <v>0</v>
      </c>
      <c r="T179" s="437">
        <f>VLOOKUP($F179,'[2]Master Harga'!$E$5:$M$348,9,FALSE)</f>
        <v>10667.934057600003</v>
      </c>
      <c r="U179" s="684">
        <f t="shared" si="46"/>
        <v>0</v>
      </c>
      <c r="V179" s="437" t="e">
        <f t="shared" si="47"/>
        <v>#DIV/0!</v>
      </c>
      <c r="W179" s="307">
        <f t="shared" si="40"/>
        <v>0</v>
      </c>
      <c r="X179" s="545"/>
      <c r="Y179" s="437">
        <f t="shared" si="41"/>
        <v>0</v>
      </c>
      <c r="Z179" s="436"/>
    </row>
    <row r="180" spans="2:26" x14ac:dyDescent="0.35">
      <c r="B180" s="700"/>
      <c r="E180" s="701"/>
      <c r="F180" s="436" t="s">
        <v>467</v>
      </c>
      <c r="G180" s="579" t="s">
        <v>194</v>
      </c>
      <c r="H180" s="545"/>
      <c r="I180" s="580"/>
      <c r="J180" s="579" t="s">
        <v>170</v>
      </c>
      <c r="K180" s="400">
        <v>0</v>
      </c>
      <c r="L180" s="849">
        <f t="shared" si="42"/>
        <v>400.8</v>
      </c>
      <c r="M180" s="552">
        <v>3.3333333333333335E-3</v>
      </c>
      <c r="N180" s="437">
        <v>1</v>
      </c>
      <c r="O180" s="590">
        <f t="shared" si="43"/>
        <v>0</v>
      </c>
      <c r="P180" s="299">
        <f>VLOOKUP($F180,'[1]Master Harga'!$E$5:$L$351,8,FALSE)</f>
        <v>59304.549937500007</v>
      </c>
      <c r="Q180" s="683">
        <f t="shared" si="44"/>
        <v>0</v>
      </c>
      <c r="R180" s="437">
        <f>VLOOKUP($F180,'[2]Master Harga'!$E$5:$M$348,8,FALSE)</f>
        <v>64534.415904000009</v>
      </c>
      <c r="S180" s="683">
        <f t="shared" si="45"/>
        <v>0</v>
      </c>
      <c r="T180" s="437">
        <f>VLOOKUP($F180,'[2]Master Harga'!$E$5:$M$348,9,FALSE)</f>
        <v>69697.169176320007</v>
      </c>
      <c r="U180" s="684">
        <f t="shared" si="46"/>
        <v>0</v>
      </c>
      <c r="V180" s="437" t="e">
        <f t="shared" si="47"/>
        <v>#DIV/0!</v>
      </c>
      <c r="W180" s="307">
        <f t="shared" si="40"/>
        <v>0</v>
      </c>
      <c r="X180" s="545"/>
      <c r="Y180" s="437">
        <f t="shared" si="41"/>
        <v>0</v>
      </c>
      <c r="Z180" s="436"/>
    </row>
    <row r="181" spans="2:26" customFormat="1" x14ac:dyDescent="0.35">
      <c r="B181" s="685" t="s">
        <v>566</v>
      </c>
      <c r="C181" s="864"/>
      <c r="D181" s="864"/>
      <c r="E181" s="865"/>
      <c r="F181" s="688"/>
      <c r="G181" s="689"/>
      <c r="H181" s="690"/>
      <c r="I181" s="691"/>
      <c r="J181" s="689"/>
      <c r="K181" s="692"/>
      <c r="L181" s="866"/>
      <c r="M181" s="694"/>
      <c r="N181" s="695"/>
      <c r="O181" s="690"/>
      <c r="P181" s="696"/>
      <c r="Q181" s="697">
        <f>SUM(Q177:Q180)</f>
        <v>0</v>
      </c>
      <c r="R181" s="696"/>
      <c r="S181" s="697">
        <f>SUM(S170:S180)</f>
        <v>237708809.34048632</v>
      </c>
      <c r="T181" s="874"/>
      <c r="U181" s="874"/>
      <c r="V181" s="874"/>
      <c r="W181" s="874"/>
      <c r="X181" s="690"/>
      <c r="Y181" s="727">
        <f t="shared" si="41"/>
        <v>0</v>
      </c>
      <c r="Z181" s="875">
        <f>(Y181/$Y$404)*100</f>
        <v>0</v>
      </c>
    </row>
    <row r="182" spans="2:26" x14ac:dyDescent="0.35">
      <c r="B182" s="785"/>
      <c r="C182" s="763" t="s">
        <v>106</v>
      </c>
      <c r="D182" s="763"/>
      <c r="E182" s="764"/>
      <c r="F182" s="436" t="s">
        <v>189</v>
      </c>
      <c r="G182" s="579" t="s">
        <v>190</v>
      </c>
      <c r="H182" s="545"/>
      <c r="I182" s="580"/>
      <c r="J182" s="579" t="s">
        <v>170</v>
      </c>
      <c r="K182" s="400">
        <v>1</v>
      </c>
      <c r="L182" s="849">
        <f t="shared" ref="L182:L186" si="48">$L$44</f>
        <v>400.8</v>
      </c>
      <c r="M182" s="552">
        <v>1</v>
      </c>
      <c r="N182" s="437">
        <v>1</v>
      </c>
      <c r="O182" s="590">
        <f t="shared" si="43"/>
        <v>400.8</v>
      </c>
      <c r="P182" s="299">
        <f>VLOOKUP($F182,'[1]Master Harga'!$E$5:$L$351,8,FALSE)</f>
        <v>169122.61109699999</v>
      </c>
      <c r="Q182" s="683">
        <f t="shared" si="44"/>
        <v>67784342.527677596</v>
      </c>
      <c r="R182" s="437">
        <f>VLOOKUP($F182,'[2]Master Harga'!$E$5:$M$348,8,FALSE)</f>
        <v>179635.86432000002</v>
      </c>
      <c r="S182" s="683">
        <f t="shared" si="45"/>
        <v>71998054.419456005</v>
      </c>
      <c r="T182" s="437">
        <f>VLOOKUP($F182,'[2]Master Harga'!$E$5:$M$348,9,FALSE)</f>
        <v>197599.45075200003</v>
      </c>
      <c r="U182" s="684">
        <f t="shared" si="46"/>
        <v>79197859.861401618</v>
      </c>
      <c r="V182" s="437">
        <f t="shared" si="47"/>
        <v>182119.30872299999</v>
      </c>
      <c r="W182" s="307">
        <f>AVERAGEIF($P$3:$U$3,W$3,$P182:$U182)</f>
        <v>72993418.936178401</v>
      </c>
      <c r="X182" s="545"/>
      <c r="Y182" s="437">
        <f t="shared" si="41"/>
        <v>169122.61109699999</v>
      </c>
      <c r="Z182" s="436"/>
    </row>
    <row r="183" spans="2:26" x14ac:dyDescent="0.35">
      <c r="B183" s="700"/>
      <c r="E183" s="701"/>
      <c r="F183" s="436" t="s">
        <v>468</v>
      </c>
      <c r="G183" s="579" t="s">
        <v>194</v>
      </c>
      <c r="H183" s="545">
        <v>1</v>
      </c>
      <c r="I183" s="580" t="s">
        <v>233</v>
      </c>
      <c r="J183" s="579" t="s">
        <v>170</v>
      </c>
      <c r="K183" s="400">
        <v>1</v>
      </c>
      <c r="L183" s="849">
        <f t="shared" si="48"/>
        <v>400.8</v>
      </c>
      <c r="M183" s="552">
        <f>((M$182*N$182)/(300))*($H183/N183)</f>
        <v>3.3333333333333335E-3</v>
      </c>
      <c r="N183" s="437">
        <v>1</v>
      </c>
      <c r="O183" s="590">
        <f t="shared" si="43"/>
        <v>1.3360000000000001</v>
      </c>
      <c r="P183" s="299">
        <f>VLOOKUP($F183,'[1]Master Harga'!$E$5:$L$351,8,FALSE)</f>
        <v>76844.177786250017</v>
      </c>
      <c r="Q183" s="683">
        <f t="shared" si="44"/>
        <v>102663.82152243002</v>
      </c>
      <c r="R183" s="437">
        <f>VLOOKUP($F183,'[2]Master Harga'!$E$5:$M$348,8,FALSE)</f>
        <v>83620.803703680009</v>
      </c>
      <c r="S183" s="683">
        <f t="shared" si="45"/>
        <v>111717.3937481165</v>
      </c>
      <c r="T183" s="437">
        <f>VLOOKUP($F183,'[2]Master Harga'!$E$5:$M$348,9,FALSE)</f>
        <v>90310.467999974411</v>
      </c>
      <c r="U183" s="684">
        <f t="shared" si="46"/>
        <v>120654.78524796582</v>
      </c>
      <c r="V183" s="437">
        <f t="shared" si="47"/>
        <v>83591.816496634798</v>
      </c>
      <c r="W183" s="307">
        <f>AVERAGEIF($P$3:$U$3,W$3,$P183:$U183)</f>
        <v>111678.66683950411</v>
      </c>
      <c r="X183" s="545"/>
      <c r="Y183" s="437">
        <f t="shared" si="41"/>
        <v>256.14725928750005</v>
      </c>
      <c r="Z183" s="436"/>
    </row>
    <row r="184" spans="2:26" x14ac:dyDescent="0.35">
      <c r="B184" s="700"/>
      <c r="E184" s="701"/>
      <c r="F184" s="436" t="s">
        <v>466</v>
      </c>
      <c r="G184" s="579" t="s">
        <v>194</v>
      </c>
      <c r="H184" s="545">
        <v>1</v>
      </c>
      <c r="I184" s="580" t="s">
        <v>233</v>
      </c>
      <c r="J184" s="579" t="s">
        <v>170</v>
      </c>
      <c r="K184" s="400">
        <v>1</v>
      </c>
      <c r="L184" s="849">
        <f t="shared" si="48"/>
        <v>400.8</v>
      </c>
      <c r="M184" s="552">
        <f>((M$182*N$182)/(300))*($H184/N184)</f>
        <v>3.3333333333333335E-3</v>
      </c>
      <c r="N184" s="437">
        <v>1</v>
      </c>
      <c r="O184" s="590">
        <f t="shared" si="43"/>
        <v>1.3360000000000001</v>
      </c>
      <c r="P184" s="299">
        <f>VLOOKUP($F184,'[1]Master Harga'!$E$5:$L$351,8,FALSE)</f>
        <v>9077.2270312500004</v>
      </c>
      <c r="Q184" s="683">
        <f t="shared" si="44"/>
        <v>12127.175313750002</v>
      </c>
      <c r="R184" s="437">
        <f>VLOOKUP($F184,'[2]Master Harga'!$E$5:$M$348,8,FALSE)</f>
        <v>9877.7167200000022</v>
      </c>
      <c r="S184" s="683">
        <f t="shared" si="45"/>
        <v>13196.629537920004</v>
      </c>
      <c r="T184" s="437">
        <f>VLOOKUP($F184,'[2]Master Harga'!$E$5:$M$348,9,FALSE)</f>
        <v>10667.934057600003</v>
      </c>
      <c r="U184" s="684">
        <f t="shared" si="46"/>
        <v>14252.359900953605</v>
      </c>
      <c r="V184" s="437">
        <f t="shared" si="47"/>
        <v>9874.2926029500013</v>
      </c>
      <c r="W184" s="307">
        <f>AVERAGEIF($P$3:$U$3,W$3,$P184:$U184)</f>
        <v>13192.054917541203</v>
      </c>
      <c r="X184" s="545"/>
      <c r="Y184" s="437">
        <f t="shared" si="41"/>
        <v>30.257423437500005</v>
      </c>
      <c r="Z184" s="436"/>
    </row>
    <row r="185" spans="2:26" x14ac:dyDescent="0.35">
      <c r="B185" s="700"/>
      <c r="E185" s="701"/>
      <c r="F185" s="436" t="s">
        <v>467</v>
      </c>
      <c r="G185" s="579" t="s">
        <v>194</v>
      </c>
      <c r="H185" s="545">
        <v>1</v>
      </c>
      <c r="I185" s="580" t="s">
        <v>233</v>
      </c>
      <c r="J185" s="579" t="s">
        <v>170</v>
      </c>
      <c r="K185" s="400">
        <v>1</v>
      </c>
      <c r="L185" s="849">
        <f t="shared" si="48"/>
        <v>400.8</v>
      </c>
      <c r="M185" s="552">
        <f>((M$182*N$182)/(300))*($H185/N185)</f>
        <v>3.3333333333333335E-3</v>
      </c>
      <c r="N185" s="437">
        <v>1</v>
      </c>
      <c r="O185" s="590">
        <f t="shared" si="43"/>
        <v>1.3360000000000001</v>
      </c>
      <c r="P185" s="299">
        <f>VLOOKUP($F185,'[1]Master Harga'!$E$5:$L$351,8,FALSE)</f>
        <v>59304.549937500007</v>
      </c>
      <c r="Q185" s="683">
        <f t="shared" si="44"/>
        <v>79230.87871650001</v>
      </c>
      <c r="R185" s="437">
        <f>VLOOKUP($F185,'[2]Master Harga'!$E$5:$M$348,8,FALSE)</f>
        <v>64534.415904000009</v>
      </c>
      <c r="S185" s="683">
        <f t="shared" si="45"/>
        <v>86217.97964774401</v>
      </c>
      <c r="T185" s="437">
        <f>VLOOKUP($F185,'[2]Master Harga'!$E$5:$M$348,9,FALSE)</f>
        <v>69697.169176320007</v>
      </c>
      <c r="U185" s="684">
        <f t="shared" si="46"/>
        <v>93115.418019563542</v>
      </c>
      <c r="V185" s="437">
        <f t="shared" si="47"/>
        <v>64512.04500594001</v>
      </c>
      <c r="W185" s="307">
        <f>AVERAGEIF($P$3:$U$3,W$3,$P185:$U185)</f>
        <v>86188.092127935859</v>
      </c>
      <c r="X185" s="545"/>
      <c r="Y185" s="437">
        <f t="shared" si="41"/>
        <v>197.68183312500003</v>
      </c>
      <c r="Z185" s="436"/>
    </row>
    <row r="186" spans="2:26" x14ac:dyDescent="0.35">
      <c r="B186" s="680"/>
      <c r="C186" s="681"/>
      <c r="D186" s="681"/>
      <c r="E186" s="682"/>
      <c r="F186" s="436" t="s">
        <v>237</v>
      </c>
      <c r="G186" s="579" t="s">
        <v>194</v>
      </c>
      <c r="H186" s="545">
        <v>1</v>
      </c>
      <c r="I186" s="580" t="s">
        <v>233</v>
      </c>
      <c r="J186" s="579" t="s">
        <v>170</v>
      </c>
      <c r="K186" s="400">
        <v>1</v>
      </c>
      <c r="L186" s="849">
        <f t="shared" si="48"/>
        <v>400.8</v>
      </c>
      <c r="M186" s="552">
        <f>((M$182*N$182)/(300))*($H186/N186)</f>
        <v>3.3333333333333335E-3</v>
      </c>
      <c r="N186" s="437">
        <v>1</v>
      </c>
      <c r="O186" s="590">
        <f t="shared" si="43"/>
        <v>1.3360000000000001</v>
      </c>
      <c r="P186" s="299">
        <f>VLOOKUP($F186,'[1]Master Harga'!$E$5:$L$351,8,FALSE)</f>
        <v>99185.31</v>
      </c>
      <c r="Q186" s="683">
        <f t="shared" si="44"/>
        <v>132511.57416000002</v>
      </c>
      <c r="R186" s="437">
        <f>VLOOKUP($F186,'[2]Master Harga'!$E$5:$M$348,8,FALSE)</f>
        <v>107932.12416000002</v>
      </c>
      <c r="S186" s="683">
        <f t="shared" si="45"/>
        <v>144197.31787776004</v>
      </c>
      <c r="T186" s="437">
        <f>VLOOKUP($F186,'[2]Master Harga'!$E$5:$M$348,9,FALSE)</f>
        <v>116566.69409280003</v>
      </c>
      <c r="U186" s="684">
        <f t="shared" si="46"/>
        <v>155733.10330798084</v>
      </c>
      <c r="V186" s="437">
        <f t="shared" si="47"/>
        <v>107894.70941760002</v>
      </c>
      <c r="W186" s="307">
        <f>AVERAGEIF($P$3:$U$3,W$3,$P186:$U186)</f>
        <v>144147.33178191364</v>
      </c>
      <c r="X186" s="731"/>
      <c r="Y186" s="437">
        <f t="shared" si="41"/>
        <v>330.61770000000001</v>
      </c>
      <c r="Z186" s="436"/>
    </row>
    <row r="187" spans="2:26" customFormat="1" x14ac:dyDescent="0.35">
      <c r="B187" s="685" t="s">
        <v>545</v>
      </c>
      <c r="C187" s="864"/>
      <c r="D187" s="864"/>
      <c r="E187" s="865"/>
      <c r="F187" s="688"/>
      <c r="G187" s="689"/>
      <c r="H187" s="690"/>
      <c r="I187" s="691"/>
      <c r="J187" s="689"/>
      <c r="K187" s="692"/>
      <c r="L187" s="866"/>
      <c r="M187" s="694"/>
      <c r="N187" s="695"/>
      <c r="O187" s="690"/>
      <c r="P187" s="696"/>
      <c r="Q187" s="697">
        <f>SUM(Q182:Q186)</f>
        <v>68110875.977390274</v>
      </c>
      <c r="R187" s="696"/>
      <c r="S187" s="697">
        <f>SUM(S176:S186)</f>
        <v>310062193.08075386</v>
      </c>
      <c r="T187" s="874"/>
      <c r="U187" s="874"/>
      <c r="V187" s="874"/>
      <c r="W187" s="874"/>
      <c r="X187" s="690"/>
      <c r="Y187" s="727">
        <f t="shared" si="41"/>
        <v>169937.31531284997</v>
      </c>
      <c r="Z187" s="875">
        <f>(Y187/$Y$404)*100</f>
        <v>0.90711392803508872</v>
      </c>
    </row>
    <row r="188" spans="2:26" x14ac:dyDescent="0.35">
      <c r="B188" s="545"/>
      <c r="C188" s="580" t="s">
        <v>469</v>
      </c>
      <c r="D188" s="580"/>
      <c r="E188" s="723"/>
      <c r="F188" s="436"/>
      <c r="G188" s="579"/>
      <c r="H188" s="545"/>
      <c r="I188" s="580"/>
      <c r="J188" s="579"/>
      <c r="K188" s="439"/>
      <c r="L188" s="849"/>
      <c r="M188" s="589"/>
      <c r="N188" s="437"/>
      <c r="O188" s="545"/>
      <c r="P188" s="683"/>
      <c r="Q188" s="683"/>
      <c r="R188" s="683"/>
      <c r="S188" s="683"/>
      <c r="T188" s="684"/>
      <c r="U188" s="684"/>
      <c r="V188" s="684"/>
      <c r="W188" s="684"/>
      <c r="X188" s="731"/>
      <c r="Y188" s="437">
        <f t="shared" si="41"/>
        <v>0</v>
      </c>
      <c r="Z188" s="436"/>
    </row>
    <row r="189" spans="2:26" x14ac:dyDescent="0.35">
      <c r="B189" s="700"/>
      <c r="D189" s="357" t="s">
        <v>108</v>
      </c>
      <c r="E189" s="701"/>
      <c r="F189" s="436" t="s">
        <v>189</v>
      </c>
      <c r="G189" s="579" t="s">
        <v>190</v>
      </c>
      <c r="H189" s="545"/>
      <c r="I189" s="580"/>
      <c r="J189" s="364" t="s">
        <v>343</v>
      </c>
      <c r="K189" s="548">
        <v>0</v>
      </c>
      <c r="L189" s="409">
        <f>143*$AC$3</f>
        <v>57314.400000000001</v>
      </c>
      <c r="M189" s="542">
        <v>0.1429</v>
      </c>
      <c r="N189" s="296">
        <v>1</v>
      </c>
      <c r="O189" s="401">
        <f>K189*L189*M189*N189</f>
        <v>0</v>
      </c>
      <c r="P189" s="299">
        <f>VLOOKUP($F189,'[1]Master Harga'!$E$5:$L$351,8,FALSE)</f>
        <v>169122.61109699999</v>
      </c>
      <c r="Q189" s="683">
        <f>P189*$O189</f>
        <v>0</v>
      </c>
      <c r="R189" s="437">
        <f>VLOOKUP($F189,'[2]Master Harga'!$E$5:$M$348,8,FALSE)</f>
        <v>179635.86432000002</v>
      </c>
      <c r="S189" s="683">
        <f>R189*$O189</f>
        <v>0</v>
      </c>
      <c r="T189" s="437">
        <f>VLOOKUP($F189,'[2]Master Harga'!$E$5:$M$348,9,FALSE)</f>
        <v>197599.45075200003</v>
      </c>
      <c r="U189" s="684">
        <f>$O189*T189</f>
        <v>0</v>
      </c>
      <c r="V189" s="437" t="e">
        <f>W189/O189</f>
        <v>#DIV/0!</v>
      </c>
      <c r="W189" s="307">
        <f>AVERAGEIF($P$3:$U$3,W$3,$P189:$U189)</f>
        <v>0</v>
      </c>
      <c r="X189" s="545"/>
      <c r="Y189" s="437">
        <f t="shared" si="41"/>
        <v>0</v>
      </c>
      <c r="Z189" s="436"/>
    </row>
    <row r="190" spans="2:26" x14ac:dyDescent="0.35">
      <c r="B190" s="700"/>
      <c r="E190" s="701"/>
      <c r="F190" s="436" t="s">
        <v>372</v>
      </c>
      <c r="G190" s="579" t="s">
        <v>371</v>
      </c>
      <c r="H190" s="545"/>
      <c r="I190" s="580"/>
      <c r="J190" s="364" t="s">
        <v>343</v>
      </c>
      <c r="K190" s="548">
        <v>0</v>
      </c>
      <c r="L190" s="409">
        <f>L189</f>
        <v>57314.400000000001</v>
      </c>
      <c r="M190" s="542">
        <v>1</v>
      </c>
      <c r="N190" s="296">
        <v>1</v>
      </c>
      <c r="O190" s="401">
        <f>K190*L190*M190*N190</f>
        <v>0</v>
      </c>
      <c r="P190" s="299">
        <f>48538.5402535298*110%</f>
        <v>53392.394278882784</v>
      </c>
      <c r="Q190" s="683">
        <f>P190*$O190</f>
        <v>0</v>
      </c>
      <c r="R190" s="437">
        <f>VLOOKUP($F190,'[2]Master Harga'!$E$5:$M$348,8,FALSE)</f>
        <v>0</v>
      </c>
      <c r="S190" s="683">
        <f>R190*$O190</f>
        <v>0</v>
      </c>
      <c r="T190" s="437">
        <f>VLOOKUP($F190,'[2]Master Harga'!$E$5:$M$348,9,FALSE)</f>
        <v>0</v>
      </c>
      <c r="U190" s="684">
        <f>$O190*T190</f>
        <v>0</v>
      </c>
      <c r="V190" s="437" t="e">
        <f>W190/O190</f>
        <v>#DIV/0!</v>
      </c>
      <c r="W190" s="307">
        <f>AVERAGEIF($P$3:$U$3,W$3,$P190:$U190)</f>
        <v>0</v>
      </c>
      <c r="X190" s="545"/>
      <c r="Y190" s="437">
        <f t="shared" si="41"/>
        <v>0</v>
      </c>
      <c r="Z190" s="436"/>
    </row>
    <row r="191" spans="2:26" x14ac:dyDescent="0.35">
      <c r="B191" s="700"/>
      <c r="E191" s="701"/>
      <c r="F191" s="436" t="s">
        <v>324</v>
      </c>
      <c r="G191" s="579" t="s">
        <v>192</v>
      </c>
      <c r="H191" s="545"/>
      <c r="I191" s="580"/>
      <c r="J191" s="364" t="s">
        <v>343</v>
      </c>
      <c r="K191" s="548">
        <v>0</v>
      </c>
      <c r="L191" s="409">
        <f>L189</f>
        <v>57314.400000000001</v>
      </c>
      <c r="M191" s="542">
        <v>0.5</v>
      </c>
      <c r="N191" s="296">
        <v>1</v>
      </c>
      <c r="O191" s="401">
        <f>K191*L191*M191*N191</f>
        <v>0</v>
      </c>
      <c r="P191" s="299">
        <f>VLOOKUP($F191,'[1]Master Harga'!$E$5:$L$351,8,FALSE)</f>
        <v>2487.4500000000003</v>
      </c>
      <c r="Q191" s="683">
        <f>P191*$O191</f>
        <v>0</v>
      </c>
      <c r="R191" s="437">
        <f>VLOOKUP($F191,'[2]Master Harga'!$E$5:$M$348,8,FALSE)</f>
        <v>3061.3</v>
      </c>
      <c r="S191" s="683">
        <f>R191*$O191</f>
        <v>0</v>
      </c>
      <c r="T191" s="437">
        <f>VLOOKUP($F191,'[2]Master Harga'!$E$5:$M$348,9,FALSE)</f>
        <v>3367.4300000000003</v>
      </c>
      <c r="U191" s="684">
        <f>$O191*T191</f>
        <v>0</v>
      </c>
      <c r="V191" s="437" t="e">
        <f>W191/O191</f>
        <v>#DIV/0!</v>
      </c>
      <c r="W191" s="307">
        <f>AVERAGEIF($P$3:$U$3,W$3,$P191:$U191)</f>
        <v>0</v>
      </c>
      <c r="X191" s="545"/>
      <c r="Y191" s="437">
        <f t="shared" si="41"/>
        <v>0</v>
      </c>
      <c r="Z191" s="436"/>
    </row>
    <row r="192" spans="2:26" x14ac:dyDescent="0.35">
      <c r="B192" s="700"/>
      <c r="E192" s="701"/>
      <c r="F192" s="436" t="s">
        <v>373</v>
      </c>
      <c r="G192" s="579" t="s">
        <v>371</v>
      </c>
      <c r="H192" s="545"/>
      <c r="I192" s="580"/>
      <c r="J192" s="364" t="s">
        <v>343</v>
      </c>
      <c r="K192" s="548">
        <v>0</v>
      </c>
      <c r="L192" s="409">
        <f>L189</f>
        <v>57314.400000000001</v>
      </c>
      <c r="M192" s="542">
        <f>M190</f>
        <v>1</v>
      </c>
      <c r="N192" s="296">
        <v>1</v>
      </c>
      <c r="O192" s="401">
        <f>K192*L192*M192*N192</f>
        <v>0</v>
      </c>
      <c r="P192" s="299">
        <f>VLOOKUP($F192,'[1]Master Harga'!$E$5:$L$351,8,FALSE)</f>
        <v>5209.3125</v>
      </c>
      <c r="Q192" s="683">
        <f>P192*$O192</f>
        <v>0</v>
      </c>
      <c r="R192" s="683"/>
      <c r="S192" s="683"/>
      <c r="T192" s="684"/>
      <c r="U192" s="684"/>
      <c r="V192" s="684"/>
      <c r="W192" s="684"/>
      <c r="X192" s="545"/>
      <c r="Y192" s="437">
        <f t="shared" si="41"/>
        <v>0</v>
      </c>
      <c r="Z192" s="436"/>
    </row>
    <row r="193" spans="2:26" x14ac:dyDescent="0.35">
      <c r="B193" s="700"/>
      <c r="D193" s="681"/>
      <c r="E193" s="682"/>
      <c r="F193" s="436" t="s">
        <v>354</v>
      </c>
      <c r="G193" s="579" t="s">
        <v>203</v>
      </c>
      <c r="H193" s="545"/>
      <c r="I193" s="580"/>
      <c r="J193" s="579"/>
      <c r="K193" s="439"/>
      <c r="L193" s="849"/>
      <c r="M193" s="552">
        <v>2</v>
      </c>
      <c r="N193" s="437">
        <v>1</v>
      </c>
      <c r="O193" s="545"/>
      <c r="P193" s="683"/>
      <c r="Q193" s="683"/>
      <c r="R193" s="683"/>
      <c r="S193" s="683"/>
      <c r="T193" s="684"/>
      <c r="U193" s="684"/>
      <c r="V193" s="684"/>
      <c r="W193" s="684"/>
      <c r="X193" s="545"/>
      <c r="Y193" s="437">
        <f t="shared" si="41"/>
        <v>0</v>
      </c>
      <c r="Z193" s="436"/>
    </row>
    <row r="194" spans="2:26" customFormat="1" x14ac:dyDescent="0.35">
      <c r="B194" s="685" t="s">
        <v>546</v>
      </c>
      <c r="C194" s="864"/>
      <c r="D194" s="864"/>
      <c r="E194" s="865"/>
      <c r="F194" s="688"/>
      <c r="G194" s="689"/>
      <c r="H194" s="690"/>
      <c r="I194" s="691"/>
      <c r="J194" s="689"/>
      <c r="K194" s="692"/>
      <c r="L194" s="866"/>
      <c r="M194" s="694"/>
      <c r="N194" s="695"/>
      <c r="O194" s="690"/>
      <c r="P194" s="696"/>
      <c r="Q194" s="697">
        <f>SUM(Q189:Q193)</f>
        <v>0</v>
      </c>
      <c r="R194" s="696"/>
      <c r="S194" s="697">
        <f>SUM(S183:S193)</f>
        <v>310417522.40156543</v>
      </c>
      <c r="T194" s="874"/>
      <c r="U194" s="874"/>
      <c r="V194" s="874"/>
      <c r="W194" s="874"/>
      <c r="X194" s="690"/>
      <c r="Y194" s="727">
        <f t="shared" si="41"/>
        <v>0</v>
      </c>
      <c r="Z194" s="875">
        <f>(Y194/$Y$404)*100</f>
        <v>0</v>
      </c>
    </row>
    <row r="195" spans="2:26" x14ac:dyDescent="0.35">
      <c r="B195" s="700"/>
      <c r="D195" s="357" t="s">
        <v>470</v>
      </c>
      <c r="E195" s="701"/>
      <c r="F195" s="436" t="s">
        <v>189</v>
      </c>
      <c r="G195" s="579" t="s">
        <v>190</v>
      </c>
      <c r="H195" s="545"/>
      <c r="I195" s="580"/>
      <c r="J195" s="579"/>
      <c r="K195" s="548">
        <v>0.05</v>
      </c>
      <c r="L195" s="849">
        <f t="shared" ref="L195:L198" si="49">$L$44</f>
        <v>400.8</v>
      </c>
      <c r="M195" s="552">
        <v>1</v>
      </c>
      <c r="N195" s="437">
        <v>1</v>
      </c>
      <c r="O195" s="401">
        <f>K195*L195*M195*N195</f>
        <v>20.040000000000003</v>
      </c>
      <c r="P195" s="299">
        <f>VLOOKUP($F195,'[1]Master Harga'!$E$5:$L$351,8,FALSE)</f>
        <v>169122.61109699999</v>
      </c>
      <c r="Q195" s="683">
        <f>P195*$O195</f>
        <v>3389217.1263838802</v>
      </c>
      <c r="R195" s="683"/>
      <c r="S195" s="683"/>
      <c r="T195" s="684"/>
      <c r="U195" s="684"/>
      <c r="V195" s="684"/>
      <c r="W195" s="684"/>
      <c r="X195" s="545"/>
      <c r="Y195" s="437">
        <f t="shared" si="41"/>
        <v>8456.1305548500004</v>
      </c>
      <c r="Z195" s="436"/>
    </row>
    <row r="196" spans="2:26" x14ac:dyDescent="0.35">
      <c r="B196" s="680"/>
      <c r="C196" s="681"/>
      <c r="D196" s="681"/>
      <c r="E196" s="682"/>
      <c r="F196" s="436" t="s">
        <v>293</v>
      </c>
      <c r="G196" s="579" t="s">
        <v>194</v>
      </c>
      <c r="H196" s="545"/>
      <c r="I196" s="580"/>
      <c r="J196" s="579"/>
      <c r="K196" s="548">
        <v>0.05</v>
      </c>
      <c r="L196" s="849">
        <f t="shared" si="49"/>
        <v>400.8</v>
      </c>
      <c r="M196" s="552">
        <f>M195*N195/300</f>
        <v>3.3333333333333335E-3</v>
      </c>
      <c r="N196" s="437">
        <v>1</v>
      </c>
      <c r="O196" s="401">
        <f>K196*L196*M196*N196</f>
        <v>6.6800000000000012E-2</v>
      </c>
      <c r="P196" s="299">
        <f>VLOOKUP($F196,'[1]Master Harga'!$E$5:$L$351,8,FALSE)</f>
        <v>87746.527968750001</v>
      </c>
      <c r="Q196" s="683">
        <f>P196*$O196</f>
        <v>5861.4680683125007</v>
      </c>
      <c r="R196" s="437"/>
      <c r="S196" s="683"/>
      <c r="T196" s="684"/>
      <c r="U196" s="684"/>
      <c r="V196" s="684"/>
      <c r="W196" s="684"/>
      <c r="X196" s="545"/>
      <c r="Y196" s="437">
        <f t="shared" si="41"/>
        <v>14.624421328125001</v>
      </c>
      <c r="Z196" s="436"/>
    </row>
    <row r="197" spans="2:26" x14ac:dyDescent="0.35">
      <c r="B197" s="700"/>
      <c r="C197" s="357" t="s">
        <v>111</v>
      </c>
      <c r="E197" s="701"/>
      <c r="F197" s="436" t="s">
        <v>189</v>
      </c>
      <c r="G197" s="579" t="s">
        <v>190</v>
      </c>
      <c r="H197" s="545"/>
      <c r="I197" s="580"/>
      <c r="J197" s="579" t="s">
        <v>170</v>
      </c>
      <c r="K197" s="400">
        <v>1</v>
      </c>
      <c r="L197" s="849">
        <f t="shared" si="49"/>
        <v>400.8</v>
      </c>
      <c r="M197" s="552">
        <v>0.2</v>
      </c>
      <c r="N197" s="437">
        <v>1</v>
      </c>
      <c r="O197" s="590">
        <f>K197*L197*M197*N197</f>
        <v>80.160000000000011</v>
      </c>
      <c r="P197" s="299">
        <f>VLOOKUP($F197,'[1]Master Harga'!$E$5:$L$351,8,FALSE)</f>
        <v>169122.61109699999</v>
      </c>
      <c r="Q197" s="683">
        <f>P197*$O197</f>
        <v>13556868.505535521</v>
      </c>
      <c r="R197" s="437">
        <f>VLOOKUP($F197,'[2]Master Harga'!$E$5:$M$348,8,FALSE)</f>
        <v>179635.86432000002</v>
      </c>
      <c r="S197" s="683">
        <f>R197*$O197</f>
        <v>14399610.883891204</v>
      </c>
      <c r="T197" s="437">
        <f>VLOOKUP($F197,'[2]Master Harga'!$E$5:$M$348,9,FALSE)</f>
        <v>197599.45075200003</v>
      </c>
      <c r="U197" s="684">
        <f>$O197*T197</f>
        <v>15839571.972280325</v>
      </c>
      <c r="V197" s="437">
        <f>W197/O197</f>
        <v>182119.30872300002</v>
      </c>
      <c r="W197" s="307">
        <f>AVERAGEIF($P$3:$U$3,W$3,$P197:$U197)</f>
        <v>14598683.787235683</v>
      </c>
      <c r="X197" s="545"/>
      <c r="Y197" s="437">
        <f t="shared" si="41"/>
        <v>33824.522219400002</v>
      </c>
      <c r="Z197" s="436"/>
    </row>
    <row r="198" spans="2:26" x14ac:dyDescent="0.35">
      <c r="B198" s="700"/>
      <c r="E198" s="701"/>
      <c r="F198" s="436" t="s">
        <v>472</v>
      </c>
      <c r="G198" s="579" t="s">
        <v>341</v>
      </c>
      <c r="H198" s="545"/>
      <c r="I198" s="580"/>
      <c r="J198" s="579" t="s">
        <v>170</v>
      </c>
      <c r="K198" s="400">
        <v>1</v>
      </c>
      <c r="L198" s="849">
        <f t="shared" si="49"/>
        <v>400.8</v>
      </c>
      <c r="M198" s="552">
        <v>1</v>
      </c>
      <c r="N198" s="437">
        <v>1</v>
      </c>
      <c r="O198" s="590">
        <f>K198*L198*M198*N198</f>
        <v>400.8</v>
      </c>
      <c r="P198" s="299">
        <f>VLOOKUP($F198,'[1]Master Harga'!$E$5:$L$351,8,FALSE)</f>
        <v>35018.15625</v>
      </c>
      <c r="Q198" s="683">
        <f>P198*$O198</f>
        <v>14035277.025</v>
      </c>
      <c r="R198" s="683"/>
      <c r="S198" s="683"/>
      <c r="T198" s="684"/>
      <c r="U198" s="684"/>
      <c r="V198" s="684"/>
      <c r="W198" s="684"/>
      <c r="X198" s="545"/>
      <c r="Y198" s="437">
        <f t="shared" si="41"/>
        <v>35018.15625</v>
      </c>
      <c r="Z198" s="436"/>
    </row>
    <row r="199" spans="2:26" customFormat="1" x14ac:dyDescent="0.35">
      <c r="B199" s="685" t="s">
        <v>567</v>
      </c>
      <c r="C199" s="864"/>
      <c r="D199" s="864"/>
      <c r="E199" s="865"/>
      <c r="F199" s="688"/>
      <c r="G199" s="689"/>
      <c r="H199" s="690"/>
      <c r="I199" s="691"/>
      <c r="J199" s="689"/>
      <c r="K199" s="692"/>
      <c r="L199" s="866"/>
      <c r="M199" s="694"/>
      <c r="N199" s="695"/>
      <c r="O199" s="690"/>
      <c r="P199" s="696"/>
      <c r="Q199" s="697">
        <f>SUM(Q195:Q198)</f>
        <v>30987224.124987714</v>
      </c>
      <c r="R199" s="696"/>
      <c r="S199" s="697">
        <f>SUM(S188:S198)</f>
        <v>324817133.28545666</v>
      </c>
      <c r="T199" s="874"/>
      <c r="U199" s="874"/>
      <c r="V199" s="874"/>
      <c r="W199" s="874"/>
      <c r="X199" s="690"/>
      <c r="Y199" s="727">
        <f t="shared" si="41"/>
        <v>77313.433445578121</v>
      </c>
      <c r="Z199" s="875">
        <f>(Y199/$Y$404)*100</f>
        <v>0.41269389347234603</v>
      </c>
    </row>
    <row r="200" spans="2:26" customFormat="1" x14ac:dyDescent="0.35">
      <c r="B200" s="753" t="s">
        <v>474</v>
      </c>
      <c r="C200" s="853"/>
      <c r="D200" s="853"/>
      <c r="E200" s="854"/>
      <c r="F200" s="668"/>
      <c r="G200" s="669"/>
      <c r="H200" s="670"/>
      <c r="I200" s="671"/>
      <c r="J200" s="669"/>
      <c r="K200" s="672"/>
      <c r="L200" s="876"/>
      <c r="M200" s="674"/>
      <c r="N200" s="675"/>
      <c r="O200" s="670"/>
      <c r="P200" s="676"/>
      <c r="Q200" s="756">
        <f>Q181+Q187+Q194+Q199</f>
        <v>99098100.102377981</v>
      </c>
      <c r="R200" s="676"/>
      <c r="S200" s="756">
        <f>SUM(S189:S199)</f>
        <v>649634266.57091331</v>
      </c>
      <c r="T200" s="677"/>
      <c r="U200" s="677"/>
      <c r="V200" s="677"/>
      <c r="W200" s="677"/>
      <c r="X200" s="670"/>
      <c r="Y200" s="757">
        <f t="shared" si="41"/>
        <v>247250.74875842809</v>
      </c>
      <c r="Z200" s="877">
        <f>(Y200/$Y$404)*100</f>
        <v>1.3198078215074347</v>
      </c>
    </row>
    <row r="201" spans="2:26" x14ac:dyDescent="0.35">
      <c r="B201" s="722" t="s">
        <v>475</v>
      </c>
      <c r="C201" s="580"/>
      <c r="D201" s="580"/>
      <c r="E201" s="723"/>
      <c r="F201" s="436"/>
      <c r="G201" s="579"/>
      <c r="H201" s="545"/>
      <c r="I201" s="580"/>
      <c r="J201" s="579"/>
      <c r="K201" s="439"/>
      <c r="L201" s="849"/>
      <c r="M201" s="552"/>
      <c r="N201" s="437"/>
      <c r="O201" s="545"/>
      <c r="P201" s="683"/>
      <c r="Q201" s="683"/>
      <c r="R201" s="683"/>
      <c r="S201" s="683"/>
      <c r="T201" s="684"/>
      <c r="U201" s="684"/>
      <c r="V201" s="684"/>
      <c r="W201" s="684"/>
      <c r="X201" s="545"/>
      <c r="Y201" s="437">
        <f t="shared" si="41"/>
        <v>0</v>
      </c>
      <c r="Z201" s="436"/>
    </row>
    <row r="202" spans="2:26" x14ac:dyDescent="0.35">
      <c r="B202" s="722"/>
      <c r="C202" s="580" t="s">
        <v>296</v>
      </c>
      <c r="D202" s="580"/>
      <c r="E202" s="723"/>
      <c r="F202" s="436"/>
      <c r="G202" s="579"/>
      <c r="H202" s="545"/>
      <c r="I202" s="580"/>
      <c r="J202" s="579"/>
      <c r="K202" s="439"/>
      <c r="L202" s="849"/>
      <c r="M202" s="552"/>
      <c r="N202" s="437"/>
      <c r="O202" s="545"/>
      <c r="P202" s="683"/>
      <c r="Q202" s="683"/>
      <c r="R202" s="683"/>
      <c r="S202" s="683"/>
      <c r="T202" s="684"/>
      <c r="U202" s="684"/>
      <c r="V202" s="684"/>
      <c r="W202" s="684"/>
      <c r="X202" s="545"/>
      <c r="Y202" s="437">
        <f t="shared" si="41"/>
        <v>0</v>
      </c>
      <c r="Z202" s="436"/>
    </row>
    <row r="203" spans="2:26" x14ac:dyDescent="0.35">
      <c r="B203" s="700"/>
      <c r="D203" s="357" t="s">
        <v>115</v>
      </c>
      <c r="E203" s="701"/>
      <c r="F203" s="295" t="s">
        <v>189</v>
      </c>
      <c r="G203" s="364" t="s">
        <v>190</v>
      </c>
      <c r="H203" s="365"/>
      <c r="I203" s="366"/>
      <c r="J203" s="364"/>
      <c r="K203" s="548">
        <v>0.5</v>
      </c>
      <c r="L203" s="928">
        <f>$AC$3</f>
        <v>400.8</v>
      </c>
      <c r="M203" s="508">
        <v>0.5</v>
      </c>
      <c r="N203" s="296">
        <v>1</v>
      </c>
      <c r="O203" s="401">
        <f t="shared" ref="O203:O209" si="50">K203*L203*M203*N203</f>
        <v>100.2</v>
      </c>
      <c r="P203" s="299">
        <f>VLOOKUP($F203,'[1]Master Harga'!$E$5:$L$351,8,FALSE)</f>
        <v>169122.61109699999</v>
      </c>
      <c r="Q203" s="683">
        <f t="shared" ref="Q203:Q208" si="51">P203*$O203</f>
        <v>16946085.631919399</v>
      </c>
      <c r="R203" s="683"/>
      <c r="S203" s="683"/>
      <c r="T203" s="684"/>
      <c r="U203" s="684"/>
      <c r="V203" s="684"/>
      <c r="W203" s="684"/>
      <c r="X203" s="545"/>
      <c r="Y203" s="437">
        <f t="shared" si="41"/>
        <v>42280.652774249997</v>
      </c>
      <c r="Z203" s="436"/>
    </row>
    <row r="204" spans="2:26" x14ac:dyDescent="0.35">
      <c r="B204" s="700"/>
      <c r="E204" s="701"/>
      <c r="F204" s="295" t="s">
        <v>255</v>
      </c>
      <c r="G204" s="364" t="s">
        <v>256</v>
      </c>
      <c r="H204" s="365"/>
      <c r="I204" s="366"/>
      <c r="J204" s="364"/>
      <c r="K204" s="548">
        <v>0.5</v>
      </c>
      <c r="L204" s="928">
        <f>L203*K204</f>
        <v>200.4</v>
      </c>
      <c r="M204" s="542">
        <f>M205</f>
        <v>1.35</v>
      </c>
      <c r="N204" s="296">
        <v>1</v>
      </c>
      <c r="O204" s="401">
        <f t="shared" si="50"/>
        <v>135.27000000000001</v>
      </c>
      <c r="P204" s="299">
        <f>VLOOKUP($F204,'[1]Master Harga'!$E$5:$L$351,7,FALSE)</f>
        <v>209952</v>
      </c>
      <c r="Q204" s="683">
        <f t="shared" si="51"/>
        <v>28400207.040000003</v>
      </c>
      <c r="R204" s="683"/>
      <c r="S204" s="683"/>
      <c r="T204" s="684"/>
      <c r="U204" s="684"/>
      <c r="V204" s="684"/>
      <c r="W204" s="684"/>
      <c r="X204" s="545"/>
      <c r="Y204" s="437">
        <f t="shared" si="41"/>
        <v>70858.8</v>
      </c>
      <c r="Z204" s="436"/>
    </row>
    <row r="205" spans="2:26" x14ac:dyDescent="0.35">
      <c r="B205" s="700"/>
      <c r="E205" s="701"/>
      <c r="F205" s="295" t="s">
        <v>257</v>
      </c>
      <c r="G205" s="364" t="s">
        <v>256</v>
      </c>
      <c r="H205" s="365"/>
      <c r="I205" s="366"/>
      <c r="J205" s="364"/>
      <c r="K205" s="548">
        <v>0.5</v>
      </c>
      <c r="L205" s="928">
        <f>L203</f>
        <v>400.8</v>
      </c>
      <c r="M205" s="508">
        <f>1350/1000</f>
        <v>1.35</v>
      </c>
      <c r="N205" s="296">
        <v>1</v>
      </c>
      <c r="O205" s="401">
        <f t="shared" si="50"/>
        <v>270.54000000000002</v>
      </c>
      <c r="P205" s="299">
        <f>VLOOKUP($F205,'[1]Master Harga'!$E$5:$L$351,8,FALSE)</f>
        <v>128021.74875000001</v>
      </c>
      <c r="Q205" s="683">
        <f t="shared" si="51"/>
        <v>34635003.906825006</v>
      </c>
      <c r="R205" s="683"/>
      <c r="S205" s="683"/>
      <c r="T205" s="684"/>
      <c r="U205" s="684"/>
      <c r="V205" s="684"/>
      <c r="W205" s="684"/>
      <c r="X205" s="545"/>
      <c r="Y205" s="437">
        <f t="shared" si="41"/>
        <v>86414.680406250016</v>
      </c>
      <c r="Z205" s="436"/>
    </row>
    <row r="206" spans="2:26" x14ac:dyDescent="0.35">
      <c r="B206" s="700"/>
      <c r="E206" s="701"/>
      <c r="F206" s="295" t="s">
        <v>215</v>
      </c>
      <c r="G206" s="364" t="s">
        <v>203</v>
      </c>
      <c r="H206" s="365"/>
      <c r="I206" s="366"/>
      <c r="J206" s="364"/>
      <c r="K206" s="548">
        <v>0.5</v>
      </c>
      <c r="L206" s="928">
        <f>L203</f>
        <v>400.8</v>
      </c>
      <c r="M206" s="294">
        <v>2.8000000000000001E-2</v>
      </c>
      <c r="N206" s="296">
        <v>1</v>
      </c>
      <c r="O206" s="401">
        <f t="shared" si="50"/>
        <v>5.6112000000000002</v>
      </c>
      <c r="P206" s="299">
        <f>VLOOKUP($F206,'[1]Master Harga'!$E$5:$L$351,8,FALSE)</f>
        <v>805655.39686222153</v>
      </c>
      <c r="Q206" s="683">
        <f t="shared" si="51"/>
        <v>4520693.5628732974</v>
      </c>
      <c r="R206" s="683"/>
      <c r="S206" s="683"/>
      <c r="T206" s="684"/>
      <c r="U206" s="684"/>
      <c r="V206" s="684"/>
      <c r="W206" s="684"/>
      <c r="X206" s="545"/>
      <c r="Y206" s="437">
        <f t="shared" si="41"/>
        <v>11279.175556071101</v>
      </c>
      <c r="Z206" s="436"/>
    </row>
    <row r="207" spans="2:26" x14ac:dyDescent="0.35">
      <c r="B207" s="700"/>
      <c r="E207" s="701"/>
      <c r="F207" s="295" t="s">
        <v>258</v>
      </c>
      <c r="G207" s="364" t="s">
        <v>203</v>
      </c>
      <c r="H207" s="365"/>
      <c r="I207" s="366"/>
      <c r="J207" s="364"/>
      <c r="K207" s="548">
        <v>0.5</v>
      </c>
      <c r="L207" s="928">
        <f>L203</f>
        <v>400.8</v>
      </c>
      <c r="M207" s="542">
        <f>10/1000</f>
        <v>0.01</v>
      </c>
      <c r="N207" s="296">
        <v>1</v>
      </c>
      <c r="O207" s="401">
        <f t="shared" si="50"/>
        <v>2.004</v>
      </c>
      <c r="P207" s="299">
        <f>VLOOKUP($F207,'[1]Master Harga'!$E$5:$L$351,8,FALSE)</f>
        <v>731761.67591280001</v>
      </c>
      <c r="Q207" s="683">
        <f t="shared" si="51"/>
        <v>1466450.3985292513</v>
      </c>
      <c r="R207" s="683"/>
      <c r="S207" s="683"/>
      <c r="T207" s="684"/>
      <c r="U207" s="684"/>
      <c r="V207" s="684"/>
      <c r="W207" s="684"/>
      <c r="X207" s="545"/>
      <c r="Y207" s="437">
        <f t="shared" si="41"/>
        <v>3658.8083795640005</v>
      </c>
      <c r="Z207" s="436"/>
    </row>
    <row r="208" spans="2:26" x14ac:dyDescent="0.35">
      <c r="B208" s="700"/>
      <c r="D208" s="681"/>
      <c r="E208" s="682"/>
      <c r="F208" s="295" t="s">
        <v>251</v>
      </c>
      <c r="G208" s="364" t="s">
        <v>203</v>
      </c>
      <c r="H208" s="365"/>
      <c r="I208" s="366"/>
      <c r="J208" s="364"/>
      <c r="K208" s="548">
        <v>0.5</v>
      </c>
      <c r="L208" s="928">
        <f>L203</f>
        <v>400.8</v>
      </c>
      <c r="M208" s="542">
        <f>10/1000</f>
        <v>0.01</v>
      </c>
      <c r="N208" s="296">
        <v>1</v>
      </c>
      <c r="O208" s="401">
        <f t="shared" si="50"/>
        <v>2.004</v>
      </c>
      <c r="P208" s="299">
        <f>VLOOKUP($F208,'[1]Master Harga'!$E$5:$L$351,8,FALSE)</f>
        <v>789879.97204393509</v>
      </c>
      <c r="Q208" s="683">
        <f t="shared" si="51"/>
        <v>1582919.4639760458</v>
      </c>
      <c r="R208" s="683"/>
      <c r="S208" s="683"/>
      <c r="T208" s="684"/>
      <c r="U208" s="684"/>
      <c r="V208" s="684"/>
      <c r="W208" s="684"/>
      <c r="X208" s="545"/>
      <c r="Y208" s="437">
        <f t="shared" si="41"/>
        <v>3949.3998602196752</v>
      </c>
      <c r="Z208" s="436"/>
    </row>
    <row r="209" spans="2:26" x14ac:dyDescent="0.35">
      <c r="B209" s="700"/>
      <c r="D209" s="357" t="s">
        <v>117</v>
      </c>
      <c r="E209" s="701"/>
      <c r="F209" s="295" t="s">
        <v>189</v>
      </c>
      <c r="G209" s="364" t="s">
        <v>190</v>
      </c>
      <c r="H209" s="365"/>
      <c r="I209" s="366"/>
      <c r="J209" s="364" t="s">
        <v>253</v>
      </c>
      <c r="K209" s="548">
        <v>0.1</v>
      </c>
      <c r="L209" s="928">
        <f>'SI TB LC'!$L$87</f>
        <v>4008</v>
      </c>
      <c r="M209" s="508">
        <v>0.5</v>
      </c>
      <c r="N209" s="296">
        <v>1</v>
      </c>
      <c r="O209" s="401">
        <f t="shared" si="50"/>
        <v>200.4</v>
      </c>
      <c r="P209" s="299">
        <f>VLOOKUP($F209,'[1]Master Harga'!$E$5:$L$351,8,FALSE)</f>
        <v>169122.61109699999</v>
      </c>
      <c r="Q209" s="543">
        <f>P209*$O209</f>
        <v>33892171.263838798</v>
      </c>
      <c r="R209" s="437">
        <f>VLOOKUP($F209,'[2]Master Harga'!$E$5:$M$348,8,FALSE)</f>
        <v>179635.86432000002</v>
      </c>
      <c r="S209" s="683">
        <f>R209*$O209</f>
        <v>35999027.209728003</v>
      </c>
      <c r="T209" s="437">
        <f>VLOOKUP($F209,'[2]Master Harga'!$E$5:$M$348,9,FALSE)</f>
        <v>197599.45075200003</v>
      </c>
      <c r="U209" s="684">
        <f>$O209*T209</f>
        <v>39598929.930700809</v>
      </c>
      <c r="V209" s="437">
        <f>W209/O209</f>
        <v>182119.30872299999</v>
      </c>
      <c r="W209" s="307">
        <f>AVERAGEIF($P$3:$U$3,W$3,$P209:$U209)</f>
        <v>36496709.468089201</v>
      </c>
      <c r="X209" s="545"/>
      <c r="Y209" s="437">
        <f t="shared" si="41"/>
        <v>84561.305548499993</v>
      </c>
      <c r="Z209" s="436"/>
    </row>
    <row r="210" spans="2:26" x14ac:dyDescent="0.35">
      <c r="B210" s="700"/>
      <c r="E210" s="701"/>
      <c r="F210" s="295" t="s">
        <v>255</v>
      </c>
      <c r="G210" s="364" t="s">
        <v>256</v>
      </c>
      <c r="H210" s="365"/>
      <c r="I210" s="366"/>
      <c r="J210" s="364"/>
      <c r="K210" s="308"/>
      <c r="L210" s="928">
        <f>'SI TB LC'!$L$87</f>
        <v>4008</v>
      </c>
      <c r="M210" s="542"/>
      <c r="N210" s="296"/>
      <c r="O210" s="365"/>
      <c r="P210" s="543"/>
      <c r="Q210" s="543"/>
      <c r="R210" s="683"/>
      <c r="S210" s="683"/>
      <c r="T210" s="684"/>
      <c r="U210" s="684"/>
      <c r="V210" s="684"/>
      <c r="W210" s="684"/>
      <c r="X210" s="545"/>
      <c r="Y210" s="437">
        <f t="shared" si="41"/>
        <v>0</v>
      </c>
      <c r="Z210" s="436"/>
    </row>
    <row r="211" spans="2:26" x14ac:dyDescent="0.35">
      <c r="B211" s="700"/>
      <c r="E211" s="701"/>
      <c r="F211" s="295" t="s">
        <v>257</v>
      </c>
      <c r="G211" s="364" t="s">
        <v>256</v>
      </c>
      <c r="H211" s="365"/>
      <c r="I211" s="366"/>
      <c r="J211" s="364" t="s">
        <v>253</v>
      </c>
      <c r="K211" s="548">
        <v>0.2</v>
      </c>
      <c r="L211" s="928">
        <f>'SI TB LC'!$L$87</f>
        <v>4008</v>
      </c>
      <c r="M211" s="294">
        <f>1050/1000</f>
        <v>1.05</v>
      </c>
      <c r="N211" s="296">
        <v>1</v>
      </c>
      <c r="O211" s="401">
        <f>K211*L211*M211*N211</f>
        <v>841.68000000000006</v>
      </c>
      <c r="P211" s="299">
        <f>VLOOKUP($F211,'[1]Master Harga'!$E$5:$L$351,8,FALSE)</f>
        <v>128021.74875000001</v>
      </c>
      <c r="Q211" s="543">
        <f>P211*$O211</f>
        <v>107753345.48790002</v>
      </c>
      <c r="R211" s="437">
        <f>VLOOKUP($F211,'[2]Master Harga'!$E$5:$M$348,8,FALSE)</f>
        <v>147195.29000000004</v>
      </c>
      <c r="S211" s="683">
        <f>R211*$O211</f>
        <v>123891331.68720004</v>
      </c>
      <c r="T211" s="437">
        <f>VLOOKUP($F211,'[2]Master Harga'!$E$5:$M$348,9,FALSE)</f>
        <v>161914.81900000005</v>
      </c>
      <c r="U211" s="684">
        <f>$O211*T211</f>
        <v>136280464.85592005</v>
      </c>
      <c r="V211" s="437">
        <f>W211/O211</f>
        <v>145710.61925000002</v>
      </c>
      <c r="W211" s="307">
        <f>AVERAGEIF($P$3:$U$3,W$3,$P211:$U211)</f>
        <v>122641714.01034003</v>
      </c>
      <c r="X211" s="545"/>
      <c r="Y211" s="437">
        <f t="shared" si="41"/>
        <v>268845.67237500002</v>
      </c>
      <c r="Z211" s="436"/>
    </row>
    <row r="212" spans="2:26" x14ac:dyDescent="0.35">
      <c r="B212" s="700"/>
      <c r="E212" s="701"/>
      <c r="F212" s="295" t="s">
        <v>215</v>
      </c>
      <c r="G212" s="364" t="s">
        <v>203</v>
      </c>
      <c r="H212" s="365"/>
      <c r="I212" s="366"/>
      <c r="J212" s="364"/>
      <c r="K212" s="548">
        <v>0.5</v>
      </c>
      <c r="L212" s="928">
        <f>'SI TB LC'!$L$87</f>
        <v>4008</v>
      </c>
      <c r="M212" s="294">
        <v>2.8000000000000001E-2</v>
      </c>
      <c r="N212" s="296">
        <v>1</v>
      </c>
      <c r="O212" s="401">
        <f>K212*L212*M212*N212</f>
        <v>56.112000000000002</v>
      </c>
      <c r="P212" s="299">
        <f>VLOOKUP($F212,'[1]Master Harga'!$E$5:$L$351,8,FALSE)</f>
        <v>805655.39686222153</v>
      </c>
      <c r="Q212" s="543">
        <f>P212*$O212</f>
        <v>45206935.628732979</v>
      </c>
      <c r="R212" s="683"/>
      <c r="S212" s="683"/>
      <c r="T212" s="684"/>
      <c r="U212" s="684"/>
      <c r="V212" s="684"/>
      <c r="W212" s="684"/>
      <c r="X212" s="545"/>
      <c r="Y212" s="437">
        <f t="shared" si="41"/>
        <v>112791.75556071103</v>
      </c>
      <c r="Z212" s="436"/>
    </row>
    <row r="213" spans="2:26" x14ac:dyDescent="0.35">
      <c r="B213" s="700"/>
      <c r="E213" s="701"/>
      <c r="F213" s="295" t="s">
        <v>258</v>
      </c>
      <c r="G213" s="364" t="s">
        <v>203</v>
      </c>
      <c r="H213" s="365"/>
      <c r="I213" s="366"/>
      <c r="J213" s="364" t="s">
        <v>253</v>
      </c>
      <c r="K213" s="548">
        <v>0.5</v>
      </c>
      <c r="L213" s="928">
        <f>'SI TB LC'!$L$87</f>
        <v>4008</v>
      </c>
      <c r="M213" s="542">
        <f>8/1000</f>
        <v>8.0000000000000002E-3</v>
      </c>
      <c r="N213" s="296">
        <v>1</v>
      </c>
      <c r="O213" s="401">
        <f>K213*L213*M213*N213</f>
        <v>16.032</v>
      </c>
      <c r="P213" s="299">
        <f>VLOOKUP($F213,'[1]Master Harga'!$E$5:$L$351,8,FALSE)</f>
        <v>731761.67591280001</v>
      </c>
      <c r="Q213" s="543">
        <f>P213*$O213</f>
        <v>11731603.188234011</v>
      </c>
      <c r="R213" s="437">
        <f>VLOOKUP($F213,'[2]Master Harga'!$E$5:$M$348,8,FALSE)</f>
        <v>601028.333568</v>
      </c>
      <c r="S213" s="683">
        <f>R213*$O213</f>
        <v>9635686.2437621765</v>
      </c>
      <c r="T213" s="437">
        <f>VLOOKUP($F213,'[2]Master Harga'!$E$5:$M$348,9,FALSE)</f>
        <v>625069.46691071999</v>
      </c>
      <c r="U213" s="684">
        <f>$O213*T213</f>
        <v>10021113.693512663</v>
      </c>
      <c r="V213" s="437">
        <f>W213/O213</f>
        <v>652619.82546384004</v>
      </c>
      <c r="W213" s="307">
        <f>AVERAGEIF($P$3:$U$3,W$3,$P213:$U213)</f>
        <v>10462801.041836284</v>
      </c>
      <c r="X213" s="545"/>
      <c r="Y213" s="437">
        <f t="shared" si="41"/>
        <v>29270.467036512004</v>
      </c>
      <c r="Z213" s="436"/>
    </row>
    <row r="214" spans="2:26" x14ac:dyDescent="0.35">
      <c r="B214" s="700"/>
      <c r="D214" s="681"/>
      <c r="E214" s="682"/>
      <c r="F214" s="295" t="s">
        <v>251</v>
      </c>
      <c r="G214" s="364" t="s">
        <v>203</v>
      </c>
      <c r="H214" s="365"/>
      <c r="I214" s="366"/>
      <c r="J214" s="364" t="s">
        <v>253</v>
      </c>
      <c r="K214" s="548">
        <v>0.5</v>
      </c>
      <c r="L214" s="928">
        <f>'SI TB LC'!$L$87</f>
        <v>4008</v>
      </c>
      <c r="M214" s="542">
        <f>8/1000</f>
        <v>8.0000000000000002E-3</v>
      </c>
      <c r="N214" s="296">
        <v>1</v>
      </c>
      <c r="O214" s="401">
        <f>K214*L214*M214*N214</f>
        <v>16.032</v>
      </c>
      <c r="P214" s="299">
        <f>VLOOKUP($F214,'[1]Master Harga'!$E$5:$L$351,8,FALSE)</f>
        <v>789879.97204393509</v>
      </c>
      <c r="Q214" s="543">
        <f>P214*$O214</f>
        <v>12663355.711808367</v>
      </c>
      <c r="R214" s="437">
        <f>VLOOKUP($F214,'[2]Master Harga'!$E$5:$M$348,8,FALSE)</f>
        <v>698167.08915200003</v>
      </c>
      <c r="S214" s="683">
        <f>R214*$O214</f>
        <v>11193014.773284864</v>
      </c>
      <c r="T214" s="437">
        <f>VLOOKUP($F214,'[2]Master Harga'!$E$5:$M$348,9,FALSE)</f>
        <v>726093.77271808009</v>
      </c>
      <c r="U214" s="684">
        <f>$O214*T214</f>
        <v>11640735.364216261</v>
      </c>
      <c r="V214" s="437">
        <f>W214/O214</f>
        <v>738046.94463800499</v>
      </c>
      <c r="W214" s="307">
        <f>AVERAGEIF($P$3:$U$3,W$3,$P214:$U214)</f>
        <v>11832368.616436496</v>
      </c>
      <c r="X214" s="545"/>
      <c r="Y214" s="437">
        <f t="shared" si="41"/>
        <v>31595.198881757402</v>
      </c>
      <c r="Z214" s="436"/>
    </row>
    <row r="215" spans="2:26" x14ac:dyDescent="0.35">
      <c r="B215" s="700"/>
      <c r="D215" s="357" t="s">
        <v>119</v>
      </c>
      <c r="E215" s="701"/>
      <c r="F215" s="295" t="s">
        <v>189</v>
      </c>
      <c r="G215" s="364" t="s">
        <v>190</v>
      </c>
      <c r="H215" s="365"/>
      <c r="I215" s="366"/>
      <c r="J215" s="364" t="s">
        <v>253</v>
      </c>
      <c r="K215" s="548">
        <v>0.1</v>
      </c>
      <c r="L215" s="928">
        <f>'SI TB LC'!$L$91</f>
        <v>13358.663999999999</v>
      </c>
      <c r="M215" s="508">
        <v>0.5</v>
      </c>
      <c r="N215" s="296">
        <v>1</v>
      </c>
      <c r="O215" s="401">
        <f>K215*L215*M215*N215</f>
        <v>667.93319999999994</v>
      </c>
      <c r="P215" s="299">
        <f>VLOOKUP($F215,'[1]Master Harga'!$E$5:$L$351,8,FALSE)</f>
        <v>169122.61109699999</v>
      </c>
      <c r="Q215" s="543">
        <f>P215*$O215</f>
        <v>112962606.8223747</v>
      </c>
      <c r="R215" s="437">
        <f>VLOOKUP($F215,'[2]Master Harga'!$E$5:$M$348,8,FALSE)</f>
        <v>179635.86432000002</v>
      </c>
      <c r="S215" s="683">
        <f>R215*$O215</f>
        <v>119984757.69002342</v>
      </c>
      <c r="T215" s="437">
        <f>VLOOKUP($F215,'[2]Master Harga'!$E$5:$M$348,9,FALSE)</f>
        <v>197599.45075200003</v>
      </c>
      <c r="U215" s="684">
        <f>$O215*T215</f>
        <v>131983233.45902577</v>
      </c>
      <c r="V215" s="437">
        <f>W215/O215</f>
        <v>182119.30872299999</v>
      </c>
      <c r="W215" s="307">
        <f>AVERAGEIF($P$3:$U$3,W$3,$P215:$U215)</f>
        <v>121643532.65714128</v>
      </c>
      <c r="X215" s="545"/>
      <c r="Y215" s="437">
        <f t="shared" si="41"/>
        <v>281842.83139315044</v>
      </c>
      <c r="Z215" s="436"/>
    </row>
    <row r="216" spans="2:26" x14ac:dyDescent="0.35">
      <c r="B216" s="700"/>
      <c r="E216" s="701"/>
      <c r="F216" s="295" t="s">
        <v>255</v>
      </c>
      <c r="G216" s="364" t="s">
        <v>256</v>
      </c>
      <c r="H216" s="365"/>
      <c r="I216" s="366"/>
      <c r="J216" s="364"/>
      <c r="K216" s="308"/>
      <c r="L216" s="928">
        <f>'SI TB LC'!$L$91</f>
        <v>13358.663999999999</v>
      </c>
      <c r="M216" s="542"/>
      <c r="N216" s="296"/>
      <c r="O216" s="365"/>
      <c r="P216" s="543"/>
      <c r="Q216" s="543"/>
      <c r="R216" s="683"/>
      <c r="S216" s="683"/>
      <c r="T216" s="684"/>
      <c r="U216" s="684"/>
      <c r="V216" s="684"/>
      <c r="W216" s="684"/>
      <c r="X216" s="545"/>
      <c r="Y216" s="437">
        <f t="shared" si="41"/>
        <v>0</v>
      </c>
      <c r="Z216" s="436"/>
    </row>
    <row r="217" spans="2:26" x14ac:dyDescent="0.35">
      <c r="B217" s="700"/>
      <c r="E217" s="701"/>
      <c r="F217" s="295" t="s">
        <v>257</v>
      </c>
      <c r="G217" s="364" t="s">
        <v>256</v>
      </c>
      <c r="H217" s="365"/>
      <c r="I217" s="366"/>
      <c r="J217" s="364"/>
      <c r="K217" s="548">
        <v>0.2</v>
      </c>
      <c r="L217" s="928">
        <f>'SI TB LC'!$L$91</f>
        <v>13358.663999999999</v>
      </c>
      <c r="M217" s="294">
        <f>1050/1000</f>
        <v>1.05</v>
      </c>
      <c r="N217" s="296">
        <v>1</v>
      </c>
      <c r="O217" s="401">
        <f>K217*L217*M217*N217</f>
        <v>2805.3194399999998</v>
      </c>
      <c r="P217" s="299">
        <f>VLOOKUP($F217,'[1]Master Harga'!$E$5:$L$351,8,FALSE)</f>
        <v>128021.74875000001</v>
      </c>
      <c r="Q217" s="543">
        <f>P217*$O217</f>
        <v>359141900.51117069</v>
      </c>
      <c r="R217" s="437">
        <f>VLOOKUP($F217,'[2]Master Harga'!$E$5:$M$348,8,FALSE)</f>
        <v>147195.29000000004</v>
      </c>
      <c r="S217" s="683">
        <f>R217*$O217</f>
        <v>412929808.51343769</v>
      </c>
      <c r="T217" s="437">
        <f>VLOOKUP($F217,'[2]Master Harga'!$E$5:$M$348,9,FALSE)</f>
        <v>161914.81900000005</v>
      </c>
      <c r="U217" s="684">
        <f>$O217*T217</f>
        <v>454222789.36478144</v>
      </c>
      <c r="V217" s="437">
        <f>W217/O217</f>
        <v>145710.61925000002</v>
      </c>
      <c r="W217" s="307">
        <f>AVERAGEIF($P$3:$U$3,W$3,$P217:$U217)</f>
        <v>408764832.79646325</v>
      </c>
      <c r="X217" s="545"/>
      <c r="Y217" s="437">
        <f t="shared" si="41"/>
        <v>896062.62602587498</v>
      </c>
      <c r="Z217" s="436"/>
    </row>
    <row r="218" spans="2:26" x14ac:dyDescent="0.35">
      <c r="B218" s="700"/>
      <c r="E218" s="701"/>
      <c r="F218" s="295" t="s">
        <v>215</v>
      </c>
      <c r="G218" s="364" t="s">
        <v>203</v>
      </c>
      <c r="H218" s="365"/>
      <c r="I218" s="366"/>
      <c r="J218" s="364"/>
      <c r="K218" s="548">
        <v>0.5</v>
      </c>
      <c r="L218" s="928">
        <f>'SI TB LC'!$L$91</f>
        <v>13358.663999999999</v>
      </c>
      <c r="M218" s="294">
        <v>2.8000000000000001E-2</v>
      </c>
      <c r="N218" s="296">
        <v>1</v>
      </c>
      <c r="O218" s="401">
        <f>K218*L218*M218*N218</f>
        <v>187.02129599999998</v>
      </c>
      <c r="P218" s="299">
        <f>VLOOKUP($F218,'[1]Master Harga'!$E$5:$L$351,8,FALSE)</f>
        <v>805655.39686222153</v>
      </c>
      <c r="Q218" s="543">
        <f>P218*$O218</f>
        <v>150674716.45056698</v>
      </c>
      <c r="R218" s="683"/>
      <c r="S218" s="683"/>
      <c r="T218" s="684"/>
      <c r="U218" s="684"/>
      <c r="V218" s="684"/>
      <c r="W218" s="684"/>
      <c r="X218" s="545"/>
      <c r="Y218" s="437">
        <f t="shared" si="41"/>
        <v>375934.92128384975</v>
      </c>
      <c r="Z218" s="436"/>
    </row>
    <row r="219" spans="2:26" x14ac:dyDescent="0.35">
      <c r="B219" s="700"/>
      <c r="E219" s="701"/>
      <c r="F219" s="295" t="s">
        <v>258</v>
      </c>
      <c r="G219" s="364" t="s">
        <v>203</v>
      </c>
      <c r="H219" s="365"/>
      <c r="I219" s="366"/>
      <c r="J219" s="364"/>
      <c r="K219" s="548">
        <v>0.5</v>
      </c>
      <c r="L219" s="928">
        <f>'SI TB LC'!$L$91</f>
        <v>13358.663999999999</v>
      </c>
      <c r="M219" s="542">
        <f>8/1000</f>
        <v>8.0000000000000002E-3</v>
      </c>
      <c r="N219" s="296">
        <v>1</v>
      </c>
      <c r="O219" s="401">
        <f>K219*L219*M219*N219</f>
        <v>53.434655999999997</v>
      </c>
      <c r="P219" s="299">
        <f>VLOOKUP($F219,'[1]Master Harga'!$E$5:$L$351,8,FALSE)</f>
        <v>731761.67591280001</v>
      </c>
      <c r="Q219" s="543">
        <f>P219*$O219</f>
        <v>39101433.42638395</v>
      </c>
      <c r="R219" s="437">
        <f>VLOOKUP($F219,'[2]Master Harga'!$E$5:$M$348,8,FALSE)</f>
        <v>601028.333568</v>
      </c>
      <c r="S219" s="683">
        <f>R219*$O219</f>
        <v>32115742.250459332</v>
      </c>
      <c r="T219" s="437">
        <f>VLOOKUP($F219,'[2]Master Harga'!$E$5:$M$348,9,FALSE)</f>
        <v>625069.46691071999</v>
      </c>
      <c r="U219" s="684">
        <f>$O219*T219</f>
        <v>33400371.940477703</v>
      </c>
      <c r="V219" s="437">
        <f>W219/O219</f>
        <v>652619.82546384004</v>
      </c>
      <c r="W219" s="307">
        <f>AVERAGEIF($P$3:$U$3,W$3,$P219:$U219)</f>
        <v>34872515.872440331</v>
      </c>
      <c r="X219" s="545"/>
      <c r="Y219" s="437">
        <f t="shared" si="41"/>
        <v>97558.466632694486</v>
      </c>
      <c r="Z219" s="436"/>
    </row>
    <row r="220" spans="2:26" x14ac:dyDescent="0.35">
      <c r="B220" s="700"/>
      <c r="D220" s="681"/>
      <c r="E220" s="682"/>
      <c r="F220" s="295" t="s">
        <v>251</v>
      </c>
      <c r="G220" s="364" t="s">
        <v>203</v>
      </c>
      <c r="H220" s="365"/>
      <c r="I220" s="366"/>
      <c r="J220" s="364"/>
      <c r="K220" s="548">
        <v>0.5</v>
      </c>
      <c r="L220" s="928">
        <f>'SI TB LC'!$L$91</f>
        <v>13358.663999999999</v>
      </c>
      <c r="M220" s="542">
        <f>8/1000</f>
        <v>8.0000000000000002E-3</v>
      </c>
      <c r="N220" s="296">
        <v>1</v>
      </c>
      <c r="O220" s="401">
        <f>K220*L220*M220*N220</f>
        <v>53.434655999999997</v>
      </c>
      <c r="P220" s="299">
        <f>VLOOKUP($F220,'[1]Master Harga'!$E$5:$L$351,8,FALSE)</f>
        <v>789879.97204393509</v>
      </c>
      <c r="Q220" s="543">
        <f>P220*$O220</f>
        <v>42206964.587457284</v>
      </c>
      <c r="R220" s="437">
        <f>VLOOKUP($F220,'[2]Master Harga'!$E$5:$M$348,8,FALSE)</f>
        <v>698167.08915200003</v>
      </c>
      <c r="S220" s="683">
        <f>R220*$O220</f>
        <v>37306318.239358447</v>
      </c>
      <c r="T220" s="437">
        <f>VLOOKUP($F220,'[2]Master Harga'!$E$5:$M$348,9,FALSE)</f>
        <v>726093.77271808009</v>
      </c>
      <c r="U220" s="684">
        <f>$O220*T220</f>
        <v>38798570.968932793</v>
      </c>
      <c r="V220" s="437">
        <f>W220/O220</f>
        <v>738046.94463800499</v>
      </c>
      <c r="W220" s="307">
        <f>AVERAGEIF($P$3:$U$3,W$3,$P220:$U220)</f>
        <v>39437284.598582841</v>
      </c>
      <c r="X220" s="545"/>
      <c r="Y220" s="437">
        <f t="shared" si="41"/>
        <v>105306.79787289741</v>
      </c>
      <c r="Z220" s="436"/>
    </row>
    <row r="221" spans="2:26" x14ac:dyDescent="0.35">
      <c r="B221" s="700"/>
      <c r="D221" s="357" t="s">
        <v>121</v>
      </c>
      <c r="E221" s="701"/>
      <c r="F221" s="295" t="s">
        <v>189</v>
      </c>
      <c r="G221" s="364" t="s">
        <v>190</v>
      </c>
      <c r="H221" s="365"/>
      <c r="I221" s="366"/>
      <c r="J221" s="364"/>
      <c r="K221" s="548">
        <v>0.1</v>
      </c>
      <c r="L221" s="928">
        <f>'SI TB LC'!$L$95</f>
        <v>15262</v>
      </c>
      <c r="M221" s="508">
        <v>0.5</v>
      </c>
      <c r="N221" s="296">
        <v>1</v>
      </c>
      <c r="O221" s="401">
        <f>K221*L221*M221*N221</f>
        <v>763.1</v>
      </c>
      <c r="P221" s="299">
        <f>VLOOKUP($F221,'[1]Master Harga'!$E$5:$L$351,8,FALSE)</f>
        <v>169122.61109699999</v>
      </c>
      <c r="Q221" s="543">
        <f t="shared" ref="Q221:Q226" si="52">P221*$O221</f>
        <v>129057464.5281207</v>
      </c>
      <c r="R221" s="683"/>
      <c r="S221" s="683"/>
      <c r="T221" s="684"/>
      <c r="U221" s="684"/>
      <c r="V221" s="684"/>
      <c r="W221" s="684"/>
      <c r="X221" s="545"/>
      <c r="Y221" s="437">
        <f t="shared" si="41"/>
        <v>321999.66199630912</v>
      </c>
      <c r="Z221" s="436"/>
    </row>
    <row r="222" spans="2:26" x14ac:dyDescent="0.35">
      <c r="B222" s="700"/>
      <c r="E222" s="701"/>
      <c r="F222" s="295" t="s">
        <v>255</v>
      </c>
      <c r="G222" s="364" t="s">
        <v>256</v>
      </c>
      <c r="H222" s="365"/>
      <c r="I222" s="366"/>
      <c r="J222" s="364"/>
      <c r="K222" s="308"/>
      <c r="L222" s="928">
        <f>'SI TB LC'!$L$95</f>
        <v>15262</v>
      </c>
      <c r="M222" s="542"/>
      <c r="N222" s="296"/>
      <c r="O222" s="365"/>
      <c r="P222" s="299">
        <f>VLOOKUP($F222,'[1]Master Harga'!$E$5:$L$351,7,FALSE)</f>
        <v>209952</v>
      </c>
      <c r="Q222" s="543">
        <f t="shared" si="52"/>
        <v>0</v>
      </c>
      <c r="R222" s="683"/>
      <c r="S222" s="683"/>
      <c r="T222" s="684"/>
      <c r="U222" s="684"/>
      <c r="V222" s="684"/>
      <c r="W222" s="684"/>
      <c r="X222" s="545"/>
      <c r="Y222" s="437">
        <f t="shared" si="41"/>
        <v>0</v>
      </c>
      <c r="Z222" s="436"/>
    </row>
    <row r="223" spans="2:26" x14ac:dyDescent="0.35">
      <c r="B223" s="700"/>
      <c r="E223" s="701"/>
      <c r="F223" s="436" t="s">
        <v>257</v>
      </c>
      <c r="G223" s="579" t="s">
        <v>256</v>
      </c>
      <c r="H223" s="545"/>
      <c r="I223" s="580"/>
      <c r="J223" s="579"/>
      <c r="K223" s="548">
        <v>0</v>
      </c>
      <c r="L223" s="928">
        <f>'SI TB LC'!$L$95</f>
        <v>15262</v>
      </c>
      <c r="M223" s="294">
        <f>1050/1000</f>
        <v>1.05</v>
      </c>
      <c r="N223" s="296">
        <v>1</v>
      </c>
      <c r="O223" s="401">
        <f t="shared" ref="O223:O231" si="53">K223*L223*M223*N223</f>
        <v>0</v>
      </c>
      <c r="P223" s="299">
        <f>VLOOKUP($F223,'[1]Master Harga'!$E$5:$L$351,8,FALSE)</f>
        <v>128021.74875000001</v>
      </c>
      <c r="Q223" s="543">
        <f t="shared" si="52"/>
        <v>0</v>
      </c>
      <c r="R223" s="683"/>
      <c r="S223" s="683"/>
      <c r="T223" s="684"/>
      <c r="U223" s="684"/>
      <c r="V223" s="684"/>
      <c r="W223" s="684"/>
      <c r="X223" s="545"/>
      <c r="Y223" s="437">
        <f t="shared" si="41"/>
        <v>0</v>
      </c>
      <c r="Z223" s="436"/>
    </row>
    <row r="224" spans="2:26" x14ac:dyDescent="0.35">
      <c r="B224" s="700"/>
      <c r="E224" s="701"/>
      <c r="F224" s="436" t="s">
        <v>215</v>
      </c>
      <c r="G224" s="579" t="s">
        <v>203</v>
      </c>
      <c r="H224" s="545"/>
      <c r="I224" s="580"/>
      <c r="J224" s="579"/>
      <c r="K224" s="548">
        <v>0.5</v>
      </c>
      <c r="L224" s="928">
        <f>'SI TB LC'!$L$95</f>
        <v>15262</v>
      </c>
      <c r="M224" s="294">
        <v>2.8000000000000001E-2</v>
      </c>
      <c r="N224" s="296">
        <v>1</v>
      </c>
      <c r="O224" s="401">
        <f t="shared" si="53"/>
        <v>213.66800000000001</v>
      </c>
      <c r="P224" s="299">
        <f>VLOOKUP($F224,'[1]Master Harga'!$E$5:$L$351,8,FALSE)</f>
        <v>805655.39686222153</v>
      </c>
      <c r="Q224" s="543">
        <f t="shared" si="52"/>
        <v>172142777.33675715</v>
      </c>
      <c r="R224" s="683"/>
      <c r="S224" s="683"/>
      <c r="T224" s="684"/>
      <c r="U224" s="684"/>
      <c r="V224" s="684"/>
      <c r="W224" s="684"/>
      <c r="X224" s="545"/>
      <c r="Y224" s="437">
        <f t="shared" si="41"/>
        <v>429497.94744699885</v>
      </c>
      <c r="Z224" s="436"/>
    </row>
    <row r="225" spans="2:26" x14ac:dyDescent="0.35">
      <c r="B225" s="700"/>
      <c r="E225" s="701"/>
      <c r="F225" s="436" t="s">
        <v>258</v>
      </c>
      <c r="G225" s="579" t="s">
        <v>203</v>
      </c>
      <c r="H225" s="545"/>
      <c r="I225" s="580"/>
      <c r="J225" s="579"/>
      <c r="K225" s="548">
        <v>0.5</v>
      </c>
      <c r="L225" s="928">
        <f>'SI TB LC'!$L$95</f>
        <v>15262</v>
      </c>
      <c r="M225" s="542">
        <f>8/1000</f>
        <v>8.0000000000000002E-3</v>
      </c>
      <c r="N225" s="296">
        <v>1</v>
      </c>
      <c r="O225" s="401">
        <f t="shared" si="53"/>
        <v>61.048000000000002</v>
      </c>
      <c r="P225" s="299">
        <f>VLOOKUP($F225,'[1]Master Harga'!$E$5:$L$351,8,FALSE)</f>
        <v>731761.67591280001</v>
      </c>
      <c r="Q225" s="543">
        <f t="shared" si="52"/>
        <v>44672586.79112462</v>
      </c>
      <c r="R225" s="683"/>
      <c r="S225" s="683"/>
      <c r="T225" s="684"/>
      <c r="U225" s="684"/>
      <c r="V225" s="684"/>
      <c r="W225" s="684"/>
      <c r="X225" s="545"/>
      <c r="Y225" s="437">
        <f t="shared" si="41"/>
        <v>111458.54987805543</v>
      </c>
      <c r="Z225" s="436"/>
    </row>
    <row r="226" spans="2:26" x14ac:dyDescent="0.35">
      <c r="B226" s="700"/>
      <c r="D226" s="681"/>
      <c r="E226" s="682"/>
      <c r="F226" s="436" t="s">
        <v>251</v>
      </c>
      <c r="G226" s="579" t="s">
        <v>203</v>
      </c>
      <c r="H226" s="545"/>
      <c r="I226" s="580"/>
      <c r="J226" s="579"/>
      <c r="K226" s="548">
        <v>0.5</v>
      </c>
      <c r="L226" s="928">
        <f>'SI TB LC'!$L$95</f>
        <v>15262</v>
      </c>
      <c r="M226" s="542">
        <f>8/1000</f>
        <v>8.0000000000000002E-3</v>
      </c>
      <c r="N226" s="296">
        <v>1</v>
      </c>
      <c r="O226" s="401">
        <f t="shared" si="53"/>
        <v>61.048000000000002</v>
      </c>
      <c r="P226" s="299">
        <f>VLOOKUP($F226,'[1]Master Harga'!$E$5:$L$351,8,FALSE)</f>
        <v>789879.97204393509</v>
      </c>
      <c r="Q226" s="543">
        <f t="shared" si="52"/>
        <v>48220592.533338152</v>
      </c>
      <c r="R226" s="683"/>
      <c r="S226" s="683"/>
      <c r="T226" s="684"/>
      <c r="U226" s="684"/>
      <c r="V226" s="684"/>
      <c r="W226" s="684"/>
      <c r="X226" s="545"/>
      <c r="Y226" s="437">
        <f t="shared" si="41"/>
        <v>120310.85961411714</v>
      </c>
      <c r="Z226" s="436"/>
    </row>
    <row r="227" spans="2:26" hidden="1" x14ac:dyDescent="0.35">
      <c r="B227" s="700"/>
      <c r="D227" s="763" t="s">
        <v>123</v>
      </c>
      <c r="E227" s="764"/>
      <c r="F227" s="295" t="s">
        <v>189</v>
      </c>
      <c r="G227" s="364" t="s">
        <v>190</v>
      </c>
      <c r="H227" s="365"/>
      <c r="I227" s="366"/>
      <c r="J227" s="364"/>
      <c r="K227" s="548">
        <v>0</v>
      </c>
      <c r="L227" s="825"/>
      <c r="M227" s="508">
        <v>0.5</v>
      </c>
      <c r="N227" s="296">
        <v>1</v>
      </c>
      <c r="O227" s="401">
        <f t="shared" si="53"/>
        <v>0</v>
      </c>
      <c r="P227" s="299">
        <f>VLOOKUP($F227,'[1]Master Harga'!$E$5:$L$351,8,FALSE)</f>
        <v>169122.61109699999</v>
      </c>
      <c r="Q227" s="683">
        <f>P227*$O227</f>
        <v>0</v>
      </c>
      <c r="R227" s="437">
        <f>VLOOKUP($F227,'[2]Master Harga'!$E$5:$M$348,8,FALSE)</f>
        <v>179635.86432000002</v>
      </c>
      <c r="S227" s="683">
        <f>R227*$O227</f>
        <v>0</v>
      </c>
      <c r="T227" s="437">
        <f>VLOOKUP($F227,'[2]Master Harga'!$E$5:$M$348,9,FALSE)</f>
        <v>197599.45075200003</v>
      </c>
      <c r="U227" s="684">
        <f>$O227*T227</f>
        <v>0</v>
      </c>
      <c r="V227" s="437" t="e">
        <f>W227/O227</f>
        <v>#DIV/0!</v>
      </c>
      <c r="W227" s="307">
        <f>AVERAGEIF($P$3:$U$3,W$3,$P227:$U227)</f>
        <v>0</v>
      </c>
      <c r="X227" s="545"/>
      <c r="Y227" s="437">
        <f t="shared" si="41"/>
        <v>0</v>
      </c>
      <c r="Z227" s="436"/>
    </row>
    <row r="228" spans="2:26" hidden="1" x14ac:dyDescent="0.35">
      <c r="B228" s="700"/>
      <c r="E228" s="701"/>
      <c r="F228" s="436" t="s">
        <v>257</v>
      </c>
      <c r="G228" s="579" t="s">
        <v>256</v>
      </c>
      <c r="H228" s="545"/>
      <c r="I228" s="580"/>
      <c r="J228" s="579"/>
      <c r="K228" s="548">
        <v>0</v>
      </c>
      <c r="L228" s="825"/>
      <c r="M228" s="294">
        <f>1050/1000</f>
        <v>1.05</v>
      </c>
      <c r="N228" s="296">
        <v>1</v>
      </c>
      <c r="O228" s="401">
        <f t="shared" si="53"/>
        <v>0</v>
      </c>
      <c r="P228" s="299">
        <f>VLOOKUP($F228,'[1]Master Harga'!$E$5:$L$351,8,FALSE)</f>
        <v>128021.74875000001</v>
      </c>
      <c r="Q228" s="683">
        <f t="shared" ref="Q228:Q246" si="54">P228*$O228</f>
        <v>0</v>
      </c>
      <c r="R228" s="437"/>
      <c r="S228" s="683"/>
      <c r="T228" s="437"/>
      <c r="U228" s="684"/>
      <c r="V228" s="437"/>
      <c r="W228" s="307"/>
      <c r="X228" s="545"/>
      <c r="Y228" s="437">
        <f t="shared" si="41"/>
        <v>0</v>
      </c>
      <c r="Z228" s="436"/>
    </row>
    <row r="229" spans="2:26" hidden="1" x14ac:dyDescent="0.35">
      <c r="B229" s="700"/>
      <c r="E229" s="701"/>
      <c r="F229" s="436" t="s">
        <v>215</v>
      </c>
      <c r="G229" s="579" t="s">
        <v>203</v>
      </c>
      <c r="H229" s="545"/>
      <c r="I229" s="580"/>
      <c r="J229" s="579"/>
      <c r="K229" s="548">
        <v>0</v>
      </c>
      <c r="L229" s="825"/>
      <c r="M229" s="294">
        <v>2.8000000000000001E-2</v>
      </c>
      <c r="N229" s="296">
        <v>1</v>
      </c>
      <c r="O229" s="401">
        <f t="shared" si="53"/>
        <v>0</v>
      </c>
      <c r="P229" s="299">
        <f>VLOOKUP($F229,'[1]Master Harga'!$E$5:$L$351,8,FALSE)</f>
        <v>805655.39686222153</v>
      </c>
      <c r="Q229" s="683">
        <f t="shared" si="54"/>
        <v>0</v>
      </c>
      <c r="R229" s="437"/>
      <c r="S229" s="683"/>
      <c r="T229" s="437"/>
      <c r="U229" s="684"/>
      <c r="V229" s="437"/>
      <c r="W229" s="307"/>
      <c r="X229" s="545"/>
      <c r="Y229" s="437">
        <f t="shared" si="41"/>
        <v>0</v>
      </c>
      <c r="Z229" s="436"/>
    </row>
    <row r="230" spans="2:26" hidden="1" x14ac:dyDescent="0.35">
      <c r="B230" s="700"/>
      <c r="E230" s="701"/>
      <c r="F230" s="436" t="s">
        <v>258</v>
      </c>
      <c r="G230" s="579" t="s">
        <v>203</v>
      </c>
      <c r="H230" s="545"/>
      <c r="I230" s="580"/>
      <c r="J230" s="579"/>
      <c r="K230" s="548">
        <v>0</v>
      </c>
      <c r="L230" s="825"/>
      <c r="M230" s="542">
        <f>8/1000</f>
        <v>8.0000000000000002E-3</v>
      </c>
      <c r="N230" s="296">
        <v>1</v>
      </c>
      <c r="O230" s="401">
        <f t="shared" si="53"/>
        <v>0</v>
      </c>
      <c r="P230" s="299">
        <f>VLOOKUP($F230,'[1]Master Harga'!$E$5:$L$351,8,FALSE)</f>
        <v>731761.67591280001</v>
      </c>
      <c r="Q230" s="683">
        <f t="shared" si="54"/>
        <v>0</v>
      </c>
      <c r="R230" s="437"/>
      <c r="S230" s="683"/>
      <c r="T230" s="437"/>
      <c r="U230" s="684"/>
      <c r="V230" s="437"/>
      <c r="W230" s="307"/>
      <c r="X230" s="545"/>
      <c r="Y230" s="437">
        <f t="shared" si="41"/>
        <v>0</v>
      </c>
      <c r="Z230" s="436"/>
    </row>
    <row r="231" spans="2:26" hidden="1" x14ac:dyDescent="0.35">
      <c r="B231" s="700"/>
      <c r="E231" s="701"/>
      <c r="F231" s="436" t="s">
        <v>251</v>
      </c>
      <c r="G231" s="579" t="s">
        <v>203</v>
      </c>
      <c r="H231" s="545"/>
      <c r="I231" s="580"/>
      <c r="J231" s="579"/>
      <c r="K231" s="548">
        <v>0</v>
      </c>
      <c r="L231" s="825"/>
      <c r="M231" s="542">
        <f>8/1000</f>
        <v>8.0000000000000002E-3</v>
      </c>
      <c r="N231" s="296">
        <v>1</v>
      </c>
      <c r="O231" s="401">
        <f t="shared" si="53"/>
        <v>0</v>
      </c>
      <c r="P231" s="299">
        <f>VLOOKUP($F231,'[1]Master Harga'!$E$5:$L$351,8,FALSE)</f>
        <v>789879.97204393509</v>
      </c>
      <c r="Q231" s="683">
        <f t="shared" si="54"/>
        <v>0</v>
      </c>
      <c r="R231" s="437"/>
      <c r="S231" s="683"/>
      <c r="T231" s="437"/>
      <c r="U231" s="684"/>
      <c r="V231" s="437"/>
      <c r="W231" s="307"/>
      <c r="X231" s="545"/>
      <c r="Y231" s="437">
        <f t="shared" si="41"/>
        <v>0</v>
      </c>
      <c r="Z231" s="436"/>
    </row>
    <row r="232" spans="2:26" customFormat="1" x14ac:dyDescent="0.35">
      <c r="B232" s="685" t="s">
        <v>476</v>
      </c>
      <c r="C232" s="864"/>
      <c r="D232" s="864"/>
      <c r="E232" s="865"/>
      <c r="F232" s="688"/>
      <c r="G232" s="689"/>
      <c r="H232" s="690"/>
      <c r="I232" s="691"/>
      <c r="J232" s="689"/>
      <c r="K232" s="692"/>
      <c r="L232" s="866"/>
      <c r="M232" s="694"/>
      <c r="N232" s="695"/>
      <c r="O232" s="690"/>
      <c r="P232" s="696"/>
      <c r="Q232" s="697">
        <f>SUM(Q203:Q231)</f>
        <v>1396979814.2719314</v>
      </c>
      <c r="R232" s="696"/>
      <c r="S232" s="697">
        <f>SUM(S221:S231)</f>
        <v>0</v>
      </c>
      <c r="T232" s="874"/>
      <c r="U232" s="874"/>
      <c r="V232" s="874"/>
      <c r="W232" s="874"/>
      <c r="X232" s="690"/>
      <c r="Y232" s="698">
        <f t="shared" si="41"/>
        <v>3485478.5785227828</v>
      </c>
      <c r="Z232" s="929">
        <f>(Y232/$Y$404)*100</f>
        <v>18.605249580560383</v>
      </c>
    </row>
    <row r="233" spans="2:26" x14ac:dyDescent="0.35">
      <c r="B233" s="545"/>
      <c r="C233" s="580" t="s">
        <v>477</v>
      </c>
      <c r="D233" s="580"/>
      <c r="E233" s="723"/>
      <c r="F233" s="436"/>
      <c r="G233" s="579"/>
      <c r="H233" s="545"/>
      <c r="I233" s="580"/>
      <c r="J233" s="579"/>
      <c r="K233" s="439"/>
      <c r="L233" s="849"/>
      <c r="M233" s="552"/>
      <c r="N233" s="437"/>
      <c r="O233" s="545"/>
      <c r="P233" s="299"/>
      <c r="Q233" s="683"/>
      <c r="R233" s="683"/>
      <c r="S233" s="683"/>
      <c r="T233" s="684"/>
      <c r="U233" s="684"/>
      <c r="V233" s="684"/>
      <c r="W233" s="684"/>
      <c r="X233" s="545"/>
      <c r="Y233" s="437">
        <f t="shared" si="41"/>
        <v>0</v>
      </c>
      <c r="Z233" s="436"/>
    </row>
    <row r="234" spans="2:26" x14ac:dyDescent="0.35">
      <c r="B234" s="700"/>
      <c r="D234" s="357" t="s">
        <v>124</v>
      </c>
      <c r="E234" s="701"/>
      <c r="F234" s="295" t="s">
        <v>189</v>
      </c>
      <c r="G234" s="364" t="s">
        <v>190</v>
      </c>
      <c r="H234" s="365"/>
      <c r="I234" s="366"/>
      <c r="J234" s="364"/>
      <c r="K234" s="548">
        <v>0</v>
      </c>
      <c r="L234" s="825"/>
      <c r="M234" s="509">
        <v>1</v>
      </c>
      <c r="N234" s="296">
        <v>1</v>
      </c>
      <c r="O234" s="401">
        <f t="shared" ref="O234:O246" si="55">K234*L234*M234*N234</f>
        <v>0</v>
      </c>
      <c r="P234" s="299">
        <f>VLOOKUP($F234,'[1]Master Harga'!$E$5:$L$351,8,FALSE)</f>
        <v>169122.61109699999</v>
      </c>
      <c r="Q234" s="683">
        <f t="shared" si="54"/>
        <v>0</v>
      </c>
      <c r="R234" s="683"/>
      <c r="S234" s="683"/>
      <c r="T234" s="684"/>
      <c r="U234" s="684"/>
      <c r="V234" s="684"/>
      <c r="W234" s="684"/>
      <c r="X234" s="545"/>
      <c r="Y234" s="437">
        <f t="shared" si="41"/>
        <v>0</v>
      </c>
      <c r="Z234" s="436"/>
    </row>
    <row r="235" spans="2:26" hidden="1" x14ac:dyDescent="0.35">
      <c r="B235" s="700"/>
      <c r="E235" s="701"/>
      <c r="F235" s="295" t="s">
        <v>263</v>
      </c>
      <c r="G235" s="364" t="s">
        <v>264</v>
      </c>
      <c r="H235" s="365"/>
      <c r="I235" s="366"/>
      <c r="J235" s="364"/>
      <c r="K235" s="548">
        <v>0</v>
      </c>
      <c r="L235" s="825"/>
      <c r="M235" s="509">
        <v>1</v>
      </c>
      <c r="N235" s="296">
        <v>1</v>
      </c>
      <c r="O235" s="401">
        <f t="shared" si="55"/>
        <v>0</v>
      </c>
      <c r="P235" s="299">
        <f>VLOOKUP($F235,'[1]Master Harga'!$E$5:$L$351,8,FALSE)</f>
        <v>66109983.5</v>
      </c>
      <c r="Q235" s="683">
        <f t="shared" si="54"/>
        <v>0</v>
      </c>
      <c r="R235" s="683"/>
      <c r="S235" s="683"/>
      <c r="T235" s="684"/>
      <c r="U235" s="684"/>
      <c r="V235" s="684"/>
      <c r="W235" s="684"/>
      <c r="X235" s="545"/>
      <c r="Y235" s="437">
        <f t="shared" si="41"/>
        <v>0</v>
      </c>
      <c r="Z235" s="436"/>
    </row>
    <row r="236" spans="2:26" hidden="1" x14ac:dyDescent="0.35">
      <c r="B236" s="700"/>
      <c r="E236" s="701"/>
      <c r="F236" s="765" t="s">
        <v>478</v>
      </c>
      <c r="G236" s="766" t="s">
        <v>264</v>
      </c>
      <c r="H236" s="767"/>
      <c r="I236" s="768"/>
      <c r="J236" s="766"/>
      <c r="K236" s="548">
        <v>0</v>
      </c>
      <c r="L236" s="880"/>
      <c r="M236" s="770">
        <v>1</v>
      </c>
      <c r="N236" s="771">
        <v>1</v>
      </c>
      <c r="O236" s="401">
        <f t="shared" si="55"/>
        <v>0</v>
      </c>
      <c r="P236" s="299">
        <f>69877500*110%</f>
        <v>76865250</v>
      </c>
      <c r="Q236" s="683">
        <f t="shared" si="54"/>
        <v>0</v>
      </c>
      <c r="R236" s="930"/>
      <c r="S236" s="930"/>
      <c r="T236" s="931"/>
      <c r="U236" s="931"/>
      <c r="V236" s="931"/>
      <c r="W236" s="931"/>
      <c r="X236" s="545"/>
      <c r="Y236" s="437">
        <f t="shared" si="41"/>
        <v>0</v>
      </c>
      <c r="Z236" s="436"/>
    </row>
    <row r="237" spans="2:26" hidden="1" x14ac:dyDescent="0.35">
      <c r="B237" s="700"/>
      <c r="E237" s="701"/>
      <c r="F237" s="765" t="s">
        <v>479</v>
      </c>
      <c r="G237" s="766" t="s">
        <v>264</v>
      </c>
      <c r="H237" s="767"/>
      <c r="I237" s="768"/>
      <c r="J237" s="766"/>
      <c r="K237" s="548">
        <v>0</v>
      </c>
      <c r="L237" s="880"/>
      <c r="M237" s="770">
        <v>1</v>
      </c>
      <c r="N237" s="771">
        <v>1</v>
      </c>
      <c r="O237" s="401">
        <f t="shared" si="55"/>
        <v>0</v>
      </c>
      <c r="P237" s="299">
        <f>125779500*110%</f>
        <v>138357450</v>
      </c>
      <c r="Q237" s="683">
        <f t="shared" si="54"/>
        <v>0</v>
      </c>
      <c r="R237" s="930"/>
      <c r="S237" s="930"/>
      <c r="T237" s="931"/>
      <c r="U237" s="931"/>
      <c r="V237" s="931"/>
      <c r="W237" s="931"/>
      <c r="X237" s="545"/>
      <c r="Y237" s="437">
        <f t="shared" ref="Y237:Y300" si="56">Q237/$AC$3</f>
        <v>0</v>
      </c>
      <c r="Z237" s="436"/>
    </row>
    <row r="238" spans="2:26" hidden="1" x14ac:dyDescent="0.35">
      <c r="B238" s="700"/>
      <c r="E238" s="701"/>
      <c r="F238" s="765" t="s">
        <v>480</v>
      </c>
      <c r="G238" s="766" t="s">
        <v>264</v>
      </c>
      <c r="H238" s="767"/>
      <c r="I238" s="768"/>
      <c r="J238" s="766"/>
      <c r="K238" s="548">
        <v>0</v>
      </c>
      <c r="L238" s="880"/>
      <c r="M238" s="770">
        <v>1</v>
      </c>
      <c r="N238" s="771">
        <v>1</v>
      </c>
      <c r="O238" s="401">
        <f t="shared" si="55"/>
        <v>0</v>
      </c>
      <c r="P238" s="299">
        <f>125779500*110%</f>
        <v>138357450</v>
      </c>
      <c r="Q238" s="683">
        <f t="shared" si="54"/>
        <v>0</v>
      </c>
      <c r="R238" s="930"/>
      <c r="S238" s="930"/>
      <c r="T238" s="931"/>
      <c r="U238" s="931"/>
      <c r="V238" s="931"/>
      <c r="W238" s="931"/>
      <c r="X238" s="545"/>
      <c r="Y238" s="437">
        <f t="shared" si="56"/>
        <v>0</v>
      </c>
      <c r="Z238" s="436"/>
    </row>
    <row r="239" spans="2:26" hidden="1" x14ac:dyDescent="0.35">
      <c r="B239" s="700"/>
      <c r="E239" s="701"/>
      <c r="F239" s="765" t="s">
        <v>481</v>
      </c>
      <c r="G239" s="766" t="s">
        <v>264</v>
      </c>
      <c r="H239" s="767"/>
      <c r="I239" s="768"/>
      <c r="J239" s="766"/>
      <c r="K239" s="548">
        <v>0</v>
      </c>
      <c r="L239" s="880"/>
      <c r="M239" s="770">
        <v>1</v>
      </c>
      <c r="N239" s="771">
        <v>1</v>
      </c>
      <c r="O239" s="401">
        <f t="shared" si="55"/>
        <v>0</v>
      </c>
      <c r="P239" s="299">
        <f>153730500*110%</f>
        <v>169103550</v>
      </c>
      <c r="Q239" s="683">
        <f t="shared" si="54"/>
        <v>0</v>
      </c>
      <c r="R239" s="437" t="e">
        <f>VLOOKUP($F239,'[2]Master Harga'!$E$5:$M$348,8,FALSE)</f>
        <v>#N/A</v>
      </c>
      <c r="S239" s="683" t="e">
        <f>R239*$O239</f>
        <v>#N/A</v>
      </c>
      <c r="T239" s="437" t="e">
        <f>VLOOKUP($F239,'[2]Master Harga'!$E$5:$M$348,9,FALSE)</f>
        <v>#N/A</v>
      </c>
      <c r="U239" s="684" t="e">
        <f>$O239*T239</f>
        <v>#N/A</v>
      </c>
      <c r="V239" s="437" t="e">
        <f>W239/O239</f>
        <v>#N/A</v>
      </c>
      <c r="W239" s="307" t="e">
        <f>AVERAGEIF($P$3:$U$3,W$3,$P239:$U239)</f>
        <v>#N/A</v>
      </c>
      <c r="X239" s="545"/>
      <c r="Y239" s="437">
        <f t="shared" si="56"/>
        <v>0</v>
      </c>
      <c r="Z239" s="436"/>
    </row>
    <row r="240" spans="2:26" hidden="1" x14ac:dyDescent="0.35">
      <c r="B240" s="700"/>
      <c r="E240" s="701"/>
      <c r="F240" s="765" t="s">
        <v>482</v>
      </c>
      <c r="G240" s="766" t="s">
        <v>264</v>
      </c>
      <c r="H240" s="767"/>
      <c r="I240" s="768"/>
      <c r="J240" s="766"/>
      <c r="K240" s="548">
        <v>0</v>
      </c>
      <c r="L240" s="880"/>
      <c r="M240" s="770">
        <v>1</v>
      </c>
      <c r="N240" s="771">
        <v>1</v>
      </c>
      <c r="O240" s="401">
        <f t="shared" si="55"/>
        <v>0</v>
      </c>
      <c r="P240" s="299">
        <f>181681500*110%</f>
        <v>199849650.00000003</v>
      </c>
      <c r="Q240" s="683">
        <f t="shared" si="54"/>
        <v>0</v>
      </c>
      <c r="R240" s="930"/>
      <c r="S240" s="930"/>
      <c r="T240" s="931"/>
      <c r="U240" s="931"/>
      <c r="V240" s="931"/>
      <c r="W240" s="931"/>
      <c r="X240" s="545"/>
      <c r="Y240" s="437">
        <f t="shared" si="56"/>
        <v>0</v>
      </c>
      <c r="Z240" s="436"/>
    </row>
    <row r="241" spans="2:26" hidden="1" x14ac:dyDescent="0.35">
      <c r="B241" s="700"/>
      <c r="E241" s="701"/>
      <c r="F241" s="765" t="s">
        <v>483</v>
      </c>
      <c r="G241" s="766" t="s">
        <v>264</v>
      </c>
      <c r="H241" s="767"/>
      <c r="I241" s="768"/>
      <c r="J241" s="766"/>
      <c r="K241" s="548">
        <v>0</v>
      </c>
      <c r="L241" s="880"/>
      <c r="M241" s="770">
        <v>1</v>
      </c>
      <c r="N241" s="771">
        <v>1</v>
      </c>
      <c r="O241" s="401">
        <f t="shared" si="55"/>
        <v>0</v>
      </c>
      <c r="P241" s="299">
        <f>56990587.5*110%</f>
        <v>62689646.250000007</v>
      </c>
      <c r="Q241" s="683">
        <f t="shared" si="54"/>
        <v>0</v>
      </c>
      <c r="R241" s="930"/>
      <c r="S241" s="930"/>
      <c r="T241" s="931"/>
      <c r="U241" s="931"/>
      <c r="V241" s="931"/>
      <c r="W241" s="931"/>
      <c r="X241" s="545"/>
      <c r="Y241" s="437">
        <f t="shared" si="56"/>
        <v>0</v>
      </c>
      <c r="Z241" s="436"/>
    </row>
    <row r="242" spans="2:26" hidden="1" x14ac:dyDescent="0.35">
      <c r="B242" s="700"/>
      <c r="E242" s="701"/>
      <c r="F242" s="765" t="s">
        <v>484</v>
      </c>
      <c r="G242" s="766" t="s">
        <v>264</v>
      </c>
      <c r="H242" s="767"/>
      <c r="I242" s="768"/>
      <c r="J242" s="766"/>
      <c r="K242" s="548">
        <v>0</v>
      </c>
      <c r="L242" s="880"/>
      <c r="M242" s="774">
        <v>1</v>
      </c>
      <c r="N242" s="771">
        <v>1</v>
      </c>
      <c r="O242" s="401">
        <f t="shared" si="55"/>
        <v>0</v>
      </c>
      <c r="P242" s="299">
        <f>91184940*110%</f>
        <v>100303434.00000001</v>
      </c>
      <c r="Q242" s="683">
        <f t="shared" si="54"/>
        <v>0</v>
      </c>
      <c r="R242" s="930"/>
      <c r="S242" s="930"/>
      <c r="T242" s="931"/>
      <c r="U242" s="931"/>
      <c r="V242" s="931"/>
      <c r="W242" s="932"/>
      <c r="X242" s="545"/>
      <c r="Y242" s="437">
        <f t="shared" si="56"/>
        <v>0</v>
      </c>
      <c r="Z242" s="436"/>
    </row>
    <row r="243" spans="2:26" hidden="1" x14ac:dyDescent="0.35">
      <c r="B243" s="700"/>
      <c r="E243" s="701"/>
      <c r="F243" s="765" t="s">
        <v>485</v>
      </c>
      <c r="G243" s="766" t="s">
        <v>264</v>
      </c>
      <c r="H243" s="767"/>
      <c r="I243" s="768"/>
      <c r="J243" s="766"/>
      <c r="K243" s="548">
        <v>0</v>
      </c>
      <c r="L243" s="880"/>
      <c r="M243" s="774">
        <v>1</v>
      </c>
      <c r="N243" s="771">
        <v>1</v>
      </c>
      <c r="O243" s="401">
        <f t="shared" si="55"/>
        <v>0</v>
      </c>
      <c r="P243" s="299">
        <f>VLOOKUP($F243,'[1]Master Harga'!$E$5:$L$351,8,FALSE)</f>
        <v>109254494.53462499</v>
      </c>
      <c r="Q243" s="683">
        <f t="shared" si="54"/>
        <v>0</v>
      </c>
      <c r="R243" s="930"/>
      <c r="S243" s="930"/>
      <c r="T243" s="931"/>
      <c r="U243" s="931"/>
      <c r="V243" s="931"/>
      <c r="W243" s="932"/>
      <c r="X243" s="545"/>
      <c r="Y243" s="437">
        <f t="shared" si="56"/>
        <v>0</v>
      </c>
      <c r="Z243" s="436"/>
    </row>
    <row r="244" spans="2:26" hidden="1" x14ac:dyDescent="0.35">
      <c r="B244" s="700"/>
      <c r="E244" s="701"/>
      <c r="F244" s="765" t="s">
        <v>486</v>
      </c>
      <c r="G244" s="766"/>
      <c r="H244" s="767"/>
      <c r="I244" s="768"/>
      <c r="J244" s="766"/>
      <c r="K244" s="548">
        <v>0</v>
      </c>
      <c r="L244" s="880"/>
      <c r="M244" s="774">
        <v>1</v>
      </c>
      <c r="N244" s="771">
        <v>1</v>
      </c>
      <c r="O244" s="401">
        <f t="shared" si="55"/>
        <v>0</v>
      </c>
      <c r="P244" s="299">
        <f>56990587.5*110%</f>
        <v>62689646.250000007</v>
      </c>
      <c r="Q244" s="683">
        <f t="shared" si="54"/>
        <v>0</v>
      </c>
      <c r="R244" s="930"/>
      <c r="S244" s="930"/>
      <c r="T244" s="931"/>
      <c r="U244" s="931"/>
      <c r="V244" s="931"/>
      <c r="W244" s="932"/>
      <c r="X244" s="545"/>
      <c r="Y244" s="437">
        <f t="shared" si="56"/>
        <v>0</v>
      </c>
      <c r="Z244" s="436"/>
    </row>
    <row r="245" spans="2:26" x14ac:dyDescent="0.35">
      <c r="B245" s="700"/>
      <c r="E245" s="701"/>
      <c r="F245" s="436" t="s">
        <v>215</v>
      </c>
      <c r="G245" s="579" t="s">
        <v>203</v>
      </c>
      <c r="H245" s="545"/>
      <c r="I245" s="580"/>
      <c r="J245" s="579"/>
      <c r="K245" s="400">
        <v>0.2</v>
      </c>
      <c r="L245" s="849">
        <f t="shared" ref="L245:L246" si="57">$L$44</f>
        <v>400.8</v>
      </c>
      <c r="M245" s="775">
        <v>6</v>
      </c>
      <c r="N245" s="776">
        <v>1</v>
      </c>
      <c r="O245" s="777">
        <f t="shared" si="55"/>
        <v>480.96000000000004</v>
      </c>
      <c r="P245" s="299">
        <f>VLOOKUP($F245,'[1]Master Harga'!$E$5:$L$351,8,FALSE)</f>
        <v>805655.39686222153</v>
      </c>
      <c r="Q245" s="683">
        <f t="shared" si="54"/>
        <v>387488019.6748541</v>
      </c>
      <c r="R245" s="930"/>
      <c r="S245" s="930"/>
      <c r="T245" s="931"/>
      <c r="U245" s="931"/>
      <c r="V245" s="931"/>
      <c r="W245" s="932"/>
      <c r="X245" s="545"/>
      <c r="Y245" s="437">
        <f t="shared" si="56"/>
        <v>966786.47623466584</v>
      </c>
      <c r="Z245" s="436"/>
    </row>
    <row r="246" spans="2:26" x14ac:dyDescent="0.35">
      <c r="B246" s="700"/>
      <c r="E246" s="701"/>
      <c r="F246" s="436" t="s">
        <v>265</v>
      </c>
      <c r="G246" s="579" t="s">
        <v>203</v>
      </c>
      <c r="H246" s="545"/>
      <c r="I246" s="580"/>
      <c r="J246" s="579"/>
      <c r="K246" s="400">
        <v>0.2</v>
      </c>
      <c r="L246" s="849">
        <f t="shared" si="57"/>
        <v>400.8</v>
      </c>
      <c r="M246" s="775">
        <v>7</v>
      </c>
      <c r="N246" s="776">
        <v>1</v>
      </c>
      <c r="O246" s="777">
        <f t="shared" si="55"/>
        <v>561.12000000000012</v>
      </c>
      <c r="P246" s="299">
        <f>VLOOKUP($F246,'[1]Master Harga'!$E$5:$L$351,8,FALSE)</f>
        <v>751814.04771000007</v>
      </c>
      <c r="Q246" s="683">
        <f t="shared" si="54"/>
        <v>421857898.45103532</v>
      </c>
      <c r="R246" s="930"/>
      <c r="S246" s="930"/>
      <c r="T246" s="931"/>
      <c r="U246" s="931"/>
      <c r="V246" s="931"/>
      <c r="W246" s="932"/>
      <c r="X246" s="545"/>
      <c r="Y246" s="437">
        <f t="shared" si="56"/>
        <v>1052539.6667940002</v>
      </c>
      <c r="Z246" s="436"/>
    </row>
    <row r="247" spans="2:26" x14ac:dyDescent="0.35">
      <c r="B247" s="700"/>
      <c r="D247" s="763" t="s">
        <v>487</v>
      </c>
      <c r="E247" s="764"/>
      <c r="F247" s="436" t="s">
        <v>189</v>
      </c>
      <c r="G247" s="579" t="s">
        <v>190</v>
      </c>
      <c r="H247" s="545"/>
      <c r="I247" s="580"/>
      <c r="J247" s="579"/>
      <c r="K247" s="439"/>
      <c r="L247" s="849"/>
      <c r="M247" s="552"/>
      <c r="N247" s="437">
        <v>1</v>
      </c>
      <c r="O247" s="545"/>
      <c r="P247" s="683"/>
      <c r="Q247" s="683"/>
      <c r="R247" s="683"/>
      <c r="S247" s="683"/>
      <c r="T247" s="684"/>
      <c r="U247" s="684"/>
      <c r="V247" s="684"/>
      <c r="W247" s="684"/>
      <c r="X247" s="545"/>
      <c r="Y247" s="437">
        <f t="shared" si="56"/>
        <v>0</v>
      </c>
      <c r="Z247" s="436"/>
    </row>
    <row r="248" spans="2:26" x14ac:dyDescent="0.35">
      <c r="B248" s="700"/>
      <c r="E248" s="701"/>
      <c r="F248" s="436" t="s">
        <v>488</v>
      </c>
      <c r="G248" s="579" t="s">
        <v>264</v>
      </c>
      <c r="H248" s="545"/>
      <c r="I248" s="580"/>
      <c r="J248" s="579"/>
      <c r="K248" s="439"/>
      <c r="L248" s="849"/>
      <c r="M248" s="552"/>
      <c r="N248" s="437">
        <v>1</v>
      </c>
      <c r="O248" s="545"/>
      <c r="P248" s="683"/>
      <c r="Q248" s="683"/>
      <c r="R248" s="683"/>
      <c r="S248" s="683"/>
      <c r="T248" s="684"/>
      <c r="U248" s="684"/>
      <c r="V248" s="684"/>
      <c r="W248" s="684"/>
      <c r="X248" s="545"/>
      <c r="Y248" s="437">
        <f t="shared" si="56"/>
        <v>0</v>
      </c>
      <c r="Z248" s="436"/>
    </row>
    <row r="249" spans="2:26" x14ac:dyDescent="0.35">
      <c r="B249" s="700"/>
      <c r="D249" s="681"/>
      <c r="E249" s="682"/>
      <c r="F249" s="436" t="s">
        <v>215</v>
      </c>
      <c r="G249" s="579" t="s">
        <v>203</v>
      </c>
      <c r="H249" s="545"/>
      <c r="I249" s="580"/>
      <c r="J249" s="579"/>
      <c r="K249" s="439"/>
      <c r="L249" s="849"/>
      <c r="M249" s="552">
        <v>10</v>
      </c>
      <c r="N249" s="437">
        <v>1</v>
      </c>
      <c r="O249" s="545"/>
      <c r="P249" s="683"/>
      <c r="Q249" s="683"/>
      <c r="R249" s="683"/>
      <c r="S249" s="683"/>
      <c r="T249" s="684"/>
      <c r="U249" s="684"/>
      <c r="V249" s="684"/>
      <c r="W249" s="684"/>
      <c r="X249" s="545"/>
      <c r="Y249" s="437">
        <f t="shared" si="56"/>
        <v>0</v>
      </c>
      <c r="Z249" s="436"/>
    </row>
    <row r="250" spans="2:26" x14ac:dyDescent="0.35">
      <c r="B250" s="700"/>
      <c r="D250" s="357" t="s">
        <v>125</v>
      </c>
      <c r="E250" s="701"/>
      <c r="F250" s="436" t="s">
        <v>189</v>
      </c>
      <c r="G250" s="579" t="s">
        <v>190</v>
      </c>
      <c r="H250" s="545"/>
      <c r="I250" s="580"/>
      <c r="J250" s="579" t="s">
        <v>264</v>
      </c>
      <c r="K250" s="548">
        <v>0</v>
      </c>
      <c r="L250" s="849">
        <f t="shared" ref="L250:L258" si="58">$L$44</f>
        <v>400.8</v>
      </c>
      <c r="M250" s="776">
        <v>2</v>
      </c>
      <c r="N250" s="437">
        <v>1</v>
      </c>
      <c r="O250" s="401">
        <f t="shared" ref="O250:O256" si="59">K250*L250*M250*N250</f>
        <v>0</v>
      </c>
      <c r="P250" s="299">
        <f>VLOOKUP($F250,'[1]Master Harga'!$E$5:$L$351,8,FALSE)</f>
        <v>169122.61109699999</v>
      </c>
      <c r="Q250" s="683">
        <f t="shared" ref="Q250:Q258" si="60">P250*$O250</f>
        <v>0</v>
      </c>
      <c r="R250" s="683"/>
      <c r="S250" s="683"/>
      <c r="T250" s="684"/>
      <c r="U250" s="684"/>
      <c r="V250" s="684"/>
      <c r="W250" s="684"/>
      <c r="X250" s="545"/>
      <c r="Y250" s="437">
        <f t="shared" si="56"/>
        <v>0</v>
      </c>
      <c r="Z250" s="436"/>
    </row>
    <row r="251" spans="2:26" x14ac:dyDescent="0.35">
      <c r="B251" s="700"/>
      <c r="E251" s="701"/>
      <c r="F251" s="436" t="s">
        <v>125</v>
      </c>
      <c r="G251" s="579" t="s">
        <v>264</v>
      </c>
      <c r="H251" s="545"/>
      <c r="I251" s="580"/>
      <c r="J251" s="579" t="s">
        <v>264</v>
      </c>
      <c r="K251" s="548">
        <v>0</v>
      </c>
      <c r="L251" s="849">
        <f t="shared" si="58"/>
        <v>400.8</v>
      </c>
      <c r="M251" s="776">
        <v>7</v>
      </c>
      <c r="N251" s="437">
        <v>1</v>
      </c>
      <c r="O251" s="401">
        <f t="shared" si="59"/>
        <v>0</v>
      </c>
      <c r="P251" s="299">
        <f>VLOOKUP($F251,'[1]Master Harga'!$E$5:$L$351,8,FALSE)</f>
        <v>463050</v>
      </c>
      <c r="Q251" s="683">
        <f t="shared" si="60"/>
        <v>0</v>
      </c>
      <c r="R251" s="683"/>
      <c r="S251" s="683"/>
      <c r="T251" s="684"/>
      <c r="U251" s="684"/>
      <c r="V251" s="684"/>
      <c r="W251" s="684"/>
      <c r="X251" s="545"/>
      <c r="Y251" s="437">
        <f t="shared" si="56"/>
        <v>0</v>
      </c>
      <c r="Z251" s="436"/>
    </row>
    <row r="252" spans="2:26" x14ac:dyDescent="0.35">
      <c r="B252" s="700"/>
      <c r="D252" s="681"/>
      <c r="E252" s="682"/>
      <c r="F252" s="436" t="s">
        <v>265</v>
      </c>
      <c r="G252" s="579" t="s">
        <v>203</v>
      </c>
      <c r="H252" s="545"/>
      <c r="I252" s="580"/>
      <c r="J252" s="579" t="s">
        <v>264</v>
      </c>
      <c r="K252" s="548">
        <v>0</v>
      </c>
      <c r="L252" s="849">
        <f t="shared" si="58"/>
        <v>400.8</v>
      </c>
      <c r="M252" s="776">
        <v>3</v>
      </c>
      <c r="N252" s="437">
        <v>1</v>
      </c>
      <c r="O252" s="401">
        <f t="shared" si="59"/>
        <v>0</v>
      </c>
      <c r="P252" s="299">
        <f>VLOOKUP($F252,'[1]Master Harga'!$E$5:$L$351,8,FALSE)</f>
        <v>751814.04771000007</v>
      </c>
      <c r="Q252" s="683">
        <f t="shared" si="60"/>
        <v>0</v>
      </c>
      <c r="R252" s="683"/>
      <c r="S252" s="683"/>
      <c r="T252" s="684"/>
      <c r="U252" s="684"/>
      <c r="V252" s="684"/>
      <c r="W252" s="684"/>
      <c r="X252" s="545"/>
      <c r="Y252" s="437">
        <f t="shared" si="56"/>
        <v>0</v>
      </c>
      <c r="Z252" s="436"/>
    </row>
    <row r="253" spans="2:26" x14ac:dyDescent="0.35">
      <c r="B253" s="700"/>
      <c r="D253" s="763" t="s">
        <v>128</v>
      </c>
      <c r="E253" s="764"/>
      <c r="F253" s="436" t="s">
        <v>189</v>
      </c>
      <c r="G253" s="579" t="s">
        <v>190</v>
      </c>
      <c r="H253" s="545"/>
      <c r="I253" s="580"/>
      <c r="J253" s="579" t="s">
        <v>264</v>
      </c>
      <c r="K253" s="548">
        <v>0</v>
      </c>
      <c r="L253" s="849">
        <f t="shared" si="58"/>
        <v>400.8</v>
      </c>
      <c r="M253" s="776">
        <v>2</v>
      </c>
      <c r="N253" s="437">
        <v>1</v>
      </c>
      <c r="O253" s="401">
        <f t="shared" si="59"/>
        <v>0</v>
      </c>
      <c r="P253" s="299">
        <f>VLOOKUP($F253,'[1]Master Harga'!$E$5:$L$351,8,FALSE)</f>
        <v>169122.61109699999</v>
      </c>
      <c r="Q253" s="683">
        <f t="shared" si="60"/>
        <v>0</v>
      </c>
      <c r="R253" s="683"/>
      <c r="S253" s="683"/>
      <c r="T253" s="684"/>
      <c r="U253" s="684"/>
      <c r="V253" s="684"/>
      <c r="W253" s="684"/>
      <c r="X253" s="545"/>
      <c r="Y253" s="437">
        <f t="shared" si="56"/>
        <v>0</v>
      </c>
      <c r="Z253" s="436"/>
    </row>
    <row r="254" spans="2:26" x14ac:dyDescent="0.35">
      <c r="B254" s="700"/>
      <c r="E254" s="701"/>
      <c r="F254" s="436" t="s">
        <v>489</v>
      </c>
      <c r="G254" s="579" t="s">
        <v>264</v>
      </c>
      <c r="H254" s="545"/>
      <c r="I254" s="580"/>
      <c r="J254" s="579" t="s">
        <v>264</v>
      </c>
      <c r="K254" s="548">
        <v>0</v>
      </c>
      <c r="L254" s="849">
        <f t="shared" si="58"/>
        <v>400.8</v>
      </c>
      <c r="M254" s="776">
        <v>7</v>
      </c>
      <c r="N254" s="437">
        <v>1</v>
      </c>
      <c r="O254" s="401">
        <f t="shared" si="59"/>
        <v>0</v>
      </c>
      <c r="P254" s="299">
        <f>VLOOKUP($F254,'[1]Master Harga'!$E$5:$L$351,8,FALSE)</f>
        <v>636693.75</v>
      </c>
      <c r="Q254" s="683">
        <f t="shared" si="60"/>
        <v>0</v>
      </c>
      <c r="R254" s="683"/>
      <c r="S254" s="683"/>
      <c r="T254" s="684"/>
      <c r="U254" s="684"/>
      <c r="V254" s="684"/>
      <c r="W254" s="684"/>
      <c r="X254" s="545"/>
      <c r="Y254" s="437">
        <f t="shared" si="56"/>
        <v>0</v>
      </c>
      <c r="Z254" s="436"/>
    </row>
    <row r="255" spans="2:26" x14ac:dyDescent="0.35">
      <c r="B255" s="700"/>
      <c r="D255" s="681"/>
      <c r="E255" s="682"/>
      <c r="F255" s="436" t="s">
        <v>265</v>
      </c>
      <c r="G255" s="579" t="s">
        <v>203</v>
      </c>
      <c r="H255" s="545"/>
      <c r="I255" s="580"/>
      <c r="J255" s="579" t="s">
        <v>264</v>
      </c>
      <c r="K255" s="548">
        <v>0</v>
      </c>
      <c r="L255" s="849">
        <f t="shared" si="58"/>
        <v>400.8</v>
      </c>
      <c r="M255" s="776">
        <v>3</v>
      </c>
      <c r="N255" s="437">
        <v>1</v>
      </c>
      <c r="O255" s="401">
        <f t="shared" si="59"/>
        <v>0</v>
      </c>
      <c r="P255" s="299">
        <f>VLOOKUP($F255,'[1]Master Harga'!$E$5:$L$351,8,FALSE)</f>
        <v>751814.04771000007</v>
      </c>
      <c r="Q255" s="683">
        <f t="shared" si="60"/>
        <v>0</v>
      </c>
      <c r="R255" s="683"/>
      <c r="S255" s="683"/>
      <c r="T255" s="684"/>
      <c r="U255" s="684"/>
      <c r="V255" s="684"/>
      <c r="W255" s="684"/>
      <c r="X255" s="545"/>
      <c r="Y255" s="437">
        <f t="shared" si="56"/>
        <v>0</v>
      </c>
      <c r="Z255" s="436"/>
    </row>
    <row r="256" spans="2:26" x14ac:dyDescent="0.35">
      <c r="B256" s="700"/>
      <c r="D256" s="763" t="s">
        <v>131</v>
      </c>
      <c r="E256" s="764"/>
      <c r="F256" s="436" t="s">
        <v>189</v>
      </c>
      <c r="G256" s="579" t="s">
        <v>190</v>
      </c>
      <c r="H256" s="545"/>
      <c r="I256" s="580"/>
      <c r="J256" s="579" t="s">
        <v>264</v>
      </c>
      <c r="K256" s="548">
        <v>0</v>
      </c>
      <c r="L256" s="849">
        <f t="shared" si="58"/>
        <v>400.8</v>
      </c>
      <c r="M256" s="776">
        <v>2</v>
      </c>
      <c r="N256" s="437">
        <v>1</v>
      </c>
      <c r="O256" s="401">
        <f t="shared" si="59"/>
        <v>0</v>
      </c>
      <c r="P256" s="299">
        <f>VLOOKUP($F256,'[1]Master Harga'!$E$5:$L$351,8,FALSE)</f>
        <v>169122.61109699999</v>
      </c>
      <c r="Q256" s="683">
        <f t="shared" si="60"/>
        <v>0</v>
      </c>
      <c r="R256" s="683"/>
      <c r="S256" s="683"/>
      <c r="T256" s="684"/>
      <c r="U256" s="684"/>
      <c r="V256" s="684"/>
      <c r="W256" s="684"/>
      <c r="X256" s="545"/>
      <c r="Y256" s="437">
        <f t="shared" si="56"/>
        <v>0</v>
      </c>
      <c r="Z256" s="436"/>
    </row>
    <row r="257" spans="2:26" x14ac:dyDescent="0.35">
      <c r="B257" s="700"/>
      <c r="E257" s="701"/>
      <c r="F257" s="436" t="s">
        <v>490</v>
      </c>
      <c r="G257" s="579" t="s">
        <v>264</v>
      </c>
      <c r="H257" s="545"/>
      <c r="I257" s="580"/>
      <c r="J257" s="579" t="s">
        <v>264</v>
      </c>
      <c r="K257" s="548">
        <v>0</v>
      </c>
      <c r="L257" s="849">
        <f t="shared" si="58"/>
        <v>400.8</v>
      </c>
      <c r="M257" s="776">
        <v>7</v>
      </c>
      <c r="N257" s="437">
        <v>1</v>
      </c>
      <c r="O257" s="401">
        <f>K257*L257*M257*N257</f>
        <v>0</v>
      </c>
      <c r="P257" s="299">
        <f>VLOOKUP($F257,'[1]Master Harga'!$E$5:$L$351,8,FALSE)</f>
        <v>752456.25</v>
      </c>
      <c r="Q257" s="683">
        <f t="shared" si="60"/>
        <v>0</v>
      </c>
      <c r="R257" s="437">
        <f>VLOOKUP($F257,'[2]Master Harga'!$E$5:$M$348,8,FALSE)</f>
        <v>752456.25</v>
      </c>
      <c r="S257" s="683">
        <f>R257*$O257</f>
        <v>0</v>
      </c>
      <c r="T257" s="437">
        <f>VLOOKUP($F257,'[2]Master Harga'!$E$5:$M$348,9,FALSE)</f>
        <v>790079.0625</v>
      </c>
      <c r="U257" s="684">
        <f>$O257*T257</f>
        <v>0</v>
      </c>
      <c r="V257" s="437" t="e">
        <f>W257/O257</f>
        <v>#DIV/0!</v>
      </c>
      <c r="W257" s="307">
        <f>AVERAGEIF($P$3:$U$3,W$3,$P257:$U257)</f>
        <v>0</v>
      </c>
      <c r="X257" s="545"/>
      <c r="Y257" s="437">
        <f t="shared" si="56"/>
        <v>0</v>
      </c>
      <c r="Z257" s="436"/>
    </row>
    <row r="258" spans="2:26" x14ac:dyDescent="0.35">
      <c r="B258" s="680"/>
      <c r="C258" s="681"/>
      <c r="D258" s="681"/>
      <c r="E258" s="682"/>
      <c r="F258" s="436" t="s">
        <v>265</v>
      </c>
      <c r="G258" s="579" t="s">
        <v>203</v>
      </c>
      <c r="H258" s="545"/>
      <c r="I258" s="580"/>
      <c r="J258" s="579" t="s">
        <v>264</v>
      </c>
      <c r="K258" s="548">
        <v>0</v>
      </c>
      <c r="L258" s="849">
        <f t="shared" si="58"/>
        <v>400.8</v>
      </c>
      <c r="M258" s="776">
        <v>3</v>
      </c>
      <c r="N258" s="437">
        <v>1</v>
      </c>
      <c r="O258" s="401">
        <f>K258*L258*M258*N258</f>
        <v>0</v>
      </c>
      <c r="P258" s="299">
        <f>VLOOKUP($F258,'[1]Master Harga'!$E$5:$L$351,8,FALSE)</f>
        <v>751814.04771000007</v>
      </c>
      <c r="Q258" s="683">
        <f t="shared" si="60"/>
        <v>0</v>
      </c>
      <c r="R258" s="437">
        <f>VLOOKUP($F258,'[2]Master Harga'!$E$5:$M$348,8,FALSE)</f>
        <v>605415.30316800007</v>
      </c>
      <c r="S258" s="683">
        <f>R258*$O258</f>
        <v>0</v>
      </c>
      <c r="T258" s="437">
        <f>VLOOKUP($F258,'[2]Master Harga'!$E$5:$M$348,9,FALSE)</f>
        <v>629631.91529472009</v>
      </c>
      <c r="U258" s="684">
        <f>$O258*T258</f>
        <v>0</v>
      </c>
      <c r="V258" s="437" t="e">
        <f>W258/O258</f>
        <v>#DIV/0!</v>
      </c>
      <c r="W258" s="307">
        <f>AVERAGEIF($P$3:$U$3,W$3,$P258:$U258)</f>
        <v>0</v>
      </c>
      <c r="X258" s="545"/>
      <c r="Y258" s="437">
        <f t="shared" si="56"/>
        <v>0</v>
      </c>
      <c r="Z258" s="436"/>
    </row>
    <row r="259" spans="2:26" customFormat="1" x14ac:dyDescent="0.35">
      <c r="B259" s="685" t="s">
        <v>568</v>
      </c>
      <c r="C259" s="864"/>
      <c r="D259" s="864"/>
      <c r="E259" s="865"/>
      <c r="F259" s="688"/>
      <c r="G259" s="689"/>
      <c r="H259" s="690"/>
      <c r="I259" s="691"/>
      <c r="J259" s="689"/>
      <c r="K259" s="692"/>
      <c r="L259" s="866"/>
      <c r="M259" s="694"/>
      <c r="N259" s="695"/>
      <c r="O259" s="690"/>
      <c r="P259" s="696"/>
      <c r="Q259" s="697">
        <f>SUM(Q234:Q258)</f>
        <v>809345918.12588942</v>
      </c>
      <c r="R259" s="696"/>
      <c r="S259" s="697">
        <f>SUM(S248:S258)</f>
        <v>0</v>
      </c>
      <c r="T259" s="874"/>
      <c r="U259" s="874"/>
      <c r="V259" s="874"/>
      <c r="W259" s="874"/>
      <c r="X259" s="690"/>
      <c r="Y259" s="698">
        <f t="shared" si="56"/>
        <v>2019326.1430286663</v>
      </c>
      <c r="Z259" s="875">
        <f>(Y259/$Y$404)*100</f>
        <v>10.779026761806026</v>
      </c>
    </row>
    <row r="260" spans="2:26" x14ac:dyDescent="0.35">
      <c r="B260" s="545"/>
      <c r="C260" s="580" t="s">
        <v>492</v>
      </c>
      <c r="D260" s="580"/>
      <c r="E260" s="723"/>
      <c r="F260" s="436"/>
      <c r="G260" s="579"/>
      <c r="H260" s="545"/>
      <c r="I260" s="580"/>
      <c r="J260" s="579"/>
      <c r="K260" s="439"/>
      <c r="L260" s="887"/>
      <c r="M260" s="552"/>
      <c r="N260" s="437"/>
      <c r="O260" s="545"/>
      <c r="P260" s="683"/>
      <c r="Q260" s="683"/>
      <c r="R260" s="683"/>
      <c r="S260" s="683"/>
      <c r="T260" s="684"/>
      <c r="U260" s="684"/>
      <c r="V260" s="684"/>
      <c r="W260" s="684"/>
      <c r="X260" s="545"/>
      <c r="Y260" s="437">
        <f t="shared" si="56"/>
        <v>0</v>
      </c>
      <c r="Z260" s="436"/>
    </row>
    <row r="261" spans="2:26" x14ac:dyDescent="0.35">
      <c r="B261" s="700"/>
      <c r="D261" s="357" t="s">
        <v>493</v>
      </c>
      <c r="E261" s="701"/>
      <c r="F261" s="436" t="s">
        <v>189</v>
      </c>
      <c r="G261" s="579" t="s">
        <v>190</v>
      </c>
      <c r="H261" s="545"/>
      <c r="I261" s="580"/>
      <c r="J261" s="579"/>
      <c r="K261" s="548">
        <v>0.5</v>
      </c>
      <c r="L261" s="849"/>
      <c r="M261" s="552"/>
      <c r="N261" s="437">
        <v>1</v>
      </c>
      <c r="O261" s="401">
        <f t="shared" ref="O261:O267" si="61">K261*L261*M261*N261</f>
        <v>0</v>
      </c>
      <c r="P261" s="299">
        <f>VLOOKUP($F261,'[1]Master Harga'!$E$5:$L$351,8,FALSE)</f>
        <v>169122.61109699999</v>
      </c>
      <c r="Q261" s="683">
        <f t="shared" ref="Q261:Q266" si="62">P261*$O261</f>
        <v>0</v>
      </c>
      <c r="R261" s="683"/>
      <c r="S261" s="683"/>
      <c r="T261" s="684"/>
      <c r="U261" s="684"/>
      <c r="V261" s="684"/>
      <c r="W261" s="684"/>
      <c r="X261" s="545"/>
      <c r="Y261" s="437">
        <f t="shared" si="56"/>
        <v>0</v>
      </c>
      <c r="Z261" s="436"/>
    </row>
    <row r="262" spans="2:26" x14ac:dyDescent="0.35">
      <c r="B262" s="700"/>
      <c r="E262" s="701"/>
      <c r="F262" s="436" t="s">
        <v>215</v>
      </c>
      <c r="G262" s="579" t="s">
        <v>203</v>
      </c>
      <c r="H262" s="545"/>
      <c r="I262" s="580"/>
      <c r="J262" s="579"/>
      <c r="K262" s="548">
        <v>0.5</v>
      </c>
      <c r="L262" s="849"/>
      <c r="M262" s="552">
        <v>0.1</v>
      </c>
      <c r="N262" s="437">
        <v>1</v>
      </c>
      <c r="O262" s="401">
        <f t="shared" si="61"/>
        <v>0</v>
      </c>
      <c r="P262" s="299">
        <f>VLOOKUP($F262,'[1]Master Harga'!$E$5:$L$351,8,FALSE)</f>
        <v>805655.39686222153</v>
      </c>
      <c r="Q262" s="683">
        <f t="shared" si="62"/>
        <v>0</v>
      </c>
      <c r="R262" s="683"/>
      <c r="S262" s="683"/>
      <c r="T262" s="684"/>
      <c r="U262" s="684"/>
      <c r="V262" s="684"/>
      <c r="W262" s="684"/>
      <c r="X262" s="545"/>
      <c r="Y262" s="437">
        <f t="shared" si="56"/>
        <v>0</v>
      </c>
      <c r="Z262" s="436"/>
    </row>
    <row r="263" spans="2:26" x14ac:dyDescent="0.35">
      <c r="B263" s="700"/>
      <c r="D263" s="357" t="s">
        <v>494</v>
      </c>
      <c r="E263" s="701"/>
      <c r="F263" s="436" t="s">
        <v>189</v>
      </c>
      <c r="G263" s="579" t="s">
        <v>190</v>
      </c>
      <c r="H263" s="545"/>
      <c r="I263" s="580"/>
      <c r="J263" s="579"/>
      <c r="K263" s="439"/>
      <c r="L263" s="849"/>
      <c r="M263" s="552"/>
      <c r="N263" s="437">
        <v>1</v>
      </c>
      <c r="O263" s="401">
        <f t="shared" si="61"/>
        <v>0</v>
      </c>
      <c r="P263" s="299">
        <f>VLOOKUP($F263,'[1]Master Harga'!$E$5:$L$351,8,FALSE)</f>
        <v>169122.61109699999</v>
      </c>
      <c r="Q263" s="683">
        <f t="shared" si="62"/>
        <v>0</v>
      </c>
      <c r="R263" s="683"/>
      <c r="S263" s="683"/>
      <c r="T263" s="684"/>
      <c r="U263" s="684"/>
      <c r="V263" s="684"/>
      <c r="W263" s="684"/>
      <c r="X263" s="545"/>
      <c r="Y263" s="437">
        <f t="shared" si="56"/>
        <v>0</v>
      </c>
      <c r="Z263" s="436"/>
    </row>
    <row r="264" spans="2:26" x14ac:dyDescent="0.35">
      <c r="B264" s="680"/>
      <c r="C264" s="681"/>
      <c r="D264" s="681"/>
      <c r="E264" s="682"/>
      <c r="F264" s="436" t="s">
        <v>215</v>
      </c>
      <c r="G264" s="579" t="s">
        <v>203</v>
      </c>
      <c r="H264" s="545"/>
      <c r="I264" s="580"/>
      <c r="J264" s="579"/>
      <c r="K264" s="548">
        <v>0.5</v>
      </c>
      <c r="L264" s="933">
        <f>'SI TB LC'!L129</f>
        <v>19388.866244305238</v>
      </c>
      <c r="M264" s="552">
        <f>1/30</f>
        <v>3.3333333333333333E-2</v>
      </c>
      <c r="N264" s="437">
        <v>1</v>
      </c>
      <c r="O264" s="401">
        <f t="shared" si="61"/>
        <v>323.1477707384206</v>
      </c>
      <c r="P264" s="299">
        <f>VLOOKUP($F264,'[1]Master Harga'!$E$5:$L$351,8,FALSE)</f>
        <v>805655.39686222153</v>
      </c>
      <c r="Q264" s="683">
        <f t="shared" si="62"/>
        <v>260345745.47940442</v>
      </c>
      <c r="R264" s="683"/>
      <c r="S264" s="683"/>
      <c r="T264" s="684"/>
      <c r="U264" s="684"/>
      <c r="V264" s="684"/>
      <c r="W264" s="684"/>
      <c r="X264" s="545"/>
      <c r="Y264" s="437">
        <f t="shared" si="56"/>
        <v>649565.23323204694</v>
      </c>
      <c r="Z264" s="436"/>
    </row>
    <row r="265" spans="2:26" x14ac:dyDescent="0.35">
      <c r="B265" s="700"/>
      <c r="D265" s="357" t="s">
        <v>495</v>
      </c>
      <c r="E265" s="701"/>
      <c r="F265" s="436" t="s">
        <v>189</v>
      </c>
      <c r="G265" s="579" t="s">
        <v>190</v>
      </c>
      <c r="H265" s="545"/>
      <c r="I265" s="580"/>
      <c r="J265" s="579"/>
      <c r="K265" s="548"/>
      <c r="L265" s="934">
        <f>'SI TB LC'!L132</f>
        <v>400.8</v>
      </c>
      <c r="M265" s="552">
        <f>1/30</f>
        <v>3.3333333333333333E-2</v>
      </c>
      <c r="N265" s="437">
        <v>1</v>
      </c>
      <c r="O265" s="401">
        <f t="shared" si="61"/>
        <v>0</v>
      </c>
      <c r="P265" s="299">
        <f>VLOOKUP($F265,'[1]Master Harga'!$E$5:$L$351,8,FALSE)</f>
        <v>169122.61109699999</v>
      </c>
      <c r="Q265" s="683">
        <f t="shared" si="62"/>
        <v>0</v>
      </c>
      <c r="R265" s="683"/>
      <c r="S265" s="683"/>
      <c r="T265" s="684"/>
      <c r="U265" s="684"/>
      <c r="V265" s="684"/>
      <c r="W265" s="684"/>
      <c r="X265" s="545"/>
      <c r="Y265" s="437">
        <f t="shared" si="56"/>
        <v>0</v>
      </c>
      <c r="Z265" s="436"/>
    </row>
    <row r="266" spans="2:26" x14ac:dyDescent="0.35">
      <c r="B266" s="700"/>
      <c r="E266" s="701"/>
      <c r="F266" s="436" t="s">
        <v>215</v>
      </c>
      <c r="G266" s="579" t="s">
        <v>203</v>
      </c>
      <c r="H266" s="545"/>
      <c r="I266" s="580"/>
      <c r="J266" s="579"/>
      <c r="K266" s="548"/>
      <c r="L266" s="934">
        <f>L265</f>
        <v>400.8</v>
      </c>
      <c r="M266" s="552">
        <f>1/60</f>
        <v>1.6666666666666666E-2</v>
      </c>
      <c r="N266" s="437">
        <v>1</v>
      </c>
      <c r="O266" s="401">
        <f t="shared" si="61"/>
        <v>0</v>
      </c>
      <c r="P266" s="299">
        <f>VLOOKUP($F266,'[1]Master Harga'!$E$5:$L$351,8,FALSE)</f>
        <v>805655.39686222153</v>
      </c>
      <c r="Q266" s="683">
        <f t="shared" si="62"/>
        <v>0</v>
      </c>
      <c r="R266" s="683"/>
      <c r="S266" s="683"/>
      <c r="T266" s="684"/>
      <c r="U266" s="684"/>
      <c r="V266" s="684"/>
      <c r="W266" s="684"/>
      <c r="X266" s="545"/>
      <c r="Y266" s="437">
        <f t="shared" si="56"/>
        <v>0</v>
      </c>
      <c r="Z266" s="436"/>
    </row>
    <row r="267" spans="2:26" x14ac:dyDescent="0.35">
      <c r="B267" s="700"/>
      <c r="D267" s="357" t="s">
        <v>139</v>
      </c>
      <c r="E267" s="701"/>
      <c r="F267" s="436" t="s">
        <v>189</v>
      </c>
      <c r="G267" s="579" t="s">
        <v>190</v>
      </c>
      <c r="H267" s="545"/>
      <c r="I267" s="580"/>
      <c r="J267" s="579"/>
      <c r="K267" s="400">
        <v>1</v>
      </c>
      <c r="L267" s="292">
        <f>$L$195</f>
        <v>400.8</v>
      </c>
      <c r="M267" s="542">
        <v>0.42799999999999999</v>
      </c>
      <c r="N267" s="296">
        <v>1</v>
      </c>
      <c r="O267" s="401">
        <f t="shared" si="61"/>
        <v>171.54240000000001</v>
      </c>
      <c r="P267" s="299">
        <f>VLOOKUP($F267,'[1]Master Harga'!$E$5:$L$351,5,FALSE)</f>
        <v>140008</v>
      </c>
      <c r="Q267" s="543">
        <f>P267*$O267</f>
        <v>24017308.339200001</v>
      </c>
      <c r="R267" s="299">
        <f>VLOOKUP($F267,'[1]Master Harga'!$E$5:$L$351,6,FALSE)</f>
        <v>149108.51999999999</v>
      </c>
      <c r="S267" s="543">
        <f>R267*$O267</f>
        <v>25578433.381248001</v>
      </c>
      <c r="T267" s="544"/>
      <c r="U267" s="544"/>
      <c r="V267" s="544"/>
      <c r="W267" s="544"/>
      <c r="X267" s="545"/>
      <c r="Y267" s="437">
        <f t="shared" si="56"/>
        <v>59923.423999999999</v>
      </c>
      <c r="Z267" s="436"/>
    </row>
    <row r="268" spans="2:26" x14ac:dyDescent="0.35">
      <c r="B268" s="700"/>
      <c r="E268" s="701"/>
      <c r="F268" s="436" t="s">
        <v>289</v>
      </c>
      <c r="G268" s="579" t="s">
        <v>264</v>
      </c>
      <c r="H268" s="545"/>
      <c r="I268" s="580"/>
      <c r="J268" s="579"/>
      <c r="K268" s="400">
        <v>1</v>
      </c>
      <c r="L268" s="292">
        <f>$L$195</f>
        <v>400.8</v>
      </c>
      <c r="M268" s="542"/>
      <c r="N268" s="296">
        <v>1</v>
      </c>
      <c r="O268" s="365"/>
      <c r="P268" s="543"/>
      <c r="Q268" s="543"/>
      <c r="R268" s="543"/>
      <c r="S268" s="543"/>
      <c r="T268" s="544"/>
      <c r="U268" s="544"/>
      <c r="V268" s="544"/>
      <c r="W268" s="544"/>
      <c r="X268" s="545"/>
      <c r="Y268" s="437">
        <f t="shared" si="56"/>
        <v>0</v>
      </c>
      <c r="Z268" s="436"/>
    </row>
    <row r="269" spans="2:26" x14ac:dyDescent="0.35">
      <c r="B269" s="700"/>
      <c r="E269" s="701"/>
      <c r="F269" s="436" t="s">
        <v>215</v>
      </c>
      <c r="G269" s="579" t="s">
        <v>203</v>
      </c>
      <c r="H269" s="545"/>
      <c r="I269" s="580"/>
      <c r="J269" s="579"/>
      <c r="K269" s="400">
        <v>1</v>
      </c>
      <c r="L269" s="292">
        <f>$L$195</f>
        <v>400.8</v>
      </c>
      <c r="M269" s="542"/>
      <c r="N269" s="296">
        <v>1</v>
      </c>
      <c r="O269" s="365"/>
      <c r="P269" s="543"/>
      <c r="Q269" s="543"/>
      <c r="R269" s="543"/>
      <c r="S269" s="543"/>
      <c r="T269" s="544"/>
      <c r="U269" s="544"/>
      <c r="V269" s="544"/>
      <c r="W269" s="544"/>
      <c r="X269" s="545"/>
      <c r="Y269" s="437">
        <f t="shared" si="56"/>
        <v>0</v>
      </c>
      <c r="Z269" s="436"/>
    </row>
    <row r="270" spans="2:26" x14ac:dyDescent="0.35">
      <c r="B270" s="785"/>
      <c r="C270" s="763" t="s">
        <v>496</v>
      </c>
      <c r="D270" s="763"/>
      <c r="E270" s="764"/>
      <c r="F270" s="436" t="s">
        <v>189</v>
      </c>
      <c r="G270" s="579" t="s">
        <v>190</v>
      </c>
      <c r="H270" s="545"/>
      <c r="I270" s="580"/>
      <c r="J270" s="579"/>
      <c r="K270" s="439"/>
      <c r="L270" s="849"/>
      <c r="M270" s="552"/>
      <c r="N270" s="437">
        <v>1</v>
      </c>
      <c r="O270" s="401">
        <f t="shared" ref="O270:O273" si="63">K270*L270*M270*N270</f>
        <v>0</v>
      </c>
      <c r="P270" s="299">
        <f>VLOOKUP($F270,'[1]Master Harga'!$E$5:$L$351,8,FALSE)</f>
        <v>169122.61109699999</v>
      </c>
      <c r="Q270" s="683">
        <f t="shared" ref="Q270:Q275" si="64">P270*$O270</f>
        <v>0</v>
      </c>
      <c r="R270" s="683"/>
      <c r="S270" s="683"/>
      <c r="T270" s="684"/>
      <c r="U270" s="684"/>
      <c r="V270" s="684"/>
      <c r="W270" s="684"/>
      <c r="X270" s="545"/>
      <c r="Y270" s="437">
        <f t="shared" si="56"/>
        <v>0</v>
      </c>
      <c r="Z270" s="436"/>
    </row>
    <row r="271" spans="2:26" x14ac:dyDescent="0.35">
      <c r="B271" s="700"/>
      <c r="E271" s="701"/>
      <c r="F271" s="436" t="s">
        <v>251</v>
      </c>
      <c r="G271" s="579" t="s">
        <v>203</v>
      </c>
      <c r="H271" s="545"/>
      <c r="I271" s="580"/>
      <c r="J271" s="579"/>
      <c r="K271" s="439"/>
      <c r="L271" s="849"/>
      <c r="M271" s="552">
        <f>2/1000</f>
        <v>2E-3</v>
      </c>
      <c r="N271" s="437">
        <v>1</v>
      </c>
      <c r="O271" s="401">
        <f t="shared" si="63"/>
        <v>0</v>
      </c>
      <c r="P271" s="299">
        <f>VLOOKUP($F271,'[1]Master Harga'!$E$5:$L$351,8,FALSE)</f>
        <v>789879.97204393509</v>
      </c>
      <c r="Q271" s="683">
        <f t="shared" si="64"/>
        <v>0</v>
      </c>
      <c r="R271" s="683"/>
      <c r="S271" s="683"/>
      <c r="T271" s="684"/>
      <c r="U271" s="684"/>
      <c r="V271" s="684"/>
      <c r="W271" s="684"/>
      <c r="X271" s="545"/>
      <c r="Y271" s="437">
        <f t="shared" si="56"/>
        <v>0</v>
      </c>
      <c r="Z271" s="436"/>
    </row>
    <row r="272" spans="2:26" x14ac:dyDescent="0.35">
      <c r="B272" s="700"/>
      <c r="E272" s="701"/>
      <c r="F272" s="436" t="s">
        <v>215</v>
      </c>
      <c r="G272" s="579" t="s">
        <v>203</v>
      </c>
      <c r="H272" s="545"/>
      <c r="I272" s="580"/>
      <c r="J272" s="579"/>
      <c r="K272" s="439"/>
      <c r="L272" s="849"/>
      <c r="M272" s="552"/>
      <c r="N272" s="437">
        <v>1</v>
      </c>
      <c r="O272" s="401">
        <f t="shared" si="63"/>
        <v>0</v>
      </c>
      <c r="P272" s="299">
        <f>VLOOKUP($F272,'[1]Master Harga'!$E$5:$L$351,8,FALSE)</f>
        <v>805655.39686222153</v>
      </c>
      <c r="Q272" s="683">
        <f t="shared" si="64"/>
        <v>0</v>
      </c>
      <c r="R272" s="683"/>
      <c r="S272" s="683"/>
      <c r="T272" s="684"/>
      <c r="U272" s="684"/>
      <c r="V272" s="684"/>
      <c r="W272" s="684"/>
      <c r="X272" s="545"/>
      <c r="Y272" s="437">
        <f t="shared" si="56"/>
        <v>0</v>
      </c>
      <c r="Z272" s="436"/>
    </row>
    <row r="273" spans="2:26" x14ac:dyDescent="0.35">
      <c r="B273" s="785"/>
      <c r="C273" s="763" t="s">
        <v>497</v>
      </c>
      <c r="D273" s="763"/>
      <c r="E273" s="764"/>
      <c r="F273" s="436" t="s">
        <v>189</v>
      </c>
      <c r="G273" s="579" t="s">
        <v>190</v>
      </c>
      <c r="H273" s="545"/>
      <c r="I273" s="580"/>
      <c r="J273" s="579"/>
      <c r="K273" s="439"/>
      <c r="L273" s="849"/>
      <c r="M273" s="552"/>
      <c r="N273" s="437">
        <v>1</v>
      </c>
      <c r="O273" s="401">
        <f t="shared" si="63"/>
        <v>0</v>
      </c>
      <c r="P273" s="299">
        <f>VLOOKUP($F273,'[1]Master Harga'!$E$5:$L$351,8,FALSE)</f>
        <v>169122.61109699999</v>
      </c>
      <c r="Q273" s="683">
        <f t="shared" si="64"/>
        <v>0</v>
      </c>
      <c r="R273" s="683"/>
      <c r="S273" s="683"/>
      <c r="T273" s="684"/>
      <c r="U273" s="684"/>
      <c r="V273" s="684"/>
      <c r="W273" s="684"/>
      <c r="X273" s="545"/>
      <c r="Y273" s="437">
        <f t="shared" si="56"/>
        <v>0</v>
      </c>
      <c r="Z273" s="436"/>
    </row>
    <row r="274" spans="2:26" x14ac:dyDescent="0.35">
      <c r="B274" s="700"/>
      <c r="C274" s="357" t="s">
        <v>498</v>
      </c>
      <c r="E274" s="701"/>
      <c r="F274" s="436" t="s">
        <v>189</v>
      </c>
      <c r="G274" s="579" t="s">
        <v>190</v>
      </c>
      <c r="H274" s="545"/>
      <c r="I274" s="580"/>
      <c r="J274" s="579"/>
      <c r="K274" s="439"/>
      <c r="L274" s="849"/>
      <c r="M274" s="552"/>
      <c r="N274" s="437">
        <v>1</v>
      </c>
      <c r="O274" s="401">
        <f>K274*L274*M274*N274</f>
        <v>0</v>
      </c>
      <c r="P274" s="299">
        <f>VLOOKUP($F274,'[1]Master Harga'!$E$5:$L$351,8,FALSE)</f>
        <v>169122.61109699999</v>
      </c>
      <c r="Q274" s="683">
        <f t="shared" si="64"/>
        <v>0</v>
      </c>
      <c r="R274" s="683"/>
      <c r="S274" s="683"/>
      <c r="T274" s="684"/>
      <c r="U274" s="684"/>
      <c r="V274" s="684"/>
      <c r="W274" s="684"/>
      <c r="X274" s="545"/>
      <c r="Y274" s="437">
        <f t="shared" si="56"/>
        <v>0</v>
      </c>
      <c r="Z274" s="436"/>
    </row>
    <row r="275" spans="2:26" x14ac:dyDescent="0.35">
      <c r="B275" s="700"/>
      <c r="E275" s="701"/>
      <c r="F275" s="436" t="s">
        <v>499</v>
      </c>
      <c r="G275" s="579" t="s">
        <v>264</v>
      </c>
      <c r="H275" s="545"/>
      <c r="I275" s="580"/>
      <c r="J275" s="579"/>
      <c r="K275" s="439"/>
      <c r="L275" s="849"/>
      <c r="M275" s="552"/>
      <c r="N275" s="437">
        <v>1</v>
      </c>
      <c r="O275" s="401">
        <f>K275*L275*M275*N275</f>
        <v>0</v>
      </c>
      <c r="P275" s="299">
        <f>VLOOKUP($F275,'[1]Master Harga'!$E$5:$L$351,8,FALSE)</f>
        <v>0</v>
      </c>
      <c r="Q275" s="683">
        <f t="shared" si="64"/>
        <v>0</v>
      </c>
      <c r="R275" s="683"/>
      <c r="S275" s="683"/>
      <c r="T275" s="684"/>
      <c r="U275" s="684"/>
      <c r="V275" s="684"/>
      <c r="W275" s="684"/>
      <c r="X275" s="545"/>
      <c r="Y275" s="437">
        <f t="shared" si="56"/>
        <v>0</v>
      </c>
      <c r="Z275" s="436"/>
    </row>
    <row r="276" spans="2:26" customFormat="1" x14ac:dyDescent="0.35">
      <c r="B276" s="753" t="s">
        <v>500</v>
      </c>
      <c r="C276" s="853"/>
      <c r="D276" s="853"/>
      <c r="E276" s="854"/>
      <c r="F276" s="668"/>
      <c r="G276" s="669"/>
      <c r="H276" s="670"/>
      <c r="I276" s="671"/>
      <c r="J276" s="669"/>
      <c r="K276" s="672"/>
      <c r="L276" s="876"/>
      <c r="M276" s="674"/>
      <c r="N276" s="675"/>
      <c r="O276" s="670"/>
      <c r="P276" s="676"/>
      <c r="Q276" s="756">
        <f>Q232+Q259+(SUM(Q261:Q275))</f>
        <v>2490688786.2164254</v>
      </c>
      <c r="R276" s="676"/>
      <c r="S276" s="756">
        <f>SUM(S267:S275)</f>
        <v>25578433.381248001</v>
      </c>
      <c r="T276" s="677"/>
      <c r="U276" s="677"/>
      <c r="V276" s="677"/>
      <c r="W276" s="677"/>
      <c r="X276" s="670"/>
      <c r="Y276" s="757">
        <f t="shared" si="56"/>
        <v>6214293.3787834961</v>
      </c>
      <c r="Z276" s="877">
        <f>(Y276/$Y$404)*100</f>
        <v>33.171478944533426</v>
      </c>
    </row>
    <row r="277" spans="2:26" x14ac:dyDescent="0.35">
      <c r="B277" s="722" t="s">
        <v>292</v>
      </c>
      <c r="C277" s="580"/>
      <c r="D277" s="580"/>
      <c r="E277" s="723"/>
      <c r="F277" s="436"/>
      <c r="G277" s="579"/>
      <c r="H277" s="545"/>
      <c r="I277" s="580"/>
      <c r="J277" s="579"/>
      <c r="K277" s="439"/>
      <c r="L277" s="849"/>
      <c r="M277" s="552"/>
      <c r="N277" s="437"/>
      <c r="O277" s="545"/>
      <c r="P277" s="683"/>
      <c r="Q277" s="683"/>
      <c r="R277" s="683"/>
      <c r="S277" s="683"/>
      <c r="T277" s="684"/>
      <c r="U277" s="684"/>
      <c r="V277" s="684"/>
      <c r="W277" s="684"/>
      <c r="X277" s="545"/>
      <c r="Y277" s="437">
        <f t="shared" si="56"/>
        <v>0</v>
      </c>
      <c r="Z277" s="436"/>
    </row>
    <row r="278" spans="2:26" x14ac:dyDescent="0.35">
      <c r="B278" s="700"/>
      <c r="C278" s="357" t="s">
        <v>134</v>
      </c>
      <c r="E278" s="701"/>
      <c r="F278" s="436" t="s">
        <v>189</v>
      </c>
      <c r="G278" s="579" t="s">
        <v>190</v>
      </c>
      <c r="H278" s="545"/>
      <c r="I278" s="580"/>
      <c r="J278" s="579"/>
      <c r="K278" s="890">
        <v>0</v>
      </c>
      <c r="L278" s="662">
        <f>192.08*143</f>
        <v>27467.440000000002</v>
      </c>
      <c r="M278" s="892">
        <v>0.33333333333333331</v>
      </c>
      <c r="N278" s="892">
        <v>1</v>
      </c>
      <c r="O278" s="893">
        <f>K278*L278*M278*N278</f>
        <v>0</v>
      </c>
      <c r="P278" s="299">
        <f>VLOOKUP($F278,'[1]Master Harga'!$E$5:$L$351,8,FALSE)</f>
        <v>169122.61109699999</v>
      </c>
      <c r="Q278" s="683">
        <f t="shared" ref="Q278" si="65">P278*$O278</f>
        <v>0</v>
      </c>
      <c r="R278" s="683"/>
      <c r="S278" s="683"/>
      <c r="T278" s="684"/>
      <c r="U278" s="684"/>
      <c r="V278" s="684"/>
      <c r="W278" s="684"/>
      <c r="X278" s="545"/>
      <c r="Y278" s="437">
        <f t="shared" si="56"/>
        <v>0</v>
      </c>
      <c r="Z278" s="436"/>
    </row>
    <row r="279" spans="2:26" x14ac:dyDescent="0.35">
      <c r="B279" s="700"/>
      <c r="D279" s="681"/>
      <c r="E279" s="682"/>
      <c r="F279" s="436"/>
      <c r="G279" s="579"/>
      <c r="H279" s="545"/>
      <c r="I279" s="580"/>
      <c r="J279" s="579"/>
      <c r="K279" s="900"/>
      <c r="L279" s="901"/>
      <c r="M279" s="892"/>
      <c r="N279" s="892">
        <v>1</v>
      </c>
      <c r="O279" s="902"/>
      <c r="P279" s="683"/>
      <c r="Q279" s="683"/>
      <c r="R279" s="683"/>
      <c r="S279" s="683"/>
      <c r="T279" s="684"/>
      <c r="U279" s="684"/>
      <c r="V279" s="684"/>
      <c r="W279" s="684"/>
      <c r="X279" s="545"/>
      <c r="Y279" s="437">
        <f t="shared" si="56"/>
        <v>0</v>
      </c>
      <c r="Z279" s="436"/>
    </row>
    <row r="280" spans="2:26" x14ac:dyDescent="0.35">
      <c r="B280" s="700"/>
      <c r="D280" s="357" t="s">
        <v>138</v>
      </c>
      <c r="E280" s="701"/>
      <c r="F280" s="436" t="s">
        <v>189</v>
      </c>
      <c r="G280" s="579" t="s">
        <v>190</v>
      </c>
      <c r="H280" s="545"/>
      <c r="I280" s="580"/>
      <c r="J280" s="579"/>
      <c r="K280" s="890">
        <v>0.2</v>
      </c>
      <c r="L280" s="662">
        <f>192.08*143</f>
        <v>27467.440000000002</v>
      </c>
      <c r="M280" s="892">
        <v>0.33333333333333331</v>
      </c>
      <c r="N280" s="892">
        <v>1</v>
      </c>
      <c r="O280" s="893">
        <f>K280*L280*M280*N280</f>
        <v>1831.1626666666671</v>
      </c>
      <c r="P280" s="299">
        <f>VLOOKUP($F280,'[1]Master Harga'!$E$5:$L$351,8,FALSE)</f>
        <v>169122.61109699999</v>
      </c>
      <c r="Q280" s="683">
        <f t="shared" ref="Q280" si="66">P280*$O280</f>
        <v>309691011.53001213</v>
      </c>
      <c r="R280" s="683"/>
      <c r="S280" s="683"/>
      <c r="T280" s="684"/>
      <c r="U280" s="684"/>
      <c r="V280" s="684"/>
      <c r="W280" s="684"/>
      <c r="X280" s="545"/>
      <c r="Y280" s="437">
        <f t="shared" si="56"/>
        <v>772682.16449603823</v>
      </c>
      <c r="Z280" s="436"/>
    </row>
    <row r="281" spans="2:26" x14ac:dyDescent="0.35">
      <c r="B281" s="680"/>
      <c r="C281" s="681"/>
      <c r="D281" s="681"/>
      <c r="E281" s="682"/>
      <c r="F281" s="436"/>
      <c r="G281" s="579"/>
      <c r="H281" s="545"/>
      <c r="I281" s="580"/>
      <c r="J281" s="579"/>
      <c r="K281" s="439"/>
      <c r="L281" s="849"/>
      <c r="M281" s="552"/>
      <c r="N281" s="437">
        <v>1</v>
      </c>
      <c r="O281" s="545"/>
      <c r="P281" s="683"/>
      <c r="Q281" s="683"/>
      <c r="R281" s="683"/>
      <c r="S281" s="683"/>
      <c r="T281" s="684"/>
      <c r="U281" s="684"/>
      <c r="V281" s="684"/>
      <c r="W281" s="684"/>
      <c r="X281" s="545"/>
      <c r="Y281" s="437">
        <f t="shared" si="56"/>
        <v>0</v>
      </c>
      <c r="Z281" s="436"/>
    </row>
    <row r="282" spans="2:26" hidden="1" x14ac:dyDescent="0.35">
      <c r="B282" s="700"/>
      <c r="C282" s="357" t="s">
        <v>294</v>
      </c>
      <c r="E282" s="701"/>
      <c r="F282" s="436" t="s">
        <v>189</v>
      </c>
      <c r="G282" s="579" t="s">
        <v>190</v>
      </c>
      <c r="H282" s="545"/>
      <c r="I282" s="580"/>
      <c r="J282" s="579"/>
      <c r="K282" s="439"/>
      <c r="L282" s="849"/>
      <c r="M282" s="552">
        <f>1/3</f>
        <v>0.33333333333333331</v>
      </c>
      <c r="N282" s="437">
        <v>1</v>
      </c>
      <c r="O282" s="545"/>
      <c r="P282" s="683"/>
      <c r="Q282" s="683"/>
      <c r="R282" s="683"/>
      <c r="S282" s="683"/>
      <c r="T282" s="684"/>
      <c r="U282" s="684"/>
      <c r="V282" s="684"/>
      <c r="W282" s="684"/>
      <c r="X282" s="545"/>
      <c r="Y282" s="437">
        <f t="shared" si="56"/>
        <v>0</v>
      </c>
      <c r="Z282" s="436"/>
    </row>
    <row r="283" spans="2:26" hidden="1" x14ac:dyDescent="0.35">
      <c r="B283" s="680"/>
      <c r="C283" s="681"/>
      <c r="D283" s="681"/>
      <c r="E283" s="682"/>
      <c r="F283" s="436"/>
      <c r="G283" s="579"/>
      <c r="H283" s="545"/>
      <c r="I283" s="580"/>
      <c r="J283" s="579"/>
      <c r="K283" s="439"/>
      <c r="L283" s="849"/>
      <c r="M283" s="552"/>
      <c r="N283" s="437">
        <v>1</v>
      </c>
      <c r="O283" s="545"/>
      <c r="P283" s="683"/>
      <c r="Q283" s="683"/>
      <c r="R283" s="683"/>
      <c r="S283" s="683"/>
      <c r="T283" s="684"/>
      <c r="U283" s="684"/>
      <c r="V283" s="684"/>
      <c r="W283" s="684"/>
      <c r="X283" s="545"/>
      <c r="Y283" s="437">
        <f t="shared" si="56"/>
        <v>0</v>
      </c>
      <c r="Z283" s="436"/>
    </row>
    <row r="284" spans="2:26" hidden="1" x14ac:dyDescent="0.35">
      <c r="B284" s="700"/>
      <c r="C284" s="357" t="s">
        <v>501</v>
      </c>
      <c r="E284" s="701"/>
      <c r="F284" s="436" t="s">
        <v>189</v>
      </c>
      <c r="G284" s="579" t="s">
        <v>190</v>
      </c>
      <c r="H284" s="545"/>
      <c r="I284" s="580"/>
      <c r="J284" s="579"/>
      <c r="K284" s="439"/>
      <c r="L284" s="849"/>
      <c r="M284" s="552"/>
      <c r="N284" s="437">
        <v>1</v>
      </c>
      <c r="O284" s="545"/>
      <c r="P284" s="683"/>
      <c r="Q284" s="683"/>
      <c r="R284" s="683"/>
      <c r="S284" s="683"/>
      <c r="T284" s="684"/>
      <c r="U284" s="684"/>
      <c r="V284" s="684"/>
      <c r="W284" s="684"/>
      <c r="X284" s="545"/>
      <c r="Y284" s="437">
        <f t="shared" si="56"/>
        <v>0</v>
      </c>
      <c r="Z284" s="436"/>
    </row>
    <row r="285" spans="2:26" hidden="1" x14ac:dyDescent="0.35">
      <c r="B285" s="680"/>
      <c r="C285" s="681"/>
      <c r="D285" s="681"/>
      <c r="E285" s="682"/>
      <c r="F285" s="436"/>
      <c r="G285" s="579"/>
      <c r="H285" s="545"/>
      <c r="I285" s="580"/>
      <c r="J285" s="579"/>
      <c r="K285" s="439"/>
      <c r="L285" s="849"/>
      <c r="M285" s="552"/>
      <c r="N285" s="437">
        <v>1</v>
      </c>
      <c r="O285" s="545"/>
      <c r="P285" s="683"/>
      <c r="Q285" s="683"/>
      <c r="R285" s="683"/>
      <c r="S285" s="683"/>
      <c r="T285" s="684"/>
      <c r="U285" s="684"/>
      <c r="V285" s="684"/>
      <c r="W285" s="684"/>
      <c r="X285" s="545"/>
      <c r="Y285" s="437">
        <f t="shared" si="56"/>
        <v>0</v>
      </c>
      <c r="Z285" s="436"/>
    </row>
    <row r="286" spans="2:26" customFormat="1" x14ac:dyDescent="0.35">
      <c r="B286" s="753" t="s">
        <v>502</v>
      </c>
      <c r="C286" s="853"/>
      <c r="D286" s="853"/>
      <c r="E286" s="854"/>
      <c r="F286" s="668"/>
      <c r="G286" s="669"/>
      <c r="H286" s="670"/>
      <c r="I286" s="671"/>
      <c r="J286" s="669"/>
      <c r="K286" s="672"/>
      <c r="L286" s="876"/>
      <c r="M286" s="674"/>
      <c r="N286" s="675"/>
      <c r="O286" s="670"/>
      <c r="P286" s="676"/>
      <c r="Q286" s="756">
        <f>SUM(Q277:Q285)</f>
        <v>309691011.53001213</v>
      </c>
      <c r="R286" s="676"/>
      <c r="S286" s="756">
        <f>SUM(S276:S285)</f>
        <v>25578433.381248001</v>
      </c>
      <c r="T286" s="677"/>
      <c r="U286" s="677"/>
      <c r="V286" s="677"/>
      <c r="W286" s="677"/>
      <c r="X286" s="670"/>
      <c r="Y286" s="757">
        <f t="shared" si="56"/>
        <v>772682.16449603823</v>
      </c>
      <c r="Z286" s="877">
        <f>(Y286/$Y$404)*100</f>
        <v>4.1245252819741101</v>
      </c>
    </row>
    <row r="287" spans="2:26" x14ac:dyDescent="0.35">
      <c r="B287" s="722" t="s">
        <v>503</v>
      </c>
      <c r="C287" s="580"/>
      <c r="D287" s="580"/>
      <c r="E287" s="723"/>
      <c r="F287" s="436"/>
      <c r="G287" s="579"/>
      <c r="H287" s="545"/>
      <c r="I287" s="580"/>
      <c r="J287" s="579"/>
      <c r="K287" s="439"/>
      <c r="L287" s="849"/>
      <c r="M287" s="552"/>
      <c r="N287" s="437"/>
      <c r="O287" s="545"/>
      <c r="P287" s="683"/>
      <c r="Q287" s="683"/>
      <c r="R287" s="683"/>
      <c r="S287" s="683"/>
      <c r="T287" s="684"/>
      <c r="U287" s="684"/>
      <c r="V287" s="684"/>
      <c r="W287" s="684"/>
      <c r="X287" s="545"/>
      <c r="Y287" s="437">
        <f t="shared" si="56"/>
        <v>0</v>
      </c>
      <c r="Z287" s="436"/>
    </row>
    <row r="288" spans="2:26" x14ac:dyDescent="0.35">
      <c r="B288" s="700"/>
      <c r="C288" s="357" t="s">
        <v>142</v>
      </c>
      <c r="E288" s="701"/>
      <c r="F288" s="436" t="s">
        <v>189</v>
      </c>
      <c r="G288" s="579" t="s">
        <v>190</v>
      </c>
      <c r="H288" s="545"/>
      <c r="I288" s="580"/>
      <c r="J288" s="579" t="s">
        <v>170</v>
      </c>
      <c r="K288" s="400">
        <v>0.25</v>
      </c>
      <c r="L288" s="849">
        <f t="shared" ref="L288:L289" si="67">$L$44</f>
        <v>400.8</v>
      </c>
      <c r="M288" s="552">
        <v>0.25</v>
      </c>
      <c r="N288" s="437">
        <v>3</v>
      </c>
      <c r="O288" s="590">
        <f>K288*L288*M288*N288</f>
        <v>75.150000000000006</v>
      </c>
      <c r="P288" s="299">
        <f>VLOOKUP($F288,'[1]Master Harga'!$E$5:$L$351,8,FALSE)</f>
        <v>169122.61109699999</v>
      </c>
      <c r="Q288" s="683">
        <f>P288*$O288</f>
        <v>12709564.223939549</v>
      </c>
      <c r="R288" s="437">
        <f>VLOOKUP($F288,'[2]Master Harga'!$E$5:$M$348,8,FALSE)</f>
        <v>179635.86432000002</v>
      </c>
      <c r="S288" s="683">
        <f>R288*$O288</f>
        <v>13499635.203648003</v>
      </c>
      <c r="T288" s="437">
        <f>VLOOKUP($F288,'[2]Master Harga'!$E$5:$M$348,9,FALSE)</f>
        <v>197599.45075200003</v>
      </c>
      <c r="U288" s="684">
        <f>$O288*T288</f>
        <v>14849598.724012803</v>
      </c>
      <c r="V288" s="437">
        <f>W288/O288</f>
        <v>182119.30872300002</v>
      </c>
      <c r="W288" s="307">
        <f>AVERAGEIF($P$3:$U$3,W$3,$P288:$U288)</f>
        <v>13686266.050533453</v>
      </c>
      <c r="X288" s="545"/>
      <c r="Y288" s="437">
        <f t="shared" si="56"/>
        <v>31710.489580687496</v>
      </c>
      <c r="Z288" s="436"/>
    </row>
    <row r="289" spans="2:28" x14ac:dyDescent="0.35">
      <c r="B289" s="700"/>
      <c r="E289" s="701"/>
      <c r="F289" s="436" t="s">
        <v>381</v>
      </c>
      <c r="G289" s="579" t="s">
        <v>192</v>
      </c>
      <c r="H289" s="545"/>
      <c r="I289" s="580"/>
      <c r="J289" s="579" t="s">
        <v>170</v>
      </c>
      <c r="K289" s="400">
        <v>0.25</v>
      </c>
      <c r="L289" s="849">
        <f t="shared" si="67"/>
        <v>400.8</v>
      </c>
      <c r="M289" s="552">
        <v>0.54400000000000004</v>
      </c>
      <c r="N289" s="437">
        <v>3</v>
      </c>
      <c r="O289" s="590">
        <f>K289*L289*M289*N289</f>
        <v>163.52640000000002</v>
      </c>
      <c r="P289" s="299">
        <f>VLOOKUP($F289,'[1]Master Harga'!$E$5:$L$351,8,FALSE)</f>
        <v>37065.167999999998</v>
      </c>
      <c r="Q289" s="683">
        <f>P289*$O289</f>
        <v>6061133.4884352004</v>
      </c>
      <c r="R289" s="437">
        <f>VLOOKUP($F289,'[2]Master Harga'!$E$5:$M$348,8,FALSE)</f>
        <v>43184.235801600007</v>
      </c>
      <c r="S289" s="683">
        <f>R289*$O289</f>
        <v>7061762.6173867648</v>
      </c>
      <c r="T289" s="437">
        <f>VLOOKUP($F289,'[2]Master Harga'!$E$5:$M$348,9,FALSE)</f>
        <v>46207.132307712011</v>
      </c>
      <c r="U289" s="684">
        <f>$O289*T289</f>
        <v>7556086.0006038388</v>
      </c>
      <c r="V289" s="437">
        <f>W289/O289</f>
        <v>42152.178703104008</v>
      </c>
      <c r="W289" s="307">
        <f>AVERAGEIF($P$3:$U$3,W$3,$P289:$U289)</f>
        <v>6892994.035475268</v>
      </c>
      <c r="X289" s="545"/>
      <c r="Y289" s="437">
        <f t="shared" si="56"/>
        <v>15122.588544</v>
      </c>
      <c r="Z289" s="436"/>
    </row>
    <row r="290" spans="2:28" customFormat="1" x14ac:dyDescent="0.35">
      <c r="B290" s="685" t="s">
        <v>504</v>
      </c>
      <c r="C290" s="864"/>
      <c r="D290" s="864"/>
      <c r="E290" s="865"/>
      <c r="F290" s="688"/>
      <c r="G290" s="689"/>
      <c r="H290" s="690"/>
      <c r="I290" s="691"/>
      <c r="J290" s="689"/>
      <c r="K290" s="692"/>
      <c r="L290" s="866"/>
      <c r="M290" s="694"/>
      <c r="N290" s="695"/>
      <c r="O290" s="690"/>
      <c r="P290" s="696"/>
      <c r="Q290" s="697">
        <f>SUM(Q288:Q289)</f>
        <v>18770697.712374751</v>
      </c>
      <c r="R290" s="696"/>
      <c r="S290" s="697">
        <f>SUM(S280:S289)</f>
        <v>46139831.202282771</v>
      </c>
      <c r="T290" s="874"/>
      <c r="U290" s="874"/>
      <c r="V290" s="874"/>
      <c r="W290" s="874"/>
      <c r="X290" s="690"/>
      <c r="Y290" s="698">
        <f t="shared" si="56"/>
        <v>46833.078124687498</v>
      </c>
      <c r="Z290" s="875">
        <f>(Y290/$Y$404)*100</f>
        <v>0.24999181246007995</v>
      </c>
    </row>
    <row r="291" spans="2:28" x14ac:dyDescent="0.35">
      <c r="B291" s="700"/>
      <c r="C291" s="357" t="s">
        <v>505</v>
      </c>
      <c r="E291" s="701"/>
      <c r="F291" s="436" t="s">
        <v>189</v>
      </c>
      <c r="G291" s="579" t="s">
        <v>190</v>
      </c>
      <c r="H291" s="545"/>
      <c r="I291" s="580"/>
      <c r="J291" s="579"/>
      <c r="K291" s="439"/>
      <c r="L291" s="849"/>
      <c r="M291" s="552"/>
      <c r="N291" s="437"/>
      <c r="O291" s="545"/>
      <c r="P291" s="683"/>
      <c r="Q291" s="683"/>
      <c r="R291" s="683"/>
      <c r="S291" s="683"/>
      <c r="T291" s="684"/>
      <c r="U291" s="684"/>
      <c r="V291" s="684"/>
      <c r="W291" s="684"/>
      <c r="X291" s="545"/>
      <c r="Y291" s="437">
        <f t="shared" si="56"/>
        <v>0</v>
      </c>
      <c r="Z291" s="436"/>
    </row>
    <row r="292" spans="2:28" x14ac:dyDescent="0.35">
      <c r="B292" s="700"/>
      <c r="C292" s="357" t="s">
        <v>144</v>
      </c>
      <c r="E292" s="701"/>
      <c r="F292" s="295" t="s">
        <v>189</v>
      </c>
      <c r="G292" s="364" t="s">
        <v>190</v>
      </c>
      <c r="H292" s="365"/>
      <c r="I292" s="366"/>
      <c r="J292" s="364" t="s">
        <v>170</v>
      </c>
      <c r="K292" s="548">
        <v>0.1</v>
      </c>
      <c r="L292" s="849">
        <f t="shared" ref="L292:L300" si="68">$L$44</f>
        <v>400.8</v>
      </c>
      <c r="M292" s="542">
        <v>0.5</v>
      </c>
      <c r="N292" s="296">
        <v>6</v>
      </c>
      <c r="O292" s="401">
        <f>K292*L292*M292*N292</f>
        <v>120.24000000000001</v>
      </c>
      <c r="P292" s="299">
        <f>VLOOKUP($F292,'[1]Master Harga'!$E$5:$L$351,8,FALSE)</f>
        <v>169122.61109699999</v>
      </c>
      <c r="Q292" s="683">
        <f>P292*$O292</f>
        <v>20335302.758303281</v>
      </c>
      <c r="R292" s="437">
        <f>VLOOKUP($F292,'[2]Master Harga'!$E$5:$M$348,8,FALSE)</f>
        <v>179635.86432000002</v>
      </c>
      <c r="S292" s="683">
        <f>R292*$O292</f>
        <v>21599416.325836804</v>
      </c>
      <c r="T292" s="437">
        <f>VLOOKUP($F292,'[2]Master Harga'!$E$5:$M$348,9,FALSE)</f>
        <v>197599.45075200003</v>
      </c>
      <c r="U292" s="684">
        <f>$O292*T292</f>
        <v>23759357.958420485</v>
      </c>
      <c r="V292" s="437">
        <f>W292/O292</f>
        <v>182119.30872300002</v>
      </c>
      <c r="W292" s="307">
        <f>AVERAGEIF($P$3:$U$3,W$3,$P292:$U292)</f>
        <v>21898025.680853523</v>
      </c>
      <c r="X292" s="545"/>
      <c r="Y292" s="437">
        <f t="shared" si="56"/>
        <v>50736.783329099999</v>
      </c>
      <c r="Z292" s="436"/>
    </row>
    <row r="293" spans="2:28" x14ac:dyDescent="0.35">
      <c r="B293" s="700"/>
      <c r="E293" s="701"/>
      <c r="F293" s="295" t="s">
        <v>378</v>
      </c>
      <c r="G293" s="364" t="s">
        <v>226</v>
      </c>
      <c r="H293" s="365"/>
      <c r="I293" s="366"/>
      <c r="J293" s="364" t="s">
        <v>170</v>
      </c>
      <c r="K293" s="548">
        <v>0.1</v>
      </c>
      <c r="L293" s="849">
        <f t="shared" si="68"/>
        <v>400.8</v>
      </c>
      <c r="M293" s="542">
        <v>0.2</v>
      </c>
      <c r="N293" s="296">
        <v>1</v>
      </c>
      <c r="O293" s="401">
        <f>K293*L293*M293*N293</f>
        <v>8.0160000000000018</v>
      </c>
      <c r="P293" s="299">
        <f>VLOOKUP($F293,'[1]Master Harga'!$E$5:$L$351,8,FALSE)</f>
        <v>121620.0825</v>
      </c>
      <c r="Q293" s="683">
        <f>P293*$O293</f>
        <v>974906.58132000023</v>
      </c>
      <c r="R293" s="437">
        <f>VLOOKUP($F293,'[2]Master Harga'!$E$5:$M$348,8,FALSE)</f>
        <v>131202.10530000002</v>
      </c>
      <c r="S293" s="683">
        <f>R293*$O293</f>
        <v>1051716.0760848005</v>
      </c>
      <c r="T293" s="437">
        <f>VLOOKUP($F293,'[2]Master Harga'!$E$5:$M$348,9,FALSE)</f>
        <v>140386.25267100002</v>
      </c>
      <c r="U293" s="684">
        <f>$O293*T293</f>
        <v>1125336.2014107364</v>
      </c>
      <c r="V293" s="437">
        <f>W293/O293</f>
        <v>131069.48015700003</v>
      </c>
      <c r="W293" s="307">
        <f>AVERAGEIF($P$3:$U$3,W$3,$P293:$U293)</f>
        <v>1050652.9529385124</v>
      </c>
      <c r="X293" s="545"/>
      <c r="Y293" s="437">
        <f t="shared" si="56"/>
        <v>2432.4016500000007</v>
      </c>
      <c r="Z293" s="436"/>
    </row>
    <row r="294" spans="2:28" x14ac:dyDescent="0.35">
      <c r="B294" s="700"/>
      <c r="E294" s="701"/>
      <c r="F294" s="295" t="s">
        <v>231</v>
      </c>
      <c r="G294" s="364" t="s">
        <v>226</v>
      </c>
      <c r="H294" s="365"/>
      <c r="I294" s="366"/>
      <c r="J294" s="364" t="s">
        <v>170</v>
      </c>
      <c r="K294" s="548">
        <v>0.1</v>
      </c>
      <c r="L294" s="849">
        <f t="shared" si="68"/>
        <v>400.8</v>
      </c>
      <c r="M294" s="542">
        <f>M292</f>
        <v>0.5</v>
      </c>
      <c r="N294" s="296">
        <v>6</v>
      </c>
      <c r="O294" s="401">
        <f>K294*L294*M294*N294</f>
        <v>120.24000000000001</v>
      </c>
      <c r="P294" s="437">
        <f>VLOOKUP($F294,'[2]Master Harga'!$E$5:$M$348,7,FALSE)</f>
        <v>4490.6400000000003</v>
      </c>
      <c r="Q294" s="683">
        <f>P294*$O294</f>
        <v>539954.5536000001</v>
      </c>
      <c r="R294" s="437">
        <f>VLOOKUP($F294,'[2]Master Harga'!$E$5:$M$348,8,FALSE)</f>
        <v>4849.8912000000009</v>
      </c>
      <c r="S294" s="683">
        <f>R294*$O294</f>
        <v>583150.91788800014</v>
      </c>
      <c r="T294" s="437">
        <f>VLOOKUP($F294,'[2]Master Harga'!$E$5:$M$348,9,FALSE)</f>
        <v>5237.8824960000011</v>
      </c>
      <c r="U294" s="684">
        <f>O294*T294</f>
        <v>629802.99131904019</v>
      </c>
      <c r="V294" s="437">
        <f>W294/O294</f>
        <v>4859.4712320000008</v>
      </c>
      <c r="W294" s="307">
        <f>AVERAGEIF($P$3:$U$3,W$3,$P294:$U294)</f>
        <v>584302.82093568018</v>
      </c>
      <c r="X294" s="545"/>
      <c r="Y294" s="437">
        <f t="shared" si="56"/>
        <v>1347.1920000000002</v>
      </c>
      <c r="Z294" s="436"/>
    </row>
    <row r="295" spans="2:28" x14ac:dyDescent="0.35">
      <c r="B295" s="700"/>
      <c r="E295" s="701"/>
      <c r="F295" s="295" t="s">
        <v>232</v>
      </c>
      <c r="G295" s="364" t="s">
        <v>194</v>
      </c>
      <c r="H295" s="365">
        <v>4</v>
      </c>
      <c r="I295" s="366"/>
      <c r="J295" s="364" t="s">
        <v>170</v>
      </c>
      <c r="K295" s="548"/>
      <c r="L295" s="849">
        <f t="shared" si="68"/>
        <v>400.8</v>
      </c>
      <c r="M295" s="552">
        <f>((M$294*N$294)/240*($H295/N295))</f>
        <v>0.05</v>
      </c>
      <c r="N295" s="296">
        <v>1</v>
      </c>
      <c r="O295" s="401">
        <f t="shared" ref="O295:O300" si="69">K295*L295*M295*N295</f>
        <v>0</v>
      </c>
      <c r="P295" s="299">
        <f>VLOOKUP($F295,'[1]Master Harga'!$E$5:$L$351,8,FALSE)</f>
        <v>49592.654999999999</v>
      </c>
      <c r="Q295" s="683">
        <f>P295*$O295</f>
        <v>0</v>
      </c>
      <c r="R295" s="437">
        <f>VLOOKUP($F295,'[2]Master Harga'!$E$5:$M$348,8,FALSE)</f>
        <v>53966.062080000011</v>
      </c>
      <c r="S295" s="683">
        <f>R295*$O295</f>
        <v>0</v>
      </c>
      <c r="T295" s="437">
        <f>VLOOKUP($F295,'[2]Master Harga'!$E$5:$M$348,9,FALSE)</f>
        <v>58283.347046400013</v>
      </c>
      <c r="U295" s="684">
        <f>O295*T295</f>
        <v>0</v>
      </c>
      <c r="V295" s="437" t="e">
        <f>W295/O295</f>
        <v>#DIV/0!</v>
      </c>
      <c r="W295" s="307">
        <f>AVERAGEIF($P$3:$U$3,W$3,$P295:$U295)</f>
        <v>0</v>
      </c>
      <c r="X295" s="545"/>
      <c r="Y295" s="437">
        <f t="shared" si="56"/>
        <v>0</v>
      </c>
      <c r="Z295" s="436"/>
    </row>
    <row r="296" spans="2:28" x14ac:dyDescent="0.35">
      <c r="B296" s="700"/>
      <c r="E296" s="701"/>
      <c r="F296" s="295" t="s">
        <v>224</v>
      </c>
      <c r="G296" s="364"/>
      <c r="H296" s="365"/>
      <c r="I296" s="366"/>
      <c r="J296" s="364"/>
      <c r="K296" s="548">
        <v>0.1</v>
      </c>
      <c r="L296" s="849">
        <f t="shared" si="68"/>
        <v>400.8</v>
      </c>
      <c r="M296" s="542">
        <v>2.0999999999999999E-3</v>
      </c>
      <c r="N296" s="296">
        <v>1</v>
      </c>
      <c r="O296" s="401">
        <f t="shared" si="69"/>
        <v>8.4168000000000007E-2</v>
      </c>
      <c r="P296" s="299">
        <f>VLOOKUP($F296,'[1]Master Harga'!$E$5:$L$351,8,FALSE)</f>
        <v>1581858.0973125002</v>
      </c>
      <c r="Q296" s="683">
        <f t="shared" ref="Q296:Q300" si="70">P296*$O296</f>
        <v>133141.83233459853</v>
      </c>
      <c r="R296" s="683"/>
      <c r="S296" s="683"/>
      <c r="T296" s="683"/>
      <c r="U296" s="684"/>
      <c r="V296" s="683"/>
      <c r="W296" s="307"/>
      <c r="X296" s="545"/>
      <c r="Y296" s="437">
        <f t="shared" si="56"/>
        <v>332.19020043562506</v>
      </c>
      <c r="Z296" s="436"/>
    </row>
    <row r="297" spans="2:28" hidden="1" x14ac:dyDescent="0.35">
      <c r="B297" s="700"/>
      <c r="E297" s="701"/>
      <c r="F297" s="295" t="s">
        <v>234</v>
      </c>
      <c r="G297" s="364"/>
      <c r="H297" s="365">
        <v>12</v>
      </c>
      <c r="I297" s="366"/>
      <c r="J297" s="364"/>
      <c r="K297" s="548"/>
      <c r="L297" s="849">
        <f t="shared" si="68"/>
        <v>400.8</v>
      </c>
      <c r="M297" s="663">
        <f t="shared" ref="M297:M300" si="71">((M$294*N$294)/240*($H297/N297))</f>
        <v>0.15000000000000002</v>
      </c>
      <c r="N297" s="296">
        <v>1</v>
      </c>
      <c r="O297" s="401">
        <f t="shared" si="69"/>
        <v>0</v>
      </c>
      <c r="P297" s="299">
        <f>VLOOKUP($F297,'[1]Master Harga'!$E$5:$L$351,8,FALSE)</f>
        <v>16206.75</v>
      </c>
      <c r="Q297" s="683">
        <f t="shared" si="70"/>
        <v>0</v>
      </c>
      <c r="R297" s="683"/>
      <c r="S297" s="683"/>
      <c r="T297" s="683"/>
      <c r="U297" s="684"/>
      <c r="V297" s="683"/>
      <c r="W297" s="307"/>
      <c r="X297" s="545"/>
      <c r="Y297" s="437">
        <f t="shared" si="56"/>
        <v>0</v>
      </c>
      <c r="Z297" s="436"/>
    </row>
    <row r="298" spans="2:28" hidden="1" x14ac:dyDescent="0.35">
      <c r="B298" s="700"/>
      <c r="E298" s="701"/>
      <c r="F298" s="295" t="s">
        <v>235</v>
      </c>
      <c r="G298" s="364"/>
      <c r="H298" s="365">
        <v>1</v>
      </c>
      <c r="I298" s="366"/>
      <c r="J298" s="364"/>
      <c r="K298" s="548"/>
      <c r="L298" s="849">
        <f t="shared" si="68"/>
        <v>400.8</v>
      </c>
      <c r="M298" s="663">
        <f t="shared" si="71"/>
        <v>1.2500000000000001E-2</v>
      </c>
      <c r="N298" s="296">
        <v>1</v>
      </c>
      <c r="O298" s="401">
        <f t="shared" si="69"/>
        <v>0</v>
      </c>
      <c r="P298" s="299">
        <f>VLOOKUP($F298,'[1]Master Harga'!$E$5:$L$351,8,FALSE)</f>
        <v>43393.573125000003</v>
      </c>
      <c r="Q298" s="683">
        <f t="shared" si="70"/>
        <v>0</v>
      </c>
      <c r="R298" s="683"/>
      <c r="S298" s="683"/>
      <c r="T298" s="683"/>
      <c r="U298" s="684"/>
      <c r="V298" s="683"/>
      <c r="W298" s="307"/>
      <c r="X298" s="545"/>
      <c r="Y298" s="437">
        <f t="shared" si="56"/>
        <v>0</v>
      </c>
      <c r="Z298" s="436"/>
    </row>
    <row r="299" spans="2:28" hidden="1" x14ac:dyDescent="0.35">
      <c r="B299" s="700"/>
      <c r="E299" s="701"/>
      <c r="F299" s="295" t="s">
        <v>236</v>
      </c>
      <c r="G299" s="364"/>
      <c r="H299" s="365">
        <v>2</v>
      </c>
      <c r="I299" s="366"/>
      <c r="J299" s="364"/>
      <c r="K299" s="548"/>
      <c r="L299" s="849">
        <f t="shared" si="68"/>
        <v>400.8</v>
      </c>
      <c r="M299" s="663">
        <f t="shared" si="71"/>
        <v>2.5000000000000001E-2</v>
      </c>
      <c r="N299" s="296">
        <v>1</v>
      </c>
      <c r="O299" s="401">
        <f t="shared" si="69"/>
        <v>0</v>
      </c>
      <c r="P299" s="299">
        <f>VLOOKUP($F299,'[1]Master Harga'!$E$5:$L$351,8,FALSE)</f>
        <v>37194.491250000006</v>
      </c>
      <c r="Q299" s="683">
        <f t="shared" si="70"/>
        <v>0</v>
      </c>
      <c r="R299" s="683"/>
      <c r="S299" s="683"/>
      <c r="T299" s="683"/>
      <c r="U299" s="684"/>
      <c r="V299" s="683"/>
      <c r="W299" s="307"/>
      <c r="X299" s="545"/>
      <c r="Y299" s="437">
        <f t="shared" si="56"/>
        <v>0</v>
      </c>
      <c r="Z299" s="436"/>
    </row>
    <row r="300" spans="2:28" hidden="1" x14ac:dyDescent="0.35">
      <c r="B300" s="700"/>
      <c r="E300" s="701"/>
      <c r="F300" s="295" t="s">
        <v>237</v>
      </c>
      <c r="G300" s="364"/>
      <c r="H300" s="365">
        <v>1</v>
      </c>
      <c r="I300" s="366"/>
      <c r="J300" s="364"/>
      <c r="K300" s="548"/>
      <c r="L300" s="849">
        <f t="shared" si="68"/>
        <v>400.8</v>
      </c>
      <c r="M300" s="663">
        <f t="shared" si="71"/>
        <v>1.2500000000000001E-2</v>
      </c>
      <c r="N300" s="296">
        <v>1</v>
      </c>
      <c r="O300" s="401">
        <f t="shared" si="69"/>
        <v>0</v>
      </c>
      <c r="P300" s="299">
        <f>VLOOKUP($F300,'[1]Master Harga'!$E$5:$L$351,8,FALSE)</f>
        <v>99185.31</v>
      </c>
      <c r="Q300" s="683">
        <f t="shared" si="70"/>
        <v>0</v>
      </c>
      <c r="R300" s="683"/>
      <c r="S300" s="683"/>
      <c r="T300" s="683"/>
      <c r="U300" s="684"/>
      <c r="V300" s="683"/>
      <c r="W300" s="307"/>
      <c r="X300" s="545"/>
      <c r="Y300" s="437">
        <f t="shared" si="56"/>
        <v>0</v>
      </c>
      <c r="Z300" s="436"/>
    </row>
    <row r="301" spans="2:28" customFormat="1" x14ac:dyDescent="0.35">
      <c r="B301" s="685" t="s">
        <v>506</v>
      </c>
      <c r="C301" s="864"/>
      <c r="D301" s="864"/>
      <c r="E301" s="865"/>
      <c r="F301" s="688"/>
      <c r="G301" s="689"/>
      <c r="H301" s="690"/>
      <c r="I301" s="691"/>
      <c r="J301" s="689"/>
      <c r="K301" s="692"/>
      <c r="L301" s="866"/>
      <c r="M301" s="694"/>
      <c r="N301" s="695"/>
      <c r="O301" s="690"/>
      <c r="P301" s="696"/>
      <c r="Q301" s="697">
        <f>SUM(Q292:Q300)</f>
        <v>21983305.725557879</v>
      </c>
      <c r="R301" s="696"/>
      <c r="S301" s="697">
        <f>SUM(S292:S300)</f>
        <v>23234283.319809604</v>
      </c>
      <c r="T301" s="874"/>
      <c r="U301" s="874"/>
      <c r="V301" s="874"/>
      <c r="W301" s="874"/>
      <c r="X301" s="690"/>
      <c r="Y301" s="698">
        <f t="shared" ref="Y301:Y364" si="72">Q301/$AC$3</f>
        <v>54848.567179535625</v>
      </c>
      <c r="Z301" s="875">
        <f>(Y301/$Y$404)*100</f>
        <v>0.29277795244516741</v>
      </c>
    </row>
    <row r="302" spans="2:28" x14ac:dyDescent="0.35">
      <c r="B302" s="785"/>
      <c r="C302" s="763" t="s">
        <v>507</v>
      </c>
      <c r="D302" s="763"/>
      <c r="E302" s="764"/>
      <c r="F302" s="436" t="s">
        <v>189</v>
      </c>
      <c r="G302" s="439" t="s">
        <v>190</v>
      </c>
      <c r="H302" s="545"/>
      <c r="I302" s="580"/>
      <c r="J302" s="579"/>
      <c r="K302" s="439"/>
      <c r="L302" s="849"/>
      <c r="M302" s="552">
        <v>0.5</v>
      </c>
      <c r="N302" s="589">
        <v>1</v>
      </c>
      <c r="O302" s="935"/>
      <c r="P302" s="930"/>
      <c r="Q302" s="930"/>
      <c r="R302" s="930"/>
      <c r="S302" s="930"/>
      <c r="T302" s="931"/>
      <c r="U302" s="931"/>
      <c r="V302" s="931"/>
      <c r="W302" s="931"/>
      <c r="X302" s="545"/>
      <c r="Y302" s="437">
        <f t="shared" si="72"/>
        <v>0</v>
      </c>
      <c r="Z302" s="436"/>
      <c r="AB302" s="936"/>
    </row>
    <row r="303" spans="2:28" x14ac:dyDescent="0.35">
      <c r="B303" s="680"/>
      <c r="C303" s="681"/>
      <c r="D303" s="681"/>
      <c r="E303" s="682"/>
      <c r="F303" s="436" t="s">
        <v>387</v>
      </c>
      <c r="G303" s="439" t="s">
        <v>192</v>
      </c>
      <c r="H303" s="545"/>
      <c r="I303" s="580"/>
      <c r="J303" s="579"/>
      <c r="K303" s="439"/>
      <c r="L303" s="849"/>
      <c r="M303" s="552">
        <v>1.92</v>
      </c>
      <c r="N303" s="589">
        <v>1</v>
      </c>
      <c r="O303" s="935"/>
      <c r="P303" s="930"/>
      <c r="Q303" s="930"/>
      <c r="R303" s="930"/>
      <c r="S303" s="930"/>
      <c r="T303" s="931"/>
      <c r="U303" s="931"/>
      <c r="V303" s="931"/>
      <c r="W303" s="931"/>
      <c r="X303" s="545"/>
      <c r="Y303" s="437">
        <f t="shared" si="72"/>
        <v>0</v>
      </c>
      <c r="Z303" s="436"/>
    </row>
    <row r="304" spans="2:28" x14ac:dyDescent="0.35">
      <c r="B304" s="700"/>
      <c r="C304" s="357" t="s">
        <v>508</v>
      </c>
      <c r="E304" s="701"/>
      <c r="F304" s="295" t="s">
        <v>189</v>
      </c>
      <c r="G304" s="364" t="s">
        <v>190</v>
      </c>
      <c r="H304" s="365"/>
      <c r="I304" s="366"/>
      <c r="J304" s="364" t="s">
        <v>170</v>
      </c>
      <c r="K304" s="937">
        <v>0.1</v>
      </c>
      <c r="L304" s="849">
        <f t="shared" ref="L304:L318" si="73">$L$44</f>
        <v>400.8</v>
      </c>
      <c r="M304" s="508">
        <v>0.25</v>
      </c>
      <c r="N304" s="296">
        <v>24</v>
      </c>
      <c r="O304" s="401">
        <f>K304*L304*M304*N304</f>
        <v>240.48000000000002</v>
      </c>
      <c r="P304" s="299">
        <f>VLOOKUP($F304,'[1]Master Harga'!$E$5:$L$351,8,FALSE)</f>
        <v>169122.61109699999</v>
      </c>
      <c r="Q304" s="683">
        <f>P304*$O304</f>
        <v>40670605.516606562</v>
      </c>
      <c r="R304" s="437">
        <f>VLOOKUP($F304,'[2]Master Harga'!$E$5:$M$348,8,FALSE)</f>
        <v>179635.86432000002</v>
      </c>
      <c r="S304" s="683">
        <f>R304*$O304</f>
        <v>43198832.651673608</v>
      </c>
      <c r="T304" s="437">
        <f>VLOOKUP($F304,'[2]Master Harga'!$E$5:$M$348,9,FALSE)</f>
        <v>197599.45075200003</v>
      </c>
      <c r="U304" s="684">
        <f>$O304*T304</f>
        <v>47518715.916840971</v>
      </c>
      <c r="V304" s="437">
        <f>W304/O304</f>
        <v>182119.30872300002</v>
      </c>
      <c r="W304" s="307">
        <f>AVERAGEIF($P$3:$U$3,W$3,$P304:$U304)</f>
        <v>43796051.361707047</v>
      </c>
      <c r="X304" s="545"/>
      <c r="Y304" s="437">
        <f t="shared" si="72"/>
        <v>101473.5666582</v>
      </c>
      <c r="Z304" s="436"/>
    </row>
    <row r="305" spans="2:26" x14ac:dyDescent="0.35">
      <c r="B305" s="700"/>
      <c r="E305" s="701"/>
      <c r="F305" s="295" t="s">
        <v>509</v>
      </c>
      <c r="G305" s="364" t="s">
        <v>510</v>
      </c>
      <c r="H305" s="365"/>
      <c r="I305" s="366"/>
      <c r="J305" s="364" t="s">
        <v>170</v>
      </c>
      <c r="K305" s="937">
        <v>0.1</v>
      </c>
      <c r="L305" s="849">
        <f t="shared" si="73"/>
        <v>400.8</v>
      </c>
      <c r="M305" s="508">
        <f>1/2</f>
        <v>0.5</v>
      </c>
      <c r="N305" s="296">
        <v>6</v>
      </c>
      <c r="O305" s="401">
        <f>K305*L305*M305*N305</f>
        <v>120.24000000000001</v>
      </c>
      <c r="P305" s="299">
        <f>VLOOKUP($F305,'[1]Master Harga'!$E$5:$L$351,8,FALSE)</f>
        <v>83813.611139999994</v>
      </c>
      <c r="Q305" s="683">
        <f>P305*$O305</f>
        <v>10077748.6034736</v>
      </c>
      <c r="R305" s="437">
        <f>VLOOKUP($F305,'[2]Master Harga'!$E$5:$M$348,8,FALSE)</f>
        <v>90416.993709600007</v>
      </c>
      <c r="S305" s="683">
        <f>R305*$O305</f>
        <v>10871739.323642306</v>
      </c>
      <c r="T305" s="437">
        <f>VLOOKUP($F305,'[2]Master Harga'!$E$5:$M$348,9,FALSE)</f>
        <v>96746.18326927202</v>
      </c>
      <c r="U305" s="684">
        <f>$O305*T305</f>
        <v>11632761.076297268</v>
      </c>
      <c r="V305" s="437">
        <f>W305/O305</f>
        <v>90325.596039624012</v>
      </c>
      <c r="W305" s="307">
        <f>AVERAGEIF($P$3:$U$3,W$3,$P305:$U305)</f>
        <v>10860749.667804392</v>
      </c>
      <c r="X305" s="545"/>
      <c r="Y305" s="437">
        <f t="shared" si="72"/>
        <v>25144.083341999998</v>
      </c>
      <c r="Z305" s="436"/>
    </row>
    <row r="306" spans="2:26" x14ac:dyDescent="0.35">
      <c r="B306" s="700"/>
      <c r="E306" s="701"/>
      <c r="F306" s="295" t="s">
        <v>511</v>
      </c>
      <c r="G306" s="364" t="s">
        <v>194</v>
      </c>
      <c r="H306" s="365"/>
      <c r="I306" s="366"/>
      <c r="J306" s="364" t="s">
        <v>170</v>
      </c>
      <c r="K306" s="937">
        <v>0</v>
      </c>
      <c r="L306" s="849">
        <f t="shared" si="73"/>
        <v>400.8</v>
      </c>
      <c r="M306" s="508">
        <f>1/2</f>
        <v>0.5</v>
      </c>
      <c r="N306" s="296">
        <v>3</v>
      </c>
      <c r="O306" s="401">
        <f>K306*L306*M306*N306</f>
        <v>0</v>
      </c>
      <c r="P306" s="299">
        <f>VLOOKUP($F306,'[1]Master Harga'!$E$5:$L$351,8,FALSE)</f>
        <v>57881.25</v>
      </c>
      <c r="Q306" s="683">
        <f>P306*$O306</f>
        <v>0</v>
      </c>
      <c r="R306" s="437">
        <f>VLOOKUP($F306,'[2]Master Harga'!$E$5:$M$348,8,FALSE)</f>
        <v>62985.600000000013</v>
      </c>
      <c r="S306" s="683">
        <f>R306*$O306</f>
        <v>0</v>
      </c>
      <c r="T306" s="437">
        <f>VLOOKUP($F306,'[2]Master Harga'!$E$5:$M$348,9,FALSE)</f>
        <v>68024.448000000019</v>
      </c>
      <c r="U306" s="684">
        <f>$O306*T306</f>
        <v>0</v>
      </c>
      <c r="V306" s="437" t="e">
        <f>W306/O306</f>
        <v>#DIV/0!</v>
      </c>
      <c r="W306" s="307">
        <f>AVERAGEIF($P$3:$U$3,W$3,$P306:$U306)</f>
        <v>0</v>
      </c>
      <c r="X306" s="545"/>
      <c r="Y306" s="437">
        <f t="shared" si="72"/>
        <v>0</v>
      </c>
      <c r="Z306" s="436"/>
    </row>
    <row r="307" spans="2:26" x14ac:dyDescent="0.35">
      <c r="B307" s="700"/>
      <c r="E307" s="701"/>
      <c r="F307" s="295" t="s">
        <v>189</v>
      </c>
      <c r="G307" s="364" t="s">
        <v>190</v>
      </c>
      <c r="H307" s="365"/>
      <c r="I307" s="366"/>
      <c r="J307" s="364" t="s">
        <v>170</v>
      </c>
      <c r="K307" s="937">
        <v>0.1</v>
      </c>
      <c r="L307" s="849">
        <f t="shared" si="73"/>
        <v>400.8</v>
      </c>
      <c r="M307" s="508">
        <v>0.25</v>
      </c>
      <c r="N307" s="299">
        <v>12</v>
      </c>
      <c r="O307" s="401">
        <f>K307*L307*M307*N307</f>
        <v>120.24000000000001</v>
      </c>
      <c r="P307" s="299">
        <f>VLOOKUP($F307,'[1]Master Harga'!$E$5:$L$351,8,FALSE)</f>
        <v>169122.61109699999</v>
      </c>
      <c r="Q307" s="683">
        <f>O307*P307</f>
        <v>20335302.758303281</v>
      </c>
      <c r="R307" s="437"/>
      <c r="S307" s="683"/>
      <c r="T307" s="437"/>
      <c r="U307" s="684"/>
      <c r="V307" s="437"/>
      <c r="W307" s="307"/>
      <c r="X307" s="545"/>
      <c r="Y307" s="437">
        <f t="shared" si="72"/>
        <v>50736.783329099999</v>
      </c>
      <c r="Z307" s="436"/>
    </row>
    <row r="308" spans="2:26" x14ac:dyDescent="0.35">
      <c r="B308" s="700"/>
      <c r="E308" s="701"/>
      <c r="F308" s="295" t="s">
        <v>231</v>
      </c>
      <c r="G308" s="364" t="s">
        <v>190</v>
      </c>
      <c r="H308" s="365"/>
      <c r="I308" s="366"/>
      <c r="J308" s="364" t="s">
        <v>170</v>
      </c>
      <c r="K308" s="937">
        <v>0.1</v>
      </c>
      <c r="L308" s="849">
        <f t="shared" si="73"/>
        <v>400.8</v>
      </c>
      <c r="M308" s="508">
        <v>0.25</v>
      </c>
      <c r="N308" s="299">
        <v>12</v>
      </c>
      <c r="O308" s="401">
        <f t="shared" ref="O308:O314" si="74">K308*L308*M308*N308</f>
        <v>120.24000000000001</v>
      </c>
      <c r="P308" s="299">
        <f>VLOOKUP($F308,'[1]Master Harga'!$E$5:$L$351,8,FALSE)</f>
        <v>4456.8562499999998</v>
      </c>
      <c r="Q308" s="683">
        <f t="shared" ref="Q308:Q315" si="75">O308*P308</f>
        <v>535892.39549999998</v>
      </c>
      <c r="R308" s="437"/>
      <c r="S308" s="683"/>
      <c r="T308" s="437"/>
      <c r="U308" s="684"/>
      <c r="V308" s="437"/>
      <c r="W308" s="307"/>
      <c r="X308" s="545"/>
      <c r="Y308" s="437">
        <f t="shared" si="72"/>
        <v>1337.056875</v>
      </c>
      <c r="Z308" s="436"/>
    </row>
    <row r="309" spans="2:26" x14ac:dyDescent="0.35">
      <c r="B309" s="700"/>
      <c r="E309" s="701"/>
      <c r="F309" s="295" t="s">
        <v>232</v>
      </c>
      <c r="G309" s="364" t="s">
        <v>194</v>
      </c>
      <c r="H309" s="365">
        <v>4</v>
      </c>
      <c r="I309" s="366" t="s">
        <v>233</v>
      </c>
      <c r="J309" s="364" t="s">
        <v>170</v>
      </c>
      <c r="K309" s="937">
        <v>0.1</v>
      </c>
      <c r="L309" s="849">
        <f t="shared" si="73"/>
        <v>400.8</v>
      </c>
      <c r="M309" s="589">
        <v>1</v>
      </c>
      <c r="N309" s="299">
        <v>2</v>
      </c>
      <c r="O309" s="401">
        <f t="shared" si="74"/>
        <v>80.160000000000011</v>
      </c>
      <c r="P309" s="299">
        <f>VLOOKUP($F309,'[1]Master Harga'!$E$5:$L$351,8,FALSE)</f>
        <v>49592.654999999999</v>
      </c>
      <c r="Q309" s="683">
        <f t="shared" si="75"/>
        <v>3975347.2248000004</v>
      </c>
      <c r="R309" s="437"/>
      <c r="S309" s="683"/>
      <c r="T309" s="437"/>
      <c r="U309" s="684"/>
      <c r="V309" s="437"/>
      <c r="W309" s="307"/>
      <c r="X309" s="545"/>
      <c r="Y309" s="437">
        <f t="shared" si="72"/>
        <v>9918.5310000000009</v>
      </c>
      <c r="Z309" s="436"/>
    </row>
    <row r="310" spans="2:26" x14ac:dyDescent="0.35">
      <c r="B310" s="700"/>
      <c r="E310" s="701"/>
      <c r="F310" s="295" t="s">
        <v>224</v>
      </c>
      <c r="G310" s="364" t="s">
        <v>194</v>
      </c>
      <c r="H310" s="365"/>
      <c r="I310" s="366"/>
      <c r="J310" s="364"/>
      <c r="K310" s="937">
        <v>0.1</v>
      </c>
      <c r="L310" s="849">
        <f t="shared" si="73"/>
        <v>400.8</v>
      </c>
      <c r="M310" s="542">
        <v>6.2500000000000003E-3</v>
      </c>
      <c r="N310" s="299">
        <v>1</v>
      </c>
      <c r="O310" s="401">
        <f t="shared" si="74"/>
        <v>0.25050000000000006</v>
      </c>
      <c r="P310" s="299">
        <f>VLOOKUP($F310,'[1]Master Harga'!$E$5:$L$351,8,FALSE)</f>
        <v>1581858.0973125002</v>
      </c>
      <c r="Q310" s="683">
        <f t="shared" si="75"/>
        <v>396255.45337678137</v>
      </c>
      <c r="R310" s="437"/>
      <c r="S310" s="683"/>
      <c r="T310" s="437"/>
      <c r="U310" s="684"/>
      <c r="V310" s="437"/>
      <c r="W310" s="307"/>
      <c r="X310" s="545"/>
      <c r="Y310" s="437">
        <f t="shared" si="72"/>
        <v>988.66131082031279</v>
      </c>
      <c r="Z310" s="436"/>
    </row>
    <row r="311" spans="2:26" x14ac:dyDescent="0.35">
      <c r="B311" s="700"/>
      <c r="E311" s="701"/>
      <c r="F311" s="295" t="s">
        <v>234</v>
      </c>
      <c r="G311" s="364" t="s">
        <v>194</v>
      </c>
      <c r="H311" s="365">
        <v>12</v>
      </c>
      <c r="I311" s="366" t="s">
        <v>233</v>
      </c>
      <c r="J311" s="364" t="s">
        <v>170</v>
      </c>
      <c r="K311" s="937">
        <v>0.1</v>
      </c>
      <c r="L311" s="849">
        <f t="shared" si="73"/>
        <v>400.8</v>
      </c>
      <c r="M311" s="508">
        <v>1</v>
      </c>
      <c r="N311" s="299">
        <v>2</v>
      </c>
      <c r="O311" s="401">
        <f t="shared" si="74"/>
        <v>80.160000000000011</v>
      </c>
      <c r="P311" s="299">
        <f>VLOOKUP($F311,'[1]Master Harga'!$E$5:$L$351,8,FALSE)</f>
        <v>16206.75</v>
      </c>
      <c r="Q311" s="683">
        <f t="shared" si="75"/>
        <v>1299133.08</v>
      </c>
      <c r="R311" s="437"/>
      <c r="S311" s="683"/>
      <c r="T311" s="437"/>
      <c r="U311" s="684"/>
      <c r="V311" s="437"/>
      <c r="W311" s="307"/>
      <c r="X311" s="545"/>
      <c r="Y311" s="437">
        <f t="shared" si="72"/>
        <v>3241.35</v>
      </c>
      <c r="Z311" s="436"/>
    </row>
    <row r="312" spans="2:26" x14ac:dyDescent="0.35">
      <c r="B312" s="700"/>
      <c r="E312" s="701"/>
      <c r="F312" s="295" t="s">
        <v>235</v>
      </c>
      <c r="G312" s="364" t="s">
        <v>194</v>
      </c>
      <c r="H312" s="365">
        <v>1</v>
      </c>
      <c r="I312" s="366" t="s">
        <v>233</v>
      </c>
      <c r="J312" s="364" t="s">
        <v>170</v>
      </c>
      <c r="K312" s="937">
        <v>0.1</v>
      </c>
      <c r="L312" s="849">
        <f t="shared" si="73"/>
        <v>400.8</v>
      </c>
      <c r="M312" s="508">
        <v>1</v>
      </c>
      <c r="N312" s="299">
        <v>2</v>
      </c>
      <c r="O312" s="401">
        <f t="shared" si="74"/>
        <v>80.160000000000011</v>
      </c>
      <c r="P312" s="299">
        <f>VLOOKUP($F312,'[1]Master Harga'!$E$5:$L$351,8,FALSE)</f>
        <v>43393.573125000003</v>
      </c>
      <c r="Q312" s="683">
        <f t="shared" si="75"/>
        <v>3478428.8217000007</v>
      </c>
      <c r="R312" s="437"/>
      <c r="S312" s="683"/>
      <c r="T312" s="437"/>
      <c r="U312" s="684"/>
      <c r="V312" s="437"/>
      <c r="W312" s="307"/>
      <c r="X312" s="545"/>
      <c r="Y312" s="437">
        <f t="shared" si="72"/>
        <v>8678.7146250000005</v>
      </c>
      <c r="Z312" s="436"/>
    </row>
    <row r="313" spans="2:26" x14ac:dyDescent="0.35">
      <c r="B313" s="700"/>
      <c r="E313" s="701"/>
      <c r="F313" s="295" t="s">
        <v>236</v>
      </c>
      <c r="G313" s="364" t="s">
        <v>194</v>
      </c>
      <c r="H313" s="365">
        <v>2</v>
      </c>
      <c r="I313" s="366" t="s">
        <v>233</v>
      </c>
      <c r="J313" s="364" t="s">
        <v>170</v>
      </c>
      <c r="K313" s="937">
        <v>0.1</v>
      </c>
      <c r="L313" s="849">
        <f t="shared" si="73"/>
        <v>400.8</v>
      </c>
      <c r="M313" s="508">
        <v>1</v>
      </c>
      <c r="N313" s="299">
        <v>2</v>
      </c>
      <c r="O313" s="401">
        <f t="shared" si="74"/>
        <v>80.160000000000011</v>
      </c>
      <c r="P313" s="299">
        <f>VLOOKUP($F313,'[1]Master Harga'!$E$5:$L$351,8,FALSE)</f>
        <v>37194.491250000006</v>
      </c>
      <c r="Q313" s="683">
        <f t="shared" si="75"/>
        <v>2981510.4186000009</v>
      </c>
      <c r="R313" s="437"/>
      <c r="S313" s="683"/>
      <c r="T313" s="437"/>
      <c r="U313" s="684"/>
      <c r="V313" s="437"/>
      <c r="W313" s="307"/>
      <c r="X313" s="545"/>
      <c r="Y313" s="437">
        <f t="shared" si="72"/>
        <v>7438.898250000002</v>
      </c>
      <c r="Z313" s="436"/>
    </row>
    <row r="314" spans="2:26" x14ac:dyDescent="0.35">
      <c r="B314" s="700"/>
      <c r="E314" s="701"/>
      <c r="F314" s="295" t="s">
        <v>237</v>
      </c>
      <c r="G314" s="364" t="s">
        <v>194</v>
      </c>
      <c r="H314" s="365">
        <v>1</v>
      </c>
      <c r="I314" s="366" t="s">
        <v>233</v>
      </c>
      <c r="J314" s="364" t="s">
        <v>170</v>
      </c>
      <c r="K314" s="937">
        <v>0.1</v>
      </c>
      <c r="L314" s="849">
        <f t="shared" si="73"/>
        <v>400.8</v>
      </c>
      <c r="M314" s="508">
        <v>1</v>
      </c>
      <c r="N314" s="299">
        <v>1</v>
      </c>
      <c r="O314" s="401">
        <f t="shared" si="74"/>
        <v>40.080000000000005</v>
      </c>
      <c r="P314" s="299">
        <f>VLOOKUP($F314,'[1]Master Harga'!$E$5:$L$351,8,FALSE)</f>
        <v>99185.31</v>
      </c>
      <c r="Q314" s="683">
        <f t="shared" si="75"/>
        <v>3975347.2248000004</v>
      </c>
      <c r="R314" s="437"/>
      <c r="S314" s="683"/>
      <c r="T314" s="437"/>
      <c r="U314" s="684"/>
      <c r="V314" s="437"/>
      <c r="W314" s="307"/>
      <c r="X314" s="545"/>
      <c r="Y314" s="437">
        <f t="shared" si="72"/>
        <v>9918.5310000000009</v>
      </c>
      <c r="Z314" s="436"/>
    </row>
    <row r="315" spans="2:26" x14ac:dyDescent="0.35">
      <c r="B315" s="700"/>
      <c r="E315" s="701"/>
      <c r="F315" s="295" t="s">
        <v>512</v>
      </c>
      <c r="G315" s="364" t="s">
        <v>226</v>
      </c>
      <c r="H315" s="365"/>
      <c r="I315" s="366"/>
      <c r="J315" s="364" t="s">
        <v>170</v>
      </c>
      <c r="K315" s="937">
        <v>0.1</v>
      </c>
      <c r="L315" s="849">
        <f t="shared" si="73"/>
        <v>400.8</v>
      </c>
      <c r="M315" s="542">
        <f>91.08/1000</f>
        <v>9.1079999999999994E-2</v>
      </c>
      <c r="N315" s="299">
        <v>12</v>
      </c>
      <c r="O315" s="401">
        <f>K315*L315*M315*N315</f>
        <v>43.805836800000002</v>
      </c>
      <c r="P315" s="299">
        <f>VLOOKUP($F315,'[1]Master Harga'!$E$5:$L$351,8,FALSE)</f>
        <v>57856.410674999999</v>
      </c>
      <c r="Q315" s="683">
        <f t="shared" si="75"/>
        <v>2534448.483862828</v>
      </c>
      <c r="R315" s="437"/>
      <c r="S315" s="683"/>
      <c r="T315" s="437"/>
      <c r="U315" s="684"/>
      <c r="V315" s="437"/>
      <c r="W315" s="307"/>
      <c r="X315" s="545"/>
      <c r="Y315" s="437">
        <f t="shared" si="72"/>
        <v>6323.4742611348001</v>
      </c>
      <c r="Z315" s="436"/>
    </row>
    <row r="316" spans="2:26" x14ac:dyDescent="0.35">
      <c r="B316" s="700"/>
      <c r="E316" s="701"/>
      <c r="F316" s="288" t="s">
        <v>189</v>
      </c>
      <c r="G316" s="289" t="s">
        <v>190</v>
      </c>
      <c r="H316" s="290"/>
      <c r="I316" s="291"/>
      <c r="J316" s="709"/>
      <c r="K316" s="937">
        <v>0.1</v>
      </c>
      <c r="L316" s="849">
        <f t="shared" si="73"/>
        <v>400.8</v>
      </c>
      <c r="M316" s="508">
        <v>0.25</v>
      </c>
      <c r="N316" s="299">
        <v>24</v>
      </c>
      <c r="O316" s="508">
        <f>K316*L316*M316*N316</f>
        <v>240.48000000000002</v>
      </c>
      <c r="P316" s="299">
        <f>VLOOKUP($F316,'[1]Master Harga'!$E$5:$L$351,8,FALSE)</f>
        <v>169122.61109699999</v>
      </c>
      <c r="Q316" s="683">
        <f t="shared" ref="Q316:Q318" si="76">P316*$O316</f>
        <v>40670605.516606562</v>
      </c>
      <c r="R316" s="437"/>
      <c r="S316" s="683"/>
      <c r="T316" s="437"/>
      <c r="U316" s="684"/>
      <c r="V316" s="437"/>
      <c r="W316" s="307"/>
      <c r="X316" s="752"/>
      <c r="Y316" s="437">
        <f t="shared" si="72"/>
        <v>101473.5666582</v>
      </c>
      <c r="Z316" s="436"/>
    </row>
    <row r="317" spans="2:26" x14ac:dyDescent="0.35">
      <c r="B317" s="700"/>
      <c r="E317" s="701"/>
      <c r="F317" s="288" t="s">
        <v>383</v>
      </c>
      <c r="G317" s="289" t="s">
        <v>384</v>
      </c>
      <c r="H317" s="290"/>
      <c r="I317" s="291"/>
      <c r="J317" s="709"/>
      <c r="K317" s="937">
        <v>0.1</v>
      </c>
      <c r="L317" s="849">
        <f t="shared" si="73"/>
        <v>400.8</v>
      </c>
      <c r="M317" s="508">
        <f>5*136/1000</f>
        <v>0.68</v>
      </c>
      <c r="N317" s="299">
        <v>24</v>
      </c>
      <c r="O317" s="508">
        <f>K317*L317*M317*N317</f>
        <v>654.10560000000009</v>
      </c>
      <c r="P317" s="299">
        <f>VLOOKUP($F317,'[1]Master Harga'!$E$5:$L$351,8,FALSE)</f>
        <v>35026.583760000001</v>
      </c>
      <c r="Q317" s="683">
        <f t="shared" si="76"/>
        <v>22911084.586285058</v>
      </c>
      <c r="R317" s="437"/>
      <c r="S317" s="683"/>
      <c r="T317" s="437"/>
      <c r="U317" s="684"/>
      <c r="V317" s="437"/>
      <c r="W317" s="307"/>
      <c r="X317" s="545"/>
      <c r="Y317" s="437">
        <f t="shared" si="72"/>
        <v>57163.384696320005</v>
      </c>
      <c r="Z317" s="436"/>
    </row>
    <row r="318" spans="2:26" x14ac:dyDescent="0.35">
      <c r="B318" s="700"/>
      <c r="E318" s="701"/>
      <c r="F318" s="295" t="s">
        <v>237</v>
      </c>
      <c r="G318" s="364" t="s">
        <v>194</v>
      </c>
      <c r="H318" s="365">
        <v>1</v>
      </c>
      <c r="I318" s="366" t="s">
        <v>233</v>
      </c>
      <c r="J318" s="364" t="s">
        <v>170</v>
      </c>
      <c r="K318" s="937">
        <v>0.1</v>
      </c>
      <c r="L318" s="849">
        <f t="shared" si="73"/>
        <v>400.8</v>
      </c>
      <c r="M318" s="573">
        <v>1</v>
      </c>
      <c r="N318" s="299">
        <v>1</v>
      </c>
      <c r="O318" s="401">
        <f t="shared" ref="O318" si="77">K318*L318*M318*N318</f>
        <v>40.080000000000005</v>
      </c>
      <c r="P318" s="299">
        <f>VLOOKUP($F318,'[1]Master Harga'!$E$5:$L$351,8,FALSE)</f>
        <v>99185.31</v>
      </c>
      <c r="Q318" s="683">
        <f t="shared" si="76"/>
        <v>3975347.2248000004</v>
      </c>
      <c r="R318" s="437"/>
      <c r="S318" s="683"/>
      <c r="T318" s="437"/>
      <c r="U318" s="684"/>
      <c r="V318" s="437"/>
      <c r="W318" s="307"/>
      <c r="X318" s="545"/>
      <c r="Y318" s="437">
        <f t="shared" si="72"/>
        <v>9918.5310000000009</v>
      </c>
      <c r="Z318" s="436"/>
    </row>
    <row r="319" spans="2:26" customFormat="1" x14ac:dyDescent="0.35">
      <c r="B319" s="685" t="s">
        <v>513</v>
      </c>
      <c r="C319" s="864"/>
      <c r="D319" s="864"/>
      <c r="E319" s="865"/>
      <c r="F319" s="688"/>
      <c r="G319" s="689"/>
      <c r="H319" s="690"/>
      <c r="I319" s="691"/>
      <c r="J319" s="689"/>
      <c r="K319" s="692"/>
      <c r="L319" s="866"/>
      <c r="M319" s="694"/>
      <c r="N319" s="695"/>
      <c r="O319" s="690"/>
      <c r="P319" s="696"/>
      <c r="Q319" s="697">
        <f>SUM(Q304:Q318)</f>
        <v>157817057.30871469</v>
      </c>
      <c r="R319" s="696"/>
      <c r="S319" s="697">
        <f>SUM(S300:S318)</f>
        <v>77304855.295125514</v>
      </c>
      <c r="T319" s="874"/>
      <c r="U319" s="874"/>
      <c r="V319" s="874"/>
      <c r="W319" s="874"/>
      <c r="X319" s="690"/>
      <c r="Y319" s="698">
        <f t="shared" si="72"/>
        <v>393755.13300577516</v>
      </c>
      <c r="Z319" s="875">
        <f>(Y319/$Y$404)*100</f>
        <v>2.1018383439051482</v>
      </c>
    </row>
    <row r="320" spans="2:26" x14ac:dyDescent="0.35">
      <c r="B320" s="700"/>
      <c r="C320" s="763" t="s">
        <v>514</v>
      </c>
      <c r="D320" s="763"/>
      <c r="E320" s="764"/>
      <c r="F320" s="436" t="s">
        <v>189</v>
      </c>
      <c r="G320" s="579" t="s">
        <v>190</v>
      </c>
      <c r="H320" s="545"/>
      <c r="I320" s="580"/>
      <c r="J320" s="579"/>
      <c r="K320" s="439"/>
      <c r="L320" s="849"/>
      <c r="M320" s="552"/>
      <c r="N320" s="437"/>
      <c r="O320" s="545"/>
      <c r="P320" s="683"/>
      <c r="Q320" s="683"/>
      <c r="R320" s="683"/>
      <c r="S320" s="683"/>
      <c r="T320" s="684"/>
      <c r="U320" s="684"/>
      <c r="V320" s="684"/>
      <c r="W320" s="684"/>
      <c r="X320" s="545"/>
      <c r="Y320" s="437">
        <f t="shared" si="72"/>
        <v>0</v>
      </c>
      <c r="Z320" s="436"/>
    </row>
    <row r="321" spans="2:26" hidden="1" x14ac:dyDescent="0.35">
      <c r="B321" s="700"/>
      <c r="E321" s="701"/>
      <c r="F321" s="436" t="s">
        <v>515</v>
      </c>
      <c r="G321" s="579" t="s">
        <v>226</v>
      </c>
      <c r="H321" s="545"/>
      <c r="I321" s="580"/>
      <c r="J321" s="579"/>
      <c r="K321" s="439"/>
      <c r="L321" s="849"/>
      <c r="M321" s="552"/>
      <c r="N321" s="437"/>
      <c r="O321" s="545"/>
      <c r="P321" s="683"/>
      <c r="Q321" s="683"/>
      <c r="R321" s="683"/>
      <c r="S321" s="683"/>
      <c r="T321" s="684"/>
      <c r="U321" s="684"/>
      <c r="V321" s="684"/>
      <c r="W321" s="684"/>
      <c r="X321" s="545"/>
      <c r="Y321" s="437">
        <f t="shared" si="72"/>
        <v>0</v>
      </c>
      <c r="Z321" s="436"/>
    </row>
    <row r="322" spans="2:26" ht="15" customHeight="1" x14ac:dyDescent="0.35">
      <c r="B322" s="785"/>
      <c r="C322" s="763" t="s">
        <v>516</v>
      </c>
      <c r="D322" s="763"/>
      <c r="E322" s="764"/>
      <c r="F322" s="436" t="s">
        <v>189</v>
      </c>
      <c r="G322" s="439" t="s">
        <v>190</v>
      </c>
      <c r="H322" s="785"/>
      <c r="I322" s="763"/>
      <c r="J322" s="790"/>
      <c r="K322" s="791"/>
      <c r="L322" s="938"/>
      <c r="M322" s="552">
        <v>11.5</v>
      </c>
      <c r="N322" s="589">
        <v>1</v>
      </c>
      <c r="O322" s="793"/>
      <c r="P322" s="589"/>
      <c r="Q322" s="589"/>
      <c r="R322" s="589"/>
      <c r="S322" s="589"/>
      <c r="T322" s="819"/>
      <c r="U322" s="819"/>
      <c r="V322" s="819"/>
      <c r="W322" s="819"/>
      <c r="X322" s="545"/>
      <c r="Y322" s="437">
        <f t="shared" si="72"/>
        <v>0</v>
      </c>
      <c r="Z322" s="436"/>
    </row>
    <row r="323" spans="2:26" hidden="1" x14ac:dyDescent="0.35">
      <c r="B323" s="700"/>
      <c r="E323" s="701"/>
      <c r="F323" s="436" t="s">
        <v>392</v>
      </c>
      <c r="G323" s="439" t="s">
        <v>393</v>
      </c>
      <c r="H323" s="700"/>
      <c r="J323" s="939"/>
      <c r="K323" s="795"/>
      <c r="L323" s="940"/>
      <c r="M323" s="552">
        <f>0.002*136</f>
        <v>0.27200000000000002</v>
      </c>
      <c r="N323" s="589">
        <v>1</v>
      </c>
      <c r="O323" s="793"/>
      <c r="P323" s="589"/>
      <c r="Q323" s="589"/>
      <c r="R323" s="589"/>
      <c r="S323" s="589"/>
      <c r="T323" s="819"/>
      <c r="U323" s="819"/>
      <c r="V323" s="819"/>
      <c r="W323" s="819"/>
      <c r="X323" s="545"/>
      <c r="Y323" s="437">
        <f t="shared" si="72"/>
        <v>0</v>
      </c>
      <c r="Z323" s="436"/>
    </row>
    <row r="324" spans="2:26" hidden="1" x14ac:dyDescent="0.35">
      <c r="B324" s="700"/>
      <c r="E324" s="701"/>
      <c r="F324" s="436" t="s">
        <v>394</v>
      </c>
      <c r="G324" s="439" t="s">
        <v>192</v>
      </c>
      <c r="H324" s="680"/>
      <c r="I324" s="681"/>
      <c r="J324" s="797"/>
      <c r="K324" s="798"/>
      <c r="L324" s="941"/>
      <c r="M324" s="552">
        <f>0.001*136</f>
        <v>0.13600000000000001</v>
      </c>
      <c r="N324" s="589">
        <v>1</v>
      </c>
      <c r="O324" s="793"/>
      <c r="P324" s="589"/>
      <c r="Q324" s="589"/>
      <c r="R324" s="589"/>
      <c r="S324" s="589"/>
      <c r="T324" s="819"/>
      <c r="U324" s="819"/>
      <c r="V324" s="819"/>
      <c r="W324" s="819"/>
      <c r="X324" s="545"/>
      <c r="Y324" s="437">
        <f t="shared" si="72"/>
        <v>0</v>
      </c>
      <c r="Z324" s="436"/>
    </row>
    <row r="325" spans="2:26" x14ac:dyDescent="0.35">
      <c r="B325" s="700"/>
      <c r="C325" s="357" t="s">
        <v>518</v>
      </c>
      <c r="E325" s="701"/>
      <c r="F325" s="436" t="s">
        <v>189</v>
      </c>
      <c r="G325" s="579" t="s">
        <v>190</v>
      </c>
      <c r="H325" s="545"/>
      <c r="I325" s="580"/>
      <c r="J325" s="579"/>
      <c r="K325" s="439"/>
      <c r="L325" s="849"/>
      <c r="M325" s="552"/>
      <c r="N325" s="437"/>
      <c r="O325" s="545"/>
      <c r="P325" s="683"/>
      <c r="Q325" s="683"/>
      <c r="R325" s="683"/>
      <c r="S325" s="683"/>
      <c r="T325" s="684"/>
      <c r="U325" s="684"/>
      <c r="V325" s="684"/>
      <c r="W325" s="684"/>
      <c r="X325" s="545"/>
      <c r="Y325" s="437">
        <f t="shared" si="72"/>
        <v>0</v>
      </c>
      <c r="Z325" s="436"/>
    </row>
    <row r="326" spans="2:26" customFormat="1" x14ac:dyDescent="0.35">
      <c r="B326" s="753" t="s">
        <v>547</v>
      </c>
      <c r="C326" s="853"/>
      <c r="D326" s="853"/>
      <c r="E326" s="854"/>
      <c r="F326" s="668"/>
      <c r="G326" s="669"/>
      <c r="H326" s="670"/>
      <c r="I326" s="671"/>
      <c r="J326" s="669"/>
      <c r="K326" s="672"/>
      <c r="L326" s="876"/>
      <c r="M326" s="674"/>
      <c r="N326" s="675"/>
      <c r="O326" s="670"/>
      <c r="P326" s="676"/>
      <c r="Q326" s="756">
        <f>Q290+Q301+Q319</f>
        <v>198571060.7466473</v>
      </c>
      <c r="R326" s="676"/>
      <c r="S326" s="756">
        <f>SUM(S317:S325)</f>
        <v>77304855.295125514</v>
      </c>
      <c r="T326" s="677"/>
      <c r="U326" s="677"/>
      <c r="V326" s="677"/>
      <c r="W326" s="677"/>
      <c r="X326" s="670"/>
      <c r="Y326" s="757">
        <f t="shared" si="72"/>
        <v>495436.77830999822</v>
      </c>
      <c r="Z326" s="877">
        <f>(Y326/$Y$404)*100</f>
        <v>2.6446081088103952</v>
      </c>
    </row>
    <row r="327" spans="2:26" x14ac:dyDescent="0.35">
      <c r="B327" s="722" t="s">
        <v>520</v>
      </c>
      <c r="C327" s="580"/>
      <c r="D327" s="580"/>
      <c r="E327" s="723"/>
      <c r="F327" s="436"/>
      <c r="G327" s="579"/>
      <c r="H327" s="545"/>
      <c r="I327" s="580"/>
      <c r="J327" s="579"/>
      <c r="K327" s="439"/>
      <c r="L327" s="849"/>
      <c r="M327" s="942">
        <v>143</v>
      </c>
      <c r="N327" s="437"/>
      <c r="O327" s="545"/>
      <c r="P327" s="683"/>
      <c r="Q327" s="683"/>
      <c r="R327" s="683"/>
      <c r="S327" s="683"/>
      <c r="T327" s="684"/>
      <c r="U327" s="684"/>
      <c r="V327" s="684"/>
      <c r="W327" s="684"/>
      <c r="X327" s="545"/>
      <c r="Y327" s="437">
        <f t="shared" si="72"/>
        <v>0</v>
      </c>
      <c r="Z327" s="436"/>
    </row>
    <row r="328" spans="2:26" x14ac:dyDescent="0.35">
      <c r="B328" s="545"/>
      <c r="C328" s="580" t="s">
        <v>521</v>
      </c>
      <c r="D328" s="580"/>
      <c r="E328" s="723"/>
      <c r="F328" s="436"/>
      <c r="G328" s="579"/>
      <c r="H328" s="545"/>
      <c r="I328" s="580"/>
      <c r="J328" s="579"/>
      <c r="K328" s="439"/>
      <c r="L328" s="849"/>
      <c r="M328" s="552"/>
      <c r="N328" s="437"/>
      <c r="O328" s="545"/>
      <c r="P328" s="683"/>
      <c r="Q328" s="683"/>
      <c r="R328" s="683"/>
      <c r="S328" s="683"/>
      <c r="T328" s="684"/>
      <c r="U328" s="684"/>
      <c r="V328" s="684"/>
      <c r="W328" s="684"/>
      <c r="X328" s="545"/>
      <c r="Y328" s="437">
        <f t="shared" si="72"/>
        <v>0</v>
      </c>
      <c r="Z328" s="436"/>
    </row>
    <row r="329" spans="2:26" x14ac:dyDescent="0.35">
      <c r="B329" s="943"/>
      <c r="C329" s="944"/>
      <c r="D329" s="801" t="s">
        <v>366</v>
      </c>
      <c r="E329" s="945"/>
      <c r="F329" s="295" t="s">
        <v>189</v>
      </c>
      <c r="G329" s="364" t="s">
        <v>190</v>
      </c>
      <c r="H329" s="365"/>
      <c r="I329" s="366"/>
      <c r="J329" s="364" t="s">
        <v>170</v>
      </c>
      <c r="K329" s="548">
        <v>0</v>
      </c>
      <c r="L329" s="849">
        <f t="shared" ref="L329:L337" si="78">$L$44</f>
        <v>400.8</v>
      </c>
      <c r="M329" s="803">
        <v>0.5</v>
      </c>
      <c r="N329" s="509">
        <v>1</v>
      </c>
      <c r="O329" s="401">
        <f t="shared" ref="O329:O373" si="79">K329*L329*M329*N329</f>
        <v>0</v>
      </c>
      <c r="P329" s="299">
        <f>VLOOKUP($F329,'[1]Master Harga'!$E$5:$L$351,8,FALSE)</f>
        <v>169122.61109699999</v>
      </c>
      <c r="Q329" s="683">
        <f t="shared" ref="Q329:Q357" si="80">P329*$O329</f>
        <v>0</v>
      </c>
      <c r="R329" s="437">
        <f>VLOOKUP($F329,'[2]Master Harga'!$E$5:$M$348,8,FALSE)</f>
        <v>179635.86432000002</v>
      </c>
      <c r="S329" s="683">
        <f t="shared" ref="S329:S357" si="81">R329*$O329</f>
        <v>0</v>
      </c>
      <c r="T329" s="437">
        <f>VLOOKUP($F329,'[2]Master Harga'!$E$5:$M$348,9,FALSE)</f>
        <v>197599.45075200003</v>
      </c>
      <c r="U329" s="684">
        <f t="shared" ref="U329:U357" si="82">$O329*T329</f>
        <v>0</v>
      </c>
      <c r="V329" s="437" t="e">
        <f>W329/O329</f>
        <v>#DIV/0!</v>
      </c>
      <c r="W329" s="307">
        <f t="shared" ref="W329:W357" si="83">AVERAGEIF($P$3:$U$3,W$3,$P329:$U329)</f>
        <v>0</v>
      </c>
      <c r="X329" s="545"/>
      <c r="Y329" s="437">
        <f t="shared" si="72"/>
        <v>0</v>
      </c>
      <c r="Z329" s="436"/>
    </row>
    <row r="330" spans="2:26" hidden="1" x14ac:dyDescent="0.35">
      <c r="B330" s="700"/>
      <c r="D330" t="s">
        <v>569</v>
      </c>
      <c r="E330" s="701"/>
      <c r="F330" s="295" t="s">
        <v>349</v>
      </c>
      <c r="G330" s="364" t="s">
        <v>190</v>
      </c>
      <c r="H330" s="365"/>
      <c r="I330" s="366"/>
      <c r="J330" s="364" t="s">
        <v>170</v>
      </c>
      <c r="K330" s="548">
        <v>0</v>
      </c>
      <c r="L330" s="849">
        <f t="shared" si="78"/>
        <v>400.8</v>
      </c>
      <c r="M330" s="803">
        <v>0.18</v>
      </c>
      <c r="N330" s="509">
        <f>N329</f>
        <v>1</v>
      </c>
      <c r="O330" s="401">
        <f t="shared" si="79"/>
        <v>0</v>
      </c>
      <c r="P330" s="299">
        <f>VLOOKUP($F330,'[1]Master Harga'!$E$5:$L$351,8,FALSE)</f>
        <v>169122.61109699999</v>
      </c>
      <c r="Q330" s="683">
        <f t="shared" si="80"/>
        <v>0</v>
      </c>
      <c r="R330" s="437">
        <f>VLOOKUP($F330,'[2]Master Harga'!$E$5:$M$348,8,FALSE)</f>
        <v>179635.86432000002</v>
      </c>
      <c r="S330" s="683">
        <f t="shared" si="81"/>
        <v>0</v>
      </c>
      <c r="T330" s="437">
        <f>VLOOKUP($F330,'[2]Master Harga'!$E$5:$M$348,9,FALSE)</f>
        <v>197599.45075200003</v>
      </c>
      <c r="U330" s="684">
        <f t="shared" si="82"/>
        <v>0</v>
      </c>
      <c r="V330" s="437" t="e">
        <f>W330/O330</f>
        <v>#DIV/0!</v>
      </c>
      <c r="W330" s="307">
        <f t="shared" si="83"/>
        <v>0</v>
      </c>
      <c r="X330" s="545"/>
      <c r="Y330" s="437">
        <f t="shared" si="72"/>
        <v>0</v>
      </c>
      <c r="Z330" s="436"/>
    </row>
    <row r="331" spans="2:26" hidden="1" x14ac:dyDescent="0.35">
      <c r="B331" s="700"/>
      <c r="E331" s="701"/>
      <c r="F331" s="295" t="s">
        <v>231</v>
      </c>
      <c r="G331" s="364" t="s">
        <v>190</v>
      </c>
      <c r="H331" s="365"/>
      <c r="I331" s="366"/>
      <c r="J331" s="364" t="s">
        <v>170</v>
      </c>
      <c r="K331" s="548">
        <v>0</v>
      </c>
      <c r="L331" s="849">
        <f t="shared" si="78"/>
        <v>400.8</v>
      </c>
      <c r="M331" s="803">
        <f>M329</f>
        <v>0.5</v>
      </c>
      <c r="N331" s="509">
        <f t="shared" ref="N331:N337" si="84">N330</f>
        <v>1</v>
      </c>
      <c r="O331" s="401">
        <f t="shared" si="79"/>
        <v>0</v>
      </c>
      <c r="P331" s="299">
        <f>VLOOKUP($F331,'[1]Master Harga'!$E$5:$L$351,8,FALSE)</f>
        <v>4456.8562499999998</v>
      </c>
      <c r="Q331" s="683">
        <f t="shared" si="80"/>
        <v>0</v>
      </c>
      <c r="R331" s="437">
        <f>VLOOKUP($F331,'[2]Master Harga'!$E$5:$M$348,8,FALSE)</f>
        <v>4849.8912000000009</v>
      </c>
      <c r="S331" s="683">
        <f t="shared" si="81"/>
        <v>0</v>
      </c>
      <c r="T331" s="437">
        <f>VLOOKUP($F331,'[2]Master Harga'!$E$5:$M$348,9,FALSE)</f>
        <v>5237.8824960000011</v>
      </c>
      <c r="U331" s="684">
        <f t="shared" si="82"/>
        <v>0</v>
      </c>
      <c r="V331" s="437" t="e">
        <f t="shared" ref="V331:V357" si="85">W331/O331</f>
        <v>#DIV/0!</v>
      </c>
      <c r="W331" s="307">
        <f t="shared" si="83"/>
        <v>0</v>
      </c>
      <c r="X331" s="545"/>
      <c r="Y331" s="437">
        <f t="shared" si="72"/>
        <v>0</v>
      </c>
      <c r="Z331" s="436"/>
    </row>
    <row r="332" spans="2:26" hidden="1" x14ac:dyDescent="0.35">
      <c r="B332" s="700"/>
      <c r="E332" s="701"/>
      <c r="F332" s="295" t="s">
        <v>350</v>
      </c>
      <c r="G332" s="364" t="s">
        <v>194</v>
      </c>
      <c r="H332" s="365">
        <v>1</v>
      </c>
      <c r="I332" s="366" t="s">
        <v>233</v>
      </c>
      <c r="J332" s="364" t="s">
        <v>170</v>
      </c>
      <c r="K332" s="548">
        <v>0</v>
      </c>
      <c r="L332" s="849">
        <f t="shared" si="78"/>
        <v>400.8</v>
      </c>
      <c r="M332" s="946">
        <f>((M$329*N$329)/240)*($H332/N332)</f>
        <v>2.0833333333333333E-3</v>
      </c>
      <c r="N332" s="509">
        <f t="shared" si="84"/>
        <v>1</v>
      </c>
      <c r="O332" s="401">
        <f t="shared" si="79"/>
        <v>0</v>
      </c>
      <c r="P332" s="299">
        <f>VLOOKUP($F332,'[1]Master Harga'!$E$5:$L$351,8,FALSE)</f>
        <v>5788.125</v>
      </c>
      <c r="Q332" s="683">
        <f t="shared" si="80"/>
        <v>0</v>
      </c>
      <c r="R332" s="437">
        <f>VLOOKUP($F332,'[2]Master Harga'!$E$5:$M$348,8,FALSE)</f>
        <v>6298.56</v>
      </c>
      <c r="S332" s="683">
        <f t="shared" si="81"/>
        <v>0</v>
      </c>
      <c r="T332" s="437">
        <f>VLOOKUP($F332,'[2]Master Harga'!$E$5:$M$348,9,FALSE)</f>
        <v>6802.4448000000011</v>
      </c>
      <c r="U332" s="684">
        <f t="shared" si="82"/>
        <v>0</v>
      </c>
      <c r="V332" s="437" t="e">
        <f t="shared" si="85"/>
        <v>#DIV/0!</v>
      </c>
      <c r="W332" s="307">
        <f t="shared" si="83"/>
        <v>0</v>
      </c>
      <c r="X332" s="545"/>
      <c r="Y332" s="437">
        <f t="shared" si="72"/>
        <v>0</v>
      </c>
      <c r="Z332" s="436"/>
    </row>
    <row r="333" spans="2:26" hidden="1" x14ac:dyDescent="0.35">
      <c r="B333" s="700"/>
      <c r="E333" s="701"/>
      <c r="F333" s="295" t="s">
        <v>232</v>
      </c>
      <c r="G333" s="364" t="s">
        <v>194</v>
      </c>
      <c r="H333" s="365">
        <v>4</v>
      </c>
      <c r="I333" s="366" t="s">
        <v>233</v>
      </c>
      <c r="J333" s="364" t="s">
        <v>170</v>
      </c>
      <c r="K333" s="548">
        <v>0</v>
      </c>
      <c r="L333" s="849">
        <f t="shared" si="78"/>
        <v>400.8</v>
      </c>
      <c r="M333" s="946">
        <f>((M$344*N$344)/240)*($H333/N333)</f>
        <v>6.2500000000000015E-5</v>
      </c>
      <c r="N333" s="509">
        <f t="shared" si="84"/>
        <v>1</v>
      </c>
      <c r="O333" s="401">
        <f t="shared" si="79"/>
        <v>0</v>
      </c>
      <c r="P333" s="299">
        <f>VLOOKUP($F333,'[1]Master Harga'!$E$5:$L$351,8,FALSE)</f>
        <v>49592.654999999999</v>
      </c>
      <c r="Q333" s="683">
        <f t="shared" si="80"/>
        <v>0</v>
      </c>
      <c r="R333" s="437">
        <f>VLOOKUP($F333,'[2]Master Harga'!$E$5:$M$348,8,FALSE)</f>
        <v>53966.062080000011</v>
      </c>
      <c r="S333" s="683">
        <f t="shared" si="81"/>
        <v>0</v>
      </c>
      <c r="T333" s="437">
        <f>VLOOKUP($F333,'[2]Master Harga'!$E$5:$M$348,9,FALSE)</f>
        <v>58283.347046400013</v>
      </c>
      <c r="U333" s="684">
        <f t="shared" si="82"/>
        <v>0</v>
      </c>
      <c r="V333" s="437" t="e">
        <f t="shared" si="85"/>
        <v>#DIV/0!</v>
      </c>
      <c r="W333" s="307">
        <f t="shared" si="83"/>
        <v>0</v>
      </c>
      <c r="X333" s="545"/>
      <c r="Y333" s="437">
        <f t="shared" si="72"/>
        <v>0</v>
      </c>
      <c r="Z333" s="436"/>
    </row>
    <row r="334" spans="2:26" hidden="1" x14ac:dyDescent="0.35">
      <c r="B334" s="700"/>
      <c r="E334" s="701"/>
      <c r="F334" s="295" t="s">
        <v>234</v>
      </c>
      <c r="G334" s="364" t="s">
        <v>194</v>
      </c>
      <c r="H334" s="365">
        <v>12</v>
      </c>
      <c r="I334" s="366" t="s">
        <v>233</v>
      </c>
      <c r="J334" s="364" t="s">
        <v>170</v>
      </c>
      <c r="K334" s="548">
        <v>0</v>
      </c>
      <c r="L334" s="849">
        <f t="shared" si="78"/>
        <v>400.8</v>
      </c>
      <c r="M334" s="946">
        <f>((M$344*N$344)/240)*($H334/N334)</f>
        <v>1.8750000000000006E-4</v>
      </c>
      <c r="N334" s="509">
        <f t="shared" si="84"/>
        <v>1</v>
      </c>
      <c r="O334" s="401">
        <f t="shared" si="79"/>
        <v>0</v>
      </c>
      <c r="P334" s="299">
        <f>VLOOKUP($F334,'[1]Master Harga'!$E$5:$L$351,8,FALSE)</f>
        <v>16206.75</v>
      </c>
      <c r="Q334" s="683">
        <f t="shared" si="80"/>
        <v>0</v>
      </c>
      <c r="R334" s="437">
        <f>VLOOKUP($F334,'[2]Master Harga'!$E$5:$M$348,8,FALSE)</f>
        <v>17635.968000000004</v>
      </c>
      <c r="S334" s="683">
        <f t="shared" si="81"/>
        <v>0</v>
      </c>
      <c r="T334" s="437">
        <f>VLOOKUP($F334,'[2]Master Harga'!$E$5:$M$348,9,FALSE)</f>
        <v>19046.845440000005</v>
      </c>
      <c r="U334" s="684">
        <f t="shared" si="82"/>
        <v>0</v>
      </c>
      <c r="V334" s="437" t="e">
        <f t="shared" si="85"/>
        <v>#DIV/0!</v>
      </c>
      <c r="W334" s="307">
        <f t="shared" si="83"/>
        <v>0</v>
      </c>
      <c r="X334" s="545"/>
      <c r="Y334" s="437">
        <f t="shared" si="72"/>
        <v>0</v>
      </c>
      <c r="Z334" s="436"/>
    </row>
    <row r="335" spans="2:26" hidden="1" x14ac:dyDescent="0.35">
      <c r="B335" s="700"/>
      <c r="E335" s="701"/>
      <c r="F335" s="295" t="s">
        <v>236</v>
      </c>
      <c r="G335" s="364" t="s">
        <v>194</v>
      </c>
      <c r="H335" s="365">
        <v>2</v>
      </c>
      <c r="I335" s="366" t="s">
        <v>233</v>
      </c>
      <c r="J335" s="364" t="s">
        <v>170</v>
      </c>
      <c r="K335" s="548">
        <v>0</v>
      </c>
      <c r="L335" s="849">
        <f t="shared" si="78"/>
        <v>400.8</v>
      </c>
      <c r="M335" s="946">
        <f>((M$344*N$344)/240)*($H335/N335)</f>
        <v>3.1250000000000007E-5</v>
      </c>
      <c r="N335" s="509">
        <f t="shared" si="84"/>
        <v>1</v>
      </c>
      <c r="O335" s="401">
        <f t="shared" si="79"/>
        <v>0</v>
      </c>
      <c r="P335" s="299">
        <f>VLOOKUP($F335,'[1]Master Harga'!$E$5:$L$351,8,FALSE)</f>
        <v>37194.491250000006</v>
      </c>
      <c r="Q335" s="683">
        <f t="shared" si="80"/>
        <v>0</v>
      </c>
      <c r="R335" s="437">
        <f>VLOOKUP($F335,'[2]Master Harga'!$E$5:$M$348,8,FALSE)</f>
        <v>40474.546560000003</v>
      </c>
      <c r="S335" s="683">
        <f t="shared" si="81"/>
        <v>0</v>
      </c>
      <c r="T335" s="437">
        <f>VLOOKUP($F335,'[2]Master Harga'!$E$5:$M$348,9,FALSE)</f>
        <v>43712.510284800002</v>
      </c>
      <c r="U335" s="684">
        <f t="shared" si="82"/>
        <v>0</v>
      </c>
      <c r="V335" s="437" t="e">
        <f t="shared" si="85"/>
        <v>#DIV/0!</v>
      </c>
      <c r="W335" s="307">
        <f t="shared" si="83"/>
        <v>0</v>
      </c>
      <c r="X335" s="545"/>
      <c r="Y335" s="437">
        <f t="shared" si="72"/>
        <v>0</v>
      </c>
      <c r="Z335" s="436"/>
    </row>
    <row r="336" spans="2:26" hidden="1" x14ac:dyDescent="0.35">
      <c r="B336" s="700"/>
      <c r="E336" s="701"/>
      <c r="F336" s="295" t="s">
        <v>237</v>
      </c>
      <c r="G336" s="364" t="s">
        <v>194</v>
      </c>
      <c r="H336" s="365">
        <v>1</v>
      </c>
      <c r="I336" s="366" t="s">
        <v>233</v>
      </c>
      <c r="J336" s="364" t="s">
        <v>170</v>
      </c>
      <c r="K336" s="548">
        <v>0</v>
      </c>
      <c r="L336" s="849">
        <f t="shared" si="78"/>
        <v>400.8</v>
      </c>
      <c r="M336" s="946">
        <f>((M$344*N$344)/240)*($H336/N336)</f>
        <v>1.5625000000000004E-5</v>
      </c>
      <c r="N336" s="509">
        <f t="shared" si="84"/>
        <v>1</v>
      </c>
      <c r="O336" s="401">
        <f t="shared" si="79"/>
        <v>0</v>
      </c>
      <c r="P336" s="299">
        <f>VLOOKUP($F336,'[1]Master Harga'!$E$5:$L$351,8,FALSE)</f>
        <v>99185.31</v>
      </c>
      <c r="Q336" s="683">
        <f t="shared" si="80"/>
        <v>0</v>
      </c>
      <c r="R336" s="437">
        <f>VLOOKUP($F336,'[2]Master Harga'!$E$5:$M$348,8,FALSE)</f>
        <v>107932.12416000002</v>
      </c>
      <c r="S336" s="683">
        <f t="shared" si="81"/>
        <v>0</v>
      </c>
      <c r="T336" s="437">
        <f>VLOOKUP($F336,'[2]Master Harga'!$E$5:$M$348,9,FALSE)</f>
        <v>116566.69409280003</v>
      </c>
      <c r="U336" s="684">
        <f t="shared" si="82"/>
        <v>0</v>
      </c>
      <c r="V336" s="437" t="e">
        <f t="shared" si="85"/>
        <v>#DIV/0!</v>
      </c>
      <c r="W336" s="307">
        <f t="shared" si="83"/>
        <v>0</v>
      </c>
      <c r="X336" s="545"/>
      <c r="Y336" s="437">
        <f t="shared" si="72"/>
        <v>0</v>
      </c>
      <c r="Z336" s="436"/>
    </row>
    <row r="337" spans="2:26" hidden="1" x14ac:dyDescent="0.35">
      <c r="B337" s="700"/>
      <c r="E337" s="701"/>
      <c r="F337" s="801" t="s">
        <v>366</v>
      </c>
      <c r="G337" s="364" t="s">
        <v>192</v>
      </c>
      <c r="H337" s="365"/>
      <c r="I337" s="366"/>
      <c r="J337" s="364" t="s">
        <v>326</v>
      </c>
      <c r="K337" s="548">
        <v>0</v>
      </c>
      <c r="L337" s="849">
        <f t="shared" si="78"/>
        <v>400.8</v>
      </c>
      <c r="M337" s="947">
        <f>(750*136)/1000</f>
        <v>102</v>
      </c>
      <c r="N337" s="509">
        <f t="shared" si="84"/>
        <v>1</v>
      </c>
      <c r="O337" s="401">
        <f t="shared" si="79"/>
        <v>0</v>
      </c>
      <c r="P337" s="299">
        <f>VLOOKUP($F337,'[1]Master Harga'!$E$5:$L$351,8,FALSE)</f>
        <v>5450.76</v>
      </c>
      <c r="Q337" s="683">
        <f t="shared" si="80"/>
        <v>0</v>
      </c>
      <c r="R337" s="437">
        <f>VLOOKUP($F337,'[2]Master Harga'!$E$5:$M$348,8,FALSE)</f>
        <v>7126.8395000000019</v>
      </c>
      <c r="S337" s="683">
        <f t="shared" si="81"/>
        <v>0</v>
      </c>
      <c r="T337" s="437">
        <f>VLOOKUP($F337,'[2]Master Harga'!$E$5:$M$348,9,FALSE)</f>
        <v>7839.5234500000024</v>
      </c>
      <c r="U337" s="684">
        <f t="shared" si="82"/>
        <v>0</v>
      </c>
      <c r="V337" s="437" t="e">
        <f t="shared" si="85"/>
        <v>#DIV/0!</v>
      </c>
      <c r="W337" s="307">
        <f t="shared" si="83"/>
        <v>0</v>
      </c>
      <c r="X337" s="545"/>
      <c r="Y337" s="437">
        <f t="shared" si="72"/>
        <v>0</v>
      </c>
      <c r="Z337" s="436"/>
    </row>
    <row r="338" spans="2:26" customFormat="1" x14ac:dyDescent="0.35">
      <c r="B338" s="685" t="s">
        <v>548</v>
      </c>
      <c r="C338" s="864"/>
      <c r="D338" s="864"/>
      <c r="E338" s="865"/>
      <c r="F338" s="688"/>
      <c r="G338" s="689"/>
      <c r="H338" s="690"/>
      <c r="I338" s="691"/>
      <c r="J338" s="689"/>
      <c r="K338" s="692"/>
      <c r="L338" s="866"/>
      <c r="M338" s="694"/>
      <c r="N338" s="695"/>
      <c r="O338" s="690"/>
      <c r="P338" s="696"/>
      <c r="Q338" s="697">
        <f>SUM(Q329:Q337)</f>
        <v>0</v>
      </c>
      <c r="R338" s="696"/>
      <c r="S338" s="697">
        <f>SUM(S327:S337)</f>
        <v>0</v>
      </c>
      <c r="T338" s="874"/>
      <c r="U338" s="874"/>
      <c r="V338" s="874"/>
      <c r="W338" s="874"/>
      <c r="X338" s="690"/>
      <c r="Y338" s="698">
        <f t="shared" si="72"/>
        <v>0</v>
      </c>
      <c r="Z338" s="875">
        <f>(Y338/$Y$404)*100</f>
        <v>0</v>
      </c>
    </row>
    <row r="339" spans="2:26" x14ac:dyDescent="0.35">
      <c r="B339" s="943"/>
      <c r="C339" s="944"/>
      <c r="D339" s="948" t="s">
        <v>525</v>
      </c>
      <c r="E339" s="949"/>
      <c r="F339" s="295" t="s">
        <v>189</v>
      </c>
      <c r="G339" s="364" t="s">
        <v>190</v>
      </c>
      <c r="H339" s="365"/>
      <c r="I339" s="366"/>
      <c r="J339" s="364" t="s">
        <v>170</v>
      </c>
      <c r="K339" s="548">
        <v>1</v>
      </c>
      <c r="L339" s="849">
        <f t="shared" ref="L339:L347" si="86">$L$44</f>
        <v>400.8</v>
      </c>
      <c r="M339" s="803">
        <v>0.5</v>
      </c>
      <c r="N339" s="508">
        <v>3</v>
      </c>
      <c r="O339" s="401">
        <f t="shared" si="79"/>
        <v>601.20000000000005</v>
      </c>
      <c r="P339" s="299">
        <f>VLOOKUP($F339,'[1]Master Harga'!$E$5:$L$351,8,FALSE)</f>
        <v>169122.61109699999</v>
      </c>
      <c r="Q339" s="683">
        <f t="shared" si="80"/>
        <v>101676513.79151639</v>
      </c>
      <c r="R339" s="437">
        <f>VLOOKUP($F339,'[2]Master Harga'!$E$5:$M$348,8,FALSE)</f>
        <v>179635.86432000002</v>
      </c>
      <c r="S339" s="683">
        <f t="shared" si="81"/>
        <v>107997081.62918402</v>
      </c>
      <c r="T339" s="437">
        <f>VLOOKUP($F339,'[2]Master Harga'!$E$5:$M$348,9,FALSE)</f>
        <v>197599.45075200003</v>
      </c>
      <c r="U339" s="684">
        <f t="shared" si="82"/>
        <v>118796789.79210243</v>
      </c>
      <c r="V339" s="437">
        <f t="shared" si="85"/>
        <v>182119.30872300002</v>
      </c>
      <c r="W339" s="307">
        <f t="shared" si="83"/>
        <v>109490128.40426762</v>
      </c>
      <c r="X339" s="545"/>
      <c r="Y339" s="437">
        <f t="shared" si="72"/>
        <v>253683.91664549996</v>
      </c>
      <c r="Z339" s="436"/>
    </row>
    <row r="340" spans="2:26" x14ac:dyDescent="0.35">
      <c r="B340" s="700"/>
      <c r="D340"/>
      <c r="E340" s="701"/>
      <c r="F340" s="295" t="s">
        <v>349</v>
      </c>
      <c r="G340" s="364" t="s">
        <v>190</v>
      </c>
      <c r="H340" s="365"/>
      <c r="I340" s="366"/>
      <c r="J340" s="364" t="s">
        <v>170</v>
      </c>
      <c r="K340" s="548">
        <v>1</v>
      </c>
      <c r="L340" s="849">
        <f t="shared" si="86"/>
        <v>400.8</v>
      </c>
      <c r="M340" s="803">
        <v>0.18</v>
      </c>
      <c r="N340" s="508">
        <f>N339</f>
        <v>3</v>
      </c>
      <c r="O340" s="401">
        <f t="shared" si="79"/>
        <v>216.43200000000002</v>
      </c>
      <c r="P340" s="299">
        <f>VLOOKUP($F340,'[1]Master Harga'!$E$5:$L$351,8,FALSE)</f>
        <v>169122.61109699999</v>
      </c>
      <c r="Q340" s="683">
        <f t="shared" si="80"/>
        <v>36603544.964945905</v>
      </c>
      <c r="R340" s="437">
        <f>VLOOKUP($F340,'[2]Master Harga'!$E$5:$M$348,8,FALSE)</f>
        <v>179635.86432000002</v>
      </c>
      <c r="S340" s="683">
        <f t="shared" si="81"/>
        <v>38878949.386506245</v>
      </c>
      <c r="T340" s="437">
        <f>VLOOKUP($F340,'[2]Master Harga'!$E$5:$M$348,9,FALSE)</f>
        <v>197599.45075200003</v>
      </c>
      <c r="U340" s="684">
        <f t="shared" si="82"/>
        <v>42766844.325156875</v>
      </c>
      <c r="V340" s="437">
        <f t="shared" si="85"/>
        <v>182119.30872299999</v>
      </c>
      <c r="W340" s="307">
        <f t="shared" si="83"/>
        <v>39416446.225536339</v>
      </c>
      <c r="X340" s="545"/>
      <c r="Y340" s="437">
        <f t="shared" si="72"/>
        <v>91326.209992379998</v>
      </c>
      <c r="Z340" s="436"/>
    </row>
    <row r="341" spans="2:26" x14ac:dyDescent="0.35">
      <c r="B341" s="700"/>
      <c r="D341"/>
      <c r="E341" s="701"/>
      <c r="F341" s="295" t="s">
        <v>231</v>
      </c>
      <c r="G341" s="364" t="s">
        <v>190</v>
      </c>
      <c r="H341" s="365"/>
      <c r="I341" s="366"/>
      <c r="J341" s="364" t="s">
        <v>170</v>
      </c>
      <c r="K341" s="548">
        <v>1</v>
      </c>
      <c r="L341" s="849">
        <f t="shared" si="86"/>
        <v>400.8</v>
      </c>
      <c r="M341" s="803">
        <f>M339</f>
        <v>0.5</v>
      </c>
      <c r="N341" s="508">
        <f t="shared" ref="N341:N346" si="87">N340</f>
        <v>3</v>
      </c>
      <c r="O341" s="401">
        <f t="shared" si="79"/>
        <v>601.20000000000005</v>
      </c>
      <c r="P341" s="299">
        <f>VLOOKUP($F341,'[1]Master Harga'!$E$5:$L$351,8,FALSE)</f>
        <v>4456.8562499999998</v>
      </c>
      <c r="Q341" s="683">
        <f t="shared" si="80"/>
        <v>2679461.9775</v>
      </c>
      <c r="R341" s="437">
        <f>VLOOKUP($F341,'[2]Master Harga'!$E$5:$M$348,8,FALSE)</f>
        <v>4849.8912000000009</v>
      </c>
      <c r="S341" s="683">
        <f t="shared" si="81"/>
        <v>2915754.5894400007</v>
      </c>
      <c r="T341" s="437">
        <f>VLOOKUP($F341,'[2]Master Harga'!$E$5:$M$348,9,FALSE)</f>
        <v>5237.8824960000011</v>
      </c>
      <c r="U341" s="684">
        <f t="shared" si="82"/>
        <v>3149014.956595201</v>
      </c>
      <c r="V341" s="437">
        <f t="shared" si="85"/>
        <v>4848.2099820000003</v>
      </c>
      <c r="W341" s="307">
        <f t="shared" si="83"/>
        <v>2914743.8411784004</v>
      </c>
      <c r="X341" s="545"/>
      <c r="Y341" s="437">
        <f t="shared" si="72"/>
        <v>6685.2843750000002</v>
      </c>
      <c r="Z341" s="436"/>
    </row>
    <row r="342" spans="2:26" x14ac:dyDescent="0.35">
      <c r="B342" s="700"/>
      <c r="D342"/>
      <c r="E342" s="701"/>
      <c r="F342" s="295" t="s">
        <v>350</v>
      </c>
      <c r="G342" s="364" t="s">
        <v>194</v>
      </c>
      <c r="H342" s="365">
        <v>1</v>
      </c>
      <c r="I342" s="366" t="s">
        <v>233</v>
      </c>
      <c r="J342" s="364" t="s">
        <v>170</v>
      </c>
      <c r="K342" s="548">
        <v>1</v>
      </c>
      <c r="L342" s="849">
        <f t="shared" si="86"/>
        <v>400.8</v>
      </c>
      <c r="M342" s="804">
        <f>((M$354*N$354)/240)*($H342/N342)</f>
        <v>1.0416666666666669E-4</v>
      </c>
      <c r="N342" s="508">
        <f t="shared" si="87"/>
        <v>3</v>
      </c>
      <c r="O342" s="401">
        <f t="shared" si="79"/>
        <v>0.12525000000000003</v>
      </c>
      <c r="P342" s="299">
        <f>VLOOKUP($F342,'[1]Master Harga'!$E$5:$L$351,8,FALSE)</f>
        <v>5788.125</v>
      </c>
      <c r="Q342" s="683">
        <f t="shared" si="80"/>
        <v>724.96265625000012</v>
      </c>
      <c r="R342" s="437">
        <f>VLOOKUP($F342,'[2]Master Harga'!$E$5:$M$348,8,FALSE)</f>
        <v>6298.56</v>
      </c>
      <c r="S342" s="683">
        <f t="shared" si="81"/>
        <v>788.89464000000021</v>
      </c>
      <c r="T342" s="437">
        <f>VLOOKUP($F342,'[2]Master Harga'!$E$5:$M$348,9,FALSE)</f>
        <v>6802.4448000000011</v>
      </c>
      <c r="U342" s="684">
        <f t="shared" si="82"/>
        <v>852.00621120000028</v>
      </c>
      <c r="V342" s="437">
        <f t="shared" si="85"/>
        <v>6296.3766000000005</v>
      </c>
      <c r="W342" s="307">
        <f t="shared" si="83"/>
        <v>788.62116915000024</v>
      </c>
      <c r="X342" s="545"/>
      <c r="Y342" s="437">
        <f t="shared" si="72"/>
        <v>1.8087890625000003</v>
      </c>
      <c r="Z342" s="436"/>
    </row>
    <row r="343" spans="2:26" x14ac:dyDescent="0.35">
      <c r="B343" s="700"/>
      <c r="E343" s="701"/>
      <c r="F343" s="295" t="s">
        <v>232</v>
      </c>
      <c r="G343" s="364" t="s">
        <v>194</v>
      </c>
      <c r="H343" s="365">
        <v>4</v>
      </c>
      <c r="I343" s="366" t="s">
        <v>233</v>
      </c>
      <c r="J343" s="364" t="s">
        <v>170</v>
      </c>
      <c r="K343" s="548">
        <v>1</v>
      </c>
      <c r="L343" s="849">
        <f t="shared" si="86"/>
        <v>400.8</v>
      </c>
      <c r="M343" s="804">
        <f>((M$354*N$354)/240)*($H343/N343)</f>
        <v>4.1666666666666675E-4</v>
      </c>
      <c r="N343" s="508">
        <f t="shared" si="87"/>
        <v>3</v>
      </c>
      <c r="O343" s="401">
        <f t="shared" si="79"/>
        <v>0.50100000000000011</v>
      </c>
      <c r="P343" s="299">
        <f>VLOOKUP($F343,'[1]Master Harga'!$E$5:$L$351,8,FALSE)</f>
        <v>49592.654999999999</v>
      </c>
      <c r="Q343" s="683">
        <f t="shared" si="80"/>
        <v>24845.920155000003</v>
      </c>
      <c r="R343" s="437">
        <f>VLOOKUP($F343,'[2]Master Harga'!$E$5:$M$348,8,FALSE)</f>
        <v>53966.062080000011</v>
      </c>
      <c r="S343" s="683">
        <f t="shared" si="81"/>
        <v>27036.997102080011</v>
      </c>
      <c r="T343" s="437">
        <f>VLOOKUP($F343,'[2]Master Harga'!$E$5:$M$348,9,FALSE)</f>
        <v>58283.347046400013</v>
      </c>
      <c r="U343" s="684">
        <f t="shared" si="82"/>
        <v>29199.956870246413</v>
      </c>
      <c r="V343" s="437">
        <f t="shared" si="85"/>
        <v>53947.354708800012</v>
      </c>
      <c r="W343" s="307">
        <f t="shared" si="83"/>
        <v>27027.624709108812</v>
      </c>
      <c r="X343" s="545"/>
      <c r="Y343" s="437">
        <f t="shared" si="72"/>
        <v>61.99081875000001</v>
      </c>
      <c r="Z343" s="436"/>
    </row>
    <row r="344" spans="2:26" x14ac:dyDescent="0.35">
      <c r="B344" s="700"/>
      <c r="E344" s="701"/>
      <c r="F344" s="295" t="s">
        <v>234</v>
      </c>
      <c r="G344" s="364" t="s">
        <v>194</v>
      </c>
      <c r="H344" s="365">
        <v>12</v>
      </c>
      <c r="I344" s="366" t="s">
        <v>233</v>
      </c>
      <c r="J344" s="364" t="s">
        <v>170</v>
      </c>
      <c r="K344" s="548">
        <v>1</v>
      </c>
      <c r="L344" s="849">
        <f t="shared" si="86"/>
        <v>400.8</v>
      </c>
      <c r="M344" s="804">
        <f>((M$354*N$354)/240)*($H344/N344)</f>
        <v>1.2500000000000002E-3</v>
      </c>
      <c r="N344" s="508">
        <f t="shared" si="87"/>
        <v>3</v>
      </c>
      <c r="O344" s="401">
        <f t="shared" si="79"/>
        <v>1.5030000000000003</v>
      </c>
      <c r="P344" s="299">
        <f>VLOOKUP($F344,'[1]Master Harga'!$E$5:$L$351,8,FALSE)</f>
        <v>16206.75</v>
      </c>
      <c r="Q344" s="683">
        <f t="shared" si="80"/>
        <v>24358.745250000007</v>
      </c>
      <c r="R344" s="437">
        <f>VLOOKUP($F344,'[2]Master Harga'!$E$5:$M$348,8,FALSE)</f>
        <v>17635.968000000004</v>
      </c>
      <c r="S344" s="683">
        <f t="shared" si="81"/>
        <v>26506.859904000012</v>
      </c>
      <c r="T344" s="437">
        <f>VLOOKUP($F344,'[2]Master Harga'!$E$5:$M$348,9,FALSE)</f>
        <v>19046.845440000005</v>
      </c>
      <c r="U344" s="684">
        <f t="shared" si="82"/>
        <v>28627.408696320013</v>
      </c>
      <c r="V344" s="437">
        <f t="shared" si="85"/>
        <v>17629.854480000002</v>
      </c>
      <c r="W344" s="307">
        <f t="shared" si="83"/>
        <v>26497.67128344001</v>
      </c>
      <c r="X344" s="545"/>
      <c r="Y344" s="437">
        <f t="shared" si="72"/>
        <v>60.77531250000002</v>
      </c>
      <c r="Z344" s="436"/>
    </row>
    <row r="345" spans="2:26" x14ac:dyDescent="0.35">
      <c r="B345" s="700"/>
      <c r="E345" s="701"/>
      <c r="F345" s="295" t="s">
        <v>236</v>
      </c>
      <c r="G345" s="364" t="s">
        <v>194</v>
      </c>
      <c r="H345" s="365">
        <v>2</v>
      </c>
      <c r="I345" s="366" t="s">
        <v>233</v>
      </c>
      <c r="J345" s="364" t="s">
        <v>170</v>
      </c>
      <c r="K345" s="548">
        <v>1</v>
      </c>
      <c r="L345" s="849">
        <f t="shared" si="86"/>
        <v>400.8</v>
      </c>
      <c r="M345" s="804">
        <f>((M$354*N$354)/240)*($H345/N345)</f>
        <v>2.0833333333333337E-4</v>
      </c>
      <c r="N345" s="508">
        <f t="shared" si="87"/>
        <v>3</v>
      </c>
      <c r="O345" s="401">
        <f t="shared" si="79"/>
        <v>0.25050000000000006</v>
      </c>
      <c r="P345" s="299">
        <f>VLOOKUP($F345,'[1]Master Harga'!$E$5:$L$351,8,FALSE)</f>
        <v>37194.491250000006</v>
      </c>
      <c r="Q345" s="683">
        <f t="shared" si="80"/>
        <v>9317.2200581250036</v>
      </c>
      <c r="R345" s="437">
        <f>VLOOKUP($F345,'[2]Master Harga'!$E$5:$M$348,8,FALSE)</f>
        <v>40474.546560000003</v>
      </c>
      <c r="S345" s="683">
        <f t="shared" si="81"/>
        <v>10138.873913280004</v>
      </c>
      <c r="T345" s="437">
        <f>VLOOKUP($F345,'[2]Master Harga'!$E$5:$M$348,9,FALSE)</f>
        <v>43712.510284800002</v>
      </c>
      <c r="U345" s="684">
        <f t="shared" si="82"/>
        <v>10949.983826342403</v>
      </c>
      <c r="V345" s="437">
        <f t="shared" si="85"/>
        <v>40460.516031600004</v>
      </c>
      <c r="W345" s="307">
        <f t="shared" si="83"/>
        <v>10135.359265915804</v>
      </c>
      <c r="X345" s="545"/>
      <c r="Y345" s="437">
        <f t="shared" si="72"/>
        <v>23.24655703125001</v>
      </c>
      <c r="Z345" s="436"/>
    </row>
    <row r="346" spans="2:26" x14ac:dyDescent="0.35">
      <c r="B346" s="700"/>
      <c r="E346" s="701"/>
      <c r="F346" s="295" t="s">
        <v>237</v>
      </c>
      <c r="G346" s="364" t="s">
        <v>194</v>
      </c>
      <c r="H346" s="365">
        <v>1</v>
      </c>
      <c r="I346" s="366" t="s">
        <v>233</v>
      </c>
      <c r="J346" s="364" t="s">
        <v>170</v>
      </c>
      <c r="K346" s="548">
        <v>1</v>
      </c>
      <c r="L346" s="849">
        <f t="shared" si="86"/>
        <v>400.8</v>
      </c>
      <c r="M346" s="804">
        <f>((M$354*N$354)/240)*($H346/N346)</f>
        <v>1.0416666666666669E-4</v>
      </c>
      <c r="N346" s="508">
        <f t="shared" si="87"/>
        <v>3</v>
      </c>
      <c r="O346" s="401">
        <f t="shared" si="79"/>
        <v>0.12525000000000003</v>
      </c>
      <c r="P346" s="299">
        <f>VLOOKUP($F346,'[1]Master Harga'!$E$5:$L$351,8,FALSE)</f>
        <v>99185.31</v>
      </c>
      <c r="Q346" s="683">
        <f t="shared" si="80"/>
        <v>12422.960077500002</v>
      </c>
      <c r="R346" s="437">
        <f>VLOOKUP($F346,'[2]Master Harga'!$E$5:$M$348,8,FALSE)</f>
        <v>107932.12416000002</v>
      </c>
      <c r="S346" s="683">
        <f t="shared" si="81"/>
        <v>13518.498551040006</v>
      </c>
      <c r="T346" s="437">
        <f>VLOOKUP($F346,'[2]Master Harga'!$E$5:$M$348,9,FALSE)</f>
        <v>116566.69409280003</v>
      </c>
      <c r="U346" s="684">
        <f t="shared" si="82"/>
        <v>14599.978435123207</v>
      </c>
      <c r="V346" s="437">
        <f t="shared" si="85"/>
        <v>107894.70941760002</v>
      </c>
      <c r="W346" s="307">
        <f t="shared" si="83"/>
        <v>13513.812354554406</v>
      </c>
      <c r="X346" s="545"/>
      <c r="Y346" s="437">
        <f t="shared" si="72"/>
        <v>30.995409375000005</v>
      </c>
      <c r="Z346" s="436"/>
    </row>
    <row r="347" spans="2:26" x14ac:dyDescent="0.35">
      <c r="B347" s="700"/>
      <c r="E347" s="701"/>
      <c r="F347" s="505" t="s">
        <v>368</v>
      </c>
      <c r="G347" s="364" t="s">
        <v>192</v>
      </c>
      <c r="H347" s="365"/>
      <c r="I347" s="366"/>
      <c r="J347" s="364" t="s">
        <v>326</v>
      </c>
      <c r="K347" s="548">
        <v>1</v>
      </c>
      <c r="L347" s="849">
        <f t="shared" si="86"/>
        <v>400.8</v>
      </c>
      <c r="M347" s="947">
        <f>(2075*M327)/1000</f>
        <v>296.72500000000002</v>
      </c>
      <c r="N347" s="508">
        <v>1</v>
      </c>
      <c r="O347" s="401">
        <f t="shared" si="79"/>
        <v>118927.38000000002</v>
      </c>
      <c r="P347" s="299">
        <f>VLOOKUP($F347,'[1]Master Harga'!$E$5:$L$351,8,FALSE)</f>
        <v>940.90499999999997</v>
      </c>
      <c r="Q347" s="683">
        <f t="shared" si="80"/>
        <v>111899366.47890002</v>
      </c>
      <c r="R347" s="437">
        <f>VLOOKUP($F347,'[2]Master Harga'!$E$5:$M$348,8,FALSE)</f>
        <v>1157.9700000000005</v>
      </c>
      <c r="S347" s="683">
        <f t="shared" si="81"/>
        <v>137714338.21860009</v>
      </c>
      <c r="T347" s="437">
        <f>VLOOKUP($F347,'[2]Master Harga'!$E$5:$M$348,9,FALSE)</f>
        <v>1273.7670000000007</v>
      </c>
      <c r="U347" s="684">
        <f t="shared" si="82"/>
        <v>151485772.04046011</v>
      </c>
      <c r="V347" s="437">
        <f t="shared" si="85"/>
        <v>1124.2140000000004</v>
      </c>
      <c r="W347" s="307">
        <f t="shared" si="83"/>
        <v>133699825.57932007</v>
      </c>
      <c r="X347" s="545"/>
      <c r="Y347" s="437">
        <f t="shared" si="72"/>
        <v>279190.03612500004</v>
      </c>
      <c r="Z347" s="436"/>
    </row>
    <row r="348" spans="2:26" customFormat="1" x14ac:dyDescent="0.35">
      <c r="B348" s="685" t="s">
        <v>570</v>
      </c>
      <c r="C348" s="864"/>
      <c r="D348" s="864"/>
      <c r="E348" s="865"/>
      <c r="F348" s="688"/>
      <c r="G348" s="689"/>
      <c r="H348" s="690"/>
      <c r="I348" s="691"/>
      <c r="J348" s="689"/>
      <c r="K348" s="692"/>
      <c r="L348" s="866"/>
      <c r="M348" s="694"/>
      <c r="N348" s="695"/>
      <c r="O348" s="690"/>
      <c r="P348" s="696"/>
      <c r="Q348" s="697">
        <f>SUM(Q339:Q347)</f>
        <v>252930557.02105916</v>
      </c>
      <c r="R348" s="696"/>
      <c r="S348" s="697">
        <f>SUM(S337:S347)</f>
        <v>287584113.94784075</v>
      </c>
      <c r="T348" s="874"/>
      <c r="U348" s="874"/>
      <c r="V348" s="874"/>
      <c r="W348" s="874"/>
      <c r="X348" s="690"/>
      <c r="Y348" s="698">
        <f t="shared" si="72"/>
        <v>631064.26402459864</v>
      </c>
      <c r="Z348" s="875">
        <f>(Y348/$Y$404)*100</f>
        <v>3.3685784804124181</v>
      </c>
    </row>
    <row r="349" spans="2:26" x14ac:dyDescent="0.35">
      <c r="B349" s="943"/>
      <c r="C349" s="944"/>
      <c r="D349" s="801" t="s">
        <v>550</v>
      </c>
      <c r="E349" s="802"/>
      <c r="F349" s="295" t="s">
        <v>189</v>
      </c>
      <c r="G349" s="364" t="s">
        <v>190</v>
      </c>
      <c r="H349" s="365"/>
      <c r="I349" s="366"/>
      <c r="J349" s="364" t="s">
        <v>170</v>
      </c>
      <c r="K349" s="548">
        <v>1</v>
      </c>
      <c r="L349" s="849">
        <f t="shared" ref="L349:L357" si="88">$L$44</f>
        <v>400.8</v>
      </c>
      <c r="M349" s="803">
        <v>0.5</v>
      </c>
      <c r="N349" s="508">
        <v>3</v>
      </c>
      <c r="O349" s="401">
        <f t="shared" si="79"/>
        <v>601.20000000000005</v>
      </c>
      <c r="P349" s="299">
        <f>VLOOKUP($F349,'[1]Master Harga'!$E$5:$L$351,8,FALSE)</f>
        <v>169122.61109699999</v>
      </c>
      <c r="Q349" s="683">
        <f>P349*$O349</f>
        <v>101676513.79151639</v>
      </c>
      <c r="R349" s="437">
        <f>VLOOKUP($F349,'[2]Master Harga'!$E$5:$M$348,8,FALSE)</f>
        <v>179635.86432000002</v>
      </c>
      <c r="S349" s="683">
        <f t="shared" si="81"/>
        <v>107997081.62918402</v>
      </c>
      <c r="T349" s="437">
        <f>VLOOKUP($F349,'[2]Master Harga'!$E$5:$M$348,9,FALSE)</f>
        <v>197599.45075200003</v>
      </c>
      <c r="U349" s="684">
        <f t="shared" si="82"/>
        <v>118796789.79210243</v>
      </c>
      <c r="V349" s="437">
        <f t="shared" si="85"/>
        <v>182119.30872300002</v>
      </c>
      <c r="W349" s="307">
        <f t="shared" si="83"/>
        <v>109490128.40426762</v>
      </c>
      <c r="X349" s="545"/>
      <c r="Y349" s="437">
        <f t="shared" si="72"/>
        <v>253683.91664549996</v>
      </c>
      <c r="Z349" s="436"/>
    </row>
    <row r="350" spans="2:26" x14ac:dyDescent="0.35">
      <c r="B350" s="700"/>
      <c r="D350"/>
      <c r="E350" s="547"/>
      <c r="F350" s="295" t="s">
        <v>349</v>
      </c>
      <c r="G350" s="364" t="s">
        <v>190</v>
      </c>
      <c r="H350" s="365"/>
      <c r="I350" s="366"/>
      <c r="J350" s="364" t="s">
        <v>170</v>
      </c>
      <c r="K350" s="548">
        <v>1</v>
      </c>
      <c r="L350" s="849">
        <f t="shared" si="88"/>
        <v>400.8</v>
      </c>
      <c r="M350" s="803">
        <v>0.18</v>
      </c>
      <c r="N350" s="508">
        <f>N349</f>
        <v>3</v>
      </c>
      <c r="O350" s="401">
        <f t="shared" si="79"/>
        <v>216.43200000000002</v>
      </c>
      <c r="P350" s="299">
        <f>VLOOKUP($F350,'[1]Master Harga'!$E$5:$L$351,8,FALSE)</f>
        <v>169122.61109699999</v>
      </c>
      <c r="Q350" s="683">
        <f t="shared" si="80"/>
        <v>36603544.964945905</v>
      </c>
      <c r="R350" s="437">
        <f>VLOOKUP($F350,'[2]Master Harga'!$E$5:$M$348,8,FALSE)</f>
        <v>179635.86432000002</v>
      </c>
      <c r="S350" s="683">
        <f t="shared" si="81"/>
        <v>38878949.386506245</v>
      </c>
      <c r="T350" s="437">
        <f>VLOOKUP($F350,'[2]Master Harga'!$E$5:$M$348,9,FALSE)</f>
        <v>197599.45075200003</v>
      </c>
      <c r="U350" s="684">
        <f t="shared" si="82"/>
        <v>42766844.325156875</v>
      </c>
      <c r="V350" s="437">
        <f t="shared" si="85"/>
        <v>182119.30872299999</v>
      </c>
      <c r="W350" s="307">
        <f t="shared" si="83"/>
        <v>39416446.225536339</v>
      </c>
      <c r="X350" s="545"/>
      <c r="Y350" s="437">
        <f t="shared" si="72"/>
        <v>91326.209992379998</v>
      </c>
      <c r="Z350" s="436"/>
    </row>
    <row r="351" spans="2:26" x14ac:dyDescent="0.35">
      <c r="B351" s="700"/>
      <c r="D351"/>
      <c r="E351" s="547"/>
      <c r="F351" s="295" t="s">
        <v>231</v>
      </c>
      <c r="G351" s="364" t="s">
        <v>190</v>
      </c>
      <c r="H351" s="365"/>
      <c r="I351" s="366"/>
      <c r="J351" s="364" t="s">
        <v>170</v>
      </c>
      <c r="K351" s="548">
        <v>1</v>
      </c>
      <c r="L351" s="849">
        <f t="shared" si="88"/>
        <v>400.8</v>
      </c>
      <c r="M351" s="803">
        <f>M349</f>
        <v>0.5</v>
      </c>
      <c r="N351" s="508">
        <f t="shared" ref="N351:N356" si="89">N350</f>
        <v>3</v>
      </c>
      <c r="O351" s="401">
        <f t="shared" si="79"/>
        <v>601.20000000000005</v>
      </c>
      <c r="P351" s="299">
        <f>VLOOKUP($F351,'[1]Master Harga'!$E$5:$L$351,8,FALSE)</f>
        <v>4456.8562499999998</v>
      </c>
      <c r="Q351" s="683">
        <f t="shared" si="80"/>
        <v>2679461.9775</v>
      </c>
      <c r="R351" s="437">
        <f>VLOOKUP($F351,'[2]Master Harga'!$E$5:$M$348,8,FALSE)</f>
        <v>4849.8912000000009</v>
      </c>
      <c r="S351" s="683">
        <f t="shared" si="81"/>
        <v>2915754.5894400007</v>
      </c>
      <c r="T351" s="437">
        <f>VLOOKUP($F351,'[2]Master Harga'!$E$5:$M$348,9,FALSE)</f>
        <v>5237.8824960000011</v>
      </c>
      <c r="U351" s="684">
        <f t="shared" si="82"/>
        <v>3149014.956595201</v>
      </c>
      <c r="V351" s="437">
        <f t="shared" si="85"/>
        <v>4848.2099820000003</v>
      </c>
      <c r="W351" s="307">
        <f t="shared" si="83"/>
        <v>2914743.8411784004</v>
      </c>
      <c r="X351" s="545"/>
      <c r="Y351" s="437">
        <f t="shared" si="72"/>
        <v>6685.2843750000002</v>
      </c>
      <c r="Z351" s="436"/>
    </row>
    <row r="352" spans="2:26" x14ac:dyDescent="0.35">
      <c r="B352" s="700"/>
      <c r="D352"/>
      <c r="E352" s="547"/>
      <c r="F352" s="295" t="s">
        <v>350</v>
      </c>
      <c r="G352" s="364" t="s">
        <v>194</v>
      </c>
      <c r="H352" s="365">
        <v>1</v>
      </c>
      <c r="I352" s="366" t="s">
        <v>233</v>
      </c>
      <c r="J352" s="364" t="s">
        <v>170</v>
      </c>
      <c r="K352" s="548">
        <v>1</v>
      </c>
      <c r="L352" s="849">
        <f t="shared" si="88"/>
        <v>400.8</v>
      </c>
      <c r="M352" s="804">
        <f>((M$349*N$349)/240)*($H352/N352)</f>
        <v>2.0833333333333333E-3</v>
      </c>
      <c r="N352" s="508">
        <f t="shared" si="89"/>
        <v>3</v>
      </c>
      <c r="O352" s="401">
        <f t="shared" si="79"/>
        <v>2.5049999999999999</v>
      </c>
      <c r="P352" s="299">
        <f>VLOOKUP($F352,'[1]Master Harga'!$E$5:$L$351,8,FALSE)</f>
        <v>5788.125</v>
      </c>
      <c r="Q352" s="683">
        <f t="shared" si="80"/>
        <v>14499.253124999999</v>
      </c>
      <c r="R352" s="437">
        <f>VLOOKUP($F352,'[2]Master Harga'!$E$5:$M$348,8,FALSE)</f>
        <v>6298.56</v>
      </c>
      <c r="S352" s="683">
        <f t="shared" si="81"/>
        <v>15777.8928</v>
      </c>
      <c r="T352" s="437">
        <f>VLOOKUP($F352,'[2]Master Harga'!$E$5:$M$348,9,FALSE)</f>
        <v>6802.4448000000011</v>
      </c>
      <c r="U352" s="684">
        <f t="shared" si="82"/>
        <v>17040.124224000003</v>
      </c>
      <c r="V352" s="437">
        <f t="shared" si="85"/>
        <v>6296.3766000000005</v>
      </c>
      <c r="W352" s="307">
        <f t="shared" si="83"/>
        <v>15772.423383000001</v>
      </c>
      <c r="X352" s="545"/>
      <c r="Y352" s="437">
        <f t="shared" si="72"/>
        <v>36.17578125</v>
      </c>
      <c r="Z352" s="436"/>
    </row>
    <row r="353" spans="2:26" x14ac:dyDescent="0.35">
      <c r="B353" s="700"/>
      <c r="D353"/>
      <c r="E353" s="547"/>
      <c r="F353" s="295" t="s">
        <v>232</v>
      </c>
      <c r="G353" s="364" t="s">
        <v>194</v>
      </c>
      <c r="H353" s="365">
        <v>4</v>
      </c>
      <c r="I353" s="366" t="s">
        <v>233</v>
      </c>
      <c r="J353" s="364" t="s">
        <v>170</v>
      </c>
      <c r="K353" s="548">
        <v>1</v>
      </c>
      <c r="L353" s="849">
        <f t="shared" si="88"/>
        <v>400.8</v>
      </c>
      <c r="M353" s="804">
        <f t="shared" ref="M353:M356" si="90">((M$349*N$349)/240)*($H353/N353)</f>
        <v>8.3333333333333332E-3</v>
      </c>
      <c r="N353" s="508">
        <f t="shared" si="89"/>
        <v>3</v>
      </c>
      <c r="O353" s="401">
        <f t="shared" si="79"/>
        <v>10.02</v>
      </c>
      <c r="P353" s="299">
        <f>VLOOKUP($F353,'[1]Master Harga'!$E$5:$L$351,8,FALSE)</f>
        <v>49592.654999999999</v>
      </c>
      <c r="Q353" s="683">
        <f t="shared" si="80"/>
        <v>496918.4031</v>
      </c>
      <c r="R353" s="437">
        <f>VLOOKUP($F353,'[2]Master Harga'!$E$5:$M$348,8,FALSE)</f>
        <v>53966.062080000011</v>
      </c>
      <c r="S353" s="683">
        <f t="shared" si="81"/>
        <v>540739.94204160012</v>
      </c>
      <c r="T353" s="437">
        <f>VLOOKUP($F353,'[2]Master Harga'!$E$5:$M$348,9,FALSE)</f>
        <v>58283.347046400013</v>
      </c>
      <c r="U353" s="684">
        <f t="shared" si="82"/>
        <v>583999.1374049281</v>
      </c>
      <c r="V353" s="437">
        <f t="shared" si="85"/>
        <v>53947.354708800012</v>
      </c>
      <c r="W353" s="307">
        <f t="shared" si="83"/>
        <v>540552.49418217607</v>
      </c>
      <c r="X353" s="545"/>
      <c r="Y353" s="437">
        <f t="shared" si="72"/>
        <v>1239.8163749999999</v>
      </c>
      <c r="Z353" s="436"/>
    </row>
    <row r="354" spans="2:26" x14ac:dyDescent="0.35">
      <c r="B354" s="700"/>
      <c r="D354"/>
      <c r="E354" s="547"/>
      <c r="F354" s="295" t="s">
        <v>234</v>
      </c>
      <c r="G354" s="364" t="s">
        <v>194</v>
      </c>
      <c r="H354" s="365">
        <v>12</v>
      </c>
      <c r="I354" s="366" t="s">
        <v>233</v>
      </c>
      <c r="J354" s="364" t="s">
        <v>170</v>
      </c>
      <c r="K354" s="548">
        <v>1</v>
      </c>
      <c r="L354" s="849">
        <f t="shared" si="88"/>
        <v>400.8</v>
      </c>
      <c r="M354" s="804">
        <f t="shared" si="90"/>
        <v>2.5000000000000001E-2</v>
      </c>
      <c r="N354" s="508">
        <f t="shared" si="89"/>
        <v>3</v>
      </c>
      <c r="O354" s="401">
        <f t="shared" si="79"/>
        <v>30.060000000000002</v>
      </c>
      <c r="P354" s="299">
        <f>VLOOKUP($F354,'[1]Master Harga'!$E$5:$L$351,8,FALSE)</f>
        <v>16206.75</v>
      </c>
      <c r="Q354" s="683">
        <f t="shared" si="80"/>
        <v>487174.90500000003</v>
      </c>
      <c r="R354" s="437">
        <f>VLOOKUP($F354,'[2]Master Harga'!$E$5:$M$348,8,FALSE)</f>
        <v>17635.968000000004</v>
      </c>
      <c r="S354" s="683">
        <f t="shared" si="81"/>
        <v>530137.19808000012</v>
      </c>
      <c r="T354" s="437">
        <f>VLOOKUP($F354,'[2]Master Harga'!$E$5:$M$348,9,FALSE)</f>
        <v>19046.845440000005</v>
      </c>
      <c r="U354" s="684">
        <f t="shared" si="82"/>
        <v>572548.17392640014</v>
      </c>
      <c r="V354" s="437">
        <f t="shared" si="85"/>
        <v>17629.854480000002</v>
      </c>
      <c r="W354" s="307">
        <f t="shared" si="83"/>
        <v>529953.42566880013</v>
      </c>
      <c r="X354" s="545"/>
      <c r="Y354" s="437">
        <f t="shared" si="72"/>
        <v>1215.5062500000001</v>
      </c>
      <c r="Z354" s="436"/>
    </row>
    <row r="355" spans="2:26" x14ac:dyDescent="0.35">
      <c r="B355" s="700"/>
      <c r="D355"/>
      <c r="E355" s="547"/>
      <c r="F355" s="295" t="s">
        <v>236</v>
      </c>
      <c r="G355" s="364" t="s">
        <v>194</v>
      </c>
      <c r="H355" s="365">
        <v>2</v>
      </c>
      <c r="I355" s="366" t="s">
        <v>233</v>
      </c>
      <c r="J355" s="364" t="s">
        <v>170</v>
      </c>
      <c r="K355" s="548">
        <v>1</v>
      </c>
      <c r="L355" s="849">
        <f t="shared" si="88"/>
        <v>400.8</v>
      </c>
      <c r="M355" s="804">
        <f t="shared" si="90"/>
        <v>4.1666666666666666E-3</v>
      </c>
      <c r="N355" s="508">
        <f t="shared" si="89"/>
        <v>3</v>
      </c>
      <c r="O355" s="401">
        <f t="shared" si="79"/>
        <v>5.01</v>
      </c>
      <c r="P355" s="299">
        <f>VLOOKUP($F355,'[1]Master Harga'!$E$5:$L$351,8,FALSE)</f>
        <v>37194.491250000006</v>
      </c>
      <c r="Q355" s="683">
        <f t="shared" si="80"/>
        <v>186344.40116250003</v>
      </c>
      <c r="R355" s="437">
        <f>VLOOKUP($F355,'[2]Master Harga'!$E$5:$M$348,8,FALSE)</f>
        <v>40474.546560000003</v>
      </c>
      <c r="S355" s="683">
        <f t="shared" si="81"/>
        <v>202777.47826560002</v>
      </c>
      <c r="T355" s="437">
        <f>VLOOKUP($F355,'[2]Master Harga'!$E$5:$M$348,9,FALSE)</f>
        <v>43712.510284800002</v>
      </c>
      <c r="U355" s="684">
        <f t="shared" si="82"/>
        <v>218999.67652684799</v>
      </c>
      <c r="V355" s="437">
        <f t="shared" si="85"/>
        <v>40460.516031600004</v>
      </c>
      <c r="W355" s="307">
        <f t="shared" si="83"/>
        <v>202707.18531831601</v>
      </c>
      <c r="X355" s="545"/>
      <c r="Y355" s="437">
        <f t="shared" si="72"/>
        <v>464.93114062500007</v>
      </c>
      <c r="Z355" s="436"/>
    </row>
    <row r="356" spans="2:26" x14ac:dyDescent="0.35">
      <c r="B356" s="700"/>
      <c r="D356"/>
      <c r="E356" s="547"/>
      <c r="F356" s="295" t="s">
        <v>237</v>
      </c>
      <c r="G356" s="364" t="s">
        <v>194</v>
      </c>
      <c r="H356" s="365">
        <v>1</v>
      </c>
      <c r="I356" s="366" t="s">
        <v>233</v>
      </c>
      <c r="J356" s="364" t="s">
        <v>170</v>
      </c>
      <c r="K356" s="548">
        <v>1</v>
      </c>
      <c r="L356" s="849">
        <f t="shared" si="88"/>
        <v>400.8</v>
      </c>
      <c r="M356" s="804">
        <f t="shared" si="90"/>
        <v>2.0833333333333333E-3</v>
      </c>
      <c r="N356" s="508">
        <f t="shared" si="89"/>
        <v>3</v>
      </c>
      <c r="O356" s="401">
        <f t="shared" si="79"/>
        <v>2.5049999999999999</v>
      </c>
      <c r="P356" s="299">
        <f>VLOOKUP($F356,'[1]Master Harga'!$E$5:$L$351,8,FALSE)</f>
        <v>99185.31</v>
      </c>
      <c r="Q356" s="683">
        <f t="shared" si="80"/>
        <v>248459.20155</v>
      </c>
      <c r="R356" s="437">
        <f>VLOOKUP($F356,'[2]Master Harga'!$E$5:$M$348,8,FALSE)</f>
        <v>107932.12416000002</v>
      </c>
      <c r="S356" s="683">
        <f t="shared" si="81"/>
        <v>270369.97102080006</v>
      </c>
      <c r="T356" s="437">
        <f>VLOOKUP($F356,'[2]Master Harga'!$E$5:$M$348,9,FALSE)</f>
        <v>116566.69409280003</v>
      </c>
      <c r="U356" s="684">
        <f t="shared" si="82"/>
        <v>291999.56870246405</v>
      </c>
      <c r="V356" s="437">
        <f t="shared" si="85"/>
        <v>107894.70941760002</v>
      </c>
      <c r="W356" s="307">
        <f t="shared" si="83"/>
        <v>270276.24709108804</v>
      </c>
      <c r="X356" s="545"/>
      <c r="Y356" s="437">
        <f t="shared" si="72"/>
        <v>619.90818749999994</v>
      </c>
      <c r="Z356" s="436"/>
    </row>
    <row r="357" spans="2:26" x14ac:dyDescent="0.35">
      <c r="B357" s="700"/>
      <c r="D357"/>
      <c r="E357" s="547"/>
      <c r="F357" s="505" t="s">
        <v>523</v>
      </c>
      <c r="G357" s="364" t="s">
        <v>192</v>
      </c>
      <c r="H357" s="365"/>
      <c r="I357" s="366"/>
      <c r="J357" s="364" t="s">
        <v>326</v>
      </c>
      <c r="K357" s="548">
        <v>1</v>
      </c>
      <c r="L357" s="849">
        <f t="shared" si="88"/>
        <v>400.8</v>
      </c>
      <c r="M357" s="947">
        <f>(4900*M327)/1000</f>
        <v>700.7</v>
      </c>
      <c r="N357" s="296">
        <v>1</v>
      </c>
      <c r="O357" s="401">
        <f t="shared" si="79"/>
        <v>280840.56</v>
      </c>
      <c r="P357" s="299">
        <f>VLOOKUP($F357,'[1]Master Harga'!$E$5:$L$351,8,FALSE)</f>
        <v>6986.6251875000007</v>
      </c>
      <c r="Q357" s="683">
        <f t="shared" si="80"/>
        <v>1962127730.1676052</v>
      </c>
      <c r="R357" s="437">
        <f>VLOOKUP($F357,'[2]Master Harga'!$E$5:$M$348,8,FALSE)</f>
        <v>8188.9775000000027</v>
      </c>
      <c r="S357" s="683">
        <f t="shared" si="81"/>
        <v>2299797026.9274006</v>
      </c>
      <c r="T357" s="437">
        <f>VLOOKUP($F357,'[2]Master Harga'!$E$5:$M$348,9,FALSE)</f>
        <v>9007.8752500000046</v>
      </c>
      <c r="U357" s="684">
        <f t="shared" si="82"/>
        <v>2529776729.6201415</v>
      </c>
      <c r="V357" s="437">
        <f t="shared" si="85"/>
        <v>8061.1593125000027</v>
      </c>
      <c r="W357" s="307">
        <f t="shared" si="83"/>
        <v>2263900495.5717158</v>
      </c>
      <c r="X357" s="545"/>
      <c r="Y357" s="437">
        <f t="shared" si="72"/>
        <v>4895528.2688812502</v>
      </c>
      <c r="Z357" s="436"/>
    </row>
    <row r="358" spans="2:26" customFormat="1" x14ac:dyDescent="0.35">
      <c r="B358" s="685" t="s">
        <v>551</v>
      </c>
      <c r="C358" s="864"/>
      <c r="D358" s="864"/>
      <c r="E358" s="865"/>
      <c r="F358" s="688"/>
      <c r="G358" s="689"/>
      <c r="H358" s="690"/>
      <c r="I358" s="691"/>
      <c r="J358" s="689"/>
      <c r="K358" s="692"/>
      <c r="L358" s="866"/>
      <c r="M358" s="694"/>
      <c r="N358" s="695"/>
      <c r="O358" s="690"/>
      <c r="P358" s="696"/>
      <c r="Q358" s="697">
        <f>SUM(Q349:Q357)</f>
        <v>2104520647.065505</v>
      </c>
      <c r="R358" s="696"/>
      <c r="S358" s="697">
        <f>SUM(S347:S357)</f>
        <v>2876447067.1811795</v>
      </c>
      <c r="T358" s="874"/>
      <c r="U358" s="874"/>
      <c r="V358" s="874"/>
      <c r="W358" s="874"/>
      <c r="X358" s="690"/>
      <c r="Y358" s="698">
        <f t="shared" si="72"/>
        <v>5250800.0176285058</v>
      </c>
      <c r="Z358" s="875">
        <f>(Y358/$Y$404)*100</f>
        <v>28.028416363698689</v>
      </c>
    </row>
    <row r="359" spans="2:26" x14ac:dyDescent="0.35">
      <c r="B359" s="700"/>
      <c r="D359" s="801" t="s">
        <v>527</v>
      </c>
      <c r="E359" s="802"/>
      <c r="F359" s="295" t="s">
        <v>189</v>
      </c>
      <c r="G359" s="364" t="s">
        <v>190</v>
      </c>
      <c r="H359" s="365"/>
      <c r="I359" s="366"/>
      <c r="J359" s="364" t="s">
        <v>170</v>
      </c>
      <c r="K359" s="548">
        <v>1</v>
      </c>
      <c r="L359" s="849">
        <f t="shared" ref="L359:L367" si="91">$L$44</f>
        <v>400.8</v>
      </c>
      <c r="M359" s="803">
        <v>0.2</v>
      </c>
      <c r="N359" s="508">
        <v>1</v>
      </c>
      <c r="O359" s="401">
        <f t="shared" si="79"/>
        <v>80.160000000000011</v>
      </c>
      <c r="P359" s="299">
        <f>VLOOKUP($F359,'[1]Master Harga'!$E$5:$L$351,8,FALSE)</f>
        <v>169122.61109699999</v>
      </c>
      <c r="Q359" s="683">
        <f t="shared" ref="Q359:Q373" si="92">P359*$O359</f>
        <v>13556868.505535521</v>
      </c>
      <c r="R359" s="683"/>
      <c r="S359" s="683"/>
      <c r="T359" s="683"/>
      <c r="U359" s="684"/>
      <c r="V359" s="683"/>
      <c r="W359" s="307"/>
      <c r="X359" s="545"/>
      <c r="Y359" s="437">
        <f t="shared" si="72"/>
        <v>33824.522219400002</v>
      </c>
      <c r="Z359" s="436"/>
    </row>
    <row r="360" spans="2:26" x14ac:dyDescent="0.35">
      <c r="B360" s="700"/>
      <c r="D360"/>
      <c r="E360" s="547"/>
      <c r="F360" s="295" t="s">
        <v>349</v>
      </c>
      <c r="G360" s="364" t="s">
        <v>190</v>
      </c>
      <c r="H360" s="365"/>
      <c r="I360" s="366"/>
      <c r="J360" s="364" t="s">
        <v>170</v>
      </c>
      <c r="K360" s="548">
        <v>1</v>
      </c>
      <c r="L360" s="849">
        <f t="shared" si="91"/>
        <v>400.8</v>
      </c>
      <c r="M360" s="803">
        <v>0.18</v>
      </c>
      <c r="N360" s="508">
        <f>N359</f>
        <v>1</v>
      </c>
      <c r="O360" s="401">
        <f t="shared" si="79"/>
        <v>72.144000000000005</v>
      </c>
      <c r="P360" s="299">
        <f>VLOOKUP($F360,'[1]Master Harga'!$E$5:$L$351,8,FALSE)</f>
        <v>169122.61109699999</v>
      </c>
      <c r="Q360" s="683">
        <f t="shared" si="92"/>
        <v>12201181.654981967</v>
      </c>
      <c r="R360" s="683"/>
      <c r="S360" s="683"/>
      <c r="T360" s="683"/>
      <c r="U360" s="684"/>
      <c r="V360" s="683"/>
      <c r="W360" s="307"/>
      <c r="X360" s="545"/>
      <c r="Y360" s="437">
        <f t="shared" si="72"/>
        <v>30442.069997459996</v>
      </c>
      <c r="Z360" s="436"/>
    </row>
    <row r="361" spans="2:26" x14ac:dyDescent="0.35">
      <c r="B361" s="700"/>
      <c r="D361"/>
      <c r="E361" s="547"/>
      <c r="F361" s="295" t="s">
        <v>231</v>
      </c>
      <c r="G361" s="364" t="s">
        <v>190</v>
      </c>
      <c r="H361" s="365"/>
      <c r="I361" s="366"/>
      <c r="J361" s="364" t="s">
        <v>170</v>
      </c>
      <c r="K361" s="548">
        <v>1</v>
      </c>
      <c r="L361" s="849">
        <f t="shared" si="91"/>
        <v>400.8</v>
      </c>
      <c r="M361" s="803">
        <f>M359</f>
        <v>0.2</v>
      </c>
      <c r="N361" s="508">
        <f t="shared" ref="N361:N366" si="93">N360</f>
        <v>1</v>
      </c>
      <c r="O361" s="401">
        <f t="shared" si="79"/>
        <v>80.160000000000011</v>
      </c>
      <c r="P361" s="299">
        <f>VLOOKUP($F361,'[1]Master Harga'!$E$5:$L$351,8,FALSE)</f>
        <v>4456.8562499999998</v>
      </c>
      <c r="Q361" s="683">
        <f t="shared" si="92"/>
        <v>357261.59700000001</v>
      </c>
      <c r="R361" s="683"/>
      <c r="S361" s="683"/>
      <c r="T361" s="683"/>
      <c r="U361" s="684"/>
      <c r="V361" s="683"/>
      <c r="W361" s="307"/>
      <c r="X361" s="545"/>
      <c r="Y361" s="437">
        <f t="shared" si="72"/>
        <v>891.37125000000003</v>
      </c>
      <c r="Z361" s="436"/>
    </row>
    <row r="362" spans="2:26" x14ac:dyDescent="0.35">
      <c r="B362" s="700"/>
      <c r="D362"/>
      <c r="E362" s="547"/>
      <c r="F362" s="295" t="s">
        <v>350</v>
      </c>
      <c r="G362" s="364" t="s">
        <v>194</v>
      </c>
      <c r="H362" s="365">
        <v>1</v>
      </c>
      <c r="I362" s="366" t="s">
        <v>233</v>
      </c>
      <c r="J362" s="364" t="s">
        <v>170</v>
      </c>
      <c r="K362" s="548">
        <v>1</v>
      </c>
      <c r="L362" s="849">
        <f t="shared" si="91"/>
        <v>400.8</v>
      </c>
      <c r="M362" s="804">
        <f>((M$359*N$359)/240)*($H362/N362)</f>
        <v>8.3333333333333339E-4</v>
      </c>
      <c r="N362" s="508">
        <f t="shared" si="93"/>
        <v>1</v>
      </c>
      <c r="O362" s="401">
        <f t="shared" si="79"/>
        <v>0.33400000000000002</v>
      </c>
      <c r="P362" s="299">
        <f>VLOOKUP($F362,'[1]Master Harga'!$E$5:$L$351,8,FALSE)</f>
        <v>5788.125</v>
      </c>
      <c r="Q362" s="683">
        <f t="shared" si="92"/>
        <v>1933.2337500000001</v>
      </c>
      <c r="R362" s="683"/>
      <c r="S362" s="683"/>
      <c r="T362" s="683"/>
      <c r="U362" s="684"/>
      <c r="V362" s="683"/>
      <c r="W362" s="307"/>
      <c r="X362" s="545"/>
      <c r="Y362" s="437">
        <f t="shared" si="72"/>
        <v>4.8234374999999998</v>
      </c>
      <c r="Z362" s="436"/>
    </row>
    <row r="363" spans="2:26" x14ac:dyDescent="0.35">
      <c r="B363" s="700"/>
      <c r="D363"/>
      <c r="E363" s="547"/>
      <c r="F363" s="295" t="s">
        <v>232</v>
      </c>
      <c r="G363" s="364" t="s">
        <v>194</v>
      </c>
      <c r="H363" s="365">
        <v>4</v>
      </c>
      <c r="I363" s="366" t="s">
        <v>233</v>
      </c>
      <c r="J363" s="364" t="s">
        <v>170</v>
      </c>
      <c r="K363" s="548">
        <v>1</v>
      </c>
      <c r="L363" s="849">
        <f t="shared" si="91"/>
        <v>400.8</v>
      </c>
      <c r="M363" s="804">
        <f t="shared" ref="M363:M366" si="94">((M$359*N$359)/240)*($H363/N363)</f>
        <v>3.3333333333333335E-3</v>
      </c>
      <c r="N363" s="508">
        <f t="shared" si="93"/>
        <v>1</v>
      </c>
      <c r="O363" s="401">
        <f t="shared" si="79"/>
        <v>1.3360000000000001</v>
      </c>
      <c r="P363" s="299">
        <f>VLOOKUP($F363,'[1]Master Harga'!$E$5:$L$351,8,FALSE)</f>
        <v>49592.654999999999</v>
      </c>
      <c r="Q363" s="683">
        <f t="shared" si="92"/>
        <v>66255.787080000009</v>
      </c>
      <c r="R363" s="683"/>
      <c r="S363" s="683"/>
      <c r="T363" s="683"/>
      <c r="U363" s="684"/>
      <c r="V363" s="683"/>
      <c r="W363" s="307"/>
      <c r="X363" s="545"/>
      <c r="Y363" s="437">
        <f t="shared" si="72"/>
        <v>165.30885000000001</v>
      </c>
      <c r="Z363" s="436"/>
    </row>
    <row r="364" spans="2:26" x14ac:dyDescent="0.35">
      <c r="B364" s="700"/>
      <c r="D364"/>
      <c r="E364" s="547"/>
      <c r="F364" s="295" t="s">
        <v>234</v>
      </c>
      <c r="G364" s="364" t="s">
        <v>194</v>
      </c>
      <c r="H364" s="365">
        <v>12</v>
      </c>
      <c r="I364" s="366" t="s">
        <v>233</v>
      </c>
      <c r="J364" s="364" t="s">
        <v>170</v>
      </c>
      <c r="K364" s="548">
        <v>1</v>
      </c>
      <c r="L364" s="849">
        <f t="shared" si="91"/>
        <v>400.8</v>
      </c>
      <c r="M364" s="804">
        <f t="shared" si="94"/>
        <v>0.01</v>
      </c>
      <c r="N364" s="508">
        <f t="shared" si="93"/>
        <v>1</v>
      </c>
      <c r="O364" s="401">
        <f t="shared" si="79"/>
        <v>4.008</v>
      </c>
      <c r="P364" s="299">
        <f>VLOOKUP($F364,'[1]Master Harga'!$E$5:$L$351,8,FALSE)</f>
        <v>16206.75</v>
      </c>
      <c r="Q364" s="683">
        <f t="shared" si="92"/>
        <v>64956.654000000002</v>
      </c>
      <c r="R364" s="683"/>
      <c r="S364" s="683"/>
      <c r="T364" s="683"/>
      <c r="U364" s="684"/>
      <c r="V364" s="683"/>
      <c r="W364" s="307"/>
      <c r="X364" s="545"/>
      <c r="Y364" s="437">
        <f t="shared" si="72"/>
        <v>162.0675</v>
      </c>
      <c r="Z364" s="436"/>
    </row>
    <row r="365" spans="2:26" x14ac:dyDescent="0.35">
      <c r="B365" s="700"/>
      <c r="D365"/>
      <c r="E365" s="547"/>
      <c r="F365" s="295" t="s">
        <v>236</v>
      </c>
      <c r="G365" s="364" t="s">
        <v>194</v>
      </c>
      <c r="H365" s="365">
        <v>2</v>
      </c>
      <c r="I365" s="366" t="s">
        <v>233</v>
      </c>
      <c r="J365" s="364" t="s">
        <v>170</v>
      </c>
      <c r="K365" s="548">
        <v>1</v>
      </c>
      <c r="L365" s="849">
        <f t="shared" si="91"/>
        <v>400.8</v>
      </c>
      <c r="M365" s="804">
        <f t="shared" si="94"/>
        <v>1.6666666666666668E-3</v>
      </c>
      <c r="N365" s="508">
        <f t="shared" si="93"/>
        <v>1</v>
      </c>
      <c r="O365" s="401">
        <f t="shared" si="79"/>
        <v>0.66800000000000004</v>
      </c>
      <c r="P365" s="299">
        <f>VLOOKUP($F365,'[1]Master Harga'!$E$5:$L$351,8,FALSE)</f>
        <v>37194.491250000006</v>
      </c>
      <c r="Q365" s="683">
        <f t="shared" si="92"/>
        <v>24845.920155000007</v>
      </c>
      <c r="R365" s="683"/>
      <c r="S365" s="683"/>
      <c r="T365" s="683"/>
      <c r="U365" s="684"/>
      <c r="V365" s="683"/>
      <c r="W365" s="307"/>
      <c r="X365" s="545"/>
      <c r="Y365" s="437">
        <f t="shared" ref="Y365:Y414" si="95">Q365/$AC$3</f>
        <v>61.990818750000017</v>
      </c>
      <c r="Z365" s="436"/>
    </row>
    <row r="366" spans="2:26" x14ac:dyDescent="0.35">
      <c r="B366" s="700"/>
      <c r="D366"/>
      <c r="E366" s="547"/>
      <c r="F366" s="295" t="s">
        <v>237</v>
      </c>
      <c r="G366" s="364" t="s">
        <v>194</v>
      </c>
      <c r="H366" s="365">
        <v>1</v>
      </c>
      <c r="I366" s="366" t="s">
        <v>233</v>
      </c>
      <c r="J366" s="364" t="s">
        <v>170</v>
      </c>
      <c r="K366" s="548">
        <v>1</v>
      </c>
      <c r="L366" s="849">
        <f t="shared" si="91"/>
        <v>400.8</v>
      </c>
      <c r="M366" s="804">
        <f t="shared" si="94"/>
        <v>8.3333333333333339E-4</v>
      </c>
      <c r="N366" s="508">
        <f t="shared" si="93"/>
        <v>1</v>
      </c>
      <c r="O366" s="401">
        <f t="shared" si="79"/>
        <v>0.33400000000000002</v>
      </c>
      <c r="P366" s="299">
        <f>VLOOKUP($F366,'[1]Master Harga'!$E$5:$L$351,8,FALSE)</f>
        <v>99185.31</v>
      </c>
      <c r="Q366" s="683">
        <f t="shared" si="92"/>
        <v>33127.893540000005</v>
      </c>
      <c r="R366" s="683"/>
      <c r="S366" s="683"/>
      <c r="T366" s="683"/>
      <c r="U366" s="684"/>
      <c r="V366" s="683"/>
      <c r="W366" s="307"/>
      <c r="X366" s="545"/>
      <c r="Y366" s="437">
        <f t="shared" si="95"/>
        <v>82.654425000000003</v>
      </c>
      <c r="Z366" s="436"/>
    </row>
    <row r="367" spans="2:26" x14ac:dyDescent="0.35">
      <c r="B367" s="700"/>
      <c r="D367"/>
      <c r="E367" s="547"/>
      <c r="F367" s="505" t="s">
        <v>529</v>
      </c>
      <c r="G367" s="364" t="s">
        <v>192</v>
      </c>
      <c r="H367" s="365"/>
      <c r="I367" s="366"/>
      <c r="J367" s="364" t="s">
        <v>326</v>
      </c>
      <c r="K367" s="548">
        <v>1</v>
      </c>
      <c r="L367" s="849">
        <f t="shared" si="91"/>
        <v>400.8</v>
      </c>
      <c r="M367" s="803">
        <f>(50*M327)/1000</f>
        <v>7.15</v>
      </c>
      <c r="N367" s="508">
        <v>1</v>
      </c>
      <c r="O367" s="401">
        <f t="shared" si="79"/>
        <v>2865.7200000000003</v>
      </c>
      <c r="P367" s="299">
        <f>VLOOKUP($F367,'[1]Master Harga'!$E$5:$L$351,8,FALSE)</f>
        <v>12026.28</v>
      </c>
      <c r="Q367" s="683">
        <f t="shared" si="92"/>
        <v>34463951.121600002</v>
      </c>
      <c r="R367" s="683"/>
      <c r="S367" s="683"/>
      <c r="T367" s="683"/>
      <c r="U367" s="684"/>
      <c r="V367" s="683"/>
      <c r="W367" s="307"/>
      <c r="X367" s="545"/>
      <c r="Y367" s="437">
        <f t="shared" si="95"/>
        <v>85987.902000000002</v>
      </c>
      <c r="Z367" s="436"/>
    </row>
    <row r="368" spans="2:26" customFormat="1" x14ac:dyDescent="0.35">
      <c r="B368" s="685" t="s">
        <v>552</v>
      </c>
      <c r="C368" s="864"/>
      <c r="D368" s="864"/>
      <c r="E368" s="865"/>
      <c r="F368" s="688"/>
      <c r="G368" s="689"/>
      <c r="H368" s="690"/>
      <c r="I368" s="691"/>
      <c r="J368" s="689"/>
      <c r="K368" s="692"/>
      <c r="L368" s="866"/>
      <c r="M368" s="694"/>
      <c r="N368" s="695"/>
      <c r="O368" s="690"/>
      <c r="P368" s="696"/>
      <c r="Q368" s="697">
        <f>SUM(Q359:Q367)</f>
        <v>60770382.367642492</v>
      </c>
      <c r="R368" s="696"/>
      <c r="S368" s="697">
        <f>SUM(S357:S367)</f>
        <v>5176244094.1085796</v>
      </c>
      <c r="T368" s="874"/>
      <c r="U368" s="874"/>
      <c r="V368" s="874"/>
      <c r="W368" s="874"/>
      <c r="X368" s="690"/>
      <c r="Y368" s="698">
        <f t="shared" si="95"/>
        <v>151622.71049811001</v>
      </c>
      <c r="Z368" s="875">
        <f>(Y368/$Y$404)*100</f>
        <v>0.80935180272832952</v>
      </c>
    </row>
    <row r="369" spans="2:26" x14ac:dyDescent="0.35">
      <c r="B369" s="785"/>
      <c r="C369" s="763" t="s">
        <v>156</v>
      </c>
      <c r="D369" s="763"/>
      <c r="E369" s="764"/>
      <c r="F369" s="295" t="s">
        <v>189</v>
      </c>
      <c r="G369" s="364" t="s">
        <v>190</v>
      </c>
      <c r="H369" s="365"/>
      <c r="I369" s="366"/>
      <c r="J369" s="364" t="s">
        <v>170</v>
      </c>
      <c r="K369" s="548">
        <v>0.33329999999999999</v>
      </c>
      <c r="L369" s="849">
        <f t="shared" ref="L369:L373" si="96">$L$44</f>
        <v>400.8</v>
      </c>
      <c r="M369" s="573">
        <v>10</v>
      </c>
      <c r="N369" s="296">
        <v>1</v>
      </c>
      <c r="O369" s="401">
        <f t="shared" si="79"/>
        <v>1335.8663999999999</v>
      </c>
      <c r="P369" s="299">
        <f>VLOOKUP($F369,'[1]Master Harga'!$E$5:$L$351,8,FALSE)</f>
        <v>169122.61109699999</v>
      </c>
      <c r="Q369" s="683">
        <f t="shared" si="92"/>
        <v>225925213.6447494</v>
      </c>
      <c r="R369" s="683"/>
      <c r="S369" s="683"/>
      <c r="T369" s="684"/>
      <c r="U369" s="684"/>
      <c r="V369" s="684"/>
      <c r="W369" s="684"/>
      <c r="X369" s="752"/>
      <c r="Y369" s="437">
        <f t="shared" si="95"/>
        <v>563685.66278630088</v>
      </c>
      <c r="Z369" s="436"/>
    </row>
    <row r="370" spans="2:26" x14ac:dyDescent="0.35">
      <c r="B370" s="700"/>
      <c r="E370" s="701"/>
      <c r="F370" s="295" t="s">
        <v>409</v>
      </c>
      <c r="G370" s="364" t="s">
        <v>356</v>
      </c>
      <c r="H370" s="365"/>
      <c r="I370" s="366"/>
      <c r="J370" s="364" t="s">
        <v>170</v>
      </c>
      <c r="K370" s="548">
        <v>0.33329999999999999</v>
      </c>
      <c r="L370" s="849">
        <f t="shared" si="96"/>
        <v>400.8</v>
      </c>
      <c r="M370" s="582">
        <f>170*M327/1000</f>
        <v>24.31</v>
      </c>
      <c r="N370" s="296">
        <v>1</v>
      </c>
      <c r="O370" s="401">
        <f>K370*L370*M370*N370</f>
        <v>3247.4912183999995</v>
      </c>
      <c r="P370" s="299">
        <f>VLOOKUP($F370,'[1]Master Harga'!$E$5:$L$351,8,FALSE)</f>
        <v>137182.63680000004</v>
      </c>
      <c r="Q370" s="683">
        <f t="shared" si="92"/>
        <v>445499408.32495672</v>
      </c>
      <c r="R370" s="683"/>
      <c r="S370" s="683"/>
      <c r="T370" s="684"/>
      <c r="U370" s="684"/>
      <c r="V370" s="684"/>
      <c r="W370" s="684"/>
      <c r="X370" s="545"/>
      <c r="Y370" s="437">
        <f t="shared" si="95"/>
        <v>1111525.4698726465</v>
      </c>
      <c r="Z370" s="436"/>
    </row>
    <row r="371" spans="2:26" x14ac:dyDescent="0.35">
      <c r="B371" s="700"/>
      <c r="E371" s="701"/>
      <c r="F371" s="295" t="s">
        <v>532</v>
      </c>
      <c r="G371" s="364" t="s">
        <v>194</v>
      </c>
      <c r="H371" s="365"/>
      <c r="I371" s="366"/>
      <c r="J371" s="364" t="s">
        <v>170</v>
      </c>
      <c r="K371" s="548">
        <v>0.33329999999999999</v>
      </c>
      <c r="L371" s="849">
        <f t="shared" si="96"/>
        <v>400.8</v>
      </c>
      <c r="M371" s="542">
        <v>1.67E-2</v>
      </c>
      <c r="N371" s="296">
        <v>1</v>
      </c>
      <c r="O371" s="401">
        <f t="shared" si="79"/>
        <v>2.2308968879999997</v>
      </c>
      <c r="P371" s="299">
        <f>VLOOKUP($F371,'[1]Master Harga'!$E$5:$L$351,8,FALSE)</f>
        <v>622201.44262500014</v>
      </c>
      <c r="Q371" s="683">
        <f t="shared" si="92"/>
        <v>1388067.2620612232</v>
      </c>
      <c r="R371" s="683"/>
      <c r="S371" s="683"/>
      <c r="T371" s="684"/>
      <c r="U371" s="684"/>
      <c r="V371" s="684"/>
      <c r="W371" s="684"/>
      <c r="X371" s="752"/>
      <c r="Y371" s="437">
        <f t="shared" si="95"/>
        <v>3463.2416718094387</v>
      </c>
      <c r="Z371" s="436"/>
    </row>
    <row r="372" spans="2:26" x14ac:dyDescent="0.35">
      <c r="B372" s="700"/>
      <c r="E372" s="701"/>
      <c r="F372" s="295" t="s">
        <v>533</v>
      </c>
      <c r="G372" s="364" t="s">
        <v>194</v>
      </c>
      <c r="H372" s="365"/>
      <c r="I372" s="366"/>
      <c r="J372" s="364" t="s">
        <v>170</v>
      </c>
      <c r="K372" s="548">
        <v>0.33329999999999999</v>
      </c>
      <c r="L372" s="849">
        <f t="shared" si="96"/>
        <v>400.8</v>
      </c>
      <c r="M372" s="542">
        <v>1.67E-2</v>
      </c>
      <c r="N372" s="296">
        <v>1</v>
      </c>
      <c r="O372" s="401">
        <f t="shared" si="79"/>
        <v>2.2308968879999997</v>
      </c>
      <c r="P372" s="299">
        <f>VLOOKUP($F372,'[1]Master Harga'!$E$5:$L$351,8,FALSE)</f>
        <v>48195</v>
      </c>
      <c r="Q372" s="683"/>
      <c r="R372" s="683"/>
      <c r="S372" s="683"/>
      <c r="T372" s="684"/>
      <c r="U372" s="684"/>
      <c r="V372" s="684"/>
      <c r="W372" s="684"/>
      <c r="X372" s="545"/>
      <c r="Y372" s="437">
        <f t="shared" si="95"/>
        <v>0</v>
      </c>
      <c r="Z372" s="436"/>
    </row>
    <row r="373" spans="2:26" x14ac:dyDescent="0.35">
      <c r="B373" s="700"/>
      <c r="E373" s="701"/>
      <c r="F373" s="295" t="s">
        <v>237</v>
      </c>
      <c r="G373" s="364" t="s">
        <v>194</v>
      </c>
      <c r="H373" s="365"/>
      <c r="I373" s="366"/>
      <c r="J373" s="364" t="s">
        <v>170</v>
      </c>
      <c r="K373" s="548">
        <v>0.33329999999999999</v>
      </c>
      <c r="L373" s="849">
        <f t="shared" si="96"/>
        <v>400.8</v>
      </c>
      <c r="M373" s="542">
        <v>1.67E-2</v>
      </c>
      <c r="N373" s="296">
        <v>1</v>
      </c>
      <c r="O373" s="401">
        <f t="shared" si="79"/>
        <v>2.2308968879999997</v>
      </c>
      <c r="P373" s="299">
        <f>VLOOKUP($F373,'[1]Master Harga'!$E$5:$L$351,8,FALSE)</f>
        <v>99185.31</v>
      </c>
      <c r="Q373" s="683">
        <f t="shared" si="92"/>
        <v>221272.19941431526</v>
      </c>
      <c r="R373" s="683"/>
      <c r="S373" s="683"/>
      <c r="T373" s="684"/>
      <c r="U373" s="684"/>
      <c r="V373" s="684"/>
      <c r="W373" s="684"/>
      <c r="X373" s="545"/>
      <c r="Y373" s="437">
        <f t="shared" si="95"/>
        <v>552.07634584409993</v>
      </c>
      <c r="Z373" s="436"/>
    </row>
    <row r="374" spans="2:26" customFormat="1" x14ac:dyDescent="0.35">
      <c r="B374" s="685" t="s">
        <v>534</v>
      </c>
      <c r="C374" s="864"/>
      <c r="D374" s="864"/>
      <c r="E374" s="865"/>
      <c r="F374" s="688"/>
      <c r="G374" s="689"/>
      <c r="H374" s="690"/>
      <c r="I374" s="691"/>
      <c r="J374" s="689"/>
      <c r="K374" s="692"/>
      <c r="L374" s="866"/>
      <c r="M374" s="694"/>
      <c r="N374" s="695"/>
      <c r="O374" s="690"/>
      <c r="P374" s="696"/>
      <c r="Q374" s="697">
        <f>SUM(Q369:Q373)</f>
        <v>673033961.43118167</v>
      </c>
      <c r="R374" s="696"/>
      <c r="S374" s="697">
        <f>SUM(S363:S373)</f>
        <v>5176244094.1085796</v>
      </c>
      <c r="T374" s="874"/>
      <c r="U374" s="874"/>
      <c r="V374" s="874"/>
      <c r="W374" s="874"/>
      <c r="X374" s="690"/>
      <c r="Y374" s="698">
        <f t="shared" si="95"/>
        <v>1679226.4506766009</v>
      </c>
      <c r="Z374" s="875">
        <f>(Y374/$Y$404)*100</f>
        <v>8.9635975414193787</v>
      </c>
    </row>
    <row r="375" spans="2:26" x14ac:dyDescent="0.35">
      <c r="B375" s="700"/>
      <c r="C375" s="763" t="s">
        <v>535</v>
      </c>
      <c r="D375" s="763"/>
      <c r="E375" s="764"/>
      <c r="F375" s="436" t="s">
        <v>189</v>
      </c>
      <c r="G375" s="579" t="s">
        <v>190</v>
      </c>
      <c r="H375" s="545"/>
      <c r="I375" s="580"/>
      <c r="J375" s="579"/>
      <c r="K375" s="439"/>
      <c r="L375" s="849"/>
      <c r="M375" s="552"/>
      <c r="N375" s="437"/>
      <c r="O375" s="545"/>
      <c r="P375" s="683"/>
      <c r="Q375" s="683"/>
      <c r="R375" s="683"/>
      <c r="S375" s="683"/>
      <c r="T375" s="684"/>
      <c r="U375" s="684"/>
      <c r="V375" s="684"/>
      <c r="W375" s="684"/>
      <c r="X375" s="545"/>
      <c r="Y375" s="437">
        <f t="shared" si="95"/>
        <v>0</v>
      </c>
      <c r="Z375" s="436"/>
    </row>
    <row r="376" spans="2:26" x14ac:dyDescent="0.35">
      <c r="B376" s="680"/>
      <c r="C376" s="681"/>
      <c r="D376" s="681"/>
      <c r="E376" s="682"/>
      <c r="F376" s="436"/>
      <c r="G376" s="579"/>
      <c r="H376" s="545"/>
      <c r="I376" s="580"/>
      <c r="J376" s="579"/>
      <c r="K376" s="439"/>
      <c r="L376" s="849"/>
      <c r="M376" s="552"/>
      <c r="N376" s="437"/>
      <c r="O376" s="545"/>
      <c r="P376" s="683"/>
      <c r="Q376" s="683">
        <v>1.7669999999999999</v>
      </c>
      <c r="R376" s="683"/>
      <c r="S376" s="683"/>
      <c r="T376" s="684"/>
      <c r="U376" s="684"/>
      <c r="V376" s="684"/>
      <c r="W376" s="684"/>
      <c r="X376" s="545"/>
      <c r="Y376" s="437">
        <f t="shared" si="95"/>
        <v>4.4086826347305387E-3</v>
      </c>
      <c r="Z376" s="436"/>
    </row>
    <row r="377" spans="2:26" x14ac:dyDescent="0.35">
      <c r="B377" s="700"/>
      <c r="C377" s="357" t="s">
        <v>352</v>
      </c>
      <c r="E377" s="701"/>
      <c r="F377" s="436" t="s">
        <v>189</v>
      </c>
      <c r="G377" s="579" t="s">
        <v>190</v>
      </c>
      <c r="H377" s="545"/>
      <c r="I377" s="580"/>
      <c r="J377" s="579"/>
      <c r="K377" s="439"/>
      <c r="L377" s="849"/>
      <c r="M377" s="552"/>
      <c r="N377" s="437"/>
      <c r="O377" s="545"/>
      <c r="P377" s="683"/>
      <c r="Q377" s="683">
        <f>0.25*0.25</f>
        <v>6.25E-2</v>
      </c>
      <c r="R377" s="683"/>
      <c r="S377" s="683"/>
      <c r="T377" s="684"/>
      <c r="U377" s="684"/>
      <c r="V377" s="684"/>
      <c r="W377" s="684"/>
      <c r="X377" s="545"/>
      <c r="Y377" s="437">
        <f t="shared" si="95"/>
        <v>1.5593812375249501E-4</v>
      </c>
      <c r="Z377" s="436"/>
    </row>
    <row r="378" spans="2:26" x14ac:dyDescent="0.35">
      <c r="B378" s="700"/>
      <c r="E378" s="701"/>
      <c r="F378" s="436"/>
      <c r="G378" s="579"/>
      <c r="H378" s="545"/>
      <c r="I378" s="580"/>
      <c r="J378" s="579"/>
      <c r="K378" s="439"/>
      <c r="L378" s="849"/>
      <c r="M378" s="552"/>
      <c r="N378" s="437"/>
      <c r="O378" s="545"/>
      <c r="P378" s="683"/>
      <c r="Q378" s="683"/>
      <c r="R378" s="683"/>
      <c r="S378" s="683"/>
      <c r="T378" s="684"/>
      <c r="U378" s="684"/>
      <c r="V378" s="684"/>
      <c r="W378" s="684"/>
      <c r="X378" s="545"/>
      <c r="Y378" s="437">
        <f t="shared" si="95"/>
        <v>0</v>
      </c>
      <c r="Z378" s="436"/>
    </row>
    <row r="379" spans="2:26" x14ac:dyDescent="0.35">
      <c r="B379" s="680"/>
      <c r="C379" s="681"/>
      <c r="D379" s="681"/>
      <c r="E379" s="682"/>
      <c r="F379" s="436"/>
      <c r="G379" s="579"/>
      <c r="H379" s="545"/>
      <c r="I379" s="580"/>
      <c r="J379" s="579"/>
      <c r="K379" s="439"/>
      <c r="L379" s="849"/>
      <c r="M379" s="552"/>
      <c r="N379" s="437"/>
      <c r="O379" s="545"/>
      <c r="P379" s="683"/>
      <c r="Q379" s="683"/>
      <c r="R379" s="683"/>
      <c r="S379" s="683"/>
      <c r="T379" s="684"/>
      <c r="U379" s="684"/>
      <c r="V379" s="684"/>
      <c r="W379" s="684"/>
      <c r="X379" s="545"/>
      <c r="Y379" s="437">
        <f t="shared" si="95"/>
        <v>0</v>
      </c>
      <c r="Z379" s="436"/>
    </row>
    <row r="380" spans="2:26" x14ac:dyDescent="0.35">
      <c r="B380" s="700"/>
      <c r="C380" s="357" t="s">
        <v>159</v>
      </c>
      <c r="E380" s="701"/>
      <c r="F380" s="436" t="s">
        <v>357</v>
      </c>
      <c r="G380" s="579" t="s">
        <v>190</v>
      </c>
      <c r="H380" s="545"/>
      <c r="I380" s="580"/>
      <c r="J380" s="579" t="s">
        <v>356</v>
      </c>
      <c r="K380" s="400">
        <v>1</v>
      </c>
      <c r="L380" s="903">
        <f>(O367+O357+O347+O337)/1000</f>
        <v>402.63365999999996</v>
      </c>
      <c r="M380" s="552">
        <v>1</v>
      </c>
      <c r="N380" s="437">
        <v>1</v>
      </c>
      <c r="O380" s="590">
        <f>K380*L380*M380*N380</f>
        <v>402.63365999999996</v>
      </c>
      <c r="P380" s="299">
        <f>VLOOKUP($F380,'[1]Master Harga'!$E$5:$L$351,8,FALSE)</f>
        <v>22573.6875</v>
      </c>
      <c r="Q380" s="683">
        <f>P380*$O380</f>
        <v>9088926.417821249</v>
      </c>
      <c r="R380" s="437">
        <f>VLOOKUP($F380,'[2]Master Harga'!$E$5:$M$348,8,FALSE)</f>
        <v>24564.384000000005</v>
      </c>
      <c r="S380" s="683">
        <f>R380*$O380</f>
        <v>9890447.8355654422</v>
      </c>
      <c r="T380" s="437">
        <f>VLOOKUP($F380,'[2]Master Harga'!$E$5:$M$348,9,FALSE)</f>
        <v>26529.534720000007</v>
      </c>
      <c r="U380" s="684">
        <f>$O380*T380</f>
        <v>10681683.662410676</v>
      </c>
      <c r="V380" s="437">
        <f>W380/O380</f>
        <v>24555.868740000005</v>
      </c>
      <c r="W380" s="307">
        <f>AVERAGEIF($P$3:$U$3,W$3,$P380:$U380)</f>
        <v>9887019.3052657899</v>
      </c>
      <c r="X380" s="545"/>
      <c r="Y380" s="437">
        <f t="shared" si="95"/>
        <v>22676.962120312495</v>
      </c>
      <c r="Z380" s="436"/>
    </row>
    <row r="381" spans="2:26" x14ac:dyDescent="0.35">
      <c r="B381" s="700"/>
      <c r="E381" s="701"/>
      <c r="F381" s="436" t="s">
        <v>354</v>
      </c>
      <c r="G381" s="579" t="s">
        <v>203</v>
      </c>
      <c r="H381" s="545"/>
      <c r="I381" s="580"/>
      <c r="J381" s="579" t="s">
        <v>356</v>
      </c>
      <c r="K381" s="400"/>
      <c r="L381" s="849"/>
      <c r="M381" s="552"/>
      <c r="N381" s="437"/>
      <c r="O381" s="590"/>
      <c r="P381" s="437"/>
      <c r="Q381" s="683"/>
      <c r="R381" s="437"/>
      <c r="S381" s="683"/>
      <c r="T381" s="437"/>
      <c r="U381" s="684"/>
      <c r="V381" s="437" t="e">
        <f>W381/O381</f>
        <v>#DIV/0!</v>
      </c>
      <c r="W381" s="307"/>
      <c r="X381" s="545"/>
      <c r="Y381" s="437">
        <f t="shared" si="95"/>
        <v>0</v>
      </c>
      <c r="Z381" s="436"/>
    </row>
    <row r="382" spans="2:26" x14ac:dyDescent="0.35">
      <c r="B382" s="680"/>
      <c r="C382" s="681"/>
      <c r="D382" s="681"/>
      <c r="E382" s="682"/>
      <c r="F382" s="436" t="s">
        <v>359</v>
      </c>
      <c r="G382" s="439" t="s">
        <v>356</v>
      </c>
      <c r="H382" s="545"/>
      <c r="I382" s="580"/>
      <c r="J382" s="579" t="s">
        <v>356</v>
      </c>
      <c r="K382" s="400">
        <v>1</v>
      </c>
      <c r="L382" s="950">
        <f>L380</f>
        <v>402.63365999999996</v>
      </c>
      <c r="M382" s="804">
        <v>1</v>
      </c>
      <c r="N382" s="589">
        <v>1</v>
      </c>
      <c r="O382" s="590">
        <f>K382*L382*M382*N382</f>
        <v>402.63365999999996</v>
      </c>
      <c r="P382" s="299">
        <f>VLOOKUP($F382,'[1]Master Harga'!$E$5:$L$351,8,FALSE)</f>
        <v>67962.959997999991</v>
      </c>
      <c r="Q382" s="683">
        <f>P382*$O382</f>
        <v>27364175.328428328</v>
      </c>
      <c r="R382" s="437">
        <f>VLOOKUP($F382,'[2]Master Harga'!$E$5:$M$348,8,FALSE)</f>
        <v>55793.254400000005</v>
      </c>
      <c r="S382" s="683">
        <f>R382*$O382</f>
        <v>22464242.222383104</v>
      </c>
      <c r="T382" s="437">
        <f>VLOOKUP($F382,'[2]Master Harga'!$E$5:$M$348,9,FALSE)</f>
        <v>58024.98457600001</v>
      </c>
      <c r="U382" s="684">
        <f>$O382*T382</f>
        <v>23362811.91127843</v>
      </c>
      <c r="V382" s="437">
        <f>W382/O382</f>
        <v>60593.732991333345</v>
      </c>
      <c r="W382" s="307">
        <f>AVERAGEIF($P$3:$U$3,W$3,$P382:$U382)</f>
        <v>24397076.48736329</v>
      </c>
      <c r="X382" s="545"/>
      <c r="Y382" s="437">
        <f t="shared" si="95"/>
        <v>68273.89053999084</v>
      </c>
      <c r="Z382" s="436"/>
    </row>
    <row r="383" spans="2:26" x14ac:dyDescent="0.35">
      <c r="B383" s="700"/>
      <c r="C383" s="357" t="s">
        <v>161</v>
      </c>
      <c r="E383" s="701"/>
      <c r="F383" s="436" t="s">
        <v>360</v>
      </c>
      <c r="G383" s="579" t="s">
        <v>190</v>
      </c>
      <c r="H383" s="545"/>
      <c r="I383" s="580"/>
      <c r="J383" s="579" t="s">
        <v>356</v>
      </c>
      <c r="K383" s="400">
        <v>1</v>
      </c>
      <c r="L383" s="950">
        <f>L380</f>
        <v>402.63365999999996</v>
      </c>
      <c r="M383" s="552">
        <v>1</v>
      </c>
      <c r="N383" s="437">
        <v>1</v>
      </c>
      <c r="O383" s="590">
        <f>K383*L383*M383*N383</f>
        <v>402.63365999999996</v>
      </c>
      <c r="P383" s="299">
        <f>VLOOKUP($F383,'[1]Master Harga'!$E$5:$L$351,8,FALSE)</f>
        <v>37044</v>
      </c>
      <c r="Q383" s="683">
        <f>P383*$O383</f>
        <v>14915161.301039999</v>
      </c>
      <c r="R383" s="437">
        <f>VLOOKUP($F383,'[2]Master Harga'!$E$5:$M$348,8,FALSE)</f>
        <v>40310.784000000007</v>
      </c>
      <c r="S383" s="683">
        <f>R383*$O383</f>
        <v>16230478.499389442</v>
      </c>
      <c r="T383" s="437">
        <f>VLOOKUP($F383,'[2]Master Harga'!$E$5:$M$348,9,FALSE)</f>
        <v>43535.646720000012</v>
      </c>
      <c r="U383" s="684">
        <f>$O383*T383</f>
        <v>17528916.779340599</v>
      </c>
      <c r="V383" s="437">
        <f>W383/O383</f>
        <v>40296.810240000013</v>
      </c>
      <c r="W383" s="307">
        <f>AVERAGEIF($P$3:$U$3,W$3,$P383:$U383)</f>
        <v>16224852.193256682</v>
      </c>
      <c r="X383" s="545"/>
      <c r="Y383" s="437">
        <f t="shared" si="95"/>
        <v>37213.476299999995</v>
      </c>
      <c r="Z383" s="436"/>
    </row>
    <row r="384" spans="2:26" x14ac:dyDescent="0.35">
      <c r="B384" s="700"/>
      <c r="E384" s="701"/>
      <c r="F384" s="436" t="s">
        <v>411</v>
      </c>
      <c r="G384" s="579" t="s">
        <v>356</v>
      </c>
      <c r="H384" s="545"/>
      <c r="I384" s="580"/>
      <c r="J384" s="579" t="s">
        <v>356</v>
      </c>
      <c r="K384" s="400"/>
      <c r="L384" s="950">
        <f>L383</f>
        <v>402.63365999999996</v>
      </c>
      <c r="M384" s="804">
        <v>1</v>
      </c>
      <c r="N384" s="589">
        <v>1</v>
      </c>
      <c r="O384" s="590">
        <f>K384*L384*M384*N384</f>
        <v>0</v>
      </c>
      <c r="P384" s="437">
        <f>VLOOKUP($F384,'[2]Master Harga'!$E$5:$M$348,7,FALSE)</f>
        <v>0</v>
      </c>
      <c r="Q384" s="683"/>
      <c r="R384" s="437">
        <f>VLOOKUP($F384,'[2]Master Harga'!$E$5:$M$348,8,FALSE)</f>
        <v>0</v>
      </c>
      <c r="S384" s="683">
        <f>R384*$O384</f>
        <v>0</v>
      </c>
      <c r="T384" s="437">
        <f>VLOOKUP($F384,'[2]Master Harga'!$E$5:$M$348,9,FALSE)</f>
        <v>0</v>
      </c>
      <c r="U384" s="684">
        <f>$O384*T384</f>
        <v>0</v>
      </c>
      <c r="V384" s="931"/>
      <c r="W384" s="931"/>
      <c r="X384" s="545"/>
      <c r="Y384" s="437">
        <f t="shared" si="95"/>
        <v>0</v>
      </c>
      <c r="Z384" s="436"/>
    </row>
    <row r="385" spans="2:26" customFormat="1" x14ac:dyDescent="0.35">
      <c r="B385" s="685" t="s">
        <v>536</v>
      </c>
      <c r="C385" s="864"/>
      <c r="D385" s="864"/>
      <c r="E385" s="865"/>
      <c r="F385" s="688"/>
      <c r="G385" s="689"/>
      <c r="H385" s="690"/>
      <c r="I385" s="691"/>
      <c r="J385" s="689"/>
      <c r="K385" s="692"/>
      <c r="L385" s="866"/>
      <c r="M385" s="694"/>
      <c r="N385" s="695"/>
      <c r="O385" s="690"/>
      <c r="P385" s="696"/>
      <c r="Q385" s="697">
        <f>SUM(Q380:Q384)</f>
        <v>51368263.04728958</v>
      </c>
      <c r="R385" s="696"/>
      <c r="S385" s="697">
        <f>SUM(S374:S384)</f>
        <v>5224829262.6659184</v>
      </c>
      <c r="T385" s="874"/>
      <c r="U385" s="874"/>
      <c r="V385" s="874"/>
      <c r="W385" s="874"/>
      <c r="X385" s="690"/>
      <c r="Y385" s="698">
        <f t="shared" si="95"/>
        <v>128164.32896030333</v>
      </c>
      <c r="Z385" s="875">
        <f>(Y385/$Y$404)*100</f>
        <v>0.68413254418625591</v>
      </c>
    </row>
    <row r="386" spans="2:26" customFormat="1" x14ac:dyDescent="0.35">
      <c r="B386" s="753" t="s">
        <v>537</v>
      </c>
      <c r="C386" s="853"/>
      <c r="D386" s="853"/>
      <c r="E386" s="854"/>
      <c r="F386" s="668"/>
      <c r="G386" s="669"/>
      <c r="H386" s="670"/>
      <c r="I386" s="671"/>
      <c r="J386" s="669"/>
      <c r="K386" s="672"/>
      <c r="L386" s="876"/>
      <c r="M386" s="674"/>
      <c r="N386" s="675"/>
      <c r="O386" s="670"/>
      <c r="P386" s="676"/>
      <c r="Q386" s="756">
        <f>Q338+Q348+Q358+Q368+Q374+Q385</f>
        <v>3142623810.9326777</v>
      </c>
      <c r="R386" s="676"/>
      <c r="S386" s="756">
        <f>SUM(S375:S385)</f>
        <v>5273414431.2232561</v>
      </c>
      <c r="T386" s="677"/>
      <c r="U386" s="677"/>
      <c r="V386" s="677"/>
      <c r="W386" s="677"/>
      <c r="X386" s="670"/>
      <c r="Y386" s="757">
        <f t="shared" si="95"/>
        <v>7840877.7717881175</v>
      </c>
      <c r="Z386" s="877">
        <f>(Y386/$Y$404)*100</f>
        <v>41.854076732445058</v>
      </c>
    </row>
    <row r="387" spans="2:26" x14ac:dyDescent="0.35">
      <c r="B387" s="722" t="s">
        <v>346</v>
      </c>
      <c r="C387" s="580"/>
      <c r="D387" s="580"/>
      <c r="E387" s="723"/>
      <c r="F387" s="436"/>
      <c r="G387" s="579"/>
      <c r="H387" s="545"/>
      <c r="I387" s="580"/>
      <c r="J387" s="579"/>
      <c r="K387" s="439"/>
      <c r="L387" s="849"/>
      <c r="M387" s="552"/>
      <c r="N387" s="437"/>
      <c r="O387" s="545"/>
      <c r="P387" s="683"/>
      <c r="Q387" s="683"/>
      <c r="R387" s="683"/>
      <c r="S387" s="683"/>
      <c r="T387" s="684"/>
      <c r="U387" s="684"/>
      <c r="V387" s="684"/>
      <c r="W387" s="684"/>
      <c r="X387" s="545"/>
      <c r="Y387" s="437">
        <f t="shared" si="95"/>
        <v>0</v>
      </c>
      <c r="Z387" s="436"/>
    </row>
    <row r="388" spans="2:26" x14ac:dyDescent="0.35">
      <c r="B388" s="700"/>
      <c r="C388" s="357" t="s">
        <v>521</v>
      </c>
      <c r="E388" s="701"/>
      <c r="F388" s="436" t="s">
        <v>189</v>
      </c>
      <c r="G388" s="579" t="s">
        <v>190</v>
      </c>
      <c r="H388" s="545"/>
      <c r="I388" s="580"/>
      <c r="J388" s="579"/>
      <c r="K388" s="439"/>
      <c r="L388" s="849"/>
      <c r="M388" s="552">
        <v>1</v>
      </c>
      <c r="N388" s="437">
        <v>1</v>
      </c>
      <c r="O388" s="545"/>
      <c r="P388" s="683"/>
      <c r="Q388" s="683"/>
      <c r="R388" s="683"/>
      <c r="S388" s="683"/>
      <c r="T388" s="684"/>
      <c r="U388" s="684"/>
      <c r="V388" s="684"/>
      <c r="W388" s="684"/>
      <c r="X388" s="545"/>
      <c r="Y388" s="437">
        <f t="shared" si="95"/>
        <v>0</v>
      </c>
      <c r="Z388" s="436"/>
    </row>
    <row r="389" spans="2:26" x14ac:dyDescent="0.35">
      <c r="B389" s="700"/>
      <c r="E389" s="701"/>
      <c r="F389" s="436" t="s">
        <v>398</v>
      </c>
      <c r="G389" s="579" t="s">
        <v>192</v>
      </c>
      <c r="H389" s="545"/>
      <c r="I389" s="580"/>
      <c r="J389" s="579"/>
      <c r="K389" s="439"/>
      <c r="L389" s="849"/>
      <c r="M389" s="552">
        <v>25</v>
      </c>
      <c r="N389" s="437">
        <v>1</v>
      </c>
      <c r="O389" s="545"/>
      <c r="P389" s="683"/>
      <c r="Q389" s="683"/>
      <c r="R389" s="683"/>
      <c r="S389" s="683"/>
      <c r="T389" s="684"/>
      <c r="U389" s="684"/>
      <c r="V389" s="684"/>
      <c r="W389" s="684"/>
      <c r="X389" s="545"/>
      <c r="Y389" s="437">
        <f t="shared" si="95"/>
        <v>0</v>
      </c>
      <c r="Z389" s="436"/>
    </row>
    <row r="390" spans="2:26" x14ac:dyDescent="0.35">
      <c r="B390" s="700"/>
      <c r="C390" s="357" t="s">
        <v>352</v>
      </c>
      <c r="E390" s="701"/>
      <c r="F390" s="436" t="s">
        <v>189</v>
      </c>
      <c r="G390" s="579" t="s">
        <v>190</v>
      </c>
      <c r="H390" s="545"/>
      <c r="I390" s="580"/>
      <c r="J390" s="579"/>
      <c r="K390" s="439"/>
      <c r="L390" s="849"/>
      <c r="M390" s="552"/>
      <c r="N390" s="437"/>
      <c r="O390" s="545"/>
      <c r="P390" s="683"/>
      <c r="Q390" s="683"/>
      <c r="R390" s="683"/>
      <c r="S390" s="683"/>
      <c r="T390" s="684"/>
      <c r="U390" s="684"/>
      <c r="V390" s="684"/>
      <c r="W390" s="684"/>
      <c r="X390" s="545"/>
      <c r="Y390" s="437">
        <f t="shared" si="95"/>
        <v>0</v>
      </c>
      <c r="Z390" s="436"/>
    </row>
    <row r="391" spans="2:26" x14ac:dyDescent="0.35">
      <c r="B391" s="700"/>
      <c r="C391" s="357" t="s">
        <v>159</v>
      </c>
      <c r="E391" s="701"/>
      <c r="F391" s="436" t="s">
        <v>357</v>
      </c>
      <c r="G391" s="439" t="s">
        <v>356</v>
      </c>
      <c r="H391" s="545"/>
      <c r="I391" s="580"/>
      <c r="J391" s="579"/>
      <c r="K391" s="439"/>
      <c r="L391" s="849"/>
      <c r="M391" s="804">
        <v>1</v>
      </c>
      <c r="N391" s="589">
        <v>1</v>
      </c>
      <c r="O391" s="793"/>
      <c r="P391" s="589"/>
      <c r="Q391" s="589"/>
      <c r="R391" s="589"/>
      <c r="S391" s="589"/>
      <c r="T391" s="819"/>
      <c r="U391" s="819"/>
      <c r="V391" s="819"/>
      <c r="W391" s="819"/>
      <c r="X391" s="545"/>
      <c r="Y391" s="437">
        <f t="shared" si="95"/>
        <v>0</v>
      </c>
      <c r="Z391" s="436"/>
    </row>
    <row r="392" spans="2:26" x14ac:dyDescent="0.35">
      <c r="B392" s="700"/>
      <c r="E392" s="701"/>
      <c r="F392" s="436" t="s">
        <v>354</v>
      </c>
      <c r="G392" s="439" t="s">
        <v>203</v>
      </c>
      <c r="H392" s="545"/>
      <c r="I392" s="580"/>
      <c r="J392" s="579"/>
      <c r="K392" s="439"/>
      <c r="L392" s="849"/>
      <c r="M392" s="804">
        <f>2/4</f>
        <v>0.5</v>
      </c>
      <c r="N392" s="589">
        <v>1</v>
      </c>
      <c r="O392" s="793"/>
      <c r="P392" s="589"/>
      <c r="Q392" s="589"/>
      <c r="R392" s="589"/>
      <c r="S392" s="589"/>
      <c r="T392" s="819"/>
      <c r="U392" s="819"/>
      <c r="V392" s="819"/>
      <c r="W392" s="819"/>
      <c r="X392" s="545"/>
      <c r="Y392" s="437">
        <f t="shared" si="95"/>
        <v>0</v>
      </c>
      <c r="Z392" s="436"/>
    </row>
    <row r="393" spans="2:26" x14ac:dyDescent="0.35">
      <c r="B393" s="680"/>
      <c r="C393" s="681"/>
      <c r="D393" s="681"/>
      <c r="E393" s="682"/>
      <c r="F393" s="436" t="s">
        <v>359</v>
      </c>
      <c r="G393" s="439" t="s">
        <v>356</v>
      </c>
      <c r="H393" s="545"/>
      <c r="I393" s="580"/>
      <c r="J393" s="579"/>
      <c r="K393" s="439"/>
      <c r="L393" s="849"/>
      <c r="M393" s="804">
        <v>1</v>
      </c>
      <c r="N393" s="589">
        <v>1</v>
      </c>
      <c r="O393" s="793"/>
      <c r="P393" s="589"/>
      <c r="Q393" s="589"/>
      <c r="R393" s="589"/>
      <c r="S393" s="589"/>
      <c r="T393" s="819"/>
      <c r="U393" s="819"/>
      <c r="V393" s="819"/>
      <c r="W393" s="819"/>
      <c r="X393" s="545"/>
      <c r="Y393" s="437">
        <f t="shared" si="95"/>
        <v>0</v>
      </c>
      <c r="Z393" s="436"/>
    </row>
    <row r="394" spans="2:26" x14ac:dyDescent="0.35">
      <c r="B394" s="700"/>
      <c r="C394" s="357" t="s">
        <v>161</v>
      </c>
      <c r="E394" s="701"/>
      <c r="F394" s="436" t="s">
        <v>360</v>
      </c>
      <c r="G394" s="439" t="s">
        <v>356</v>
      </c>
      <c r="H394" s="545"/>
      <c r="I394" s="580"/>
      <c r="J394" s="579"/>
      <c r="K394" s="439"/>
      <c r="L394" s="849"/>
      <c r="M394" s="804">
        <v>1</v>
      </c>
      <c r="N394" s="589">
        <v>1</v>
      </c>
      <c r="O394" s="793"/>
      <c r="P394" s="589"/>
      <c r="Q394" s="589"/>
      <c r="R394" s="589"/>
      <c r="S394" s="589"/>
      <c r="T394" s="819"/>
      <c r="U394" s="819"/>
      <c r="V394" s="819"/>
      <c r="W394" s="819"/>
      <c r="X394" s="545"/>
      <c r="Y394" s="437">
        <f t="shared" si="95"/>
        <v>0</v>
      </c>
      <c r="Z394" s="436"/>
    </row>
    <row r="395" spans="2:26" x14ac:dyDescent="0.35">
      <c r="B395" s="700"/>
      <c r="E395" s="701"/>
      <c r="F395" s="436" t="s">
        <v>359</v>
      </c>
      <c r="G395" s="439" t="s">
        <v>356</v>
      </c>
      <c r="H395" s="545"/>
      <c r="I395" s="580"/>
      <c r="J395" s="579"/>
      <c r="K395" s="439"/>
      <c r="L395" s="849"/>
      <c r="M395" s="804">
        <v>1</v>
      </c>
      <c r="N395" s="589">
        <v>1</v>
      </c>
      <c r="O395" s="935"/>
      <c r="P395" s="930"/>
      <c r="Q395" s="930"/>
      <c r="R395" s="930"/>
      <c r="S395" s="930"/>
      <c r="T395" s="931"/>
      <c r="U395" s="931"/>
      <c r="V395" s="931"/>
      <c r="W395" s="931"/>
      <c r="X395" s="545"/>
      <c r="Y395" s="437">
        <f t="shared" si="95"/>
        <v>0</v>
      </c>
      <c r="Z395" s="436"/>
    </row>
    <row r="396" spans="2:26" x14ac:dyDescent="0.35">
      <c r="B396" s="722" t="s">
        <v>414</v>
      </c>
      <c r="C396" s="580"/>
      <c r="D396" s="580"/>
      <c r="E396" s="723"/>
      <c r="F396" s="436"/>
      <c r="G396" s="579"/>
      <c r="H396" s="545"/>
      <c r="I396" s="580"/>
      <c r="J396" s="579"/>
      <c r="K396" s="439"/>
      <c r="L396" s="849"/>
      <c r="M396" s="552"/>
      <c r="N396" s="437"/>
      <c r="O396" s="545"/>
      <c r="P396" s="683"/>
      <c r="Q396" s="683"/>
      <c r="R396" s="683"/>
      <c r="S396" s="683"/>
      <c r="T396" s="684">
        <f>R396*1.1</f>
        <v>0</v>
      </c>
      <c r="U396" s="684">
        <f>O396*T396</f>
        <v>0</v>
      </c>
      <c r="V396" s="437"/>
      <c r="W396" s="437"/>
      <c r="X396" s="545"/>
      <c r="Y396" s="437">
        <f t="shared" si="95"/>
        <v>0</v>
      </c>
      <c r="Z396" s="436"/>
    </row>
    <row r="397" spans="2:26" x14ac:dyDescent="0.35">
      <c r="B397" s="700"/>
      <c r="C397" s="357" t="s">
        <v>164</v>
      </c>
      <c r="E397" s="701"/>
      <c r="F397" s="436" t="s">
        <v>189</v>
      </c>
      <c r="G397" s="579" t="s">
        <v>190</v>
      </c>
      <c r="H397" s="545"/>
      <c r="I397" s="580"/>
      <c r="J397" s="579" t="s">
        <v>170</v>
      </c>
      <c r="K397" s="400">
        <v>1</v>
      </c>
      <c r="L397" s="849">
        <f t="shared" ref="L397:L399" si="97">$L$44</f>
        <v>400.8</v>
      </c>
      <c r="M397" s="552">
        <f>(0.12/15)*25</f>
        <v>0.2</v>
      </c>
      <c r="N397" s="437">
        <v>12</v>
      </c>
      <c r="O397" s="590">
        <f>K397*L397*M397*N397</f>
        <v>961.92000000000007</v>
      </c>
      <c r="P397" s="299">
        <f>VLOOKUP($F397,'[1]Master Harga'!$E$5:$L$351,8,FALSE)</f>
        <v>169122.61109699999</v>
      </c>
      <c r="Q397" s="683">
        <f>P397*$O397</f>
        <v>162682422.06642625</v>
      </c>
      <c r="R397" s="437">
        <f>VLOOKUP($F397,'[2]Master Harga'!$E$5:$M$348,8,FALSE)</f>
        <v>179635.86432000002</v>
      </c>
      <c r="S397" s="683">
        <f>R397*$O397</f>
        <v>172795330.60669443</v>
      </c>
      <c r="T397" s="437">
        <f>VLOOKUP($F397,'[2]Master Harga'!$E$5:$M$348,9,FALSE)</f>
        <v>197599.45075200003</v>
      </c>
      <c r="U397" s="684">
        <f>$O397*T397</f>
        <v>190074863.66736388</v>
      </c>
      <c r="V397" s="437">
        <f>W397/O397</f>
        <v>182119.30872300002</v>
      </c>
      <c r="W397" s="307">
        <f>AVERAGEIF($P$3:$U$3,W$3,$P397:$U397)</f>
        <v>175184205.44682819</v>
      </c>
      <c r="X397" s="545"/>
      <c r="Y397" s="437">
        <f t="shared" si="95"/>
        <v>405894.26663279999</v>
      </c>
      <c r="Z397" s="436"/>
    </row>
    <row r="398" spans="2:26" x14ac:dyDescent="0.35">
      <c r="B398" s="700"/>
      <c r="E398" s="701"/>
      <c r="F398" s="436" t="s">
        <v>415</v>
      </c>
      <c r="G398" s="579" t="s">
        <v>538</v>
      </c>
      <c r="H398" s="545"/>
      <c r="I398" s="580"/>
      <c r="J398" s="579" t="s">
        <v>170</v>
      </c>
      <c r="K398" s="400">
        <v>1</v>
      </c>
      <c r="L398" s="849">
        <f t="shared" si="97"/>
        <v>400.8</v>
      </c>
      <c r="M398" s="552">
        <v>1</v>
      </c>
      <c r="N398" s="437">
        <v>12</v>
      </c>
      <c r="O398" s="590">
        <f>K398*L398*M398*N398</f>
        <v>4809.6000000000004</v>
      </c>
      <c r="P398" s="299">
        <f>VLOOKUP($F398,'[1]Master Harga'!$E$5:$L$351,8,FALSE)</f>
        <v>2892.1408425000004</v>
      </c>
      <c r="Q398" s="683">
        <f>P398*$O398</f>
        <v>13910040.596088003</v>
      </c>
      <c r="R398" s="437">
        <f>VLOOKUP($F398,'[2]Master Harga'!$E$5:$M$348,8,FALSE)</f>
        <v>2892.1408425000004</v>
      </c>
      <c r="S398" s="683">
        <f>R398*$O398</f>
        <v>13910040.596088003</v>
      </c>
      <c r="T398" s="437">
        <f>VLOOKUP($F398,'[2]Master Harga'!$E$5:$M$348,9,FALSE)</f>
        <v>3036.7478846250006</v>
      </c>
      <c r="U398" s="684">
        <f>$O398*T398</f>
        <v>14605542.625892404</v>
      </c>
      <c r="V398" s="437">
        <f>W398/O398</f>
        <v>2940.3431898750009</v>
      </c>
      <c r="W398" s="307">
        <f>AVERAGEIF($P$3:$U$3,W$3,$P398:$U398)</f>
        <v>14141874.606022805</v>
      </c>
      <c r="X398" s="545"/>
      <c r="Y398" s="437">
        <f t="shared" si="95"/>
        <v>34705.69011000001</v>
      </c>
      <c r="Z398" s="436"/>
    </row>
    <row r="399" spans="2:26" x14ac:dyDescent="0.35">
      <c r="B399" s="700"/>
      <c r="E399" s="701"/>
      <c r="F399" s="436" t="s">
        <v>417</v>
      </c>
      <c r="G399" s="579" t="s">
        <v>538</v>
      </c>
      <c r="H399" s="545"/>
      <c r="I399" s="580"/>
      <c r="J399" s="579" t="s">
        <v>170</v>
      </c>
      <c r="K399" s="400">
        <v>1</v>
      </c>
      <c r="L399" s="849">
        <f t="shared" si="97"/>
        <v>400.8</v>
      </c>
      <c r="M399" s="552">
        <v>1</v>
      </c>
      <c r="N399" s="437">
        <v>12</v>
      </c>
      <c r="O399" s="590">
        <f>K399*L399*M399*N399</f>
        <v>4809.6000000000004</v>
      </c>
      <c r="P399" s="299">
        <f>VLOOKUP($F399,'[1]Master Harga'!$E$5:$L$351,8,FALSE)</f>
        <v>1404.2338537500002</v>
      </c>
      <c r="Q399" s="683">
        <f>P399*$O399</f>
        <v>6753803.1429960011</v>
      </c>
      <c r="R399" s="437">
        <f>VLOOKUP($F399,'[2]Master Harga'!$E$5:$M$348,8,FALSE)</f>
        <v>1404.2338537500002</v>
      </c>
      <c r="S399" s="683">
        <f>R399*$O399</f>
        <v>6753803.1429960011</v>
      </c>
      <c r="T399" s="437">
        <f>VLOOKUP($F399,'[2]Master Harga'!$E$5:$M$348,9,FALSE)</f>
        <v>1474.4455464375003</v>
      </c>
      <c r="U399" s="684">
        <f>$O399*T399</f>
        <v>7091493.3001458021</v>
      </c>
      <c r="V399" s="437">
        <f>W399/O399</f>
        <v>1427.6377513125001</v>
      </c>
      <c r="W399" s="307">
        <f>AVERAGEIF($P$3:$U$3,W$3,$P399:$U399)</f>
        <v>6866366.5287126014</v>
      </c>
      <c r="X399" s="545"/>
      <c r="Y399" s="437">
        <f t="shared" si="95"/>
        <v>16850.806245000003</v>
      </c>
      <c r="Z399" s="436"/>
    </row>
    <row r="400" spans="2:26" x14ac:dyDescent="0.35">
      <c r="B400" s="680"/>
      <c r="C400" s="681"/>
      <c r="D400" s="681"/>
      <c r="E400" s="682"/>
      <c r="F400" s="436"/>
      <c r="G400" s="579"/>
      <c r="H400" s="545"/>
      <c r="I400" s="580"/>
      <c r="J400" s="579"/>
      <c r="K400" s="439"/>
      <c r="L400" s="849"/>
      <c r="M400" s="552"/>
      <c r="N400" s="437"/>
      <c r="O400" s="545"/>
      <c r="P400" s="437"/>
      <c r="Q400" s="683"/>
      <c r="R400" s="683"/>
      <c r="S400" s="683"/>
      <c r="T400" s="684"/>
      <c r="U400" s="684"/>
      <c r="V400" s="684"/>
      <c r="W400" s="307"/>
      <c r="X400" s="545"/>
      <c r="Y400" s="437">
        <f t="shared" si="95"/>
        <v>0</v>
      </c>
      <c r="Z400" s="436"/>
    </row>
    <row r="401" spans="2:26" x14ac:dyDescent="0.35">
      <c r="B401" s="700"/>
      <c r="C401" s="357" t="s">
        <v>165</v>
      </c>
      <c r="E401" s="701"/>
      <c r="F401" s="436" t="s">
        <v>189</v>
      </c>
      <c r="G401" s="579" t="s">
        <v>190</v>
      </c>
      <c r="H401" s="545"/>
      <c r="I401" s="580"/>
      <c r="J401" s="579" t="s">
        <v>170</v>
      </c>
      <c r="K401" s="400">
        <v>1</v>
      </c>
      <c r="L401" s="849">
        <f t="shared" ref="L401:L402" si="98">$L$44</f>
        <v>400.8</v>
      </c>
      <c r="M401" s="552">
        <f>(1/500)*25</f>
        <v>0.05</v>
      </c>
      <c r="N401" s="437">
        <v>12</v>
      </c>
      <c r="O401" s="590">
        <f>K401*L401*M401*N401</f>
        <v>240.48000000000002</v>
      </c>
      <c r="P401" s="299">
        <f>VLOOKUP($F401,'[1]Master Harga'!$E$5:$L$351,8,FALSE)</f>
        <v>169122.61109699999</v>
      </c>
      <c r="Q401" s="683">
        <f>P401*$O401</f>
        <v>40670605.516606562</v>
      </c>
      <c r="R401" s="437">
        <f>VLOOKUP($F401,'[2]Master Harga'!$E$5:$M$348,8,FALSE)</f>
        <v>179635.86432000002</v>
      </c>
      <c r="S401" s="683">
        <f>R401*$O401</f>
        <v>43198832.651673608</v>
      </c>
      <c r="T401" s="437">
        <f>VLOOKUP($F401,'[2]Master Harga'!$E$5:$M$348,9,FALSE)</f>
        <v>197599.45075200003</v>
      </c>
      <c r="U401" s="684">
        <f>$O401*T401</f>
        <v>47518715.916840971</v>
      </c>
      <c r="V401" s="437">
        <f>W401/O401</f>
        <v>182119.30872300002</v>
      </c>
      <c r="W401" s="307">
        <f>AVERAGEIF($P$3:$U$3,W$3,$P401:$U401)</f>
        <v>43796051.361707047</v>
      </c>
      <c r="X401" s="545"/>
      <c r="Y401" s="437">
        <f t="shared" si="95"/>
        <v>101473.5666582</v>
      </c>
      <c r="Z401" s="436"/>
    </row>
    <row r="402" spans="2:26" x14ac:dyDescent="0.35">
      <c r="B402" s="700"/>
      <c r="E402" s="701"/>
      <c r="F402" s="436" t="s">
        <v>419</v>
      </c>
      <c r="G402" s="579" t="s">
        <v>341</v>
      </c>
      <c r="H402" s="545"/>
      <c r="I402" s="580"/>
      <c r="J402" s="579" t="s">
        <v>170</v>
      </c>
      <c r="K402" s="400">
        <v>1</v>
      </c>
      <c r="L402" s="849">
        <f t="shared" si="98"/>
        <v>400.8</v>
      </c>
      <c r="M402" s="804">
        <v>0.08</v>
      </c>
      <c r="N402" s="437">
        <v>12</v>
      </c>
      <c r="O402" s="590">
        <f>K402*L402*M402*N402</f>
        <v>384.76800000000003</v>
      </c>
      <c r="P402" s="299">
        <f>VLOOKUP($F402,'[1]Master Harga'!$E$5:$L$351,8,FALSE)</f>
        <v>23152.5</v>
      </c>
      <c r="Q402" s="683">
        <f>P402*$O402</f>
        <v>8908341.120000001</v>
      </c>
      <c r="R402" s="437">
        <f>VLOOKUP($F402,'[2]Master Harga'!$E$5:$M$348,8,FALSE)</f>
        <v>25194.240000000002</v>
      </c>
      <c r="S402" s="683">
        <f>R402*$O402</f>
        <v>9693937.3363200016</v>
      </c>
      <c r="T402" s="437">
        <f>VLOOKUP($F402,'[2]Master Harga'!$E$5:$M$348,9,FALSE)</f>
        <v>27209.779200000004</v>
      </c>
      <c r="U402" s="684">
        <f>$O402*T402</f>
        <v>10469452.323225603</v>
      </c>
      <c r="V402" s="437">
        <f>W402/O402</f>
        <v>25185.506400000002</v>
      </c>
      <c r="W402" s="307">
        <f>AVERAGEIF($P$3:$U$3,W$3,$P402:$U402)</f>
        <v>9690576.9265152011</v>
      </c>
      <c r="X402" s="545"/>
      <c r="Y402" s="437">
        <f t="shared" si="95"/>
        <v>22226.400000000001</v>
      </c>
      <c r="Z402" s="436"/>
    </row>
    <row r="403" spans="2:26" customFormat="1" x14ac:dyDescent="0.35">
      <c r="B403" s="753" t="s">
        <v>539</v>
      </c>
      <c r="C403" s="853"/>
      <c r="D403" s="853"/>
      <c r="E403" s="854"/>
      <c r="F403" s="668"/>
      <c r="G403" s="669"/>
      <c r="H403" s="670"/>
      <c r="I403" s="671"/>
      <c r="J403" s="669"/>
      <c r="K403" s="672"/>
      <c r="L403" s="876"/>
      <c r="M403" s="674"/>
      <c r="N403" s="675"/>
      <c r="O403" s="670"/>
      <c r="P403" s="676"/>
      <c r="Q403" s="756">
        <f>SUM(Q397:Q402)</f>
        <v>232925212.44211683</v>
      </c>
      <c r="R403" s="676"/>
      <c r="S403" s="756">
        <f>SUM(S394:S402)</f>
        <v>246351944.33377206</v>
      </c>
      <c r="T403" s="677"/>
      <c r="U403" s="677"/>
      <c r="V403" s="677"/>
      <c r="W403" s="677"/>
      <c r="X403" s="670"/>
      <c r="Y403" s="757">
        <f t="shared" si="95"/>
        <v>581150.72964600008</v>
      </c>
      <c r="Z403" s="877">
        <f t="shared" ref="Z403:Z404" si="99">(Y403/$Y$404)*100</f>
        <v>3.1021434002245805</v>
      </c>
    </row>
    <row r="404" spans="2:26" customFormat="1" x14ac:dyDescent="0.35">
      <c r="B404" s="753" t="s">
        <v>571</v>
      </c>
      <c r="C404" s="853"/>
      <c r="D404" s="853"/>
      <c r="E404" s="854"/>
      <c r="F404" s="668"/>
      <c r="G404" s="669"/>
      <c r="H404" s="670"/>
      <c r="I404" s="671"/>
      <c r="J404" s="669"/>
      <c r="K404" s="672"/>
      <c r="L404" s="876"/>
      <c r="M404" s="674"/>
      <c r="N404" s="675"/>
      <c r="O404" s="670"/>
      <c r="P404" s="676"/>
      <c r="Q404" s="756">
        <f>Q35+Q57+Q175+Q200+Q276+Q286+Q326+Q386+Q403</f>
        <v>7508524990.3422956</v>
      </c>
      <c r="R404" s="676"/>
      <c r="S404" s="756">
        <f>SUM(S395:S403)</f>
        <v>492703888.66754413</v>
      </c>
      <c r="T404" s="677"/>
      <c r="U404" s="677"/>
      <c r="V404" s="677"/>
      <c r="W404" s="677"/>
      <c r="X404" s="670"/>
      <c r="Y404" s="757">
        <f t="shared" si="95"/>
        <v>18733844.786283173</v>
      </c>
      <c r="Z404" s="877">
        <f t="shared" si="99"/>
        <v>100</v>
      </c>
    </row>
    <row r="405" spans="2:26" x14ac:dyDescent="0.35">
      <c r="X405" s="661"/>
      <c r="Y405" s="953"/>
    </row>
    <row r="406" spans="2:26" x14ac:dyDescent="0.35">
      <c r="Q406" s="952"/>
    </row>
    <row r="407" spans="2:26" x14ac:dyDescent="0.35">
      <c r="Q407" s="936"/>
      <c r="S407" s="936"/>
      <c r="U407" s="936"/>
      <c r="W407" s="936">
        <f>'[2]SI TBM 2'!W362</f>
        <v>10254549.162970908</v>
      </c>
    </row>
    <row r="408" spans="2:26" x14ac:dyDescent="0.35">
      <c r="Q408" s="936"/>
      <c r="S408" s="936"/>
      <c r="U408" s="936"/>
      <c r="W408" s="936">
        <f>'[2]SI TBM 1'!W362</f>
        <v>8517978.393289011</v>
      </c>
    </row>
    <row r="409" spans="2:26" x14ac:dyDescent="0.35">
      <c r="Q409" s="936"/>
      <c r="S409" s="936"/>
      <c r="U409" s="936"/>
      <c r="W409" s="936" t="e">
        <f>'[2]SI TB'!#REF!</f>
        <v>#REF!</v>
      </c>
    </row>
    <row r="410" spans="2:26" x14ac:dyDescent="0.35">
      <c r="Q410" s="936"/>
      <c r="S410" s="936"/>
      <c r="U410" s="936"/>
      <c r="W410" s="936" t="e">
        <f>'[2]SI TB'!#REF!</f>
        <v>#REF!</v>
      </c>
    </row>
    <row r="411" spans="2:26" x14ac:dyDescent="0.35">
      <c r="Q411" s="936"/>
      <c r="S411" s="936"/>
      <c r="U411" s="936"/>
      <c r="W411" s="936">
        <f>'[2]SI TB'!W271</f>
        <v>14390858.77003853</v>
      </c>
    </row>
    <row r="412" spans="2:26" x14ac:dyDescent="0.35">
      <c r="W412" s="936" t="e">
        <f>SUM(W404:W411)</f>
        <v>#REF!</v>
      </c>
    </row>
  </sheetData>
  <mergeCells count="58">
    <mergeCell ref="B403:E403"/>
    <mergeCell ref="B404:E404"/>
    <mergeCell ref="B348:E348"/>
    <mergeCell ref="B358:E358"/>
    <mergeCell ref="B368:E368"/>
    <mergeCell ref="B374:E374"/>
    <mergeCell ref="B385:E385"/>
    <mergeCell ref="B386:E386"/>
    <mergeCell ref="B290:E290"/>
    <mergeCell ref="B301:E301"/>
    <mergeCell ref="B319:E319"/>
    <mergeCell ref="K322:K324"/>
    <mergeCell ref="B326:E326"/>
    <mergeCell ref="B338:E338"/>
    <mergeCell ref="B199:E199"/>
    <mergeCell ref="B200:E200"/>
    <mergeCell ref="B232:E232"/>
    <mergeCell ref="B259:E259"/>
    <mergeCell ref="B276:E276"/>
    <mergeCell ref="B286:E286"/>
    <mergeCell ref="B127:E127"/>
    <mergeCell ref="B174:E174"/>
    <mergeCell ref="B175:E175"/>
    <mergeCell ref="B181:E181"/>
    <mergeCell ref="B187:E187"/>
    <mergeCell ref="B194:E194"/>
    <mergeCell ref="B47:E47"/>
    <mergeCell ref="B57:E57"/>
    <mergeCell ref="B63:E63"/>
    <mergeCell ref="B71:E71"/>
    <mergeCell ref="B85:E85"/>
    <mergeCell ref="B111:E111"/>
    <mergeCell ref="S3:S4"/>
    <mergeCell ref="T3:T4"/>
    <mergeCell ref="U3:U4"/>
    <mergeCell ref="V3:V4"/>
    <mergeCell ref="W3:W4"/>
    <mergeCell ref="B35:E35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45" right="0.2" top="0" bottom="0" header="0.3" footer="0.2"/>
  <pageSetup paperSize="9" scale="65" orientation="landscape" r:id="rId1"/>
  <rowBreaks count="5" manualBreakCount="5">
    <brk id="111" max="25" man="1"/>
    <brk id="194" max="25" man="1"/>
    <brk id="264" max="25" man="1"/>
    <brk id="326" max="25" man="1"/>
    <brk id="374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RKP</vt:lpstr>
      <vt:lpstr>REKAP BIAYA</vt:lpstr>
      <vt:lpstr>SI TB LC</vt:lpstr>
      <vt:lpstr>S1 TBM 1</vt:lpstr>
      <vt:lpstr>S1 TBM 2</vt:lpstr>
      <vt:lpstr>S1 TBM 3</vt:lpstr>
      <vt:lpstr>'REKAP BIAYA'!Print_Area</vt:lpstr>
      <vt:lpstr>RKP!Print_Area</vt:lpstr>
      <vt:lpstr>'S1 TBM 1'!Print_Area</vt:lpstr>
      <vt:lpstr>'S1 TBM 2'!Print_Area</vt:lpstr>
      <vt:lpstr>'S1 TBM 3'!Print_Area</vt:lpstr>
      <vt:lpstr>'SI TB LC'!Print_Area</vt:lpstr>
      <vt:lpstr>'S1 TBM 1'!Print_Titles</vt:lpstr>
      <vt:lpstr>'S1 TBM 2'!Print_Titles</vt:lpstr>
      <vt:lpstr>'S1 TBM 3'!Print_Titles</vt:lpstr>
      <vt:lpstr>'SI TB LC'!Print_Titles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INTEL i5</dc:creator>
  <cp:lastModifiedBy>LENOVO INTEL i5</cp:lastModifiedBy>
  <dcterms:created xsi:type="dcterms:W3CDTF">2026-08-26T02:37:32Z</dcterms:created>
  <dcterms:modified xsi:type="dcterms:W3CDTF">2026-08-26T06:05:08Z</dcterms:modified>
</cp:coreProperties>
</file>