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antor\RKP\Dermaga Site Satui\"/>
    </mc:Choice>
  </mc:AlternateContent>
  <xr:revisionPtr revIDLastSave="0" documentId="13_ncr:1_{7635300B-DE32-4A22-B9C3-995EAD1B8613}" xr6:coauthVersionLast="47" xr6:coauthVersionMax="47" xr10:uidLastSave="{00000000-0000-0000-0000-000000000000}"/>
  <bookViews>
    <workbookView xWindow="-110" yWindow="-110" windowWidth="19420" windowHeight="10300" tabRatio="898" activeTab="1" xr2:uid="{00000000-000D-0000-FFFF-FFFF00000000}"/>
  </bookViews>
  <sheets>
    <sheet name="Lembar Pengesahan" sheetId="99" r:id="rId1"/>
    <sheet name="RKP Dermaga T2 Global - Nex" sheetId="87" r:id="rId2"/>
    <sheet name="RKP CIVIL WORK" sheetId="98" r:id="rId3"/>
    <sheet name="RKP Mekanikal" sheetId="96" r:id="rId4"/>
    <sheet name="RKP Elektrikal" sheetId="97" r:id="rId5"/>
    <sheet name="Realisasi (2)" sheetId="95" state="hidden" r:id="rId6"/>
    <sheet name="Sheet1" sheetId="93" state="hidden" r:id="rId7"/>
    <sheet name="db" sheetId="92" r:id="rId8"/>
  </sheets>
  <definedNames>
    <definedName name="_xlnm._FilterDatabase" localSheetId="7" hidden="1">db!$A$3:$K$1714</definedName>
    <definedName name="_xlnm._FilterDatabase" localSheetId="5" hidden="1">'Realisasi (2)'!$B$7:$BF$209</definedName>
    <definedName name="_xlnm._FilterDatabase" localSheetId="1" hidden="1">'RKP Dermaga T2 Global - Nex'!$B$6:$AJ$280</definedName>
    <definedName name="db_Bln">db!$I:$I</definedName>
    <definedName name="db_Kode">db!$J:$J</definedName>
    <definedName name="db_Sum">db!$H:$H</definedName>
    <definedName name="_xlnm.Print_Area" localSheetId="0">'Lembar Pengesahan'!$C$2:$F$41</definedName>
    <definedName name="_xlnm.Print_Area" localSheetId="5">'Realisasi (2)'!$A$1:$N$206</definedName>
    <definedName name="_xlnm.Print_Area" localSheetId="1">'RKP Dermaga T2 Global - Nex'!$B$1:$F$282</definedName>
    <definedName name="_xlnm.Print_Area" localSheetId="3">'RKP Mekanikal'!$B$3:$K$166</definedName>
    <definedName name="_xlnm.Print_Titles" localSheetId="1">'RKP Dermaga T2 Global - Nex'!$6:$9</definedName>
    <definedName name="_xlnm.Print_Titles" localSheetId="3">'RKP Mekanikal'!$7:$9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5" i="87" l="1"/>
  <c r="F214" i="87"/>
  <c r="F285" i="87" s="1"/>
  <c r="F177" i="87"/>
  <c r="F211" i="87"/>
  <c r="F142" i="87"/>
  <c r="F200" i="87"/>
  <c r="F212" i="87"/>
  <c r="F213" i="87"/>
  <c r="F248" i="87"/>
  <c r="F190" i="87" l="1"/>
  <c r="F284" i="87"/>
  <c r="F206" i="87"/>
  <c r="F67" i="87"/>
  <c r="F242" i="87"/>
  <c r="C4" i="99"/>
  <c r="B198" i="87"/>
  <c r="B200" i="87" s="1"/>
  <c r="B206" i="87" s="1"/>
  <c r="H190" i="87"/>
  <c r="G190" i="87"/>
  <c r="F53" i="87"/>
  <c r="F218" i="87" l="1"/>
  <c r="F236" i="87"/>
  <c r="W316" i="97"/>
  <c r="W315" i="97"/>
  <c r="W314" i="97"/>
  <c r="W313" i="97"/>
  <c r="W312" i="97"/>
  <c r="W311" i="97"/>
  <c r="W310" i="97"/>
  <c r="W303" i="97"/>
  <c r="W302" i="97"/>
  <c r="W301" i="97"/>
  <c r="W300" i="97"/>
  <c r="W299" i="97"/>
  <c r="W298" i="97"/>
  <c r="W297" i="97"/>
  <c r="W283" i="97"/>
  <c r="W282" i="97"/>
  <c r="W281" i="97"/>
  <c r="V274" i="97"/>
  <c r="N274" i="97"/>
  <c r="W274" i="97" s="1"/>
  <c r="V264" i="97"/>
  <c r="N264" i="97"/>
  <c r="V258" i="97"/>
  <c r="N258" i="97"/>
  <c r="V252" i="97"/>
  <c r="N252" i="97"/>
  <c r="W242" i="97"/>
  <c r="W240" i="97"/>
  <c r="W239" i="97"/>
  <c r="W238" i="97"/>
  <c r="W237" i="97"/>
  <c r="W236" i="97"/>
  <c r="W235" i="97"/>
  <c r="W234" i="97"/>
  <c r="W227" i="97"/>
  <c r="W226" i="97"/>
  <c r="W225" i="97"/>
  <c r="W224" i="97"/>
  <c r="W223" i="97"/>
  <c r="W222" i="97"/>
  <c r="W221" i="97"/>
  <c r="W220" i="97"/>
  <c r="L220" i="97"/>
  <c r="L221" i="97" s="1"/>
  <c r="L222" i="97" s="1"/>
  <c r="L223" i="97" s="1"/>
  <c r="L224" i="97" s="1"/>
  <c r="L225" i="97" s="1"/>
  <c r="L226" i="97" s="1"/>
  <c r="L227" i="97" s="1"/>
  <c r="W219" i="97"/>
  <c r="O210" i="97"/>
  <c r="O14" i="97" s="1"/>
  <c r="AB208" i="97"/>
  <c r="Y208" i="97"/>
  <c r="AB207" i="97"/>
  <c r="Y207" i="97"/>
  <c r="AB206" i="97"/>
  <c r="Y206" i="97"/>
  <c r="P206" i="97"/>
  <c r="N206" i="97"/>
  <c r="AB205" i="97"/>
  <c r="Y205" i="97"/>
  <c r="AB204" i="97"/>
  <c r="Y204" i="97"/>
  <c r="P204" i="97"/>
  <c r="N204" i="97"/>
  <c r="AB203" i="97"/>
  <c r="Y203" i="97"/>
  <c r="AB202" i="97"/>
  <c r="Y202" i="97"/>
  <c r="P202" i="97"/>
  <c r="N202" i="97"/>
  <c r="AB201" i="97"/>
  <c r="Y201" i="97"/>
  <c r="AB200" i="97"/>
  <c r="Y200" i="97"/>
  <c r="P200" i="97"/>
  <c r="N200" i="97"/>
  <c r="AB199" i="97"/>
  <c r="Y199" i="97"/>
  <c r="AB198" i="97"/>
  <c r="Y198" i="97"/>
  <c r="P198" i="97"/>
  <c r="N198" i="97"/>
  <c r="AB197" i="97"/>
  <c r="Y197" i="97"/>
  <c r="AB196" i="97"/>
  <c r="Y196" i="97"/>
  <c r="P196" i="97"/>
  <c r="N196" i="97"/>
  <c r="AB195" i="97"/>
  <c r="Y195" i="97"/>
  <c r="AB194" i="97"/>
  <c r="Y194" i="97"/>
  <c r="P194" i="97"/>
  <c r="N194" i="97"/>
  <c r="AB193" i="97"/>
  <c r="Y193" i="97"/>
  <c r="AB192" i="97"/>
  <c r="Y192" i="97"/>
  <c r="P192" i="97"/>
  <c r="P17" i="97" s="1"/>
  <c r="N192" i="97"/>
  <c r="N17" i="97" s="1"/>
  <c r="AB191" i="97"/>
  <c r="Y191" i="97"/>
  <c r="AB190" i="97"/>
  <c r="Y190" i="97"/>
  <c r="P190" i="97"/>
  <c r="P16" i="97" s="1"/>
  <c r="N190" i="97"/>
  <c r="N16" i="97" s="1"/>
  <c r="AB189" i="97"/>
  <c r="Y189" i="97"/>
  <c r="P189" i="97"/>
  <c r="N189" i="97"/>
  <c r="AB188" i="97"/>
  <c r="Y188" i="97"/>
  <c r="P188" i="97"/>
  <c r="N188" i="97"/>
  <c r="AB187" i="97"/>
  <c r="Y187" i="97"/>
  <c r="AB186" i="97"/>
  <c r="Y186" i="97"/>
  <c r="P186" i="97"/>
  <c r="N186" i="97"/>
  <c r="AB185" i="97"/>
  <c r="Y185" i="97"/>
  <c r="AB184" i="97"/>
  <c r="Y184" i="97"/>
  <c r="P184" i="97"/>
  <c r="N184" i="97"/>
  <c r="AB183" i="97"/>
  <c r="Y183" i="97"/>
  <c r="AB182" i="97"/>
  <c r="Y182" i="97"/>
  <c r="P182" i="97"/>
  <c r="N182" i="97"/>
  <c r="AB181" i="97"/>
  <c r="Y181" i="97"/>
  <c r="AB180" i="97"/>
  <c r="Y180" i="97"/>
  <c r="P180" i="97"/>
  <c r="N180" i="97"/>
  <c r="AB179" i="97"/>
  <c r="Y179" i="97"/>
  <c r="AB178" i="97"/>
  <c r="Y178" i="97"/>
  <c r="P178" i="97"/>
  <c r="N178" i="97"/>
  <c r="AB177" i="97"/>
  <c r="Y177" i="97"/>
  <c r="AB176" i="97"/>
  <c r="Y176" i="97"/>
  <c r="P176" i="97"/>
  <c r="N176" i="97"/>
  <c r="AB175" i="97"/>
  <c r="Y175" i="97"/>
  <c r="AB174" i="97"/>
  <c r="Y174" i="97"/>
  <c r="P174" i="97"/>
  <c r="N174" i="97"/>
  <c r="AB173" i="97"/>
  <c r="Y173" i="97"/>
  <c r="AB172" i="97"/>
  <c r="Y172" i="97"/>
  <c r="P172" i="97"/>
  <c r="N172" i="97"/>
  <c r="AB171" i="97"/>
  <c r="Y171" i="97"/>
  <c r="AB170" i="97"/>
  <c r="Y170" i="97"/>
  <c r="P170" i="97"/>
  <c r="N170" i="97"/>
  <c r="AB169" i="97"/>
  <c r="Y169" i="97"/>
  <c r="P169" i="97"/>
  <c r="N169" i="97"/>
  <c r="AB168" i="97"/>
  <c r="Y168" i="97"/>
  <c r="P168" i="97"/>
  <c r="N168" i="97"/>
  <c r="O165" i="97"/>
  <c r="O13" i="97" s="1"/>
  <c r="AB163" i="97"/>
  <c r="Y163" i="97"/>
  <c r="AB162" i="97"/>
  <c r="Y162" i="97"/>
  <c r="P162" i="97"/>
  <c r="N162" i="97"/>
  <c r="AB161" i="97"/>
  <c r="Y161" i="97"/>
  <c r="AB160" i="97"/>
  <c r="Y160" i="97"/>
  <c r="P160" i="97"/>
  <c r="N160" i="97"/>
  <c r="AB159" i="97"/>
  <c r="Y159" i="97"/>
  <c r="AB158" i="97"/>
  <c r="Y158" i="97"/>
  <c r="P158" i="97"/>
  <c r="N158" i="97"/>
  <c r="AB157" i="97"/>
  <c r="Y157" i="97"/>
  <c r="AB156" i="97"/>
  <c r="Y156" i="97"/>
  <c r="P156" i="97"/>
  <c r="N156" i="97"/>
  <c r="AB155" i="97"/>
  <c r="Y155" i="97"/>
  <c r="AB154" i="97"/>
  <c r="Y154" i="97"/>
  <c r="P154" i="97"/>
  <c r="N154" i="97"/>
  <c r="AB153" i="97"/>
  <c r="Y153" i="97"/>
  <c r="P153" i="97"/>
  <c r="N153" i="97"/>
  <c r="AB152" i="97"/>
  <c r="Y152" i="97"/>
  <c r="P152" i="97"/>
  <c r="N152" i="97"/>
  <c r="AB150" i="97"/>
  <c r="Y150" i="97"/>
  <c r="P150" i="97"/>
  <c r="N150" i="97"/>
  <c r="R149" i="97"/>
  <c r="AB149" i="97" s="1"/>
  <c r="R148" i="97"/>
  <c r="AB148" i="97" s="1"/>
  <c r="P148" i="97"/>
  <c r="N148" i="97"/>
  <c r="R147" i="97"/>
  <c r="AB147" i="97" s="1"/>
  <c r="R146" i="97"/>
  <c r="Y146" i="97" s="1"/>
  <c r="P146" i="97"/>
  <c r="N146" i="97"/>
  <c r="AB145" i="97"/>
  <c r="Y145" i="97"/>
  <c r="P145" i="97"/>
  <c r="N145" i="97"/>
  <c r="AB144" i="97"/>
  <c r="Y144" i="97"/>
  <c r="P144" i="97"/>
  <c r="N144" i="97"/>
  <c r="AB143" i="97"/>
  <c r="Y143" i="97"/>
  <c r="P143" i="97"/>
  <c r="N143" i="97"/>
  <c r="AB142" i="97"/>
  <c r="Y142" i="97"/>
  <c r="P142" i="97"/>
  <c r="N142" i="97"/>
  <c r="AB141" i="97"/>
  <c r="Y141" i="97"/>
  <c r="P141" i="97"/>
  <c r="N141" i="97"/>
  <c r="AB140" i="97"/>
  <c r="Y140" i="97"/>
  <c r="P140" i="97"/>
  <c r="N140" i="97"/>
  <c r="AB139" i="97"/>
  <c r="Y139" i="97"/>
  <c r="AB138" i="97"/>
  <c r="Y138" i="97"/>
  <c r="P138" i="97"/>
  <c r="N138" i="97"/>
  <c r="AB137" i="97"/>
  <c r="Y137" i="97"/>
  <c r="AB136" i="97"/>
  <c r="Y136" i="97"/>
  <c r="P136" i="97"/>
  <c r="N136" i="97"/>
  <c r="AB135" i="97"/>
  <c r="Y135" i="97"/>
  <c r="AB134" i="97"/>
  <c r="Y134" i="97"/>
  <c r="P134" i="97"/>
  <c r="N134" i="97"/>
  <c r="R133" i="97"/>
  <c r="AB133" i="97" s="1"/>
  <c r="P133" i="97"/>
  <c r="N133" i="97"/>
  <c r="R132" i="97"/>
  <c r="AB132" i="97" s="1"/>
  <c r="P132" i="97"/>
  <c r="N132" i="97"/>
  <c r="P131" i="97"/>
  <c r="N131" i="97"/>
  <c r="P130" i="97"/>
  <c r="N130" i="97"/>
  <c r="R129" i="97"/>
  <c r="Y129" i="97" s="1"/>
  <c r="P129" i="97"/>
  <c r="N129" i="97"/>
  <c r="R128" i="97"/>
  <c r="R130" i="97" s="1"/>
  <c r="Y130" i="97" s="1"/>
  <c r="P128" i="97"/>
  <c r="N128" i="97"/>
  <c r="AB127" i="97"/>
  <c r="Y127" i="97"/>
  <c r="P127" i="97"/>
  <c r="N127" i="97"/>
  <c r="AB126" i="97"/>
  <c r="Y126" i="97"/>
  <c r="P126" i="97"/>
  <c r="N126" i="97"/>
  <c r="AB125" i="97"/>
  <c r="Y125" i="97"/>
  <c r="P125" i="97"/>
  <c r="N125" i="97"/>
  <c r="AB124" i="97"/>
  <c r="Y124" i="97"/>
  <c r="P124" i="97"/>
  <c r="N124" i="97"/>
  <c r="AB123" i="97"/>
  <c r="Y123" i="97"/>
  <c r="P123" i="97"/>
  <c r="N123" i="97"/>
  <c r="AB122" i="97"/>
  <c r="Y122" i="97"/>
  <c r="P122" i="97"/>
  <c r="N122" i="97"/>
  <c r="AB121" i="97"/>
  <c r="Y121" i="97"/>
  <c r="P121" i="97"/>
  <c r="N121" i="97"/>
  <c r="AB120" i="97"/>
  <c r="Y120" i="97"/>
  <c r="P120" i="97"/>
  <c r="N120" i="97"/>
  <c r="AB119" i="97"/>
  <c r="Y119" i="97"/>
  <c r="P119" i="97"/>
  <c r="N119" i="97"/>
  <c r="AB118" i="97"/>
  <c r="Y118" i="97"/>
  <c r="P118" i="97"/>
  <c r="N118" i="97"/>
  <c r="AB117" i="97"/>
  <c r="Y117" i="97"/>
  <c r="P117" i="97"/>
  <c r="N117" i="97"/>
  <c r="R116" i="97"/>
  <c r="AB116" i="97" s="1"/>
  <c r="P116" i="97"/>
  <c r="N116" i="97"/>
  <c r="AB115" i="97"/>
  <c r="Y115" i="97"/>
  <c r="AB114" i="97"/>
  <c r="Y114" i="97"/>
  <c r="P114" i="97"/>
  <c r="N114" i="97"/>
  <c r="O112" i="97"/>
  <c r="O12" i="97" s="1"/>
  <c r="AB110" i="97"/>
  <c r="Y110" i="97"/>
  <c r="P110" i="97"/>
  <c r="N110" i="97"/>
  <c r="AB109" i="97"/>
  <c r="Y109" i="97"/>
  <c r="AB108" i="97"/>
  <c r="Y108" i="97"/>
  <c r="P108" i="97"/>
  <c r="N108" i="97"/>
  <c r="AB107" i="97"/>
  <c r="Y107" i="97"/>
  <c r="P107" i="97"/>
  <c r="N107" i="97"/>
  <c r="AB106" i="97"/>
  <c r="Y106" i="97"/>
  <c r="P106" i="97"/>
  <c r="N106" i="97"/>
  <c r="AB105" i="97"/>
  <c r="Y105" i="97"/>
  <c r="AB104" i="97"/>
  <c r="Y104" i="97"/>
  <c r="P104" i="97"/>
  <c r="P22" i="97" s="1"/>
  <c r="N104" i="97"/>
  <c r="N22" i="97" s="1"/>
  <c r="AB103" i="97"/>
  <c r="Y103" i="97"/>
  <c r="AB102" i="97"/>
  <c r="Y102" i="97"/>
  <c r="P102" i="97"/>
  <c r="P21" i="97" s="1"/>
  <c r="N102" i="97"/>
  <c r="N21" i="97" s="1"/>
  <c r="AB101" i="97"/>
  <c r="Y101" i="97"/>
  <c r="AB100" i="97"/>
  <c r="Y100" i="97"/>
  <c r="P100" i="97"/>
  <c r="N100" i="97"/>
  <c r="N20" i="97" s="1"/>
  <c r="O97" i="97"/>
  <c r="AB94" i="97"/>
  <c r="Y94" i="97"/>
  <c r="P94" i="97"/>
  <c r="N94" i="97"/>
  <c r="AB93" i="97"/>
  <c r="Y93" i="97"/>
  <c r="P93" i="97"/>
  <c r="N93" i="97"/>
  <c r="AB92" i="97"/>
  <c r="Y92" i="97"/>
  <c r="P92" i="97"/>
  <c r="N92" i="97"/>
  <c r="AB91" i="97"/>
  <c r="Y91" i="97"/>
  <c r="P91" i="97"/>
  <c r="N91" i="97"/>
  <c r="AB90" i="97"/>
  <c r="Y90" i="97"/>
  <c r="P90" i="97"/>
  <c r="N90" i="97"/>
  <c r="AB89" i="97"/>
  <c r="Y89" i="97"/>
  <c r="P89" i="97"/>
  <c r="N89" i="97"/>
  <c r="AB88" i="97"/>
  <c r="Y88" i="97"/>
  <c r="P88" i="97"/>
  <c r="N88" i="97"/>
  <c r="AB87" i="97"/>
  <c r="Y87" i="97"/>
  <c r="AB86" i="97"/>
  <c r="Y86" i="97"/>
  <c r="P86" i="97"/>
  <c r="N86" i="97"/>
  <c r="AB85" i="97"/>
  <c r="Y85" i="97"/>
  <c r="AB84" i="97"/>
  <c r="Y84" i="97"/>
  <c r="P84" i="97"/>
  <c r="N84" i="97"/>
  <c r="R83" i="97"/>
  <c r="AB83" i="97" s="1"/>
  <c r="P83" i="97"/>
  <c r="N83" i="97"/>
  <c r="AB82" i="97"/>
  <c r="Y82" i="97"/>
  <c r="P81" i="97"/>
  <c r="N81" i="97"/>
  <c r="R80" i="97"/>
  <c r="P80" i="97"/>
  <c r="N80" i="97"/>
  <c r="AB79" i="97"/>
  <c r="Y79" i="97"/>
  <c r="P79" i="97"/>
  <c r="N79" i="97"/>
  <c r="AB78" i="97"/>
  <c r="Y78" i="97"/>
  <c r="P78" i="97"/>
  <c r="N78" i="97"/>
  <c r="P76" i="97"/>
  <c r="N76" i="97"/>
  <c r="R75" i="97"/>
  <c r="R77" i="97" s="1"/>
  <c r="R74" i="97"/>
  <c r="AB74" i="97" s="1"/>
  <c r="P74" i="97"/>
  <c r="N74" i="97"/>
  <c r="O71" i="97"/>
  <c r="O10" i="97" s="1"/>
  <c r="AB68" i="97"/>
  <c r="Y68" i="97"/>
  <c r="P68" i="97"/>
  <c r="N68" i="97"/>
  <c r="AB67" i="97"/>
  <c r="Y67" i="97"/>
  <c r="AB66" i="97"/>
  <c r="Y66" i="97"/>
  <c r="P66" i="97"/>
  <c r="N66" i="97"/>
  <c r="AB65" i="97"/>
  <c r="Y65" i="97"/>
  <c r="AB64" i="97"/>
  <c r="Y64" i="97"/>
  <c r="P64" i="97"/>
  <c r="N64" i="97"/>
  <c r="AB63" i="97"/>
  <c r="Y63" i="97"/>
  <c r="AB62" i="97"/>
  <c r="Y62" i="97"/>
  <c r="P62" i="97"/>
  <c r="N62" i="97"/>
  <c r="AB61" i="97"/>
  <c r="Y61" i="97"/>
  <c r="AB60" i="97"/>
  <c r="Y60" i="97"/>
  <c r="P60" i="97"/>
  <c r="N60" i="97"/>
  <c r="AB59" i="97"/>
  <c r="Y59" i="97"/>
  <c r="P59" i="97"/>
  <c r="N59" i="97"/>
  <c r="AB58" i="97"/>
  <c r="Y58" i="97"/>
  <c r="P58" i="97"/>
  <c r="N58" i="97"/>
  <c r="Y57" i="97"/>
  <c r="AB56" i="97"/>
  <c r="Y56" i="97"/>
  <c r="P56" i="97"/>
  <c r="N56" i="97"/>
  <c r="R55" i="97"/>
  <c r="AB55" i="97" s="1"/>
  <c r="R54" i="97"/>
  <c r="R69" i="97" s="1"/>
  <c r="P54" i="97"/>
  <c r="N54" i="97"/>
  <c r="AB53" i="97"/>
  <c r="Y53" i="97"/>
  <c r="P53" i="97"/>
  <c r="N53" i="97"/>
  <c r="AB52" i="97"/>
  <c r="Y52" i="97"/>
  <c r="AB51" i="97"/>
  <c r="Y51" i="97"/>
  <c r="P51" i="97"/>
  <c r="N51" i="97"/>
  <c r="AB50" i="97"/>
  <c r="Y50" i="97"/>
  <c r="AB49" i="97"/>
  <c r="Y49" i="97"/>
  <c r="P49" i="97"/>
  <c r="N49" i="97"/>
  <c r="O46" i="97"/>
  <c r="R44" i="97"/>
  <c r="Y44" i="97" s="1"/>
  <c r="AB43" i="97"/>
  <c r="Y43" i="97"/>
  <c r="AB42" i="97"/>
  <c r="Y42" i="97"/>
  <c r="P42" i="97"/>
  <c r="N42" i="97"/>
  <c r="AB41" i="97"/>
  <c r="Y41" i="97"/>
  <c r="AB40" i="97"/>
  <c r="Y40" i="97"/>
  <c r="P40" i="97"/>
  <c r="N40" i="97"/>
  <c r="AB39" i="97"/>
  <c r="Y39" i="97"/>
  <c r="P39" i="97"/>
  <c r="N39" i="97"/>
  <c r="AB38" i="97"/>
  <c r="Y38" i="97"/>
  <c r="P38" i="97"/>
  <c r="N38" i="97"/>
  <c r="AB29" i="97"/>
  <c r="AB28" i="97"/>
  <c r="AB27" i="97"/>
  <c r="AB26" i="97"/>
  <c r="AB25" i="97"/>
  <c r="AB24" i="97"/>
  <c r="AB23" i="97"/>
  <c r="AB22" i="97"/>
  <c r="O22" i="97"/>
  <c r="AB21" i="97"/>
  <c r="O21" i="97"/>
  <c r="AB20" i="97"/>
  <c r="O20" i="97"/>
  <c r="AB19" i="97"/>
  <c r="AB18" i="97"/>
  <c r="P18" i="97"/>
  <c r="O18" i="97"/>
  <c r="N18" i="97"/>
  <c r="AB17" i="97"/>
  <c r="O17" i="97"/>
  <c r="AB16" i="97"/>
  <c r="O16" i="97"/>
  <c r="AB15" i="97"/>
  <c r="AB14" i="97"/>
  <c r="AB13" i="97"/>
  <c r="R12" i="97"/>
  <c r="AB12" i="97" s="1"/>
  <c r="R11" i="97"/>
  <c r="AB11" i="97" s="1"/>
  <c r="O11" i="97"/>
  <c r="R10" i="97"/>
  <c r="AB10" i="97" s="1"/>
  <c r="R9" i="97"/>
  <c r="AB9" i="97" s="1"/>
  <c r="L9" i="97"/>
  <c r="L10" i="97" s="1"/>
  <c r="L11" i="97" s="1"/>
  <c r="L12" i="97" s="1"/>
  <c r="L13" i="97" s="1"/>
  <c r="L14" i="97" s="1"/>
  <c r="L15" i="97" s="1"/>
  <c r="L16" i="97" s="1"/>
  <c r="L17" i="97" s="1"/>
  <c r="L18" i="97" s="1"/>
  <c r="L19" i="97" s="1"/>
  <c r="L20" i="97" s="1"/>
  <c r="L21" i="97" s="1"/>
  <c r="L22" i="97" s="1"/>
  <c r="L23" i="97" s="1"/>
  <c r="L24" i="97" s="1"/>
  <c r="L25" i="97" s="1"/>
  <c r="L26" i="97" s="1"/>
  <c r="L27" i="97" s="1"/>
  <c r="L28" i="97" s="1"/>
  <c r="L29" i="97" s="1"/>
  <c r="I11" i="97"/>
  <c r="I12" i="97" s="1"/>
  <c r="I16" i="97"/>
  <c r="I17" i="97"/>
  <c r="F246" i="87" l="1"/>
  <c r="V228" i="97"/>
  <c r="V229" i="97" s="1"/>
  <c r="H25" i="97" s="1"/>
  <c r="I25" i="97" s="1"/>
  <c r="V317" i="97"/>
  <c r="V318" i="97" s="1"/>
  <c r="H29" i="97" s="1"/>
  <c r="I29" i="97" s="1"/>
  <c r="W252" i="97"/>
  <c r="V304" i="97"/>
  <c r="V305" i="97" s="1"/>
  <c r="H27" i="97" s="1"/>
  <c r="I27" i="97" s="1"/>
  <c r="Y133" i="97"/>
  <c r="W258" i="97"/>
  <c r="W264" i="97"/>
  <c r="V243" i="97"/>
  <c r="V244" i="97" s="1"/>
  <c r="H26" i="97" s="1"/>
  <c r="I26" i="97" s="1"/>
  <c r="Y54" i="97"/>
  <c r="Y74" i="97"/>
  <c r="AB128" i="97"/>
  <c r="P210" i="97"/>
  <c r="P14" i="97" s="1"/>
  <c r="AB54" i="97"/>
  <c r="Y148" i="97"/>
  <c r="Y128" i="97"/>
  <c r="AB129" i="97"/>
  <c r="N46" i="97"/>
  <c r="N9" i="97" s="1"/>
  <c r="Y83" i="97"/>
  <c r="P46" i="97"/>
  <c r="P9" i="97" s="1"/>
  <c r="Y116" i="97"/>
  <c r="P112" i="97"/>
  <c r="P12" i="97" s="1"/>
  <c r="AB112" i="97"/>
  <c r="AB210" i="97"/>
  <c r="N112" i="97"/>
  <c r="N12" i="97" s="1"/>
  <c r="P20" i="97"/>
  <c r="N165" i="97"/>
  <c r="N13" i="97" s="1"/>
  <c r="P165" i="97"/>
  <c r="P13" i="97" s="1"/>
  <c r="AB44" i="97"/>
  <c r="AB46" i="97" s="1"/>
  <c r="N97" i="97"/>
  <c r="N11" i="97" s="1"/>
  <c r="Y55" i="97"/>
  <c r="O213" i="97"/>
  <c r="N210" i="97"/>
  <c r="N14" i="97" s="1"/>
  <c r="N71" i="97"/>
  <c r="N10" i="97" s="1"/>
  <c r="P71" i="97"/>
  <c r="P10" i="97" s="1"/>
  <c r="P97" i="97"/>
  <c r="P11" i="97" s="1"/>
  <c r="AB146" i="97"/>
  <c r="AB77" i="97"/>
  <c r="Y77" i="97"/>
  <c r="AA30" i="97"/>
  <c r="AA31" i="97" s="1"/>
  <c r="H23" i="97" s="1"/>
  <c r="I23" i="97" s="1"/>
  <c r="AB69" i="97"/>
  <c r="Y69" i="97"/>
  <c r="AB130" i="97"/>
  <c r="Y147" i="97"/>
  <c r="Y75" i="97"/>
  <c r="AB75" i="97"/>
  <c r="R131" i="97"/>
  <c r="R76" i="97"/>
  <c r="O9" i="97"/>
  <c r="Y80" i="97"/>
  <c r="AB80" i="97"/>
  <c r="Y149" i="97"/>
  <c r="Y132" i="97"/>
  <c r="R81" i="97"/>
  <c r="R95" i="97" s="1"/>
  <c r="I18" i="97"/>
  <c r="V291" i="97" l="1"/>
  <c r="V292" i="97" s="1"/>
  <c r="H28" i="97" s="1"/>
  <c r="I28" i="97" s="1"/>
  <c r="AB71" i="97"/>
  <c r="AB131" i="97"/>
  <c r="AB165" i="97" s="1"/>
  <c r="Y131" i="97"/>
  <c r="Y95" i="97"/>
  <c r="AB95" i="97"/>
  <c r="AB76" i="97"/>
  <c r="Y76" i="97"/>
  <c r="AB81" i="97"/>
  <c r="Y81" i="97"/>
  <c r="AB97" i="97" l="1"/>
  <c r="AA213" i="97" s="1"/>
  <c r="AA214" i="97" s="1"/>
  <c r="H24" i="97" s="1"/>
  <c r="I24" i="97" s="1"/>
  <c r="I31" i="97" s="1"/>
  <c r="I33" i="97" s="1"/>
  <c r="Y213" i="97"/>
  <c r="H28" i="98"/>
  <c r="F28" i="98" s="1"/>
  <c r="F36" i="98" s="1"/>
  <c r="F27" i="98"/>
  <c r="F35" i="98" s="1"/>
  <c r="F26" i="98"/>
  <c r="F34" i="98" s="1"/>
  <c r="F24" i="98"/>
  <c r="F32" i="98" s="1"/>
  <c r="F25" i="98"/>
  <c r="F33" i="98" s="1"/>
  <c r="F23" i="98"/>
  <c r="F31" i="98" s="1"/>
  <c r="F30" i="98" l="1"/>
  <c r="K30" i="98" s="1"/>
  <c r="F22" i="98"/>
  <c r="K22" i="98" s="1"/>
  <c r="K21" i="98" l="1"/>
  <c r="Q16" i="98" l="1"/>
  <c r="Q15" i="98"/>
  <c r="P12" i="98"/>
  <c r="P18" i="98" s="1"/>
  <c r="P44" i="98"/>
  <c r="P45" i="98" s="1"/>
  <c r="P42" i="98"/>
  <c r="Q10" i="98"/>
  <c r="Q12" i="98" s="1"/>
  <c r="H14" i="98"/>
  <c r="K14" i="98" s="1"/>
  <c r="K13" i="98" s="1"/>
  <c r="K11" i="98"/>
  <c r="K10" i="98"/>
  <c r="K49" i="98"/>
  <c r="F47" i="98"/>
  <c r="K47" i="98" s="1"/>
  <c r="F45" i="98"/>
  <c r="K45" i="98" s="1"/>
  <c r="F43" i="98"/>
  <c r="K43" i="98" s="1"/>
  <c r="F39" i="98"/>
  <c r="K39" i="98" s="1"/>
  <c r="F40" i="98"/>
  <c r="K40" i="98" s="1"/>
  <c r="K12" i="96"/>
  <c r="P20" i="98" l="1"/>
  <c r="J16" i="98"/>
  <c r="K16" i="98" s="1"/>
  <c r="Q18" i="98"/>
  <c r="Q20" i="98" s="1"/>
  <c r="K9" i="98"/>
  <c r="K38" i="98"/>
  <c r="P171" i="96"/>
  <c r="O171" i="96"/>
  <c r="J169" i="96"/>
  <c r="I168" i="96"/>
  <c r="K168" i="96" s="1"/>
  <c r="I167" i="96"/>
  <c r="K167" i="96" s="1"/>
  <c r="I165" i="96"/>
  <c r="K165" i="96" s="1"/>
  <c r="I164" i="96"/>
  <c r="I169" i="96" s="1"/>
  <c r="J161" i="96"/>
  <c r="I159" i="96"/>
  <c r="K159" i="96" s="1"/>
  <c r="I158" i="96"/>
  <c r="K158" i="96" s="1"/>
  <c r="I157" i="96"/>
  <c r="J155" i="96"/>
  <c r="I153" i="96"/>
  <c r="K153" i="96" s="1"/>
  <c r="I152" i="96"/>
  <c r="I155" i="96" s="1"/>
  <c r="J149" i="96"/>
  <c r="I148" i="96"/>
  <c r="K148" i="96" s="1"/>
  <c r="I147" i="96"/>
  <c r="J146" i="96"/>
  <c r="I145" i="96"/>
  <c r="K145" i="96" s="1"/>
  <c r="I144" i="96"/>
  <c r="K144" i="96" s="1"/>
  <c r="I143" i="96"/>
  <c r="K143" i="96" s="1"/>
  <c r="I142" i="96"/>
  <c r="K142" i="96" s="1"/>
  <c r="I141" i="96"/>
  <c r="K141" i="96" s="1"/>
  <c r="I140" i="96"/>
  <c r="K140" i="96" s="1"/>
  <c r="I139" i="96"/>
  <c r="K139" i="96" s="1"/>
  <c r="J136" i="96"/>
  <c r="I136" i="96"/>
  <c r="J135" i="96"/>
  <c r="I135" i="96"/>
  <c r="K135" i="96" s="1"/>
  <c r="J134" i="96"/>
  <c r="I134" i="96"/>
  <c r="J133" i="96"/>
  <c r="I133" i="96"/>
  <c r="K133" i="96" s="1"/>
  <c r="J132" i="96"/>
  <c r="I132" i="96"/>
  <c r="J131" i="96"/>
  <c r="I131" i="96"/>
  <c r="K131" i="96" s="1"/>
  <c r="J130" i="96"/>
  <c r="I130" i="96"/>
  <c r="J129" i="96"/>
  <c r="I129" i="96"/>
  <c r="K129" i="96" s="1"/>
  <c r="J128" i="96"/>
  <c r="I128" i="96"/>
  <c r="K128" i="96" s="1"/>
  <c r="J127" i="96"/>
  <c r="I127" i="96"/>
  <c r="I126" i="96"/>
  <c r="K126" i="96" s="1"/>
  <c r="J125" i="96"/>
  <c r="I125" i="96"/>
  <c r="J124" i="96"/>
  <c r="I124" i="96"/>
  <c r="K124" i="96" s="1"/>
  <c r="J123" i="96"/>
  <c r="I123" i="96"/>
  <c r="K123" i="96" s="1"/>
  <c r="N122" i="96"/>
  <c r="J122" i="96" s="1"/>
  <c r="I122" i="96"/>
  <c r="J121" i="96"/>
  <c r="I121" i="96"/>
  <c r="K121" i="96" s="1"/>
  <c r="I120" i="96"/>
  <c r="K120" i="96" s="1"/>
  <c r="J119" i="96"/>
  <c r="I119" i="96"/>
  <c r="I118" i="96"/>
  <c r="K118" i="96" s="1"/>
  <c r="J117" i="96"/>
  <c r="I117" i="96"/>
  <c r="I116" i="96"/>
  <c r="K116" i="96" s="1"/>
  <c r="I115" i="96"/>
  <c r="K115" i="96" s="1"/>
  <c r="I114" i="96"/>
  <c r="K114" i="96" s="1"/>
  <c r="J113" i="96"/>
  <c r="I113" i="96"/>
  <c r="K113" i="96" s="1"/>
  <c r="I112" i="96"/>
  <c r="K112" i="96" s="1"/>
  <c r="I111" i="96"/>
  <c r="K111" i="96" s="1"/>
  <c r="J110" i="96"/>
  <c r="I110" i="96"/>
  <c r="J109" i="96"/>
  <c r="I109" i="96"/>
  <c r="K109" i="96" s="1"/>
  <c r="J108" i="96"/>
  <c r="I108" i="96"/>
  <c r="K108" i="96" s="1"/>
  <c r="J107" i="96"/>
  <c r="I107" i="96"/>
  <c r="I106" i="96"/>
  <c r="K106" i="96" s="1"/>
  <c r="I105" i="96"/>
  <c r="K105" i="96" s="1"/>
  <c r="J104" i="96"/>
  <c r="I104" i="96"/>
  <c r="K104" i="96" s="1"/>
  <c r="I103" i="96"/>
  <c r="K103" i="96" s="1"/>
  <c r="I102" i="96"/>
  <c r="K102" i="96" s="1"/>
  <c r="I101" i="96"/>
  <c r="K101" i="96" s="1"/>
  <c r="I100" i="96"/>
  <c r="K100" i="96" s="1"/>
  <c r="I99" i="96"/>
  <c r="K99" i="96" s="1"/>
  <c r="J98" i="96"/>
  <c r="I98" i="96"/>
  <c r="I97" i="96"/>
  <c r="K97" i="96" s="1"/>
  <c r="I96" i="96"/>
  <c r="K96" i="96" s="1"/>
  <c r="J95" i="96"/>
  <c r="I95" i="96"/>
  <c r="J94" i="96"/>
  <c r="I94" i="96"/>
  <c r="I93" i="96"/>
  <c r="K93" i="96" s="1"/>
  <c r="J92" i="96"/>
  <c r="I92" i="96"/>
  <c r="I89" i="96"/>
  <c r="K89" i="96" s="1"/>
  <c r="N88" i="96"/>
  <c r="J88" i="96"/>
  <c r="I88" i="96"/>
  <c r="N87" i="96"/>
  <c r="J87" i="96" s="1"/>
  <c r="I87" i="96"/>
  <c r="I86" i="96"/>
  <c r="K86" i="96" s="1"/>
  <c r="I85" i="96"/>
  <c r="K85" i="96" s="1"/>
  <c r="N84" i="96"/>
  <c r="J84" i="96"/>
  <c r="I84" i="96"/>
  <c r="I83" i="96"/>
  <c r="K83" i="96" s="1"/>
  <c r="J82" i="96"/>
  <c r="I82" i="96"/>
  <c r="I81" i="96"/>
  <c r="K81" i="96" s="1"/>
  <c r="I80" i="96"/>
  <c r="K80" i="96" s="1"/>
  <c r="I79" i="96"/>
  <c r="K79" i="96" s="1"/>
  <c r="I78" i="96"/>
  <c r="K78" i="96" s="1"/>
  <c r="I77" i="96"/>
  <c r="K77" i="96" s="1"/>
  <c r="N76" i="96"/>
  <c r="J76" i="96" s="1"/>
  <c r="I76" i="96"/>
  <c r="I75" i="96"/>
  <c r="K75" i="96" s="1"/>
  <c r="I74" i="96"/>
  <c r="K74" i="96" s="1"/>
  <c r="J73" i="96"/>
  <c r="I73" i="96"/>
  <c r="K73" i="96" s="1"/>
  <c r="I72" i="96"/>
  <c r="K72" i="96" s="1"/>
  <c r="I71" i="96"/>
  <c r="K71" i="96" s="1"/>
  <c r="I70" i="96"/>
  <c r="K70" i="96" s="1"/>
  <c r="I69" i="96"/>
  <c r="K69" i="96" s="1"/>
  <c r="N68" i="96"/>
  <c r="J68" i="96" s="1"/>
  <c r="I68" i="96"/>
  <c r="I67" i="96"/>
  <c r="K67" i="96" s="1"/>
  <c r="J66" i="96"/>
  <c r="I66" i="96"/>
  <c r="K66" i="96" s="1"/>
  <c r="J65" i="96"/>
  <c r="I65" i="96"/>
  <c r="I64" i="96"/>
  <c r="K64" i="96" s="1"/>
  <c r="I63" i="96"/>
  <c r="K63" i="96" s="1"/>
  <c r="I60" i="96"/>
  <c r="K60" i="96" s="1"/>
  <c r="I59" i="96"/>
  <c r="K59" i="96" s="1"/>
  <c r="I58" i="96"/>
  <c r="K58" i="96" s="1"/>
  <c r="J57" i="96"/>
  <c r="I57" i="96"/>
  <c r="K57" i="96" s="1"/>
  <c r="I56" i="96"/>
  <c r="K56" i="96" s="1"/>
  <c r="I55" i="96"/>
  <c r="K55" i="96" s="1"/>
  <c r="J54" i="96"/>
  <c r="I54" i="96"/>
  <c r="K54" i="96" s="1"/>
  <c r="N53" i="96"/>
  <c r="J53" i="96" s="1"/>
  <c r="I53" i="96"/>
  <c r="J50" i="96"/>
  <c r="I50" i="96"/>
  <c r="K50" i="96" s="1"/>
  <c r="I49" i="96"/>
  <c r="K49" i="96" s="1"/>
  <c r="I48" i="96"/>
  <c r="K48" i="96" s="1"/>
  <c r="N47" i="96"/>
  <c r="J47" i="96" s="1"/>
  <c r="I47" i="96"/>
  <c r="I46" i="96"/>
  <c r="K46" i="96" s="1"/>
  <c r="I45" i="96"/>
  <c r="K45" i="96" s="1"/>
  <c r="J44" i="96"/>
  <c r="J51" i="96" s="1"/>
  <c r="I44" i="96"/>
  <c r="J40" i="96"/>
  <c r="I40" i="96"/>
  <c r="K40" i="96" s="1"/>
  <c r="J39" i="96"/>
  <c r="I39" i="96"/>
  <c r="J38" i="96"/>
  <c r="I38" i="96"/>
  <c r="K38" i="96" s="1"/>
  <c r="N37" i="96"/>
  <c r="J37" i="96" s="1"/>
  <c r="I37" i="96"/>
  <c r="N36" i="96"/>
  <c r="I36" i="96"/>
  <c r="I35" i="96"/>
  <c r="K35" i="96" s="1"/>
  <c r="I34" i="96"/>
  <c r="K34" i="96" s="1"/>
  <c r="J33" i="96"/>
  <c r="I33" i="96"/>
  <c r="K33" i="96" s="1"/>
  <c r="J32" i="96"/>
  <c r="K32" i="96" s="1"/>
  <c r="I32" i="96"/>
  <c r="I28" i="96"/>
  <c r="K28" i="96" s="1"/>
  <c r="I27" i="96"/>
  <c r="K27" i="96" s="1"/>
  <c r="I26" i="96"/>
  <c r="K26" i="96" s="1"/>
  <c r="I25" i="96"/>
  <c r="K25" i="96" s="1"/>
  <c r="J24" i="96"/>
  <c r="I24" i="96"/>
  <c r="K24" i="96" s="1"/>
  <c r="J23" i="96"/>
  <c r="I23" i="96"/>
  <c r="K23" i="96" s="1"/>
  <c r="J22" i="96"/>
  <c r="J30" i="96" s="1"/>
  <c r="I22" i="96"/>
  <c r="I30" i="96" s="1"/>
  <c r="J19" i="96"/>
  <c r="I19" i="96"/>
  <c r="K19" i="96" s="1"/>
  <c r="J18" i="96"/>
  <c r="J20" i="96" s="1"/>
  <c r="I18" i="96"/>
  <c r="K18" i="96" s="1"/>
  <c r="I17" i="96"/>
  <c r="K17" i="96" s="1"/>
  <c r="K14" i="96"/>
  <c r="J14" i="96"/>
  <c r="I14" i="96"/>
  <c r="H14" i="96"/>
  <c r="K125" i="96" l="1"/>
  <c r="K119" i="96"/>
  <c r="K110" i="96"/>
  <c r="K107" i="96"/>
  <c r="K68" i="96"/>
  <c r="K136" i="96"/>
  <c r="K82" i="96"/>
  <c r="K22" i="96"/>
  <c r="K47" i="96"/>
  <c r="K87" i="96"/>
  <c r="K88" i="96"/>
  <c r="K117" i="96"/>
  <c r="K132" i="96"/>
  <c r="K164" i="96"/>
  <c r="K169" i="96" s="1"/>
  <c r="K98" i="96"/>
  <c r="N171" i="96"/>
  <c r="K37" i="96"/>
  <c r="K134" i="96"/>
  <c r="I90" i="96"/>
  <c r="K92" i="96"/>
  <c r="K127" i="96"/>
  <c r="I149" i="96"/>
  <c r="K39" i="96"/>
  <c r="I61" i="96"/>
  <c r="K65" i="96"/>
  <c r="K84" i="96"/>
  <c r="K94" i="96"/>
  <c r="J61" i="96"/>
  <c r="J90" i="96"/>
  <c r="K152" i="96"/>
  <c r="K155" i="96" s="1"/>
  <c r="K95" i="96"/>
  <c r="I42" i="96"/>
  <c r="K76" i="96"/>
  <c r="K146" i="96"/>
  <c r="I51" i="96"/>
  <c r="K122" i="96"/>
  <c r="K130" i="96"/>
  <c r="I161" i="96"/>
  <c r="K52" i="98"/>
  <c r="K30" i="96"/>
  <c r="J137" i="96"/>
  <c r="K20" i="96"/>
  <c r="K53" i="96"/>
  <c r="K61" i="96" s="1"/>
  <c r="I137" i="96"/>
  <c r="I146" i="96"/>
  <c r="K157" i="96"/>
  <c r="K161" i="96" s="1"/>
  <c r="J36" i="96"/>
  <c r="K36" i="96" s="1"/>
  <c r="K147" i="96"/>
  <c r="K149" i="96" s="1"/>
  <c r="I20" i="96"/>
  <c r="K44" i="96"/>
  <c r="K51" i="96" s="1"/>
  <c r="K137" i="96" l="1"/>
  <c r="K90" i="96"/>
  <c r="K171" i="96" s="1"/>
  <c r="K42" i="96"/>
  <c r="I171" i="96"/>
  <c r="J42" i="96"/>
  <c r="J171" i="96" s="1"/>
  <c r="F257" i="87" l="1"/>
  <c r="F263" i="87" l="1"/>
  <c r="F265" i="87" l="1"/>
  <c r="F280" i="87" s="1"/>
  <c r="F188" i="87" s="1"/>
  <c r="J20" i="87" l="1"/>
  <c r="J27" i="87" s="1"/>
  <c r="J11" i="87" s="1"/>
  <c r="K20" i="87"/>
  <c r="K27" i="87" s="1"/>
  <c r="K11" i="87" s="1"/>
  <c r="L20" i="87"/>
  <c r="L27" i="87" s="1"/>
  <c r="L11" i="87" s="1"/>
  <c r="M20" i="87"/>
  <c r="M27" i="87" s="1"/>
  <c r="M11" i="87" s="1"/>
  <c r="N20" i="87"/>
  <c r="N27" i="87" s="1"/>
  <c r="N11" i="87" s="1"/>
  <c r="O20" i="87"/>
  <c r="O27" i="87" s="1"/>
  <c r="O11" i="87" s="1"/>
  <c r="P20" i="87"/>
  <c r="P27" i="87" s="1"/>
  <c r="P11" i="87" s="1"/>
  <c r="Q20" i="87"/>
  <c r="Q27" i="87" s="1"/>
  <c r="Q11" i="87" s="1"/>
  <c r="R20" i="87"/>
  <c r="R27" i="87" s="1"/>
  <c r="R11" i="87" s="1"/>
  <c r="S20" i="87"/>
  <c r="S27" i="87" s="1"/>
  <c r="S11" i="87" s="1"/>
  <c r="T20" i="87"/>
  <c r="T27" i="87" s="1"/>
  <c r="T11" i="87" s="1"/>
  <c r="U20" i="87"/>
  <c r="U27" i="87" s="1"/>
  <c r="U11" i="87" s="1"/>
  <c r="V20" i="87"/>
  <c r="V27" i="87" s="1"/>
  <c r="V11" i="87" s="1"/>
  <c r="W20" i="87"/>
  <c r="W27" i="87" s="1"/>
  <c r="W11" i="87" s="1"/>
  <c r="X20" i="87"/>
  <c r="X27" i="87" s="1"/>
  <c r="X11" i="87" s="1"/>
  <c r="Y20" i="87"/>
  <c r="Y27" i="87" s="1"/>
  <c r="Y11" i="87" s="1"/>
  <c r="Z20" i="87"/>
  <c r="Z27" i="87" s="1"/>
  <c r="Z11" i="87" s="1"/>
  <c r="AA20" i="87"/>
  <c r="AA27" i="87" s="1"/>
  <c r="AA11" i="87" s="1"/>
  <c r="AB20" i="87"/>
  <c r="AB27" i="87" s="1"/>
  <c r="AB11" i="87" s="1"/>
  <c r="AC20" i="87"/>
  <c r="AC27" i="87" s="1"/>
  <c r="AC11" i="87" s="1"/>
  <c r="AD20" i="87"/>
  <c r="AD27" i="87" s="1"/>
  <c r="AD11" i="87" s="1"/>
  <c r="AE20" i="87"/>
  <c r="AE27" i="87" s="1"/>
  <c r="AE11" i="87" s="1"/>
  <c r="AF20" i="87"/>
  <c r="AF27" i="87" s="1"/>
  <c r="AF11" i="87" s="1"/>
  <c r="AG20" i="87"/>
  <c r="AG27" i="87" s="1"/>
  <c r="AG11" i="87" s="1"/>
  <c r="AH20" i="87"/>
  <c r="AH27" i="87" s="1"/>
  <c r="AH11" i="87" s="1"/>
  <c r="AI20" i="87"/>
  <c r="AI27" i="87" s="1"/>
  <c r="AI11" i="87" s="1"/>
  <c r="AJ20" i="87"/>
  <c r="AJ27" i="87" s="1"/>
  <c r="AJ11" i="87" s="1"/>
  <c r="J38" i="87"/>
  <c r="J29" i="87" s="1"/>
  <c r="K38" i="87"/>
  <c r="L38" i="87"/>
  <c r="M38" i="87"/>
  <c r="M29" i="87" s="1"/>
  <c r="N38" i="87"/>
  <c r="N29" i="87" s="1"/>
  <c r="O38" i="87"/>
  <c r="O29" i="87" s="1"/>
  <c r="P38" i="87"/>
  <c r="P29" i="87" s="1"/>
  <c r="Q38" i="87"/>
  <c r="Q29" i="87" s="1"/>
  <c r="R38" i="87"/>
  <c r="R29" i="87" s="1"/>
  <c r="S38" i="87"/>
  <c r="S29" i="87" s="1"/>
  <c r="T38" i="87"/>
  <c r="T29" i="87" s="1"/>
  <c r="U38" i="87"/>
  <c r="U29" i="87" s="1"/>
  <c r="V38" i="87"/>
  <c r="V29" i="87" s="1"/>
  <c r="W38" i="87"/>
  <c r="W29" i="87" s="1"/>
  <c r="X38" i="87"/>
  <c r="X29" i="87" s="1"/>
  <c r="Y38" i="87"/>
  <c r="Z38" i="87"/>
  <c r="Z29" i="87" s="1"/>
  <c r="AA38" i="87"/>
  <c r="AB38" i="87"/>
  <c r="AC38" i="87"/>
  <c r="AC29" i="87" s="1"/>
  <c r="AD38" i="87"/>
  <c r="AD29" i="87" s="1"/>
  <c r="AE38" i="87"/>
  <c r="AE29" i="87" s="1"/>
  <c r="AF38" i="87"/>
  <c r="AF29" i="87" s="1"/>
  <c r="AG38" i="87"/>
  <c r="AG29" i="87" s="1"/>
  <c r="AH38" i="87"/>
  <c r="AH29" i="87" s="1"/>
  <c r="AI38" i="87"/>
  <c r="AI29" i="87" s="1"/>
  <c r="AJ38" i="87"/>
  <c r="AJ29" i="87" s="1"/>
  <c r="J43" i="87"/>
  <c r="J39" i="87" s="1"/>
  <c r="K43" i="87"/>
  <c r="K39" i="87" s="1"/>
  <c r="L43" i="87"/>
  <c r="L39" i="87" s="1"/>
  <c r="M43" i="87"/>
  <c r="M39" i="87" s="1"/>
  <c r="N43" i="87"/>
  <c r="N39" i="87" s="1"/>
  <c r="O43" i="87"/>
  <c r="O39" i="87" s="1"/>
  <c r="P43" i="87"/>
  <c r="P39" i="87" s="1"/>
  <c r="Q43" i="87"/>
  <c r="Q39" i="87" s="1"/>
  <c r="R43" i="87"/>
  <c r="R39" i="87" s="1"/>
  <c r="S43" i="87"/>
  <c r="T43" i="87"/>
  <c r="T39" i="87" s="1"/>
  <c r="U43" i="87"/>
  <c r="U39" i="87" s="1"/>
  <c r="V43" i="87"/>
  <c r="V39" i="87" s="1"/>
  <c r="W43" i="87"/>
  <c r="W39" i="87" s="1"/>
  <c r="X43" i="87"/>
  <c r="X39" i="87" s="1"/>
  <c r="Y43" i="87"/>
  <c r="Y39" i="87" s="1"/>
  <c r="Z43" i="87"/>
  <c r="Z39" i="87" s="1"/>
  <c r="AA43" i="87"/>
  <c r="AA39" i="87" s="1"/>
  <c r="AB43" i="87"/>
  <c r="AB39" i="87" s="1"/>
  <c r="AC43" i="87"/>
  <c r="AC39" i="87" s="1"/>
  <c r="AD43" i="87"/>
  <c r="AD39" i="87" s="1"/>
  <c r="AE43" i="87"/>
  <c r="AE39" i="87" s="1"/>
  <c r="AF43" i="87"/>
  <c r="AF39" i="87" s="1"/>
  <c r="AG43" i="87"/>
  <c r="AG39" i="87" s="1"/>
  <c r="AH43" i="87"/>
  <c r="AH39" i="87" s="1"/>
  <c r="AI43" i="87"/>
  <c r="AJ43" i="87"/>
  <c r="J47" i="87"/>
  <c r="J44" i="87" s="1"/>
  <c r="K47" i="87"/>
  <c r="K44" i="87" s="1"/>
  <c r="L47" i="87"/>
  <c r="L44" i="87" s="1"/>
  <c r="M47" i="87"/>
  <c r="M44" i="87" s="1"/>
  <c r="N47" i="87"/>
  <c r="N44" i="87" s="1"/>
  <c r="O47" i="87"/>
  <c r="O44" i="87" s="1"/>
  <c r="P47" i="87"/>
  <c r="P44" i="87" s="1"/>
  <c r="Q47" i="87"/>
  <c r="Q44" i="87" s="1"/>
  <c r="R47" i="87"/>
  <c r="R44" i="87" s="1"/>
  <c r="S47" i="87"/>
  <c r="S44" i="87" s="1"/>
  <c r="T47" i="87"/>
  <c r="T44" i="87" s="1"/>
  <c r="U47" i="87"/>
  <c r="U44" i="87" s="1"/>
  <c r="V47" i="87"/>
  <c r="V44" i="87" s="1"/>
  <c r="W47" i="87"/>
  <c r="W44" i="87" s="1"/>
  <c r="X47" i="87"/>
  <c r="X44" i="87" s="1"/>
  <c r="Y47" i="87"/>
  <c r="Y44" i="87" s="1"/>
  <c r="Z47" i="87"/>
  <c r="Z44" i="87" s="1"/>
  <c r="AA47" i="87"/>
  <c r="AA44" i="87" s="1"/>
  <c r="AB47" i="87"/>
  <c r="AB44" i="87" s="1"/>
  <c r="AC47" i="87"/>
  <c r="AC44" i="87" s="1"/>
  <c r="AD47" i="87"/>
  <c r="AD44" i="87" s="1"/>
  <c r="AE47" i="87"/>
  <c r="AE44" i="87" s="1"/>
  <c r="AF47" i="87"/>
  <c r="AF44" i="87" s="1"/>
  <c r="AG47" i="87"/>
  <c r="AG44" i="87" s="1"/>
  <c r="AH47" i="87"/>
  <c r="AH44" i="87" s="1"/>
  <c r="AI47" i="87"/>
  <c r="AI44" i="87" s="1"/>
  <c r="AJ47" i="87"/>
  <c r="AJ44" i="87" s="1"/>
  <c r="J51" i="87"/>
  <c r="J48" i="87" s="1"/>
  <c r="K51" i="87"/>
  <c r="K48" i="87" s="1"/>
  <c r="L51" i="87"/>
  <c r="L48" i="87" s="1"/>
  <c r="M51" i="87"/>
  <c r="M48" i="87" s="1"/>
  <c r="N51" i="87"/>
  <c r="N48" i="87" s="1"/>
  <c r="O51" i="87"/>
  <c r="O48" i="87" s="1"/>
  <c r="P51" i="87"/>
  <c r="P48" i="87" s="1"/>
  <c r="Q51" i="87"/>
  <c r="Q48" i="87" s="1"/>
  <c r="R51" i="87"/>
  <c r="R48" i="87" s="1"/>
  <c r="S51" i="87"/>
  <c r="S48" i="87" s="1"/>
  <c r="T51" i="87"/>
  <c r="T48" i="87" s="1"/>
  <c r="U51" i="87"/>
  <c r="U48" i="87" s="1"/>
  <c r="V51" i="87"/>
  <c r="V48" i="87" s="1"/>
  <c r="W51" i="87"/>
  <c r="W48" i="87" s="1"/>
  <c r="X51" i="87"/>
  <c r="X48" i="87" s="1"/>
  <c r="Y51" i="87"/>
  <c r="Y48" i="87" s="1"/>
  <c r="Z51" i="87"/>
  <c r="Z48" i="87" s="1"/>
  <c r="AA51" i="87"/>
  <c r="AA48" i="87" s="1"/>
  <c r="AB51" i="87"/>
  <c r="AB48" i="87" s="1"/>
  <c r="AC51" i="87"/>
  <c r="AC48" i="87" s="1"/>
  <c r="AD51" i="87"/>
  <c r="AD48" i="87" s="1"/>
  <c r="AE51" i="87"/>
  <c r="AE48" i="87" s="1"/>
  <c r="AF51" i="87"/>
  <c r="AF48" i="87" s="1"/>
  <c r="AG51" i="87"/>
  <c r="AG48" i="87" s="1"/>
  <c r="AH51" i="87"/>
  <c r="AH48" i="87" s="1"/>
  <c r="AI51" i="87"/>
  <c r="AI48" i="87" s="1"/>
  <c r="AJ51" i="87"/>
  <c r="AJ48" i="87" s="1"/>
  <c r="J64" i="87"/>
  <c r="J52" i="87" s="1"/>
  <c r="K64" i="87"/>
  <c r="K52" i="87" s="1"/>
  <c r="L64" i="87"/>
  <c r="L52" i="87" s="1"/>
  <c r="M64" i="87"/>
  <c r="M52" i="87" s="1"/>
  <c r="N64" i="87"/>
  <c r="N52" i="87" s="1"/>
  <c r="O64" i="87"/>
  <c r="O52" i="87" s="1"/>
  <c r="P64" i="87"/>
  <c r="P52" i="87" s="1"/>
  <c r="Q64" i="87"/>
  <c r="Q52" i="87" s="1"/>
  <c r="R64" i="87"/>
  <c r="R52" i="87" s="1"/>
  <c r="S64" i="87"/>
  <c r="S52" i="87" s="1"/>
  <c r="T64" i="87"/>
  <c r="T52" i="87" s="1"/>
  <c r="U64" i="87"/>
  <c r="U52" i="87" s="1"/>
  <c r="V64" i="87"/>
  <c r="V52" i="87" s="1"/>
  <c r="W64" i="87"/>
  <c r="W52" i="87" s="1"/>
  <c r="X64" i="87"/>
  <c r="X52" i="87" s="1"/>
  <c r="Y64" i="87"/>
  <c r="Y52" i="87" s="1"/>
  <c r="Z64" i="87"/>
  <c r="Z52" i="87" s="1"/>
  <c r="AA64" i="87"/>
  <c r="AA52" i="87" s="1"/>
  <c r="AB64" i="87"/>
  <c r="AB52" i="87" s="1"/>
  <c r="AC64" i="87"/>
  <c r="AC52" i="87" s="1"/>
  <c r="AD64" i="87"/>
  <c r="AD52" i="87" s="1"/>
  <c r="AE64" i="87"/>
  <c r="AE52" i="87" s="1"/>
  <c r="AF64" i="87"/>
  <c r="AF52" i="87" s="1"/>
  <c r="AG64" i="87"/>
  <c r="AG52" i="87" s="1"/>
  <c r="AH64" i="87"/>
  <c r="AH52" i="87" s="1"/>
  <c r="AI64" i="87"/>
  <c r="AI52" i="87" s="1"/>
  <c r="AJ64" i="87"/>
  <c r="AJ52" i="87" s="1"/>
  <c r="J67" i="87"/>
  <c r="J84" i="87" s="1"/>
  <c r="J65" i="87" s="1"/>
  <c r="K67" i="87"/>
  <c r="K84" i="87" s="1"/>
  <c r="K65" i="87" s="1"/>
  <c r="L67" i="87"/>
  <c r="L84" i="87" s="1"/>
  <c r="L65" i="87" s="1"/>
  <c r="M67" i="87"/>
  <c r="M84" i="87" s="1"/>
  <c r="M65" i="87" s="1"/>
  <c r="N67" i="87"/>
  <c r="N84" i="87" s="1"/>
  <c r="N65" i="87" s="1"/>
  <c r="O67" i="87"/>
  <c r="O84" i="87" s="1"/>
  <c r="O65" i="87" s="1"/>
  <c r="P67" i="87"/>
  <c r="P84" i="87" s="1"/>
  <c r="P65" i="87" s="1"/>
  <c r="Q67" i="87"/>
  <c r="Q84" i="87" s="1"/>
  <c r="Q65" i="87" s="1"/>
  <c r="R67" i="87"/>
  <c r="R84" i="87" s="1"/>
  <c r="R65" i="87" s="1"/>
  <c r="S67" i="87"/>
  <c r="S84" i="87" s="1"/>
  <c r="S65" i="87" s="1"/>
  <c r="T67" i="87"/>
  <c r="T84" i="87" s="1"/>
  <c r="T65" i="87" s="1"/>
  <c r="U67" i="87"/>
  <c r="U84" i="87" s="1"/>
  <c r="U65" i="87" s="1"/>
  <c r="V67" i="87"/>
  <c r="V84" i="87" s="1"/>
  <c r="V65" i="87" s="1"/>
  <c r="W67" i="87"/>
  <c r="W84" i="87" s="1"/>
  <c r="W65" i="87" s="1"/>
  <c r="X67" i="87"/>
  <c r="X84" i="87" s="1"/>
  <c r="X65" i="87" s="1"/>
  <c r="Y67" i="87"/>
  <c r="Y84" i="87" s="1"/>
  <c r="Y65" i="87" s="1"/>
  <c r="Z67" i="87"/>
  <c r="Z84" i="87" s="1"/>
  <c r="Z65" i="87" s="1"/>
  <c r="AA67" i="87"/>
  <c r="AA84" i="87" s="1"/>
  <c r="AA65" i="87" s="1"/>
  <c r="AB67" i="87"/>
  <c r="AB84" i="87" s="1"/>
  <c r="AB65" i="87" s="1"/>
  <c r="AC67" i="87"/>
  <c r="AC84" i="87" s="1"/>
  <c r="AC65" i="87" s="1"/>
  <c r="AD67" i="87"/>
  <c r="AD84" i="87" s="1"/>
  <c r="AD65" i="87" s="1"/>
  <c r="AE67" i="87"/>
  <c r="AE84" i="87" s="1"/>
  <c r="AE65" i="87" s="1"/>
  <c r="AF67" i="87"/>
  <c r="AF84" i="87" s="1"/>
  <c r="AF65" i="87" s="1"/>
  <c r="AG67" i="87"/>
  <c r="AG84" i="87" s="1"/>
  <c r="AG65" i="87" s="1"/>
  <c r="AH67" i="87"/>
  <c r="AH84" i="87" s="1"/>
  <c r="AH65" i="87" s="1"/>
  <c r="AI67" i="87"/>
  <c r="AI84" i="87" s="1"/>
  <c r="AI65" i="87" s="1"/>
  <c r="AJ67" i="87"/>
  <c r="AJ84" i="87" s="1"/>
  <c r="AJ65" i="87" s="1"/>
  <c r="J89" i="87"/>
  <c r="J85" i="87" s="1"/>
  <c r="K89" i="87"/>
  <c r="K85" i="87" s="1"/>
  <c r="L89" i="87"/>
  <c r="L85" i="87" s="1"/>
  <c r="M89" i="87"/>
  <c r="M85" i="87" s="1"/>
  <c r="N89" i="87"/>
  <c r="N85" i="87" s="1"/>
  <c r="O89" i="87"/>
  <c r="O85" i="87" s="1"/>
  <c r="P89" i="87"/>
  <c r="P85" i="87" s="1"/>
  <c r="Q89" i="87"/>
  <c r="Q85" i="87" s="1"/>
  <c r="R89" i="87"/>
  <c r="R85" i="87" s="1"/>
  <c r="S89" i="87"/>
  <c r="S85" i="87" s="1"/>
  <c r="T89" i="87"/>
  <c r="T85" i="87" s="1"/>
  <c r="U89" i="87"/>
  <c r="U85" i="87" s="1"/>
  <c r="V89" i="87"/>
  <c r="V85" i="87" s="1"/>
  <c r="W89" i="87"/>
  <c r="W85" i="87" s="1"/>
  <c r="X89" i="87"/>
  <c r="X85" i="87" s="1"/>
  <c r="Y89" i="87"/>
  <c r="Y85" i="87" s="1"/>
  <c r="Z89" i="87"/>
  <c r="Z85" i="87" s="1"/>
  <c r="AA89" i="87"/>
  <c r="AA85" i="87" s="1"/>
  <c r="AB89" i="87"/>
  <c r="AB85" i="87" s="1"/>
  <c r="AC89" i="87"/>
  <c r="AC85" i="87" s="1"/>
  <c r="AD89" i="87"/>
  <c r="AD85" i="87" s="1"/>
  <c r="AE89" i="87"/>
  <c r="AE85" i="87" s="1"/>
  <c r="AF89" i="87"/>
  <c r="AF85" i="87" s="1"/>
  <c r="AG89" i="87"/>
  <c r="AG85" i="87" s="1"/>
  <c r="AH89" i="87"/>
  <c r="AH85" i="87" s="1"/>
  <c r="AI89" i="87"/>
  <c r="AI85" i="87" s="1"/>
  <c r="AJ89" i="87"/>
  <c r="AJ85" i="87" s="1"/>
  <c r="J94" i="87"/>
  <c r="J90" i="87" s="1"/>
  <c r="K94" i="87"/>
  <c r="K90" i="87" s="1"/>
  <c r="L94" i="87"/>
  <c r="L90" i="87" s="1"/>
  <c r="M94" i="87"/>
  <c r="M90" i="87" s="1"/>
  <c r="N94" i="87"/>
  <c r="N90" i="87" s="1"/>
  <c r="O94" i="87"/>
  <c r="O90" i="87" s="1"/>
  <c r="P94" i="87"/>
  <c r="P90" i="87" s="1"/>
  <c r="Q94" i="87"/>
  <c r="Q90" i="87" s="1"/>
  <c r="R94" i="87"/>
  <c r="R90" i="87" s="1"/>
  <c r="S94" i="87"/>
  <c r="S90" i="87" s="1"/>
  <c r="T94" i="87"/>
  <c r="T90" i="87" s="1"/>
  <c r="U94" i="87"/>
  <c r="U90" i="87" s="1"/>
  <c r="V94" i="87"/>
  <c r="V90" i="87" s="1"/>
  <c r="W94" i="87"/>
  <c r="W90" i="87" s="1"/>
  <c r="X94" i="87"/>
  <c r="X90" i="87" s="1"/>
  <c r="Y94" i="87"/>
  <c r="Y90" i="87" s="1"/>
  <c r="Z94" i="87"/>
  <c r="Z90" i="87" s="1"/>
  <c r="AA94" i="87"/>
  <c r="AA90" i="87" s="1"/>
  <c r="AB94" i="87"/>
  <c r="AB90" i="87" s="1"/>
  <c r="AC94" i="87"/>
  <c r="AC90" i="87" s="1"/>
  <c r="AD94" i="87"/>
  <c r="AD90" i="87" s="1"/>
  <c r="AE94" i="87"/>
  <c r="AE90" i="87" s="1"/>
  <c r="AF94" i="87"/>
  <c r="AF90" i="87" s="1"/>
  <c r="AG94" i="87"/>
  <c r="AG90" i="87" s="1"/>
  <c r="AH94" i="87"/>
  <c r="AH90" i="87" s="1"/>
  <c r="AI94" i="87"/>
  <c r="AI90" i="87" s="1"/>
  <c r="AJ94" i="87"/>
  <c r="AJ90" i="87" s="1"/>
  <c r="J102" i="87"/>
  <c r="J96" i="87" s="1"/>
  <c r="K102" i="87"/>
  <c r="K96" i="87" s="1"/>
  <c r="L102" i="87"/>
  <c r="L96" i="87" s="1"/>
  <c r="M102" i="87"/>
  <c r="M96" i="87" s="1"/>
  <c r="N102" i="87"/>
  <c r="N96" i="87" s="1"/>
  <c r="O102" i="87"/>
  <c r="O96" i="87" s="1"/>
  <c r="P102" i="87"/>
  <c r="P96" i="87" s="1"/>
  <c r="Q102" i="87"/>
  <c r="Q96" i="87" s="1"/>
  <c r="R102" i="87"/>
  <c r="R96" i="87" s="1"/>
  <c r="S102" i="87"/>
  <c r="S96" i="87" s="1"/>
  <c r="T102" i="87"/>
  <c r="T96" i="87" s="1"/>
  <c r="U102" i="87"/>
  <c r="U96" i="87" s="1"/>
  <c r="V102" i="87"/>
  <c r="V96" i="87" s="1"/>
  <c r="W102" i="87"/>
  <c r="W96" i="87" s="1"/>
  <c r="X102" i="87"/>
  <c r="X96" i="87" s="1"/>
  <c r="Y102" i="87"/>
  <c r="Y96" i="87" s="1"/>
  <c r="Z102" i="87"/>
  <c r="Z96" i="87" s="1"/>
  <c r="AA102" i="87"/>
  <c r="AA96" i="87" s="1"/>
  <c r="AB102" i="87"/>
  <c r="AB96" i="87" s="1"/>
  <c r="AC102" i="87"/>
  <c r="AC96" i="87" s="1"/>
  <c r="AD102" i="87"/>
  <c r="AD96" i="87" s="1"/>
  <c r="AE102" i="87"/>
  <c r="AE96" i="87" s="1"/>
  <c r="AF102" i="87"/>
  <c r="AF96" i="87" s="1"/>
  <c r="AG102" i="87"/>
  <c r="AG96" i="87" s="1"/>
  <c r="AH102" i="87"/>
  <c r="AH96" i="87" s="1"/>
  <c r="AI102" i="87"/>
  <c r="AI96" i="87" s="1"/>
  <c r="AJ102" i="87"/>
  <c r="AJ96" i="87" s="1"/>
  <c r="J111" i="87"/>
  <c r="J103" i="87" s="1"/>
  <c r="K111" i="87"/>
  <c r="K103" i="87" s="1"/>
  <c r="L111" i="87"/>
  <c r="L103" i="87" s="1"/>
  <c r="M111" i="87"/>
  <c r="M103" i="87" s="1"/>
  <c r="N111" i="87"/>
  <c r="N103" i="87" s="1"/>
  <c r="O111" i="87"/>
  <c r="O103" i="87" s="1"/>
  <c r="P111" i="87"/>
  <c r="P103" i="87" s="1"/>
  <c r="Q111" i="87"/>
  <c r="Q103" i="87" s="1"/>
  <c r="R111" i="87"/>
  <c r="R103" i="87" s="1"/>
  <c r="S111" i="87"/>
  <c r="S103" i="87" s="1"/>
  <c r="T111" i="87"/>
  <c r="T103" i="87" s="1"/>
  <c r="U111" i="87"/>
  <c r="U103" i="87" s="1"/>
  <c r="V111" i="87"/>
  <c r="V103" i="87" s="1"/>
  <c r="W111" i="87"/>
  <c r="W103" i="87" s="1"/>
  <c r="X111" i="87"/>
  <c r="X103" i="87" s="1"/>
  <c r="Y111" i="87"/>
  <c r="Y103" i="87" s="1"/>
  <c r="Z111" i="87"/>
  <c r="Z103" i="87" s="1"/>
  <c r="AA111" i="87"/>
  <c r="AA103" i="87" s="1"/>
  <c r="AB111" i="87"/>
  <c r="AB103" i="87" s="1"/>
  <c r="AC111" i="87"/>
  <c r="AC103" i="87" s="1"/>
  <c r="AD111" i="87"/>
  <c r="AD103" i="87" s="1"/>
  <c r="AE111" i="87"/>
  <c r="AE103" i="87" s="1"/>
  <c r="AF111" i="87"/>
  <c r="AF103" i="87" s="1"/>
  <c r="AG111" i="87"/>
  <c r="AG103" i="87" s="1"/>
  <c r="AH111" i="87"/>
  <c r="AH103" i="87" s="1"/>
  <c r="AI111" i="87"/>
  <c r="AI103" i="87" s="1"/>
  <c r="AJ111" i="87"/>
  <c r="AJ103" i="87" s="1"/>
  <c r="J115" i="87"/>
  <c r="J112" i="87" s="1"/>
  <c r="K115" i="87"/>
  <c r="K112" i="87" s="1"/>
  <c r="L115" i="87"/>
  <c r="L112" i="87" s="1"/>
  <c r="M115" i="87"/>
  <c r="M112" i="87" s="1"/>
  <c r="N115" i="87"/>
  <c r="N112" i="87" s="1"/>
  <c r="O115" i="87"/>
  <c r="O112" i="87" s="1"/>
  <c r="P115" i="87"/>
  <c r="P112" i="87" s="1"/>
  <c r="Q115" i="87"/>
  <c r="Q112" i="87" s="1"/>
  <c r="R115" i="87"/>
  <c r="R112" i="87" s="1"/>
  <c r="S115" i="87"/>
  <c r="S112" i="87" s="1"/>
  <c r="T115" i="87"/>
  <c r="T112" i="87" s="1"/>
  <c r="U115" i="87"/>
  <c r="U112" i="87" s="1"/>
  <c r="V115" i="87"/>
  <c r="V112" i="87" s="1"/>
  <c r="W115" i="87"/>
  <c r="W112" i="87" s="1"/>
  <c r="X115" i="87"/>
  <c r="X112" i="87" s="1"/>
  <c r="Y115" i="87"/>
  <c r="Y112" i="87" s="1"/>
  <c r="Z115" i="87"/>
  <c r="Z112" i="87" s="1"/>
  <c r="AA115" i="87"/>
  <c r="AA112" i="87" s="1"/>
  <c r="AB115" i="87"/>
  <c r="AB112" i="87" s="1"/>
  <c r="AC115" i="87"/>
  <c r="AC112" i="87" s="1"/>
  <c r="AD115" i="87"/>
  <c r="AD112" i="87" s="1"/>
  <c r="AE115" i="87"/>
  <c r="AE112" i="87" s="1"/>
  <c r="AF115" i="87"/>
  <c r="AF112" i="87" s="1"/>
  <c r="AG115" i="87"/>
  <c r="AG112" i="87" s="1"/>
  <c r="AH115" i="87"/>
  <c r="AH112" i="87" s="1"/>
  <c r="AI115" i="87"/>
  <c r="AI112" i="87" s="1"/>
  <c r="AJ115" i="87"/>
  <c r="AJ112" i="87" s="1"/>
  <c r="J125" i="87"/>
  <c r="J116" i="87" s="1"/>
  <c r="K125" i="87"/>
  <c r="K116" i="87" s="1"/>
  <c r="L125" i="87"/>
  <c r="L116" i="87" s="1"/>
  <c r="M125" i="87"/>
  <c r="M116" i="87" s="1"/>
  <c r="N125" i="87"/>
  <c r="N116" i="87" s="1"/>
  <c r="O125" i="87"/>
  <c r="O116" i="87" s="1"/>
  <c r="P125" i="87"/>
  <c r="P116" i="87" s="1"/>
  <c r="Q125" i="87"/>
  <c r="Q116" i="87" s="1"/>
  <c r="R125" i="87"/>
  <c r="R116" i="87" s="1"/>
  <c r="S125" i="87"/>
  <c r="S116" i="87" s="1"/>
  <c r="T125" i="87"/>
  <c r="T116" i="87" s="1"/>
  <c r="U125" i="87"/>
  <c r="U116" i="87" s="1"/>
  <c r="V125" i="87"/>
  <c r="V116" i="87" s="1"/>
  <c r="W125" i="87"/>
  <c r="W116" i="87" s="1"/>
  <c r="X125" i="87"/>
  <c r="X116" i="87" s="1"/>
  <c r="Y125" i="87"/>
  <c r="Y116" i="87" s="1"/>
  <c r="Z125" i="87"/>
  <c r="Z116" i="87" s="1"/>
  <c r="AA125" i="87"/>
  <c r="AA116" i="87" s="1"/>
  <c r="AB125" i="87"/>
  <c r="AB116" i="87" s="1"/>
  <c r="AC125" i="87"/>
  <c r="AC116" i="87" s="1"/>
  <c r="AD125" i="87"/>
  <c r="AD116" i="87" s="1"/>
  <c r="AE125" i="87"/>
  <c r="AE116" i="87" s="1"/>
  <c r="AF125" i="87"/>
  <c r="AF116" i="87" s="1"/>
  <c r="AG125" i="87"/>
  <c r="AG116" i="87" s="1"/>
  <c r="AH125" i="87"/>
  <c r="AH116" i="87" s="1"/>
  <c r="AI125" i="87"/>
  <c r="AI116" i="87" s="1"/>
  <c r="AJ125" i="87"/>
  <c r="AJ116" i="87" s="1"/>
  <c r="J128" i="87"/>
  <c r="J126" i="87" s="1"/>
  <c r="K128" i="87"/>
  <c r="K126" i="87" s="1"/>
  <c r="L128" i="87"/>
  <c r="L126" i="87" s="1"/>
  <c r="M128" i="87"/>
  <c r="M126" i="87" s="1"/>
  <c r="N128" i="87"/>
  <c r="N126" i="87" s="1"/>
  <c r="O128" i="87"/>
  <c r="O126" i="87" s="1"/>
  <c r="P128" i="87"/>
  <c r="P126" i="87" s="1"/>
  <c r="Q128" i="87"/>
  <c r="Q126" i="87" s="1"/>
  <c r="R128" i="87"/>
  <c r="R126" i="87" s="1"/>
  <c r="S128" i="87"/>
  <c r="S126" i="87" s="1"/>
  <c r="T128" i="87"/>
  <c r="T126" i="87" s="1"/>
  <c r="U128" i="87"/>
  <c r="U126" i="87" s="1"/>
  <c r="V128" i="87"/>
  <c r="V126" i="87" s="1"/>
  <c r="W128" i="87"/>
  <c r="W126" i="87" s="1"/>
  <c r="X128" i="87"/>
  <c r="X126" i="87" s="1"/>
  <c r="Y128" i="87"/>
  <c r="Y126" i="87" s="1"/>
  <c r="Z128" i="87"/>
  <c r="Z126" i="87" s="1"/>
  <c r="AA128" i="87"/>
  <c r="AA126" i="87" s="1"/>
  <c r="AB128" i="87"/>
  <c r="AB126" i="87" s="1"/>
  <c r="AC128" i="87"/>
  <c r="AC126" i="87" s="1"/>
  <c r="AD128" i="87"/>
  <c r="AD126" i="87" s="1"/>
  <c r="AE128" i="87"/>
  <c r="AE126" i="87" s="1"/>
  <c r="AF128" i="87"/>
  <c r="AF126" i="87" s="1"/>
  <c r="AG128" i="87"/>
  <c r="AG126" i="87" s="1"/>
  <c r="AH128" i="87"/>
  <c r="AH126" i="87" s="1"/>
  <c r="AI128" i="87"/>
  <c r="AI126" i="87" s="1"/>
  <c r="AJ128" i="87"/>
  <c r="AJ126" i="87" s="1"/>
  <c r="J133" i="87"/>
  <c r="J129" i="87" s="1"/>
  <c r="K133" i="87"/>
  <c r="K129" i="87" s="1"/>
  <c r="L133" i="87"/>
  <c r="L129" i="87" s="1"/>
  <c r="M133" i="87"/>
  <c r="M129" i="87" s="1"/>
  <c r="N133" i="87"/>
  <c r="N129" i="87" s="1"/>
  <c r="O133" i="87"/>
  <c r="O129" i="87" s="1"/>
  <c r="P133" i="87"/>
  <c r="P129" i="87" s="1"/>
  <c r="Q133" i="87"/>
  <c r="Q129" i="87" s="1"/>
  <c r="R133" i="87"/>
  <c r="R129" i="87" s="1"/>
  <c r="S133" i="87"/>
  <c r="S129" i="87" s="1"/>
  <c r="T133" i="87"/>
  <c r="T129" i="87" s="1"/>
  <c r="U133" i="87"/>
  <c r="U129" i="87" s="1"/>
  <c r="V133" i="87"/>
  <c r="V129" i="87" s="1"/>
  <c r="W133" i="87"/>
  <c r="W129" i="87" s="1"/>
  <c r="X133" i="87"/>
  <c r="X129" i="87" s="1"/>
  <c r="Y133" i="87"/>
  <c r="Y129" i="87" s="1"/>
  <c r="Z133" i="87"/>
  <c r="Z129" i="87" s="1"/>
  <c r="AA133" i="87"/>
  <c r="AA129" i="87" s="1"/>
  <c r="AB133" i="87"/>
  <c r="AB129" i="87" s="1"/>
  <c r="AC133" i="87"/>
  <c r="AC129" i="87" s="1"/>
  <c r="AD133" i="87"/>
  <c r="AD129" i="87" s="1"/>
  <c r="AE133" i="87"/>
  <c r="AE129" i="87" s="1"/>
  <c r="AF133" i="87"/>
  <c r="AF129" i="87" s="1"/>
  <c r="AG133" i="87"/>
  <c r="AG129" i="87" s="1"/>
  <c r="AH133" i="87"/>
  <c r="AH129" i="87" s="1"/>
  <c r="AI133" i="87"/>
  <c r="AI129" i="87" s="1"/>
  <c r="AJ133" i="87"/>
  <c r="AJ129" i="87" s="1"/>
  <c r="J142" i="87"/>
  <c r="J134" i="87" s="1"/>
  <c r="K142" i="87"/>
  <c r="K134" i="87" s="1"/>
  <c r="L142" i="87"/>
  <c r="L134" i="87" s="1"/>
  <c r="M142" i="87"/>
  <c r="M134" i="87" s="1"/>
  <c r="N142" i="87"/>
  <c r="N134" i="87" s="1"/>
  <c r="O142" i="87"/>
  <c r="O134" i="87" s="1"/>
  <c r="P142" i="87"/>
  <c r="P134" i="87" s="1"/>
  <c r="Q142" i="87"/>
  <c r="Q134" i="87" s="1"/>
  <c r="R142" i="87"/>
  <c r="R134" i="87" s="1"/>
  <c r="S142" i="87"/>
  <c r="S134" i="87" s="1"/>
  <c r="T142" i="87"/>
  <c r="T134" i="87" s="1"/>
  <c r="U142" i="87"/>
  <c r="U134" i="87" s="1"/>
  <c r="V142" i="87"/>
  <c r="V134" i="87" s="1"/>
  <c r="W142" i="87"/>
  <c r="W134" i="87" s="1"/>
  <c r="X142" i="87"/>
  <c r="X134" i="87" s="1"/>
  <c r="Y142" i="87"/>
  <c r="Y134" i="87" s="1"/>
  <c r="Z142" i="87"/>
  <c r="Z134" i="87" s="1"/>
  <c r="AA142" i="87"/>
  <c r="AA134" i="87" s="1"/>
  <c r="AB142" i="87"/>
  <c r="AB134" i="87" s="1"/>
  <c r="AC142" i="87"/>
  <c r="AC134" i="87" s="1"/>
  <c r="AD142" i="87"/>
  <c r="AD134" i="87" s="1"/>
  <c r="AE142" i="87"/>
  <c r="AE134" i="87" s="1"/>
  <c r="AF142" i="87"/>
  <c r="AF134" i="87" s="1"/>
  <c r="AG142" i="87"/>
  <c r="AG134" i="87" s="1"/>
  <c r="AH142" i="87"/>
  <c r="AH134" i="87" s="1"/>
  <c r="AI142" i="87"/>
  <c r="AI134" i="87" s="1"/>
  <c r="AJ142" i="87"/>
  <c r="AJ134" i="87" s="1"/>
  <c r="J147" i="87"/>
  <c r="K147" i="87"/>
  <c r="L147" i="87"/>
  <c r="M147" i="87"/>
  <c r="N147" i="87"/>
  <c r="O147" i="87"/>
  <c r="P147" i="87"/>
  <c r="Q147" i="87"/>
  <c r="R147" i="87"/>
  <c r="S147" i="87"/>
  <c r="T147" i="87"/>
  <c r="U147" i="87"/>
  <c r="V147" i="87"/>
  <c r="W147" i="87"/>
  <c r="X147" i="87"/>
  <c r="Y147" i="87"/>
  <c r="Z147" i="87"/>
  <c r="AA147" i="87"/>
  <c r="AB147" i="87"/>
  <c r="AC147" i="87"/>
  <c r="AD147" i="87"/>
  <c r="AE147" i="87"/>
  <c r="AF147" i="87"/>
  <c r="AG147" i="87"/>
  <c r="AH147" i="87"/>
  <c r="AI147" i="87"/>
  <c r="AJ147" i="87"/>
  <c r="J153" i="87"/>
  <c r="K153" i="87"/>
  <c r="L153" i="87"/>
  <c r="M153" i="87"/>
  <c r="N153" i="87"/>
  <c r="O153" i="87"/>
  <c r="P153" i="87"/>
  <c r="Q153" i="87"/>
  <c r="R153" i="87"/>
  <c r="S153" i="87"/>
  <c r="T153" i="87"/>
  <c r="U153" i="87"/>
  <c r="V153" i="87"/>
  <c r="W153" i="87"/>
  <c r="X153" i="87"/>
  <c r="Y153" i="87"/>
  <c r="Z153" i="87"/>
  <c r="AA153" i="87"/>
  <c r="AB153" i="87"/>
  <c r="AC153" i="87"/>
  <c r="AD153" i="87"/>
  <c r="AE153" i="87"/>
  <c r="AF153" i="87"/>
  <c r="AG153" i="87"/>
  <c r="AH153" i="87"/>
  <c r="AI153" i="87"/>
  <c r="AJ153" i="87"/>
  <c r="J158" i="87"/>
  <c r="K158" i="87"/>
  <c r="L158" i="87"/>
  <c r="M158" i="87"/>
  <c r="N158" i="87"/>
  <c r="O158" i="87"/>
  <c r="P158" i="87"/>
  <c r="Q158" i="87"/>
  <c r="R158" i="87"/>
  <c r="S158" i="87"/>
  <c r="T158" i="87"/>
  <c r="U158" i="87"/>
  <c r="V158" i="87"/>
  <c r="W158" i="87"/>
  <c r="X158" i="87"/>
  <c r="Y158" i="87"/>
  <c r="Z158" i="87"/>
  <c r="AA158" i="87"/>
  <c r="AB158" i="87"/>
  <c r="AC158" i="87"/>
  <c r="AD158" i="87"/>
  <c r="AE158" i="87"/>
  <c r="AF158" i="87"/>
  <c r="AG158" i="87"/>
  <c r="AH158" i="87"/>
  <c r="AI158" i="87"/>
  <c r="AJ158" i="87"/>
  <c r="J162" i="87"/>
  <c r="K162" i="87"/>
  <c r="L162" i="87"/>
  <c r="M162" i="87"/>
  <c r="N162" i="87"/>
  <c r="O162" i="87"/>
  <c r="P162" i="87"/>
  <c r="Q162" i="87"/>
  <c r="R162" i="87"/>
  <c r="S162" i="87"/>
  <c r="T162" i="87"/>
  <c r="U162" i="87"/>
  <c r="V162" i="87"/>
  <c r="W162" i="87"/>
  <c r="X162" i="87"/>
  <c r="Y162" i="87"/>
  <c r="Z162" i="87"/>
  <c r="AA162" i="87"/>
  <c r="AB162" i="87"/>
  <c r="AC162" i="87"/>
  <c r="AD162" i="87"/>
  <c r="AE162" i="87"/>
  <c r="AF162" i="87"/>
  <c r="AG162" i="87"/>
  <c r="AH162" i="87"/>
  <c r="AI162" i="87"/>
  <c r="AJ162" i="87"/>
  <c r="J170" i="87"/>
  <c r="K170" i="87"/>
  <c r="L170" i="87"/>
  <c r="M170" i="87"/>
  <c r="N170" i="87"/>
  <c r="O170" i="87"/>
  <c r="P170" i="87"/>
  <c r="Q170" i="87"/>
  <c r="R170" i="87"/>
  <c r="S170" i="87"/>
  <c r="T170" i="87"/>
  <c r="U170" i="87"/>
  <c r="V170" i="87"/>
  <c r="W170" i="87"/>
  <c r="X170" i="87"/>
  <c r="Y170" i="87"/>
  <c r="Z170" i="87"/>
  <c r="AA170" i="87"/>
  <c r="AB170" i="87"/>
  <c r="AC170" i="87"/>
  <c r="AD170" i="87"/>
  <c r="AE170" i="87"/>
  <c r="AF170" i="87"/>
  <c r="AG170" i="87"/>
  <c r="AH170" i="87"/>
  <c r="AI170" i="87"/>
  <c r="AJ170" i="87"/>
  <c r="J173" i="87"/>
  <c r="J171" i="87" s="1"/>
  <c r="K173" i="87"/>
  <c r="K171" i="87" s="1"/>
  <c r="L173" i="87"/>
  <c r="L171" i="87" s="1"/>
  <c r="M173" i="87"/>
  <c r="M171" i="87" s="1"/>
  <c r="N173" i="87"/>
  <c r="N171" i="87" s="1"/>
  <c r="O173" i="87"/>
  <c r="O171" i="87" s="1"/>
  <c r="P173" i="87"/>
  <c r="P171" i="87" s="1"/>
  <c r="Q173" i="87"/>
  <c r="Q171" i="87" s="1"/>
  <c r="R173" i="87"/>
  <c r="R171" i="87" s="1"/>
  <c r="S173" i="87"/>
  <c r="S171" i="87" s="1"/>
  <c r="T173" i="87"/>
  <c r="T171" i="87" s="1"/>
  <c r="U173" i="87"/>
  <c r="U171" i="87" s="1"/>
  <c r="V173" i="87"/>
  <c r="V171" i="87" s="1"/>
  <c r="W173" i="87"/>
  <c r="W171" i="87" s="1"/>
  <c r="X173" i="87"/>
  <c r="X171" i="87" s="1"/>
  <c r="Y173" i="87"/>
  <c r="Y171" i="87" s="1"/>
  <c r="Z173" i="87"/>
  <c r="Z171" i="87" s="1"/>
  <c r="AA173" i="87"/>
  <c r="AA171" i="87" s="1"/>
  <c r="AB173" i="87"/>
  <c r="AB171" i="87" s="1"/>
  <c r="AC173" i="87"/>
  <c r="AC171" i="87" s="1"/>
  <c r="AD173" i="87"/>
  <c r="AD171" i="87" s="1"/>
  <c r="AE173" i="87"/>
  <c r="AE171" i="87" s="1"/>
  <c r="AF173" i="87"/>
  <c r="AF171" i="87" s="1"/>
  <c r="AG173" i="87"/>
  <c r="AG171" i="87" s="1"/>
  <c r="AH173" i="87"/>
  <c r="AH171" i="87" s="1"/>
  <c r="AI173" i="87"/>
  <c r="AI171" i="87" s="1"/>
  <c r="AJ173" i="87"/>
  <c r="AJ171" i="87" s="1"/>
  <c r="J186" i="87"/>
  <c r="J174" i="87" s="1"/>
  <c r="K186" i="87"/>
  <c r="K174" i="87" s="1"/>
  <c r="L186" i="87"/>
  <c r="L174" i="87" s="1"/>
  <c r="M186" i="87"/>
  <c r="M174" i="87" s="1"/>
  <c r="N186" i="87"/>
  <c r="N174" i="87" s="1"/>
  <c r="O186" i="87"/>
  <c r="O174" i="87" s="1"/>
  <c r="P186" i="87"/>
  <c r="P174" i="87" s="1"/>
  <c r="Q186" i="87"/>
  <c r="Q174" i="87" s="1"/>
  <c r="R186" i="87"/>
  <c r="R174" i="87" s="1"/>
  <c r="S186" i="87"/>
  <c r="S174" i="87" s="1"/>
  <c r="T186" i="87"/>
  <c r="T174" i="87" s="1"/>
  <c r="U186" i="87"/>
  <c r="U174" i="87" s="1"/>
  <c r="V186" i="87"/>
  <c r="V174" i="87" s="1"/>
  <c r="W186" i="87"/>
  <c r="W174" i="87" s="1"/>
  <c r="X186" i="87"/>
  <c r="X174" i="87" s="1"/>
  <c r="Y186" i="87"/>
  <c r="Y174" i="87" s="1"/>
  <c r="Z186" i="87"/>
  <c r="Z174" i="87" s="1"/>
  <c r="AA186" i="87"/>
  <c r="AA174" i="87" s="1"/>
  <c r="AB186" i="87"/>
  <c r="AB174" i="87" s="1"/>
  <c r="AC186" i="87"/>
  <c r="AC174" i="87" s="1"/>
  <c r="AD186" i="87"/>
  <c r="AD174" i="87" s="1"/>
  <c r="AE186" i="87"/>
  <c r="AE174" i="87" s="1"/>
  <c r="AF186" i="87"/>
  <c r="AF174" i="87" s="1"/>
  <c r="AG186" i="87"/>
  <c r="AG174" i="87" s="1"/>
  <c r="AH186" i="87"/>
  <c r="AH174" i="87" s="1"/>
  <c r="AI186" i="87"/>
  <c r="AI174" i="87" s="1"/>
  <c r="AJ186" i="87"/>
  <c r="AJ174" i="87" s="1"/>
  <c r="J246" i="87"/>
  <c r="K246" i="87"/>
  <c r="K189" i="87" s="1"/>
  <c r="L246" i="87"/>
  <c r="L189" i="87" s="1"/>
  <c r="M246" i="87"/>
  <c r="M189" i="87" s="1"/>
  <c r="N246" i="87"/>
  <c r="N189" i="87" s="1"/>
  <c r="O246" i="87"/>
  <c r="O189" i="87" s="1"/>
  <c r="P246" i="87"/>
  <c r="P189" i="87" s="1"/>
  <c r="Q246" i="87"/>
  <c r="Q189" i="87" s="1"/>
  <c r="R246" i="87"/>
  <c r="R189" i="87" s="1"/>
  <c r="S246" i="87"/>
  <c r="S189" i="87" s="1"/>
  <c r="T246" i="87"/>
  <c r="T189" i="87" s="1"/>
  <c r="U246" i="87"/>
  <c r="U189" i="87" s="1"/>
  <c r="V246" i="87"/>
  <c r="V189" i="87" s="1"/>
  <c r="W246" i="87"/>
  <c r="W189" i="87" s="1"/>
  <c r="X246" i="87"/>
  <c r="X189" i="87" s="1"/>
  <c r="Y246" i="87"/>
  <c r="Z246" i="87"/>
  <c r="AA246" i="87"/>
  <c r="AA189" i="87" s="1"/>
  <c r="AB246" i="87"/>
  <c r="AB189" i="87" s="1"/>
  <c r="AC246" i="87"/>
  <c r="AC189" i="87" s="1"/>
  <c r="AD246" i="87"/>
  <c r="AD189" i="87" s="1"/>
  <c r="AE246" i="87"/>
  <c r="AE189" i="87" s="1"/>
  <c r="AF246" i="87"/>
  <c r="AF189" i="87" s="1"/>
  <c r="AG246" i="87"/>
  <c r="AG189" i="87" s="1"/>
  <c r="AH246" i="87"/>
  <c r="AH189" i="87" s="1"/>
  <c r="AI246" i="87"/>
  <c r="AI189" i="87" s="1"/>
  <c r="AJ246" i="87"/>
  <c r="AJ189" i="87" s="1"/>
  <c r="J257" i="87"/>
  <c r="J263" i="87" s="1"/>
  <c r="J247" i="87" s="1"/>
  <c r="K257" i="87"/>
  <c r="K263" i="87" s="1"/>
  <c r="K247" i="87" s="1"/>
  <c r="L257" i="87"/>
  <c r="L263" i="87" s="1"/>
  <c r="L247" i="87" s="1"/>
  <c r="M257" i="87"/>
  <c r="M263" i="87" s="1"/>
  <c r="M247" i="87" s="1"/>
  <c r="N257" i="87"/>
  <c r="N263" i="87" s="1"/>
  <c r="O257" i="87"/>
  <c r="O263" i="87" s="1"/>
  <c r="O247" i="87" s="1"/>
  <c r="P257" i="87"/>
  <c r="P263" i="87" s="1"/>
  <c r="P247" i="87" s="1"/>
  <c r="Q257" i="87"/>
  <c r="Q263" i="87" s="1"/>
  <c r="Q247" i="87" s="1"/>
  <c r="R257" i="87"/>
  <c r="R263" i="87" s="1"/>
  <c r="S257" i="87"/>
  <c r="S263" i="87" s="1"/>
  <c r="T257" i="87"/>
  <c r="T263" i="87" s="1"/>
  <c r="T247" i="87" s="1"/>
  <c r="U257" i="87"/>
  <c r="U263" i="87" s="1"/>
  <c r="U247" i="87" s="1"/>
  <c r="V257" i="87"/>
  <c r="V263" i="87" s="1"/>
  <c r="V247" i="87" s="1"/>
  <c r="W257" i="87"/>
  <c r="W263" i="87" s="1"/>
  <c r="X257" i="87"/>
  <c r="X263" i="87" s="1"/>
  <c r="Y257" i="87"/>
  <c r="Y263" i="87" s="1"/>
  <c r="Y247" i="87" s="1"/>
  <c r="Z257" i="87"/>
  <c r="Z263" i="87" s="1"/>
  <c r="Z247" i="87" s="1"/>
  <c r="AA257" i="87"/>
  <c r="AA263" i="87" s="1"/>
  <c r="AA247" i="87" s="1"/>
  <c r="AB257" i="87"/>
  <c r="AB263" i="87" s="1"/>
  <c r="AB247" i="87" s="1"/>
  <c r="AC257" i="87"/>
  <c r="AC263" i="87" s="1"/>
  <c r="AC247" i="87" s="1"/>
  <c r="AD257" i="87"/>
  <c r="AD263" i="87" s="1"/>
  <c r="AE257" i="87"/>
  <c r="AE263" i="87" s="1"/>
  <c r="AE247" i="87" s="1"/>
  <c r="AF257" i="87"/>
  <c r="AF263" i="87" s="1"/>
  <c r="AF247" i="87" s="1"/>
  <c r="AG257" i="87"/>
  <c r="AG263" i="87" s="1"/>
  <c r="AG247" i="87" s="1"/>
  <c r="AH257" i="87"/>
  <c r="AH263" i="87" s="1"/>
  <c r="AI257" i="87"/>
  <c r="AI263" i="87" s="1"/>
  <c r="AJ257" i="87"/>
  <c r="AJ263" i="87" s="1"/>
  <c r="AJ247" i="87" s="1"/>
  <c r="J280" i="87"/>
  <c r="J264" i="87" s="1"/>
  <c r="K280" i="87"/>
  <c r="K264" i="87" s="1"/>
  <c r="L280" i="87"/>
  <c r="L264" i="87" s="1"/>
  <c r="M280" i="87"/>
  <c r="M264" i="87" s="1"/>
  <c r="N280" i="87"/>
  <c r="N264" i="87" s="1"/>
  <c r="O280" i="87"/>
  <c r="O264" i="87" s="1"/>
  <c r="P280" i="87"/>
  <c r="P264" i="87" s="1"/>
  <c r="Q280" i="87"/>
  <c r="Q264" i="87" s="1"/>
  <c r="R280" i="87"/>
  <c r="R264" i="87" s="1"/>
  <c r="S280" i="87"/>
  <c r="S264" i="87" s="1"/>
  <c r="T280" i="87"/>
  <c r="T264" i="87" s="1"/>
  <c r="U280" i="87"/>
  <c r="U264" i="87" s="1"/>
  <c r="V280" i="87"/>
  <c r="V264" i="87" s="1"/>
  <c r="W280" i="87"/>
  <c r="W264" i="87" s="1"/>
  <c r="X280" i="87"/>
  <c r="X264" i="87" s="1"/>
  <c r="Y280" i="87"/>
  <c r="Y264" i="87" s="1"/>
  <c r="Z280" i="87"/>
  <c r="Z264" i="87" s="1"/>
  <c r="AA280" i="87"/>
  <c r="AA264" i="87" s="1"/>
  <c r="AB280" i="87"/>
  <c r="AB264" i="87" s="1"/>
  <c r="AC280" i="87"/>
  <c r="AC264" i="87" s="1"/>
  <c r="AD280" i="87"/>
  <c r="AD264" i="87" s="1"/>
  <c r="AE280" i="87"/>
  <c r="AE264" i="87" s="1"/>
  <c r="AF280" i="87"/>
  <c r="AF264" i="87" s="1"/>
  <c r="AG280" i="87"/>
  <c r="AG264" i="87" s="1"/>
  <c r="AH280" i="87"/>
  <c r="AH264" i="87" s="1"/>
  <c r="AI280" i="87"/>
  <c r="AI264" i="87" s="1"/>
  <c r="AJ280" i="87"/>
  <c r="AJ264" i="87" s="1"/>
  <c r="G20" i="87"/>
  <c r="G27" i="87" s="1"/>
  <c r="G11" i="87" s="1"/>
  <c r="H20" i="87"/>
  <c r="H27" i="87" s="1"/>
  <c r="H11" i="87" s="1"/>
  <c r="I20" i="87"/>
  <c r="I27" i="87" s="1"/>
  <c r="I11" i="87" s="1"/>
  <c r="G38" i="87"/>
  <c r="G29" i="87" s="1"/>
  <c r="H38" i="87"/>
  <c r="H29" i="87" s="1"/>
  <c r="I38" i="87"/>
  <c r="I29" i="87" s="1"/>
  <c r="G43" i="87"/>
  <c r="G39" i="87" s="1"/>
  <c r="H43" i="87"/>
  <c r="H39" i="87" s="1"/>
  <c r="I43" i="87"/>
  <c r="I39" i="87" s="1"/>
  <c r="G47" i="87"/>
  <c r="G44" i="87" s="1"/>
  <c r="H47" i="87"/>
  <c r="H44" i="87" s="1"/>
  <c r="I47" i="87"/>
  <c r="I44" i="87" s="1"/>
  <c r="G51" i="87"/>
  <c r="G48" i="87" s="1"/>
  <c r="H51" i="87"/>
  <c r="H48" i="87" s="1"/>
  <c r="I51" i="87"/>
  <c r="I48" i="87" s="1"/>
  <c r="G53" i="87"/>
  <c r="H53" i="87"/>
  <c r="G61" i="87"/>
  <c r="H61" i="87"/>
  <c r="I64" i="87"/>
  <c r="I52" i="87" s="1"/>
  <c r="G67" i="87"/>
  <c r="G84" i="87" s="1"/>
  <c r="H67" i="87"/>
  <c r="H84" i="87" s="1"/>
  <c r="I67" i="87"/>
  <c r="I84" i="87" s="1"/>
  <c r="I65" i="87" s="1"/>
  <c r="G89" i="87"/>
  <c r="G85" i="87" s="1"/>
  <c r="H89" i="87"/>
  <c r="H85" i="87" s="1"/>
  <c r="I89" i="87"/>
  <c r="I85" i="87" s="1"/>
  <c r="G94" i="87"/>
  <c r="G90" i="87" s="1"/>
  <c r="H94" i="87"/>
  <c r="H90" i="87" s="1"/>
  <c r="I94" i="87"/>
  <c r="I90" i="87" s="1"/>
  <c r="G102" i="87"/>
  <c r="G96" i="87" s="1"/>
  <c r="H102" i="87"/>
  <c r="H96" i="87" s="1"/>
  <c r="I102" i="87"/>
  <c r="I96" i="87" s="1"/>
  <c r="G111" i="87"/>
  <c r="G103" i="87" s="1"/>
  <c r="H111" i="87"/>
  <c r="H103" i="87" s="1"/>
  <c r="I111" i="87"/>
  <c r="I103" i="87" s="1"/>
  <c r="G115" i="87"/>
  <c r="G112" i="87" s="1"/>
  <c r="H115" i="87"/>
  <c r="H112" i="87" s="1"/>
  <c r="I115" i="87"/>
  <c r="I112" i="87" s="1"/>
  <c r="G125" i="87"/>
  <c r="G116" i="87" s="1"/>
  <c r="H125" i="87"/>
  <c r="H116" i="87" s="1"/>
  <c r="I125" i="87"/>
  <c r="I116" i="87" s="1"/>
  <c r="G128" i="87"/>
  <c r="G126" i="87" s="1"/>
  <c r="H128" i="87"/>
  <c r="H126" i="87" s="1"/>
  <c r="I128" i="87"/>
  <c r="I126" i="87" s="1"/>
  <c r="G133" i="87"/>
  <c r="G129" i="87" s="1"/>
  <c r="H133" i="87"/>
  <c r="H129" i="87" s="1"/>
  <c r="I133" i="87"/>
  <c r="I129" i="87" s="1"/>
  <c r="G135" i="87"/>
  <c r="H135" i="87"/>
  <c r="I142" i="87"/>
  <c r="I134" i="87" s="1"/>
  <c r="G140" i="87"/>
  <c r="H140" i="87"/>
  <c r="G147" i="87"/>
  <c r="H147" i="87"/>
  <c r="I147" i="87"/>
  <c r="G153" i="87"/>
  <c r="H153" i="87"/>
  <c r="I153" i="87"/>
  <c r="G158" i="87"/>
  <c r="H158" i="87"/>
  <c r="I158" i="87"/>
  <c r="G162" i="87"/>
  <c r="H162" i="87"/>
  <c r="I162" i="87"/>
  <c r="G170" i="87"/>
  <c r="H170" i="87"/>
  <c r="I170" i="87"/>
  <c r="G173" i="87"/>
  <c r="G171" i="87" s="1"/>
  <c r="H173" i="87"/>
  <c r="H171" i="87" s="1"/>
  <c r="I173" i="87"/>
  <c r="I171" i="87" s="1"/>
  <c r="G184" i="87"/>
  <c r="G186" i="87" s="1"/>
  <c r="G174" i="87" s="1"/>
  <c r="H184" i="87"/>
  <c r="H186" i="87" s="1"/>
  <c r="H174" i="87" s="1"/>
  <c r="I186" i="87"/>
  <c r="I174" i="87" s="1"/>
  <c r="G198" i="87"/>
  <c r="H198" i="87"/>
  <c r="G200" i="87"/>
  <c r="H200" i="87"/>
  <c r="G206" i="87"/>
  <c r="H206" i="87"/>
  <c r="G236" i="87"/>
  <c r="H236" i="87"/>
  <c r="G257" i="87"/>
  <c r="G263" i="87" s="1"/>
  <c r="G247" i="87" s="1"/>
  <c r="H257" i="87"/>
  <c r="H263" i="87" s="1"/>
  <c r="H247" i="87" s="1"/>
  <c r="I257" i="87"/>
  <c r="I263" i="87" s="1"/>
  <c r="I247" i="87" s="1"/>
  <c r="G280" i="87"/>
  <c r="G264" i="87" s="1"/>
  <c r="H280" i="87"/>
  <c r="H264" i="87" s="1"/>
  <c r="I280" i="87"/>
  <c r="I264" i="87" s="1"/>
  <c r="F184" i="87"/>
  <c r="F186" i="87" s="1"/>
  <c r="H142" i="87" l="1"/>
  <c r="H134" i="87" s="1"/>
  <c r="G64" i="87"/>
  <c r="G52" i="87" s="1"/>
  <c r="I143" i="87"/>
  <c r="H64" i="87"/>
  <c r="H52" i="87" s="1"/>
  <c r="X143" i="87"/>
  <c r="AB28" i="87"/>
  <c r="L28" i="87"/>
  <c r="L188" i="87"/>
  <c r="H143" i="87"/>
  <c r="G142" i="87"/>
  <c r="G134" i="87" s="1"/>
  <c r="O143" i="87"/>
  <c r="V143" i="87"/>
  <c r="Z143" i="87"/>
  <c r="J143" i="87"/>
  <c r="G143" i="87"/>
  <c r="Y143" i="87"/>
  <c r="AJ28" i="87"/>
  <c r="T28" i="87"/>
  <c r="AF95" i="87"/>
  <c r="AI28" i="87"/>
  <c r="S28" i="87"/>
  <c r="Y28" i="87"/>
  <c r="G218" i="87"/>
  <c r="G246" i="87" s="1"/>
  <c r="G189" i="87" s="1"/>
  <c r="W143" i="87"/>
  <c r="AB29" i="87"/>
  <c r="P95" i="87"/>
  <c r="Y29" i="87"/>
  <c r="AF143" i="87"/>
  <c r="P143" i="87"/>
  <c r="AJ143" i="87"/>
  <c r="T143" i="87"/>
  <c r="AE143" i="87"/>
  <c r="AA143" i="87"/>
  <c r="K143" i="87"/>
  <c r="AI143" i="87"/>
  <c r="S143" i="87"/>
  <c r="J188" i="87"/>
  <c r="AH143" i="87"/>
  <c r="R143" i="87"/>
  <c r="L29" i="87"/>
  <c r="R188" i="87"/>
  <c r="AG143" i="87"/>
  <c r="Q143" i="87"/>
  <c r="Y95" i="87"/>
  <c r="U143" i="87"/>
  <c r="AD143" i="87"/>
  <c r="N143" i="87"/>
  <c r="H95" i="87"/>
  <c r="AH188" i="87"/>
  <c r="AC143" i="87"/>
  <c r="M143" i="87"/>
  <c r="AJ39" i="87"/>
  <c r="H218" i="87"/>
  <c r="H246" i="87" s="1"/>
  <c r="H189" i="87" s="1"/>
  <c r="AB143" i="87"/>
  <c r="L143" i="87"/>
  <c r="AJ95" i="87"/>
  <c r="T95" i="87"/>
  <c r="AB188" i="87"/>
  <c r="AA188" i="87"/>
  <c r="Z188" i="87"/>
  <c r="Y188" i="87"/>
  <c r="K188" i="87"/>
  <c r="AH95" i="87"/>
  <c r="R95" i="87"/>
  <c r="AA28" i="87"/>
  <c r="K28" i="87"/>
  <c r="AG95" i="87"/>
  <c r="Q95" i="87"/>
  <c r="Z28" i="87"/>
  <c r="J28" i="87"/>
  <c r="AD188" i="87"/>
  <c r="AD247" i="87"/>
  <c r="N188" i="87"/>
  <c r="N247" i="87"/>
  <c r="AE95" i="87"/>
  <c r="O95" i="87"/>
  <c r="AD95" i="87"/>
  <c r="N95" i="87"/>
  <c r="AC95" i="87"/>
  <c r="M95" i="87"/>
  <c r="AB95" i="87"/>
  <c r="L95" i="87"/>
  <c r="AA95" i="87"/>
  <c r="K95" i="87"/>
  <c r="X247" i="87"/>
  <c r="X188" i="87"/>
  <c r="Z95" i="87"/>
  <c r="J95" i="87"/>
  <c r="W247" i="87"/>
  <c r="W188" i="87"/>
  <c r="X95" i="87"/>
  <c r="V95" i="87"/>
  <c r="W95" i="87"/>
  <c r="AI247" i="87"/>
  <c r="AI188" i="87"/>
  <c r="S188" i="87"/>
  <c r="S247" i="87"/>
  <c r="AI95" i="87"/>
  <c r="S95" i="87"/>
  <c r="U95" i="87"/>
  <c r="X28" i="87"/>
  <c r="AH247" i="87"/>
  <c r="R247" i="87"/>
  <c r="Z189" i="87"/>
  <c r="J189" i="87"/>
  <c r="V188" i="87"/>
  <c r="V28" i="87"/>
  <c r="AI39" i="87"/>
  <c r="S39" i="87"/>
  <c r="AA29" i="87"/>
  <c r="K29" i="87"/>
  <c r="W28" i="87"/>
  <c r="Y189" i="87"/>
  <c r="U188" i="87"/>
  <c r="U28" i="87"/>
  <c r="AJ188" i="87"/>
  <c r="T188" i="87"/>
  <c r="AH28" i="87"/>
  <c r="R28" i="87"/>
  <c r="AG188" i="87"/>
  <c r="Q188" i="87"/>
  <c r="AG28" i="87"/>
  <c r="Q28" i="87"/>
  <c r="AF188" i="87"/>
  <c r="P188" i="87"/>
  <c r="AF28" i="87"/>
  <c r="P28" i="87"/>
  <c r="AE188" i="87"/>
  <c r="O188" i="87"/>
  <c r="AE28" i="87"/>
  <c r="O28" i="87"/>
  <c r="AD28" i="87"/>
  <c r="N28" i="87"/>
  <c r="AC188" i="87"/>
  <c r="M188" i="87"/>
  <c r="AC28" i="87"/>
  <c r="M28" i="87"/>
  <c r="I95" i="87"/>
  <c r="G95" i="87"/>
  <c r="H65" i="87"/>
  <c r="G65" i="87"/>
  <c r="I246" i="87"/>
  <c r="I28" i="87"/>
  <c r="AC10" i="87" l="1"/>
  <c r="AC282" i="87" s="1"/>
  <c r="G28" i="87"/>
  <c r="G10" i="87" s="1"/>
  <c r="AI10" i="87"/>
  <c r="AI282" i="87" s="1"/>
  <c r="H28" i="87"/>
  <c r="H10" i="87" s="1"/>
  <c r="S10" i="87"/>
  <c r="S282" i="87" s="1"/>
  <c r="R10" i="87"/>
  <c r="R282" i="87" s="1"/>
  <c r="G188" i="87"/>
  <c r="T10" i="87"/>
  <c r="T282" i="87" s="1"/>
  <c r="AH10" i="87"/>
  <c r="AH282" i="87" s="1"/>
  <c r="O10" i="87"/>
  <c r="O282" i="87" s="1"/>
  <c r="AE10" i="87"/>
  <c r="AE282" i="87" s="1"/>
  <c r="L10" i="87"/>
  <c r="L282" i="87" s="1"/>
  <c r="AB10" i="87"/>
  <c r="AB282" i="87" s="1"/>
  <c r="H188" i="87"/>
  <c r="Y10" i="87"/>
  <c r="Y282" i="87" s="1"/>
  <c r="AJ10" i="87"/>
  <c r="AJ282" i="87" s="1"/>
  <c r="I10" i="87"/>
  <c r="U10" i="87"/>
  <c r="U282" i="87" s="1"/>
  <c r="X10" i="87"/>
  <c r="X282" i="87" s="1"/>
  <c r="W10" i="87"/>
  <c r="W282" i="87" s="1"/>
  <c r="AF10" i="87"/>
  <c r="AF282" i="87" s="1"/>
  <c r="Z10" i="87"/>
  <c r="Z282" i="87" s="1"/>
  <c r="P10" i="87"/>
  <c r="P282" i="87" s="1"/>
  <c r="K10" i="87"/>
  <c r="K282" i="87" s="1"/>
  <c r="AA10" i="87"/>
  <c r="AA282" i="87" s="1"/>
  <c r="Q10" i="87"/>
  <c r="Q282" i="87" s="1"/>
  <c r="AG10" i="87"/>
  <c r="AG282" i="87" s="1"/>
  <c r="V10" i="87"/>
  <c r="V282" i="87" s="1"/>
  <c r="J10" i="87"/>
  <c r="J282" i="87" s="1"/>
  <c r="N10" i="87"/>
  <c r="N282" i="87" s="1"/>
  <c r="AD10" i="87"/>
  <c r="AD282" i="87" s="1"/>
  <c r="M10" i="87"/>
  <c r="M282" i="87" s="1"/>
  <c r="I188" i="87"/>
  <c r="I189" i="87"/>
  <c r="H282" i="87" l="1"/>
  <c r="G282" i="87"/>
  <c r="I282" i="87"/>
  <c r="F247" i="87"/>
  <c r="F22" i="99" s="1"/>
  <c r="F264" i="87"/>
  <c r="F23" i="99" s="1"/>
  <c r="F20" i="87"/>
  <c r="F27" i="87" s="1"/>
  <c r="F11" i="87" s="1"/>
  <c r="F10" i="99" s="1"/>
  <c r="F38" i="87"/>
  <c r="F43" i="87"/>
  <c r="F39" i="87" s="1"/>
  <c r="F47" i="87"/>
  <c r="F44" i="87" s="1"/>
  <c r="F51" i="87"/>
  <c r="F48" i="87" s="1"/>
  <c r="F64" i="87"/>
  <c r="F52" i="87" s="1"/>
  <c r="F84" i="87"/>
  <c r="F65" i="87" s="1"/>
  <c r="F89" i="87"/>
  <c r="F85" i="87" s="1"/>
  <c r="F94" i="87"/>
  <c r="F90" i="87" s="1"/>
  <c r="F174" i="87"/>
  <c r="F17" i="99" s="1"/>
  <c r="F173" i="87"/>
  <c r="F171" i="87" s="1"/>
  <c r="F16" i="99" s="1"/>
  <c r="F170" i="87"/>
  <c r="F162" i="87"/>
  <c r="F158" i="87"/>
  <c r="F153" i="87"/>
  <c r="F147" i="87"/>
  <c r="F134" i="87"/>
  <c r="F14" i="99" s="1"/>
  <c r="F133" i="87"/>
  <c r="F129" i="87" s="1"/>
  <c r="F128" i="87"/>
  <c r="F126" i="87" s="1"/>
  <c r="F13" i="99" s="1"/>
  <c r="F125" i="87"/>
  <c r="F116" i="87" s="1"/>
  <c r="F115" i="87"/>
  <c r="F112" i="87" s="1"/>
  <c r="F111" i="87"/>
  <c r="F103" i="87" s="1"/>
  <c r="F102" i="87"/>
  <c r="F96" i="87" s="1"/>
  <c r="F29" i="87" l="1"/>
  <c r="F28" i="87"/>
  <c r="F11" i="99" s="1"/>
  <c r="F95" i="87"/>
  <c r="F12" i="99" s="1"/>
  <c r="F189" i="87"/>
  <c r="F143" i="87"/>
  <c r="F15" i="99" s="1"/>
  <c r="F21" i="99" l="1"/>
  <c r="F24" i="99" s="1"/>
  <c r="F18" i="99"/>
  <c r="F10" i="87"/>
  <c r="F282" i="87" s="1"/>
  <c r="F26" i="99" l="1"/>
  <c r="M78" i="95" l="1"/>
  <c r="J84" i="95"/>
  <c r="J161" i="95"/>
  <c r="J145" i="95" l="1"/>
  <c r="M105" i="95"/>
  <c r="K109" i="95"/>
  <c r="L84" i="95" l="1"/>
  <c r="L63" i="95"/>
  <c r="K53" i="95"/>
  <c r="L53" i="95"/>
  <c r="BR200" i="95"/>
  <c r="BQ200" i="95"/>
  <c r="BP200" i="95"/>
  <c r="BO200" i="95"/>
  <c r="BN200" i="95"/>
  <c r="BM200" i="95"/>
  <c r="BL200" i="95"/>
  <c r="BK200" i="95"/>
  <c r="BJ200" i="95"/>
  <c r="BH200" i="95"/>
  <c r="BG200" i="95"/>
  <c r="BE200" i="95"/>
  <c r="BC200" i="95"/>
  <c r="AZ200" i="95"/>
  <c r="AX200" i="95"/>
  <c r="AV200" i="95"/>
  <c r="AU200" i="95"/>
  <c r="AT200" i="95"/>
  <c r="AS200" i="95"/>
  <c r="P200" i="95"/>
  <c r="O200" i="95"/>
  <c r="K200" i="95"/>
  <c r="H200" i="95"/>
  <c r="E200" i="95"/>
  <c r="BS197" i="95"/>
  <c r="BF197" i="95"/>
  <c r="BS196" i="95"/>
  <c r="BF196" i="95"/>
  <c r="BS195" i="95"/>
  <c r="BF195" i="95"/>
  <c r="BS194" i="95"/>
  <c r="BF194" i="95"/>
  <c r="BS193" i="95"/>
  <c r="BF193" i="95"/>
  <c r="BS192" i="95"/>
  <c r="BF192" i="95"/>
  <c r="BS191" i="95"/>
  <c r="BF191" i="95"/>
  <c r="BS190" i="95"/>
  <c r="BF190" i="95"/>
  <c r="BS189" i="95"/>
  <c r="BF189" i="95"/>
  <c r="BS188" i="95"/>
  <c r="BF188" i="95"/>
  <c r="BS187" i="95"/>
  <c r="BF187" i="95"/>
  <c r="BI186" i="95"/>
  <c r="BS186" i="95" s="1"/>
  <c r="AW186" i="95"/>
  <c r="AW200" i="95" s="1"/>
  <c r="BI185" i="95"/>
  <c r="BS185" i="95" s="1"/>
  <c r="BB185" i="95"/>
  <c r="BB200" i="95" s="1"/>
  <c r="BS184" i="95"/>
  <c r="BF184" i="95"/>
  <c r="BS183" i="95"/>
  <c r="BF183" i="95"/>
  <c r="BI182" i="95"/>
  <c r="BD182" i="95"/>
  <c r="BD200" i="95" s="1"/>
  <c r="BA182" i="95"/>
  <c r="BA200" i="95" s="1"/>
  <c r="BS181" i="95"/>
  <c r="BF181" i="95"/>
  <c r="BS180" i="95"/>
  <c r="BF180" i="95"/>
  <c r="BS179" i="95"/>
  <c r="BF179" i="95"/>
  <c r="BS178" i="95"/>
  <c r="BF178" i="95"/>
  <c r="BS177" i="95"/>
  <c r="BF177" i="95"/>
  <c r="BS176" i="95"/>
  <c r="BF176" i="95"/>
  <c r="BS175" i="95"/>
  <c r="BF175" i="95"/>
  <c r="BS174" i="95"/>
  <c r="BF174" i="95"/>
  <c r="BS173" i="95"/>
  <c r="BF173" i="95"/>
  <c r="BS172" i="95"/>
  <c r="BF172" i="95"/>
  <c r="BS170" i="95"/>
  <c r="AY170" i="95"/>
  <c r="BF170" i="95" s="1"/>
  <c r="BR165" i="95"/>
  <c r="BQ165" i="95"/>
  <c r="BP165" i="95"/>
  <c r="BO165" i="95"/>
  <c r="BN165" i="95"/>
  <c r="BM165" i="95"/>
  <c r="BL165" i="95"/>
  <c r="M165" i="95"/>
  <c r="L165" i="95"/>
  <c r="J165" i="95"/>
  <c r="I165" i="95"/>
  <c r="E165" i="95"/>
  <c r="BR161" i="95"/>
  <c r="BQ161" i="95"/>
  <c r="BP161" i="95"/>
  <c r="BO161" i="95"/>
  <c r="BN161" i="95"/>
  <c r="BM161" i="95"/>
  <c r="L161" i="95"/>
  <c r="I161" i="95"/>
  <c r="E161" i="95"/>
  <c r="BR145" i="95"/>
  <c r="BQ145" i="95"/>
  <c r="BP145" i="95"/>
  <c r="BO145" i="95"/>
  <c r="BN145" i="95"/>
  <c r="BM145" i="95"/>
  <c r="BL145" i="95"/>
  <c r="O145" i="95"/>
  <c r="L145" i="95"/>
  <c r="I145" i="95"/>
  <c r="E145" i="95"/>
  <c r="M136" i="95"/>
  <c r="H136" i="95"/>
  <c r="P136" i="95" s="1"/>
  <c r="AV145" i="95"/>
  <c r="AU145" i="95"/>
  <c r="AT145" i="95"/>
  <c r="AR145" i="95"/>
  <c r="AQ145" i="95"/>
  <c r="AP145" i="95"/>
  <c r="AO145" i="95"/>
  <c r="AN145" i="95"/>
  <c r="AM145" i="95"/>
  <c r="AL145" i="95"/>
  <c r="AK145" i="95"/>
  <c r="AJ145" i="95"/>
  <c r="AI145" i="95"/>
  <c r="AH145" i="95"/>
  <c r="AG145" i="95"/>
  <c r="AE145" i="95"/>
  <c r="AD145" i="95"/>
  <c r="AC145" i="95"/>
  <c r="AB145" i="95"/>
  <c r="AA145" i="95"/>
  <c r="Z145" i="95"/>
  <c r="Y145" i="95"/>
  <c r="X145" i="95"/>
  <c r="W145" i="95"/>
  <c r="V145" i="95"/>
  <c r="U145" i="95"/>
  <c r="T145" i="95"/>
  <c r="S145" i="95"/>
  <c r="R145" i="95"/>
  <c r="Q145" i="95"/>
  <c r="M118" i="95"/>
  <c r="H118" i="95"/>
  <c r="P118" i="95" s="1"/>
  <c r="M109" i="95"/>
  <c r="H109" i="95"/>
  <c r="P109" i="95" s="1"/>
  <c r="H108" i="95"/>
  <c r="P108" i="95" s="1"/>
  <c r="H144" i="95"/>
  <c r="P144" i="95" s="1"/>
  <c r="H105" i="95"/>
  <c r="P105" i="95" s="1"/>
  <c r="H104" i="95"/>
  <c r="P104" i="95" s="1"/>
  <c r="M103" i="95"/>
  <c r="H103" i="95"/>
  <c r="P103" i="95" s="1"/>
  <c r="M100" i="95"/>
  <c r="H100" i="95"/>
  <c r="P100" i="95" s="1"/>
  <c r="K95" i="95"/>
  <c r="H95" i="95" s="1"/>
  <c r="P95" i="95" s="1"/>
  <c r="B94" i="95"/>
  <c r="B95" i="95" s="1"/>
  <c r="B98" i="95" s="1"/>
  <c r="B100" i="95" s="1"/>
  <c r="B101" i="95" s="1"/>
  <c r="B103" i="95" s="1"/>
  <c r="B105" i="95" s="1"/>
  <c r="B109" i="95" s="1"/>
  <c r="BR84" i="95"/>
  <c r="BQ84" i="95"/>
  <c r="BP84" i="95"/>
  <c r="BO84" i="95"/>
  <c r="BN84" i="95"/>
  <c r="BM84" i="95"/>
  <c r="I84" i="95"/>
  <c r="E84" i="95"/>
  <c r="M82" i="95"/>
  <c r="M80" i="95"/>
  <c r="H77" i="95"/>
  <c r="P77" i="95" s="1"/>
  <c r="M76" i="95"/>
  <c r="M74" i="95"/>
  <c r="M72" i="95"/>
  <c r="H71" i="95"/>
  <c r="H84" i="95" s="1"/>
  <c r="BR67" i="95"/>
  <c r="BQ67" i="95"/>
  <c r="BP67" i="95"/>
  <c r="BO67" i="95"/>
  <c r="BN67" i="95"/>
  <c r="BM67" i="95"/>
  <c r="BL67" i="95"/>
  <c r="M67" i="95"/>
  <c r="L67" i="95"/>
  <c r="J67" i="95"/>
  <c r="I67" i="95"/>
  <c r="E67" i="95"/>
  <c r="BR63" i="95"/>
  <c r="BQ63" i="95"/>
  <c r="BP63" i="95"/>
  <c r="BO63" i="95"/>
  <c r="BN63" i="95"/>
  <c r="BM63" i="95"/>
  <c r="BL63" i="95"/>
  <c r="J63" i="95"/>
  <c r="I63" i="95"/>
  <c r="E63" i="95"/>
  <c r="M59" i="95"/>
  <c r="H59" i="95"/>
  <c r="P59" i="95" s="1"/>
  <c r="M57" i="95"/>
  <c r="H57" i="95"/>
  <c r="M55" i="95"/>
  <c r="H55" i="95"/>
  <c r="BR53" i="95"/>
  <c r="BQ53" i="95"/>
  <c r="BP53" i="95"/>
  <c r="BO53" i="95"/>
  <c r="BN53" i="95"/>
  <c r="BM53" i="95"/>
  <c r="BL53" i="95"/>
  <c r="J53" i="95"/>
  <c r="I53" i="95"/>
  <c r="E53" i="95"/>
  <c r="M51" i="95"/>
  <c r="M49" i="95"/>
  <c r="M47" i="95"/>
  <c r="H46" i="95"/>
  <c r="BR44" i="95"/>
  <c r="BQ44" i="95"/>
  <c r="BP44" i="95"/>
  <c r="BO44" i="95"/>
  <c r="BN44" i="95"/>
  <c r="BM44" i="95"/>
  <c r="BL44" i="95"/>
  <c r="L44" i="95"/>
  <c r="J44" i="95"/>
  <c r="I44" i="95"/>
  <c r="E44" i="95"/>
  <c r="BR38" i="95"/>
  <c r="BQ38" i="95"/>
  <c r="BP38" i="95"/>
  <c r="BO38" i="95"/>
  <c r="BN38" i="95"/>
  <c r="BM38" i="95"/>
  <c r="BL38" i="95"/>
  <c r="L38" i="95"/>
  <c r="J38" i="95"/>
  <c r="I38" i="95"/>
  <c r="E38" i="95"/>
  <c r="BR29" i="95"/>
  <c r="BQ29" i="95"/>
  <c r="BP29" i="95"/>
  <c r="BO29" i="95"/>
  <c r="BN29" i="95"/>
  <c r="BM29" i="95"/>
  <c r="L29" i="95"/>
  <c r="I29" i="95"/>
  <c r="E29" i="95"/>
  <c r="J22" i="95"/>
  <c r="J29" i="95" s="1"/>
  <c r="H22" i="95"/>
  <c r="H21" i="95"/>
  <c r="H20" i="95"/>
  <c r="H19" i="95"/>
  <c r="P18" i="95"/>
  <c r="H14" i="95"/>
  <c r="H13" i="95"/>
  <c r="P13" i="95" s="1"/>
  <c r="J68" i="95" l="1"/>
  <c r="BF186" i="95"/>
  <c r="BT186" i="95" s="1"/>
  <c r="BT190" i="95"/>
  <c r="BT194" i="95"/>
  <c r="L68" i="95"/>
  <c r="L167" i="95" s="1"/>
  <c r="M95" i="95"/>
  <c r="BT197" i="95"/>
  <c r="BP68" i="95"/>
  <c r="BF185" i="95"/>
  <c r="BT185" i="95" s="1"/>
  <c r="BT178" i="95"/>
  <c r="BT189" i="95"/>
  <c r="BT175" i="95"/>
  <c r="AY200" i="95"/>
  <c r="M53" i="95"/>
  <c r="N53" i="95" s="1"/>
  <c r="J167" i="95"/>
  <c r="I68" i="95"/>
  <c r="I167" i="95" s="1"/>
  <c r="BO68" i="95"/>
  <c r="M84" i="95"/>
  <c r="BT174" i="95"/>
  <c r="BT179" i="95"/>
  <c r="BT193" i="95"/>
  <c r="E68" i="95"/>
  <c r="E167" i="95" s="1"/>
  <c r="BN68" i="95"/>
  <c r="BR68" i="95"/>
  <c r="H63" i="95"/>
  <c r="M63" i="95"/>
  <c r="BM68" i="95"/>
  <c r="BQ68" i="95"/>
  <c r="BI200" i="95"/>
  <c r="BL84" i="95"/>
  <c r="BT172" i="95"/>
  <c r="BT177" i="95"/>
  <c r="BT180" i="95"/>
  <c r="BT183" i="95"/>
  <c r="BT188" i="95"/>
  <c r="BT191" i="95"/>
  <c r="BT176" i="95"/>
  <c r="BF182" i="95"/>
  <c r="BT187" i="95"/>
  <c r="BT195" i="95"/>
  <c r="P46" i="95"/>
  <c r="P53" i="95" s="1"/>
  <c r="H53" i="95"/>
  <c r="P71" i="95"/>
  <c r="P84" i="95" s="1"/>
  <c r="P55" i="95"/>
  <c r="P63" i="95" s="1"/>
  <c r="AS145" i="95"/>
  <c r="AF145" i="95"/>
  <c r="BT196" i="95"/>
  <c r="BT170" i="95"/>
  <c r="BT173" i="95"/>
  <c r="BT181" i="95"/>
  <c r="BT184" i="95"/>
  <c r="BT192" i="95"/>
  <c r="BS182" i="95"/>
  <c r="H950" i="92"/>
  <c r="BT182" i="95" l="1"/>
  <c r="L206" i="95"/>
  <c r="BF200" i="95"/>
  <c r="E206" i="95"/>
  <c r="BS200" i="95"/>
  <c r="BT200" i="95"/>
  <c r="BV200" i="95" s="1"/>
  <c r="H1174" i="92"/>
  <c r="P145" i="95" l="1"/>
  <c r="H145" i="95"/>
  <c r="H1235" i="92"/>
  <c r="H1098" i="92" l="1"/>
  <c r="H1248" i="92"/>
  <c r="H1176" i="92"/>
  <c r="H1638" i="92" l="1"/>
  <c r="H1274" i="92"/>
  <c r="H1275" i="92" s="1"/>
  <c r="H1096" i="92"/>
  <c r="H1099" i="92" s="1"/>
  <c r="H1255" i="92"/>
  <c r="H1258" i="92" s="1"/>
  <c r="H1243" i="92"/>
  <c r="H1245" i="92" s="1"/>
  <c r="H1279" i="92"/>
  <c r="H1280" i="92" s="1"/>
  <c r="H1266" i="92"/>
  <c r="H1267" i="92" s="1"/>
  <c r="H1215" i="92"/>
  <c r="H1238" i="92"/>
  <c r="H1230" i="92"/>
  <c r="H987" i="92"/>
  <c r="H1227" i="92"/>
  <c r="H991" i="92"/>
  <c r="H1636" i="92" l="1"/>
  <c r="H1548" i="92"/>
  <c r="H765" i="92"/>
  <c r="D73" i="93" l="1"/>
  <c r="D79" i="93"/>
  <c r="H934" i="92"/>
  <c r="D58" i="93" l="1"/>
  <c r="D55" i="93"/>
  <c r="D57" i="93"/>
  <c r="D59" i="93"/>
  <c r="D63" i="93"/>
  <c r="D62" i="93"/>
  <c r="D53" i="93"/>
  <c r="D38" i="93"/>
  <c r="D37" i="93"/>
  <c r="D9" i="93"/>
  <c r="D7" i="93"/>
  <c r="D6" i="93"/>
  <c r="D5" i="93"/>
  <c r="D4" i="93"/>
  <c r="D3" i="93"/>
  <c r="H1643" i="92" l="1"/>
  <c r="H1630" i="92"/>
  <c r="H1631" i="92"/>
  <c r="H1742" i="92" l="1"/>
  <c r="D75" i="93"/>
  <c r="D65" i="93" s="1"/>
  <c r="F65" i="93" s="1"/>
  <c r="I610" i="92" l="1"/>
  <c r="I609" i="92"/>
  <c r="I608" i="92"/>
  <c r="I607" i="92"/>
  <c r="I606" i="92"/>
  <c r="I605" i="92"/>
  <c r="I604" i="92"/>
  <c r="I603" i="92"/>
  <c r="I602" i="92"/>
  <c r="I601" i="92"/>
  <c r="I600" i="92"/>
  <c r="I599" i="92"/>
  <c r="I598" i="92"/>
  <c r="I597" i="92"/>
  <c r="I596" i="92"/>
  <c r="I595" i="92"/>
  <c r="I594" i="92"/>
  <c r="I593" i="92"/>
  <c r="I592" i="92"/>
  <c r="I591" i="92"/>
  <c r="I590" i="92"/>
  <c r="I589" i="92"/>
  <c r="I588" i="92"/>
  <c r="I587" i="92"/>
  <c r="I586" i="92"/>
  <c r="I585" i="92"/>
  <c r="I584" i="92"/>
  <c r="I583" i="92"/>
  <c r="I582" i="92"/>
  <c r="I581" i="92"/>
  <c r="I580" i="92"/>
  <c r="I579" i="92"/>
  <c r="I578" i="92"/>
  <c r="I577" i="92"/>
  <c r="I576" i="92"/>
  <c r="I575" i="92"/>
  <c r="I574" i="92"/>
  <c r="I573" i="92"/>
  <c r="I572" i="92"/>
  <c r="I571" i="92"/>
  <c r="I570" i="92"/>
  <c r="I569" i="92"/>
  <c r="I568" i="92"/>
  <c r="I567" i="92"/>
  <c r="I566" i="92"/>
  <c r="I565" i="92"/>
  <c r="I564" i="92"/>
  <c r="I563" i="92" l="1"/>
  <c r="I562" i="92"/>
  <c r="I561" i="92"/>
  <c r="I560" i="92"/>
  <c r="I559" i="92"/>
  <c r="I558" i="92"/>
  <c r="I557" i="92"/>
  <c r="I556" i="92"/>
  <c r="I555" i="92"/>
  <c r="I554" i="92"/>
  <c r="I553" i="92"/>
  <c r="I552" i="92"/>
  <c r="I551" i="92"/>
  <c r="I550" i="92"/>
  <c r="I549" i="92"/>
  <c r="I548" i="92"/>
  <c r="I547" i="92"/>
  <c r="I546" i="92"/>
  <c r="I545" i="92"/>
  <c r="I544" i="92"/>
  <c r="I543" i="92"/>
  <c r="I542" i="92"/>
  <c r="I541" i="92"/>
  <c r="I540" i="92"/>
  <c r="I539" i="92"/>
  <c r="I538" i="92"/>
  <c r="I537" i="92"/>
  <c r="I536" i="92"/>
  <c r="I535" i="92"/>
  <c r="I534" i="92"/>
  <c r="I533" i="92"/>
  <c r="I532" i="92"/>
  <c r="I531" i="92"/>
  <c r="I530" i="92"/>
  <c r="I529" i="92"/>
  <c r="I528" i="92"/>
  <c r="I527" i="92"/>
  <c r="I526" i="92"/>
  <c r="I525" i="92"/>
  <c r="I524" i="92"/>
  <c r="I523" i="92" l="1"/>
  <c r="I522" i="92"/>
  <c r="I521" i="92"/>
  <c r="I520" i="92"/>
  <c r="I519" i="92"/>
  <c r="I518" i="92"/>
  <c r="I517" i="92"/>
  <c r="I516" i="92"/>
  <c r="I515" i="92"/>
  <c r="I514" i="92"/>
  <c r="I513" i="92"/>
  <c r="I512" i="92"/>
  <c r="I511" i="92"/>
  <c r="I510" i="92"/>
  <c r="I509" i="92"/>
  <c r="I508" i="92"/>
  <c r="I507" i="92"/>
  <c r="I506" i="92"/>
  <c r="I505" i="92"/>
  <c r="I504" i="92"/>
  <c r="I503" i="92"/>
  <c r="I502" i="92"/>
  <c r="I501" i="92"/>
  <c r="I500" i="92"/>
  <c r="I499" i="92"/>
  <c r="I498" i="92"/>
  <c r="I497" i="92"/>
  <c r="I496" i="92"/>
  <c r="I495" i="92"/>
  <c r="I494" i="92"/>
  <c r="I493" i="92"/>
  <c r="I492" i="92"/>
  <c r="I491" i="92"/>
  <c r="I490" i="92"/>
  <c r="I489" i="92"/>
  <c r="I488" i="92"/>
  <c r="I487" i="92"/>
  <c r="I486" i="92"/>
  <c r="I485" i="92"/>
  <c r="I484" i="92"/>
  <c r="I483" i="92"/>
  <c r="I482" i="92"/>
  <c r="I481" i="92"/>
  <c r="I480" i="92"/>
  <c r="I479" i="92"/>
  <c r="I478" i="92"/>
  <c r="I477" i="92"/>
  <c r="I476" i="92"/>
  <c r="I475" i="92"/>
  <c r="I474" i="92"/>
  <c r="I473" i="92"/>
  <c r="I472" i="92"/>
  <c r="I471" i="92"/>
  <c r="I470" i="92"/>
  <c r="I469" i="92"/>
  <c r="I468" i="92"/>
  <c r="I467" i="92"/>
  <c r="I466" i="92"/>
  <c r="I465" i="92"/>
  <c r="I464" i="92"/>
  <c r="I463" i="92" l="1"/>
  <c r="I462" i="92"/>
  <c r="I461" i="92"/>
  <c r="I460" i="92"/>
  <c r="I459" i="92"/>
  <c r="I458" i="92"/>
  <c r="I457" i="92"/>
  <c r="I456" i="92"/>
  <c r="I455" i="92"/>
  <c r="I454" i="92"/>
  <c r="I453" i="92"/>
  <c r="I452" i="92"/>
  <c r="I451" i="92"/>
  <c r="I450" i="92"/>
  <c r="I449" i="92"/>
  <c r="I448" i="92"/>
  <c r="I447" i="92"/>
  <c r="I446" i="92"/>
  <c r="I445" i="92"/>
  <c r="I444" i="92"/>
  <c r="I443" i="92"/>
  <c r="I442" i="92"/>
  <c r="I441" i="92"/>
  <c r="I440" i="92"/>
  <c r="I439" i="92"/>
  <c r="I438" i="92"/>
  <c r="I437" i="92"/>
  <c r="I436" i="92"/>
  <c r="I435" i="92"/>
  <c r="I434" i="92"/>
  <c r="I433" i="92"/>
  <c r="I432" i="92"/>
  <c r="I431" i="92"/>
  <c r="I430" i="92"/>
  <c r="I429" i="92"/>
  <c r="I428" i="92"/>
  <c r="I427" i="92"/>
  <c r="I426" i="92"/>
  <c r="I425" i="92"/>
  <c r="I424" i="92"/>
  <c r="I423" i="92"/>
  <c r="I422" i="92"/>
  <c r="I421" i="92"/>
  <c r="I420" i="92"/>
  <c r="I419" i="92"/>
  <c r="I418" i="92"/>
  <c r="I417" i="92"/>
  <c r="I416" i="92"/>
  <c r="I415" i="92"/>
  <c r="I414" i="92"/>
  <c r="I413" i="92" l="1"/>
  <c r="I412" i="92"/>
  <c r="I411" i="92"/>
  <c r="I410" i="92"/>
  <c r="I409" i="92"/>
  <c r="I408" i="92"/>
  <c r="I407" i="92"/>
  <c r="I406" i="92"/>
  <c r="I405" i="92"/>
  <c r="I404" i="92"/>
  <c r="I403" i="92"/>
  <c r="I402" i="92"/>
  <c r="I401" i="92"/>
  <c r="I400" i="92"/>
  <c r="I399" i="92"/>
  <c r="I398" i="92"/>
  <c r="I397" i="92"/>
  <c r="I396" i="92"/>
  <c r="I395" i="92"/>
  <c r="I394" i="92"/>
  <c r="I393" i="92"/>
  <c r="I392" i="92"/>
  <c r="I391" i="92"/>
  <c r="I390" i="92"/>
  <c r="I389" i="92"/>
  <c r="I388" i="92"/>
  <c r="I387" i="92"/>
  <c r="I386" i="92"/>
  <c r="I385" i="92"/>
  <c r="I384" i="92"/>
  <c r="I383" i="92"/>
  <c r="I382" i="92"/>
  <c r="I381" i="92"/>
  <c r="I380" i="92"/>
  <c r="I379" i="92"/>
  <c r="I378" i="92"/>
  <c r="I377" i="92"/>
  <c r="I376" i="92"/>
  <c r="I375" i="92"/>
  <c r="I374" i="92"/>
  <c r="I373" i="92"/>
  <c r="I356" i="92"/>
  <c r="I312" i="92"/>
  <c r="I311" i="92"/>
  <c r="I270" i="92"/>
  <c r="I246" i="92"/>
  <c r="I245" i="92"/>
  <c r="I244" i="92"/>
  <c r="I243" i="92"/>
  <c r="I354" i="92"/>
  <c r="I353" i="92"/>
  <c r="I352" i="92"/>
  <c r="I351" i="92"/>
  <c r="I338" i="92"/>
  <c r="I334" i="92"/>
  <c r="I331" i="92"/>
  <c r="I309" i="92"/>
  <c r="I268" i="92"/>
  <c r="I250" i="92"/>
  <c r="I241" i="92"/>
  <c r="I240" i="92"/>
  <c r="I239" i="92"/>
  <c r="I210" i="92"/>
  <c r="I209" i="92"/>
  <c r="I208" i="92"/>
  <c r="I207" i="92"/>
  <c r="I206" i="92"/>
  <c r="I205" i="92"/>
  <c r="I204" i="92"/>
  <c r="I196" i="92"/>
  <c r="I195" i="92"/>
  <c r="I194" i="92"/>
  <c r="I193" i="92"/>
  <c r="I355" i="92"/>
  <c r="I310" i="92"/>
  <c r="I269" i="92"/>
  <c r="I242" i="92"/>
  <c r="I225" i="92"/>
  <c r="I224" i="92"/>
  <c r="I223" i="92"/>
  <c r="I222" i="92"/>
  <c r="I221" i="92"/>
  <c r="I220" i="92"/>
  <c r="I219" i="92"/>
  <c r="I218" i="92"/>
  <c r="I217" i="92"/>
  <c r="I216" i="92"/>
  <c r="I215" i="92"/>
  <c r="I214" i="92"/>
  <c r="I213" i="92"/>
  <c r="I212" i="92"/>
  <c r="I211" i="92"/>
  <c r="I190" i="92"/>
  <c r="I189" i="92"/>
  <c r="I188" i="92"/>
  <c r="I187" i="92"/>
  <c r="I186" i="92"/>
  <c r="I185" i="92"/>
  <c r="I184" i="92"/>
  <c r="I183" i="92"/>
  <c r="I182" i="92"/>
  <c r="I181" i="92"/>
  <c r="AY33" i="95" l="1"/>
  <c r="AI157" i="95"/>
  <c r="BD203" i="95"/>
  <c r="AE43" i="95"/>
  <c r="AC43" i="95"/>
  <c r="AI55" i="95"/>
  <c r="AX55" i="95"/>
  <c r="AJ55" i="95"/>
  <c r="I370" i="92"/>
  <c r="I367" i="92"/>
  <c r="I363" i="92"/>
  <c r="I362" i="92"/>
  <c r="I366" i="92"/>
  <c r="I369" i="92"/>
  <c r="I361" i="92"/>
  <c r="I360" i="92"/>
  <c r="I359" i="92"/>
  <c r="I358" i="92"/>
  <c r="I357" i="92"/>
  <c r="I350" i="92"/>
  <c r="I349" i="92"/>
  <c r="I368" i="92"/>
  <c r="I348" i="92"/>
  <c r="I347" i="92"/>
  <c r="I346" i="92"/>
  <c r="I345" i="92"/>
  <c r="I365" i="92"/>
  <c r="I372" i="92"/>
  <c r="I364" i="92"/>
  <c r="I344" i="92"/>
  <c r="I343" i="92"/>
  <c r="I342" i="92"/>
  <c r="I341" i="92"/>
  <c r="I340" i="92"/>
  <c r="I371" i="92"/>
  <c r="I339" i="92"/>
  <c r="I337" i="92"/>
  <c r="I336" i="92"/>
  <c r="I335" i="92"/>
  <c r="I333" i="92"/>
  <c r="I332" i="92"/>
  <c r="I330" i="92"/>
  <c r="I329" i="92"/>
  <c r="I328" i="92"/>
  <c r="I327" i="92"/>
  <c r="I326" i="92"/>
  <c r="I325" i="92"/>
  <c r="I308" i="92"/>
  <c r="I307" i="92"/>
  <c r="I306" i="92"/>
  <c r="I305" i="92"/>
  <c r="I304" i="92"/>
  <c r="I303" i="92"/>
  <c r="I302" i="92"/>
  <c r="I301" i="92"/>
  <c r="I300" i="92"/>
  <c r="I299" i="92"/>
  <c r="I298" i="92"/>
  <c r="I297" i="92"/>
  <c r="I296" i="92"/>
  <c r="I295" i="92"/>
  <c r="I322" i="92"/>
  <c r="I294" i="92"/>
  <c r="I293" i="92"/>
  <c r="I292" i="92"/>
  <c r="I291" i="92"/>
  <c r="I290" i="92"/>
  <c r="I289" i="92"/>
  <c r="I288" i="92"/>
  <c r="I287" i="92"/>
  <c r="I286" i="92"/>
  <c r="I285" i="92"/>
  <c r="W203" i="95" s="1"/>
  <c r="I284" i="92"/>
  <c r="I283" i="92"/>
  <c r="I282" i="92"/>
  <c r="I281" i="92"/>
  <c r="I280" i="92"/>
  <c r="I279" i="92"/>
  <c r="I278" i="92"/>
  <c r="I277" i="92"/>
  <c r="I276" i="92"/>
  <c r="I275" i="92"/>
  <c r="I324" i="92"/>
  <c r="I320" i="92"/>
  <c r="I319" i="92"/>
  <c r="I321" i="92"/>
  <c r="I323" i="92"/>
  <c r="I318" i="92"/>
  <c r="I317" i="92"/>
  <c r="I316" i="92"/>
  <c r="I315" i="92"/>
  <c r="I314" i="92"/>
  <c r="I313" i="92"/>
  <c r="I274" i="92"/>
  <c r="I273" i="92"/>
  <c r="I272" i="92"/>
  <c r="I271" i="92"/>
  <c r="H2" i="92"/>
  <c r="G2" i="92" s="1"/>
  <c r="BC31" i="95" l="1"/>
  <c r="BE107" i="95"/>
  <c r="X151" i="95"/>
  <c r="BK204" i="95"/>
  <c r="AV132" i="95"/>
  <c r="AH43" i="95"/>
  <c r="Q31" i="95"/>
  <c r="BG55" i="95"/>
  <c r="BD55" i="95"/>
  <c r="AP43" i="95"/>
  <c r="AN43" i="95"/>
  <c r="BQ203" i="95"/>
  <c r="BQ206" i="95" s="1"/>
  <c r="V158" i="95"/>
  <c r="AO151" i="95"/>
  <c r="AG150" i="95"/>
  <c r="AU132" i="95"/>
  <c r="BK65" i="95"/>
  <c r="AE33" i="95"/>
  <c r="AK151" i="95"/>
  <c r="BA55" i="95"/>
  <c r="AN55" i="95"/>
  <c r="BK55" i="95"/>
  <c r="BI55" i="95"/>
  <c r="AU43" i="95"/>
  <c r="AR43" i="95"/>
  <c r="AJ203" i="95"/>
  <c r="Z158" i="95"/>
  <c r="AR152" i="95"/>
  <c r="AT152" i="95"/>
  <c r="AV89" i="95"/>
  <c r="AT106" i="95"/>
  <c r="BJ25" i="95"/>
  <c r="BC61" i="95"/>
  <c r="AK43" i="95"/>
  <c r="AY43" i="95"/>
  <c r="AW43" i="95"/>
  <c r="AR203" i="95"/>
  <c r="AC159" i="95"/>
  <c r="BE152" i="95"/>
  <c r="BB152" i="95"/>
  <c r="AZ89" i="95"/>
  <c r="AR65" i="95"/>
  <c r="AD32" i="95"/>
  <c r="AA150" i="95"/>
  <c r="Q55" i="95"/>
  <c r="BB43" i="95"/>
  <c r="BC43" i="95"/>
  <c r="BA43" i="95"/>
  <c r="AR157" i="95"/>
  <c r="AP159" i="95"/>
  <c r="BJ152" i="95"/>
  <c r="R157" i="95"/>
  <c r="U107" i="95"/>
  <c r="AC107" i="95"/>
  <c r="Q25" i="95"/>
  <c r="BB55" i="95"/>
  <c r="AM132" i="95"/>
  <c r="BE55" i="95"/>
  <c r="AA55" i="95"/>
  <c r="AH55" i="95"/>
  <c r="AR55" i="95"/>
  <c r="AL55" i="95"/>
  <c r="AO43" i="95"/>
  <c r="BH43" i="95"/>
  <c r="AR159" i="95"/>
  <c r="BE157" i="95"/>
  <c r="AU159" i="95"/>
  <c r="BC142" i="95"/>
  <c r="AV157" i="95"/>
  <c r="Y107" i="95"/>
  <c r="BC40" i="95"/>
  <c r="BG157" i="95"/>
  <c r="S148" i="95"/>
  <c r="U23" i="95"/>
  <c r="AW23" i="95"/>
  <c r="AV23" i="95"/>
  <c r="Y16" i="95"/>
  <c r="AT25" i="95"/>
  <c r="BF25" i="95" s="1"/>
  <c r="AT32" i="95"/>
  <c r="X26" i="95"/>
  <c r="AB26" i="95"/>
  <c r="AG33" i="95"/>
  <c r="AS33" i="95" s="1"/>
  <c r="AY32" i="95"/>
  <c r="AQ31" i="95"/>
  <c r="AG66" i="95"/>
  <c r="AS66" i="95" s="1"/>
  <c r="V32" i="95"/>
  <c r="BC25" i="95"/>
  <c r="W33" i="95"/>
  <c r="BH26" i="95"/>
  <c r="AR33" i="95"/>
  <c r="AY61" i="95"/>
  <c r="AQ32" i="95"/>
  <c r="S65" i="95"/>
  <c r="S67" i="95" s="1"/>
  <c r="AI33" i="95"/>
  <c r="BK31" i="95"/>
  <c r="AQ26" i="95"/>
  <c r="V25" i="95"/>
  <c r="AN66" i="95"/>
  <c r="AN67" i="95" s="1"/>
  <c r="BE66" i="95"/>
  <c r="AX40" i="95"/>
  <c r="AX106" i="95"/>
  <c r="AL65" i="95"/>
  <c r="AL67" i="95" s="1"/>
  <c r="AI106" i="95"/>
  <c r="BE65" i="95"/>
  <c r="BE67" i="95" s="1"/>
  <c r="AX61" i="95"/>
  <c r="AH107" i="95"/>
  <c r="V106" i="95"/>
  <c r="AC66" i="95"/>
  <c r="V132" i="95"/>
  <c r="BE89" i="95"/>
  <c r="BI150" i="95"/>
  <c r="Q107" i="95"/>
  <c r="AQ89" i="95"/>
  <c r="AE132" i="95"/>
  <c r="AJ132" i="95"/>
  <c r="X150" i="95"/>
  <c r="AV152" i="95"/>
  <c r="S149" i="95"/>
  <c r="AO107" i="95"/>
  <c r="AX152" i="95"/>
  <c r="AL152" i="95"/>
  <c r="W150" i="95"/>
  <c r="BH152" i="95"/>
  <c r="AK150" i="95"/>
  <c r="AV142" i="95"/>
  <c r="AW151" i="95"/>
  <c r="AG143" i="95"/>
  <c r="BA152" i="95"/>
  <c r="AG151" i="95"/>
  <c r="AW143" i="95"/>
  <c r="BH157" i="95"/>
  <c r="BH203" i="95"/>
  <c r="AL159" i="95"/>
  <c r="R158" i="95"/>
  <c r="BB204" i="95"/>
  <c r="AO203" i="95"/>
  <c r="X159" i="95"/>
  <c r="BA157" i="95"/>
  <c r="AA203" i="95"/>
  <c r="V203" i="95"/>
  <c r="AU12" i="95"/>
  <c r="AN23" i="95"/>
  <c r="AQ23" i="95"/>
  <c r="U16" i="95"/>
  <c r="W25" i="95"/>
  <c r="AD31" i="95"/>
  <c r="BA25" i="95"/>
  <c r="Q26" i="95"/>
  <c r="BB32" i="95"/>
  <c r="AK32" i="95"/>
  <c r="AE31" i="95"/>
  <c r="AU61" i="95"/>
  <c r="BI31" i="95"/>
  <c r="AX25" i="95"/>
  <c r="O33" i="95"/>
  <c r="AD106" i="95"/>
  <c r="BC89" i="95"/>
  <c r="BB40" i="95"/>
  <c r="AL32" i="95"/>
  <c r="BK62" i="95"/>
  <c r="AD33" i="95"/>
  <c r="BG31" i="95"/>
  <c r="BS31" i="95" s="1"/>
  <c r="AM26" i="95"/>
  <c r="R25" i="95"/>
  <c r="V66" i="95"/>
  <c r="AR66" i="95"/>
  <c r="AR67" i="95" s="1"/>
  <c r="AQ40" i="95"/>
  <c r="AG106" i="95"/>
  <c r="AS106" i="95" s="1"/>
  <c r="AG65" i="95"/>
  <c r="AG67" i="95" s="1"/>
  <c r="X106" i="95"/>
  <c r="AZ65" i="95"/>
  <c r="BJ40" i="95"/>
  <c r="BK106" i="95"/>
  <c r="BJ89" i="95"/>
  <c r="Y66" i="95"/>
  <c r="BI107" i="95"/>
  <c r="AY89" i="95"/>
  <c r="O150" i="95"/>
  <c r="BH106" i="95"/>
  <c r="BA150" i="95"/>
  <c r="W132" i="95"/>
  <c r="AD132" i="95"/>
  <c r="BE149" i="95"/>
  <c r="Q152" i="95"/>
  <c r="BK132" i="95"/>
  <c r="BG142" i="95"/>
  <c r="BS142" i="95" s="1"/>
  <c r="AH152" i="95"/>
  <c r="AD152" i="95"/>
  <c r="S150" i="95"/>
  <c r="AY152" i="95"/>
  <c r="AE150" i="95"/>
  <c r="AM142" i="95"/>
  <c r="AQ151" i="95"/>
  <c r="BH142" i="95"/>
  <c r="AW152" i="95"/>
  <c r="AB151" i="95"/>
  <c r="AR143" i="95"/>
  <c r="BP204" i="95"/>
  <c r="BC203" i="95"/>
  <c r="AH159" i="95"/>
  <c r="BK157" i="95"/>
  <c r="AX204" i="95"/>
  <c r="AK203" i="95"/>
  <c r="T159" i="95"/>
  <c r="AW157" i="95"/>
  <c r="S203" i="95"/>
  <c r="AV203" i="95"/>
  <c r="AV159" i="95"/>
  <c r="AN12" i="95"/>
  <c r="W23" i="95"/>
  <c r="AM23" i="95"/>
  <c r="Q16" i="95"/>
  <c r="BE24" i="95"/>
  <c r="AX26" i="95"/>
  <c r="AJ25" i="95"/>
  <c r="AY25" i="95"/>
  <c r="AB32" i="95"/>
  <c r="X32" i="95"/>
  <c r="W31" i="95"/>
  <c r="BK40" i="95"/>
  <c r="AW31" i="95"/>
  <c r="AR25" i="95"/>
  <c r="BD32" i="95"/>
  <c r="AX66" i="95"/>
  <c r="AB66" i="95"/>
  <c r="AT40" i="95"/>
  <c r="AG32" i="95"/>
  <c r="BA62" i="95"/>
  <c r="Z33" i="95"/>
  <c r="BB31" i="95"/>
  <c r="AI26" i="95"/>
  <c r="BI24" i="95"/>
  <c r="BG65" i="95"/>
  <c r="AI66" i="95"/>
  <c r="AL40" i="95"/>
  <c r="S106" i="95"/>
  <c r="AA65" i="95"/>
  <c r="AA67" i="95" s="1"/>
  <c r="BA89" i="95"/>
  <c r="AV65" i="95"/>
  <c r="AV67" i="95" s="1"/>
  <c r="BE40" i="95"/>
  <c r="BA106" i="95"/>
  <c r="BB89" i="95"/>
  <c r="U66" i="95"/>
  <c r="AW107" i="95"/>
  <c r="AT89" i="95"/>
  <c r="AI149" i="95"/>
  <c r="BC106" i="95"/>
  <c r="BA149" i="95"/>
  <c r="AG152" i="95"/>
  <c r="AS152" i="95" s="1"/>
  <c r="Y132" i="95"/>
  <c r="AU149" i="95"/>
  <c r="AR151" i="95"/>
  <c r="BG132" i="95"/>
  <c r="AH157" i="95"/>
  <c r="T152" i="95"/>
  <c r="AF152" i="95" s="1"/>
  <c r="V152" i="95"/>
  <c r="BK149" i="95"/>
  <c r="AQ152" i="95"/>
  <c r="Z150" i="95"/>
  <c r="AY157" i="95"/>
  <c r="AL151" i="95"/>
  <c r="AM11" i="95"/>
  <c r="AN33" i="95"/>
  <c r="AI23" i="95"/>
  <c r="BK12" i="95"/>
  <c r="AW24" i="95"/>
  <c r="AA26" i="95"/>
  <c r="U33" i="95"/>
  <c r="AK25" i="95"/>
  <c r="AV31" i="95"/>
  <c r="BD31" i="95"/>
  <c r="BK26" i="95"/>
  <c r="AD40" i="95"/>
  <c r="AP31" i="95"/>
  <c r="AL25" i="95"/>
  <c r="AV32" i="95"/>
  <c r="AO65" i="95"/>
  <c r="AO67" i="95" s="1"/>
  <c r="AY65" i="95"/>
  <c r="AI40" i="95"/>
  <c r="Z32" i="95"/>
  <c r="BG61" i="95"/>
  <c r="V33" i="95"/>
  <c r="AX31" i="95"/>
  <c r="AD26" i="95"/>
  <c r="BD24" i="95"/>
  <c r="AV106" i="95"/>
  <c r="X66" i="95"/>
  <c r="AG40" i="95"/>
  <c r="BG89" i="95"/>
  <c r="BS89" i="95" s="1"/>
  <c r="U65" i="95"/>
  <c r="U67" i="95" s="1"/>
  <c r="AP89" i="95"/>
  <c r="AQ65" i="95"/>
  <c r="AQ67" i="95" s="1"/>
  <c r="BA40" i="95"/>
  <c r="AO106" i="95"/>
  <c r="AU89" i="95"/>
  <c r="Q66" i="95"/>
  <c r="AN107" i="95"/>
  <c r="AN89" i="95"/>
  <c r="T149" i="95"/>
  <c r="AF149" i="95" s="1"/>
  <c r="AY106" i="95"/>
  <c r="AB149" i="95"/>
  <c r="AC151" i="95"/>
  <c r="S132" i="95"/>
  <c r="AJ149" i="95"/>
  <c r="V151" i="95"/>
  <c r="BB132" i="95"/>
  <c r="AP152" i="95"/>
  <c r="AL143" i="95"/>
  <c r="O152" i="95"/>
  <c r="BG149" i="95"/>
  <c r="BS149" i="95" s="1"/>
  <c r="AK152" i="95"/>
  <c r="V150" i="95"/>
  <c r="AM157" i="95"/>
  <c r="AE151" i="95"/>
  <c r="AY142" i="95"/>
  <c r="AN152" i="95"/>
  <c r="T151" i="95"/>
  <c r="AF151" i="95" s="1"/>
  <c r="BD143" i="95"/>
  <c r="BH204" i="95"/>
  <c r="AU203" i="95"/>
  <c r="Y159" i="95"/>
  <c r="BB157" i="95"/>
  <c r="AO204" i="95"/>
  <c r="AB203" i="95"/>
  <c r="BH158" i="95"/>
  <c r="AN157" i="95"/>
  <c r="BI203" i="95"/>
  <c r="BM203" i="95"/>
  <c r="BM206" i="95" s="1"/>
  <c r="T25" i="95"/>
  <c r="S26" i="95"/>
  <c r="AD23" i="95"/>
  <c r="BG12" i="95"/>
  <c r="AK24" i="95"/>
  <c r="BE25" i="95"/>
  <c r="AM32" i="95"/>
  <c r="AB25" i="95"/>
  <c r="AC31" i="95"/>
  <c r="AU31" i="95"/>
  <c r="BA26" i="95"/>
  <c r="AX33" i="95"/>
  <c r="AI31" i="95"/>
  <c r="AS31" i="95" s="1"/>
  <c r="AG25" i="95"/>
  <c r="AO32" i="95"/>
  <c r="BB61" i="95"/>
  <c r="AJ65" i="95"/>
  <c r="AJ67" i="95" s="1"/>
  <c r="X40" i="95"/>
  <c r="U32" i="95"/>
  <c r="AV61" i="95"/>
  <c r="R33" i="95"/>
  <c r="AT31" i="95"/>
  <c r="BF31" i="95" s="1"/>
  <c r="Z26" i="95"/>
  <c r="AZ24" i="95"/>
  <c r="R106" i="95"/>
  <c r="BJ65" i="95"/>
  <c r="BJ67" i="95" s="1"/>
  <c r="Z40" i="95"/>
  <c r="AR89" i="95"/>
  <c r="O65" i="95"/>
  <c r="AI89" i="95"/>
  <c r="AM65" i="95"/>
  <c r="AM67" i="95" s="1"/>
  <c r="AW40" i="95"/>
  <c r="AR149" i="95"/>
  <c r="AM89" i="95"/>
  <c r="BI65" i="95"/>
  <c r="BI67" i="95" s="1"/>
  <c r="AG107" i="95"/>
  <c r="AS107" i="95" s="1"/>
  <c r="AJ89" i="95"/>
  <c r="BE132" i="95"/>
  <c r="AU106" i="95"/>
  <c r="BF106" i="95" s="1"/>
  <c r="R149" i="95"/>
  <c r="AV150" i="95"/>
  <c r="BK107" i="95"/>
  <c r="BD152" i="95"/>
  <c r="BB150" i="95"/>
  <c r="AX132" i="95"/>
  <c r="BH151" i="95"/>
  <c r="AZ142" i="95"/>
  <c r="BD151" i="95"/>
  <c r="BB149" i="95"/>
  <c r="AB152" i="95"/>
  <c r="R150" i="95"/>
  <c r="Z157" i="95"/>
  <c r="Z151" i="95"/>
  <c r="AU142" i="95"/>
  <c r="AJ152" i="95"/>
  <c r="O151" i="95"/>
  <c r="AZ143" i="95"/>
  <c r="BC204" i="95"/>
  <c r="AP203" i="95"/>
  <c r="U159" i="95"/>
  <c r="AX157" i="95"/>
  <c r="AK204" i="95"/>
  <c r="X203" i="95"/>
  <c r="BC158" i="95"/>
  <c r="AJ157" i="95"/>
  <c r="AZ203" i="95"/>
  <c r="AD203" i="95"/>
  <c r="T24" i="95"/>
  <c r="BK24" i="95"/>
  <c r="Z23" i="95"/>
  <c r="BB12" i="95"/>
  <c r="AB24" i="95"/>
  <c r="AO25" i="95"/>
  <c r="BA31" i="95"/>
  <c r="S25" i="95"/>
  <c r="AY26" i="95"/>
  <c r="AJ31" i="95"/>
  <c r="AT26" i="95"/>
  <c r="AK33" i="95"/>
  <c r="Z31" i="95"/>
  <c r="AA25" i="95"/>
  <c r="AH32" i="95"/>
  <c r="AY40" i="95"/>
  <c r="X65" i="95"/>
  <c r="X67" i="95" s="1"/>
  <c r="BH33" i="95"/>
  <c r="O32" i="95"/>
  <c r="BD40" i="95"/>
  <c r="BJ32" i="95"/>
  <c r="AO31" i="95"/>
  <c r="V26" i="95"/>
  <c r="AV24" i="95"/>
  <c r="AW89" i="95"/>
  <c r="BA65" i="95"/>
  <c r="U40" i="95"/>
  <c r="AG89" i="95"/>
  <c r="BJ62" i="95"/>
  <c r="Z89" i="95"/>
  <c r="AI65" i="95"/>
  <c r="AI67" i="95" s="1"/>
  <c r="AR40" i="95"/>
  <c r="AQ132" i="95"/>
  <c r="AH89" i="95"/>
  <c r="BD65" i="95"/>
  <c r="BD67" i="95" s="1"/>
  <c r="X107" i="95"/>
  <c r="AE89" i="95"/>
  <c r="AW132" i="95"/>
  <c r="AP106" i="95"/>
  <c r="BD132" i="95"/>
  <c r="Y150" i="95"/>
  <c r="BD107" i="95"/>
  <c r="AY151" i="95"/>
  <c r="AO150" i="95"/>
  <c r="AT132" i="95"/>
  <c r="AJ151" i="95"/>
  <c r="AK142" i="95"/>
  <c r="AV151" i="95"/>
  <c r="AX149" i="95"/>
  <c r="U152" i="95"/>
  <c r="BJ149" i="95"/>
  <c r="Q157" i="95"/>
  <c r="U151" i="95"/>
  <c r="AP142" i="95"/>
  <c r="AE152" i="95"/>
  <c r="BH150" i="95"/>
  <c r="AV143" i="95"/>
  <c r="AY204" i="95"/>
  <c r="AL203" i="95"/>
  <c r="Q159" i="95"/>
  <c r="AT157" i="95"/>
  <c r="AG204" i="95"/>
  <c r="T203" i="95"/>
  <c r="AY158" i="95"/>
  <c r="AE157" i="95"/>
  <c r="AQ203" i="95"/>
  <c r="BI159" i="95"/>
  <c r="BJ159" i="95"/>
  <c r="AW16" i="95"/>
  <c r="AY24" i="95"/>
  <c r="V23" i="95"/>
  <c r="AX12" i="95"/>
  <c r="U24" i="95"/>
  <c r="Y25" i="95"/>
  <c r="Y31" i="95"/>
  <c r="BG24" i="95"/>
  <c r="BS24" i="95" s="1"/>
  <c r="AO26" i="95"/>
  <c r="Q65" i="95"/>
  <c r="Q67" i="95" s="1"/>
  <c r="AL26" i="95"/>
  <c r="BB65" i="95"/>
  <c r="BB67" i="95" s="1"/>
  <c r="S31" i="95"/>
  <c r="U25" i="95"/>
  <c r="Y32" i="95"/>
  <c r="U89" i="95"/>
  <c r="AW62" i="95"/>
  <c r="BA33" i="95"/>
  <c r="BE31" i="95"/>
  <c r="AV40" i="95"/>
  <c r="BE32" i="95"/>
  <c r="AK31" i="95"/>
  <c r="R26" i="95"/>
  <c r="AQ24" i="95"/>
  <c r="AD89" i="95"/>
  <c r="AT65" i="95"/>
  <c r="AT67" i="95" s="1"/>
  <c r="O40" i="95"/>
  <c r="X89" i="95"/>
  <c r="BD62" i="95"/>
  <c r="T89" i="95"/>
  <c r="AF89" i="95" s="1"/>
  <c r="AD65" i="95"/>
  <c r="AD67" i="95" s="1"/>
  <c r="AN40" i="95"/>
  <c r="Q132" i="95"/>
  <c r="AB89" i="95"/>
  <c r="AP149" i="95"/>
  <c r="S107" i="95"/>
  <c r="AA89" i="95"/>
  <c r="AL132" i="95"/>
  <c r="AL106" i="95"/>
  <c r="AR132" i="95"/>
  <c r="BH149" i="95"/>
  <c r="AY107" i="95"/>
  <c r="BJ150" i="95"/>
  <c r="AD150" i="95"/>
  <c r="AO132" i="95"/>
  <c r="AD157" i="95"/>
  <c r="BI157" i="95"/>
  <c r="AN151" i="95"/>
  <c r="AT149" i="95"/>
  <c r="BJ151" i="95"/>
  <c r="BC143" i="95"/>
  <c r="BG152" i="95"/>
  <c r="BS152" i="95" s="1"/>
  <c r="BK150" i="95"/>
  <c r="AL142" i="95"/>
  <c r="AA152" i="95"/>
  <c r="BC150" i="95"/>
  <c r="AQ143" i="95"/>
  <c r="AU204" i="95"/>
  <c r="AH203" i="95"/>
  <c r="BI158" i="95"/>
  <c r="AO157" i="95"/>
  <c r="AB204" i="95"/>
  <c r="O203" i="95"/>
  <c r="AU158" i="95"/>
  <c r="AA157" i="95"/>
  <c r="AI203" i="95"/>
  <c r="AZ159" i="95"/>
  <c r="AA159" i="95"/>
  <c r="BI43" i="95"/>
  <c r="AL43" i="95"/>
  <c r="AS43" i="95" s="1"/>
  <c r="AH26" i="95"/>
  <c r="BG32" i="95"/>
  <c r="BS32" i="95" s="1"/>
  <c r="R23" i="95"/>
  <c r="AT12" i="95"/>
  <c r="BJ23" i="95"/>
  <c r="BJ24" i="95"/>
  <c r="BG26" i="95"/>
  <c r="BA24" i="95"/>
  <c r="AG26" i="95"/>
  <c r="AS26" i="95" s="1"/>
  <c r="BB62" i="95"/>
  <c r="AC26" i="95"/>
  <c r="BH40" i="95"/>
  <c r="BJ26" i="95"/>
  <c r="AP65" i="95"/>
  <c r="AP67" i="95" s="1"/>
  <c r="R32" i="95"/>
  <c r="R66" i="95"/>
  <c r="R67" i="95" s="1"/>
  <c r="BJ106" i="95"/>
  <c r="AU33" i="95"/>
  <c r="AZ31" i="95"/>
  <c r="AO40" i="95"/>
  <c r="BA32" i="95"/>
  <c r="AG31" i="95"/>
  <c r="BI25" i="95"/>
  <c r="AM24" i="95"/>
  <c r="R89" i="95"/>
  <c r="AK65" i="95"/>
  <c r="AK67" i="95" s="1"/>
  <c r="BK33" i="95"/>
  <c r="BA66" i="95"/>
  <c r="AX62" i="95"/>
  <c r="BK66" i="95"/>
  <c r="BK67" i="95" s="1"/>
  <c r="Z65" i="95"/>
  <c r="Z67" i="95" s="1"/>
  <c r="AJ40" i="95"/>
  <c r="BA107" i="95"/>
  <c r="V89" i="95"/>
  <c r="AN132" i="95"/>
  <c r="BI106" i="95"/>
  <c r="W89" i="95"/>
  <c r="AA132" i="95"/>
  <c r="AH106" i="95"/>
  <c r="AI151" i="95"/>
  <c r="AY149" i="95"/>
  <c r="AR107" i="95"/>
  <c r="AT150" i="95"/>
  <c r="U150" i="95"/>
  <c r="AK132" i="95"/>
  <c r="BC152" i="95"/>
  <c r="AJ143" i="95"/>
  <c r="AH151" i="95"/>
  <c r="AS151" i="95" s="1"/>
  <c r="AO149" i="95"/>
  <c r="BA151" i="95"/>
  <c r="AN143" i="95"/>
  <c r="AZ152" i="95"/>
  <c r="BE150" i="95"/>
  <c r="AH142" i="95"/>
  <c r="W152" i="95"/>
  <c r="AY150" i="95"/>
  <c r="AM143" i="95"/>
  <c r="AP204" i="95"/>
  <c r="AC203" i="95"/>
  <c r="BD158" i="95"/>
  <c r="AK157" i="95"/>
  <c r="X204" i="95"/>
  <c r="BK159" i="95"/>
  <c r="AP158" i="95"/>
  <c r="W157" i="95"/>
  <c r="Z203" i="95"/>
  <c r="AQ159" i="95"/>
  <c r="AR24" i="95"/>
  <c r="BH25" i="95"/>
  <c r="BH16" i="95"/>
  <c r="AO12" i="95"/>
  <c r="BC23" i="95"/>
  <c r="BB24" i="95"/>
  <c r="AU26" i="95"/>
  <c r="AU24" i="95"/>
  <c r="U26" i="95"/>
  <c r="AF26" i="95" s="1"/>
  <c r="AU40" i="95"/>
  <c r="W26" i="95"/>
  <c r="AB40" i="95"/>
  <c r="BB26" i="95"/>
  <c r="BK61" i="95"/>
  <c r="BH31" i="95"/>
  <c r="AE65" i="95"/>
  <c r="AX89" i="95"/>
  <c r="AO33" i="95"/>
  <c r="AA106" i="95"/>
  <c r="AH40" i="95"/>
  <c r="AW32" i="95"/>
  <c r="AB31" i="95"/>
  <c r="BD25" i="95"/>
  <c r="AI24" i="95"/>
  <c r="BG66" i="95"/>
  <c r="BS66" i="95" s="1"/>
  <c r="AC65" i="95"/>
  <c r="AC132" i="95"/>
  <c r="AT66" i="95"/>
  <c r="BJ61" i="95"/>
  <c r="BS61" i="95" s="1"/>
  <c r="BB66" i="95"/>
  <c r="V65" i="95"/>
  <c r="AE40" i="95"/>
  <c r="AL107" i="95"/>
  <c r="Q89" i="95"/>
  <c r="AV107" i="95"/>
  <c r="BB106" i="95"/>
  <c r="S89" i="95"/>
  <c r="R132" i="95"/>
  <c r="AC106" i="95"/>
  <c r="AI150" i="95"/>
  <c r="AM149" i="95"/>
  <c r="AM107" i="95"/>
  <c r="AB150" i="95"/>
  <c r="BI149" i="95"/>
  <c r="AG132" i="95"/>
  <c r="AS132" i="95" s="1"/>
  <c r="AM152" i="95"/>
  <c r="AX142" i="95"/>
  <c r="Y151" i="95"/>
  <c r="AK149" i="95"/>
  <c r="AU151" i="95"/>
  <c r="BK142" i="95"/>
  <c r="AU152" i="95"/>
  <c r="BF152" i="95" s="1"/>
  <c r="AZ150" i="95"/>
  <c r="BL157" i="95"/>
  <c r="BL161" i="95" s="1"/>
  <c r="S152" i="95"/>
  <c r="AU150" i="95"/>
  <c r="AI143" i="95"/>
  <c r="AL204" i="95"/>
  <c r="Y203" i="95"/>
  <c r="AZ158" i="95"/>
  <c r="AG157" i="95"/>
  <c r="T204" i="95"/>
  <c r="BG159" i="95"/>
  <c r="AL158" i="95"/>
  <c r="S157" i="95"/>
  <c r="R203" i="95"/>
  <c r="AI159" i="95"/>
  <c r="S159" i="95"/>
  <c r="AZ43" i="95"/>
  <c r="AO23" i="95"/>
  <c r="AC25" i="95"/>
  <c r="BC16" i="95"/>
  <c r="AK12" i="95"/>
  <c r="AY23" i="95"/>
  <c r="AT24" i="95"/>
  <c r="AM40" i="95"/>
  <c r="AO24" i="95"/>
  <c r="BG25" i="95"/>
  <c r="AP33" i="95"/>
  <c r="BK25" i="95"/>
  <c r="AT33" i="95"/>
  <c r="BF33" i="95" s="1"/>
  <c r="AW26" i="95"/>
  <c r="AZ40" i="95"/>
  <c r="AY31" i="95"/>
  <c r="BE61" i="95"/>
  <c r="AZ66" i="95"/>
  <c r="AJ33" i="95"/>
  <c r="AL89" i="95"/>
  <c r="Y40" i="95"/>
  <c r="AR32" i="95"/>
  <c r="X31" i="95"/>
  <c r="AZ25" i="95"/>
  <c r="AD24" i="95"/>
  <c r="AV66" i="95"/>
  <c r="W65" i="95"/>
  <c r="AU107" i="95"/>
  <c r="AM66" i="95"/>
  <c r="BD61" i="95"/>
  <c r="AW66" i="95"/>
  <c r="R65" i="95"/>
  <c r="AA40" i="95"/>
  <c r="AB107" i="95"/>
  <c r="BJ66" i="95"/>
  <c r="AJ107" i="95"/>
  <c r="AW106" i="95"/>
  <c r="BH66" i="95"/>
  <c r="BH107" i="95"/>
  <c r="Y106" i="95"/>
  <c r="AZ149" i="95"/>
  <c r="AC149" i="95"/>
  <c r="AI107" i="95"/>
  <c r="Q150" i="95"/>
  <c r="BC149" i="95"/>
  <c r="AB132" i="95"/>
  <c r="Y152" i="95"/>
  <c r="AI142" i="95"/>
  <c r="R151" i="95"/>
  <c r="AG149" i="95"/>
  <c r="AM151" i="95"/>
  <c r="BB142" i="95"/>
  <c r="AO152" i="95"/>
  <c r="BK143" i="95"/>
  <c r="BC157" i="95"/>
  <c r="BK151" i="95"/>
  <c r="AP150" i="95"/>
  <c r="BJ142" i="95"/>
  <c r="AH204" i="95"/>
  <c r="U203" i="95"/>
  <c r="AV158" i="95"/>
  <c r="AB157" i="95"/>
  <c r="O204" i="95"/>
  <c r="BB159" i="95"/>
  <c r="AH158" i="95"/>
  <c r="BR204" i="95"/>
  <c r="BN203" i="95"/>
  <c r="BN206" i="95" s="1"/>
  <c r="Z159" i="95"/>
  <c r="AG23" i="95"/>
  <c r="BH24" i="95"/>
  <c r="AY16" i="95"/>
  <c r="AG12" i="95"/>
  <c r="AU23" i="95"/>
  <c r="AL24" i="95"/>
  <c r="T33" i="95"/>
  <c r="AJ24" i="95"/>
  <c r="AW25" i="95"/>
  <c r="AA33" i="95"/>
  <c r="BB25" i="95"/>
  <c r="AH33" i="95"/>
  <c r="AP26" i="95"/>
  <c r="AK40" i="95"/>
  <c r="AR31" i="95"/>
  <c r="BG40" i="95"/>
  <c r="BS40" i="95" s="1"/>
  <c r="S66" i="95"/>
  <c r="AC33" i="95"/>
  <c r="AO66" i="95"/>
  <c r="R40" i="95"/>
  <c r="AN32" i="95"/>
  <c r="T31" i="95"/>
  <c r="AF31" i="95" s="1"/>
  <c r="AV25" i="95"/>
  <c r="Z24" i="95"/>
  <c r="AJ66" i="95"/>
  <c r="BG62" i="95"/>
  <c r="BS62" i="95" s="1"/>
  <c r="BE106" i="95"/>
  <c r="AD66" i="95"/>
  <c r="AW61" i="95"/>
  <c r="AQ66" i="95"/>
  <c r="BH62" i="95"/>
  <c r="W40" i="95"/>
  <c r="T107" i="95"/>
  <c r="AF107" i="95" s="1"/>
  <c r="BD66" i="95"/>
  <c r="AA107" i="95"/>
  <c r="AQ106" i="95"/>
  <c r="BC66" i="95"/>
  <c r="AZ107" i="95"/>
  <c r="U106" i="95"/>
  <c r="AD149" i="95"/>
  <c r="V149" i="95"/>
  <c r="AD107" i="95"/>
  <c r="BD149" i="95"/>
  <c r="AW149" i="95"/>
  <c r="X132" i="95"/>
  <c r="BE151" i="95"/>
  <c r="BD157" i="95"/>
  <c r="BG150" i="95"/>
  <c r="BS150" i="95" s="1"/>
  <c r="BI142" i="95"/>
  <c r="AD151" i="95"/>
  <c r="AT142" i="95"/>
  <c r="BF142" i="95" s="1"/>
  <c r="AI152" i="95"/>
  <c r="BG143" i="95"/>
  <c r="AU157" i="95"/>
  <c r="BG151" i="95"/>
  <c r="BS151" i="95" s="1"/>
  <c r="AL150" i="95"/>
  <c r="BE142" i="95"/>
  <c r="AC204" i="95"/>
  <c r="Q203" i="95"/>
  <c r="AQ158" i="95"/>
  <c r="X157" i="95"/>
  <c r="BO203" i="95"/>
  <c r="BO206" i="95" s="1"/>
  <c r="AX159" i="95"/>
  <c r="AC158" i="95"/>
  <c r="BN204" i="95"/>
  <c r="BE203" i="95"/>
  <c r="R159" i="95"/>
  <c r="AJ159" i="95"/>
  <c r="AQ43" i="95"/>
  <c r="U43" i="95"/>
  <c r="AZ55" i="95"/>
  <c r="AC55" i="95"/>
  <c r="AW55" i="95"/>
  <c r="Y158" i="95"/>
  <c r="AW203" i="95"/>
  <c r="BJ43" i="95"/>
  <c r="Q43" i="95"/>
  <c r="AV55" i="95"/>
  <c r="AE55" i="95"/>
  <c r="U158" i="95"/>
  <c r="AW159" i="95"/>
  <c r="AI43" i="95"/>
  <c r="AQ55" i="95"/>
  <c r="BO204" i="95"/>
  <c r="AK159" i="95"/>
  <c r="S23" i="95"/>
  <c r="AN24" i="95"/>
  <c r="AU16" i="95"/>
  <c r="AB12" i="95"/>
  <c r="AP23" i="95"/>
  <c r="V40" i="95"/>
  <c r="AC32" i="95"/>
  <c r="AC24" i="95"/>
  <c r="Y65" i="95"/>
  <c r="Y67" i="95" s="1"/>
  <c r="BH32" i="95"/>
  <c r="AU25" i="95"/>
  <c r="Y33" i="95"/>
  <c r="AK26" i="95"/>
  <c r="T40" i="95"/>
  <c r="AF40" i="95" s="1"/>
  <c r="AM31" i="95"/>
  <c r="AP40" i="95"/>
  <c r="AU65" i="95"/>
  <c r="AU67" i="95" s="1"/>
  <c r="X33" i="95"/>
  <c r="AA66" i="95"/>
  <c r="BD33" i="95"/>
  <c r="AJ32" i="95"/>
  <c r="O31" i="95"/>
  <c r="AQ25" i="95"/>
  <c r="V24" i="95"/>
  <c r="BC107" i="95"/>
  <c r="AZ62" i="95"/>
  <c r="AM106" i="95"/>
  <c r="W66" i="95"/>
  <c r="W67" i="95" s="1"/>
  <c r="O149" i="95"/>
  <c r="AK66" i="95"/>
  <c r="BC62" i="95"/>
  <c r="S40" i="95"/>
  <c r="BG106" i="95"/>
  <c r="BS106" i="95" s="1"/>
  <c r="AY66" i="95"/>
  <c r="R107" i="95"/>
  <c r="AK106" i="95"/>
  <c r="T150" i="95"/>
  <c r="AQ107" i="95"/>
  <c r="Q106" i="95"/>
  <c r="U149" i="95"/>
  <c r="Q149" i="95"/>
  <c r="Z107" i="95"/>
  <c r="AV149" i="95"/>
  <c r="AQ149" i="95"/>
  <c r="T132" i="95"/>
  <c r="AF132" i="95" s="1"/>
  <c r="AP151" i="95"/>
  <c r="AP157" i="95"/>
  <c r="AX150" i="95"/>
  <c r="AQ142" i="95"/>
  <c r="W151" i="95"/>
  <c r="AY143" i="95"/>
  <c r="AC152" i="95"/>
  <c r="BB143" i="95"/>
  <c r="AL157" i="95"/>
  <c r="BB151" i="95"/>
  <c r="AH150" i="95"/>
  <c r="BA142" i="95"/>
  <c r="Y204" i="95"/>
  <c r="BH159" i="95"/>
  <c r="AM158" i="95"/>
  <c r="T157" i="95"/>
  <c r="BK203" i="95"/>
  <c r="AT159" i="95"/>
  <c r="BR203" i="95"/>
  <c r="BR206" i="95" s="1"/>
  <c r="BE159" i="95"/>
  <c r="AM43" i="95"/>
  <c r="Y55" i="95"/>
  <c r="BJ203" i="95"/>
  <c r="BE43" i="95"/>
  <c r="U55" i="95"/>
  <c r="BB203" i="95"/>
  <c r="AE203" i="95"/>
  <c r="BA16" i="95"/>
  <c r="AE24" i="95"/>
  <c r="AP16" i="95"/>
  <c r="BK152" i="95"/>
  <c r="AL23" i="95"/>
  <c r="BC33" i="95"/>
  <c r="AN31" i="95"/>
  <c r="X24" i="95"/>
  <c r="BE62" i="95"/>
  <c r="AU32" i="95"/>
  <c r="AN25" i="95"/>
  <c r="BK32" i="95"/>
  <c r="AE26" i="95"/>
  <c r="BG33" i="95"/>
  <c r="BS33" i="95" s="1"/>
  <c r="AH31" i="95"/>
  <c r="AC40" i="95"/>
  <c r="AH65" i="95"/>
  <c r="AH67" i="95" s="1"/>
  <c r="S33" i="95"/>
  <c r="BH65" i="95"/>
  <c r="BH67" i="95" s="1"/>
  <c r="AZ33" i="95"/>
  <c r="AE32" i="95"/>
  <c r="BI26" i="95"/>
  <c r="AM25" i="95"/>
  <c r="R24" i="95"/>
  <c r="AN106" i="95"/>
  <c r="BI61" i="95"/>
  <c r="W106" i="95"/>
  <c r="O66" i="95"/>
  <c r="AP107" i="95"/>
  <c r="AE66" i="95"/>
  <c r="AY62" i="95"/>
  <c r="BJ33" i="95"/>
  <c r="AZ106" i="95"/>
  <c r="AU66" i="95"/>
  <c r="AJ150" i="95"/>
  <c r="AE106" i="95"/>
  <c r="X149" i="95"/>
  <c r="AK107" i="95"/>
  <c r="BI89" i="95"/>
  <c r="BJ132" i="95"/>
  <c r="BH132" i="95"/>
  <c r="AO142" i="95"/>
  <c r="AN149" i="95"/>
  <c r="AL149" i="95"/>
  <c r="BG107" i="95"/>
  <c r="AA151" i="95"/>
  <c r="Y157" i="95"/>
  <c r="AR150" i="95"/>
  <c r="AG142" i="95"/>
  <c r="Q151" i="95"/>
  <c r="BH143" i="95"/>
  <c r="X152" i="95"/>
  <c r="AX143" i="95"/>
  <c r="AC157" i="95"/>
  <c r="AX151" i="95"/>
  <c r="AC150" i="95"/>
  <c r="AW142" i="95"/>
  <c r="U204" i="95"/>
  <c r="BC159" i="95"/>
  <c r="AI158" i="95"/>
  <c r="O157" i="95"/>
  <c r="BG203" i="95"/>
  <c r="AO159" i="95"/>
  <c r="AN203" i="95"/>
  <c r="AX43" i="95"/>
  <c r="BF43" i="95" s="1"/>
  <c r="W55" i="95"/>
  <c r="BA203" i="95"/>
  <c r="AP25" i="95"/>
  <c r="W24" i="95"/>
  <c r="AL16" i="95"/>
  <c r="Y89" i="95"/>
  <c r="AH23" i="95"/>
  <c r="Q32" i="95"/>
  <c r="U31" i="95"/>
  <c r="S24" i="95"/>
  <c r="BB33" i="95"/>
  <c r="AI32" i="95"/>
  <c r="AE25" i="95"/>
  <c r="AZ32" i="95"/>
  <c r="Y26" i="95"/>
  <c r="AW33" i="95"/>
  <c r="AA31" i="95"/>
  <c r="Q40" i="95"/>
  <c r="T65" i="95"/>
  <c r="BI32" i="95"/>
  <c r="AW65" i="95"/>
  <c r="AV33" i="95"/>
  <c r="AA32" i="95"/>
  <c r="BD26" i="95"/>
  <c r="AI25" i="95"/>
  <c r="W107" i="95"/>
  <c r="AO89" i="95"/>
  <c r="BA61" i="95"/>
  <c r="BH89" i="95"/>
  <c r="BC65" i="95"/>
  <c r="V107" i="95"/>
  <c r="Z66" i="95"/>
  <c r="AU62" i="95"/>
  <c r="BF62" i="95" s="1"/>
  <c r="BE33" i="95"/>
  <c r="AR106" i="95"/>
  <c r="AP66" i="95"/>
  <c r="Y149" i="95"/>
  <c r="Z106" i="95"/>
  <c r="AY132" i="95"/>
  <c r="AE107" i="95"/>
  <c r="BD89" i="95"/>
  <c r="BC132" i="95"/>
  <c r="BA132" i="95"/>
  <c r="Z152" i="95"/>
  <c r="AH149" i="95"/>
  <c r="AS149" i="95" s="1"/>
  <c r="AE149" i="95"/>
  <c r="BB107" i="95"/>
  <c r="AU143" i="95"/>
  <c r="BI152" i="95"/>
  <c r="AM150" i="95"/>
  <c r="AZ157" i="95"/>
  <c r="BD150" i="95"/>
  <c r="AP143" i="95"/>
  <c r="R152" i="95"/>
  <c r="AT143" i="95"/>
  <c r="U157" i="95"/>
  <c r="AT151" i="95"/>
  <c r="BJ143" i="95"/>
  <c r="AR142" i="95"/>
  <c r="Q204" i="95"/>
  <c r="AY159" i="95"/>
  <c r="AD158" i="95"/>
  <c r="Q158" i="95"/>
  <c r="AP24" i="95"/>
  <c r="BE23" i="95"/>
  <c r="AH16" i="95"/>
  <c r="BJ31" i="95"/>
  <c r="AC23" i="95"/>
  <c r="R31" i="95"/>
  <c r="BE26" i="95"/>
  <c r="BI23" i="95"/>
  <c r="AB33" i="95"/>
  <c r="T32" i="95"/>
  <c r="X25" i="95"/>
  <c r="AP32" i="95"/>
  <c r="T26" i="95"/>
  <c r="AL33" i="95"/>
  <c r="V31" i="95"/>
  <c r="BI33" i="95"/>
  <c r="BI62" i="95"/>
  <c r="BC32" i="95"/>
  <c r="AN65" i="95"/>
  <c r="AQ33" i="95"/>
  <c r="W32" i="95"/>
  <c r="AZ26" i="95"/>
  <c r="AD25" i="95"/>
  <c r="AK89" i="95"/>
  <c r="AC89" i="95"/>
  <c r="BI40" i="95"/>
  <c r="Z132" i="95"/>
  <c r="AX65" i="95"/>
  <c r="BD106" i="95"/>
  <c r="T66" i="95"/>
  <c r="BH61" i="95"/>
  <c r="BI132" i="95"/>
  <c r="AJ106" i="95"/>
  <c r="BJ55" i="95"/>
  <c r="AP55" i="95"/>
  <c r="BG43" i="95"/>
  <c r="R43" i="95"/>
  <c r="BA159" i="95"/>
  <c r="BJ157" i="95"/>
  <c r="AY203" i="95"/>
  <c r="AK143" i="95"/>
  <c r="AT107" i="95"/>
  <c r="U132" i="95"/>
  <c r="O89" i="95"/>
  <c r="Q33" i="95"/>
  <c r="AJ43" i="95"/>
  <c r="O55" i="95"/>
  <c r="AU55" i="95"/>
  <c r="AB43" i="95"/>
  <c r="V43" i="95"/>
  <c r="V159" i="95"/>
  <c r="O159" i="95"/>
  <c r="BL203" i="95"/>
  <c r="AO143" i="95"/>
  <c r="AX107" i="95"/>
  <c r="AH132" i="95"/>
  <c r="BI66" i="95"/>
  <c r="BD23" i="95"/>
  <c r="S55" i="95"/>
  <c r="T55" i="95"/>
  <c r="AY55" i="95"/>
  <c r="AT43" i="95"/>
  <c r="Z43" i="95"/>
  <c r="AD159" i="95"/>
  <c r="AB159" i="95"/>
  <c r="BP203" i="95"/>
  <c r="BP206" i="95" s="1"/>
  <c r="BC151" i="95"/>
  <c r="W149" i="95"/>
  <c r="BK89" i="95"/>
  <c r="Z25" i="95"/>
  <c r="AR26" i="95"/>
  <c r="X55" i="95"/>
  <c r="BC55" i="95"/>
  <c r="BK43" i="95"/>
  <c r="AD43" i="95"/>
  <c r="AM159" i="95"/>
  <c r="AG159" i="95"/>
  <c r="BL204" i="95"/>
  <c r="BI151" i="95"/>
  <c r="AA149" i="95"/>
  <c r="T106" i="95"/>
  <c r="AF106" i="95" s="1"/>
  <c r="AV26" i="95"/>
  <c r="AN26" i="95"/>
  <c r="AB55" i="95"/>
  <c r="BH55" i="95"/>
  <c r="BS55" i="95" s="1"/>
  <c r="T43" i="95"/>
  <c r="AV43" i="95"/>
  <c r="BD159" i="95"/>
  <c r="AG203" i="95"/>
  <c r="AJ142" i="95"/>
  <c r="BD142" i="95"/>
  <c r="AQ157" i="95"/>
  <c r="AI132" i="95"/>
  <c r="S32" i="95"/>
  <c r="Y23" i="95"/>
  <c r="AK134" i="95"/>
  <c r="AG55" i="95"/>
  <c r="AS55" i="95" s="1"/>
  <c r="R55" i="95"/>
  <c r="X43" i="95"/>
  <c r="BD43" i="95"/>
  <c r="W159" i="95"/>
  <c r="AT203" i="95"/>
  <c r="AN142" i="95"/>
  <c r="AH143" i="95"/>
  <c r="Z149" i="95"/>
  <c r="AZ132" i="95"/>
  <c r="AM33" i="95"/>
  <c r="AJ26" i="95"/>
  <c r="AK55" i="95"/>
  <c r="V55" i="95"/>
  <c r="O43" i="95"/>
  <c r="S43" i="95"/>
  <c r="AE159" i="95"/>
  <c r="AX203" i="95"/>
  <c r="BI143" i="95"/>
  <c r="AQ150" i="95"/>
  <c r="AN150" i="95"/>
  <c r="AH66" i="95"/>
  <c r="AB65" i="95"/>
  <c r="AB67" i="95" s="1"/>
  <c r="AC16" i="95"/>
  <c r="AM55" i="95"/>
  <c r="AO55" i="95"/>
  <c r="Z55" i="95"/>
  <c r="AG43" i="95"/>
  <c r="W43" i="95"/>
  <c r="AN159" i="95"/>
  <c r="AT204" i="95"/>
  <c r="BA143" i="95"/>
  <c r="AW150" i="95"/>
  <c r="S151" i="95"/>
  <c r="AL66" i="95"/>
  <c r="AX32" i="95"/>
  <c r="AZ23" i="95"/>
  <c r="AT55" i="95"/>
  <c r="AD55" i="95"/>
  <c r="Y43" i="95"/>
  <c r="AA43" i="95"/>
  <c r="AM203" i="95"/>
  <c r="BG204" i="95"/>
  <c r="BE143" i="95"/>
  <c r="V157" i="95"/>
  <c r="AP132" i="95"/>
  <c r="AB106" i="95"/>
  <c r="AV62" i="95"/>
  <c r="BG23" i="95"/>
  <c r="BK23" i="95"/>
  <c r="AX24" i="95"/>
  <c r="BC26" i="95"/>
  <c r="AH25" i="95"/>
  <c r="AE23" i="95"/>
  <c r="Y24" i="95"/>
  <c r="BG16" i="95"/>
  <c r="BS16" i="95" s="1"/>
  <c r="AX23" i="95"/>
  <c r="BK16" i="95"/>
  <c r="AQ11" i="95"/>
  <c r="AH24" i="95"/>
  <c r="AK16" i="95"/>
  <c r="Q23" i="95"/>
  <c r="U11" i="95"/>
  <c r="BI11" i="95"/>
  <c r="X16" i="95"/>
  <c r="AO11" i="95"/>
  <c r="AA24" i="95"/>
  <c r="AQ16" i="95"/>
  <c r="AB23" i="95"/>
  <c r="Y11" i="95"/>
  <c r="T12" i="95"/>
  <c r="AD16" i="95"/>
  <c r="Z12" i="95"/>
  <c r="AG24" i="95"/>
  <c r="AN16" i="95"/>
  <c r="AX11" i="95"/>
  <c r="O16" i="95"/>
  <c r="Q24" i="95"/>
  <c r="AC11" i="95"/>
  <c r="AZ11" i="95"/>
  <c r="X12" i="95"/>
  <c r="AZ12" i="95"/>
  <c r="AT16" i="95"/>
  <c r="AZ151" i="95"/>
  <c r="W11" i="95"/>
  <c r="BG11" i="95"/>
  <c r="AL11" i="95"/>
  <c r="X23" i="95"/>
  <c r="BH23" i="95"/>
  <c r="AE16" i="95"/>
  <c r="BD16" i="95"/>
  <c r="AT23" i="95"/>
  <c r="Q11" i="95"/>
  <c r="AH11" i="95"/>
  <c r="BD11" i="95"/>
  <c r="AC12" i="95"/>
  <c r="S16" i="95"/>
  <c r="BB16" i="95"/>
  <c r="AA23" i="95"/>
  <c r="AE11" i="95"/>
  <c r="R12" i="95"/>
  <c r="T11" i="95"/>
  <c r="AV11" i="95"/>
  <c r="O12" i="95"/>
  <c r="AI12" i="95"/>
  <c r="BE12" i="95"/>
  <c r="AM16" i="95"/>
  <c r="AR23" i="95"/>
  <c r="BE16" i="95"/>
  <c r="AG16" i="95"/>
  <c r="AA11" i="95"/>
  <c r="AT11" i="95"/>
  <c r="BK11" i="95"/>
  <c r="AE12" i="95"/>
  <c r="V16" i="95"/>
  <c r="AU11" i="95"/>
  <c r="AD11" i="95"/>
  <c r="AQ12" i="95"/>
  <c r="AX16" i="95"/>
  <c r="Z16" i="95"/>
  <c r="AR11" i="95"/>
  <c r="AL31" i="95"/>
  <c r="BA23" i="95"/>
  <c r="S11" i="95"/>
  <c r="AK11" i="95"/>
  <c r="BB11" i="95"/>
  <c r="V12" i="95"/>
  <c r="AW12" i="95"/>
  <c r="BI16" i="95"/>
  <c r="AV16" i="95"/>
  <c r="W16" i="95"/>
  <c r="AA16" i="95"/>
  <c r="AJ23" i="95"/>
  <c r="W12" i="95"/>
  <c r="BA12" i="95"/>
  <c r="Q12" i="95"/>
  <c r="AN11" i="95"/>
  <c r="BC12" i="95"/>
  <c r="AO16" i="95"/>
  <c r="BB23" i="95"/>
  <c r="AH12" i="95"/>
  <c r="AB16" i="95"/>
  <c r="AA12" i="95"/>
  <c r="AD27" i="95"/>
  <c r="BE11" i="95"/>
  <c r="Z11" i="95"/>
  <c r="AZ16" i="95"/>
  <c r="BH130" i="95"/>
  <c r="BC24" i="95"/>
  <c r="BC11" i="95"/>
  <c r="AR12" i="95"/>
  <c r="Y12" i="95"/>
  <c r="BJ16" i="95"/>
  <c r="AP11" i="95"/>
  <c r="BH12" i="95"/>
  <c r="AV12" i="95"/>
  <c r="AJ11" i="95"/>
  <c r="AC37" i="95"/>
  <c r="AQ37" i="95"/>
  <c r="AL12" i="95"/>
  <c r="BI12" i="95"/>
  <c r="AI16" i="95"/>
  <c r="O23" i="95"/>
  <c r="AB11" i="95"/>
  <c r="BL11" i="95"/>
  <c r="BL29" i="95" s="1"/>
  <c r="BL68" i="95" s="1"/>
  <c r="BD12" i="95"/>
  <c r="AM12" i="95"/>
  <c r="AK23" i="95"/>
  <c r="BA11" i="95"/>
  <c r="AJ16" i="95"/>
  <c r="BJ12" i="95"/>
  <c r="BH11" i="95"/>
  <c r="AI37" i="95"/>
  <c r="X130" i="95"/>
  <c r="V11" i="95"/>
  <c r="S12" i="95"/>
  <c r="T16" i="95"/>
  <c r="AY11" i="95"/>
  <c r="T23" i="95"/>
  <c r="X11" i="95"/>
  <c r="AZ37" i="95"/>
  <c r="BA27" i="95"/>
  <c r="S130" i="95"/>
  <c r="AT27" i="95"/>
  <c r="AA130" i="95"/>
  <c r="AP12" i="95"/>
  <c r="AG11" i="95"/>
  <c r="AD12" i="95"/>
  <c r="AR16" i="95"/>
  <c r="R16" i="95"/>
  <c r="R11" i="95"/>
  <c r="U12" i="95"/>
  <c r="Y27" i="95"/>
  <c r="BB130" i="95"/>
  <c r="AJ130" i="95"/>
  <c r="AM27" i="95"/>
  <c r="V37" i="95"/>
  <c r="AP27" i="95"/>
  <c r="AO130" i="95"/>
  <c r="Z37" i="95"/>
  <c r="BD27" i="95"/>
  <c r="R27" i="95"/>
  <c r="AW67" i="95"/>
  <c r="AJ12" i="95"/>
  <c r="AY12" i="95"/>
  <c r="BJ11" i="95"/>
  <c r="BK37" i="95"/>
  <c r="BG27" i="95"/>
  <c r="S27" i="95"/>
  <c r="Y130" i="95"/>
  <c r="AN130" i="95"/>
  <c r="AH27" i="95"/>
  <c r="BG130" i="95"/>
  <c r="AW37" i="95"/>
  <c r="AW11" i="95"/>
  <c r="AU37" i="95"/>
  <c r="AK27" i="95"/>
  <c r="AV27" i="95"/>
  <c r="AT130" i="95"/>
  <c r="AV130" i="95"/>
  <c r="AL37" i="95"/>
  <c r="Q27" i="95"/>
  <c r="AR27" i="95"/>
  <c r="AZ61" i="95"/>
  <c r="BF61" i="95" s="1"/>
  <c r="T27" i="95"/>
  <c r="BE130" i="95"/>
  <c r="BI37" i="95"/>
  <c r="V27" i="95"/>
  <c r="BJ27" i="95"/>
  <c r="AP130" i="95"/>
  <c r="BJ107" i="95"/>
  <c r="BS107" i="95" s="1"/>
  <c r="AZ27" i="95"/>
  <c r="BI27" i="95"/>
  <c r="BK130" i="95"/>
  <c r="BD130" i="95"/>
  <c r="AH37" i="95"/>
  <c r="W130" i="95"/>
  <c r="AV37" i="95"/>
  <c r="AJ37" i="95"/>
  <c r="R37" i="95"/>
  <c r="AO27" i="95"/>
  <c r="BH27" i="95"/>
  <c r="AJ27" i="95"/>
  <c r="AU130" i="95"/>
  <c r="AD130" i="95"/>
  <c r="BA130" i="95"/>
  <c r="BC37" i="95"/>
  <c r="AG27" i="95"/>
  <c r="AY27" i="95"/>
  <c r="AA27" i="95"/>
  <c r="AC130" i="95"/>
  <c r="V130" i="95"/>
  <c r="AR130" i="95"/>
  <c r="O11" i="95"/>
  <c r="BD37" i="95"/>
  <c r="AB130" i="95"/>
  <c r="X37" i="95"/>
  <c r="AQ130" i="95"/>
  <c r="BJ37" i="95"/>
  <c r="AM130" i="95"/>
  <c r="BJ130" i="95"/>
  <c r="BB37" i="95"/>
  <c r="AC27" i="95"/>
  <c r="AH130" i="95"/>
  <c r="Q37" i="95"/>
  <c r="BE27" i="95"/>
  <c r="AA37" i="95"/>
  <c r="BC130" i="95"/>
  <c r="AR37" i="95"/>
  <c r="AD37" i="95"/>
  <c r="AW27" i="95"/>
  <c r="U130" i="95"/>
  <c r="AN37" i="95"/>
  <c r="T130" i="95"/>
  <c r="AT37" i="95"/>
  <c r="X27" i="95"/>
  <c r="AY130" i="95"/>
  <c r="AW130" i="95"/>
  <c r="AL130" i="95"/>
  <c r="AP59" i="95"/>
  <c r="AP63" i="95" s="1"/>
  <c r="AB27" i="95"/>
  <c r="AN27" i="95"/>
  <c r="AI130" i="95"/>
  <c r="BE37" i="95"/>
  <c r="AP37" i="95"/>
  <c r="AL27" i="95"/>
  <c r="AK130" i="95"/>
  <c r="AE130" i="95"/>
  <c r="R130" i="95"/>
  <c r="U27" i="95"/>
  <c r="AO37" i="95"/>
  <c r="BG37" i="95"/>
  <c r="AB37" i="95"/>
  <c r="R59" i="95"/>
  <c r="R63" i="95" s="1"/>
  <c r="AH59" i="95"/>
  <c r="AH63" i="95" s="1"/>
  <c r="Z27" i="95"/>
  <c r="AG130" i="95"/>
  <c r="W27" i="95"/>
  <c r="AZ130" i="95"/>
  <c r="AE27" i="95"/>
  <c r="AX27" i="95"/>
  <c r="U37" i="95"/>
  <c r="W37" i="95"/>
  <c r="X59" i="95"/>
  <c r="AV59" i="95"/>
  <c r="AV63" i="95" s="1"/>
  <c r="AM37" i="95"/>
  <c r="BK27" i="95"/>
  <c r="BG59" i="95"/>
  <c r="AA59" i="95"/>
  <c r="AA63" i="95" s="1"/>
  <c r="AI27" i="95"/>
  <c r="AX130" i="95"/>
  <c r="Y37" i="95"/>
  <c r="Z130" i="95"/>
  <c r="BH37" i="95"/>
  <c r="BA37" i="95"/>
  <c r="AQ27" i="95"/>
  <c r="AK37" i="95"/>
  <c r="AN59" i="95"/>
  <c r="AN63" i="95" s="1"/>
  <c r="T37" i="95"/>
  <c r="T59" i="95"/>
  <c r="T63" i="95" s="1"/>
  <c r="Q130" i="95"/>
  <c r="S37" i="95"/>
  <c r="AY37" i="95"/>
  <c r="BI130" i="95"/>
  <c r="BE59" i="95"/>
  <c r="BE63" i="95" s="1"/>
  <c r="Y59" i="95"/>
  <c r="BK59" i="95"/>
  <c r="BI59" i="95"/>
  <c r="AT59" i="95"/>
  <c r="AT63" i="95" s="1"/>
  <c r="V59" i="95"/>
  <c r="V63" i="95" s="1"/>
  <c r="BD59" i="95"/>
  <c r="BD63" i="95" s="1"/>
  <c r="AR59" i="95"/>
  <c r="AR63" i="95" s="1"/>
  <c r="AN158" i="95"/>
  <c r="Q59" i="95"/>
  <c r="Q63" i="95" s="1"/>
  <c r="BA59" i="95"/>
  <c r="AJ59" i="95"/>
  <c r="AJ63" i="95" s="1"/>
  <c r="AK158" i="95"/>
  <c r="AW158" i="95"/>
  <c r="AX37" i="95"/>
  <c r="BC27" i="95"/>
  <c r="O37" i="95"/>
  <c r="BB27" i="95"/>
  <c r="AE37" i="95"/>
  <c r="AG37" i="95"/>
  <c r="AU27" i="95"/>
  <c r="W59" i="95"/>
  <c r="AO59" i="95"/>
  <c r="AO63" i="95" s="1"/>
  <c r="BH59" i="95"/>
  <c r="BH63" i="95" s="1"/>
  <c r="BC59" i="95"/>
  <c r="BC63" i="95" s="1"/>
  <c r="AW59" i="95"/>
  <c r="AW63" i="95" s="1"/>
  <c r="AL59" i="95"/>
  <c r="AL63" i="95" s="1"/>
  <c r="AB59" i="95"/>
  <c r="AB63" i="95" s="1"/>
  <c r="AC59" i="95"/>
  <c r="AC63" i="95" s="1"/>
  <c r="AE204" i="95"/>
  <c r="Y134" i="95"/>
  <c r="AM59" i="95"/>
  <c r="AM63" i="95" s="1"/>
  <c r="AX59" i="95"/>
  <c r="AX63" i="95" s="1"/>
  <c r="AY59" i="95"/>
  <c r="AY63" i="95" s="1"/>
  <c r="AQ204" i="95"/>
  <c r="V134" i="95"/>
  <c r="AI59" i="95"/>
  <c r="AI63" i="95" s="1"/>
  <c r="AU59" i="95"/>
  <c r="AU63" i="95" s="1"/>
  <c r="BJ59" i="95"/>
  <c r="AD59" i="95"/>
  <c r="AD63" i="95" s="1"/>
  <c r="BE158" i="95"/>
  <c r="AI204" i="95"/>
  <c r="BC46" i="95"/>
  <c r="BC53" i="95" s="1"/>
  <c r="AQ59" i="95"/>
  <c r="AQ63" i="95" s="1"/>
  <c r="AG59" i="95"/>
  <c r="AG63" i="95" s="1"/>
  <c r="S59" i="95"/>
  <c r="AV204" i="95"/>
  <c r="AO158" i="95"/>
  <c r="T158" i="95"/>
  <c r="AM204" i="95"/>
  <c r="T46" i="95"/>
  <c r="T53" i="95" s="1"/>
  <c r="AX46" i="95"/>
  <c r="AX53" i="95" s="1"/>
  <c r="AH134" i="95"/>
  <c r="AD134" i="95"/>
  <c r="O59" i="95"/>
  <c r="O63" i="95" s="1"/>
  <c r="Z204" i="95"/>
  <c r="BJ204" i="95"/>
  <c r="AW204" i="95"/>
  <c r="AZ204" i="95"/>
  <c r="AJ158" i="95"/>
  <c r="AC46" i="95"/>
  <c r="AC53" i="95" s="1"/>
  <c r="Z97" i="95"/>
  <c r="AP134" i="95"/>
  <c r="AV134" i="95"/>
  <c r="AE59" i="95"/>
  <c r="AE63" i="95" s="1"/>
  <c r="U59" i="95"/>
  <c r="U63" i="95" s="1"/>
  <c r="AZ59" i="95"/>
  <c r="BB59" i="95"/>
  <c r="BB63" i="95" s="1"/>
  <c r="Z59" i="95"/>
  <c r="Z63" i="95" s="1"/>
  <c r="BA158" i="95"/>
  <c r="AA204" i="95"/>
  <c r="BK158" i="95"/>
  <c r="AX158" i="95"/>
  <c r="W204" i="95"/>
  <c r="AE158" i="95"/>
  <c r="AA46" i="95"/>
  <c r="AA53" i="95" s="1"/>
  <c r="BI97" i="95"/>
  <c r="AY134" i="95"/>
  <c r="AZ134" i="95"/>
  <c r="S158" i="95"/>
  <c r="AG158" i="95"/>
  <c r="Z46" i="95"/>
  <c r="Z53" i="95" s="1"/>
  <c r="BK46" i="95"/>
  <c r="BK53" i="95" s="1"/>
  <c r="O148" i="95"/>
  <c r="AP97" i="95"/>
  <c r="AD97" i="95"/>
  <c r="AL134" i="95"/>
  <c r="R134" i="95"/>
  <c r="AM134" i="95"/>
  <c r="AW134" i="95"/>
  <c r="AC134" i="95"/>
  <c r="AJ134" i="95"/>
  <c r="BA134" i="95"/>
  <c r="S134" i="95"/>
  <c r="T134" i="95"/>
  <c r="BE134" i="95"/>
  <c r="AA134" i="95"/>
  <c r="X134" i="95"/>
  <c r="W158" i="95"/>
  <c r="BM204" i="95"/>
  <c r="AK59" i="95"/>
  <c r="AK63" i="95" s="1"/>
  <c r="BA204" i="95"/>
  <c r="AT158" i="95"/>
  <c r="X158" i="95"/>
  <c r="AN204" i="95"/>
  <c r="BQ204" i="95"/>
  <c r="BH46" i="95"/>
  <c r="BH53" i="95" s="1"/>
  <c r="AE46" i="95"/>
  <c r="AE53" i="95" s="1"/>
  <c r="Q97" i="95"/>
  <c r="AL97" i="95"/>
  <c r="AU134" i="95"/>
  <c r="BH134" i="95"/>
  <c r="AI134" i="95"/>
  <c r="BD134" i="95"/>
  <c r="Q134" i="95"/>
  <c r="AE134" i="95"/>
  <c r="BB134" i="95"/>
  <c r="AO134" i="95"/>
  <c r="BG134" i="95"/>
  <c r="AB134" i="95"/>
  <c r="AT134" i="95"/>
  <c r="BK134" i="95"/>
  <c r="BD204" i="95"/>
  <c r="AR158" i="95"/>
  <c r="AJ204" i="95"/>
  <c r="BB158" i="95"/>
  <c r="BG158" i="95"/>
  <c r="S204" i="95"/>
  <c r="AK46" i="95"/>
  <c r="AK53" i="95" s="1"/>
  <c r="AY46" i="95"/>
  <c r="AY53" i="95" s="1"/>
  <c r="AX148" i="95"/>
  <c r="BJ46" i="95"/>
  <c r="BJ53" i="95" s="1"/>
  <c r="AZ97" i="95"/>
  <c r="W97" i="95"/>
  <c r="U134" i="95"/>
  <c r="BC134" i="95"/>
  <c r="Z134" i="95"/>
  <c r="AQ134" i="95"/>
  <c r="BI134" i="95"/>
  <c r="BJ134" i="95"/>
  <c r="W134" i="95"/>
  <c r="AN134" i="95"/>
  <c r="AG134" i="95"/>
  <c r="AX134" i="95"/>
  <c r="AR134" i="95"/>
  <c r="AR97" i="95"/>
  <c r="BE204" i="95"/>
  <c r="AL46" i="95"/>
  <c r="AL53" i="95" s="1"/>
  <c r="BD46" i="95"/>
  <c r="BD53" i="95" s="1"/>
  <c r="AO46" i="95"/>
  <c r="AO53" i="95" s="1"/>
  <c r="BG46" i="95"/>
  <c r="AH148" i="95"/>
  <c r="AW148" i="95"/>
  <c r="AP46" i="95"/>
  <c r="AP53" i="95" s="1"/>
  <c r="Y97" i="95"/>
  <c r="AI97" i="95"/>
  <c r="U97" i="95"/>
  <c r="AM97" i="95"/>
  <c r="O97" i="95"/>
  <c r="BI204" i="95"/>
  <c r="O158" i="95"/>
  <c r="R204" i="95"/>
  <c r="BI46" i="95"/>
  <c r="BI53" i="95" s="1"/>
  <c r="BB46" i="95"/>
  <c r="BB53" i="95" s="1"/>
  <c r="AI46" i="95"/>
  <c r="AI53" i="95" s="1"/>
  <c r="AZ46" i="95"/>
  <c r="AZ53" i="95" s="1"/>
  <c r="BE46" i="95"/>
  <c r="BE53" i="95" s="1"/>
  <c r="Q148" i="95"/>
  <c r="V148" i="95"/>
  <c r="AW46" i="95"/>
  <c r="AW53" i="95" s="1"/>
  <c r="AH97" i="95"/>
  <c r="AQ97" i="95"/>
  <c r="AC97" i="95"/>
  <c r="S97" i="95"/>
  <c r="AX97" i="95"/>
  <c r="AW97" i="95"/>
  <c r="X97" i="95"/>
  <c r="BG97" i="95"/>
  <c r="AA97" i="95"/>
  <c r="R97" i="95"/>
  <c r="AV97" i="95"/>
  <c r="AE97" i="95"/>
  <c r="BE97" i="95"/>
  <c r="AG97" i="95"/>
  <c r="AY97" i="95"/>
  <c r="V97" i="95"/>
  <c r="BD97" i="95"/>
  <c r="AN97" i="95"/>
  <c r="BJ97" i="95"/>
  <c r="AO97" i="95"/>
  <c r="BH97" i="95"/>
  <c r="AJ97" i="95"/>
  <c r="BA97" i="95"/>
  <c r="T97" i="95"/>
  <c r="AK97" i="95"/>
  <c r="BB97" i="95"/>
  <c r="BC97" i="95"/>
  <c r="AB97" i="95"/>
  <c r="AT97" i="95"/>
  <c r="BK97" i="95"/>
  <c r="AU97" i="95"/>
  <c r="AD204" i="95"/>
  <c r="BJ158" i="95"/>
  <c r="AR204" i="95"/>
  <c r="AA158" i="95"/>
  <c r="AB158" i="95"/>
  <c r="V204" i="95"/>
  <c r="AQ46" i="95"/>
  <c r="AQ53" i="95" s="1"/>
  <c r="U46" i="95"/>
  <c r="U53" i="95" s="1"/>
  <c r="W46" i="95"/>
  <c r="W53" i="95" s="1"/>
  <c r="AH46" i="95"/>
  <c r="AH53" i="95" s="1"/>
  <c r="AD46" i="95"/>
  <c r="AD53" i="95" s="1"/>
  <c r="AG46" i="95"/>
  <c r="AG53" i="95" s="1"/>
  <c r="AY148" i="95"/>
  <c r="AG148" i="95"/>
  <c r="BD148" i="95"/>
  <c r="V46" i="95"/>
  <c r="V53" i="95" s="1"/>
  <c r="AB46" i="95"/>
  <c r="AB53" i="95" s="1"/>
  <c r="O46" i="95"/>
  <c r="O53" i="95" s="1"/>
  <c r="AK148" i="95"/>
  <c r="AB148" i="95"/>
  <c r="AU46" i="95"/>
  <c r="AU53" i="95" s="1"/>
  <c r="AN46" i="95"/>
  <c r="AN53" i="95" s="1"/>
  <c r="AO148" i="95"/>
  <c r="AM46" i="95"/>
  <c r="AM53" i="95" s="1"/>
  <c r="AT46" i="95"/>
  <c r="AT53" i="95" s="1"/>
  <c r="AI148" i="95"/>
  <c r="AJ148" i="95"/>
  <c r="Y46" i="95"/>
  <c r="Y53" i="95" s="1"/>
  <c r="BA46" i="95"/>
  <c r="BA53" i="95" s="1"/>
  <c r="Z148" i="95"/>
  <c r="BB148" i="95"/>
  <c r="Y148" i="95"/>
  <c r="AL148" i="95"/>
  <c r="AE148" i="95"/>
  <c r="AZ148" i="95"/>
  <c r="X148" i="95"/>
  <c r="AQ148" i="95"/>
  <c r="AM148" i="95"/>
  <c r="AU148" i="95"/>
  <c r="BK148" i="95"/>
  <c r="R46" i="95"/>
  <c r="R53" i="95" s="1"/>
  <c r="AV46" i="95"/>
  <c r="AR148" i="95"/>
  <c r="BI148" i="95"/>
  <c r="AT148" i="95"/>
  <c r="AD148" i="95"/>
  <c r="BC148" i="95"/>
  <c r="AN148" i="95"/>
  <c r="AJ46" i="95"/>
  <c r="R148" i="95"/>
  <c r="AP148" i="95"/>
  <c r="W148" i="95"/>
  <c r="BH148" i="95"/>
  <c r="Q46" i="95"/>
  <c r="Q53" i="95" s="1"/>
  <c r="AR46" i="95"/>
  <c r="AR53" i="95" s="1"/>
  <c r="S46" i="95"/>
  <c r="S53" i="95" s="1"/>
  <c r="T148" i="95"/>
  <c r="BJ148" i="95"/>
  <c r="U148" i="95"/>
  <c r="BA148" i="95"/>
  <c r="AC148" i="95"/>
  <c r="AV148" i="95"/>
  <c r="BG148" i="95"/>
  <c r="X46" i="95"/>
  <c r="BE148" i="95"/>
  <c r="AA148" i="95"/>
  <c r="AN110" i="95"/>
  <c r="AD87" i="95"/>
  <c r="U109" i="95"/>
  <c r="AB77" i="95"/>
  <c r="BI87" i="95"/>
  <c r="X95" i="95"/>
  <c r="AJ98" i="95"/>
  <c r="O95" i="95"/>
  <c r="AP101" i="95"/>
  <c r="Q101" i="95"/>
  <c r="BE98" i="95"/>
  <c r="BB91" i="95"/>
  <c r="AN120" i="95"/>
  <c r="AY135" i="95"/>
  <c r="Z118" i="95"/>
  <c r="BH34" i="95"/>
  <c r="BC34" i="95"/>
  <c r="AY34" i="95"/>
  <c r="AU34" i="95"/>
  <c r="AP34" i="95"/>
  <c r="AL34" i="95"/>
  <c r="AH34" i="95"/>
  <c r="AC34" i="95"/>
  <c r="Y34" i="95"/>
  <c r="U34" i="95"/>
  <c r="Q34" i="95"/>
  <c r="BK34" i="95"/>
  <c r="BG34" i="95"/>
  <c r="BB34" i="95"/>
  <c r="AX34" i="95"/>
  <c r="AT34" i="95"/>
  <c r="AO34" i="95"/>
  <c r="AK34" i="95"/>
  <c r="AG34" i="95"/>
  <c r="AB34" i="95"/>
  <c r="X34" i="95"/>
  <c r="T34" i="95"/>
  <c r="O34" i="95"/>
  <c r="BE34" i="95"/>
  <c r="AW34" i="95"/>
  <c r="AN34" i="95"/>
  <c r="AE34" i="95"/>
  <c r="W34" i="95"/>
  <c r="BJ34" i="95"/>
  <c r="AJ34" i="95"/>
  <c r="AA34" i="95"/>
  <c r="AQ34" i="95"/>
  <c r="BD34" i="95"/>
  <c r="AV34" i="95"/>
  <c r="AM34" i="95"/>
  <c r="AD34" i="95"/>
  <c r="V34" i="95"/>
  <c r="BA34" i="95"/>
  <c r="AR34" i="95"/>
  <c r="S34" i="95"/>
  <c r="AZ34" i="95"/>
  <c r="AI34" i="95"/>
  <c r="R34" i="95"/>
  <c r="BI34" i="95"/>
  <c r="Z34" i="95"/>
  <c r="V87" i="95"/>
  <c r="AL71" i="95"/>
  <c r="AK109" i="95"/>
  <c r="BK77" i="95"/>
  <c r="W98" i="95"/>
  <c r="Z116" i="95"/>
  <c r="AG77" i="95"/>
  <c r="Z94" i="95"/>
  <c r="BJ98" i="95"/>
  <c r="BE105" i="95"/>
  <c r="BI118" i="95"/>
  <c r="AK91" i="95"/>
  <c r="AC117" i="95"/>
  <c r="AM94" i="95"/>
  <c r="R112" i="95"/>
  <c r="R87" i="95"/>
  <c r="Y101" i="95"/>
  <c r="R71" i="95"/>
  <c r="AL77" i="95"/>
  <c r="AR87" i="95"/>
  <c r="S94" i="95"/>
  <c r="AL95" i="95"/>
  <c r="BG98" i="95"/>
  <c r="BJ101" i="95"/>
  <c r="AV109" i="95"/>
  <c r="BH113" i="95"/>
  <c r="BC123" i="95"/>
  <c r="BJ71" i="95"/>
  <c r="O87" i="95"/>
  <c r="AI91" i="95"/>
  <c r="BB94" i="95"/>
  <c r="Y98" i="95"/>
  <c r="BB100" i="95"/>
  <c r="AR105" i="95"/>
  <c r="AD112" i="95"/>
  <c r="R118" i="95"/>
  <c r="X71" i="95"/>
  <c r="AR77" i="95"/>
  <c r="AU87" i="95"/>
  <c r="U94" i="95"/>
  <c r="AR95" i="95"/>
  <c r="S100" i="95"/>
  <c r="AM103" i="95"/>
  <c r="AL110" i="95"/>
  <c r="AM116" i="95"/>
  <c r="AO131" i="95"/>
  <c r="BK101" i="95"/>
  <c r="AI105" i="95"/>
  <c r="BC109" i="95"/>
  <c r="AY71" i="95"/>
  <c r="O91" i="95"/>
  <c r="AE105" i="95"/>
  <c r="AI71" i="95"/>
  <c r="BC77" i="95"/>
  <c r="BJ87" i="95"/>
  <c r="AJ94" i="95"/>
  <c r="BC95" i="95"/>
  <c r="Y100" i="95"/>
  <c r="AQ103" i="95"/>
  <c r="AH110" i="95"/>
  <c r="AD116" i="95"/>
  <c r="AO147" i="95"/>
  <c r="AD77" i="95"/>
  <c r="AG87" i="95"/>
  <c r="AZ91" i="95"/>
  <c r="V95" i="95"/>
  <c r="AP98" i="95"/>
  <c r="AL101" i="95"/>
  <c r="X109" i="95"/>
  <c r="Q113" i="95"/>
  <c r="AL119" i="95"/>
  <c r="AO71" i="95"/>
  <c r="BJ77" i="95"/>
  <c r="S91" i="95"/>
  <c r="AL94" i="95"/>
  <c r="BJ95" i="95"/>
  <c r="AL100" i="95"/>
  <c r="AC105" i="95"/>
  <c r="X112" i="95"/>
  <c r="BH117" i="95"/>
  <c r="BH100" i="95"/>
  <c r="AC103" i="95"/>
  <c r="AZ105" i="95"/>
  <c r="S98" i="95"/>
  <c r="AU119" i="95"/>
  <c r="AO91" i="95"/>
  <c r="AW105" i="95"/>
  <c r="AL126" i="95"/>
  <c r="AV87" i="95"/>
  <c r="AO95" i="95"/>
  <c r="AY101" i="95"/>
  <c r="Z112" i="95"/>
  <c r="BC138" i="95"/>
  <c r="AY100" i="95"/>
  <c r="BK83" i="95"/>
  <c r="O100" i="95"/>
  <c r="T77" i="95"/>
  <c r="AV94" i="95"/>
  <c r="AI112" i="95"/>
  <c r="AZ71" i="95"/>
  <c r="BC83" i="95"/>
  <c r="AC91" i="95"/>
  <c r="BA94" i="95"/>
  <c r="X98" i="95"/>
  <c r="AU100" i="95"/>
  <c r="Y105" i="95"/>
  <c r="T112" i="95"/>
  <c r="AY117" i="95"/>
  <c r="AA71" i="95"/>
  <c r="AV77" i="95"/>
  <c r="AX87" i="95"/>
  <c r="T94" i="95"/>
  <c r="AM95" i="95"/>
  <c r="BH98" i="95"/>
  <c r="AB103" i="95"/>
  <c r="BG109" i="95"/>
  <c r="AG114" i="95"/>
  <c r="AG124" i="95"/>
  <c r="BG71" i="95"/>
  <c r="BJ83" i="95"/>
  <c r="AJ91" i="95"/>
  <c r="BC94" i="95"/>
  <c r="AD98" i="95"/>
  <c r="BK100" i="95"/>
  <c r="R109" i="95"/>
  <c r="BG112" i="95"/>
  <c r="Y119" i="95"/>
  <c r="AB101" i="95"/>
  <c r="AU103" i="95"/>
  <c r="BJ36" i="95"/>
  <c r="BE36" i="95"/>
  <c r="BA36" i="95"/>
  <c r="AW36" i="95"/>
  <c r="AR36" i="95"/>
  <c r="AN36" i="95"/>
  <c r="AJ36" i="95"/>
  <c r="AE36" i="95"/>
  <c r="AA36" i="95"/>
  <c r="W36" i="95"/>
  <c r="S36" i="95"/>
  <c r="BI36" i="95"/>
  <c r="BD36" i="95"/>
  <c r="AZ36" i="95"/>
  <c r="AV36" i="95"/>
  <c r="AQ36" i="95"/>
  <c r="AM36" i="95"/>
  <c r="AI36" i="95"/>
  <c r="AD36" i="95"/>
  <c r="Z36" i="95"/>
  <c r="V36" i="95"/>
  <c r="R36" i="95"/>
  <c r="BC36" i="95"/>
  <c r="AY36" i="95"/>
  <c r="BH36" i="95"/>
  <c r="AU36" i="95"/>
  <c r="AP36" i="95"/>
  <c r="BB36" i="95"/>
  <c r="AL36" i="95"/>
  <c r="AC36" i="95"/>
  <c r="U36" i="95"/>
  <c r="BK36" i="95"/>
  <c r="Y36" i="95"/>
  <c r="Q36" i="95"/>
  <c r="BG36" i="95"/>
  <c r="AG36" i="95"/>
  <c r="AX36" i="95"/>
  <c r="AK36" i="95"/>
  <c r="AB36" i="95"/>
  <c r="T36" i="95"/>
  <c r="AT36" i="95"/>
  <c r="AH36" i="95"/>
  <c r="X36" i="95"/>
  <c r="AO36" i="95"/>
  <c r="O36" i="95"/>
  <c r="AX123" i="95"/>
  <c r="AU121" i="95"/>
  <c r="AQ120" i="95"/>
  <c r="AV119" i="95"/>
  <c r="AD119" i="95"/>
  <c r="BJ118" i="95"/>
  <c r="AR118" i="95"/>
  <c r="AA118" i="95"/>
  <c r="BD117" i="95"/>
  <c r="AM117" i="95"/>
  <c r="V117" i="95"/>
  <c r="BA116" i="95"/>
  <c r="AJ116" i="95"/>
  <c r="S116" i="95"/>
  <c r="AY114" i="95"/>
  <c r="AH114" i="95"/>
  <c r="Q114" i="95"/>
  <c r="AV113" i="95"/>
  <c r="AD113" i="95"/>
  <c r="BJ112" i="95"/>
  <c r="AR112" i="95"/>
  <c r="AA112" i="95"/>
  <c r="BG110" i="95"/>
  <c r="AO110" i="95"/>
  <c r="X110" i="95"/>
  <c r="AC95" i="95"/>
  <c r="AR94" i="95"/>
  <c r="BC91" i="95"/>
  <c r="U91" i="95"/>
  <c r="AJ87" i="95"/>
  <c r="S87" i="95"/>
  <c r="AU83" i="95"/>
  <c r="AU77" i="95"/>
  <c r="AC77" i="95"/>
  <c r="BI71" i="95"/>
  <c r="AQ71" i="95"/>
  <c r="Z71" i="95"/>
  <c r="AA135" i="95"/>
  <c r="AO114" i="95"/>
  <c r="BK109" i="95"/>
  <c r="X103" i="95"/>
  <c r="X77" i="95"/>
  <c r="AQ121" i="95"/>
  <c r="BI112" i="95"/>
  <c r="T109" i="95"/>
  <c r="O103" i="95"/>
  <c r="T100" i="95"/>
  <c r="BG95" i="95"/>
  <c r="AQ94" i="95"/>
  <c r="AB91" i="95"/>
  <c r="AX77" i="95"/>
  <c r="AC71" i="95"/>
  <c r="AU117" i="95"/>
  <c r="AE110" i="95"/>
  <c r="V94" i="95"/>
  <c r="Y71" i="95"/>
  <c r="AG95" i="95"/>
  <c r="AB100" i="95"/>
  <c r="V109" i="95"/>
  <c r="AZ103" i="95"/>
  <c r="AJ101" i="95"/>
  <c r="AC100" i="95"/>
  <c r="AT98" i="95"/>
  <c r="BH95" i="95"/>
  <c r="Y95" i="95"/>
  <c r="AN94" i="95"/>
  <c r="AY91" i="95"/>
  <c r="Q91" i="95"/>
  <c r="AE87" i="95"/>
  <c r="BH77" i="95"/>
  <c r="BD71" i="95"/>
  <c r="AU123" i="95"/>
  <c r="BH101" i="95"/>
  <c r="AB95" i="95"/>
  <c r="AU95" i="95"/>
  <c r="BJ94" i="95"/>
  <c r="AA94" i="95"/>
  <c r="AL91" i="95"/>
  <c r="BA87" i="95"/>
  <c r="X100" i="95"/>
  <c r="AT95" i="95"/>
  <c r="AX91" i="95"/>
  <c r="AI87" i="95"/>
  <c r="AK77" i="95"/>
  <c r="Q71" i="95"/>
  <c r="BD100" i="95"/>
  <c r="AK95" i="95"/>
  <c r="AQ87" i="95"/>
  <c r="AX124" i="95"/>
  <c r="AN105" i="95"/>
  <c r="AZ94" i="95"/>
  <c r="AN98" i="95"/>
  <c r="AT83" i="95"/>
  <c r="BE110" i="95"/>
  <c r="AO77" i="95"/>
  <c r="T91" i="95"/>
  <c r="U71" i="95"/>
  <c r="AW71" i="95"/>
  <c r="AE71" i="95"/>
  <c r="BG124" i="95"/>
  <c r="AY119" i="95"/>
  <c r="AV116" i="95"/>
  <c r="BK112" i="95"/>
  <c r="AP110" i="95"/>
  <c r="AH105" i="95"/>
  <c r="R103" i="95"/>
  <c r="AZ100" i="95"/>
  <c r="BK98" i="95"/>
  <c r="AB98" i="95"/>
  <c r="AP95" i="95"/>
  <c r="BE94" i="95"/>
  <c r="W94" i="95"/>
  <c r="AH91" i="95"/>
  <c r="AW87" i="95"/>
  <c r="BH83" i="95"/>
  <c r="AP77" i="95"/>
  <c r="AM71" i="95"/>
  <c r="U113" i="95"/>
  <c r="AW98" i="95"/>
  <c r="BA64" i="95"/>
  <c r="AJ125" i="95"/>
  <c r="BE119" i="95"/>
  <c r="AI118" i="95"/>
  <c r="U117" i="95"/>
  <c r="AX114" i="95"/>
  <c r="AC113" i="95"/>
  <c r="AM112" i="95"/>
  <c r="BA110" i="95"/>
  <c r="S110" i="95"/>
  <c r="AG109" i="95"/>
  <c r="BA105" i="95"/>
  <c r="S105" i="95"/>
  <c r="AK103" i="95"/>
  <c r="AU101" i="95"/>
  <c r="BI100" i="95"/>
  <c r="AK100" i="95"/>
  <c r="R100" i="95"/>
  <c r="AU98" i="95"/>
  <c r="AC98" i="95"/>
  <c r="BI95" i="95"/>
  <c r="AQ95" i="95"/>
  <c r="Z95" i="95"/>
  <c r="BG94" i="95"/>
  <c r="AO94" i="95"/>
  <c r="X94" i="95"/>
  <c r="BD91" i="95"/>
  <c r="AM91" i="95"/>
  <c r="V91" i="95"/>
  <c r="BB87" i="95"/>
  <c r="AK87" i="95"/>
  <c r="T87" i="95"/>
  <c r="AZ83" i="95"/>
  <c r="AZ77" i="95"/>
  <c r="AI77" i="95"/>
  <c r="R77" i="95"/>
  <c r="AZ64" i="95"/>
  <c r="AD118" i="95"/>
  <c r="AB114" i="95"/>
  <c r="AB112" i="95"/>
  <c r="BD109" i="95"/>
  <c r="Y77" i="95"/>
  <c r="V71" i="95"/>
  <c r="AB109" i="95"/>
  <c r="AG91" i="95"/>
  <c r="BH15" i="95"/>
  <c r="BC15" i="95"/>
  <c r="AY15" i="95"/>
  <c r="AU15" i="95"/>
  <c r="AP15" i="95"/>
  <c r="AL15" i="95"/>
  <c r="BK15" i="95"/>
  <c r="BG15" i="95"/>
  <c r="BB15" i="95"/>
  <c r="AX15" i="95"/>
  <c r="AT15" i="95"/>
  <c r="AO15" i="95"/>
  <c r="AK15" i="95"/>
  <c r="AG15" i="95"/>
  <c r="AB15" i="95"/>
  <c r="X15" i="95"/>
  <c r="T15" i="95"/>
  <c r="O15" i="95"/>
  <c r="BD15" i="95"/>
  <c r="AV15" i="95"/>
  <c r="AM15" i="95"/>
  <c r="AE15" i="95"/>
  <c r="Z15" i="95"/>
  <c r="U15" i="95"/>
  <c r="AQ15" i="95"/>
  <c r="W15" i="95"/>
  <c r="AH15" i="95"/>
  <c r="V15" i="95"/>
  <c r="BJ15" i="95"/>
  <c r="BA15" i="95"/>
  <c r="AR15" i="95"/>
  <c r="AJ15" i="95"/>
  <c r="AD15" i="95"/>
  <c r="Y15" i="95"/>
  <c r="S15" i="95"/>
  <c r="BI15" i="95"/>
  <c r="AC15" i="95"/>
  <c r="R15" i="95"/>
  <c r="AW15" i="95"/>
  <c r="Q15" i="95"/>
  <c r="AZ15" i="95"/>
  <c r="AI15" i="95"/>
  <c r="BE15" i="95"/>
  <c r="AN15" i="95"/>
  <c r="AA15" i="95"/>
  <c r="BK35" i="95"/>
  <c r="BG35" i="95"/>
  <c r="BB35" i="95"/>
  <c r="AX35" i="95"/>
  <c r="AT35" i="95"/>
  <c r="AO35" i="95"/>
  <c r="AK35" i="95"/>
  <c r="AG35" i="95"/>
  <c r="AB35" i="95"/>
  <c r="X35" i="95"/>
  <c r="T35" i="95"/>
  <c r="O35" i="95"/>
  <c r="BJ35" i="95"/>
  <c r="BE35" i="95"/>
  <c r="BA35" i="95"/>
  <c r="AW35" i="95"/>
  <c r="AR35" i="95"/>
  <c r="AN35" i="95"/>
  <c r="AJ35" i="95"/>
  <c r="AE35" i="95"/>
  <c r="AA35" i="95"/>
  <c r="W35" i="95"/>
  <c r="S35" i="95"/>
  <c r="BI35" i="95"/>
  <c r="AZ35" i="95"/>
  <c r="AQ35" i="95"/>
  <c r="AI35" i="95"/>
  <c r="Z35" i="95"/>
  <c r="R35" i="95"/>
  <c r="AM35" i="95"/>
  <c r="V35" i="95"/>
  <c r="AU35" i="95"/>
  <c r="U35" i="95"/>
  <c r="BH35" i="95"/>
  <c r="AY35" i="95"/>
  <c r="AP35" i="95"/>
  <c r="AH35" i="95"/>
  <c r="Y35" i="95"/>
  <c r="Q35" i="95"/>
  <c r="BD35" i="95"/>
  <c r="AV35" i="95"/>
  <c r="AD35" i="95"/>
  <c r="BC35" i="95"/>
  <c r="AL35" i="95"/>
  <c r="AC35" i="95"/>
  <c r="BF55" i="95"/>
  <c r="AI94" i="95"/>
  <c r="BH41" i="95"/>
  <c r="BC41" i="95"/>
  <c r="AY41" i="95"/>
  <c r="AU41" i="95"/>
  <c r="AP41" i="95"/>
  <c r="AL41" i="95"/>
  <c r="AH41" i="95"/>
  <c r="AC41" i="95"/>
  <c r="Y41" i="95"/>
  <c r="U41" i="95"/>
  <c r="Q41" i="95"/>
  <c r="BK41" i="95"/>
  <c r="BG41" i="95"/>
  <c r="BB41" i="95"/>
  <c r="AX41" i="95"/>
  <c r="AT41" i="95"/>
  <c r="AO41" i="95"/>
  <c r="AK41" i="95"/>
  <c r="AG41" i="95"/>
  <c r="AB41" i="95"/>
  <c r="X41" i="95"/>
  <c r="T41" i="95"/>
  <c r="O41" i="95"/>
  <c r="BJ41" i="95"/>
  <c r="BE41" i="95"/>
  <c r="BA41" i="95"/>
  <c r="AW41" i="95"/>
  <c r="AR41" i="95"/>
  <c r="AN41" i="95"/>
  <c r="AJ41" i="95"/>
  <c r="AE41" i="95"/>
  <c r="AA41" i="95"/>
  <c r="W41" i="95"/>
  <c r="S41" i="95"/>
  <c r="BI41" i="95"/>
  <c r="AQ41" i="95"/>
  <c r="Z41" i="95"/>
  <c r="AZ41" i="95"/>
  <c r="AI41" i="95"/>
  <c r="BD41" i="95"/>
  <c r="AM41" i="95"/>
  <c r="V41" i="95"/>
  <c r="R41" i="95"/>
  <c r="AD41" i="95"/>
  <c r="AV41" i="95"/>
  <c r="BG83" i="95"/>
  <c r="AQ112" i="95"/>
  <c r="AH101" i="95"/>
  <c r="AT77" i="95"/>
  <c r="T95" i="95"/>
  <c r="BC113" i="95"/>
  <c r="O77" i="95"/>
  <c r="BK91" i="95"/>
  <c r="AR98" i="95"/>
  <c r="W105" i="95"/>
  <c r="AQ116" i="95"/>
  <c r="AM87" i="95"/>
  <c r="AL113" i="95"/>
  <c r="BG91" i="95"/>
  <c r="AT109" i="95"/>
  <c r="BB83" i="95"/>
  <c r="AE98" i="95"/>
  <c r="AC119" i="95"/>
  <c r="U77" i="95"/>
  <c r="AA87" i="95"/>
  <c r="AU91" i="95"/>
  <c r="U95" i="95"/>
  <c r="AO98" i="95"/>
  <c r="AA101" i="95"/>
  <c r="BH105" i="95"/>
  <c r="BB112" i="95"/>
  <c r="AH119" i="95"/>
  <c r="AR71" i="95"/>
  <c r="AV83" i="95"/>
  <c r="R91" i="95"/>
  <c r="AK94" i="95"/>
  <c r="BD95" i="95"/>
  <c r="AD100" i="95"/>
  <c r="BK103" i="95"/>
  <c r="AR110" i="95"/>
  <c r="AZ116" i="95"/>
  <c r="AH154" i="95"/>
  <c r="AA77" i="95"/>
  <c r="AC87" i="95"/>
  <c r="BA91" i="95"/>
  <c r="AA95" i="95"/>
  <c r="AV98" i="95"/>
  <c r="AW101" i="95"/>
  <c r="AZ109" i="95"/>
  <c r="T114" i="95"/>
  <c r="AL123" i="95"/>
  <c r="AT101" i="95"/>
  <c r="R105" i="95"/>
  <c r="AL109" i="95"/>
  <c r="AB71" i="95"/>
  <c r="AT71" i="95"/>
  <c r="BK71" i="95"/>
  <c r="AE77" i="95"/>
  <c r="AW77" i="95"/>
  <c r="AW83" i="95"/>
  <c r="Q87" i="95"/>
  <c r="AH87" i="95"/>
  <c r="AY87" i="95"/>
  <c r="W91" i="95"/>
  <c r="AN91" i="95"/>
  <c r="BE91" i="95"/>
  <c r="Y94" i="95"/>
  <c r="AP94" i="95"/>
  <c r="BH94" i="95"/>
  <c r="AE95" i="95"/>
  <c r="AW95" i="95"/>
  <c r="R98" i="95"/>
  <c r="AI98" i="95"/>
  <c r="AZ98" i="95"/>
  <c r="W100" i="95"/>
  <c r="AQ100" i="95"/>
  <c r="W101" i="95"/>
  <c r="BE101" i="95"/>
  <c r="AV103" i="95"/>
  <c r="AL105" i="95"/>
  <c r="Z109" i="95"/>
  <c r="BI109" i="95"/>
  <c r="AU110" i="95"/>
  <c r="AG112" i="95"/>
  <c r="S113" i="95"/>
  <c r="AK114" i="95"/>
  <c r="BD116" i="95"/>
  <c r="V118" i="95"/>
  <c r="AP119" i="95"/>
  <c r="AO124" i="95"/>
  <c r="O101" i="95"/>
  <c r="AG101" i="95"/>
  <c r="AX101" i="95"/>
  <c r="Q103" i="95"/>
  <c r="AH103" i="95"/>
  <c r="AY103" i="95"/>
  <c r="V105" i="95"/>
  <c r="AM105" i="95"/>
  <c r="BD105" i="95"/>
  <c r="Y109" i="95"/>
  <c r="AP109" i="95"/>
  <c r="BH109" i="95"/>
  <c r="AB110" i="95"/>
  <c r="AT110" i="95"/>
  <c r="BK110" i="95"/>
  <c r="AE112" i="95"/>
  <c r="AW112" i="95"/>
  <c r="R113" i="95"/>
  <c r="AI113" i="95"/>
  <c r="AZ113" i="95"/>
  <c r="U114" i="95"/>
  <c r="AL114" i="95"/>
  <c r="BC114" i="95"/>
  <c r="W116" i="95"/>
  <c r="AN116" i="95"/>
  <c r="BE116" i="95"/>
  <c r="Z117" i="95"/>
  <c r="AQ117" i="95"/>
  <c r="BI117" i="95"/>
  <c r="AE118" i="95"/>
  <c r="AW118" i="95"/>
  <c r="R119" i="95"/>
  <c r="AI119" i="95"/>
  <c r="BA119" i="95"/>
  <c r="AZ120" i="95"/>
  <c r="BC121" i="95"/>
  <c r="BG123" i="95"/>
  <c r="BJ124" i="95"/>
  <c r="AH127" i="95"/>
  <c r="AX131" i="95"/>
  <c r="AW139" i="95"/>
  <c r="AE113" i="95"/>
  <c r="AW113" i="95"/>
  <c r="R114" i="95"/>
  <c r="AI114" i="95"/>
  <c r="AZ114" i="95"/>
  <c r="T116" i="95"/>
  <c r="AK116" i="95"/>
  <c r="BB116" i="95"/>
  <c r="W117" i="95"/>
  <c r="AN117" i="95"/>
  <c r="BE117" i="95"/>
  <c r="X118" i="95"/>
  <c r="AO118" i="95"/>
  <c r="BG118" i="95"/>
  <c r="AA119" i="95"/>
  <c r="AR119" i="95"/>
  <c r="AJ120" i="95"/>
  <c r="AM121" i="95"/>
  <c r="AP123" i="95"/>
  <c r="AT124" i="95"/>
  <c r="BI125" i="95"/>
  <c r="BK128" i="95"/>
  <c r="AG138" i="95"/>
  <c r="AR100" i="95"/>
  <c r="BJ100" i="95"/>
  <c r="AD101" i="95"/>
  <c r="AV101" i="95"/>
  <c r="S103" i="95"/>
  <c r="AJ103" i="95"/>
  <c r="BA103" i="95"/>
  <c r="T105" i="95"/>
  <c r="AK105" i="95"/>
  <c r="BB105" i="95"/>
  <c r="W109" i="95"/>
  <c r="AN109" i="95"/>
  <c r="BE109" i="95"/>
  <c r="Z110" i="95"/>
  <c r="AQ110" i="95"/>
  <c r="BI110" i="95"/>
  <c r="AC112" i="95"/>
  <c r="AU112" i="95"/>
  <c r="O113" i="95"/>
  <c r="AG113" i="95"/>
  <c r="AX113" i="95"/>
  <c r="S114" i="95"/>
  <c r="AJ114" i="95"/>
  <c r="BA114" i="95"/>
  <c r="U116" i="95"/>
  <c r="AL116" i="95"/>
  <c r="BC116" i="95"/>
  <c r="X117" i="95"/>
  <c r="AO117" i="95"/>
  <c r="BG117" i="95"/>
  <c r="Y118" i="95"/>
  <c r="AP118" i="95"/>
  <c r="BH118" i="95"/>
  <c r="AB119" i="95"/>
  <c r="AT119" i="95"/>
  <c r="AM120" i="95"/>
  <c r="AP121" i="95"/>
  <c r="AT123" i="95"/>
  <c r="AW124" i="95"/>
  <c r="AH126" i="95"/>
  <c r="X129" i="95"/>
  <c r="BK133" i="95"/>
  <c r="BC141" i="95"/>
  <c r="AN125" i="95"/>
  <c r="BE125" i="95"/>
  <c r="AQ126" i="95"/>
  <c r="AI127" i="95"/>
  <c r="BG127" i="95"/>
  <c r="BC128" i="95"/>
  <c r="AP129" i="95"/>
  <c r="Y131" i="95"/>
  <c r="BH131" i="95"/>
  <c r="AP133" i="95"/>
  <c r="AN135" i="95"/>
  <c r="BJ136" i="95"/>
  <c r="BJ145" i="95" s="1"/>
  <c r="AT138" i="95"/>
  <c r="O147" i="95"/>
  <c r="AP154" i="95"/>
  <c r="BD160" i="95"/>
  <c r="AO120" i="95"/>
  <c r="BG120" i="95"/>
  <c r="AR121" i="95"/>
  <c r="BJ121" i="95"/>
  <c r="AV123" i="95"/>
  <c r="AH124" i="95"/>
  <c r="AY124" i="95"/>
  <c r="AK125" i="95"/>
  <c r="BB125" i="95"/>
  <c r="AR126" i="95"/>
  <c r="AP127" i="95"/>
  <c r="AO128" i="95"/>
  <c r="AT129" i="95"/>
  <c r="AK131" i="95"/>
  <c r="AB133" i="95"/>
  <c r="AR135" i="95"/>
  <c r="BG137" i="95"/>
  <c r="AL141" i="95"/>
  <c r="AK155" i="95"/>
  <c r="AH120" i="95"/>
  <c r="BC120" i="95"/>
  <c r="AX121" i="95"/>
  <c r="AN123" i="95"/>
  <c r="BJ123" i="95"/>
  <c r="BD124" i="95"/>
  <c r="BH125" i="95"/>
  <c r="AL127" i="95"/>
  <c r="BH128" i="95"/>
  <c r="AL131" i="95"/>
  <c r="BG133" i="95"/>
  <c r="AG147" i="95"/>
  <c r="BG141" i="95"/>
  <c r="AT154" i="95"/>
  <c r="AM128" i="95"/>
  <c r="BI129" i="95"/>
  <c r="AD133" i="95"/>
  <c r="BE136" i="95"/>
  <c r="BE145" i="95" s="1"/>
  <c r="AM140" i="95"/>
  <c r="AQ153" i="95"/>
  <c r="AN129" i="95"/>
  <c r="BJ131" i="95"/>
  <c r="AQ135" i="95"/>
  <c r="BJ138" i="95"/>
  <c r="BE147" i="95"/>
  <c r="R156" i="95"/>
  <c r="AW156" i="95"/>
  <c r="AH160" i="95"/>
  <c r="AW140" i="95"/>
  <c r="AL147" i="95"/>
  <c r="BJ153" i="95"/>
  <c r="AH155" i="95"/>
  <c r="BB156" i="95"/>
  <c r="AQ160" i="95"/>
  <c r="AH135" i="95"/>
  <c r="BI28" i="95"/>
  <c r="BD28" i="95"/>
  <c r="AZ28" i="95"/>
  <c r="AV28" i="95"/>
  <c r="AQ28" i="95"/>
  <c r="AM28" i="95"/>
  <c r="AI28" i="95"/>
  <c r="AD28" i="95"/>
  <c r="Z28" i="95"/>
  <c r="V28" i="95"/>
  <c r="R28" i="95"/>
  <c r="BH28" i="95"/>
  <c r="BC28" i="95"/>
  <c r="AY28" i="95"/>
  <c r="AU28" i="95"/>
  <c r="AP28" i="95"/>
  <c r="AL28" i="95"/>
  <c r="AH28" i="95"/>
  <c r="AC28" i="95"/>
  <c r="Y28" i="95"/>
  <c r="U28" i="95"/>
  <c r="Q28" i="95"/>
  <c r="BK28" i="95"/>
  <c r="BB28" i="95"/>
  <c r="AT28" i="95"/>
  <c r="AK28" i="95"/>
  <c r="AB28" i="95"/>
  <c r="T28" i="95"/>
  <c r="AX28" i="95"/>
  <c r="AO28" i="95"/>
  <c r="O28" i="95"/>
  <c r="BE28" i="95"/>
  <c r="AE28" i="95"/>
  <c r="BJ28" i="95"/>
  <c r="BA28" i="95"/>
  <c r="AR28" i="95"/>
  <c r="AJ28" i="95"/>
  <c r="AA28" i="95"/>
  <c r="S28" i="95"/>
  <c r="BG28" i="95"/>
  <c r="AG28" i="95"/>
  <c r="X28" i="95"/>
  <c r="AN28" i="95"/>
  <c r="AW28" i="95"/>
  <c r="W28" i="95"/>
  <c r="BK42" i="95"/>
  <c r="BG42" i="95"/>
  <c r="BB42" i="95"/>
  <c r="AX42" i="95"/>
  <c r="AT42" i="95"/>
  <c r="AO42" i="95"/>
  <c r="AK42" i="95"/>
  <c r="AG42" i="95"/>
  <c r="AB42" i="95"/>
  <c r="X42" i="95"/>
  <c r="T42" i="95"/>
  <c r="O42" i="95"/>
  <c r="BJ42" i="95"/>
  <c r="BE42" i="95"/>
  <c r="BA42" i="95"/>
  <c r="AW42" i="95"/>
  <c r="AR42" i="95"/>
  <c r="AN42" i="95"/>
  <c r="AJ42" i="95"/>
  <c r="AE42" i="95"/>
  <c r="AA42" i="95"/>
  <c r="W42" i="95"/>
  <c r="S42" i="95"/>
  <c r="BI42" i="95"/>
  <c r="BD42" i="95"/>
  <c r="AZ42" i="95"/>
  <c r="AV42" i="95"/>
  <c r="AQ42" i="95"/>
  <c r="AM42" i="95"/>
  <c r="AI42" i="95"/>
  <c r="AD42" i="95"/>
  <c r="Z42" i="95"/>
  <c r="V42" i="95"/>
  <c r="R42" i="95"/>
  <c r="AU42" i="95"/>
  <c r="AC42" i="95"/>
  <c r="BC42" i="95"/>
  <c r="Q42" i="95"/>
  <c r="BH42" i="95"/>
  <c r="AP42" i="95"/>
  <c r="Y42" i="95"/>
  <c r="AL42" i="95"/>
  <c r="U42" i="95"/>
  <c r="AY42" i="95"/>
  <c r="AH42" i="95"/>
  <c r="BH18" i="95"/>
  <c r="BC18" i="95"/>
  <c r="AY18" i="95"/>
  <c r="AU18" i="95"/>
  <c r="AP18" i="95"/>
  <c r="AL18" i="95"/>
  <c r="AH18" i="95"/>
  <c r="AC18" i="95"/>
  <c r="Y18" i="95"/>
  <c r="U18" i="95"/>
  <c r="Q18" i="95"/>
  <c r="BK18" i="95"/>
  <c r="BG18" i="95"/>
  <c r="BB18" i="95"/>
  <c r="AX18" i="95"/>
  <c r="AT18" i="95"/>
  <c r="AO18" i="95"/>
  <c r="AK18" i="95"/>
  <c r="AG18" i="95"/>
  <c r="AB18" i="95"/>
  <c r="X18" i="95"/>
  <c r="T18" i="95"/>
  <c r="BD18" i="95"/>
  <c r="AV18" i="95"/>
  <c r="AM18" i="95"/>
  <c r="AD18" i="95"/>
  <c r="V18" i="95"/>
  <c r="O18" i="95"/>
  <c r="AQ18" i="95"/>
  <c r="AI18" i="95"/>
  <c r="BE18" i="95"/>
  <c r="AN18" i="95"/>
  <c r="BJ18" i="95"/>
  <c r="BA18" i="95"/>
  <c r="AR18" i="95"/>
  <c r="AJ18" i="95"/>
  <c r="AA18" i="95"/>
  <c r="S18" i="95"/>
  <c r="BI18" i="95"/>
  <c r="AZ18" i="95"/>
  <c r="Z18" i="95"/>
  <c r="R18" i="95"/>
  <c r="AW18" i="95"/>
  <c r="AE18" i="95"/>
  <c r="W18" i="95"/>
  <c r="BJ17" i="95"/>
  <c r="BE17" i="95"/>
  <c r="BA17" i="95"/>
  <c r="AW17" i="95"/>
  <c r="AR17" i="95"/>
  <c r="AN17" i="95"/>
  <c r="AJ17" i="95"/>
  <c r="AE17" i="95"/>
  <c r="AA17" i="95"/>
  <c r="W17" i="95"/>
  <c r="S17" i="95"/>
  <c r="BI17" i="95"/>
  <c r="BD17" i="95"/>
  <c r="AZ17" i="95"/>
  <c r="AV17" i="95"/>
  <c r="AQ17" i="95"/>
  <c r="AM17" i="95"/>
  <c r="AI17" i="95"/>
  <c r="AD17" i="95"/>
  <c r="Z17" i="95"/>
  <c r="V17" i="95"/>
  <c r="R17" i="95"/>
  <c r="BC17" i="95"/>
  <c r="AU17" i="95"/>
  <c r="AL17" i="95"/>
  <c r="AC17" i="95"/>
  <c r="U17" i="95"/>
  <c r="BH17" i="95"/>
  <c r="AY17" i="95"/>
  <c r="AH17" i="95"/>
  <c r="Q17" i="95"/>
  <c r="AO17" i="95"/>
  <c r="X17" i="95"/>
  <c r="BK17" i="95"/>
  <c r="BB17" i="95"/>
  <c r="AT17" i="95"/>
  <c r="AK17" i="95"/>
  <c r="AB17" i="95"/>
  <c r="T17" i="95"/>
  <c r="AP17" i="95"/>
  <c r="Y17" i="95"/>
  <c r="BG17" i="95"/>
  <c r="O17" i="95"/>
  <c r="AX17" i="95"/>
  <c r="AG17" i="95"/>
  <c r="O98" i="95"/>
  <c r="AG98" i="95"/>
  <c r="AX98" i="95"/>
  <c r="Q100" i="95"/>
  <c r="AI100" i="95"/>
  <c r="BG100" i="95"/>
  <c r="AR101" i="95"/>
  <c r="Z103" i="95"/>
  <c r="BI103" i="95"/>
  <c r="AP105" i="95"/>
  <c r="AD109" i="95"/>
  <c r="Q110" i="95"/>
  <c r="AY110" i="95"/>
  <c r="AK112" i="95"/>
  <c r="Y113" i="95"/>
  <c r="AT114" i="95"/>
  <c r="Q117" i="95"/>
  <c r="AV118" i="95"/>
  <c r="AW120" i="95"/>
  <c r="BH126" i="95"/>
  <c r="S71" i="95"/>
  <c r="AJ71" i="95"/>
  <c r="BA71" i="95"/>
  <c r="V77" i="95"/>
  <c r="AM77" i="95"/>
  <c r="BD77" i="95"/>
  <c r="BD83" i="95"/>
  <c r="X87" i="95"/>
  <c r="AO87" i="95"/>
  <c r="BG87" i="95"/>
  <c r="Z91" i="95"/>
  <c r="AQ91" i="95"/>
  <c r="BI91" i="95"/>
  <c r="AB94" i="95"/>
  <c r="AT94" i="95"/>
  <c r="BK94" i="95"/>
  <c r="AD95" i="95"/>
  <c r="AV95" i="95"/>
  <c r="Q98" i="95"/>
  <c r="AH98" i="95"/>
  <c r="AY98" i="95"/>
  <c r="V100" i="95"/>
  <c r="AP100" i="95"/>
  <c r="U101" i="95"/>
  <c r="BC101" i="95"/>
  <c r="AT103" i="95"/>
  <c r="AA105" i="95"/>
  <c r="BJ105" i="95"/>
  <c r="AO109" i="95"/>
  <c r="AA110" i="95"/>
  <c r="BJ110" i="95"/>
  <c r="AV112" i="95"/>
  <c r="AU113" i="95"/>
  <c r="R116" i="95"/>
  <c r="AL117" i="95"/>
  <c r="AZ118" i="95"/>
  <c r="BE120" i="95"/>
  <c r="AY127" i="95"/>
  <c r="O71" i="95"/>
  <c r="AG71" i="95"/>
  <c r="AX71" i="95"/>
  <c r="S77" i="95"/>
  <c r="AJ77" i="95"/>
  <c r="BA77" i="95"/>
  <c r="BA83" i="95"/>
  <c r="U87" i="95"/>
  <c r="AL87" i="95"/>
  <c r="BC87" i="95"/>
  <c r="AA91" i="95"/>
  <c r="AR91" i="95"/>
  <c r="BJ91" i="95"/>
  <c r="AC94" i="95"/>
  <c r="AU94" i="95"/>
  <c r="S95" i="95"/>
  <c r="AJ95" i="95"/>
  <c r="BA95" i="95"/>
  <c r="V98" i="95"/>
  <c r="AM98" i="95"/>
  <c r="BD98" i="95"/>
  <c r="AA100" i="95"/>
  <c r="AX100" i="95"/>
  <c r="AE101" i="95"/>
  <c r="V103" i="95"/>
  <c r="BD103" i="95"/>
  <c r="AU105" i="95"/>
  <c r="AI109" i="95"/>
  <c r="U110" i="95"/>
  <c r="BC110" i="95"/>
  <c r="AO112" i="95"/>
  <c r="AH113" i="95"/>
  <c r="BB114" i="95"/>
  <c r="Y117" i="95"/>
  <c r="AM118" i="95"/>
  <c r="BK119" i="95"/>
  <c r="AZ125" i="95"/>
  <c r="AG133" i="95"/>
  <c r="T101" i="95"/>
  <c r="AK101" i="95"/>
  <c r="BB101" i="95"/>
  <c r="U103" i="95"/>
  <c r="AL103" i="95"/>
  <c r="BC103" i="95"/>
  <c r="Z105" i="95"/>
  <c r="AQ105" i="95"/>
  <c r="BI105" i="95"/>
  <c r="AC109" i="95"/>
  <c r="AU109" i="95"/>
  <c r="O110" i="95"/>
  <c r="AG110" i="95"/>
  <c r="AX110" i="95"/>
  <c r="S112" i="95"/>
  <c r="AJ112" i="95"/>
  <c r="BA112" i="95"/>
  <c r="V113" i="95"/>
  <c r="AM113" i="95"/>
  <c r="BD113" i="95"/>
  <c r="Y114" i="95"/>
  <c r="AP114" i="95"/>
  <c r="BH114" i="95"/>
  <c r="AA116" i="95"/>
  <c r="AR116" i="95"/>
  <c r="BJ116" i="95"/>
  <c r="AD117" i="95"/>
  <c r="AV117" i="95"/>
  <c r="S118" i="95"/>
  <c r="AJ118" i="95"/>
  <c r="BA118" i="95"/>
  <c r="V119" i="95"/>
  <c r="AM119" i="95"/>
  <c r="BG119" i="95"/>
  <c r="BI120" i="95"/>
  <c r="AG123" i="95"/>
  <c r="AJ124" i="95"/>
  <c r="AM125" i="95"/>
  <c r="BD127" i="95"/>
  <c r="AO133" i="95"/>
  <c r="T155" i="95"/>
  <c r="AJ113" i="95"/>
  <c r="BA113" i="95"/>
  <c r="V114" i="95"/>
  <c r="AM114" i="95"/>
  <c r="BD114" i="95"/>
  <c r="X116" i="95"/>
  <c r="AO116" i="95"/>
  <c r="BG116" i="95"/>
  <c r="AA117" i="95"/>
  <c r="AR117" i="95"/>
  <c r="BJ117" i="95"/>
  <c r="AB118" i="95"/>
  <c r="AT118" i="95"/>
  <c r="BK118" i="95"/>
  <c r="AE119" i="95"/>
  <c r="AW119" i="95"/>
  <c r="AR120" i="95"/>
  <c r="AV121" i="95"/>
  <c r="AY123" i="95"/>
  <c r="BB124" i="95"/>
  <c r="AV126" i="95"/>
  <c r="AX129" i="95"/>
  <c r="AZ133" i="95"/>
  <c r="AZ140" i="95"/>
  <c r="AE100" i="95"/>
  <c r="AW100" i="95"/>
  <c r="R101" i="95"/>
  <c r="AI101" i="95"/>
  <c r="AZ101" i="95"/>
  <c r="W103" i="95"/>
  <c r="AN103" i="95"/>
  <c r="BE103" i="95"/>
  <c r="X105" i="95"/>
  <c r="AO105" i="95"/>
  <c r="BG105" i="95"/>
  <c r="AA109" i="95"/>
  <c r="AR109" i="95"/>
  <c r="BJ109" i="95"/>
  <c r="AD110" i="95"/>
  <c r="AV110" i="95"/>
  <c r="Q112" i="95"/>
  <c r="AH112" i="95"/>
  <c r="AY112" i="95"/>
  <c r="T113" i="95"/>
  <c r="AK113" i="95"/>
  <c r="BB113" i="95"/>
  <c r="W114" i="95"/>
  <c r="AN114" i="95"/>
  <c r="BE114" i="95"/>
  <c r="Y116" i="95"/>
  <c r="AP116" i="95"/>
  <c r="BH116" i="95"/>
  <c r="AB117" i="95"/>
  <c r="AT117" i="95"/>
  <c r="BK117" i="95"/>
  <c r="AC118" i="95"/>
  <c r="AU118" i="95"/>
  <c r="O119" i="95"/>
  <c r="AG119" i="95"/>
  <c r="AX119" i="95"/>
  <c r="AV120" i="95"/>
  <c r="AY121" i="95"/>
  <c r="BB123" i="95"/>
  <c r="BE124" i="95"/>
  <c r="BA126" i="95"/>
  <c r="BG129" i="95"/>
  <c r="BJ135" i="95"/>
  <c r="AV153" i="95"/>
  <c r="AR125" i="95"/>
  <c r="BJ125" i="95"/>
  <c r="AW126" i="95"/>
  <c r="AO127" i="95"/>
  <c r="AG128" i="95"/>
  <c r="Q129" i="95"/>
  <c r="AY129" i="95"/>
  <c r="AH131" i="95"/>
  <c r="Q133" i="95"/>
  <c r="BA133" i="95"/>
  <c r="AZ135" i="95"/>
  <c r="AP137" i="95"/>
  <c r="BE138" i="95"/>
  <c r="AX147" i="95"/>
  <c r="AB155" i="95"/>
  <c r="AT120" i="95"/>
  <c r="BK120" i="95"/>
  <c r="AW121" i="95"/>
  <c r="AI123" i="95"/>
  <c r="AZ123" i="95"/>
  <c r="AL124" i="95"/>
  <c r="BC124" i="95"/>
  <c r="AO125" i="95"/>
  <c r="BG125" i="95"/>
  <c r="AY126" i="95"/>
  <c r="AV127" i="95"/>
  <c r="BG128" i="95"/>
  <c r="BB129" i="95"/>
  <c r="AT131" i="95"/>
  <c r="AT133" i="95"/>
  <c r="BD135" i="95"/>
  <c r="AL138" i="95"/>
  <c r="BG147" i="95"/>
  <c r="BD156" i="95"/>
  <c r="AL120" i="95"/>
  <c r="AG121" i="95"/>
  <c r="BB121" i="95"/>
  <c r="AR123" i="95"/>
  <c r="AM124" i="95"/>
  <c r="AH125" i="95"/>
  <c r="AK126" i="95"/>
  <c r="AX127" i="95"/>
  <c r="AC129" i="95"/>
  <c r="BC131" i="95"/>
  <c r="AI135" i="95"/>
  <c r="BA155" i="95"/>
  <c r="AR147" i="95"/>
  <c r="AE155" i="95"/>
  <c r="AX126" i="95"/>
  <c r="BD128" i="95"/>
  <c r="AD131" i="95"/>
  <c r="AW133" i="95"/>
  <c r="AX137" i="95"/>
  <c r="AP141" i="95"/>
  <c r="AC154" i="95"/>
  <c r="BE129" i="95"/>
  <c r="AA133" i="95"/>
  <c r="BA136" i="95"/>
  <c r="BA145" i="95" s="1"/>
  <c r="AH140" i="95"/>
  <c r="AU153" i="95"/>
  <c r="AT155" i="95"/>
  <c r="R164" i="95"/>
  <c r="R165" i="95" s="1"/>
  <c r="BH138" i="95"/>
  <c r="AI141" i="95"/>
  <c r="BC147" i="95"/>
  <c r="AD154" i="95"/>
  <c r="AY155" i="95"/>
  <c r="AA164" i="95"/>
  <c r="AA165" i="95" s="1"/>
  <c r="BI13" i="95"/>
  <c r="BD13" i="95"/>
  <c r="AZ13" i="95"/>
  <c r="AV13" i="95"/>
  <c r="AQ13" i="95"/>
  <c r="AM13" i="95"/>
  <c r="AI13" i="95"/>
  <c r="AD13" i="95"/>
  <c r="Z13" i="95"/>
  <c r="V13" i="95"/>
  <c r="R13" i="95"/>
  <c r="BG13" i="95"/>
  <c r="BA13" i="95"/>
  <c r="AU13" i="95"/>
  <c r="AO13" i="95"/>
  <c r="AJ13" i="95"/>
  <c r="AC13" i="95"/>
  <c r="X13" i="95"/>
  <c r="S13" i="95"/>
  <c r="BC13" i="95"/>
  <c r="AL13" i="95"/>
  <c r="O13" i="95"/>
  <c r="BH13" i="95"/>
  <c r="AE13" i="95"/>
  <c r="T13" i="95"/>
  <c r="BK13" i="95"/>
  <c r="BE13" i="95"/>
  <c r="AY13" i="95"/>
  <c r="AT13" i="95"/>
  <c r="AN13" i="95"/>
  <c r="AH13" i="95"/>
  <c r="AB13" i="95"/>
  <c r="W13" i="95"/>
  <c r="Q13" i="95"/>
  <c r="AX13" i="95"/>
  <c r="AA13" i="95"/>
  <c r="BB13" i="95"/>
  <c r="AP13" i="95"/>
  <c r="BJ13" i="95"/>
  <c r="AR13" i="95"/>
  <c r="AG13" i="95"/>
  <c r="U13" i="95"/>
  <c r="AW13" i="95"/>
  <c r="AK13" i="95"/>
  <c r="Y13" i="95"/>
  <c r="AU164" i="95"/>
  <c r="AU165" i="95" s="1"/>
  <c r="AC164" i="95"/>
  <c r="AC165" i="95" s="1"/>
  <c r="BK160" i="95"/>
  <c r="AT160" i="95"/>
  <c r="AB160" i="95"/>
  <c r="AX164" i="95"/>
  <c r="AX165" i="95" s="1"/>
  <c r="AG164" i="95"/>
  <c r="O164" i="95"/>
  <c r="AW160" i="95"/>
  <c r="AE160" i="95"/>
  <c r="AD164" i="95"/>
  <c r="AD165" i="95" s="1"/>
  <c r="AL160" i="95"/>
  <c r="AY156" i="95"/>
  <c r="AH156" i="95"/>
  <c r="Q156" i="95"/>
  <c r="AV155" i="95"/>
  <c r="AD155" i="95"/>
  <c r="BJ154" i="95"/>
  <c r="AR154" i="95"/>
  <c r="AA154" i="95"/>
  <c r="BG153" i="95"/>
  <c r="AO153" i="95"/>
  <c r="X153" i="95"/>
  <c r="BD147" i="95"/>
  <c r="AM147" i="95"/>
  <c r="V147" i="95"/>
  <c r="BA141" i="95"/>
  <c r="AJ141" i="95"/>
  <c r="AX140" i="95"/>
  <c r="AG140" i="95"/>
  <c r="AU139" i="95"/>
  <c r="BI138" i="95"/>
  <c r="AQ138" i="95"/>
  <c r="BE137" i="95"/>
  <c r="AN137" i="95"/>
  <c r="BB136" i="95"/>
  <c r="BB145" i="95" s="1"/>
  <c r="BC135" i="95"/>
  <c r="AL135" i="95"/>
  <c r="U135" i="95"/>
  <c r="AY133" i="95"/>
  <c r="AJ164" i="95"/>
  <c r="AJ165" i="95" s="1"/>
  <c r="AZ160" i="95"/>
  <c r="R160" i="95"/>
  <c r="BG156" i="95"/>
  <c r="AO156" i="95"/>
  <c r="X156" i="95"/>
  <c r="BC155" i="95"/>
  <c r="AL155" i="95"/>
  <c r="U155" i="95"/>
  <c r="AZ154" i="95"/>
  <c r="AI154" i="95"/>
  <c r="R154" i="95"/>
  <c r="AW153" i="95"/>
  <c r="AE153" i="95"/>
  <c r="BH147" i="95"/>
  <c r="AP147" i="95"/>
  <c r="Y147" i="95"/>
  <c r="BD141" i="95"/>
  <c r="AM141" i="95"/>
  <c r="BA140" i="95"/>
  <c r="AJ140" i="95"/>
  <c r="AX139" i="95"/>
  <c r="AG139" i="95"/>
  <c r="BI164" i="95"/>
  <c r="BI165" i="95" s="1"/>
  <c r="Z164" i="95"/>
  <c r="Z165" i="95" s="1"/>
  <c r="AP160" i="95"/>
  <c r="BA156" i="95"/>
  <c r="AJ156" i="95"/>
  <c r="S156" i="95"/>
  <c r="AX155" i="95"/>
  <c r="AI156" i="95"/>
  <c r="AA155" i="95"/>
  <c r="AO154" i="95"/>
  <c r="BC153" i="95"/>
  <c r="U153" i="95"/>
  <c r="AE147" i="95"/>
  <c r="AT141" i="95"/>
  <c r="AP140" i="95"/>
  <c r="AM139" i="95"/>
  <c r="AP138" i="95"/>
  <c r="AY137" i="95"/>
  <c r="BH136" i="95"/>
  <c r="BH145" i="95" s="1"/>
  <c r="AW135" i="95"/>
  <c r="Z135" i="95"/>
  <c r="AX133" i="95"/>
  <c r="AE133" i="95"/>
  <c r="AW131" i="95"/>
  <c r="AE131" i="95"/>
  <c r="BJ129" i="95"/>
  <c r="AR129" i="95"/>
  <c r="AA129" i="95"/>
  <c r="BE128" i="95"/>
  <c r="AN128" i="95"/>
  <c r="AD156" i="95"/>
  <c r="X155" i="95"/>
  <c r="AL154" i="95"/>
  <c r="AZ153" i="95"/>
  <c r="R153" i="95"/>
  <c r="AK147" i="95"/>
  <c r="AY141" i="95"/>
  <c r="AV140" i="95"/>
  <c r="AR139" i="95"/>
  <c r="AU138" i="95"/>
  <c r="BC137" i="95"/>
  <c r="AG137" i="95"/>
  <c r="BA135" i="95"/>
  <c r="AD135" i="95"/>
  <c r="BB133" i="95"/>
  <c r="AI133" i="95"/>
  <c r="R133" i="95"/>
  <c r="AZ131" i="95"/>
  <c r="AI131" i="95"/>
  <c r="R131" i="95"/>
  <c r="AV129" i="95"/>
  <c r="AD129" i="95"/>
  <c r="BI128" i="95"/>
  <c r="AQ128" i="95"/>
  <c r="BE127" i="95"/>
  <c r="AN127" i="95"/>
  <c r="BB126" i="95"/>
  <c r="AN164" i="95"/>
  <c r="AN165" i="95" s="1"/>
  <c r="BI156" i="95"/>
  <c r="AN155" i="95"/>
  <c r="BB154" i="95"/>
  <c r="T154" i="95"/>
  <c r="AH153" i="95"/>
  <c r="BA147" i="95"/>
  <c r="S147" i="95"/>
  <c r="AG141" i="95"/>
  <c r="BI139" i="95"/>
  <c r="AM153" i="95"/>
  <c r="AN139" i="95"/>
  <c r="AV137" i="95"/>
  <c r="AT135" i="95"/>
  <c r="AV133" i="95"/>
  <c r="AC131" i="95"/>
  <c r="AL129" i="95"/>
  <c r="AY128" i="95"/>
  <c r="BC127" i="95"/>
  <c r="AG127" i="95"/>
  <c r="AO126" i="95"/>
  <c r="BC125" i="95"/>
  <c r="AL125" i="95"/>
  <c r="AZ124" i="95"/>
  <c r="AI124" i="95"/>
  <c r="AW123" i="95"/>
  <c r="BK121" i="95"/>
  <c r="AT121" i="95"/>
  <c r="BH120" i="95"/>
  <c r="AP120" i="95"/>
  <c r="BD119" i="95"/>
  <c r="AY154" i="95"/>
  <c r="X147" i="95"/>
  <c r="AX138" i="95"/>
  <c r="AI137" i="95"/>
  <c r="AG135" i="95"/>
  <c r="AK133" i="95"/>
  <c r="BB131" i="95"/>
  <c r="T131" i="95"/>
  <c r="AK129" i="95"/>
  <c r="AX128" i="95"/>
  <c r="BB127" i="95"/>
  <c r="BJ126" i="95"/>
  <c r="AN126" i="95"/>
  <c r="BH164" i="95"/>
  <c r="BH165" i="95" s="1"/>
  <c r="AP164" i="95"/>
  <c r="AP165" i="95" s="1"/>
  <c r="Y164" i="95"/>
  <c r="Y165" i="95" s="1"/>
  <c r="BG160" i="95"/>
  <c r="AO160" i="95"/>
  <c r="X160" i="95"/>
  <c r="BK164" i="95"/>
  <c r="BK165" i="95" s="1"/>
  <c r="AT164" i="95"/>
  <c r="AB164" i="95"/>
  <c r="AB165" i="95" s="1"/>
  <c r="BJ160" i="95"/>
  <c r="AR160" i="95"/>
  <c r="AA160" i="95"/>
  <c r="BD164" i="95"/>
  <c r="BD165" i="95" s="1"/>
  <c r="V164" i="95"/>
  <c r="V165" i="95" s="1"/>
  <c r="AC160" i="95"/>
  <c r="AU156" i="95"/>
  <c r="AC156" i="95"/>
  <c r="BI155" i="95"/>
  <c r="AQ155" i="95"/>
  <c r="Z155" i="95"/>
  <c r="BE154" i="95"/>
  <c r="AN154" i="95"/>
  <c r="W154" i="95"/>
  <c r="BB153" i="95"/>
  <c r="AK153" i="95"/>
  <c r="T153" i="95"/>
  <c r="AZ147" i="95"/>
  <c r="AI147" i="95"/>
  <c r="R147" i="95"/>
  <c r="AW141" i="95"/>
  <c r="BK140" i="95"/>
  <c r="AT140" i="95"/>
  <c r="BH139" i="95"/>
  <c r="AP139" i="95"/>
  <c r="BD138" i="95"/>
  <c r="AM138" i="95"/>
  <c r="BA137" i="95"/>
  <c r="BC164" i="95"/>
  <c r="BC165" i="95" s="1"/>
  <c r="AL164" i="95"/>
  <c r="AL165" i="95" s="1"/>
  <c r="U164" i="95"/>
  <c r="U165" i="95" s="1"/>
  <c r="BB160" i="95"/>
  <c r="AK160" i="95"/>
  <c r="T160" i="95"/>
  <c r="BG164" i="95"/>
  <c r="AO164" i="95"/>
  <c r="AO165" i="95" s="1"/>
  <c r="X164" i="95"/>
  <c r="X165" i="95" s="1"/>
  <c r="BE160" i="95"/>
  <c r="AN160" i="95"/>
  <c r="W160" i="95"/>
  <c r="AV164" i="95"/>
  <c r="AV165" i="95" s="1"/>
  <c r="BC160" i="95"/>
  <c r="U160" i="95"/>
  <c r="BH156" i="95"/>
  <c r="AP156" i="95"/>
  <c r="Y156" i="95"/>
  <c r="BD155" i="95"/>
  <c r="AM155" i="95"/>
  <c r="V155" i="95"/>
  <c r="BA154" i="95"/>
  <c r="AJ154" i="95"/>
  <c r="S154" i="95"/>
  <c r="AX153" i="95"/>
  <c r="AG153" i="95"/>
  <c r="O153" i="95"/>
  <c r="AV147" i="95"/>
  <c r="AD147" i="95"/>
  <c r="BJ141" i="95"/>
  <c r="AR141" i="95"/>
  <c r="BG140" i="95"/>
  <c r="AO140" i="95"/>
  <c r="BC139" i="95"/>
  <c r="AL139" i="95"/>
  <c r="AZ138" i="95"/>
  <c r="AI138" i="95"/>
  <c r="AW137" i="95"/>
  <c r="BK136" i="95"/>
  <c r="BK145" i="95" s="1"/>
  <c r="BL135" i="95"/>
  <c r="AU135" i="95"/>
  <c r="AC135" i="95"/>
  <c r="BH133" i="95"/>
  <c r="BA164" i="95"/>
  <c r="BA165" i="95" s="1"/>
  <c r="S164" i="95"/>
  <c r="S165" i="95" s="1"/>
  <c r="AI160" i="95"/>
  <c r="AX156" i="95"/>
  <c r="AG156" i="95"/>
  <c r="O156" i="95"/>
  <c r="AU155" i="95"/>
  <c r="AC155" i="95"/>
  <c r="BI154" i="95"/>
  <c r="AQ154" i="95"/>
  <c r="Z154" i="95"/>
  <c r="BE153" i="95"/>
  <c r="AN153" i="95"/>
  <c r="W153" i="95"/>
  <c r="AY147" i="95"/>
  <c r="AH147" i="95"/>
  <c r="Q147" i="95"/>
  <c r="AV141" i="95"/>
  <c r="BJ140" i="95"/>
  <c r="AR140" i="95"/>
  <c r="BG139" i="95"/>
  <c r="AO139" i="95"/>
  <c r="AQ164" i="95"/>
  <c r="AQ165" i="95" s="1"/>
  <c r="BH160" i="95"/>
  <c r="Y160" i="95"/>
  <c r="BJ156" i="95"/>
  <c r="AR156" i="95"/>
  <c r="AA156" i="95"/>
  <c r="BG155" i="95"/>
  <c r="AO155" i="95"/>
  <c r="W164" i="95"/>
  <c r="W165" i="95" s="1"/>
  <c r="AW155" i="95"/>
  <c r="BG154" i="95"/>
  <c r="X154" i="95"/>
  <c r="AL153" i="95"/>
  <c r="AW147" i="95"/>
  <c r="BK141" i="95"/>
  <c r="BH140" i="95"/>
  <c r="BD139" i="95"/>
  <c r="BB138" i="95"/>
  <c r="BK137" i="95"/>
  <c r="AM137" i="95"/>
  <c r="BI135" i="95"/>
  <c r="AK135" i="95"/>
  <c r="BJ133" i="95"/>
  <c r="AN133" i="95"/>
  <c r="W133" i="95"/>
  <c r="BE131" i="95"/>
  <c r="AN131" i="95"/>
  <c r="W131" i="95"/>
  <c r="BA129" i="95"/>
  <c r="AJ129" i="95"/>
  <c r="S129" i="95"/>
  <c r="AW128" i="95"/>
  <c r="AW164" i="95"/>
  <c r="AW165" i="95" s="1"/>
  <c r="AR155" i="95"/>
  <c r="BC154" i="95"/>
  <c r="U154" i="95"/>
  <c r="AI153" i="95"/>
  <c r="BB147" i="95"/>
  <c r="T147" i="95"/>
  <c r="AH141" i="95"/>
  <c r="BJ139" i="95"/>
  <c r="BG138" i="95"/>
  <c r="AJ138" i="95"/>
  <c r="AQ137" i="95"/>
  <c r="AZ136" i="95"/>
  <c r="AZ145" i="95" s="1"/>
  <c r="AO135" i="95"/>
  <c r="S135" i="95"/>
  <c r="AQ133" i="95"/>
  <c r="Z133" i="95"/>
  <c r="BI131" i="95"/>
  <c r="AQ131" i="95"/>
  <c r="Z131" i="95"/>
  <c r="BD129" i="95"/>
  <c r="AM129" i="95"/>
  <c r="V129" i="95"/>
  <c r="AZ128" i="95"/>
  <c r="AI128" i="95"/>
  <c r="AW127" i="95"/>
  <c r="BK126" i="95"/>
  <c r="AT126" i="95"/>
  <c r="Z156" i="95"/>
  <c r="W155" i="95"/>
  <c r="AK154" i="95"/>
  <c r="AY153" i="95"/>
  <c r="Q153" i="95"/>
  <c r="AJ147" i="95"/>
  <c r="AX141" i="95"/>
  <c r="AU140" i="95"/>
  <c r="AQ139" i="95"/>
  <c r="BH154" i="95"/>
  <c r="AU141" i="95"/>
  <c r="AN138" i="95"/>
  <c r="BD136" i="95"/>
  <c r="BD145" i="95" s="1"/>
  <c r="W135" i="95"/>
  <c r="AC133" i="95"/>
  <c r="AU131" i="95"/>
  <c r="BC129" i="95"/>
  <c r="U129" i="95"/>
  <c r="AJ128" i="95"/>
  <c r="AQ127" i="95"/>
  <c r="AZ126" i="95"/>
  <c r="AG126" i="95"/>
  <c r="AU125" i="95"/>
  <c r="BI124" i="95"/>
  <c r="AY164" i="95"/>
  <c r="AY165" i="95" s="1"/>
  <c r="AH164" i="95"/>
  <c r="AH165" i="95" s="1"/>
  <c r="Q164" i="95"/>
  <c r="Q165" i="95" s="1"/>
  <c r="AX160" i="95"/>
  <c r="AG160" i="95"/>
  <c r="O160" i="95"/>
  <c r="BB164" i="95"/>
  <c r="BB165" i="95" s="1"/>
  <c r="AK164" i="95"/>
  <c r="AK165" i="95" s="1"/>
  <c r="T164" i="95"/>
  <c r="BA160" i="95"/>
  <c r="AJ160" i="95"/>
  <c r="S160" i="95"/>
  <c r="AM164" i="95"/>
  <c r="AM165" i="95" s="1"/>
  <c r="AU160" i="95"/>
  <c r="BC156" i="95"/>
  <c r="AL156" i="95"/>
  <c r="U156" i="95"/>
  <c r="AZ155" i="95"/>
  <c r="AI155" i="95"/>
  <c r="R155" i="95"/>
  <c r="AW154" i="95"/>
  <c r="AE154" i="95"/>
  <c r="BK153" i="95"/>
  <c r="AT153" i="95"/>
  <c r="AB153" i="95"/>
  <c r="BI147" i="95"/>
  <c r="AQ147" i="95"/>
  <c r="Z147" i="95"/>
  <c r="BE141" i="95"/>
  <c r="AN141" i="95"/>
  <c r="BB140" i="95"/>
  <c r="AK140" i="95"/>
  <c r="AY139" i="95"/>
  <c r="AH139" i="95"/>
  <c r="AV138" i="95"/>
  <c r="BJ137" i="95"/>
  <c r="AR137" i="95"/>
  <c r="BG136" i="95"/>
  <c r="BH135" i="95"/>
  <c r="AP135" i="95"/>
  <c r="Y135" i="95"/>
  <c r="BC133" i="95"/>
  <c r="AR164" i="95"/>
  <c r="AR165" i="95" s="1"/>
  <c r="BI160" i="95"/>
  <c r="Z160" i="95"/>
  <c r="BK156" i="95"/>
  <c r="AT156" i="95"/>
  <c r="AB156" i="95"/>
  <c r="BH155" i="95"/>
  <c r="AP155" i="95"/>
  <c r="Y155" i="95"/>
  <c r="BD154" i="95"/>
  <c r="AM154" i="95"/>
  <c r="V154" i="95"/>
  <c r="BA153" i="95"/>
  <c r="AJ153" i="95"/>
  <c r="S153" i="95"/>
  <c r="AU147" i="95"/>
  <c r="AC147" i="95"/>
  <c r="BI141" i="95"/>
  <c r="AQ141" i="95"/>
  <c r="BE140" i="95"/>
  <c r="AN140" i="95"/>
  <c r="BB139" i="95"/>
  <c r="AK139" i="95"/>
  <c r="AI164" i="95"/>
  <c r="AI165" i="95" s="1"/>
  <c r="AY160" i="95"/>
  <c r="Q160" i="95"/>
  <c r="BE156" i="95"/>
  <c r="AN156" i="95"/>
  <c r="W156" i="95"/>
  <c r="BB155" i="95"/>
  <c r="AV160" i="95"/>
  <c r="AZ156" i="95"/>
  <c r="AJ155" i="95"/>
  <c r="AX154" i="95"/>
  <c r="O154" i="95"/>
  <c r="AC153" i="95"/>
  <c r="AN147" i="95"/>
  <c r="BB141" i="95"/>
  <c r="AY140" i="95"/>
  <c r="AV139" i="95"/>
  <c r="AW138" i="95"/>
  <c r="BD137" i="95"/>
  <c r="AH137" i="95"/>
  <c r="BB135" i="95"/>
  <c r="AE135" i="95"/>
  <c r="BD133" i="95"/>
  <c r="AJ133" i="95"/>
  <c r="S133" i="95"/>
  <c r="BA131" i="95"/>
  <c r="AJ131" i="95"/>
  <c r="S131" i="95"/>
  <c r="AW129" i="95"/>
  <c r="AE129" i="95"/>
  <c r="BJ128" i="95"/>
  <c r="AR128" i="95"/>
  <c r="AM160" i="95"/>
  <c r="AV156" i="95"/>
  <c r="AG155" i="95"/>
  <c r="AU154" i="95"/>
  <c r="BI153" i="95"/>
  <c r="Z153" i="95"/>
  <c r="AT147" i="95"/>
  <c r="BH141" i="95"/>
  <c r="BD140" i="95"/>
  <c r="BA139" i="95"/>
  <c r="BA138" i="95"/>
  <c r="BI137" i="95"/>
  <c r="AL137" i="95"/>
  <c r="BG135" i="95"/>
  <c r="AJ135" i="95"/>
  <c r="BI133" i="95"/>
  <c r="AM133" i="95"/>
  <c r="V133" i="95"/>
  <c r="BD131" i="95"/>
  <c r="AM131" i="95"/>
  <c r="V131" i="95"/>
  <c r="AZ129" i="95"/>
  <c r="AI129" i="95"/>
  <c r="R129" i="95"/>
  <c r="AV128" i="95"/>
  <c r="BJ127" i="95"/>
  <c r="AR127" i="95"/>
  <c r="BG126" i="95"/>
  <c r="BE155" i="95"/>
  <c r="BK154" i="95"/>
  <c r="AB154" i="95"/>
  <c r="AP153" i="95"/>
  <c r="BJ147" i="95"/>
  <c r="AA147" i="95"/>
  <c r="AO141" i="95"/>
  <c r="AL140" i="95"/>
  <c r="AI139" i="95"/>
  <c r="Y154" i="95"/>
  <c r="AQ140" i="95"/>
  <c r="BH137" i="95"/>
  <c r="BE135" i="95"/>
  <c r="BS43" i="95"/>
  <c r="BC71" i="95"/>
  <c r="R94" i="95"/>
  <c r="AG103" i="95"/>
  <c r="BD87" i="95"/>
  <c r="BA98" i="95"/>
  <c r="BG114" i="95"/>
  <c r="BH71" i="95"/>
  <c r="Z87" i="95"/>
  <c r="BD94" i="95"/>
  <c r="AH100" i="95"/>
  <c r="AZ112" i="95"/>
  <c r="AQ118" i="95"/>
  <c r="AU71" i="95"/>
  <c r="AX83" i="95"/>
  <c r="AT91" i="95"/>
  <c r="BI94" i="95"/>
  <c r="AA98" i="95"/>
  <c r="AM100" i="95"/>
  <c r="AX103" i="95"/>
  <c r="BB109" i="95"/>
  <c r="X114" i="95"/>
  <c r="AG129" i="95"/>
  <c r="BG77" i="95"/>
  <c r="AX95" i="95"/>
  <c r="W110" i="95"/>
  <c r="AP71" i="95"/>
  <c r="X91" i="95"/>
  <c r="BB95" i="95"/>
  <c r="AO103" i="95"/>
  <c r="AH71" i="95"/>
  <c r="BB77" i="95"/>
  <c r="AZ87" i="95"/>
  <c r="AD94" i="95"/>
  <c r="BK95" i="95"/>
  <c r="AT100" i="95"/>
  <c r="BG103" i="95"/>
  <c r="AW110" i="95"/>
  <c r="BI116" i="95"/>
  <c r="AY64" i="95"/>
  <c r="AD71" i="95"/>
  <c r="AV71" i="95"/>
  <c r="Q77" i="95"/>
  <c r="AH77" i="95"/>
  <c r="AY77" i="95"/>
  <c r="AY83" i="95"/>
  <c r="W87" i="95"/>
  <c r="AN87" i="95"/>
  <c r="BE87" i="95"/>
  <c r="Y91" i="95"/>
  <c r="AP91" i="95"/>
  <c r="BH91" i="95"/>
  <c r="AE94" i="95"/>
  <c r="AW94" i="95"/>
  <c r="Q95" i="95"/>
  <c r="AH95" i="95"/>
  <c r="AY95" i="95"/>
  <c r="T98" i="95"/>
  <c r="AK98" i="95"/>
  <c r="BB98" i="95"/>
  <c r="U100" i="95"/>
  <c r="AO100" i="95"/>
  <c r="S101" i="95"/>
  <c r="BA101" i="95"/>
  <c r="AI103" i="95"/>
  <c r="Q105" i="95"/>
  <c r="AY105" i="95"/>
  <c r="AM109" i="95"/>
  <c r="Y110" i="95"/>
  <c r="BH110" i="95"/>
  <c r="AT112" i="95"/>
  <c r="AP113" i="95"/>
  <c r="BK114" i="95"/>
  <c r="AH117" i="95"/>
  <c r="Q119" i="95"/>
  <c r="AZ121" i="95"/>
  <c r="W71" i="95"/>
  <c r="AN71" i="95"/>
  <c r="BE71" i="95"/>
  <c r="Z77" i="95"/>
  <c r="AQ77" i="95"/>
  <c r="BI77" i="95"/>
  <c r="BI83" i="95"/>
  <c r="AB87" i="95"/>
  <c r="AT87" i="95"/>
  <c r="BK87" i="95"/>
  <c r="AD91" i="95"/>
  <c r="AV91" i="95"/>
  <c r="O94" i="95"/>
  <c r="AG94" i="95"/>
  <c r="AX94" i="95"/>
  <c r="R95" i="95"/>
  <c r="AI95" i="95"/>
  <c r="AZ95" i="95"/>
  <c r="U98" i="95"/>
  <c r="AL98" i="95"/>
  <c r="BC98" i="95"/>
  <c r="Z100" i="95"/>
  <c r="AV100" i="95"/>
  <c r="AC101" i="95"/>
  <c r="T103" i="95"/>
  <c r="BB103" i="95"/>
  <c r="AJ105" i="95"/>
  <c r="O109" i="95"/>
  <c r="AX109" i="95"/>
  <c r="AJ110" i="95"/>
  <c r="V112" i="95"/>
  <c r="BD112" i="95"/>
  <c r="O114" i="95"/>
  <c r="AI116" i="95"/>
  <c r="BC117" i="95"/>
  <c r="U119" i="95"/>
  <c r="BI121" i="95"/>
  <c r="T71" i="95"/>
  <c r="AK71" i="95"/>
  <c r="BB71" i="95"/>
  <c r="W77" i="95"/>
  <c r="AN77" i="95"/>
  <c r="BE77" i="95"/>
  <c r="BE83" i="95"/>
  <c r="Y87" i="95"/>
  <c r="AP87" i="95"/>
  <c r="BH87" i="95"/>
  <c r="AE91" i="95"/>
  <c r="AW91" i="95"/>
  <c r="Q94" i="95"/>
  <c r="AH94" i="95"/>
  <c r="AY94" i="95"/>
  <c r="W95" i="95"/>
  <c r="AN95" i="95"/>
  <c r="BE95" i="95"/>
  <c r="Z98" i="95"/>
  <c r="AQ98" i="95"/>
  <c r="BI98" i="95"/>
  <c r="AG100" i="95"/>
  <c r="BC100" i="95"/>
  <c r="AN101" i="95"/>
  <c r="AD103" i="95"/>
  <c r="U105" i="95"/>
  <c r="BC105" i="95"/>
  <c r="AQ109" i="95"/>
  <c r="AC110" i="95"/>
  <c r="O112" i="95"/>
  <c r="AX112" i="95"/>
  <c r="AY113" i="95"/>
  <c r="V116" i="95"/>
  <c r="AP117" i="95"/>
  <c r="BD118" i="95"/>
  <c r="AI121" i="95"/>
  <c r="AT128" i="95"/>
  <c r="AO137" i="95"/>
  <c r="X101" i="95"/>
  <c r="AO101" i="95"/>
  <c r="BG101" i="95"/>
  <c r="Y103" i="95"/>
  <c r="AP103" i="95"/>
  <c r="BH103" i="95"/>
  <c r="AD105" i="95"/>
  <c r="AV105" i="95"/>
  <c r="Q109" i="95"/>
  <c r="AH109" i="95"/>
  <c r="AY109" i="95"/>
  <c r="T110" i="95"/>
  <c r="AK110" i="95"/>
  <c r="BB110" i="95"/>
  <c r="W112" i="95"/>
  <c r="AN112" i="95"/>
  <c r="BE112" i="95"/>
  <c r="Z113" i="95"/>
  <c r="AQ113" i="95"/>
  <c r="BI113" i="95"/>
  <c r="AC114" i="95"/>
  <c r="AU114" i="95"/>
  <c r="BL114" i="95"/>
  <c r="AE116" i="95"/>
  <c r="AW116" i="95"/>
  <c r="R117" i="95"/>
  <c r="AI117" i="95"/>
  <c r="AZ117" i="95"/>
  <c r="W118" i="95"/>
  <c r="AN118" i="95"/>
  <c r="BE118" i="95"/>
  <c r="Z119" i="95"/>
  <c r="AQ119" i="95"/>
  <c r="AI120" i="95"/>
  <c r="AL121" i="95"/>
  <c r="AO123" i="95"/>
  <c r="AR124" i="95"/>
  <c r="BD125" i="95"/>
  <c r="BB128" i="95"/>
  <c r="AM135" i="95"/>
  <c r="W113" i="95"/>
  <c r="AN113" i="95"/>
  <c r="BE113" i="95"/>
  <c r="Z114" i="95"/>
  <c r="AQ114" i="95"/>
  <c r="BI114" i="95"/>
  <c r="AB116" i="95"/>
  <c r="AT116" i="95"/>
  <c r="BK116" i="95"/>
  <c r="AE117" i="95"/>
  <c r="AW117" i="95"/>
  <c r="O118" i="95"/>
  <c r="AG118" i="95"/>
  <c r="AX118" i="95"/>
  <c r="S119" i="95"/>
  <c r="AJ119" i="95"/>
  <c r="BB119" i="95"/>
  <c r="BA120" i="95"/>
  <c r="BD121" i="95"/>
  <c r="BH123" i="95"/>
  <c r="BK124" i="95"/>
  <c r="AM127" i="95"/>
  <c r="X131" i="95"/>
  <c r="AX135" i="95"/>
  <c r="V156" i="95"/>
  <c r="AJ100" i="95"/>
  <c r="BA100" i="95"/>
  <c r="V101" i="95"/>
  <c r="AM101" i="95"/>
  <c r="BD101" i="95"/>
  <c r="AA103" i="95"/>
  <c r="AR103" i="95"/>
  <c r="BJ103" i="95"/>
  <c r="AB105" i="95"/>
  <c r="AT105" i="95"/>
  <c r="BK105" i="95"/>
  <c r="AE109" i="95"/>
  <c r="AW109" i="95"/>
  <c r="R110" i="95"/>
  <c r="AI110" i="95"/>
  <c r="AZ110" i="95"/>
  <c r="U112" i="95"/>
  <c r="AL112" i="95"/>
  <c r="BC112" i="95"/>
  <c r="X113" i="95"/>
  <c r="AO113" i="95"/>
  <c r="BG113" i="95"/>
  <c r="AA114" i="95"/>
  <c r="AR114" i="95"/>
  <c r="BJ114" i="95"/>
  <c r="AC116" i="95"/>
  <c r="AU116" i="95"/>
  <c r="O117" i="95"/>
  <c r="AG117" i="95"/>
  <c r="AX117" i="95"/>
  <c r="Q118" i="95"/>
  <c r="AH118" i="95"/>
  <c r="AY118" i="95"/>
  <c r="T119" i="95"/>
  <c r="AK119" i="95"/>
  <c r="BC119" i="95"/>
  <c r="BD120" i="95"/>
  <c r="BH121" i="95"/>
  <c r="BK123" i="95"/>
  <c r="AI125" i="95"/>
  <c r="AT127" i="95"/>
  <c r="AG131" i="95"/>
  <c r="BI136" i="95"/>
  <c r="BI145" i="95" s="1"/>
  <c r="AW125" i="95"/>
  <c r="AI126" i="95"/>
  <c r="BC126" i="95"/>
  <c r="AU127" i="95"/>
  <c r="AL128" i="95"/>
  <c r="Y129" i="95"/>
  <c r="BH129" i="95"/>
  <c r="AP131" i="95"/>
  <c r="Y133" i="95"/>
  <c r="R135" i="95"/>
  <c r="BK135" i="95"/>
  <c r="BB137" i="95"/>
  <c r="BE139" i="95"/>
  <c r="V153" i="95"/>
  <c r="AM156" i="95"/>
  <c r="AG120" i="95"/>
  <c r="AX120" i="95"/>
  <c r="AJ121" i="95"/>
  <c r="BA121" i="95"/>
  <c r="AM123" i="95"/>
  <c r="BD123" i="95"/>
  <c r="AP124" i="95"/>
  <c r="BH124" i="95"/>
  <c r="AT125" i="95"/>
  <c r="BK125" i="95"/>
  <c r="BD126" i="95"/>
  <c r="BH127" i="95"/>
  <c r="T129" i="95"/>
  <c r="BK129" i="95"/>
  <c r="BK131" i="95"/>
  <c r="BE133" i="95"/>
  <c r="BC136" i="95"/>
  <c r="BC145" i="95" s="1"/>
  <c r="BK138" i="95"/>
  <c r="AD153" i="95"/>
  <c r="AZ119" i="95"/>
  <c r="AU120" i="95"/>
  <c r="AK121" i="95"/>
  <c r="BG121" i="95"/>
  <c r="BA123" i="95"/>
  <c r="AQ124" i="95"/>
  <c r="AP125" i="95"/>
  <c r="AU126" i="95"/>
  <c r="BI127" i="95"/>
  <c r="AU129" i="95"/>
  <c r="U133" i="95"/>
  <c r="AK137" i="95"/>
  <c r="AZ139" i="95"/>
  <c r="Y153" i="95"/>
  <c r="AQ156" i="95"/>
  <c r="AJ127" i="95"/>
  <c r="Z129" i="95"/>
  <c r="AV131" i="95"/>
  <c r="X135" i="95"/>
  <c r="AO138" i="95"/>
  <c r="AB147" i="95"/>
  <c r="O155" i="95"/>
  <c r="BA128" i="95"/>
  <c r="AA131" i="95"/>
  <c r="AR133" i="95"/>
  <c r="AT137" i="95"/>
  <c r="AK141" i="95"/>
  <c r="AG154" i="95"/>
  <c r="BE164" i="95"/>
  <c r="BE165" i="95" s="1"/>
  <c r="BK155" i="95"/>
  <c r="AZ164" i="95"/>
  <c r="AZ165" i="95" s="1"/>
  <c r="AT139" i="95"/>
  <c r="AZ141" i="95"/>
  <c r="AA153" i="95"/>
  <c r="AV154" i="95"/>
  <c r="T156" i="95"/>
  <c r="BJ164" i="95"/>
  <c r="BJ165" i="95" s="1"/>
  <c r="AU133" i="95"/>
  <c r="AX136" i="95"/>
  <c r="AX145" i="95" s="1"/>
  <c r="BA124" i="95"/>
  <c r="AP126" i="95"/>
  <c r="AO129" i="95"/>
  <c r="AZ137" i="95"/>
  <c r="AA113" i="95"/>
  <c r="AR113" i="95"/>
  <c r="BJ113" i="95"/>
  <c r="AD114" i="95"/>
  <c r="AV114" i="95"/>
  <c r="O116" i="95"/>
  <c r="AG116" i="95"/>
  <c r="AX116" i="95"/>
  <c r="S117" i="95"/>
  <c r="AJ117" i="95"/>
  <c r="BA117" i="95"/>
  <c r="T118" i="95"/>
  <c r="AK118" i="95"/>
  <c r="BB118" i="95"/>
  <c r="W119" i="95"/>
  <c r="AN119" i="95"/>
  <c r="BH119" i="95"/>
  <c r="BJ120" i="95"/>
  <c r="AH123" i="95"/>
  <c r="AK124" i="95"/>
  <c r="AQ125" i="95"/>
  <c r="BK127" i="95"/>
  <c r="BG131" i="95"/>
  <c r="AW136" i="95"/>
  <c r="AE164" i="95"/>
  <c r="AE165" i="95" s="1"/>
  <c r="AN100" i="95"/>
  <c r="BE100" i="95"/>
  <c r="Z101" i="95"/>
  <c r="AQ101" i="95"/>
  <c r="BI101" i="95"/>
  <c r="AE103" i="95"/>
  <c r="AW103" i="95"/>
  <c r="O105" i="95"/>
  <c r="AG105" i="95"/>
  <c r="AX105" i="95"/>
  <c r="S109" i="95"/>
  <c r="AJ109" i="95"/>
  <c r="BA109" i="95"/>
  <c r="V110" i="95"/>
  <c r="AM110" i="95"/>
  <c r="BD110" i="95"/>
  <c r="Y112" i="95"/>
  <c r="AP112" i="95"/>
  <c r="BH112" i="95"/>
  <c r="AB113" i="95"/>
  <c r="AT113" i="95"/>
  <c r="BK113" i="95"/>
  <c r="AE114" i="95"/>
  <c r="AW114" i="95"/>
  <c r="Q116" i="95"/>
  <c r="AH116" i="95"/>
  <c r="AY116" i="95"/>
  <c r="T117" i="95"/>
  <c r="AK117" i="95"/>
  <c r="BB117" i="95"/>
  <c r="U118" i="95"/>
  <c r="AL118" i="95"/>
  <c r="BC118" i="95"/>
  <c r="X119" i="95"/>
  <c r="AO119" i="95"/>
  <c r="BJ119" i="95"/>
  <c r="AH121" i="95"/>
  <c r="AK123" i="95"/>
  <c r="AN124" i="95"/>
  <c r="AV125" i="95"/>
  <c r="AK128" i="95"/>
  <c r="X133" i="95"/>
  <c r="AR138" i="95"/>
  <c r="V160" i="95"/>
  <c r="BA125" i="95"/>
  <c r="AM126" i="95"/>
  <c r="BI126" i="95"/>
  <c r="AZ127" i="95"/>
  <c r="AU128" i="95"/>
  <c r="AH129" i="95"/>
  <c r="Q131" i="95"/>
  <c r="AY131" i="95"/>
  <c r="AH133" i="95"/>
  <c r="AB135" i="95"/>
  <c r="AY136" i="95"/>
  <c r="AY145" i="95" s="1"/>
  <c r="AH138" i="95"/>
  <c r="BI140" i="95"/>
  <c r="BD153" i="95"/>
  <c r="AK120" i="95"/>
  <c r="BB120" i="95"/>
  <c r="AN121" i="95"/>
  <c r="BE121" i="95"/>
  <c r="AQ123" i="95"/>
  <c r="BI123" i="95"/>
  <c r="AU124" i="95"/>
  <c r="AG125" i="95"/>
  <c r="AX125" i="95"/>
  <c r="AJ126" i="95"/>
  <c r="AK127" i="95"/>
  <c r="AH128" i="95"/>
  <c r="AB129" i="95"/>
  <c r="AB131" i="95"/>
  <c r="T133" i="95"/>
  <c r="V135" i="95"/>
  <c r="AU137" i="95"/>
  <c r="AI140" i="95"/>
  <c r="Q154" i="95"/>
  <c r="BI119" i="95"/>
  <c r="AY120" i="95"/>
  <c r="AO121" i="95"/>
  <c r="AJ123" i="95"/>
  <c r="BE123" i="95"/>
  <c r="AV124" i="95"/>
  <c r="AY125" i="95"/>
  <c r="BE126" i="95"/>
  <c r="AP128" i="95"/>
  <c r="U131" i="95"/>
  <c r="AL133" i="95"/>
  <c r="AY138" i="95"/>
  <c r="BC140" i="95"/>
  <c r="BH153" i="95"/>
  <c r="AD160" i="95"/>
  <c r="BA127" i="95"/>
  <c r="AQ129" i="95"/>
  <c r="AV135" i="95"/>
  <c r="AJ139" i="95"/>
  <c r="BK147" i="95"/>
  <c r="BJ155" i="95"/>
  <c r="W129" i="95"/>
  <c r="AR131" i="95"/>
  <c r="T135" i="95"/>
  <c r="AK138" i="95"/>
  <c r="W147" i="95"/>
  <c r="S155" i="95"/>
  <c r="AE156" i="95"/>
  <c r="BK139" i="95"/>
  <c r="U147" i="95"/>
  <c r="AR153" i="95"/>
  <c r="Q155" i="95"/>
  <c r="AK156" i="95"/>
  <c r="Q135" i="95"/>
  <c r="AJ137" i="95"/>
  <c r="AF203" i="95"/>
  <c r="BS157" i="95"/>
  <c r="AF159" i="95"/>
  <c r="BS203" i="95"/>
  <c r="BF157" i="95"/>
  <c r="BS159" i="95"/>
  <c r="BF203" i="95"/>
  <c r="AS157" i="95"/>
  <c r="BF159" i="95"/>
  <c r="AS203" i="95"/>
  <c r="AF157" i="95"/>
  <c r="BF32" i="95" l="1"/>
  <c r="BT32" i="95" s="1"/>
  <c r="V67" i="95"/>
  <c r="AF33" i="95"/>
  <c r="BF89" i="95"/>
  <c r="BT89" i="95" s="1"/>
  <c r="BF40" i="95"/>
  <c r="BT40" i="95" s="1"/>
  <c r="BF26" i="95"/>
  <c r="K26" i="95" s="1"/>
  <c r="H26" i="95" s="1"/>
  <c r="O67" i="95"/>
  <c r="BF132" i="95"/>
  <c r="BF65" i="95"/>
  <c r="BF67" i="95" s="1"/>
  <c r="BF107" i="95"/>
  <c r="AF25" i="95"/>
  <c r="K25" i="95" s="1"/>
  <c r="H25" i="95" s="1"/>
  <c r="AS142" i="95"/>
  <c r="K142" i="95" s="1"/>
  <c r="H142" i="95" s="1"/>
  <c r="P142" i="95" s="1"/>
  <c r="AS40" i="95"/>
  <c r="K40" i="95" s="1"/>
  <c r="H40" i="95" s="1"/>
  <c r="P40" i="95" s="1"/>
  <c r="BF149" i="95"/>
  <c r="AS150" i="95"/>
  <c r="AS32" i="95"/>
  <c r="BC67" i="95"/>
  <c r="BS143" i="95"/>
  <c r="AS159" i="95"/>
  <c r="AY67" i="95"/>
  <c r="BF150" i="95"/>
  <c r="BT150" i="95" s="1"/>
  <c r="AF24" i="95"/>
  <c r="AE67" i="95"/>
  <c r="BS132" i="95"/>
  <c r="AF150" i="95"/>
  <c r="K150" i="95" s="1"/>
  <c r="H150" i="95" s="1"/>
  <c r="P150" i="95" s="1"/>
  <c r="AF32" i="95"/>
  <c r="K32" i="95" s="1"/>
  <c r="BF143" i="95"/>
  <c r="BS23" i="95"/>
  <c r="AS89" i="95"/>
  <c r="K89" i="95" s="1"/>
  <c r="AX67" i="95"/>
  <c r="AF55" i="95"/>
  <c r="BT55" i="95" s="1"/>
  <c r="AS143" i="95"/>
  <c r="K143" i="95" s="1"/>
  <c r="H143" i="95" s="1"/>
  <c r="P143" i="95" s="1"/>
  <c r="AF43" i="95"/>
  <c r="AS25" i="95"/>
  <c r="BF151" i="95"/>
  <c r="BL206" i="95"/>
  <c r="BG63" i="95"/>
  <c r="Y63" i="95"/>
  <c r="BK63" i="95"/>
  <c r="BA63" i="95"/>
  <c r="W63" i="95"/>
  <c r="BG67" i="95"/>
  <c r="BS65" i="95"/>
  <c r="BS67" i="95" s="1"/>
  <c r="AF65" i="95"/>
  <c r="T67" i="95"/>
  <c r="AS65" i="95"/>
  <c r="AS67" i="95" s="1"/>
  <c r="BF24" i="95"/>
  <c r="BA67" i="95"/>
  <c r="S63" i="95"/>
  <c r="AF66" i="95"/>
  <c r="X63" i="95"/>
  <c r="AC67" i="95"/>
  <c r="AZ67" i="95"/>
  <c r="BF66" i="95"/>
  <c r="BT66" i="95" s="1"/>
  <c r="BJ63" i="95"/>
  <c r="AS16" i="95"/>
  <c r="AS24" i="95"/>
  <c r="BF23" i="95"/>
  <c r="BS11" i="95"/>
  <c r="AS23" i="95"/>
  <c r="AF16" i="95"/>
  <c r="AF23" i="95"/>
  <c r="AZ63" i="95"/>
  <c r="BF11" i="95"/>
  <c r="AS11" i="95"/>
  <c r="AF11" i="95"/>
  <c r="AS12" i="95"/>
  <c r="BS12" i="95"/>
  <c r="BF16" i="95"/>
  <c r="AF12" i="95"/>
  <c r="BF12" i="95"/>
  <c r="BS37" i="95"/>
  <c r="AS37" i="95"/>
  <c r="BS130" i="95"/>
  <c r="AF27" i="95"/>
  <c r="BF130" i="95"/>
  <c r="AF130" i="95"/>
  <c r="AS130" i="95"/>
  <c r="BF37" i="95"/>
  <c r="AS27" i="95"/>
  <c r="AS204" i="95"/>
  <c r="BF158" i="95"/>
  <c r="BS204" i="95"/>
  <c r="AF204" i="95"/>
  <c r="BF27" i="95"/>
  <c r="BS59" i="95"/>
  <c r="BS63" i="95" s="1"/>
  <c r="AF37" i="95"/>
  <c r="BI63" i="95"/>
  <c r="BS158" i="95"/>
  <c r="AS158" i="95"/>
  <c r="AF59" i="95"/>
  <c r="AF63" i="95" s="1"/>
  <c r="BF204" i="95"/>
  <c r="AS59" i="95"/>
  <c r="AS63" i="95" s="1"/>
  <c r="BS134" i="95"/>
  <c r="BF59" i="95"/>
  <c r="BF63" i="95" s="1"/>
  <c r="BF134" i="95"/>
  <c r="AS134" i="95"/>
  <c r="AF134" i="95"/>
  <c r="BS46" i="95"/>
  <c r="BS53" i="95" s="1"/>
  <c r="BG53" i="95"/>
  <c r="AS97" i="95"/>
  <c r="AF97" i="95"/>
  <c r="BF97" i="95"/>
  <c r="BS97" i="95"/>
  <c r="AF158" i="95"/>
  <c r="O84" i="95"/>
  <c r="AV53" i="95"/>
  <c r="BF46" i="95"/>
  <c r="BF53" i="95" s="1"/>
  <c r="AF148" i="95"/>
  <c r="AJ53" i="95"/>
  <c r="AS46" i="95"/>
  <c r="AS53" i="95" s="1"/>
  <c r="X53" i="95"/>
  <c r="AF46" i="95"/>
  <c r="AS148" i="95"/>
  <c r="BS148" i="95"/>
  <c r="BF148" i="95"/>
  <c r="BT31" i="95"/>
  <c r="K31" i="95"/>
  <c r="H31" i="95" s="1"/>
  <c r="P31" i="95" s="1"/>
  <c r="BT61" i="95"/>
  <c r="K61" i="95"/>
  <c r="K62" i="95"/>
  <c r="BT62" i="95"/>
  <c r="K106" i="95"/>
  <c r="H106" i="95" s="1"/>
  <c r="P106" i="95" s="1"/>
  <c r="BT106" i="95"/>
  <c r="AQ29" i="95"/>
  <c r="AP29" i="95"/>
  <c r="AX29" i="95"/>
  <c r="BH29" i="95"/>
  <c r="AO29" i="95"/>
  <c r="AK84" i="95"/>
  <c r="AD84" i="95"/>
  <c r="BH84" i="95"/>
  <c r="AW29" i="95"/>
  <c r="AH29" i="95"/>
  <c r="BE29" i="95"/>
  <c r="AB84" i="95"/>
  <c r="AV84" i="95"/>
  <c r="BC84" i="95"/>
  <c r="Z29" i="95"/>
  <c r="AR84" i="95"/>
  <c r="AE29" i="95"/>
  <c r="BT152" i="95"/>
  <c r="AU84" i="95"/>
  <c r="AZ29" i="95"/>
  <c r="AC84" i="95"/>
  <c r="O29" i="95"/>
  <c r="BK84" i="95"/>
  <c r="BJ29" i="95"/>
  <c r="S29" i="95"/>
  <c r="R29" i="95"/>
  <c r="AI29" i="95"/>
  <c r="BS100" i="95"/>
  <c r="AF117" i="95"/>
  <c r="AB29" i="95"/>
  <c r="AJ29" i="95"/>
  <c r="AV29" i="95"/>
  <c r="BS121" i="95"/>
  <c r="AP84" i="95"/>
  <c r="AH161" i="95"/>
  <c r="Q29" i="95"/>
  <c r="AN29" i="95"/>
  <c r="BK29" i="95"/>
  <c r="AU29" i="95"/>
  <c r="AS105" i="95"/>
  <c r="W29" i="95"/>
  <c r="AC29" i="95"/>
  <c r="BI29" i="95"/>
  <c r="AK29" i="95"/>
  <c r="AR29" i="95"/>
  <c r="AA29" i="95"/>
  <c r="AY29" i="95"/>
  <c r="U29" i="95"/>
  <c r="X29" i="95"/>
  <c r="V29" i="95"/>
  <c r="AM29" i="95"/>
  <c r="BD29" i="95"/>
  <c r="Y161" i="95"/>
  <c r="Y29" i="95"/>
  <c r="AL29" i="95"/>
  <c r="BA29" i="95"/>
  <c r="K152" i="95"/>
  <c r="H152" i="95" s="1"/>
  <c r="P152" i="95" s="1"/>
  <c r="AS94" i="95"/>
  <c r="BC29" i="95"/>
  <c r="AD29" i="95"/>
  <c r="K203" i="95"/>
  <c r="BF113" i="95"/>
  <c r="BS131" i="95"/>
  <c r="AS155" i="95"/>
  <c r="K157" i="95"/>
  <c r="H157" i="95" s="1"/>
  <c r="P157" i="95" s="1"/>
  <c r="BH161" i="95"/>
  <c r="AF133" i="95"/>
  <c r="AF118" i="95"/>
  <c r="AD161" i="95"/>
  <c r="BB84" i="95"/>
  <c r="BF87" i="95"/>
  <c r="W84" i="95"/>
  <c r="AP161" i="95"/>
  <c r="BI161" i="95"/>
  <c r="AJ161" i="95"/>
  <c r="AF147" i="95"/>
  <c r="BS139" i="95"/>
  <c r="BB161" i="95"/>
  <c r="U161" i="95"/>
  <c r="BB29" i="95"/>
  <c r="AJ84" i="95"/>
  <c r="BF36" i="95"/>
  <c r="AS125" i="95"/>
  <c r="AS154" i="95"/>
  <c r="BS101" i="95"/>
  <c r="BF128" i="95"/>
  <c r="T84" i="95"/>
  <c r="AF71" i="95"/>
  <c r="BE84" i="95"/>
  <c r="BF100" i="95"/>
  <c r="BS77" i="95"/>
  <c r="BF91" i="95"/>
  <c r="AS103" i="95"/>
  <c r="BF147" i="95"/>
  <c r="AT161" i="95"/>
  <c r="BF153" i="95"/>
  <c r="AY161" i="95"/>
  <c r="AI161" i="95"/>
  <c r="BS155" i="95"/>
  <c r="AX161" i="95"/>
  <c r="T161" i="95"/>
  <c r="AF153" i="95"/>
  <c r="BF135" i="95"/>
  <c r="BF141" i="95"/>
  <c r="AW161" i="95"/>
  <c r="X161" i="95"/>
  <c r="BS147" i="95"/>
  <c r="BS125" i="95"/>
  <c r="BF120" i="95"/>
  <c r="AV161" i="95"/>
  <c r="AS123" i="95"/>
  <c r="AS133" i="95"/>
  <c r="AG84" i="95"/>
  <c r="AS71" i="95"/>
  <c r="BF114" i="95"/>
  <c r="BF17" i="95"/>
  <c r="BS18" i="95"/>
  <c r="BS42" i="95"/>
  <c r="BS133" i="95"/>
  <c r="BF119" i="95"/>
  <c r="BF124" i="95"/>
  <c r="BF110" i="95"/>
  <c r="AS101" i="95"/>
  <c r="BF77" i="95"/>
  <c r="AV44" i="95"/>
  <c r="AM44" i="95"/>
  <c r="Z44" i="95"/>
  <c r="W44" i="95"/>
  <c r="AN44" i="95"/>
  <c r="BE44" i="95"/>
  <c r="X44" i="95"/>
  <c r="AO44" i="95"/>
  <c r="BS41" i="95"/>
  <c r="BG44" i="95"/>
  <c r="Y44" i="95"/>
  <c r="AP44" i="95"/>
  <c r="BH44" i="95"/>
  <c r="BS35" i="95"/>
  <c r="BF15" i="95"/>
  <c r="AF87" i="95"/>
  <c r="BS94" i="95"/>
  <c r="AE84" i="95"/>
  <c r="BD84" i="95"/>
  <c r="BF98" i="95"/>
  <c r="AF100" i="95"/>
  <c r="BI84" i="95"/>
  <c r="BS110" i="95"/>
  <c r="AF36" i="95"/>
  <c r="AS36" i="95"/>
  <c r="AS114" i="95"/>
  <c r="AA84" i="95"/>
  <c r="AF77" i="95"/>
  <c r="AY84" i="95"/>
  <c r="R84" i="95"/>
  <c r="AL84" i="95"/>
  <c r="AI38" i="95"/>
  <c r="BA38" i="95"/>
  <c r="AV38" i="95"/>
  <c r="AJ38" i="95"/>
  <c r="AN38" i="95"/>
  <c r="T38" i="95"/>
  <c r="AF34" i="95"/>
  <c r="AK38" i="95"/>
  <c r="BB38" i="95"/>
  <c r="U38" i="95"/>
  <c r="AL38" i="95"/>
  <c r="BC38" i="95"/>
  <c r="BT157" i="95"/>
  <c r="BD161" i="95"/>
  <c r="AW145" i="95"/>
  <c r="BF136" i="95"/>
  <c r="BF145" i="95" s="1"/>
  <c r="AA161" i="95"/>
  <c r="V161" i="95"/>
  <c r="AS118" i="95"/>
  <c r="AN84" i="95"/>
  <c r="BF112" i="95"/>
  <c r="AH84" i="95"/>
  <c r="AS129" i="95"/>
  <c r="BS114" i="95"/>
  <c r="BS135" i="95"/>
  <c r="Z161" i="95"/>
  <c r="S161" i="95"/>
  <c r="BK161" i="95"/>
  <c r="BF126" i="95"/>
  <c r="AL161" i="95"/>
  <c r="W161" i="95"/>
  <c r="BS140" i="95"/>
  <c r="BG165" i="95"/>
  <c r="BS164" i="95"/>
  <c r="BS165" i="95" s="1"/>
  <c r="AK161" i="95"/>
  <c r="BF164" i="95"/>
  <c r="AT165" i="95"/>
  <c r="BS160" i="95"/>
  <c r="AS135" i="95"/>
  <c r="BF121" i="95"/>
  <c r="AS127" i="95"/>
  <c r="R161" i="95"/>
  <c r="BS156" i="95"/>
  <c r="AS140" i="95"/>
  <c r="AO161" i="95"/>
  <c r="BF155" i="95"/>
  <c r="AS121" i="95"/>
  <c r="BS128" i="95"/>
  <c r="AF113" i="95"/>
  <c r="BF118" i="95"/>
  <c r="BF94" i="95"/>
  <c r="BA84" i="95"/>
  <c r="AF17" i="95"/>
  <c r="BF18" i="95"/>
  <c r="BF42" i="95"/>
  <c r="AQ161" i="95"/>
  <c r="BF154" i="95"/>
  <c r="BS120" i="95"/>
  <c r="BF123" i="95"/>
  <c r="BS117" i="95"/>
  <c r="BS123" i="95"/>
  <c r="AS112" i="95"/>
  <c r="AT84" i="95"/>
  <c r="BF71" i="95"/>
  <c r="BF101" i="95"/>
  <c r="BF109" i="95"/>
  <c r="AD44" i="95"/>
  <c r="BD44" i="95"/>
  <c r="AQ44" i="95"/>
  <c r="AA44" i="95"/>
  <c r="AR44" i="95"/>
  <c r="BJ44" i="95"/>
  <c r="AB44" i="95"/>
  <c r="BF41" i="95"/>
  <c r="AT44" i="95"/>
  <c r="BK44" i="95"/>
  <c r="AC44" i="95"/>
  <c r="AU44" i="95"/>
  <c r="BF35" i="95"/>
  <c r="AS15" i="95"/>
  <c r="V84" i="95"/>
  <c r="AS109" i="95"/>
  <c r="AW84" i="95"/>
  <c r="BS36" i="95"/>
  <c r="BS109" i="95"/>
  <c r="AF94" i="95"/>
  <c r="AZ84" i="95"/>
  <c r="AI84" i="95"/>
  <c r="X84" i="95"/>
  <c r="Z38" i="95"/>
  <c r="AZ38" i="95"/>
  <c r="V38" i="95"/>
  <c r="BD38" i="95"/>
  <c r="BJ38" i="95"/>
  <c r="AW38" i="95"/>
  <c r="X38" i="95"/>
  <c r="AO38" i="95"/>
  <c r="BS34" i="95"/>
  <c r="BG38" i="95"/>
  <c r="Y38" i="95"/>
  <c r="AP38" i="95"/>
  <c r="BH38" i="95"/>
  <c r="BF137" i="95"/>
  <c r="AS131" i="95"/>
  <c r="AF119" i="95"/>
  <c r="BS113" i="95"/>
  <c r="BF105" i="95"/>
  <c r="BF116" i="95"/>
  <c r="AF103" i="95"/>
  <c r="AF98" i="95"/>
  <c r="AC161" i="95"/>
  <c r="BS136" i="95"/>
  <c r="BG145" i="95"/>
  <c r="AS126" i="95"/>
  <c r="AN161" i="95"/>
  <c r="AS156" i="95"/>
  <c r="O161" i="95"/>
  <c r="BF140" i="95"/>
  <c r="AF131" i="95"/>
  <c r="AS141" i="95"/>
  <c r="AF154" i="95"/>
  <c r="AS137" i="95"/>
  <c r="AZ161" i="95"/>
  <c r="AS139" i="95"/>
  <c r="BS153" i="95"/>
  <c r="BG161" i="95"/>
  <c r="O165" i="95"/>
  <c r="BF160" i="95"/>
  <c r="AS13" i="95"/>
  <c r="AG29" i="95"/>
  <c r="BF13" i="95"/>
  <c r="AT29" i="95"/>
  <c r="AF13" i="95"/>
  <c r="T29" i="95"/>
  <c r="AS119" i="95"/>
  <c r="BS105" i="95"/>
  <c r="BS116" i="95"/>
  <c r="AF155" i="95"/>
  <c r="BS119" i="95"/>
  <c r="BF103" i="95"/>
  <c r="BS87" i="95"/>
  <c r="AS98" i="95"/>
  <c r="BS17" i="95"/>
  <c r="AS18" i="95"/>
  <c r="AS42" i="95"/>
  <c r="AS28" i="95"/>
  <c r="BF28" i="95"/>
  <c r="BS141" i="95"/>
  <c r="BF129" i="95"/>
  <c r="BF138" i="95"/>
  <c r="BS127" i="95"/>
  <c r="BS118" i="95"/>
  <c r="AF116" i="95"/>
  <c r="BS91" i="95"/>
  <c r="R44" i="95"/>
  <c r="AI44" i="95"/>
  <c r="BI44" i="95"/>
  <c r="AE44" i="95"/>
  <c r="AW44" i="95"/>
  <c r="O44" i="95"/>
  <c r="AS41" i="95"/>
  <c r="AG44" i="95"/>
  <c r="AX44" i="95"/>
  <c r="Q44" i="95"/>
  <c r="AH44" i="95"/>
  <c r="AY44" i="95"/>
  <c r="AS35" i="95"/>
  <c r="AF15" i="95"/>
  <c r="AM84" i="95"/>
  <c r="U84" i="95"/>
  <c r="BF83" i="95"/>
  <c r="Q84" i="95"/>
  <c r="BF95" i="95"/>
  <c r="AS95" i="95"/>
  <c r="AF109" i="95"/>
  <c r="Z84" i="95"/>
  <c r="BG84" i="95"/>
  <c r="BS71" i="95"/>
  <c r="AF112" i="95"/>
  <c r="AO84" i="95"/>
  <c r="AS87" i="95"/>
  <c r="BJ84" i="95"/>
  <c r="BI38" i="95"/>
  <c r="S38" i="95"/>
  <c r="AD38" i="95"/>
  <c r="AQ38" i="95"/>
  <c r="W38" i="95"/>
  <c r="BE38" i="95"/>
  <c r="AB38" i="95"/>
  <c r="AT38" i="95"/>
  <c r="BF34" i="95"/>
  <c r="BK38" i="95"/>
  <c r="AC38" i="95"/>
  <c r="AU38" i="95"/>
  <c r="BT203" i="95"/>
  <c r="AR161" i="95"/>
  <c r="AF135" i="95"/>
  <c r="AS116" i="95"/>
  <c r="AF156" i="95"/>
  <c r="BF139" i="95"/>
  <c r="AF129" i="95"/>
  <c r="BF125" i="95"/>
  <c r="AS120" i="95"/>
  <c r="BF127" i="95"/>
  <c r="AS117" i="95"/>
  <c r="AF110" i="95"/>
  <c r="AS100" i="95"/>
  <c r="BS103" i="95"/>
  <c r="BS126" i="95"/>
  <c r="BA161" i="95"/>
  <c r="BF156" i="95"/>
  <c r="AB161" i="95"/>
  <c r="T165" i="95"/>
  <c r="AF164" i="95"/>
  <c r="AF165" i="95" s="1"/>
  <c r="AS160" i="95"/>
  <c r="Q161" i="95"/>
  <c r="BS138" i="95"/>
  <c r="BS154" i="95"/>
  <c r="BE161" i="95"/>
  <c r="AS153" i="95"/>
  <c r="AG161" i="95"/>
  <c r="AF160" i="95"/>
  <c r="AM161" i="95"/>
  <c r="BC161" i="95"/>
  <c r="AE161" i="95"/>
  <c r="AS164" i="95"/>
  <c r="AS165" i="95" s="1"/>
  <c r="AG165" i="95"/>
  <c r="BG29" i="95"/>
  <c r="BS13" i="95"/>
  <c r="AU161" i="95"/>
  <c r="BF133" i="95"/>
  <c r="BF131" i="95"/>
  <c r="AS128" i="95"/>
  <c r="BS129" i="95"/>
  <c r="BF117" i="95"/>
  <c r="AS110" i="95"/>
  <c r="AF101" i="95"/>
  <c r="AX84" i="95"/>
  <c r="S84" i="95"/>
  <c r="AS17" i="95"/>
  <c r="AF18" i="95"/>
  <c r="AF42" i="95"/>
  <c r="BS28" i="95"/>
  <c r="AF28" i="95"/>
  <c r="BJ161" i="95"/>
  <c r="AS147" i="95"/>
  <c r="BS137" i="95"/>
  <c r="AS113" i="95"/>
  <c r="AF105" i="95"/>
  <c r="AS138" i="95"/>
  <c r="AF114" i="95"/>
  <c r="AF95" i="95"/>
  <c r="BS83" i="95"/>
  <c r="V44" i="95"/>
  <c r="AZ44" i="95"/>
  <c r="S44" i="95"/>
  <c r="AJ44" i="95"/>
  <c r="BA44" i="95"/>
  <c r="AF41" i="95"/>
  <c r="T44" i="95"/>
  <c r="AK44" i="95"/>
  <c r="BB44" i="95"/>
  <c r="U44" i="95"/>
  <c r="AL44" i="95"/>
  <c r="BC44" i="95"/>
  <c r="AF35" i="95"/>
  <c r="BS15" i="95"/>
  <c r="AS91" i="95"/>
  <c r="BS124" i="95"/>
  <c r="AF91" i="95"/>
  <c r="Y84" i="95"/>
  <c r="BS95" i="95"/>
  <c r="AQ84" i="95"/>
  <c r="BS112" i="95"/>
  <c r="AS124" i="95"/>
  <c r="BS98" i="95"/>
  <c r="AS77" i="95"/>
  <c r="R38" i="95"/>
  <c r="AR38" i="95"/>
  <c r="AM38" i="95"/>
  <c r="AA38" i="95"/>
  <c r="AE38" i="95"/>
  <c r="O38" i="95"/>
  <c r="AS34" i="95"/>
  <c r="AG38" i="95"/>
  <c r="AX38" i="95"/>
  <c r="Q38" i="95"/>
  <c r="AH38" i="95"/>
  <c r="AY38" i="95"/>
  <c r="BT33" i="95" l="1"/>
  <c r="K33" i="95"/>
  <c r="K132" i="95"/>
  <c r="H132" i="95" s="1"/>
  <c r="P132" i="95" s="1"/>
  <c r="BT132" i="95"/>
  <c r="BT107" i="95"/>
  <c r="K107" i="95"/>
  <c r="H107" i="95" s="1"/>
  <c r="P107" i="95" s="1"/>
  <c r="K149" i="95"/>
  <c r="H149" i="95" s="1"/>
  <c r="P149" i="95" s="1"/>
  <c r="BT149" i="95"/>
  <c r="K159" i="95"/>
  <c r="H159" i="95" s="1"/>
  <c r="P159" i="95" s="1"/>
  <c r="BT159" i="95"/>
  <c r="K43" i="95"/>
  <c r="H43" i="95" s="1"/>
  <c r="P43" i="95" s="1"/>
  <c r="BT43" i="95"/>
  <c r="BT151" i="95"/>
  <c r="K151" i="95"/>
  <c r="M151" i="95" s="1"/>
  <c r="AF67" i="95"/>
  <c r="K66" i="95"/>
  <c r="K24" i="95"/>
  <c r="M24" i="95" s="1"/>
  <c r="BT65" i="95"/>
  <c r="K65" i="95"/>
  <c r="BT11" i="95"/>
  <c r="K16" i="95"/>
  <c r="M16" i="95" s="1"/>
  <c r="BT16" i="95"/>
  <c r="BU16" i="95" s="1"/>
  <c r="K23" i="95"/>
  <c r="M23" i="95" s="1"/>
  <c r="K11" i="95"/>
  <c r="M11" i="95" s="1"/>
  <c r="BT23" i="95"/>
  <c r="K37" i="95"/>
  <c r="H37" i="95" s="1"/>
  <c r="P37" i="95" s="1"/>
  <c r="BT12" i="95"/>
  <c r="K130" i="95"/>
  <c r="H130" i="95" s="1"/>
  <c r="P130" i="95" s="1"/>
  <c r="K12" i="95"/>
  <c r="H12" i="95" s="1"/>
  <c r="P12" i="95" s="1"/>
  <c r="BT37" i="95"/>
  <c r="BT204" i="95"/>
  <c r="K27" i="95"/>
  <c r="M27" i="95" s="1"/>
  <c r="K204" i="95"/>
  <c r="H204" i="95" s="1"/>
  <c r="P204" i="95" s="1"/>
  <c r="BT130" i="95"/>
  <c r="BT158" i="95"/>
  <c r="BT59" i="95"/>
  <c r="BU59" i="95" s="1"/>
  <c r="K134" i="95"/>
  <c r="H134" i="95" s="1"/>
  <c r="P134" i="95" s="1"/>
  <c r="H203" i="95"/>
  <c r="P203" i="95" s="1"/>
  <c r="BT97" i="95"/>
  <c r="K97" i="95"/>
  <c r="M97" i="95" s="1"/>
  <c r="K158" i="95"/>
  <c r="H158" i="95" s="1"/>
  <c r="P158" i="95" s="1"/>
  <c r="K148" i="95"/>
  <c r="BT148" i="95"/>
  <c r="AF53" i="95"/>
  <c r="BT46" i="95"/>
  <c r="K147" i="95"/>
  <c r="BU33" i="95"/>
  <c r="H33" i="95"/>
  <c r="P33" i="95" s="1"/>
  <c r="BU40" i="95"/>
  <c r="BU31" i="95"/>
  <c r="M33" i="95"/>
  <c r="M31" i="95"/>
  <c r="BU89" i="95"/>
  <c r="H32" i="95"/>
  <c r="P32" i="95" s="1"/>
  <c r="M32" i="95"/>
  <c r="BU32" i="95"/>
  <c r="BU132" i="95"/>
  <c r="H62" i="95"/>
  <c r="P62" i="95" s="1"/>
  <c r="BU62" i="95"/>
  <c r="BU61" i="95"/>
  <c r="K63" i="95"/>
  <c r="N63" i="95" s="1"/>
  <c r="H61" i="95"/>
  <c r="P61" i="95" s="1"/>
  <c r="H89" i="95"/>
  <c r="P89" i="95" s="1"/>
  <c r="H65" i="95"/>
  <c r="P65" i="95" s="1"/>
  <c r="M89" i="95"/>
  <c r="K67" i="95"/>
  <c r="N67" i="95" s="1"/>
  <c r="H66" i="95"/>
  <c r="BU66" i="95"/>
  <c r="AH68" i="95"/>
  <c r="AH206" i="95" s="1"/>
  <c r="AJ68" i="95"/>
  <c r="AJ206" i="95" s="1"/>
  <c r="K101" i="95"/>
  <c r="H101" i="95" s="1"/>
  <c r="P101" i="95" s="1"/>
  <c r="M149" i="95"/>
  <c r="AR68" i="95"/>
  <c r="AR206" i="95" s="1"/>
  <c r="BU149" i="95"/>
  <c r="Q68" i="95"/>
  <c r="Q206" i="95" s="1"/>
  <c r="AK68" i="95"/>
  <c r="AK206" i="95" s="1"/>
  <c r="W68" i="95"/>
  <c r="W206" i="95" s="1"/>
  <c r="BI68" i="95"/>
  <c r="BI206" i="95" s="1"/>
  <c r="AX68" i="95"/>
  <c r="AX206" i="95" s="1"/>
  <c r="AZ68" i="95"/>
  <c r="AZ206" i="95" s="1"/>
  <c r="H151" i="95"/>
  <c r="P151" i="95" s="1"/>
  <c r="AW68" i="95"/>
  <c r="AW206" i="95" s="1"/>
  <c r="AQ68" i="95"/>
  <c r="AQ206" i="95" s="1"/>
  <c r="X68" i="95"/>
  <c r="X206" i="95" s="1"/>
  <c r="Z68" i="95"/>
  <c r="Z206" i="95" s="1"/>
  <c r="AP68" i="95"/>
  <c r="AP206" i="95" s="1"/>
  <c r="AO68" i="95"/>
  <c r="AO206" i="95" s="1"/>
  <c r="K120" i="95"/>
  <c r="H120" i="95" s="1"/>
  <c r="P120" i="95" s="1"/>
  <c r="AC68" i="95"/>
  <c r="AC206" i="95" s="1"/>
  <c r="AB68" i="95"/>
  <c r="AB206" i="95" s="1"/>
  <c r="Y68" i="95"/>
  <c r="Y206" i="95" s="1"/>
  <c r="M150" i="95"/>
  <c r="K98" i="95"/>
  <c r="M98" i="95" s="1"/>
  <c r="BV203" i="95"/>
  <c r="BU150" i="95"/>
  <c r="O68" i="95"/>
  <c r="O206" i="95" s="1"/>
  <c r="R68" i="95"/>
  <c r="R206" i="95" s="1"/>
  <c r="BU159" i="95"/>
  <c r="K94" i="95"/>
  <c r="M94" i="95" s="1"/>
  <c r="BF44" i="95"/>
  <c r="AY68" i="95"/>
  <c r="AY206" i="95" s="1"/>
  <c r="K160" i="95"/>
  <c r="H160" i="95" s="1"/>
  <c r="P160" i="95" s="1"/>
  <c r="AE68" i="95"/>
  <c r="AE206" i="95" s="1"/>
  <c r="AM68" i="95"/>
  <c r="AM206" i="95" s="1"/>
  <c r="BT125" i="95"/>
  <c r="BK68" i="95"/>
  <c r="BK206" i="95" s="1"/>
  <c r="BE68" i="95"/>
  <c r="BE206" i="95" s="1"/>
  <c r="K128" i="95"/>
  <c r="H128" i="95" s="1"/>
  <c r="P128" i="95" s="1"/>
  <c r="BU43" i="95"/>
  <c r="K35" i="95"/>
  <c r="M35" i="95" s="1"/>
  <c r="AL68" i="95"/>
  <c r="AL206" i="95" s="1"/>
  <c r="BG68" i="95"/>
  <c r="BG206" i="95" s="1"/>
  <c r="BU157" i="95"/>
  <c r="M152" i="95"/>
  <c r="BU152" i="95"/>
  <c r="BU151" i="95"/>
  <c r="K153" i="95"/>
  <c r="H153" i="95" s="1"/>
  <c r="AF44" i="95"/>
  <c r="BJ68" i="95"/>
  <c r="BJ206" i="95" s="1"/>
  <c r="BD68" i="95"/>
  <c r="BD206" i="95" s="1"/>
  <c r="BT139" i="95"/>
  <c r="K135" i="95"/>
  <c r="H135" i="95" s="1"/>
  <c r="P135" i="95" s="1"/>
  <c r="AU68" i="95"/>
  <c r="AU206" i="95" s="1"/>
  <c r="K121" i="95"/>
  <c r="H121" i="95" s="1"/>
  <c r="P121" i="95" s="1"/>
  <c r="AN68" i="95"/>
  <c r="AN206" i="95" s="1"/>
  <c r="AA68" i="95"/>
  <c r="AA206" i="95" s="1"/>
  <c r="U68" i="95"/>
  <c r="U206" i="95" s="1"/>
  <c r="BT114" i="95"/>
  <c r="K154" i="95"/>
  <c r="M154" i="95" s="1"/>
  <c r="K87" i="95"/>
  <c r="BT140" i="95"/>
  <c r="K34" i="95"/>
  <c r="BA68" i="95"/>
  <c r="BA206" i="95" s="1"/>
  <c r="K42" i="95"/>
  <c r="H42" i="95" s="1"/>
  <c r="P42" i="95" s="1"/>
  <c r="K131" i="95"/>
  <c r="S68" i="95"/>
  <c r="S206" i="95" s="1"/>
  <c r="AS44" i="95"/>
  <c r="K117" i="95"/>
  <c r="M117" i="95" s="1"/>
  <c r="BT123" i="95"/>
  <c r="K124" i="95"/>
  <c r="M124" i="95" s="1"/>
  <c r="K129" i="95"/>
  <c r="H129" i="95" s="1"/>
  <c r="P129" i="95" s="1"/>
  <c r="K15" i="95"/>
  <c r="BT87" i="95"/>
  <c r="BT35" i="95"/>
  <c r="AD68" i="95"/>
  <c r="AD206" i="95" s="1"/>
  <c r="BH68" i="95"/>
  <c r="BH206" i="95" s="1"/>
  <c r="AV68" i="95"/>
  <c r="AV206" i="95" s="1"/>
  <c r="K155" i="95"/>
  <c r="K112" i="95"/>
  <c r="M112" i="95" s="1"/>
  <c r="K83" i="95"/>
  <c r="K84" i="95" s="1"/>
  <c r="N84" i="95" s="1"/>
  <c r="K126" i="95"/>
  <c r="H126" i="95" s="1"/>
  <c r="P126" i="95" s="1"/>
  <c r="BT113" i="95"/>
  <c r="BB68" i="95"/>
  <c r="BB206" i="95" s="1"/>
  <c r="AI68" i="95"/>
  <c r="AI206" i="95" s="1"/>
  <c r="K36" i="95"/>
  <c r="K110" i="95"/>
  <c r="H110" i="95" s="1"/>
  <c r="P110" i="95" s="1"/>
  <c r="K156" i="95"/>
  <c r="M156" i="95" s="1"/>
  <c r="BT138" i="95"/>
  <c r="T68" i="95"/>
  <c r="T206" i="95" s="1"/>
  <c r="K119" i="95"/>
  <c r="M119" i="95" s="1"/>
  <c r="V68" i="95"/>
  <c r="V206" i="95" s="1"/>
  <c r="BC68" i="95"/>
  <c r="BC206" i="95" s="1"/>
  <c r="BT17" i="95"/>
  <c r="K133" i="95"/>
  <c r="H133" i="95" s="1"/>
  <c r="P133" i="95" s="1"/>
  <c r="K91" i="95"/>
  <c r="H91" i="95" s="1"/>
  <c r="P91" i="95" s="1"/>
  <c r="BT117" i="95"/>
  <c r="K116" i="95"/>
  <c r="M116" i="95" s="1"/>
  <c r="BT129" i="95"/>
  <c r="K28" i="95"/>
  <c r="K17" i="95"/>
  <c r="H17" i="95" s="1"/>
  <c r="P17" i="95" s="1"/>
  <c r="K127" i="95"/>
  <c r="H127" i="95" s="1"/>
  <c r="P127" i="95" s="1"/>
  <c r="AF84" i="95"/>
  <c r="BU55" i="95"/>
  <c r="BT28" i="95"/>
  <c r="BT103" i="95"/>
  <c r="BU103" i="95" s="1"/>
  <c r="BF29" i="95"/>
  <c r="BT13" i="95"/>
  <c r="BT153" i="95"/>
  <c r="BF161" i="95"/>
  <c r="BT91" i="95"/>
  <c r="K41" i="95"/>
  <c r="K137" i="95"/>
  <c r="K114" i="95"/>
  <c r="BT109" i="95"/>
  <c r="BU109" i="95" s="1"/>
  <c r="BT154" i="95"/>
  <c r="BT118" i="95"/>
  <c r="BU118" i="95" s="1"/>
  <c r="BT112" i="95"/>
  <c r="BT98" i="95"/>
  <c r="BT77" i="95"/>
  <c r="BU77" i="95" s="1"/>
  <c r="K113" i="95"/>
  <c r="BT120" i="95"/>
  <c r="AF161" i="95"/>
  <c r="K125" i="95"/>
  <c r="H125" i="95" s="1"/>
  <c r="P125" i="95" s="1"/>
  <c r="AS29" i="95"/>
  <c r="BT18" i="95"/>
  <c r="BU18" i="95" s="1"/>
  <c r="BT126" i="95"/>
  <c r="BT41" i="95"/>
  <c r="BS44" i="95"/>
  <c r="BT36" i="95"/>
  <c r="BT83" i="95"/>
  <c r="BT131" i="95"/>
  <c r="BT156" i="95"/>
  <c r="BS84" i="95"/>
  <c r="AF29" i="95"/>
  <c r="BT160" i="95"/>
  <c r="BS161" i="95"/>
  <c r="BT116" i="95"/>
  <c r="BT101" i="95"/>
  <c r="BT155" i="95"/>
  <c r="K140" i="95"/>
  <c r="BT121" i="95"/>
  <c r="BF165" i="95"/>
  <c r="BT164" i="95"/>
  <c r="BT165" i="95" s="1"/>
  <c r="AF38" i="95"/>
  <c r="BT15" i="95"/>
  <c r="BT119" i="95"/>
  <c r="AS84" i="95"/>
  <c r="K123" i="95"/>
  <c r="BT147" i="95"/>
  <c r="BT100" i="95"/>
  <c r="BU100" i="95" s="1"/>
  <c r="BT128" i="95"/>
  <c r="BU203" i="95"/>
  <c r="BT34" i="95"/>
  <c r="BF38" i="95"/>
  <c r="BT94" i="95"/>
  <c r="BT124" i="95"/>
  <c r="AS38" i="95"/>
  <c r="K138" i="95"/>
  <c r="BS29" i="95"/>
  <c r="AS161" i="95"/>
  <c r="BT127" i="95"/>
  <c r="BT95" i="95"/>
  <c r="BU95" i="95" s="1"/>
  <c r="AT68" i="95"/>
  <c r="AT206" i="95" s="1"/>
  <c r="AG68" i="95"/>
  <c r="AG206" i="95" s="1"/>
  <c r="K164" i="95"/>
  <c r="K139" i="95"/>
  <c r="H141" i="95"/>
  <c r="P141" i="95" s="1"/>
  <c r="BT136" i="95"/>
  <c r="BS145" i="95"/>
  <c r="BT105" i="95"/>
  <c r="BU105" i="95" s="1"/>
  <c r="BT137" i="95"/>
  <c r="BS38" i="95"/>
  <c r="BF84" i="95"/>
  <c r="BT71" i="95"/>
  <c r="BT42" i="95"/>
  <c r="BT110" i="95"/>
  <c r="BU65" i="95" l="1"/>
  <c r="BT67" i="95"/>
  <c r="BV67" i="95" s="1"/>
  <c r="H24" i="95"/>
  <c r="BU37" i="95"/>
  <c r="H16" i="95"/>
  <c r="P16" i="95" s="1"/>
  <c r="M12" i="95"/>
  <c r="BU11" i="95"/>
  <c r="BU12" i="95"/>
  <c r="H11" i="95"/>
  <c r="P11" i="95" s="1"/>
  <c r="H23" i="95"/>
  <c r="P23" i="95" s="1"/>
  <c r="BU23" i="95"/>
  <c r="BU130" i="95"/>
  <c r="BV204" i="95"/>
  <c r="BU204" i="95"/>
  <c r="H27" i="95"/>
  <c r="BT63" i="95"/>
  <c r="BV63" i="95" s="1"/>
  <c r="H147" i="95"/>
  <c r="P147" i="95" s="1"/>
  <c r="K161" i="95"/>
  <c r="H36" i="95"/>
  <c r="P36" i="95" s="1"/>
  <c r="K38" i="95"/>
  <c r="BU158" i="95"/>
  <c r="BU97" i="95"/>
  <c r="H97" i="95"/>
  <c r="P97" i="95" s="1"/>
  <c r="BU148" i="95"/>
  <c r="M148" i="95"/>
  <c r="H148" i="95"/>
  <c r="P148" i="95" s="1"/>
  <c r="H87" i="95"/>
  <c r="P87" i="95" s="1"/>
  <c r="K145" i="95"/>
  <c r="BT53" i="95"/>
  <c r="BU46" i="95"/>
  <c r="BU67" i="95"/>
  <c r="H94" i="95"/>
  <c r="P94" i="95" s="1"/>
  <c r="H98" i="95"/>
  <c r="P98" i="95" s="1"/>
  <c r="BU98" i="95"/>
  <c r="P66" i="95"/>
  <c r="P67" i="95" s="1"/>
  <c r="H67" i="95"/>
  <c r="BU160" i="95"/>
  <c r="BU120" i="95"/>
  <c r="M101" i="95"/>
  <c r="BU101" i="95"/>
  <c r="M153" i="95"/>
  <c r="H83" i="95"/>
  <c r="P83" i="95" s="1"/>
  <c r="BU94" i="95"/>
  <c r="BU126" i="95"/>
  <c r="M121" i="95"/>
  <c r="M15" i="95"/>
  <c r="K29" i="95"/>
  <c r="BU121" i="95"/>
  <c r="H15" i="95"/>
  <c r="P15" i="95" s="1"/>
  <c r="BU91" i="95"/>
  <c r="H35" i="95"/>
  <c r="P35" i="95" s="1"/>
  <c r="BU127" i="95"/>
  <c r="BU147" i="95"/>
  <c r="BU116" i="95"/>
  <c r="M91" i="95"/>
  <c r="M34" i="95"/>
  <c r="H116" i="95"/>
  <c r="P116" i="95" s="1"/>
  <c r="BU35" i="95"/>
  <c r="BU42" i="95"/>
  <c r="BU117" i="95"/>
  <c r="BU128" i="95"/>
  <c r="BU125" i="95"/>
  <c r="M87" i="95"/>
  <c r="H156" i="95"/>
  <c r="P156" i="95" s="1"/>
  <c r="BU17" i="95"/>
  <c r="BU124" i="95"/>
  <c r="H124" i="95"/>
  <c r="P124" i="95" s="1"/>
  <c r="BU15" i="95"/>
  <c r="BU36" i="95"/>
  <c r="BU87" i="95"/>
  <c r="BU112" i="95"/>
  <c r="BU154" i="95"/>
  <c r="BU129" i="95"/>
  <c r="H154" i="95"/>
  <c r="P154" i="95" s="1"/>
  <c r="M17" i="95"/>
  <c r="BU83" i="95"/>
  <c r="BU156" i="95"/>
  <c r="H112" i="95"/>
  <c r="P112" i="95" s="1"/>
  <c r="BU131" i="95"/>
  <c r="H117" i="95"/>
  <c r="P117" i="95" s="1"/>
  <c r="H34" i="95"/>
  <c r="P34" i="95" s="1"/>
  <c r="H131" i="95"/>
  <c r="P131" i="95" s="1"/>
  <c r="BU155" i="95"/>
  <c r="M28" i="95"/>
  <c r="H155" i="95"/>
  <c r="P155" i="95" s="1"/>
  <c r="AS68" i="95"/>
  <c r="AS206" i="95" s="1"/>
  <c r="AF68" i="95"/>
  <c r="AF206" i="95" s="1"/>
  <c r="H28" i="95"/>
  <c r="P28" i="95" s="1"/>
  <c r="BT38" i="95"/>
  <c r="BU119" i="95"/>
  <c r="BU28" i="95"/>
  <c r="M155" i="95"/>
  <c r="H119" i="95"/>
  <c r="P119" i="95" s="1"/>
  <c r="M110" i="95"/>
  <c r="BU110" i="95"/>
  <c r="BU138" i="95"/>
  <c r="H138" i="95"/>
  <c r="P138" i="95" s="1"/>
  <c r="BS68" i="95"/>
  <c r="BS206" i="95" s="1"/>
  <c r="BU137" i="95"/>
  <c r="H137" i="95"/>
  <c r="P137" i="95" s="1"/>
  <c r="M114" i="95"/>
  <c r="H114" i="95"/>
  <c r="P114" i="95" s="1"/>
  <c r="BU114" i="95"/>
  <c r="BT84" i="95"/>
  <c r="BV84" i="95" s="1"/>
  <c r="BU71" i="95"/>
  <c r="BU139" i="95"/>
  <c r="H139" i="95"/>
  <c r="P139" i="95" s="1"/>
  <c r="BT44" i="95"/>
  <c r="P153" i="95"/>
  <c r="M113" i="95"/>
  <c r="H113" i="95"/>
  <c r="P113" i="95" s="1"/>
  <c r="BU13" i="95"/>
  <c r="BT29" i="95"/>
  <c r="BU113" i="95"/>
  <c r="BT145" i="95"/>
  <c r="BU136" i="95"/>
  <c r="BT161" i="95"/>
  <c r="BU164" i="95"/>
  <c r="H164" i="95"/>
  <c r="K165" i="95"/>
  <c r="H123" i="95"/>
  <c r="P123" i="95" s="1"/>
  <c r="BU123" i="95"/>
  <c r="M123" i="95"/>
  <c r="BU140" i="95"/>
  <c r="H140" i="95"/>
  <c r="P140" i="95" s="1"/>
  <c r="BU153" i="95"/>
  <c r="BU41" i="95"/>
  <c r="H41" i="95"/>
  <c r="K44" i="95"/>
  <c r="BF68" i="95"/>
  <c r="BF206" i="95" s="1"/>
  <c r="BU34" i="95"/>
  <c r="P29" i="95" l="1"/>
  <c r="BU63" i="95"/>
  <c r="N165" i="95"/>
  <c r="M145" i="95"/>
  <c r="N145" i="95" s="1"/>
  <c r="BV53" i="95"/>
  <c r="BU53" i="95"/>
  <c r="BU38" i="95"/>
  <c r="BU44" i="95"/>
  <c r="H161" i="95"/>
  <c r="H29" i="95"/>
  <c r="BV38" i="95"/>
  <c r="P38" i="95"/>
  <c r="H38" i="95"/>
  <c r="M29" i="95"/>
  <c r="M38" i="95" s="1"/>
  <c r="M44" i="95" s="1"/>
  <c r="N44" i="95" s="1"/>
  <c r="BV161" i="95"/>
  <c r="P161" i="95"/>
  <c r="BU29" i="95"/>
  <c r="BU84" i="95"/>
  <c r="M161" i="95"/>
  <c r="N161" i="95" s="1"/>
  <c r="BV145" i="95"/>
  <c r="P41" i="95"/>
  <c r="P44" i="95" s="1"/>
  <c r="H44" i="95"/>
  <c r="BV165" i="95"/>
  <c r="BU165" i="95"/>
  <c r="BU145" i="95"/>
  <c r="K68" i="95"/>
  <c r="H165" i="95"/>
  <c r="P164" i="95"/>
  <c r="P165" i="95" s="1"/>
  <c r="BV29" i="95"/>
  <c r="BT68" i="95"/>
  <c r="BV44" i="95"/>
  <c r="BU161" i="95"/>
  <c r="N38" i="95" l="1"/>
  <c r="K167" i="95"/>
  <c r="K206" i="95"/>
  <c r="N29" i="95"/>
  <c r="P68" i="95"/>
  <c r="P206" i="95" s="1"/>
  <c r="H68" i="95"/>
  <c r="H206" i="95" s="1"/>
  <c r="M68" i="95"/>
  <c r="M206" i="95" s="1"/>
  <c r="BV68" i="95"/>
  <c r="BT206" i="95"/>
  <c r="K209" i="95"/>
  <c r="H210" i="95" s="1"/>
  <c r="BU68" i="95"/>
  <c r="N206" i="95" l="1"/>
  <c r="M217" i="95" s="1"/>
  <c r="N68" i="95"/>
  <c r="M167" i="95"/>
  <c r="N167" i="95" s="1"/>
  <c r="N211" i="95" s="1"/>
  <c r="BV206" i="95"/>
  <c r="BU206" i="95"/>
  <c r="E207" i="95"/>
  <c r="M209" i="95"/>
  <c r="M212" i="95" l="1"/>
  <c r="M216" i="95"/>
  <c r="M214" i="95"/>
  <c r="M213" i="95"/>
  <c r="M215" i="95"/>
  <c r="D54" i="9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Herry Munazar</author>
    <author>ASUS</author>
  </authors>
  <commentList>
    <comment ref="F53" authorId="0" shapeId="0" xr:uid="{AE97145B-A846-4998-A71F-991EE8C99F0E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Biaya berdasarkan input dari  Dept. Legal</t>
        </r>
      </text>
    </comment>
    <comment ref="F68" authorId="0" shapeId="0" xr:uid="{E17B038D-5173-4174-AC54-4981835BA3B8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Biaya berdasarkan input dari  Dept. Legal</t>
        </r>
      </text>
    </comment>
    <comment ref="F69" authorId="0" shapeId="0" xr:uid="{0B7BC954-CAEA-4501-A438-92E593C6A422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Biaya berdasarkan input dari  Dept. Legal</t>
        </r>
      </text>
    </comment>
    <comment ref="F70" authorId="0" shapeId="0" xr:uid="{6CA75258-D860-4536-82A4-7659FF188672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Biaya berdasarkan input dari  Dept. Legal</t>
        </r>
      </text>
    </comment>
    <comment ref="F72" authorId="0" shapeId="0" xr:uid="{FD5D7415-2E56-4476-A3B1-C3CD2307E744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Biaya berdasarkan input dari  Dept. Legal</t>
        </r>
      </text>
    </comment>
    <comment ref="F73" authorId="0" shapeId="0" xr:uid="{395936B5-C0F6-4DBE-B9EE-E3CE4DBAAE96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Soil Test u/:
- Pek. Sheet Pile &amp; Mooring
- Pek. Storage Tank
- Pek. Gudang</t>
        </r>
      </text>
    </comment>
    <comment ref="F74" authorId="0" shapeId="0" xr:uid="{E1577A31-21FA-4C03-A78B-F27D66E40203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Perencananaan u/:
- Stabilitas Lereng
- Mooring &amp; Fender
- Storage Tank
- Gudang
- Engine Room</t>
        </r>
      </text>
    </comment>
    <comment ref="F77" authorId="1" shapeId="0" xr:uid="{82169168-876F-42C6-93DF-D4E30C0EDC5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Pengawas BKSJ</t>
        </r>
      </text>
    </comment>
    <comment ref="F78" authorId="0" shapeId="0" xr:uid="{0696FD07-301E-4B8C-BD09-8CA886BA3904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PDA Test u/:
- Struktur Storage</t>
        </r>
      </text>
    </comment>
    <comment ref="F139" authorId="0" shapeId="0" xr:uid="{723C3B56-586E-42FC-9276-06455ADA53A5}">
      <text>
        <r>
          <rPr>
            <b/>
            <sz val="9"/>
            <color indexed="81"/>
            <rFont val="Tahoma"/>
            <family val="2"/>
          </rPr>
          <t>Herry Munazar:</t>
        </r>
        <r>
          <rPr>
            <sz val="9"/>
            <color indexed="81"/>
            <rFont val="Tahoma"/>
            <family val="2"/>
          </rPr>
          <t xml:space="preserve">
DL Proyek Dept. Engineering</t>
        </r>
      </text>
    </comment>
    <comment ref="F141" authorId="0" shapeId="0" xr:uid="{736F436C-DE59-4FFA-913F-CC93C380C004}">
      <text>
        <r>
          <rPr>
            <b/>
            <sz val="9"/>
            <color indexed="81"/>
            <rFont val="Tahoma"/>
            <family val="2"/>
          </rPr>
          <t>Herry Munazar:</t>
        </r>
        <r>
          <rPr>
            <sz val="9"/>
            <color indexed="81"/>
            <rFont val="Tahoma"/>
            <family val="2"/>
          </rPr>
          <t xml:space="preserve">
DL Proyek Dept. Engineering</t>
        </r>
      </text>
    </comment>
    <comment ref="F203" authorId="0" shapeId="0" xr:uid="{E8B37D2A-3C10-472B-8DA4-E99B2D7E2F34}">
      <text>
        <r>
          <rPr>
            <b/>
            <sz val="9"/>
            <color indexed="81"/>
            <rFont val="Tahoma"/>
            <charset val="1"/>
          </rPr>
          <t>Herry Munazar:</t>
        </r>
        <r>
          <rPr>
            <sz val="9"/>
            <color indexed="81"/>
            <rFont val="Tahoma"/>
            <charset val="1"/>
          </rPr>
          <t xml:space="preserve">
Area yg di LC dgn luas 4Ha</t>
        </r>
      </text>
    </comment>
    <comment ref="F211" authorId="0" shapeId="0" xr:uid="{5BC27761-CBF2-40F5-992F-22E4B90129AC}">
      <text>
        <r>
          <rPr>
            <b/>
            <sz val="9"/>
            <color indexed="81"/>
            <rFont val="Tahoma"/>
            <family val="2"/>
          </rPr>
          <t>Herry Munazar: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14" authorId="0" shapeId="0" xr:uid="{09DECCFA-60CD-4208-903D-0EB0FDF93494}">
      <text>
        <r>
          <rPr>
            <b/>
            <sz val="9"/>
            <color indexed="81"/>
            <rFont val="Tahoma"/>
            <family val="2"/>
          </rPr>
          <t>Herry Munazar:</t>
        </r>
        <r>
          <rPr>
            <sz val="9"/>
            <color indexed="81"/>
            <rFont val="Tahoma"/>
            <family val="2"/>
          </rPr>
          <t xml:space="preserve">
Harga Sheet Pile: 1,2 jt/m'
P CCSP: 12 m'
Total P Jetty: 160 m'
Total tikunagn </t>
        </r>
      </text>
    </comment>
    <comment ref="F215" authorId="0" shapeId="0" xr:uid="{E89A51ED-0C00-4E2C-9F14-CA36B3B7B35E}">
      <text>
        <r>
          <rPr>
            <b/>
            <sz val="9"/>
            <color indexed="81"/>
            <rFont val="Tahoma"/>
            <family val="2"/>
          </rPr>
          <t>Herry Munazar:</t>
        </r>
        <r>
          <rPr>
            <sz val="9"/>
            <color indexed="81"/>
            <rFont val="Tahoma"/>
            <family val="2"/>
          </rPr>
          <t xml:space="preserve">
Harga Sheet Pile: 1,2 jt/m'
P CCSP: 12 m'
Total P Jetty: 160 m'
Total tikunagn 40 m'</t>
        </r>
      </text>
    </comment>
    <comment ref="F237" authorId="1" shapeId="0" xr:uid="{4FB6AF37-EA6C-466E-B36A-FC90B56E67D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Ditambah tiang pancang 90 titik total panjang 2.160 m'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  <author>ASUS</author>
  </authors>
  <commentList>
    <comment ref="E54" authorId="0" shapeId="0" xr:uid="{CBE71BA5-504D-4500-830A-5EB94A30237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Panjang Menjadi 17.400 mm,pertimbangan chute digester distributing ke digester terlalu landai,</t>
        </r>
      </text>
    </comment>
    <comment ref="E67" authorId="0" shapeId="0" xr:uid="{3B95725B-EAAB-4AE8-91CA-62CEC7DB8880}">
      <text>
        <r>
          <rPr>
            <sz val="9"/>
            <color indexed="81"/>
            <rFont val="Tahoma"/>
            <family val="2"/>
          </rPr>
          <t xml:space="preserve">Specifikasi di Sempurnakan,verifikasi triroyal.
</t>
        </r>
      </text>
    </comment>
    <comment ref="E73" authorId="0" shapeId="0" xr:uid="{4312233E-44CA-453C-AA38-99B50D03AF8E}">
      <text>
        <r>
          <rPr>
            <sz val="9"/>
            <color indexed="81"/>
            <rFont val="Tahoma"/>
            <family val="2"/>
          </rPr>
          <t xml:space="preserve">Specifikasi di Sempurnakan,verifikasi triroyal.
</t>
        </r>
      </text>
    </comment>
    <comment ref="E74" authorId="0" shapeId="0" xr:uid="{51B5858A-159C-44C8-8494-375C6F1823D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Panjang Menjadi 17.400 mm,pertimbangan chute digester distributing ke digester terlalu landai,</t>
        </r>
      </text>
    </comment>
    <comment ref="E79" authorId="0" shapeId="0" xr:uid="{FA425713-B254-4B00-80EE-E86946F0FB6B}">
      <text>
        <r>
          <rPr>
            <sz val="9"/>
            <color indexed="81"/>
            <rFont val="Tahoma"/>
            <family val="2"/>
          </rPr>
          <t xml:space="preserve">Specifikasi di Sempurnakan,verifikasi triroyal.
</t>
        </r>
      </text>
    </comment>
    <comment ref="E81" authorId="0" shapeId="0" xr:uid="{CF4AF5F3-D3AC-4008-9E2B-E1892BD9137E}">
      <text>
        <r>
          <rPr>
            <sz val="9"/>
            <color indexed="81"/>
            <rFont val="Tahoma"/>
            <family val="2"/>
          </rPr>
          <t xml:space="preserve">Specifikasi di Sempurnakan,verifikasi triroyal.
</t>
        </r>
      </text>
    </comment>
    <comment ref="E82" authorId="0" shapeId="0" xr:uid="{9983AF10-76C6-4FA0-9BBB-44895E9065A2}">
      <text>
        <r>
          <rPr>
            <sz val="9"/>
            <color indexed="81"/>
            <rFont val="Tahoma"/>
            <family val="2"/>
          </rPr>
          <t xml:space="preserve">Specifikasi di Sempurnakan,verifikasi triroyal.
</t>
        </r>
      </text>
    </comment>
    <comment ref="H142" authorId="1" shapeId="0" xr:uid="{94CDF6F7-F898-4C17-8DE9-F32DEF0B757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1. Valve Air, Minyak, Steam  Merk VTV Atau Valmatic
2. Steam Trap MIYAWAKI/ARI ARMATUREN
- Model Ball Float:
Semua Tangki Karifikasi, Kernel Silo, Storage Tank dan Steam Sparator
- model Thermodinamik:
Semua Instalasi Steam Selain Yang di Atas
</t>
        </r>
      </text>
    </comment>
    <comment ref="E153" authorId="0" shapeId="0" xr:uid="{EE4A6725-CF14-4416-944B-0FE97FA39F29}">
      <text>
        <r>
          <rPr>
            <sz val="9"/>
            <color rgb="FF000000"/>
            <rFont val="Tahoma"/>
            <family val="2"/>
          </rPr>
          <t xml:space="preserve">desain gambar 7500mm,sesuai view plan.verifikasi ke triroyal
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Ridho</author>
  </authors>
  <commentList>
    <comment ref="BD182" authorId="0" shapeId="0" xr:uid="{934E2D94-744A-4CB5-8978-DCD016CDB052}">
      <text>
        <r>
          <rPr>
            <b/>
            <sz val="9"/>
            <color indexed="81"/>
            <rFont val="Tahoma"/>
            <family val="2"/>
          </rPr>
          <t>Ridho:</t>
        </r>
        <r>
          <rPr>
            <sz val="9"/>
            <color indexed="81"/>
            <rFont val="Tahoma"/>
            <family val="2"/>
          </rPr>
          <t xml:space="preserve">
466jt atas dp pekerjaan tambah</t>
        </r>
      </text>
    </comment>
    <comment ref="BK182" authorId="0" shapeId="0" xr:uid="{A0C535F1-57CE-4C31-9252-5DF61FFCEE73}">
      <text>
        <r>
          <rPr>
            <b/>
            <sz val="9"/>
            <color indexed="81"/>
            <rFont val="Tahoma"/>
            <family val="2"/>
          </rPr>
          <t>Ridho:</t>
        </r>
        <r>
          <rPr>
            <sz val="9"/>
            <color indexed="81"/>
            <rFont val="Tahoma"/>
            <family val="2"/>
          </rPr>
          <t xml:space="preserve">
Belum Tau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Imelda Rusiana</author>
  </authors>
  <commentList>
    <comment ref="D57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Imelda Rusiana:</t>
        </r>
        <r>
          <rPr>
            <sz val="8"/>
            <color indexed="81"/>
            <rFont val="Tahoma"/>
            <family val="2"/>
          </rPr>
          <t xml:space="preserve">
MOVING FLOOR SCRAPER CONVEYOR Rp. 29.262.447,56
Sprocket Rp. 549.285.720
CLADDING SPANDEK Rp. 436.201.290
Material Lainnya Rp. 346.514.206</t>
        </r>
      </text>
    </comment>
  </commentList>
</comments>
</file>

<file path=xl/sharedStrings.xml><?xml version="1.0" encoding="utf-8"?>
<sst xmlns="http://schemas.openxmlformats.org/spreadsheetml/2006/main" count="15138" uniqueCount="3905">
  <si>
    <t>Gearbox dan Gearmotor</t>
  </si>
  <si>
    <t>TIME SCHEDULE PAYMENT PEMBANGUNAN PKS PT. KUMAI SENTOSA</t>
  </si>
  <si>
    <t>NO</t>
  </si>
  <si>
    <t>URAIAN</t>
  </si>
  <si>
    <t>Tiang Pancang Tahap 1</t>
  </si>
  <si>
    <t>Tiang Pancang Tahap 2</t>
  </si>
  <si>
    <t>Tiang Pancang Tahap 3</t>
  </si>
  <si>
    <t>Pemancangan Tahap 1</t>
  </si>
  <si>
    <t>Pemancangan Tahap 2</t>
  </si>
  <si>
    <t>Pemancangan Tahap 3</t>
  </si>
  <si>
    <t>Turbin Shinco</t>
  </si>
  <si>
    <t>Empty Bunch Press Sunley</t>
  </si>
  <si>
    <t>Pengolahan Limbah</t>
  </si>
  <si>
    <t xml:space="preserve">Valve </t>
  </si>
  <si>
    <t>Vertical Sterilizer</t>
  </si>
  <si>
    <t xml:space="preserve">Boiler </t>
  </si>
  <si>
    <t>Pemasangan Boiler</t>
  </si>
  <si>
    <t>D3 Pro System Alfalaval</t>
  </si>
  <si>
    <t>Waduk Air</t>
  </si>
  <si>
    <t>Electrical</t>
  </si>
  <si>
    <t>Mechanical</t>
  </si>
  <si>
    <t>Main Building</t>
  </si>
  <si>
    <t>Beton Bertulang</t>
  </si>
  <si>
    <t>SUB TOTAL PEMANCANGAN</t>
  </si>
  <si>
    <t xml:space="preserve">MARET </t>
  </si>
  <si>
    <t>APRIL</t>
  </si>
  <si>
    <t>JUNI</t>
  </si>
  <si>
    <t>MEI</t>
  </si>
  <si>
    <t>JULI</t>
  </si>
  <si>
    <t>AGUSTUS</t>
  </si>
  <si>
    <t>SEPTEMBER</t>
  </si>
  <si>
    <t>OKTOBER</t>
  </si>
  <si>
    <t>NOPEMBER</t>
  </si>
  <si>
    <t>DESEMBER</t>
  </si>
  <si>
    <t>TAHUN 2022</t>
  </si>
  <si>
    <t>JANUARI</t>
  </si>
  <si>
    <t>FEBRUARI</t>
  </si>
  <si>
    <t>NO. SPK</t>
  </si>
  <si>
    <t>KONTRAKTOR/  SUPPLIER</t>
  </si>
  <si>
    <t>PT. WIKA</t>
  </si>
  <si>
    <t>PT. JBP</t>
  </si>
  <si>
    <t>PT. TCN</t>
  </si>
  <si>
    <t>PT. Prima Jaya Engineering</t>
  </si>
  <si>
    <t>PT. Kharisma Pratama</t>
  </si>
  <si>
    <t>PT. Arina Karya Sentosa</t>
  </si>
  <si>
    <t>PT. Serumpun Indah Lestari</t>
  </si>
  <si>
    <t>PT. Agrindo Kalimantan Lestari</t>
  </si>
  <si>
    <t>GS Agro Enineering SDN.BHD</t>
  </si>
  <si>
    <t>Boilermech SDN.BHD</t>
  </si>
  <si>
    <t>PT. Alfa Laval</t>
  </si>
  <si>
    <t>PT. Tri Royal Timur Raya</t>
  </si>
  <si>
    <t>PT. Sinergi Indo Pratama</t>
  </si>
  <si>
    <t>01/SPK/KS-PKS/MILL-HO/III/2022</t>
  </si>
  <si>
    <t>06/SPK/KS-PKS/MILL-HO/IV/2022</t>
  </si>
  <si>
    <t>07/SPK/KS-PKS/MILL-HO/V/2022</t>
  </si>
  <si>
    <t>14/SPK/KS-PKS/MILL-HO/VII/2022</t>
  </si>
  <si>
    <t>17/SPK/KS-PKS/MILL-HO/VII/2022</t>
  </si>
  <si>
    <t>05/SPK/KS-PKS/MILL-HO/IV/2022</t>
  </si>
  <si>
    <t>13/SPK/KS-PKS/MILL-HO/VI/2022</t>
  </si>
  <si>
    <t>09/SPK/KS-PKS/MILL-HO/IV/2022</t>
  </si>
  <si>
    <t>08/SPK/KS-PKS/MILL-HO/IV/2022</t>
  </si>
  <si>
    <t>PT. Budijaya Makmur Sentosa</t>
  </si>
  <si>
    <t>TP.01.03/WB-1H.054/2021</t>
  </si>
  <si>
    <t>TP.01.03/WB-1H.008/2022</t>
  </si>
  <si>
    <t>TP.01.03/WB-1H.014/2022</t>
  </si>
  <si>
    <t>TP.01.03/WB-1H.022/2022</t>
  </si>
  <si>
    <t>SUB TOTAL TIANG PANCANG</t>
  </si>
  <si>
    <t>SUB TOTAL BETON BERTULANG</t>
  </si>
  <si>
    <t>SUB TOTAL MAIN BUILDING</t>
  </si>
  <si>
    <t>PERUMAHAN &amp; Waduk Air</t>
  </si>
  <si>
    <t>OWNER SUPPLY ITEM</t>
  </si>
  <si>
    <t>Soil Investigasi</t>
  </si>
  <si>
    <t>PT. Tiyasa Total Rekayasa</t>
  </si>
  <si>
    <t>Konsultan Civil Work</t>
  </si>
  <si>
    <t>PT. Drei Meta Dinamika</t>
  </si>
  <si>
    <t>02/SPK/KS-PKS/MILL-HO/IV/2022</t>
  </si>
  <si>
    <t>03/SPK/KS-PKS/MILL-HO/IV/2022</t>
  </si>
  <si>
    <t>04/SPK/KS-PKS/MILL-HO/IV/2022</t>
  </si>
  <si>
    <t>PDA Test</t>
  </si>
  <si>
    <t>10/SPK/KS-PKS/MILL-HO/V/2022</t>
  </si>
  <si>
    <t>PT. Testindo</t>
  </si>
  <si>
    <t>18/SPK/KS-PKS/MILL-HO/VII/2022</t>
  </si>
  <si>
    <t>19/SPK/KS-PKS/MILL-HO/VII/2022</t>
  </si>
  <si>
    <t>CV. Teknik Perdana</t>
  </si>
  <si>
    <t>16/SPK/KS-PKS/MILL-HO/VII/2022</t>
  </si>
  <si>
    <t>20/SPK/KS-PKS/MILL-HO/VII/2022</t>
  </si>
  <si>
    <t>PT. Klaton Jaya Mandiri</t>
  </si>
  <si>
    <t>SPK JAKARTA</t>
  </si>
  <si>
    <t>Sudah selesai</t>
  </si>
  <si>
    <t>Unit sudah diterima</t>
  </si>
  <si>
    <t>Mesin Press dan Digester 5000L</t>
  </si>
  <si>
    <t>Tiang Pancang Tahap 4</t>
  </si>
  <si>
    <t>TOTAL MECHANICAL &amp; ELECTRICAL</t>
  </si>
  <si>
    <t>A</t>
  </si>
  <si>
    <t>CIVIL WORK</t>
  </si>
  <si>
    <t>MECHANICAL &amp; ELECTRICAL</t>
  </si>
  <si>
    <t>B</t>
  </si>
  <si>
    <t>C</t>
  </si>
  <si>
    <t>I</t>
  </si>
  <si>
    <t>SUB TOTAL PERSIAPAN &amp; PENGUJIAN</t>
  </si>
  <si>
    <t>TIANG PANCANG</t>
  </si>
  <si>
    <t>PERSIAPAN &amp; PENGUJIAN</t>
  </si>
  <si>
    <t>PEMANCANGAN</t>
  </si>
  <si>
    <t>BETON BERTULANG</t>
  </si>
  <si>
    <t>D</t>
  </si>
  <si>
    <t>E</t>
  </si>
  <si>
    <t>II</t>
  </si>
  <si>
    <t>III</t>
  </si>
  <si>
    <t>MAIN BUILDING</t>
  </si>
  <si>
    <t>F</t>
  </si>
  <si>
    <t>OFFICE BUILDING</t>
  </si>
  <si>
    <t>IV</t>
  </si>
  <si>
    <t>SUB TOTAL OFFICE BUILDING</t>
  </si>
  <si>
    <t>V</t>
  </si>
  <si>
    <t>ROAD</t>
  </si>
  <si>
    <t>TOTAL ROAD</t>
  </si>
  <si>
    <t>TOTAL CIVIL WORK ( A - F )</t>
  </si>
  <si>
    <t>Core Drill</t>
  </si>
  <si>
    <t>15/SPK/KS-PKS/MILL-HO/VI/2022</t>
  </si>
  <si>
    <t xml:space="preserve">PT. Budijaya Cemerlang </t>
  </si>
  <si>
    <t>010/SPK/KS-HO/PIPS/V/2021</t>
  </si>
  <si>
    <t>TAHUN 2021</t>
  </si>
  <si>
    <t>Static Load Test</t>
  </si>
  <si>
    <t>Tiang Pancang Tahap 5 Estimasi</t>
  </si>
  <si>
    <t>Pemancangan Tahap 4 Estimasi</t>
  </si>
  <si>
    <t>Atap bluescope &amp; wall clading (Owner Supply)</t>
  </si>
  <si>
    <t>Office, Fencing, Pos Security, Parkir, Mushola</t>
  </si>
  <si>
    <t>Chain Conveyor</t>
  </si>
  <si>
    <t>Timbangan Avery 40 Ton</t>
  </si>
  <si>
    <t>Chicago Fan</t>
  </si>
  <si>
    <t>Boiler Water Treatment (Reverse Osmosis)</t>
  </si>
  <si>
    <t>CB King Crackers 4 ton/jam</t>
  </si>
  <si>
    <t>Vibrating Screen Double Deck</t>
  </si>
  <si>
    <t>Pompa</t>
  </si>
  <si>
    <t>Perumahan</t>
  </si>
  <si>
    <t>Jalan Dermaga-PKS</t>
  </si>
  <si>
    <t>SUB</t>
  </si>
  <si>
    <t>FREMARK</t>
  </si>
  <si>
    <t>KSA.M09005-0519</t>
  </si>
  <si>
    <t>116204001001</t>
  </si>
  <si>
    <t>0002</t>
  </si>
  <si>
    <t>RAcct @ ADK - BANGUNAN - PABRIK KELAPA S</t>
  </si>
  <si>
    <t xml:space="preserve"> Cost fr 111904005305 EXCAVATOR KOBELCO SK200-10/SK200XDL-10 (33-18)</t>
  </si>
  <si>
    <t xml:space="preserve"> Cost fr 111904005318 EXCAVATOR KOBELCO SK200-10/SK200XDL-10 (33-24)</t>
  </si>
  <si>
    <t>KSA.M09005-0619</t>
  </si>
  <si>
    <t xml:space="preserve"> Cost fr 111904005306 EXCAVATOR KOBELCO SK200-10/SK200XDL-10 (33-19)</t>
  </si>
  <si>
    <t xml:space="preserve"> Cost fr 111904005325 EXCAVATOR KOBELCO SK200-10 (33-25)</t>
  </si>
  <si>
    <t>KSA.M09005-0920</t>
  </si>
  <si>
    <t xml:space="preserve"> Cost fr 111904005309 EXCAVATOR KOBELCO (BSA-01)</t>
  </si>
  <si>
    <t>KSA.M09005-1020</t>
  </si>
  <si>
    <t xml:space="preserve"> Cost fr 111904005602 FARM TRACTOR - KUBOTA M9540 (FT-02)/32-03</t>
  </si>
  <si>
    <t xml:space="preserve"> Cost fr 111904005802 TRAILER - TRAILER 02 (TLR-02)</t>
  </si>
  <si>
    <t xml:space="preserve"> Cost fr 111904005812 TRAILER - TRAILER 08 (TLR-08)</t>
  </si>
  <si>
    <t>KSA.M03076-0221</t>
  </si>
  <si>
    <t>RECLASS BIAYA PEMBANGUNAN PABRIK KELAPA SAWIT SUNGAI CABANG</t>
  </si>
  <si>
    <t>KSA.M09005-0422</t>
  </si>
  <si>
    <t xml:space="preserve"> Cost fr 111904005809 TRAILER - TRAILER 05 (TLR-05)</t>
  </si>
  <si>
    <t>KSA.M03076-0119</t>
  </si>
  <si>
    <t>ALOKASI BY.LCT UD MAULIDA SPK 021 TGL.11/10/18</t>
  </si>
  <si>
    <t xml:space="preserve">KOBELCO PC-200 (PT. JBP)
</t>
  </si>
  <si>
    <t>KSA.M03077-0119</t>
  </si>
  <si>
    <t>ALOKASI BY.LCT UD MAULIDA SPK 090 TGL.27/11/18</t>
  </si>
  <si>
    <t>DUMP TRUCK (PT.JBP)</t>
  </si>
  <si>
    <t>TRUCK COLT DIESEL (PT.JBP)</t>
  </si>
  <si>
    <t>KSA.M09005-1218</t>
  </si>
  <si>
    <t xml:space="preserve"> Cost fr 111904005323 EXCAVATOR HITACHI (JBP-03)</t>
  </si>
  <si>
    <t>KSA.M09005-0119</t>
  </si>
  <si>
    <t>KSA.M09005-0219</t>
  </si>
  <si>
    <t>KSA.M09005-0319</t>
  </si>
  <si>
    <t>KSA.M04080-0419</t>
  </si>
  <si>
    <t>KOREKSI MEMO M04078-0319 TGL. 31-03-19</t>
  </si>
  <si>
    <t>KOREKSI PRESTASI KERJA</t>
  </si>
  <si>
    <t>KSA.M09005-0419</t>
  </si>
  <si>
    <t>KSA.M09005-0719</t>
  </si>
  <si>
    <t xml:space="preserve"> Cost fr 111904005319 EXCAVATOR HITACHI (JBP-01)</t>
  </si>
  <si>
    <t xml:space="preserve"> Cost fr 111904005320 EXCAVATOR HITACHI (JBP-02)</t>
  </si>
  <si>
    <t>KSA.M09005-0819</t>
  </si>
  <si>
    <t>KSA.M09005-1019</t>
  </si>
  <si>
    <t>KSA.M09005-1119</t>
  </si>
  <si>
    <t>KSA.M09005-1219</t>
  </si>
  <si>
    <t>KSA.M09005-0220</t>
  </si>
  <si>
    <t>KSA.M09005-0320</t>
  </si>
  <si>
    <t>KSA.M09005-0420</t>
  </si>
  <si>
    <t>KSA.M09005-0520</t>
  </si>
  <si>
    <t>KSA.M09005-0620</t>
  </si>
  <si>
    <t>KSA.M09005-0720</t>
  </si>
  <si>
    <t>KSA.M09005-0820</t>
  </si>
  <si>
    <t>KSA.M09005-1120</t>
  </si>
  <si>
    <t>KSA.M09005-1220</t>
  </si>
  <si>
    <t>KSA.M09005-0121</t>
  </si>
  <si>
    <t>KSA.M09005-0221</t>
  </si>
  <si>
    <t>KSA.M09005-0321</t>
  </si>
  <si>
    <t>KSA.M09005-0421</t>
  </si>
  <si>
    <t>KSA.M09005-0521</t>
  </si>
  <si>
    <t>KSA.M09005-0621</t>
  </si>
  <si>
    <t>KSA.M09005-0721</t>
  </si>
  <si>
    <t>KSA.M09005-0821</t>
  </si>
  <si>
    <t>KSA.M09005-0921</t>
  </si>
  <si>
    <t>KSA.M09005-1021</t>
  </si>
  <si>
    <t>KSA.M03084-0921</t>
  </si>
  <si>
    <t>REKLASS BY PEMAKAIAN ALAT BERAT U/ PEKERJAAN WADUK PKS</t>
  </si>
  <si>
    <t>KSA.M04084-0819</t>
  </si>
  <si>
    <t>KOREKSI CATAT KURANG MEMO M04079-0719</t>
  </si>
  <si>
    <t>GALIAN WADUK</t>
  </si>
  <si>
    <t>KSA.M05183-0819</t>
  </si>
  <si>
    <t>BY. MAKAN TAMU DINAS</t>
  </si>
  <si>
    <t>MENGURUS HGB PABRIK, DERMAGA DAN REDIS KEBUN PLASMA KUMAI 
TGL 16 S/D 31 AGUSTUS 2019</t>
  </si>
  <si>
    <t>KSA.B021019-1019</t>
  </si>
  <si>
    <t xml:space="preserve">Via Joko Purwito </t>
  </si>
  <si>
    <t>Biaya pengurusan sertifikasi HGB dermaga dan pabrik 
PT. Kumai Sentosa</t>
  </si>
  <si>
    <t>KSA.B021066-1019</t>
  </si>
  <si>
    <t>Via. Joko Purwito</t>
  </si>
  <si>
    <t>Terima koreksi atas kelebihan biaya pengurusan 
HGB Dermaga dan Pabrik 
U/BBK No.019 Tgl. 04 Oktober 2019</t>
  </si>
  <si>
    <t>KSA.B021039-0919</t>
  </si>
  <si>
    <t xml:space="preserve">Via. Joko Purwito </t>
  </si>
  <si>
    <t>By.Pengurusan HGB Pabrik, Dermaga dan Redis Kebun Plasma</t>
  </si>
  <si>
    <t>KSA.B021040-0919</t>
  </si>
  <si>
    <t>Biaya pelayanan pengukuran dan pemetaan bidang tanah 
Inv.9240/2019 tgl 13 agustus 2019
Inv.9239/2019 tgl 13 agustus 2019
Inv.9242/2019 tgl 13 agustus 2019</t>
  </si>
  <si>
    <t>KSA.K021038-1019</t>
  </si>
  <si>
    <t>By.Permohonan SK Pemberian Hak Guna Bangunan Badan Hukum 
No.Invoice 10787/2019, 10789/2019 &amp; 10788/2019 
Tgl 07 Oktober 2019</t>
  </si>
  <si>
    <t>KSA.B021086-1019</t>
  </si>
  <si>
    <t>By.Pengurusan HGB Pabrik dan Dermaga PT. KS
Tgl. 22 Oktober 2019</t>
  </si>
  <si>
    <t>KSA.M05011-1221</t>
  </si>
  <si>
    <t>BY UPAH PHL AFD RAYON I UPKEEP MASA II DESEMBER 2021</t>
  </si>
  <si>
    <t>PEMBUATA PATOK BM PABRIK</t>
  </si>
  <si>
    <t>KSA.M05153-0222</t>
  </si>
  <si>
    <t>BY.TUNJANGAN KARYAWAN</t>
  </si>
  <si>
    <t>MASA II FEB 2022</t>
  </si>
  <si>
    <t>KSA.M05153-0122</t>
  </si>
  <si>
    <t>BY.UANG MAKAN KARYAWAN</t>
  </si>
  <si>
    <t>MASA 2 JANUARI 2022</t>
  </si>
  <si>
    <t>KSA.B051080-0222</t>
  </si>
  <si>
    <t>By. All Tunjangan karyawan HO periode masa I Februari 2022</t>
  </si>
  <si>
    <t>- Uang Makan    : Rp.  430.000- Transport         : Rp.  520.000- Pengobatan     : Rp.  966.900</t>
  </si>
  <si>
    <t>KSA.B051078-0122</t>
  </si>
  <si>
    <t>By. All Tunjangan karyawan HO periode masa I Januari 2022</t>
  </si>
  <si>
    <t>- Uang Makan    : Rp. 460.000- Transport         : Rp. 470.000</t>
  </si>
  <si>
    <t>KSA.B051074-0322</t>
  </si>
  <si>
    <t>By. All Tunjangan karyawan HO periode masa I Maret 2022</t>
  </si>
  <si>
    <t>- Uang Makan    : Rp. 450.000- Transport         : Rp. 400.000</t>
  </si>
  <si>
    <t>KSA.M05008-0319</t>
  </si>
  <si>
    <t>GAJI  PHL AFD LAND CLEARING MASA II BULAN MARET 2019</t>
  </si>
  <si>
    <t>KSA.M05003-0619</t>
  </si>
  <si>
    <t>GAJI PHL AFD LAND CLEARING BULAN JUNI 2019</t>
  </si>
  <si>
    <t>KSA.M05003-0519</t>
  </si>
  <si>
    <t>GAJI PHL AFD LAND CLEARING MASA I BULAN MEI 2019</t>
  </si>
  <si>
    <t>KSA.M05008-0619</t>
  </si>
  <si>
    <t>GAJI PHL AFD LAND CLEARING MASA II BULAN JUNI 2019</t>
  </si>
  <si>
    <t>KSA.M05008-0519</t>
  </si>
  <si>
    <t>GAJI PHL AFD LAND CLEARING MASA II BULAN MEI 2019</t>
  </si>
  <si>
    <t>KSA.M05003-0719</t>
  </si>
  <si>
    <t>GAJI PHL LC MASA I BULAN JULI 2019</t>
  </si>
  <si>
    <t>KSA.M05003-0419</t>
  </si>
  <si>
    <t>GAJI PL AFD LAND CLEARING MASA I BULAN APRIL 2019</t>
  </si>
  <si>
    <t>KSA.B051086-0322</t>
  </si>
  <si>
    <t>Klinik Citra Sehat Utama</t>
  </si>
  <si>
    <t>By.Tagihan berobat karyawan periode bulan Februari 2022 Inv T.B/CSU/202202/003 Tgl 28 Februari 2022</t>
  </si>
  <si>
    <t>KSA.M05153-0322</t>
  </si>
  <si>
    <t>BY.TUNJANGAN UANG MAKAN KARYAWAN</t>
  </si>
  <si>
    <t>PERIODE MASA II MARET 2022</t>
  </si>
  <si>
    <t>BY.TUNJANGAN UANG TRANSPORT KARYAWAN</t>
  </si>
  <si>
    <t>KSA.M05153-0422</t>
  </si>
  <si>
    <t>BY.TRANSPORT CUTI KARYAWAN</t>
  </si>
  <si>
    <t>PERIODE MASA I APRIL 2022</t>
  </si>
  <si>
    <t>PERIODE MASA II APRIL 2022</t>
  </si>
  <si>
    <t>BY.UANG TRANSPORT KARYAWAN</t>
  </si>
  <si>
    <t>KSA.B051073-0522</t>
  </si>
  <si>
    <t>By. All Tunjangan karyawan HO periode masa I Mei 2022</t>
  </si>
  <si>
    <t>*Uang Makan     = Rp.   370.000,-
*Transport          = Rp.   340.000,-
*Tunjangan Cuti = Rp.1.200.000,-</t>
  </si>
  <si>
    <t>PKS.M04041-0522</t>
  </si>
  <si>
    <t>316204001001</t>
  </si>
  <si>
    <t>0004</t>
  </si>
  <si>
    <t>HUB. R/K KSA.M05154-0522 BY.DINAS LUAR AN.I KETUT S KE SURABAYA</t>
  </si>
  <si>
    <t>REKRUT MDP PABRIK TGL 10 SD 24 MEI 2022</t>
  </si>
  <si>
    <t>HUB. R/K KSA.M05154-0522 BY.DINAS LUAR AN.HERRY MUNAZAR KE KUMAI</t>
  </si>
  <si>
    <t>PENGUJIAN TIANG PANCANG PKS TGL 19 SD 24 MEI 2022</t>
  </si>
  <si>
    <t>HUB. R/K KSA.M05154-0522 USAHA SEJAHTERA BERSAMA (DARYOTO)</t>
  </si>
  <si>
    <t>"BY.TAGIHAN PESAWAT TGL 21,25, 28 &amp; 31 MEI 2022
INV.0067 TGL 30 MEI 2022"</t>
  </si>
  <si>
    <t>HUB. R/K KSA.M05154-0522 BY.DINAS LUAR AN.SYARIFUDIN KE PALANGKARAYA</t>
  </si>
  <si>
    <t>MENGANTAR HERRY MUNAZAR TGL 19 SD 20 MEI 2022</t>
  </si>
  <si>
    <t>PKS.M04041-0622</t>
  </si>
  <si>
    <t>HUB. R/K KSA.B051049-0622 Usaha Sejahtera Bersama</t>
  </si>
  <si>
    <t xml:space="preserve">By.Tagihan tiket pesawat an. Daryoto CSJurusan BDJ-SRG, BDJ-PKN, SRG-PKN Tgl 01 &amp; 06 Juni 2022 Inv.0077 Tgl 02 Juni 2022
</t>
  </si>
  <si>
    <t>HUB. R/K KSA.B051073-0622 Usaha Sejahtera Bersama</t>
  </si>
  <si>
    <t xml:space="preserve">By.Tagihan tiket pesawat an. Daryoto  Jurusan SRG-BDJ, BDJ-PKN Tgl 06 &amp; 10 Juni 2022 Inv.0085 Tgl 09 Juni 2022
</t>
  </si>
  <si>
    <t>HUB. R/K KSA.B051078-0622 Grand Kecubung Hotel (Kontraktor PKS)</t>
  </si>
  <si>
    <t xml:space="preserve">By.Tagihan Menginap an. I Ketut Supastika CS Tgl 15 s.d 23 Mei 2022  Inv. 02200020131 Tgl 24 Mei 2022
</t>
  </si>
  <si>
    <t>HUB. R/K KSA.M05154-0622 USAHA SEJAHTERA BERSAMA (DARYOTO)</t>
  </si>
  <si>
    <t xml:space="preserve">"BY.TAGIHAN TIKET PESAWAT
JUR BDJ-CGK, PKN-SRG (PP)
INV.0093 TGL 27 JUNI 2022"
</t>
  </si>
  <si>
    <t>HUB. R/K KSA.M05154-0622 BY.DINAS LUAR AN.ABDUL WAHAB KE PKS KUMAI</t>
  </si>
  <si>
    <t xml:space="preserve">KEGIATAN AANWIJZING ELEKTRIKAL PKS TGL 20 SD 24 JUNI 2022
</t>
  </si>
  <si>
    <t>KSA.M04077-0421</t>
  </si>
  <si>
    <t>PT. TIYASA TOTAL REKAYASA</t>
  </si>
  <si>
    <t>PT. TIYASA TOTAL REKAYASA
BY. THP I 50% A/ PEKERJAAN SOIL INVESTIGATION BANGUNAN PKS
INV. 029 SPK.009
TGL 26 APRIL 2021</t>
  </si>
  <si>
    <t>KSA.M04077-0621</t>
  </si>
  <si>
    <t>PT. TIYASA TOTAL REKAYASA
BY. THP II 50% A/ PEKERJAAN SOIL INVESTIGATION BANGUNAN PKS
INV. 050 SPK.009
TGL 15 JUNI 2021</t>
  </si>
  <si>
    <t>KSA.B051082-0621</t>
  </si>
  <si>
    <t>PT.Drei Meta Dinamika</t>
  </si>
  <si>
    <t>By.Tahap I 25% atas Pekerjaan perancangan infrastruktur pabrik kelapa sawit Inv.045 SPK.010</t>
  </si>
  <si>
    <t>KSA.M04061-0721</t>
  </si>
  <si>
    <t>PT.DREI META DINAMIKA</t>
  </si>
  <si>
    <t>PT.DREI META DINAMIKA
BY. THP II 50% A/ PERANCANGAN INFRASTRUKTUR PABRIK KELAPA SAWIT
INV. 062 SPK. 010</t>
  </si>
  <si>
    <t>KSA.M04075-1221</t>
  </si>
  <si>
    <t>PT. DREI META DINAMIKA</t>
  </si>
  <si>
    <t>BY.TAHAP III 25% ATAS PEKERJAAN PERANCANGAN INFRASTRUKTUR PKS
SPK.010</t>
  </si>
  <si>
    <t>KSA.M04061-0122</t>
  </si>
  <si>
    <t>BY.TAHAP 4 ATAS PERENCANAAN INFRASTRUKTUR PKS
INV.005 SPK.010 BAPP.001</t>
  </si>
  <si>
    <t>PKS.M04041-0722</t>
  </si>
  <si>
    <t>0001</t>
  </si>
  <si>
    <t xml:space="preserve">"BY.PELUNASAN ATAS PERENCANAAN INFRASTRUKTUR PKS KUMAI
INV.007 SPK.010 BAPP.004"
</t>
  </si>
  <si>
    <t>KSA.M05155-1121</t>
  </si>
  <si>
    <t>DR.IR.RUSDIANSYAH, ST, MT.,IPM, ASEAN Eng</t>
  </si>
  <si>
    <t>BY.PELUNASAN JASA KONSULTASI PEKERJAAN REVIEW DESAIN PKS
PERJANJIAN TGL 25 NOV 2021
INV.301121, TGL 30 NOVEMBER 2021</t>
  </si>
  <si>
    <t>KSA.B051133-1121</t>
  </si>
  <si>
    <t>Dr.Ir.Rusdiansyah ST, MT.,IPM, ASEAN Eng</t>
  </si>
  <si>
    <t>By. DP 50% Jasa Konsultasi Pekerjaan Review Desain Pabrik Kelapa Sawit (PKS) PT. Kumai SentosaSesuai dengan perjanjian tanggal 25 November 2021Invoice No. 251121 tgl. 25 November 2021</t>
  </si>
  <si>
    <t>KSA.B051074-1221</t>
  </si>
  <si>
    <t>By.Jasa Review Bidang Geoteknik Hasil Konsultan PerencanaPerencanaan Pabrik Kelapa Sawit PT. Kumai SentosaInv.081221 SPK.Tgl 08 Desember 2021(Telah dipotong PPh 21)</t>
  </si>
  <si>
    <t>PKS.M03031-0522</t>
  </si>
  <si>
    <t>DR.IR.RUSDIANSYAH ST, MT.,IPM, ASEAN ENG</t>
  </si>
  <si>
    <t>BY.JASA REVIEW DESAIN PABRIK BIDANG GEOTEKNIKHASIL PRESENTASI KONSULTAN PERENCANA INFRASTRUKTUR PEMBANGUNAN 
PABRIK KELAPA SAWIT PT.KSINV.310522 SPK.12
- POKOK  =  5.000.000
- PPH 21 =    125.000</t>
  </si>
  <si>
    <t>JONI IRAWAN, ST. MT</t>
  </si>
  <si>
    <t>KSA.B051131-1121</t>
  </si>
  <si>
    <t>Joni Irawan ST, MT</t>
  </si>
  <si>
    <t>KSA.B051073-1221</t>
  </si>
  <si>
    <t>Joni Irawan, ST., MT.</t>
  </si>
  <si>
    <t>PKS.M03030-0522</t>
  </si>
  <si>
    <t>JONI IRAWAN, ST., MT.</t>
  </si>
  <si>
    <t>BY.JASA REVIEW DESAIN PABRIK BIDANG STRUKTUR HASIL PRESENTASI KONSULTAN PERENCANA INFRASTRUKTUR PEMBANGUNAN 
PABRIK KELAPA SAWIT PT.KS
INV.300522 SPK.11
- POKOK  =  5.000.000
- PPH 21 =    125.000</t>
  </si>
  <si>
    <t>KSA.B051022-0221</t>
  </si>
  <si>
    <t>KJPP MBPRU &amp; Rekan</t>
  </si>
  <si>
    <t>By.Tahap I 50% atas Pekerjaan Studi KelayakanPembangunan Pabrik Kelapa Sawit PT Kumai SentosaInv.0010, Tgl 27 Januari 2021</t>
  </si>
  <si>
    <t>KSA.B051151-0421</t>
  </si>
  <si>
    <t>By.Pelunasan 50% atas Pekerjaan Studi KelayakanPembangunan Pabrik Kelapa Sawit PT Kumai SentosaInv.0045, Tgl 20 April 2021</t>
  </si>
  <si>
    <t>KSA.B021007-0519</t>
  </si>
  <si>
    <t>PT.Geo Inti Perkasa</t>
  </si>
  <si>
    <t>By.Pelunasan atas Pekerjaan Survey Penyelidikan TanahProyek Pembangunan Pabrik Kelapa Sawit di KumaiInv.018 SPK.008 BAST.017</t>
  </si>
  <si>
    <t>KSA.B021011-0519</t>
  </si>
  <si>
    <t>By.DP 50% atas Pekerjaan Survey Penyelidikan TanahPreliminary Survey 2, Proyek Pembangunan Pabrik Kelapa Sawit di KumaiInv.022 SPK.004</t>
  </si>
  <si>
    <t>KSA.B021013-0519</t>
  </si>
  <si>
    <t xml:space="preserve">PT.Geo Inti Perkasa </t>
  </si>
  <si>
    <t>By.DP 50% atas Pekerjaan Survey Penyelidikan TanahRelokasi ke Lokasi 2, Proyek Pembangunan Pabrik Kelapa Sawit di Kumai Inv.023 SPK.005</t>
  </si>
  <si>
    <t>KSA.B051033-0820</t>
  </si>
  <si>
    <t>Said Abdurrahman</t>
  </si>
  <si>
    <t>By.Tahap I 20% atas Pekerjaan Pengolahan Data &amp; Penyusunan DokumenSAP (Structural Analysis Program) Pabrik Pengolahan Kelapa SawitPT. Kumai Sentosa di Kab. Kotawaringin Barat Kal-Teng. Kwt. 05 SPK. 066</t>
  </si>
  <si>
    <t>KSA.B051021-0920</t>
  </si>
  <si>
    <t>By.Tahap II  80%(Pelunasan) atas Pekerjaan Pengolahan Data &amp; Penyusunan Dokumen SAP (Structural Analysis Program) Pabrik Pengolahan Kelapa SawitPT. Kumai Sentosa di Kab. Kotawaringin Barat Kal-Teng. Inv. 24082020 SPK. 066</t>
  </si>
  <si>
    <t>KSA.M04075-0322</t>
  </si>
  <si>
    <t>REKLAS UANG MUKA (M04074-1221) PT. ASIA PASIFIK</t>
  </si>
  <si>
    <t xml:space="preserve">BY.PEKERJAAN DESIGN UNTUK PEMBUATAN DOKUMEN TENDER MEKANIKAL
</t>
  </si>
  <si>
    <t>PKS.M03029-0522</t>
  </si>
  <si>
    <t>PT. TESTINDO</t>
  </si>
  <si>
    <t>BY.TAHAP I DP 50% ATAS PEKERJAAN PELAKSANAAN TEST PDA 
INV. 015 SPK. 10 
- POKOK       = 22.750.000- PPN 11%  =   2.502.500   
- PPH 23     =    (455.000)</t>
  </si>
  <si>
    <t>PEMBAYARAN PELUNASAN ATAS PEKERJAAN PELAKSANAAN TEST PDA 
INV.016 SPK.010 
SPK.010/SPK/KS-PKS/MILL-HO/V/2022</t>
  </si>
  <si>
    <t>PKS.M04064-0722</t>
  </si>
  <si>
    <t>BY.TAHAP I 50% PEKERJAAN SOIL INVESTIGATION
INV.085 SPK.018</t>
  </si>
  <si>
    <t>KSA.B051076-0322</t>
  </si>
  <si>
    <t>Grand Kecubung Hotel</t>
  </si>
  <si>
    <t>By.Tagihan Menginap an. Daryoto Tgl 06 s.d 09 Maret 2022  Inv. 0220002019 Tgl 10 Maret 2022</t>
  </si>
  <si>
    <t>KSA.M05154-0222</t>
  </si>
  <si>
    <t>BY.DINAS LUAR AN. DARYOTO KE LAMPUNG</t>
  </si>
  <si>
    <t>PENGECEKA TIANG PANCANG TGL 05 SD 13 FEBRUARI 2022</t>
  </si>
  <si>
    <t>KSA.M05154-1121</t>
  </si>
  <si>
    <t>BY.DINAS LUAR HERRY MUNAZAR KE JAKARTA</t>
  </si>
  <si>
    <t>SURVEY BETON PRECAST DINDING TGL 25 SD 28 NOVEMBER 2021</t>
  </si>
  <si>
    <t>KSA.B051070-1221</t>
  </si>
  <si>
    <t>By.Dinas luar an. Abdul Wahab CS ke Bandung</t>
  </si>
  <si>
    <t>Konsultasi Project Civil Work PKS PT. Kumai Sentosa Tgl 08 s/d 16 Oktober 2021</t>
  </si>
  <si>
    <t>KSA.K021005-0322</t>
  </si>
  <si>
    <t>By.Dinas luar an. Herry Munazar ke Jakarta</t>
  </si>
  <si>
    <t>Meeting Proyek PT.KS dengan BOD Tgl 01 s/d 03 Mar 2022</t>
  </si>
  <si>
    <t>KSA.B051097-0222</t>
  </si>
  <si>
    <t>By.Dinas luar an. Herry Munazar ke Jakarta &amp; Bandung</t>
  </si>
  <si>
    <t>Meeting Proyek Konsultan PKS Tgl. 23 s/d 26 Januari 2022</t>
  </si>
  <si>
    <t>KSA.K021003-0222</t>
  </si>
  <si>
    <t>By.Dinas luar an. Herry Munazar ke Kumai</t>
  </si>
  <si>
    <t>Tinjauan Lapangan Tgl. 25 Desember 2021</t>
  </si>
  <si>
    <t>KSA.B051100-0322</t>
  </si>
  <si>
    <t>By.Dinas luar an. Rizkon ke Palangka Raya</t>
  </si>
  <si>
    <t>mengantar Bpk.Abdul Wahab Tgl. 13 s/d 14 Maret 2022</t>
  </si>
  <si>
    <t>KSA.B051077-0122</t>
  </si>
  <si>
    <t>By.Dinas luar an.Herry Munazar ke Jakarta</t>
  </si>
  <si>
    <t>Meeting Proyek Konsultan PKS Tgl 27 s/d 29 Desember 2021</t>
  </si>
  <si>
    <t>KSA.M05156-0421</t>
  </si>
  <si>
    <t>USAHA SEJAHTERA BERSAMA</t>
  </si>
  <si>
    <t>BY.TAGIHAN PESAWAT TAMU KONSULTAN PKS (WILLY &amp; ROBBY)
JUR CGK-BDJ, TGL 12 APRIL 2021, INV.0036 TGL 08 APRIL 2021</t>
  </si>
  <si>
    <t>USAHA SEJAHTERA BERSAMA (DARYOTO)</t>
  </si>
  <si>
    <t>BY.TAGIHAN TIKET PESAWAT JUR BDJ-CGK, CGK-PKN TGL 21 FEB 22
INV.0016 TGL 21 FEB 2022</t>
  </si>
  <si>
    <t>KSA.M05154-0122</t>
  </si>
  <si>
    <t>USAHA SEJAHTERA BERSAMA (HERRY M)</t>
  </si>
  <si>
    <t>BY.TAGIHAN TIKET PESAWAT KARYAWAN
TGL 21,23,24,26 JANUARI 2022
INV.006 TGL 27 JANUARI 2022</t>
  </si>
  <si>
    <t>KSA.M05154-1221</t>
  </si>
  <si>
    <t>USAHA SEJAHTERA BERSAMA (HERRY)</t>
  </si>
  <si>
    <t>BY.TAGIHAN TIKET PESAWAT &amp; HOTEL KARYAWAN
JUR PKN-CGK, CGK-PKY TGL 26,27,28,29 DES 2021
INV.0112 TGL 30 DES 2021</t>
  </si>
  <si>
    <t>USAHA SEJAHTERA BERSAMA (WAHAB)</t>
  </si>
  <si>
    <t>KSA.B051062-0322</t>
  </si>
  <si>
    <t>Usaha Sejahtera Bersama</t>
  </si>
  <si>
    <t>By.Tagihan tiket pesawat an. Herry Munazar CS Jurusan CGK-BDJ, SRG-PKN Tgl 03 &amp; 06 Maret 2022 Inv.0025 Tgl 09 Maret 2022</t>
  </si>
  <si>
    <t>KSA.B051068-1221</t>
  </si>
  <si>
    <t>Usaha Sejahtera Bersama (Wahab)</t>
  </si>
  <si>
    <t>By.Tagihan tiket pesawat an. Christian L Mamengko CSJurusan PKN-BDJ, CGK-BDJ Tgl 03 &amp; 08 Desember 2021 Inv.0102 Tgl 08 Desember 2021</t>
  </si>
  <si>
    <t>KSA.K011036-0122</t>
  </si>
  <si>
    <t>Via Abdul Wahab</t>
  </si>
  <si>
    <t>By Realisasi Dinas Luar an. Abdul Wahab dalam Rangka Perencanaan PKS</t>
  </si>
  <si>
    <t>KSA.K011131-0222</t>
  </si>
  <si>
    <t>By Realisasi Dinas Luar an. Abdul Wahab ke Jakarta Dalam Rangka Penyelesaikan Perencanaan PKS</t>
  </si>
  <si>
    <t>KSA.B051099-0322</t>
  </si>
  <si>
    <t>By.Dinas luar an. Rizkon ke bandara Syamsudin Nor</t>
  </si>
  <si>
    <t>menjemput Bpk.Herry Munazar Tgl. 03 Maret 2022</t>
  </si>
  <si>
    <t>KSA.K021006-0322</t>
  </si>
  <si>
    <t>By.Dinas luar an. Abdul Wahab ke Sungai Cabang, Kumai</t>
  </si>
  <si>
    <t>Aanwijing Mekanikal PKS Tgl. 13 s.d 17 Maret 2022</t>
  </si>
  <si>
    <t>KSA.M05154-0322</t>
  </si>
  <si>
    <t>BY.TAGIHAN TIKET PESAWAT &amp; HOTEL
TGL 26 SD 31 MARET &amp; 01 APRIL 2022
INV.0035 TGL 30 MARET 2022</t>
  </si>
  <si>
    <t>BY.DINAS LUAR AN.KURNIAWAN KE BANDARA</t>
  </si>
  <si>
    <t>MENGANTAR HERRY M &amp; DARYOTO TGL 30 MARET 2022</t>
  </si>
  <si>
    <t>KSA.M05176-0322</t>
  </si>
  <si>
    <t>REKLAS COA KSA.M05154-0222 BY.TAGIHAN TIKET PESAWAT AN. HERRY MUNAZAR</t>
  </si>
  <si>
    <t>TGL.25,28 FEB,01,03 &amp; 06 MARET 2022
INV.0020 04 MARET 2022</t>
  </si>
  <si>
    <t>KSA.B051096-0422</t>
  </si>
  <si>
    <t>By.Dinas luar an. Ahmad mawardi ke palangka raya</t>
  </si>
  <si>
    <t>Jemput Bpk Herry munazar Tgl. 13 s/d 14 april 2022</t>
  </si>
  <si>
    <t>KSA.B051108-0422</t>
  </si>
  <si>
    <t>By.Tagihan Menginap an. Daryoto Tgl 09 &amp; 10 April 2022  Inv. 0220002080 Tgl 11 April 2022</t>
  </si>
  <si>
    <t>KSA.B051088-0422</t>
  </si>
  <si>
    <t>Usaha Sejahtera Bersama (Daryoto)</t>
  </si>
  <si>
    <t>By.Tagihan tiket pesawat &amp; Hotel an. Imam Satoto Yudiono CS Jurusan PKN-CGK,PKN-SRG,BDJ-KNO,CGK-KNO,KNO-BDJ,SRG-PKN Tgl 06 s.d 17 April 2022 Inv.0042 Tgl 13 April 2022</t>
  </si>
  <si>
    <t>KSA.B051058-0522</t>
  </si>
  <si>
    <t>By.Tagihan tiket pesawat an. Daryoto Jurusan SRG-PKN, PKN-SRG Tgl 08,20 &amp; 25 April 2022 Inv.0052 Tanggal 11 Mei 2022</t>
  </si>
  <si>
    <t>KSA.B051032-0522</t>
  </si>
  <si>
    <t>By.Tagihan Menginap an. Daryoto Tgl 20 s.d 21 April 2022  Inv. 02200020103 Tgl 26 April 2022</t>
  </si>
  <si>
    <t>KSA.B051074-0522</t>
  </si>
  <si>
    <t>By.Tagihan Menginap an. Daryoto CSTgl 08 s.d 10 Mei 2022  Inv. 02200020115 Tgl 12 Mei 2022</t>
  </si>
  <si>
    <t>HUB. R/K KSA.B051111-0522 Usaha Sejahtera Bersama</t>
  </si>
  <si>
    <t>By.Tagihan tiket pesawat an. Robby Setyawan CS Jurusan CGK-PKN Tgl 20 Mei 2022 Inv.0059 Tgl 19 Mei 2022</t>
  </si>
  <si>
    <t>HUB. R/K KSA.B051112-0522 Usaha Sejahtera Bersama</t>
  </si>
  <si>
    <t>PKS.K022008-0622</t>
  </si>
  <si>
    <t>By. Pembayaran U/ Cetak Shop Drawing Peta Pancang</t>
  </si>
  <si>
    <t>HUB. R/K KSA.B051102-0722 Grand Kecubung Hotel (Daryoto)</t>
  </si>
  <si>
    <t xml:space="preserve">By.Tagihan Menginap an. Daryoto CS Tgl 27 Juni s.d 05 Juli 2022  Inv. 02200020216 Tgl 05 Juli 2022
</t>
  </si>
  <si>
    <t>HUB. R/K KSA.B051122-0722 Usaha Sejahtera Bersama (Daryoto CS)</t>
  </si>
  <si>
    <t xml:space="preserve">By.Tagihan tiket pesawat &amp; Hotel an. Joko Purwito CS Jurusan CGK-BDJ, PKN-SUB, PKN-CGK, BDJ-CGK Tgl 13 Juni s.d 18 Juli 2022 Inv.0105 Tanggal 15 Juli 2022
</t>
  </si>
  <si>
    <t>HUB. R/K KSA.M05154-0722 USAHA SEJAHTERA BERSAMA (DARYOTO)</t>
  </si>
  <si>
    <t xml:space="preserve">BY.TAGIHAN PESAWAT KARYAWAN
TGL.20 SD 31 JULI 2022
INV.0112 TGL 26 JULI 2022
</t>
  </si>
  <si>
    <t>HUB. R/K KSA.M05154-0722 USAHA SEJAHTERA BERSAMA (PUTRA)</t>
  </si>
  <si>
    <t xml:space="preserve">BY.TAGIHAN PESAWAT KARYAWAN
TGL.20 SD 31 JULI 2022
INV.0112 TGL 26 JULI 2022
</t>
  </si>
  <si>
    <t xml:space="preserve">"BY.TAGIHAN PESAWAT KARYAWAN
TGL.31 JULI 2022
INV.0112 TGL 26 JULI 2022"
</t>
  </si>
  <si>
    <t>KSA.B051102-0322</t>
  </si>
  <si>
    <t>PT. JAYA BANGUN PERKASA</t>
  </si>
  <si>
    <t>PEMBAYARAN TAHAP I A/ PEKERJAAN MOBILISASI, HANDLING &amp; PEMASANGAN
TIANG PANCANG BETON 
INV.012 SPK.001</t>
  </si>
  <si>
    <t>KSA.B051130-0422</t>
  </si>
  <si>
    <t>PEMBAYARAN TAHAP II A/ PEKERJAAN MOBILISASI, HANDLING &amp; PEMASANGANTIANG PANCANG BETON 
INV.020 SPK.001</t>
  </si>
  <si>
    <t>KSA.B051129-0422</t>
  </si>
  <si>
    <t>PEMBAYARAN KEKURANGAN TAHAP I A/ PEKERJAAN MOBILISASI, HANDLING &amp; PEMASANGANTIANG PANCANG BETON 
INV.021 SPK.001</t>
  </si>
  <si>
    <t>KSA.B051113-0522</t>
  </si>
  <si>
    <t>PT.JAYA BANGUN PERKASA</t>
  </si>
  <si>
    <t>PEMBAYARAN TAHAP III A/ PEKERJAAN MOBILISASI, HANDLING &amp; PEMASANGAN
TIANG PANCANG BETON 
INV.024/JBP-INV-V/2022 
SPK.001/SPK/KS-PKS/MILL-HO/III/2022</t>
  </si>
  <si>
    <t>KSA.B051114-0522</t>
  </si>
  <si>
    <t>By.Tahap IV 15,32% atas Pekerjaan Mobilisasi, Handling 
dan Pemancangan Tiang Pancang Beton (Tahap I) 
INV.025/JBP-INV-V/2022 
SPK.001/SPK/KS-PKS/MILL-HO/III/2022</t>
  </si>
  <si>
    <t>KSA.B051058-0622</t>
  </si>
  <si>
    <t>By.Tahap IV 28,936% % atas Pekerjaan Mobilisasi,
Handling &amp; Pemancangan Tiang Pancang Beton (Tahap II)
INV.028/JBP-INV-VI/2022 
SPK.001/SPK/KS-PKS/MILL-HO/III/2022</t>
  </si>
  <si>
    <t>PKS.M03026-0622</t>
  </si>
  <si>
    <t>By.Tahap IV 25.156% % atas Pekerjaan Mobilisasi,
Handling &amp; Pemancangan Tiang Pancang Beton (Tahap III)
INV.031/JBP-INV-VI/2022 
SPK.001/SPK/KS-PKS/MILL-HO/III/2022</t>
  </si>
  <si>
    <t>PKS.M03026-0722</t>
  </si>
  <si>
    <t>PEMBAYARAN TAHAP IV 28.471% A/ PEKERJAAN MOBILISASI, HANDLING &amp; PEMASANGAN
TIANG PANCANG BETON (PEMBAYARAN KE-4) 
INV.033/JBP-INV-VII/2022 
SPK.001/SPK/KS-PKS/MILL-HO/III/2022</t>
  </si>
  <si>
    <t>KSA.M04072-1221</t>
  </si>
  <si>
    <t>BY.TAHAP I 95% ATAS PENGUKURAN BASE METER DAN TEST PILE
INV.069 SPK.023 BAPP.006</t>
  </si>
  <si>
    <t>KSA.M04078-0422</t>
  </si>
  <si>
    <t>PT. TRISAKTI CIIPRTA NUSANTARA</t>
  </si>
  <si>
    <t>BY THP I A/ PEKERJAAN MOBILISASI, HANDLING &amp; PEMANCANGAN TIANG 
PANCANG BETON (THP  II)
INV. TCN-INV/015/04/2022
SPK. 0095/K-Dir/E/KS/IV/2022</t>
  </si>
  <si>
    <t>PKS.B012002-0722</t>
  </si>
  <si>
    <t>PT. Trisakti Cipta Nusantara (Lebih Bayar PPN Tahap I)</t>
  </si>
  <si>
    <t>By.Tahap II  atas Pekerjaan Mobilisasi, Handling dan Pemancangan 
Tiang Pancang Beton (Tahap II) 
Inv. 018 SPK. 05
- Pokok  = 1.735.700.000 
- Retensi=    (86.785.000)
- PPN    =    181.380.650
- PPh     =    (43.696.248)</t>
  </si>
  <si>
    <t>PKS.M04062-0722</t>
  </si>
  <si>
    <t>PT.TRISAKTI CIPTA NUSANTARA</t>
  </si>
  <si>
    <t>BY.TAHAP II ATAS PEKERJAAN MOBILISASI, HANDLING &amp; PEMANCANGAN
TIANG PANCANG BETON
INV.018 SPK.005</t>
  </si>
  <si>
    <t>BY.TAHAP III ATAS PEKERJAAN MOBILISASI, HANDLING &amp; PEMANCANGAN
TIANG PANCANG BETON
INV.021 SPK.005</t>
  </si>
  <si>
    <t>PKS.M03028-0622</t>
  </si>
  <si>
    <t>PT. Jaya Bangun Perkasa</t>
  </si>
  <si>
    <t>By.Tahap I  % atas Pekerjaan Mobilisasi, Handling 
dan Pemancangan Tiang Pancang Beton (TAHAP III) 
Inv.032  SPK.013</t>
  </si>
  <si>
    <t>PKS.M03028-0522</t>
  </si>
  <si>
    <t>Via Noorhadi</t>
  </si>
  <si>
    <t>By Uang Muka 50% Tahap I Pembayaran Tower Penangkal Petir 40 Meter</t>
  </si>
  <si>
    <t>Pembayaran Tahapp II Pekerjaan Selesai,
 Pemasangan Tower Penangkal Petir PKS</t>
  </si>
  <si>
    <t>KSA.M06002-1121</t>
  </si>
  <si>
    <t>PEMAKAIAN PERSEDIAAN Nov 2021</t>
  </si>
  <si>
    <t>KSA.M04067-1121</t>
  </si>
  <si>
    <t>PT.BUANA KARYA BHAKTI</t>
  </si>
  <si>
    <t>PEMBUATAN ALAT PANCANG PKS SEI CABANG
INV. 187/BKB-VI/2021
30 JUNI 2021</t>
  </si>
  <si>
    <t>PEMBUATAN ALAT PANCANG PKS SEI CABANG
INV. 219/BKB-VII/2021
31 JULI 2021</t>
  </si>
  <si>
    <t>PEMBUATAN ALAT PANCANG PKS SEI CABANG
INV. 252/BKB-VIII/2021
31 AGUSTUS 2021</t>
  </si>
  <si>
    <t>KSA.K041102-0721</t>
  </si>
  <si>
    <t>Via A.Yasirudin</t>
  </si>
  <si>
    <t>Pembelian Hydraulic Hose Enerpac Keperluan Pabrik PKS</t>
  </si>
  <si>
    <t>PKS.M06002-0722</t>
  </si>
  <si>
    <t>0003</t>
  </si>
  <si>
    <t>PEMAKAIAN PERSEDIAAN Jul 2022</t>
  </si>
  <si>
    <t>KSA.M03026-0522</t>
  </si>
  <si>
    <t xml:space="preserve"> Invssas</t>
  </si>
  <si>
    <t>BY.TAHAP I 30% ATAS PENGADAAN PC SPUN PILE 
UNTUK PROYEK PEMBANGUNAN PABRIK KELAPA SAWIT 
INV. KU.02.02/WB-1H.0565/2021 SPK. TP.01.03/WB-1H.054/2021</t>
  </si>
  <si>
    <t>PT.WIJAYA KARYA BETON, TBK</t>
  </si>
  <si>
    <t>BY. PELUNASAN 70% ATAS PENGADAAN PC SPUN PILE 
UNTUK PROYEK PEMBANGUNAN PABRIK KELAPA SAWIT 
INV. KU.02.02/WB-1H.0042/2022 SPK. TP.01.03/WB-1H.054/2021</t>
  </si>
  <si>
    <t>KSA.M03027-0522</t>
  </si>
  <si>
    <t>PT. WIJAYA KARYA BETON, TBK</t>
  </si>
  <si>
    <t>BY. UANG MUKA 30% ATAS PENGADAAN PC SPUN PILE 
UNTUK PROYEK PEMBANGUNAN PABRIK KELAPA SAWIT 
INV. KU.02.02/WB-1H.0091/2022 
SPK. TP.01.03/WB-1H.008/2022</t>
  </si>
  <si>
    <t>BY.TAHAP PELUNASAN  70% ATAS PENGADAAN PC SPUN PILE UNTUK PROYEK PEMBANGUNAN PABRIK KELAPA SAWIT 
INV. KU.02.02/WB-1H.0152/2022 
SPK. TP.01.03/WB-1H.008/2022</t>
  </si>
  <si>
    <t>KSA.M03028-0522</t>
  </si>
  <si>
    <t>BY. PENGADAAN PC SPUN PILE UNTUK PROYEK 
PEMBANGUNAN PABRIK KELAPA SAWIT 
INV. KU.02.02/WB-1H.0134/2022 
SPK. TP.01.03/WB-1H.014/2022</t>
  </si>
  <si>
    <t>PKS.M03026-0522</t>
  </si>
  <si>
    <t>BY. UANG MUKA 30% ATAS PENGADAAN PC SPUN PILE TAHAP IV 
UNTUK PROYEK PEMBANGUNAN PABRIK KELAPA SAWIT 
INV. KU.02.02/WB-1H.0162/2022
SPK. TP.01.03/WB-1H.022/2022</t>
  </si>
  <si>
    <t>PKS.M04063-0722</t>
  </si>
  <si>
    <t>PT.WIJAYA KARYA BETON</t>
  </si>
  <si>
    <t>BY.PELUNASAN 70% PENGADAAN SPUN PILE PKS
INV.0217/2022 SPK.022/2022</t>
  </si>
  <si>
    <t>PKS.M03096-0522</t>
  </si>
  <si>
    <t>0007</t>
  </si>
  <si>
    <t>ALOKASI BIAYA TIDAK LANGSUNG PRA OPERASI PKS</t>
  </si>
  <si>
    <t>PERIODE BULAN MEI 2022</t>
  </si>
  <si>
    <t>JUMLAH</t>
  </si>
  <si>
    <t>2021</t>
  </si>
  <si>
    <t>2022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</si>
  <si>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</si>
  <si>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</si>
  <si>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</si>
  <si>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</si>
  <si>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</si>
  <si>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</si>
  <si>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</si>
  <si>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</si>
  <si>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</si>
  <si>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</si>
  <si>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</si>
  <si>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</si>
  <si>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</si>
  <si>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</si>
  <si>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</si>
  <si>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D1</t>
  </si>
  <si>
    <t>E1</t>
  </si>
  <si>
    <t>E2</t>
  </si>
  <si>
    <t>F1</t>
  </si>
  <si>
    <t>2018</t>
  </si>
  <si>
    <t>2019</t>
  </si>
  <si>
    <t>2020</t>
  </si>
  <si>
    <t>0121</t>
  </si>
  <si>
    <t>0122</t>
  </si>
  <si>
    <t>0221</t>
  </si>
  <si>
    <t>0321</t>
  </si>
  <si>
    <t>0421</t>
  </si>
  <si>
    <t>0521</t>
  </si>
  <si>
    <t>0621</t>
  </si>
  <si>
    <t>0721</t>
  </si>
  <si>
    <t>0821</t>
  </si>
  <si>
    <t>0921</t>
  </si>
  <si>
    <t>1021</t>
  </si>
  <si>
    <t>1121</t>
  </si>
  <si>
    <t>1221</t>
  </si>
  <si>
    <t>0222</t>
  </si>
  <si>
    <t>0322</t>
  </si>
  <si>
    <t>0422</t>
  </si>
  <si>
    <t>0522</t>
  </si>
  <si>
    <t>0622</t>
  </si>
  <si>
    <t>0722</t>
  </si>
  <si>
    <t>0822</t>
  </si>
  <si>
    <t>0922</t>
  </si>
  <si>
    <t>1022</t>
  </si>
  <si>
    <t>1122</t>
  </si>
  <si>
    <t>1222</t>
  </si>
  <si>
    <t>0123</t>
  </si>
  <si>
    <t>0223</t>
  </si>
  <si>
    <t>0323</t>
  </si>
  <si>
    <t>0423</t>
  </si>
  <si>
    <t>0523</t>
  </si>
  <si>
    <t>0623</t>
  </si>
  <si>
    <t>0723</t>
  </si>
  <si>
    <t>0823</t>
  </si>
  <si>
    <t>0923</t>
  </si>
  <si>
    <t>1023</t>
  </si>
  <si>
    <t>1123</t>
  </si>
  <si>
    <t>1223</t>
  </si>
  <si>
    <t>Material Lainnya</t>
  </si>
  <si>
    <t>B6</t>
  </si>
  <si>
    <t>F2</t>
  </si>
  <si>
    <t>Tower</t>
  </si>
  <si>
    <t>A7</t>
  </si>
  <si>
    <t>Konsultan Lainnya</t>
  </si>
  <si>
    <t>A8</t>
  </si>
  <si>
    <t>Perizinan HGB</t>
  </si>
  <si>
    <t>KODE</t>
  </si>
  <si>
    <t>SD INI</t>
  </si>
  <si>
    <t>CONTROL</t>
  </si>
  <si>
    <t>Progress</t>
  </si>
  <si>
    <t>PT. Geotes Regio Inti</t>
  </si>
  <si>
    <t>PKS.M04064-0822</t>
  </si>
  <si>
    <t>By. Tahap I 50% a/ Pekerjaan PDA Test Pabrik Kelapa Sawit
Inv.001 Tgl.02 Agustus 2022
SPK.020</t>
  </si>
  <si>
    <t>By. Pelunasan 50% a/ Pekerjaan PDA Test Pabrik Kelapa Sawit
Inv.002 Tgl.18 Agustus 2022
SPK.020 BAPP. 008</t>
  </si>
  <si>
    <t>PKS.M04065-0822</t>
  </si>
  <si>
    <t>CV. Teknik Perdana 
By.Tahap I DP 50% atas Pekerjaan coring 
Inv. 301-R SPK. 019</t>
  </si>
  <si>
    <t>PKS.M04068-0822</t>
  </si>
  <si>
    <t>By. THP I 50% A/ Pekerjaan Static Load Test 
Inv. 092 Tgl. 15 Agst 2022
SPK. 025</t>
  </si>
  <si>
    <t>PKS.M04067-0822</t>
  </si>
  <si>
    <t>By.Tahap II  atas  Pekerjaan Mobilisasi, Handling 
dan Pemancangan Tiang Pancang Beton (TAHAP III) 
Inv.044 SPK.013
- Pokok       = 1.596.942.350
- PPN         =    175.663.659
- Retensi  = (88.630.300)
- Pph 4 Ayat 2 = (42.318.972)</t>
  </si>
  <si>
    <t>PKS.M05155-0822</t>
  </si>
  <si>
    <t>KJPP MBPRU &amp; REKAN</t>
  </si>
  <si>
    <t>BY.TAHAP I 50% ATAS PEKERJAAN STUDI KELAYAKAN PKS
INV.0090 TGL 16 AGUSTUS 2022</t>
  </si>
  <si>
    <t>PKS.B012028-0822</t>
  </si>
  <si>
    <t>Avilla Hotel</t>
  </si>
  <si>
    <t>By.Tagihan Menginap an. Daryoto Tgl 20 s.d 30 Juli 2022  Inv. 00613,00631/AVILLA/VII/2022 Tgl 21 &amp; 30 Juli 2022</t>
  </si>
  <si>
    <t>PKS.B012029-0822</t>
  </si>
  <si>
    <t>By.Tagihan tiket pesawat an. Sugeng  Jurusan CGK-PKN (PP) Tgl 16 &amp; 18 Agustus 2022 Inv.0132 Tanggal 19 Agustus 2022</t>
  </si>
  <si>
    <t>PKS.K022009-0822</t>
  </si>
  <si>
    <t>Via. Abdul Wahab</t>
  </si>
  <si>
    <t>By. Pembelian Baut U/ Alat SLT Test</t>
  </si>
  <si>
    <t>PKS.K022014-0822</t>
  </si>
  <si>
    <t>Via. Fika Aditya Pratama</t>
  </si>
  <si>
    <t>By. Pembelian Kayu Kaso
By. Pembelian Galon 2 Ltr</t>
  </si>
  <si>
    <t>PKS.M05154-0822</t>
  </si>
  <si>
    <t>GRAND KECUBUNG HOTEL (DARYOTO)</t>
  </si>
  <si>
    <t>BY.TAGIHAN MENGINAP KARYAWAN
TGL 08 SD 09 AGT 2022
INV.02200022301 TGL 12 AGUSTUS 2022</t>
  </si>
  <si>
    <t>USAHA SEJAHTERA BERSAMA (AGUNG ALIANTO CS)</t>
  </si>
  <si>
    <t>BY.TAGIHAN TIKET KONSULTAN
TGL 27 AGT 2022
INV.0140 TGL 29 AGUSTUS 2022</t>
  </si>
  <si>
    <t>PKS.M04041-0822</t>
  </si>
  <si>
    <t>HUB. R/K KSA.M05001-0822 BY UPAH PHL AFD RAYON I UPKEEP MASA I AGUSTUS 2022</t>
  </si>
  <si>
    <t xml:space="preserve">ANGKAT MESIN PKS
</t>
  </si>
  <si>
    <t>0005</t>
  </si>
  <si>
    <t>HUB. R/K KSA.M09005-0822 RAcct @ HUB.REK KORAN - S.CABANG PKS</t>
  </si>
  <si>
    <t xml:space="preserve"> Cost fr 111902004302 MINI BUS -TOYOTA AVANZA B 2558 BZT
</t>
  </si>
  <si>
    <t xml:space="preserve"> Cost fr 111904004603 KENDARAAN AIR - KELOTOK KS-02
</t>
  </si>
  <si>
    <t xml:space="preserve"> Cost fr 111904004609 KENDARAAN AIR - KELOTOK TR-04
</t>
  </si>
  <si>
    <t xml:space="preserve"> Cost fr 111904005401 BULLDOZER B 165 YS (34-14)
(TIMBUN TAPAK WORKSHOP)
</t>
  </si>
  <si>
    <t xml:space="preserve"> Cost fr 111904005403 BULLDOZER KOMATSU D3IP (34-16)
(KUMPULKAN PASIR)
</t>
  </si>
  <si>
    <t xml:space="preserve"> Cost fr 111904005604 FARM TRACTOR - KUBOTA M9540 (FT-04)/32-05
</t>
  </si>
  <si>
    <t>HUB. R/K KSA.M05067-0822 PT. BKMS - BY.PEMAKAIAN MATERIAL PERIODE AGUSTUS 2022</t>
  </si>
  <si>
    <t xml:space="preserve">INV.429/INV-BKMS-VIII/2022 TGL 31 AGUSTUS 2022
</t>
  </si>
  <si>
    <t>PT. Kastraco Engineering</t>
  </si>
  <si>
    <t>0000</t>
  </si>
  <si>
    <t>PT. Sinergi Indo Pranata</t>
  </si>
  <si>
    <t>TGL</t>
  </si>
  <si>
    <t>COA</t>
  </si>
  <si>
    <t>REMARK</t>
  </si>
  <si>
    <t>AMOUNT</t>
  </si>
  <si>
    <t>PKS.K022002-0922</t>
  </si>
  <si>
    <t>316204001002</t>
  </si>
  <si>
    <t>Via.Fika Aditya Pratama</t>
  </si>
  <si>
    <t>By. Pembayaran Konsumsi Petugas Soil Investigasi PT.Tiyasa Total Rekayasa</t>
  </si>
  <si>
    <t>PKS.K022005-0922</t>
  </si>
  <si>
    <t>By. Pembayaran Konsumsi Kegiatan SLT Test</t>
  </si>
  <si>
    <t>PKS.K022006-0922</t>
  </si>
  <si>
    <t>DP Pembayaran Konsumsi Petugas SLT Test</t>
  </si>
  <si>
    <t>PKS.B012023-0922</t>
  </si>
  <si>
    <t>By.Tagihan tiket pesawat an. DaryotoJurusan PKN-SRG Tgl 11 September 2022 Inv.0151 Tanggal 09 September 2022</t>
  </si>
  <si>
    <t>PKS.M04061-0922</t>
  </si>
  <si>
    <t>316204005001</t>
  </si>
  <si>
    <t>GENERAL WORKS
By.Tahap II Progress 24.13% 
atas Pekerjaan Mekanikal PKS Kapasitas 45 TPH 
Inv. 399 Tgl. 050922 SPK. 014 BAPP. 09</t>
  </si>
  <si>
    <t>ENGINEERING
By.Tahap II Progress 24.13% 
atas Pekerjaan Mekanikal PKS Kapasitas 45 TPH 
Inv. 399 Tgl. 050922 SPK. 014 BAPP. 09</t>
  </si>
  <si>
    <t>316204005002</t>
  </si>
  <si>
    <t>STATION LOADING RAMP
By.Tahap II Progress 24.13% 
atas Pekerjaan Mekanikal PKS Kapasitas 45 TPH 
Inv. 399 Tgl. 050922 SPK. 014 BAPP. 09</t>
  </si>
  <si>
    <t>316204005003</t>
  </si>
  <si>
    <t>STATION STERILIZATION
By.Tahap II Progress 24.13% 
atas Pekerjaan Mekanikal PKS Kapasitas 45 TPH 
Inv. 399 Tgl. 050922 SPK. 014 BAPP. 09</t>
  </si>
  <si>
    <t>316204005004</t>
  </si>
  <si>
    <t>STATION THRESING
By.Tahap II Progress 24.13% 
atas Pekerjaan Mekanikal PKS Kapasitas 45 TPH 
Inv. 399 Tgl. 050922 SPK. 014 BAPP. 09</t>
  </si>
  <si>
    <t>316204005005</t>
  </si>
  <si>
    <t>STATION EMPTY BUNCH
By.Tahap II Progress 24.13% 
atas Pekerjaan Mekanikal PKS Kapasitas 45 TPH 
Inv. 399 Tgl. 050922 SPK. 014 BAPP. 09</t>
  </si>
  <si>
    <t>316204005012</t>
  </si>
  <si>
    <t>STATION DIGESTER &amp; PRESS
By.Tahap II Progress 24.13% 
atas Pekerjaan Mekanikal PKS Kapasitas 45 TPH 
Inv. 399 Tgl. 050922 SPK. 014 BAPP. 09</t>
  </si>
  <si>
    <t>316204005007</t>
  </si>
  <si>
    <t>STATION CLARIFICATION
By.Tahap II Progress 24.13% 
atas Pekerjaan Mekanikal PKS Kapasitas 45 TPH 
Inv. 399 Tgl. 050922 SPK. 014 BAPP. 09</t>
  </si>
  <si>
    <t>316204005006</t>
  </si>
  <si>
    <t>STATION KERNEL RECOVERY SECTION DISPERCAPING
By.Tahap II Progress 24.13% 
atas Pekerjaan Mekanikal PKS Kapasitas 45 TPH 
Inv. 399 Tgl. 050922 SPK. 014 BAPP. 09</t>
  </si>
  <si>
    <t>STATION KERNEL RECOVERY SECTION KERNEL
By.Tahap II Progress 24.13% 
atas Pekerjaan Mekanikal PKS Kapasitas 45 TPH 
Inv. 399 Tgl. 050922 SPK. 014 BAPP. 09</t>
  </si>
  <si>
    <t>316204005013</t>
  </si>
  <si>
    <t>STATION DESPATCH OIL
By.Tahap II Progress 24.13% 
atas Pekerjaan Mekanikal PKS Kapasitas 45 TPH 
Inv. 399 Tgl. 050922 SPK. 014 BAPP. 09</t>
  </si>
  <si>
    <t>PKS.M05101-0922</t>
  </si>
  <si>
    <t>SUGI WAN BERSAUDARA, CV</t>
  </si>
  <si>
    <t>BY.ANGKUT MATERIAL BESI SEB.7 TON KE SITE TGL 12 SEPT 2022
INV.001 TGL 13 SEPT 2022</t>
  </si>
  <si>
    <t>PKS.M05102-0922</t>
  </si>
  <si>
    <t>VIA AHMAD SYAIFULLAH</t>
  </si>
  <si>
    <t>BY.BURUH ANGKUT DARI GUDANG KE TRUCK TGL 12 SEPT 2022</t>
  </si>
  <si>
    <t>PKS.M04062-0922</t>
  </si>
  <si>
    <t>By.Tahap II Pelunasan atas Pekerjaan coring 
Inv. 387-R Tgl. 020922 SPK. 019 BAPP. 010</t>
  </si>
  <si>
    <t xml:space="preserve"> By Akomodasi Pekerjaan Coring Core Driling 
Untuk Keperluan Pengambilan Sampel Beton 
SPK. 019 Inv. 388 Tgl. 2 September 2022</t>
  </si>
  <si>
    <t>PKS.M04063-0922</t>
  </si>
  <si>
    <t>By. Tahap IV 28.471% a/ pekerjaan Mobilisasi , Handling &amp; Pemancangan Tiang Pancang Beton (Pembayaran 1)
Inv. 047 Tgl. 0160922 SPK.013 BAPP.011</t>
  </si>
  <si>
    <t>PKS.M05154-0922</t>
  </si>
  <si>
    <t>USAHA SEJAHTERA BERSAMA (PUTRA)</t>
  </si>
  <si>
    <t>BY.TAGIHAN TIKET PESAWAT
TGL 14 SD 19 SEPTEMBER 2022
INV.0160 TGL 26 SEPT 2022</t>
  </si>
  <si>
    <t>PKS.M05103-0922</t>
  </si>
  <si>
    <t>BY.BURUH ANGKUT BARANG DARI GUDANG KE TRUCK
TGL 22 SEPT 2022</t>
  </si>
  <si>
    <t>PKS.K022012-0922</t>
  </si>
  <si>
    <t>Via. FIka Aditya Pratama</t>
  </si>
  <si>
    <t>By. Pembelian Carbon Brush</t>
  </si>
  <si>
    <t>PKS.K022014-0922</t>
  </si>
  <si>
    <t>By. Pembelian Tali Tambang &amp; Rafia</t>
  </si>
  <si>
    <t>PKS.K022015-0922</t>
  </si>
  <si>
    <t>By. Pembelian WD-40 untuk Perbaikan Alat SLT Test</t>
  </si>
  <si>
    <t>PKS.K022016-0922</t>
  </si>
  <si>
    <t>Via. Nur Wijaya</t>
  </si>
  <si>
    <t>By. Pembelian Tabung Gas 12 Kg untuk Las Alat SLT</t>
  </si>
  <si>
    <t>PKS.K022019-0922</t>
  </si>
  <si>
    <t>By. Pembayaran Konsumsi Petugas Borlog Tgl 1 - 5 Sept 2022</t>
  </si>
  <si>
    <t>-By. Pembayaran Konsumsi Petugas SLT Test Tgl 8 - 11 Sept 2022
-By. Pembayaran Konsumsi Mekanik Perbaikan SLT Test Tgl 24 - 28 Sept 2022</t>
  </si>
  <si>
    <t>-By. Pembayaran Konsumsi Mekanik Perbaikan SLT Test Tgl 30 Sept 2022</t>
  </si>
  <si>
    <t>PKS.K022022-0922</t>
  </si>
  <si>
    <t>By. Pembayaran Hotel Petugas Core Drill</t>
  </si>
  <si>
    <t>PKS.K022027-0922</t>
  </si>
  <si>
    <t>316204002001</t>
  </si>
  <si>
    <t>By. Pembelian Kayu Kaso U/ Rumah Genset</t>
  </si>
  <si>
    <t>BY.TAGIHAN MENGINAP KARYAWAN
TGL 10, 11, 19 &amp; 20 SEPTEMBER 2022
INV.02100022417 TGL 24 SEPTEMBER 2022</t>
  </si>
  <si>
    <t>BY.DINAS LUAR AN.I KETUT S KE KUMAI &amp; JAKARTA</t>
  </si>
  <si>
    <t>PROYEK PEMBANGUNAN PKS &amp; VISIT
TGL 10, 11, 19 &amp; 20 SEPTEMBER 2022
INV.02100022417 TGL 24 SEPTEMBER 2022</t>
  </si>
  <si>
    <t>USAHA SEJAHTERA BERSAMA (NOR ABDI &amp; I KETUT S)</t>
  </si>
  <si>
    <t>BY.TAGIHAN TIKET PESAWAT
TGL 29 &amp; 30 SEPT 2022
INV.0163 TGL 30 SEPT 2022</t>
  </si>
  <si>
    <t>PKS.M04064-0922</t>
  </si>
  <si>
    <t>316204005010</t>
  </si>
  <si>
    <t>By. Tahap I DP 30% atas Pengadaan 1 Unit Boiler Water Treatment Plant RO
Inv.026 SPK.022</t>
  </si>
  <si>
    <t>PKS.M04065-0922</t>
  </si>
  <si>
    <t>By. Tahap II Pelunasan Atas pekerjaan Soil Investigation
Inv. 123 SPK.018 BAPP.013</t>
  </si>
  <si>
    <t>PKS.M04066-0922</t>
  </si>
  <si>
    <t>By. Tahap III atas Pekerjaan Mobilisasi, Handling dan Pemancangan Tiang Beton 
(Tahap III)
Inv. 048 SPK.013</t>
  </si>
  <si>
    <t>By. Tahap IV 34.428% atas Pekerjaan Mobilisasi, Handling dan Pemancangan Tiang Beton(Pembayaran ke-2)
Inv. 049 SPK.013 BAPP.012</t>
  </si>
  <si>
    <t>BY.DINAS LUAR AN.I KETUT S KE JAKARTA</t>
  </si>
  <si>
    <t>KUNJUNGAN WORKSHOP KONTRAKTOR TGL 29 SD 30 SEPT 2022</t>
  </si>
  <si>
    <t>PKS.M04041-0922</t>
  </si>
  <si>
    <t>HUB. R/K KSA.M05001-0922 BY UPAH PHL AFD RAYON I UPKEEP MASA I SEPTEMBER 2022</t>
  </si>
  <si>
    <t>ANGKUT ALAT SLT PKS</t>
  </si>
  <si>
    <t>HUB. R/K KSA.M05103-0922 KONTRAKTOR SAPRI</t>
  </si>
  <si>
    <t>"BY. ANGKUTAN MATERIAL PABRIKASI SEB.1 RIT (PKS)
PERIODE SEPTEMBER 2022
INV.300922 SPK.006 BAPP.069"</t>
  </si>
  <si>
    <t>HUB. R/K KSA.M05102-0922 KONTRAKTOR HATMAN</t>
  </si>
  <si>
    <t>"BY. ANGKUTAN MATERIAL SEB.24 TON (PKS)
PERIODE SEPTEMBER 2022
INV.300922 SPK.001 BAPP.067</t>
  </si>
  <si>
    <t>HUB. R/K KSA.M06002-0922 PEMAKAIAN PERSEDIAAN Sep 2022</t>
  </si>
  <si>
    <t>PABRIKASI PEMBANGUNAN WORKSHOP 20 X 20</t>
  </si>
  <si>
    <t>HUB. R/K KSA.M05067-0922 PT. BKMS - BY.PEMAKAIAN MATERIAL PERIODE SEPTEMBER 2022</t>
  </si>
  <si>
    <t>INV.486/INV-BKMS-IX/2022 TGL 30 SEPTEMBER 2022
PABRIKASI PEMBANGUNAN WORKSHOP 20 X 20</t>
  </si>
  <si>
    <t>HUB. R/K KSA.M09005-0922 RAcct @ HUB.REK KORAN - S.CABANG PKS</t>
  </si>
  <si>
    <t xml:space="preserve"> Cost fr 111902004201 PICK UP -SUZUKI CARRY KH 8296 GP</t>
  </si>
  <si>
    <t xml:space="preserve"> Cost fr 111902004302 MINI BUS -TOYOTA AVANZA B 2558 BZT</t>
  </si>
  <si>
    <t>316204004001</t>
  </si>
  <si>
    <t xml:space="preserve"> Cost fr 111904005401 BULLDOZER B 165 YS (34-14)
(TAPAK IMPLASEMENT)</t>
  </si>
  <si>
    <t xml:space="preserve"> Cost fr 111904005401 BULLDOZER B 165 YS (34-14)
(TIMBUN JALAN)</t>
  </si>
  <si>
    <t xml:space="preserve"> Cost fr 111904005401 BULLDOZER B 165 YS (34-14)
(TAPAK WORKSHOP)</t>
  </si>
  <si>
    <t xml:space="preserve"> Cost fr 111904005604 FARM TRACTOR - KUBOTA M9540 (FT-04)/32-05
(ANGKUT MATERIAL)</t>
  </si>
  <si>
    <t>PKS.M03096-0922</t>
  </si>
  <si>
    <t>316204003001</t>
  </si>
  <si>
    <t>PERIODE BULAN SEPTEMBER 2022</t>
  </si>
  <si>
    <t>PKS.M04076-0922</t>
  </si>
  <si>
    <t>KOREKSI NOMINAL PKS.M04063-0722 PT.WIJAYA KARYA BETON</t>
  </si>
  <si>
    <t>PKS.K022005-1022</t>
  </si>
  <si>
    <t>By. Konsumsi Petugas Perbaikan Alat SLT Test</t>
  </si>
  <si>
    <t>PKS.B012025-1022</t>
  </si>
  <si>
    <t>By.Pelunasan atas Pekerjaan Studi KelayakanPembangunan Pabrik Kelapa Sawit PT Kumai SentosaInv.0118, Tgl 03 Oktober 2022</t>
  </si>
  <si>
    <t>PKS.K022010-1022</t>
  </si>
  <si>
    <t>By. Pembelian Bor Drill u/ Perbaikan SLT Test</t>
  </si>
  <si>
    <t>PKS.K022017-1022</t>
  </si>
  <si>
    <t>By. Pembelian Konsumsi Lembur Petugas Perbaikan SLT Test</t>
  </si>
  <si>
    <t>PKS.K022024-1022</t>
  </si>
  <si>
    <t>By. Konsumsi u/ Petugas Perbaikan SLT Test</t>
  </si>
  <si>
    <t>PKS.K022031-1022</t>
  </si>
  <si>
    <t>By. Pembelian Potensio U/ Perbaikan Genset</t>
  </si>
  <si>
    <t>PKS.K022032-1022</t>
  </si>
  <si>
    <t>By. Pembelian Mata Potong U/ Perbaikan SLT Test</t>
  </si>
  <si>
    <t>PKS.K022037-1022</t>
  </si>
  <si>
    <t>By. Pembelian Matabor u/ Perbaikan SLT Test</t>
  </si>
  <si>
    <t>PKS.K022038-1022</t>
  </si>
  <si>
    <t>By. Pembelian Baut dan Ring u/ Perbaikan SLT Test</t>
  </si>
  <si>
    <t>PKS.K022041-1022</t>
  </si>
  <si>
    <t>By. Pembelian Filter Genset</t>
  </si>
  <si>
    <t>PKS.B012030-1022</t>
  </si>
  <si>
    <t>PT. Wijaya Karya Beton, Tbk</t>
  </si>
  <si>
    <t>By. Uang Muka 30% atas Pengadaan Slab Precastuntuk Proyek Pembangunan Pabrik Kelapa Sawit Inv. KU.02.02/WB-1H.0340/2022 Tgl. 061022SPK. 030</t>
  </si>
  <si>
    <t>PKS.K022048-1022</t>
  </si>
  <si>
    <t>By.Konsumsi Pengawas Proyek Pembangunan Dermaga PKS</t>
  </si>
  <si>
    <t>PKS.K022049-1022</t>
  </si>
  <si>
    <t>By. Konsumsi Pengawas Proyek Pembangunan Dermaga PKS</t>
  </si>
  <si>
    <t>PKS.K022053-1022</t>
  </si>
  <si>
    <t>By. Pembelian Terpal  U/ Gudang</t>
  </si>
  <si>
    <t>PKS.M04061-1022</t>
  </si>
  <si>
    <t>PT.Wijaya Karya Beton, Tbk</t>
  </si>
  <si>
    <t>By.Uang Muka 30% atas Pengadaan PC Spun Pile 
untuk Proyek Pembangunan Pabrik Kelapa Sawit (Pesanan Tahap 5)
Inv. KU.02.02/WB-1H.0322/2022 SPK. 029</t>
  </si>
  <si>
    <t>PKS.M04062-1022</t>
  </si>
  <si>
    <t>316204006001</t>
  </si>
  <si>
    <t>By.Uang Muka 30% atas Pengadaan Tiang Listrik Beton (DPC)
Untuk proyek Pembangunan Pabrik Kelapa Sawit 
Inv. KU.02.02/WB-1H.0323/2022 SPK. 026</t>
  </si>
  <si>
    <t>PKS.M04063-1022</t>
  </si>
  <si>
    <t>Pembayaran Tahap II (Progress 1- Titik Pertama)
atas pekerjaan static Load Test
Inv. 140 SPK. 025 BAPP. 019</t>
  </si>
  <si>
    <t>PKS.M04064-1022</t>
  </si>
  <si>
    <t>By. Tahap IV 33.503% atas Pekerjaan Mobilisasi, Handling dan Pemancangan Tiang Beton 
(Tahap III)
Inv. 054 SPK.013 BAPP.017</t>
  </si>
  <si>
    <t>PKS.M05154-1022</t>
  </si>
  <si>
    <t>BY.TAGIHAN TIKET PESAWAT &amp; HOTEL
TGL 24 SD 30 OKT 2022
INV.0175 TGL 31 OKTOBER 2022</t>
  </si>
  <si>
    <t>PKS.M04065-1022</t>
  </si>
  <si>
    <t>PT. Trisakti Cipta Nusantara</t>
  </si>
  <si>
    <t>By.Tahap IV 98.5152% atas Pekerjaan Mobilisasi,
Handling dan Pemancangan Tiang Pancang Beton (Tahap II)
Inv. 027 SPK. 05 BAPP. 16
(termasuk Potongan = 140.000.000)</t>
  </si>
  <si>
    <t>KEKURANGAN MEMO
By.Tahap II atas Pekerjaan Mobilisasi,
Handling dan Pemancangan Tiang Pancang Beton (Tahap II)
Inv. 018 SPK. 05</t>
  </si>
  <si>
    <t>PKS.M04067-1022</t>
  </si>
  <si>
    <t>PT.FASS FOREST DEVELOPMENT</t>
  </si>
  <si>
    <t>PEMBELIAN 1 SET AKSESORIS &amp; MESIN PABRIK ST.KLARIFIKASI
INV. 220/FFD-INV/L09/X/2022
SPK.0248/SPK-Dir/I/FFD/X/2022</t>
  </si>
  <si>
    <t>PKS.M04066-1022</t>
  </si>
  <si>
    <t>Bt. Tahap II&amp;II 40.7477% atas FATSiap Kirim &amp; Material Onsite 
Pekrajaan Design &amp; Build Elektrikal PKS
SPK.017 Inv. 01425010022 BAPP.020</t>
  </si>
  <si>
    <t>PKS.M04068-1022</t>
  </si>
  <si>
    <t>PT. BUANA KARYA BHAKTI</t>
  </si>
  <si>
    <t>PEMBELIAN 1 SET MESIN &amp; AKSESORIS PABRIK ST.KLARIFIKASI
INV.194/INV-BKB/X/2022
SPK.1146/MI-PURCH/I/BKB/XI/2022</t>
  </si>
  <si>
    <t>PKS.M06002-1022</t>
  </si>
  <si>
    <t>PEMAKAIAN PERSEDIAAN Oct 2022</t>
  </si>
  <si>
    <t>PKS.M05002-1022</t>
  </si>
  <si>
    <t>Gaji Karyawan Penempatan Sementara Perbaikan SLT</t>
  </si>
  <si>
    <t>BY.TAGIOHAN MENGINAP KARYAWAN TGL 24 SD 25 OKTOBER 2022
INV.02200022488 TGL 29 OKT 2022</t>
  </si>
  <si>
    <t>PKS.M04041-1022</t>
  </si>
  <si>
    <t>HUB. R/K KSA.K011105-1022 Via Andri Yansyah</t>
  </si>
  <si>
    <t>Biaya Penginapan Truk Puso Pembawa Mesin Genset</t>
  </si>
  <si>
    <t>HUB. R/K KSA.K011106-1022 Via Andri Yansyah</t>
  </si>
  <si>
    <t>By Sewa Dermaga Untuk Pembongkaran Crane ( Pelabuhan Dewa mabuk )</t>
  </si>
  <si>
    <t>HUB. R/K KSA.K011112-1022 Via Andri Yansyah</t>
  </si>
  <si>
    <t>Biaya Sewa Crane Pembongkaran Mesin Genset</t>
  </si>
  <si>
    <t>HUB. R/K KSA.B051116-1022 DWD Hotel Syariah</t>
  </si>
  <si>
    <t>By.Tagihan Menginap an. Nor Abdi CS Tgl 20 s.d 21 Oktober 2022  Inv. 348,347,352,351/XXII/DWD/INV/2022 Tgl 21,22 Oktober 2022</t>
  </si>
  <si>
    <t>HUB. R/K KSA.M09005-1022 RAcct @ HUB.REK KORAN - S.CABANG PKS</t>
  </si>
  <si>
    <t xml:space="preserve"> Cost fr 111904005333 EXCAVATOR HITACHI ZX210F-5G (33-37)
(ESTAFET PASIR &amp; TIMBUN TAPAK PERUMAHAN)</t>
  </si>
  <si>
    <t>0006</t>
  </si>
  <si>
    <t xml:space="preserve"> Cost fr 111904005333 EXCAVATOR HITACHI ZX210F-5G (33-37)
(TIMBUN TAPAK JALAN PKS)</t>
  </si>
  <si>
    <t>316204005011</t>
  </si>
  <si>
    <t>HUB. R/K KSA.M04077-1022 REKLAS HUB. R/K KSA.M04077-0422 PT. PRIMA JAYA ENGINEERING</t>
  </si>
  <si>
    <t>PEMBYAYARAN THP I 25% A/ PENGADAAN POME WATER TREATMENT PLANT
U/ PKS SUNGAI CABANG
INV. O-60968270-R1
SPK.004/SPK/KS-PKS/MILL-HO/IV/2022</t>
  </si>
  <si>
    <t>PKS.M03076-1022</t>
  </si>
  <si>
    <t>RECLASS PKS.K022002-0922 SEPTEMBER 2022</t>
  </si>
  <si>
    <t>Via.Fika Aditya Pratama
By. Pembayaran Konsumsi Petugas Soil Investigasi PT.Tiyasa Total Rekayasa</t>
  </si>
  <si>
    <t>PKS.M03096-1022</t>
  </si>
  <si>
    <t>PERIODE BULAN OKTOBER 2022</t>
  </si>
  <si>
    <t>PKS.M04069-1022</t>
  </si>
  <si>
    <t>PT.ARINA KARYA SENTOSA</t>
  </si>
  <si>
    <t>GENERAL WORKS
By.Tahap II Progress 10.42% 
atas Pekerjaan Mekanikal PKS Kapasitas 45 TPH 
Inv. 282 Tgl. 031022 SPK. 014 BAPP. 014</t>
  </si>
  <si>
    <t>STEERILLIZER
By.Tahap II Progress 10.42% 
atas Pekerjaan Mekanikal PKS Kapasitas 45 TPH 
Inv. 282 Tgl. 031022 SPK. 014 BAPP. 014</t>
  </si>
  <si>
    <t>THRESER
By.Tahap II Progress 10.42% 
atas Pekerjaan Mekanikal PKS Kapasitas 45 TPH 
Inv. 282 Tgl. 031022 SPK. 014 BAPP. 014</t>
  </si>
  <si>
    <t>EMPTY BUNCH
By.Tahap II Progress 10.42% 
atas Pekerjaan Mekanikal PKS Kapasitas 45 TPH 
Inv. 282 Tgl. 031022 SPK. 014 BAPP. 014</t>
  </si>
  <si>
    <t>DIEGESTER &amp; PRESS
By.Tahap II Progress 10.42% 
atas Pekerjaan Mekanikal PKS Kapasitas 45 TPH 
Inv. 282 Tgl. 031022 SPK. 014 BAPP. 014</t>
  </si>
  <si>
    <t>CLARIFICATION
By.Tahap II Progress 10.42% 
atas Pekerjaan Mekanikal PKS Kapasitas 45 TPH 
Inv. 282 Tgl. 031022 SPK. 014 BAPP. 014</t>
  </si>
  <si>
    <t>NUT &amp; KERNEL
By.Tahap II Progress 10.42% 
atas Pekerjaan Mekanikal PKS Kapasitas 45 TPH 
Inv. 282 Tgl. 031022 SPK. 014 BAPP. 014</t>
  </si>
  <si>
    <t>WATER TREATMENT PLANT
By.Tahap II Progress 10.42% 
atas Pekerjaan Mekanikal PKS Kapasitas 45 TPH 
Inv. 282 Tgl. 031022 SPK. 014 BAPP. 014</t>
  </si>
  <si>
    <t>DESPATCH OIL
By.Tahap II Progress 10.42% 
atas Pekerjaan Mekanikal PKS Kapasitas 45 TPH 
Inv. 282 Tgl. 031022 SPK. 014 BAPP. 014</t>
  </si>
  <si>
    <t>CV.Apung Hotspot</t>
  </si>
  <si>
    <t>PKS.M03096-0622</t>
  </si>
  <si>
    <t>PERIODE BULAN JUNI 2022</t>
  </si>
  <si>
    <t>PKS.M03096-0722</t>
  </si>
  <si>
    <t>PKS.M03096-0822</t>
  </si>
  <si>
    <t>PKS.K022009-0622</t>
  </si>
  <si>
    <t>By. Pembelian Karung U/ Batu Split</t>
  </si>
  <si>
    <t>PKS.K022011-0622</t>
  </si>
  <si>
    <t>By. Pembelian Semen U/ Rumah Genset</t>
  </si>
  <si>
    <t>PKS.K022012-0622</t>
  </si>
  <si>
    <t>By. Pembelian Material U/ Rumah Genset</t>
  </si>
  <si>
    <t>PKS.K022018-0622</t>
  </si>
  <si>
    <t>By. Pembelian Baut U/ Knalpot Genset</t>
  </si>
  <si>
    <t>PKS.M05156-0622</t>
  </si>
  <si>
    <t>KOREKSI MEMO PKS.K022002-0522 FLINE 1</t>
  </si>
  <si>
    <t>HUB. R/K KSA.M05018-0622 BY UPAH PHL AFD NURSERY MASA II JUNI 2022</t>
  </si>
  <si>
    <t xml:space="preserve">PEMASANGAN DINDING GENSET PKS
</t>
  </si>
  <si>
    <t>HUB. R/K KSA.M05011-0622 BY UPAH PHL AFD RAYON I UPKEEP MASA II JUNI 2022</t>
  </si>
  <si>
    <t xml:space="preserve">LANGSIR MATERIAL PKS
</t>
  </si>
  <si>
    <t>HUB. R/K KSA.M09005-0622 RAcct @ HUB.REK KORAN - S.CABANG PKS</t>
  </si>
  <si>
    <t xml:space="preserve"> Cost fr 111904005602 FARM TRACTOR - KUBOTA M9540 (FT-02)/32-03
</t>
  </si>
  <si>
    <t xml:space="preserve"> Cost fr 111904005602 FARM TRACTOR - KUBOTA M9540 (FT-02)/32-04
</t>
  </si>
  <si>
    <t xml:space="preserve"> Cost fr 111904005602 FARM TRACTOR - KUBOTA M9540 (FT-02)/32-05
</t>
  </si>
  <si>
    <t>HUB. R/K KSA.M05008-0722 BY UPAH PHL AFD NURSERY MASA I JULI 2022</t>
  </si>
  <si>
    <t xml:space="preserve">PEMASANGAN ATAP GENSET PKS
</t>
  </si>
  <si>
    <t>PKS.K022010-0822</t>
  </si>
  <si>
    <t>By. Pembelian Grendel Pintu &amp; Gembok</t>
  </si>
  <si>
    <t>PKS.K022015-0822</t>
  </si>
  <si>
    <t>bY. Pembelian Instalasi Penerangan Rumah Genset</t>
  </si>
  <si>
    <t>HUB. R/K KSA.M09005-0722 RAcct @ HUB.REK KORAN - S.CABANG PKS</t>
  </si>
  <si>
    <t xml:space="preserve"> Cost fr 111904005403 BULLDOZER KOMATSU D3IP (34-16)
</t>
  </si>
  <si>
    <t>HUB. R/K KSA.M03103-0722 REKLAS PEMBAYARAN DIMUKA INFRASTRUKTUR - BANJARMASIN</t>
  </si>
  <si>
    <t>ADK - PERUMAHAN PKS</t>
  </si>
  <si>
    <t>HUB. R/K KSA.M09005-0722 RAcct @ PEMBAYARAN DIMUKA INFRASTRUKTUR</t>
  </si>
  <si>
    <t xml:space="preserve"> Cost fr 111904005403 BULLDOZER KOMATSU D3IP (34-16)</t>
  </si>
  <si>
    <t xml:space="preserve"> Cost fr 111904005101 BACKHOE LOADER CAT 416 F2 (36-08)
(TAPAK PERUMAHAN)</t>
  </si>
  <si>
    <t>BTL</t>
  </si>
  <si>
    <t>BIAYA TIDAK LANGSUNG PKS</t>
  </si>
  <si>
    <t>PKS.K022015-1122</t>
  </si>
  <si>
    <t>By. Pembelian Sarung Tangan U/ Perbaikan SLT</t>
  </si>
  <si>
    <t>PKS.K022017-1122</t>
  </si>
  <si>
    <t>By. Pembelian Tabung LPG 12kg U/ Perbaikan SLT</t>
  </si>
  <si>
    <t>PKS.B012022-1122</t>
  </si>
  <si>
    <t>Usaha Sejahtera Bersama (Daryoto &amp; Putra)</t>
  </si>
  <si>
    <t>By.Tagihan tiket pesawat &amp; Hotel an. Herry Munazar CSJurusan BDJ-SUB, SUB-BDJ, SRG-PKN Tgl 04 s.d 07 November 2022 Inv.0182 Tanggal 08 November 2022</t>
  </si>
  <si>
    <t>PKS.K022031-1122</t>
  </si>
  <si>
    <t>By. Pembelian Konsumsi U/ Petugas Perbaikan SLT</t>
  </si>
  <si>
    <t>PKS.K012003-1122</t>
  </si>
  <si>
    <t>Via Intan Nurhaliza Irmanto</t>
  </si>
  <si>
    <t>By. Pengujian Sampel Beton di Politeknik Negeri BanjarmasinTgl. 16 November 2022</t>
  </si>
  <si>
    <t>PKS.K022034-1122</t>
  </si>
  <si>
    <t>By. Pembelian Tabung Oksigen U/ Keperluan SLT</t>
  </si>
  <si>
    <t>PKS.K022036-1122</t>
  </si>
  <si>
    <t>Via. Yusuf Sugiarto</t>
  </si>
  <si>
    <t>By. Pembelian Bensin, Oli Genset dan Tali Rafia U/ SLT Test</t>
  </si>
  <si>
    <t>PKS.K022037-1122</t>
  </si>
  <si>
    <t>By. Pembelian Bensin U/ Pengoperasian SLT</t>
  </si>
  <si>
    <t>PKS.K022041-1122</t>
  </si>
  <si>
    <t>PKS.K022043-1122</t>
  </si>
  <si>
    <t>By.Pembelian Air Mineral Botol Besar dan Kecil U/ Petugas Perbaikan SLT</t>
  </si>
  <si>
    <t>PKS.K022044-1122</t>
  </si>
  <si>
    <t>By. Pembelian Konsumsi U/ Petugas Operator SLT Test</t>
  </si>
  <si>
    <t>PKS.K022045-1122</t>
  </si>
  <si>
    <t>By. Pembelian BBM U/ Transport Petugas SLT</t>
  </si>
  <si>
    <t>PKS.K022047-1122</t>
  </si>
  <si>
    <t>Via.Yusuf Sugiarto</t>
  </si>
  <si>
    <t>By.Pemmbelian Konsumsi U/ Petugas SLT</t>
  </si>
  <si>
    <t>PKS.K022050-1122</t>
  </si>
  <si>
    <t>By.Pembelian BBM U/ Transport Petugas SLT</t>
  </si>
  <si>
    <t>PKS.K022051-1122</t>
  </si>
  <si>
    <t>By.Pembelian Konsumsi U/ Petugas Operator SLT</t>
  </si>
  <si>
    <t>PKS.B012029-1122</t>
  </si>
  <si>
    <t>By.Tagihan Menginap an. Daryoto Tgl 07 s.d 08 November 2022  Inv. 02200022523 Tgl 16 November 2022</t>
  </si>
  <si>
    <t>PKS.K022054-1122</t>
  </si>
  <si>
    <t>Via. Fika Aditya P</t>
  </si>
  <si>
    <t>By. Pembelian Matabor Beton 12mm U/ Pengeboran Tiang Pancang SLT</t>
  </si>
  <si>
    <t>PKS.K022055-1122</t>
  </si>
  <si>
    <t>By. Pembelian Matabor Beton Panjang U/ Pengeboran Tiang Pancang SLT Test</t>
  </si>
  <si>
    <t>PKS.K022056-1122</t>
  </si>
  <si>
    <t>By.Pembelian Mur dan Baut U/ Perbaikan SLT</t>
  </si>
  <si>
    <t>PKS.M04062-1122</t>
  </si>
  <si>
    <t>By.Pelunasan 70% atas Pengadaan Tiang Listrik Beton (DPC)
Untuk proyek Pembangunan Pabrik Kelapa Sawit 
Inv. KU.02.02/WB-1H.0365/2022 SPK. 026</t>
  </si>
  <si>
    <t>PKS.M04061-1122</t>
  </si>
  <si>
    <t>By.Pelunasan 70% atas Pengadaan PC Spun Pile 
untuk Proyek Pembangunan Pabrik Kelapa Sawit (Pesanan Tahap 5)
Inv. KU.02.02/WB-1H.0364/2022 SPK. 029</t>
  </si>
  <si>
    <t>PKS.M04063-1122</t>
  </si>
  <si>
    <t>PEMBAYARAN TAHAP I A/ PEKERJAAN MOBILISASI, HANDLING &amp; PEMASANGAN
TIANG PANCANG BETON (TAHAP IV)
INV.057 SPK.032</t>
  </si>
  <si>
    <t>PKS.M04064-1122</t>
  </si>
  <si>
    <t>TRIROYAL TIMURRAYA</t>
  </si>
  <si>
    <t xml:space="preserve">BY.TAHAP II 24.419% ATAS PEKERJAAN 
DESIGN &amp; BUILD MAIN BUILDING PKS
INV.155 SPK.016 BAPP.021
</t>
  </si>
  <si>
    <t>PKS.M04069-1122</t>
  </si>
  <si>
    <t>GENERAL WORKS
By.Tahap II Progress 6.69% 
atas Pekerjaan Mekanikal PKS Kapasitas 45 TPH 
Inv. 291 Tgl. 091122 SPK. 014 BAPP. 024</t>
  </si>
  <si>
    <t>ST.STRERILIZER
By.Tahap II Progress 6.69% 
atas Pekerjaan Mekanikal PKS Kapasitas 45 TPH 
Inv. 291 Tgl. 091122 SPK. 014 BAPP. 024</t>
  </si>
  <si>
    <t>ST.THRESING
By.Tahap II Progress 6.69% 
atas Pekerjaan Mekanikal PKS Kapasitas 45 TPH 
Inv. 291 Tgl. 091122 SPK. 014 BAPP. 024</t>
  </si>
  <si>
    <t>ST.PRESS
By.Tahap II Progress 6.69% 
atas Pekerjaan Mekanikal PKS Kapasitas 45 TPH 
Inv. 291 Tgl. 091122 SPK. 014 BAPP. 024</t>
  </si>
  <si>
    <t>ST. NUT &amp; KERNEL
By.Tahap II Progress 6.69% 
atas Pekerjaan Mekanikal PKS Kapasitas 45 TPH 
Inv. 291 Tgl. 091122 SPK. 014 BAPP. 024</t>
  </si>
  <si>
    <t>316204005009</t>
  </si>
  <si>
    <t>ST. BOILER
By.Tahap II Progress 6.69% 
atas Pekerjaan Mekanikal PKS Kapasitas 45 TPH 
Inv. 291 Tgl. 091122 SPK. 014 BAPP. 024</t>
  </si>
  <si>
    <t>316204005008</t>
  </si>
  <si>
    <t>ST. POWER HOUSE
By.Tahap II Progress 6.69% 
atas Pekerjaan Mekanikal PKS Kapasitas 45 TPH 
Inv. 291 Tgl. 091122 SPK. 014 BAPP. 024</t>
  </si>
  <si>
    <t>ST DESPATCH OIL
By.Tahap II Progress 6.69% 
atas Pekerjaan Mekanikal PKS Kapasitas 45 TPH 
Inv. 291 Tgl. 091122 SPK. 014 BAPP. 024</t>
  </si>
  <si>
    <t>ST. WTP
By.Tahap II Progress 6.69% 
atas Pekerjaan Mekanikal PKS Kapasitas 45 TPH 
Inv. 291 Tgl. 091122 SPK. 014 BAPP. 024</t>
  </si>
  <si>
    <t>PKS.M04065-1122</t>
  </si>
  <si>
    <t>BY. PELUNASAN 70% PENGADAAN SLAB PRECAST U/ PROYEK PEMBANGUNAN
PABRIK KELAPA SAWIT
INV.KU.02.02/WB-1H.0411/2022
SPK.030</t>
  </si>
  <si>
    <t>PKS.M04066-1122</t>
  </si>
  <si>
    <t>BY. TAHAP II ATAS PEKERJAAN MOBILISASI, HANDLING DAN PEMANCANGAN TIANG PANCANG BETON (TAHAP IV)
INV.063 SPK.032</t>
  </si>
  <si>
    <t>BY. TAHAP III ATAS PEKERJAAN MOBILISASI, HANDLING DAN PEMANCANGAN TIANG PANCANG BETON (TAHAP IV)
INV.064 SPK.032</t>
  </si>
  <si>
    <t>PKS.M04067-1122</t>
  </si>
  <si>
    <t>PT. GEOTEST REGIO INTI</t>
  </si>
  <si>
    <t>PT. Geotes Regio Inti
By.Tahap III - Pelunasan (Selesai Titik Kedua) 
atas Pekerjaan Stastic Load Test 
Inv. 170 Tgl. 251122 SPK. 025 BAPP. 26</t>
  </si>
  <si>
    <t>PKS.M06002-1122</t>
  </si>
  <si>
    <t>PEMAKAIAN PERSEDIAAN Nov 2022</t>
  </si>
  <si>
    <t>PKS.M04041-1122</t>
  </si>
  <si>
    <t>HUB. R/K KSA.M09005-1122 RAcct @ HUB.REK KORAN - S.CABANG PKS</t>
  </si>
  <si>
    <t xml:space="preserve"> Cost fr 111904005333 EXCAVATOR HITACHI ZX210F-5G (33-37)
(ESTAFET PASIR)
</t>
  </si>
  <si>
    <t xml:space="preserve"> Cost fr 111904005401 BULLDOZER B 165 YS (34-14)
(ESTAFET PASIR)
</t>
  </si>
  <si>
    <t>PKS.M03096-1122</t>
  </si>
  <si>
    <t>PERIODE BULAN NOVEMBER 2022</t>
  </si>
  <si>
    <t>BLN</t>
  </si>
  <si>
    <t>BUDGET RKP</t>
  </si>
  <si>
    <t>VI</t>
  </si>
  <si>
    <t>PKS.B012014-1222</t>
  </si>
  <si>
    <t>By.Tagihan tiket pesawat an. Daryoto Jurusan BDJ-PKN Tgl 07 Desember 2022 Inv.0204 Tanggal 09 Desember 2022</t>
  </si>
  <si>
    <t>PKS.K022025-1222</t>
  </si>
  <si>
    <t>By. Pembelian Oksigen u/ Keperluan Proyek</t>
  </si>
  <si>
    <t>PKS.K022028-1222</t>
  </si>
  <si>
    <t>By. Pembelian Plang Safety, Plang Evakuasi dan Banner</t>
  </si>
  <si>
    <t>PKS.M04066-1222</t>
  </si>
  <si>
    <t>BY. TAHAP IV 27.751% ATAS PEKERJAAN MOBILISASI, HANDLING DAN PEMANCANGAN TIANG PANCANG BETON (TAHAP IV)
INV.065 SPK.032 BAPP.27</t>
  </si>
  <si>
    <t>PKS.M04067-1222</t>
  </si>
  <si>
    <t>PEMBAYARAN TAHAP IV 3.781% A/ PEKERJAAN MOBILISASI, HANDLING &amp; PEMASANGAN TIANG PANCANG BETON (TAHAP III)
INV.068 SPK.013 BAPP.28</t>
  </si>
  <si>
    <t>PKS.M04068-1222</t>
  </si>
  <si>
    <t>BY TAHAP PROGRESS KE 1 (6.022%) ATAS PEKERJAAN BETON BERTULANG PKS
INV.069 SPK.015 BAPP. 029</t>
  </si>
  <si>
    <t>PKS.M04069-1222</t>
  </si>
  <si>
    <t>BY. TAHAP IV 35,461% ATAS PEKERJAAN MOBILISASI, HANDLING DAN PEMANCANGAN TIANG PANCANG BETON (TAHAP IV)
INV.070 SPK.032 BAPP.030</t>
  </si>
  <si>
    <t>PKS.M04070-1222</t>
  </si>
  <si>
    <t>BY TAHAP II MATERIAL ON SITE (25%) ATAS PEKERJAAN BETON BERTULANG PKS
INV.071 SPK.015 BAPP. 031</t>
  </si>
  <si>
    <t>PKS.M04065-1222</t>
  </si>
  <si>
    <t>PT. TRIROYAL TIMURRAYA</t>
  </si>
  <si>
    <t>BY. TAHAP II 22.329% ATAS PEKERJAAN DESIGN &amp; BUILD MAIN BUILDING PKS
INV. 186 SPK.016 BAPP.032</t>
  </si>
  <si>
    <t>PKS.M05156-1222</t>
  </si>
  <si>
    <t>GRAND KECUBUNG HOTEL</t>
  </si>
  <si>
    <t>BY.TAGIHAN MENGINAP KARYAWAN
TGL 07 SD 08 DESEMBER 2022
INV.02200022603 TGL 20 DESEMBER 2022</t>
  </si>
  <si>
    <t>PKS.M04061-1222</t>
  </si>
  <si>
    <t>PT. ARINA KARYA SENTOSA</t>
  </si>
  <si>
    <t>GENERAL WORKS
By.Tahap II Progress 1.40% 
atas Pekerjaan Mekanikal PKS Kapasitas 45 TPH 
Inv. 717 Tgl. 20122022 SPK. 014 BAPP. 033</t>
  </si>
  <si>
    <t>ENGINEERING
By.Tahap II Progress 1.40% 
atas Pekerjaan Mekanikal PKS Kapasitas 45 TPH 
Inv. 717 Tgl. 20122022 SPK. 014 BAPP. 033</t>
  </si>
  <si>
    <t>THRESING
By.Tahap II Progress 1.40% 
atas Pekerjaan Mekanikal PKS Kapasitas 45 TPH 
Inv. 717 Tgl. 20122022 SPK. 014 BAPP. 033</t>
  </si>
  <si>
    <t>EMPTY BUNCH
By.Tahap II Progress 1.40% 
atas Pekerjaan Mekanikal PKS Kapasitas 45 TPH 
Inv. 717 Tgl. 20122022 SPK. 014 BAPP. 033</t>
  </si>
  <si>
    <t>DIEGESTER &amp; PRESS
By.Tahap II Progress 1.40% 
atas Pekerjaan Mekanikal PKS Kapasitas 45 TPH 
Inv. 717 Tgl. 20122022 SPK. 014 BAPP. 033</t>
  </si>
  <si>
    <t>KLARIFIKASI
By.Tahap II Progress 1.40% 
atas Pekerjaan Mekanikal PKS Kapasitas 45 TPH 
Inv. 717 Tgl. 20122022 SPK. 014 BAPP. 033</t>
  </si>
  <si>
    <t>NUT &amp; KERNEL
By.Tahap II Progress 1.40% 
atas Pekerjaan Mekanikal PKS Kapasitas 45 TPH 
Inv. 717 Tgl. 20122022 SPK. 014 BAPP. 033</t>
  </si>
  <si>
    <t>BOILER
By.Tahap II Progress 1.40% 
atas Pekerjaan Mekanikal PKS Kapasitas 45 TPH 
Inv. 717 Tgl. 20122022 SPK. 014 BAPP. 033</t>
  </si>
  <si>
    <t>PWER HOUSE
By.Tahap II Progress 1.40% 
atas Pekerjaan Mekanikal PKS Kapasitas 45 TPH 
Inv. 717 Tgl. 20122022 SPK. 014 BAPP. 033</t>
  </si>
  <si>
    <t>DESPATCH OIL
By.Tahap II Progress 1.40% 
atas Pekerjaan Mekanikal PKS Kapasitas 45 TPH 
Inv. 717 Tgl. 20122022 SPK. 014 BAPP. 033</t>
  </si>
  <si>
    <t>WATER TREATMENT PLANT
By.Tahap II Progress 1.40% 
atas Pekerjaan Mekanikal PKS Kapasitas 45 TPH 
Inv. 717 Tgl. 20122022 SPK. 014 BAPP. 033</t>
  </si>
  <si>
    <t>PKS.M04062-1222</t>
  </si>
  <si>
    <t>GENERAL WORKS
By.Tahap II Progress 5.33% 
atas Pekerjaan Mekanikal PKS Kapasitas 45 TPH 
Inv. 718 Tgl. 02012023 SPK. 014 BAPP. 001</t>
  </si>
  <si>
    <t>CLARIFICATION
By.Tahap II Progress 5.33% 
atas Pekerjaan Mekanikal PKS Kapasitas 45 TPH 
Inv. 718 Tgl. 02012023 SPK. 014 BAPP. 001</t>
  </si>
  <si>
    <t>BOILER
By.Tahap II Progress 5.33% 
atas Pekerjaan Mekanikal PKS Kapasitas 45 TPH 
Inv. 718 Tgl. 02012023 SPK. 014 BAPP. 001</t>
  </si>
  <si>
    <t>PIPPING WORKS
By.Tahap II Progress 5.33% 
atas Pekerjaan Mekanikal PKS Kapasitas 45 TPH 
Inv. 718 Tgl. 02012023 SPK. 014 BAPP. 001</t>
  </si>
  <si>
    <t>FIRE FIGHTING EQUIPMENT
By.Tahap II Progress 5.33% 
atas Pekerjaan Mekanikal PKS Kapasitas 45 TPH 
Inv. 718 Tgl. 02012023 SPK. 014 BAPP. 001</t>
  </si>
  <si>
    <t>PIGGING SYSTEM
By.Tahap II Progress 5.33% 
atas Pekerjaan Mekanikal PKS Kapasitas 45 TPH 
Inv. 718 Tgl. 02012023 SPK. 014 BAPP. 001</t>
  </si>
  <si>
    <t>PKS.M04063-1222</t>
  </si>
  <si>
    <t>PT. PRIMA JAYA ENGINEERING</t>
  </si>
  <si>
    <t>PT. Prima Jaya Engineering 
By.Pembayaran 50% dari Tahap II 20%(Mesin Import Tiba di Jakarta) 
atas Pengadaan POME Water Treatment Plant  
Inv. i-12220005 Tgl. 301222 SPK. 04 
-Pokok = 1.850.000.000
-PPN    =   203.500.000</t>
  </si>
  <si>
    <t>PKS.M06002-1222</t>
  </si>
  <si>
    <t>PEMAKAIAN PERSEDIAAN Dec 2022</t>
  </si>
  <si>
    <t>PKS.M04041-1222</t>
  </si>
  <si>
    <t>HUB. R/K KSA.M05018-1222 BY UPAH PHL AFD NURSERY I MASA II DESEMBER 2022</t>
  </si>
  <si>
    <t xml:space="preserve">PEMBUATAN RUMAH GENSET PKS
</t>
  </si>
  <si>
    <t>HUB. R/K KSA.M09005-1222 RAcct @ HUB.REK KORAN - S.CABANG PKS</t>
  </si>
  <si>
    <t xml:space="preserve"> Cost fr 111902004201 PICK UP -SUZUKI CARRY KH 8296 GP
</t>
  </si>
  <si>
    <t xml:space="preserve"> Cost fr 111902004302 MINI BUS -TOYOTA AVANZA B 2558 BZT
</t>
  </si>
  <si>
    <t xml:space="preserve"> Cost fr 111904004602 KENDARAAN AIR - SPEED BOAT 115 HP SUZUKI INJEKSI - 01BARRACUDA
</t>
  </si>
  <si>
    <t xml:space="preserve"> Cost fr 111904004603 KENDARAAN AIR - KELOTOK KS-02
</t>
  </si>
  <si>
    <t xml:space="preserve"> Cost fr 111904004605 KENDARAAN AIR - SPEED BOAT 200 HP YAMAHA - 02 MARLIN
</t>
  </si>
  <si>
    <t xml:space="preserve"> Cost fr 111904004609 KENDARAAN AIR - KELOTOK TR-04 KS-04
</t>
  </si>
  <si>
    <t xml:space="preserve"> Cost fr 111904005333 EXCAVATOR HITACHI ZX210F-5G (33-37)
(Estafet Pasir PKS)
</t>
  </si>
  <si>
    <t xml:space="preserve"> Cost fr 111904005401 BULLDOZER B 165 YS (34-14)
(TIMBUN JALAN PKS)
</t>
  </si>
  <si>
    <t xml:space="preserve"> Cost fr 111904005403 BULLDOZER KOMATSU D3IP (34-18)
(TIMBUN JALAN PELABUHAN PKS)
</t>
  </si>
  <si>
    <t xml:space="preserve"> Cost fr 111904005602 FARM TRACTOR - KUBOTA M9540 (FT-02)/32-03
(LANGSIR BESI)
</t>
  </si>
  <si>
    <t xml:space="preserve"> Cost fr 111904005606 FARM TRACTOR - KUBOTA M9540 (FT-06)/32-07
(LANGSIR BESI)
</t>
  </si>
  <si>
    <t xml:space="preserve"> Cost fr 111904007301 SARANA PENUNJANG-DEPT EHS &amp; C POLIKLINIK
(LANGSIR BESI)
</t>
  </si>
  <si>
    <t>PKS.M03096-1222</t>
  </si>
  <si>
    <t>PERIODE BULAN DESEMBER 2022</t>
  </si>
  <si>
    <t>HUB. R/K KSA.B071066-1222 Via Reza A.</t>
  </si>
  <si>
    <t>By Pembayaran Pengangkatan dan Penyusunan Barang Menggunakan Alat Berat Dengan Item Detail Kabel Roll</t>
  </si>
  <si>
    <t>PKS.M04079-1222</t>
  </si>
  <si>
    <t>316204004002</t>
  </si>
  <si>
    <t>PT. BUANA KARYA SARANA JAYA</t>
  </si>
  <si>
    <t>BY.THP I 25% atas Pembangunan 1 Unit LH G10 exposure No.13 PKS
Inv. 070 SPK.020 BAPP.</t>
  </si>
  <si>
    <t>HUB. R/K KSA.M05017-1222 BY UPAH PHL AFD KANTOR BESAR MASA II DESEMBER 2022</t>
  </si>
  <si>
    <t xml:space="preserve">LANGSIR DAN BONGKAR GENSET PKS
</t>
  </si>
  <si>
    <t>PT. BKSJ</t>
  </si>
  <si>
    <t>PKS.K022016-0123</t>
  </si>
  <si>
    <t>By. Pembelian Grendel dan Cat</t>
  </si>
  <si>
    <t>PKS.K022012-0123</t>
  </si>
  <si>
    <t>By. Pembelian Tali dan Paku Payung</t>
  </si>
  <si>
    <t>PKS.K022014-0123</t>
  </si>
  <si>
    <t>By. Pembelian Thinner dan Kuas</t>
  </si>
  <si>
    <t>PKS.M04055-0123</t>
  </si>
  <si>
    <t>SAID HASAN</t>
  </si>
  <si>
    <t>BY THP I 50% A/ PEKERJAAN PENGEBORAN SUMUR BOR (PERUMAHAN)
INV.001 SPK.033</t>
  </si>
  <si>
    <t>PKS.B012021-0123</t>
  </si>
  <si>
    <t>By.Tagihan Menginap an. Daryoto Tgl 04 s.d 06 Januari 2023  Inv. 02300022658 Tgl 09 Januari 2023</t>
  </si>
  <si>
    <t>PKS.M04056-0123</t>
  </si>
  <si>
    <t>By.Tahap IV Progress 30.060% atas Pekerjaan Mobilisasi, Handling dan 
Pemancangan Tiang Pancang Beton (Tahap IV)  
Inv. 73 Tgl. 170123 SPK. 032 BAPP. 34</t>
  </si>
  <si>
    <t>PKS.M04057-0123</t>
  </si>
  <si>
    <t>By.Tahap III Progress 5.792% 
atas Pekerjaan Design &amp; Build Main Building PKS  
Inv. 001 SPK. 016 BAPP. 06</t>
  </si>
  <si>
    <t>PKS.M05156-0123</t>
  </si>
  <si>
    <t>USB, BY TAGIHAN TIKET PSWT AN DARYOTO</t>
  </si>
  <si>
    <t>INV. 003 TGL 26 JAN. 2023</t>
  </si>
  <si>
    <t>PT WALET, TAGIHAN TIKET PSWT AN DARYOTO</t>
  </si>
  <si>
    <t>INV.2065/JAN/2023 TGL 17/JAN/2023</t>
  </si>
  <si>
    <t>PKS.M04058-0123</t>
  </si>
  <si>
    <t>By.Tahap II Progress 10,09% atas Pekerjaan 
Mekanikal PKS Kapasitas 45 TPH  
Inv. 304 SPK. 014 BAPP. 07</t>
  </si>
  <si>
    <t>PKS.M04059-0123</t>
  </si>
  <si>
    <t>PT. Jaya Bangun Perkasa
By.Tahap Progress ke-2 (3.980%) atas Pekerjaan Beton Bertulang PKS 
Inv. 04 Tgl. 010223 SPK. 015 BAPP. 08</t>
  </si>
  <si>
    <t>PKS.M04060-0123</t>
  </si>
  <si>
    <t>By.Tahap II Material Besi On Site ke-2 (25%) atas
Pekerjaan Beton Bertulang PKS
Inv. 08 SPK. 015 BAPP. 09</t>
  </si>
  <si>
    <t>PKS.M04061-0123</t>
  </si>
  <si>
    <t>By.Tahap II Material Besi On Site ke-3 (25%) atas
Pekerjaan Beton Bertulang PKS
Inv. 09 SPK. 015 BAPP. 10</t>
  </si>
  <si>
    <t>GRAND KECUBUNG HOTEL AN DARYOTO</t>
  </si>
  <si>
    <t>BY.TAGIHAN MENGINAP KARYAWAN
TGL 20 SD 21 JANUARI 2023
INV.02300022706 TGL 24 JANUARI 2023</t>
  </si>
  <si>
    <t>PKS.M06002-0123</t>
  </si>
  <si>
    <t>PEMAKAIAN PERSEDIAAN Jan 2023</t>
  </si>
  <si>
    <t>PKS.M05100-0123</t>
  </si>
  <si>
    <t>REKLAS KSA.B071144-0123 OPERASIONAL PKS JAN 2023</t>
  </si>
  <si>
    <t>By Print Laporan uk. A3 Keperluan PKS site</t>
  </si>
  <si>
    <t>REKLAS KSA.K011152-0123 OPERASIONAL PKS JAN 2023</t>
  </si>
  <si>
    <t>Pembelian Alat Keperluan Perbaikan Cover kayu Kabel PKS</t>
  </si>
  <si>
    <t>USB, BY TAGIHAN TIKET PESAWAT AN WAHAB</t>
  </si>
  <si>
    <t>y.Tagihan tiket pesawat an. Abdul Wahab 
Jurusan CGK-BDJ Tgl 30 Januari 2023 
Inv.018 tanggal 01 Februari 2023</t>
  </si>
  <si>
    <t>PKS.M04041-0123</t>
  </si>
  <si>
    <t>HUB R/K KSA.B071069-0123 VIA HAIRUL</t>
  </si>
  <si>
    <t>HUB R/K KSA.M09005-0123 RAcct @ HUB.REK KORAN - S.CABANG PKS</t>
  </si>
  <si>
    <t>HUB R/K KSA.M05007-0123 BY UPAH PHL KANTOR BESAR 1 MASA I JANUARI 2023</t>
  </si>
  <si>
    <t>PEMBUATAN RUMAH GENSET</t>
  </si>
  <si>
    <t>HUB R/K KSA.K011154-0123 VIA RIZQY</t>
  </si>
  <si>
    <t>Pembelian Material Lokal Keperluan PKS Site</t>
  </si>
  <si>
    <t>HUB R/K KSA.B071100-0123 VIA MULIANI</t>
  </si>
  <si>
    <t>Pembelian material lokal keperluan PKS</t>
  </si>
  <si>
    <t>HUB R/K KSA.B071177-0123 VIA ANDRI YANSYAH</t>
  </si>
  <si>
    <t>Perbaikan Packing Kabel Keperluan PKS Site</t>
  </si>
  <si>
    <t xml:space="preserve"> Cost fr 111902004301 MINI BUS - TOYOTA INNOVA 2.0 LUXURY DA 2852 BRX</t>
  </si>
  <si>
    <t xml:space="preserve"> Cost fr 111904007301 SARANA PENUNJANG-DEPT EHS &amp; C POLIKLINIK</t>
  </si>
  <si>
    <t>HUB R/K KSA.B071165-0123 CV PUTRA BINTANG API</t>
  </si>
  <si>
    <t xml:space="preserve">Pembelian Material Lokal Reverse Osmosis PKS inv.VN2301000680
</t>
  </si>
  <si>
    <t xml:space="preserve"> Cost fr 111904004602 KENDARAAN AIR - SPEED BOAT 115 HP SUZUKI INJEKSI - 01BARRACUDA
</t>
  </si>
  <si>
    <t xml:space="preserve"> Cost fr 111904004612 KENDARAAN AIR - SPEED BOAT 200 HP MEGALODON
</t>
  </si>
  <si>
    <t xml:space="preserve"> Cost fr 111904004605 KENDARAAN AIR - SPEED BOAT 200 HP YAMAHA - 02 MARLIN
</t>
  </si>
  <si>
    <t xml:space="preserve"> Cost fr 111904004604 KENDARAAN AIR - KELOTOK KS-03
</t>
  </si>
  <si>
    <t xml:space="preserve"> Cost fr 111904004609 KENDARAAN AIR - KELOTOK TR-04 KS-04
</t>
  </si>
  <si>
    <t xml:space="preserve"> Cost fr 111904005602 FARM TRACTOR - KUBOTA M9540 (FT-02)/32-03
</t>
  </si>
  <si>
    <t xml:space="preserve"> Cost fr 111904004601 KENDARAAN AIR - KELOTOK 4 GT KS-01
</t>
  </si>
  <si>
    <t xml:space="preserve"> Cost fr 111904005603 FARM TRACTOR - KUBOTA M9540 (FT-03)/32-04
</t>
  </si>
  <si>
    <t xml:space="preserve"> Cost fr 111904005101 BACKHOE LOADER CAT 416 F2 (36-08)
</t>
  </si>
  <si>
    <t xml:space="preserve"> Cost fr 111904005606 FARM TRACTOR - KUBOTA M9540 (FT-06)/32-07
</t>
  </si>
  <si>
    <t xml:space="preserve"> Cost fr 111904005332 EXCAVATOR HITACHI ZX210F-5G (33-36)</t>
  </si>
  <si>
    <t xml:space="preserve"> Cost fr 111904005322 EXCAVATOR HITACHI (33-10)</t>
  </si>
  <si>
    <t xml:space="preserve"> Cost fr 111904005403 BULLDOZER KOMATSU D3IP (34-18)</t>
  </si>
  <si>
    <t xml:space="preserve"> Cost fr 111904005333 EXCAVATOR HITACHI ZX210F-5G (33-37)</t>
  </si>
  <si>
    <t>PKS.M03096-0123</t>
  </si>
  <si>
    <t>ALOKASI BTL PKS KE PRA OPERASI PKS</t>
  </si>
  <si>
    <t>24</t>
  </si>
  <si>
    <t xml:space="preserve"> 2023</t>
  </si>
  <si>
    <t>DOWN PAYMENT (UANG MUKA)</t>
  </si>
  <si>
    <t>PT. Kharisma Pratama Abadi S</t>
  </si>
  <si>
    <t>PT. Budi Jaya Cemerlang</t>
  </si>
  <si>
    <t>PT. Trakindo Utama</t>
  </si>
  <si>
    <t>PT. Sukses Dinamis Mulia</t>
  </si>
  <si>
    <t>PT. Arthanindo Cemerlang</t>
  </si>
  <si>
    <t>Pemb. Tabung Gas 6M3</t>
  </si>
  <si>
    <t xml:space="preserve">Yutori </t>
  </si>
  <si>
    <t>TOTAL DOWN PAYMENT</t>
  </si>
  <si>
    <t>PT. Super Andalas Steel</t>
  </si>
  <si>
    <t>Pemb. Caburator &amp; Vacum Pump</t>
  </si>
  <si>
    <t>PT. Nikita Protect</t>
  </si>
  <si>
    <t>Pemb. Genset 135 Kva Cummins 6BTAA 5.9G6/C150 D5</t>
  </si>
  <si>
    <t>PT. Altrak 1978</t>
  </si>
  <si>
    <t>Gateway Power</t>
  </si>
  <si>
    <t>Boilermech SDN BHD</t>
  </si>
  <si>
    <t>Pemb. 1 unit Genset Perkins GP 660 PL</t>
  </si>
  <si>
    <t>Pemb. Mesin Pabrik Sales Contract SC 480/18</t>
  </si>
  <si>
    <t>Pemb. 1 unit Mesin Pabrik Boiler</t>
  </si>
  <si>
    <t>Pemb. 4 Set Screw Press GS-P-15 MK6</t>
  </si>
  <si>
    <t>GS Agro Engneering SDN BHD</t>
  </si>
  <si>
    <t>Jasa Aman Engineering SDN BHD</t>
  </si>
  <si>
    <t>Pemb. Prime Single Steam Turbin Model 28 H TG</t>
  </si>
  <si>
    <t>PKS.K022001-0223</t>
  </si>
  <si>
    <t>By. Pembelian Pertalite u/ Genset Sumur Bor</t>
  </si>
  <si>
    <t>PKS.B012010-0223</t>
  </si>
  <si>
    <t>By.Tagihan tiket pesawat an. Abdul Wahab Jurusan BDJ-CGK Tgl 26 Januari 2023 Inv.010 Tanggal 27 Januari 2023</t>
  </si>
  <si>
    <t>PKS.K022008-0223</t>
  </si>
  <si>
    <t>By. Pembelian BBM U/ Genset Sumur Bor</t>
  </si>
  <si>
    <t>PKS.M04056-0223</t>
  </si>
  <si>
    <t>TRISAKTI CIPTA NUSANTARA</t>
  </si>
  <si>
    <t>KEKURANGAN PPN atas
By.Pelunasan Retensi 5% atas Pekerjaan Mobilisasi,
Handling dan Pemancangan Tiang Pancang Beton (Tahap II)
Inv. 004 SPK. 05 BAPP. 002</t>
  </si>
  <si>
    <t>SELISIH PEMBULATAN</t>
  </si>
  <si>
    <t>PKS.M05155-0223</t>
  </si>
  <si>
    <t>Dr. Ir. Rusdiansyah, ST., MT., IPM, ASEAN Eng.</t>
  </si>
  <si>
    <t>Dr. Ir. Rusdiansyah ST., MT., IPU., ASEAN Eng.
By.Tahap I DP 50% Jasa Konsultansi Final Review
Proyek Pembangunan Pabrik Kelapa Sawit (PKS) PT. KS
Inv.01 Tgl. 230223 SPK.002
-Pokok  = 15.000.000
-PPh 21 =   (375.000)</t>
  </si>
  <si>
    <t>PKS.M06002-0223</t>
  </si>
  <si>
    <t>PEMAKAIAN PERSEDIAAN Feb 2023</t>
  </si>
  <si>
    <t>PKS.M04057-0223</t>
  </si>
  <si>
    <t>By.Tahap III Progress ke-3 (12,839%) atas Pekerjaan Beton Bertulang PKS 
Inv.010 Tgl.280223 SPK.015 BAPP.12</t>
  </si>
  <si>
    <t>PKS.M04059-0223</t>
  </si>
  <si>
    <t>PT.TRIROYAL TIMURRAYA</t>
  </si>
  <si>
    <t>By.Tahap II Progress 6,121% 
atas Pekerjaan Design &amp; Build Main Building PKS 
Inv.014 Tgl.210223 SPK.016 BAPP.13</t>
  </si>
  <si>
    <t>PKS.M04060-0223</t>
  </si>
  <si>
    <t>PT. ARTHANINDO CEMERLANG</t>
  </si>
  <si>
    <t>By. Packing Kayu atas Pengadaan Atap &amp; Cladding 
Proyek Pembangunan PKS PT. KS
Inv.01156 Tgl.240223</t>
  </si>
  <si>
    <t>PKS.M04041-0223</t>
  </si>
  <si>
    <t>HUB R/K KSA.B071001-0223 VIA YUNITA</t>
  </si>
  <si>
    <t>Pembelian Konsumsi Ekstrafooding di PKS Site</t>
  </si>
  <si>
    <t>HUB R/K KSA.K011015-0223 VIA RIZQY</t>
  </si>
  <si>
    <t>Pembelian Rumah Reverses Osmosis PKS ( SPB )</t>
  </si>
  <si>
    <t>HUB R/K KSA.B071107-0223 VIA SERBA SELAMAT</t>
  </si>
  <si>
    <t>HUB R/K KSA.B071112-0223 VIA MULYANI</t>
  </si>
  <si>
    <t>Pembelian Material Lokal Keperluan PKS Site Sungai Cabang</t>
  </si>
  <si>
    <t>HUB R/K KSA.B071166-0223 VIA ANDRI YANSYAH</t>
  </si>
  <si>
    <t>HUB R/K KSA.B071193-0223 VIA GILANG</t>
  </si>
  <si>
    <t>HUB R/K KKSA.B071202-0223 VIA GILANG</t>
  </si>
  <si>
    <t>Pembelian Material Lokal Keperluan PKS</t>
  </si>
  <si>
    <t>HUB R/K KSA.M09005-0223 RAcct @ HUB.REK KORAN - S.CABANG PKS</t>
  </si>
  <si>
    <t>HUB R/KKSA.M09005-0223 RAcct @ HUB.REK KORAN - S.CABANG PKS</t>
  </si>
  <si>
    <t>PKS.M03096-0223</t>
  </si>
  <si>
    <t>PKS.M04061-0223</t>
  </si>
  <si>
    <t>BY.THP II 50% atas Pembangunan 1 Unit Longhouse G10 Expose No.13
di blok 09
Inv. 010 SPK.020 BAPP.012</t>
  </si>
  <si>
    <t>PKS.M04055-0223</t>
  </si>
  <si>
    <t>PT.SINERGI INDO PRANATA</t>
  </si>
  <si>
    <t>By.Tahap II &amp; III atas FAT Siap Kirim &amp; Material On Site
Pekerjaan Design &amp; Build Elektrikal PKS 
Inv.01425010022 Tgl.02020020023 SPK.017 BAPP.005</t>
  </si>
  <si>
    <t>PKS.M04058-0223</t>
  </si>
  <si>
    <t>By.Tahap II &amp; III atas FAT Siap Kirim &amp; Material On Site
Pekerjaan Jaringan Listrik 20KV PKS
Inv.02110020023 Tgl.160223 SPK.021 BAPP.11</t>
  </si>
  <si>
    <t>E3</t>
  </si>
  <si>
    <t>Pemb. Bontainer 20 Feet 2 unit</t>
  </si>
  <si>
    <t>Budijaya Makmurindo</t>
  </si>
  <si>
    <t>TB</t>
  </si>
  <si>
    <t>INTI</t>
  </si>
  <si>
    <t>PKS</t>
  </si>
  <si>
    <t>PKS.B012017-0323</t>
  </si>
  <si>
    <t>Prakarsa Muda Indonesia, PT</t>
  </si>
  <si>
    <t>Tahap I DP 25% Shipment Probolinggo ke Sungai Cab. KumaiNo. Invoice 017/PMI/INV/III/2023, Tgl 02 Mar 2023No. SPK 003/SPAL-PMI-KS/II/2023</t>
  </si>
  <si>
    <t>PKS.K022015-0323</t>
  </si>
  <si>
    <t>By. Pembelian Konsumsi u/ Lemburan Opt. Alat Berat tgl 15 Feb 2023</t>
  </si>
  <si>
    <t>By. Pembelian Konsumsi u/ Lemburan Opt. Alat Berat tgl 8 Maret 2023</t>
  </si>
  <si>
    <t>PKS.B012036-0323</t>
  </si>
  <si>
    <t>Tahap II DP 25% Shipment Probolinggo ke Sungai Cab. KumaiNo. Invoice 022/PMI/INV/III/2023, Tgl 14 Mar 2023No. SPK 003/SPAL-PMI-KS/II/2023</t>
  </si>
  <si>
    <t>PKS.K022026-0323</t>
  </si>
  <si>
    <t>By. Pembelian Konsumsi u/ Lemburan Opt. Alat Berat</t>
  </si>
  <si>
    <t>PKS.M04060-0323</t>
  </si>
  <si>
    <t>By.Tahap I DP 30% atas Pengadaan Pigging System
Proyek Pembangunan PKS PT. KS
Inv.306 Tgl.030323 SPK.001</t>
  </si>
  <si>
    <t>PKS.M05155-0323</t>
  </si>
  <si>
    <t>PT JAYA BANGUN PERKASA</t>
  </si>
  <si>
    <t>By.Tahap II 5% atas Pengukuran Base Meter 
dan Tes Pancang (Test Pile) 
Inv.016 SPK.023 BAPP.015
(Telah dipotong PPh Pasal 4 ayat 2)</t>
  </si>
  <si>
    <t>PKS.M04059-0323</t>
  </si>
  <si>
    <t>By.Tahap III Progress ke-4 (11,163%) atas Pekerjaan Beton Bertulang PKS 
Inv.018 Tgl.27032023 SPK.015 BAPP.016</t>
  </si>
  <si>
    <t>PKS.M05041-0323</t>
  </si>
  <si>
    <t>HUB R/K KSA.B071164-0323 VIA NUR WIJAYA</t>
  </si>
  <si>
    <t>By Realisasi Uang Muka an Nur Wijaya Keperluan Rekrutmrnt Tenaga Kerja</t>
  </si>
  <si>
    <t>PKS.M06002-0323</t>
  </si>
  <si>
    <t>316204005014</t>
  </si>
  <si>
    <t>PEMAKAIAN PERSEDIAAN Mar 2023</t>
  </si>
  <si>
    <t>PKS.M04061-0323</t>
  </si>
  <si>
    <t>By.Pembayaran 50% dari Tahap II 20%(Mesin Import Tiba di Jakarta) 
atas Pengadaan POME Water Treatment Plant  
Inv. i-03230002 Tgl. 270323 SPK. 004</t>
  </si>
  <si>
    <t>PKS.M04057-0323</t>
  </si>
  <si>
    <t>By.Tahap II Progress 20,390% 
atas Pekerjaan Design &amp; Build Main Building PKS 
Inv.034 Tgl.29032023 SPK.0016 BAPP.019</t>
  </si>
  <si>
    <t>By.Pembayaran Tahap III 20%(Material On Site) 
atas Pengadaan POME Water Treatment Plant  
Inv. i-03230003 Tgl. 270323 SPK. 004</t>
  </si>
  <si>
    <t>PKS.M04063-0323</t>
  </si>
  <si>
    <t>BY THP II 45% A/ PEKERJAAN PENGEBORAN SUMUR BOR (PERUMAHAN)
INV.002 SPK.033 BAPP.018</t>
  </si>
  <si>
    <t>BY RETENSI 5% A/ PEKERJAAN PENGEBORAN SUMUR BOR (PERUMAHAN)
INV. SPK.033 BAPP</t>
  </si>
  <si>
    <t>PKS.M04064-0323</t>
  </si>
  <si>
    <t>By.Tahap III Progress ke-5 (7,596%) atas Pekerjaan Beton Bertulang PKS 
Inv.019 Tgl.10042023 SPK.015 BAPP.022</t>
  </si>
  <si>
    <t>PKS.M05061-0323</t>
  </si>
  <si>
    <t>PT.BKMS-BY SEWA TRUCK LOGING (LT-10) BLN MARET 2023</t>
  </si>
  <si>
    <t>PPN PT.BKMS-BY SEWA TRUCK LOGING (LT-10) BLN MARET 2023</t>
  </si>
  <si>
    <t>PKS.M05062-0323</t>
  </si>
  <si>
    <t>PT.BKMS - BY SEWA CRANE KATO (39-01) BLN MARET 2023</t>
  </si>
  <si>
    <t>PPN PT.BKMS - BY SEWA CRANE KATO (39-01) BLN MARET 2023</t>
  </si>
  <si>
    <t>PKS.M05100-0323</t>
  </si>
  <si>
    <t>Reclass KSA.K011023-0323 Fline 1</t>
  </si>
  <si>
    <t>By. Asuransi Kontainer 2 unit</t>
  </si>
  <si>
    <t>Reclass KSA.B071229-0323 Fline 1</t>
  </si>
  <si>
    <t>By. Pembelian Seragam Pengawas Proyek</t>
  </si>
  <si>
    <t>ReclassKSA.M05105-0323 Fline 4</t>
  </si>
  <si>
    <t>BY ANGKUTAN MATERIAL STEAM HEATER PKS SEB. 1,50 TON ( EST. I )
PERIODE MARET 2023
INV. 310323 SPK 008, BAPP 18</t>
  </si>
  <si>
    <t>PKS.M09005-0323</t>
  </si>
  <si>
    <t>RAcct @ ADK MESIN PENUNJANG - PEMASANGAN</t>
  </si>
  <si>
    <t xml:space="preserve"> Cost fr 311904003101 MESIN - MESIN GENSET CATERPILLAR 350 KVA (GS-01)</t>
  </si>
  <si>
    <t>PKS.M04041-0323</t>
  </si>
  <si>
    <t>HUB R/K KSA.M09005-0323 RAcct @ HUB.REK KORAN - S.CABANG PKS</t>
  </si>
  <si>
    <t xml:space="preserve"> Cost fr 111904004503 DUMP TRUCK - HINO D136 HDX (BKMS 25-85)</t>
  </si>
  <si>
    <t xml:space="preserve"> Cost fr 111904004601 KENDARAAN AIR - KELOTOK 4 GT KS-01</t>
  </si>
  <si>
    <t xml:space="preserve"> Cost fr 111904004504 DUMP TRUCK - HINO D136 HDX (BKMS 25-86)</t>
  </si>
  <si>
    <t xml:space="preserve"> Cost fr 111904004501 DUMP TRUCK - ISUZU NPS (BKMS 25-87)</t>
  </si>
  <si>
    <t xml:space="preserve"> Cost fr 111904004609 KENDARAAN AIR - KELOTOK TR-04 KS-04</t>
  </si>
  <si>
    <t>HUB R/K KSA.M05067-0323 PT. BKMS</t>
  </si>
  <si>
    <t>PT. BKMS - BY PEMAKAIAN MATERIAL PERIODE BULAN MARET 2023</t>
  </si>
  <si>
    <t xml:space="preserve"> Cost fr 111904004502 DUMP TRUCK - ISUZU NPS (BKMS 25-88)</t>
  </si>
  <si>
    <t xml:space="preserve"> Cost fr 111904004604 KENDARAAN AIR - KELOTOK KS-03</t>
  </si>
  <si>
    <t xml:space="preserve"> Cost fr 111904004602 KENDARAAN AIR - SPEED BOAT 115 HP SUZUKI INJEKSI - 01BARRACUDA</t>
  </si>
  <si>
    <t>Cost fr 111904007301 SARANA PENUNJANG-DEPT EHS &amp; C POLIKLINIK</t>
  </si>
  <si>
    <t xml:space="preserve"> Cost fr 111904005606 FARM TRACTOR - KUBOTA M9540 (FT-06)/32-07</t>
  </si>
  <si>
    <t xml:space="preserve"> Cost fr 111904005603 FARM TRACTOR - KUBOTA M9540 (FT-03)/32-04</t>
  </si>
  <si>
    <t xml:space="preserve"> Cost fr 111904004605 KENDARAAN AIR - SPEED BOAT 200 HP YAMAHA - 02 MARLIN</t>
  </si>
  <si>
    <t xml:space="preserve"> Cost fr 111904005101 BACKHOE LOADER CAT 416 F2 (36-08)</t>
  </si>
  <si>
    <t xml:space="preserve"> Cost fr 111904005401 BULLDOZER B 165 YS (34-14)</t>
  </si>
  <si>
    <t>Cost fr 111904005332 EXCAVATOR HITACHI ZX210F-5G (33-36)</t>
  </si>
  <si>
    <t xml:space="preserve"> Cost fr 111904005402 BULLDOZER B 165 YS (34-15)</t>
  </si>
  <si>
    <t>PKS.M03096-0323</t>
  </si>
  <si>
    <t>GENERATOR SET</t>
  </si>
  <si>
    <t>Power Supply</t>
  </si>
  <si>
    <t>319</t>
  </si>
  <si>
    <t>Pekerjaan Design &amp; Build Main Building PKS</t>
  </si>
  <si>
    <t>PT. Triroyal Timurraya</t>
  </si>
  <si>
    <t>PKS.K022006-0423</t>
  </si>
  <si>
    <t>By. Pembayaran Konsumsi  Bongkaranl Tongkang - Pembebanan PKS</t>
  </si>
  <si>
    <t>PKS.M04055-0423</t>
  </si>
  <si>
    <t>Dr. Ir. Rusdiansyah ST., MT., IPU., ASEAN Eng.
By.Tahap II Pelunasan 50% Jasa Konsultansi Final Review
Proyek Pembangunan Pabrik Kelapa Sawit (PKS) PT. KS
Inv.02 Tgl. 040423 SPK.002</t>
  </si>
  <si>
    <t>PKS.M04056-0423</t>
  </si>
  <si>
    <t>PT. ARINA KARYA SAENTOSA</t>
  </si>
  <si>
    <t>By.Tahap II Progress 3,58% atas Pekerjaan 
Mekanikal PKS Kapasitas 45 TPH  
Inv. 308 SPK. 014 BAPP. 014</t>
  </si>
  <si>
    <t>PKS.M06002-0423</t>
  </si>
  <si>
    <t>PEMAKAIAN PERSEDIAAN Apr 2023</t>
  </si>
  <si>
    <t>PKS.M04041-0423</t>
  </si>
  <si>
    <t>HUB R/K Prakarsa Muda Indonesia, PT Termin III 50% Shipment Probolinggo ke Sungai Cabang KumaiNo. Invoice 033/PMI/INV/III/2023,</t>
  </si>
  <si>
    <t>PKS.M05100-0423</t>
  </si>
  <si>
    <t>Reclass KSA.B071082-0423 Fline 1</t>
  </si>
  <si>
    <t>By. Pembelian Kunci Pas 28 U/ Perbaikan Valve</t>
  </si>
  <si>
    <t>Reclass KSA.B071086-0423 Fline 1</t>
  </si>
  <si>
    <t>By. Pembelian Terpal untuk penutupan material boiler</t>
  </si>
  <si>
    <t>Reclass KSA.M05001-0423 Fline 2</t>
  </si>
  <si>
    <t>By. Asistensi Karyawan PHL U/Langsir  Tiang Listrik</t>
  </si>
  <si>
    <t>Reclass KSA.M05001-0423 Fline 1</t>
  </si>
  <si>
    <t>By. Pembelian BBM U/ Genset Test Pompa &amp; Debet Air Sumur Bor</t>
  </si>
  <si>
    <t>Reclass KSA.B071130-0423 Fline 1</t>
  </si>
  <si>
    <t>By.Pembelian Alat ( terpal &amp; Paku ) dan Reffil Tabung Oxy Keperluan Material Boiler</t>
  </si>
  <si>
    <t>Reclass KSA.B071142-0423 Fline 1</t>
  </si>
  <si>
    <t>By.Pembelian Terpasl A3 Uk. 2x3 Keperluan Packing Bailer ( PKS )</t>
  </si>
  <si>
    <t>Reclass KSA.M05011-0423 Fline 2</t>
  </si>
  <si>
    <t>By.Asistensi Pembersihan dan Langsir Valve</t>
  </si>
  <si>
    <t>Reclass KSA.B071103-0423 Fline 1</t>
  </si>
  <si>
    <t>By. Pembebanan Konsumsi atas pembongkaran material HMD 02 ( Beban BKSJ)</t>
  </si>
  <si>
    <t>By. Pembebanan Konsumsi atas pembongkaran material HMD 02 ( Beban PKS)</t>
  </si>
  <si>
    <t>PKS.M05002-0423</t>
  </si>
  <si>
    <t>BAYAR GAJI SKU APRIL 2023 PKS SUNGAI CABANG</t>
  </si>
  <si>
    <t>By. Upah Mencuci dan Langsir Valve (eks.Kecebur Laut)</t>
  </si>
  <si>
    <t>By. Angkut dan Langsir Tiang Listrik PKS</t>
  </si>
  <si>
    <t>Reclass KSA.K011096-0423 Fline 1</t>
  </si>
  <si>
    <t>PKS.M03096-0423</t>
  </si>
  <si>
    <t>HUB R/K KSA.M09005-0423 AVANZA B2558 BZT</t>
  </si>
  <si>
    <t>316204006002</t>
  </si>
  <si>
    <t>HUB R/K KSA.M09005-0423 EX 33-10</t>
  </si>
  <si>
    <t>HUB R/K KSA.M09005-0423 EX 33-36</t>
  </si>
  <si>
    <t>HUB R/K KSA.M09005-0423 EX 33-37</t>
  </si>
  <si>
    <t>HUB R/K KSA.M09005-0423 DOZER 34-14</t>
  </si>
  <si>
    <t>316204002002</t>
  </si>
  <si>
    <t>HUB R/K KSA.M09005-0423 DOZER 34-15</t>
  </si>
  <si>
    <t>HUB R/K KSA.M09005-0423 FT 32-03</t>
  </si>
  <si>
    <t>HUB R/K KSA.M09005-0423 FT 32-04</t>
  </si>
  <si>
    <t>HUB R/K KSA.M09005-0423 FT 32-07</t>
  </si>
  <si>
    <t>HUB R/K KSA.M09005-0423 SPEED BARRACUDA</t>
  </si>
  <si>
    <t>HUB R/K KSA.M09005-0423 KS 02</t>
  </si>
  <si>
    <t>HUB R/K KSA.M09005-0423 KS 03</t>
  </si>
  <si>
    <t>HUB R/K KSA.M09005-0423 SPEED MARLIN</t>
  </si>
  <si>
    <t>HUB R/K KSA.M09005-0423 POLIKLINIK</t>
  </si>
  <si>
    <t>HUB R/K KSA.M09005-0423 KS 04</t>
  </si>
  <si>
    <t>HUB R/K KSA.M09005-0423 BL 36-08</t>
  </si>
  <si>
    <t>PKS.M09005-0423</t>
  </si>
  <si>
    <t>320</t>
  </si>
  <si>
    <t>PKS.K022014-0523</t>
  </si>
  <si>
    <t>By. Pembelian Keperluan Pembuatan Papan Nama Stasiun</t>
  </si>
  <si>
    <t>PKS.K022015-0523</t>
  </si>
  <si>
    <t xml:space="preserve">- By. Pembayaran Konsumsi Bongkaran HMD 01
</t>
  </si>
  <si>
    <t>- By. Pembayaran Konsumsi Opearator Alat Berat ( Jalan Akses Dermaga )</t>
  </si>
  <si>
    <t>PKS.K022016-0523</t>
  </si>
  <si>
    <t>By. Pembelian Konsumsi Bongkaran HMD 01</t>
  </si>
  <si>
    <t>By. Pembelian Alat Keperluan Pembersihan Valve</t>
  </si>
  <si>
    <t>PKS.K022022-0523</t>
  </si>
  <si>
    <t>By. Pembelian Konsumsi u/ Lemburan Opt. Alat Berat (Jl Akses Dermaga)</t>
  </si>
  <si>
    <t>PKS.M04057-0523</t>
  </si>
  <si>
    <t>PT.TRI ROYAL TIMURRAYA</t>
  </si>
  <si>
    <t>By.Tahap II Progress Ke-6  3,853% 
atas Pekerjaan Design &amp; Build Main Building PKS 
Inv.044 Tgl.04052023 SPK.0016 BAPP.023</t>
  </si>
  <si>
    <t>PKS.M04058-0523</t>
  </si>
  <si>
    <t>By.Tahap II Material Besi On Site ke-3 (25%) atas
Pekerjaan Beton Bertulang PKS
Inv.024 SPK.015 BAPP.024</t>
  </si>
  <si>
    <t>PKS.K022031-0523</t>
  </si>
  <si>
    <t>By. Pembelian Material u/ Plang Nama Stasiun</t>
  </si>
  <si>
    <t>By.Tahap III Progres ke-06 (5.089%) atas
Pekerjaan Beton Bertulang PKS
Inv.025 SPK.015 BAPP.025</t>
  </si>
  <si>
    <t>PKS.M06002-0523</t>
  </si>
  <si>
    <t>PEMAKAIAN PERSEDIAAN May 2023</t>
  </si>
  <si>
    <t>PKS.M05100-0523</t>
  </si>
  <si>
    <t>Reclass KSA.B071014-0523 Fline 1</t>
  </si>
  <si>
    <t>By. Biaya Sewa Forklift 1 Shif Keperluan Bongkar Chain Conveyor PKS</t>
  </si>
  <si>
    <t>Reclass KSA.B071043-0523 Fline 1</t>
  </si>
  <si>
    <t>By Pembelian Material Baut Driling Main Building</t>
  </si>
  <si>
    <t>PKS.M04067-0523</t>
  </si>
  <si>
    <t>PT.BKB - REMBURSMENT DINAS LUAR</t>
  </si>
  <si>
    <t>Dinas Luar Sdr. David Teguh P cs untuk Orientasi Proyek PT. Kumai Sentosa tgl 18 Mar - 21 Apr 2023</t>
  </si>
  <si>
    <t>Dinas Luar Sdr. Fikry Aldin S. cs untuk Orientasi Proyek PT. Kumai Sentosa tgl 07 Apr - 15 Mei 2023</t>
  </si>
  <si>
    <t>PKS.M05078-0523</t>
  </si>
  <si>
    <t>Via Kaspul Anwar</t>
  </si>
  <si>
    <t xml:space="preserve">By.Mobilisasi 1 Unit Crane KATO 25 Tondari 
</t>
  </si>
  <si>
    <t>PKS.M04041-0523</t>
  </si>
  <si>
    <t>HUB R/K KSA.M09005-0523 RAcct @ HUB.REK KORAN - S.CABANG PKS</t>
  </si>
  <si>
    <t xml:space="preserve"> Cost fr 111904004603 KENDARAAN AIR - KELOTOK KS-02</t>
  </si>
  <si>
    <t>HUB R/K KSA.B071220-0523 RAcct @ HUB.REK KORAN - S.CABANG PKS</t>
  </si>
  <si>
    <t>Pembayaran Jasa Pengikatan di Pelindo</t>
  </si>
  <si>
    <t>HUB R/K KSA.B071221-0523 RAcct @ HUB.REK KORAN - S.CABANG PKS</t>
  </si>
  <si>
    <t>PKS.M09005-0523</t>
  </si>
  <si>
    <t>RAcct @ ADK BANGUNAN KERJA - PEMBANGUNAN</t>
  </si>
  <si>
    <t>PKS.M03096-0523</t>
  </si>
  <si>
    <t>MEI 2023</t>
  </si>
  <si>
    <t>PKS.M04059-0523</t>
  </si>
  <si>
    <t>316204004003</t>
  </si>
  <si>
    <t>PT.BUANA KARYA SARANA JAYA</t>
  </si>
  <si>
    <t>By.Tahap I 25% atas pekerjaan pembangunan
1 unit Longhouse G10 Permanen No.28 di Sungai Cabang (Blok 09 PKS)
Inv.- SPK.057 BAPP.-</t>
  </si>
  <si>
    <t>316204004004</t>
  </si>
  <si>
    <t>By.Tahap I 25% atas pekerjaan pembangunan
1 unit Longhouse G10 Permanen No.29 di Sungai Cabang (Blok 09 PKS)
Inv.- SPK.058 BAPP.-</t>
  </si>
  <si>
    <t>PKS.B012011-0523</t>
  </si>
  <si>
    <t>KPPBC TMP C PANGKALAN BUN</t>
  </si>
  <si>
    <t>PKS.M01076-0523</t>
  </si>
  <si>
    <t>KOREKSI 151203009150 PT DUTA RARA BORNEO</t>
  </si>
  <si>
    <t>Bayar DP biaya jasa custom clearance 
Pengiriman import mesin pabrik</t>
  </si>
  <si>
    <t>PKS.K022028-0523</t>
  </si>
  <si>
    <t>By. Pembelian Konsumsi u/ Bongkaran Boiler Tahap 1 &amp; 2 Mei 2023</t>
  </si>
  <si>
    <t>Reclass KSA.B071184-0523 Fline 1</t>
  </si>
  <si>
    <t>By. Pembelian Tali &amp; Penutup Boiler di Pelabuhan Kalap</t>
  </si>
  <si>
    <t>Reclass KSA.B071220-0523 Fline 1</t>
  </si>
  <si>
    <t>By. Pembayaran Jasa Polis Asuransi Pengangkutan Material Boiler</t>
  </si>
  <si>
    <t>PKS.M05061-0523</t>
  </si>
  <si>
    <t>Sewa Unit Crane Kato 250 ( 39-01 ) Bulan Mei 2023</t>
  </si>
  <si>
    <t>PPN 11 % Sewa Unit Crane Kato 250 ( 39-01 ) Bulan Mei 2023</t>
  </si>
  <si>
    <t>PKS.M05062-0523</t>
  </si>
  <si>
    <t>Sewa Unit Truck Logging ( LT-06 ) Bulan Mei 2023</t>
  </si>
  <si>
    <t>PPN 11% Sewa Unit Truck Logging ( LT-06 ) Bulan Mei 2023</t>
  </si>
  <si>
    <t>Duta Rara Burneo, PT</t>
  </si>
  <si>
    <t>Bayar pelunasan 60 % atas biaya costum clearance pengiriman mesin mesin pabrik 
dari Malaysia ke Jakarta dan biaya kirim  dari  Port Kumai ke Port  PT. Kumai Sentosa</t>
  </si>
  <si>
    <t>PKS.B012012-0523</t>
  </si>
  <si>
    <t>KPPBC TMP C PANGKALANBUN</t>
  </si>
  <si>
    <t>PKS.M05157-0623</t>
  </si>
  <si>
    <t>POLI TEKNIK NEGERI BANJARMASIN VIA INTAN NURHALIZA IRMANTO</t>
  </si>
  <si>
    <t>BY.PENGUJIAN SAMPLE BETON DI POLITEKNIK NEGERI BANJARMASIN
TGL. 27 JUNI 2023</t>
  </si>
  <si>
    <t>PKS.M04057-0623</t>
  </si>
  <si>
    <t>By.Tahap II Progress 3.677% 
atas Pekerjaan Design &amp; Build Main Building PKS  
Inv. 057 SPK. 016 BAPP. 026</t>
  </si>
  <si>
    <t>PKS.M05154-0623</t>
  </si>
  <si>
    <t>BY.DINAS LUAR AN. ABDUL WAHAB KE KUMAI</t>
  </si>
  <si>
    <t>AN. ABDUL WAHAB DAN MUHAMMAD ILHAM KE KUMAI DALAM RANGKA TINJAUAN LAPANGAN TGL. 04 S/D 18 JUNI 2023</t>
  </si>
  <si>
    <t>PKS.M06002-0623</t>
  </si>
  <si>
    <t>PEMAKAIAN PERSEDIAAN Jun 2023</t>
  </si>
  <si>
    <t>PKS.M04056-0623</t>
  </si>
  <si>
    <t>By.Tahap III Progress ke-7 (15,319%) atas Pekerjaan Beton Bertulang PKS
Inv.028 Tgl.260623 SPK.015 BAPP.029</t>
  </si>
  <si>
    <t>PKS.M04041-0623</t>
  </si>
  <si>
    <t>HUB R/K KSA.M09005-0623 RAcct @ HUB.REK KORAN - S.CABANG PKS</t>
  </si>
  <si>
    <t xml:space="preserve"> Cost fr 111904005336 EXCAVATOR HITACHI ZX210 LC-5G (33-46)</t>
  </si>
  <si>
    <t xml:space="preserve"> Cost fr 111904005604 FARM TRACTOR - KUBOTA M9540 (FT-04)/32-05</t>
  </si>
  <si>
    <t xml:space="preserve"> Cost fr 111904007101 DEPARTEMENT SUPPORTING</t>
  </si>
  <si>
    <t xml:space="preserve"> Cost fr 111904007331 SARANA PENUNJANG-DEPT EHS &amp; C - ENVIRO &amp; OFFICE</t>
  </si>
  <si>
    <t xml:space="preserve"> Cost fr 111904007351 DEPARTEMENT SURVEY DAN PEMETAAN</t>
  </si>
  <si>
    <t xml:space="preserve"> Cost fr 111904007361 DEPARTEMENT WATER MANAGEMENT</t>
  </si>
  <si>
    <t xml:space="preserve"> Cost fr 111904007371 DEPARTEMENT SUPPORTING - P2K &amp; SAFETY</t>
  </si>
  <si>
    <t>PKS.M09005-0623</t>
  </si>
  <si>
    <t>PKS.M03096-0623</t>
  </si>
  <si>
    <t>JUNI 2023</t>
  </si>
  <si>
    <t>PKS.M04051-0623</t>
  </si>
  <si>
    <t>BY.THP III 20% atas Pembangunan 1 Unit Longhouse G10 Expose No.13
di blok 09
Inv.  SPK.020 BAPP.055</t>
  </si>
  <si>
    <t>BY.Retensi 5% atas Pembangunan 1 Unit Longhouse G10 Expose No.13
di blok 09
Inv.  SPK.020 BAPP.</t>
  </si>
  <si>
    <t>PKS.M04058-0623</t>
  </si>
  <si>
    <t>By.Tahap II Progress 1,65% atas Pekerjaan 
Mekanikal PKS Kapasitas 45 TPH  
Inv. 322 SPK. 014 BAPP. 027</t>
  </si>
  <si>
    <t>PKS.M05100-0623</t>
  </si>
  <si>
    <t>Reclass KSA.B071115-0623 Fline 1</t>
  </si>
  <si>
    <t>By. Pembelian terpal untuk penutup boiler</t>
  </si>
  <si>
    <t>PKS.K022007-0623</t>
  </si>
  <si>
    <t>By. Konsumsi Pengangkutan Material Boiler Tahap 1 &amp; 2</t>
  </si>
  <si>
    <t>PKS.K022008-0623</t>
  </si>
  <si>
    <t>By. Pembelian BBM U/ Genset Penerangan Bongkar Material Boiler</t>
  </si>
  <si>
    <t>PKS.B012046-0623</t>
  </si>
  <si>
    <t>PT. Duta Rara Borneo</t>
  </si>
  <si>
    <t>By. Jasa Keagenan &amp; Dermaga (Kumai - Sungai Cabang)TB. Makmur TKG. SejahteraInv. 384 Tgl. 300523- Pokok = 36.000.000- PPh    =   (720.000)</t>
  </si>
  <si>
    <t>Reclass KSA.K011046-0623 Fline 1</t>
  </si>
  <si>
    <t>By Pembayaran Asuransi Unit Boiler</t>
  </si>
  <si>
    <t>Reclass KSA.K011064-0623 Fline 1</t>
  </si>
  <si>
    <t>By Pembayaran lasing dan Jasa Tutup Terpal Unit Boiler</t>
  </si>
  <si>
    <t>PKS.M05061-0623</t>
  </si>
  <si>
    <t>SEWA UNIT BKMS CRANE KATO 250 ( 39-01 ) BULAN JUNI  2023</t>
  </si>
  <si>
    <t>PPN 11% SEWA UNIT BKMS CRANE KATO 250 ( 39-01 ) BULAN JUNI  2023</t>
  </si>
  <si>
    <t>PKS.M05062-0623</t>
  </si>
  <si>
    <t>SEWA UNIT TRUCK LOGGING ( NISSAN LT-06 ) BULAN JUNI 2023</t>
  </si>
  <si>
    <t>PPN 11 % SEWA UNIT TRUCK LOGGING ( NISSAN LT-06 ) BULAN JUNI 2023</t>
  </si>
  <si>
    <t>PKS.M04059-0623</t>
  </si>
  <si>
    <t>By.Tahap II &amp; III Progres ke-2 (23.0442%)
atas FAT Siap Kirim &amp; Material On SitePekerjaan Jaringan Listrik 20KV PKS
Inv.009080602023  SPK.021 BAPP.028</t>
  </si>
  <si>
    <t>PKS.M05158-0623</t>
  </si>
  <si>
    <t xml:space="preserve"> PEMAKAIAN UNIT EXCAVATOR HITACHI ZX210F-5G (33-36)</t>
  </si>
  <si>
    <t>KSA.M09005-0523 Cost fr 111904005332 EXCAVATOR HITACHI ZX210F-5G (33-36) TGL.31 MEI 2023</t>
  </si>
  <si>
    <t>Unit FOSS NIRS DA 1650 sebanyak 1 Unit</t>
  </si>
  <si>
    <t>PKS.K022014-0723</t>
  </si>
  <si>
    <t>Via. Danis A</t>
  </si>
  <si>
    <t>By. Pembelian BBM U/ Pengelasan Pompa Rohto</t>
  </si>
  <si>
    <t>PKS.M05154-0723</t>
  </si>
  <si>
    <t>USB BY. TAGIHAN TIKET PESAWAT AN ABDUL WAHAB</t>
  </si>
  <si>
    <t>INV.100 KB:JAIAXK</t>
  </si>
  <si>
    <t>PKS.M05176-0723</t>
  </si>
  <si>
    <t>KOREKSI PKS.M05154-0323 BY.DINAS LUAR AN. ABDUL WAHAB KE JAKARTA</t>
  </si>
  <si>
    <t>By.Dinas luar an. Abdul Wahab ke Jakarta 
Pemeriksaan Pekerjaan Mekanikal Tgl. 26, 27, 29 dan 30 Januari 2023</t>
  </si>
  <si>
    <t>KOREKSI PKS.M05154-0323 BY.DINAS LUAR AN. ABDUL WAHAB KE KUMAI</t>
  </si>
  <si>
    <t>By.Dinas luar an. Abdul Wahab ke Kumai 
Tinjauan Lapangan Tgl. 02 Februari s.d 13 Maret 2023</t>
  </si>
  <si>
    <t>KOREKSI PKS.M05154-0423 BY.DINAS LUAR AN. ABDUL WAHAB KE KUMAI</t>
  </si>
  <si>
    <t>Tinjauan lapangan Tgl. 27 Maret s/d 15 April 2023</t>
  </si>
  <si>
    <t>TINJAUAN LAPANGAN TGL. 02 S/D 22 MEI 2023</t>
  </si>
  <si>
    <t>PKS.K022019-0723</t>
  </si>
  <si>
    <t>Via. Andy Kinanjar</t>
  </si>
  <si>
    <t>By. Upah Kelebihan Jam Kerja Operasional BKMS</t>
  </si>
  <si>
    <t>PKS.M04057-0723</t>
  </si>
  <si>
    <t xml:space="preserve">BY.TAHAP II 2.755% ATAS PEKERJAAN 
DESIGN &amp; BUILD MAIN BUILDING PKS
INV.079 SPK.016 BAPP.030
</t>
  </si>
  <si>
    <t>BY.TAHAP II 10.664% ATAS PEKERJAAN 
DESIGN &amp; BUILD MAIN BUILDING PKS
INV.0105 SPK.016 BAPP.034</t>
  </si>
  <si>
    <t>PKS.M05100-0723</t>
  </si>
  <si>
    <t>Reclass KSA.M05011-0723 Fline 1</t>
  </si>
  <si>
    <t>By. Penampungan atas pembelian material Pompa Rohto ( Coa Adk belum tersedia )</t>
  </si>
  <si>
    <t>PKS.M04067-0723</t>
  </si>
  <si>
    <t>PT. BKB - REMBURSMENT PERIODE BULAN JULI 2023</t>
  </si>
  <si>
    <t>Bayar Konsumsi Peserta OJTP Pabrik Kumai</t>
  </si>
  <si>
    <t>Bayar Subsidi Dapur U/ All Peserta OJTP Pabrik Kumai</t>
  </si>
  <si>
    <t>Bayar Upah Masak Peserta OJTP Pabrik Kumai</t>
  </si>
  <si>
    <t>PKS.M06002-0723</t>
  </si>
  <si>
    <t>PEMAKAIAN PERSEDIAAN Jul 2023</t>
  </si>
  <si>
    <t>PKS.M04058-0723</t>
  </si>
  <si>
    <t>By.Tahap III Progress ke-8 (4,68%) atas Pekerjaan Beton Bertulang PKS
Inv.032 Tgl.260723 SPK.015 BAPP.035</t>
  </si>
  <si>
    <t>PKS.M04041-0723</t>
  </si>
  <si>
    <t>HUB R/K KSA.M09005-0723 RAcct @ HUB.REK.KORAN RO</t>
  </si>
  <si>
    <t>HUB R/K KSA.M09005-0723 RAcct @ HUB.REK KORAN - S.CABANG PKS</t>
  </si>
  <si>
    <t xml:space="preserve"> Cost fr 111904004506 DUMP TRUCK - ISUZU NPS 81U-HAVIN4 (BKMS 25-94)</t>
  </si>
  <si>
    <t>PKS.M09005-0723</t>
  </si>
  <si>
    <t>PKS.M03096-0723</t>
  </si>
  <si>
    <t>JULI 2023</t>
  </si>
  <si>
    <t>PKS.M04051-0723</t>
  </si>
  <si>
    <t>BY.THP I 25% atas Pembangunan 1 Unit Longhouse G10 Permanen Staff
PKS No. 034 di blok 09
Inv.  SPK.009 BAPP.</t>
  </si>
  <si>
    <t>PKS.M04059-0723</t>
  </si>
  <si>
    <t>Reclass KSA.B071120-0723 Fline 1</t>
  </si>
  <si>
    <t>By. Pembelian Terpal U/ Boiler</t>
  </si>
  <si>
    <t>Reclass KSA.B071156-0723 Fline 1</t>
  </si>
  <si>
    <t>By. Pembelian ulin 10x10 u/ pancang tiang listrik</t>
  </si>
  <si>
    <t>BIAYA DL KARYAWAN PABRIKASI SATUI U/ PEMASANGAN PIPA BOUNDRY</t>
  </si>
  <si>
    <t>KOREKSI MEMO PKS.M04067-0823 FLINE 4</t>
  </si>
  <si>
    <t>316204009001</t>
  </si>
  <si>
    <t>PKS.M05099-0823</t>
  </si>
  <si>
    <t>PEMBELIAN BAUT UNTUK PEMANAS HDPE</t>
  </si>
  <si>
    <t>KOREKSI MEMO PKS.K022027-0823 FLINE 1</t>
  </si>
  <si>
    <t>PEMBELIAN KABEL UNTUK POMPA ROHTO</t>
  </si>
  <si>
    <t>KOREKSI MEMO PKS.M05100-0723 FLINE 20</t>
  </si>
  <si>
    <t>KOREKSI MEMO PKS.K022014-0723 FLINE 1</t>
  </si>
  <si>
    <t xml:space="preserve">UPAH HK PEMASANGAN PIPA JALUR S.GADUNG - BOUNDRY
</t>
  </si>
  <si>
    <t>KOREKSI MEMO PKS.M05002-0723 FLINE 5</t>
  </si>
  <si>
    <t>BIAYA LEMBUR PEMASANGAN PIPA JALUR S.GADUNG - BOUNDRY</t>
  </si>
  <si>
    <t>GAJI SKU HARIAN BULAN AGUSTUS 2023 PKS SUNGAI CABANG</t>
  </si>
  <si>
    <t>PKS.M05002-0823</t>
  </si>
  <si>
    <t>BY UPAH PHL AFD RAYON I UP KEEP MASA II AGUSTUS 2023</t>
  </si>
  <si>
    <t>Reclass KSA.M05011-0823 FLINE 8</t>
  </si>
  <si>
    <t>PKS.M05100-0823</t>
  </si>
  <si>
    <t>By. Pembelian BBM U/ Bahan Bakar Chain Saw</t>
  </si>
  <si>
    <t>Via. Danis Alfalfa</t>
  </si>
  <si>
    <t>PKS.K022045-0823</t>
  </si>
  <si>
    <t>By. Upah PHL AFD Rayon I U/ Penyambungan Pipa HDPE</t>
  </si>
  <si>
    <t>Reclass KSA.M05001-0823 FLINE 27</t>
  </si>
  <si>
    <t>By. Pembelian BBM U/ Penyambungan Pipa HDPE</t>
  </si>
  <si>
    <t>PKS.K022025-0823</t>
  </si>
  <si>
    <t>PKS.K022024-0823</t>
  </si>
  <si>
    <t>PKS.K022023-0823</t>
  </si>
  <si>
    <t>By. Pemebelian BBM U/ Pengelasan Pompa Rohto</t>
  </si>
  <si>
    <t>PKS.K022022-0823</t>
  </si>
  <si>
    <t>PKS.K022016-0823</t>
  </si>
  <si>
    <t>PKS.K022006-0823</t>
  </si>
  <si>
    <t>KOREKSI MEMO PKS.K022015-0523 FLINE 2</t>
  </si>
  <si>
    <t>By.Tahap II &amp; III progress ke-3 atas FAT Siap Kirim &amp;
Material On Site Pekerjaan Design &amp; Build Elektrikal PKS
Inv.0120110702023 SPK.017 BAPP.031</t>
  </si>
  <si>
    <t>PKS.M04056-0823</t>
  </si>
  <si>
    <t>By.Tahap II Progress 3,46% atas Pekerjaan 
Mekanikal PKS Kapasitas 45 TPH  
Inv. 192 SPK. 014 BAPP. 041</t>
  </si>
  <si>
    <t>PKS.M04057-0823</t>
  </si>
  <si>
    <t>PKS.M09005-0823</t>
  </si>
  <si>
    <t>KOREKSI MEMO PKS.M06002-0723 FLINE 3</t>
  </si>
  <si>
    <t>Biaya Angkutan u/ Pompa Klarifikasi 10 Ton</t>
  </si>
  <si>
    <t>Reclass KSA.M05107-0823 FLINE 8</t>
  </si>
  <si>
    <t>By. Sewa Crane 25 Ton Mobilisasi dan Demobilisasi, Operator 1 Kali Shift ( Penurunan Mesin Sunlee ) PKS</t>
  </si>
  <si>
    <t>Reclass KSA.B071197-0823 FLINE 1</t>
  </si>
  <si>
    <t>BY.THP I 25% atas Pembangunan 1 Unit Longhouse G10 Permanen Staff
PKS No. 035 di blok 09
Inv.  SPK.013 BAPP.</t>
  </si>
  <si>
    <t>316204004006</t>
  </si>
  <si>
    <t>PKS.M04051-0823</t>
  </si>
  <si>
    <t>BY.THP II 50% atas Pembangunan 1 Unit Longhouse G10 Permanen Staff
PKS No. 034 di blok 09
Inv.  SPK.009 BAPP.</t>
  </si>
  <si>
    <t>316204004005</t>
  </si>
  <si>
    <t>AGUSTUS 2023</t>
  </si>
  <si>
    <t>ALOKASI BTL PKS KE PRA OPERASIONAL PKS</t>
  </si>
  <si>
    <t>PKS.M03096-0823</t>
  </si>
  <si>
    <t>HUB R/K KSA.M09005-0823 RAcct @ HUB.REK KORAN - S.CABANG PKS</t>
  </si>
  <si>
    <t>PKS.M04041-0823</t>
  </si>
  <si>
    <t xml:space="preserve"> Cost fr 111904005327 EXCAVATOR KOBELCO (BSA-09)</t>
  </si>
  <si>
    <t>HUB R/K KSA.M06001-0823 PEMAKAIAN PERSEDIAAN</t>
  </si>
  <si>
    <t>PKS.M04078-0823</t>
  </si>
  <si>
    <t>KOREKSI MEMO PKS.M04067-0823 FLINE 2</t>
  </si>
  <si>
    <t>KOREKSI MEMO PKS.M04067-0723 FLINE 2</t>
  </si>
  <si>
    <t>KOREKSI MEMO PKS.M04067-0823 FLINE 1</t>
  </si>
  <si>
    <t>KOREKSI MEMO PKS.M04067-0723 FLINE 1</t>
  </si>
  <si>
    <t>By.Tahap I  (20%) atas Pekerjaan Talang Air Main Building PKS
Inv.0140  SPK.008 BAPP.</t>
  </si>
  <si>
    <t>PKS.M04059-0823</t>
  </si>
  <si>
    <t>By.Tahap III Progress ke-9 (12,059%) atas Pekerjaan Beton Bertulang PKS
Inv.033 Tgl.290823 SPK.015 BAPP.039</t>
  </si>
  <si>
    <t>PKS.M04058-0823</t>
  </si>
  <si>
    <t>Bayar Dinas Luar Sdr. Eko Wardi dkk ke PT. Kumai Sentosa</t>
  </si>
  <si>
    <t>PT. BKB - REIMBURSMENT PERIODE BULAN AGUSTUS  2023</t>
  </si>
  <si>
    <t>PKS.M04067-0823</t>
  </si>
  <si>
    <t>By. Pembelian Meteran Roll 7.5 M U/ Keperluan Pengawas &amp; Workshop</t>
  </si>
  <si>
    <t>Reclass KSA.B071123-0823 FLINE 1</t>
  </si>
  <si>
    <t>KOREKSI ATAS PEMBEBANAN UNIT CEPAT SUPPORTING (   Cost fr 111902004301 MINI BUS - TOYOTA INNOVA 2.0 LUXURY DA 2852 BRX )</t>
  </si>
  <si>
    <t>KOREKSI MEMO PKS.M04041-0123 FLINE 19</t>
  </si>
  <si>
    <t>KOREKSI ATAS PEMBEBANAN UNIT CEPAT SUPPORTING (  Cost fr 111902004302 MINI BUS -TOYOTA AVANZA B 2558 BZT )</t>
  </si>
  <si>
    <t>KOREKSI MEMO PKS.M04041-0123 FLINE 11</t>
  </si>
  <si>
    <t>By. Pembelian Baut &amp; Ring Plat U/ Mesin Pemanas</t>
  </si>
  <si>
    <t>PKS.K022027-0823</t>
  </si>
  <si>
    <t>BY.TAHAP II 24.419% ATAS PEKERJAAN 
DESIGN &amp; BUILD MAIN BUILDING PKS
INV.155 SPK.016 BAPP.021</t>
  </si>
  <si>
    <t>KOREKSI A/ MEMO M.04064-1122 NOV 2022</t>
  </si>
  <si>
    <t>PKS.M04076-0823</t>
  </si>
  <si>
    <t>PEMAKAIAN TRUK BAK KAYU</t>
  </si>
  <si>
    <t>FAT TRAFO &amp; PANEL - TINJAUAN LAPANGAN TGL. 3-29 JULI 2023</t>
  </si>
  <si>
    <t>BY.DINAS LUAR AN. ABDUL WAHAB KE SURABAYA</t>
  </si>
  <si>
    <t>PKS.M05154-0823</t>
  </si>
  <si>
    <t>EMTY BUN PRES</t>
  </si>
  <si>
    <t>321</t>
  </si>
  <si>
    <t>PKS.M04051-0923</t>
  </si>
  <si>
    <t>Pembayaran Tahap II  82.774% Pekerjaan tambah
Civil Work - Beton Bertulang PKS
Invoice. 036 SPK.012 BAPP. 042</t>
  </si>
  <si>
    <t>PKS.M05154-0923</t>
  </si>
  <si>
    <t>BY. PERJALANAN DINAS AN. ABDUL WAHAB KE KUMAI</t>
  </si>
  <si>
    <t>TINJAUAN LAPANGAN &amp; KOORDINASI PROYEK
TGL. 24 AGUSTUS - 9 SEPTEMBER 2023</t>
  </si>
  <si>
    <t>PKS.K022018-0923</t>
  </si>
  <si>
    <t>By. Pembelian Sepatu Boots U/ GM</t>
  </si>
  <si>
    <t>PKS.M04179-0923</t>
  </si>
  <si>
    <t>ADJUSMENT PKS.M04078-0823 PEMAKAIAN PERSEDIAAN</t>
  </si>
  <si>
    <t>DAIHATSU ROCKY COP-ARDIANSYAH</t>
  </si>
  <si>
    <t>PKS.M04180-0923</t>
  </si>
  <si>
    <t>KOREKSI A/ MEMO M04059-0823</t>
  </si>
  <si>
    <t>PY. TRIROYAL TIMURRAYA
By.Tahap I  (20%) atas Pekerjaan Talang Air Main Building PKS
Inv.0140  SPK.008 BAPP.</t>
  </si>
  <si>
    <t>PKS.M04057-0923</t>
  </si>
  <si>
    <t>By.Tahap II  (100%) atas Pekerjaan Talang Air Main Building PKS
Inv.0161  SPK.008 BAPP.044</t>
  </si>
  <si>
    <t>PKS.M04058-0923</t>
  </si>
  <si>
    <t>By.Tahap III Progress ke-10 (7,791%) atas Pekerjaan Beton Bertulang PKS
Inv.040 Tgl.270923 SPK.015 BAPP.048</t>
  </si>
  <si>
    <t>PKS.M04059-0923</t>
  </si>
  <si>
    <t>Pembayaran Tahap II  10.729% Pekerjaan tambah
Civil Work - Beton Bertulang PKS
Invoice. 041 SPK.012 BAPP. 049</t>
  </si>
  <si>
    <t>PKS.M06002-0923</t>
  </si>
  <si>
    <t>PEMAKAIAN PERSEDIAAN Sep 2023</t>
  </si>
  <si>
    <t>PKS.M06076-0923</t>
  </si>
  <si>
    <t>ADJUSMENT ATAS KURANG MEMO BULAN AGUSTUS 2023</t>
  </si>
  <si>
    <t>PKS.M09005-0923</t>
  </si>
  <si>
    <t>PKS.M04067-0923</t>
  </si>
  <si>
    <t>PT. BKB - REIMBURSMENT PERIODE BULAN SEPTEMBER 2023</t>
  </si>
  <si>
    <t>Via Sdr. M. Berkati
By. Beli Kayu Balok &amp; Paku U/ Packing Genset PT. KS</t>
  </si>
  <si>
    <t>Via Sdr. Hamdillah
By. Travel Pengiriman Sparepart Panel Genset PT. KS (Bjm-Satui)</t>
  </si>
  <si>
    <t>PKS.M03096-0923</t>
  </si>
  <si>
    <t>SEPTEMBER 2023</t>
  </si>
  <si>
    <t>PKS.M04054-0923</t>
  </si>
  <si>
    <t>By.Tahap II Progress 5,48% atas Pekerjaan 
Mekanikal PKS Kapasitas 45 TPH  
Inv. 197 SPK. 014 BAPP. 051</t>
  </si>
  <si>
    <t>PKS.M04181-0923</t>
  </si>
  <si>
    <t>PT. BKN - BIAYA PEMAKAIAN MATERIAL AGUSTUS 2023</t>
  </si>
  <si>
    <t>VIBRA SCREEN SPARATOR DOUBLE DEC DUA UNIT TANGGAL 30 AGUSTUS 2023</t>
  </si>
  <si>
    <t>PKS.M05100-0923</t>
  </si>
  <si>
    <t>Reclass KSA.M05106-0923 FLINE 13</t>
  </si>
  <si>
    <t>By. Angkutan Cable Duct sebanyak 12 TON U/ Material RO Boiler</t>
  </si>
  <si>
    <t>Reclass KSA.M05108-0923 FLINE 13</t>
  </si>
  <si>
    <t>By. Angkutan Pipa Galvanis 3" Sebanyak 24 Ton U/ Material RO Boiler</t>
  </si>
  <si>
    <t>Reclass KSA.B071213-0923 FLINE 1</t>
  </si>
  <si>
    <t>Penampungan Sementara By. Sewa Loader U/ Bongkar Muat Tangki 8000 L 2 unit</t>
  </si>
  <si>
    <t>Via Sdr. Hamdillah
By. Beli Sparepart Electrik U/ Pembuatan Panel Genset PT. KS</t>
  </si>
  <si>
    <t>Reclass KSA.K011047-0923 FLINE 1</t>
  </si>
  <si>
    <t>Penampungan Sementara By. Pembayaran Operator Crane U/ Penurunan Panel</t>
  </si>
  <si>
    <t>Reclass KSA.K011076-0923 FLINE 1</t>
  </si>
  <si>
    <t>Penampungan Sementara By. Pembelian konsumsi U/ Bongkar Muat Panell</t>
  </si>
  <si>
    <t>PKS.K022025-0923</t>
  </si>
  <si>
    <t>By. Pembelian Paku U/ Bekisting Travo Listrik</t>
  </si>
  <si>
    <t>PKS.M04056-0923</t>
  </si>
  <si>
    <t>By.Tahap II &amp; III Progress Ke-03 atas FAT Siap Kirim &amp; Material On Site
Pekerjaan Jaringan Listrik 20KV PKS
Inv.1602508023 Tgl.25082023 SPK.021 BAPP.038</t>
  </si>
  <si>
    <t>Reclass KSA.K011100-0923 FLINE 1</t>
  </si>
  <si>
    <t>Penampungan Sementara By. Sewa Alat Lauder U/ Pembongkaran Barang Dari  PT. SLP</t>
  </si>
  <si>
    <t>Reclass KSA.B071145-0923 FLINE 1</t>
  </si>
  <si>
    <t>Penampungan Sementara By. Sewa Loader dan Forklift U/ Penurunan barang PT. SIP Sebanyak 20 Fuso</t>
  </si>
  <si>
    <t>Reclass KSA.B071184-0923 FLINE 1</t>
  </si>
  <si>
    <t>Penampungan Sementara By. Sewa Crane U/ Bongkar Muat Mesin Ponton</t>
  </si>
  <si>
    <t>PKS.M05002-0923</t>
  </si>
  <si>
    <t>By. Lembur Pemasangan Pipa Rohto</t>
  </si>
  <si>
    <t>Pekerjaan Jaringan Listrik 20Kv PKS Material &amp; Jasa</t>
  </si>
  <si>
    <t xml:space="preserve">Pekerjaan Civil Work - Beton Bertulang </t>
  </si>
  <si>
    <t xml:space="preserve">Pemb. Mesin PKS sebanyak 7 units </t>
  </si>
  <si>
    <t xml:space="preserve">Design &amp; Build Elektrical PKS </t>
  </si>
  <si>
    <t xml:space="preserve">Pekerjaan Mekanikal PKS Kaps 45 TPH Material dan Jasa </t>
  </si>
  <si>
    <t>Pemb. Shinko Steam Turbine RB-5M sebanyak 1 Set</t>
  </si>
  <si>
    <t xml:space="preserve">Pemb. Sunlee EFB Shreeding Press SL 7125H-1 </t>
  </si>
  <si>
    <t xml:space="preserve">Pemb. Generator Set C18 520 KW/650 KVA </t>
  </si>
  <si>
    <t xml:space="preserve">Pemb. Solid Ext Pin Sebanyak 455 Rol </t>
  </si>
  <si>
    <t xml:space="preserve">Pemb. TRP Sprocket Cast Steel sebanyak 72 Pcs </t>
  </si>
  <si>
    <t xml:space="preserve">Pemb. Atap Spandek sebanyak 1 lot </t>
  </si>
  <si>
    <t xml:space="preserve">Pemb. Vertikal Sterillizer Cap. 55m3 sebanyak 4 units </t>
  </si>
  <si>
    <t xml:space="preserve">Pemb. Sew Eurodrive Gearbox &amp; Gearmotor  1 lot </t>
  </si>
  <si>
    <t xml:space="preserve">Pemb. Barang Project PKS </t>
  </si>
  <si>
    <t>PKS.M04179-1023</t>
  </si>
  <si>
    <t>PENYESUAIAN HUB R/K RAcct @ HUB.REK KORAN - S.CABANG PKS</t>
  </si>
  <si>
    <t>PKS.K022026-1023</t>
  </si>
  <si>
    <t>By. Pembelian Tali Putih U/ Pemasangan Bekisting</t>
  </si>
  <si>
    <t>PKS.K022028-1023</t>
  </si>
  <si>
    <t>By. Pembelian BBM U/ Genset Kecil</t>
  </si>
  <si>
    <t>PKS.K022030-1023</t>
  </si>
  <si>
    <t>PKS.M03076-1023</t>
  </si>
  <si>
    <t>REKLAS UANG MUKA PKS.B012002-1023 ARENA TOKO</t>
  </si>
  <si>
    <t>No. PO 0067/L/PKS/IX/2023 tgl 16 Sept 2023
No. Invoice 25092023 tgl 25 Sept 2023</t>
  </si>
  <si>
    <t>PENYESUAIAN HUB R/K RAcct @ HUB.REK.KORAN RO</t>
  </si>
  <si>
    <t>PKS.M05100-1023</t>
  </si>
  <si>
    <t>Reclass KSA.K011188-1023 FLINE 1</t>
  </si>
  <si>
    <t>By.  Pembayaran Asuransi Bongkar Muat</t>
  </si>
  <si>
    <t>Reclass KSA.B071119-1023 FLINE 1</t>
  </si>
  <si>
    <t>By. Pembelian Material U/ Jalur Pengecoran PKS</t>
  </si>
  <si>
    <t>Reclass KSA.K011229-1023 FLINE 1</t>
  </si>
  <si>
    <t>By. Reffil Tabung Oxcygen U/ Pengelasan</t>
  </si>
  <si>
    <t>Reclass KSA.B071187-1023 FLINE 1</t>
  </si>
  <si>
    <t>By. Pembelian Regulator LPG U/ Pengelasan</t>
  </si>
  <si>
    <t>PKS.M04054-1023</t>
  </si>
  <si>
    <t>By.Tahap III Progress ke-11 (3,662%) atas Pekerjaan Beton Bertulang PKS
Inv.043 Tgl.271023 SPK.015 BAPP.059</t>
  </si>
  <si>
    <t>PKS.M05154-1023</t>
  </si>
  <si>
    <t>BY. DINAS LUAR AN. ABDUL WAHAB KE KUMAI</t>
  </si>
  <si>
    <t>Tinjauan Lapangan &amp; Koordinasi Proyek 
Tgl. 24 September s/d 24 Oktober 2023</t>
  </si>
  <si>
    <t>Reclass KSA.B071197-1023 FLINE 1</t>
  </si>
  <si>
    <t>By. pelunasan Jasa Sewa Tongkang, Crane, PBM, TKBM Keagenan Kapal</t>
  </si>
  <si>
    <t>PKS.M04060-1023</t>
  </si>
  <si>
    <t>Pembayaran Tahap II  1.006% Pekerjaan tambah
Civil Work - Beton Bertulang PKS
Invoice. 044 SPK.012 BAPP. 060</t>
  </si>
  <si>
    <t>PKS.M05002-1023</t>
  </si>
  <si>
    <t>GAJI SKU HARIAN BULANOKTOBER 2023 PKS SUNGAI CABANG</t>
  </si>
  <si>
    <t>PKS.M06002-1023</t>
  </si>
  <si>
    <t>PEMAKAIAN PERSEDIAAN Oct 2023</t>
  </si>
  <si>
    <t>Reclass KSA.M06002-1023  FLINE 43</t>
  </si>
  <si>
    <t>PKS.M05061-1023</t>
  </si>
  <si>
    <t>PEMBAYARAN ATAS SEWA UNIT CRANE KATO 250 (39-01) BULAN OKTOBER 2023</t>
  </si>
  <si>
    <t>PPN 11% PEMBAYARAN ATAS SEWA UNIT CRANE KATO 250 (39-01)</t>
  </si>
  <si>
    <t>PKS.M05062-1023</t>
  </si>
  <si>
    <t>PEMBAYARAN ATAS SEWA TRUCK LOGING (NISAN LT-06)</t>
  </si>
  <si>
    <t>PPN 11% PEMBAYARAN ATAS SEWA TRUCK LOGING (NISAN LT-06)</t>
  </si>
  <si>
    <t>PKS.M04041-1023</t>
  </si>
  <si>
    <t>HUB R/K KSA.M09005-1023 RAcct @ HUB.REK.KORAN RO</t>
  </si>
  <si>
    <t>HUB R/K KSA.M09005-1023 RAcct @ HUB.REK KORAN - S.CABANG PKS</t>
  </si>
  <si>
    <t xml:space="preserve"> Cost fr 111904004612 KENDARAAN AIR - SPEED BOAT 200 HP MEGALODON</t>
  </si>
  <si>
    <t xml:space="preserve"> Cost fr 111904007341 SARANA PENUNJANG-DEPT EHS &amp; C - P2M &amp; PL</t>
  </si>
  <si>
    <t xml:space="preserve"> Cost fr 111904004507 DUMP TRUCK ISUZU NPS 81 (BKMS 25-97)</t>
  </si>
  <si>
    <t xml:space="preserve"> Cost fr 111904004509 DUMP TRUCK - ISUZU NPS 81 (BKMS 25-99)</t>
  </si>
  <si>
    <t xml:space="preserve"> Cost fr 111904004508 DUMP TRUCK - ISUZU NPS 81 (BKMS 25-98)</t>
  </si>
  <si>
    <t>PKS.M09005-1023</t>
  </si>
  <si>
    <t>PKS.M03096-1023</t>
  </si>
  <si>
    <t>OKTOBER 2023</t>
  </si>
  <si>
    <t>PKS.M04061-1023</t>
  </si>
  <si>
    <t>BY.THP II 50% atas Pembangunan 1 Unit LH G10 Permanen No.35 Blok 09
Inv.  SPK.013 BAPP.</t>
  </si>
  <si>
    <t>PKS.M04055-1023</t>
  </si>
  <si>
    <t>PT. KASTRACO ENGINEERING</t>
  </si>
  <si>
    <t>By. Tahap II 50% (On Site)  atas Pengadaan 1 Unit Boiler Water Treatment Plant RO
Inv.9239238 SPK.022 BAPP.053</t>
  </si>
  <si>
    <t>PKS.M04056-1023</t>
  </si>
  <si>
    <t>By.Tahap II &amp; III progress ke-5 atas FAT Siap Kirim &amp;
Material On Site Pekerjaan Design &amp; Build Elektrikal PKS
Inv.02202010023 SPK.017 BAPP.050</t>
  </si>
  <si>
    <t>PKS.M04057-1023</t>
  </si>
  <si>
    <t>By.Tahap IV Progress 59.1728% atas progres jasa (80%)
Pekerjaan Jaringan Listrik 20KV PKS
Inv.02409010023  SPK.021 BAPP.052</t>
  </si>
  <si>
    <t>By.Tahap II &amp; III progress ke-4 (12.7020%) atas FAT &amp; Material On Site Pekerjaan Design &amp; Build Elektrikal PKS
Inv.02001809023 SPK.017 BAPP.045</t>
  </si>
  <si>
    <t>By.Tahap II &amp; III Progress Ke-4 20.7792% atas 
FAT Siap Kirim &amp; Material Onsite Pekerjaan Jaringan Listrik 20KV PKS
Inv.021025090023  SPK.021 BAPP.040</t>
  </si>
  <si>
    <t>PKS.M04058-1023</t>
  </si>
  <si>
    <t>PT. SINERGI INDO PRANATA</t>
  </si>
  <si>
    <t>By. Tahap II &amp; III Ke-1 (89.5974%) atas FAT &amp; Material onsite 
pekerjaan tambah design &amp; build elektrikal PKS 
Inv. 027017010023 SPK. 011 BAPP. 056</t>
  </si>
  <si>
    <t>PKS.M04059-1023</t>
  </si>
  <si>
    <t>By.Tahap II &amp; III progress ke-1 (93.7589%) atas FAT Siap Kirim &amp;
Material On Site Pekerjaan tambahanjaringan Listrik 20 KV PKS
Inv.028025010023 SPK.010 BAPP.055</t>
  </si>
  <si>
    <t>PKS.M05100-1123</t>
  </si>
  <si>
    <t>Reclass KSA.B071050-1123 FLINE 1</t>
  </si>
  <si>
    <t>By. Material Tongkang</t>
  </si>
  <si>
    <t>Reclass KSA.K011011-1123 FLINE 1</t>
  </si>
  <si>
    <t>By. Reffil Tabung Oxy Keperluan Workshop</t>
  </si>
  <si>
    <t>PKS.M04056-1123</t>
  </si>
  <si>
    <t>By.Tahap II Progress (3,642%) atas Pekerjaan Beton Bertulang PKS
Inv.048 Tgl.301123 SPK.012 BAPP.065</t>
  </si>
  <si>
    <t>PT. JAYA BANGUN PERKASA (PPN)</t>
  </si>
  <si>
    <t>PKS.M04058-1123</t>
  </si>
  <si>
    <t>By.Tahap III Progress ke-12 (1,830%) atas Pekerjaan Beton Bertulang PKS
Inv.047 Tgl.301123 SPK.015 BAPP.064</t>
  </si>
  <si>
    <t>PKS.M06002-1123</t>
  </si>
  <si>
    <t>PEMAKAIAN PERSEDIAAN Nov 2023</t>
  </si>
  <si>
    <t>PKS.M04041-1123</t>
  </si>
  <si>
    <t>HUB R/K KSA.M09005-1123 RAcct @ HUB.REK KORAN - S.CABANG PKS</t>
  </si>
  <si>
    <t xml:space="preserve"> Cost fr 111904005701 COMPACTOR SAKAI SV 526-D (37-12)</t>
  </si>
  <si>
    <t xml:space="preserve"> Cost fr 111904005501 GRADER XCMG GR-100 (35-12)</t>
  </si>
  <si>
    <t>PKS.K022023-1123</t>
  </si>
  <si>
    <t>By. Pembelian Benang Tukang U/ Pemancangan Jalur Begin</t>
  </si>
  <si>
    <t>PKS.M05002-1123</t>
  </si>
  <si>
    <t>GAJI SKU HARIAN BULAN NOVEMBER 2023 PKS SUNGAI CABANG</t>
  </si>
  <si>
    <t>By. Lembur U/ Pengerjaan Tangga Dermaga</t>
  </si>
  <si>
    <t>Reclass KSA.M05108-1123 FLINE 4</t>
  </si>
  <si>
    <t>BY. ANGKUTAN CPO SEB. 11 TON ( EST. I ) PERIODE NOVEMBER 20203</t>
  </si>
  <si>
    <t>Reclass KSA.B071047-1123 FLINE 1</t>
  </si>
  <si>
    <t>By. Pembelian Baut 3/4 X 4" &amp; WD 40 U/ Lori Dermaga</t>
  </si>
  <si>
    <t>PKS.M09005-1123</t>
  </si>
  <si>
    <t>PKS.M03096-1123</t>
  </si>
  <si>
    <t>ALOKASI BIAYA PKS KE PRA OPERASIONAL PKS</t>
  </si>
  <si>
    <t>NOVEMBER 2023</t>
  </si>
  <si>
    <t>PKS.M04054-1123</t>
  </si>
  <si>
    <t>By.Tahap II Progress 4,15% atas Pekerjaan 
Mekanikal PKS Kapasitas 45 TPH  
Inv. 073 SPK. 014 BAPP. 061</t>
  </si>
  <si>
    <t>PKS.M04057-1123</t>
  </si>
  <si>
    <t>By.Tahap II Progress 1,92% atas Pekerjaan 
Mekanikal PKS Kapasitas 45 TPH  
Inv. 081 Tgl.011223 SPK. 014 BAPP. 66</t>
  </si>
  <si>
    <t>Reclass KSA.K011021-1123 FLINE 1</t>
  </si>
  <si>
    <t>By. Pembayaran Angkutan Kayu Halaban PKS Sebanyak 6M3 U/ Boiler</t>
  </si>
  <si>
    <t>PKS.M04181-1123</t>
  </si>
  <si>
    <t>PT. BKB - PEMAKAIAN MATERIAL SEPTEMBER 2023</t>
  </si>
  <si>
    <t>BESI PLATE 6MM x 6" x 20"</t>
  </si>
  <si>
    <t>CUTTING TIP STRONG 8 NO.2</t>
  </si>
  <si>
    <t>BATU GERINDA 7"</t>
  </si>
  <si>
    <t>GAS OKSIGEN 6 M3</t>
  </si>
  <si>
    <t>KAWAT LAS RD460 - 3.2MM</t>
  </si>
  <si>
    <t>BESI PLATE STRIP 9 X 65 X 6000 MM</t>
  </si>
  <si>
    <t>PPN</t>
  </si>
  <si>
    <t>Reclass KSA.M05109-1123 FLINE 3</t>
  </si>
  <si>
    <t>BY. ANGKUTAN MATERIAL BANGUNAN SEB. 12 TON ( EST. I ) (KAYU HALABAN)</t>
  </si>
  <si>
    <t>Reclass KSA.K011171-1123 FLINE 1</t>
  </si>
  <si>
    <t>Sewa Operator Exa Untuk Bongkar As Conveyor Boiler</t>
  </si>
  <si>
    <t>Reclass KSA.B071137-1123 FLINE 1</t>
  </si>
  <si>
    <t>By. Sewa Lawder Untuk Menurunkan 2 Set Gonveyor Boiler</t>
  </si>
  <si>
    <t>PKS.K022021-1123</t>
  </si>
  <si>
    <t xml:space="preserve">By. Pembelian Mata Bor 8 MM U/ Kamar WTP
</t>
  </si>
  <si>
    <t>S/S PLATE 6MM X 5' X 20'</t>
  </si>
  <si>
    <t>KAWAT LAS NSN308 - 3.2MM</t>
  </si>
  <si>
    <t>BEBAN LAINNYA - BKMS (16 HM)</t>
  </si>
  <si>
    <t>By. Sewa Lawder Untuk Menurunkan 1 Set Phonton Waterintake</t>
  </si>
  <si>
    <t>PKS.M05061-1123</t>
  </si>
  <si>
    <t>PEMBAYARAN ATAS SEWA UNIT CRANE KATO 250 (39-01) BULAN NOVEMBER 2023</t>
  </si>
  <si>
    <t>PPN 11% PEMBAYARAN ATAS SEWA UNIT CRANE KATO 250 (39-01) BULAN NOVEMBER 2023</t>
  </si>
  <si>
    <t>PKS.M05068-1123</t>
  </si>
  <si>
    <t>PT. BKSJ - BIAYA PEMAKAIAN MATERIAL NOVEMBER 2023</t>
  </si>
  <si>
    <t>C-TRUSS 75MM</t>
  </si>
  <si>
    <t>RENG TRUSS 32 X 18 X 0.45MM</t>
  </si>
  <si>
    <t>KUSEN PINTU ULIN 80CM X 195CM</t>
  </si>
  <si>
    <t>DAUN PINTU ULIN 80CM x 195CM</t>
  </si>
  <si>
    <t>PAKU 3"</t>
  </si>
  <si>
    <t>SKRUP DRILLING 12 X 20</t>
  </si>
  <si>
    <t>ATAP METAL WARNA P.3M</t>
  </si>
  <si>
    <t>KAYU GALAM DIA. 8-10CM X 6M</t>
  </si>
  <si>
    <t>PLYWOOD 12MM X 120CM X2 40CM</t>
  </si>
  <si>
    <t>PPN atas biaya pemakaian Material</t>
  </si>
  <si>
    <t>PKS.K022019-1123</t>
  </si>
  <si>
    <t>By. Upah Pekerjaan Beton Bertulang Tapak Trayon Depan KBI Rayon 1, tgl 9 - 11 Nov 2023</t>
  </si>
  <si>
    <t>PKS.M04059-1123</t>
  </si>
  <si>
    <t>By.Tahap IV &amp; V progress ke-1 (36.5600%) atas jasa &amp;
Commisioning Pekerjaan Design &amp; Build Elektrikal PKS
Inv.2901011023 SPK.017 BAPP.062</t>
  </si>
  <si>
    <t>PKS.M05156-1123</t>
  </si>
  <si>
    <t>KOREKSI MEMO PKS.K022019-1123 FLINE 1</t>
  </si>
  <si>
    <t>BIAYA ATAS PENGECORAN PONDASI DUDUKAN TRAVO JARINGAN ELEKTRIKAL DEPAN KBI</t>
  </si>
  <si>
    <t>RAcct @ ADK KONSTRUKSI LAINNYA - PEMASAN</t>
  </si>
  <si>
    <t>PKS.M05099-1223</t>
  </si>
  <si>
    <t>KOREKSI MEMO PKS.M04179-1023 FLINE 3</t>
  </si>
  <si>
    <t>KOREKSI MEMO PKS.M04179-1023 FLINE 4</t>
  </si>
  <si>
    <t>KOREKSI MEMO PKS.M04179-1023 FLINE 5</t>
  </si>
  <si>
    <t>KOREKSI MEMO PKS.M04179-1023 FLINE 7</t>
  </si>
  <si>
    <t>KOREKSI MEMO PKS.M04179-1023 FLINE 8</t>
  </si>
  <si>
    <t>KOREKSI MEMO PKS.M04179-1023 FLINE 9</t>
  </si>
  <si>
    <t>KOREKSI MEMO PKS.M04179-1023 FLINE 10</t>
  </si>
  <si>
    <t>Angkut material PKS ( Kasur Mess Staff )</t>
  </si>
  <si>
    <t>KOREKSI MEMO PKS.M04179-1023 FLINE 1</t>
  </si>
  <si>
    <t>KOREKSI MEMO PKS.M04179-1023 FLINE 11</t>
  </si>
  <si>
    <t>KOREKSI MEMO PKS.M04179-1023 FLINE 12</t>
  </si>
  <si>
    <t>KOREKSI MEMO PKS.M04179-1023 FLINE 13</t>
  </si>
  <si>
    <t>KOREKSI MEMO PKS.M04179-1023 FLINE 14</t>
  </si>
  <si>
    <t>KOREKSI MEMO PKS.M04179-1023 FLINE 15</t>
  </si>
  <si>
    <t>KOREKSI MEMO PKS.M04179-1023 FLINE 17</t>
  </si>
  <si>
    <t>KOREKSI MEMO PKS.M04041-1123 FLINE 7</t>
  </si>
  <si>
    <t>KOREKSI MEMO PKS.M04041-1123 FLINE 9</t>
  </si>
  <si>
    <t>By. ANGKUT MATERIAL ELEKTRIKAL</t>
  </si>
  <si>
    <t>KOREKSI MEMO PKS.M04041-1123 FLINE 11</t>
  </si>
  <si>
    <t>PKS.M06002-1223</t>
  </si>
  <si>
    <t>PEMAKAIAN PERSEDIAAN Dec 2023</t>
  </si>
  <si>
    <t>PKS.M04056-1223</t>
  </si>
  <si>
    <t>By.Tahap III Progress ke-13 (0,643%) 
atas Pekerjaan Beton Bertulang PKS
Inv.058 Tgl.291223 SPK.015 BAPP.70</t>
  </si>
  <si>
    <t>PKS.M04057-1223</t>
  </si>
  <si>
    <t>By.Tahap IV&amp;V Progress ke-2 (46,2%) 
atas Jasa &amp; Commisioning Pekerjaan Design &amp; Build Elektrikal PKS 
Inv. 003 Tgl. 040124 SPK. 017 BAPP. 02</t>
  </si>
  <si>
    <t>PKS.M04041-1223</t>
  </si>
  <si>
    <t>HUB R/K KSA.M05011-1223 BY UPAH</t>
  </si>
  <si>
    <t>BY UPAH PHL AFD RAYON I UPKEEP &amp; HARVEST MASA II DESEMBER 2023
CEKER LOADING PASIR</t>
  </si>
  <si>
    <t>HUB R/K KSA.M06002-1223 PERSEDIAAN</t>
  </si>
  <si>
    <t>PKS.M04180-1223</t>
  </si>
  <si>
    <t>KOREKSI PKS.M04067-0823 PT. BKB</t>
  </si>
  <si>
    <t>PKS.M04181-1223</t>
  </si>
  <si>
    <t>PT. BKB - PKS.K023013-0323</t>
  </si>
  <si>
    <t>Bayar Dinas Luar Sdr. Hamdillah dkk ke PT. Kumai Sentosa
U/ Instalasi &amp; Pemasangan Knalpot Genset tgl 07 - 25 Feb 2023</t>
  </si>
  <si>
    <t>PT. BKB - PKS.K023079-0623</t>
  </si>
  <si>
    <t>Bayar Dinas Luar Sdr. Sandika GR. dkk ke PT. Kumai Sentosa
U/ Orientasi Proyek PT. Kumai Sentosa tgl 19 Mei - 19 Jun 2023</t>
  </si>
  <si>
    <t>RAcct @ HUB.REK.KORAN RO</t>
  </si>
  <si>
    <t>HUB R/K KSA.M09005-1223 RAcct @ HUB.REK KORAN - S.CABANG PKS</t>
  </si>
  <si>
    <t>PT. BKB - PKS.M02036-1023</t>
  </si>
  <si>
    <t xml:space="preserve">INV. 222/INV-BKB/X/2023 PEMAKAIAN MATERIAL
</t>
  </si>
  <si>
    <t>PKS.M04059-1223</t>
  </si>
  <si>
    <t>Pembayaran atas Pengawasan Pekerjaan Mobilisasi, Handling, dan Pemancangan Tiang Pancang Beton</t>
  </si>
  <si>
    <t>PKS.M04054-1223</t>
  </si>
  <si>
    <t>316204001003</t>
  </si>
  <si>
    <t>THP I 25% KANTOR PKS DI BLOK 9
SPK.015 INV.120</t>
  </si>
  <si>
    <t>THP II 50% KANTOR PKS DI BLOK 9
SPK.015 INV.121</t>
  </si>
  <si>
    <t>PKS.M03096-1223</t>
  </si>
  <si>
    <t>DESEMBER 2023</t>
  </si>
  <si>
    <t>316204003101</t>
  </si>
  <si>
    <t>PKS.M04051-1223</t>
  </si>
  <si>
    <t>THP II 50% LH G10 PERMANEN NO 29 DI BLOK 9
SPK. 006 INV.118 BAPP.67</t>
  </si>
  <si>
    <t>PKS.M04055-1223</t>
  </si>
  <si>
    <t>PT. BUANA KARYA SARANA JAYA (RETENSI)</t>
  </si>
  <si>
    <t>THP III 20% LH G10 PERMANEN NO 35 DI BLOK 9
SPK. 013 INV.119 BAPP.68</t>
  </si>
  <si>
    <t>PKS.M04053-1223</t>
  </si>
  <si>
    <t>ADJUSMENT BKSJ.M02010-1023 - PT. BKSJ</t>
  </si>
  <si>
    <t>THP III 20% LH G10 PERMANEN STAFF NO.34 DI BLOK 9
SPK.009 INV.</t>
  </si>
  <si>
    <t>PKS.M05100-1223</t>
  </si>
  <si>
    <t>Reclass KSA.B071069-1223 FLINE 1</t>
  </si>
  <si>
    <t>By. Sewa Mobil Crane U/ Barang Station Loading Ramp</t>
  </si>
  <si>
    <t>PKS.M09005-1223</t>
  </si>
  <si>
    <t>By. Sewa Mobil Crane U/ Barang Station Thresing</t>
  </si>
  <si>
    <t>By. Sewa Mobil Crane U/ Barang Station Empty Bunch</t>
  </si>
  <si>
    <t>By. Sewa Mobil Crane U/ Barang Station Nut &amp; Kernel</t>
  </si>
  <si>
    <t>By. Sewa Mobil Crane U/ Barang Station Clarification</t>
  </si>
  <si>
    <t>By. Sewa Mobil Crane U/ Barang Station Power House</t>
  </si>
  <si>
    <t>Reclass KSA.K011002-1223 FLINE 1</t>
  </si>
  <si>
    <t>By. Pembelian Kayu Halaban U/ Boiler</t>
  </si>
  <si>
    <t>By. Sewa Mobil Crane U/ Barang Station Boiler</t>
  </si>
  <si>
    <t>PKS.K022018-1223</t>
  </si>
  <si>
    <t>By. Pembayaran Upah Bongkar Kayu Halaban U/ Boiler</t>
  </si>
  <si>
    <t>PKS.M05002-1223</t>
  </si>
  <si>
    <t>GAJI SKU HARIAN BULAN DESEMBER 2023 PKS SUNGAI CABANG</t>
  </si>
  <si>
    <t>By. Pembayaran Upah Lembur (MELASNGIR KAYU UNTUK BOILER)</t>
  </si>
  <si>
    <t>Reclass KSA.M05101-1223 FLINE 1</t>
  </si>
  <si>
    <t>By. Angkut Material Boiler</t>
  </si>
  <si>
    <t>By. ANGKUT MATERIAL ASH CONVEYOR BOILER &amp; MOTORAN</t>
  </si>
  <si>
    <t>Reclass KSA.K011008-1223 FLINE 1</t>
  </si>
  <si>
    <t>By. Pembelian BBM &amp; By Jasa Operator Exca Penurunan Phonton</t>
  </si>
  <si>
    <t>PKS.M05179-1223</t>
  </si>
  <si>
    <t>ADJUSMEN PKS.M05068-1123 PT. BKSJ</t>
  </si>
  <si>
    <t>BIAYA PEMAKAIAN MATERIAL NOVEMBER 2023</t>
  </si>
  <si>
    <t>By. Sewa Mobil Crane U/ Barang Station WTP</t>
  </si>
  <si>
    <t>By. Pembayaran Upah Lembur (MEMBUAT JALUR PIPA HDPE ARAH
RAW WATER TANK)</t>
  </si>
  <si>
    <t>Reclass KSA.M05102-1223 FLINE 1</t>
  </si>
  <si>
    <t>By. Angkut Material Phonton</t>
  </si>
  <si>
    <t>PKS.M05176-1223</t>
  </si>
  <si>
    <t>KOREKSI PKS.M05068-1123 - PT. BKSJ</t>
  </si>
  <si>
    <t>PEMAKAIAN MATERIAL BULAN NOVEMBER 2023 BULAN NOVEMBER 2023</t>
  </si>
  <si>
    <t>PKS.M05068-1223</t>
  </si>
  <si>
    <t>PT. BKSJ - BIAYA PEMAKAIAN MATERIAL DESEMBER 2023</t>
  </si>
  <si>
    <t>Door lock set u/ rumah water intake</t>
  </si>
  <si>
    <t>Semen u/ pengecoran rumah water intake</t>
  </si>
  <si>
    <t>By. Pembayaran Upah Lembur (PEMANCANGAN TIANG PANCANG  )</t>
  </si>
  <si>
    <t>PKS.K022022-1223</t>
  </si>
  <si>
    <t>By. Pembelian Tali Setatar U/ Genset Perumahan PKS</t>
  </si>
  <si>
    <t>PKS.K022014-1223</t>
  </si>
  <si>
    <t>By. Pembelian Tali Tampar U/ Menarik Kabel Listrik Perumahan PKS</t>
  </si>
  <si>
    <t>By. Pembayaran Upah Lembur (Pemasangan Kabel Perumahan PKS</t>
  </si>
  <si>
    <t>PKS.M04058-1223</t>
  </si>
  <si>
    <t>By.Tahap IV &amp; V progress 16,1903% atas progress jasa 
Pekerjaan Jaringan Listrik 20KV PKS
INV.001 Tgl.020124 SPK.021 BAPP.01</t>
  </si>
  <si>
    <t>Semen u/ pengecoran rumah pompa rohto</t>
  </si>
  <si>
    <t>PKS.K022007-0124</t>
  </si>
  <si>
    <t>Via. Andy Kinanjar S</t>
  </si>
  <si>
    <t>By. Pemi Overtime Operator Crane Kato 250 (39-01)</t>
  </si>
  <si>
    <t>PKS.K022016-0124</t>
  </si>
  <si>
    <t>Via. Jonathan C</t>
  </si>
  <si>
    <t xml:space="preserve">By. Pembelian Kikir U/ Gergaji Chainsaw
</t>
  </si>
  <si>
    <t>PKS.M04054-0124</t>
  </si>
  <si>
    <t>By.Tahap II Progress 2.08%
atas Pekerjaan Mekanikal PKS Kapasitas 45 TPH
Inv.424 Tgl.020124 SPK.014 BAPP.03</t>
  </si>
  <si>
    <t>PKS.M04056-0124</t>
  </si>
  <si>
    <t>By.Tahap II Progress ke-5 (0,771%)
atas Pekerjaan Tambah Beton Bertulang PKS
Inv.059 Tgl.291223 SPK.012 BAPP.071</t>
  </si>
  <si>
    <t>PKS.K022034-0124</t>
  </si>
  <si>
    <t>Nur Wijaya</t>
  </si>
  <si>
    <t xml:space="preserve">By. Pembelian Batu Gerinda, Kaca Las &amp; Klem ss 1/2" U/ WTP
</t>
  </si>
  <si>
    <t>PKS.M05100-0124</t>
  </si>
  <si>
    <t>Reclass KSA.B071085-0124 FLINE 1</t>
  </si>
  <si>
    <t>By Pemasangan Batako dan Plastor, Acian Rumah Pompa Rotto PKS</t>
  </si>
  <si>
    <t>PKS.M05002-0124</t>
  </si>
  <si>
    <t>GAJI SKU HARIAN BULAN JANUARI 2024 PKS SUNGAI CABANG</t>
  </si>
  <si>
    <t>By. Pembayaran Lembur Pekerjaan WTP</t>
  </si>
  <si>
    <t>By. Pembayaran Lembur Pekerjaan Boiler</t>
  </si>
  <si>
    <t>By. Pembayaran Lembur Pekerjaan Listrik</t>
  </si>
  <si>
    <t>By. Pembayaran Lembur Pekerjaan Station Kernel</t>
  </si>
  <si>
    <t>PKS.M05068-0124</t>
  </si>
  <si>
    <t>PT BKB - BY. PEMAKAIAN MATERIAL JANUARI 2024</t>
  </si>
  <si>
    <t>S/S PIPA SCH40 - 1/2"</t>
  </si>
  <si>
    <t>S/S DOUBLE NEEPLE 1/2"</t>
  </si>
  <si>
    <t>S/S WATER MUR 1/2"</t>
  </si>
  <si>
    <t>PKS.M06002-0124</t>
  </si>
  <si>
    <t>PEMAKAIAN PERSEDIAAN Jan 2024</t>
  </si>
  <si>
    <t>0009</t>
  </si>
  <si>
    <t>PKS.M04058-0124</t>
  </si>
  <si>
    <t>By.Thp II &amp; III Progress ke-2 (10,4026%)
a/FAT &amp; Material On SitePekerjaan Tambah Design &amp; Build Elektrikal PKS
Inv.04 Tgl.290124 SPK.011 BAPP 05</t>
  </si>
  <si>
    <t>PKS.M04057-0124</t>
  </si>
  <si>
    <t>By.Tahap IV &amp; V progress ke-1 67%
a/Progress dan Comm. Pekerjaan Tambahan Jaringan Listrik 20KV PKS
Inv.06 Tgl.290124 SPK.010 BAPP.08</t>
  </si>
  <si>
    <t>PKS.M04059-0124</t>
  </si>
  <si>
    <t>By.Thp II &amp; III Progress ke-1 (6,2411%)
a/FAT &amp; Material On Site Pekerjaan Tambahan 
Jaringan Listrik 20KV PKS
Inv.05 Tgl.290124 SPK.010 BAPP.06</t>
  </si>
  <si>
    <t>PKS.M04060-0124</t>
  </si>
  <si>
    <t>By.Tahap II &amp; III Progres ke-6 (6,1386%)
atas FAT &amp; MoS Pekerjaan Design &amp; Build Elektrikal PKS
Inv.07 Tgl.290124 SPK.017 BAPP.07</t>
  </si>
  <si>
    <t>PKS.M04051-0124</t>
  </si>
  <si>
    <t>THP 20% LH G10 PERMANEN NO.29 DI BLOK 9
SPK.006 INV.002</t>
  </si>
  <si>
    <t>PKS.M04052-0124</t>
  </si>
  <si>
    <t>PERIODE JANUARI 2024
RET % LH G10 PERMANEN NO.29 DI BLOK 9
SPK.006</t>
  </si>
  <si>
    <t>PKS.M09005-0124</t>
  </si>
  <si>
    <t>PKS.M05101-0124</t>
  </si>
  <si>
    <t>HUB R/K KSA.M09005-0124 RAcct @ HUB.REK KORAN - S.CABANG PKS</t>
  </si>
  <si>
    <t xml:space="preserve">Cost fr 111904005602 FARM TRACTOR - KUBOTA M9540 (FT-02)/32-03
- Angkutan untuk langsir kayu pembakaran boiler
</t>
  </si>
  <si>
    <t xml:space="preserve">Cost fr 111904005605 FARM TRACTOR - KUBOTA M9540 (FT-05)/32-06
- Angkutan untuk langsir kayu pembakaran boiler
</t>
  </si>
  <si>
    <t xml:space="preserve"> Cost fr 111904005332 EXCAVATOR HITACHI ZX210F-5G (33-36)
- Pancang Jalur Pigging System ( St. Dispatch )
</t>
  </si>
  <si>
    <t>PKS.M03096-0124</t>
  </si>
  <si>
    <t>ALOKASI BIAYA TIDAK LANGSUNG KE PRA OPERASIONAL</t>
  </si>
  <si>
    <t>JANUARI 2024</t>
  </si>
  <si>
    <t>0124</t>
  </si>
  <si>
    <t>2024</t>
  </si>
  <si>
    <t>0224</t>
  </si>
  <si>
    <t>0324</t>
  </si>
  <si>
    <t>0424</t>
  </si>
  <si>
    <t>0524</t>
  </si>
  <si>
    <t>0624</t>
  </si>
  <si>
    <t>0724</t>
  </si>
  <si>
    <t>0824</t>
  </si>
  <si>
    <t>0924</t>
  </si>
  <si>
    <t>1024</t>
  </si>
  <si>
    <t>1124</t>
  </si>
  <si>
    <t>1224</t>
  </si>
  <si>
    <t>PEMAKAIAN PERSEDIAAN Feb 2024</t>
  </si>
  <si>
    <t>PKS.M06002-0224</t>
  </si>
  <si>
    <t>PKS.M05002-0224</t>
  </si>
  <si>
    <t>GAJI SKU HARIAN BULAN FEBRUARI 2024 PKS SUNGAI CABANG</t>
  </si>
  <si>
    <t>PKS.M09005-0224</t>
  </si>
  <si>
    <t>PT. JAYA BANGUN PERKASA (DPP)</t>
  </si>
  <si>
    <t>PKS.M04055-0224</t>
  </si>
  <si>
    <t>By.Tahap III Progress ke-14 (0,297%) 
atas Pekerjaan Beton Bertulang PKS
Inv.02 Tgl.060224 SPK.015 BAPP.09</t>
  </si>
  <si>
    <t>PKS.M04056-0224</t>
  </si>
  <si>
    <t>By.Tahap II Progress ke-6 (0,601%) 
atas Pekerjaan Tambah Beton Bertulang PKS
Inv.03 Tgl.060224 SPK.012 BAPP.010</t>
  </si>
  <si>
    <t>PKS.M04057-0224</t>
  </si>
  <si>
    <t>By.Tahap II Progress ke-1 (49.380%) 
atas Pekerjaan Tambah Kedua Beton Bertulang PKS 
Inv. 06 SPK. 001 BAPP. 14</t>
  </si>
  <si>
    <t>PKS.M03096-0224</t>
  </si>
  <si>
    <t>FEBRUARI 2024</t>
  </si>
  <si>
    <t>PKS.M04051-0224</t>
  </si>
  <si>
    <t>PEMBANGUNAN TAHAP II  50 % LH G10 PERMANEN NO.28 DI BLOK 09
SPK.005 BAPP.005</t>
  </si>
  <si>
    <t>PKS.M04053-0224</t>
  </si>
  <si>
    <t>PEMBANGUNAN LONGHOUSE G10 PERMANEN NO.35 DI BLOK 09
SPK.013 BAPP.006</t>
  </si>
  <si>
    <t>PKS.M04054-0224</t>
  </si>
  <si>
    <t>By.Tahap II Progress 2.95%
atas Pekerjaan Mekanikal PKS Kapasitas 45 TPH
Inv.798 Tgl.010224 SPK.014 BAPP.11</t>
  </si>
  <si>
    <t>PKS.M05101-0224</t>
  </si>
  <si>
    <t>HUB R/K KSA.M09005-0224 RAcct @ Hub. REK KORAN - SUNGAI CABANG PKS</t>
  </si>
  <si>
    <t xml:space="preserve">Beban General Commisioning  ( evakuasi crane )
</t>
  </si>
  <si>
    <t>RAcct @ ADK MESIN PENUNJANG - GENERAL WO</t>
  </si>
  <si>
    <t xml:space="preserve">ADK power supply ( Angkut genset 250 KVA )
</t>
  </si>
  <si>
    <t xml:space="preserve">ADK power supply ( Angkut genset 250 KVA )
</t>
  </si>
  <si>
    <t xml:space="preserve">Beban Boiler Pemakaian Unit ( Angkut ash conveyor boiler )
</t>
  </si>
  <si>
    <t xml:space="preserve">Beban Boiler Pemakaian Unit ( Angkut ash conveyor boiler )
</t>
  </si>
  <si>
    <t xml:space="preserve">Beban Boiler Pemakaian Unit ( Angkut ash conveyor boiler )
</t>
  </si>
  <si>
    <t>PEMBUATAN PANCANG PONDASI PIGING DI BLOK 09
SPK.003 BAPP.007</t>
  </si>
  <si>
    <t xml:space="preserve">Despact Oil  ( Langsir &amp; Pancang Jalur Pigging )
</t>
  </si>
  <si>
    <t xml:space="preserve">Despact Oil  ( Langsir &amp; Pancang Jalur Pigging )
</t>
  </si>
  <si>
    <t>By. Pembayaran Lembur Pemasangan Kabel Ke kebun</t>
  </si>
  <si>
    <t>PKS.B012006-0324</t>
  </si>
  <si>
    <t>By.Tahap I  DP 20% atas Pekerjaan Tambah Kedua Beton Bertulang Inv. 05 Tgl. 010224 SPK. 001-Pokok      = 1.272.470.969-PPN        =    139.971.807-PPh 4(2)  =   (33.720.480)</t>
  </si>
  <si>
    <t>PKS.M04054-0324</t>
  </si>
  <si>
    <t>By.Tahap II Progress 2.86%
atas Pekerjaan Mekanikal PKS Kapasitas 45 TPH
Inv.809 Tgl.080324 SPK.014 BAPP.18</t>
  </si>
  <si>
    <t>PKS.M04056-0324</t>
  </si>
  <si>
    <t>By.Tahap III Progress ke-15 (0,029%) 
atas Pekerjaan Beton Bertulang PKS
Inv.07 Tgl.280224 SPK.015 BAPP.15</t>
  </si>
  <si>
    <t>PKS.M04057-0324</t>
  </si>
  <si>
    <t>By.Tahap II Progress ke-2 (3.092%) 
atas Pekerjaan Tambah Kedua Beton Bertulang PKS 
Inv.08 Tgl.280224 SPK.001 BAPP.016</t>
  </si>
  <si>
    <t>PKS.M04058-0324</t>
  </si>
  <si>
    <t>PT.SINERGI INDO PRANATA (DPP)</t>
  </si>
  <si>
    <t>By.Tahap IV&amp;V Progress ke-3 (10,71%) 
atas Jasa &amp; Commisioning Pekerjaan Design &amp; Build Elektrikal PKS 
Inv. 011 Tgl. 010324 SPK. 017 BAPP. 02</t>
  </si>
  <si>
    <t>PT.SINERGI INDO PRANATA (PPN)</t>
  </si>
  <si>
    <t>PKS.M04059-0324</t>
  </si>
  <si>
    <t>By.Tahap IV &amp; V progress 27% atas progress jasa 
Pekerjaan Tambah Jaringan Listrik 20KV PKS
Inv.012 Tgl.010324 SPK.010 BAPP.12</t>
  </si>
  <si>
    <t>PKS.K022022-0324</t>
  </si>
  <si>
    <t xml:space="preserve">By. Pembelian Refil Gas 12 KG U/ Workshop
</t>
  </si>
  <si>
    <t>PKS.K022025-0324</t>
  </si>
  <si>
    <t>By. Pembelian Ball Valve SS 316 1/2" U/ Pipa Sampel di st. WTP</t>
  </si>
  <si>
    <t>PKS.K022034-0324</t>
  </si>
  <si>
    <t>316204007003</t>
  </si>
  <si>
    <t xml:space="preserve">By. Pembelian Spatula Lab U/ Laboratorium
</t>
  </si>
  <si>
    <t>PKS.M05100-0324</t>
  </si>
  <si>
    <t>HUB R/K KSA.M05011-0324 FLINE 34</t>
  </si>
  <si>
    <t>BY. BONGKAR LCT MATERIAL BOILER</t>
  </si>
  <si>
    <t>HUB R/K KSA.M05011-0324 FLINE 35</t>
  </si>
  <si>
    <t>BY. BONGKAR BARANG PKS VIA KS 04 (MATERIAL BOILER)</t>
  </si>
  <si>
    <t>HUB R/K KSA.M05067-0324 FLINE 28</t>
  </si>
  <si>
    <t>BY. BONGKAR CANGKANG BOILER</t>
  </si>
  <si>
    <t>PKS.M05002-0324</t>
  </si>
  <si>
    <t>GAJI SKU HARIAN BULAN MARET 2024 PKS SUNGAI CABANG</t>
  </si>
  <si>
    <t>HUB R/K KSA.B071165-0324 FLINE 1</t>
  </si>
  <si>
    <t xml:space="preserve">Biaya Kirim Bang ( Low Drop Check Value ) ke Medan
Sebanyak 1 Coly ( 67kg )
</t>
  </si>
  <si>
    <t>PKS.M06002-0324</t>
  </si>
  <si>
    <t>PEMAKAIAN PERSEDIAAN Mar 2024</t>
  </si>
  <si>
    <t>HUB R/K KSA.M05110-0324 FLINE 2</t>
  </si>
  <si>
    <t xml:space="preserve">BY ANGKUTAN CANGKANG SAWIT SEB. 200 TON ( EST. I )
PERIODE MARET 2024
INV. 31032024 SPK 012, BAPP 32
</t>
  </si>
  <si>
    <t>HUB R/K KSA.M05110-0324 FLINE 3</t>
  </si>
  <si>
    <t xml:space="preserve">BY ANGKUTAN KAYU HALABAN SEB.  13,50 TON ( EST. I )
PERIODE MARET 2024
INV. 31032024 SPK 012, BAPP 32
</t>
  </si>
  <si>
    <t>HUB R/K KSA.M05111-0324 FLINE 3</t>
  </si>
  <si>
    <t xml:space="preserve">BY ANGKUTAN MATERIAL BANGUNAN SEB. 12 TON ( PKS )
PERIODE MARET 2024
INV. 31032024 SPK 002, BAPP 023
</t>
  </si>
  <si>
    <t>HUB R/K KSA.M05111-0324 FLINE 4</t>
  </si>
  <si>
    <t xml:space="preserve">BY ANGKUTAN MATERIAL BANGUNAN SEB. 11 TON ( PKS )
PERIODE MARET 2024
INV. 31032024 SPK 002, BAPP 023
</t>
  </si>
  <si>
    <t>HUB R/K KSA.M05111-0324 FLINE 6</t>
  </si>
  <si>
    <t xml:space="preserve">BY ANGKUTAN KAYU HALABAN  SEB. 25 TON ( PKS )
PERIODE MARET 2024
INV. 31032024 SPK 002, BAPP 023
</t>
  </si>
  <si>
    <t>PKS.M04053-0324</t>
  </si>
  <si>
    <t>pelunasan retensi 5% atas pembangunan
1 unit LH G10 Permanen Staff PKS 
No.34 di Sungai Cabang (Blok 9)
Inv.129 SPK.009 BAPP.003</t>
  </si>
  <si>
    <t>PKS.M04179-0324</t>
  </si>
  <si>
    <t>KOREKSI - PT. BKSJ (RETENSI) FEBRUARI 2024</t>
  </si>
  <si>
    <t>PKS.M05065-0324</t>
  </si>
  <si>
    <t>PEMBAYARAN ANGKUTAN BKMS BULAN MARET 2024 - DPP</t>
  </si>
  <si>
    <t>By. Angkutan cangkang boiler</t>
  </si>
  <si>
    <t>PEMBAYARAN ANGKUTAN BKMS BULAN MARET 2024 - PPN</t>
  </si>
  <si>
    <t xml:space="preserve">PPN 11%
</t>
  </si>
  <si>
    <t>PKS.M09005-0324</t>
  </si>
  <si>
    <t>PKS.M03096-0324</t>
  </si>
  <si>
    <t>MARET 2024</t>
  </si>
  <si>
    <t>PKS.M04051-0324</t>
  </si>
  <si>
    <t>TAHAP III  20 % LH G10 PERMANEN NO.28 (BLOK 9)
SPK.005 BAPP.009</t>
  </si>
  <si>
    <t>PKS.M04041-0324</t>
  </si>
  <si>
    <t>HUB R/K KSA.M09005-0324 RAcct @ HUB.REK.KORAN RO</t>
  </si>
  <si>
    <t xml:space="preserve"> Cost fr 111904005103 BACKHOE LOADER CATERPILLAR 416  (36-14)</t>
  </si>
  <si>
    <t xml:space="preserve"> Cost fr 111904005304 EXCAVATOR KOBELCO SK200-10/SK200XDL-10 (33-17)</t>
  </si>
  <si>
    <t xml:space="preserve"> Cost fr 111904004613 KENDARAAN AIR - SPEED BOAT BLUE WHALE</t>
  </si>
  <si>
    <t>PKS.M04052-0324</t>
  </si>
  <si>
    <t>PEMBANGUNAN LH G10 PERMANEN NO.28 (BLOK 9)
SPK.005 BAPP.009</t>
  </si>
  <si>
    <t>TAHAP III  20 % KANTOR PKS (BLOK 9)
SPK.015 BAPP.010</t>
  </si>
  <si>
    <t>PEMBANGUNAN KANTOR PKS (BLOK 9)
SPK.015 BAPP.010</t>
  </si>
  <si>
    <t>PKS.M04055-0424</t>
  </si>
  <si>
    <t>Tahap III Progress ke-16 (0,526%) 
atas Pekerjaan Beton Bertulang PKS
Inv.10 Tgl.250324 SPK.015 BAPP.19</t>
  </si>
  <si>
    <t>PKS.M04056-0424</t>
  </si>
  <si>
    <t>Tahap II Progress ke-3 (1,198%) 
atas Pekerjaan Tambah Kedua Beton Bertulang PKS 
Inv.11 Tgl.250324 SPK.001 BAPP.20</t>
  </si>
  <si>
    <t>PKS.M04054-0424</t>
  </si>
  <si>
    <t>By.Tahap II Progress 1,66%
atas Pekerjaan Mekanikal PKS Kapasitas 45 TPH
Inv.814 Tgl.020424 SPK.014 BAPP.23</t>
  </si>
  <si>
    <t>PKS.M04057-0424</t>
  </si>
  <si>
    <t>PT.ARINA KARYA SENTOSA (DPP)</t>
  </si>
  <si>
    <t>By.Tahap I Material on Site 70,00%
atas Pekerjaan Tambah Kedua Mekanikal PKS Kapasitas 45 TPH
Inv.813 Tgl.010424 SPK.002 BAPP.21</t>
  </si>
  <si>
    <t>PT.ARINA KARYA SENTOSA (PPN)</t>
  </si>
  <si>
    <t>PKS.M04058-0424</t>
  </si>
  <si>
    <t>PT. ARINA KARYA SENTOSA (DPP)</t>
  </si>
  <si>
    <t>By.Tahap II Progress 74,79%
atas Pekerjaan Tambah Mekanikal PKS Kapasitas 45 TPH
Inv.812 Tgl.010424 SPK.014 BAPP.22</t>
  </si>
  <si>
    <t>PT. ARINA KARYA SENTOSA (PPN)</t>
  </si>
  <si>
    <t>PKS.K022018-0424</t>
  </si>
  <si>
    <t xml:space="preserve">By. Pembelian Nippel 1/2" U/ Instalasi dossing pump WTP
</t>
  </si>
  <si>
    <t xml:space="preserve">By. Pembelian Selang benang 1/2" U/ Instalasi dossing pump WTP
</t>
  </si>
  <si>
    <t xml:space="preserve">By. Pembelian klem stainless 3/4" U/ Instalasi dossing pump WTP
</t>
  </si>
  <si>
    <t>PKS.K022024-0424</t>
  </si>
  <si>
    <t xml:space="preserve">By. Pembelian Gas LPG 12 Kg U/ Pengelasan di WTP
</t>
  </si>
  <si>
    <t>PKS.K022030-0424</t>
  </si>
  <si>
    <t xml:space="preserve">By. Pembelian Bensin U/ Cangkang Boiler
</t>
  </si>
  <si>
    <t>PKS.K022033-0424</t>
  </si>
  <si>
    <t xml:space="preserve">By. Pembelian Baut U/ Klarifikasi
</t>
  </si>
  <si>
    <t>PKS.M05100-0424</t>
  </si>
  <si>
    <t>HUB R/K KSA.B071123-0424 FLINE 1</t>
  </si>
  <si>
    <t>By Sewa Pelabuhan Untuk Bongkar Muat Kayu Halaban Seb. 2 Truck</t>
  </si>
  <si>
    <t>HUB R/K KSA.K011101-0424 FLINE 1</t>
  </si>
  <si>
    <t>By Sewa Pelabuhan Keperluan Muat Kayu Halaban</t>
  </si>
  <si>
    <t>HUB R/K KSA.K011055-0424 FLINE 1</t>
  </si>
  <si>
    <t>PKS.M05002-0424</t>
  </si>
  <si>
    <t>GAJI SKU HARIAN BULAN APRIL 2024 PKS SUNGAI CABANG</t>
  </si>
  <si>
    <t>By. Pembayaran Gaji, Lembur &amp; Tunjangan Boiler</t>
  </si>
  <si>
    <t>By. Pembayaran Gaji, Lembur &amp; Tunjangan Press</t>
  </si>
  <si>
    <t>By. Pembayaran Gaji, Lembur &amp; Tunjagan Klarifikasi</t>
  </si>
  <si>
    <t>By. Pembayaran Gajih, Tunjangan &amp; Lembur Loading Ramp</t>
  </si>
  <si>
    <t>By. Pembayaran Gajih, Tunjangan &amp; Lembur Nut &amp; Kernel</t>
  </si>
  <si>
    <t>By. Pembayaran Gajih, Tunjangan Thereser</t>
  </si>
  <si>
    <t>PKS.M03096-0424</t>
  </si>
  <si>
    <t>PKS.M09005-0424</t>
  </si>
  <si>
    <t xml:space="preserve"> Cost fr 311904007301 SARANA PENUNJANG-WATER SUPLAY</t>
  </si>
  <si>
    <t xml:space="preserve"> Cost fr 311904007302 SARANA PENUNJANG-POWER SUPPLY</t>
  </si>
  <si>
    <t>PKS.M05099-0424</t>
  </si>
  <si>
    <t>KOREKSI MEMO PKS.M04041-0324 FLINE 1</t>
  </si>
  <si>
    <t>KOREKSI MEMO PKS.M04041-0324 FLINE 3</t>
  </si>
  <si>
    <t>KOREKSI MEMO PKS.M04041-0324 FLINE 9</t>
  </si>
  <si>
    <t>KOREKSI MEMO PKS.M04041-0324 FLINE 15</t>
  </si>
  <si>
    <t>KOREKSI MEMO PKS.M04041-0324 FLINE 17</t>
  </si>
  <si>
    <t>KOREKSI MEMO PKS.M04041-0324 FLINE 19</t>
  </si>
  <si>
    <t>KOREKSI MEMO PKS.M04041-0324 FLINE 21</t>
  </si>
  <si>
    <t>KOREKSI MEMO PKS.M04041-0324 FLINE 25</t>
  </si>
  <si>
    <t>KOREKSI MEMO PKS.M04041-0324 FLINE 27</t>
  </si>
  <si>
    <t>KOREKSI MEMO PKS.M04041-0324 FLINE 29</t>
  </si>
  <si>
    <t>KOREKSI MEMO PKS.M04041-0324 FLINE 31</t>
  </si>
  <si>
    <t>KOREKSI MEMO PKS.M04041-0324 FLINE 33</t>
  </si>
  <si>
    <t>KOREKSI MEMO PKS.M04041-0324 FLINE 35</t>
  </si>
  <si>
    <t>KOREKSI MEMO PKS.M04041-0324 FLINE 37</t>
  </si>
  <si>
    <t>KOREKSI MEMO PKS.M04041-0324 FLINE 39</t>
  </si>
  <si>
    <t>HUB R/K KSA.M05105-0424 FLINE 2</t>
  </si>
  <si>
    <t xml:space="preserve">"BY ANGKUTAN KAYU HALABAN SEB. 17,00 TON ( PKS )
PERIODE APRIL 2024
INV. 30042024 SPK 008, BAPP 40"
</t>
  </si>
  <si>
    <t>HUB R/K KSA.M05103-0424 FLINE 1</t>
  </si>
  <si>
    <t>BY ANGKUTAN KAYU HALABAN</t>
  </si>
  <si>
    <t>HUB R/K KSA.M05112-0424 FLINE 2</t>
  </si>
  <si>
    <t>BY. ANGKUTAN PAGAR BRC</t>
  </si>
  <si>
    <t>PKS.M06002-0424</t>
  </si>
  <si>
    <t>PEMAKAIAN PERSEDIAAN Apr 2024</t>
  </si>
  <si>
    <t>PKS.M05004-0424</t>
  </si>
  <si>
    <t>BAYARAN IUARAN JAMSOSTEK SKU PKS APRIL 2024</t>
  </si>
  <si>
    <t>PKS.M05065-0424</t>
  </si>
  <si>
    <t>PEMBAYARAN ANGKUTAN BKMS BULAN APRIL 2024</t>
  </si>
  <si>
    <t>PKS.M04041-0424</t>
  </si>
  <si>
    <t>HUB R/K - KSA.M09005-0424 RAcct @ HUB.REK KORAN - S.CABANG PKS</t>
  </si>
  <si>
    <t xml:space="preserve"> Cost fr 111904004614 KENDARAAN AIR - KELOTOK KS-05</t>
  </si>
  <si>
    <t>PKS.M04051-0524</t>
  </si>
  <si>
    <t>316204009002</t>
  </si>
  <si>
    <t>Tahap I 100% atas pembuatan pancang pondasi piging 28 Titik (Blok 70)
Inv.014 SPK.003</t>
  </si>
  <si>
    <t>PKS.M04055-0524</t>
  </si>
  <si>
    <t>By.Tahap II Progress 8,16% atas Pekerjaan Tambah Mekanikal PKS Kapasitas 45 TPH Inv.add001 Tgl.140524 SPK.014 BAPP.27</t>
  </si>
  <si>
    <t>PKS.K022005-0524</t>
  </si>
  <si>
    <t xml:space="preserve">By. Pembelian Baut, Ring Plat &amp; Selang Benang U/ WTP
</t>
  </si>
  <si>
    <t xml:space="preserve">By. Pembelian Earplug U/ Commisioning Pabrik
</t>
  </si>
  <si>
    <t>PKS.K022010-0524</t>
  </si>
  <si>
    <t xml:space="preserve">By. Pembelian Bensin U/ Klarifikasi
</t>
  </si>
  <si>
    <t>PKS.M05100-0524</t>
  </si>
  <si>
    <t>HUB R/K KSA.B071055-0524 FLINE 1</t>
  </si>
  <si>
    <t>By Pembelian Terpal dan Jasa Penutupan Cangkang di LCT</t>
  </si>
  <si>
    <t>HUB R/K KSA.K011027-0524 FLINE 1</t>
  </si>
  <si>
    <t>By Sewa Jasa Unit Lauder Keperluan Muat Cangkang di Pelabuhan LCT</t>
  </si>
  <si>
    <t>HUB R/K KSA.B071045-0524 FLINE 1</t>
  </si>
  <si>
    <t>By Sewa Jasa Unit LCT Keperluan Pembawaan Cangkang dari Kumai ke Site</t>
  </si>
  <si>
    <t>HUB R/K KSA.K011038-0524 FLINE 1</t>
  </si>
  <si>
    <t>By Jasa Penerpalan Cangkang di Unit LCT di Pelabuhan KSE</t>
  </si>
  <si>
    <t>HUB R/K KSA.K011100-0524 FLINE 1</t>
  </si>
  <si>
    <t>By Penerpal an Cangkang di LCT</t>
  </si>
  <si>
    <t>HUB R/K KSA.K011102-0524 FLINE 1</t>
  </si>
  <si>
    <t>Pembelian Tali pulley Bando U/ Pome</t>
  </si>
  <si>
    <t>HUB R/K KSA.B071089-0524 FLINE 1</t>
  </si>
  <si>
    <t>Sewa LCT Keperluan Muat Cangkang dari Kumai ke Sungai Cabang
Tanggal 20 Mei 2024</t>
  </si>
  <si>
    <t>HUB R/K KSA.B071091-0524 FLINE 1</t>
  </si>
  <si>
    <t>By Jasa Lauder Untuk Muat Cangkang ke Dalam LCT
Tanggal 21 Mei 2024</t>
  </si>
  <si>
    <t>HUB R/K KSA.K011063-0524 FLINE 1</t>
  </si>
  <si>
    <t>By Jasa Pengiriman Spare Part Alfa Lapal U/ Klarifikasi</t>
  </si>
  <si>
    <t>HUB R/K KSA.K011069-0524 FLINE 1</t>
  </si>
  <si>
    <t>By Jasa Penerpalan Cangkang di LCT Keperluan PKS</t>
  </si>
  <si>
    <t>HUB R/K KSA.B071065-0524 FLINE 1</t>
  </si>
  <si>
    <t>Sewa Loader Untuk Muat Cangkang ke Dalam LCT</t>
  </si>
  <si>
    <t>316204009003</t>
  </si>
  <si>
    <t>HUB R/K KSA.B071062-0524 FLINE 2</t>
  </si>
  <si>
    <t>Pembelian BBM Keperluan Operasional Speed Marlin ( u/ Komisoining )</t>
  </si>
  <si>
    <t>HUB R/K KSA.B071063-0524 FLINE 2</t>
  </si>
  <si>
    <t>Pembelian BBM Keperluan Speed Baracuda ( u/ Komisioning )</t>
  </si>
  <si>
    <t>HUB R/K KSA.B071064-0524 FLINE 1</t>
  </si>
  <si>
    <t>Pembelian BBM Keperluan Speed Blue Whale ( Komisioning )</t>
  </si>
  <si>
    <t>PKS.M04054-0524</t>
  </si>
  <si>
    <t>BY. Tahap II Progres 0,76%
atas Pekerjaan Mekanikal PKS Kapasitas 45 TPH
Inv.816 Tgl.090524 SPK.014 BAPP.26</t>
  </si>
  <si>
    <t>PKS.M05002-0524</t>
  </si>
  <si>
    <t>GAJI SKU HARIAN BULAN MEI 2024 PKS SUNGAI CABANG</t>
  </si>
  <si>
    <t>By. Pembayaran Upah, lembur, tunjangan U/ Commisioning</t>
  </si>
  <si>
    <t>PKS.M05004-0524</t>
  </si>
  <si>
    <t>BAYAR IURAN JAMSOSTEK SKU PKS MEI 2024</t>
  </si>
  <si>
    <t>By. Pembayaran BPJS Karyawan</t>
  </si>
  <si>
    <t>HUB R/K KSA.B071141-0524 FLINE 1</t>
  </si>
  <si>
    <t>By Taktis LCT Keperluan Muat Cangkang Tanggal 20 Mei 2024</t>
  </si>
  <si>
    <t>HUB R/K KSA.M05101-0524 FLINE 2</t>
  </si>
  <si>
    <t xml:space="preserve">BY ANGKUTAN KAYU HALABAN SEB. 27 TON ( PKS )
PERIODE MEI 2024
</t>
  </si>
  <si>
    <t>HUB R/K KSA.B071136-0524 FLINE 1</t>
  </si>
  <si>
    <t>By. Pembelian Terpal Plastik U/ Cangkang</t>
  </si>
  <si>
    <t>HUB R/K KSA.B071135-0524 FLINE 1</t>
  </si>
  <si>
    <t>By. Pembelian Ball Valve 2"</t>
  </si>
  <si>
    <t>By. Pembelian Skun SC 95</t>
  </si>
  <si>
    <t>By. Pembelian Seal Tip</t>
  </si>
  <si>
    <t>HUB R/K KSA.B071142-0524 FLINE 1</t>
  </si>
  <si>
    <t>By. Pembelian Pompa Drum Alda &amp; Takaran MinyakBy Taktis + BBM Solar</t>
  </si>
  <si>
    <t>PKS.M06002-0524</t>
  </si>
  <si>
    <t>PEMAKAIAN PERSEDIAAN May 2024</t>
  </si>
  <si>
    <t>HUB R/K KSA.M05001-0524 FLINE 25</t>
  </si>
  <si>
    <t>BY UPAH PHL AFD RAYON I</t>
  </si>
  <si>
    <t>HUB R/K KSA.M05001-0524 FLINE 26</t>
  </si>
  <si>
    <t>HUB R/K KSA.M05001-0524 FLINE 27</t>
  </si>
  <si>
    <t>BY UPAH PHL AFD RAYON I U/ ANGKUT BUAH DI REBUSAN</t>
  </si>
  <si>
    <t>PKS.M05065-0524</t>
  </si>
  <si>
    <t>PEMBAYARAN ANGKUTAN BKMS BULAN MEI 2024</t>
  </si>
  <si>
    <t>PPN 11%</t>
  </si>
  <si>
    <t>HUB R/K KSA.M05011-0524 FLINE 20</t>
  </si>
  <si>
    <t>BY UPAH PHL AFD RAYON I U/ BONGKAR CANGKANG</t>
  </si>
  <si>
    <t>HUB R/K KSA.M05011-0524 FLINE 86</t>
  </si>
  <si>
    <t>PKS.M04041-0524</t>
  </si>
  <si>
    <t>HUB R/K KSA.B071017-0524 SUJIANTO</t>
  </si>
  <si>
    <t>No. PO 0023/ L/ PKS/II/2024, tgl 28 Feb 2024
No. Inv 23042024, Tgl 23 Ffeb 2024</t>
  </si>
  <si>
    <t>HUB R/K KSA.B071047-0524 ZAINUDDIN MUSLIH</t>
  </si>
  <si>
    <t>No. PO 0023/PKS/II/2024, Tgl 28 Feb 2024
No. Inv 29042024, Tgl 29 Apr 2024</t>
  </si>
  <si>
    <t>PKS.M09005-0524</t>
  </si>
  <si>
    <t>HUB R/K KSA.M09005-0524 RAcct @ HUB.REK.KORAN RO</t>
  </si>
  <si>
    <t>HUB R/K KSA.M09005-0524 RAcct @ HUB.REK KORAN - S.CABANG PKS</t>
  </si>
  <si>
    <t>PKS.M03096-0524</t>
  </si>
  <si>
    <t>MEI 2024</t>
  </si>
  <si>
    <t>PKS.M08002-0524</t>
  </si>
  <si>
    <t>PEMAKAIN TBS INTI UNTUK BAHAN BAKU PRODUKSI PKS MEI 2024</t>
  </si>
  <si>
    <t>325</t>
  </si>
  <si>
    <t>326</t>
  </si>
  <si>
    <t>Commisioning</t>
  </si>
  <si>
    <t>B6: Material Lainnya Tiang Pancang</t>
  </si>
  <si>
    <t>Via BKB PEMBUATAN ALAT PANCANG PKS SEI CABANG</t>
  </si>
  <si>
    <t>Pemakaian Persediaan</t>
  </si>
  <si>
    <t>Buruh angkut</t>
  </si>
  <si>
    <t>BY.PENGUJIAN SAMPLE BETON DI POLITEKNIK NEGERI BANJARMASIN</t>
  </si>
  <si>
    <t>Pembelian Lokal</t>
  </si>
  <si>
    <t>KJPP MBPRU &amp; Rekan By.Pelunasan atas Pekerjaan Studi KelayakanPembangunan Pabrik Kelapa Sawit</t>
  </si>
  <si>
    <t>B6: Material Lainnya Main Building</t>
  </si>
  <si>
    <t>Prakarsa Muda Indonesia, PT atas Shipment Probolinggo ke Sungai Cab. Kumai</t>
  </si>
  <si>
    <t>ADK BANGUNAN KERJA - PEMBANGUNAN PABRIK KELAPA SAWIT</t>
  </si>
  <si>
    <t>ADK BANGUNAN KERJA - PEMBANGUNAN PABRIK KELAPA SAWIT KONTRAKTOR</t>
  </si>
  <si>
    <t>ADK BANGUNAN KERJA - PEMBANGUNAN PABRIK KELAPA SAWIT MATERIAL</t>
  </si>
  <si>
    <t>ADK BANGUNAN KERJA - PEMBANGUNAN PABRIK KELAPA SAWIT LAIN - LAIN</t>
  </si>
  <si>
    <t>ADK MESIN PENUNJANG - PEMASANGAN MESIN STATION BOILER</t>
  </si>
  <si>
    <t>ADK MESIN PENUNJANG - PEMASANGAN MESIN WATER TREATMENT PLANT</t>
  </si>
  <si>
    <t xml:space="preserve">ADK PERALATAN PENUNJANG - PERALATAN LABORATORIUM PKS </t>
  </si>
  <si>
    <t>ADK MESIN PENUNJANG - PEMASANGAN MESIN WATER TREATMENT PLANT MATERIAL</t>
  </si>
  <si>
    <t>Angkutan</t>
  </si>
  <si>
    <t>Alat berat</t>
  </si>
  <si>
    <t>24: Material Lainnya MECHANICAL &amp; ELECTRICAL</t>
  </si>
  <si>
    <t>ADK BANGUNAN KERJA - PEMBANGUNAN OIL STORAGE TANK CAP 3000 TON MATERIAL</t>
  </si>
  <si>
    <t>ADK MESIN PENUNJANG - GENERAL WORKS &amp; ENGINEERING  ALL STATION</t>
  </si>
  <si>
    <t xml:space="preserve">ADK MESIN PENUNJANG - PEMASANGAN MESIN STATION LOADING RAMP </t>
  </si>
  <si>
    <t>ADK MESIN PENUNJANG - PEMASANGAN MESIN STATION STERILIZATION</t>
  </si>
  <si>
    <t>ADK MESIN PENUNJANG - PEMASANGAN MESIN STATION THRESING</t>
  </si>
  <si>
    <t>ADK MESIN PENUNJANG - PEMASANGAN MESIN STATION NUT &amp; KERNEL</t>
  </si>
  <si>
    <t>ADK MESIN PENUNJANG - PEMASANGAN MESIN STATION CLARIFICATION</t>
  </si>
  <si>
    <t>ADK MESIN PENUNJANG - PEMASANGAN MESIN STATION POWER HOUSE</t>
  </si>
  <si>
    <t>ADK MESIN PENUNJANG - PEMASANGAN MESIN PENGOLAHAN LIMBAH</t>
  </si>
  <si>
    <t>ADK MESIN PENUNJANG - PEMASANGAN MESIN STATION DIGESTER &amp; PRESS</t>
  </si>
  <si>
    <t xml:space="preserve">ADK MESIN PENUNJANG - PEMASANGAN MESIN STATION DESPATCH OIL </t>
  </si>
  <si>
    <t>ADK PERALATAN PENUNJANG - PEMBUATAN MESIN ROOL PKS MATERIAL</t>
  </si>
  <si>
    <t>ADK PRASARANA UMUM - PEMASANGAN JARINGAN LISTRIK PKS</t>
  </si>
  <si>
    <t>ADK KONSTRUKSI LAINNYA - PANCANG PIGING 28 UNIT PKS KONTRAKTOR</t>
  </si>
  <si>
    <t>CATATAN</t>
  </si>
  <si>
    <t>-Sudah Lunas</t>
  </si>
  <si>
    <t>-Atas Biaya Perbaikan SLT</t>
  </si>
  <si>
    <t>TOTAL</t>
  </si>
  <si>
    <t>-</t>
  </si>
  <si>
    <t>Kontrak Tahap I</t>
  </si>
  <si>
    <t>Kontrak Tahap II</t>
  </si>
  <si>
    <t>Kontrak Tahap III</t>
  </si>
  <si>
    <t>NILAI KONTRAK</t>
  </si>
  <si>
    <t>REALISASI KONTRAK</t>
  </si>
  <si>
    <t>SISA KONTRAK</t>
  </si>
  <si>
    <t>VARIAN BUDGET</t>
  </si>
  <si>
    <t>-Pekerjaan Kantor PKS
-Pekerjaan Pondasi Timbangan dan Pos Timbangan
-Pekerjaan Pos Security
-Pekerjaan Pondasi Pigging System
-Pekerjaan Pondasi Solid Dryer
-Pekerjaan Pondasi WTP FILTER dan Rumah Pompa WTP
-Pekerjaan Pondasi dan Bundwall Tangki Solar</t>
  </si>
  <si>
    <t>-Pekerjaan Pondasi RO Boiler
-Pekerjaan Parit-parit
-Pekerjaan Bak Klarfikasi
-Pekerjaan Bak Cooling Tower
-Pekerjaan Kantor Proses
-Pekerjaan Pedestal-pedestal</t>
  </si>
  <si>
    <t>Dokumen Tender Mekanikal</t>
  </si>
  <si>
    <t>PT. Pasifik Arta Indonesia</t>
  </si>
  <si>
    <t>-Talang Air Main Building</t>
  </si>
  <si>
    <t>-Pembayaran Retensi belum terealisasi</t>
  </si>
  <si>
    <t>-Pekerjaan Struktur Solid System
-Pekerjaan Struktur RO Boiler
-Pekerjaan Struktur Rumah Pompa Pigging
-Pekerjaan Struktur ID Fan (2 Unt)
-Pekerjaan Conv. EFB No.3</t>
  </si>
  <si>
    <t>-Instalasi Turbin c/w Piping
-Siku dan Anchor L. Ramp No. 3
-Struktur Monorel u/ HSS
-Penambahan Fire Hydrant
-Gearmotor Polishing Drum</t>
  </si>
  <si>
    <t>-Penambahan Panel Turbin 2
-Modifikasi Panel Capacitor Bank</t>
  </si>
  <si>
    <t>-Perubahan Komponen LVMDP
-Penambahan Komponen Panel untuk EFB no.3
-Penambahan AutoTrafo u/ Oil Loading
-Penambahan Komponen Oil Loading
-Penambahan Komponen Panel All Station</t>
  </si>
  <si>
    <t>-Penambahan Material Grounding
-Penambahan 1 Set Lightning Arrester
-Penambahan Material dan Instalasi Tray Cable
-Pengurangan Kabel Twisted
-Pengurangan Instalasi Lampu dan Acc</t>
  </si>
  <si>
    <t>PT. MUGI</t>
  </si>
  <si>
    <t>PT. TSM</t>
  </si>
  <si>
    <t>PT. TSM, PT. PJE</t>
  </si>
  <si>
    <t>PT. AKL</t>
  </si>
  <si>
    <t>-Konsumsi Soil Investigasi</t>
  </si>
  <si>
    <t>Survey Penyelidikan Tanah</t>
  </si>
  <si>
    <t>PT. Geo Inti Perkasa</t>
  </si>
  <si>
    <t>-Dr. Rusdiansyah, ST., MT.</t>
  </si>
  <si>
    <t>-Joni Irawan, ST., MT.</t>
  </si>
  <si>
    <t>-Said Abdurahman</t>
  </si>
  <si>
    <t>-KJPP MPBRU &amp; Rekan</t>
  </si>
  <si>
    <t>-GA (Dinas Luar dll)</t>
  </si>
  <si>
    <t>-Pengakuan atas Retensi Talang Air</t>
  </si>
  <si>
    <t>-Pengakuan A/ Pembayaran DP dan Pot. DP+Ret.</t>
  </si>
  <si>
    <t>-Pengakuan A/ Pot. DP+Ret.</t>
  </si>
  <si>
    <t>-Atas Bea Cukai, PPn dan PPh Turbin Prime</t>
  </si>
  <si>
    <t>BUDGET RAB</t>
  </si>
  <si>
    <t>PEKERJAAN TAMBAHAN</t>
  </si>
  <si>
    <t>A9</t>
  </si>
  <si>
    <t>A10</t>
  </si>
  <si>
    <t>A11</t>
  </si>
  <si>
    <t>-Sudah Lunas+Transport</t>
  </si>
  <si>
    <t>A12</t>
  </si>
  <si>
    <t>-Dinas Luar dan Kunjungan</t>
  </si>
  <si>
    <t>C5</t>
  </si>
  <si>
    <t>Pengukuran Base Meter</t>
  </si>
  <si>
    <t>-Pekerjaan Final pada 86,59% (Sudah Lunas)</t>
  </si>
  <si>
    <t>-Pekerjaan Final pada 99,217% dan ada selisih nilai PPN dari 10% ke 11% (Sudah Lunas)</t>
  </si>
  <si>
    <t>-Pekerjaan Final pada 97,8797%(Sudah Lunas)</t>
  </si>
  <si>
    <t>-Final di 99,483% (Sudah Lunas)</t>
  </si>
  <si>
    <t>-Atas Packing Kayu</t>
  </si>
  <si>
    <t>Slab Precast</t>
  </si>
  <si>
    <t>TOTAL Owner Supply</t>
  </si>
  <si>
    <t>-Material Penunjang</t>
  </si>
  <si>
    <t>PKS.M04056-0624</t>
  </si>
  <si>
    <t>Tahap III Progress ke-18 (0,354%) atas Pekerjaan Beton Bertulang PKS
Inv.020 Tgl.290524 SPK.015 BAPP.29</t>
  </si>
  <si>
    <t>Tahap III Progress ke-17 (0,050%) atas Pekerjaan Beton Bertulang PKS
Inv.12 Tgl.300424 SPK.015 BAPP.24</t>
  </si>
  <si>
    <t>PKS.M04057-0624</t>
  </si>
  <si>
    <t>Tahap II Progress ke-4 (1,780%) atas Pekerjaan Tambah Kedua Beton Bertulang PKS Inv. 13 SPK. 001 BAPP. 25</t>
  </si>
  <si>
    <t>Tahap II Progress ke-5 (9.073%) atas Pekerjaan Tambah Kedua Beton Bertulang PKS Inv. 21 Tgl.290624 SPK. 001 BAPP. 30</t>
  </si>
  <si>
    <t>PKS.M05156-0624</t>
  </si>
  <si>
    <t>JOKO IRPRIYANTO</t>
  </si>
  <si>
    <t>Tahap I atas Pembayaran Kajian Teknis Baku Mutu Air Limbah Industri
Surat 056/K-Supp/I/KS/VI/2024 tgl 12 Juni 2024
SPK 0239/SPK-Dir/E/KS/VI/2024 tgl 12 Juni2024</t>
  </si>
  <si>
    <t>PKS.M04054-0624</t>
  </si>
  <si>
    <t>By.Tahap II Progress 5%
atas Pekerjaan Tambah Kedua Mekanikal PKS Kapasitas 45 TPH
Inv.002 Tgl.140524 SPK.002 BAPP.28</t>
  </si>
  <si>
    <t>PKS.M04058-0624</t>
  </si>
  <si>
    <t>THP II PROGRESS 0,34% ATAS PEKERJAAN MEKANIK PKS KAPASITAS 45 TPH
INV.268 TGL.300524 SPK.014 BAPP.33</t>
  </si>
  <si>
    <t>PKS.M04059-0624</t>
  </si>
  <si>
    <t>Tahap II Progress 6.59% atas Pekerjaan Tambah 
Kedua Mekanikal PKS Kapasitas 45 TPH 
Inv. 269 SPK. 002 BAPP. 34</t>
  </si>
  <si>
    <t>PKS.K022036-0624</t>
  </si>
  <si>
    <t xml:space="preserve">By. Pembelian BBM U/ Pompa Limbah
</t>
  </si>
  <si>
    <t>PKS.K022016-0624</t>
  </si>
  <si>
    <t xml:space="preserve">By. Pembelian Vanbelt A53 U/ St. Klarifikasi
</t>
  </si>
  <si>
    <t xml:space="preserve">By. Pembelian Skun SC 95-12 U/ Boiler
</t>
  </si>
  <si>
    <t>PKS.M04055-0624</t>
  </si>
  <si>
    <t>Tahap III Commisioning 15% atas Pengadaan 1 unit Boiler Water Treatment RO 
Inv. 9240294Tgl 180524 SPK. 022 BAPP.053</t>
  </si>
  <si>
    <t>PT. KASTRACO ENGINEERING (RETENSI)</t>
  </si>
  <si>
    <t>PKS.M04179-0624</t>
  </si>
  <si>
    <t>316204006005</t>
  </si>
  <si>
    <t>PT. BUANA KARYA SARANA JAYA - MEI 2024</t>
  </si>
  <si>
    <t>THP I 100% PEMBANGUNAN TEMPAT PARKIR MESSSTAFF PKS (BLOK 09)
SPK.005 BAPP.014</t>
  </si>
  <si>
    <t>THP 5% PEMBANGUNAN TEMPAT PARKIR MESSSTAFF PKS (BLOK 09)
SPK.005 BAPP.014</t>
  </si>
  <si>
    <t>PKS.K022007-0624</t>
  </si>
  <si>
    <t>Via. Ilmi</t>
  </si>
  <si>
    <t xml:space="preserve">By. Pembelian Konsumsi U/ Operator Stasiun
</t>
  </si>
  <si>
    <t>PKS.K022011-0624</t>
  </si>
  <si>
    <t>Via. Toni/wijaya</t>
  </si>
  <si>
    <t>By. Pembelian Perlengkapan U/ Tamu Comissioning</t>
  </si>
  <si>
    <t>PKS.K022012-0624</t>
  </si>
  <si>
    <t xml:space="preserve">By. Pembelian Flashdisk U/ General Commisioning
</t>
  </si>
  <si>
    <t>PKS.M05100-0624</t>
  </si>
  <si>
    <t>HUB R/K KSA.K011068-0624 FLINE 1</t>
  </si>
  <si>
    <t>By. Pembelian Cangkang Sawit  Keperluan PKS</t>
  </si>
  <si>
    <t>HUB R/K KSA.B071103-0624 FLINE 1</t>
  </si>
  <si>
    <t>By Pembayaran Cangkang TBS</t>
  </si>
  <si>
    <t>PKS.M05002-0624</t>
  </si>
  <si>
    <t>GAJI SKU HARIAN BULAN JUNI 2024 PKS SUNGAI CABANG</t>
  </si>
  <si>
    <t>By. Pembayaran Upah, Tunjangan &amp; Lembur All Stasiun</t>
  </si>
  <si>
    <t>PKS.M05004-0624</t>
  </si>
  <si>
    <t>BAYAR IURAN JAMSOSTEK SKU PKS JUNI 2024</t>
  </si>
  <si>
    <t>PKS.K022029-0624</t>
  </si>
  <si>
    <t>By. Pembelian BBM U/ Pompa Robin</t>
  </si>
  <si>
    <t>By. Pembelian BBM U/ Pengurasan Bak Fat Pit</t>
  </si>
  <si>
    <t>-Retensi</t>
  </si>
  <si>
    <t>BTL 1</t>
  </si>
  <si>
    <t>-Supporting, EHS, Klinik dll</t>
  </si>
  <si>
    <t>B7</t>
  </si>
  <si>
    <t>Material Penunjang</t>
  </si>
  <si>
    <t>Atas Atap Cladding dan Perlengkapan</t>
  </si>
  <si>
    <t>Gearmotor</t>
  </si>
  <si>
    <t>Moving Floor</t>
  </si>
  <si>
    <t>Sprocket</t>
  </si>
  <si>
    <t>Material Penunjang dan Workshop</t>
  </si>
  <si>
    <t>-Biaya Shipment Probolinggo to Sei. Cabang</t>
  </si>
  <si>
    <t>- Biaya RKP masih estimasi, nilai kontrak adl Rp2.623.220.804
-Final di 96,78% dg nilai Rp2.538.748.028</t>
  </si>
  <si>
    <t>327</t>
  </si>
  <si>
    <t>328</t>
  </si>
  <si>
    <t>Penggunaan Alat Berat dan Unit</t>
  </si>
  <si>
    <t>Penggunaan Kendaraan Air</t>
  </si>
  <si>
    <t>329</t>
  </si>
  <si>
    <t>Gaji dan Upah Karyawan</t>
  </si>
  <si>
    <t>330</t>
  </si>
  <si>
    <t>Pembelian Lokal dan Konsumsi</t>
  </si>
  <si>
    <t>Untuk Tarikan Kabel dari PKS ke Mess PKS</t>
  </si>
  <si>
    <t>23A</t>
  </si>
  <si>
    <t>331</t>
  </si>
  <si>
    <t>Mesin Roll</t>
  </si>
  <si>
    <t>332</t>
  </si>
  <si>
    <t>Drum Thresher</t>
  </si>
  <si>
    <t>Mesin St. Press</t>
  </si>
  <si>
    <t>Timbangan Digital 40 Ton</t>
  </si>
  <si>
    <t>Chain 6"</t>
  </si>
  <si>
    <t>333</t>
  </si>
  <si>
    <t>Chain 4"</t>
  </si>
  <si>
    <t>Valve</t>
  </si>
  <si>
    <t>Ripple Mill 1 Unit</t>
  </si>
  <si>
    <t>Atas Pembelian Steam Heater</t>
  </si>
  <si>
    <t>Atas Pembelian Dosing Pump dan lainnya</t>
  </si>
  <si>
    <t>334</t>
  </si>
  <si>
    <t>Despatch Oil Pigging</t>
  </si>
  <si>
    <t>E. MOTOR, PULLEY DAN V BELT</t>
  </si>
  <si>
    <t>E. Motor Ash Conveyor dan Kap Las</t>
  </si>
  <si>
    <t>Penggantian Starter Panel dan Tapper lock</t>
  </si>
  <si>
    <t>Dosing Pump</t>
  </si>
  <si>
    <t>Kabel dan Skun ID Fan Boiler</t>
  </si>
  <si>
    <t>Untuk Workshop</t>
  </si>
  <si>
    <t>Untuk Fabrikasi dan Workshop</t>
  </si>
  <si>
    <t>Ball Valve</t>
  </si>
  <si>
    <t>Pompa grease, grease dan material workshop</t>
  </si>
  <si>
    <t>Alat Workhsop</t>
  </si>
  <si>
    <t>Chain Roller untuk mesin Roll</t>
  </si>
  <si>
    <t>Valve turbin dan BPV</t>
  </si>
  <si>
    <t>Mesin St. Kernel</t>
  </si>
  <si>
    <t>Flowmeter, Flange dan Kawat Las</t>
  </si>
  <si>
    <t>VTV Auto Make Up Steam</t>
  </si>
  <si>
    <t>Gland Packing</t>
  </si>
  <si>
    <t>Air Compressor</t>
  </si>
  <si>
    <t xml:space="preserve">Chain 6" </t>
  </si>
  <si>
    <t>VTV AUTO DRAIN SAND TRAP TANK</t>
  </si>
  <si>
    <t>Cangkang, Kayu dan Chemical</t>
  </si>
  <si>
    <t>VTV DEARATOR TEMPERATURE &amp; WATER LEVEL</t>
  </si>
  <si>
    <t xml:space="preserve">Sprocket   </t>
  </si>
  <si>
    <t>Sprocket  TRP (PO)</t>
  </si>
  <si>
    <t>SFB dan FFB Conveyor</t>
  </si>
  <si>
    <t>Vibrating Screen</t>
  </si>
  <si>
    <t xml:space="preserve">Conveyor Solid dan Waste
</t>
  </si>
  <si>
    <t>Genset 650 KVA</t>
  </si>
  <si>
    <t>SHINKO</t>
  </si>
  <si>
    <t>PRIME</t>
  </si>
  <si>
    <t>31A</t>
  </si>
  <si>
    <t>Turbin PRIME</t>
  </si>
  <si>
    <t>Jasa Aman Engineering</t>
  </si>
  <si>
    <t>Steam Separator</t>
  </si>
  <si>
    <t>Oli Genset dan Filter</t>
  </si>
  <si>
    <t>Solar, Oli, Filter dll U/Genset</t>
  </si>
  <si>
    <t>Instalasi Phonton</t>
  </si>
  <si>
    <t>Hydraulic Press</t>
  </si>
  <si>
    <t>Pipa HDPE</t>
  </si>
  <si>
    <t>Tee HDPE</t>
  </si>
  <si>
    <t>41A</t>
  </si>
  <si>
    <t>41B</t>
  </si>
  <si>
    <t>41C</t>
  </si>
  <si>
    <t>41D</t>
  </si>
  <si>
    <t>41E</t>
  </si>
  <si>
    <t>41F</t>
  </si>
  <si>
    <t>-LH G10 No.13</t>
  </si>
  <si>
    <t>-LH G10 No.28</t>
  </si>
  <si>
    <t>-LH G10 No.29</t>
  </si>
  <si>
    <t>-LH G10 No.34</t>
  </si>
  <si>
    <t>-LH G10 No.35</t>
  </si>
  <si>
    <t>-Parkiran Mess Staff</t>
  </si>
  <si>
    <t>41G</t>
  </si>
  <si>
    <t>41H</t>
  </si>
  <si>
    <t>-Pekerjaan Sumur Bor</t>
  </si>
  <si>
    <t xml:space="preserve">By.Tahap II Progress 2,8% atas Pekerjaan 
Mekanikal PKS Kapasitas 45 TPH  
</t>
  </si>
  <si>
    <t>Pekerjaan Workshop</t>
  </si>
  <si>
    <t>Oli dan Filter Genset</t>
  </si>
  <si>
    <t>Instalasi WIT</t>
  </si>
  <si>
    <t>319A</t>
  </si>
  <si>
    <t>-Pemakaian Genset Proyek</t>
  </si>
  <si>
    <t>Grounding Genset</t>
  </si>
  <si>
    <t>-Pemakaian Persediaan</t>
  </si>
  <si>
    <t>-Oli Bunch press</t>
  </si>
  <si>
    <t>-Oli untuk Bunch Press</t>
  </si>
  <si>
    <t>-Pembangunan Kantor PKS</t>
  </si>
  <si>
    <t>-Sisa Commisioning dan Retensi</t>
  </si>
  <si>
    <t>-Sisa Retensi 5%</t>
  </si>
  <si>
    <t>-Sisa Retensi 10%</t>
  </si>
  <si>
    <t>Dudukan Panel Press</t>
  </si>
  <si>
    <t>Biaya PPh Impor dan PPN Impor</t>
  </si>
  <si>
    <t>-Commisioning</t>
  </si>
  <si>
    <t>-Commisioning 10%</t>
  </si>
  <si>
    <t>WTP, Water Intake dan Phonton</t>
  </si>
  <si>
    <t>-Commisioning dan Retensi</t>
  </si>
  <si>
    <t>-Comm. 15% dan Retensi 5%</t>
  </si>
  <si>
    <t>-Biaya Material Penunjang Lainnya</t>
  </si>
  <si>
    <t>324A</t>
  </si>
  <si>
    <t>326A</t>
  </si>
  <si>
    <t>-Atas pembelian cangkang, penunjang commisioning, konsumsi commisioning dan Material keperluan Commisioning</t>
  </si>
  <si>
    <t>-Kategori DP, masuk account DP</t>
  </si>
  <si>
    <t>PT. Prakarsa Muda Indonesia</t>
  </si>
  <si>
    <t>-Invoice BKB dan FFD</t>
  </si>
  <si>
    <t>-Atas Mesin di WTP, Water Intake dan Ponton</t>
  </si>
  <si>
    <t>-LH G10 No.</t>
  </si>
  <si>
    <t>336</t>
  </si>
  <si>
    <t>337</t>
  </si>
  <si>
    <t>338</t>
  </si>
  <si>
    <t>339</t>
  </si>
  <si>
    <t>Steam Heater Kernel Silo</t>
  </si>
  <si>
    <t>-Ash Conveyor Boiler</t>
  </si>
  <si>
    <t>39A</t>
  </si>
  <si>
    <t>39B</t>
  </si>
  <si>
    <t>-Kabel Fan Boiler</t>
  </si>
  <si>
    <t>Alat Workshop dan Air Compressor</t>
  </si>
  <si>
    <t>-Material  (Oli, Valve, Flowmeter dan Pipa Besi) dan konsumabel workhsop lainnya</t>
  </si>
  <si>
    <t xml:space="preserve">Mesin St Thresher </t>
  </si>
  <si>
    <t>Collection Pump</t>
  </si>
  <si>
    <t>Radio HT</t>
  </si>
  <si>
    <t>Material u/bongkar muat</t>
  </si>
  <si>
    <t>Material Pipa dan MS Flange</t>
  </si>
  <si>
    <t>E3B</t>
  </si>
  <si>
    <t>Pemakaian Material PT. BKB</t>
  </si>
  <si>
    <t>-Pemakaian Material PT. BKB</t>
  </si>
  <si>
    <t>-Tambahan Packing Kayu</t>
  </si>
  <si>
    <t>-Biaya Workshop, safety, asuransi dan material lainnya</t>
  </si>
  <si>
    <t>'-Atas Pembayaran Tahap 1,27% sebesar Rp564.629.255,- 
yang tidak masuk dalam monitoring ini. Dimasukan disini</t>
  </si>
  <si>
    <t>-Atas Alat dan kebutuhan Lab</t>
  </si>
  <si>
    <t>-Biaya penggunaan Alat berat dan unit kebutuhan Proyek</t>
  </si>
  <si>
    <t>-Biaya Penggunaan Kendaraan air dan kebutuhan lainnya saat proyek</t>
  </si>
  <si>
    <t>-Gaji dan Upah karyawan kebutuhan proyek</t>
  </si>
  <si>
    <t>-Pembelian Lokal kebutuhan Proyek</t>
  </si>
  <si>
    <t>-Biaya PPh Impor dan PPN Import Material dari LN</t>
  </si>
  <si>
    <t>-Atas Alat berat untuk Perumahan PKS</t>
  </si>
  <si>
    <t>Sd Juni 2024</t>
  </si>
  <si>
    <t>Total Perumahan &amp; Waduk Air</t>
  </si>
  <si>
    <t>TOTAL ( I + II + III + IV + V + VI )</t>
  </si>
  <si>
    <t>Oli Turbin dan Besi Plat dan Pipa</t>
  </si>
  <si>
    <t>Fuel Overflow dan Dist Conv. Dan Agitator</t>
  </si>
  <si>
    <t>-Pemakaian Persediaan, Tamabahan Motor</t>
  </si>
  <si>
    <t>Pompa Rohto 60 M3</t>
  </si>
  <si>
    <t>Pipa Flange HDPE dll u/penyaluran air ke boundry</t>
  </si>
  <si>
    <t>321A</t>
  </si>
  <si>
    <t>Pancang Kayu Ulin Tiang Listrik</t>
  </si>
  <si>
    <t>Pipa HDPE untuk Jalur air ke Villa</t>
  </si>
  <si>
    <t>Helm Safety</t>
  </si>
  <si>
    <t>Ket:</t>
  </si>
  <si>
    <t>Sudah Lunas</t>
  </si>
  <si>
    <t>Belum Lunas</t>
  </si>
  <si>
    <t>Bayar PPh Impor dan PPN ImporPIB No.00002002917220230425000082 Tgl.3 Mei 2023Jatuh Tempo Bayar Tgl.8 Mei 2023 (Boiler)</t>
  </si>
  <si>
    <t>Bayar PPh Impor dan PPN ImporPIB No.0002002917220230425000083 Tgl.3 Mei 2023Jatuh Tempo Bayar Tgl.8 Mei 2023 (Mesin Press dan Diggester)</t>
  </si>
  <si>
    <t>-Tapak Perumahan</t>
  </si>
  <si>
    <t>335A</t>
  </si>
  <si>
    <t>335B</t>
  </si>
  <si>
    <t>-Boiler Mech</t>
  </si>
  <si>
    <t>-Press dan Diggester P15</t>
  </si>
  <si>
    <t>Shipment Slab Precast</t>
  </si>
  <si>
    <t>316204007001</t>
  </si>
  <si>
    <t>316204007002</t>
  </si>
  <si>
    <t>34A</t>
  </si>
  <si>
    <t>-Tambahan Valve Turbin Prime</t>
  </si>
  <si>
    <t>-Pemakaian Oli Turbin dan Genset, Serta Filter</t>
  </si>
  <si>
    <t>Vibrating Screen dari PT. BKN</t>
  </si>
  <si>
    <t>325A</t>
  </si>
  <si>
    <t>NIRS Spectrometer</t>
  </si>
  <si>
    <t>Peralatan dan Konsumabel Laboratorium</t>
  </si>
  <si>
    <t>Automatic Dearator Dll</t>
  </si>
  <si>
    <t>Gearmotor, E. Motor c/w Pulley dan Panel</t>
  </si>
  <si>
    <t>Pengiriman Mesin Boiler, Turbin dan Press</t>
  </si>
  <si>
    <t>TOTAL AKTIVA KONTRUKSI PKS</t>
  </si>
  <si>
    <t>PT. Tri Royal Timurraya</t>
  </si>
  <si>
    <t>PERJALANAN DINAS</t>
  </si>
  <si>
    <t>PEKERJAAN UTAMA</t>
  </si>
  <si>
    <t>BIAYA UMUM DAN ADMINISTRASI</t>
  </si>
  <si>
    <t>KARYAWAN</t>
  </si>
  <si>
    <t>Perijinan Pusat</t>
  </si>
  <si>
    <t>Alat Berat</t>
  </si>
  <si>
    <t>Soil Test</t>
  </si>
  <si>
    <t>Perencanaan Civil Work</t>
  </si>
  <si>
    <t>Perencanaan Mekanikal</t>
  </si>
  <si>
    <t>Perencanaan Elektrikal</t>
  </si>
  <si>
    <t>Review Design</t>
  </si>
  <si>
    <t>Cut &amp; Fill</t>
  </si>
  <si>
    <t>KJPP</t>
  </si>
  <si>
    <t>Perijinan Lainnya</t>
  </si>
  <si>
    <t>Konsultan Pengawas</t>
  </si>
  <si>
    <t>BIAYA KONSTRUKSI</t>
  </si>
  <si>
    <t>Pekerjaan Tiang Pancang</t>
  </si>
  <si>
    <t>SUB TOTAL CIVIL WORK</t>
  </si>
  <si>
    <t>Mekanikal Owner Supply &amp; Instalasi</t>
  </si>
  <si>
    <t>Pekerjaan Mekanikal Pabrikasi</t>
  </si>
  <si>
    <t>MEKANIKAL</t>
  </si>
  <si>
    <t>SUB TOTAL MEKANIKAL</t>
  </si>
  <si>
    <t>ELEKTRIKAL</t>
  </si>
  <si>
    <t>SUB TOTAL ELEKTRIKAL</t>
  </si>
  <si>
    <t>TOTAL BIAYA UMUM &amp; BIAYA KONSTRUKSI</t>
  </si>
  <si>
    <t>REALISASI</t>
  </si>
  <si>
    <t>1??^</t>
  </si>
  <si>
    <t>51201001012</t>
  </si>
  <si>
    <t>51201001022</t>
  </si>
  <si>
    <t>51201001032</t>
  </si>
  <si>
    <t>51201001042</t>
  </si>
  <si>
    <t>51201001052</t>
  </si>
  <si>
    <t>51201001062</t>
  </si>
  <si>
    <t>51201001072</t>
  </si>
  <si>
    <t>51201001082</t>
  </si>
  <si>
    <t>51201001092</t>
  </si>
  <si>
    <t>51201002</t>
  </si>
  <si>
    <t>Gaji</t>
  </si>
  <si>
    <t>Tunjangan Cuti</t>
  </si>
  <si>
    <t>Tunjangan Uang Makan</t>
  </si>
  <si>
    <t>Tunjangan Transport</t>
  </si>
  <si>
    <t>Tunjangan Pengobatan</t>
  </si>
  <si>
    <t>Tunjangan Telekomunikasi</t>
  </si>
  <si>
    <t>Tunjangan Perumahan</t>
  </si>
  <si>
    <t>Tunjangan Hari Raya &amp; Bonus</t>
  </si>
  <si>
    <t>Tunjangan Lainnya :</t>
  </si>
  <si>
    <t xml:space="preserve"> - BPJS  Ketenagakerjaan</t>
  </si>
  <si>
    <t xml:space="preserve"> - BPJS  Kesehatan</t>
  </si>
  <si>
    <t xml:space="preserve"> - Subsidi BBM/Perawatan</t>
  </si>
  <si>
    <t xml:space="preserve"> - Lembur Karyawan </t>
  </si>
  <si>
    <t xml:space="preserve"> - Tunjangan lain-lain</t>
  </si>
  <si>
    <t>Imbalan Kerja</t>
  </si>
  <si>
    <t>512xx00-???^</t>
  </si>
  <si>
    <t>2??^</t>
  </si>
  <si>
    <t>21?^</t>
  </si>
  <si>
    <t>51201002112</t>
  </si>
  <si>
    <t>51201002122</t>
  </si>
  <si>
    <t>51201002132</t>
  </si>
  <si>
    <t>51201002142</t>
  </si>
  <si>
    <t>51201002152</t>
  </si>
  <si>
    <t>51201002162</t>
  </si>
  <si>
    <t>51201002172</t>
  </si>
  <si>
    <t>51201002182</t>
  </si>
  <si>
    <t>Alat Tulis Kantor</t>
  </si>
  <si>
    <t>Materai</t>
  </si>
  <si>
    <t>Pengiriman Surat/Dokumen</t>
  </si>
  <si>
    <t>Cetakan/Formulir</t>
  </si>
  <si>
    <t>Fotocopy &amp; Jilid</t>
  </si>
  <si>
    <t>Iuran &amp; Langganan</t>
  </si>
  <si>
    <t>Pakaian Seragam</t>
  </si>
  <si>
    <t>Pengiriman Droping / Jasa Pengawalan</t>
  </si>
  <si>
    <t>ADMINISTRASI KANTOR</t>
  </si>
  <si>
    <t>22?^</t>
  </si>
  <si>
    <t>51201002212</t>
  </si>
  <si>
    <t>51201002222</t>
  </si>
  <si>
    <t>51201002232</t>
  </si>
  <si>
    <t>KOMUNIKASI</t>
  </si>
  <si>
    <t>Radio Komunikasi</t>
  </si>
  <si>
    <t>Telekomunikasi</t>
  </si>
  <si>
    <t>Vsat</t>
  </si>
  <si>
    <t>SUB TOTAL KOMUNIKASI</t>
  </si>
  <si>
    <t>23?^</t>
  </si>
  <si>
    <t>51201002312</t>
  </si>
  <si>
    <t>51201002322</t>
  </si>
  <si>
    <t>24?^</t>
  </si>
  <si>
    <t>51201002412</t>
  </si>
  <si>
    <t>51201002422</t>
  </si>
  <si>
    <t>25?^</t>
  </si>
  <si>
    <t>51201002512</t>
  </si>
  <si>
    <t>51201002522</t>
  </si>
  <si>
    <t>51201002532</t>
  </si>
  <si>
    <t>51201002542</t>
  </si>
  <si>
    <t>51201002552</t>
  </si>
  <si>
    <t>26?^</t>
  </si>
  <si>
    <t>51201002612</t>
  </si>
  <si>
    <t>51201002622</t>
  </si>
  <si>
    <t>51201002632</t>
  </si>
  <si>
    <t>27?^</t>
  </si>
  <si>
    <t>51201002712</t>
  </si>
  <si>
    <t>51201002722</t>
  </si>
  <si>
    <t>51201002792</t>
  </si>
  <si>
    <t>28?^</t>
  </si>
  <si>
    <t>51201002812</t>
  </si>
  <si>
    <t>51201002822</t>
  </si>
  <si>
    <t>51201002892</t>
  </si>
  <si>
    <t>Operasional Komputer</t>
  </si>
  <si>
    <t>Pemeliharaan Komputer</t>
  </si>
  <si>
    <t>Listrik</t>
  </si>
  <si>
    <t>Air</t>
  </si>
  <si>
    <t>Perijinan Pekerja Asing</t>
  </si>
  <si>
    <t>Retribusi &amp; Pungutan</t>
  </si>
  <si>
    <t>Pajak &amp; Ijin Lapor Unit</t>
  </si>
  <si>
    <t>Pajak HO</t>
  </si>
  <si>
    <t>Hukum &amp; Notaris</t>
  </si>
  <si>
    <t>Konsultan</t>
  </si>
  <si>
    <t>Akuntan Publik</t>
  </si>
  <si>
    <t>Asuransi Kebakaran</t>
  </si>
  <si>
    <t>Asuransi Kecelakaan</t>
  </si>
  <si>
    <t>Asuransi Lainnya</t>
  </si>
  <si>
    <t>Sewa Bangunan</t>
  </si>
  <si>
    <t>Sewa Tanah</t>
  </si>
  <si>
    <t>Sewa Lainnya</t>
  </si>
  <si>
    <t>KOMPUTER</t>
  </si>
  <si>
    <t>LISTRIK</t>
  </si>
  <si>
    <t>PERIJINAN &amp; PAJAK</t>
  </si>
  <si>
    <t>PROFESIONAL</t>
  </si>
  <si>
    <t>RENCANA KERJA PROYEK (RKP)</t>
  </si>
  <si>
    <t>PENAMBAHAN KAPASITAS PKS BATULAKI - LINE 3</t>
  </si>
  <si>
    <t>SEWA</t>
  </si>
  <si>
    <t xml:space="preserve">ASURANSI </t>
  </si>
  <si>
    <t>SUB TOTAL KOMPUTER</t>
  </si>
  <si>
    <t>SUB TOTAL PROFESIONAL</t>
  </si>
  <si>
    <t>SUB TOTAL ASURANSI</t>
  </si>
  <si>
    <t>SUB TOTAL SEWA</t>
  </si>
  <si>
    <t>3??^</t>
  </si>
  <si>
    <t>31?^</t>
  </si>
  <si>
    <t>51201003112</t>
  </si>
  <si>
    <t>51201003122</t>
  </si>
  <si>
    <t>51201003132</t>
  </si>
  <si>
    <t>51201003142</t>
  </si>
  <si>
    <t>51201003192</t>
  </si>
  <si>
    <t>32?^</t>
  </si>
  <si>
    <t>51201003212</t>
  </si>
  <si>
    <t>51201003222</t>
  </si>
  <si>
    <t>51201003232</t>
  </si>
  <si>
    <t>51201003242</t>
  </si>
  <si>
    <t>51201003252</t>
  </si>
  <si>
    <t>51201003262</t>
  </si>
  <si>
    <t>51201003292</t>
  </si>
  <si>
    <t>34?^</t>
  </si>
  <si>
    <t>51201003412</t>
  </si>
  <si>
    <t>51201003422</t>
  </si>
  <si>
    <t>35?^</t>
  </si>
  <si>
    <t>51201003512</t>
  </si>
  <si>
    <t>51201003522</t>
  </si>
  <si>
    <t>51201003532</t>
  </si>
  <si>
    <t>51201003542</t>
  </si>
  <si>
    <t>51201003552</t>
  </si>
  <si>
    <t>51201003562</t>
  </si>
  <si>
    <t>51201003572</t>
  </si>
  <si>
    <t>51201003592</t>
  </si>
  <si>
    <t>PEMELIHARAAN</t>
  </si>
  <si>
    <t>BANGUNAN KERJA</t>
  </si>
  <si>
    <t>Kantor Pusat</t>
  </si>
  <si>
    <t>Kantor Cabang</t>
  </si>
  <si>
    <t>Gudang Pusat</t>
  </si>
  <si>
    <t>Gudang Cabang</t>
  </si>
  <si>
    <t>Bangunan Permanen Lainnya</t>
  </si>
  <si>
    <t>Gedung Pertemuan</t>
  </si>
  <si>
    <t>Mess</t>
  </si>
  <si>
    <t>Longhouse</t>
  </si>
  <si>
    <t>Sekolah</t>
  </si>
  <si>
    <t>Rumah Ibadah</t>
  </si>
  <si>
    <t>Lapangan Olahraga</t>
  </si>
  <si>
    <t>Bangunan Umum Lainnya</t>
  </si>
  <si>
    <t>Kendaraan</t>
  </si>
  <si>
    <t>Pemeliharaan Perabot Kantor/Rumah</t>
  </si>
  <si>
    <t>Pemeliharaan Peralatan Kantor</t>
  </si>
  <si>
    <t>Pemeliharaan Peralatan Komunikasi</t>
  </si>
  <si>
    <t>Pemeliharaan Perlengkapan Kantor/Rumah</t>
  </si>
  <si>
    <t>Pemeliharaan Peralatan Kebun</t>
  </si>
  <si>
    <t>Pemeliharaan Inventaris Kantor</t>
  </si>
  <si>
    <t>Pemeliharaan Inventaris Mess</t>
  </si>
  <si>
    <t>Pemeliharaan Peralatan &amp; Perabot Lainnya</t>
  </si>
  <si>
    <t>BANGUNAN UMUM</t>
  </si>
  <si>
    <t>KENDARAAN &amp; ALAT BERAT</t>
  </si>
  <si>
    <t>PERALATAN &amp; PERABOT</t>
  </si>
  <si>
    <t>41?^</t>
  </si>
  <si>
    <t>51201004112</t>
  </si>
  <si>
    <t>42?^</t>
  </si>
  <si>
    <t>51201004212</t>
  </si>
  <si>
    <t>51201004222</t>
  </si>
  <si>
    <t>51201004232</t>
  </si>
  <si>
    <t>51?^</t>
  </si>
  <si>
    <t>51201005112</t>
  </si>
  <si>
    <t>51201005122</t>
  </si>
  <si>
    <t>6??^</t>
  </si>
  <si>
    <t>62?^</t>
  </si>
  <si>
    <t>51201006212</t>
  </si>
  <si>
    <t>51201006222</t>
  </si>
  <si>
    <t>63?^</t>
  </si>
  <si>
    <t>51201006312</t>
  </si>
  <si>
    <t>51201006322</t>
  </si>
  <si>
    <t>51201006332</t>
  </si>
  <si>
    <t>51201006342</t>
  </si>
  <si>
    <t>64?^</t>
  </si>
  <si>
    <t>51201006412</t>
  </si>
  <si>
    <t>51201006422</t>
  </si>
  <si>
    <t>51201006432</t>
  </si>
  <si>
    <t>66?^</t>
  </si>
  <si>
    <t>51201006612</t>
  </si>
  <si>
    <t>51201006622</t>
  </si>
  <si>
    <t>68?^</t>
  </si>
  <si>
    <t>51201006812</t>
  </si>
  <si>
    <t>51201006822</t>
  </si>
  <si>
    <t>51201006832</t>
  </si>
  <si>
    <t>8??^</t>
  </si>
  <si>
    <t>51201008112</t>
  </si>
  <si>
    <t>91?^</t>
  </si>
  <si>
    <t>51201009112</t>
  </si>
  <si>
    <t>51201009122</t>
  </si>
  <si>
    <t>51201009132</t>
  </si>
  <si>
    <t>51201009142</t>
  </si>
  <si>
    <t>51201009152</t>
  </si>
  <si>
    <t>51201009162</t>
  </si>
  <si>
    <t>51201009192</t>
  </si>
  <si>
    <t>Pendidikan &amp; Latihan</t>
  </si>
  <si>
    <t>Rekrut/Pengadaan Karyawan</t>
  </si>
  <si>
    <t>Pindah/Mutasi</t>
  </si>
  <si>
    <t>Olahraga</t>
  </si>
  <si>
    <t>Perjalanan Dinas Dalam Kota</t>
  </si>
  <si>
    <t>Perjalanan Dinas Luar Kota</t>
  </si>
  <si>
    <t>Mesin-mesin pabrik</t>
  </si>
  <si>
    <t>Mesin-mesin penunjang</t>
  </si>
  <si>
    <t>Bangunan Kerja</t>
  </si>
  <si>
    <t>Bangunan Umum</t>
  </si>
  <si>
    <t>Bangunan Perumahan</t>
  </si>
  <si>
    <t>Bangunan Pabrik</t>
  </si>
  <si>
    <t>Perabot Kantor/Rumah</t>
  </si>
  <si>
    <t>Peralatan Kantor</t>
  </si>
  <si>
    <t>Peralatan Komunikasi</t>
  </si>
  <si>
    <t>Hak Atas Tanah</t>
  </si>
  <si>
    <t>Pra Operasi</t>
  </si>
  <si>
    <t>HGU</t>
  </si>
  <si>
    <t>Administrasi Bank</t>
  </si>
  <si>
    <t>Konsumsi Kantor</t>
  </si>
  <si>
    <t>Sumbangan</t>
  </si>
  <si>
    <t>Community Development</t>
  </si>
  <si>
    <t>Jasa Kirim Pihak Ketiga</t>
  </si>
  <si>
    <t>Biaya Direksi</t>
  </si>
  <si>
    <t>Beban Umum &amp; Adm Lainnya</t>
  </si>
  <si>
    <t>PENGEMBANGAN KARYAWAN</t>
  </si>
  <si>
    <t>PENGEMBANGAN PERSONALIA</t>
  </si>
  <si>
    <t>PENYUSUTAN/ AMORTISASI</t>
  </si>
  <si>
    <t>MESIN MESIN</t>
  </si>
  <si>
    <t>BANGUNAN PERUMAHAN</t>
  </si>
  <si>
    <t>AMORTISASI</t>
  </si>
  <si>
    <t>BEBAN BANK</t>
  </si>
  <si>
    <t>Alat Berat Kontruksi</t>
  </si>
  <si>
    <t>ADMINISTRASI</t>
  </si>
  <si>
    <t>SUB TOTAL LISTRIK</t>
  </si>
  <si>
    <t>SUB TOTAL PERIJINAN &amp; PAJAK</t>
  </si>
  <si>
    <t>TOTAL KARYAWAN</t>
  </si>
  <si>
    <t>SUB TOTAL BANGUNAN KERJA</t>
  </si>
  <si>
    <t>SUB TOTAL BANGUNAN UMUM</t>
  </si>
  <si>
    <t>SUB TOTAL PERALATAN &amp; PERABOT</t>
  </si>
  <si>
    <t>TOTAL PENGEMBANGAN KARYAWAN</t>
  </si>
  <si>
    <t>TOTAL PENGEMBANGAN PERSONALIA</t>
  </si>
  <si>
    <t>TOTAL PERJALANAN DINAS</t>
  </si>
  <si>
    <t>TOTAL BEBAN BANK</t>
  </si>
  <si>
    <t>TOTAL BEBAN UMUM &amp; ADM.LAINNYA</t>
  </si>
  <si>
    <t>BEBAN UMUM &amp; ADM. LAINNYA</t>
  </si>
  <si>
    <t>SUB TOTAL AMORTISASI</t>
  </si>
  <si>
    <t>SUB TOTAL KENDARAAN &amp; ALAT BERAT</t>
  </si>
  <si>
    <t>SUB TOTAL BANGUNAN PERUMAHAN</t>
  </si>
  <si>
    <t>SUB TOTAL MESIN MESIN</t>
  </si>
  <si>
    <t>SUB TOTAL ADMINISTRASI</t>
  </si>
  <si>
    <t>Kantor Proses</t>
  </si>
  <si>
    <t>Bi</t>
  </si>
  <si>
    <t>s/d Bi</t>
  </si>
  <si>
    <t>REALISASI PEK. TAMBAH</t>
  </si>
  <si>
    <t>AGT</t>
  </si>
  <si>
    <t>SEPT</t>
  </si>
  <si>
    <t>OKT</t>
  </si>
  <si>
    <t>NOV</t>
  </si>
  <si>
    <t>DES</t>
  </si>
  <si>
    <t>JAN</t>
  </si>
  <si>
    <t>FEB</t>
  </si>
  <si>
    <t>MAR</t>
  </si>
  <si>
    <t>APR</t>
  </si>
  <si>
    <t>JUN</t>
  </si>
  <si>
    <t>JUL</t>
  </si>
  <si>
    <t>TAHUN 2024</t>
  </si>
  <si>
    <t>TAHUN 2025</t>
  </si>
  <si>
    <t>RENCANA SEBARAN BIAYA &amp; TIME SCHEDULE</t>
  </si>
  <si>
    <t>General Work &amp; Mob</t>
  </si>
  <si>
    <t xml:space="preserve">PEMBANGUNAN PABRIK KELAPA SAWIT LINE 3 PT BUANA KARYA BHAKTI </t>
  </si>
  <si>
    <t xml:space="preserve">KAPASITAS 30 TON TBS/JAM  </t>
  </si>
  <si>
    <t>No</t>
  </si>
  <si>
    <t>URAIAN PEKERJAAN</t>
  </si>
  <si>
    <t>SPESIFIKASI</t>
  </si>
  <si>
    <t>HARGA SATUAN FABRIKASI</t>
  </si>
  <si>
    <t>JUMAH HARGA &amp; INSTAL MESIN</t>
  </si>
  <si>
    <t>HARGA SUPPLY OWNER</t>
  </si>
  <si>
    <t>TOTAL HARGA</t>
  </si>
  <si>
    <t>QTY</t>
  </si>
  <si>
    <t>SAT</t>
  </si>
  <si>
    <t>GENERAL WORKS</t>
  </si>
  <si>
    <t>GA &amp; MOBDEMOB</t>
  </si>
  <si>
    <t>LOT</t>
  </si>
  <si>
    <t xml:space="preserve">MECHANICAL WORKS </t>
  </si>
  <si>
    <t xml:space="preserve">Fruit Reception </t>
  </si>
  <si>
    <t>Fruit Loading Ramp No.1 dan 2</t>
  </si>
  <si>
    <t>25 Pintu, Kapasitas 15 ton/pintu
lengkap dengan Hydrolik dan atap conveyor</t>
  </si>
  <si>
    <t>Lot</t>
  </si>
  <si>
    <t xml:space="preserve"> FFB  Horizontal Conveyor 1</t>
  </si>
  <si>
    <r>
      <t>Model Scrapper. L 1200x T 1400x</t>
    </r>
    <r>
      <rPr>
        <sz val="14"/>
        <rFont val="Calibri"/>
        <family val="2"/>
        <scheme val="minor"/>
      </rPr>
      <t xml:space="preserve"> P </t>
    </r>
    <r>
      <rPr>
        <sz val="14"/>
        <color rgb="FF002060"/>
        <rFont val="Calibri"/>
        <family val="2"/>
        <scheme val="minor"/>
      </rPr>
      <t>26,000</t>
    </r>
    <r>
      <rPr>
        <sz val="14"/>
        <rFont val="Calibri"/>
        <family val="2"/>
        <scheme val="minor"/>
      </rPr>
      <t>mm</t>
    </r>
    <r>
      <rPr>
        <sz val="14"/>
        <color theme="1"/>
        <rFont val="Calibri"/>
        <family val="2"/>
        <scheme val="minor"/>
      </rPr>
      <t>,c/w Platform Operasional &amp; Atap sampai platform penggerak</t>
    </r>
  </si>
  <si>
    <t>m'</t>
  </si>
  <si>
    <t xml:space="preserve"> FFB  Horizontal Conveyor 2</t>
  </si>
  <si>
    <r>
      <t>Model Scrapper. L 1200x T 1400x</t>
    </r>
    <r>
      <rPr>
        <sz val="14"/>
        <rFont val="Calibri"/>
        <family val="2"/>
        <scheme val="minor"/>
      </rPr>
      <t xml:space="preserve"> P </t>
    </r>
    <r>
      <rPr>
        <sz val="14"/>
        <color rgb="FF002060"/>
        <rFont val="Calibri"/>
        <family val="2"/>
        <scheme val="minor"/>
      </rPr>
      <t>56,000</t>
    </r>
    <r>
      <rPr>
        <sz val="14"/>
        <rFont val="Calibri"/>
        <family val="2"/>
        <scheme val="minor"/>
      </rPr>
      <t>mm</t>
    </r>
    <r>
      <rPr>
        <sz val="14"/>
        <color theme="1"/>
        <rFont val="Calibri"/>
        <family val="2"/>
        <scheme val="minor"/>
      </rPr>
      <t>,c/w Platform Operasional &amp; Atap sampai platform penggerak</t>
    </r>
  </si>
  <si>
    <t>Sterilizer Station</t>
  </si>
  <si>
    <t>FFB Inclined Conveyor</t>
  </si>
  <si>
    <r>
      <t xml:space="preserve">Model Scrapper.L 1200x T 1400x </t>
    </r>
    <r>
      <rPr>
        <sz val="14"/>
        <rFont val="Calibri"/>
        <family val="2"/>
        <scheme val="minor"/>
      </rPr>
      <t xml:space="preserve">P </t>
    </r>
    <r>
      <rPr>
        <sz val="14"/>
        <color rgb="FF002060"/>
        <rFont val="Calibri"/>
        <family val="2"/>
        <scheme val="minor"/>
      </rPr>
      <t>44,400</t>
    </r>
    <r>
      <rPr>
        <sz val="14"/>
        <rFont val="Calibri"/>
        <family val="2"/>
        <scheme val="minor"/>
      </rPr>
      <t>mm, c/w Platform Operasi</t>
    </r>
    <r>
      <rPr>
        <sz val="14"/>
        <color theme="1"/>
        <rFont val="Calibri"/>
        <family val="2"/>
        <scheme val="minor"/>
      </rPr>
      <t>onal</t>
    </r>
  </si>
  <si>
    <t>FFB Distributing Conveyor c/w Chute Hydraulic</t>
  </si>
  <si>
    <r>
      <t>Model Scrapper. L 1200x T 1400x</t>
    </r>
    <r>
      <rPr>
        <sz val="14"/>
        <rFont val="Calibri"/>
        <family val="2"/>
        <scheme val="minor"/>
      </rPr>
      <t xml:space="preserve"> P </t>
    </r>
    <r>
      <rPr>
        <sz val="14"/>
        <color rgb="FF002060"/>
        <rFont val="Calibri"/>
        <family val="2"/>
        <scheme val="minor"/>
      </rPr>
      <t>22,850</t>
    </r>
    <r>
      <rPr>
        <sz val="14"/>
        <rFont val="Calibri"/>
        <family val="2"/>
        <scheme val="minor"/>
      </rPr>
      <t>mm</t>
    </r>
    <r>
      <rPr>
        <sz val="14"/>
        <color theme="1"/>
        <rFont val="Calibri"/>
        <family val="2"/>
        <scheme val="minor"/>
      </rPr>
      <t xml:space="preserve"> c/w Platform operasional</t>
    </r>
  </si>
  <si>
    <r>
      <t>Cap. 50M</t>
    </r>
    <r>
      <rPr>
        <vertAlign val="superscript"/>
        <sz val="14"/>
        <color theme="1"/>
        <rFont val="Calibri"/>
        <family val="2"/>
        <scheme val="minor"/>
      </rPr>
      <t xml:space="preserve">3 </t>
    </r>
    <r>
      <rPr>
        <sz val="14"/>
        <color theme="1"/>
        <rFont val="Calibri"/>
        <family val="2"/>
        <scheme val="minor"/>
      </rPr>
      <t>, Dia. 3200mm, Tebal Plate, 12mm</t>
    </r>
  </si>
  <si>
    <t>SET</t>
  </si>
  <si>
    <t xml:space="preserve">Vacuum Tank (Condensate Tank) </t>
  </si>
  <si>
    <t>Material Ms Plate.Dia.1200mm,Panjang 3000mm,Kap.11,3 M3</t>
  </si>
  <si>
    <t>Unit</t>
  </si>
  <si>
    <t>Sterilizer Catwalk for 4 Sterilizer</t>
  </si>
  <si>
    <t>H Beam 200 x 200</t>
  </si>
  <si>
    <t>Blow Down and Blow off Chamber</t>
  </si>
  <si>
    <t>Matr.SUS 306 Tebal 6 6mm,.Dia.1800,Panjang.7500mm</t>
  </si>
  <si>
    <t>Blow Down Exchaust Chamber</t>
  </si>
  <si>
    <t>Matr.SUS 306 Tebal 6 mm.Dia.1800,Panjang.7500mm</t>
  </si>
  <si>
    <t>Threshing Station</t>
  </si>
  <si>
    <t xml:space="preserve">SFB Auto Feeder for 4 units Sterilizer </t>
  </si>
  <si>
    <t>Inclined Sterilized Fruit Bunch (SFB) Scrapper Conveyor</t>
  </si>
  <si>
    <r>
      <t>Model Scrapper. L 1200x T 1400x</t>
    </r>
    <r>
      <rPr>
        <sz val="14"/>
        <rFont val="Calibri"/>
        <family val="2"/>
        <scheme val="minor"/>
      </rPr>
      <t xml:space="preserve"> P </t>
    </r>
    <r>
      <rPr>
        <sz val="14"/>
        <color rgb="FF002060"/>
        <rFont val="Calibri"/>
        <family val="2"/>
        <scheme val="minor"/>
      </rPr>
      <t>23.500</t>
    </r>
    <r>
      <rPr>
        <sz val="14"/>
        <rFont val="Calibri"/>
        <family val="2"/>
        <scheme val="minor"/>
      </rPr>
      <t>mm</t>
    </r>
    <r>
      <rPr>
        <sz val="14"/>
        <color theme="1"/>
        <rFont val="Calibri"/>
        <family val="2"/>
        <scheme val="minor"/>
      </rPr>
      <t>,c/w Platform Operasional</t>
    </r>
  </si>
  <si>
    <t>Distributing SFB (Chute Damper)</t>
  </si>
  <si>
    <t>Untuk  Thresher 1 dan 2</t>
  </si>
  <si>
    <t>lot</t>
  </si>
  <si>
    <t>Structure Thresher</t>
  </si>
  <si>
    <t>Struktur uk. 2300x5700x6000mm</t>
  </si>
  <si>
    <t>Units</t>
  </si>
  <si>
    <t>Dimensi 2100 x 4800 mm</t>
  </si>
  <si>
    <t>Under Thresher Conveyor no. 1 &amp; 2</t>
  </si>
  <si>
    <r>
      <t xml:space="preserve">Model Screw,Dia.600mm,Panjang </t>
    </r>
    <r>
      <rPr>
        <sz val="14"/>
        <color rgb="FF002060"/>
        <rFont val="Calibri"/>
        <family val="2"/>
        <scheme val="minor"/>
      </rPr>
      <t>6.000</t>
    </r>
    <r>
      <rPr>
        <sz val="14"/>
        <rFont val="Calibri"/>
        <family val="2"/>
        <scheme val="minor"/>
      </rPr>
      <t>mm</t>
    </r>
  </si>
  <si>
    <t>Bottom Cross Conveyor</t>
  </si>
  <si>
    <r>
      <t xml:space="preserve">Model Screw,Dia.600mm,Panjang </t>
    </r>
    <r>
      <rPr>
        <sz val="14"/>
        <color rgb="FF002060"/>
        <rFont val="Calibri"/>
        <family val="2"/>
        <scheme val="minor"/>
      </rPr>
      <t>10,000</t>
    </r>
    <r>
      <rPr>
        <sz val="14"/>
        <rFont val="Calibri"/>
        <family val="2"/>
        <scheme val="minor"/>
      </rPr>
      <t>mm</t>
    </r>
  </si>
  <si>
    <t>Horizontal Empty Bunch Scrapper Conveyor c/w Structure, Cat Walk dan Roofing</t>
  </si>
  <si>
    <r>
      <t xml:space="preserve">Model Scrapper. Top Deck, L 750x T 650x P </t>
    </r>
    <r>
      <rPr>
        <sz val="14"/>
        <color rgb="FF002060"/>
        <rFont val="Calibri"/>
        <family val="2"/>
        <scheme val="minor"/>
      </rPr>
      <t>12,000</t>
    </r>
    <r>
      <rPr>
        <sz val="14"/>
        <rFont val="Calibri"/>
        <family val="2"/>
        <scheme val="minor"/>
      </rPr>
      <t>mm</t>
    </r>
  </si>
  <si>
    <t>Inclined Empty Bunch Scrapper Conveyor No 1 c/w Structure, Cat Walk dan Roofing</t>
  </si>
  <si>
    <r>
      <t xml:space="preserve">Model Scrapper.Bottom Deck, L 750x T 650x P </t>
    </r>
    <r>
      <rPr>
        <sz val="14"/>
        <color rgb="FF002060"/>
        <rFont val="Calibri"/>
        <family val="2"/>
        <scheme val="minor"/>
      </rPr>
      <t>26,000</t>
    </r>
    <r>
      <rPr>
        <sz val="14"/>
        <rFont val="Calibri"/>
        <family val="2"/>
        <scheme val="minor"/>
      </rPr>
      <t>mm</t>
    </r>
  </si>
  <si>
    <t>Empty Bunch Press</t>
  </si>
  <si>
    <t>Sinaco : Model- SBP 125-13/2</t>
  </si>
  <si>
    <t>Empty Bunch Press Structure</t>
  </si>
  <si>
    <t>Dimensi 8000 mm x 8000 mm x t 3000 mm</t>
  </si>
  <si>
    <t xml:space="preserve">Liquor EB Tank </t>
  </si>
  <si>
    <t xml:space="preserve">SS 304 6mm, Dimensi 2500mmx1500mmx t 1500mm </t>
  </si>
  <si>
    <t>Liquor EB Pump</t>
  </si>
  <si>
    <t>Centrifugal Pump, Kap. 30 M3/Jam, Head : 30M', Ukuran Pompa 80 x 50 mm/ Motor 7.5 kw</t>
  </si>
  <si>
    <t>Vertical Tank Bunch Press</t>
  </si>
  <si>
    <t>diameter 3.800 tinggi body 3.600 mm</t>
  </si>
  <si>
    <t xml:space="preserve">Empty Bunch Press Conveyor </t>
  </si>
  <si>
    <r>
      <t xml:space="preserve">Model Scrapper.Bottom Deck, L 750 x T 650 P </t>
    </r>
    <r>
      <rPr>
        <sz val="14"/>
        <color rgb="FF002060"/>
        <rFont val="Calibri"/>
        <family val="2"/>
        <scheme val="minor"/>
      </rPr>
      <t>17,000</t>
    </r>
    <r>
      <rPr>
        <sz val="14"/>
        <rFont val="Calibri"/>
        <family val="2"/>
        <scheme val="minor"/>
      </rPr>
      <t>mm</t>
    </r>
  </si>
  <si>
    <t>Pressing Station</t>
  </si>
  <si>
    <t>Fruit Elevator No. 1&amp;2</t>
  </si>
  <si>
    <t>1050x850 mm x t 13,250</t>
  </si>
  <si>
    <t>Fruit Distributing Conveyor</t>
  </si>
  <si>
    <r>
      <t xml:space="preserve">Model Screw,Dia.600mm,Panjang </t>
    </r>
    <r>
      <rPr>
        <sz val="14"/>
        <color rgb="FF002060"/>
        <rFont val="Calibri"/>
        <family val="2"/>
        <scheme val="minor"/>
      </rPr>
      <t>7,000</t>
    </r>
    <r>
      <rPr>
        <sz val="14"/>
        <rFont val="Calibri"/>
        <family val="2"/>
        <scheme val="minor"/>
      </rPr>
      <t>mm</t>
    </r>
  </si>
  <si>
    <t>Fruit Overflow Chute</t>
  </si>
  <si>
    <t>800 x 400 mm, Bentuk Persegi, Ms. Plate, 4mm</t>
  </si>
  <si>
    <t>Water Dilution Tank</t>
  </si>
  <si>
    <t>Digester &amp; Press - P25</t>
  </si>
  <si>
    <t>Kap. Digester 6000 Liter - Press 25-27 Ton FFB/hour</t>
  </si>
  <si>
    <t>Set</t>
  </si>
  <si>
    <t>Digester &amp; Pressing Structure</t>
  </si>
  <si>
    <t xml:space="preserve"> HB-150 Dimensi lt.press 11000x7800mm</t>
  </si>
  <si>
    <t>m2</t>
  </si>
  <si>
    <t>Crude Oil Collecting Gutter</t>
  </si>
  <si>
    <t>Pipa SS sch.40,Dia,12",panjang, 7600mm</t>
  </si>
  <si>
    <t>Sand Trap Tank</t>
  </si>
  <si>
    <t>Material SS 304 6 mm. Dia.1900, Tinggi 3600mm</t>
  </si>
  <si>
    <t>Clarification Station</t>
  </si>
  <si>
    <t>Alfalaval for St. Clarifikasi</t>
  </si>
  <si>
    <t>Pengadaan 1 Paket Kap. 45 TPH FFB</t>
  </si>
  <si>
    <t>Vibrating Screen Structure for 2 unit c/w Instal</t>
  </si>
  <si>
    <t>Vibrating Screen Double Deck, Tapis, OD.60"</t>
  </si>
  <si>
    <t xml:space="preserve">Horizontal Waste Conveyor </t>
  </si>
  <si>
    <r>
      <t xml:space="preserve">Screw, Diameter 300 x </t>
    </r>
    <r>
      <rPr>
        <sz val="14"/>
        <color rgb="FF002060"/>
        <rFont val="Calibri"/>
        <family val="2"/>
        <scheme val="minor"/>
      </rPr>
      <t>6000</t>
    </r>
    <r>
      <rPr>
        <sz val="14"/>
        <color theme="1"/>
        <rFont val="Calibri"/>
        <family val="2"/>
        <scheme val="minor"/>
      </rPr>
      <t xml:space="preserve"> mm</t>
    </r>
  </si>
  <si>
    <t xml:space="preserve">Inclined Waste Conveyor </t>
  </si>
  <si>
    <r>
      <t xml:space="preserve">Screw, Diameter 300 x </t>
    </r>
    <r>
      <rPr>
        <sz val="14"/>
        <color rgb="FF002060"/>
        <rFont val="Calibri"/>
        <family val="2"/>
        <scheme val="minor"/>
      </rPr>
      <t>8000</t>
    </r>
    <r>
      <rPr>
        <sz val="14"/>
        <color theme="1"/>
        <rFont val="Calibri"/>
        <family val="2"/>
        <scheme val="minor"/>
      </rPr>
      <t xml:space="preserve"> mm</t>
    </r>
  </si>
  <si>
    <t xml:space="preserve">Crude Oil Tank (COT) </t>
  </si>
  <si>
    <t xml:space="preserve">Material SS 6mm , P 3000x L 3000x T 1.800 mm  </t>
  </si>
  <si>
    <t>11 Kw</t>
  </si>
  <si>
    <t>Continius Setling Tank (CST)</t>
  </si>
  <si>
    <t>120 ton</t>
  </si>
  <si>
    <t xml:space="preserve">Pure Oil Tank </t>
  </si>
  <si>
    <t>Vibrating Screen singgle Deck, Tapis, OD.60"</t>
  </si>
  <si>
    <t>Sludge  Tank</t>
  </si>
  <si>
    <t>Sludge  Tank Pump</t>
  </si>
  <si>
    <t>15 KW - Kew Pump SSC</t>
  </si>
  <si>
    <t xml:space="preserve">Struktur Vaccum driyer </t>
  </si>
  <si>
    <t>HB 150</t>
  </si>
  <si>
    <t>Vacuum Oil Dried</t>
  </si>
  <si>
    <t>Sand Cyclone Stage 1 (SSC)</t>
  </si>
  <si>
    <t>Sand Cyclone Stage 2 (STC)</t>
  </si>
  <si>
    <t>Buffer  Sludge HSS</t>
  </si>
  <si>
    <t>Material SS 6mm , 1500x1500x3000 mm</t>
  </si>
  <si>
    <t>Buffer Hot Water Tank</t>
  </si>
  <si>
    <t>Material MS 6mm , 1500x1500x3000 mm</t>
  </si>
  <si>
    <t>Light Phase Tank HSS</t>
  </si>
  <si>
    <t>Light Phase Tank HSS Pump</t>
  </si>
  <si>
    <t>15 KW - Kew Pump STC</t>
  </si>
  <si>
    <t>Hot Water Tank</t>
  </si>
  <si>
    <t xml:space="preserve">Kap 30 Ton , 2850x4500 mm tinggi </t>
  </si>
  <si>
    <t>Hot Water Tank Pump</t>
  </si>
  <si>
    <t>7,5 kw</t>
  </si>
  <si>
    <t>Hight Speed Separator</t>
  </si>
  <si>
    <t>Alfalafal</t>
  </si>
  <si>
    <t>Bak Final Effluent</t>
  </si>
  <si>
    <t>Civil work</t>
  </si>
  <si>
    <t>Final Effluent Pump</t>
  </si>
  <si>
    <t>15 kw</t>
  </si>
  <si>
    <t>Fat-Pit  Pump</t>
  </si>
  <si>
    <t>11 kw</t>
  </si>
  <si>
    <t xml:space="preserve">Air Compressor </t>
  </si>
  <si>
    <t>G</t>
  </si>
  <si>
    <t>Nut &amp; Kernel</t>
  </si>
  <si>
    <t>Cake Breaker Conveyor No. 1 (Under Press) c/w Cat Walk</t>
  </si>
  <si>
    <t>Model Screw,Plate 8mm,Dia.800mm,panjang. 26,240mm</t>
  </si>
  <si>
    <t>Depericarper</t>
  </si>
  <si>
    <t>Kap. 45 Ton TBS/Jam</t>
  </si>
  <si>
    <t>Nut Polishing drum</t>
  </si>
  <si>
    <t>Dia. 1000mm x P 6000 mm, model  roller</t>
  </si>
  <si>
    <t>Nut Cross Conveyor (Augher)</t>
  </si>
  <si>
    <r>
      <t xml:space="preserve">Type Screw, </t>
    </r>
    <r>
      <rPr>
        <sz val="14"/>
        <rFont val="Calibri"/>
        <family val="2"/>
        <scheme val="minor"/>
      </rPr>
      <t>Dia. 300 x 4500 mm</t>
    </r>
  </si>
  <si>
    <t>Fiber Transport System (Separating Column C/W Ducting)</t>
  </si>
  <si>
    <t>Fiber Cyclone</t>
  </si>
  <si>
    <t>Dia. 3200mm,plate 8mm Liner 4mm Creosabro</t>
  </si>
  <si>
    <t>Airlock Fiber Cyclone</t>
  </si>
  <si>
    <t>Dia. 800,Plate 10 mm</t>
  </si>
  <si>
    <t>Fan Fiber Cyclone</t>
  </si>
  <si>
    <t>CHICAGO D-10B.36.1/2 SISW Cls. III</t>
  </si>
  <si>
    <t>Structure Fibre Cyclone C/W Platform, Cat Walk dan Ralling</t>
  </si>
  <si>
    <t>HB 150 jarak 8x6 meter</t>
  </si>
  <si>
    <t>Nut Cyclone &amp; Destoner, ducting set</t>
  </si>
  <si>
    <t>Diameter 1500 mm</t>
  </si>
  <si>
    <t xml:space="preserve">  </t>
  </si>
  <si>
    <t>Airlock Nut Cyclone</t>
  </si>
  <si>
    <t>Nut Transport Fan &amp; Ducting set</t>
  </si>
  <si>
    <t>CHICAGO  D-16.LS.19 Cls. II</t>
  </si>
  <si>
    <t>Nut Grading Drum</t>
  </si>
  <si>
    <r>
      <t>Matr.plate 8mm, dia = 1000</t>
    </r>
    <r>
      <rPr>
        <sz val="14"/>
        <rFont val="Calibri"/>
        <family val="2"/>
        <scheme val="minor"/>
      </rPr>
      <t xml:space="preserve"> panjang 3600</t>
    </r>
    <r>
      <rPr>
        <sz val="14"/>
        <color theme="1"/>
        <rFont val="Calibri"/>
        <family val="2"/>
        <scheme val="minor"/>
      </rPr>
      <t>,Model center shaft</t>
    </r>
  </si>
  <si>
    <t>Nut Hopper</t>
  </si>
  <si>
    <t>5x3</t>
  </si>
  <si>
    <t xml:space="preserve">Vibrating Feeder </t>
  </si>
  <si>
    <t>Kapasitas 5 Ton/Jam</t>
  </si>
  <si>
    <t>Ripple Mill</t>
  </si>
  <si>
    <t>Kap.4 Ton Nut/Jam</t>
  </si>
  <si>
    <t>Cracked Mixture Conveyor</t>
  </si>
  <si>
    <t>Model screw ,Dia.300 panjang 5.000mm</t>
  </si>
  <si>
    <t>Cracked Mixture Elevator</t>
  </si>
  <si>
    <t>Ukuran.750x500 Model Bucket</t>
  </si>
  <si>
    <t>Screw Air lock Sparating Column Stage 1</t>
  </si>
  <si>
    <t>Sparating Column dan Ducting LTDS Stage 1</t>
  </si>
  <si>
    <t>For Kapasitas FFB 45 TPH</t>
  </si>
  <si>
    <t>LTDS Cyclone Stage 1</t>
  </si>
  <si>
    <t xml:space="preserve">Diameter 1100 mm </t>
  </si>
  <si>
    <t xml:space="preserve">Air Lock LTDS Cyclone Stage 1 </t>
  </si>
  <si>
    <t>Fan LTDS Stage 1</t>
  </si>
  <si>
    <t>CHICAGO D-10B 24.1/2 SISW Cls.II S</t>
  </si>
  <si>
    <t>Air lock Sparating Column Stage 1 to Stage 2</t>
  </si>
  <si>
    <t>Sparating Column dan Ducting LTDS Stage 2</t>
  </si>
  <si>
    <t>Air lock Sparating Column Stage 2 to Hidrocyclone</t>
  </si>
  <si>
    <t>LTDS Cyclone Stage 2</t>
  </si>
  <si>
    <t>Air Lock LTDS Cyclone Stage 2</t>
  </si>
  <si>
    <t>Fan LTDS Stage 2</t>
  </si>
  <si>
    <t>Broken Nut Conveyor to H.Cyclone</t>
  </si>
  <si>
    <t>Model screw,Dia.300 panjang 8000 mm</t>
  </si>
  <si>
    <t>3 Stage Hydrocyclone C/W Pump</t>
  </si>
  <si>
    <t>3 Stage Hydrocyclone Kap. 45 Ton TBS/Jam, Centrifugal Pump, Kap. 100M3/Jam, Head : 20M', ukuran pompa 150 x 100 mm/ 18.5 kw</t>
  </si>
  <si>
    <t>Wet Kernel Conveyor</t>
  </si>
  <si>
    <t>Model screw,Dia.300 panjang 6,200mm</t>
  </si>
  <si>
    <t>Wet Kernel Elevator</t>
  </si>
  <si>
    <t>Ukuran.750x500, Model Bucket ,Double chain</t>
  </si>
  <si>
    <t>Wet Kernel Distributing Conveyor</t>
  </si>
  <si>
    <t>Model screw,Dia.300 panjang 6000mm</t>
  </si>
  <si>
    <t>Body Kernel Silo</t>
  </si>
  <si>
    <t>Dia 3300 x tinggi body 6000 mm</t>
  </si>
  <si>
    <t xml:space="preserve"> </t>
  </si>
  <si>
    <t xml:space="preserve">Heater Silo </t>
  </si>
  <si>
    <t>Dried Kernel Conveyor No.1</t>
  </si>
  <si>
    <t>Model screw,Dia.300 panjang 8200 mm</t>
  </si>
  <si>
    <t>Dried Kernel Elevator</t>
  </si>
  <si>
    <t>Dried Kernel Conveyor No.2 c/w platform &amp; tutup conv.</t>
  </si>
  <si>
    <t>Model screw,Dia.300 panjang 20000mm</t>
  </si>
  <si>
    <t>Dried Kernel Conveyor No.3 c/w platform &amp; tutup conv.</t>
  </si>
  <si>
    <t>Shell Conveyor Hidrocyclone c/w platform</t>
  </si>
  <si>
    <t>Model screw,Dia.300 panjang 17000mm</t>
  </si>
  <si>
    <t>Fiber and Shell Conveyor c/w Platform,Structure, Roofing</t>
  </si>
  <si>
    <t>Matr.Ms Plate 8mm,Dia 850mm,panjang 20500mm</t>
  </si>
  <si>
    <t>Matr.Ms Plate 8mm,Dia 850mm,panjang 13000mm</t>
  </si>
  <si>
    <t>PIPING WORKS</t>
  </si>
  <si>
    <t>Steam, Condensate and Hot Water Line</t>
  </si>
  <si>
    <t>Steam Pipe seamless Sch 40</t>
  </si>
  <si>
    <t>Crude Oil/Sludge Line</t>
  </si>
  <si>
    <t>Oil line pakai Pipa SS SUS 304 sch 20 &amp; Sludge line pakai Steam Pipe  Sch 40</t>
  </si>
  <si>
    <t>Water Lines</t>
  </si>
  <si>
    <t xml:space="preserve">Pipa Galvanish </t>
  </si>
  <si>
    <t>Valves all PKS ( Instal kontraktor )</t>
  </si>
  <si>
    <t>Valve Supply Owner</t>
  </si>
  <si>
    <t>Instrumentation</t>
  </si>
  <si>
    <t>Wika, Rototherm</t>
  </si>
  <si>
    <t>Insulation for Tank &amp; Piping</t>
  </si>
  <si>
    <t>Various</t>
  </si>
  <si>
    <t>Piping Line for Pillars and Appurtenances</t>
  </si>
  <si>
    <t>8 Titik c/w Box, Selang/box 3 Roll Panjang 20 m/Roll, Dia 2 1/2 '' , Jalur Utama Pipa 6''</t>
  </si>
  <si>
    <t>COMISSIONING &amp; TESTING</t>
  </si>
  <si>
    <t>PAINTING</t>
  </si>
  <si>
    <t>PENAMBAHAN MESIN</t>
  </si>
  <si>
    <t>Engine Room</t>
  </si>
  <si>
    <t xml:space="preserve">Pipa Steam Boiler no.3 to Turbin </t>
  </si>
  <si>
    <t>70 Meter Diameter 10 Inchi</t>
  </si>
  <si>
    <t>Back Pressure Vessel And Platform</t>
  </si>
  <si>
    <t>Water Supply</t>
  </si>
  <si>
    <t>Water Clarifier Tank</t>
  </si>
  <si>
    <t>Matr.Plate 6mm Dia.7000x6088mm.Kap.240 M3</t>
  </si>
  <si>
    <t>Sand Filter Pump</t>
  </si>
  <si>
    <t>Centrifugal Pump, Kap. 60M3/Jam, Head : 40M', Ukuran pompa 65 x 50 mm/ 7.5 Kw</t>
  </si>
  <si>
    <t xml:space="preserve">Pressure Sand Filter </t>
  </si>
  <si>
    <t>Q: 60 m3/jam - D2200x3800mm</t>
  </si>
  <si>
    <t>GRAND TOTAL</t>
  </si>
  <si>
    <t>Diketahui</t>
  </si>
  <si>
    <t>Disetujui</t>
  </si>
  <si>
    <t>Dibuat</t>
  </si>
  <si>
    <t>I Ketut Supastika</t>
  </si>
  <si>
    <t>Herry Munazar</t>
  </si>
  <si>
    <t>Abdul Wahab</t>
  </si>
  <si>
    <t>Direktur Utama</t>
  </si>
  <si>
    <t>Manager Engineering MO</t>
  </si>
  <si>
    <t>Act. Asmen Engineering MO</t>
  </si>
  <si>
    <t>Piping Work</t>
  </si>
  <si>
    <t>VII</t>
  </si>
  <si>
    <t>VIII</t>
  </si>
  <si>
    <t>Add Busbar LVMDP Existing</t>
  </si>
  <si>
    <t>Vibrating Sludge 1 unit - Instal</t>
  </si>
  <si>
    <t>ELMO &amp; GEARMOTOR</t>
  </si>
  <si>
    <t>CHAIN</t>
  </si>
  <si>
    <t>SPROCKET</t>
  </si>
  <si>
    <t>PT KUMAI SENTOSA</t>
  </si>
  <si>
    <t>ENGINEERING MILL OPERATIONAL</t>
  </si>
  <si>
    <t>Vertical Sterilizer Cap. 27-30 Ton TBS</t>
  </si>
  <si>
    <r>
      <t>Model Scrapper. L 1800x T 1400x</t>
    </r>
    <r>
      <rPr>
        <sz val="14"/>
        <rFont val="Calibri"/>
        <family val="2"/>
        <scheme val="minor"/>
      </rPr>
      <t xml:space="preserve"> P </t>
    </r>
    <r>
      <rPr>
        <sz val="14"/>
        <color rgb="FF002060"/>
        <rFont val="Calibri"/>
        <family val="2"/>
        <scheme val="minor"/>
      </rPr>
      <t>25.500</t>
    </r>
    <r>
      <rPr>
        <sz val="14"/>
        <rFont val="Calibri"/>
        <family val="2"/>
        <scheme val="minor"/>
      </rPr>
      <t>mm</t>
    </r>
    <r>
      <rPr>
        <sz val="14"/>
        <color theme="1"/>
        <rFont val="Calibri"/>
        <family val="2"/>
        <scheme val="minor"/>
      </rPr>
      <t>,c/w Platform Operasional</t>
    </r>
  </si>
  <si>
    <t>Thresher Drum 1&amp;2</t>
  </si>
  <si>
    <t xml:space="preserve">Crude Oil Tank Pumps </t>
  </si>
  <si>
    <t>Kap 30 Ton Crude Oil</t>
  </si>
  <si>
    <t>Kap 35 Ton Sludge</t>
  </si>
  <si>
    <t>Oil Transfer Pump (standby)</t>
  </si>
  <si>
    <t>2 Stage</t>
  </si>
  <si>
    <t xml:space="preserve">Catatan : </t>
  </si>
  <si>
    <t>Nilai harga diatas belum dihitung dari detail rincian drawing mesin dan masih estimasi dari harga proyek sebelumnya</t>
  </si>
  <si>
    <t>RKP CIVIL WORK</t>
  </si>
  <si>
    <t>Main Building I</t>
  </si>
  <si>
    <t>Main Building II</t>
  </si>
  <si>
    <t>VOLUME</t>
  </si>
  <si>
    <t>Panjang</t>
  </si>
  <si>
    <t>Lebar</t>
  </si>
  <si>
    <t>HARGA SATUAN</t>
  </si>
  <si>
    <t>Pos Grading</t>
  </si>
  <si>
    <t>KM/WC</t>
  </si>
  <si>
    <t>Longhouse G10 A</t>
  </si>
  <si>
    <t xml:space="preserve">Excavator </t>
  </si>
  <si>
    <t>Buldozer</t>
  </si>
  <si>
    <t>Jumlah</t>
  </si>
  <si>
    <t>Jam Kerja</t>
  </si>
  <si>
    <t>Hari</t>
  </si>
  <si>
    <t>Alat Berat Konstruksi</t>
  </si>
  <si>
    <t>Excavator</t>
  </si>
  <si>
    <t>Loading Ramp</t>
  </si>
  <si>
    <t>Analisa Kebutuhan Tiang Pancang</t>
  </si>
  <si>
    <t xml:space="preserve">Tiang Pancang uk. 25/25 </t>
  </si>
  <si>
    <t>Harga KCE</t>
  </si>
  <si>
    <t>Sat</t>
  </si>
  <si>
    <t>Harga NBS</t>
  </si>
  <si>
    <t>Middle</t>
  </si>
  <si>
    <t>Bottom</t>
  </si>
  <si>
    <t xml:space="preserve">Biaya Pemancangan </t>
  </si>
  <si>
    <t>Biaya Las</t>
  </si>
  <si>
    <t>joint</t>
  </si>
  <si>
    <t>Handling</t>
  </si>
  <si>
    <t>Harga Tiang Avg</t>
  </si>
  <si>
    <t>By Transport Material</t>
  </si>
  <si>
    <t>By Transport Alat Pancang</t>
  </si>
  <si>
    <t>Main Building &amp; Supporting</t>
  </si>
  <si>
    <t>Tebal</t>
  </si>
  <si>
    <t>Beton</t>
  </si>
  <si>
    <t>Besi</t>
  </si>
  <si>
    <t>Pat Pit</t>
  </si>
  <si>
    <t>Open Plate Concrete</t>
  </si>
  <si>
    <t>Poer Plat, Pedestal &amp; Balok</t>
  </si>
  <si>
    <t>REALISASI BIAYA</t>
  </si>
  <si>
    <t xml:space="preserve">PT BUANA KARYA BHAKTI </t>
  </si>
  <si>
    <t>Item</t>
  </si>
  <si>
    <t>Description</t>
  </si>
  <si>
    <t>Qty</t>
  </si>
  <si>
    <t>MERK</t>
  </si>
  <si>
    <t>SPECIFICATION</t>
  </si>
  <si>
    <t>Unit Price</t>
  </si>
  <si>
    <t>Total Price</t>
  </si>
  <si>
    <t>OWNER SUPPLY</t>
  </si>
  <si>
    <t>SUB TOTAL</t>
  </si>
  <si>
    <t>PABRIKASI DAN INSTALASI</t>
  </si>
  <si>
    <t>Transportasi Akomodasi</t>
  </si>
  <si>
    <t>Jasa dan Consumable</t>
  </si>
  <si>
    <t>Pekerjaan</t>
  </si>
  <si>
    <t>Panel LVMDP dan MCC All Stasiun</t>
  </si>
  <si>
    <t>Kabel Power to MCC</t>
  </si>
  <si>
    <t>Supreme</t>
  </si>
  <si>
    <t>Kabel Power Electromotor</t>
  </si>
  <si>
    <t>Penerangan Pabrik</t>
  </si>
  <si>
    <t>Lighting Protection (Penyalur Petir)</t>
  </si>
  <si>
    <t>Earthing System (Grounding)</t>
  </si>
  <si>
    <t>Supply Tray Cable</t>
  </si>
  <si>
    <t>Steam Kontrol</t>
  </si>
  <si>
    <t>Jasa &amp; Consumable</t>
  </si>
  <si>
    <t>UNIT PRICE</t>
  </si>
  <si>
    <t>TOTAL PRICE</t>
  </si>
  <si>
    <t>QUANTITY</t>
  </si>
  <si>
    <t>DESCRIPTION</t>
  </si>
  <si>
    <t>KABEL POWER TO MCC</t>
  </si>
  <si>
    <t>HP</t>
  </si>
  <si>
    <t>KW</t>
  </si>
  <si>
    <t>KHA</t>
  </si>
  <si>
    <t>MCCB (A)</t>
  </si>
  <si>
    <t xml:space="preserve">TYPE </t>
  </si>
  <si>
    <t>Merek</t>
  </si>
  <si>
    <t xml:space="preserve">Kabel Power Loading Ramp </t>
  </si>
  <si>
    <t>mtr</t>
  </si>
  <si>
    <t>x</t>
  </si>
  <si>
    <t>NYY - 1 x 95 mm</t>
  </si>
  <si>
    <t>Kabel Power Sterilizer Station</t>
  </si>
  <si>
    <t>NYY - 1 x 240 mm</t>
  </si>
  <si>
    <t xml:space="preserve">Kabel Power Press &amp; Digester &amp; Thresher </t>
  </si>
  <si>
    <t>Kabel Power  EFB Press</t>
  </si>
  <si>
    <t>Kabel Power Kernel &amp; Depericarper</t>
  </si>
  <si>
    <t>NYY - 1 x 300 mm</t>
  </si>
  <si>
    <t>Kabel Power Klarifikasi</t>
  </si>
  <si>
    <t>Kabel Power Main Ligthting</t>
  </si>
  <si>
    <t>NYY - 4 x 10 mm</t>
  </si>
  <si>
    <t>Kabel Power to HSS 01</t>
  </si>
  <si>
    <t>NYY - 4 x 35 mm</t>
  </si>
  <si>
    <t>Kabel Power to HSS 02</t>
  </si>
  <si>
    <t>Kabel Power to HSS 03</t>
  </si>
  <si>
    <t>Kabel Workshop</t>
  </si>
  <si>
    <t>O/G from MCC-3 to Panel B. Press 01</t>
  </si>
  <si>
    <t>O/G from MCC-3 to Panel B. Press 02</t>
  </si>
  <si>
    <t>O/G from MCC-3 to Panel B. Press 03</t>
  </si>
  <si>
    <t>O/G from MLDB ke LDB-1 Loading Ramp</t>
  </si>
  <si>
    <t>NYY - 4 x 4 mm</t>
  </si>
  <si>
    <t>O/G from MLDB ke LDB-2  Sterilizer</t>
  </si>
  <si>
    <t xml:space="preserve">O/G from MLDB ke LDB-3 Thresher &amp; Press </t>
  </si>
  <si>
    <t>O/G from MLDB ke LDB-4 Bunch Press</t>
  </si>
  <si>
    <t>O/G from MLDB ke LDB-5 (Nut &amp; Kernel)</t>
  </si>
  <si>
    <t>O/G from MLDB ke LDB-6 (Klarifikasi)</t>
  </si>
  <si>
    <t>TOTAL PEMBULATAN + KENAIKAN HARGA 10% + PPn 11%</t>
  </si>
  <si>
    <t>KABEL POWER ELECTROMOTOR</t>
  </si>
  <si>
    <t>Starter</t>
  </si>
  <si>
    <t>1.1</t>
  </si>
  <si>
    <t>Pompa Hidrolic Power Pack No. 1</t>
  </si>
  <si>
    <t>DOL</t>
  </si>
  <si>
    <t>NYY - 4 x 2,5 mm</t>
  </si>
  <si>
    <t>Voksel</t>
  </si>
  <si>
    <t>1.2</t>
  </si>
  <si>
    <t>Pompa Hidrolic Power Pack No. 2</t>
  </si>
  <si>
    <t>1.3</t>
  </si>
  <si>
    <t>FFB Horizontal Conveyor No..1</t>
  </si>
  <si>
    <t>SD</t>
  </si>
  <si>
    <t>NYY - 3 x 10 mm</t>
  </si>
  <si>
    <t>1.4</t>
  </si>
  <si>
    <t>FFB Horizontal Conveyor No..2</t>
  </si>
  <si>
    <t>1.5</t>
  </si>
  <si>
    <t>Remote</t>
  </si>
  <si>
    <t>NYY - 3 x 1,5 mm</t>
  </si>
  <si>
    <t>Stasiun Sterilizer</t>
  </si>
  <si>
    <t>2.1</t>
  </si>
  <si>
    <t>2.2</t>
  </si>
  <si>
    <t>FFB Distributing Conveyor</t>
  </si>
  <si>
    <t>NYY - 4 x 6 mm</t>
  </si>
  <si>
    <t>NYY - 3 x 6 mm</t>
  </si>
  <si>
    <t>2.3</t>
  </si>
  <si>
    <t>SFB Horizontal Conveyor</t>
  </si>
  <si>
    <t>Inverter</t>
  </si>
  <si>
    <t>NYY - 4 x 16 mm</t>
  </si>
  <si>
    <t>2.4</t>
  </si>
  <si>
    <t>SFB Inclined Conveyor</t>
  </si>
  <si>
    <t xml:space="preserve">hydraulic rod </t>
  </si>
  <si>
    <t>2.5</t>
  </si>
  <si>
    <t>hydraulic door sterilizer</t>
  </si>
  <si>
    <t>- Pump hydraulic door  No..1&amp;2</t>
  </si>
  <si>
    <t>- Pump hydraulic door No..3&amp;4</t>
  </si>
  <si>
    <t>2.6</t>
  </si>
  <si>
    <t>Auger Screw Conveyor rebusan No..1</t>
  </si>
  <si>
    <t>2.7</t>
  </si>
  <si>
    <t>Auger Screw Conveyor rebusan No..2</t>
  </si>
  <si>
    <t>2.8</t>
  </si>
  <si>
    <t>Auger Screw Conveyor rebusan No..3</t>
  </si>
  <si>
    <t>2.9</t>
  </si>
  <si>
    <t>Auger Screw Conveyor rebusan No..4</t>
  </si>
  <si>
    <t>2.10</t>
  </si>
  <si>
    <t xml:space="preserve">Air Compresor </t>
  </si>
  <si>
    <t>2.11</t>
  </si>
  <si>
    <t>Stasiun Thresher &amp;  Press</t>
  </si>
  <si>
    <t>3.1</t>
  </si>
  <si>
    <t>Thresher Drump No..1</t>
  </si>
  <si>
    <t>3.2</t>
  </si>
  <si>
    <t>Thresher Drump No..2</t>
  </si>
  <si>
    <t>3.3</t>
  </si>
  <si>
    <t>Under Thresher Conveyor No..1</t>
  </si>
  <si>
    <t>3.4</t>
  </si>
  <si>
    <t>Under Thresher Conveyor No..2</t>
  </si>
  <si>
    <t>3.5</t>
  </si>
  <si>
    <t>Horizontal EBC</t>
  </si>
  <si>
    <t>3.6</t>
  </si>
  <si>
    <t>Inclined EBC</t>
  </si>
  <si>
    <t>3.7</t>
  </si>
  <si>
    <t>Fruit Elevator No..1</t>
  </si>
  <si>
    <t>3.9</t>
  </si>
  <si>
    <t>Fruit Elevator No..2</t>
  </si>
  <si>
    <t>3.10</t>
  </si>
  <si>
    <t>3.11</t>
  </si>
  <si>
    <t>Digester No..1</t>
  </si>
  <si>
    <t>SS</t>
  </si>
  <si>
    <t>3.12</t>
  </si>
  <si>
    <t>Digester No..2</t>
  </si>
  <si>
    <t>3.15</t>
  </si>
  <si>
    <t>Press No..1</t>
  </si>
  <si>
    <t>3.16</t>
  </si>
  <si>
    <t>Press No..2</t>
  </si>
  <si>
    <t>3.19</t>
  </si>
  <si>
    <t>Power Pack Pres No..1</t>
  </si>
  <si>
    <t>3.20</t>
  </si>
  <si>
    <t>Power Pack Pres No..2</t>
  </si>
  <si>
    <t>3.23</t>
  </si>
  <si>
    <t>B. Press</t>
  </si>
  <si>
    <t>4.1</t>
  </si>
  <si>
    <t>Bunch Press No..1</t>
  </si>
  <si>
    <t>4.2</t>
  </si>
  <si>
    <t>Bunch Press No..2</t>
  </si>
  <si>
    <t>4.8</t>
  </si>
  <si>
    <t>Bunch Press No..3</t>
  </si>
  <si>
    <t>4.3</t>
  </si>
  <si>
    <t>Colection pump Bunch press No..1</t>
  </si>
  <si>
    <t>4.4</t>
  </si>
  <si>
    <t>Colection pump Bunch press No..2</t>
  </si>
  <si>
    <t>4.5</t>
  </si>
  <si>
    <t>Fiber Bunch Conveyor 1</t>
  </si>
  <si>
    <t>4.7</t>
  </si>
  <si>
    <t>4.9</t>
  </si>
  <si>
    <t>Vibrating B. Press</t>
  </si>
  <si>
    <t>Stasiun Nut &amp; Kernel</t>
  </si>
  <si>
    <t>5.1</t>
  </si>
  <si>
    <t>Cake Breaker Conveyor 1</t>
  </si>
  <si>
    <t>5.3</t>
  </si>
  <si>
    <t>Fiber Cyclone Fan</t>
  </si>
  <si>
    <t>5.4</t>
  </si>
  <si>
    <t>Air Lock Fiber Cyclone</t>
  </si>
  <si>
    <t>5.5</t>
  </si>
  <si>
    <t>Nut Polishing Drump</t>
  </si>
  <si>
    <t>5.6</t>
  </si>
  <si>
    <t>Auger Conveyor</t>
  </si>
  <si>
    <t>5.7</t>
  </si>
  <si>
    <t>Nut Cyclone Fan</t>
  </si>
  <si>
    <t>5.8</t>
  </si>
  <si>
    <t>Air Lock Nut Cyclone</t>
  </si>
  <si>
    <t>5.9</t>
  </si>
  <si>
    <t>Nut Grading</t>
  </si>
  <si>
    <t>5.10</t>
  </si>
  <si>
    <t>Ripple Mill No..1</t>
  </si>
  <si>
    <t>5.11</t>
  </si>
  <si>
    <t>Ripple Mill No..2</t>
  </si>
  <si>
    <t>5.12</t>
  </si>
  <si>
    <t>Mixture Cracked Conveyor (1)</t>
  </si>
  <si>
    <t>5.13</t>
  </si>
  <si>
    <t>Mixture Cracked Elevator</t>
  </si>
  <si>
    <t>5.14</t>
  </si>
  <si>
    <t>Mixture Cracked Conveyor (2) Vaccum</t>
  </si>
  <si>
    <t>5.15</t>
  </si>
  <si>
    <t xml:space="preserve">LTDS Cyclone Fan no.1 </t>
  </si>
  <si>
    <t>5.16</t>
  </si>
  <si>
    <t>LTDS Cyclone Fan no.2</t>
  </si>
  <si>
    <t>5.17</t>
  </si>
  <si>
    <t xml:space="preserve">Air Lock LTDS Cyclone No. 1 </t>
  </si>
  <si>
    <t>5.18</t>
  </si>
  <si>
    <t>Air Lock LTDS Cyclone No.  2</t>
  </si>
  <si>
    <t>5.19</t>
  </si>
  <si>
    <t>Air Lock Coloum LTDS No..1</t>
  </si>
  <si>
    <t>5.20</t>
  </si>
  <si>
    <t>Air Lock Coloum LTDS No..2</t>
  </si>
  <si>
    <t>5.21</t>
  </si>
  <si>
    <t>Hidrocyclone Pump No..1</t>
  </si>
  <si>
    <t>5.22</t>
  </si>
  <si>
    <t>Hidrocyclone Pump No..2</t>
  </si>
  <si>
    <t>5.23</t>
  </si>
  <si>
    <t>Hidrocyclone Pump No..3</t>
  </si>
  <si>
    <t>5.24</t>
  </si>
  <si>
    <t>Hidrocyclone Drump</t>
  </si>
  <si>
    <t>5.25</t>
  </si>
  <si>
    <t xml:space="preserve">Wet Shell Conveyor </t>
  </si>
  <si>
    <t>5.26</t>
  </si>
  <si>
    <t>Wet Shell Elevator</t>
  </si>
  <si>
    <t>5.27</t>
  </si>
  <si>
    <t>Wet Kernel Conveyor Hidrocyclone</t>
  </si>
  <si>
    <t>5.28</t>
  </si>
  <si>
    <t>5.29</t>
  </si>
  <si>
    <t>5.30</t>
  </si>
  <si>
    <t>Heater Silo No..1</t>
  </si>
  <si>
    <t>5.31</t>
  </si>
  <si>
    <t>Heater Silo No..2</t>
  </si>
  <si>
    <t>5.33</t>
  </si>
  <si>
    <t>Dry Kernel Conveyor 1</t>
  </si>
  <si>
    <t>5.35</t>
  </si>
  <si>
    <t>Dry Kernel elevator</t>
  </si>
  <si>
    <t>5.36</t>
  </si>
  <si>
    <t>Dry Kernel Distributing Conveyor 1</t>
  </si>
  <si>
    <t>Dry Kernel Distributing Conveyor 2</t>
  </si>
  <si>
    <t>5.37</t>
  </si>
  <si>
    <t>5.38</t>
  </si>
  <si>
    <t>Fibre Conv 1</t>
  </si>
  <si>
    <t>5.39</t>
  </si>
  <si>
    <t>Fibre Conv 2</t>
  </si>
  <si>
    <t>5.40</t>
  </si>
  <si>
    <t>Fibre Conv 3</t>
  </si>
  <si>
    <t>5.41</t>
  </si>
  <si>
    <t>Fibre Conv Cross</t>
  </si>
  <si>
    <t>Stasiun Klarifikasi</t>
  </si>
  <si>
    <t>6.1</t>
  </si>
  <si>
    <t>Vibrating Screen No..1</t>
  </si>
  <si>
    <t>6.2</t>
  </si>
  <si>
    <t>Vibrating Screen No..2</t>
  </si>
  <si>
    <t>6.4</t>
  </si>
  <si>
    <t>SSC Pump No..1</t>
  </si>
  <si>
    <t>6.5</t>
  </si>
  <si>
    <t>SSC Pump No..2</t>
  </si>
  <si>
    <t>6.6</t>
  </si>
  <si>
    <t>STC Pump No..1</t>
  </si>
  <si>
    <t>6.7</t>
  </si>
  <si>
    <t>STC Pump No..2</t>
  </si>
  <si>
    <t>6.15</t>
  </si>
  <si>
    <t>Vacuum Drier Pump</t>
  </si>
  <si>
    <t>S/D</t>
  </si>
  <si>
    <t>6.17</t>
  </si>
  <si>
    <t>Crude Oil Tank Pump No..1</t>
  </si>
  <si>
    <t>6.18</t>
  </si>
  <si>
    <t>Crude Oil Tank Pump No..2</t>
  </si>
  <si>
    <t>Oil Transfer Pump No..1</t>
  </si>
  <si>
    <t>Oil Transfer Pump No..2</t>
  </si>
  <si>
    <t>6.35</t>
  </si>
  <si>
    <t>Horizontal Waste Conv.</t>
  </si>
  <si>
    <t>6.36</t>
  </si>
  <si>
    <t>Inclined Waste Conv.</t>
  </si>
  <si>
    <t>6.21</t>
  </si>
  <si>
    <t>Hight Speed Separator No..1</t>
  </si>
  <si>
    <t>NYY - 3 x 35 mm</t>
  </si>
  <si>
    <t>6.22</t>
  </si>
  <si>
    <t>Hight Speed Separator No..2</t>
  </si>
  <si>
    <t>Hight Speed Separator No..3</t>
  </si>
  <si>
    <t>6.24</t>
  </si>
  <si>
    <t>Hot Water Pump No..1</t>
  </si>
  <si>
    <t>NYY - 3 x 4 mm</t>
  </si>
  <si>
    <t>6.25</t>
  </si>
  <si>
    <t>Hot Water Pump No..2</t>
  </si>
  <si>
    <t>6.27</t>
  </si>
  <si>
    <t>Fat-Pit Pump No..1</t>
  </si>
  <si>
    <t>6.28</t>
  </si>
  <si>
    <t>Fat-Pit Pump No..2</t>
  </si>
  <si>
    <t>6.29</t>
  </si>
  <si>
    <t>Final Effluent Pump No..1</t>
  </si>
  <si>
    <t>6.30</t>
  </si>
  <si>
    <t>Final Effluent Pump No..2</t>
  </si>
  <si>
    <t>Remote,float switch, Scun, Ties &amp; Acc Cable Support</t>
  </si>
  <si>
    <t>T o t a l</t>
  </si>
  <si>
    <t>Kabel Ground NYA 50, 16,10 mm</t>
  </si>
  <si>
    <t>PENERANGAN PABRIK</t>
  </si>
  <si>
    <t xml:space="preserve">Supply Lampu sorot LED  100 W </t>
  </si>
  <si>
    <t>Sets</t>
  </si>
  <si>
    <t xml:space="preserve">Philips </t>
  </si>
  <si>
    <t xml:space="preserve"> BVP 174 NW</t>
  </si>
  <si>
    <t>Supply Lampu sorot LED 100 W</t>
  </si>
  <si>
    <t xml:space="preserve"> BVP 174 WW</t>
  </si>
  <si>
    <t xml:space="preserve">Supply Kap Lampu Dust Proof 2 x 8W  c/w , bola  u/pabrik  </t>
  </si>
  <si>
    <t>TCW060</t>
  </si>
  <si>
    <t xml:space="preserve">Supply Stop Kontak 1P 10/16A , </t>
  </si>
  <si>
    <t>Clipsal</t>
  </si>
  <si>
    <t xml:space="preserve">Supply Saklar 2 gang </t>
  </si>
  <si>
    <t xml:space="preserve">Supply Saklar 1 gang </t>
  </si>
  <si>
    <t>Supply Cable control NYM 3x1.5mm</t>
  </si>
  <si>
    <t>Jembo/Metal</t>
  </si>
  <si>
    <t>Supply Pipe conduit E-19, elbow, couple &amp; Support</t>
  </si>
  <si>
    <t>btg</t>
  </si>
  <si>
    <t>Fort/Eqv</t>
  </si>
  <si>
    <t xml:space="preserve">Acc Kabel TC </t>
  </si>
  <si>
    <t>LIGHTING PROTECTION SYSTEM</t>
  </si>
  <si>
    <t xml:space="preserve">- Lightning Proteksi radius 125 mtr </t>
  </si>
  <si>
    <t>THOMAS/EQV</t>
  </si>
  <si>
    <t>TP 125</t>
  </si>
  <si>
    <t>- Pipa galvanis</t>
  </si>
  <si>
    <t>- Pipa PVC   diameter 25/30mm</t>
  </si>
  <si>
    <t xml:space="preserve">- BC DRAT  70 mm²   </t>
  </si>
  <si>
    <t>- Kawat sling  3mm</t>
  </si>
  <si>
    <t>- Grounding rood 5/8"</t>
  </si>
  <si>
    <t xml:space="preserve">- Bak kontrol grounding </t>
  </si>
  <si>
    <t xml:space="preserve">- 1x1cx70 sqmm NYY cable </t>
  </si>
  <si>
    <t>- Paralel group, skun, pondasi Tiang support acc</t>
  </si>
  <si>
    <t xml:space="preserve">SUPPLY CABLE TRAY, CONDUIT, GLAND &amp; FLEXIBLE CONDUIT </t>
  </si>
  <si>
    <t>Supply Tray 3000mm, tebal 1,2 mm</t>
  </si>
  <si>
    <t>Tray 500 x 100 x 3000 mm + tutup</t>
  </si>
  <si>
    <t>SJE/Eqv</t>
  </si>
  <si>
    <t>HDG</t>
  </si>
  <si>
    <t>- Engine room to Line 3</t>
  </si>
  <si>
    <t xml:space="preserve">Total </t>
  </si>
  <si>
    <t>Tray  200 x 100 x 3000 mm + tutup</t>
  </si>
  <si>
    <t>-  B. Pres</t>
  </si>
  <si>
    <t>-  Press Diggester</t>
  </si>
  <si>
    <t>Tray  100 x 100 x3000 mm + tutup</t>
  </si>
  <si>
    <t>- Loadinr Ramp</t>
  </si>
  <si>
    <t>- Stasiun Nut &amp; Kernel</t>
  </si>
  <si>
    <t>Tray 50 x 50 x 3000 mm + tutup</t>
  </si>
  <si>
    <t>-  L. Ramp</t>
  </si>
  <si>
    <t>-  Sterilizer</t>
  </si>
  <si>
    <t>-  Stasiun Klarifikasi</t>
  </si>
  <si>
    <t>SDB - 03 MAIN LIGHTING DISTRIBUTION BOARD</t>
  </si>
  <si>
    <t>- Elbow   500 x 100 mm + tutup</t>
  </si>
  <si>
    <t>- Elbow   200 x 100 mm + tutup</t>
  </si>
  <si>
    <t>- Elbow   100 x 100 mm + tutup</t>
  </si>
  <si>
    <t>- Elbow   50 x 50 mm + tutup</t>
  </si>
  <si>
    <t>- Outside Elbow   200 x 100 mm + tutup</t>
  </si>
  <si>
    <t>- Outside Elbow   100 x 100 mm + tutup</t>
  </si>
  <si>
    <t>- Outside Elbow   50 x 50 mm + tutup</t>
  </si>
  <si>
    <t>- Inside  Elbow  200 x 100 mm + tutup</t>
  </si>
  <si>
    <t>- Inside  Elbow  100 x 100 mm + tutup</t>
  </si>
  <si>
    <t>- Inside  Elbow  50 x 50 mm + tutup</t>
  </si>
  <si>
    <t xml:space="preserve">Pipa konduit E-19, E-25, E-31, elbow, Jointing tray, Gland Cable, flexible conduit, Besi siku&amp; acc lain  </t>
  </si>
  <si>
    <t>SUPPLY EARTHING SISTEM</t>
  </si>
  <si>
    <t xml:space="preserve">Earthing system komplit Set : </t>
  </si>
  <si>
    <t>- BC drat 70mm</t>
  </si>
  <si>
    <t>- BC drat 50mm</t>
  </si>
  <si>
    <t>- PVC PIPE 3/4"</t>
  </si>
  <si>
    <t>- Grounding Rod 5/8"</t>
  </si>
  <si>
    <t>- Kabel skun, clamp BC drat  + Acc Support</t>
  </si>
  <si>
    <t>STEAM KONTROL</t>
  </si>
  <si>
    <t xml:space="preserve">Paperless Recorder </t>
  </si>
  <si>
    <t>Yokogawa</t>
  </si>
  <si>
    <t>FX-1006 (6 Channel)</t>
  </si>
  <si>
    <t>Power Supply 18-42 VDC I/O: 4-20mA</t>
  </si>
  <si>
    <t>pcs</t>
  </si>
  <si>
    <t>SCC313 S/W</t>
  </si>
  <si>
    <t>Power Supply 220 VAC I/O: 24 VDC, 2A</t>
  </si>
  <si>
    <t>Kabel Instrument LIYCY 2x0,75mm@100m</t>
  </si>
  <si>
    <t>rol</t>
  </si>
  <si>
    <t>Kabel NYAF merah 1,5mm @50M</t>
  </si>
  <si>
    <t>Kabel NYAF biru 1,5mm @50M</t>
  </si>
  <si>
    <t>Instalation and Calibration</t>
  </si>
  <si>
    <t>LVMDP</t>
  </si>
  <si>
    <t>Q  T  Y</t>
  </si>
  <si>
    <t>BRAND</t>
  </si>
  <si>
    <t>Dimensi : 2100(H) x 8000(W) x 1000(D)mm
Steel Sheet 2mm, Marine Coating RAL 7032</t>
  </si>
  <si>
    <t>UNIT</t>
  </si>
  <si>
    <t>SERION</t>
  </si>
  <si>
    <t xml:space="preserve">BUSBAR &amp; SUPPORT &amp; WIRING CONTROL </t>
  </si>
  <si>
    <t>IMPORT</t>
  </si>
  <si>
    <t>OUTGOING FEEDER :</t>
  </si>
  <si>
    <t>MCCB+TM200D (140-200)A 3P 50kA CVS250N, (LV525452) MCC-1 ST.Loading Ramp &amp; S</t>
  </si>
  <si>
    <t>pc</t>
  </si>
  <si>
    <t>Schneider</t>
  </si>
  <si>
    <t>Ampere Meter Via CT(0-200)A, 96x96mm (FT-96-A)</t>
  </si>
  <si>
    <t>FORT</t>
  </si>
  <si>
    <t>CT. 200/5A MSY-30,  Burden 2,5 VA (Class 0,5)</t>
  </si>
  <si>
    <t>MCCB+TM500D (350-500)A 3P 50kA CVS630N (LV563315) MCC-2 STERILIZER</t>
  </si>
  <si>
    <t>Ampere Meter Via CT(0-500)A, 96x96mm (FT-96-A)</t>
  </si>
  <si>
    <t>CT. 500/5A MSY-40,  Burden 5 VA (Class 0,5)</t>
  </si>
  <si>
    <t>MCCB 800A 3P 50kA NS800N, (33472) + Mic 2.0 Manual Operated MCC-3 ST. Thresher &amp; Press</t>
  </si>
  <si>
    <t>Ampere Meter Via CT(0-800)A, 96x96mm (FT-96-A)</t>
  </si>
  <si>
    <t>CT. 800/5A MSY-60,  Burden 10 VA (Class 0,5)</t>
  </si>
  <si>
    <t>MCCB 800A 3P 50kA NS800N, (33472) + Mic 2.0 Manual Operated MCC-4 ST. Bunch Press</t>
  </si>
  <si>
    <t>MCCB (400-1000)A 3P 50kA NS1000N, (33472) + Mic 2.0 Manual Operated MCC- 5 ST. NUT &amp; KERNEL</t>
  </si>
  <si>
    <t>Ampere Meter Via CT(0-1000)A, 96x96mm (FT-96-A)</t>
  </si>
  <si>
    <t>CT. 1000/5A MSY-60,  Burden 10 VA (Class 0,5)</t>
  </si>
  <si>
    <t>MCCB 800A 3P 50kA NS800N, (33472) + Mic 2.0 Manual Operated MCC- 6 ST. KLARIFIKASI</t>
  </si>
  <si>
    <t>MCCB 60A 3P 25kA EZC250N3200  SDB - 03  MAIN LIGHTING DISTRIBUTION BOARD</t>
  </si>
  <si>
    <t>CT. 60/5A MSY-30,  Burden 2,5 VA (Class 0,5)</t>
  </si>
  <si>
    <t>1 (Satu)  Unit Panel  CAPACITOR BANK,  700kVAR/400VAC,  14 STEP (1, 1, 1, 1, 1, 1, 1, 1, 1, 1, 1, 1, 1, 1.)</t>
  </si>
  <si>
    <t>Komposisi  Komponen :</t>
  </si>
  <si>
    <t>LBS 800A 3P, GGL-800/3</t>
  </si>
  <si>
    <t>MCCB 100A 3P 18kA EZC250F3125</t>
  </si>
  <si>
    <t>Contactor 3P AC220V LC1-D100M7 For 50 kVAR</t>
  </si>
  <si>
    <t>Aux. Contact LAD8N11</t>
  </si>
  <si>
    <t>Capacitors 400VAC SL-2D (N415075) For 50 kVAR</t>
  </si>
  <si>
    <t>Nokian</t>
  </si>
  <si>
    <t>Power Factor Regulator 14 Step, 50Hz, Aux.Volt 380-415Vac (PFR 120-415-50)</t>
  </si>
  <si>
    <t>MIKRO</t>
  </si>
  <si>
    <t>Pilot Lamp Transformer PLR-25 / PLR 25 (25mm) AC220V R,Y,G (R,S,T)</t>
  </si>
  <si>
    <t>Auspicious</t>
  </si>
  <si>
    <t>Pilot Lamp (w/Led) AC220V SA-PL22D..Green (On)</t>
  </si>
  <si>
    <t>SALZER</t>
  </si>
  <si>
    <t>Pilot Lamp (w/Led) AC220V SA-PL22D..Green (Man-Auto)</t>
  </si>
  <si>
    <t>Pushbutton 1n/o  XA2EA31 (Green)- On &amp; XA2EA42 (Red)- Off</t>
  </si>
  <si>
    <t>Selector Switch SFT20-3-3, 3pss (A,O,M), 3P</t>
  </si>
  <si>
    <t>CT. 2000/5A MSQ-816FT, Burden 25 VA(Class 1,0) (Spite Core)</t>
  </si>
  <si>
    <t>Ceiling Exhaust Fan AC220V, 10 inch – FV-25TGU</t>
  </si>
  <si>
    <t>Panasonic</t>
  </si>
  <si>
    <t>Lamp Panel Led T5 5Watt (30cm)  FTS - 1005L</t>
  </si>
  <si>
    <t>Limit Switch/ Micro Switch CZ-7121</t>
  </si>
  <si>
    <t>Relay + Socket MKS2P AC220V + PF083A-E</t>
  </si>
  <si>
    <t>Omron</t>
  </si>
  <si>
    <t>MCB 6A 1P 6kA(IEC 60898-1) iC60N A9F74106 For Control</t>
  </si>
  <si>
    <t>Accessories &amp; Wiring material</t>
  </si>
  <si>
    <t>PANEL MCC - 1  LOADING RAMP &amp; STERILIZER</t>
  </si>
  <si>
    <t>Dimensi : 1800(H) x 600(W) x 600(D)mm
Steel Sheet 2mm, Marine Coating RAL 7032</t>
  </si>
  <si>
    <t>INCOMING :</t>
  </si>
  <si>
    <t>MCCB 160A 3P 36kA EZC250H3160 (36 kA @4150v )</t>
  </si>
  <si>
    <t>AusPicious</t>
  </si>
  <si>
    <t>Ampere Meter Via CT(0-150)A, 96x96mm (FT-96-A)</t>
  </si>
  <si>
    <t>Ampere Selector Switch 4pss (SFT20-4)</t>
  </si>
  <si>
    <t>Volt Meter (0-500)V, 96x96mm (FT-96V)</t>
  </si>
  <si>
    <t>Volt Selector Switch 7pss (SFT20-7)</t>
  </si>
  <si>
    <t>CT. 150/5A MSY-30,  Burden 2,5 VA (Class 0,5)</t>
  </si>
  <si>
    <t>Fan (motor) Filter C/With Exit Filter 148,5x148,5mm (FKL6622.100)</t>
  </si>
  <si>
    <t>Ten T</t>
  </si>
  <si>
    <t>Exit Filter 148,5x148,5mm (FKL6622.300)</t>
  </si>
  <si>
    <t>Mini Fuse 2A + Holder RT18</t>
  </si>
  <si>
    <t>Axle</t>
  </si>
  <si>
    <t>c/w BUSBAR + Accessories &amp; Wiring material</t>
  </si>
  <si>
    <t>Cable Gland PG-36 ;  22 - 32mm, White (Plastic)</t>
  </si>
  <si>
    <t>OUTGOING Motor Starter :</t>
  </si>
  <si>
    <t>2(Dua) Set. DOL STARTER  5,5kW</t>
  </si>
  <si>
    <t>Pompa Hidrolic  LR-1</t>
  </si>
  <si>
    <t>Pompa Hidrolic  LR-2</t>
  </si>
  <si>
    <t>Motor Circuit Breaker 5,5kW (9-14)A, 50 Icu(kA) GV2L16</t>
  </si>
  <si>
    <t>Contactor 3P AC220V LC1-D12M7,  5,5kW</t>
  </si>
  <si>
    <t>Aux. Contact LADN11</t>
  </si>
  <si>
    <t>TOR LRD-16 (9-13)A</t>
  </si>
  <si>
    <t xml:space="preserve">Illuminated Pushbutton AC220V XB5-AW3. 3M5-G/4M5-R/5M5-Y On/Off </t>
  </si>
  <si>
    <t>Pilot Lamp AC220V XB5-AVM5 Trip ( Yellow )</t>
  </si>
  <si>
    <t>Selector Switch XB5-AD33, 2NO 3pss (A,O,M)</t>
  </si>
  <si>
    <t>Relay + Socket My-4 AC220V (1lot)</t>
  </si>
  <si>
    <t>Accessories &amp; Wiring Material</t>
  </si>
  <si>
    <t>Cable Gland PG-21 ;  13 - 18mm, White (Plastic)</t>
  </si>
  <si>
    <t>2(Dua) Set. STARTER STAR DELTA  22kW</t>
  </si>
  <si>
    <t>FFB Horizontal Conveyor no. 1 (Interlock dengan Conveyor satunya)</t>
  </si>
  <si>
    <t>FFB Horizontal Conveyor no. 2 (Interlock dengan Conveyor satunya)</t>
  </si>
  <si>
    <t>Motor Circuit Breaker 22kW (37-50)A, 100 Icu(kA), GV3L50</t>
  </si>
  <si>
    <t>Contactor 3P AC220V LC1-D32M7</t>
  </si>
  <si>
    <t>Time ON Delay + Socket H3CR-A8 AC220V (1lot)</t>
  </si>
  <si>
    <t>TOR LRD-35 (30-38)A</t>
  </si>
  <si>
    <t>Cable Gland PG-29 ;  18 - 25mm, White (Plastic)</t>
  </si>
  <si>
    <t>PANEL MCC - 2  STERILIZER</t>
  </si>
  <si>
    <t>Dimensi : 1800(H) x 1700(W) x 800(D)mm
Steel Sheet 2mm, Marine Coating RAL 7032</t>
  </si>
  <si>
    <t xml:space="preserve">MCCB+TM500D (350-500)A 3P 50kA CVS630N (LV563315) </t>
  </si>
  <si>
    <t>Power Supply (10A) AC220V/DC24V, 240W Type S-240-24</t>
  </si>
  <si>
    <t>Cable Gland PG-42 ;  30 - 38mm, White (Plastic)</t>
  </si>
  <si>
    <t>OUTGOING FEEDER:</t>
  </si>
  <si>
    <t>MCB 32A 3P 6kA DOMF01332</t>
  </si>
  <si>
    <t>MCB 16A 1P 6kA DOMF01116</t>
  </si>
  <si>
    <t>Panel Socket Mounting type 324,  32A, 4P, IP44,  400V</t>
  </si>
  <si>
    <t>Industrial Plug Mounting type 024, 32A, 4P, IP44,  400V</t>
  </si>
  <si>
    <t>Panel Socket Mounting type 112, 16A, 2P, IP44,  250V</t>
  </si>
  <si>
    <t>Industrial Plug type 012, 16A, 2P+E, IP44,  250V</t>
  </si>
  <si>
    <t>Cable Gland PG-13,5 ;  6 - 12mm, White (Plastic)</t>
  </si>
  <si>
    <t>MCB 10A 3P 6kA(IEC 60898-1) iC60N A9F74310</t>
  </si>
  <si>
    <t>PLC Program 3kW</t>
  </si>
  <si>
    <t>Cable Gland BPG-21 ;  13 - 18 mm, Nickel-Plated Brass</t>
  </si>
  <si>
    <t>1 (Satu) Set. STARTER STAR DELTA  22kW</t>
  </si>
  <si>
    <t xml:space="preserve"> FFB Inclined Conveyor  (Interlock dengan Conveyor satunya)</t>
  </si>
  <si>
    <t>4 (Tujuh) Set. STARTER STAR DELTA  11kW</t>
  </si>
  <si>
    <t>FFB Distributing Conveyor  (Interlock dengan Conveyor satunya)</t>
  </si>
  <si>
    <t>FFB Over flow Conveyor  (Interlock dengan Conveyor satunya)</t>
  </si>
  <si>
    <t>SFB Inclined Conveyor  (Interlock dengan Conveyor satunya)</t>
  </si>
  <si>
    <t>Motor Circuit Breaker 11kW 50 Icu(kA) GV2L22</t>
  </si>
  <si>
    <t>Contactor 3P AC220V LC1-D12M7</t>
  </si>
  <si>
    <t>TOR LRD-21 (12-18)A</t>
  </si>
  <si>
    <t>1 (Satu) Set. VARIABLE SPEED DRIVE  18,5kW</t>
  </si>
  <si>
    <t xml:space="preserve"> SFB Horizontal Conveyor  (Interlock dengan Conveyor satunya)</t>
  </si>
  <si>
    <t>Motor Circuit Breaker 18,5kW (30-40)A, 100 Icu(kA, GV3L40</t>
  </si>
  <si>
    <t>Contactor 3P AC220V LC1-D18M7</t>
  </si>
  <si>
    <t>Inverter ----------- Altivar 930 3Phase for 22kW H. duty</t>
  </si>
  <si>
    <t>Potensio Adjustable Speed 10 Turn</t>
  </si>
  <si>
    <t>Spectrol</t>
  </si>
  <si>
    <t>1 (Satu) Set. DOL STARTER  4kW</t>
  </si>
  <si>
    <t xml:space="preserve">Hydraulic pump chute </t>
  </si>
  <si>
    <t>Motor Circuit Breaker 4kW &gt;100 Icu(kA) GV2L14  (6-10)A,</t>
  </si>
  <si>
    <t>Contactor 3P AC220V LC1-D09M7, 4kW</t>
  </si>
  <si>
    <t>TOR LRD-14 (7-10)A</t>
  </si>
  <si>
    <t>3 (Tiga) Set. DOL STARTER  7,5kW</t>
  </si>
  <si>
    <t xml:space="preserve">Pump Hydraulic Door - Sterilizer no. 1 </t>
  </si>
  <si>
    <t xml:space="preserve">Pump Hydraulic Door - Sterilizer no. 2 </t>
  </si>
  <si>
    <t>AIR Compressor</t>
  </si>
  <si>
    <t>Motor Circuit Breaker 7,5kW (13-18)A, 50 Icu(kA) GV2L20</t>
  </si>
  <si>
    <t>Contactor 3P AC220V LC1-D18M7,  7,5kW</t>
  </si>
  <si>
    <t>NB: KOMPONEN YANG DI SUPPLY DARI  SUPPLIER LAIN</t>
  </si>
  <si>
    <t>PANEL MCC - 3  STASIUN THRASHING &amp; PRESSING</t>
  </si>
  <si>
    <t>Dimensi : 1800(H) x 4600(W) x 800(D)mm
Steel Sheet 2mm, Marine Coating RAL 7032</t>
  </si>
  <si>
    <t>MCCB (400-1000)A 3P 50kA NS1000N, (33472) + Mic 2.0</t>
  </si>
  <si>
    <t>CT. 1000/5A MSY-100,  Burden 15 VA (Class 0,5)</t>
  </si>
  <si>
    <t>MCB 6A 3P 6kA(IEC 60898-1) iC60N A9F74306</t>
  </si>
  <si>
    <t>POWER Pack PRESS  1,5 kW Dol, no. 1 s/d 4</t>
  </si>
  <si>
    <t>2 (Dua) Set. STARTER STAR DELTA  18,5kW</t>
  </si>
  <si>
    <t>Thresher DRUMP no. 1  (Interlock dengan Motor stater satunya)</t>
  </si>
  <si>
    <t>Thresher DRUMP no. 2  (Interlock dengan Motor stater satunya)</t>
  </si>
  <si>
    <t>TOR LRD-32 (23-32)A</t>
  </si>
  <si>
    <t>3 (Tiga) Set. DOL STARTER  4kW</t>
  </si>
  <si>
    <t>Under THRESHER  Conveyor  no. 1  (Interlock dengan Conveyor satunya)</t>
  </si>
  <si>
    <t>Under THRESHER  Conveyor  no. 2  (Interlock dengan Conveyor satunya)</t>
  </si>
  <si>
    <t>Horizontal  EBC    (Interlock dengan Conveyor satunya)</t>
  </si>
  <si>
    <t>1 (Satu) Set. STARTER STAR DELTA  7,5kW</t>
  </si>
  <si>
    <t>Motor Circuit Breaker 7,5kW 50 Icu(kA) GV2L20</t>
  </si>
  <si>
    <t>Contactor 3P AC220V LC1-D09M7</t>
  </si>
  <si>
    <t>Bottom Cross CONVEYOR  (Interlock dengan Conveyor satunya)</t>
  </si>
  <si>
    <t>FRUIT Distributing CONVEYOR  (Interlock dengan Conveyor satunya)</t>
  </si>
  <si>
    <t>2 (Dua) Set. STARTER STAR DELTA  11kW</t>
  </si>
  <si>
    <t>FRUIT ELEVATOR NO. 1  (Interlock dengan Elevator satunya)</t>
  </si>
  <si>
    <t>FRUIT ELEVATOR NO. 2 (Interlock dengan Elevator satunya)</t>
  </si>
  <si>
    <t>2 (Dua) Set. SOFT STARTER  45kW (by Pass)</t>
  </si>
  <si>
    <t>MOTOR Digester no. 1 s/d 2  (Interlock dengan DIGESTEr satunya)</t>
  </si>
  <si>
    <t>MCCB+TM100D (70-100)A 3P 36kA CVS100F, (LV510337)</t>
  </si>
  <si>
    <t>Contactor 3P AC220V LC1-D115M7</t>
  </si>
  <si>
    <t>Soft Starter ATS48D11Y Altistart 48 For 45kW (Heavy Duty)</t>
  </si>
  <si>
    <t>2 (Empat) Set. SOFT STARTER  45kW (by Pass)</t>
  </si>
  <si>
    <t>MOTOR Press no. 1 s/d 2  (Interlock dengan Motor Press satunya)</t>
  </si>
  <si>
    <t>POWER Pack PRESS  1,5 kW Dol, no. 1 s/d 4 (Interlock dengan satunya)</t>
  </si>
  <si>
    <t>PANEL MCC - 4  BUNCH PRESS</t>
  </si>
  <si>
    <t>Dimensi : 1800(H) x 800(W) x 600(D)mm
Steel Sheet 2mm, Marine Coating RAL 7032</t>
  </si>
  <si>
    <t>MCCB (800A)  3P 50kA ComPact NS800N C63N32D630</t>
  </si>
  <si>
    <t>MCCB+TM200D (140-200)A 3P 36kA CVS250F, (LV525332)</t>
  </si>
  <si>
    <t>Motor PRESS  90kW SS, no. 1 s/d 3</t>
  </si>
  <si>
    <t>3 (Tiga) Set. DOL STARTER  5,5kW</t>
  </si>
  <si>
    <t>Colection Pump Bunch Press no. 1</t>
  </si>
  <si>
    <t>Colection Pump Bunch Press no. 2</t>
  </si>
  <si>
    <t>FIBER Bunch CONVEYOR  no. 1</t>
  </si>
  <si>
    <t>1 (Satu) Set. STARTER STAR DELTA  11kW</t>
  </si>
  <si>
    <t>FIBER Bunch CONVEYOR  no. 2</t>
  </si>
  <si>
    <t>NB:KOMPONEN YANG DI SUPPLY DARI  SUPPLIER LAIN</t>
  </si>
  <si>
    <t>PANEL MCC - 5  STASIUN NUT &amp; KERNEL</t>
  </si>
  <si>
    <t>Dimensi : 1800(H) x5000(W) x 800(D)mm
Steel Sheet 2mm, Marine Coating RAL 7032</t>
  </si>
  <si>
    <t>MCCB (320-800)A 3P 50kA NS800N, (33466)+Mic 2.0 Manual Operated</t>
  </si>
  <si>
    <t>CAKE Breaker Conveyor 1  (Interlock dengan Conveyor satunya)</t>
  </si>
  <si>
    <t>7(Tujuh) Set. DOL STARTER  5,5kW</t>
  </si>
  <si>
    <t>NUT Polishing Drump  (Interlock dengan Motor stater satunya)</t>
  </si>
  <si>
    <t xml:space="preserve">RIPPLE MILL no. 1  </t>
  </si>
  <si>
    <t xml:space="preserve">RIPPLE MILL no. 2  </t>
  </si>
  <si>
    <t>Mixture Cracked ELEVATOR  (Interlock dengan Motor stater satunya)</t>
  </si>
  <si>
    <t>Wet SHELL ELEVATOR  (Interlock dengan Motor stater satunya)</t>
  </si>
  <si>
    <t>Wet KERNEL ELEVATOR  (Interlock dengan Motor stater satunya)</t>
  </si>
  <si>
    <t>Dry KERNEL ELEVATOR  (Interlock dengan Motor stater satunya)</t>
  </si>
  <si>
    <t>9 (Sembilan) Set. DOL STARTER  2,2kW</t>
  </si>
  <si>
    <t>Nut AUGER CONVEYOR  (Interlock dengan Motor stater satunya)</t>
  </si>
  <si>
    <t>AIR Lock Fiber CYCLONE Fan  (Interlock dengan Motor stater satunya)</t>
  </si>
  <si>
    <t>AIR Lock Nut Transport Fan</t>
  </si>
  <si>
    <t>Mixture Cracked CONVEYOR 1</t>
  </si>
  <si>
    <t>Mixture Cracked CONVEYOR 2 ( AirLock)</t>
  </si>
  <si>
    <t>AIR Lock LTDS Fan no. 1</t>
  </si>
  <si>
    <t>AIR Lock LTDS Fan no. 2</t>
  </si>
  <si>
    <t>AIR Lock Chute  KDS no. 1</t>
  </si>
  <si>
    <t>AIR Lock Chute  KDS no. 2</t>
  </si>
  <si>
    <t>Motor Circuit Breaker 2,2kW  &gt;100 Icu(kA) GV2L10</t>
  </si>
  <si>
    <t>TOR LRD-10 (4-6)A</t>
  </si>
  <si>
    <t>1 (Satu) Set. SOFT STARTER  55kW (by Pass)</t>
  </si>
  <si>
    <t>FIBER CYCLONE FAN  (Interlock dengan Motor stater satunya)</t>
  </si>
  <si>
    <t>Soft Starter ATS48C11Q Altistart 48 For 55kW</t>
  </si>
  <si>
    <t>1 (Satu) Set. SOFT STARTER  18.5kW</t>
  </si>
  <si>
    <t>NUT Treansport FAN  (Interlock dengan Motor stater satunya)</t>
  </si>
  <si>
    <t>Contactor 3P AC220V LC1-D40AM7</t>
  </si>
  <si>
    <t>Soft Starter ATS48D38Q Altistart 48 For 18,5kW</t>
  </si>
  <si>
    <t>7 (Tujuh) Set. DOL STARTER  4kW</t>
  </si>
  <si>
    <t>NUT GRADING</t>
  </si>
  <si>
    <t>Wet SHELL  Conveyor  HIDROCYCLONE  (Interlock dengan Motor stater satunya)</t>
  </si>
  <si>
    <t>WET Kernel  Conveyor  HIDROCYCLONE  (Interlock dengan Motor stater satunya)</t>
  </si>
  <si>
    <t>WET Kernel  Distributing  CONVEYOR  (Interlock dengan Motor stater satunya)</t>
  </si>
  <si>
    <t>DRY Kernel CONVEYOR 1  (Interlock dengan Motor stater satunya)</t>
  </si>
  <si>
    <t>DRY Kernel CONVEYOR 2  (CROSS)  (Interlock dengan Motor stater satunya)</t>
  </si>
  <si>
    <t>DRY Kernel  Distributing  CONVEYOR  (Interlock dengan Motor stater satunya)</t>
  </si>
  <si>
    <t>2 (Dua) Set. SOFT STARTER  22kW (by Pass)</t>
  </si>
  <si>
    <t>LTDS CYCLONE FAN no. 1  (Interlock dengan Motor stater satunya)</t>
  </si>
  <si>
    <t>LTDS CYCLONE FAN no. 2  (Interlock dengan Motor stater satunya)</t>
  </si>
  <si>
    <t>Contactor 3P AC220V LC1-D50AM7</t>
  </si>
  <si>
    <t>Soft Starter ATS48D47Q Altistart 48 For 22kW</t>
  </si>
  <si>
    <t>3 (Tiga) Set. STARTER STAR DELTA  15kW</t>
  </si>
  <si>
    <t>HIDROCYCLONE PUMP no. 1  (Interlock dengan Motor stater satunya)</t>
  </si>
  <si>
    <t>HIDROCYCLONE PUMP no. 2  (Interlock dengan Motor stater satunya)</t>
  </si>
  <si>
    <t>HIDROCYCLONE PUMP no. 3  (Interlock dengan Motor stater satunya)</t>
  </si>
  <si>
    <t>Motor Circuit Breaker 15kW 50 Icu(kA) GV2L32</t>
  </si>
  <si>
    <t>TOR LRD-22 (16-24)A</t>
  </si>
  <si>
    <t>1 (Satu) Set. DOL STARTER  3kW</t>
  </si>
  <si>
    <t>HIDROCYCLONE DRUMP   (Interlock dengan Motor stater satunya)</t>
  </si>
  <si>
    <t>Motor Circuit Breaker 3kW &gt;100 Icu(kA) GV2L14 (6 -10)A</t>
  </si>
  <si>
    <t>TOR LRD-12 (5.5-8)A</t>
  </si>
  <si>
    <t>3 (Tiga) Set. STARTER STAR DELTA  18,5kW</t>
  </si>
  <si>
    <t>HEATER SILO no. 1  (Interlock dengan Motor stater satunya)</t>
  </si>
  <si>
    <t>HEATER SILO no. 2  (Interlock dengan Motor stater satunya)</t>
  </si>
  <si>
    <t>HEATER SILO no. 3  (Interlock dengan Motor stater satunya)</t>
  </si>
  <si>
    <t>PANEL MCC - 6 STASIUN KLARIFIKASI</t>
  </si>
  <si>
    <t>Dimensi : 1800(H) x 3800(W) x 800(D)mm
Steel Sheet 2mm, Marine Coating RAL 7032</t>
  </si>
  <si>
    <t>MCCB (400-1000)A 3P 50kA NS1000N, (33472) + Mic 2.0 Manual Operated</t>
  </si>
  <si>
    <t>HSS  45kW, no. 1 s/d 2</t>
  </si>
  <si>
    <t>3 (Tiga) Set. DOL STARTER  1,8kW (Ditawarkan 2,2kW)</t>
  </si>
  <si>
    <t>Vibrating  OIL No.1</t>
  </si>
  <si>
    <t>Vibrating OIL No.2</t>
  </si>
  <si>
    <t>Vibrating OIL No.3</t>
  </si>
  <si>
    <t>7 (Tujuh) Set. STARTER STAR DELTA  15kW</t>
  </si>
  <si>
    <t>SSC Pump No.1</t>
  </si>
  <si>
    <t>SSC Pump No.2</t>
  </si>
  <si>
    <t>STC Pump No.1</t>
  </si>
  <si>
    <t>STC Pump No.2</t>
  </si>
  <si>
    <t>STC Pump No.3</t>
  </si>
  <si>
    <t>Final Eeefluent Pump No.1</t>
  </si>
  <si>
    <t>Final Eeefluent Pump No.2</t>
  </si>
  <si>
    <t>1 (Satu) Set. DOL STARTER  2,2kW</t>
  </si>
  <si>
    <t>Horizontal Waste Conveyor</t>
  </si>
  <si>
    <t>Inclined Waste Conveyor</t>
  </si>
  <si>
    <t>Solid Conveyor NO. 1</t>
  </si>
  <si>
    <t>Solid Conveyor NO. 2</t>
  </si>
  <si>
    <t>9 (Sembilan) Set. DOL STARTER  5,5kW</t>
  </si>
  <si>
    <t>Light Phase Pump Decenter No.1</t>
  </si>
  <si>
    <t>Light Phase Pump Decenter No.2</t>
  </si>
  <si>
    <t>Heavy Phase Pump Decenter No.1</t>
  </si>
  <si>
    <t>Heavy Phase Pump Decenter No.2</t>
  </si>
  <si>
    <t>Pump Oil Tank No.1</t>
  </si>
  <si>
    <t>Pump Oil Tank No.2</t>
  </si>
  <si>
    <t>Sludge Tank Pump No.1</t>
  </si>
  <si>
    <t>Solid Conveyor no. 3</t>
  </si>
  <si>
    <t>4 (Empat) Set. STARTER STAR DELTA  11kW</t>
  </si>
  <si>
    <t>Oil Transfer Pump No.1</t>
  </si>
  <si>
    <t>Oil Transfer Pump No.2</t>
  </si>
  <si>
    <t>Fat Pit Pump No.1</t>
  </si>
  <si>
    <t>Fat Pit Pump No.2</t>
  </si>
  <si>
    <t>3 (Tiga) Set. STARTER STAR DELTA  7,5kW</t>
  </si>
  <si>
    <t>Hot Water Pump No.1</t>
  </si>
  <si>
    <t>Hot Water Pump No.2</t>
  </si>
  <si>
    <t>Hot Water Pump No.3</t>
  </si>
  <si>
    <t>HSS  45kW, no. 1 s/d 3</t>
  </si>
  <si>
    <t>PANEL SDB - 03  MAIN LIGHTING DISTRIBUTION BOARD</t>
  </si>
  <si>
    <t>Dimensi : 900(H) x 700(W) x 250(D)mm
Steel Sheet 2mm, Marine Coating RAL 7032</t>
  </si>
  <si>
    <t>MCCB 100A 3P 18kA EZC250F3100</t>
  </si>
  <si>
    <t>Ampere Meter Via CT(0-100)A, 96x96mm (FT-96-A)</t>
  </si>
  <si>
    <t>CT. 100/5A MSY-30,  Burden 2,5 VA (Class 0,5)</t>
  </si>
  <si>
    <t>MCB 6A 1P 6kA(IEC 60898-1) iC60N A9F74106</t>
  </si>
  <si>
    <t>OUTGOING :</t>
  </si>
  <si>
    <t>MCCB 60A 3P 18kA EZC100N3060</t>
  </si>
  <si>
    <t>PANEL LDB - 1 s/d 6 ; LDB 1 (Loading Ramp &amp; Sterilizer), LDB 2 (Thresher &amp; Bunch Press/ Digester and Press), LDB 3 (Nut &amp; Kernel),</t>
  </si>
  <si>
    <t>LDB 4 (Klarifikasi), LDB 5 (Engine Room), LDB 6 (Boiler House)</t>
  </si>
  <si>
    <t>Dimensi : 700(H) x 500(W) x 200(D)mm
Steel Sheet 2mm, Marine Coating RAL 7032</t>
  </si>
  <si>
    <t xml:space="preserve">CW BUSBAR + WIRING CONTROL </t>
  </si>
  <si>
    <t>MCCB 50A 3P 10kA EZC100F3050</t>
  </si>
  <si>
    <t>MCB 6A 1P 6kA DOMF01106</t>
  </si>
  <si>
    <t>Panasonic Saklar Triple (WNJ6803+WNJ5001(3))</t>
  </si>
  <si>
    <t>PANEL REMOT 2 LUBANG</t>
  </si>
  <si>
    <t xml:space="preserve">Dimensi : Box Remote </t>
  </si>
  <si>
    <t xml:space="preserve">WIRING CONTROL </t>
  </si>
  <si>
    <t>KOMPONEN :</t>
  </si>
  <si>
    <t>Box Remote 2 Lubang GOB - 2A</t>
  </si>
  <si>
    <t>Emergency Stop LAY5-BS542 1NC, Ø40mm,Push lock-Turn to Release</t>
  </si>
  <si>
    <t>Pushbutton XA2-EA 31 (On)- Green</t>
  </si>
  <si>
    <t>Add LVMDP</t>
  </si>
  <si>
    <t>LAMBAR PENGESAHAN</t>
  </si>
  <si>
    <t>PT BUANA KARYA BHAKTI</t>
  </si>
  <si>
    <t>BIAYA</t>
  </si>
  <si>
    <t>TOTAL BIAYA UMUM DAN ADMINISTRASI</t>
  </si>
  <si>
    <t>TOTAL BIAYA KONSTRUKSI</t>
  </si>
  <si>
    <t>GRAND TOTAL RKP</t>
  </si>
  <si>
    <t>Disahkan Oleh,</t>
  </si>
  <si>
    <t>Dibuat Oleh,</t>
  </si>
  <si>
    <t>( Imam Satoto Yudiono )</t>
  </si>
  <si>
    <t>* Lampiran adalah lembar yang tidak terpisahkan dari lembar pengesahan ini</t>
  </si>
  <si>
    <t>ESTIMASI BIAYA</t>
  </si>
  <si>
    <t>Izin Prinsip  SBNP</t>
  </si>
  <si>
    <t>Tinjauan Lapangan dan Daftar Suar Indonesia</t>
  </si>
  <si>
    <t>AMDAL</t>
  </si>
  <si>
    <t>Perkerasan Jalan</t>
  </si>
  <si>
    <t>Pekerjaan Jetty &amp; Sheet Pile</t>
  </si>
  <si>
    <t>Pekerjaan Supporting Building</t>
  </si>
  <si>
    <t>Gudang Pupuk (Uk, 12x48 m)</t>
  </si>
  <si>
    <t>Gudang Kernel (Uk, 12x48 m)</t>
  </si>
  <si>
    <t>Gudang Bungkil (Uk, 12x48 m)</t>
  </si>
  <si>
    <t>Gudang Palmofeed/ Siskafeed (Uk, 12x48 m)</t>
  </si>
  <si>
    <t>Engine Room/ Powerhouse (Uk, 14x9 m)</t>
  </si>
  <si>
    <t>Dispatch (Uk, 12x10 m)</t>
  </si>
  <si>
    <t>Pos Security (Uk, 3x4 m)</t>
  </si>
  <si>
    <t>Gudang B3/LB3 (Uk, 9x14 m)</t>
  </si>
  <si>
    <t>Jalan Lingkungan</t>
  </si>
  <si>
    <t>Rigid Pavement (550 m3)</t>
  </si>
  <si>
    <t xml:space="preserve">Pondasi Storage Tank CPO 01 </t>
  </si>
  <si>
    <t>Pondasi Storage Tank CPO 02</t>
  </si>
  <si>
    <t>Pondasi Storage Tank CPO 03</t>
  </si>
  <si>
    <t>Pondasi Storage Tank PKO 01</t>
  </si>
  <si>
    <t>Pump, Valve &amp; Aksesoris</t>
  </si>
  <si>
    <t>Tandon Air</t>
  </si>
  <si>
    <t>Pekerjaan Elektrikal Pabrikasi &amp; Instalasi</t>
  </si>
  <si>
    <t>Pekerjaan Pondasi Storage Tank</t>
  </si>
  <si>
    <t>Panel LVMDP, Panel MCC dan Panel Penerangan</t>
  </si>
  <si>
    <t>Kabel Power to LVMDP dan to MCC</t>
  </si>
  <si>
    <t>Genset 200 KVA</t>
  </si>
  <si>
    <t>Pagar BRC (600 m')</t>
  </si>
  <si>
    <t>Konstruksi Mooring Dolphin + Aksesoris</t>
  </si>
  <si>
    <t>Mooring Darat</t>
  </si>
  <si>
    <t>2 Unit</t>
  </si>
  <si>
    <t>Siring kayu Ulin</t>
  </si>
  <si>
    <t>100 m</t>
  </si>
  <si>
    <t>Pos Sementara/ Homybox</t>
  </si>
  <si>
    <t>Pagar siring  kayu ulin penahan tanah</t>
  </si>
  <si>
    <t>Urugan Perkerasan Lahan</t>
  </si>
  <si>
    <t>Pengurusan Perizinan Awal</t>
  </si>
  <si>
    <t>Ijin Pembangunan &amp; Operasional</t>
  </si>
  <si>
    <t>Izin &amp; Pembangunan Suar</t>
  </si>
  <si>
    <t>DP Tahap I Studi Kelayakan &amp; Kajian Teknis</t>
  </si>
  <si>
    <t>Pelunasan 40% Studi Kelayakan &amp; Kajian Teknis</t>
  </si>
  <si>
    <t>By Tahap I Studi Kelayakan &amp; Kajian Teknis</t>
  </si>
  <si>
    <t>Pelunasan Studi Kelayakan &amp; Kajian Teknis</t>
  </si>
  <si>
    <t>Kunjungan Konsultan CV. NP</t>
  </si>
  <si>
    <t>Pengurusan Bathimetri</t>
  </si>
  <si>
    <t>Visit Lapangan Dengan Tim HO</t>
  </si>
  <si>
    <t>Visit Lapangan Lainnya</t>
  </si>
  <si>
    <t>Visit Dinas Luar Kota</t>
  </si>
  <si>
    <t>Pengurusan Lahan Dermaga Satui 2024</t>
  </si>
  <si>
    <t>UM Perolehan 3 Ha Tanah Tahun 2017</t>
  </si>
  <si>
    <t>Ganti Rugi Lahan Tahap I</t>
  </si>
  <si>
    <t>Rep Kunjungan KSOP ke Lokasi</t>
  </si>
  <si>
    <t>Konsumsi Kunjungan KSOP ke Lokasi</t>
  </si>
  <si>
    <t>Representatif/Entertainment</t>
  </si>
  <si>
    <t>Rep Lain lain</t>
  </si>
  <si>
    <t>Pekerjaan Tanah Urug (Vol. 17,720 m3)</t>
  </si>
  <si>
    <t>Pekerjaan Cerucuk Kayu Galam (Vol. 57,240)</t>
  </si>
  <si>
    <t>Perkerasan Laterit/ Basecoarse (Vol. 250 Rit/ 14 Ton)</t>
  </si>
  <si>
    <t>Geotekstile</t>
  </si>
  <si>
    <t>Alat Berat Pekerjaan Urugan Lahan Tahap I</t>
  </si>
  <si>
    <t>Alat Berat Land Clearing Tahap I</t>
  </si>
  <si>
    <t>Alat Berat Land Clearing Tahap Selanjutnya</t>
  </si>
  <si>
    <t>Konstruksi Mooring Darat</t>
  </si>
  <si>
    <t>Ramp Door Knockdown</t>
  </si>
  <si>
    <t>Storage Tank CPO 01 (@3000 T)</t>
  </si>
  <si>
    <t>Storage Tank CPO 02 (@3000 T)</t>
  </si>
  <si>
    <t>Storage Tank CPO 03 (@3000 T)</t>
  </si>
  <si>
    <t>Storage Tank PKO 01 (@3000 T)</t>
  </si>
  <si>
    <t>Bollard 25T (@6 Unit)</t>
  </si>
  <si>
    <t>Ramp Door Hidrolik</t>
  </si>
  <si>
    <t>Lampu High Mast (@2 Unit)</t>
  </si>
  <si>
    <t>Gazebo (Kantor/ Mushalla) (8 x 5 m)</t>
  </si>
  <si>
    <t>Timbangan</t>
  </si>
  <si>
    <t>Pondasi, Pos Timbangan &amp; Security (6  x 3 m)</t>
  </si>
  <si>
    <t>Dispatch, Gudang Compound &amp; Unloading CPO (18 x 10 m)</t>
  </si>
  <si>
    <t>Pagar BRC (180 m') Tahap I</t>
  </si>
  <si>
    <t>Longhouse G10 Type C</t>
  </si>
  <si>
    <t>Rigid Pavement (12x18x0.25=54 m3) Tahap I</t>
  </si>
  <si>
    <t>Transit Tank 9 x 1,8 x1,8 m Tahap 1</t>
  </si>
  <si>
    <t>Piping Work Tahap 1</t>
  </si>
  <si>
    <t>Pump, Valve &amp; Aksesoris Tahap 1</t>
  </si>
  <si>
    <t>Instalasi PLN (Kabel, tiang dan jasa PLN) Tahap I</t>
  </si>
  <si>
    <t>Penerangan Bangunan</t>
  </si>
  <si>
    <t>Penerangan Jalan dan Dermaga (Lampu, Tiang &amp; Kabel)</t>
  </si>
  <si>
    <t>Penerangan Jalan Umum (PJU)</t>
  </si>
  <si>
    <t>By Tahap I</t>
  </si>
  <si>
    <t>Burner Boiler Set</t>
  </si>
  <si>
    <t>Rubber Fender V800L (@6 Unit)</t>
  </si>
  <si>
    <t>( Herry Munazar )</t>
  </si>
  <si>
    <t>Manager Engineering &amp; Mill Opr</t>
  </si>
  <si>
    <t>Pekerjaan Tanah Urug Thp. 2 (Vol. 4,800 m3)</t>
  </si>
  <si>
    <t>Alat Berat Pekerjaan Urugan Lahan Thp. 2</t>
  </si>
  <si>
    <t>By Tahap II</t>
  </si>
  <si>
    <t xml:space="preserve">Pekerjaan Cerucuk Kayu Galam </t>
  </si>
  <si>
    <t>Banjarmasin, 20 Mei 2026</t>
  </si>
  <si>
    <t xml:space="preserve">PEKERJAAN DERMAGA SITE SATUI - TAHAP II </t>
  </si>
  <si>
    <t>Siring Sheet Pile @12m (Area jalan tikungan)</t>
  </si>
  <si>
    <t>Siring Sheet Pile @12m ( Area Dermaga )</t>
  </si>
  <si>
    <t>CCTV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</si>
</sst>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&quot;Rp&quot;* #,##0_);_(&quot;Rp&quot;* \(#,##0\);_(&quot;Rp&quot;* &quot;-&quot;_);_(@_)"/>
    <numFmt numFmtId="167" formatCode="_ * #,##0.00_ ;_ * \-#,##0.00_ ;_ * \-??_ ;_ @_ "/>
    <numFmt numFmtId="168" formatCode="_(* #,##0.0_);_(* \(#,##0.0\);_(* &quot;-&quot;?_);_(@_)"/>
    <numFmt numFmtId="169" formatCode="_(* #,##0_);_(* \(#,##0\);_(* &quot;-&quot;??_);_(@_)"/>
    <numFmt numFmtId="170" formatCode="&quot;Rp&quot;#,##0"/>
    <numFmt numFmtId="171" formatCode="0.0%"/>
    <numFmt numFmtId="172" formatCode="_-&quot;Rp&quot;* #,##0_-;\-&quot;Rp&quot;* #,##0_-;_-&quot;Rp&quot;* &quot;-&quot;??_-;_-@_-"/>
    <numFmt numFmtId="173" formatCode="0.0000%"/>
    <numFmt numFmtId="174" formatCode="0.0"/>
  </numFmts>
  <fonts count="92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Helv"/>
    </font>
    <font>
      <sz val="12"/>
      <color indexed="8"/>
      <name val="Arial"/>
      <family val="2"/>
      <charset val="1"/>
    </font>
    <font>
      <sz val="11"/>
      <name val="Calisto MT"/>
      <family val="1"/>
    </font>
    <font>
      <b/>
      <sz val="11"/>
      <name val="Calisto MT"/>
      <family val="1"/>
    </font>
    <font>
      <b/>
      <sz val="11"/>
      <color rgb="FF0000FF"/>
      <name val="Calisto MT"/>
      <family val="1"/>
    </font>
    <font>
      <b/>
      <sz val="11"/>
      <color rgb="FFC00000"/>
      <name val="Calisto MT"/>
      <family val="1"/>
    </font>
    <font>
      <sz val="8"/>
      <name val="Segoe UI"/>
      <family val="2"/>
    </font>
    <font>
      <sz val="10"/>
      <name val="Arial"/>
      <family val="2"/>
    </font>
    <font>
      <sz val="11"/>
      <color rgb="FF0000FF"/>
      <name val="Calisto MT"/>
      <family val="1"/>
    </font>
    <font>
      <i/>
      <sz val="11"/>
      <name val="Calisto MT"/>
      <family val="1"/>
    </font>
    <font>
      <b/>
      <i/>
      <sz val="11"/>
      <name val="Calisto MT"/>
      <family val="1"/>
    </font>
    <font>
      <sz val="8"/>
      <name val="Segoe UI"/>
      <family val="2"/>
    </font>
    <font>
      <b/>
      <sz val="11"/>
      <color rgb="FFFF0000"/>
      <name val="Calisto MT"/>
      <family val="1"/>
    </font>
    <font>
      <sz val="11"/>
      <color rgb="FFFF0000"/>
      <name val="Calisto MT"/>
      <family val="1"/>
    </font>
    <font>
      <sz val="11"/>
      <color rgb="FFC00000"/>
      <name val="Calisto MT"/>
      <family val="1"/>
    </font>
    <font>
      <b/>
      <i/>
      <sz val="12"/>
      <color rgb="FF0000FF"/>
      <name val="Calisto MT"/>
      <family val="1"/>
    </font>
    <font>
      <b/>
      <i/>
      <sz val="11"/>
      <color rgb="FFFF0000"/>
      <name val="Calisto MT"/>
      <family val="1"/>
    </font>
    <font>
      <b/>
      <i/>
      <u val="singleAccounting"/>
      <sz val="12"/>
      <color rgb="FF0000FF"/>
      <name val="Calisto MT"/>
      <family val="1"/>
    </font>
    <font>
      <sz val="12"/>
      <color rgb="FFFF0000"/>
      <name val="Calisto MT"/>
      <family val="1"/>
    </font>
    <font>
      <b/>
      <u val="singleAccounting"/>
      <sz val="11"/>
      <color rgb="FFFF0000"/>
      <name val="Calisto MT"/>
      <family val="1"/>
    </font>
    <font>
      <b/>
      <u val="singleAccounting"/>
      <sz val="12"/>
      <color rgb="FFFF0000"/>
      <name val="Calisto MT"/>
      <family val="1"/>
    </font>
    <font>
      <sz val="8"/>
      <name val="Segoe UI"/>
      <family val="2"/>
    </font>
    <font>
      <sz val="10"/>
      <name val="Arial"/>
      <family val="2"/>
    </font>
    <font>
      <b/>
      <sz val="10"/>
      <name val="Arial"/>
      <family val="2"/>
    </font>
    <font>
      <sz val="8"/>
      <color rgb="FF92D050"/>
      <name val="Segoe U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color theme="1"/>
      <name val="Segoe UI"/>
      <family val="2"/>
    </font>
    <font>
      <sz val="11"/>
      <color theme="1"/>
      <name val="Calisto MT"/>
      <family val="1"/>
    </font>
    <font>
      <sz val="10"/>
      <name val="Calisto MT"/>
      <family val="1"/>
    </font>
    <font>
      <sz val="10"/>
      <name val="Arial"/>
      <family val="2"/>
    </font>
    <font>
      <b/>
      <i/>
      <u val="singleAccounting"/>
      <sz val="12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i/>
      <sz val="12"/>
      <name val="Garamond"/>
      <family val="1"/>
    </font>
    <font>
      <b/>
      <i/>
      <sz val="12"/>
      <name val="Garamond"/>
      <family val="1"/>
    </font>
    <font>
      <b/>
      <sz val="14"/>
      <name val="Garamond"/>
      <family val="1"/>
    </font>
    <font>
      <b/>
      <sz val="12"/>
      <name val="Arial"/>
      <family val="2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Arial Narrow"/>
      <family val="2"/>
    </font>
    <font>
      <b/>
      <sz val="14"/>
      <color rgb="FF000000"/>
      <name val="Arial Narrow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charset val="129"/>
      <scheme val="minor"/>
    </font>
    <font>
      <b/>
      <sz val="14"/>
      <color rgb="FF0070C0"/>
      <name val="Calibri"/>
      <family val="2"/>
      <scheme val="minor"/>
    </font>
    <font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002060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rgb="FF000000"/>
      <name val="Tahoma"/>
      <family val="2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2"/>
      <color rgb="FFFFFF00"/>
      <name val="Garamond"/>
      <family val="1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4"/>
      <name val="Garamond"/>
      <family val="1"/>
    </font>
    <font>
      <u val="singleAccounting"/>
      <sz val="14"/>
      <name val="Garamond"/>
      <family val="1"/>
    </font>
    <font>
      <sz val="13"/>
      <name val="Garamond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u val="singleAccounting"/>
      <sz val="14"/>
      <name val="Garamond"/>
      <family val="1"/>
    </font>
  </fonts>
  <fills count="2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5E0B3"/>
        <bgColor indexed="64"/>
      </patternFill>
    </fill>
  </fills>
  <borders count="2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/>
      <diagonal/>
    </border>
    <border>
      <left style="thin">
        <color indexed="62"/>
      </left>
      <right style="thin">
        <color indexed="62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indexed="64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indexed="64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auto="1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auto="1"/>
      </left>
      <right/>
      <top/>
      <bottom/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auto="1"/>
      </top>
      <bottom style="thin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indexed="64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indexed="64"/>
      </bottom>
      <diagonal/>
    </border>
    <border>
      <left/>
      <right/>
      <top style="double">
        <color auto="1"/>
      </top>
      <bottom style="medium">
        <color indexed="64"/>
      </bottom>
      <diagonal/>
    </border>
    <border>
      <left/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theme="0" tint="-0.34998626667073579"/>
      </left>
      <right style="thin">
        <color auto="1"/>
      </right>
      <top style="thin">
        <color indexed="64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auto="1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auto="1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 tint="-0.34998626667073579"/>
      </left>
      <right style="thin">
        <color theme="1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1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thin">
        <color theme="0" tint="-0.34998626667073579"/>
      </bottom>
      <diagonal/>
    </border>
    <border>
      <left style="thin">
        <color theme="1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1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1"/>
      </left>
      <right style="medium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1"/>
      </left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 style="thin">
        <color theme="1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thin">
        <color theme="1"/>
      </right>
      <top style="thin">
        <color theme="0" tint="-0.34998626667073579"/>
      </top>
      <bottom/>
      <diagonal/>
    </border>
    <border>
      <left style="thin">
        <color theme="1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34998626667073579"/>
      </left>
      <right style="thin">
        <color theme="1"/>
      </right>
      <top/>
      <bottom style="medium">
        <color theme="0" tint="-0.34998626667073579"/>
      </bottom>
      <diagonal/>
    </border>
    <border>
      <left style="thin">
        <color theme="1"/>
      </left>
      <right style="thin">
        <color theme="1"/>
      </right>
      <top/>
      <bottom style="medium">
        <color theme="0" tint="-0.34998626667073579"/>
      </bottom>
      <diagonal/>
    </border>
    <border>
      <left style="thin">
        <color theme="1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499984740745262"/>
      </top>
      <bottom style="thin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14996795556505021"/>
      </top>
      <bottom style="medium">
        <color theme="0" tint="-0.499984740745262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auto="1"/>
      </top>
      <bottom style="thin">
        <color theme="0" tint="-0.34998626667073579"/>
      </bottom>
      <diagonal/>
    </border>
    <border>
      <left/>
      <right style="thin">
        <color auto="1"/>
      </right>
      <top style="thin">
        <color auto="1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theme="0" tint="-0.34998626667073579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medium">
        <color auto="1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/>
      <top style="thin">
        <color theme="0" tint="-0.34998626667073579"/>
      </top>
      <bottom style="thin">
        <color auto="1"/>
      </bottom>
      <diagonal/>
    </border>
    <border>
      <left/>
      <right style="thin">
        <color auto="1"/>
      </right>
      <top style="thin">
        <color theme="0" tint="-0.34998626667073579"/>
      </top>
      <bottom style="thin">
        <color auto="1"/>
      </bottom>
      <diagonal/>
    </border>
    <border>
      <left/>
      <right/>
      <top style="thin">
        <color theme="0" tint="-0.34998626667073579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34998626667073579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double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34998626667073579"/>
      </bottom>
      <diagonal/>
    </border>
    <border>
      <left/>
      <right/>
      <top style="double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medium">
        <color auto="1"/>
      </right>
      <top style="double">
        <color indexed="64"/>
      </top>
      <bottom style="thin">
        <color theme="0" tint="-0.34998626667073579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/>
      <diagonal/>
    </border>
    <border>
      <left style="thin">
        <color indexed="8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medium">
        <color indexed="64"/>
      </right>
      <top style="thin">
        <color auto="1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thin">
        <color theme="0" tint="-0.34998626667073579"/>
      </top>
      <bottom style="double">
        <color indexed="64"/>
      </bottom>
      <diagonal/>
    </border>
    <border>
      <left/>
      <right style="thin">
        <color auto="1"/>
      </right>
      <top style="thin">
        <color theme="0" tint="-0.34998626667073579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34998626667073579"/>
      </top>
      <bottom style="double">
        <color indexed="64"/>
      </bottom>
      <diagonal/>
    </border>
    <border>
      <left style="thin">
        <color auto="1"/>
      </left>
      <right/>
      <top style="thin">
        <color theme="0" tint="-0.34998626667073579"/>
      </top>
      <bottom style="double">
        <color indexed="64"/>
      </bottom>
      <diagonal/>
    </border>
    <border>
      <left/>
      <right/>
      <top style="thin">
        <color theme="0" tint="-0.34998626667073579"/>
      </top>
      <bottom style="double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double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 tint="-0.499984740745262"/>
      </left>
      <right/>
      <top style="medium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auto="1"/>
      </right>
      <top/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medium">
        <color theme="0" tint="-0.34998626667073579"/>
      </bottom>
      <diagonal/>
    </border>
    <border>
      <left/>
      <right style="thin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/>
      <right style="thin">
        <color auto="1"/>
      </right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auto="1"/>
      </left>
      <right style="medium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auto="1"/>
      </left>
      <right style="medium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  <border>
      <left style="thin">
        <color auto="1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medium">
        <color theme="0" tint="-0.34998626667073579"/>
      </right>
      <top style="thin">
        <color theme="0" tint="-0.34998626667073579"/>
      </top>
      <bottom style="double">
        <color theme="0" tint="-0.34998626667073579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indexed="64"/>
      </bottom>
      <diagonal/>
    </border>
  </borders>
  <cellStyleXfs count="32">
    <xf numFmtId="0" fontId="0" fillId="0" borderId="0"/>
    <xf numFmtId="0" fontId="4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6" fillId="0" borderId="0"/>
    <xf numFmtId="165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7" fontId="7" fillId="0" borderId="0"/>
    <xf numFmtId="165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3" fillId="0" borderId="0"/>
    <xf numFmtId="0" fontId="2" fillId="0" borderId="0"/>
    <xf numFmtId="9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9" fillId="0" borderId="0" applyFont="0" applyFill="0" applyBorder="0" applyAlignment="0" applyProtection="0"/>
    <xf numFmtId="9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5" fillId="0" borderId="0"/>
    <xf numFmtId="0" fontId="74" fillId="0" borderId="0"/>
    <xf numFmtId="165" fontId="74" fillId="0" borderId="0" applyFont="0" applyFill="0" applyBorder="0" applyAlignment="0" applyProtection="0"/>
    <xf numFmtId="0" fontId="1" fillId="0" borderId="0"/>
    <xf numFmtId="164" fontId="74" fillId="0" borderId="0" applyFont="0" applyFill="0" applyBorder="0" applyAlignment="0" applyProtection="0"/>
  </cellStyleXfs>
  <cellXfs count="1799">
    <xf numFmtId="0" fontId="0" fillId="0" borderId="0" xfId="0"/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2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41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9" fillId="0" borderId="0" xfId="0" quotePrefix="1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3" borderId="0" xfId="0" applyNumberFormat="1" applyFont="1" applyFill="1" applyAlignment="1">
      <alignment horizontal="center" vertical="center"/>
    </xf>
    <xf numFmtId="49" fontId="10" fillId="2" borderId="0" xfId="0" quotePrefix="1" applyNumberFormat="1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169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49" fontId="9" fillId="4" borderId="0" xfId="0" quotePrefix="1" applyNumberFormat="1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10" fontId="17" fillId="0" borderId="0" xfId="19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4" fontId="13" fillId="0" borderId="1" xfId="3" applyNumberFormat="1" applyFont="1" applyBorder="1" applyAlignment="1">
      <alignment horizontal="left" vertical="center"/>
    </xf>
    <xf numFmtId="0" fontId="13" fillId="0" borderId="1" xfId="3" applyFont="1" applyBorder="1" applyAlignment="1">
      <alignment horizontal="left" vertical="center"/>
    </xf>
    <xf numFmtId="49" fontId="5" fillId="0" borderId="1" xfId="3" applyNumberFormat="1" applyBorder="1" applyAlignment="1">
      <alignment horizontal="center" vertical="center"/>
    </xf>
    <xf numFmtId="1" fontId="5" fillId="0" borderId="1" xfId="3" applyNumberForma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4" fontId="13" fillId="0" borderId="1" xfId="0" applyNumberFormat="1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14" fontId="13" fillId="0" borderId="4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4" fontId="13" fillId="0" borderId="3" xfId="0" applyNumberFormat="1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4" fontId="12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64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vertical="center"/>
    </xf>
    <xf numFmtId="164" fontId="10" fillId="0" borderId="2" xfId="0" applyNumberFormat="1" applyFont="1" applyBorder="1" applyAlignment="1">
      <alignment vertical="center"/>
    </xf>
    <xf numFmtId="164" fontId="11" fillId="0" borderId="2" xfId="0" applyNumberFormat="1" applyFont="1" applyBorder="1" applyAlignment="1">
      <alignment vertical="center"/>
    </xf>
    <xf numFmtId="41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4" fontId="13" fillId="0" borderId="3" xfId="0" applyNumberFormat="1" applyFont="1" applyBorder="1" applyAlignment="1">
      <alignment horizontal="left" vertical="top"/>
    </xf>
    <xf numFmtId="0" fontId="13" fillId="0" borderId="3" xfId="0" applyFont="1" applyBorder="1" applyAlignment="1">
      <alignment horizontal="left" vertical="top"/>
    </xf>
    <xf numFmtId="0" fontId="13" fillId="0" borderId="1" xfId="3" quotePrefix="1" applyFont="1" applyBorder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14" fontId="18" fillId="3" borderId="3" xfId="0" applyNumberFormat="1" applyFont="1" applyFill="1" applyBorder="1" applyAlignment="1">
      <alignment horizontal="left" vertical="top" wrapText="1"/>
    </xf>
    <xf numFmtId="0" fontId="18" fillId="3" borderId="3" xfId="0" applyFont="1" applyFill="1" applyBorder="1" applyAlignment="1">
      <alignment horizontal="left" vertical="top" wrapText="1"/>
    </xf>
    <xf numFmtId="4" fontId="0" fillId="0" borderId="0" xfId="20" applyNumberFormat="1" applyFont="1" applyAlignment="1">
      <alignment vertical="center"/>
    </xf>
    <xf numFmtId="4" fontId="18" fillId="3" borderId="3" xfId="0" applyNumberFormat="1" applyFont="1" applyFill="1" applyBorder="1" applyAlignment="1">
      <alignment horizontal="right" vertical="top" wrapText="1"/>
    </xf>
    <xf numFmtId="164" fontId="12" fillId="0" borderId="1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14" fontId="13" fillId="3" borderId="3" xfId="0" applyNumberFormat="1" applyFont="1" applyFill="1" applyBorder="1" applyAlignment="1">
      <alignment horizontal="left" vertical="top" wrapText="1"/>
    </xf>
    <xf numFmtId="0" fontId="13" fillId="3" borderId="3" xfId="0" applyFont="1" applyFill="1" applyBorder="1" applyAlignment="1">
      <alignment horizontal="left" vertical="top" wrapText="1"/>
    </xf>
    <xf numFmtId="4" fontId="13" fillId="3" borderId="3" xfId="0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center" vertical="center"/>
    </xf>
    <xf numFmtId="41" fontId="9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9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164" fontId="21" fillId="0" borderId="2" xfId="0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2" xfId="0" applyNumberFormat="1" applyFont="1" applyBorder="1" applyAlignment="1">
      <alignment vertical="center"/>
    </xf>
    <xf numFmtId="164" fontId="12" fillId="0" borderId="6" xfId="0" applyNumberFormat="1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10" fontId="23" fillId="0" borderId="0" xfId="19" applyNumberFormat="1" applyFont="1" applyFill="1" applyBorder="1" applyAlignment="1">
      <alignment vertical="center"/>
    </xf>
    <xf numFmtId="164" fontId="20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5" fontId="20" fillId="0" borderId="0" xfId="0" applyNumberFormat="1" applyFont="1" applyAlignment="1">
      <alignment vertical="center"/>
    </xf>
    <xf numFmtId="0" fontId="20" fillId="5" borderId="0" xfId="0" applyFont="1" applyFill="1" applyAlignment="1">
      <alignment horizontal="center" vertical="center"/>
    </xf>
    <xf numFmtId="164" fontId="19" fillId="0" borderId="1" xfId="0" applyNumberFormat="1" applyFont="1" applyBorder="1" applyAlignment="1">
      <alignment vertical="center"/>
    </xf>
    <xf numFmtId="41" fontId="20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4" fontId="13" fillId="0" borderId="1" xfId="20" applyNumberFormat="1" applyFont="1" applyFill="1" applyBorder="1" applyAlignment="1" applyProtection="1">
      <alignment horizontal="right" vertical="center"/>
    </xf>
    <xf numFmtId="4" fontId="13" fillId="0" borderId="1" xfId="20" applyNumberFormat="1" applyFont="1" applyFill="1" applyBorder="1" applyAlignment="1" applyProtection="1">
      <alignment horizontal="left" vertical="center"/>
    </xf>
    <xf numFmtId="4" fontId="13" fillId="0" borderId="4" xfId="20" applyNumberFormat="1" applyFont="1" applyFill="1" applyBorder="1" applyAlignment="1" applyProtection="1">
      <alignment horizontal="right" vertical="center"/>
    </xf>
    <xf numFmtId="4" fontId="13" fillId="0" borderId="3" xfId="20" applyNumberFormat="1" applyFont="1" applyFill="1" applyBorder="1" applyAlignment="1" applyProtection="1">
      <alignment horizontal="right" vertical="center"/>
    </xf>
    <xf numFmtId="4" fontId="13" fillId="0" borderId="3" xfId="20" applyNumberFormat="1" applyFont="1" applyFill="1" applyBorder="1" applyAlignment="1" applyProtection="1">
      <alignment horizontal="right" vertical="top"/>
    </xf>
    <xf numFmtId="0" fontId="5" fillId="0" borderId="0" xfId="0" quotePrefix="1" applyFont="1" applyAlignment="1">
      <alignment horizontal="center" vertical="center"/>
    </xf>
    <xf numFmtId="0" fontId="5" fillId="0" borderId="0" xfId="0" applyFont="1" applyAlignment="1">
      <alignment vertical="center"/>
    </xf>
    <xf numFmtId="14" fontId="28" fillId="3" borderId="3" xfId="0" applyNumberFormat="1" applyFont="1" applyFill="1" applyBorder="1" applyAlignment="1">
      <alignment horizontal="left" vertical="top" wrapText="1"/>
    </xf>
    <xf numFmtId="0" fontId="28" fillId="3" borderId="3" xfId="0" applyFont="1" applyFill="1" applyBorder="1" applyAlignment="1">
      <alignment horizontal="left" vertical="top" wrapText="1"/>
    </xf>
    <xf numFmtId="4" fontId="28" fillId="3" borderId="3" xfId="0" applyNumberFormat="1" applyFont="1" applyFill="1" applyBorder="1" applyAlignment="1">
      <alignment horizontal="right" vertical="top" wrapText="1"/>
    </xf>
    <xf numFmtId="1" fontId="13" fillId="3" borderId="3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vertical="center"/>
    </xf>
    <xf numFmtId="1" fontId="0" fillId="0" borderId="1" xfId="0" applyNumberFormat="1" applyBorder="1" applyAlignment="1">
      <alignment vertical="center"/>
    </xf>
    <xf numFmtId="0" fontId="13" fillId="3" borderId="3" xfId="0" quotePrefix="1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6" fontId="30" fillId="0" borderId="0" xfId="0" applyNumberFormat="1" applyFont="1"/>
    <xf numFmtId="0" fontId="13" fillId="0" borderId="1" xfId="3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164" fontId="0" fillId="0" borderId="0" xfId="23" applyFont="1"/>
    <xf numFmtId="164" fontId="5" fillId="0" borderId="0" xfId="23" applyFont="1"/>
    <xf numFmtId="164" fontId="5" fillId="0" borderId="0" xfId="23" applyFont="1" applyAlignment="1">
      <alignment vertical="top" wrapText="1"/>
    </xf>
    <xf numFmtId="164" fontId="0" fillId="0" borderId="0" xfId="23" applyFont="1" applyAlignment="1">
      <alignment vertical="top"/>
    </xf>
    <xf numFmtId="0" fontId="30" fillId="0" borderId="0" xfId="0" applyFont="1"/>
    <xf numFmtId="4" fontId="31" fillId="3" borderId="3" xfId="0" applyNumberFormat="1" applyFont="1" applyFill="1" applyBorder="1" applyAlignment="1">
      <alignment horizontal="right" vertical="top" wrapText="1"/>
    </xf>
    <xf numFmtId="3" fontId="0" fillId="0" borderId="0" xfId="0" applyNumberFormat="1"/>
    <xf numFmtId="3" fontId="0" fillId="0" borderId="0" xfId="23" applyNumberFormat="1" applyFont="1" applyAlignment="1">
      <alignment vertical="top"/>
    </xf>
    <xf numFmtId="3" fontId="0" fillId="0" borderId="0" xfId="0" applyNumberFormat="1" applyAlignment="1">
      <alignment vertical="top"/>
    </xf>
    <xf numFmtId="3" fontId="0" fillId="0" borderId="0" xfId="0" applyNumberFormat="1" applyAlignment="1">
      <alignment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1" fontId="13" fillId="3" borderId="3" xfId="0" quotePrefix="1" applyNumberFormat="1" applyFont="1" applyFill="1" applyBorder="1" applyAlignment="1">
      <alignment horizontal="left" vertical="top" wrapText="1"/>
    </xf>
    <xf numFmtId="4" fontId="5" fillId="0" borderId="1" xfId="20" applyNumberFormat="1" applyFont="1" applyBorder="1" applyAlignment="1">
      <alignment vertical="center"/>
    </xf>
    <xf numFmtId="164" fontId="5" fillId="0" borderId="0" xfId="23" applyFont="1" applyAlignment="1">
      <alignment vertical="top"/>
    </xf>
    <xf numFmtId="166" fontId="0" fillId="0" borderId="0" xfId="0" applyNumberFormat="1" applyAlignment="1">
      <alignment vertical="top"/>
    </xf>
    <xf numFmtId="164" fontId="9" fillId="6" borderId="2" xfId="0" applyNumberFormat="1" applyFont="1" applyFill="1" applyBorder="1" applyAlignment="1">
      <alignment horizontal="center" vertical="center"/>
    </xf>
    <xf numFmtId="164" fontId="21" fillId="6" borderId="2" xfId="0" applyNumberFormat="1" applyFont="1" applyFill="1" applyBorder="1" applyAlignment="1">
      <alignment horizontal="center" vertical="center"/>
    </xf>
    <xf numFmtId="164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164" fontId="9" fillId="6" borderId="0" xfId="0" applyNumberFormat="1" applyFont="1" applyFill="1" applyAlignment="1">
      <alignment vertical="center"/>
    </xf>
    <xf numFmtId="0" fontId="13" fillId="0" borderId="3" xfId="0" applyFont="1" applyBorder="1" applyAlignment="1">
      <alignment horizontal="left" vertical="center" wrapText="1"/>
    </xf>
    <xf numFmtId="4" fontId="28" fillId="7" borderId="3" xfId="0" applyNumberFormat="1" applyFont="1" applyFill="1" applyBorder="1" applyAlignment="1">
      <alignment horizontal="right" vertical="top" wrapText="1"/>
    </xf>
    <xf numFmtId="4" fontId="13" fillId="7" borderId="3" xfId="0" applyNumberFormat="1" applyFont="1" applyFill="1" applyBorder="1" applyAlignment="1">
      <alignment horizontal="right" vertical="top" wrapText="1"/>
    </xf>
    <xf numFmtId="4" fontId="13" fillId="8" borderId="3" xfId="0" applyNumberFormat="1" applyFont="1" applyFill="1" applyBorder="1" applyAlignment="1">
      <alignment horizontal="right" vertical="top" wrapText="1"/>
    </xf>
    <xf numFmtId="4" fontId="28" fillId="8" borderId="3" xfId="0" applyNumberFormat="1" applyFont="1" applyFill="1" applyBorder="1" applyAlignment="1">
      <alignment horizontal="right" vertical="top" wrapText="1"/>
    </xf>
    <xf numFmtId="4" fontId="13" fillId="8" borderId="3" xfId="20" applyNumberFormat="1" applyFont="1" applyFill="1" applyBorder="1" applyAlignment="1" applyProtection="1">
      <alignment horizontal="right" vertical="top"/>
    </xf>
    <xf numFmtId="4" fontId="18" fillId="8" borderId="3" xfId="0" applyNumberFormat="1" applyFont="1" applyFill="1" applyBorder="1" applyAlignment="1">
      <alignment horizontal="right" vertical="top" wrapText="1"/>
    </xf>
    <xf numFmtId="4" fontId="13" fillId="8" borderId="3" xfId="20" applyNumberFormat="1" applyFont="1" applyFill="1" applyBorder="1" applyAlignment="1" applyProtection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164" fontId="11" fillId="0" borderId="1" xfId="0" applyNumberFormat="1" applyFont="1" applyBorder="1" applyAlignment="1">
      <alignment vertical="top"/>
    </xf>
    <xf numFmtId="49" fontId="9" fillId="9" borderId="0" xfId="0" applyNumberFormat="1" applyFont="1" applyFill="1" applyAlignment="1">
      <alignment horizontal="center" vertical="center"/>
    </xf>
    <xf numFmtId="164" fontId="9" fillId="9" borderId="2" xfId="0" applyNumberFormat="1" applyFont="1" applyFill="1" applyBorder="1" applyAlignment="1">
      <alignment horizontal="center" vertical="center"/>
    </xf>
    <xf numFmtId="164" fontId="21" fillId="9" borderId="2" xfId="0" applyNumberFormat="1" applyFont="1" applyFill="1" applyBorder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49" fontId="20" fillId="0" borderId="0" xfId="0" applyNumberFormat="1" applyFont="1" applyAlignment="1">
      <alignment horizontal="left" vertical="center"/>
    </xf>
    <xf numFmtId="164" fontId="9" fillId="9" borderId="0" xfId="0" applyNumberFormat="1" applyFont="1" applyFill="1" applyAlignment="1">
      <alignment vertical="center"/>
    </xf>
    <xf numFmtId="4" fontId="18" fillId="0" borderId="3" xfId="0" applyNumberFormat="1" applyFont="1" applyBorder="1" applyAlignment="1">
      <alignment horizontal="right" vertical="top" wrapText="1"/>
    </xf>
    <xf numFmtId="4" fontId="13" fillId="9" borderId="3" xfId="0" applyNumberFormat="1" applyFont="1" applyFill="1" applyBorder="1" applyAlignment="1">
      <alignment horizontal="right" vertical="top" wrapText="1"/>
    </xf>
    <xf numFmtId="4" fontId="13" fillId="9" borderId="3" xfId="20" applyNumberFormat="1" applyFont="1" applyFill="1" applyBorder="1" applyAlignment="1" applyProtection="1">
      <alignment horizontal="right" vertical="center"/>
    </xf>
    <xf numFmtId="4" fontId="18" fillId="7" borderId="3" xfId="0" applyNumberFormat="1" applyFont="1" applyFill="1" applyBorder="1" applyAlignment="1">
      <alignment horizontal="right" vertical="top" wrapText="1"/>
    </xf>
    <xf numFmtId="4" fontId="13" fillId="10" borderId="3" xfId="0" applyNumberFormat="1" applyFont="1" applyFill="1" applyBorder="1" applyAlignment="1">
      <alignment horizontal="right" vertical="top" wrapText="1"/>
    </xf>
    <xf numFmtId="4" fontId="13" fillId="11" borderId="3" xfId="0" applyNumberFormat="1" applyFont="1" applyFill="1" applyBorder="1" applyAlignment="1">
      <alignment horizontal="right" vertical="top" wrapText="1"/>
    </xf>
    <xf numFmtId="164" fontId="10" fillId="9" borderId="2" xfId="0" applyNumberFormat="1" applyFont="1" applyFill="1" applyBorder="1" applyAlignment="1">
      <alignment vertical="center"/>
    </xf>
    <xf numFmtId="164" fontId="12" fillId="9" borderId="2" xfId="0" applyNumberFormat="1" applyFont="1" applyFill="1" applyBorder="1" applyAlignment="1">
      <alignment vertical="center"/>
    </xf>
    <xf numFmtId="164" fontId="10" fillId="9" borderId="0" xfId="0" applyNumberFormat="1" applyFont="1" applyFill="1" applyAlignment="1">
      <alignment vertical="center"/>
    </xf>
    <xf numFmtId="169" fontId="36" fillId="3" borderId="0" xfId="9" applyNumberFormat="1" applyFont="1" applyFill="1" applyBorder="1" applyAlignment="1">
      <alignment vertical="center"/>
    </xf>
    <xf numFmtId="4" fontId="37" fillId="0" borderId="0" xfId="20" applyNumberFormat="1" applyFont="1" applyAlignment="1">
      <alignment vertical="center"/>
    </xf>
    <xf numFmtId="0" fontId="13" fillId="0" borderId="1" xfId="0" applyFont="1" applyBorder="1" applyAlignment="1">
      <alignment horizontal="left" vertical="center" wrapText="1"/>
    </xf>
    <xf numFmtId="49" fontId="9" fillId="8" borderId="0" xfId="0" applyNumberFormat="1" applyFont="1" applyFill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64" fontId="21" fillId="8" borderId="2" xfId="0" applyNumberFormat="1" applyFont="1" applyFill="1" applyBorder="1" applyAlignment="1">
      <alignment horizontal="center" vertical="center"/>
    </xf>
    <xf numFmtId="164" fontId="9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164" fontId="9" fillId="8" borderId="0" xfId="0" applyNumberFormat="1" applyFont="1" applyFill="1" applyAlignment="1">
      <alignment vertical="center"/>
    </xf>
    <xf numFmtId="0" fontId="9" fillId="8" borderId="0" xfId="0" applyFont="1" applyFill="1" applyAlignment="1">
      <alignment vertical="center"/>
    </xf>
    <xf numFmtId="0" fontId="0" fillId="7" borderId="0" xfId="0" quotePrefix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14" fontId="28" fillId="7" borderId="3" xfId="0" applyNumberFormat="1" applyFont="1" applyFill="1" applyBorder="1" applyAlignment="1">
      <alignment horizontal="left" vertical="top" wrapText="1"/>
    </xf>
    <xf numFmtId="0" fontId="28" fillId="7" borderId="3" xfId="0" applyFont="1" applyFill="1" applyBorder="1" applyAlignment="1">
      <alignment horizontal="left" vertical="top" wrapText="1"/>
    </xf>
    <xf numFmtId="4" fontId="31" fillId="7" borderId="3" xfId="0" applyNumberFormat="1" applyFont="1" applyFill="1" applyBorder="1" applyAlignment="1">
      <alignment horizontal="right" vertical="top" wrapText="1"/>
    </xf>
    <xf numFmtId="14" fontId="13" fillId="7" borderId="3" xfId="0" applyNumberFormat="1" applyFont="1" applyFill="1" applyBorder="1" applyAlignment="1">
      <alignment horizontal="left" vertical="top" wrapText="1"/>
    </xf>
    <xf numFmtId="0" fontId="13" fillId="7" borderId="3" xfId="0" applyFont="1" applyFill="1" applyBorder="1" applyAlignment="1">
      <alignment horizontal="left" vertical="top" wrapText="1"/>
    </xf>
    <xf numFmtId="0" fontId="5" fillId="7" borderId="0" xfId="0" quotePrefix="1" applyFont="1" applyFill="1" applyAlignment="1">
      <alignment horizontal="center" vertical="center"/>
    </xf>
    <xf numFmtId="4" fontId="18" fillId="12" borderId="3" xfId="0" applyNumberFormat="1" applyFont="1" applyFill="1" applyBorder="1" applyAlignment="1">
      <alignment horizontal="right" vertical="top" wrapText="1"/>
    </xf>
    <xf numFmtId="4" fontId="13" fillId="12" borderId="3" xfId="0" applyNumberFormat="1" applyFont="1" applyFill="1" applyBorder="1" applyAlignment="1">
      <alignment horizontal="right" vertical="top" wrapText="1"/>
    </xf>
    <xf numFmtId="4" fontId="13" fillId="13" borderId="3" xfId="0" applyNumberFormat="1" applyFont="1" applyFill="1" applyBorder="1" applyAlignment="1">
      <alignment horizontal="right" vertical="top" wrapText="1"/>
    </xf>
    <xf numFmtId="4" fontId="18" fillId="13" borderId="3" xfId="0" applyNumberFormat="1" applyFont="1" applyFill="1" applyBorder="1" applyAlignment="1">
      <alignment horizontal="right" vertical="top" wrapText="1"/>
    </xf>
    <xf numFmtId="14" fontId="13" fillId="13" borderId="3" xfId="0" applyNumberFormat="1" applyFont="1" applyFill="1" applyBorder="1" applyAlignment="1">
      <alignment horizontal="left" vertical="top" wrapText="1"/>
    </xf>
    <xf numFmtId="0" fontId="13" fillId="13" borderId="3" xfId="0" applyFont="1" applyFill="1" applyBorder="1" applyAlignment="1">
      <alignment horizontal="left" vertical="top" wrapText="1"/>
    </xf>
    <xf numFmtId="1" fontId="13" fillId="13" borderId="3" xfId="0" applyNumberFormat="1" applyFont="1" applyFill="1" applyBorder="1" applyAlignment="1">
      <alignment horizontal="left" vertical="top" wrapText="1"/>
    </xf>
    <xf numFmtId="0" fontId="0" fillId="13" borderId="0" xfId="0" applyFill="1" applyAlignment="1">
      <alignment horizontal="center" vertical="center"/>
    </xf>
    <xf numFmtId="0" fontId="0" fillId="13" borderId="0" xfId="0" applyFill="1" applyAlignment="1">
      <alignment vertical="center"/>
    </xf>
    <xf numFmtId="14" fontId="13" fillId="3" borderId="7" xfId="0" applyNumberFormat="1" applyFont="1" applyFill="1" applyBorder="1" applyAlignment="1">
      <alignment vertical="top" wrapText="1"/>
    </xf>
    <xf numFmtId="14" fontId="13" fillId="3" borderId="8" xfId="0" applyNumberFormat="1" applyFont="1" applyFill="1" applyBorder="1" applyAlignment="1">
      <alignment vertical="top" wrapText="1"/>
    </xf>
    <xf numFmtId="14" fontId="13" fillId="3" borderId="4" xfId="0" applyNumberFormat="1" applyFont="1" applyFill="1" applyBorder="1" applyAlignment="1">
      <alignment vertical="top" wrapText="1"/>
    </xf>
    <xf numFmtId="0" fontId="13" fillId="3" borderId="7" xfId="0" applyFont="1" applyFill="1" applyBorder="1" applyAlignment="1">
      <alignment vertical="top" wrapText="1"/>
    </xf>
    <xf numFmtId="0" fontId="13" fillId="3" borderId="8" xfId="0" applyFont="1" applyFill="1" applyBorder="1" applyAlignment="1">
      <alignment vertical="top" wrapText="1"/>
    </xf>
    <xf numFmtId="0" fontId="13" fillId="3" borderId="4" xfId="0" applyFont="1" applyFill="1" applyBorder="1" applyAlignment="1">
      <alignment vertical="top" wrapText="1"/>
    </xf>
    <xf numFmtId="14" fontId="18" fillId="0" borderId="3" xfId="0" applyNumberFormat="1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1" fontId="18" fillId="0" borderId="3" xfId="0" applyNumberFormat="1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4" fontId="13" fillId="0" borderId="3" xfId="0" applyNumberFormat="1" applyFont="1" applyBorder="1" applyAlignment="1">
      <alignment horizontal="right" vertical="top" wrapText="1"/>
    </xf>
    <xf numFmtId="14" fontId="13" fillId="0" borderId="3" xfId="0" applyNumberFormat="1" applyFont="1" applyBorder="1" applyAlignment="1">
      <alignment horizontal="left" vertical="top" wrapText="1"/>
    </xf>
    <xf numFmtId="1" fontId="13" fillId="0" borderId="3" xfId="0" applyNumberFormat="1" applyFont="1" applyBorder="1" applyAlignment="1">
      <alignment horizontal="left" vertical="top" wrapText="1"/>
    </xf>
    <xf numFmtId="1" fontId="13" fillId="7" borderId="3" xfId="0" applyNumberFormat="1" applyFont="1" applyFill="1" applyBorder="1" applyAlignment="1">
      <alignment horizontal="left" vertical="top" wrapText="1"/>
    </xf>
    <xf numFmtId="1" fontId="28" fillId="3" borderId="3" xfId="0" applyNumberFormat="1" applyFont="1" applyFill="1" applyBorder="1" applyAlignment="1">
      <alignment horizontal="left" vertical="top" wrapText="1"/>
    </xf>
    <xf numFmtId="3" fontId="13" fillId="3" borderId="3" xfId="0" applyNumberFormat="1" applyFont="1" applyFill="1" applyBorder="1" applyAlignment="1">
      <alignment horizontal="left" vertical="top" wrapText="1"/>
    </xf>
    <xf numFmtId="3" fontId="13" fillId="13" borderId="3" xfId="0" applyNumberFormat="1" applyFont="1" applyFill="1" applyBorder="1" applyAlignment="1">
      <alignment horizontal="left" vertical="top" wrapText="1"/>
    </xf>
    <xf numFmtId="3" fontId="13" fillId="7" borderId="3" xfId="0" applyNumberFormat="1" applyFont="1" applyFill="1" applyBorder="1" applyAlignment="1">
      <alignment horizontal="left" vertical="top" wrapText="1"/>
    </xf>
    <xf numFmtId="4" fontId="39" fillId="0" borderId="3" xfId="0" applyNumberFormat="1" applyFont="1" applyBorder="1" applyAlignment="1">
      <alignment horizontal="right" vertical="top" wrapText="1"/>
    </xf>
    <xf numFmtId="1" fontId="13" fillId="3" borderId="7" xfId="0" applyNumberFormat="1" applyFont="1" applyFill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5" fillId="13" borderId="0" xfId="0" applyFont="1" applyFill="1" applyAlignment="1">
      <alignment horizontal="center" vertical="center"/>
    </xf>
    <xf numFmtId="4" fontId="39" fillId="7" borderId="3" xfId="0" applyNumberFormat="1" applyFont="1" applyFill="1" applyBorder="1" applyAlignment="1">
      <alignment horizontal="right" vertical="top" wrapText="1"/>
    </xf>
    <xf numFmtId="0" fontId="13" fillId="0" borderId="1" xfId="0" quotePrefix="1" applyFont="1" applyBorder="1" applyAlignment="1">
      <alignment horizontal="left" vertical="center"/>
    </xf>
    <xf numFmtId="4" fontId="13" fillId="14" borderId="3" xfId="0" applyNumberFormat="1" applyFont="1" applyFill="1" applyBorder="1" applyAlignment="1">
      <alignment horizontal="right" vertical="top" wrapText="1"/>
    </xf>
    <xf numFmtId="4" fontId="39" fillId="14" borderId="3" xfId="0" applyNumberFormat="1" applyFont="1" applyFill="1" applyBorder="1" applyAlignment="1">
      <alignment horizontal="right" vertical="top" wrapText="1"/>
    </xf>
    <xf numFmtId="164" fontId="10" fillId="9" borderId="2" xfId="0" applyNumberFormat="1" applyFont="1" applyFill="1" applyBorder="1" applyAlignment="1">
      <alignment horizontal="center" vertical="center"/>
    </xf>
    <xf numFmtId="164" fontId="12" fillId="9" borderId="2" xfId="0" applyNumberFormat="1" applyFont="1" applyFill="1" applyBorder="1" applyAlignment="1">
      <alignment horizontal="center" vertical="center"/>
    </xf>
    <xf numFmtId="41" fontId="9" fillId="9" borderId="0" xfId="0" applyNumberFormat="1" applyFont="1" applyFill="1" applyAlignment="1">
      <alignment horizontal="center" vertical="center"/>
    </xf>
    <xf numFmtId="0" fontId="41" fillId="9" borderId="0" xfId="0" applyFont="1" applyFill="1" applyAlignment="1">
      <alignment horizontal="center" vertical="center"/>
    </xf>
    <xf numFmtId="49" fontId="9" fillId="15" borderId="0" xfId="0" applyNumberFormat="1" applyFont="1" applyFill="1" applyAlignment="1">
      <alignment horizontal="center" vertical="center"/>
    </xf>
    <xf numFmtId="0" fontId="9" fillId="15" borderId="1" xfId="0" applyFont="1" applyFill="1" applyBorder="1" applyAlignment="1">
      <alignment horizontal="right" vertical="center"/>
    </xf>
    <xf numFmtId="0" fontId="10" fillId="15" borderId="1" xfId="0" applyFont="1" applyFill="1" applyBorder="1" applyAlignment="1">
      <alignment vertical="center"/>
    </xf>
    <xf numFmtId="164" fontId="9" fillId="15" borderId="1" xfId="0" applyNumberFormat="1" applyFont="1" applyFill="1" applyBorder="1" applyAlignment="1">
      <alignment vertical="center"/>
    </xf>
    <xf numFmtId="164" fontId="10" fillId="15" borderId="1" xfId="0" applyNumberFormat="1" applyFont="1" applyFill="1" applyBorder="1" applyAlignment="1">
      <alignment vertical="center"/>
    </xf>
    <xf numFmtId="0" fontId="9" fillId="15" borderId="1" xfId="0" applyFont="1" applyFill="1" applyBorder="1" applyAlignment="1">
      <alignment horizontal="center" vertical="center"/>
    </xf>
    <xf numFmtId="164" fontId="22" fillId="15" borderId="1" xfId="0" applyNumberFormat="1" applyFont="1" applyFill="1" applyBorder="1" applyAlignment="1">
      <alignment vertical="center"/>
    </xf>
    <xf numFmtId="164" fontId="12" fillId="15" borderId="1" xfId="0" applyNumberFormat="1" applyFont="1" applyFill="1" applyBorder="1" applyAlignment="1">
      <alignment vertical="center"/>
    </xf>
    <xf numFmtId="169" fontId="10" fillId="15" borderId="0" xfId="0" applyNumberFormat="1" applyFont="1" applyFill="1" applyAlignment="1">
      <alignment vertical="center"/>
    </xf>
    <xf numFmtId="0" fontId="9" fillId="15" borderId="0" xfId="0" applyFont="1" applyFill="1" applyAlignment="1">
      <alignment horizontal="center" vertical="center"/>
    </xf>
    <xf numFmtId="41" fontId="9" fillId="15" borderId="0" xfId="0" applyNumberFormat="1" applyFont="1" applyFill="1" applyAlignment="1">
      <alignment horizontal="center" vertical="center"/>
    </xf>
    <xf numFmtId="164" fontId="9" fillId="15" borderId="0" xfId="0" applyNumberFormat="1" applyFont="1" applyFill="1" applyAlignment="1">
      <alignment vertical="center"/>
    </xf>
    <xf numFmtId="0" fontId="9" fillId="15" borderId="0" xfId="0" applyFont="1" applyFill="1" applyAlignment="1">
      <alignment vertical="center"/>
    </xf>
    <xf numFmtId="164" fontId="11" fillId="15" borderId="1" xfId="0" applyNumberFormat="1" applyFont="1" applyFill="1" applyBorder="1" applyAlignment="1">
      <alignment horizontal="center" vertical="center"/>
    </xf>
    <xf numFmtId="164" fontId="10" fillId="15" borderId="0" xfId="0" applyNumberFormat="1" applyFont="1" applyFill="1" applyAlignment="1">
      <alignment vertical="center"/>
    </xf>
    <xf numFmtId="0" fontId="9" fillId="15" borderId="5" xfId="0" applyFont="1" applyFill="1" applyBorder="1" applyAlignment="1">
      <alignment vertical="center"/>
    </xf>
    <xf numFmtId="0" fontId="10" fillId="15" borderId="5" xfId="0" applyFont="1" applyFill="1" applyBorder="1" applyAlignment="1">
      <alignment vertical="center"/>
    </xf>
    <xf numFmtId="164" fontId="10" fillId="15" borderId="5" xfId="0" applyNumberFormat="1" applyFont="1" applyFill="1" applyBorder="1" applyAlignment="1">
      <alignment vertical="center"/>
    </xf>
    <xf numFmtId="164" fontId="24" fillId="15" borderId="5" xfId="0" applyNumberFormat="1" applyFont="1" applyFill="1" applyBorder="1" applyAlignment="1">
      <alignment vertical="center"/>
    </xf>
    <xf numFmtId="164" fontId="11" fillId="15" borderId="5" xfId="0" applyNumberFormat="1" applyFont="1" applyFill="1" applyBorder="1" applyAlignment="1">
      <alignment vertical="center"/>
    </xf>
    <xf numFmtId="164" fontId="12" fillId="15" borderId="5" xfId="0" applyNumberFormat="1" applyFont="1" applyFill="1" applyBorder="1" applyAlignment="1">
      <alignment vertical="center"/>
    </xf>
    <xf numFmtId="49" fontId="20" fillId="15" borderId="0" xfId="0" applyNumberFormat="1" applyFont="1" applyFill="1" applyAlignment="1">
      <alignment horizontal="center" vertical="center"/>
    </xf>
    <xf numFmtId="164" fontId="19" fillId="15" borderId="2" xfId="0" applyNumberFormat="1" applyFont="1" applyFill="1" applyBorder="1" applyAlignment="1">
      <alignment vertical="center"/>
    </xf>
    <xf numFmtId="164" fontId="19" fillId="15" borderId="0" xfId="0" applyNumberFormat="1" applyFont="1" applyFill="1" applyAlignment="1">
      <alignment vertical="center"/>
    </xf>
    <xf numFmtId="0" fontId="20" fillId="15" borderId="0" xfId="0" applyFont="1" applyFill="1" applyAlignment="1">
      <alignment horizontal="center" vertical="center"/>
    </xf>
    <xf numFmtId="164" fontId="20" fillId="15" borderId="0" xfId="0" applyNumberFormat="1" applyFont="1" applyFill="1" applyAlignment="1">
      <alignment vertical="center"/>
    </xf>
    <xf numFmtId="0" fontId="20" fillId="15" borderId="0" xfId="0" applyFont="1" applyFill="1" applyAlignment="1">
      <alignment vertical="center"/>
    </xf>
    <xf numFmtId="164" fontId="11" fillId="0" borderId="0" xfId="0" applyNumberFormat="1" applyFont="1" applyAlignment="1">
      <alignment horizontal="right" vertical="center"/>
    </xf>
    <xf numFmtId="164" fontId="11" fillId="9" borderId="1" xfId="0" applyNumberFormat="1" applyFont="1" applyFill="1" applyBorder="1" applyAlignment="1">
      <alignment horizontal="center" vertical="center"/>
    </xf>
    <xf numFmtId="164" fontId="11" fillId="8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vertical="center"/>
    </xf>
    <xf numFmtId="49" fontId="9" fillId="7" borderId="0" xfId="0" applyNumberFormat="1" applyFont="1" applyFill="1" applyAlignment="1">
      <alignment horizontal="center" vertical="center"/>
    </xf>
    <xf numFmtId="164" fontId="9" fillId="7" borderId="2" xfId="0" applyNumberFormat="1" applyFont="1" applyFill="1" applyBorder="1" applyAlignment="1">
      <alignment horizontal="center" vertical="center"/>
    </xf>
    <xf numFmtId="164" fontId="21" fillId="7" borderId="2" xfId="0" applyNumberFormat="1" applyFont="1" applyFill="1" applyBorder="1" applyAlignment="1">
      <alignment horizontal="center" vertical="center"/>
    </xf>
    <xf numFmtId="164" fontId="9" fillId="7" borderId="0" xfId="0" applyNumberFormat="1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164" fontId="9" fillId="7" borderId="0" xfId="0" applyNumberFormat="1" applyFont="1" applyFill="1" applyAlignment="1">
      <alignment vertical="center"/>
    </xf>
    <xf numFmtId="0" fontId="9" fillId="7" borderId="0" xfId="0" applyFont="1" applyFill="1" applyAlignment="1">
      <alignment vertical="center"/>
    </xf>
    <xf numFmtId="44" fontId="13" fillId="3" borderId="3" xfId="26" applyFont="1" applyFill="1" applyBorder="1" applyAlignment="1">
      <alignment horizontal="left" vertical="top" wrapText="1"/>
    </xf>
    <xf numFmtId="0" fontId="10" fillId="0" borderId="10" xfId="0" applyFont="1" applyBorder="1" applyAlignment="1">
      <alignment horizontal="center" vertical="center"/>
    </xf>
    <xf numFmtId="164" fontId="11" fillId="0" borderId="10" xfId="0" applyNumberFormat="1" applyFont="1" applyBorder="1" applyAlignment="1">
      <alignment horizontal="center" vertical="center"/>
    </xf>
    <xf numFmtId="0" fontId="9" fillId="9" borderId="10" xfId="0" applyFont="1" applyFill="1" applyBorder="1" applyAlignment="1">
      <alignment horizontal="right" vertical="center"/>
    </xf>
    <xf numFmtId="0" fontId="9" fillId="9" borderId="10" xfId="0" applyFont="1" applyFill="1" applyBorder="1" applyAlignment="1">
      <alignment horizontal="left" vertical="center"/>
    </xf>
    <xf numFmtId="41" fontId="9" fillId="9" borderId="10" xfId="0" applyNumberFormat="1" applyFont="1" applyFill="1" applyBorder="1" applyAlignment="1">
      <alignment vertical="center"/>
    </xf>
    <xf numFmtId="0" fontId="9" fillId="9" borderId="10" xfId="0" quotePrefix="1" applyFont="1" applyFill="1" applyBorder="1" applyAlignment="1">
      <alignment horizontal="center" vertical="center"/>
    </xf>
    <xf numFmtId="164" fontId="9" fillId="9" borderId="10" xfId="0" applyNumberFormat="1" applyFont="1" applyFill="1" applyBorder="1" applyAlignment="1">
      <alignment horizontal="center" vertical="center"/>
    </xf>
    <xf numFmtId="169" fontId="9" fillId="9" borderId="10" xfId="20" applyNumberFormat="1" applyFont="1" applyFill="1" applyBorder="1" applyAlignment="1">
      <alignment horizontal="right" vertical="center"/>
    </xf>
    <xf numFmtId="164" fontId="15" fillId="9" borderId="10" xfId="0" applyNumberFormat="1" applyFont="1" applyFill="1" applyBorder="1" applyAlignment="1">
      <alignment horizontal="center" vertical="center"/>
    </xf>
    <xf numFmtId="164" fontId="9" fillId="9" borderId="10" xfId="0" quotePrefix="1" applyNumberFormat="1" applyFont="1" applyFill="1" applyBorder="1" applyAlignment="1">
      <alignment horizontal="left" vertical="center"/>
    </xf>
    <xf numFmtId="169" fontId="9" fillId="9" borderId="10" xfId="20" applyNumberFormat="1" applyFont="1" applyFill="1" applyBorder="1" applyAlignment="1">
      <alignment horizontal="left" vertical="center"/>
    </xf>
    <xf numFmtId="164" fontId="9" fillId="9" borderId="10" xfId="0" quotePrefix="1" applyNumberFormat="1" applyFont="1" applyFill="1" applyBorder="1" applyAlignment="1">
      <alignment horizontal="left" vertical="center" wrapText="1"/>
    </xf>
    <xf numFmtId="0" fontId="9" fillId="9" borderId="10" xfId="0" quotePrefix="1" applyFont="1" applyFill="1" applyBorder="1" applyAlignment="1">
      <alignment horizontal="left" vertical="center"/>
    </xf>
    <xf numFmtId="169" fontId="9" fillId="9" borderId="10" xfId="20" applyNumberFormat="1" applyFont="1" applyFill="1" applyBorder="1" applyAlignment="1">
      <alignment horizontal="right" vertical="top"/>
    </xf>
    <xf numFmtId="0" fontId="9" fillId="0" borderId="10" xfId="0" applyFont="1" applyBorder="1" applyAlignment="1">
      <alignment horizontal="right" vertical="center"/>
    </xf>
    <xf numFmtId="0" fontId="9" fillId="0" borderId="10" xfId="0" quotePrefix="1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41" fontId="9" fillId="0" borderId="10" xfId="0" applyNumberFormat="1" applyFont="1" applyBorder="1" applyAlignment="1">
      <alignment vertical="center"/>
    </xf>
    <xf numFmtId="0" fontId="9" fillId="0" borderId="10" xfId="0" quotePrefix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right" vertical="center"/>
    </xf>
    <xf numFmtId="164" fontId="15" fillId="0" borderId="10" xfId="0" applyNumberFormat="1" applyFont="1" applyBorder="1" applyAlignment="1">
      <alignment horizontal="center" vertical="center"/>
    </xf>
    <xf numFmtId="164" fontId="9" fillId="0" borderId="10" xfId="0" quotePrefix="1" applyNumberFormat="1" applyFont="1" applyBorder="1" applyAlignment="1">
      <alignment horizontal="left" vertical="center"/>
    </xf>
    <xf numFmtId="169" fontId="9" fillId="0" borderId="10" xfId="20" applyNumberFormat="1" applyFont="1" applyFill="1" applyBorder="1" applyAlignment="1">
      <alignment horizontal="right" vertical="center"/>
    </xf>
    <xf numFmtId="41" fontId="9" fillId="9" borderId="10" xfId="0" applyNumberFormat="1" applyFont="1" applyFill="1" applyBorder="1" applyAlignment="1">
      <alignment horizontal="right" vertical="center"/>
    </xf>
    <xf numFmtId="3" fontId="9" fillId="9" borderId="10" xfId="0" applyNumberFormat="1" applyFont="1" applyFill="1" applyBorder="1" applyAlignment="1">
      <alignment horizontal="right" vertical="center"/>
    </xf>
    <xf numFmtId="0" fontId="9" fillId="9" borderId="10" xfId="0" quotePrefix="1" applyFont="1" applyFill="1" applyBorder="1" applyAlignment="1">
      <alignment vertical="center"/>
    </xf>
    <xf numFmtId="164" fontId="9" fillId="9" borderId="10" xfId="0" applyNumberFormat="1" applyFont="1" applyFill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9" borderId="10" xfId="0" applyFont="1" applyFill="1" applyBorder="1" applyAlignment="1">
      <alignment vertical="center"/>
    </xf>
    <xf numFmtId="0" fontId="9" fillId="9" borderId="10" xfId="0" applyFont="1" applyFill="1" applyBorder="1" applyAlignment="1">
      <alignment horizontal="center" vertical="center"/>
    </xf>
    <xf numFmtId="164" fontId="40" fillId="9" borderId="10" xfId="0" applyNumberFormat="1" applyFont="1" applyFill="1" applyBorder="1" applyAlignment="1">
      <alignment horizontal="center" vertical="center"/>
    </xf>
    <xf numFmtId="164" fontId="9" fillId="0" borderId="10" xfId="0" applyNumberFormat="1" applyFont="1" applyBorder="1" applyAlignment="1">
      <alignment vertical="center"/>
    </xf>
    <xf numFmtId="164" fontId="10" fillId="0" borderId="10" xfId="0" applyNumberFormat="1" applyFont="1" applyBorder="1" applyAlignment="1">
      <alignment vertical="center"/>
    </xf>
    <xf numFmtId="164" fontId="11" fillId="0" borderId="10" xfId="0" applyNumberFormat="1" applyFont="1" applyBorder="1" applyAlignment="1">
      <alignment vertical="center"/>
    </xf>
    <xf numFmtId="0" fontId="9" fillId="8" borderId="10" xfId="0" applyFont="1" applyFill="1" applyBorder="1" applyAlignment="1">
      <alignment horizontal="right" vertical="center"/>
    </xf>
    <xf numFmtId="0" fontId="9" fillId="8" borderId="10" xfId="0" applyFont="1" applyFill="1" applyBorder="1" applyAlignment="1">
      <alignment vertical="center"/>
    </xf>
    <xf numFmtId="164" fontId="9" fillId="8" borderId="10" xfId="0" applyNumberFormat="1" applyFont="1" applyFill="1" applyBorder="1" applyAlignment="1">
      <alignment vertical="center"/>
    </xf>
    <xf numFmtId="41" fontId="9" fillId="8" borderId="10" xfId="0" applyNumberFormat="1" applyFont="1" applyFill="1" applyBorder="1" applyAlignment="1">
      <alignment vertical="center"/>
    </xf>
    <xf numFmtId="0" fontId="9" fillId="8" borderId="10" xfId="0" quotePrefix="1" applyFont="1" applyFill="1" applyBorder="1" applyAlignment="1">
      <alignment horizontal="center" vertical="center"/>
    </xf>
    <xf numFmtId="164" fontId="9" fillId="8" borderId="10" xfId="0" applyNumberFormat="1" applyFont="1" applyFill="1" applyBorder="1" applyAlignment="1">
      <alignment horizontal="center" vertical="center"/>
    </xf>
    <xf numFmtId="164" fontId="15" fillId="8" borderId="10" xfId="0" applyNumberFormat="1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right" vertical="top"/>
    </xf>
    <xf numFmtId="164" fontId="9" fillId="8" borderId="10" xfId="0" applyNumberFormat="1" applyFont="1" applyFill="1" applyBorder="1" applyAlignment="1">
      <alignment vertical="top"/>
    </xf>
    <xf numFmtId="41" fontId="9" fillId="8" borderId="10" xfId="0" applyNumberFormat="1" applyFont="1" applyFill="1" applyBorder="1" applyAlignment="1">
      <alignment vertical="top"/>
    </xf>
    <xf numFmtId="0" fontId="9" fillId="8" borderId="10" xfId="0" quotePrefix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top"/>
    </xf>
    <xf numFmtId="164" fontId="15" fillId="8" borderId="10" xfId="0" applyNumberFormat="1" applyFont="1" applyFill="1" applyBorder="1" applyAlignment="1">
      <alignment horizontal="center" vertical="top"/>
    </xf>
    <xf numFmtId="0" fontId="9" fillId="0" borderId="10" xfId="0" applyFont="1" applyBorder="1" applyAlignment="1">
      <alignment horizontal="right" vertical="top"/>
    </xf>
    <xf numFmtId="0" fontId="9" fillId="0" borderId="10" xfId="0" quotePrefix="1" applyFont="1" applyBorder="1" applyAlignment="1">
      <alignment vertical="center"/>
    </xf>
    <xf numFmtId="164" fontId="9" fillId="0" borderId="10" xfId="0" applyNumberFormat="1" applyFont="1" applyBorder="1" applyAlignment="1">
      <alignment vertical="top"/>
    </xf>
    <xf numFmtId="41" fontId="9" fillId="0" borderId="10" xfId="0" applyNumberFormat="1" applyFont="1" applyBorder="1" applyAlignment="1">
      <alignment vertical="top"/>
    </xf>
    <xf numFmtId="0" fontId="9" fillId="0" borderId="10" xfId="0" quotePrefix="1" applyFont="1" applyBorder="1" applyAlignment="1">
      <alignment horizontal="center" vertical="top"/>
    </xf>
    <xf numFmtId="164" fontId="9" fillId="0" borderId="10" xfId="0" applyNumberFormat="1" applyFont="1" applyBorder="1" applyAlignment="1">
      <alignment horizontal="center" vertical="top"/>
    </xf>
    <xf numFmtId="164" fontId="15" fillId="0" borderId="10" xfId="0" applyNumberFormat="1" applyFont="1" applyBorder="1" applyAlignment="1">
      <alignment horizontal="center" vertical="top"/>
    </xf>
    <xf numFmtId="0" fontId="9" fillId="8" borderId="10" xfId="0" applyFont="1" applyFill="1" applyBorder="1" applyAlignment="1">
      <alignment vertical="top"/>
    </xf>
    <xf numFmtId="0" fontId="9" fillId="0" borderId="10" xfId="0" quotePrefix="1" applyFont="1" applyBorder="1" applyAlignment="1">
      <alignment vertical="top"/>
    </xf>
    <xf numFmtId="0" fontId="9" fillId="8" borderId="10" xfId="0" quotePrefix="1" applyFont="1" applyFill="1" applyBorder="1" applyAlignment="1">
      <alignment vertical="center"/>
    </xf>
    <xf numFmtId="164" fontId="9" fillId="9" borderId="10" xfId="0" applyNumberFormat="1" applyFont="1" applyFill="1" applyBorder="1" applyAlignment="1">
      <alignment vertical="top"/>
    </xf>
    <xf numFmtId="41" fontId="9" fillId="9" borderId="10" xfId="0" applyNumberFormat="1" applyFont="1" applyFill="1" applyBorder="1" applyAlignment="1">
      <alignment vertical="top"/>
    </xf>
    <xf numFmtId="0" fontId="9" fillId="9" borderId="10" xfId="0" applyFont="1" applyFill="1" applyBorder="1" applyAlignment="1">
      <alignment horizontal="center" vertical="top"/>
    </xf>
    <xf numFmtId="164" fontId="15" fillId="9" borderId="10" xfId="0" applyNumberFormat="1" applyFont="1" applyFill="1" applyBorder="1" applyAlignment="1">
      <alignment horizontal="center" vertical="top"/>
    </xf>
    <xf numFmtId="0" fontId="9" fillId="8" borderId="10" xfId="0" applyFont="1" applyFill="1" applyBorder="1" applyAlignment="1">
      <alignment horizontal="left" vertical="top"/>
    </xf>
    <xf numFmtId="164" fontId="9" fillId="8" borderId="10" xfId="0" applyNumberFormat="1" applyFont="1" applyFill="1" applyBorder="1" applyAlignment="1">
      <alignment horizontal="left" vertical="top"/>
    </xf>
    <xf numFmtId="0" fontId="9" fillId="8" borderId="11" xfId="0" applyFont="1" applyFill="1" applyBorder="1" applyAlignment="1">
      <alignment vertical="center"/>
    </xf>
    <xf numFmtId="0" fontId="9" fillId="8" borderId="10" xfId="0" quotePrefix="1" applyFont="1" applyFill="1" applyBorder="1" applyAlignment="1">
      <alignment horizontal="left" vertical="top"/>
    </xf>
    <xf numFmtId="164" fontId="15" fillId="8" borderId="10" xfId="0" applyNumberFormat="1" applyFont="1" applyFill="1" applyBorder="1" applyAlignment="1">
      <alignment horizontal="left" vertical="top"/>
    </xf>
    <xf numFmtId="41" fontId="9" fillId="8" borderId="10" xfId="0" applyNumberFormat="1" applyFont="1" applyFill="1" applyBorder="1" applyAlignment="1">
      <alignment horizontal="left" vertical="top"/>
    </xf>
    <xf numFmtId="0" fontId="9" fillId="0" borderId="10" xfId="0" quotePrefix="1" applyFont="1" applyBorder="1" applyAlignment="1">
      <alignment horizontal="left" vertical="top"/>
    </xf>
    <xf numFmtId="164" fontId="9" fillId="0" borderId="10" xfId="0" applyNumberFormat="1" applyFont="1" applyBorder="1" applyAlignment="1">
      <alignment horizontal="left" vertical="top"/>
    </xf>
    <xf numFmtId="41" fontId="9" fillId="0" borderId="10" xfId="0" applyNumberFormat="1" applyFont="1" applyBorder="1" applyAlignment="1">
      <alignment horizontal="left" vertical="top"/>
    </xf>
    <xf numFmtId="164" fontId="15" fillId="0" borderId="10" xfId="0" applyNumberFormat="1" applyFont="1" applyBorder="1" applyAlignment="1">
      <alignment horizontal="left" vertical="top"/>
    </xf>
    <xf numFmtId="0" fontId="9" fillId="0" borderId="10" xfId="0" applyFont="1" applyBorder="1" applyAlignment="1">
      <alignment vertical="center"/>
    </xf>
    <xf numFmtId="164" fontId="15" fillId="9" borderId="11" xfId="0" applyNumberFormat="1" applyFont="1" applyFill="1" applyBorder="1" applyAlignment="1">
      <alignment vertical="center"/>
    </xf>
    <xf numFmtId="0" fontId="9" fillId="8" borderId="10" xfId="0" applyFont="1" applyFill="1" applyBorder="1" applyAlignment="1">
      <alignment horizontal="center" vertical="center"/>
    </xf>
    <xf numFmtId="164" fontId="10" fillId="9" borderId="10" xfId="0" applyNumberFormat="1" applyFont="1" applyFill="1" applyBorder="1" applyAlignment="1">
      <alignment vertical="center"/>
    </xf>
    <xf numFmtId="164" fontId="11" fillId="9" borderId="11" xfId="0" applyNumberFormat="1" applyFont="1" applyFill="1" applyBorder="1" applyAlignment="1">
      <alignment vertical="center"/>
    </xf>
    <xf numFmtId="164" fontId="11" fillId="9" borderId="10" xfId="0" applyNumberFormat="1" applyFont="1" applyFill="1" applyBorder="1" applyAlignment="1">
      <alignment horizontal="center" vertical="center"/>
    </xf>
    <xf numFmtId="164" fontId="11" fillId="0" borderId="11" xfId="0" applyNumberFormat="1" applyFont="1" applyBorder="1" applyAlignment="1">
      <alignment vertical="center"/>
    </xf>
    <xf numFmtId="0" fontId="20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vertical="center"/>
    </xf>
    <xf numFmtId="164" fontId="20" fillId="0" borderId="10" xfId="0" applyNumberFormat="1" applyFont="1" applyBorder="1" applyAlignment="1">
      <alignment vertical="center"/>
    </xf>
    <xf numFmtId="164" fontId="19" fillId="0" borderId="10" xfId="0" applyNumberFormat="1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164" fontId="27" fillId="0" borderId="10" xfId="0" applyNumberFormat="1" applyFont="1" applyBorder="1" applyAlignment="1">
      <alignment vertical="center"/>
    </xf>
    <xf numFmtId="164" fontId="15" fillId="9" borderId="13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9" borderId="14" xfId="0" applyFont="1" applyFill="1" applyBorder="1" applyAlignment="1">
      <alignment horizontal="right" vertical="center"/>
    </xf>
    <xf numFmtId="0" fontId="9" fillId="9" borderId="14" xfId="0" applyFont="1" applyFill="1" applyBorder="1" applyAlignment="1">
      <alignment horizontal="left" vertical="center"/>
    </xf>
    <xf numFmtId="41" fontId="9" fillId="9" borderId="14" xfId="0" applyNumberFormat="1" applyFont="1" applyFill="1" applyBorder="1" applyAlignment="1">
      <alignment vertical="center"/>
    </xf>
    <xf numFmtId="0" fontId="9" fillId="9" borderId="14" xfId="0" quotePrefix="1" applyFont="1" applyFill="1" applyBorder="1" applyAlignment="1">
      <alignment horizontal="center" vertical="center"/>
    </xf>
    <xf numFmtId="164" fontId="9" fillId="9" borderId="14" xfId="0" applyNumberFormat="1" applyFont="1" applyFill="1" applyBorder="1" applyAlignment="1">
      <alignment horizontal="center" vertical="center"/>
    </xf>
    <xf numFmtId="169" fontId="9" fillId="9" borderId="14" xfId="20" applyNumberFormat="1" applyFont="1" applyFill="1" applyBorder="1" applyAlignment="1">
      <alignment horizontal="right" vertical="center"/>
    </xf>
    <xf numFmtId="164" fontId="15" fillId="9" borderId="14" xfId="0" applyNumberFormat="1" applyFont="1" applyFill="1" applyBorder="1" applyAlignment="1">
      <alignment horizontal="center" vertical="center"/>
    </xf>
    <xf numFmtId="164" fontId="9" fillId="9" borderId="14" xfId="0" quotePrefix="1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168" fontId="10" fillId="0" borderId="1" xfId="0" applyNumberFormat="1" applyFont="1" applyBorder="1" applyAlignment="1">
      <alignment vertical="center"/>
    </xf>
    <xf numFmtId="0" fontId="9" fillId="0" borderId="14" xfId="0" applyFont="1" applyBorder="1" applyAlignment="1">
      <alignment horizontal="right" vertical="center"/>
    </xf>
    <xf numFmtId="0" fontId="10" fillId="0" borderId="14" xfId="0" applyFont="1" applyBorder="1" applyAlignment="1">
      <alignment vertical="center"/>
    </xf>
    <xf numFmtId="0" fontId="9" fillId="0" borderId="14" xfId="0" applyFont="1" applyBorder="1" applyAlignment="1">
      <alignment horizontal="center" vertical="center"/>
    </xf>
    <xf numFmtId="0" fontId="9" fillId="9" borderId="13" xfId="0" applyFont="1" applyFill="1" applyBorder="1" applyAlignment="1">
      <alignment horizontal="right" vertical="center"/>
    </xf>
    <xf numFmtId="0" fontId="9" fillId="9" borderId="13" xfId="0" quotePrefix="1" applyFont="1" applyFill="1" applyBorder="1" applyAlignment="1">
      <alignment horizontal="left" vertical="center"/>
    </xf>
    <xf numFmtId="0" fontId="9" fillId="9" borderId="13" xfId="0" applyFont="1" applyFill="1" applyBorder="1" applyAlignment="1">
      <alignment horizontal="left" vertical="center"/>
    </xf>
    <xf numFmtId="41" fontId="9" fillId="9" borderId="13" xfId="0" applyNumberFormat="1" applyFont="1" applyFill="1" applyBorder="1" applyAlignment="1">
      <alignment vertical="center"/>
    </xf>
    <xf numFmtId="0" fontId="9" fillId="9" borderId="13" xfId="0" quotePrefix="1" applyFont="1" applyFill="1" applyBorder="1" applyAlignment="1">
      <alignment horizontal="center" vertical="center"/>
    </xf>
    <xf numFmtId="164" fontId="9" fillId="9" borderId="13" xfId="0" applyNumberFormat="1" applyFont="1" applyFill="1" applyBorder="1" applyAlignment="1">
      <alignment horizontal="center" vertical="center"/>
    </xf>
    <xf numFmtId="169" fontId="9" fillId="9" borderId="13" xfId="20" applyNumberFormat="1" applyFont="1" applyFill="1" applyBorder="1" applyAlignment="1">
      <alignment horizontal="right" vertical="top"/>
    </xf>
    <xf numFmtId="164" fontId="9" fillId="9" borderId="13" xfId="0" quotePrefix="1" applyNumberFormat="1" applyFont="1" applyFill="1" applyBorder="1" applyAlignment="1">
      <alignment horizontal="left" vertical="center" wrapText="1"/>
    </xf>
    <xf numFmtId="0" fontId="9" fillId="9" borderId="14" xfId="0" applyFont="1" applyFill="1" applyBorder="1" applyAlignment="1">
      <alignment vertical="center"/>
    </xf>
    <xf numFmtId="164" fontId="9" fillId="9" borderId="14" xfId="0" applyNumberFormat="1" applyFont="1" applyFill="1" applyBorder="1" applyAlignment="1">
      <alignment vertical="center"/>
    </xf>
    <xf numFmtId="0" fontId="9" fillId="9" borderId="14" xfId="0" applyFont="1" applyFill="1" applyBorder="1" applyAlignment="1">
      <alignment horizontal="center" vertical="center"/>
    </xf>
    <xf numFmtId="41" fontId="9" fillId="0" borderId="1" xfId="0" applyNumberFormat="1" applyFont="1" applyBorder="1" applyAlignment="1">
      <alignment vertical="center"/>
    </xf>
    <xf numFmtId="0" fontId="9" fillId="7" borderId="15" xfId="0" applyFont="1" applyFill="1" applyBorder="1" applyAlignment="1">
      <alignment horizontal="right" vertical="center"/>
    </xf>
    <xf numFmtId="0" fontId="9" fillId="7" borderId="15" xfId="0" applyFont="1" applyFill="1" applyBorder="1" applyAlignment="1">
      <alignment vertical="center"/>
    </xf>
    <xf numFmtId="164" fontId="9" fillId="7" borderId="15" xfId="0" applyNumberFormat="1" applyFont="1" applyFill="1" applyBorder="1" applyAlignment="1">
      <alignment vertical="center"/>
    </xf>
    <xf numFmtId="41" fontId="9" fillId="7" borderId="15" xfId="0" applyNumberFormat="1" applyFont="1" applyFill="1" applyBorder="1" applyAlignment="1">
      <alignment vertical="center"/>
    </xf>
    <xf numFmtId="0" fontId="9" fillId="7" borderId="15" xfId="0" quotePrefix="1" applyFont="1" applyFill="1" applyBorder="1" applyAlignment="1">
      <alignment horizontal="center" vertical="center"/>
    </xf>
    <xf numFmtId="164" fontId="9" fillId="7" borderId="15" xfId="0" applyNumberFormat="1" applyFont="1" applyFill="1" applyBorder="1" applyAlignment="1">
      <alignment horizontal="center" vertical="center"/>
    </xf>
    <xf numFmtId="164" fontId="40" fillId="7" borderId="15" xfId="0" applyNumberFormat="1" applyFont="1" applyFill="1" applyBorder="1" applyAlignment="1">
      <alignment horizontal="center" vertical="center"/>
    </xf>
    <xf numFmtId="164" fontId="15" fillId="7" borderId="15" xfId="0" applyNumberFormat="1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right" vertical="center"/>
    </xf>
    <xf numFmtId="0" fontId="9" fillId="9" borderId="15" xfId="0" applyFont="1" applyFill="1" applyBorder="1" applyAlignment="1">
      <alignment vertical="center"/>
    </xf>
    <xf numFmtId="164" fontId="9" fillId="9" borderId="15" xfId="0" applyNumberFormat="1" applyFont="1" applyFill="1" applyBorder="1" applyAlignment="1">
      <alignment vertical="center"/>
    </xf>
    <xf numFmtId="41" fontId="9" fillId="9" borderId="15" xfId="0" applyNumberFormat="1" applyFont="1" applyFill="1" applyBorder="1" applyAlignment="1">
      <alignment vertical="center"/>
    </xf>
    <xf numFmtId="0" fontId="9" fillId="9" borderId="15" xfId="0" quotePrefix="1" applyFont="1" applyFill="1" applyBorder="1" applyAlignment="1">
      <alignment horizontal="center" vertical="center"/>
    </xf>
    <xf numFmtId="164" fontId="9" fillId="9" borderId="15" xfId="0" applyNumberFormat="1" applyFont="1" applyFill="1" applyBorder="1" applyAlignment="1">
      <alignment horizontal="center" vertical="center"/>
    </xf>
    <xf numFmtId="164" fontId="15" fillId="9" borderId="15" xfId="0" applyNumberFormat="1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right" vertical="center"/>
    </xf>
    <xf numFmtId="0" fontId="9" fillId="8" borderId="14" xfId="0" applyFont="1" applyFill="1" applyBorder="1" applyAlignment="1">
      <alignment vertical="center"/>
    </xf>
    <xf numFmtId="164" fontId="9" fillId="8" borderId="14" xfId="0" applyNumberFormat="1" applyFont="1" applyFill="1" applyBorder="1" applyAlignment="1">
      <alignment vertical="center"/>
    </xf>
    <xf numFmtId="41" fontId="9" fillId="8" borderId="14" xfId="0" applyNumberFormat="1" applyFont="1" applyFill="1" applyBorder="1" applyAlignment="1">
      <alignment vertical="center"/>
    </xf>
    <xf numFmtId="0" fontId="9" fillId="8" borderId="14" xfId="0" quotePrefix="1" applyFont="1" applyFill="1" applyBorder="1" applyAlignment="1">
      <alignment horizontal="center" vertical="center"/>
    </xf>
    <xf numFmtId="164" fontId="9" fillId="8" borderId="14" xfId="0" applyNumberFormat="1" applyFont="1" applyFill="1" applyBorder="1" applyAlignment="1">
      <alignment horizontal="center" vertical="center"/>
    </xf>
    <xf numFmtId="164" fontId="15" fillId="8" borderId="14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right" vertical="top"/>
    </xf>
    <xf numFmtId="0" fontId="9" fillId="0" borderId="15" xfId="0" quotePrefix="1" applyFont="1" applyBorder="1" applyAlignment="1">
      <alignment vertical="top"/>
    </xf>
    <xf numFmtId="164" fontId="9" fillId="0" borderId="15" xfId="0" applyNumberFormat="1" applyFont="1" applyBorder="1" applyAlignment="1">
      <alignment vertical="top"/>
    </xf>
    <xf numFmtId="41" fontId="9" fillId="0" borderId="15" xfId="0" applyNumberFormat="1" applyFont="1" applyBorder="1" applyAlignment="1">
      <alignment vertical="top"/>
    </xf>
    <xf numFmtId="0" fontId="9" fillId="0" borderId="15" xfId="0" quotePrefix="1" applyFont="1" applyBorder="1" applyAlignment="1">
      <alignment horizontal="center" vertical="top"/>
    </xf>
    <xf numFmtId="164" fontId="9" fillId="0" borderId="15" xfId="0" applyNumberFormat="1" applyFont="1" applyBorder="1" applyAlignment="1">
      <alignment horizontal="center" vertical="top"/>
    </xf>
    <xf numFmtId="164" fontId="15" fillId="0" borderId="15" xfId="0" applyNumberFormat="1" applyFont="1" applyBorder="1" applyAlignment="1">
      <alignment horizontal="center" vertical="top"/>
    </xf>
    <xf numFmtId="164" fontId="9" fillId="8" borderId="14" xfId="0" applyNumberFormat="1" applyFont="1" applyFill="1" applyBorder="1" applyAlignment="1">
      <alignment vertical="top"/>
    </xf>
    <xf numFmtId="41" fontId="9" fillId="8" borderId="14" xfId="0" applyNumberFormat="1" applyFont="1" applyFill="1" applyBorder="1" applyAlignment="1">
      <alignment vertical="top"/>
    </xf>
    <xf numFmtId="0" fontId="9" fillId="8" borderId="14" xfId="0" quotePrefix="1" applyFont="1" applyFill="1" applyBorder="1" applyAlignment="1">
      <alignment horizontal="center" vertical="top"/>
    </xf>
    <xf numFmtId="164" fontId="15" fillId="8" borderId="14" xfId="0" applyNumberFormat="1" applyFont="1" applyFill="1" applyBorder="1" applyAlignment="1">
      <alignment horizontal="center" vertical="top"/>
    </xf>
    <xf numFmtId="41" fontId="9" fillId="0" borderId="1" xfId="0" applyNumberFormat="1" applyFont="1" applyBorder="1" applyAlignment="1">
      <alignment vertical="top"/>
    </xf>
    <xf numFmtId="164" fontId="10" fillId="0" borderId="1" xfId="0" applyNumberFormat="1" applyFont="1" applyBorder="1" applyAlignment="1">
      <alignment horizontal="center" vertical="top"/>
    </xf>
    <xf numFmtId="164" fontId="11" fillId="0" borderId="1" xfId="0" applyNumberFormat="1" applyFont="1" applyBorder="1" applyAlignment="1">
      <alignment horizontal="center" vertical="top"/>
    </xf>
    <xf numFmtId="164" fontId="9" fillId="9" borderId="15" xfId="0" applyNumberFormat="1" applyFont="1" applyFill="1" applyBorder="1" applyAlignment="1">
      <alignment vertical="top"/>
    </xf>
    <xf numFmtId="41" fontId="9" fillId="9" borderId="15" xfId="0" applyNumberFormat="1" applyFont="1" applyFill="1" applyBorder="1" applyAlignment="1">
      <alignment vertical="top"/>
    </xf>
    <xf numFmtId="0" fontId="9" fillId="9" borderId="15" xfId="0" applyFont="1" applyFill="1" applyBorder="1" applyAlignment="1">
      <alignment horizontal="center" vertical="top"/>
    </xf>
    <xf numFmtId="164" fontId="15" fillId="9" borderId="15" xfId="0" applyNumberFormat="1" applyFont="1" applyFill="1" applyBorder="1" applyAlignment="1">
      <alignment horizontal="center" vertical="top"/>
    </xf>
    <xf numFmtId="0" fontId="9" fillId="9" borderId="15" xfId="0" applyFont="1" applyFill="1" applyBorder="1" applyAlignment="1">
      <alignment horizontal="center" vertical="center"/>
    </xf>
    <xf numFmtId="164" fontId="9" fillId="0" borderId="14" xfId="0" applyNumberFormat="1" applyFont="1" applyBorder="1" applyAlignment="1">
      <alignment vertical="center"/>
    </xf>
    <xf numFmtId="164" fontId="10" fillId="0" borderId="14" xfId="0" applyNumberFormat="1" applyFont="1" applyBorder="1" applyAlignment="1">
      <alignment vertical="center"/>
    </xf>
    <xf numFmtId="164" fontId="11" fillId="0" borderId="14" xfId="0" applyNumberFormat="1" applyFont="1" applyBorder="1" applyAlignment="1">
      <alignment vertical="center"/>
    </xf>
    <xf numFmtId="0" fontId="9" fillId="8" borderId="14" xfId="0" applyFont="1" applyFill="1" applyBorder="1" applyAlignment="1">
      <alignment vertical="top"/>
    </xf>
    <xf numFmtId="164" fontId="9" fillId="8" borderId="14" xfId="0" applyNumberFormat="1" applyFont="1" applyFill="1" applyBorder="1" applyAlignment="1">
      <alignment horizontal="center" vertical="top"/>
    </xf>
    <xf numFmtId="0" fontId="9" fillId="9" borderId="15" xfId="0" quotePrefix="1" applyFont="1" applyFill="1" applyBorder="1" applyAlignment="1">
      <alignment horizontal="left" vertical="top" wrapText="1"/>
    </xf>
    <xf numFmtId="0" fontId="9" fillId="0" borderId="1" xfId="0" applyFont="1" applyBorder="1" applyAlignment="1">
      <alignment vertical="center"/>
    </xf>
    <xf numFmtId="0" fontId="9" fillId="9" borderId="15" xfId="0" quotePrefix="1" applyFont="1" applyFill="1" applyBorder="1" applyAlignment="1">
      <alignment vertical="center"/>
    </xf>
    <xf numFmtId="164" fontId="15" fillId="9" borderId="14" xfId="0" applyNumberFormat="1" applyFont="1" applyFill="1" applyBorder="1" applyAlignment="1">
      <alignment horizontal="center" vertical="top"/>
    </xf>
    <xf numFmtId="0" fontId="9" fillId="9" borderId="1" xfId="0" applyFont="1" applyFill="1" applyBorder="1" applyAlignment="1">
      <alignment vertical="center"/>
    </xf>
    <xf numFmtId="164" fontId="9" fillId="9" borderId="1" xfId="0" applyNumberFormat="1" applyFont="1" applyFill="1" applyBorder="1" applyAlignment="1">
      <alignment vertical="center"/>
    </xf>
    <xf numFmtId="41" fontId="9" fillId="9" borderId="1" xfId="0" applyNumberFormat="1" applyFont="1" applyFill="1" applyBorder="1" applyAlignment="1">
      <alignment vertical="center"/>
    </xf>
    <xf numFmtId="0" fontId="9" fillId="9" borderId="1" xfId="0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164" fontId="15" fillId="9" borderId="1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right" vertical="center"/>
    </xf>
    <xf numFmtId="0" fontId="10" fillId="0" borderId="15" xfId="0" applyFont="1" applyBorder="1" applyAlignment="1">
      <alignment vertical="center"/>
    </xf>
    <xf numFmtId="164" fontId="9" fillId="0" borderId="15" xfId="0" applyNumberFormat="1" applyFont="1" applyBorder="1" applyAlignment="1">
      <alignment vertical="center"/>
    </xf>
    <xf numFmtId="164" fontId="10" fillId="0" borderId="15" xfId="0" applyNumberFormat="1" applyFont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164" fontId="11" fillId="0" borderId="15" xfId="0" applyNumberFormat="1" applyFont="1" applyBorder="1" applyAlignment="1">
      <alignment vertical="center"/>
    </xf>
    <xf numFmtId="0" fontId="10" fillId="9" borderId="9" xfId="0" applyFont="1" applyFill="1" applyBorder="1" applyAlignment="1">
      <alignment horizontal="center" vertical="center"/>
    </xf>
    <xf numFmtId="0" fontId="10" fillId="9" borderId="9" xfId="0" quotePrefix="1" applyFont="1" applyFill="1" applyBorder="1" applyAlignment="1">
      <alignment vertical="center"/>
    </xf>
    <xf numFmtId="164" fontId="9" fillId="9" borderId="9" xfId="0" applyNumberFormat="1" applyFont="1" applyFill="1" applyBorder="1" applyAlignment="1">
      <alignment vertical="center"/>
    </xf>
    <xf numFmtId="0" fontId="9" fillId="9" borderId="9" xfId="0" applyFont="1" applyFill="1" applyBorder="1" applyAlignment="1">
      <alignment horizontal="center" vertical="center"/>
    </xf>
    <xf numFmtId="164" fontId="10" fillId="9" borderId="9" xfId="0" applyNumberFormat="1" applyFont="1" applyFill="1" applyBorder="1" applyAlignment="1">
      <alignment horizontal="center" vertical="center"/>
    </xf>
    <xf numFmtId="164" fontId="15" fillId="9" borderId="9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vertical="center"/>
    </xf>
    <xf numFmtId="164" fontId="10" fillId="9" borderId="1" xfId="0" applyNumberFormat="1" applyFont="1" applyFill="1" applyBorder="1" applyAlignment="1">
      <alignment horizontal="center" vertical="center"/>
    </xf>
    <xf numFmtId="0" fontId="10" fillId="9" borderId="1" xfId="0" quotePrefix="1" applyFont="1" applyFill="1" applyBorder="1" applyAlignment="1">
      <alignment vertical="center"/>
    </xf>
    <xf numFmtId="0" fontId="20" fillId="15" borderId="5" xfId="0" applyFont="1" applyFill="1" applyBorder="1" applyAlignment="1">
      <alignment horizontal="right" vertical="center"/>
    </xf>
    <xf numFmtId="0" fontId="19" fillId="15" borderId="5" xfId="0" applyFont="1" applyFill="1" applyBorder="1" applyAlignment="1">
      <alignment vertical="center"/>
    </xf>
    <xf numFmtId="164" fontId="20" fillId="15" borderId="5" xfId="0" applyNumberFormat="1" applyFont="1" applyFill="1" applyBorder="1" applyAlignment="1">
      <alignment vertical="center"/>
    </xf>
    <xf numFmtId="164" fontId="26" fillId="15" borderId="5" xfId="0" applyNumberFormat="1" applyFont="1" applyFill="1" applyBorder="1" applyAlignment="1">
      <alignment vertical="center"/>
    </xf>
    <xf numFmtId="0" fontId="20" fillId="15" borderId="5" xfId="0" applyFont="1" applyFill="1" applyBorder="1" applyAlignment="1">
      <alignment horizontal="center" vertical="center"/>
    </xf>
    <xf numFmtId="164" fontId="19" fillId="15" borderId="5" xfId="0" applyNumberFormat="1" applyFont="1" applyFill="1" applyBorder="1" applyAlignment="1">
      <alignment vertical="center"/>
    </xf>
    <xf numFmtId="0" fontId="10" fillId="15" borderId="1" xfId="0" quotePrefix="1" applyFont="1" applyFill="1" applyBorder="1" applyAlignment="1">
      <alignment vertical="center"/>
    </xf>
    <xf numFmtId="170" fontId="11" fillId="16" borderId="1" xfId="20" applyNumberFormat="1" applyFont="1" applyFill="1" applyBorder="1" applyAlignment="1">
      <alignment horizontal="left" vertical="center"/>
    </xf>
    <xf numFmtId="170" fontId="11" fillId="16" borderId="1" xfId="26" applyNumberFormat="1" applyFont="1" applyFill="1" applyBorder="1" applyAlignment="1">
      <alignment horizontal="left" vertical="center"/>
    </xf>
    <xf numFmtId="170" fontId="10" fillId="0" borderId="1" xfId="0" applyNumberFormat="1" applyFont="1" applyBorder="1" applyAlignment="1">
      <alignment horizontal="center" vertical="center"/>
    </xf>
    <xf numFmtId="170" fontId="9" fillId="9" borderId="14" xfId="0" quotePrefix="1" applyNumberFormat="1" applyFont="1" applyFill="1" applyBorder="1" applyAlignment="1">
      <alignment horizontal="left" vertical="center" wrapText="1"/>
    </xf>
    <xf numFmtId="170" fontId="9" fillId="9" borderId="10" xfId="0" quotePrefix="1" applyNumberFormat="1" applyFont="1" applyFill="1" applyBorder="1" applyAlignment="1">
      <alignment horizontal="left" vertical="center" wrapText="1"/>
    </xf>
    <xf numFmtId="170" fontId="9" fillId="7" borderId="15" xfId="0" quotePrefix="1" applyNumberFormat="1" applyFont="1" applyFill="1" applyBorder="1" applyAlignment="1">
      <alignment horizontal="left" vertical="center" wrapText="1"/>
    </xf>
    <xf numFmtId="170" fontId="9" fillId="9" borderId="10" xfId="0" quotePrefix="1" applyNumberFormat="1" applyFont="1" applyFill="1" applyBorder="1" applyAlignment="1">
      <alignment horizontal="left" vertical="center"/>
    </xf>
    <xf numFmtId="170" fontId="9" fillId="9" borderId="15" xfId="0" quotePrefix="1" applyNumberFormat="1" applyFont="1" applyFill="1" applyBorder="1" applyAlignment="1">
      <alignment horizontal="left" vertical="center" wrapText="1"/>
    </xf>
    <xf numFmtId="170" fontId="9" fillId="8" borderId="14" xfId="0" quotePrefix="1" applyNumberFormat="1" applyFont="1" applyFill="1" applyBorder="1" applyAlignment="1">
      <alignment horizontal="left" vertical="center" wrapText="1"/>
    </xf>
    <xf numFmtId="170" fontId="9" fillId="8" borderId="10" xfId="0" quotePrefix="1" applyNumberFormat="1" applyFont="1" applyFill="1" applyBorder="1" applyAlignment="1">
      <alignment horizontal="left" vertical="center" wrapText="1"/>
    </xf>
    <xf numFmtId="170" fontId="9" fillId="0" borderId="10" xfId="0" quotePrefix="1" applyNumberFormat="1" applyFont="1" applyBorder="1" applyAlignment="1">
      <alignment horizontal="left" vertical="center" wrapText="1"/>
    </xf>
    <xf numFmtId="170" fontId="9" fillId="8" borderId="10" xfId="0" quotePrefix="1" applyNumberFormat="1" applyFont="1" applyFill="1" applyBorder="1" applyAlignment="1">
      <alignment horizontal="left" vertical="top" wrapText="1"/>
    </xf>
    <xf numFmtId="170" fontId="9" fillId="0" borderId="10" xfId="0" quotePrefix="1" applyNumberFormat="1" applyFont="1" applyBorder="1" applyAlignment="1">
      <alignment horizontal="left" vertical="top" wrapText="1"/>
    </xf>
    <xf numFmtId="170" fontId="9" fillId="0" borderId="15" xfId="0" quotePrefix="1" applyNumberFormat="1" applyFont="1" applyBorder="1" applyAlignment="1">
      <alignment horizontal="left" vertical="top" wrapText="1"/>
    </xf>
    <xf numFmtId="170" fontId="9" fillId="9" borderId="14" xfId="0" quotePrefix="1" applyNumberFormat="1" applyFont="1" applyFill="1" applyBorder="1" applyAlignment="1">
      <alignment horizontal="left" vertical="center"/>
    </xf>
    <xf numFmtId="170" fontId="9" fillId="9" borderId="15" xfId="0" applyNumberFormat="1" applyFont="1" applyFill="1" applyBorder="1" applyAlignment="1">
      <alignment horizontal="center" vertical="center"/>
    </xf>
    <xf numFmtId="170" fontId="10" fillId="0" borderId="1" xfId="0" applyNumberFormat="1" applyFont="1" applyBorder="1" applyAlignment="1">
      <alignment vertical="center"/>
    </xf>
    <xf numFmtId="170" fontId="9" fillId="8" borderId="10" xfId="0" quotePrefix="1" applyNumberFormat="1" applyFont="1" applyFill="1" applyBorder="1" applyAlignment="1">
      <alignment horizontal="left" vertical="center"/>
    </xf>
    <xf numFmtId="170" fontId="9" fillId="9" borderId="12" xfId="0" quotePrefix="1" applyNumberFormat="1" applyFont="1" applyFill="1" applyBorder="1" applyAlignment="1">
      <alignment vertical="center"/>
    </xf>
    <xf numFmtId="170" fontId="9" fillId="8" borderId="10" xfId="0" applyNumberFormat="1" applyFont="1" applyFill="1" applyBorder="1" applyAlignment="1">
      <alignment horizontal="center" vertical="center"/>
    </xf>
    <xf numFmtId="170" fontId="9" fillId="0" borderId="10" xfId="0" quotePrefix="1" applyNumberFormat="1" applyFont="1" applyBorder="1" applyAlignment="1">
      <alignment vertical="center"/>
    </xf>
    <xf numFmtId="170" fontId="9" fillId="0" borderId="10" xfId="0" quotePrefix="1" applyNumberFormat="1" applyFont="1" applyBorder="1" applyAlignment="1">
      <alignment horizontal="left" vertical="center"/>
    </xf>
    <xf numFmtId="170" fontId="9" fillId="9" borderId="10" xfId="0" applyNumberFormat="1" applyFont="1" applyFill="1" applyBorder="1" applyAlignment="1">
      <alignment horizontal="center" vertical="center"/>
    </xf>
    <xf numFmtId="170" fontId="15" fillId="9" borderId="16" xfId="0" applyNumberFormat="1" applyFont="1" applyFill="1" applyBorder="1" applyAlignment="1">
      <alignment horizontal="center" vertical="center"/>
    </xf>
    <xf numFmtId="170" fontId="9" fillId="9" borderId="1" xfId="0" applyNumberFormat="1" applyFont="1" applyFill="1" applyBorder="1" applyAlignment="1">
      <alignment horizontal="center" vertical="center"/>
    </xf>
    <xf numFmtId="170" fontId="10" fillId="0" borderId="2" xfId="0" applyNumberFormat="1" applyFont="1" applyBorder="1" applyAlignment="1">
      <alignment vertical="center"/>
    </xf>
    <xf numFmtId="170" fontId="10" fillId="0" borderId="14" xfId="0" applyNumberFormat="1" applyFont="1" applyBorder="1" applyAlignment="1">
      <alignment vertical="center"/>
    </xf>
    <xf numFmtId="170" fontId="10" fillId="0" borderId="10" xfId="0" applyNumberFormat="1" applyFont="1" applyBorder="1" applyAlignment="1">
      <alignment vertical="center"/>
    </xf>
    <xf numFmtId="170" fontId="10" fillId="9" borderId="10" xfId="0" quotePrefix="1" applyNumberFormat="1" applyFont="1" applyFill="1" applyBorder="1" applyAlignment="1">
      <alignment vertical="center"/>
    </xf>
    <xf numFmtId="170" fontId="10" fillId="0" borderId="10" xfId="0" quotePrefix="1" applyNumberFormat="1" applyFont="1" applyBorder="1" applyAlignment="1">
      <alignment vertical="center"/>
    </xf>
    <xf numFmtId="170" fontId="10" fillId="9" borderId="10" xfId="0" applyNumberFormat="1" applyFont="1" applyFill="1" applyBorder="1" applyAlignment="1">
      <alignment vertical="center"/>
    </xf>
    <xf numFmtId="170" fontId="19" fillId="0" borderId="10" xfId="0" applyNumberFormat="1" applyFont="1" applyBorder="1" applyAlignment="1">
      <alignment vertical="center"/>
    </xf>
    <xf numFmtId="170" fontId="10" fillId="0" borderId="15" xfId="0" applyNumberFormat="1" applyFont="1" applyBorder="1" applyAlignment="1">
      <alignment vertical="center"/>
    </xf>
    <xf numFmtId="170" fontId="10" fillId="9" borderId="1" xfId="0" applyNumberFormat="1" applyFont="1" applyFill="1" applyBorder="1" applyAlignment="1">
      <alignment horizontal="center" vertical="center"/>
    </xf>
    <xf numFmtId="170" fontId="10" fillId="9" borderId="9" xfId="0" applyNumberFormat="1" applyFont="1" applyFill="1" applyBorder="1" applyAlignment="1">
      <alignment horizontal="center" vertical="center"/>
    </xf>
    <xf numFmtId="10" fontId="12" fillId="0" borderId="0" xfId="19" applyNumberFormat="1" applyFont="1" applyAlignment="1">
      <alignment vertical="center"/>
    </xf>
    <xf numFmtId="171" fontId="11" fillId="0" borderId="0" xfId="19" applyNumberFormat="1" applyFont="1" applyAlignment="1">
      <alignment vertical="center"/>
    </xf>
    <xf numFmtId="169" fontId="44" fillId="0" borderId="0" xfId="20" applyNumberFormat="1" applyFont="1" applyFill="1" applyAlignment="1">
      <alignment horizontal="center" vertical="center"/>
    </xf>
    <xf numFmtId="169" fontId="44" fillId="0" borderId="0" xfId="20" applyNumberFormat="1" applyFont="1" applyFill="1" applyAlignment="1">
      <alignment vertical="center"/>
    </xf>
    <xf numFmtId="169" fontId="45" fillId="0" borderId="0" xfId="20" applyNumberFormat="1" applyFont="1" applyFill="1" applyAlignment="1">
      <alignment vertical="center"/>
    </xf>
    <xf numFmtId="169" fontId="45" fillId="0" borderId="0" xfId="20" applyNumberFormat="1" applyFont="1" applyFill="1" applyBorder="1" applyAlignment="1">
      <alignment vertical="center"/>
    </xf>
    <xf numFmtId="169" fontId="45" fillId="0" borderId="0" xfId="20" applyNumberFormat="1" applyFont="1" applyFill="1" applyAlignment="1">
      <alignment horizontal="center" vertical="center"/>
    </xf>
    <xf numFmtId="169" fontId="45" fillId="0" borderId="0" xfId="20" applyNumberFormat="1" applyFont="1" applyFill="1" applyAlignment="1">
      <alignment horizontal="left" vertical="center"/>
    </xf>
    <xf numFmtId="169" fontId="45" fillId="0" borderId="0" xfId="20" applyNumberFormat="1" applyFont="1" applyFill="1" applyBorder="1" applyAlignment="1">
      <alignment horizontal="center" vertical="center"/>
    </xf>
    <xf numFmtId="169" fontId="45" fillId="0" borderId="49" xfId="20" applyNumberFormat="1" applyFont="1" applyFill="1" applyBorder="1" applyAlignment="1">
      <alignment horizontal="center" vertical="center"/>
    </xf>
    <xf numFmtId="169" fontId="44" fillId="0" borderId="0" xfId="20" quotePrefix="1" applyNumberFormat="1" applyFont="1" applyFill="1" applyAlignment="1">
      <alignment horizontal="center" vertical="center"/>
    </xf>
    <xf numFmtId="169" fontId="45" fillId="0" borderId="33" xfId="20" applyNumberFormat="1" applyFont="1" applyFill="1" applyBorder="1" applyAlignment="1">
      <alignment horizontal="center" vertical="center"/>
    </xf>
    <xf numFmtId="169" fontId="45" fillId="0" borderId="31" xfId="20" applyNumberFormat="1" applyFont="1" applyFill="1" applyBorder="1" applyAlignment="1">
      <alignment horizontal="center" vertical="center"/>
    </xf>
    <xf numFmtId="169" fontId="45" fillId="0" borderId="32" xfId="20" applyNumberFormat="1" applyFont="1" applyFill="1" applyBorder="1" applyAlignment="1">
      <alignment horizontal="center" vertical="center"/>
    </xf>
    <xf numFmtId="169" fontId="45" fillId="0" borderId="53" xfId="20" applyNumberFormat="1" applyFont="1" applyFill="1" applyBorder="1" applyAlignment="1">
      <alignment horizontal="center" vertical="center"/>
    </xf>
    <xf numFmtId="169" fontId="45" fillId="15" borderId="23" xfId="20" applyNumberFormat="1" applyFont="1" applyFill="1" applyBorder="1" applyAlignment="1">
      <alignment horizontal="center" vertical="center"/>
    </xf>
    <xf numFmtId="169" fontId="45" fillId="15" borderId="23" xfId="20" applyNumberFormat="1" applyFont="1" applyFill="1" applyBorder="1" applyAlignment="1">
      <alignment horizontal="left" vertical="center"/>
    </xf>
    <xf numFmtId="169" fontId="45" fillId="15" borderId="23" xfId="20" applyNumberFormat="1" applyFont="1" applyFill="1" applyBorder="1" applyAlignment="1">
      <alignment vertical="center"/>
    </xf>
    <xf numFmtId="169" fontId="45" fillId="15" borderId="34" xfId="20" applyNumberFormat="1" applyFont="1" applyFill="1" applyBorder="1" applyAlignment="1">
      <alignment vertical="center"/>
    </xf>
    <xf numFmtId="169" fontId="45" fillId="15" borderId="35" xfId="20" applyNumberFormat="1" applyFont="1" applyFill="1" applyBorder="1" applyAlignment="1">
      <alignment vertical="center"/>
    </xf>
    <xf numFmtId="169" fontId="45" fillId="15" borderId="36" xfId="20" applyNumberFormat="1" applyFont="1" applyFill="1" applyBorder="1" applyAlignment="1">
      <alignment vertical="center"/>
    </xf>
    <xf numFmtId="169" fontId="45" fillId="14" borderId="24" xfId="20" applyNumberFormat="1" applyFont="1" applyFill="1" applyBorder="1" applyAlignment="1">
      <alignment horizontal="center" vertical="center"/>
    </xf>
    <xf numFmtId="169" fontId="45" fillId="14" borderId="24" xfId="20" applyNumberFormat="1" applyFont="1" applyFill="1" applyBorder="1" applyAlignment="1">
      <alignment horizontal="right" vertical="center"/>
    </xf>
    <xf numFmtId="169" fontId="45" fillId="14" borderId="24" xfId="20" applyNumberFormat="1" applyFont="1" applyFill="1" applyBorder="1" applyAlignment="1">
      <alignment horizontal="left" vertical="center"/>
    </xf>
    <xf numFmtId="169" fontId="45" fillId="14" borderId="24" xfId="20" applyNumberFormat="1" applyFont="1" applyFill="1" applyBorder="1" applyAlignment="1">
      <alignment vertical="center"/>
    </xf>
    <xf numFmtId="169" fontId="45" fillId="14" borderId="37" xfId="20" applyNumberFormat="1" applyFont="1" applyFill="1" applyBorder="1" applyAlignment="1">
      <alignment horizontal="center" vertical="center"/>
    </xf>
    <xf numFmtId="169" fontId="45" fillId="14" borderId="38" xfId="20" applyNumberFormat="1" applyFont="1" applyFill="1" applyBorder="1" applyAlignment="1">
      <alignment horizontal="center" vertical="center"/>
    </xf>
    <xf numFmtId="169" fontId="45" fillId="14" borderId="39" xfId="20" applyNumberFormat="1" applyFont="1" applyFill="1" applyBorder="1" applyAlignment="1">
      <alignment horizontal="center" vertical="center"/>
    </xf>
    <xf numFmtId="169" fontId="45" fillId="0" borderId="20" xfId="20" applyNumberFormat="1" applyFont="1" applyFill="1" applyBorder="1" applyAlignment="1">
      <alignment horizontal="center" vertical="center"/>
    </xf>
    <xf numFmtId="169" fontId="44" fillId="0" borderId="20" xfId="20" applyNumberFormat="1" applyFont="1" applyFill="1" applyBorder="1" applyAlignment="1">
      <alignment horizontal="right" vertical="center"/>
    </xf>
    <xf numFmtId="169" fontId="44" fillId="0" borderId="20" xfId="20" applyNumberFormat="1" applyFont="1" applyFill="1" applyBorder="1" applyAlignment="1">
      <alignment horizontal="left" vertical="center"/>
    </xf>
    <xf numFmtId="169" fontId="45" fillId="0" borderId="20" xfId="20" applyNumberFormat="1" applyFont="1" applyFill="1" applyBorder="1" applyAlignment="1">
      <alignment vertical="center"/>
    </xf>
    <xf numFmtId="169" fontId="45" fillId="0" borderId="40" xfId="20" applyNumberFormat="1" applyFont="1" applyFill="1" applyBorder="1" applyAlignment="1">
      <alignment horizontal="center" vertical="center"/>
    </xf>
    <xf numFmtId="169" fontId="45" fillId="0" borderId="41" xfId="20" applyNumberFormat="1" applyFont="1" applyFill="1" applyBorder="1" applyAlignment="1">
      <alignment horizontal="center" vertical="center"/>
    </xf>
    <xf numFmtId="169" fontId="45" fillId="0" borderId="42" xfId="20" applyNumberFormat="1" applyFont="1" applyFill="1" applyBorder="1" applyAlignment="1">
      <alignment horizontal="center" vertical="center"/>
    </xf>
    <xf numFmtId="169" fontId="44" fillId="0" borderId="20" xfId="20" applyNumberFormat="1" applyFont="1" applyFill="1" applyBorder="1" applyAlignment="1">
      <alignment horizontal="left" vertical="center" indent="1"/>
    </xf>
    <xf numFmtId="169" fontId="44" fillId="0" borderId="19" xfId="20" applyNumberFormat="1" applyFont="1" applyFill="1" applyBorder="1" applyAlignment="1">
      <alignment horizontal="right" vertical="center"/>
    </xf>
    <xf numFmtId="169" fontId="45" fillId="0" borderId="19" xfId="20" applyNumberFormat="1" applyFont="1" applyFill="1" applyBorder="1" applyAlignment="1">
      <alignment vertical="center"/>
    </xf>
    <xf numFmtId="169" fontId="44" fillId="0" borderId="19" xfId="20" applyNumberFormat="1" applyFont="1" applyFill="1" applyBorder="1" applyAlignment="1">
      <alignment horizontal="center" vertical="center"/>
    </xf>
    <xf numFmtId="169" fontId="45" fillId="0" borderId="43" xfId="20" applyNumberFormat="1" applyFont="1" applyFill="1" applyBorder="1" applyAlignment="1">
      <alignment vertical="center"/>
    </xf>
    <xf numFmtId="169" fontId="45" fillId="0" borderId="44" xfId="20" applyNumberFormat="1" applyFont="1" applyFill="1" applyBorder="1" applyAlignment="1">
      <alignment vertical="center"/>
    </xf>
    <xf numFmtId="169" fontId="45" fillId="0" borderId="45" xfId="20" applyNumberFormat="1" applyFont="1" applyFill="1" applyBorder="1" applyAlignment="1">
      <alignment vertical="center"/>
    </xf>
    <xf numFmtId="169" fontId="45" fillId="0" borderId="19" xfId="20" applyNumberFormat="1" applyFont="1" applyFill="1" applyBorder="1" applyAlignment="1">
      <alignment horizontal="center" vertical="center"/>
    </xf>
    <xf numFmtId="169" fontId="45" fillId="0" borderId="49" xfId="20" applyNumberFormat="1" applyFont="1" applyFill="1" applyBorder="1" applyAlignment="1">
      <alignment vertical="center"/>
    </xf>
    <xf numFmtId="169" fontId="45" fillId="0" borderId="31" xfId="20" applyNumberFormat="1" applyFont="1" applyFill="1" applyBorder="1" applyAlignment="1">
      <alignment vertical="center"/>
    </xf>
    <xf numFmtId="169" fontId="45" fillId="0" borderId="32" xfId="20" applyNumberFormat="1" applyFont="1" applyFill="1" applyBorder="1" applyAlignment="1">
      <alignment vertical="center"/>
    </xf>
    <xf numFmtId="169" fontId="45" fillId="0" borderId="33" xfId="20" applyNumberFormat="1" applyFont="1" applyFill="1" applyBorder="1" applyAlignment="1">
      <alignment vertical="center"/>
    </xf>
    <xf numFmtId="169" fontId="45" fillId="0" borderId="53" xfId="20" applyNumberFormat="1" applyFont="1" applyFill="1" applyBorder="1" applyAlignment="1">
      <alignment vertical="center"/>
    </xf>
    <xf numFmtId="169" fontId="45" fillId="0" borderId="20" xfId="20" applyNumberFormat="1" applyFont="1" applyFill="1" applyBorder="1" applyAlignment="1">
      <alignment horizontal="right" vertical="center"/>
    </xf>
    <xf numFmtId="169" fontId="45" fillId="0" borderId="20" xfId="20" applyNumberFormat="1" applyFont="1" applyFill="1" applyBorder="1" applyAlignment="1">
      <alignment horizontal="left" vertical="center"/>
    </xf>
    <xf numFmtId="169" fontId="44" fillId="0" borderId="21" xfId="20" applyNumberFormat="1" applyFont="1" applyFill="1" applyBorder="1" applyAlignment="1">
      <alignment horizontal="right" vertical="center"/>
    </xf>
    <xf numFmtId="169" fontId="45" fillId="0" borderId="21" xfId="20" applyNumberFormat="1" applyFont="1" applyFill="1" applyBorder="1" applyAlignment="1">
      <alignment vertical="center"/>
    </xf>
    <xf numFmtId="169" fontId="44" fillId="0" borderId="21" xfId="20" applyNumberFormat="1" applyFont="1" applyFill="1" applyBorder="1" applyAlignment="1">
      <alignment horizontal="center" vertical="center"/>
    </xf>
    <xf numFmtId="169" fontId="45" fillId="0" borderId="46" xfId="20" applyNumberFormat="1" applyFont="1" applyFill="1" applyBorder="1" applyAlignment="1">
      <alignment vertical="center"/>
    </xf>
    <xf numFmtId="169" fontId="45" fillId="0" borderId="47" xfId="20" applyNumberFormat="1" applyFont="1" applyFill="1" applyBorder="1" applyAlignment="1">
      <alignment vertical="center"/>
    </xf>
    <xf numFmtId="169" fontId="45" fillId="0" borderId="48" xfId="20" applyNumberFormat="1" applyFont="1" applyFill="1" applyBorder="1" applyAlignment="1">
      <alignment vertical="center"/>
    </xf>
    <xf numFmtId="169" fontId="45" fillId="0" borderId="21" xfId="20" applyNumberFormat="1" applyFont="1" applyFill="1" applyBorder="1" applyAlignment="1">
      <alignment horizontal="center" vertical="center"/>
    </xf>
    <xf numFmtId="169" fontId="44" fillId="0" borderId="20" xfId="20" applyNumberFormat="1" applyFont="1" applyFill="1" applyBorder="1" applyAlignment="1">
      <alignment horizontal="center" vertical="center"/>
    </xf>
    <xf numFmtId="169" fontId="44" fillId="0" borderId="20" xfId="20" applyNumberFormat="1" applyFont="1" applyFill="1" applyBorder="1" applyAlignment="1">
      <alignment vertical="center"/>
    </xf>
    <xf numFmtId="169" fontId="44" fillId="0" borderId="40" xfId="20" applyNumberFormat="1" applyFont="1" applyFill="1" applyBorder="1" applyAlignment="1">
      <alignment horizontal="center" vertical="center"/>
    </xf>
    <xf numFmtId="169" fontId="44" fillId="0" borderId="41" xfId="20" applyNumberFormat="1" applyFont="1" applyFill="1" applyBorder="1" applyAlignment="1">
      <alignment horizontal="center" vertical="center"/>
    </xf>
    <xf numFmtId="169" fontId="44" fillId="0" borderId="42" xfId="20" applyNumberFormat="1" applyFont="1" applyFill="1" applyBorder="1" applyAlignment="1">
      <alignment horizontal="center" vertical="center"/>
    </xf>
    <xf numFmtId="169" fontId="44" fillId="0" borderId="49" xfId="20" applyNumberFormat="1" applyFont="1" applyFill="1" applyBorder="1" applyAlignment="1">
      <alignment horizontal="center" vertical="center"/>
    </xf>
    <xf numFmtId="169" fontId="44" fillId="0" borderId="31" xfId="20" applyNumberFormat="1" applyFont="1" applyFill="1" applyBorder="1" applyAlignment="1">
      <alignment horizontal="center" vertical="center"/>
    </xf>
    <xf numFmtId="169" fontId="44" fillId="0" borderId="32" xfId="20" applyNumberFormat="1" applyFont="1" applyFill="1" applyBorder="1" applyAlignment="1">
      <alignment horizontal="center" vertical="center"/>
    </xf>
    <xf numFmtId="169" fontId="44" fillId="0" borderId="33" xfId="20" applyNumberFormat="1" applyFont="1" applyFill="1" applyBorder="1" applyAlignment="1">
      <alignment horizontal="center" vertical="center"/>
    </xf>
    <xf numFmtId="169" fontId="44" fillId="0" borderId="53" xfId="20" applyNumberFormat="1" applyFont="1" applyFill="1" applyBorder="1" applyAlignment="1">
      <alignment horizontal="center" vertical="center"/>
    </xf>
    <xf numFmtId="169" fontId="45" fillId="14" borderId="20" xfId="20" applyNumberFormat="1" applyFont="1" applyFill="1" applyBorder="1" applyAlignment="1">
      <alignment horizontal="right" vertical="center"/>
    </xf>
    <xf numFmtId="169" fontId="45" fillId="14" borderId="20" xfId="20" applyNumberFormat="1" applyFont="1" applyFill="1" applyBorder="1" applyAlignment="1">
      <alignment vertical="center"/>
    </xf>
    <xf numFmtId="169" fontId="45" fillId="14" borderId="20" xfId="20" applyNumberFormat="1" applyFont="1" applyFill="1" applyBorder="1" applyAlignment="1">
      <alignment horizontal="center" vertical="center"/>
    </xf>
    <xf numFmtId="169" fontId="45" fillId="14" borderId="40" xfId="20" applyNumberFormat="1" applyFont="1" applyFill="1" applyBorder="1" applyAlignment="1">
      <alignment horizontal="center" vertical="center"/>
    </xf>
    <xf numFmtId="169" fontId="45" fillId="14" borderId="41" xfId="20" applyNumberFormat="1" applyFont="1" applyFill="1" applyBorder="1" applyAlignment="1">
      <alignment horizontal="center" vertical="center"/>
    </xf>
    <xf numFmtId="169" fontId="45" fillId="14" borderId="42" xfId="20" applyNumberFormat="1" applyFont="1" applyFill="1" applyBorder="1" applyAlignment="1">
      <alignment horizontal="center" vertical="center"/>
    </xf>
    <xf numFmtId="169" fontId="44" fillId="0" borderId="31" xfId="20" applyNumberFormat="1" applyFont="1" applyFill="1" applyBorder="1" applyAlignment="1">
      <alignment vertical="center"/>
    </xf>
    <xf numFmtId="169" fontId="44" fillId="0" borderId="32" xfId="20" applyNumberFormat="1" applyFont="1" applyFill="1" applyBorder="1" applyAlignment="1">
      <alignment vertical="center"/>
    </xf>
    <xf numFmtId="169" fontId="44" fillId="0" borderId="33" xfId="20" applyNumberFormat="1" applyFont="1" applyFill="1" applyBorder="1" applyAlignment="1">
      <alignment vertical="center"/>
    </xf>
    <xf numFmtId="169" fontId="44" fillId="0" borderId="53" xfId="20" applyNumberFormat="1" applyFont="1" applyFill="1" applyBorder="1" applyAlignment="1">
      <alignment vertical="center"/>
    </xf>
    <xf numFmtId="169" fontId="44" fillId="0" borderId="49" xfId="20" applyNumberFormat="1" applyFont="1" applyFill="1" applyBorder="1" applyAlignment="1">
      <alignment vertical="center"/>
    </xf>
    <xf numFmtId="169" fontId="44" fillId="14" borderId="20" xfId="20" applyNumberFormat="1" applyFont="1" applyFill="1" applyBorder="1" applyAlignment="1">
      <alignment horizontal="center" vertical="center"/>
    </xf>
    <xf numFmtId="169" fontId="44" fillId="0" borderId="18" xfId="20" applyNumberFormat="1" applyFont="1" applyFill="1" applyBorder="1" applyAlignment="1">
      <alignment horizontal="right" vertical="center"/>
    </xf>
    <xf numFmtId="169" fontId="44" fillId="0" borderId="18" xfId="20" applyNumberFormat="1" applyFont="1" applyFill="1" applyBorder="1" applyAlignment="1">
      <alignment horizontal="left" vertical="center"/>
    </xf>
    <xf numFmtId="169" fontId="44" fillId="0" borderId="18" xfId="20" applyNumberFormat="1" applyFont="1" applyFill="1" applyBorder="1" applyAlignment="1">
      <alignment horizontal="center" vertical="center"/>
    </xf>
    <xf numFmtId="169" fontId="45" fillId="0" borderId="18" xfId="20" applyNumberFormat="1" applyFont="1" applyFill="1" applyBorder="1" applyAlignment="1">
      <alignment vertical="center"/>
    </xf>
    <xf numFmtId="169" fontId="44" fillId="0" borderId="43" xfId="20" applyNumberFormat="1" applyFont="1" applyFill="1" applyBorder="1" applyAlignment="1">
      <alignment horizontal="center" vertical="center"/>
    </xf>
    <xf numFmtId="169" fontId="44" fillId="0" borderId="44" xfId="20" applyNumberFormat="1" applyFont="1" applyFill="1" applyBorder="1" applyAlignment="1">
      <alignment horizontal="center" vertical="center"/>
    </xf>
    <xf numFmtId="169" fontId="44" fillId="0" borderId="45" xfId="20" applyNumberFormat="1" applyFont="1" applyFill="1" applyBorder="1" applyAlignment="1">
      <alignment horizontal="center" vertical="center"/>
    </xf>
    <xf numFmtId="169" fontId="44" fillId="0" borderId="23" xfId="20" applyNumberFormat="1" applyFont="1" applyFill="1" applyBorder="1" applyAlignment="1">
      <alignment horizontal="right" vertical="center"/>
    </xf>
    <xf numFmtId="169" fontId="45" fillId="0" borderId="23" xfId="20" applyNumberFormat="1" applyFont="1" applyFill="1" applyBorder="1" applyAlignment="1">
      <alignment vertical="center"/>
    </xf>
    <xf numFmtId="169" fontId="44" fillId="0" borderId="23" xfId="20" applyNumberFormat="1" applyFont="1" applyFill="1" applyBorder="1" applyAlignment="1">
      <alignment horizontal="center" vertical="center"/>
    </xf>
    <xf numFmtId="169" fontId="45" fillId="0" borderId="34" xfId="20" applyNumberFormat="1" applyFont="1" applyFill="1" applyBorder="1" applyAlignment="1">
      <alignment vertical="center"/>
    </xf>
    <xf numFmtId="169" fontId="45" fillId="0" borderId="35" xfId="20" applyNumberFormat="1" applyFont="1" applyFill="1" applyBorder="1" applyAlignment="1">
      <alignment vertical="center"/>
    </xf>
    <xf numFmtId="169" fontId="45" fillId="0" borderId="36" xfId="20" applyNumberFormat="1" applyFont="1" applyFill="1" applyBorder="1" applyAlignment="1">
      <alignment vertical="center"/>
    </xf>
    <xf numFmtId="169" fontId="45" fillId="0" borderId="23" xfId="20" applyNumberFormat="1" applyFont="1" applyFill="1" applyBorder="1" applyAlignment="1">
      <alignment horizontal="center" vertical="center"/>
    </xf>
    <xf numFmtId="169" fontId="45" fillId="0" borderId="26" xfId="20" applyNumberFormat="1" applyFont="1" applyFill="1" applyBorder="1" applyAlignment="1">
      <alignment horizontal="center" vertical="center"/>
    </xf>
    <xf numFmtId="169" fontId="45" fillId="0" borderId="26" xfId="20" applyNumberFormat="1" applyFont="1" applyFill="1" applyBorder="1" applyAlignment="1">
      <alignment horizontal="left" vertical="center"/>
    </xf>
    <xf numFmtId="169" fontId="45" fillId="0" borderId="26" xfId="20" applyNumberFormat="1" applyFont="1" applyFill="1" applyBorder="1" applyAlignment="1">
      <alignment vertical="center"/>
    </xf>
    <xf numFmtId="169" fontId="45" fillId="15" borderId="24" xfId="20" applyNumberFormat="1" applyFont="1" applyFill="1" applyBorder="1" applyAlignment="1">
      <alignment horizontal="center" vertical="center"/>
    </xf>
    <xf numFmtId="169" fontId="45" fillId="15" borderId="24" xfId="20" applyNumberFormat="1" applyFont="1" applyFill="1" applyBorder="1" applyAlignment="1">
      <alignment horizontal="left" vertical="center"/>
    </xf>
    <xf numFmtId="169" fontId="45" fillId="15" borderId="24" xfId="20" applyNumberFormat="1" applyFont="1" applyFill="1" applyBorder="1" applyAlignment="1">
      <alignment vertical="center"/>
    </xf>
    <xf numFmtId="169" fontId="45" fillId="15" borderId="37" xfId="20" applyNumberFormat="1" applyFont="1" applyFill="1" applyBorder="1" applyAlignment="1">
      <alignment vertical="center"/>
    </xf>
    <xf numFmtId="169" fontId="45" fillId="15" borderId="38" xfId="20" applyNumberFormat="1" applyFont="1" applyFill="1" applyBorder="1" applyAlignment="1">
      <alignment vertical="center"/>
    </xf>
    <xf numFmtId="169" fontId="45" fillId="15" borderId="39" xfId="20" applyNumberFormat="1" applyFont="1" applyFill="1" applyBorder="1" applyAlignment="1">
      <alignment vertical="center"/>
    </xf>
    <xf numFmtId="169" fontId="45" fillId="14" borderId="20" xfId="20" applyNumberFormat="1" applyFont="1" applyFill="1" applyBorder="1" applyAlignment="1">
      <alignment horizontal="left" vertical="center"/>
    </xf>
    <xf numFmtId="169" fontId="45" fillId="14" borderId="40" xfId="20" applyNumberFormat="1" applyFont="1" applyFill="1" applyBorder="1" applyAlignment="1">
      <alignment vertical="center"/>
    </xf>
    <xf numFmtId="169" fontId="45" fillId="14" borderId="41" xfId="20" applyNumberFormat="1" applyFont="1" applyFill="1" applyBorder="1" applyAlignment="1">
      <alignment vertical="center"/>
    </xf>
    <xf numFmtId="169" fontId="45" fillId="14" borderId="42" xfId="20" applyNumberFormat="1" applyFont="1" applyFill="1" applyBorder="1" applyAlignment="1">
      <alignment vertical="center"/>
    </xf>
    <xf numFmtId="169" fontId="45" fillId="0" borderId="40" xfId="20" applyNumberFormat="1" applyFont="1" applyFill="1" applyBorder="1" applyAlignment="1">
      <alignment vertical="center"/>
    </xf>
    <xf numFmtId="169" fontId="45" fillId="0" borderId="41" xfId="20" applyNumberFormat="1" applyFont="1" applyFill="1" applyBorder="1" applyAlignment="1">
      <alignment vertical="center"/>
    </xf>
    <xf numFmtId="169" fontId="45" fillId="0" borderId="42" xfId="20" applyNumberFormat="1" applyFont="1" applyFill="1" applyBorder="1" applyAlignment="1">
      <alignment vertical="center"/>
    </xf>
    <xf numFmtId="169" fontId="44" fillId="0" borderId="18" xfId="20" applyNumberFormat="1" applyFont="1" applyFill="1" applyBorder="1" applyAlignment="1">
      <alignment vertical="center"/>
    </xf>
    <xf numFmtId="169" fontId="44" fillId="0" borderId="18" xfId="20" quotePrefix="1" applyNumberFormat="1" applyFont="1" applyFill="1" applyBorder="1" applyAlignment="1">
      <alignment horizontal="left" vertical="center" wrapText="1"/>
    </xf>
    <xf numFmtId="169" fontId="44" fillId="0" borderId="27" xfId="20" applyNumberFormat="1" applyFont="1" applyFill="1" applyBorder="1" applyAlignment="1">
      <alignment horizontal="left" vertical="center" indent="1"/>
    </xf>
    <xf numFmtId="169" fontId="45" fillId="14" borderId="18" xfId="20" applyNumberFormat="1" applyFont="1" applyFill="1" applyBorder="1" applyAlignment="1">
      <alignment horizontal="center" vertical="center"/>
    </xf>
    <xf numFmtId="169" fontId="45" fillId="14" borderId="18" xfId="20" applyNumberFormat="1" applyFont="1" applyFill="1" applyBorder="1" applyAlignment="1">
      <alignment horizontal="right" vertical="center"/>
    </xf>
    <xf numFmtId="169" fontId="45" fillId="14" borderId="18" xfId="20" applyNumberFormat="1" applyFont="1" applyFill="1" applyBorder="1" applyAlignment="1">
      <alignment horizontal="left" vertical="center"/>
    </xf>
    <xf numFmtId="169" fontId="44" fillId="14" borderId="18" xfId="20" applyNumberFormat="1" applyFont="1" applyFill="1" applyBorder="1" applyAlignment="1">
      <alignment vertical="center"/>
    </xf>
    <xf numFmtId="169" fontId="44" fillId="14" borderId="31" xfId="20" applyNumberFormat="1" applyFont="1" applyFill="1" applyBorder="1" applyAlignment="1">
      <alignment vertical="center"/>
    </xf>
    <xf numFmtId="169" fontId="45" fillId="14" borderId="32" xfId="20" applyNumberFormat="1" applyFont="1" applyFill="1" applyBorder="1" applyAlignment="1">
      <alignment horizontal="center" vertical="center"/>
    </xf>
    <xf numFmtId="169" fontId="45" fillId="14" borderId="33" xfId="20" applyNumberFormat="1" applyFont="1" applyFill="1" applyBorder="1" applyAlignment="1">
      <alignment horizontal="center" vertical="center"/>
    </xf>
    <xf numFmtId="169" fontId="44" fillId="0" borderId="18" xfId="20" quotePrefix="1" applyNumberFormat="1" applyFont="1" applyFill="1" applyBorder="1" applyAlignment="1">
      <alignment horizontal="left" vertical="center"/>
    </xf>
    <xf numFmtId="169" fontId="44" fillId="0" borderId="18" xfId="20" applyNumberFormat="1" applyFont="1" applyFill="1" applyBorder="1" applyAlignment="1">
      <alignment horizontal="left" vertical="center" indent="1"/>
    </xf>
    <xf numFmtId="169" fontId="45" fillId="14" borderId="18" xfId="20" applyNumberFormat="1" applyFont="1" applyFill="1" applyBorder="1" applyAlignment="1">
      <alignment vertical="center"/>
    </xf>
    <xf numFmtId="169" fontId="44" fillId="0" borderId="18" xfId="20" applyNumberFormat="1" applyFont="1" applyFill="1" applyBorder="1" applyAlignment="1">
      <alignment horizontal="right" vertical="top"/>
    </xf>
    <xf numFmtId="169" fontId="44" fillId="0" borderId="18" xfId="20" applyNumberFormat="1" applyFont="1" applyFill="1" applyBorder="1" applyAlignment="1">
      <alignment vertical="top"/>
    </xf>
    <xf numFmtId="169" fontId="45" fillId="0" borderId="54" xfId="20" applyNumberFormat="1" applyFont="1" applyFill="1" applyBorder="1" applyAlignment="1">
      <alignment vertical="center"/>
    </xf>
    <xf numFmtId="169" fontId="44" fillId="0" borderId="0" xfId="20" applyNumberFormat="1" applyFont="1" applyFill="1" applyAlignment="1">
      <alignment horizontal="left" vertical="center"/>
    </xf>
    <xf numFmtId="169" fontId="45" fillId="0" borderId="51" xfId="20" applyNumberFormat="1" applyFont="1" applyFill="1" applyBorder="1" applyAlignment="1">
      <alignment vertical="center"/>
    </xf>
    <xf numFmtId="169" fontId="44" fillId="0" borderId="0" xfId="20" applyNumberFormat="1" applyFont="1" applyFill="1" applyBorder="1" applyAlignment="1">
      <alignment horizontal="left" vertical="center"/>
    </xf>
    <xf numFmtId="169" fontId="44" fillId="0" borderId="25" xfId="20" applyNumberFormat="1" applyFont="1" applyFill="1" applyBorder="1" applyAlignment="1">
      <alignment vertical="center"/>
    </xf>
    <xf numFmtId="169" fontId="45" fillId="0" borderId="25" xfId="20" applyNumberFormat="1" applyFont="1" applyFill="1" applyBorder="1" applyAlignment="1">
      <alignment vertical="center"/>
    </xf>
    <xf numFmtId="169" fontId="44" fillId="0" borderId="0" xfId="20" applyNumberFormat="1" applyFont="1" applyFill="1" applyBorder="1" applyAlignment="1">
      <alignment vertical="center"/>
    </xf>
    <xf numFmtId="169" fontId="45" fillId="0" borderId="50" xfId="20" applyNumberFormat="1" applyFont="1" applyFill="1" applyBorder="1" applyAlignment="1">
      <alignment vertical="center"/>
    </xf>
    <xf numFmtId="169" fontId="45" fillId="0" borderId="52" xfId="20" applyNumberFormat="1" applyFont="1" applyFill="1" applyBorder="1" applyAlignment="1">
      <alignment vertical="center"/>
    </xf>
    <xf numFmtId="169" fontId="44" fillId="0" borderId="0" xfId="20" applyNumberFormat="1" applyFont="1" applyFill="1" applyBorder="1" applyAlignment="1">
      <alignment horizontal="center" vertical="center"/>
    </xf>
    <xf numFmtId="169" fontId="46" fillId="0" borderId="0" xfId="20" applyNumberFormat="1" applyFont="1" applyFill="1" applyBorder="1" applyAlignment="1">
      <alignment vertical="center"/>
    </xf>
    <xf numFmtId="169" fontId="47" fillId="0" borderId="0" xfId="20" applyNumberFormat="1" applyFont="1" applyFill="1" applyBorder="1" applyAlignment="1">
      <alignment vertical="center"/>
    </xf>
    <xf numFmtId="169" fontId="43" fillId="0" borderId="0" xfId="20" applyNumberFormat="1" applyFont="1" applyFill="1" applyBorder="1" applyAlignment="1">
      <alignment vertical="center"/>
    </xf>
    <xf numFmtId="169" fontId="43" fillId="0" borderId="0" xfId="20" applyNumberFormat="1" applyFont="1" applyFill="1" applyAlignment="1">
      <alignment vertical="center"/>
    </xf>
    <xf numFmtId="169" fontId="44" fillId="0" borderId="19" xfId="20" applyNumberFormat="1" applyFont="1" applyFill="1" applyBorder="1" applyAlignment="1">
      <alignment horizontal="left" vertical="center" indent="1"/>
    </xf>
    <xf numFmtId="169" fontId="45" fillId="18" borderId="31" xfId="20" applyNumberFormat="1" applyFont="1" applyFill="1" applyBorder="1" applyAlignment="1">
      <alignment horizontal="center" vertical="center" wrapText="1"/>
    </xf>
    <xf numFmtId="169" fontId="45" fillId="18" borderId="32" xfId="20" applyNumberFormat="1" applyFont="1" applyFill="1" applyBorder="1" applyAlignment="1">
      <alignment horizontal="center" vertical="center" wrapText="1"/>
    </xf>
    <xf numFmtId="169" fontId="45" fillId="18" borderId="33" xfId="20" applyNumberFormat="1" applyFont="1" applyFill="1" applyBorder="1" applyAlignment="1">
      <alignment horizontal="center" vertical="center" wrapText="1"/>
    </xf>
    <xf numFmtId="169" fontId="45" fillId="18" borderId="33" xfId="20" applyNumberFormat="1" applyFont="1" applyFill="1" applyBorder="1" applyAlignment="1">
      <alignment horizontal="center" vertical="center"/>
    </xf>
    <xf numFmtId="169" fontId="45" fillId="18" borderId="31" xfId="20" applyNumberFormat="1" applyFont="1" applyFill="1" applyBorder="1" applyAlignment="1">
      <alignment horizontal="center" vertical="center"/>
    </xf>
    <xf numFmtId="169" fontId="45" fillId="18" borderId="32" xfId="20" applyNumberFormat="1" applyFont="1" applyFill="1" applyBorder="1" applyAlignment="1">
      <alignment horizontal="center" vertical="center"/>
    </xf>
    <xf numFmtId="169" fontId="45" fillId="18" borderId="53" xfId="20" applyNumberFormat="1" applyFont="1" applyFill="1" applyBorder="1" applyAlignment="1">
      <alignment horizontal="center" vertical="center"/>
    </xf>
    <xf numFmtId="169" fontId="45" fillId="14" borderId="31" xfId="20" applyNumberFormat="1" applyFont="1" applyFill="1" applyBorder="1" applyAlignment="1">
      <alignment horizontal="center" vertical="center"/>
    </xf>
    <xf numFmtId="169" fontId="45" fillId="14" borderId="53" xfId="20" applyNumberFormat="1" applyFont="1" applyFill="1" applyBorder="1" applyAlignment="1">
      <alignment horizontal="center" vertical="center"/>
    </xf>
    <xf numFmtId="169" fontId="45" fillId="14" borderId="31" xfId="20" applyNumberFormat="1" applyFont="1" applyFill="1" applyBorder="1" applyAlignment="1">
      <alignment vertical="center"/>
    </xf>
    <xf numFmtId="169" fontId="45" fillId="14" borderId="32" xfId="20" applyNumberFormat="1" applyFont="1" applyFill="1" applyBorder="1" applyAlignment="1">
      <alignment vertical="center"/>
    </xf>
    <xf numFmtId="169" fontId="45" fillId="14" borderId="33" xfId="20" applyNumberFormat="1" applyFont="1" applyFill="1" applyBorder="1" applyAlignment="1">
      <alignment vertical="center"/>
    </xf>
    <xf numFmtId="169" fontId="45" fillId="14" borderId="53" xfId="20" applyNumberFormat="1" applyFont="1" applyFill="1" applyBorder="1" applyAlignment="1">
      <alignment vertical="center"/>
    </xf>
    <xf numFmtId="169" fontId="44" fillId="14" borderId="32" xfId="20" applyNumberFormat="1" applyFont="1" applyFill="1" applyBorder="1" applyAlignment="1">
      <alignment vertical="center"/>
    </xf>
    <xf numFmtId="169" fontId="44" fillId="14" borderId="33" xfId="20" applyNumberFormat="1" applyFont="1" applyFill="1" applyBorder="1" applyAlignment="1">
      <alignment vertical="center"/>
    </xf>
    <xf numFmtId="169" fontId="44" fillId="14" borderId="53" xfId="20" applyNumberFormat="1" applyFont="1" applyFill="1" applyBorder="1" applyAlignment="1">
      <alignment vertical="center"/>
    </xf>
    <xf numFmtId="169" fontId="44" fillId="14" borderId="31" xfId="20" applyNumberFormat="1" applyFont="1" applyFill="1" applyBorder="1" applyAlignment="1">
      <alignment horizontal="center" vertical="center"/>
    </xf>
    <xf numFmtId="169" fontId="44" fillId="14" borderId="32" xfId="20" applyNumberFormat="1" applyFont="1" applyFill="1" applyBorder="1" applyAlignment="1">
      <alignment horizontal="center" vertical="center"/>
    </xf>
    <xf numFmtId="169" fontId="44" fillId="14" borderId="33" xfId="20" applyNumberFormat="1" applyFont="1" applyFill="1" applyBorder="1" applyAlignment="1">
      <alignment horizontal="center" vertical="center"/>
    </xf>
    <xf numFmtId="169" fontId="44" fillId="14" borderId="53" xfId="20" applyNumberFormat="1" applyFont="1" applyFill="1" applyBorder="1" applyAlignment="1">
      <alignment horizontal="center" vertical="center"/>
    </xf>
    <xf numFmtId="169" fontId="45" fillId="15" borderId="31" xfId="20" applyNumberFormat="1" applyFont="1" applyFill="1" applyBorder="1" applyAlignment="1">
      <alignment horizontal="center" vertical="center"/>
    </xf>
    <xf numFmtId="169" fontId="45" fillId="15" borderId="32" xfId="20" applyNumberFormat="1" applyFont="1" applyFill="1" applyBorder="1" applyAlignment="1">
      <alignment horizontal="center" vertical="center"/>
    </xf>
    <xf numFmtId="169" fontId="45" fillId="15" borderId="33" xfId="20" applyNumberFormat="1" applyFont="1" applyFill="1" applyBorder="1" applyAlignment="1">
      <alignment horizontal="center" vertical="center"/>
    </xf>
    <xf numFmtId="169" fontId="45" fillId="15" borderId="53" xfId="20" applyNumberFormat="1" applyFont="1" applyFill="1" applyBorder="1" applyAlignment="1">
      <alignment horizontal="center" vertical="center"/>
    </xf>
    <xf numFmtId="169" fontId="45" fillId="0" borderId="22" xfId="20" applyNumberFormat="1" applyFont="1" applyFill="1" applyBorder="1" applyAlignment="1">
      <alignment horizontal="center" vertical="center"/>
    </xf>
    <xf numFmtId="0" fontId="44" fillId="0" borderId="20" xfId="20" applyNumberFormat="1" applyFont="1" applyFill="1" applyBorder="1" applyAlignment="1">
      <alignment horizontal="right" vertical="center"/>
    </xf>
    <xf numFmtId="169" fontId="45" fillId="0" borderId="18" xfId="20" applyNumberFormat="1" applyFont="1" applyFill="1" applyBorder="1" applyAlignment="1">
      <alignment horizontal="right" vertical="center"/>
    </xf>
    <xf numFmtId="169" fontId="45" fillId="0" borderId="18" xfId="20" applyNumberFormat="1" applyFont="1" applyFill="1" applyBorder="1" applyAlignment="1">
      <alignment horizontal="right" vertical="top"/>
    </xf>
    <xf numFmtId="169" fontId="45" fillId="0" borderId="18" xfId="20" applyNumberFormat="1" applyFont="1" applyFill="1" applyBorder="1" applyAlignment="1">
      <alignment vertical="top"/>
    </xf>
    <xf numFmtId="169" fontId="45" fillId="0" borderId="18" xfId="20" quotePrefix="1" applyNumberFormat="1" applyFont="1" applyFill="1" applyBorder="1" applyAlignment="1">
      <alignment vertical="center"/>
    </xf>
    <xf numFmtId="169" fontId="45" fillId="0" borderId="18" xfId="20" quotePrefix="1" applyNumberFormat="1" applyFont="1" applyFill="1" applyBorder="1" applyAlignment="1">
      <alignment horizontal="left" vertical="center" wrapText="1"/>
    </xf>
    <xf numFmtId="169" fontId="45" fillId="0" borderId="18" xfId="20" quotePrefix="1" applyNumberFormat="1" applyFont="1" applyFill="1" applyBorder="1" applyAlignment="1">
      <alignment horizontal="left" vertical="center"/>
    </xf>
    <xf numFmtId="0" fontId="5" fillId="0" borderId="0" xfId="7"/>
    <xf numFmtId="0" fontId="5" fillId="0" borderId="0" xfId="7" applyAlignment="1">
      <alignment horizontal="center"/>
    </xf>
    <xf numFmtId="0" fontId="5" fillId="0" borderId="0" xfId="7" applyAlignment="1">
      <alignment horizontal="center" vertical="center"/>
    </xf>
    <xf numFmtId="10" fontId="14" fillId="0" borderId="0" xfId="19" applyNumberFormat="1" applyFill="1" applyAlignment="1">
      <alignment horizontal="center" vertical="center"/>
    </xf>
    <xf numFmtId="0" fontId="50" fillId="0" borderId="0" xfId="7" applyFont="1"/>
    <xf numFmtId="172" fontId="50" fillId="0" borderId="0" xfId="7" applyNumberFormat="1" applyFont="1" applyAlignment="1">
      <alignment horizontal="center" vertical="center"/>
    </xf>
    <xf numFmtId="0" fontId="5" fillId="0" borderId="0" xfId="7" applyAlignment="1">
      <alignment vertical="center" wrapText="1"/>
    </xf>
    <xf numFmtId="0" fontId="51" fillId="0" borderId="55" xfId="7" applyFont="1" applyBorder="1"/>
    <xf numFmtId="0" fontId="51" fillId="0" borderId="0" xfId="7" applyFont="1"/>
    <xf numFmtId="0" fontId="52" fillId="0" borderId="0" xfId="7" applyFont="1" applyAlignment="1">
      <alignment horizontal="left"/>
    </xf>
    <xf numFmtId="0" fontId="53" fillId="0" borderId="55" xfId="7" applyFont="1" applyBorder="1"/>
    <xf numFmtId="0" fontId="53" fillId="0" borderId="0" xfId="7" applyFont="1"/>
    <xf numFmtId="0" fontId="5" fillId="0" borderId="55" xfId="7" applyBorder="1"/>
    <xf numFmtId="0" fontId="57" fillId="0" borderId="55" xfId="7" applyFont="1" applyBorder="1"/>
    <xf numFmtId="0" fontId="58" fillId="15" borderId="66" xfId="7" applyFont="1" applyFill="1" applyBorder="1" applyAlignment="1">
      <alignment horizontal="center" vertical="center"/>
    </xf>
    <xf numFmtId="0" fontId="58" fillId="15" borderId="67" xfId="7" applyFont="1" applyFill="1" applyBorder="1" applyAlignment="1">
      <alignment vertical="center"/>
    </xf>
    <xf numFmtId="0" fontId="59" fillId="15" borderId="68" xfId="7" applyFont="1" applyFill="1" applyBorder="1" applyAlignment="1">
      <alignment vertical="center" wrapText="1"/>
    </xf>
    <xf numFmtId="0" fontId="58" fillId="15" borderId="2" xfId="7" applyFont="1" applyFill="1" applyBorder="1" applyAlignment="1">
      <alignment horizontal="center" vertical="center"/>
    </xf>
    <xf numFmtId="0" fontId="58" fillId="15" borderId="68" xfId="7" applyFont="1" applyFill="1" applyBorder="1" applyAlignment="1">
      <alignment horizontal="center" vertical="center"/>
    </xf>
    <xf numFmtId="0" fontId="58" fillId="15" borderId="0" xfId="7" applyFont="1" applyFill="1" applyAlignment="1">
      <alignment horizontal="center" vertical="center"/>
    </xf>
    <xf numFmtId="0" fontId="59" fillId="20" borderId="69" xfId="7" applyFont="1" applyFill="1" applyBorder="1" applyAlignment="1">
      <alignment horizontal="center" vertical="center"/>
    </xf>
    <xf numFmtId="0" fontId="57" fillId="0" borderId="0" xfId="7" applyFont="1"/>
    <xf numFmtId="0" fontId="60" fillId="0" borderId="70" xfId="7" applyFont="1" applyBorder="1" applyAlignment="1">
      <alignment horizontal="center" vertical="center"/>
    </xf>
    <xf numFmtId="0" fontId="56" fillId="0" borderId="71" xfId="7" applyFont="1" applyBorder="1" applyAlignment="1">
      <alignment horizontal="center" vertical="center"/>
    </xf>
    <xf numFmtId="0" fontId="56" fillId="0" borderId="71" xfId="7" applyFont="1" applyBorder="1" applyAlignment="1">
      <alignment vertical="center"/>
    </xf>
    <xf numFmtId="41" fontId="50" fillId="0" borderId="72" xfId="7" applyNumberFormat="1" applyFont="1" applyBorder="1" applyAlignment="1">
      <alignment vertical="center" wrapText="1"/>
    </xf>
    <xf numFmtId="0" fontId="50" fillId="0" borderId="71" xfId="7" applyFont="1" applyBorder="1" applyAlignment="1">
      <alignment horizontal="center" vertical="center"/>
    </xf>
    <xf numFmtId="169" fontId="50" fillId="0" borderId="72" xfId="20" applyNumberFormat="1" applyFont="1" applyFill="1" applyBorder="1" applyAlignment="1">
      <alignment horizontal="center" vertical="center"/>
    </xf>
    <xf numFmtId="169" fontId="50" fillId="0" borderId="73" xfId="20" applyNumberFormat="1" applyFont="1" applyFill="1" applyBorder="1" applyAlignment="1">
      <alignment horizontal="center" vertical="center"/>
    </xf>
    <xf numFmtId="172" fontId="50" fillId="0" borderId="74" xfId="7" applyNumberFormat="1" applyFont="1" applyBorder="1" applyAlignment="1">
      <alignment horizontal="center" vertical="center"/>
    </xf>
    <xf numFmtId="0" fontId="50" fillId="0" borderId="71" xfId="7" applyFont="1" applyBorder="1" applyAlignment="1">
      <alignment vertical="center"/>
    </xf>
    <xf numFmtId="0" fontId="50" fillId="0" borderId="74" xfId="7" applyFont="1" applyBorder="1" applyAlignment="1">
      <alignment horizontal="center" vertical="center"/>
    </xf>
    <xf numFmtId="172" fontId="62" fillId="0" borderId="0" xfId="7" applyNumberFormat="1" applyFont="1" applyAlignment="1">
      <alignment horizontal="center" vertical="center"/>
    </xf>
    <xf numFmtId="0" fontId="50" fillId="3" borderId="70" xfId="7" applyFont="1" applyFill="1" applyBorder="1" applyAlignment="1">
      <alignment horizontal="center" vertical="center"/>
    </xf>
    <xf numFmtId="0" fontId="56" fillId="3" borderId="71" xfId="7" applyFont="1" applyFill="1" applyBorder="1" applyAlignment="1">
      <alignment vertical="center"/>
    </xf>
    <xf numFmtId="41" fontId="50" fillId="3" borderId="72" xfId="7" applyNumberFormat="1" applyFont="1" applyFill="1" applyBorder="1" applyAlignment="1">
      <alignment vertical="center" wrapText="1"/>
    </xf>
    <xf numFmtId="0" fontId="50" fillId="3" borderId="71" xfId="7" applyFont="1" applyFill="1" applyBorder="1" applyAlignment="1">
      <alignment horizontal="center" vertical="center"/>
    </xf>
    <xf numFmtId="0" fontId="50" fillId="0" borderId="72" xfId="7" applyFont="1" applyBorder="1" applyAlignment="1">
      <alignment horizontal="center" vertical="center"/>
    </xf>
    <xf numFmtId="0" fontId="50" fillId="0" borderId="73" xfId="7" applyFont="1" applyBorder="1" applyAlignment="1">
      <alignment horizontal="center" vertical="center"/>
    </xf>
    <xf numFmtId="0" fontId="50" fillId="0" borderId="70" xfId="7" applyFont="1" applyBorder="1" applyAlignment="1">
      <alignment horizontal="center" vertical="center"/>
    </xf>
    <xf numFmtId="0" fontId="50" fillId="0" borderId="71" xfId="7" applyFont="1" applyBorder="1" applyAlignment="1">
      <alignment vertical="center" wrapText="1"/>
    </xf>
    <xf numFmtId="42" fontId="50" fillId="3" borderId="75" xfId="23" applyNumberFormat="1" applyFont="1" applyFill="1" applyBorder="1" applyAlignment="1">
      <alignment vertical="center"/>
    </xf>
    <xf numFmtId="169" fontId="50" fillId="0" borderId="75" xfId="20" applyNumberFormat="1" applyFont="1" applyFill="1" applyBorder="1" applyAlignment="1">
      <alignment horizontal="center" vertical="center"/>
    </xf>
    <xf numFmtId="42" fontId="50" fillId="3" borderId="75" xfId="23" quotePrefix="1" applyNumberFormat="1" applyFont="1" applyFill="1" applyBorder="1" applyAlignment="1">
      <alignment horizontal="center" vertical="center"/>
    </xf>
    <xf numFmtId="9" fontId="50" fillId="0" borderId="71" xfId="7" applyNumberFormat="1" applyFont="1" applyBorder="1" applyAlignment="1">
      <alignment vertical="center" wrapText="1"/>
    </xf>
    <xf numFmtId="172" fontId="50" fillId="0" borderId="72" xfId="20" applyNumberFormat="1" applyFont="1" applyFill="1" applyBorder="1" applyAlignment="1">
      <alignment horizontal="center" vertical="center"/>
    </xf>
    <xf numFmtId="172" fontId="50" fillId="0" borderId="76" xfId="20" applyNumberFormat="1" applyFont="1" applyFill="1" applyBorder="1" applyAlignment="1">
      <alignment horizontal="center" vertical="center"/>
    </xf>
    <xf numFmtId="169" fontId="50" fillId="0" borderId="77" xfId="20" applyNumberFormat="1" applyFont="1" applyFill="1" applyBorder="1" applyAlignment="1">
      <alignment horizontal="center" vertical="center"/>
    </xf>
    <xf numFmtId="169" fontId="50" fillId="0" borderId="78" xfId="20" applyNumberFormat="1" applyFont="1" applyFill="1" applyBorder="1" applyAlignment="1">
      <alignment horizontal="center" vertical="center"/>
    </xf>
    <xf numFmtId="0" fontId="50" fillId="0" borderId="79" xfId="7" applyFont="1" applyBorder="1" applyAlignment="1">
      <alignment horizontal="center" vertical="center"/>
    </xf>
    <xf numFmtId="0" fontId="50" fillId="3" borderId="80" xfId="7" applyFont="1" applyFill="1" applyBorder="1" applyAlignment="1">
      <alignment horizontal="center" vertical="center"/>
    </xf>
    <xf numFmtId="0" fontId="50" fillId="3" borderId="78" xfId="7" applyFont="1" applyFill="1" applyBorder="1" applyAlignment="1">
      <alignment vertical="center"/>
    </xf>
    <xf numFmtId="9" fontId="50" fillId="0" borderId="72" xfId="7" applyNumberFormat="1" applyFont="1" applyBorder="1" applyAlignment="1">
      <alignment vertical="center" wrapText="1"/>
    </xf>
    <xf numFmtId="0" fontId="50" fillId="0" borderId="81" xfId="7" applyFont="1" applyBorder="1" applyAlignment="1">
      <alignment vertical="center" wrapText="1"/>
    </xf>
    <xf numFmtId="9" fontId="50" fillId="0" borderId="82" xfId="7" applyNumberFormat="1" applyFont="1" applyBorder="1" applyAlignment="1">
      <alignment vertical="center" wrapText="1"/>
    </xf>
    <xf numFmtId="0" fontId="50" fillId="0" borderId="81" xfId="7" applyFont="1" applyBorder="1" applyAlignment="1">
      <alignment horizontal="center" vertical="center"/>
    </xf>
    <xf numFmtId="172" fontId="50" fillId="0" borderId="82" xfId="20" applyNumberFormat="1" applyFont="1" applyFill="1" applyBorder="1" applyAlignment="1">
      <alignment horizontal="center" vertical="center"/>
    </xf>
    <xf numFmtId="0" fontId="50" fillId="0" borderId="72" xfId="7" applyFont="1" applyBorder="1" applyAlignment="1">
      <alignment vertical="center" wrapText="1"/>
    </xf>
    <xf numFmtId="169" fontId="50" fillId="0" borderId="71" xfId="20" applyNumberFormat="1" applyFont="1" applyFill="1" applyBorder="1" applyAlignment="1">
      <alignment horizontal="center" vertical="center"/>
    </xf>
    <xf numFmtId="0" fontId="50" fillId="0" borderId="83" xfId="7" applyFont="1" applyBorder="1" applyAlignment="1">
      <alignment horizontal="center" vertical="center"/>
    </xf>
    <xf numFmtId="0" fontId="50" fillId="3" borderId="2" xfId="7" applyFont="1" applyFill="1" applyBorder="1" applyAlignment="1">
      <alignment vertical="center"/>
    </xf>
    <xf numFmtId="0" fontId="50" fillId="0" borderId="84" xfId="7" applyFont="1" applyBorder="1" applyAlignment="1">
      <alignment vertical="center"/>
    </xf>
    <xf numFmtId="9" fontId="50" fillId="0" borderId="85" xfId="7" applyNumberFormat="1" applyFont="1" applyBorder="1" applyAlignment="1">
      <alignment vertical="center" wrapText="1"/>
    </xf>
    <xf numFmtId="0" fontId="50" fillId="0" borderId="84" xfId="7" applyFont="1" applyBorder="1" applyAlignment="1">
      <alignment horizontal="center" vertical="center"/>
    </xf>
    <xf numFmtId="0" fontId="50" fillId="0" borderId="75" xfId="7" applyFont="1" applyBorder="1" applyAlignment="1">
      <alignment horizontal="center" vertical="center"/>
    </xf>
    <xf numFmtId="169" fontId="50" fillId="0" borderId="86" xfId="20" applyNumberFormat="1" applyFont="1" applyFill="1" applyBorder="1" applyAlignment="1">
      <alignment horizontal="center" vertical="center"/>
    </xf>
    <xf numFmtId="169" fontId="50" fillId="0" borderId="81" xfId="20" applyNumberFormat="1" applyFont="1" applyFill="1" applyBorder="1" applyAlignment="1">
      <alignment horizontal="center" vertical="center"/>
    </xf>
    <xf numFmtId="0" fontId="50" fillId="7" borderId="87" xfId="7" applyFont="1" applyFill="1" applyBorder="1" applyAlignment="1">
      <alignment horizontal="center" vertical="center"/>
    </xf>
    <xf numFmtId="0" fontId="50" fillId="7" borderId="88" xfId="7" applyFont="1" applyFill="1" applyBorder="1" applyAlignment="1">
      <alignment vertical="center"/>
    </xf>
    <xf numFmtId="41" fontId="56" fillId="7" borderId="89" xfId="7" applyNumberFormat="1" applyFont="1" applyFill="1" applyBorder="1" applyAlignment="1">
      <alignment vertical="center" wrapText="1"/>
    </xf>
    <xf numFmtId="0" fontId="50" fillId="7" borderId="88" xfId="7" applyFont="1" applyFill="1" applyBorder="1" applyAlignment="1">
      <alignment horizontal="center" vertical="center"/>
    </xf>
    <xf numFmtId="172" fontId="50" fillId="7" borderId="88" xfId="7" applyNumberFormat="1" applyFont="1" applyFill="1" applyBorder="1" applyAlignment="1">
      <alignment vertical="center"/>
    </xf>
    <xf numFmtId="172" fontId="50" fillId="7" borderId="90" xfId="7" applyNumberFormat="1" applyFont="1" applyFill="1" applyBorder="1" applyAlignment="1">
      <alignment horizontal="center" vertical="center"/>
    </xf>
    <xf numFmtId="0" fontId="50" fillId="3" borderId="91" xfId="7" applyFont="1" applyFill="1" applyBorder="1" applyAlignment="1">
      <alignment horizontal="center" vertical="center"/>
    </xf>
    <xf numFmtId="0" fontId="56" fillId="3" borderId="92" xfId="7" applyFont="1" applyFill="1" applyBorder="1" applyAlignment="1">
      <alignment vertical="center"/>
    </xf>
    <xf numFmtId="41" fontId="50" fillId="3" borderId="93" xfId="7" applyNumberFormat="1" applyFont="1" applyFill="1" applyBorder="1" applyAlignment="1">
      <alignment vertical="center" wrapText="1"/>
    </xf>
    <xf numFmtId="0" fontId="50" fillId="3" borderId="92" xfId="7" applyFont="1" applyFill="1" applyBorder="1" applyAlignment="1">
      <alignment horizontal="center" vertical="center"/>
    </xf>
    <xf numFmtId="172" fontId="50" fillId="3" borderId="93" xfId="7" applyNumberFormat="1" applyFont="1" applyFill="1" applyBorder="1" applyAlignment="1">
      <alignment horizontal="center" vertical="center"/>
    </xf>
    <xf numFmtId="172" fontId="50" fillId="3" borderId="94" xfId="7" applyNumberFormat="1" applyFont="1" applyFill="1" applyBorder="1" applyAlignment="1">
      <alignment horizontal="center" vertical="center"/>
    </xf>
    <xf numFmtId="172" fontId="50" fillId="0" borderId="73" xfId="20" applyNumberFormat="1" applyFont="1" applyFill="1" applyBorder="1" applyAlignment="1">
      <alignment horizontal="center" vertical="center"/>
    </xf>
    <xf numFmtId="0" fontId="61" fillId="0" borderId="71" xfId="7" applyFont="1" applyBorder="1" applyAlignment="1">
      <alignment vertical="center"/>
    </xf>
    <xf numFmtId="172" fontId="50" fillId="3" borderId="72" xfId="20" applyNumberFormat="1" applyFont="1" applyFill="1" applyBorder="1" applyAlignment="1">
      <alignment horizontal="center" vertical="center"/>
    </xf>
    <xf numFmtId="0" fontId="65" fillId="0" borderId="55" xfId="7" applyFont="1" applyBorder="1"/>
    <xf numFmtId="0" fontId="61" fillId="0" borderId="70" xfId="7" applyFont="1" applyBorder="1" applyAlignment="1">
      <alignment horizontal="center" vertical="center"/>
    </xf>
    <xf numFmtId="0" fontId="50" fillId="0" borderId="71" xfId="7" applyFont="1" applyBorder="1" applyAlignment="1">
      <alignment horizontal="right" vertical="center"/>
    </xf>
    <xf numFmtId="0" fontId="61" fillId="0" borderId="71" xfId="7" applyFont="1" applyBorder="1" applyAlignment="1">
      <alignment horizontal="center" vertical="center"/>
    </xf>
    <xf numFmtId="0" fontId="61" fillId="0" borderId="0" xfId="7" applyFont="1"/>
    <xf numFmtId="172" fontId="61" fillId="0" borderId="0" xfId="7" applyNumberFormat="1" applyFont="1" applyAlignment="1">
      <alignment horizontal="center" vertical="center"/>
    </xf>
    <xf numFmtId="0" fontId="65" fillId="0" borderId="0" xfId="7" applyFont="1"/>
    <xf numFmtId="9" fontId="61" fillId="0" borderId="72" xfId="7" applyNumberFormat="1" applyFont="1" applyBorder="1" applyAlignment="1">
      <alignment vertical="center" wrapText="1"/>
    </xf>
    <xf numFmtId="0" fontId="61" fillId="0" borderId="71" xfId="7" applyFont="1" applyBorder="1" applyAlignment="1">
      <alignment vertical="center" wrapText="1"/>
    </xf>
    <xf numFmtId="0" fontId="61" fillId="0" borderId="83" xfId="7" applyFont="1" applyBorder="1" applyAlignment="1">
      <alignment horizontal="center" vertical="center"/>
    </xf>
    <xf numFmtId="0" fontId="50" fillId="0" borderId="2" xfId="7" applyFont="1" applyBorder="1" applyAlignment="1">
      <alignment vertical="center"/>
    </xf>
    <xf numFmtId="0" fontId="61" fillId="0" borderId="2" xfId="7" applyFont="1" applyBorder="1" applyAlignment="1">
      <alignment vertical="center" wrapText="1"/>
    </xf>
    <xf numFmtId="9" fontId="61" fillId="0" borderId="85" xfId="7" applyNumberFormat="1" applyFont="1" applyBorder="1" applyAlignment="1">
      <alignment vertical="center" wrapText="1"/>
    </xf>
    <xf numFmtId="0" fontId="61" fillId="0" borderId="2" xfId="7" applyFont="1" applyBorder="1" applyAlignment="1">
      <alignment horizontal="center" vertical="center"/>
    </xf>
    <xf numFmtId="172" fontId="50" fillId="0" borderId="85" xfId="20" applyNumberFormat="1" applyFont="1" applyFill="1" applyBorder="1" applyAlignment="1">
      <alignment horizontal="center" vertical="center"/>
    </xf>
    <xf numFmtId="172" fontId="50" fillId="0" borderId="0" xfId="20" applyNumberFormat="1" applyFont="1" applyFill="1" applyBorder="1" applyAlignment="1">
      <alignment horizontal="center" vertical="center"/>
    </xf>
    <xf numFmtId="169" fontId="50" fillId="0" borderId="2" xfId="20" applyNumberFormat="1" applyFont="1" applyFill="1" applyBorder="1" applyAlignment="1">
      <alignment horizontal="center" vertical="center"/>
    </xf>
    <xf numFmtId="0" fontId="61" fillId="0" borderId="62" xfId="7" applyFont="1" applyBorder="1" applyAlignment="1">
      <alignment horizontal="center" vertical="center"/>
    </xf>
    <xf numFmtId="0" fontId="61" fillId="7" borderId="88" xfId="7" applyFont="1" applyFill="1" applyBorder="1" applyAlignment="1">
      <alignment vertical="center"/>
    </xf>
    <xf numFmtId="0" fontId="50" fillId="0" borderId="80" xfId="7" applyFont="1" applyBorder="1" applyAlignment="1">
      <alignment horizontal="center" vertical="center"/>
    </xf>
    <xf numFmtId="0" fontId="56" fillId="3" borderId="78" xfId="7" applyFont="1" applyFill="1" applyBorder="1" applyAlignment="1">
      <alignment vertical="center"/>
    </xf>
    <xf numFmtId="0" fontId="58" fillId="3" borderId="78" xfId="7" applyFont="1" applyFill="1" applyBorder="1" applyAlignment="1">
      <alignment vertical="center"/>
    </xf>
    <xf numFmtId="41" fontId="50" fillId="0" borderId="78" xfId="7" applyNumberFormat="1" applyFont="1" applyBorder="1" applyAlignment="1">
      <alignment vertical="center" wrapText="1"/>
    </xf>
    <xf numFmtId="0" fontId="50" fillId="0" borderId="78" xfId="7" applyFont="1" applyBorder="1" applyAlignment="1">
      <alignment horizontal="center" vertical="center"/>
    </xf>
    <xf numFmtId="172" fontId="50" fillId="0" borderId="76" xfId="20" applyNumberFormat="1" applyFont="1" applyBorder="1" applyAlignment="1">
      <alignment horizontal="center" vertical="center"/>
    </xf>
    <xf numFmtId="172" fontId="50" fillId="0" borderId="77" xfId="20" applyNumberFormat="1" applyFont="1" applyBorder="1" applyAlignment="1">
      <alignment horizontal="center" vertical="center"/>
    </xf>
    <xf numFmtId="169" fontId="50" fillId="0" borderId="78" xfId="20" applyNumberFormat="1" applyFont="1" applyBorder="1" applyAlignment="1">
      <alignment horizontal="center" vertical="center"/>
    </xf>
    <xf numFmtId="0" fontId="50" fillId="0" borderId="95" xfId="7" applyFont="1" applyBorder="1" applyAlignment="1">
      <alignment horizontal="center" vertical="center"/>
    </xf>
    <xf numFmtId="0" fontId="50" fillId="3" borderId="71" xfId="7" applyFont="1" applyFill="1" applyBorder="1" applyAlignment="1">
      <alignment vertical="center"/>
    </xf>
    <xf numFmtId="0" fontId="61" fillId="3" borderId="71" xfId="7" applyFont="1" applyFill="1" applyBorder="1" applyAlignment="1">
      <alignment vertical="center"/>
    </xf>
    <xf numFmtId="41" fontId="50" fillId="3" borderId="71" xfId="7" applyNumberFormat="1" applyFont="1" applyFill="1" applyBorder="1" applyAlignment="1">
      <alignment vertical="center" wrapText="1"/>
    </xf>
    <xf numFmtId="172" fontId="50" fillId="0" borderId="75" xfId="20" applyNumberFormat="1" applyFont="1" applyFill="1" applyBorder="1" applyAlignment="1">
      <alignment horizontal="center" vertical="center"/>
    </xf>
    <xf numFmtId="169" fontId="50" fillId="3" borderId="71" xfId="20" applyNumberFormat="1" applyFont="1" applyFill="1" applyBorder="1" applyAlignment="1">
      <alignment horizontal="center" vertical="center"/>
    </xf>
    <xf numFmtId="0" fontId="50" fillId="3" borderId="96" xfId="7" applyFont="1" applyFill="1" applyBorder="1" applyAlignment="1">
      <alignment horizontal="center" vertical="center"/>
    </xf>
    <xf numFmtId="0" fontId="61" fillId="3" borderId="81" xfId="7" applyFont="1" applyFill="1" applyBorder="1" applyAlignment="1">
      <alignment vertical="center"/>
    </xf>
    <xf numFmtId="0" fontId="50" fillId="3" borderId="81" xfId="7" applyFont="1" applyFill="1" applyBorder="1" applyAlignment="1">
      <alignment horizontal="center" vertical="center"/>
    </xf>
    <xf numFmtId="172" fontId="50" fillId="0" borderId="97" xfId="20" applyNumberFormat="1" applyFont="1" applyFill="1" applyBorder="1" applyAlignment="1">
      <alignment horizontal="center" vertical="center"/>
    </xf>
    <xf numFmtId="0" fontId="50" fillId="0" borderId="0" xfId="0" applyFont="1"/>
    <xf numFmtId="172" fontId="50" fillId="7" borderId="88" xfId="20" applyNumberFormat="1" applyFont="1" applyFill="1" applyBorder="1" applyAlignment="1">
      <alignment vertical="center"/>
    </xf>
    <xf numFmtId="43" fontId="61" fillId="0" borderId="0" xfId="7" applyNumberFormat="1" applyFont="1"/>
    <xf numFmtId="0" fontId="50" fillId="0" borderId="98" xfId="7" applyFont="1" applyBorder="1" applyAlignment="1">
      <alignment horizontal="center" vertical="center"/>
    </xf>
    <xf numFmtId="9" fontId="50" fillId="0" borderId="99" xfId="7" applyNumberFormat="1" applyFont="1" applyBorder="1" applyAlignment="1">
      <alignment vertical="center" wrapText="1"/>
    </xf>
    <xf numFmtId="172" fontId="50" fillId="0" borderId="99" xfId="20" applyNumberFormat="1" applyFont="1" applyFill="1" applyBorder="1" applyAlignment="1">
      <alignment horizontal="center" vertical="center"/>
    </xf>
    <xf numFmtId="172" fontId="50" fillId="0" borderId="100" xfId="20" applyNumberFormat="1" applyFont="1" applyFill="1" applyBorder="1" applyAlignment="1">
      <alignment horizontal="center" vertical="center"/>
    </xf>
    <xf numFmtId="169" fontId="50" fillId="0" borderId="84" xfId="20" applyNumberFormat="1" applyFont="1" applyFill="1" applyBorder="1" applyAlignment="1">
      <alignment horizontal="center" vertical="center"/>
    </xf>
    <xf numFmtId="0" fontId="50" fillId="0" borderId="91" xfId="7" applyFont="1" applyBorder="1" applyAlignment="1">
      <alignment horizontal="center" vertical="center"/>
    </xf>
    <xf numFmtId="0" fontId="56" fillId="0" borderId="92" xfId="7" applyFont="1" applyBorder="1" applyAlignment="1">
      <alignment vertical="center"/>
    </xf>
    <xf numFmtId="172" fontId="50" fillId="0" borderId="71" xfId="20" applyNumberFormat="1" applyFont="1" applyFill="1" applyBorder="1" applyAlignment="1">
      <alignment horizontal="center" vertical="center"/>
    </xf>
    <xf numFmtId="0" fontId="61" fillId="0" borderId="78" xfId="7" applyFont="1" applyBorder="1" applyAlignment="1">
      <alignment vertical="center"/>
    </xf>
    <xf numFmtId="9" fontId="50" fillId="0" borderId="76" xfId="7" applyNumberFormat="1" applyFont="1" applyBorder="1" applyAlignment="1">
      <alignment vertical="center" wrapText="1"/>
    </xf>
    <xf numFmtId="0" fontId="61" fillId="0" borderId="78" xfId="7" applyFont="1" applyBorder="1" applyAlignment="1">
      <alignment horizontal="center" vertical="center"/>
    </xf>
    <xf numFmtId="0" fontId="50" fillId="0" borderId="78" xfId="7" applyFont="1" applyBorder="1" applyAlignment="1">
      <alignment vertical="center"/>
    </xf>
    <xf numFmtId="9" fontId="61" fillId="0" borderId="76" xfId="7" applyNumberFormat="1" applyFont="1" applyBorder="1" applyAlignment="1">
      <alignment vertical="center" wrapText="1"/>
    </xf>
    <xf numFmtId="0" fontId="61" fillId="0" borderId="72" xfId="7" applyFont="1" applyBorder="1" applyAlignment="1">
      <alignment vertical="center" wrapText="1"/>
    </xf>
    <xf numFmtId="9" fontId="50" fillId="0" borderId="0" xfId="7" applyNumberFormat="1" applyFont="1" applyAlignment="1">
      <alignment vertical="center" wrapText="1"/>
    </xf>
    <xf numFmtId="0" fontId="50" fillId="0" borderId="99" xfId="7" applyFont="1" applyBorder="1" applyAlignment="1">
      <alignment vertical="center" wrapText="1"/>
    </xf>
    <xf numFmtId="169" fontId="50" fillId="0" borderId="82" xfId="20" applyNumberFormat="1" applyFont="1" applyFill="1" applyBorder="1" applyAlignment="1">
      <alignment horizontal="center" vertical="center"/>
    </xf>
    <xf numFmtId="169" fontId="50" fillId="0" borderId="97" xfId="20" applyNumberFormat="1" applyFont="1" applyFill="1" applyBorder="1" applyAlignment="1">
      <alignment horizontal="center" vertical="center"/>
    </xf>
    <xf numFmtId="0" fontId="50" fillId="3" borderId="71" xfId="7" applyFont="1" applyFill="1" applyBorder="1" applyAlignment="1">
      <alignment vertical="center" wrapText="1"/>
    </xf>
    <xf numFmtId="172" fontId="50" fillId="0" borderId="71" xfId="20" applyNumberFormat="1" applyFont="1" applyFill="1" applyBorder="1" applyAlignment="1">
      <alignment horizontal="right" vertical="center"/>
    </xf>
    <xf numFmtId="172" fontId="50" fillId="0" borderId="73" xfId="20" applyNumberFormat="1" applyFont="1" applyFill="1" applyBorder="1" applyAlignment="1">
      <alignment horizontal="right" vertical="center"/>
    </xf>
    <xf numFmtId="169" fontId="50" fillId="0" borderId="71" xfId="20" applyNumberFormat="1" applyFont="1" applyFill="1" applyBorder="1" applyAlignment="1">
      <alignment horizontal="right" vertical="center"/>
    </xf>
    <xf numFmtId="172" fontId="50" fillId="3" borderId="71" xfId="20" applyNumberFormat="1" applyFont="1" applyFill="1" applyBorder="1" applyAlignment="1">
      <alignment horizontal="center" vertical="center"/>
    </xf>
    <xf numFmtId="0" fontId="50" fillId="3" borderId="98" xfId="7" applyFont="1" applyFill="1" applyBorder="1" applyAlignment="1">
      <alignment horizontal="center" vertical="center"/>
    </xf>
    <xf numFmtId="0" fontId="50" fillId="3" borderId="84" xfId="7" applyFont="1" applyFill="1" applyBorder="1" applyAlignment="1">
      <alignment vertical="center"/>
    </xf>
    <xf numFmtId="0" fontId="50" fillId="3" borderId="84" xfId="7" applyFont="1" applyFill="1" applyBorder="1" applyAlignment="1">
      <alignment horizontal="center" vertical="center"/>
    </xf>
    <xf numFmtId="172" fontId="50" fillId="0" borderId="84" xfId="20" applyNumberFormat="1" applyFont="1" applyFill="1" applyBorder="1" applyAlignment="1">
      <alignment horizontal="center" vertical="center"/>
    </xf>
    <xf numFmtId="172" fontId="50" fillId="0" borderId="86" xfId="20" applyNumberFormat="1" applyFont="1" applyFill="1" applyBorder="1" applyAlignment="1">
      <alignment horizontal="center" vertical="center"/>
    </xf>
    <xf numFmtId="172" fontId="50" fillId="0" borderId="101" xfId="7" applyNumberFormat="1" applyFont="1" applyBorder="1" applyAlignment="1">
      <alignment horizontal="center" vertical="center"/>
    </xf>
    <xf numFmtId="0" fontId="61" fillId="3" borderId="71" xfId="7" applyFont="1" applyFill="1" applyBorder="1" applyAlignment="1">
      <alignment vertical="center" wrapText="1"/>
    </xf>
    <xf numFmtId="172" fontId="50" fillId="3" borderId="73" xfId="20" applyNumberFormat="1" applyFont="1" applyFill="1" applyBorder="1" applyAlignment="1">
      <alignment horizontal="center" vertical="center"/>
    </xf>
    <xf numFmtId="169" fontId="50" fillId="7" borderId="88" xfId="20" applyNumberFormat="1" applyFont="1" applyFill="1" applyBorder="1" applyAlignment="1">
      <alignment vertical="center"/>
    </xf>
    <xf numFmtId="0" fontId="58" fillId="0" borderId="91" xfId="7" applyFont="1" applyBorder="1" applyAlignment="1">
      <alignment horizontal="center" vertical="center"/>
    </xf>
    <xf numFmtId="0" fontId="58" fillId="3" borderId="92" xfId="7" applyFont="1" applyFill="1" applyBorder="1" applyAlignment="1">
      <alignment vertical="center"/>
    </xf>
    <xf numFmtId="0" fontId="60" fillId="3" borderId="92" xfId="7" applyFont="1" applyFill="1" applyBorder="1" applyAlignment="1">
      <alignment vertical="center"/>
    </xf>
    <xf numFmtId="41" fontId="50" fillId="0" borderId="93" xfId="7" applyNumberFormat="1" applyFont="1" applyBorder="1" applyAlignment="1">
      <alignment vertical="center" wrapText="1"/>
    </xf>
    <xf numFmtId="0" fontId="50" fillId="0" borderId="92" xfId="7" applyFont="1" applyBorder="1" applyAlignment="1">
      <alignment horizontal="center" vertical="center"/>
    </xf>
    <xf numFmtId="0" fontId="50" fillId="0" borderId="93" xfId="7" applyFont="1" applyBorder="1" applyAlignment="1">
      <alignment horizontal="center" vertical="center"/>
    </xf>
    <xf numFmtId="0" fontId="50" fillId="0" borderId="94" xfId="7" applyFont="1" applyBorder="1" applyAlignment="1">
      <alignment horizontal="center" vertical="center"/>
    </xf>
    <xf numFmtId="0" fontId="60" fillId="3" borderId="70" xfId="7" applyFont="1" applyFill="1" applyBorder="1" applyAlignment="1">
      <alignment horizontal="center" vertical="center"/>
    </xf>
    <xf numFmtId="0" fontId="60" fillId="3" borderId="80" xfId="7" applyFont="1" applyFill="1" applyBorder="1" applyAlignment="1">
      <alignment horizontal="center" vertical="center"/>
    </xf>
    <xf numFmtId="41" fontId="50" fillId="3" borderId="76" xfId="7" applyNumberFormat="1" applyFont="1" applyFill="1" applyBorder="1" applyAlignment="1">
      <alignment vertical="center" wrapText="1"/>
    </xf>
    <xf numFmtId="0" fontId="50" fillId="3" borderId="78" xfId="7" applyFont="1" applyFill="1" applyBorder="1" applyAlignment="1">
      <alignment horizontal="center" vertical="center"/>
    </xf>
    <xf numFmtId="172" fontId="50" fillId="3" borderId="76" xfId="20" applyNumberFormat="1" applyFont="1" applyFill="1" applyBorder="1" applyAlignment="1">
      <alignment horizontal="center" vertical="center"/>
    </xf>
    <xf numFmtId="0" fontId="60" fillId="7" borderId="87" xfId="7" applyFont="1" applyFill="1" applyBorder="1" applyAlignment="1">
      <alignment horizontal="center" vertical="center"/>
    </xf>
    <xf numFmtId="169" fontId="56" fillId="7" borderId="88" xfId="20" applyNumberFormat="1" applyFont="1" applyFill="1" applyBorder="1" applyAlignment="1">
      <alignment vertical="center"/>
    </xf>
    <xf numFmtId="0" fontId="66" fillId="0" borderId="55" xfId="7" applyFont="1" applyBorder="1"/>
    <xf numFmtId="0" fontId="58" fillId="3" borderId="98" xfId="7" applyFont="1" applyFill="1" applyBorder="1" applyAlignment="1">
      <alignment horizontal="center" vertical="center"/>
    </xf>
    <xf numFmtId="0" fontId="58" fillId="3" borderId="84" xfId="7" applyFont="1" applyFill="1" applyBorder="1" applyAlignment="1">
      <alignment vertical="center"/>
    </xf>
    <xf numFmtId="41" fontId="50" fillId="3" borderId="99" xfId="7" applyNumberFormat="1" applyFont="1" applyFill="1" applyBorder="1" applyAlignment="1">
      <alignment vertical="center" wrapText="1"/>
    </xf>
    <xf numFmtId="0" fontId="61" fillId="3" borderId="84" xfId="7" applyFont="1" applyFill="1" applyBorder="1" applyAlignment="1">
      <alignment horizontal="center" vertical="center"/>
    </xf>
    <xf numFmtId="169" fontId="50" fillId="0" borderId="99" xfId="20" applyNumberFormat="1" applyFont="1" applyFill="1" applyBorder="1" applyAlignment="1">
      <alignment horizontal="center" vertical="center"/>
    </xf>
    <xf numFmtId="172" fontId="50" fillId="3" borderId="92" xfId="20" applyNumberFormat="1" applyFont="1" applyFill="1" applyBorder="1" applyAlignment="1">
      <alignment horizontal="center" vertical="center"/>
    </xf>
    <xf numFmtId="0" fontId="66" fillId="0" borderId="0" xfId="7" applyFont="1"/>
    <xf numFmtId="0" fontId="56" fillId="7" borderId="88" xfId="7" applyFont="1" applyFill="1" applyBorder="1" applyAlignment="1">
      <alignment vertical="center"/>
    </xf>
    <xf numFmtId="0" fontId="56" fillId="7" borderId="88" xfId="7" applyFont="1" applyFill="1" applyBorder="1" applyAlignment="1">
      <alignment horizontal="center" vertical="center"/>
    </xf>
    <xf numFmtId="172" fontId="50" fillId="7" borderId="102" xfId="7" applyNumberFormat="1" applyFont="1" applyFill="1" applyBorder="1" applyAlignment="1">
      <alignment horizontal="center" vertical="center"/>
    </xf>
    <xf numFmtId="172" fontId="50" fillId="7" borderId="88" xfId="7" applyNumberFormat="1" applyFont="1" applyFill="1" applyBorder="1" applyAlignment="1">
      <alignment horizontal="center" vertical="center"/>
    </xf>
    <xf numFmtId="0" fontId="50" fillId="0" borderId="103" xfId="7" applyFont="1" applyBorder="1" applyAlignment="1">
      <alignment horizontal="center" vertical="center"/>
    </xf>
    <xf numFmtId="0" fontId="56" fillId="3" borderId="104" xfId="7" applyFont="1" applyFill="1" applyBorder="1" applyAlignment="1">
      <alignment vertical="center"/>
    </xf>
    <xf numFmtId="41" fontId="50" fillId="0" borderId="105" xfId="7" applyNumberFormat="1" applyFont="1" applyBorder="1" applyAlignment="1">
      <alignment vertical="center" wrapText="1"/>
    </xf>
    <xf numFmtId="0" fontId="50" fillId="0" borderId="104" xfId="7" applyFont="1" applyBorder="1" applyAlignment="1">
      <alignment horizontal="center" vertical="center"/>
    </xf>
    <xf numFmtId="169" fontId="50" fillId="0" borderId="105" xfId="20" applyNumberFormat="1" applyFont="1" applyBorder="1" applyAlignment="1">
      <alignment horizontal="center" vertical="center"/>
    </xf>
    <xf numFmtId="169" fontId="50" fillId="0" borderId="106" xfId="20" applyNumberFormat="1" applyFont="1" applyBorder="1" applyAlignment="1">
      <alignment horizontal="center" vertical="center"/>
    </xf>
    <xf numFmtId="169" fontId="50" fillId="0" borderId="92" xfId="20" applyNumberFormat="1" applyFont="1" applyBorder="1" applyAlignment="1">
      <alignment horizontal="center" vertical="center"/>
    </xf>
    <xf numFmtId="169" fontId="50" fillId="0" borderId="104" xfId="20" applyNumberFormat="1" applyFont="1" applyBorder="1" applyAlignment="1">
      <alignment horizontal="center" vertical="center"/>
    </xf>
    <xf numFmtId="0" fontId="50" fillId="0" borderId="107" xfId="7" applyFont="1" applyBorder="1" applyAlignment="1">
      <alignment horizontal="center" vertical="center"/>
    </xf>
    <xf numFmtId="172" fontId="50" fillId="0" borderId="78" xfId="20" applyNumberFormat="1" applyFont="1" applyFill="1" applyBorder="1" applyAlignment="1">
      <alignment horizontal="center" vertical="center"/>
    </xf>
    <xf numFmtId="42" fontId="50" fillId="3" borderId="71" xfId="23" quotePrefix="1" applyNumberFormat="1" applyFont="1" applyFill="1" applyBorder="1" applyAlignment="1">
      <alignment horizontal="center" vertical="center"/>
    </xf>
    <xf numFmtId="169" fontId="50" fillId="0" borderId="108" xfId="20" applyNumberFormat="1" applyFont="1" applyFill="1" applyBorder="1" applyAlignment="1">
      <alignment horizontal="center" vertical="center"/>
    </xf>
    <xf numFmtId="172" fontId="50" fillId="0" borderId="109" xfId="7" applyNumberFormat="1" applyFont="1" applyBorder="1" applyAlignment="1">
      <alignment horizontal="center" vertical="center"/>
    </xf>
    <xf numFmtId="0" fontId="50" fillId="0" borderId="55" xfId="7" applyFont="1" applyBorder="1" applyAlignment="1">
      <alignment vertical="center"/>
    </xf>
    <xf numFmtId="0" fontId="56" fillId="14" borderId="110" xfId="7" applyFont="1" applyFill="1" applyBorder="1" applyAlignment="1">
      <alignment horizontal="center" vertical="center"/>
    </xf>
    <xf numFmtId="0" fontId="56" fillId="14" borderId="114" xfId="7" applyFont="1" applyFill="1" applyBorder="1" applyAlignment="1">
      <alignment horizontal="center" vertical="center"/>
    </xf>
    <xf numFmtId="169" fontId="56" fillId="14" borderId="114" xfId="7" applyNumberFormat="1" applyFont="1" applyFill="1" applyBorder="1" applyAlignment="1">
      <alignment vertical="center"/>
    </xf>
    <xf numFmtId="172" fontId="56" fillId="14" borderId="115" xfId="7" applyNumberFormat="1" applyFont="1" applyFill="1" applyBorder="1" applyAlignment="1">
      <alignment horizontal="center" vertical="center"/>
    </xf>
    <xf numFmtId="0" fontId="50" fillId="0" borderId="0" xfId="7" applyFont="1" applyAlignment="1">
      <alignment vertical="center"/>
    </xf>
    <xf numFmtId="0" fontId="5" fillId="0" borderId="116" xfId="7" applyBorder="1" applyAlignment="1">
      <alignment horizontal="center"/>
    </xf>
    <xf numFmtId="0" fontId="5" fillId="0" borderId="116" xfId="7" applyBorder="1"/>
    <xf numFmtId="0" fontId="5" fillId="0" borderId="116" xfId="7" applyBorder="1" applyAlignment="1">
      <alignment vertical="center" wrapText="1"/>
    </xf>
    <xf numFmtId="0" fontId="5" fillId="0" borderId="116" xfId="7" applyBorder="1" applyAlignment="1">
      <alignment horizontal="center" vertical="center"/>
    </xf>
    <xf numFmtId="169" fontId="14" fillId="0" borderId="116" xfId="19" applyNumberFormat="1" applyFill="1" applyBorder="1" applyAlignment="1">
      <alignment horizontal="center" vertical="center"/>
    </xf>
    <xf numFmtId="169" fontId="14" fillId="0" borderId="0" xfId="19" applyNumberFormat="1" applyFill="1" applyBorder="1" applyAlignment="1">
      <alignment horizontal="center" vertical="center"/>
    </xf>
    <xf numFmtId="10" fontId="14" fillId="0" borderId="0" xfId="19" applyNumberFormat="1" applyFill="1" applyBorder="1" applyAlignment="1">
      <alignment horizontal="center" vertical="center"/>
    </xf>
    <xf numFmtId="0" fontId="56" fillId="0" borderId="0" xfId="0" applyFont="1" applyAlignment="1">
      <alignment horizontal="center" vertical="center"/>
    </xf>
    <xf numFmtId="42" fontId="67" fillId="0" borderId="0" xfId="7" applyNumberFormat="1" applyFont="1" applyAlignment="1">
      <alignment horizontal="center" vertical="center"/>
    </xf>
    <xf numFmtId="42" fontId="67" fillId="0" borderId="0" xfId="7" applyNumberFormat="1" applyFont="1" applyAlignment="1">
      <alignment vertical="center"/>
    </xf>
    <xf numFmtId="42" fontId="50" fillId="0" borderId="0" xfId="19" applyNumberFormat="1" applyFont="1" applyFill="1" applyBorder="1" applyAlignment="1">
      <alignment horizontal="center" vertical="center"/>
    </xf>
    <xf numFmtId="0" fontId="68" fillId="0" borderId="0" xfId="7" applyFont="1" applyAlignment="1">
      <alignment horizontal="center" vertical="center" wrapText="1"/>
    </xf>
    <xf numFmtId="0" fontId="67" fillId="0" borderId="55" xfId="7" applyFont="1" applyBorder="1"/>
    <xf numFmtId="0" fontId="67" fillId="0" borderId="0" xfId="7" applyFont="1" applyAlignment="1">
      <alignment horizontal="center"/>
    </xf>
    <xf numFmtId="0" fontId="67" fillId="0" borderId="0" xfId="7" applyFont="1"/>
    <xf numFmtId="0" fontId="67" fillId="0" borderId="0" xfId="7" applyFont="1" applyAlignment="1">
      <alignment horizontal="center" vertical="center"/>
    </xf>
    <xf numFmtId="10" fontId="67" fillId="0" borderId="0" xfId="19" applyNumberFormat="1" applyFont="1" applyFill="1" applyBorder="1" applyAlignment="1">
      <alignment horizontal="center" vertical="center"/>
    </xf>
    <xf numFmtId="0" fontId="67" fillId="0" borderId="0" xfId="7" applyFont="1" applyAlignment="1">
      <alignment horizontal="center" vertical="center" wrapText="1"/>
    </xf>
    <xf numFmtId="172" fontId="67" fillId="0" borderId="0" xfId="7" applyNumberFormat="1" applyFont="1" applyAlignment="1">
      <alignment horizontal="center" vertical="center"/>
    </xf>
    <xf numFmtId="0" fontId="5" fillId="0" borderId="117" xfId="7" applyBorder="1"/>
    <xf numFmtId="42" fontId="5" fillId="0" borderId="0" xfId="7" applyNumberFormat="1" applyAlignment="1">
      <alignment vertical="center"/>
    </xf>
    <xf numFmtId="0" fontId="5" fillId="0" borderId="88" xfId="7" applyBorder="1" applyAlignment="1">
      <alignment horizontal="center" vertical="center"/>
    </xf>
    <xf numFmtId="169" fontId="45" fillId="0" borderId="18" xfId="20" applyNumberFormat="1" applyFont="1" applyFill="1" applyBorder="1" applyAlignment="1">
      <alignment horizontal="left" vertical="center"/>
    </xf>
    <xf numFmtId="169" fontId="45" fillId="0" borderId="18" xfId="20" applyNumberFormat="1" applyFont="1" applyFill="1" applyBorder="1" applyAlignment="1">
      <alignment horizontal="center" vertical="center"/>
    </xf>
    <xf numFmtId="169" fontId="45" fillId="0" borderId="27" xfId="20" applyNumberFormat="1" applyFont="1" applyFill="1" applyBorder="1" applyAlignment="1">
      <alignment vertical="center"/>
    </xf>
    <xf numFmtId="169" fontId="44" fillId="10" borderId="24" xfId="20" applyNumberFormat="1" applyFont="1" applyFill="1" applyBorder="1" applyAlignment="1">
      <alignment vertical="center"/>
    </xf>
    <xf numFmtId="169" fontId="45" fillId="10" borderId="24" xfId="20" applyNumberFormat="1" applyFont="1" applyFill="1" applyBorder="1" applyAlignment="1">
      <alignment vertical="center"/>
    </xf>
    <xf numFmtId="169" fontId="45" fillId="10" borderId="37" xfId="20" applyNumberFormat="1" applyFont="1" applyFill="1" applyBorder="1" applyAlignment="1">
      <alignment vertical="center"/>
    </xf>
    <xf numFmtId="169" fontId="45" fillId="10" borderId="38" xfId="20" applyNumberFormat="1" applyFont="1" applyFill="1" applyBorder="1" applyAlignment="1">
      <alignment vertical="center"/>
    </xf>
    <xf numFmtId="169" fontId="45" fillId="10" borderId="39" xfId="20" applyNumberFormat="1" applyFont="1" applyFill="1" applyBorder="1" applyAlignment="1">
      <alignment vertical="center"/>
    </xf>
    <xf numFmtId="169" fontId="44" fillId="0" borderId="25" xfId="20" applyNumberFormat="1" applyFont="1" applyFill="1" applyBorder="1" applyAlignment="1">
      <alignment horizontal="center" vertical="center"/>
    </xf>
    <xf numFmtId="169" fontId="45" fillId="15" borderId="120" xfId="20" applyNumberFormat="1" applyFont="1" applyFill="1" applyBorder="1" applyAlignment="1">
      <alignment horizontal="center" vertical="center"/>
    </xf>
    <xf numFmtId="169" fontId="45" fillId="14" borderId="121" xfId="20" applyNumberFormat="1" applyFont="1" applyFill="1" applyBorder="1" applyAlignment="1">
      <alignment horizontal="center" vertical="center"/>
    </xf>
    <xf numFmtId="169" fontId="45" fillId="0" borderId="122" xfId="20" applyNumberFormat="1" applyFont="1" applyFill="1" applyBorder="1" applyAlignment="1">
      <alignment horizontal="center" vertical="center"/>
    </xf>
    <xf numFmtId="169" fontId="44" fillId="0" borderId="122" xfId="20" applyNumberFormat="1" applyFont="1" applyFill="1" applyBorder="1" applyAlignment="1">
      <alignment horizontal="center" vertical="center"/>
    </xf>
    <xf numFmtId="169" fontId="44" fillId="0" borderId="123" xfId="20" applyNumberFormat="1" applyFont="1" applyFill="1" applyBorder="1" applyAlignment="1">
      <alignment horizontal="center" vertical="center"/>
    </xf>
    <xf numFmtId="169" fontId="44" fillId="0" borderId="124" xfId="20" applyNumberFormat="1" applyFont="1" applyFill="1" applyBorder="1" applyAlignment="1">
      <alignment horizontal="center" vertical="center"/>
    </xf>
    <xf numFmtId="169" fontId="45" fillId="14" borderId="122" xfId="20" applyNumberFormat="1" applyFont="1" applyFill="1" applyBorder="1" applyAlignment="1">
      <alignment horizontal="center" vertical="center"/>
    </xf>
    <xf numFmtId="169" fontId="44" fillId="0" borderId="119" xfId="20" applyNumberFormat="1" applyFont="1" applyFill="1" applyBorder="1" applyAlignment="1">
      <alignment horizontal="center" vertical="center"/>
    </xf>
    <xf numFmtId="169" fontId="44" fillId="0" borderId="120" xfId="20" applyNumberFormat="1" applyFont="1" applyFill="1" applyBorder="1" applyAlignment="1">
      <alignment horizontal="center" vertical="center"/>
    </xf>
    <xf numFmtId="169" fontId="45" fillId="15" borderId="121" xfId="20" applyNumberFormat="1" applyFont="1" applyFill="1" applyBorder="1" applyAlignment="1">
      <alignment horizontal="center" vertical="center"/>
    </xf>
    <xf numFmtId="169" fontId="45" fillId="14" borderId="119" xfId="20" applyNumberFormat="1" applyFont="1" applyFill="1" applyBorder="1" applyAlignment="1">
      <alignment horizontal="center" vertical="center"/>
    </xf>
    <xf numFmtId="169" fontId="45" fillId="0" borderId="119" xfId="20" applyNumberFormat="1" applyFont="1" applyFill="1" applyBorder="1" applyAlignment="1">
      <alignment horizontal="center" vertical="center"/>
    </xf>
    <xf numFmtId="169" fontId="45" fillId="0" borderId="119" xfId="20" applyNumberFormat="1" applyFont="1" applyFill="1" applyBorder="1" applyAlignment="1">
      <alignment horizontal="center" vertical="top"/>
    </xf>
    <xf numFmtId="169" fontId="44" fillId="0" borderId="119" xfId="20" applyNumberFormat="1" applyFont="1" applyFill="1" applyBorder="1" applyAlignment="1">
      <alignment horizontal="center" vertical="top"/>
    </xf>
    <xf numFmtId="169" fontId="44" fillId="10" borderId="121" xfId="20" applyNumberFormat="1" applyFont="1" applyFill="1" applyBorder="1" applyAlignment="1">
      <alignment horizontal="center" vertical="center"/>
    </xf>
    <xf numFmtId="172" fontId="57" fillId="0" borderId="88" xfId="7" applyNumberFormat="1" applyFont="1" applyBorder="1" applyAlignment="1">
      <alignment horizontal="center" vertical="center"/>
    </xf>
    <xf numFmtId="172" fontId="5" fillId="0" borderId="88" xfId="7" applyNumberFormat="1" applyBorder="1" applyAlignment="1">
      <alignment horizontal="center" vertical="center"/>
    </xf>
    <xf numFmtId="172" fontId="62" fillId="0" borderId="88" xfId="7" applyNumberFormat="1" applyFont="1" applyBorder="1" applyAlignment="1">
      <alignment horizontal="center" vertical="center"/>
    </xf>
    <xf numFmtId="172" fontId="65" fillId="0" borderId="88" xfId="7" applyNumberFormat="1" applyFont="1" applyBorder="1" applyAlignment="1">
      <alignment horizontal="center" vertical="center"/>
    </xf>
    <xf numFmtId="172" fontId="66" fillId="0" borderId="88" xfId="7" applyNumberFormat="1" applyFont="1" applyBorder="1" applyAlignment="1">
      <alignment horizontal="center" vertical="center"/>
    </xf>
    <xf numFmtId="172" fontId="50" fillId="0" borderId="88" xfId="7" applyNumberFormat="1" applyFont="1" applyBorder="1" applyAlignment="1">
      <alignment horizontal="center" vertical="center"/>
    </xf>
    <xf numFmtId="172" fontId="5" fillId="0" borderId="0" xfId="7" applyNumberFormat="1" applyAlignment="1">
      <alignment horizontal="center" vertical="center"/>
    </xf>
    <xf numFmtId="172" fontId="51" fillId="0" borderId="0" xfId="7" applyNumberFormat="1" applyFont="1" applyAlignment="1">
      <alignment horizontal="center" vertical="center"/>
    </xf>
    <xf numFmtId="172" fontId="50" fillId="7" borderId="107" xfId="7" applyNumberFormat="1" applyFont="1" applyFill="1" applyBorder="1" applyAlignment="1">
      <alignment horizontal="center" vertical="center"/>
    </xf>
    <xf numFmtId="0" fontId="58" fillId="9" borderId="91" xfId="7" applyFont="1" applyFill="1" applyBorder="1" applyAlignment="1">
      <alignment horizontal="center" vertical="center"/>
    </xf>
    <xf numFmtId="0" fontId="58" fillId="9" borderId="92" xfId="7" applyFont="1" applyFill="1" applyBorder="1" applyAlignment="1">
      <alignment vertical="center"/>
    </xf>
    <xf numFmtId="0" fontId="61" fillId="9" borderId="92" xfId="7" applyFont="1" applyFill="1" applyBorder="1" applyAlignment="1">
      <alignment vertical="center"/>
    </xf>
    <xf numFmtId="41" fontId="50" fillId="9" borderId="93" xfId="7" applyNumberFormat="1" applyFont="1" applyFill="1" applyBorder="1" applyAlignment="1">
      <alignment vertical="center" wrapText="1"/>
    </xf>
    <xf numFmtId="0" fontId="50" fillId="9" borderId="92" xfId="7" applyFont="1" applyFill="1" applyBorder="1" applyAlignment="1">
      <alignment horizontal="center" vertical="center"/>
    </xf>
    <xf numFmtId="169" fontId="50" fillId="9" borderId="93" xfId="20" applyNumberFormat="1" applyFont="1" applyFill="1" applyBorder="1" applyAlignment="1">
      <alignment horizontal="center" vertical="center"/>
    </xf>
    <xf numFmtId="169" fontId="50" fillId="9" borderId="94" xfId="20" applyNumberFormat="1" applyFont="1" applyFill="1" applyBorder="1" applyAlignment="1">
      <alignment horizontal="center" vertical="center"/>
    </xf>
    <xf numFmtId="0" fontId="50" fillId="9" borderId="79" xfId="7" applyFont="1" applyFill="1" applyBorder="1" applyAlignment="1">
      <alignment horizontal="center" vertical="center"/>
    </xf>
    <xf numFmtId="44" fontId="50" fillId="0" borderId="81" xfId="20" applyNumberFormat="1" applyFont="1" applyFill="1" applyBorder="1" applyAlignment="1">
      <alignment horizontal="center" vertical="center"/>
    </xf>
    <xf numFmtId="44" fontId="50" fillId="0" borderId="74" xfId="7" applyNumberFormat="1" applyFont="1" applyBorder="1" applyAlignment="1">
      <alignment horizontal="center" vertical="center"/>
    </xf>
    <xf numFmtId="44" fontId="50" fillId="0" borderId="72" xfId="20" applyNumberFormat="1" applyFont="1" applyFill="1" applyBorder="1" applyAlignment="1">
      <alignment horizontal="center" vertical="center"/>
    </xf>
    <xf numFmtId="0" fontId="58" fillId="0" borderId="83" xfId="7" applyFont="1" applyBorder="1" applyAlignment="1">
      <alignment horizontal="center" vertical="center"/>
    </xf>
    <xf numFmtId="0" fontId="58" fillId="0" borderId="2" xfId="7" applyFont="1" applyBorder="1" applyAlignment="1">
      <alignment vertical="center"/>
    </xf>
    <xf numFmtId="41" fontId="50" fillId="0" borderId="85" xfId="7" applyNumberFormat="1" applyFont="1" applyBorder="1" applyAlignment="1">
      <alignment vertical="center" wrapText="1"/>
    </xf>
    <xf numFmtId="0" fontId="50" fillId="0" borderId="2" xfId="7" applyFont="1" applyBorder="1" applyAlignment="1">
      <alignment horizontal="center" vertical="center"/>
    </xf>
    <xf numFmtId="169" fontId="50" fillId="0" borderId="85" xfId="20" applyNumberFormat="1" applyFont="1" applyFill="1" applyBorder="1" applyAlignment="1">
      <alignment horizontal="center" vertical="center"/>
    </xf>
    <xf numFmtId="169" fontId="50" fillId="0" borderId="0" xfId="20" applyNumberFormat="1" applyFont="1" applyFill="1" applyBorder="1" applyAlignment="1">
      <alignment horizontal="center" vertical="center"/>
    </xf>
    <xf numFmtId="0" fontId="50" fillId="0" borderId="62" xfId="7" applyFont="1" applyBorder="1" applyAlignment="1">
      <alignment horizontal="center" vertical="center"/>
    </xf>
    <xf numFmtId="0" fontId="50" fillId="0" borderId="71" xfId="7" quotePrefix="1" applyFont="1" applyBorder="1" applyAlignment="1">
      <alignment vertical="center"/>
    </xf>
    <xf numFmtId="169" fontId="56" fillId="7" borderId="102" xfId="20" applyNumberFormat="1" applyFont="1" applyFill="1" applyBorder="1" applyAlignment="1">
      <alignment vertical="center"/>
    </xf>
    <xf numFmtId="0" fontId="71" fillId="0" borderId="0" xfId="7" applyFont="1"/>
    <xf numFmtId="0" fontId="71" fillId="0" borderId="0" xfId="7" applyFont="1" applyAlignment="1">
      <alignment vertical="center" wrapText="1"/>
    </xf>
    <xf numFmtId="0" fontId="44" fillId="0" borderId="0" xfId="0" applyFont="1"/>
    <xf numFmtId="0" fontId="44" fillId="0" borderId="0" xfId="0" applyFont="1" applyAlignment="1">
      <alignment horizontal="center" vertical="center"/>
    </xf>
    <xf numFmtId="165" fontId="44" fillId="0" borderId="0" xfId="20" applyFont="1"/>
    <xf numFmtId="0" fontId="45" fillId="0" borderId="0" xfId="0" applyFont="1" applyAlignment="1">
      <alignment horizontal="center" vertical="center"/>
    </xf>
    <xf numFmtId="165" fontId="45" fillId="0" borderId="0" xfId="20" applyFont="1" applyAlignment="1">
      <alignment horizontal="center" vertical="center"/>
    </xf>
    <xf numFmtId="0" fontId="45" fillId="0" borderId="136" xfId="0" applyFont="1" applyBorder="1" applyAlignment="1">
      <alignment horizontal="center"/>
    </xf>
    <xf numFmtId="165" fontId="44" fillId="0" borderId="0" xfId="20" applyFont="1" applyAlignment="1">
      <alignment horizontal="center" vertical="center"/>
    </xf>
    <xf numFmtId="0" fontId="44" fillId="0" borderId="132" xfId="0" applyFont="1" applyBorder="1"/>
    <xf numFmtId="0" fontId="44" fillId="0" borderId="133" xfId="0" applyFont="1" applyBorder="1"/>
    <xf numFmtId="0" fontId="44" fillId="0" borderId="133" xfId="0" applyFont="1" applyBorder="1" applyAlignment="1">
      <alignment horizontal="center" vertical="center"/>
    </xf>
    <xf numFmtId="165" fontId="44" fillId="0" borderId="133" xfId="20" applyFont="1" applyBorder="1"/>
    <xf numFmtId="165" fontId="44" fillId="0" borderId="134" xfId="20" applyFont="1" applyBorder="1"/>
    <xf numFmtId="0" fontId="45" fillId="0" borderId="129" xfId="0" applyFont="1" applyBorder="1" applyAlignment="1">
      <alignment horizontal="center"/>
    </xf>
    <xf numFmtId="0" fontId="45" fillId="0" borderId="130" xfId="0" applyFont="1" applyBorder="1"/>
    <xf numFmtId="0" fontId="45" fillId="0" borderId="130" xfId="0" applyFont="1" applyBorder="1" applyAlignment="1">
      <alignment horizontal="center" vertical="center"/>
    </xf>
    <xf numFmtId="165" fontId="45" fillId="0" borderId="130" xfId="20" applyFont="1" applyBorder="1"/>
    <xf numFmtId="165" fontId="45" fillId="0" borderId="131" xfId="20" applyFont="1" applyBorder="1"/>
    <xf numFmtId="0" fontId="45" fillId="0" borderId="0" xfId="0" applyFont="1"/>
    <xf numFmtId="0" fontId="44" fillId="0" borderId="0" xfId="0" applyFont="1" applyAlignment="1">
      <alignment horizontal="left" vertical="center"/>
    </xf>
    <xf numFmtId="165" fontId="45" fillId="0" borderId="0" xfId="20" applyFont="1"/>
    <xf numFmtId="0" fontId="44" fillId="0" borderId="129" xfId="0" applyFont="1" applyBorder="1" applyAlignment="1">
      <alignment horizontal="center"/>
    </xf>
    <xf numFmtId="0" fontId="44" fillId="0" borderId="130" xfId="0" applyFont="1" applyBorder="1"/>
    <xf numFmtId="0" fontId="44" fillId="0" borderId="130" xfId="0" applyFont="1" applyBorder="1" applyAlignment="1">
      <alignment horizontal="center" vertical="center"/>
    </xf>
    <xf numFmtId="165" fontId="44" fillId="0" borderId="130" xfId="20" applyFont="1" applyBorder="1"/>
    <xf numFmtId="165" fontId="44" fillId="0" borderId="131" xfId="20" applyFont="1" applyBorder="1"/>
    <xf numFmtId="165" fontId="45" fillId="0" borderId="130" xfId="20" applyFont="1" applyBorder="1" applyAlignment="1">
      <alignment horizontal="center" vertical="center"/>
    </xf>
    <xf numFmtId="165" fontId="44" fillId="0" borderId="130" xfId="20" applyFont="1" applyBorder="1" applyAlignment="1">
      <alignment horizontal="center" vertical="center"/>
    </xf>
    <xf numFmtId="0" fontId="45" fillId="0" borderId="129" xfId="0" applyFont="1" applyBorder="1"/>
    <xf numFmtId="0" fontId="44" fillId="0" borderId="141" xfId="0" applyFont="1" applyBorder="1"/>
    <xf numFmtId="0" fontId="44" fillId="0" borderId="142" xfId="0" applyFont="1" applyBorder="1"/>
    <xf numFmtId="0" fontId="44" fillId="0" borderId="142" xfId="0" applyFont="1" applyBorder="1" applyAlignment="1">
      <alignment horizontal="center" vertical="center"/>
    </xf>
    <xf numFmtId="165" fontId="44" fillId="0" borderId="142" xfId="20" applyFont="1" applyBorder="1"/>
    <xf numFmtId="165" fontId="44" fillId="0" borderId="143" xfId="20" applyFont="1" applyBorder="1"/>
    <xf numFmtId="0" fontId="44" fillId="0" borderId="144" xfId="0" applyFont="1" applyBorder="1"/>
    <xf numFmtId="0" fontId="44" fillId="0" borderId="145" xfId="0" applyFont="1" applyBorder="1"/>
    <xf numFmtId="0" fontId="44" fillId="0" borderId="145" xfId="0" applyFont="1" applyBorder="1" applyAlignment="1">
      <alignment horizontal="center" vertical="center"/>
    </xf>
    <xf numFmtId="165" fontId="44" fillId="0" borderId="145" xfId="20" applyFont="1" applyBorder="1"/>
    <xf numFmtId="165" fontId="44" fillId="0" borderId="146" xfId="20" applyFont="1" applyBorder="1"/>
    <xf numFmtId="0" fontId="44" fillId="0" borderId="147" xfId="0" applyFont="1" applyBorder="1"/>
    <xf numFmtId="0" fontId="44" fillId="0" borderId="148" xfId="0" applyFont="1" applyBorder="1"/>
    <xf numFmtId="0" fontId="44" fillId="0" borderId="148" xfId="0" applyFont="1" applyBorder="1" applyAlignment="1">
      <alignment horizontal="center" vertical="center"/>
    </xf>
    <xf numFmtId="165" fontId="44" fillId="0" borderId="148" xfId="20" applyFont="1" applyBorder="1"/>
    <xf numFmtId="165" fontId="45" fillId="0" borderId="149" xfId="20" applyFont="1" applyBorder="1"/>
    <xf numFmtId="0" fontId="45" fillId="0" borderId="136" xfId="0" applyFont="1" applyBorder="1" applyAlignment="1">
      <alignment horizontal="center" vertical="center" wrapText="1"/>
    </xf>
    <xf numFmtId="0" fontId="72" fillId="0" borderId="130" xfId="0" applyFont="1" applyBorder="1" applyAlignment="1">
      <alignment horizontal="center" vertical="center"/>
    </xf>
    <xf numFmtId="0" fontId="72" fillId="0" borderId="130" xfId="0" applyFont="1" applyBorder="1"/>
    <xf numFmtId="169" fontId="45" fillId="18" borderId="40" xfId="20" applyNumberFormat="1" applyFont="1" applyFill="1" applyBorder="1" applyAlignment="1">
      <alignment horizontal="center" vertical="center"/>
    </xf>
    <xf numFmtId="169" fontId="45" fillId="18" borderId="41" xfId="20" applyNumberFormat="1" applyFont="1" applyFill="1" applyBorder="1" applyAlignment="1">
      <alignment horizontal="center" vertical="center"/>
    </xf>
    <xf numFmtId="169" fontId="45" fillId="18" borderId="42" xfId="20" applyNumberFormat="1" applyFont="1" applyFill="1" applyBorder="1" applyAlignment="1">
      <alignment horizontal="center" vertical="center"/>
    </xf>
    <xf numFmtId="169" fontId="45" fillId="18" borderId="150" xfId="20" applyNumberFormat="1" applyFont="1" applyFill="1" applyBorder="1" applyAlignment="1">
      <alignment horizontal="center" vertical="center"/>
    </xf>
    <xf numFmtId="169" fontId="45" fillId="18" borderId="151" xfId="20" applyNumberFormat="1" applyFont="1" applyFill="1" applyBorder="1" applyAlignment="1">
      <alignment horizontal="center" vertical="center"/>
    </xf>
    <xf numFmtId="169" fontId="45" fillId="0" borderId="27" xfId="20" applyNumberFormat="1" applyFont="1" applyFill="1" applyBorder="1" applyAlignment="1">
      <alignment horizontal="left" vertical="center"/>
    </xf>
    <xf numFmtId="0" fontId="73" fillId="0" borderId="0" xfId="27" applyFont="1"/>
    <xf numFmtId="0" fontId="73" fillId="0" borderId="0" xfId="27" applyFont="1" applyAlignment="1">
      <alignment horizontal="center" vertical="center"/>
    </xf>
    <xf numFmtId="0" fontId="73" fillId="0" borderId="0" xfId="27" applyFont="1" applyAlignment="1">
      <alignment horizontal="center"/>
    </xf>
    <xf numFmtId="169" fontId="73" fillId="0" borderId="0" xfId="29" applyNumberFormat="1" applyFont="1"/>
    <xf numFmtId="0" fontId="73" fillId="0" borderId="0" xfId="27" applyFont="1" applyAlignment="1">
      <alignment horizontal="left" vertical="center"/>
    </xf>
    <xf numFmtId="0" fontId="76" fillId="0" borderId="0" xfId="27" applyFont="1" applyAlignment="1">
      <alignment horizontal="center" vertical="center"/>
    </xf>
    <xf numFmtId="0" fontId="73" fillId="12" borderId="0" xfId="27" applyFont="1" applyFill="1"/>
    <xf numFmtId="0" fontId="77" fillId="0" borderId="88" xfId="27" applyFont="1" applyBorder="1" applyAlignment="1">
      <alignment vertical="top" wrapText="1"/>
    </xf>
    <xf numFmtId="164" fontId="66" fillId="0" borderId="88" xfId="31" applyFont="1" applyFill="1" applyBorder="1" applyAlignment="1"/>
    <xf numFmtId="0" fontId="75" fillId="0" borderId="0" xfId="28" applyFont="1" applyAlignment="1">
      <alignment horizontal="left" vertical="center" wrapText="1"/>
    </xf>
    <xf numFmtId="0" fontId="77" fillId="0" borderId="164" xfId="27" applyFont="1" applyBorder="1" applyAlignment="1">
      <alignment horizontal="center" vertical="center"/>
    </xf>
    <xf numFmtId="0" fontId="78" fillId="0" borderId="171" xfId="30" applyFont="1" applyBorder="1" applyAlignment="1">
      <alignment horizontal="center" vertical="center"/>
    </xf>
    <xf numFmtId="0" fontId="78" fillId="0" borderId="171" xfId="30" applyFont="1" applyBorder="1" applyAlignment="1">
      <alignment horizontal="left" vertical="center" wrapText="1"/>
    </xf>
    <xf numFmtId="0" fontId="77" fillId="0" borderId="171" xfId="27" applyFont="1" applyBorder="1" applyAlignment="1">
      <alignment horizontal="center" vertical="center"/>
    </xf>
    <xf numFmtId="0" fontId="73" fillId="0" borderId="171" xfId="27" applyFont="1" applyBorder="1" applyAlignment="1">
      <alignment horizontal="center" vertical="top"/>
    </xf>
    <xf numFmtId="0" fontId="73" fillId="0" borderId="171" xfId="27" applyFont="1" applyBorder="1" applyAlignment="1">
      <alignment horizontal="center" vertical="top" wrapText="1"/>
    </xf>
    <xf numFmtId="164" fontId="66" fillId="0" borderId="171" xfId="31" applyFont="1" applyFill="1" applyBorder="1" applyAlignment="1"/>
    <xf numFmtId="164" fontId="66" fillId="0" borderId="171" xfId="31" applyFont="1" applyFill="1" applyBorder="1" applyAlignment="1">
      <alignment horizontal="center"/>
    </xf>
    <xf numFmtId="0" fontId="65" fillId="0" borderId="171" xfId="30" applyFont="1" applyBorder="1" applyAlignment="1">
      <alignment horizontal="right" vertical="center"/>
    </xf>
    <xf numFmtId="0" fontId="65" fillId="0" borderId="171" xfId="30" applyFont="1" applyBorder="1" applyAlignment="1">
      <alignment horizontal="left" vertical="center" wrapText="1"/>
    </xf>
    <xf numFmtId="0" fontId="73" fillId="0" borderId="171" xfId="27" applyFont="1" applyBorder="1" applyAlignment="1">
      <alignment horizontal="center" vertical="center"/>
    </xf>
    <xf numFmtId="0" fontId="73" fillId="0" borderId="171" xfId="27" quotePrefix="1" applyFont="1" applyBorder="1" applyAlignment="1">
      <alignment horizontal="center" vertical="center"/>
    </xf>
    <xf numFmtId="0" fontId="77" fillId="0" borderId="171" xfId="27" applyFont="1" applyBorder="1" applyAlignment="1">
      <alignment vertical="top" wrapText="1"/>
    </xf>
    <xf numFmtId="164" fontId="79" fillId="0" borderId="171" xfId="31" applyFont="1" applyFill="1" applyBorder="1" applyAlignment="1">
      <alignment horizontal="center"/>
    </xf>
    <xf numFmtId="0" fontId="73" fillId="0" borderId="171" xfId="27" applyFont="1" applyBorder="1" applyAlignment="1">
      <alignment horizontal="left" vertical="top" wrapText="1"/>
    </xf>
    <xf numFmtId="0" fontId="73" fillId="0" borderId="171" xfId="7" applyFont="1" applyBorder="1" applyAlignment="1">
      <alignment horizontal="center" vertical="top"/>
    </xf>
    <xf numFmtId="0" fontId="73" fillId="0" borderId="171" xfId="7" applyFont="1" applyBorder="1" applyAlignment="1">
      <alignment horizontal="center" vertical="top" wrapText="1"/>
    </xf>
    <xf numFmtId="0" fontId="73" fillId="0" borderId="171" xfId="27" applyFont="1" applyBorder="1" applyAlignment="1">
      <alignment vertical="top" wrapText="1"/>
    </xf>
    <xf numFmtId="0" fontId="73" fillId="0" borderId="173" xfId="27" quotePrefix="1" applyFont="1" applyBorder="1" applyAlignment="1">
      <alignment horizontal="center" vertical="center"/>
    </xf>
    <xf numFmtId="0" fontId="73" fillId="0" borderId="173" xfId="27" applyFont="1" applyBorder="1" applyAlignment="1">
      <alignment vertical="top" wrapText="1"/>
    </xf>
    <xf numFmtId="0" fontId="73" fillId="0" borderId="173" xfId="27" applyFont="1" applyBorder="1" applyAlignment="1">
      <alignment horizontal="center" vertical="center"/>
    </xf>
    <xf numFmtId="0" fontId="73" fillId="0" borderId="173" xfId="27" applyFont="1" applyBorder="1" applyAlignment="1">
      <alignment horizontal="center" vertical="top"/>
    </xf>
    <xf numFmtId="0" fontId="73" fillId="0" borderId="173" xfId="27" applyFont="1" applyBorder="1" applyAlignment="1">
      <alignment horizontal="center" vertical="top" wrapText="1"/>
    </xf>
    <xf numFmtId="164" fontId="66" fillId="0" borderId="173" xfId="31" applyFont="1" applyFill="1" applyBorder="1" applyAlignment="1"/>
    <xf numFmtId="164" fontId="66" fillId="0" borderId="173" xfId="31" applyFont="1" applyFill="1" applyBorder="1" applyAlignment="1">
      <alignment horizontal="center"/>
    </xf>
    <xf numFmtId="0" fontId="78" fillId="0" borderId="174" xfId="30" applyFont="1" applyBorder="1" applyAlignment="1">
      <alignment horizontal="center" vertical="center"/>
    </xf>
    <xf numFmtId="0" fontId="78" fillId="0" borderId="174" xfId="30" applyFont="1" applyBorder="1" applyAlignment="1">
      <alignment horizontal="left" vertical="center" wrapText="1"/>
    </xf>
    <xf numFmtId="0" fontId="77" fillId="0" borderId="174" xfId="27" applyFont="1" applyBorder="1" applyAlignment="1">
      <alignment horizontal="center" vertical="center"/>
    </xf>
    <xf numFmtId="0" fontId="73" fillId="0" borderId="174" xfId="27" applyFont="1" applyBorder="1" applyAlignment="1">
      <alignment horizontal="center" vertical="top"/>
    </xf>
    <xf numFmtId="0" fontId="73" fillId="0" borderId="174" xfId="27" applyFont="1" applyBorder="1" applyAlignment="1">
      <alignment horizontal="center" vertical="top" wrapText="1"/>
    </xf>
    <xf numFmtId="164" fontId="66" fillId="0" borderId="174" xfId="31" applyFont="1" applyFill="1" applyBorder="1" applyAlignment="1"/>
    <xf numFmtId="164" fontId="66" fillId="0" borderId="174" xfId="31" applyFont="1" applyFill="1" applyBorder="1" applyAlignment="1">
      <alignment horizontal="center"/>
    </xf>
    <xf numFmtId="164" fontId="77" fillId="0" borderId="172" xfId="31" applyFont="1" applyFill="1" applyBorder="1" applyAlignment="1">
      <alignment vertical="center"/>
    </xf>
    <xf numFmtId="0" fontId="77" fillId="0" borderId="0" xfId="27" applyFont="1" applyAlignment="1">
      <alignment horizontal="center" vertical="center"/>
    </xf>
    <xf numFmtId="0" fontId="73" fillId="0" borderId="5" xfId="27" applyFont="1" applyBorder="1" applyAlignment="1">
      <alignment horizontal="center" vertical="center"/>
    </xf>
    <xf numFmtId="0" fontId="73" fillId="0" borderId="5" xfId="27" applyFont="1" applyBorder="1"/>
    <xf numFmtId="0" fontId="80" fillId="0" borderId="166" xfId="28" applyFont="1" applyBorder="1" applyAlignment="1">
      <alignment horizontal="left" vertical="top"/>
    </xf>
    <xf numFmtId="0" fontId="73" fillId="0" borderId="168" xfId="27" applyFont="1" applyBorder="1" applyAlignment="1">
      <alignment horizontal="left" vertical="center"/>
    </xf>
    <xf numFmtId="1" fontId="77" fillId="0" borderId="64" xfId="27" applyNumberFormat="1" applyFont="1" applyBorder="1" applyAlignment="1">
      <alignment horizontal="center" vertical="center"/>
    </xf>
    <xf numFmtId="0" fontId="73" fillId="0" borderId="64" xfId="27" applyFont="1" applyBorder="1" applyAlignment="1">
      <alignment horizontal="center" vertical="center"/>
    </xf>
    <xf numFmtId="0" fontId="73" fillId="0" borderId="178" xfId="27" applyFont="1" applyBorder="1"/>
    <xf numFmtId="0" fontId="73" fillId="0" borderId="189" xfId="27" applyFont="1" applyBorder="1"/>
    <xf numFmtId="0" fontId="73" fillId="0" borderId="190" xfId="27" applyFont="1" applyBorder="1"/>
    <xf numFmtId="0" fontId="73" fillId="0" borderId="64" xfId="27" applyFont="1" applyBorder="1" applyAlignment="1">
      <alignment horizontal="center"/>
    </xf>
    <xf numFmtId="169" fontId="73" fillId="0" borderId="64" xfId="29" applyNumberFormat="1" applyFont="1" applyBorder="1"/>
    <xf numFmtId="0" fontId="73" fillId="0" borderId="64" xfId="27" applyFont="1" applyBorder="1"/>
    <xf numFmtId="1" fontId="77" fillId="0" borderId="5" xfId="27" applyNumberFormat="1" applyFont="1" applyBorder="1" applyAlignment="1">
      <alignment horizontal="center" vertical="center"/>
    </xf>
    <xf numFmtId="0" fontId="73" fillId="0" borderId="167" xfId="27" applyFont="1" applyBorder="1"/>
    <xf numFmtId="0" fontId="73" fillId="0" borderId="168" xfId="27" applyFont="1" applyBorder="1"/>
    <xf numFmtId="0" fontId="73" fillId="0" borderId="166" xfId="27" applyFont="1" applyBorder="1"/>
    <xf numFmtId="0" fontId="73" fillId="0" borderId="5" xfId="27" applyFont="1" applyBorder="1" applyAlignment="1">
      <alignment horizontal="center"/>
    </xf>
    <xf numFmtId="169" fontId="73" fillId="0" borderId="5" xfId="29" applyNumberFormat="1" applyFont="1" applyBorder="1"/>
    <xf numFmtId="174" fontId="82" fillId="0" borderId="5" xfId="12" applyNumberFormat="1" applyFont="1" applyBorder="1" applyAlignment="1">
      <alignment horizontal="center" vertical="center"/>
    </xf>
    <xf numFmtId="0" fontId="77" fillId="12" borderId="83" xfId="27" applyFont="1" applyFill="1" applyBorder="1" applyAlignment="1">
      <alignment horizontal="center" vertical="center"/>
    </xf>
    <xf numFmtId="0" fontId="77" fillId="12" borderId="2" xfId="27" applyFont="1" applyFill="1" applyBorder="1"/>
    <xf numFmtId="0" fontId="73" fillId="12" borderId="2" xfId="27" applyFont="1" applyFill="1" applyBorder="1" applyAlignment="1">
      <alignment horizontal="center"/>
    </xf>
    <xf numFmtId="1" fontId="80" fillId="12" borderId="2" xfId="12" applyNumberFormat="1" applyFont="1" applyFill="1" applyBorder="1" applyAlignment="1">
      <alignment horizontal="center" vertical="center"/>
    </xf>
    <xf numFmtId="0" fontId="73" fillId="12" borderId="2" xfId="27" applyFont="1" applyFill="1" applyBorder="1" applyAlignment="1">
      <alignment horizontal="center" vertical="center"/>
    </xf>
    <xf numFmtId="0" fontId="77" fillId="12" borderId="49" xfId="27" applyFont="1" applyFill="1" applyBorder="1"/>
    <xf numFmtId="0" fontId="77" fillId="12" borderId="85" xfId="27" applyFont="1" applyFill="1" applyBorder="1"/>
    <xf numFmtId="0" fontId="77" fillId="12" borderId="0" xfId="27" applyFont="1" applyFill="1"/>
    <xf numFmtId="0" fontId="77" fillId="12" borderId="2" xfId="27" applyFont="1" applyFill="1" applyBorder="1" applyAlignment="1">
      <alignment horizontal="center"/>
    </xf>
    <xf numFmtId="169" fontId="77" fillId="12" borderId="2" xfId="29" applyNumberFormat="1" applyFont="1" applyFill="1" applyBorder="1"/>
    <xf numFmtId="1" fontId="77" fillId="0" borderId="5" xfId="12" applyNumberFormat="1" applyFont="1" applyBorder="1" applyAlignment="1">
      <alignment horizontal="center" vertical="center"/>
    </xf>
    <xf numFmtId="0" fontId="77" fillId="0" borderId="185" xfId="27" applyFont="1" applyBorder="1" applyAlignment="1">
      <alignment horizontal="center" vertical="center"/>
    </xf>
    <xf numFmtId="0" fontId="73" fillId="0" borderId="9" xfId="27" applyFont="1" applyBorder="1" applyAlignment="1">
      <alignment horizontal="left" vertical="center" wrapText="1"/>
    </xf>
    <xf numFmtId="0" fontId="73" fillId="0" borderId="9" xfId="27" applyFont="1" applyBorder="1" applyAlignment="1">
      <alignment horizontal="center"/>
    </xf>
    <xf numFmtId="169" fontId="73" fillId="0" borderId="9" xfId="12" applyNumberFormat="1" applyFont="1" applyFill="1" applyBorder="1" applyAlignment="1">
      <alignment horizontal="center" vertical="center"/>
    </xf>
    <xf numFmtId="0" fontId="73" fillId="0" borderId="9" xfId="27" applyFont="1" applyBorder="1" applyAlignment="1">
      <alignment horizontal="center" vertical="center"/>
    </xf>
    <xf numFmtId="0" fontId="73" fillId="0" borderId="186" xfId="27" applyFont="1" applyBorder="1"/>
    <xf numFmtId="0" fontId="73" fillId="0" borderId="169" xfId="27" applyFont="1" applyBorder="1"/>
    <xf numFmtId="0" fontId="73" fillId="0" borderId="170" xfId="27" applyFont="1" applyBorder="1"/>
    <xf numFmtId="169" fontId="73" fillId="0" borderId="9" xfId="29" applyNumberFormat="1" applyFont="1" applyFill="1" applyBorder="1"/>
    <xf numFmtId="169" fontId="73" fillId="0" borderId="9" xfId="29" applyNumberFormat="1" applyFont="1" applyFill="1" applyBorder="1" applyAlignment="1">
      <alignment horizontal="center" vertical="center"/>
    </xf>
    <xf numFmtId="0" fontId="73" fillId="0" borderId="9" xfId="27" applyFont="1" applyBorder="1"/>
    <xf numFmtId="0" fontId="73" fillId="0" borderId="63" xfId="27" applyFont="1" applyBorder="1" applyAlignment="1">
      <alignment horizontal="center" vertical="center"/>
    </xf>
    <xf numFmtId="1" fontId="73" fillId="0" borderId="5" xfId="27" applyNumberFormat="1" applyFont="1" applyBorder="1" applyAlignment="1">
      <alignment horizontal="center" vertical="center"/>
    </xf>
    <xf numFmtId="0" fontId="77" fillId="0" borderId="192" xfId="27" applyFont="1" applyBorder="1" applyAlignment="1">
      <alignment horizontal="center" vertical="center"/>
    </xf>
    <xf numFmtId="0" fontId="77" fillId="0" borderId="193" xfId="27" applyFont="1" applyBorder="1" applyAlignment="1">
      <alignment horizontal="center" vertical="center"/>
    </xf>
    <xf numFmtId="1" fontId="77" fillId="0" borderId="193" xfId="27" applyNumberFormat="1" applyFont="1" applyBorder="1" applyAlignment="1">
      <alignment horizontal="center" vertical="center"/>
    </xf>
    <xf numFmtId="1" fontId="73" fillId="0" borderId="193" xfId="27" applyNumberFormat="1" applyFont="1" applyBorder="1" applyAlignment="1">
      <alignment horizontal="center" vertical="center"/>
    </xf>
    <xf numFmtId="0" fontId="77" fillId="0" borderId="180" xfId="27" applyFont="1" applyBorder="1" applyAlignment="1">
      <alignment horizontal="center" vertical="center"/>
    </xf>
    <xf numFmtId="0" fontId="77" fillId="0" borderId="179" xfId="27" applyFont="1" applyBorder="1" applyAlignment="1">
      <alignment horizontal="center" vertical="center"/>
    </xf>
    <xf numFmtId="169" fontId="77" fillId="0" borderId="193" xfId="29" applyNumberFormat="1" applyFont="1" applyFill="1" applyBorder="1" applyAlignment="1">
      <alignment horizontal="center" vertical="center"/>
    </xf>
    <xf numFmtId="165" fontId="0" fillId="0" borderId="0" xfId="20" applyFont="1"/>
    <xf numFmtId="165" fontId="77" fillId="0" borderId="0" xfId="20" applyFont="1" applyAlignment="1">
      <alignment horizontal="center" vertical="center"/>
    </xf>
    <xf numFmtId="165" fontId="73" fillId="0" borderId="0" xfId="20" applyFont="1"/>
    <xf numFmtId="165" fontId="77" fillId="0" borderId="65" xfId="20" applyFont="1" applyBorder="1"/>
    <xf numFmtId="165" fontId="77" fillId="0" borderId="191" xfId="20" applyFont="1" applyBorder="1"/>
    <xf numFmtId="165" fontId="77" fillId="12" borderId="62" xfId="20" applyFont="1" applyFill="1" applyBorder="1"/>
    <xf numFmtId="165" fontId="77" fillId="0" borderId="187" xfId="20" applyFont="1" applyFill="1" applyBorder="1" applyAlignment="1">
      <alignment horizontal="center" vertical="center"/>
    </xf>
    <xf numFmtId="165" fontId="73" fillId="0" borderId="191" xfId="20" applyFont="1" applyBorder="1"/>
    <xf numFmtId="169" fontId="80" fillId="0" borderId="0" xfId="12" applyNumberFormat="1" applyFont="1" applyAlignment="1">
      <alignment horizontal="center" vertical="center"/>
    </xf>
    <xf numFmtId="0" fontId="76" fillId="0" borderId="0" xfId="27" applyFont="1" applyAlignment="1">
      <alignment vertical="center"/>
    </xf>
    <xf numFmtId="0" fontId="77" fillId="0" borderId="87" xfId="27" quotePrefix="1" applyFont="1" applyBorder="1" applyAlignment="1">
      <alignment horizontal="center" vertical="center"/>
    </xf>
    <xf numFmtId="0" fontId="77" fillId="0" borderId="102" xfId="27" applyFont="1" applyBorder="1" applyAlignment="1">
      <alignment horizontal="center" vertical="center"/>
    </xf>
    <xf numFmtId="0" fontId="77" fillId="0" borderId="88" xfId="27" applyFont="1" applyBorder="1" applyAlignment="1">
      <alignment horizontal="center" vertical="center"/>
    </xf>
    <xf numFmtId="0" fontId="77" fillId="0" borderId="102" xfId="27" applyFont="1" applyBorder="1" applyAlignment="1">
      <alignment horizontal="center" vertical="top" wrapText="1"/>
    </xf>
    <xf numFmtId="0" fontId="77" fillId="0" borderId="159" xfId="27" applyFont="1" applyBorder="1" applyAlignment="1">
      <alignment horizontal="center" vertical="top" wrapText="1"/>
    </xf>
    <xf numFmtId="0" fontId="77" fillId="0" borderId="89" xfId="27" applyFont="1" applyBorder="1" applyAlignment="1">
      <alignment horizontal="center" vertical="top" wrapText="1"/>
    </xf>
    <xf numFmtId="0" fontId="77" fillId="0" borderId="89" xfId="27" applyFont="1" applyBorder="1" applyAlignment="1">
      <alignment horizontal="left" vertical="top" wrapText="1"/>
    </xf>
    <xf numFmtId="2" fontId="77" fillId="0" borderId="102" xfId="27" applyNumberFormat="1" applyFont="1" applyBorder="1" applyAlignment="1">
      <alignment horizontal="center" vertical="center"/>
    </xf>
    <xf numFmtId="0" fontId="77" fillId="0" borderId="163" xfId="27" applyFont="1" applyBorder="1" applyAlignment="1">
      <alignment vertical="center"/>
    </xf>
    <xf numFmtId="0" fontId="77" fillId="0" borderId="164" xfId="27" applyFont="1" applyBorder="1" applyAlignment="1">
      <alignment vertical="center"/>
    </xf>
    <xf numFmtId="0" fontId="77" fillId="0" borderId="117" xfId="27" applyFont="1" applyBorder="1" applyAlignment="1">
      <alignment vertical="center"/>
    </xf>
    <xf numFmtId="0" fontId="77" fillId="0" borderId="153" xfId="27" applyFont="1" applyBorder="1" applyAlignment="1">
      <alignment vertical="center"/>
    </xf>
    <xf numFmtId="0" fontId="77" fillId="0" borderId="163" xfId="27" applyFont="1" applyBorder="1" applyAlignment="1">
      <alignment horizontal="left" vertical="center" indent="3"/>
    </xf>
    <xf numFmtId="0" fontId="77" fillId="0" borderId="117" xfId="27" applyFont="1" applyBorder="1" applyAlignment="1">
      <alignment horizontal="left" vertical="center" indent="3"/>
    </xf>
    <xf numFmtId="0" fontId="66" fillId="0" borderId="199" xfId="28" applyFont="1" applyBorder="1" applyAlignment="1">
      <alignment horizontal="center" vertical="center"/>
    </xf>
    <xf numFmtId="0" fontId="66" fillId="0" borderId="200" xfId="28" applyFont="1" applyBorder="1"/>
    <xf numFmtId="1" fontId="80" fillId="0" borderId="17" xfId="12" applyNumberFormat="1" applyFont="1" applyFill="1" applyBorder="1" applyAlignment="1">
      <alignment horizontal="center" vertical="center"/>
    </xf>
    <xf numFmtId="1" fontId="66" fillId="0" borderId="200" xfId="27" applyNumberFormat="1" applyFont="1" applyBorder="1"/>
    <xf numFmtId="0" fontId="73" fillId="0" borderId="201" xfId="27" applyFont="1" applyBorder="1"/>
    <xf numFmtId="0" fontId="66" fillId="0" borderId="200" xfId="28" applyFont="1" applyBorder="1" applyAlignment="1">
      <alignment horizontal="center"/>
    </xf>
    <xf numFmtId="0" fontId="66" fillId="0" borderId="202" xfId="28" applyFont="1" applyBorder="1" applyAlignment="1">
      <alignment horizontal="left" vertical="top"/>
    </xf>
    <xf numFmtId="0" fontId="66" fillId="0" borderId="201" xfId="27" applyFont="1" applyBorder="1" applyAlignment="1">
      <alignment horizontal="left" vertical="center"/>
    </xf>
    <xf numFmtId="0" fontId="77" fillId="0" borderId="17" xfId="27" applyFont="1" applyBorder="1" applyAlignment="1">
      <alignment horizontal="center"/>
    </xf>
    <xf numFmtId="169" fontId="77" fillId="0" borderId="17" xfId="29" applyNumberFormat="1" applyFont="1" applyFill="1" applyBorder="1"/>
    <xf numFmtId="0" fontId="73" fillId="0" borderId="17" xfId="27" applyFont="1" applyBorder="1" applyAlignment="1">
      <alignment vertical="center" wrapText="1"/>
    </xf>
    <xf numFmtId="169" fontId="73" fillId="0" borderId="17" xfId="29" applyNumberFormat="1" applyFont="1" applyFill="1" applyBorder="1" applyAlignment="1">
      <alignment horizontal="center"/>
    </xf>
    <xf numFmtId="165" fontId="73" fillId="0" borderId="203" xfId="20" applyFont="1" applyFill="1" applyBorder="1" applyAlignment="1">
      <alignment horizontal="center"/>
    </xf>
    <xf numFmtId="0" fontId="66" fillId="0" borderId="204" xfId="28" applyFont="1" applyBorder="1" applyAlignment="1">
      <alignment horizontal="center" vertical="center"/>
    </xf>
    <xf numFmtId="0" fontId="66" fillId="0" borderId="205" xfId="28" applyFont="1" applyBorder="1"/>
    <xf numFmtId="1" fontId="80" fillId="0" borderId="18" xfId="12" applyNumberFormat="1" applyFont="1" applyFill="1" applyBorder="1" applyAlignment="1">
      <alignment horizontal="center" vertical="center"/>
    </xf>
    <xf numFmtId="1" fontId="66" fillId="0" borderId="205" xfId="27" applyNumberFormat="1" applyFont="1" applyBorder="1"/>
    <xf numFmtId="0" fontId="73" fillId="0" borderId="27" xfId="27" applyFont="1" applyBorder="1"/>
    <xf numFmtId="0" fontId="66" fillId="0" borderId="205" xfId="28" applyFont="1" applyBorder="1" applyAlignment="1">
      <alignment horizontal="center"/>
    </xf>
    <xf numFmtId="0" fontId="66" fillId="0" borderId="22" xfId="28" applyFont="1" applyBorder="1" applyAlignment="1">
      <alignment horizontal="left" vertical="top"/>
    </xf>
    <xf numFmtId="0" fontId="66" fillId="0" borderId="27" xfId="27" applyFont="1" applyBorder="1" applyAlignment="1">
      <alignment horizontal="left" vertical="center"/>
    </xf>
    <xf numFmtId="0" fontId="77" fillId="0" borderId="18" xfId="27" applyFont="1" applyBorder="1" applyAlignment="1">
      <alignment horizontal="center"/>
    </xf>
    <xf numFmtId="169" fontId="77" fillId="0" borderId="18" xfId="29" applyNumberFormat="1" applyFont="1" applyFill="1" applyBorder="1"/>
    <xf numFmtId="0" fontId="73" fillId="0" borderId="18" xfId="27" applyFont="1" applyBorder="1" applyAlignment="1">
      <alignment vertical="center" wrapText="1"/>
    </xf>
    <xf numFmtId="169" fontId="73" fillId="0" borderId="18" xfId="29" applyNumberFormat="1" applyFont="1" applyFill="1" applyBorder="1" applyAlignment="1">
      <alignment horizontal="center"/>
    </xf>
    <xf numFmtId="165" fontId="73" fillId="0" borderId="206" xfId="20" applyFont="1" applyFill="1" applyBorder="1" applyAlignment="1">
      <alignment horizontal="center"/>
    </xf>
    <xf numFmtId="174" fontId="73" fillId="0" borderId="18" xfId="27" applyNumberFormat="1" applyFont="1" applyBorder="1" applyAlignment="1">
      <alignment horizontal="center" vertical="center"/>
    </xf>
    <xf numFmtId="1" fontId="73" fillId="0" borderId="18" xfId="27" applyNumberFormat="1" applyFont="1" applyBorder="1" applyAlignment="1">
      <alignment horizontal="center" vertical="center"/>
    </xf>
    <xf numFmtId="0" fontId="73" fillId="0" borderId="18" xfId="27" applyFont="1" applyBorder="1" applyAlignment="1">
      <alignment horizontal="center" vertical="center" wrapText="1"/>
    </xf>
    <xf numFmtId="169" fontId="73" fillId="0" borderId="18" xfId="29" applyNumberFormat="1" applyFont="1" applyFill="1" applyBorder="1"/>
    <xf numFmtId="1" fontId="73" fillId="0" borderId="18" xfId="27" applyNumberFormat="1" applyFont="1" applyBorder="1" applyAlignment="1">
      <alignment horizontal="center"/>
    </xf>
    <xf numFmtId="0" fontId="73" fillId="0" borderId="205" xfId="27" applyFont="1" applyBorder="1" applyAlignment="1">
      <alignment horizontal="right"/>
    </xf>
    <xf numFmtId="0" fontId="80" fillId="0" borderId="22" xfId="28" applyFont="1" applyBorder="1" applyAlignment="1">
      <alignment horizontal="left" vertical="top"/>
    </xf>
    <xf numFmtId="0" fontId="73" fillId="0" borderId="27" xfId="27" applyFont="1" applyBorder="1" applyAlignment="1">
      <alignment horizontal="left" vertical="center"/>
    </xf>
    <xf numFmtId="0" fontId="66" fillId="0" borderId="27" xfId="28" applyFont="1" applyBorder="1"/>
    <xf numFmtId="0" fontId="73" fillId="0" borderId="18" xfId="27" applyFont="1" applyBorder="1" applyAlignment="1">
      <alignment horizontal="center"/>
    </xf>
    <xf numFmtId="0" fontId="73" fillId="0" borderId="205" xfId="28" applyFont="1" applyBorder="1"/>
    <xf numFmtId="1" fontId="73" fillId="0" borderId="205" xfId="27" applyNumberFormat="1" applyFont="1" applyBorder="1"/>
    <xf numFmtId="0" fontId="73" fillId="0" borderId="205" xfId="28" applyFont="1" applyBorder="1" applyAlignment="1">
      <alignment horizontal="left" vertical="center" wrapText="1"/>
    </xf>
    <xf numFmtId="0" fontId="73" fillId="0" borderId="18" xfId="27" applyFont="1" applyBorder="1" applyAlignment="1">
      <alignment horizontal="center" vertical="center"/>
    </xf>
    <xf numFmtId="0" fontId="80" fillId="0" borderId="205" xfId="28" applyFont="1" applyBorder="1" applyAlignment="1">
      <alignment horizontal="center"/>
    </xf>
    <xf numFmtId="169" fontId="73" fillId="0" borderId="18" xfId="29" applyNumberFormat="1" applyFont="1" applyBorder="1"/>
    <xf numFmtId="0" fontId="66" fillId="0" borderId="207" xfId="28" applyFont="1" applyBorder="1" applyAlignment="1">
      <alignment horizontal="center" vertical="center"/>
    </xf>
    <xf numFmtId="0" fontId="80" fillId="0" borderId="208" xfId="28" applyFont="1" applyBorder="1" applyAlignment="1">
      <alignment horizontal="left" vertical="center" wrapText="1"/>
    </xf>
    <xf numFmtId="1" fontId="73" fillId="0" borderId="209" xfId="27" applyNumberFormat="1" applyFont="1" applyBorder="1" applyAlignment="1">
      <alignment horizontal="center"/>
    </xf>
    <xf numFmtId="174" fontId="73" fillId="0" borderId="209" xfId="27" applyNumberFormat="1" applyFont="1" applyBorder="1" applyAlignment="1">
      <alignment horizontal="center" vertical="center"/>
    </xf>
    <xf numFmtId="0" fontId="73" fillId="0" borderId="209" xfId="27" applyFont="1" applyBorder="1" applyAlignment="1">
      <alignment horizontal="center" vertical="center"/>
    </xf>
    <xf numFmtId="1" fontId="73" fillId="0" borderId="208" xfId="27" applyNumberFormat="1" applyFont="1" applyBorder="1"/>
    <xf numFmtId="0" fontId="73" fillId="0" borderId="209" xfId="27" applyFont="1" applyBorder="1"/>
    <xf numFmtId="0" fontId="80" fillId="0" borderId="208" xfId="28" applyFont="1" applyBorder="1" applyAlignment="1">
      <alignment horizontal="right" vertical="top"/>
    </xf>
    <xf numFmtId="0" fontId="80" fillId="0" borderId="210" xfId="28" applyFont="1" applyBorder="1" applyAlignment="1">
      <alignment horizontal="left" vertical="top"/>
    </xf>
    <xf numFmtId="0" fontId="73" fillId="0" borderId="211" xfId="27" applyFont="1" applyBorder="1" applyAlignment="1">
      <alignment horizontal="left" vertical="center"/>
    </xf>
    <xf numFmtId="0" fontId="73" fillId="0" borderId="209" xfId="27" applyFont="1" applyBorder="1" applyAlignment="1">
      <alignment horizontal="center" vertical="center" wrapText="1"/>
    </xf>
    <xf numFmtId="169" fontId="73" fillId="0" borderId="209" xfId="29" applyNumberFormat="1" applyFont="1" applyFill="1" applyBorder="1"/>
    <xf numFmtId="0" fontId="73" fillId="0" borderId="209" xfId="27" applyFont="1" applyBorder="1" applyAlignment="1">
      <alignment vertical="center" wrapText="1"/>
    </xf>
    <xf numFmtId="169" fontId="73" fillId="0" borderId="209" xfId="29" applyNumberFormat="1" applyFont="1" applyFill="1" applyBorder="1" applyAlignment="1">
      <alignment horizontal="center"/>
    </xf>
    <xf numFmtId="165" fontId="73" fillId="0" borderId="212" xfId="20" applyFont="1" applyFill="1" applyBorder="1" applyAlignment="1">
      <alignment horizontal="center"/>
    </xf>
    <xf numFmtId="0" fontId="77" fillId="12" borderId="199" xfId="27" applyFont="1" applyFill="1" applyBorder="1" applyAlignment="1">
      <alignment horizontal="center" vertical="center"/>
    </xf>
    <xf numFmtId="0" fontId="77" fillId="12" borderId="17" xfId="27" applyFont="1" applyFill="1" applyBorder="1"/>
    <xf numFmtId="1" fontId="77" fillId="12" borderId="17" xfId="27" applyNumberFormat="1" applyFont="1" applyFill="1" applyBorder="1" applyAlignment="1">
      <alignment horizontal="center"/>
    </xf>
    <xf numFmtId="1" fontId="80" fillId="12" borderId="17" xfId="12" applyNumberFormat="1" applyFont="1" applyFill="1" applyBorder="1" applyAlignment="1">
      <alignment horizontal="center" vertical="center"/>
    </xf>
    <xf numFmtId="0" fontId="73" fillId="12" borderId="17" xfId="27" applyFont="1" applyFill="1" applyBorder="1" applyAlignment="1">
      <alignment horizontal="center" vertical="center"/>
    </xf>
    <xf numFmtId="0" fontId="77" fillId="12" borderId="200" xfId="27" applyFont="1" applyFill="1" applyBorder="1"/>
    <xf numFmtId="0" fontId="77" fillId="12" borderId="201" xfId="27" applyFont="1" applyFill="1" applyBorder="1"/>
    <xf numFmtId="0" fontId="80" fillId="12" borderId="200" xfId="28" applyFont="1" applyFill="1" applyBorder="1" applyAlignment="1">
      <alignment horizontal="left" vertical="top"/>
    </xf>
    <xf numFmtId="0" fontId="80" fillId="12" borderId="202" xfId="28" applyFont="1" applyFill="1" applyBorder="1" applyAlignment="1">
      <alignment horizontal="left" vertical="top"/>
    </xf>
    <xf numFmtId="0" fontId="73" fillId="12" borderId="201" xfId="27" applyFont="1" applyFill="1" applyBorder="1" applyAlignment="1">
      <alignment horizontal="left" vertical="center"/>
    </xf>
    <xf numFmtId="0" fontId="77" fillId="12" borderId="17" xfId="27" applyFont="1" applyFill="1" applyBorder="1" applyAlignment="1">
      <alignment horizontal="center"/>
    </xf>
    <xf numFmtId="169" fontId="77" fillId="12" borderId="17" xfId="29" applyNumberFormat="1" applyFont="1" applyFill="1" applyBorder="1"/>
    <xf numFmtId="165" fontId="77" fillId="12" borderId="203" xfId="20" applyFont="1" applyFill="1" applyBorder="1"/>
    <xf numFmtId="0" fontId="77" fillId="0" borderId="204" xfId="27" applyFont="1" applyBorder="1" applyAlignment="1">
      <alignment horizontal="center" vertical="center"/>
    </xf>
    <xf numFmtId="0" fontId="77" fillId="0" borderId="18" xfId="27" applyFont="1" applyBorder="1"/>
    <xf numFmtId="1" fontId="77" fillId="0" borderId="18" xfId="27" applyNumberFormat="1" applyFont="1" applyBorder="1" applyAlignment="1">
      <alignment horizontal="center"/>
    </xf>
    <xf numFmtId="1" fontId="80" fillId="0" borderId="18" xfId="12" applyNumberFormat="1" applyFont="1" applyBorder="1" applyAlignment="1">
      <alignment horizontal="center" vertical="center"/>
    </xf>
    <xf numFmtId="0" fontId="77" fillId="0" borderId="205" xfId="27" applyFont="1" applyBorder="1"/>
    <xf numFmtId="0" fontId="77" fillId="0" borderId="27" xfId="27" applyFont="1" applyBorder="1"/>
    <xf numFmtId="0" fontId="80" fillId="0" borderId="205" xfId="28" applyFont="1" applyBorder="1" applyAlignment="1">
      <alignment horizontal="left" vertical="top"/>
    </xf>
    <xf numFmtId="169" fontId="77" fillId="0" borderId="18" xfId="29" applyNumberFormat="1" applyFont="1" applyBorder="1"/>
    <xf numFmtId="165" fontId="77" fillId="0" borderId="206" xfId="20" applyFont="1" applyBorder="1"/>
    <xf numFmtId="0" fontId="73" fillId="0" borderId="204" xfId="27" quotePrefix="1" applyFont="1" applyBorder="1" applyAlignment="1">
      <alignment horizontal="center" vertical="center"/>
    </xf>
    <xf numFmtId="0" fontId="73" fillId="0" borderId="18" xfId="27" applyFont="1" applyBorder="1"/>
    <xf numFmtId="174" fontId="73" fillId="0" borderId="18" xfId="27" applyNumberFormat="1" applyFont="1" applyBorder="1" applyAlignment="1">
      <alignment horizontal="center"/>
    </xf>
    <xf numFmtId="0" fontId="73" fillId="0" borderId="205" xfId="27" applyFont="1" applyBorder="1"/>
    <xf numFmtId="0" fontId="80" fillId="0" borderId="205" xfId="28" applyFont="1" applyBorder="1" applyAlignment="1">
      <alignment horizontal="right" vertical="top"/>
    </xf>
    <xf numFmtId="165" fontId="73" fillId="0" borderId="206" xfId="20" applyFont="1" applyBorder="1"/>
    <xf numFmtId="0" fontId="73" fillId="0" borderId="204" xfId="27" applyFont="1" applyBorder="1"/>
    <xf numFmtId="0" fontId="73" fillId="0" borderId="213" xfId="27" applyFont="1" applyBorder="1" applyAlignment="1">
      <alignment horizontal="center" vertical="center"/>
    </xf>
    <xf numFmtId="0" fontId="73" fillId="0" borderId="214" xfId="27" applyFont="1" applyBorder="1"/>
    <xf numFmtId="1" fontId="73" fillId="0" borderId="214" xfId="27" applyNumberFormat="1" applyFont="1" applyBorder="1" applyAlignment="1">
      <alignment horizontal="center"/>
    </xf>
    <xf numFmtId="1" fontId="73" fillId="0" borderId="214" xfId="27" applyNumberFormat="1" applyFont="1" applyBorder="1" applyAlignment="1">
      <alignment horizontal="center" vertical="center"/>
    </xf>
    <xf numFmtId="0" fontId="73" fillId="0" borderId="214" xfId="27" applyFont="1" applyBorder="1" applyAlignment="1">
      <alignment horizontal="center" vertical="center"/>
    </xf>
    <xf numFmtId="0" fontId="73" fillId="0" borderId="215" xfId="27" applyFont="1" applyBorder="1"/>
    <xf numFmtId="0" fontId="73" fillId="0" borderId="216" xfId="27" applyFont="1" applyBorder="1"/>
    <xf numFmtId="0" fontId="73" fillId="0" borderId="217" xfId="27" applyFont="1" applyBorder="1"/>
    <xf numFmtId="0" fontId="73" fillId="0" borderId="214" xfId="27" applyFont="1" applyBorder="1" applyAlignment="1">
      <alignment horizontal="center"/>
    </xf>
    <xf numFmtId="169" fontId="73" fillId="0" borderId="214" xfId="29" applyNumberFormat="1" applyFont="1" applyBorder="1"/>
    <xf numFmtId="165" fontId="73" fillId="0" borderId="218" xfId="20" applyFont="1" applyBorder="1"/>
    <xf numFmtId="0" fontId="77" fillId="12" borderId="219" xfId="27" applyFont="1" applyFill="1" applyBorder="1" applyAlignment="1">
      <alignment horizontal="center" vertical="center"/>
    </xf>
    <xf numFmtId="0" fontId="77" fillId="12" borderId="220" xfId="27" applyFont="1" applyFill="1" applyBorder="1"/>
    <xf numFmtId="1" fontId="73" fillId="12" borderId="220" xfId="27" applyNumberFormat="1" applyFont="1" applyFill="1" applyBorder="1" applyAlignment="1">
      <alignment horizontal="center"/>
    </xf>
    <xf numFmtId="1" fontId="73" fillId="12" borderId="220" xfId="27" applyNumberFormat="1" applyFont="1" applyFill="1" applyBorder="1" applyAlignment="1">
      <alignment horizontal="center" vertical="center"/>
    </xf>
    <xf numFmtId="0" fontId="73" fillId="12" borderId="220" xfId="27" applyFont="1" applyFill="1" applyBorder="1" applyAlignment="1">
      <alignment horizontal="center" vertical="center"/>
    </xf>
    <xf numFmtId="0" fontId="77" fillId="12" borderId="221" xfId="27" applyFont="1" applyFill="1" applyBorder="1"/>
    <xf numFmtId="0" fontId="77" fillId="12" borderId="222" xfId="27" applyFont="1" applyFill="1" applyBorder="1"/>
    <xf numFmtId="0" fontId="77" fillId="12" borderId="223" xfId="27" applyFont="1" applyFill="1" applyBorder="1"/>
    <xf numFmtId="0" fontId="77" fillId="12" borderId="220" xfId="27" applyFont="1" applyFill="1" applyBorder="1" applyAlignment="1">
      <alignment horizontal="center"/>
    </xf>
    <xf numFmtId="169" fontId="77" fillId="12" borderId="220" xfId="29" applyNumberFormat="1" applyFont="1" applyFill="1" applyBorder="1"/>
    <xf numFmtId="165" fontId="77" fillId="12" borderId="224" xfId="20" applyFont="1" applyFill="1" applyBorder="1"/>
    <xf numFmtId="0" fontId="77" fillId="0" borderId="22" xfId="27" applyFont="1" applyBorder="1"/>
    <xf numFmtId="0" fontId="73" fillId="0" borderId="18" xfId="27" quotePrefix="1" applyFont="1" applyBorder="1"/>
    <xf numFmtId="174" fontId="80" fillId="0" borderId="18" xfId="12" applyNumberFormat="1" applyFont="1" applyBorder="1" applyAlignment="1">
      <alignment horizontal="center" vertical="center"/>
    </xf>
    <xf numFmtId="1" fontId="80" fillId="0" borderId="214" xfId="12" applyNumberFormat="1" applyFont="1" applyBorder="1" applyAlignment="1">
      <alignment horizontal="center" vertical="center"/>
    </xf>
    <xf numFmtId="0" fontId="73" fillId="0" borderId="215" xfId="27" applyFont="1" applyBorder="1" applyAlignment="1">
      <alignment horizontal="right"/>
    </xf>
    <xf numFmtId="0" fontId="83" fillId="12" borderId="161" xfId="27" applyFont="1" applyFill="1" applyBorder="1" applyAlignment="1">
      <alignment horizontal="center" vertical="center"/>
    </xf>
    <xf numFmtId="0" fontId="84" fillId="12" borderId="162" xfId="27" applyFont="1" applyFill="1" applyBorder="1" applyAlignment="1">
      <alignment horizontal="center" vertical="center"/>
    </xf>
    <xf numFmtId="0" fontId="84" fillId="12" borderId="162" xfId="27" applyFont="1" applyFill="1" applyBorder="1" applyAlignment="1">
      <alignment horizontal="center"/>
    </xf>
    <xf numFmtId="0" fontId="83" fillId="21" borderId="225" xfId="30" applyFont="1" applyFill="1" applyBorder="1" applyAlignment="1">
      <alignment horizontal="center" vertical="center"/>
    </xf>
    <xf numFmtId="0" fontId="83" fillId="0" borderId="228" xfId="30" applyFont="1" applyBorder="1" applyAlignment="1">
      <alignment horizontal="center" vertical="center"/>
    </xf>
    <xf numFmtId="0" fontId="83" fillId="0" borderId="73" xfId="16" applyNumberFormat="1" applyFont="1" applyFill="1" applyBorder="1" applyAlignment="1">
      <alignment horizontal="center" vertical="center"/>
    </xf>
    <xf numFmtId="0" fontId="83" fillId="0" borderId="73" xfId="30" applyFont="1" applyBorder="1" applyAlignment="1">
      <alignment horizontal="center" vertical="center"/>
    </xf>
    <xf numFmtId="0" fontId="83" fillId="0" borderId="229" xfId="30" applyFont="1" applyBorder="1" applyAlignment="1">
      <alignment horizontal="center" vertical="center"/>
    </xf>
    <xf numFmtId="0" fontId="83" fillId="0" borderId="228" xfId="30" applyFont="1" applyBorder="1" applyAlignment="1">
      <alignment horizontal="center"/>
    </xf>
    <xf numFmtId="0" fontId="83" fillId="0" borderId="229" xfId="30" applyFont="1" applyBorder="1" applyAlignment="1">
      <alignment horizontal="left"/>
    </xf>
    <xf numFmtId="0" fontId="83" fillId="0" borderId="73" xfId="30" applyFont="1" applyBorder="1" applyAlignment="1">
      <alignment horizontal="center"/>
    </xf>
    <xf numFmtId="0" fontId="83" fillId="0" borderId="229" xfId="30" applyFont="1" applyBorder="1" applyAlignment="1">
      <alignment horizontal="center"/>
    </xf>
    <xf numFmtId="0" fontId="84" fillId="0" borderId="228" xfId="30" applyFont="1" applyBorder="1" applyAlignment="1">
      <alignment horizontal="center"/>
    </xf>
    <xf numFmtId="0" fontId="84" fillId="0" borderId="229" xfId="30" applyFont="1" applyBorder="1" applyAlignment="1">
      <alignment horizontal="left"/>
    </xf>
    <xf numFmtId="0" fontId="84" fillId="0" borderId="73" xfId="16" applyNumberFormat="1" applyFont="1" applyFill="1" applyBorder="1" applyAlignment="1">
      <alignment horizontal="center" vertical="center"/>
    </xf>
    <xf numFmtId="0" fontId="84" fillId="0" borderId="73" xfId="30" applyFont="1" applyBorder="1" applyAlignment="1">
      <alignment horizontal="center"/>
    </xf>
    <xf numFmtId="0" fontId="84" fillId="0" borderId="229" xfId="30" applyFont="1" applyBorder="1" applyAlignment="1">
      <alignment horizontal="center"/>
    </xf>
    <xf numFmtId="0" fontId="84" fillId="12" borderId="228" xfId="30" applyFont="1" applyFill="1" applyBorder="1" applyAlignment="1">
      <alignment horizontal="center"/>
    </xf>
    <xf numFmtId="0" fontId="84" fillId="12" borderId="229" xfId="30" applyFont="1" applyFill="1" applyBorder="1" applyAlignment="1">
      <alignment horizontal="left"/>
    </xf>
    <xf numFmtId="0" fontId="84" fillId="12" borderId="73" xfId="16" applyNumberFormat="1" applyFont="1" applyFill="1" applyBorder="1" applyAlignment="1">
      <alignment horizontal="center" vertical="center"/>
    </xf>
    <xf numFmtId="0" fontId="84" fillId="12" borderId="73" xfId="30" applyFont="1" applyFill="1" applyBorder="1" applyAlignment="1">
      <alignment horizontal="center"/>
    </xf>
    <xf numFmtId="0" fontId="84" fillId="12" borderId="229" xfId="30" applyFont="1" applyFill="1" applyBorder="1" applyAlignment="1">
      <alignment horizontal="center"/>
    </xf>
    <xf numFmtId="0" fontId="84" fillId="0" borderId="232" xfId="30" applyFont="1" applyBorder="1" applyAlignment="1">
      <alignment horizontal="center"/>
    </xf>
    <xf numFmtId="0" fontId="84" fillId="0" borderId="233" xfId="30" applyFont="1" applyBorder="1" applyAlignment="1">
      <alignment horizontal="left"/>
    </xf>
    <xf numFmtId="0" fontId="84" fillId="0" borderId="100" xfId="16" applyNumberFormat="1" applyFont="1" applyFill="1" applyBorder="1" applyAlignment="1">
      <alignment horizontal="center" vertical="center"/>
    </xf>
    <xf numFmtId="0" fontId="84" fillId="0" borderId="100" xfId="30" applyFont="1" applyBorder="1" applyAlignment="1">
      <alignment horizontal="center"/>
    </xf>
    <xf numFmtId="0" fontId="84" fillId="0" borderId="233" xfId="30" applyFont="1" applyBorder="1" applyAlignment="1">
      <alignment horizontal="center"/>
    </xf>
    <xf numFmtId="0" fontId="85" fillId="0" borderId="5" xfId="30" applyFont="1" applyBorder="1" applyAlignment="1">
      <alignment horizontal="center"/>
    </xf>
    <xf numFmtId="0" fontId="85" fillId="0" borderId="166" xfId="30" applyFont="1" applyBorder="1" applyAlignment="1">
      <alignment vertical="center"/>
    </xf>
    <xf numFmtId="0" fontId="84" fillId="0" borderId="0" xfId="30" applyFont="1" applyAlignment="1">
      <alignment horizontal="center"/>
    </xf>
    <xf numFmtId="0" fontId="84" fillId="0" borderId="0" xfId="30" applyFont="1" applyAlignment="1">
      <alignment horizontal="left"/>
    </xf>
    <xf numFmtId="0" fontId="84" fillId="0" borderId="0" xfId="16" applyNumberFormat="1" applyFont="1" applyFill="1" applyBorder="1" applyAlignment="1">
      <alignment horizontal="center" vertical="center"/>
    </xf>
    <xf numFmtId="0" fontId="83" fillId="12" borderId="234" xfId="30" applyFont="1" applyFill="1" applyBorder="1" applyAlignment="1">
      <alignment horizontal="center"/>
    </xf>
    <xf numFmtId="0" fontId="83" fillId="12" borderId="234" xfId="30" applyFont="1" applyFill="1" applyBorder="1" applyAlignment="1">
      <alignment horizontal="left"/>
    </xf>
    <xf numFmtId="0" fontId="84" fillId="12" borderId="234" xfId="16" applyNumberFormat="1" applyFont="1" applyFill="1" applyBorder="1" applyAlignment="1">
      <alignment horizontal="center" vertical="center"/>
    </xf>
    <xf numFmtId="0" fontId="84" fillId="12" borderId="234" xfId="30" applyFont="1" applyFill="1" applyBorder="1" applyAlignment="1">
      <alignment horizontal="center"/>
    </xf>
    <xf numFmtId="0" fontId="84" fillId="0" borderId="235" xfId="16" applyNumberFormat="1" applyFont="1" applyFill="1" applyBorder="1" applyAlignment="1">
      <alignment horizontal="center" vertical="center"/>
    </xf>
    <xf numFmtId="0" fontId="84" fillId="0" borderId="236" xfId="30" applyFont="1" applyBorder="1" applyAlignment="1">
      <alignment horizontal="left"/>
    </xf>
    <xf numFmtId="0" fontId="83" fillId="0" borderId="234" xfId="30" applyFont="1" applyBorder="1" applyAlignment="1">
      <alignment horizontal="center"/>
    </xf>
    <xf numFmtId="0" fontId="83" fillId="0" borderId="234" xfId="30" applyFont="1" applyBorder="1" applyAlignment="1">
      <alignment horizontal="left"/>
    </xf>
    <xf numFmtId="0" fontId="84" fillId="0" borderId="234" xfId="16" applyNumberFormat="1" applyFont="1" applyFill="1" applyBorder="1" applyAlignment="1">
      <alignment horizontal="center" vertical="center"/>
    </xf>
    <xf numFmtId="0" fontId="84" fillId="0" borderId="234" xfId="30" applyFont="1" applyBorder="1" applyAlignment="1">
      <alignment horizontal="center"/>
    </xf>
    <xf numFmtId="0" fontId="84" fillId="0" borderId="237" xfId="30" applyFont="1" applyBorder="1" applyAlignment="1">
      <alignment horizontal="center"/>
    </xf>
    <xf numFmtId="0" fontId="85" fillId="0" borderId="238" xfId="30" applyFont="1" applyBorder="1" applyAlignment="1">
      <alignment horizontal="center"/>
    </xf>
    <xf numFmtId="0" fontId="85" fillId="0" borderId="49" xfId="30" applyFont="1" applyBorder="1" applyAlignment="1">
      <alignment horizontal="center"/>
    </xf>
    <xf numFmtId="0" fontId="85" fillId="0" borderId="0" xfId="30" applyFont="1" applyAlignment="1">
      <alignment horizontal="center"/>
    </xf>
    <xf numFmtId="0" fontId="85" fillId="0" borderId="161" xfId="30" applyFont="1" applyBorder="1" applyAlignment="1">
      <alignment horizontal="center"/>
    </xf>
    <xf numFmtId="0" fontId="85" fillId="0" borderId="162" xfId="30" applyFont="1" applyBorder="1" applyAlignment="1">
      <alignment horizontal="center"/>
    </xf>
    <xf numFmtId="0" fontId="83" fillId="0" borderId="0" xfId="30" applyFont="1" applyAlignment="1">
      <alignment horizontal="center"/>
    </xf>
    <xf numFmtId="0" fontId="83" fillId="0" borderId="0" xfId="30" applyFont="1" applyAlignment="1">
      <alignment horizontal="left"/>
    </xf>
    <xf numFmtId="0" fontId="83" fillId="0" borderId="232" xfId="30" applyFont="1" applyBorder="1" applyAlignment="1">
      <alignment horizontal="center"/>
    </xf>
    <xf numFmtId="0" fontId="83" fillId="0" borderId="233" xfId="30" applyFont="1" applyBorder="1" applyAlignment="1">
      <alignment horizontal="left"/>
    </xf>
    <xf numFmtId="0" fontId="83" fillId="0" borderId="100" xfId="16" applyNumberFormat="1" applyFont="1" applyFill="1" applyBorder="1" applyAlignment="1">
      <alignment horizontal="center" vertical="center"/>
    </xf>
    <xf numFmtId="0" fontId="83" fillId="0" borderId="100" xfId="30" applyFont="1" applyBorder="1" applyAlignment="1">
      <alignment horizontal="center"/>
    </xf>
    <xf numFmtId="0" fontId="83" fillId="0" borderId="233" xfId="30" applyFont="1" applyBorder="1" applyAlignment="1">
      <alignment horizontal="center"/>
    </xf>
    <xf numFmtId="0" fontId="83" fillId="12" borderId="162" xfId="27" applyFont="1" applyFill="1" applyBorder="1"/>
    <xf numFmtId="0" fontId="83" fillId="0" borderId="229" xfId="30" applyFont="1" applyBorder="1" applyAlignment="1">
      <alignment horizontal="left" vertical="center"/>
    </xf>
    <xf numFmtId="0" fontId="85" fillId="0" borderId="5" xfId="30" applyFont="1" applyBorder="1"/>
    <xf numFmtId="0" fontId="85" fillId="0" borderId="166" xfId="30" applyFont="1" applyBorder="1"/>
    <xf numFmtId="0" fontId="84" fillId="0" borderId="73" xfId="30" applyFont="1" applyBorder="1"/>
    <xf numFmtId="0" fontId="73" fillId="0" borderId="199" xfId="27" quotePrefix="1" applyFont="1" applyBorder="1" applyAlignment="1">
      <alignment horizontal="center" vertical="center"/>
    </xf>
    <xf numFmtId="0" fontId="73" fillId="0" borderId="201" xfId="27" applyFont="1" applyBorder="1" applyAlignment="1">
      <alignment vertical="top" wrapText="1"/>
    </xf>
    <xf numFmtId="164" fontId="73" fillId="0" borderId="17" xfId="16" applyFont="1" applyBorder="1" applyAlignment="1">
      <alignment horizontal="center" vertical="center"/>
    </xf>
    <xf numFmtId="164" fontId="65" fillId="0" borderId="17" xfId="16" applyFont="1" applyBorder="1" applyAlignment="1">
      <alignment horizontal="left" vertical="top"/>
    </xf>
    <xf numFmtId="0" fontId="73" fillId="0" borderId="17" xfId="27" applyFont="1" applyBorder="1" applyAlignment="1">
      <alignment horizontal="center" vertical="top" wrapText="1"/>
    </xf>
    <xf numFmtId="164" fontId="66" fillId="0" borderId="17" xfId="31" applyFont="1" applyFill="1" applyBorder="1" applyAlignment="1"/>
    <xf numFmtId="0" fontId="73" fillId="0" borderId="27" xfId="27" applyFont="1" applyBorder="1" applyAlignment="1">
      <alignment horizontal="left" vertical="top" wrapText="1"/>
    </xf>
    <xf numFmtId="0" fontId="73" fillId="0" borderId="205" xfId="27" applyFont="1" applyBorder="1" applyAlignment="1">
      <alignment horizontal="center" vertical="center"/>
    </xf>
    <xf numFmtId="0" fontId="73" fillId="0" borderId="18" xfId="27" applyFont="1" applyBorder="1" applyAlignment="1">
      <alignment horizontal="left" vertical="top" wrapText="1"/>
    </xf>
    <xf numFmtId="0" fontId="73" fillId="0" borderId="18" xfId="27" applyFont="1" applyBorder="1" applyAlignment="1">
      <alignment horizontal="center" vertical="top" wrapText="1"/>
    </xf>
    <xf numFmtId="0" fontId="73" fillId="0" borderId="205" xfId="27" applyFont="1" applyBorder="1" applyAlignment="1">
      <alignment horizontal="center" vertical="top" wrapText="1"/>
    </xf>
    <xf numFmtId="0" fontId="73" fillId="0" borderId="22" xfId="27" applyFont="1" applyBorder="1" applyAlignment="1">
      <alignment horizontal="center" vertical="top" wrapText="1"/>
    </xf>
    <xf numFmtId="0" fontId="73" fillId="0" borderId="27" xfId="27" applyFont="1" applyBorder="1" applyAlignment="1">
      <alignment horizontal="center" vertical="top" wrapText="1"/>
    </xf>
    <xf numFmtId="164" fontId="66" fillId="0" borderId="18" xfId="31" applyFont="1" applyFill="1" applyBorder="1" applyAlignment="1"/>
    <xf numFmtId="0" fontId="73" fillId="0" borderId="18" xfId="27" applyFont="1" applyBorder="1" applyAlignment="1">
      <alignment vertical="top" wrapText="1"/>
    </xf>
    <xf numFmtId="0" fontId="73" fillId="0" borderId="242" xfId="27" quotePrefix="1" applyFont="1" applyBorder="1" applyAlignment="1">
      <alignment horizontal="center" vertical="center"/>
    </xf>
    <xf numFmtId="0" fontId="73" fillId="0" borderId="243" xfId="27" applyFont="1" applyBorder="1" applyAlignment="1">
      <alignment horizontal="left" vertical="top" wrapText="1"/>
    </xf>
    <xf numFmtId="0" fontId="73" fillId="0" borderId="244" xfId="27" applyFont="1" applyBorder="1" applyAlignment="1">
      <alignment horizontal="center" vertical="top" wrapText="1"/>
    </xf>
    <xf numFmtId="164" fontId="66" fillId="0" borderId="244" xfId="31" applyFont="1" applyFill="1" applyBorder="1" applyAlignment="1"/>
    <xf numFmtId="164" fontId="65" fillId="0" borderId="17" xfId="16" applyFont="1" applyBorder="1" applyAlignment="1">
      <alignment horizontal="center" vertical="center"/>
    </xf>
    <xf numFmtId="0" fontId="65" fillId="0" borderId="205" xfId="27" applyFont="1" applyBorder="1" applyAlignment="1">
      <alignment horizontal="center" vertical="top" wrapText="1"/>
    </xf>
    <xf numFmtId="0" fontId="65" fillId="0" borderId="22" xfId="27" applyFont="1" applyBorder="1" applyAlignment="1">
      <alignment horizontal="center" vertical="top" wrapText="1"/>
    </xf>
    <xf numFmtId="0" fontId="65" fillId="0" borderId="27" xfId="27" applyFont="1" applyBorder="1" applyAlignment="1">
      <alignment horizontal="center" vertical="top" wrapText="1"/>
    </xf>
    <xf numFmtId="0" fontId="73" fillId="0" borderId="201" xfId="27" applyFont="1" applyBorder="1" applyAlignment="1">
      <alignment horizontal="left" vertical="top" wrapText="1"/>
    </xf>
    <xf numFmtId="0" fontId="73" fillId="0" borderId="200" xfId="27" applyFont="1" applyBorder="1" applyAlignment="1">
      <alignment horizontal="center" vertical="center"/>
    </xf>
    <xf numFmtId="0" fontId="73" fillId="0" borderId="17" xfId="27" applyFont="1" applyBorder="1" applyAlignment="1">
      <alignment horizontal="center" vertical="center"/>
    </xf>
    <xf numFmtId="0" fontId="73" fillId="0" borderId="27" xfId="27" quotePrefix="1" applyFont="1" applyBorder="1" applyAlignment="1">
      <alignment vertical="top" wrapText="1"/>
    </xf>
    <xf numFmtId="0" fontId="73" fillId="0" borderId="18" xfId="27" quotePrefix="1" applyFont="1" applyBorder="1" applyAlignment="1">
      <alignment vertical="top" wrapText="1"/>
    </xf>
    <xf numFmtId="0" fontId="73" fillId="0" borderId="27" xfId="27" quotePrefix="1" applyFont="1" applyBorder="1" applyAlignment="1">
      <alignment horizontal="left" vertical="top" wrapText="1"/>
    </xf>
    <xf numFmtId="0" fontId="77" fillId="0" borderId="205" xfId="27" applyFont="1" applyBorder="1" applyAlignment="1">
      <alignment horizontal="center" vertical="center"/>
    </xf>
    <xf numFmtId="0" fontId="77" fillId="0" borderId="18" xfId="27" applyFont="1" applyBorder="1" applyAlignment="1">
      <alignment horizontal="center" vertical="center"/>
    </xf>
    <xf numFmtId="0" fontId="73" fillId="0" borderId="27" xfId="27" applyFont="1" applyBorder="1" applyAlignment="1">
      <alignment vertical="top" wrapText="1"/>
    </xf>
    <xf numFmtId="0" fontId="73" fillId="0" borderId="213" xfId="27" quotePrefix="1" applyFont="1" applyBorder="1" applyAlignment="1">
      <alignment horizontal="center" vertical="center"/>
    </xf>
    <xf numFmtId="0" fontId="73" fillId="0" borderId="214" xfId="27" applyFont="1" applyBorder="1" applyAlignment="1">
      <alignment vertical="top" wrapText="1"/>
    </xf>
    <xf numFmtId="174" fontId="73" fillId="0" borderId="215" xfId="27" applyNumberFormat="1" applyFont="1" applyBorder="1" applyAlignment="1">
      <alignment horizontal="center" vertical="center"/>
    </xf>
    <xf numFmtId="164" fontId="66" fillId="0" borderId="214" xfId="31" applyFont="1" applyFill="1" applyBorder="1" applyAlignment="1"/>
    <xf numFmtId="0" fontId="73" fillId="0" borderId="17" xfId="27" applyFont="1" applyBorder="1" applyAlignment="1">
      <alignment vertical="top" wrapText="1"/>
    </xf>
    <xf numFmtId="0" fontId="73" fillId="0" borderId="216" xfId="27" applyFont="1" applyBorder="1" applyAlignment="1">
      <alignment horizontal="left" vertical="top" wrapText="1"/>
    </xf>
    <xf numFmtId="0" fontId="73" fillId="0" borderId="215" xfId="27" applyFont="1" applyBorder="1" applyAlignment="1">
      <alignment horizontal="center" vertical="center"/>
    </xf>
    <xf numFmtId="0" fontId="73" fillId="0" borderId="216" xfId="27" applyFont="1" applyBorder="1" applyAlignment="1">
      <alignment vertical="top" wrapText="1"/>
    </xf>
    <xf numFmtId="0" fontId="77" fillId="0" borderId="199" xfId="27" quotePrefix="1" applyFont="1" applyBorder="1" applyAlignment="1">
      <alignment horizontal="center" vertical="center"/>
    </xf>
    <xf numFmtId="0" fontId="77" fillId="0" borderId="201" xfId="27" applyFont="1" applyBorder="1" applyAlignment="1">
      <alignment vertical="top" wrapText="1"/>
    </xf>
    <xf numFmtId="0" fontId="77" fillId="0" borderId="17" xfId="27" applyFont="1" applyBorder="1" applyAlignment="1">
      <alignment horizontal="center" vertical="center"/>
    </xf>
    <xf numFmtId="0" fontId="77" fillId="0" borderId="201" xfId="27" applyFont="1" applyBorder="1" applyAlignment="1">
      <alignment horizontal="center" vertical="center"/>
    </xf>
    <xf numFmtId="0" fontId="77" fillId="12" borderId="249" xfId="27" applyFont="1" applyFill="1" applyBorder="1" applyAlignment="1">
      <alignment horizontal="center" vertical="center"/>
    </xf>
    <xf numFmtId="0" fontId="77" fillId="12" borderId="250" xfId="27" applyFont="1" applyFill="1" applyBorder="1"/>
    <xf numFmtId="0" fontId="73" fillId="12" borderId="250" xfId="27" applyFont="1" applyFill="1" applyBorder="1" applyAlignment="1">
      <alignment horizontal="center" vertical="center"/>
    </xf>
    <xf numFmtId="0" fontId="77" fillId="12" borderId="251" xfId="27" applyFont="1" applyFill="1" applyBorder="1"/>
    <xf numFmtId="0" fontId="77" fillId="12" borderId="252" xfId="27" applyFont="1" applyFill="1" applyBorder="1"/>
    <xf numFmtId="0" fontId="77" fillId="12" borderId="253" xfId="27" applyFont="1" applyFill="1" applyBorder="1"/>
    <xf numFmtId="0" fontId="77" fillId="12" borderId="250" xfId="27" applyFont="1" applyFill="1" applyBorder="1" applyAlignment="1">
      <alignment horizontal="center"/>
    </xf>
    <xf numFmtId="169" fontId="77" fillId="12" borderId="250" xfId="29" applyNumberFormat="1" applyFont="1" applyFill="1" applyBorder="1"/>
    <xf numFmtId="165" fontId="77" fillId="12" borderId="254" xfId="20" applyFont="1" applyFill="1" applyBorder="1"/>
    <xf numFmtId="0" fontId="77" fillId="0" borderId="199" xfId="27" applyFont="1" applyBorder="1" applyAlignment="1">
      <alignment horizontal="center" vertical="center"/>
    </xf>
    <xf numFmtId="0" fontId="77" fillId="0" borderId="17" xfId="27" applyFont="1" applyBorder="1"/>
    <xf numFmtId="0" fontId="73" fillId="0" borderId="17" xfId="27" applyFont="1" applyBorder="1" applyAlignment="1">
      <alignment horizontal="center"/>
    </xf>
    <xf numFmtId="0" fontId="77" fillId="0" borderId="200" xfId="27" applyFont="1" applyBorder="1"/>
    <xf numFmtId="0" fontId="77" fillId="0" borderId="201" xfId="27" applyFont="1" applyBorder="1"/>
    <xf numFmtId="0" fontId="77" fillId="0" borderId="202" xfId="27" applyFont="1" applyBorder="1"/>
    <xf numFmtId="169" fontId="77" fillId="0" borderId="17" xfId="29" applyNumberFormat="1" applyFont="1" applyBorder="1"/>
    <xf numFmtId="165" fontId="77" fillId="0" borderId="203" xfId="20" applyFont="1" applyBorder="1"/>
    <xf numFmtId="0" fontId="81" fillId="0" borderId="18" xfId="27" applyFont="1" applyBorder="1"/>
    <xf numFmtId="165" fontId="73" fillId="0" borderId="206" xfId="20" applyFont="1" applyFill="1" applyBorder="1"/>
    <xf numFmtId="0" fontId="73" fillId="0" borderId="22" xfId="27" applyFont="1" applyBorder="1"/>
    <xf numFmtId="0" fontId="80" fillId="0" borderId="217" xfId="28" applyFont="1" applyBorder="1" applyAlignment="1">
      <alignment horizontal="left" vertical="top"/>
    </xf>
    <xf numFmtId="0" fontId="73" fillId="0" borderId="216" xfId="27" applyFont="1" applyBorder="1" applyAlignment="1">
      <alignment horizontal="left" vertical="center"/>
    </xf>
    <xf numFmtId="0" fontId="73" fillId="0" borderId="214" xfId="27" applyFont="1" applyBorder="1" applyAlignment="1">
      <alignment horizontal="center" vertical="center" wrapText="1"/>
    </xf>
    <xf numFmtId="0" fontId="73" fillId="0" borderId="214" xfId="27" applyFont="1" applyBorder="1" applyAlignment="1">
      <alignment vertical="center" wrapText="1"/>
    </xf>
    <xf numFmtId="0" fontId="73" fillId="0" borderId="17" xfId="27" applyFont="1" applyBorder="1"/>
    <xf numFmtId="174" fontId="73" fillId="0" borderId="17" xfId="27" applyNumberFormat="1" applyFont="1" applyBorder="1" applyAlignment="1">
      <alignment horizontal="center"/>
    </xf>
    <xf numFmtId="1" fontId="73" fillId="0" borderId="17" xfId="12" applyNumberFormat="1" applyFont="1" applyFill="1" applyBorder="1" applyAlignment="1">
      <alignment horizontal="center" vertical="center"/>
    </xf>
    <xf numFmtId="174" fontId="73" fillId="0" borderId="17" xfId="27" applyNumberFormat="1" applyFont="1" applyBorder="1" applyAlignment="1">
      <alignment horizontal="center" vertical="center"/>
    </xf>
    <xf numFmtId="0" fontId="73" fillId="0" borderId="200" xfId="27" applyFont="1" applyBorder="1"/>
    <xf numFmtId="0" fontId="80" fillId="0" borderId="202" xfId="28" applyFont="1" applyBorder="1" applyAlignment="1">
      <alignment horizontal="left" vertical="top"/>
    </xf>
    <xf numFmtId="0" fontId="73" fillId="0" borderId="201" xfId="27" applyFont="1" applyBorder="1" applyAlignment="1">
      <alignment horizontal="left" vertical="center"/>
    </xf>
    <xf numFmtId="0" fontId="73" fillId="0" borderId="17" xfId="27" applyFont="1" applyBorder="1" applyAlignment="1">
      <alignment horizontal="center" vertical="center" wrapText="1"/>
    </xf>
    <xf numFmtId="169" fontId="73" fillId="0" borderId="17" xfId="29" applyNumberFormat="1" applyFont="1" applyBorder="1"/>
    <xf numFmtId="165" fontId="73" fillId="0" borderId="203" xfId="20" applyFont="1" applyBorder="1"/>
    <xf numFmtId="0" fontId="73" fillId="0" borderId="204" xfId="27" applyFont="1" applyBorder="1" applyAlignment="1">
      <alignment horizontal="center" vertical="center"/>
    </xf>
    <xf numFmtId="1" fontId="73" fillId="0" borderId="18" xfId="12" applyNumberFormat="1" applyFont="1" applyFill="1" applyBorder="1" applyAlignment="1">
      <alignment horizontal="center" vertical="center"/>
    </xf>
    <xf numFmtId="1" fontId="73" fillId="0" borderId="18" xfId="12" applyNumberFormat="1" applyFont="1" applyBorder="1" applyAlignment="1">
      <alignment horizontal="center" vertical="center"/>
    </xf>
    <xf numFmtId="1" fontId="77" fillId="0" borderId="18" xfId="12" applyNumberFormat="1" applyFont="1" applyBorder="1" applyAlignment="1">
      <alignment horizontal="center" vertical="center"/>
    </xf>
    <xf numFmtId="0" fontId="77" fillId="12" borderId="204" xfId="27" applyFont="1" applyFill="1" applyBorder="1" applyAlignment="1">
      <alignment horizontal="center" vertical="center"/>
    </xf>
    <xf numFmtId="0" fontId="77" fillId="12" borderId="18" xfId="27" applyFont="1" applyFill="1" applyBorder="1"/>
    <xf numFmtId="0" fontId="73" fillId="12" borderId="18" xfId="27" applyFont="1" applyFill="1" applyBorder="1" applyAlignment="1">
      <alignment horizontal="center"/>
    </xf>
    <xf numFmtId="0" fontId="73" fillId="12" borderId="18" xfId="27" applyFont="1" applyFill="1" applyBorder="1" applyAlignment="1">
      <alignment horizontal="center" vertical="center"/>
    </xf>
    <xf numFmtId="0" fontId="77" fillId="12" borderId="205" xfId="27" applyFont="1" applyFill="1" applyBorder="1"/>
    <xf numFmtId="0" fontId="77" fillId="12" borderId="27" xfId="27" applyFont="1" applyFill="1" applyBorder="1"/>
    <xf numFmtId="0" fontId="77" fillId="12" borderId="22" xfId="27" applyFont="1" applyFill="1" applyBorder="1"/>
    <xf numFmtId="0" fontId="77" fillId="12" borderId="18" xfId="27" applyFont="1" applyFill="1" applyBorder="1" applyAlignment="1">
      <alignment horizontal="center"/>
    </xf>
    <xf numFmtId="169" fontId="77" fillId="12" borderId="18" xfId="29" applyNumberFormat="1" applyFont="1" applyFill="1" applyBorder="1"/>
    <xf numFmtId="165" fontId="77" fillId="12" borderId="206" xfId="20" applyFont="1" applyFill="1" applyBorder="1"/>
    <xf numFmtId="1" fontId="73" fillId="12" borderId="250" xfId="27" applyNumberFormat="1" applyFont="1" applyFill="1" applyBorder="1" applyAlignment="1">
      <alignment horizontal="center"/>
    </xf>
    <xf numFmtId="1" fontId="80" fillId="12" borderId="250" xfId="12" applyNumberFormat="1" applyFont="1" applyFill="1" applyBorder="1" applyAlignment="1">
      <alignment horizontal="center" vertical="center"/>
    </xf>
    <xf numFmtId="0" fontId="73" fillId="0" borderId="199" xfId="27" applyFont="1" applyBorder="1" applyAlignment="1">
      <alignment horizontal="center" vertical="center"/>
    </xf>
    <xf numFmtId="1" fontId="73" fillId="0" borderId="17" xfId="27" applyNumberFormat="1" applyFont="1" applyBorder="1" applyAlignment="1">
      <alignment horizontal="center"/>
    </xf>
    <xf numFmtId="1" fontId="73" fillId="0" borderId="17" xfId="27" applyNumberFormat="1" applyFont="1" applyBorder="1" applyAlignment="1">
      <alignment horizontal="center" vertical="center"/>
    </xf>
    <xf numFmtId="0" fontId="80" fillId="0" borderId="200" xfId="28" applyFont="1" applyBorder="1" applyAlignment="1">
      <alignment horizontal="left" vertical="top"/>
    </xf>
    <xf numFmtId="174" fontId="80" fillId="0" borderId="18" xfId="12" applyNumberFormat="1" applyFont="1" applyFill="1" applyBorder="1" applyAlignment="1">
      <alignment horizontal="center" vertical="center"/>
    </xf>
    <xf numFmtId="1" fontId="80" fillId="0" borderId="17" xfId="12" applyNumberFormat="1" applyFont="1" applyBorder="1" applyAlignment="1">
      <alignment horizontal="center" vertical="center"/>
    </xf>
    <xf numFmtId="0" fontId="80" fillId="0" borderId="18" xfId="12" applyNumberFormat="1" applyFont="1" applyBorder="1" applyAlignment="1">
      <alignment horizontal="center" vertical="center"/>
    </xf>
    <xf numFmtId="0" fontId="81" fillId="0" borderId="205" xfId="27" applyFont="1" applyBorder="1"/>
    <xf numFmtId="0" fontId="81" fillId="0" borderId="214" xfId="27" applyFont="1" applyBorder="1"/>
    <xf numFmtId="174" fontId="73" fillId="0" borderId="214" xfId="27" applyNumberFormat="1" applyFont="1" applyBorder="1" applyAlignment="1">
      <alignment horizontal="center"/>
    </xf>
    <xf numFmtId="174" fontId="73" fillId="0" borderId="214" xfId="27" applyNumberFormat="1" applyFont="1" applyBorder="1" applyAlignment="1">
      <alignment horizontal="center" vertical="center"/>
    </xf>
    <xf numFmtId="0" fontId="81" fillId="0" borderId="215" xfId="27" applyFont="1" applyBorder="1"/>
    <xf numFmtId="164" fontId="86" fillId="0" borderId="0" xfId="8" applyFont="1"/>
    <xf numFmtId="164" fontId="86" fillId="0" borderId="0" xfId="8" applyFont="1" applyAlignment="1">
      <alignment horizontal="center" vertical="center"/>
    </xf>
    <xf numFmtId="164" fontId="48" fillId="0" borderId="0" xfId="8" applyFont="1"/>
    <xf numFmtId="164" fontId="48" fillId="0" borderId="258" xfId="8" applyFont="1" applyBorder="1" applyAlignment="1">
      <alignment horizontal="center" vertical="center"/>
    </xf>
    <xf numFmtId="164" fontId="48" fillId="0" borderId="259" xfId="8" applyFont="1" applyBorder="1" applyAlignment="1"/>
    <xf numFmtId="164" fontId="86" fillId="0" borderId="0" xfId="8" applyFont="1" applyBorder="1" applyAlignment="1">
      <alignment horizontal="center" vertical="center"/>
    </xf>
    <xf numFmtId="164" fontId="86" fillId="0" borderId="0" xfId="8" applyFont="1" applyBorder="1"/>
    <xf numFmtId="164" fontId="86" fillId="0" borderId="0" xfId="8" applyFont="1" applyAlignment="1">
      <alignment horizontal="left"/>
    </xf>
    <xf numFmtId="164" fontId="86" fillId="0" borderId="0" xfId="8" applyFont="1" applyAlignment="1"/>
    <xf numFmtId="164" fontId="86" fillId="0" borderId="0" xfId="8" applyFont="1" applyAlignment="1">
      <alignment horizontal="center"/>
    </xf>
    <xf numFmtId="164" fontId="87" fillId="0" borderId="0" xfId="8" applyFont="1"/>
    <xf numFmtId="165" fontId="86" fillId="0" borderId="0" xfId="20" applyFont="1"/>
    <xf numFmtId="165" fontId="48" fillId="0" borderId="260" xfId="20" applyFont="1" applyBorder="1"/>
    <xf numFmtId="165" fontId="86" fillId="0" borderId="0" xfId="20" applyFont="1" applyBorder="1"/>
    <xf numFmtId="165" fontId="86" fillId="0" borderId="0" xfId="20" applyFont="1" applyAlignment="1">
      <alignment horizontal="center"/>
    </xf>
    <xf numFmtId="164" fontId="44" fillId="0" borderId="0" xfId="8" applyFont="1"/>
    <xf numFmtId="164" fontId="44" fillId="0" borderId="0" xfId="8" applyFont="1" applyAlignment="1">
      <alignment horizontal="left" vertical="center"/>
    </xf>
    <xf numFmtId="164" fontId="48" fillId="0" borderId="0" xfId="8" applyFont="1" applyAlignment="1"/>
    <xf numFmtId="164" fontId="86" fillId="0" borderId="261" xfId="8" applyFont="1" applyBorder="1" applyAlignment="1">
      <alignment horizontal="center"/>
    </xf>
    <xf numFmtId="164" fontId="86" fillId="0" borderId="262" xfId="8" applyFont="1" applyBorder="1" applyAlignment="1">
      <alignment horizontal="center"/>
    </xf>
    <xf numFmtId="164" fontId="86" fillId="0" borderId="263" xfId="8" applyFont="1" applyBorder="1" applyAlignment="1">
      <alignment horizontal="center"/>
    </xf>
    <xf numFmtId="165" fontId="86" fillId="0" borderId="264" xfId="20" applyFont="1" applyBorder="1"/>
    <xf numFmtId="165" fontId="86" fillId="0" borderId="160" xfId="20" applyFont="1" applyBorder="1"/>
    <xf numFmtId="165" fontId="86" fillId="0" borderId="265" xfId="20" applyFont="1" applyBorder="1"/>
    <xf numFmtId="165" fontId="48" fillId="0" borderId="272" xfId="20" applyFont="1" applyBorder="1"/>
    <xf numFmtId="165" fontId="86" fillId="0" borderId="273" xfId="20" applyFont="1" applyBorder="1"/>
    <xf numFmtId="165" fontId="86" fillId="0" borderId="274" xfId="20" applyFont="1" applyBorder="1"/>
    <xf numFmtId="164" fontId="86" fillId="0" borderId="275" xfId="8" applyFont="1" applyBorder="1" applyAlignment="1">
      <alignment horizontal="center"/>
    </xf>
    <xf numFmtId="165" fontId="86" fillId="0" borderId="0" xfId="20" applyFont="1" applyAlignment="1">
      <alignment horizontal="left" indent="14"/>
    </xf>
    <xf numFmtId="165" fontId="48" fillId="0" borderId="276" xfId="20" applyFont="1" applyBorder="1" applyAlignment="1">
      <alignment horizontal="center" vertical="top"/>
    </xf>
    <xf numFmtId="165" fontId="44" fillId="0" borderId="0" xfId="20" applyFont="1" applyAlignment="1">
      <alignment horizontal="center"/>
    </xf>
    <xf numFmtId="169" fontId="45" fillId="15" borderId="278" xfId="20" applyNumberFormat="1" applyFont="1" applyFill="1" applyBorder="1" applyAlignment="1">
      <alignment vertical="center"/>
    </xf>
    <xf numFmtId="169" fontId="45" fillId="14" borderId="279" xfId="20" applyNumberFormat="1" applyFont="1" applyFill="1" applyBorder="1" applyAlignment="1">
      <alignment horizontal="center" vertical="center"/>
    </xf>
    <xf numFmtId="169" fontId="45" fillId="0" borderId="277" xfId="20" applyNumberFormat="1" applyFont="1" applyFill="1" applyBorder="1" applyAlignment="1">
      <alignment horizontal="center" vertical="center"/>
    </xf>
    <xf numFmtId="169" fontId="44" fillId="0" borderId="277" xfId="20" applyNumberFormat="1" applyFont="1" applyFill="1" applyBorder="1" applyAlignment="1">
      <alignment horizontal="center" vertical="center"/>
    </xf>
    <xf numFmtId="169" fontId="45" fillId="0" borderId="280" xfId="20" applyNumberFormat="1" applyFont="1" applyFill="1" applyBorder="1" applyAlignment="1">
      <alignment vertical="center"/>
    </xf>
    <xf numFmtId="169" fontId="45" fillId="0" borderId="281" xfId="20" applyNumberFormat="1" applyFont="1" applyFill="1" applyBorder="1" applyAlignment="1">
      <alignment vertical="center"/>
    </xf>
    <xf numFmtId="169" fontId="45" fillId="14" borderId="277" xfId="20" applyNumberFormat="1" applyFont="1" applyFill="1" applyBorder="1" applyAlignment="1">
      <alignment horizontal="center" vertical="center"/>
    </xf>
    <xf numFmtId="169" fontId="44" fillId="14" borderId="277" xfId="20" applyNumberFormat="1" applyFont="1" applyFill="1" applyBorder="1" applyAlignment="1">
      <alignment horizontal="center" vertical="center"/>
    </xf>
    <xf numFmtId="169" fontId="44" fillId="0" borderId="27" xfId="20" applyNumberFormat="1" applyFont="1" applyFill="1" applyBorder="1" applyAlignment="1">
      <alignment horizontal="center" vertical="center"/>
    </xf>
    <xf numFmtId="169" fontId="44" fillId="0" borderId="280" xfId="20" applyNumberFormat="1" applyFont="1" applyFill="1" applyBorder="1" applyAlignment="1">
      <alignment horizontal="center" vertical="center"/>
    </xf>
    <xf numFmtId="169" fontId="45" fillId="0" borderId="278" xfId="20" applyNumberFormat="1" applyFont="1" applyFill="1" applyBorder="1" applyAlignment="1">
      <alignment vertical="center"/>
    </xf>
    <xf numFmtId="169" fontId="45" fillId="15" borderId="279" xfId="20" applyNumberFormat="1" applyFont="1" applyFill="1" applyBorder="1" applyAlignment="1">
      <alignment vertical="center"/>
    </xf>
    <xf numFmtId="169" fontId="45" fillId="14" borderId="277" xfId="20" applyNumberFormat="1" applyFont="1" applyFill="1" applyBorder="1" applyAlignment="1">
      <alignment vertical="center"/>
    </xf>
    <xf numFmtId="169" fontId="45" fillId="0" borderId="277" xfId="20" applyNumberFormat="1" applyFont="1" applyFill="1" applyBorder="1" applyAlignment="1">
      <alignment vertical="center"/>
    </xf>
    <xf numFmtId="169" fontId="45" fillId="0" borderId="27" xfId="20" applyNumberFormat="1" applyFont="1" applyFill="1" applyBorder="1" applyAlignment="1">
      <alignment horizontal="center" vertical="center"/>
    </xf>
    <xf numFmtId="169" fontId="44" fillId="0" borderId="27" xfId="20" applyNumberFormat="1" applyFont="1" applyFill="1" applyBorder="1" applyAlignment="1">
      <alignment vertical="center"/>
    </xf>
    <xf numFmtId="169" fontId="45" fillId="14" borderId="27" xfId="20" applyNumberFormat="1" applyFont="1" applyFill="1" applyBorder="1" applyAlignment="1">
      <alignment horizontal="center" vertical="center"/>
    </xf>
    <xf numFmtId="169" fontId="44" fillId="14" borderId="27" xfId="20" applyNumberFormat="1" applyFont="1" applyFill="1" applyBorder="1" applyAlignment="1">
      <alignment horizontal="center" vertical="center"/>
    </xf>
    <xf numFmtId="169" fontId="45" fillId="10" borderId="279" xfId="20" applyNumberFormat="1" applyFont="1" applyFill="1" applyBorder="1" applyAlignment="1">
      <alignment vertical="center"/>
    </xf>
    <xf numFmtId="169" fontId="45" fillId="15" borderId="285" xfId="20" applyNumberFormat="1" applyFont="1" applyFill="1" applyBorder="1" applyAlignment="1">
      <alignment vertical="center"/>
    </xf>
    <xf numFmtId="169" fontId="45" fillId="14" borderId="286" xfId="20" applyNumberFormat="1" applyFont="1" applyFill="1" applyBorder="1" applyAlignment="1">
      <alignment vertical="center"/>
    </xf>
    <xf numFmtId="169" fontId="44" fillId="0" borderId="283" xfId="20" applyNumberFormat="1" applyFont="1" applyFill="1" applyBorder="1" applyAlignment="1">
      <alignment vertical="center"/>
    </xf>
    <xf numFmtId="169" fontId="45" fillId="0" borderId="287" xfId="20" applyNumberFormat="1" applyFont="1" applyFill="1" applyBorder="1" applyAlignment="1">
      <alignment vertical="center"/>
    </xf>
    <xf numFmtId="169" fontId="45" fillId="0" borderId="283" xfId="20" applyNumberFormat="1" applyFont="1" applyFill="1" applyBorder="1" applyAlignment="1">
      <alignment vertical="center"/>
    </xf>
    <xf numFmtId="169" fontId="45" fillId="0" borderId="288" xfId="20" applyNumberFormat="1" applyFont="1" applyFill="1" applyBorder="1" applyAlignment="1">
      <alignment vertical="center"/>
    </xf>
    <xf numFmtId="169" fontId="45" fillId="14" borderId="283" xfId="20" applyNumberFormat="1" applyFont="1" applyFill="1" applyBorder="1" applyAlignment="1">
      <alignment vertical="center"/>
    </xf>
    <xf numFmtId="169" fontId="45" fillId="0" borderId="284" xfId="20" applyNumberFormat="1" applyFont="1" applyFill="1" applyBorder="1" applyAlignment="1">
      <alignment vertical="center"/>
    </xf>
    <xf numFmtId="169" fontId="45" fillId="0" borderId="285" xfId="20" applyNumberFormat="1" applyFont="1" applyFill="1" applyBorder="1" applyAlignment="1">
      <alignment vertical="center"/>
    </xf>
    <xf numFmtId="169" fontId="45" fillId="15" borderId="286" xfId="20" applyNumberFormat="1" applyFont="1" applyFill="1" applyBorder="1" applyAlignment="1">
      <alignment vertical="center"/>
    </xf>
    <xf numFmtId="169" fontId="44" fillId="0" borderId="284" xfId="20" applyNumberFormat="1" applyFont="1" applyFill="1" applyBorder="1" applyAlignment="1">
      <alignment vertical="center"/>
    </xf>
    <xf numFmtId="169" fontId="45" fillId="14" borderId="284" xfId="20" applyNumberFormat="1" applyFont="1" applyFill="1" applyBorder="1" applyAlignment="1">
      <alignment vertical="center"/>
    </xf>
    <xf numFmtId="169" fontId="45" fillId="10" borderId="286" xfId="20" applyNumberFormat="1" applyFont="1" applyFill="1" applyBorder="1" applyAlignment="1">
      <alignment vertical="center"/>
    </xf>
    <xf numFmtId="165" fontId="86" fillId="0" borderId="289" xfId="20" applyFont="1" applyBorder="1"/>
    <xf numFmtId="169" fontId="45" fillId="7" borderId="0" xfId="20" applyNumberFormat="1" applyFont="1" applyFill="1" applyAlignment="1">
      <alignment horizontal="center" vertical="center"/>
    </xf>
    <xf numFmtId="169" fontId="45" fillId="7" borderId="122" xfId="20" applyNumberFormat="1" applyFont="1" applyFill="1" applyBorder="1" applyAlignment="1">
      <alignment horizontal="center" vertical="center"/>
    </xf>
    <xf numFmtId="169" fontId="45" fillId="7" borderId="20" xfId="20" applyNumberFormat="1" applyFont="1" applyFill="1" applyBorder="1" applyAlignment="1">
      <alignment horizontal="center" vertical="center"/>
    </xf>
    <xf numFmtId="169" fontId="44" fillId="7" borderId="20" xfId="20" applyNumberFormat="1" applyFont="1" applyFill="1" applyBorder="1" applyAlignment="1">
      <alignment horizontal="left" vertical="center" indent="1"/>
    </xf>
    <xf numFmtId="169" fontId="44" fillId="7" borderId="283" xfId="20" applyNumberFormat="1" applyFont="1" applyFill="1" applyBorder="1" applyAlignment="1">
      <alignment vertical="center"/>
    </xf>
    <xf numFmtId="169" fontId="45" fillId="7" borderId="277" xfId="20" applyNumberFormat="1" applyFont="1" applyFill="1" applyBorder="1" applyAlignment="1">
      <alignment vertical="center"/>
    </xf>
    <xf numFmtId="169" fontId="45" fillId="7" borderId="20" xfId="20" applyNumberFormat="1" applyFont="1" applyFill="1" applyBorder="1" applyAlignment="1">
      <alignment vertical="center"/>
    </xf>
    <xf numFmtId="169" fontId="45" fillId="7" borderId="40" xfId="20" applyNumberFormat="1" applyFont="1" applyFill="1" applyBorder="1" applyAlignment="1">
      <alignment vertical="center"/>
    </xf>
    <xf numFmtId="169" fontId="45" fillId="7" borderId="41" xfId="20" applyNumberFormat="1" applyFont="1" applyFill="1" applyBorder="1" applyAlignment="1">
      <alignment vertical="center"/>
    </xf>
    <xf numFmtId="169" fontId="45" fillId="7" borderId="42" xfId="20" applyNumberFormat="1" applyFont="1" applyFill="1" applyBorder="1" applyAlignment="1">
      <alignment vertical="center"/>
    </xf>
    <xf numFmtId="169" fontId="45" fillId="7" borderId="49" xfId="20" applyNumberFormat="1" applyFont="1" applyFill="1" applyBorder="1" applyAlignment="1">
      <alignment horizontal="center" vertical="center"/>
    </xf>
    <xf numFmtId="169" fontId="45" fillId="7" borderId="31" xfId="20" applyNumberFormat="1" applyFont="1" applyFill="1" applyBorder="1" applyAlignment="1">
      <alignment horizontal="center" vertical="center"/>
    </xf>
    <xf numFmtId="169" fontId="45" fillId="7" borderId="32" xfId="20" applyNumberFormat="1" applyFont="1" applyFill="1" applyBorder="1" applyAlignment="1">
      <alignment horizontal="center" vertical="center"/>
    </xf>
    <xf numFmtId="169" fontId="45" fillId="7" borderId="33" xfId="20" applyNumberFormat="1" applyFont="1" applyFill="1" applyBorder="1" applyAlignment="1">
      <alignment horizontal="center" vertical="center"/>
    </xf>
    <xf numFmtId="169" fontId="45" fillId="7" borderId="53" xfId="20" applyNumberFormat="1" applyFont="1" applyFill="1" applyBorder="1" applyAlignment="1">
      <alignment horizontal="center" vertical="center"/>
    </xf>
    <xf numFmtId="169" fontId="45" fillId="7" borderId="0" xfId="20" applyNumberFormat="1" applyFont="1" applyFill="1" applyAlignment="1">
      <alignment vertical="center"/>
    </xf>
    <xf numFmtId="169" fontId="45" fillId="7" borderId="18" xfId="20" applyNumberFormat="1" applyFont="1" applyFill="1" applyBorder="1" applyAlignment="1">
      <alignment horizontal="right" vertical="center"/>
    </xf>
    <xf numFmtId="169" fontId="44" fillId="7" borderId="18" xfId="20" applyNumberFormat="1" applyFont="1" applyFill="1" applyBorder="1" applyAlignment="1">
      <alignment horizontal="left" vertical="center" indent="1"/>
    </xf>
    <xf numFmtId="169" fontId="45" fillId="7" borderId="18" xfId="20" applyNumberFormat="1" applyFont="1" applyFill="1" applyBorder="1" applyAlignment="1">
      <alignment horizontal="center" vertical="center"/>
    </xf>
    <xf numFmtId="169" fontId="44" fillId="7" borderId="284" xfId="9" applyNumberFormat="1" applyFont="1" applyFill="1" applyBorder="1" applyAlignment="1">
      <alignment vertical="center"/>
    </xf>
    <xf numFmtId="169" fontId="45" fillId="7" borderId="27" xfId="20" applyNumberFormat="1" applyFont="1" applyFill="1" applyBorder="1" applyAlignment="1">
      <alignment horizontal="center" vertical="center"/>
    </xf>
    <xf numFmtId="169" fontId="44" fillId="7" borderId="284" xfId="20" applyNumberFormat="1" applyFont="1" applyFill="1" applyBorder="1" applyAlignment="1">
      <alignment vertical="center"/>
    </xf>
    <xf numFmtId="169" fontId="45" fillId="7" borderId="18" xfId="20" applyNumberFormat="1" applyFont="1" applyFill="1" applyBorder="1" applyAlignment="1">
      <alignment vertical="center"/>
    </xf>
    <xf numFmtId="169" fontId="44" fillId="7" borderId="27" xfId="20" applyNumberFormat="1" applyFont="1" applyFill="1" applyBorder="1" applyAlignment="1">
      <alignment horizontal="left" vertical="center" indent="1"/>
    </xf>
    <xf numFmtId="169" fontId="45" fillId="7" borderId="27" xfId="20" applyNumberFormat="1" applyFont="1" applyFill="1" applyBorder="1" applyAlignment="1">
      <alignment vertical="center"/>
    </xf>
    <xf numFmtId="169" fontId="45" fillId="7" borderId="31" xfId="20" applyNumberFormat="1" applyFont="1" applyFill="1" applyBorder="1" applyAlignment="1">
      <alignment vertical="center"/>
    </xf>
    <xf numFmtId="169" fontId="45" fillId="7" borderId="18" xfId="20" quotePrefix="1" applyNumberFormat="1" applyFont="1" applyFill="1" applyBorder="1" applyAlignment="1">
      <alignment horizontal="left" vertical="center" wrapText="1"/>
    </xf>
    <xf numFmtId="169" fontId="45" fillId="7" borderId="32" xfId="20" applyNumberFormat="1" applyFont="1" applyFill="1" applyBorder="1" applyAlignment="1">
      <alignment vertical="center"/>
    </xf>
    <xf numFmtId="169" fontId="45" fillId="7" borderId="33" xfId="20" applyNumberFormat="1" applyFont="1" applyFill="1" applyBorder="1" applyAlignment="1">
      <alignment vertical="center"/>
    </xf>
    <xf numFmtId="169" fontId="45" fillId="7" borderId="53" xfId="20" applyNumberFormat="1" applyFont="1" applyFill="1" applyBorder="1" applyAlignment="1">
      <alignment vertical="center"/>
    </xf>
    <xf numFmtId="169" fontId="45" fillId="7" borderId="119" xfId="20" applyNumberFormat="1" applyFont="1" applyFill="1" applyBorder="1" applyAlignment="1">
      <alignment horizontal="center" vertical="center"/>
    </xf>
    <xf numFmtId="169" fontId="44" fillId="7" borderId="119" xfId="20" applyNumberFormat="1" applyFont="1" applyFill="1" applyBorder="1" applyAlignment="1">
      <alignment horizontal="center" vertical="top"/>
    </xf>
    <xf numFmtId="169" fontId="44" fillId="7" borderId="18" xfId="20" applyNumberFormat="1" applyFont="1" applyFill="1" applyBorder="1" applyAlignment="1">
      <alignment horizontal="right" vertical="top"/>
    </xf>
    <xf numFmtId="169" fontId="44" fillId="7" borderId="18" xfId="9" applyNumberFormat="1" applyFont="1" applyFill="1" applyBorder="1" applyAlignment="1">
      <alignment horizontal="left" vertical="center" indent="1"/>
    </xf>
    <xf numFmtId="169" fontId="44" fillId="7" borderId="18" xfId="20" applyNumberFormat="1" applyFont="1" applyFill="1" applyBorder="1" applyAlignment="1">
      <alignment vertical="top"/>
    </xf>
    <xf numFmtId="169" fontId="44" fillId="7" borderId="27" xfId="20" applyNumberFormat="1" applyFont="1" applyFill="1" applyBorder="1" applyAlignment="1">
      <alignment vertical="center"/>
    </xf>
    <xf numFmtId="169" fontId="44" fillId="7" borderId="18" xfId="20" applyNumberFormat="1" applyFont="1" applyFill="1" applyBorder="1" applyAlignment="1">
      <alignment vertical="center"/>
    </xf>
    <xf numFmtId="169" fontId="44" fillId="7" borderId="31" xfId="20" applyNumberFormat="1" applyFont="1" applyFill="1" applyBorder="1" applyAlignment="1">
      <alignment vertical="center"/>
    </xf>
    <xf numFmtId="169" fontId="44" fillId="7" borderId="32" xfId="20" applyNumberFormat="1" applyFont="1" applyFill="1" applyBorder="1" applyAlignment="1">
      <alignment horizontal="center" vertical="center"/>
    </xf>
    <xf numFmtId="169" fontId="44" fillId="7" borderId="18" xfId="20" quotePrefix="1" applyNumberFormat="1" applyFont="1" applyFill="1" applyBorder="1" applyAlignment="1">
      <alignment horizontal="left" vertical="center" wrapText="1"/>
    </xf>
    <xf numFmtId="169" fontId="44" fillId="7" borderId="49" xfId="20" applyNumberFormat="1" applyFont="1" applyFill="1" applyBorder="1" applyAlignment="1">
      <alignment horizontal="center" vertical="center"/>
    </xf>
    <xf numFmtId="169" fontId="44" fillId="7" borderId="0" xfId="20" applyNumberFormat="1" applyFont="1" applyFill="1" applyAlignment="1">
      <alignment vertical="center"/>
    </xf>
    <xf numFmtId="165" fontId="86" fillId="0" borderId="0" xfId="20" applyFont="1" applyAlignment="1"/>
    <xf numFmtId="169" fontId="44" fillId="7" borderId="0" xfId="20" applyNumberFormat="1" applyFont="1" applyFill="1" applyAlignment="1">
      <alignment horizontal="center" vertical="center"/>
    </xf>
    <xf numFmtId="169" fontId="44" fillId="7" borderId="20" xfId="20" applyNumberFormat="1" applyFont="1" applyFill="1" applyBorder="1" applyAlignment="1">
      <alignment horizontal="center" vertical="center"/>
    </xf>
    <xf numFmtId="169" fontId="44" fillId="7" borderId="277" xfId="20" applyNumberFormat="1" applyFont="1" applyFill="1" applyBorder="1" applyAlignment="1">
      <alignment horizontal="center" vertical="center"/>
    </xf>
    <xf numFmtId="169" fontId="44" fillId="7" borderId="40" xfId="20" applyNumberFormat="1" applyFont="1" applyFill="1" applyBorder="1" applyAlignment="1">
      <alignment horizontal="center" vertical="center"/>
    </xf>
    <xf numFmtId="169" fontId="44" fillId="7" borderId="41" xfId="20" applyNumberFormat="1" applyFont="1" applyFill="1" applyBorder="1" applyAlignment="1">
      <alignment horizontal="center" vertical="center"/>
    </xf>
    <xf numFmtId="169" fontId="44" fillId="7" borderId="42" xfId="20" applyNumberFormat="1" applyFont="1" applyFill="1" applyBorder="1" applyAlignment="1">
      <alignment horizontal="center" vertical="center"/>
    </xf>
    <xf numFmtId="169" fontId="44" fillId="7" borderId="31" xfId="20" applyNumberFormat="1" applyFont="1" applyFill="1" applyBorder="1" applyAlignment="1">
      <alignment horizontal="center" vertical="center"/>
    </xf>
    <xf numFmtId="169" fontId="44" fillId="7" borderId="33" xfId="20" applyNumberFormat="1" applyFont="1" applyFill="1" applyBorder="1" applyAlignment="1">
      <alignment horizontal="center" vertical="center"/>
    </xf>
    <xf numFmtId="169" fontId="44" fillId="7" borderId="53" xfId="20" applyNumberFormat="1" applyFont="1" applyFill="1" applyBorder="1" applyAlignment="1">
      <alignment horizontal="center" vertical="center"/>
    </xf>
    <xf numFmtId="169" fontId="45" fillId="7" borderId="40" xfId="20" applyNumberFormat="1" applyFont="1" applyFill="1" applyBorder="1" applyAlignment="1">
      <alignment horizontal="center" vertical="center"/>
    </xf>
    <xf numFmtId="169" fontId="45" fillId="7" borderId="41" xfId="20" applyNumberFormat="1" applyFont="1" applyFill="1" applyBorder="1" applyAlignment="1">
      <alignment horizontal="center" vertical="center"/>
    </xf>
    <xf numFmtId="169" fontId="45" fillId="7" borderId="42" xfId="20" applyNumberFormat="1" applyFont="1" applyFill="1" applyBorder="1" applyAlignment="1">
      <alignment horizontal="center" vertical="center"/>
    </xf>
    <xf numFmtId="169" fontId="45" fillId="7" borderId="49" xfId="20" applyNumberFormat="1" applyFont="1" applyFill="1" applyBorder="1" applyAlignment="1">
      <alignment vertical="center"/>
    </xf>
    <xf numFmtId="169" fontId="44" fillId="7" borderId="49" xfId="20" applyNumberFormat="1" applyFont="1" applyFill="1" applyBorder="1" applyAlignment="1">
      <alignment vertical="center"/>
    </xf>
    <xf numFmtId="169" fontId="44" fillId="7" borderId="32" xfId="20" applyNumberFormat="1" applyFont="1" applyFill="1" applyBorder="1" applyAlignment="1">
      <alignment vertical="center"/>
    </xf>
    <xf numFmtId="169" fontId="44" fillId="7" borderId="33" xfId="20" applyNumberFormat="1" applyFont="1" applyFill="1" applyBorder="1" applyAlignment="1">
      <alignment vertical="center"/>
    </xf>
    <xf numFmtId="169" fontId="44" fillId="7" borderId="53" xfId="20" applyNumberFormat="1" applyFont="1" applyFill="1" applyBorder="1" applyAlignment="1">
      <alignment vertical="center"/>
    </xf>
    <xf numFmtId="169" fontId="44" fillId="0" borderId="20" xfId="20" quotePrefix="1" applyNumberFormat="1" applyFont="1" applyFill="1" applyBorder="1" applyAlignment="1">
      <alignment horizontal="left" vertical="center" indent="1"/>
    </xf>
    <xf numFmtId="169" fontId="44" fillId="0" borderId="283" xfId="9" applyNumberFormat="1" applyFont="1" applyFill="1" applyBorder="1" applyAlignment="1">
      <alignment vertical="center"/>
    </xf>
    <xf numFmtId="169" fontId="44" fillId="0" borderId="284" xfId="9" applyNumberFormat="1" applyFont="1" applyFill="1" applyBorder="1" applyAlignment="1">
      <alignment vertical="center"/>
    </xf>
    <xf numFmtId="169" fontId="45" fillId="18" borderId="17" xfId="20" applyNumberFormat="1" applyFont="1" applyFill="1" applyBorder="1" applyAlignment="1">
      <alignment horizontal="center" vertical="center"/>
    </xf>
    <xf numFmtId="169" fontId="45" fillId="18" borderId="20" xfId="20" applyNumberFormat="1" applyFont="1" applyFill="1" applyBorder="1" applyAlignment="1">
      <alignment horizontal="center" vertical="center"/>
    </xf>
    <xf numFmtId="169" fontId="45" fillId="18" borderId="18" xfId="20" applyNumberFormat="1" applyFont="1" applyFill="1" applyBorder="1" applyAlignment="1">
      <alignment horizontal="center" vertical="center"/>
    </xf>
    <xf numFmtId="169" fontId="45" fillId="18" borderId="282" xfId="20" applyNumberFormat="1" applyFont="1" applyFill="1" applyBorder="1" applyAlignment="1">
      <alignment horizontal="center" vertical="center"/>
    </xf>
    <xf numFmtId="169" fontId="45" fillId="18" borderId="283" xfId="20" applyNumberFormat="1" applyFont="1" applyFill="1" applyBorder="1" applyAlignment="1">
      <alignment horizontal="center" vertical="center"/>
    </xf>
    <xf numFmtId="169" fontId="45" fillId="18" borderId="284" xfId="20" applyNumberFormat="1" applyFont="1" applyFill="1" applyBorder="1" applyAlignment="1">
      <alignment horizontal="center" vertical="center"/>
    </xf>
    <xf numFmtId="169" fontId="45" fillId="18" borderId="28" xfId="20" applyNumberFormat="1" applyFont="1" applyFill="1" applyBorder="1" applyAlignment="1">
      <alignment horizontal="center" vertical="center"/>
    </xf>
    <xf numFmtId="169" fontId="45" fillId="18" borderId="29" xfId="20" applyNumberFormat="1" applyFont="1" applyFill="1" applyBorder="1" applyAlignment="1">
      <alignment horizontal="center" vertical="center"/>
    </xf>
    <xf numFmtId="169" fontId="45" fillId="18" borderId="30" xfId="20" applyNumberFormat="1" applyFont="1" applyFill="1" applyBorder="1" applyAlignment="1">
      <alignment horizontal="center" vertical="center"/>
    </xf>
    <xf numFmtId="169" fontId="45" fillId="17" borderId="0" xfId="20" applyNumberFormat="1" applyFont="1" applyFill="1" applyAlignment="1">
      <alignment horizontal="center" vertical="center"/>
    </xf>
    <xf numFmtId="169" fontId="48" fillId="18" borderId="0" xfId="20" applyNumberFormat="1" applyFont="1" applyFill="1" applyAlignment="1">
      <alignment horizontal="center" vertical="center"/>
    </xf>
    <xf numFmtId="169" fontId="45" fillId="0" borderId="0" xfId="20" applyNumberFormat="1" applyFont="1" applyFill="1" applyAlignment="1">
      <alignment vertical="center"/>
    </xf>
    <xf numFmtId="169" fontId="45" fillId="18" borderId="32" xfId="20" applyNumberFormat="1" applyFont="1" applyFill="1" applyBorder="1" applyAlignment="1">
      <alignment horizontal="center" vertical="center" wrapText="1"/>
    </xf>
    <xf numFmtId="169" fontId="45" fillId="18" borderId="31" xfId="20" applyNumberFormat="1" applyFont="1" applyFill="1" applyBorder="1" applyAlignment="1">
      <alignment horizontal="center" vertical="center"/>
    </xf>
    <xf numFmtId="169" fontId="45" fillId="18" borderId="32" xfId="20" applyNumberFormat="1" applyFont="1" applyFill="1" applyBorder="1" applyAlignment="1">
      <alignment horizontal="center" vertical="center"/>
    </xf>
    <xf numFmtId="169" fontId="45" fillId="18" borderId="33" xfId="20" applyNumberFormat="1" applyFont="1" applyFill="1" applyBorder="1" applyAlignment="1">
      <alignment horizontal="center" vertical="center"/>
    </xf>
    <xf numFmtId="169" fontId="45" fillId="18" borderId="53" xfId="20" quotePrefix="1" applyNumberFormat="1" applyFont="1" applyFill="1" applyBorder="1" applyAlignment="1">
      <alignment horizontal="center" vertical="center"/>
    </xf>
    <xf numFmtId="169" fontId="45" fillId="18" borderId="32" xfId="20" quotePrefix="1" applyNumberFormat="1" applyFont="1" applyFill="1" applyBorder="1" applyAlignment="1">
      <alignment horizontal="center" vertical="center"/>
    </xf>
    <xf numFmtId="169" fontId="45" fillId="18" borderId="33" xfId="20" quotePrefix="1" applyNumberFormat="1" applyFont="1" applyFill="1" applyBorder="1" applyAlignment="1">
      <alignment horizontal="center" vertical="center"/>
    </xf>
    <xf numFmtId="169" fontId="45" fillId="18" borderId="118" xfId="20" applyNumberFormat="1" applyFont="1" applyFill="1" applyBorder="1" applyAlignment="1">
      <alignment horizontal="center" vertical="center"/>
    </xf>
    <xf numFmtId="169" fontId="45" fillId="18" borderId="122" xfId="20" applyNumberFormat="1" applyFont="1" applyFill="1" applyBorder="1" applyAlignment="1">
      <alignment horizontal="center" vertical="center"/>
    </xf>
    <xf numFmtId="169" fontId="45" fillId="18" borderId="119" xfId="20" applyNumberFormat="1" applyFont="1" applyFill="1" applyBorder="1" applyAlignment="1">
      <alignment horizontal="center" vertical="center"/>
    </xf>
    <xf numFmtId="169" fontId="45" fillId="18" borderId="201" xfId="20" applyNumberFormat="1" applyFont="1" applyFill="1" applyBorder="1" applyAlignment="1">
      <alignment horizontal="center" vertical="center"/>
    </xf>
    <xf numFmtId="169" fontId="45" fillId="18" borderId="277" xfId="20" applyNumberFormat="1" applyFont="1" applyFill="1" applyBorder="1" applyAlignment="1">
      <alignment horizontal="center" vertical="center"/>
    </xf>
    <xf numFmtId="169" fontId="45" fillId="18" borderId="27" xfId="20" applyNumberFormat="1" applyFont="1" applyFill="1" applyBorder="1" applyAlignment="1">
      <alignment horizontal="center" vertical="center"/>
    </xf>
    <xf numFmtId="169" fontId="45" fillId="18" borderId="104" xfId="20" applyNumberFormat="1" applyFont="1" applyFill="1" applyBorder="1" applyAlignment="1">
      <alignment horizontal="center" vertical="center"/>
    </xf>
    <xf numFmtId="169" fontId="45" fillId="18" borderId="2" xfId="20" applyNumberFormat="1" applyFont="1" applyFill="1" applyBorder="1" applyAlignment="1">
      <alignment horizontal="center" vertical="center"/>
    </xf>
    <xf numFmtId="169" fontId="45" fillId="18" borderId="152" xfId="20" applyNumberFormat="1" applyFont="1" applyFill="1" applyBorder="1" applyAlignment="1">
      <alignment horizontal="center" vertical="center"/>
    </xf>
    <xf numFmtId="169" fontId="45" fillId="18" borderId="106" xfId="20" applyNumberFormat="1" applyFont="1" applyFill="1" applyBorder="1" applyAlignment="1">
      <alignment horizontal="center" vertical="center"/>
    </xf>
    <xf numFmtId="169" fontId="45" fillId="18" borderId="105" xfId="20" applyNumberFormat="1" applyFont="1" applyFill="1" applyBorder="1" applyAlignment="1">
      <alignment horizontal="center" vertical="center"/>
    </xf>
    <xf numFmtId="169" fontId="45" fillId="18" borderId="17" xfId="20" applyNumberFormat="1" applyFont="1" applyFill="1" applyBorder="1" applyAlignment="1">
      <alignment horizontal="center" vertical="center" wrapText="1"/>
    </xf>
    <xf numFmtId="169" fontId="45" fillId="18" borderId="20" xfId="20" applyNumberFormat="1" applyFont="1" applyFill="1" applyBorder="1" applyAlignment="1">
      <alignment horizontal="center" vertical="center" wrapText="1"/>
    </xf>
    <xf numFmtId="169" fontId="45" fillId="18" borderId="18" xfId="20" applyNumberFormat="1" applyFont="1" applyFill="1" applyBorder="1" applyAlignment="1">
      <alignment horizontal="center" vertical="center" wrapText="1"/>
    </xf>
    <xf numFmtId="165" fontId="86" fillId="0" borderId="0" xfId="20" applyFont="1" applyAlignment="1">
      <alignment horizontal="right"/>
    </xf>
    <xf numFmtId="164" fontId="86" fillId="0" borderId="268" xfId="8" applyFont="1" applyBorder="1" applyAlignment="1">
      <alignment horizontal="left"/>
    </xf>
    <xf numFmtId="164" fontId="86" fillId="0" borderId="269" xfId="8" applyFont="1" applyBorder="1" applyAlignment="1">
      <alignment horizontal="left"/>
    </xf>
    <xf numFmtId="164" fontId="86" fillId="0" borderId="0" xfId="8" applyFont="1" applyAlignment="1">
      <alignment horizontal="center" vertical="center"/>
    </xf>
    <xf numFmtId="164" fontId="91" fillId="0" borderId="0" xfId="8" applyFont="1" applyBorder="1" applyAlignment="1">
      <alignment horizontal="center" vertical="center"/>
    </xf>
    <xf numFmtId="164" fontId="88" fillId="0" borderId="0" xfId="8" applyFont="1" applyAlignment="1">
      <alignment horizontal="center" vertical="center"/>
    </xf>
    <xf numFmtId="164" fontId="86" fillId="0" borderId="270" xfId="8" applyFont="1" applyBorder="1" applyAlignment="1">
      <alignment horizontal="left"/>
    </xf>
    <xf numFmtId="164" fontId="86" fillId="0" borderId="271" xfId="8" applyFont="1" applyBorder="1" applyAlignment="1">
      <alignment horizontal="left"/>
    </xf>
    <xf numFmtId="164" fontId="48" fillId="0" borderId="259" xfId="8" applyFont="1" applyBorder="1" applyAlignment="1">
      <alignment horizontal="left"/>
    </xf>
    <xf numFmtId="164" fontId="86" fillId="0" borderId="266" xfId="8" applyFont="1" applyBorder="1" applyAlignment="1">
      <alignment horizontal="left"/>
    </xf>
    <xf numFmtId="164" fontId="86" fillId="0" borderId="267" xfId="8" applyFont="1" applyBorder="1" applyAlignment="1">
      <alignment horizontal="left"/>
    </xf>
    <xf numFmtId="164" fontId="48" fillId="0" borderId="0" xfId="8" applyFont="1" applyAlignment="1">
      <alignment horizontal="center" vertical="center"/>
    </xf>
    <xf numFmtId="164" fontId="48" fillId="0" borderId="0" xfId="8" applyFont="1" applyAlignment="1">
      <alignment horizontal="center"/>
    </xf>
    <xf numFmtId="164" fontId="48" fillId="0" borderId="184" xfId="8" applyFont="1" applyBorder="1" applyAlignment="1">
      <alignment horizontal="center" vertical="center"/>
    </xf>
    <xf numFmtId="164" fontId="48" fillId="0" borderId="256" xfId="8" applyFont="1" applyBorder="1" applyAlignment="1">
      <alignment horizontal="center" vertical="center"/>
    </xf>
    <xf numFmtId="164" fontId="48" fillId="0" borderId="59" xfId="8" applyFont="1" applyBorder="1" applyAlignment="1">
      <alignment horizontal="center" vertical="center"/>
    </xf>
    <xf numFmtId="164" fontId="48" fillId="0" borderId="60" xfId="8" applyFont="1" applyBorder="1" applyAlignment="1">
      <alignment horizontal="center" vertical="center"/>
    </xf>
    <xf numFmtId="164" fontId="48" fillId="0" borderId="182" xfId="8" applyFont="1" applyBorder="1" applyAlignment="1">
      <alignment horizontal="center" vertical="center"/>
    </xf>
    <xf numFmtId="164" fontId="48" fillId="0" borderId="181" xfId="8" applyFont="1" applyBorder="1" applyAlignment="1">
      <alignment horizontal="center" vertical="center"/>
    </xf>
    <xf numFmtId="165" fontId="48" fillId="0" borderId="177" xfId="20" applyFont="1" applyBorder="1" applyAlignment="1">
      <alignment horizontal="center" vertical="center"/>
    </xf>
    <xf numFmtId="165" fontId="48" fillId="0" borderId="257" xfId="2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169" fontId="45" fillId="0" borderId="0" xfId="20" applyNumberFormat="1" applyFont="1" applyFill="1" applyAlignment="1">
      <alignment horizontal="left" vertical="center"/>
    </xf>
    <xf numFmtId="0" fontId="45" fillId="0" borderId="127" xfId="0" applyFont="1" applyBorder="1" applyAlignment="1">
      <alignment horizontal="center" vertical="center"/>
    </xf>
    <xf numFmtId="0" fontId="45" fillId="0" borderId="136" xfId="0" applyFont="1" applyBorder="1" applyAlignment="1">
      <alignment horizontal="center" vertical="center"/>
    </xf>
    <xf numFmtId="0" fontId="45" fillId="0" borderId="126" xfId="0" applyFont="1" applyBorder="1" applyAlignment="1">
      <alignment horizontal="center" vertical="center"/>
    </xf>
    <xf numFmtId="0" fontId="45" fillId="0" borderId="135" xfId="0" applyFont="1" applyBorder="1" applyAlignment="1">
      <alignment horizontal="center" vertical="center"/>
    </xf>
    <xf numFmtId="165" fontId="45" fillId="0" borderId="127" xfId="20" applyFont="1" applyBorder="1" applyAlignment="1">
      <alignment horizontal="center" vertical="center" wrapText="1"/>
    </xf>
    <xf numFmtId="165" fontId="45" fillId="0" borderId="136" xfId="20" applyFont="1" applyBorder="1" applyAlignment="1">
      <alignment horizontal="center" vertical="center" wrapText="1"/>
    </xf>
    <xf numFmtId="165" fontId="45" fillId="0" borderId="128" xfId="20" applyFont="1" applyBorder="1" applyAlignment="1">
      <alignment horizontal="center" vertical="center"/>
    </xf>
    <xf numFmtId="165" fontId="45" fillId="0" borderId="137" xfId="20" applyFont="1" applyBorder="1" applyAlignment="1">
      <alignment horizontal="center" vertical="center"/>
    </xf>
    <xf numFmtId="0" fontId="45" fillId="0" borderId="138" xfId="0" applyFont="1" applyBorder="1" applyAlignment="1">
      <alignment horizontal="center" vertical="center"/>
    </xf>
    <xf numFmtId="0" fontId="45" fillId="0" borderId="139" xfId="0" applyFont="1" applyBorder="1" applyAlignment="1">
      <alignment horizontal="center" vertical="center"/>
    </xf>
    <xf numFmtId="0" fontId="45" fillId="0" borderId="140" xfId="0" applyFont="1" applyBorder="1" applyAlignment="1">
      <alignment horizontal="center" vertical="center"/>
    </xf>
    <xf numFmtId="172" fontId="70" fillId="0" borderId="104" xfId="7" applyNumberFormat="1" applyFont="1" applyBorder="1" applyAlignment="1">
      <alignment horizontal="center" vertical="center"/>
    </xf>
    <xf numFmtId="172" fontId="70" fillId="0" borderId="2" xfId="7" applyNumberFormat="1" applyFont="1" applyBorder="1" applyAlignment="1">
      <alignment horizontal="center" vertical="center"/>
    </xf>
    <xf numFmtId="172" fontId="70" fillId="0" borderId="125" xfId="7" applyNumberFormat="1" applyFont="1" applyBorder="1" applyAlignment="1">
      <alignment horizontal="center" vertical="center"/>
    </xf>
    <xf numFmtId="173" fontId="55" fillId="19" borderId="104" xfId="21" applyNumberFormat="1" applyFont="1" applyFill="1" applyBorder="1" applyAlignment="1">
      <alignment horizontal="center" vertical="center"/>
    </xf>
    <xf numFmtId="173" fontId="55" fillId="19" borderId="64" xfId="21" applyNumberFormat="1" applyFont="1" applyFill="1" applyBorder="1" applyAlignment="1">
      <alignment horizontal="center" vertical="center"/>
    </xf>
    <xf numFmtId="0" fontId="56" fillId="14" borderId="111" xfId="7" applyFont="1" applyFill="1" applyBorder="1" applyAlignment="1">
      <alignment horizontal="center" vertical="center"/>
    </xf>
    <xf numFmtId="0" fontId="56" fillId="14" borderId="112" xfId="7" applyFont="1" applyFill="1" applyBorder="1" applyAlignment="1">
      <alignment horizontal="center" vertical="center"/>
    </xf>
    <xf numFmtId="0" fontId="56" fillId="14" borderId="113" xfId="7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52" fillId="0" borderId="0" xfId="7" applyFont="1" applyAlignment="1">
      <alignment horizontal="center" vertical="center"/>
    </xf>
    <xf numFmtId="10" fontId="56" fillId="19" borderId="58" xfId="19" applyNumberFormat="1" applyFont="1" applyFill="1" applyBorder="1" applyAlignment="1">
      <alignment horizontal="center" vertical="center" wrapText="1"/>
    </xf>
    <xf numFmtId="10" fontId="56" fillId="19" borderId="2" xfId="19" applyNumberFormat="1" applyFont="1" applyFill="1" applyBorder="1" applyAlignment="1">
      <alignment horizontal="center" vertical="center" wrapText="1"/>
    </xf>
    <xf numFmtId="10" fontId="56" fillId="19" borderId="64" xfId="19" applyNumberFormat="1" applyFont="1" applyFill="1" applyBorder="1" applyAlignment="1">
      <alignment horizontal="center" vertical="center" wrapText="1"/>
    </xf>
    <xf numFmtId="0" fontId="56" fillId="19" borderId="61" xfId="7" applyFont="1" applyFill="1" applyBorder="1" applyAlignment="1">
      <alignment horizontal="center" vertical="center" wrapText="1"/>
    </xf>
    <xf numFmtId="0" fontId="56" fillId="19" borderId="62" xfId="7" applyFont="1" applyFill="1" applyBorder="1" applyAlignment="1">
      <alignment horizontal="center" vertical="center" wrapText="1"/>
    </xf>
    <xf numFmtId="0" fontId="56" fillId="19" borderId="65" xfId="7" applyFont="1" applyFill="1" applyBorder="1" applyAlignment="1">
      <alignment horizontal="center" vertical="center" wrapText="1"/>
    </xf>
    <xf numFmtId="172" fontId="70" fillId="0" borderId="104" xfId="7" applyNumberFormat="1" applyFont="1" applyBorder="1" applyAlignment="1">
      <alignment horizontal="center" vertical="center" wrapText="1"/>
    </xf>
    <xf numFmtId="172" fontId="70" fillId="0" borderId="2" xfId="7" applyNumberFormat="1" applyFont="1" applyBorder="1" applyAlignment="1">
      <alignment horizontal="center" vertical="center" wrapText="1"/>
    </xf>
    <xf numFmtId="172" fontId="70" fillId="0" borderId="125" xfId="7" applyNumberFormat="1" applyFont="1" applyBorder="1" applyAlignment="1">
      <alignment horizontal="center" vertical="center" wrapText="1"/>
    </xf>
    <xf numFmtId="173" fontId="54" fillId="19" borderId="56" xfId="21" applyNumberFormat="1" applyFont="1" applyFill="1" applyBorder="1" applyAlignment="1">
      <alignment horizontal="center" vertical="center" wrapText="1"/>
    </xf>
    <xf numFmtId="173" fontId="54" fillId="19" borderId="87" xfId="21" applyNumberFormat="1" applyFont="1" applyFill="1" applyBorder="1" applyAlignment="1">
      <alignment horizontal="center" vertical="center" wrapText="1"/>
    </xf>
    <xf numFmtId="173" fontId="54" fillId="19" borderId="63" xfId="21" applyNumberFormat="1" applyFont="1" applyFill="1" applyBorder="1" applyAlignment="1">
      <alignment horizontal="center" vertical="center" wrapText="1"/>
    </xf>
    <xf numFmtId="173" fontId="55" fillId="19" borderId="57" xfId="21" applyNumberFormat="1" applyFont="1" applyFill="1" applyBorder="1" applyAlignment="1">
      <alignment horizontal="center" vertical="center"/>
    </xf>
    <xf numFmtId="173" fontId="55" fillId="19" borderId="88" xfId="21" applyNumberFormat="1" applyFont="1" applyFill="1" applyBorder="1" applyAlignment="1">
      <alignment horizontal="center" vertical="center"/>
    </xf>
    <xf numFmtId="173" fontId="55" fillId="19" borderId="5" xfId="21" applyNumberFormat="1" applyFont="1" applyFill="1" applyBorder="1" applyAlignment="1">
      <alignment horizontal="center" vertical="center"/>
    </xf>
    <xf numFmtId="173" fontId="54" fillId="19" borderId="58" xfId="21" applyNumberFormat="1" applyFont="1" applyFill="1" applyBorder="1" applyAlignment="1">
      <alignment horizontal="center" vertical="center" wrapText="1"/>
    </xf>
    <xf numFmtId="173" fontId="54" fillId="19" borderId="2" xfId="21" applyNumberFormat="1" applyFont="1" applyFill="1" applyBorder="1" applyAlignment="1">
      <alignment horizontal="center" vertical="center" wrapText="1"/>
    </xf>
    <xf numFmtId="173" fontId="54" fillId="19" borderId="64" xfId="21" applyNumberFormat="1" applyFont="1" applyFill="1" applyBorder="1" applyAlignment="1">
      <alignment horizontal="center" vertical="center" wrapText="1"/>
    </xf>
    <xf numFmtId="0" fontId="67" fillId="0" borderId="0" xfId="7" applyFont="1" applyAlignment="1">
      <alignment horizontal="center" vertical="center"/>
    </xf>
    <xf numFmtId="0" fontId="67" fillId="0" borderId="0" xfId="7" applyFont="1" applyAlignment="1">
      <alignment horizontal="center" vertical="center" wrapText="1"/>
    </xf>
    <xf numFmtId="173" fontId="55" fillId="19" borderId="59" xfId="21" applyNumberFormat="1" applyFont="1" applyFill="1" applyBorder="1" applyAlignment="1">
      <alignment horizontal="center" vertical="center"/>
    </xf>
    <xf numFmtId="173" fontId="55" fillId="19" borderId="60" xfId="21" applyNumberFormat="1" applyFont="1" applyFill="1" applyBorder="1" applyAlignment="1">
      <alignment horizontal="center" vertical="center"/>
    </xf>
    <xf numFmtId="42" fontId="67" fillId="0" borderId="0" xfId="7" applyNumberFormat="1" applyFont="1" applyAlignment="1">
      <alignment horizontal="center" vertical="center"/>
    </xf>
    <xf numFmtId="0" fontId="68" fillId="0" borderId="0" xfId="7" applyFont="1" applyAlignment="1">
      <alignment horizontal="center" vertical="center"/>
    </xf>
    <xf numFmtId="0" fontId="68" fillId="0" borderId="0" xfId="7" applyFont="1" applyAlignment="1">
      <alignment horizontal="center" vertical="center" wrapText="1"/>
    </xf>
    <xf numFmtId="0" fontId="83" fillId="21" borderId="226" xfId="30" applyFont="1" applyFill="1" applyBorder="1" applyAlignment="1">
      <alignment horizontal="center" vertical="center"/>
    </xf>
    <xf numFmtId="0" fontId="83" fillId="21" borderId="227" xfId="30" applyFont="1" applyFill="1" applyBorder="1" applyAlignment="1">
      <alignment horizontal="center" vertical="center"/>
    </xf>
    <xf numFmtId="164" fontId="77" fillId="0" borderId="164" xfId="31" applyFont="1" applyFill="1" applyBorder="1" applyAlignment="1">
      <alignment horizontal="center" vertical="center"/>
    </xf>
    <xf numFmtId="164" fontId="77" fillId="0" borderId="165" xfId="31" applyFont="1" applyFill="1" applyBorder="1" applyAlignment="1">
      <alignment horizontal="center" vertical="center"/>
    </xf>
    <xf numFmtId="169" fontId="77" fillId="0" borderId="112" xfId="29" applyNumberFormat="1" applyFont="1" applyFill="1" applyBorder="1" applyAlignment="1">
      <alignment horizontal="center" vertical="center"/>
    </xf>
    <xf numFmtId="169" fontId="77" fillId="0" borderId="197" xfId="29" applyNumberFormat="1" applyFont="1" applyFill="1" applyBorder="1" applyAlignment="1">
      <alignment horizontal="center" vertical="center"/>
    </xf>
    <xf numFmtId="164" fontId="66" fillId="0" borderId="205" xfId="31" applyFont="1" applyFill="1" applyBorder="1" applyAlignment="1">
      <alignment horizontal="center"/>
    </xf>
    <xf numFmtId="164" fontId="66" fillId="0" borderId="241" xfId="31" applyFont="1" applyFill="1" applyBorder="1" applyAlignment="1">
      <alignment horizontal="center"/>
    </xf>
    <xf numFmtId="164" fontId="66" fillId="0" borderId="205" xfId="31" applyFont="1" applyFill="1" applyBorder="1" applyAlignment="1">
      <alignment horizontal="center" vertical="center"/>
    </xf>
    <xf numFmtId="164" fontId="66" fillId="0" borderId="241" xfId="31" applyFont="1" applyFill="1" applyBorder="1" applyAlignment="1">
      <alignment horizontal="center" vertical="center"/>
    </xf>
    <xf numFmtId="164" fontId="66" fillId="0" borderId="245" xfId="31" applyFont="1" applyFill="1" applyBorder="1" applyAlignment="1">
      <alignment horizontal="center" vertical="center"/>
    </xf>
    <xf numFmtId="164" fontId="66" fillId="0" borderId="247" xfId="31" applyFont="1" applyFill="1" applyBorder="1" applyAlignment="1">
      <alignment horizontal="center" vertical="center"/>
    </xf>
    <xf numFmtId="164" fontId="66" fillId="0" borderId="200" xfId="31" applyFont="1" applyFill="1" applyBorder="1" applyAlignment="1">
      <alignment horizontal="center"/>
    </xf>
    <xf numFmtId="164" fontId="66" fillId="0" borderId="240" xfId="31" applyFont="1" applyFill="1" applyBorder="1" applyAlignment="1">
      <alignment horizontal="center"/>
    </xf>
    <xf numFmtId="0" fontId="77" fillId="19" borderId="59" xfId="27" applyFont="1" applyFill="1" applyBorder="1" applyAlignment="1">
      <alignment horizontal="center" vertical="center"/>
    </xf>
    <xf numFmtId="0" fontId="77" fillId="19" borderId="194" xfId="27" applyFont="1" applyFill="1" applyBorder="1" applyAlignment="1">
      <alignment horizontal="center" vertical="center"/>
    </xf>
    <xf numFmtId="0" fontId="77" fillId="19" borderId="49" xfId="27" applyFont="1" applyFill="1" applyBorder="1" applyAlignment="1">
      <alignment horizontal="center" vertical="center"/>
    </xf>
    <xf numFmtId="0" fontId="77" fillId="19" borderId="195" xfId="27" applyFont="1" applyFill="1" applyBorder="1" applyAlignment="1">
      <alignment horizontal="center" vertical="center"/>
    </xf>
    <xf numFmtId="0" fontId="83" fillId="0" borderId="230" xfId="30" applyFont="1" applyBorder="1" applyAlignment="1">
      <alignment horizontal="center" vertical="center"/>
    </xf>
    <xf numFmtId="0" fontId="83" fillId="0" borderId="231" xfId="30" applyFont="1" applyBorder="1" applyAlignment="1">
      <alignment horizontal="center" vertical="center"/>
    </xf>
    <xf numFmtId="164" fontId="66" fillId="0" borderId="245" xfId="31" applyFont="1" applyFill="1" applyBorder="1" applyAlignment="1">
      <alignment horizontal="center"/>
    </xf>
    <xf numFmtId="164" fontId="66" fillId="0" borderId="247" xfId="31" applyFont="1" applyFill="1" applyBorder="1" applyAlignment="1">
      <alignment horizontal="center"/>
    </xf>
    <xf numFmtId="164" fontId="66" fillId="0" borderId="102" xfId="31" applyFont="1" applyFill="1" applyBorder="1" applyAlignment="1">
      <alignment horizontal="center"/>
    </xf>
    <xf numFmtId="164" fontId="66" fillId="0" borderId="160" xfId="31" applyFont="1" applyFill="1" applyBorder="1" applyAlignment="1">
      <alignment horizontal="center"/>
    </xf>
    <xf numFmtId="164" fontId="66" fillId="0" borderId="215" xfId="31" applyFont="1" applyFill="1" applyBorder="1" applyAlignment="1">
      <alignment horizontal="center"/>
    </xf>
    <xf numFmtId="164" fontId="66" fillId="0" borderId="248" xfId="31" applyFont="1" applyFill="1" applyBorder="1" applyAlignment="1">
      <alignment horizontal="center"/>
    </xf>
    <xf numFmtId="0" fontId="73" fillId="0" borderId="244" xfId="27" applyFont="1" applyBorder="1" applyAlignment="1">
      <alignment horizontal="center" vertical="top" wrapText="1"/>
    </xf>
    <xf numFmtId="0" fontId="73" fillId="0" borderId="245" xfId="27" applyFont="1" applyBorder="1" applyAlignment="1">
      <alignment horizontal="center" vertical="top" wrapText="1"/>
    </xf>
    <xf numFmtId="0" fontId="73" fillId="0" borderId="246" xfId="27" applyFont="1" applyBorder="1" applyAlignment="1">
      <alignment horizontal="center" vertical="top" wrapText="1"/>
    </xf>
    <xf numFmtId="0" fontId="73" fillId="0" borderId="243" xfId="27" applyFont="1" applyBorder="1" applyAlignment="1">
      <alignment horizontal="center" vertical="top" wrapText="1"/>
    </xf>
    <xf numFmtId="0" fontId="73" fillId="0" borderId="18" xfId="27" applyFont="1" applyBorder="1" applyAlignment="1">
      <alignment horizontal="center" vertical="top" wrapText="1"/>
    </xf>
    <xf numFmtId="0" fontId="73" fillId="0" borderId="205" xfId="27" applyFont="1" applyBorder="1" applyAlignment="1">
      <alignment horizontal="center" vertical="top" wrapText="1"/>
    </xf>
    <xf numFmtId="0" fontId="73" fillId="0" borderId="22" xfId="27" applyFont="1" applyBorder="1" applyAlignment="1">
      <alignment horizontal="center" vertical="top" wrapText="1"/>
    </xf>
    <xf numFmtId="0" fontId="73" fillId="0" borderId="27" xfId="27" applyFont="1" applyBorder="1" applyAlignment="1">
      <alignment horizontal="center" vertical="top" wrapText="1"/>
    </xf>
    <xf numFmtId="0" fontId="73" fillId="0" borderId="18" xfId="7" applyFont="1" applyBorder="1" applyAlignment="1">
      <alignment horizontal="center" vertical="top" wrapText="1"/>
    </xf>
    <xf numFmtId="0" fontId="73" fillId="0" borderId="205" xfId="7" applyFont="1" applyBorder="1" applyAlignment="1">
      <alignment horizontal="center" vertical="top" wrapText="1"/>
    </xf>
    <xf numFmtId="0" fontId="73" fillId="0" borderId="22" xfId="7" applyFont="1" applyBorder="1" applyAlignment="1">
      <alignment horizontal="center" vertical="top" wrapText="1"/>
    </xf>
    <xf numFmtId="0" fontId="73" fillId="0" borderId="27" xfId="7" applyFont="1" applyBorder="1" applyAlignment="1">
      <alignment horizontal="center" vertical="top" wrapText="1"/>
    </xf>
    <xf numFmtId="0" fontId="77" fillId="19" borderId="155" xfId="27" applyFont="1" applyFill="1" applyBorder="1" applyAlignment="1">
      <alignment horizontal="center" vertical="center"/>
    </xf>
    <xf numFmtId="0" fontId="77" fillId="19" borderId="239" xfId="27" applyFont="1" applyFill="1" applyBorder="1" applyAlignment="1">
      <alignment horizontal="center" vertical="center"/>
    </xf>
    <xf numFmtId="0" fontId="73" fillId="0" borderId="17" xfId="27" applyFont="1" applyBorder="1" applyAlignment="1">
      <alignment horizontal="center" vertical="top" wrapText="1"/>
    </xf>
    <xf numFmtId="0" fontId="73" fillId="0" borderId="200" xfId="27" applyFont="1" applyBorder="1" applyAlignment="1">
      <alignment horizontal="center" vertical="top"/>
    </xf>
    <xf numFmtId="0" fontId="73" fillId="0" borderId="202" xfId="27" applyFont="1" applyBorder="1" applyAlignment="1">
      <alignment horizontal="center" vertical="top"/>
    </xf>
    <xf numFmtId="0" fontId="73" fillId="0" borderId="201" xfId="27" applyFont="1" applyBorder="1" applyAlignment="1">
      <alignment horizontal="center" vertical="top"/>
    </xf>
    <xf numFmtId="0" fontId="65" fillId="0" borderId="18" xfId="27" applyFont="1" applyBorder="1" applyAlignment="1">
      <alignment horizontal="center" vertical="top" wrapText="1"/>
    </xf>
    <xf numFmtId="0" fontId="65" fillId="0" borderId="205" xfId="27" applyFont="1" applyBorder="1" applyAlignment="1">
      <alignment horizontal="center" vertical="top" wrapText="1"/>
    </xf>
    <xf numFmtId="0" fontId="65" fillId="0" borderId="22" xfId="27" applyFont="1" applyBorder="1" applyAlignment="1">
      <alignment horizontal="center" vertical="top" wrapText="1"/>
    </xf>
    <xf numFmtId="0" fontId="65" fillId="0" borderId="27" xfId="27" applyFont="1" applyBorder="1" applyAlignment="1">
      <alignment horizontal="center" vertical="top" wrapText="1"/>
    </xf>
    <xf numFmtId="0" fontId="76" fillId="0" borderId="0" xfId="27" applyFont="1" applyAlignment="1">
      <alignment horizontal="left" vertical="center"/>
    </xf>
    <xf numFmtId="0" fontId="77" fillId="19" borderId="154" xfId="27" applyFont="1" applyFill="1" applyBorder="1" applyAlignment="1">
      <alignment horizontal="center" vertical="center"/>
    </xf>
    <xf numFmtId="0" fontId="77" fillId="19" borderId="96" xfId="27" applyFont="1" applyFill="1" applyBorder="1" applyAlignment="1">
      <alignment horizontal="center" vertical="center"/>
    </xf>
    <xf numFmtId="0" fontId="77" fillId="19" borderId="156" xfId="27" applyFont="1" applyFill="1" applyBorder="1" applyAlignment="1">
      <alignment horizontal="center" vertical="center" wrapText="1"/>
    </xf>
    <xf numFmtId="0" fontId="77" fillId="19" borderId="157" xfId="27" applyFont="1" applyFill="1" applyBorder="1" applyAlignment="1">
      <alignment horizontal="center" vertical="center" wrapText="1"/>
    </xf>
    <xf numFmtId="0" fontId="77" fillId="19" borderId="238" xfId="27" applyFont="1" applyFill="1" applyBorder="1" applyAlignment="1">
      <alignment horizontal="center" vertical="center" wrapText="1"/>
    </xf>
    <xf numFmtId="0" fontId="77" fillId="19" borderId="82" xfId="27" applyFont="1" applyFill="1" applyBorder="1" applyAlignment="1">
      <alignment horizontal="center" vertical="center" wrapText="1"/>
    </xf>
    <xf numFmtId="0" fontId="77" fillId="19" borderId="158" xfId="27" applyFont="1" applyFill="1" applyBorder="1" applyAlignment="1">
      <alignment horizontal="center" vertical="center" wrapText="1"/>
    </xf>
    <xf numFmtId="0" fontId="77" fillId="19" borderId="97" xfId="27" applyFont="1" applyFill="1" applyBorder="1" applyAlignment="1">
      <alignment horizontal="center" vertical="center" wrapText="1"/>
    </xf>
    <xf numFmtId="0" fontId="65" fillId="0" borderId="244" xfId="27" applyFont="1" applyBorder="1" applyAlignment="1">
      <alignment horizontal="center" vertical="top" wrapText="1"/>
    </xf>
    <xf numFmtId="0" fontId="65" fillId="0" borderId="245" xfId="27" applyFont="1" applyBorder="1" applyAlignment="1">
      <alignment horizontal="center" vertical="top" wrapText="1"/>
    </xf>
    <xf numFmtId="0" fontId="65" fillId="0" borderId="246" xfId="27" applyFont="1" applyBorder="1" applyAlignment="1">
      <alignment horizontal="center" vertical="top" wrapText="1"/>
    </xf>
    <xf numFmtId="0" fontId="65" fillId="0" borderId="243" xfId="27" applyFont="1" applyBorder="1" applyAlignment="1">
      <alignment horizontal="center" vertical="top" wrapText="1"/>
    </xf>
    <xf numFmtId="0" fontId="65" fillId="0" borderId="18" xfId="7" applyFont="1" applyBorder="1" applyAlignment="1">
      <alignment horizontal="center" vertical="top" wrapText="1"/>
    </xf>
    <xf numFmtId="0" fontId="65" fillId="0" borderId="205" xfId="7" applyFont="1" applyBorder="1" applyAlignment="1">
      <alignment horizontal="center" vertical="top" wrapText="1"/>
    </xf>
    <xf numFmtId="0" fontId="65" fillId="0" borderId="22" xfId="7" applyFont="1" applyBorder="1" applyAlignment="1">
      <alignment horizontal="center" vertical="top" wrapText="1"/>
    </xf>
    <xf numFmtId="0" fontId="65" fillId="0" borderId="27" xfId="7" applyFont="1" applyBorder="1" applyAlignment="1">
      <alignment horizontal="center" vertical="top" wrapText="1"/>
    </xf>
    <xf numFmtId="0" fontId="65" fillId="0" borderId="17" xfId="27" applyFont="1" applyBorder="1" applyAlignment="1">
      <alignment horizontal="center" vertical="top" wrapText="1"/>
    </xf>
    <xf numFmtId="0" fontId="65" fillId="0" borderId="200" xfId="27" applyFont="1" applyBorder="1" applyAlignment="1">
      <alignment horizontal="center" vertical="top" wrapText="1"/>
    </xf>
    <xf numFmtId="0" fontId="65" fillId="0" borderId="202" xfId="27" applyFont="1" applyBorder="1" applyAlignment="1">
      <alignment horizontal="center" vertical="top" wrapText="1"/>
    </xf>
    <xf numFmtId="0" fontId="65" fillId="0" borderId="201" xfId="27" applyFont="1" applyBorder="1" applyAlignment="1">
      <alignment horizontal="center" vertical="top" wrapText="1"/>
    </xf>
    <xf numFmtId="0" fontId="73" fillId="0" borderId="245" xfId="7" applyFont="1" applyBorder="1" applyAlignment="1">
      <alignment horizontal="center" vertical="top" wrapText="1"/>
    </xf>
    <xf numFmtId="0" fontId="73" fillId="0" borderId="246" xfId="7" applyFont="1" applyBorder="1" applyAlignment="1">
      <alignment horizontal="center" vertical="top" wrapText="1"/>
    </xf>
    <xf numFmtId="0" fontId="73" fillId="0" borderId="243" xfId="7" applyFont="1" applyBorder="1" applyAlignment="1">
      <alignment horizontal="center" vertical="top" wrapText="1"/>
    </xf>
    <xf numFmtId="0" fontId="73" fillId="0" borderId="204" xfId="27" quotePrefix="1" applyFont="1" applyBorder="1" applyAlignment="1">
      <alignment horizontal="center" vertical="center"/>
    </xf>
    <xf numFmtId="0" fontId="73" fillId="0" borderId="242" xfId="27" quotePrefix="1" applyFont="1" applyBorder="1" applyAlignment="1">
      <alignment horizontal="center" vertical="center"/>
    </xf>
    <xf numFmtId="0" fontId="73" fillId="0" borderId="18" xfId="27" applyFont="1" applyBorder="1" applyAlignment="1">
      <alignment horizontal="left" vertical="center" wrapText="1"/>
    </xf>
    <xf numFmtId="0" fontId="73" fillId="0" borderId="244" xfId="27" applyFont="1" applyBorder="1" applyAlignment="1">
      <alignment horizontal="left" vertical="center" wrapText="1"/>
    </xf>
    <xf numFmtId="0" fontId="73" fillId="0" borderId="18" xfId="27" applyFont="1" applyBorder="1" applyAlignment="1">
      <alignment horizontal="center" vertical="center"/>
    </xf>
    <xf numFmtId="0" fontId="73" fillId="0" borderId="244" xfId="27" applyFont="1" applyBorder="1" applyAlignment="1">
      <alignment horizontal="center" vertical="center"/>
    </xf>
    <xf numFmtId="0" fontId="73" fillId="0" borderId="200" xfId="27" applyFont="1" applyBorder="1" applyAlignment="1">
      <alignment horizontal="center" vertical="top" wrapText="1"/>
    </xf>
    <xf numFmtId="0" fontId="73" fillId="0" borderId="202" xfId="27" applyFont="1" applyBorder="1" applyAlignment="1">
      <alignment horizontal="center" vertical="top" wrapText="1"/>
    </xf>
    <xf numFmtId="0" fontId="73" fillId="0" borderId="201" xfId="27" applyFont="1" applyBorder="1" applyAlignment="1">
      <alignment horizontal="center" vertical="top" wrapText="1"/>
    </xf>
    <xf numFmtId="0" fontId="73" fillId="0" borderId="214" xfId="27" applyFont="1" applyBorder="1" applyAlignment="1">
      <alignment horizontal="center" vertical="top" wrapText="1"/>
    </xf>
    <xf numFmtId="0" fontId="73" fillId="0" borderId="215" xfId="27" applyFont="1" applyBorder="1" applyAlignment="1">
      <alignment horizontal="center" vertical="top" wrapText="1"/>
    </xf>
    <xf numFmtId="0" fontId="73" fillId="0" borderId="217" xfId="27" applyFont="1" applyBorder="1" applyAlignment="1">
      <alignment horizontal="center" vertical="top" wrapText="1"/>
    </xf>
    <xf numFmtId="0" fontId="73" fillId="0" borderId="216" xfId="27" applyFont="1" applyBorder="1" applyAlignment="1">
      <alignment horizontal="center" vertical="top" wrapText="1"/>
    </xf>
    <xf numFmtId="0" fontId="77" fillId="0" borderId="88" xfId="7" applyFont="1" applyBorder="1" applyAlignment="1">
      <alignment horizontal="center" vertical="top" wrapText="1"/>
    </xf>
    <xf numFmtId="0" fontId="77" fillId="0" borderId="102" xfId="7" applyFont="1" applyBorder="1" applyAlignment="1">
      <alignment horizontal="center" vertical="top" wrapText="1"/>
    </xf>
    <xf numFmtId="0" fontId="77" fillId="0" borderId="159" xfId="7" applyFont="1" applyBorder="1" applyAlignment="1">
      <alignment horizontal="center" vertical="top" wrapText="1"/>
    </xf>
    <xf numFmtId="0" fontId="77" fillId="0" borderId="89" xfId="7" applyFont="1" applyBorder="1" applyAlignment="1">
      <alignment horizontal="center" vertical="top" wrapText="1"/>
    </xf>
    <xf numFmtId="0" fontId="77" fillId="0" borderId="102" xfId="27" applyFont="1" applyBorder="1" applyAlignment="1">
      <alignment horizontal="center" vertical="top" wrapText="1"/>
    </xf>
    <xf numFmtId="0" fontId="77" fillId="0" borderId="89" xfId="27" applyFont="1" applyBorder="1" applyAlignment="1">
      <alignment horizontal="center" vertical="top" wrapText="1"/>
    </xf>
    <xf numFmtId="0" fontId="77" fillId="0" borderId="88" xfId="27" applyFont="1" applyBorder="1" applyAlignment="1">
      <alignment horizontal="center" vertical="top" wrapText="1"/>
    </xf>
    <xf numFmtId="0" fontId="77" fillId="0" borderId="159" xfId="27" applyFont="1" applyBorder="1" applyAlignment="1">
      <alignment horizontal="center" vertical="top" wrapText="1"/>
    </xf>
    <xf numFmtId="1" fontId="80" fillId="0" borderId="245" xfId="12" applyNumberFormat="1" applyFont="1" applyFill="1" applyBorder="1" applyAlignment="1">
      <alignment horizontal="center" vertical="center"/>
    </xf>
    <xf numFmtId="1" fontId="80" fillId="0" borderId="243" xfId="12" applyNumberFormat="1" applyFont="1" applyFill="1" applyBorder="1" applyAlignment="1">
      <alignment horizontal="center" vertical="center"/>
    </xf>
    <xf numFmtId="1" fontId="80" fillId="0" borderId="246" xfId="12" applyNumberFormat="1" applyFont="1" applyFill="1" applyBorder="1" applyAlignment="1">
      <alignment horizontal="center" vertical="center"/>
    </xf>
    <xf numFmtId="0" fontId="77" fillId="0" borderId="188" xfId="27" applyFont="1" applyBorder="1" applyAlignment="1">
      <alignment horizontal="center" vertical="center"/>
    </xf>
    <xf numFmtId="0" fontId="77" fillId="0" borderId="168" xfId="27" applyFont="1" applyBorder="1" applyAlignment="1">
      <alignment horizontal="center" vertical="center"/>
    </xf>
    <xf numFmtId="0" fontId="77" fillId="0" borderId="255" xfId="27" applyFont="1" applyBorder="1" applyAlignment="1">
      <alignment horizontal="center" vertical="center"/>
    </xf>
    <xf numFmtId="0" fontId="77" fillId="0" borderId="27" xfId="27" applyFont="1" applyBorder="1" applyAlignment="1">
      <alignment horizontal="center" vertical="center"/>
    </xf>
    <xf numFmtId="169" fontId="77" fillId="0" borderId="180" xfId="29" applyNumberFormat="1" applyFont="1" applyFill="1" applyBorder="1" applyAlignment="1">
      <alignment horizontal="center" vertical="center"/>
    </xf>
    <xf numFmtId="169" fontId="77" fillId="0" borderId="165" xfId="29" applyNumberFormat="1" applyFont="1" applyFill="1" applyBorder="1" applyAlignment="1">
      <alignment horizontal="center" vertical="center"/>
    </xf>
    <xf numFmtId="0" fontId="77" fillId="0" borderId="117" xfId="27" applyFont="1" applyBorder="1" applyAlignment="1">
      <alignment horizontal="center" vertical="center"/>
    </xf>
    <xf numFmtId="0" fontId="77" fillId="0" borderId="153" xfId="27" applyFont="1" applyBorder="1" applyAlignment="1">
      <alignment horizontal="center" vertical="center"/>
    </xf>
    <xf numFmtId="0" fontId="77" fillId="0" borderId="181" xfId="27" applyFont="1" applyBorder="1" applyAlignment="1">
      <alignment horizontal="center" vertical="center"/>
    </xf>
    <xf numFmtId="169" fontId="77" fillId="0" borderId="182" xfId="29" applyNumberFormat="1" applyFont="1" applyFill="1" applyBorder="1" applyAlignment="1">
      <alignment horizontal="center" vertical="center"/>
    </xf>
    <xf numFmtId="169" fontId="77" fillId="0" borderId="183" xfId="29" applyNumberFormat="1" applyFont="1" applyFill="1" applyBorder="1" applyAlignment="1">
      <alignment horizontal="center" vertical="center"/>
    </xf>
    <xf numFmtId="0" fontId="77" fillId="19" borderId="58" xfId="27" applyFont="1" applyFill="1" applyBorder="1" applyAlignment="1">
      <alignment horizontal="center" vertical="center"/>
    </xf>
    <xf numFmtId="0" fontId="77" fillId="19" borderId="125" xfId="27" applyFont="1" applyFill="1" applyBorder="1" applyAlignment="1">
      <alignment horizontal="center" vertical="center"/>
    </xf>
    <xf numFmtId="165" fontId="77" fillId="19" borderId="61" xfId="20" applyFont="1" applyFill="1" applyBorder="1" applyAlignment="1">
      <alignment horizontal="center" vertical="center"/>
    </xf>
    <xf numFmtId="165" fontId="77" fillId="19" borderId="187" xfId="20" applyFont="1" applyFill="1" applyBorder="1" applyAlignment="1">
      <alignment horizontal="center" vertical="center"/>
    </xf>
    <xf numFmtId="0" fontId="77" fillId="19" borderId="9" xfId="27" applyFont="1" applyFill="1" applyBorder="1" applyAlignment="1">
      <alignment horizontal="center" vertical="center"/>
    </xf>
    <xf numFmtId="0" fontId="77" fillId="19" borderId="60" xfId="27" applyFont="1" applyFill="1" applyBorder="1" applyAlignment="1">
      <alignment horizontal="center" vertical="center"/>
    </xf>
    <xf numFmtId="0" fontId="77" fillId="19" borderId="186" xfId="27" applyFont="1" applyFill="1" applyBorder="1" applyAlignment="1">
      <alignment horizontal="center" vertical="center"/>
    </xf>
    <xf numFmtId="0" fontId="77" fillId="19" borderId="169" xfId="27" applyFont="1" applyFill="1" applyBorder="1" applyAlignment="1">
      <alignment horizontal="center" vertical="center"/>
    </xf>
    <xf numFmtId="0" fontId="77" fillId="19" borderId="116" xfId="27" applyFont="1" applyFill="1" applyBorder="1" applyAlignment="1">
      <alignment horizontal="center" vertical="center"/>
    </xf>
    <xf numFmtId="0" fontId="77" fillId="19" borderId="170" xfId="27" applyFont="1" applyFill="1" applyBorder="1" applyAlignment="1">
      <alignment horizontal="center" vertical="center"/>
    </xf>
    <xf numFmtId="0" fontId="77" fillId="19" borderId="184" xfId="27" applyFont="1" applyFill="1" applyBorder="1" applyAlignment="1">
      <alignment horizontal="center" vertical="center"/>
    </xf>
    <xf numFmtId="0" fontId="77" fillId="19" borderId="185" xfId="27" applyFont="1" applyFill="1" applyBorder="1" applyAlignment="1">
      <alignment horizontal="center" vertical="center"/>
    </xf>
    <xf numFmtId="0" fontId="77" fillId="19" borderId="58" xfId="27" applyFont="1" applyFill="1" applyBorder="1" applyAlignment="1">
      <alignment horizontal="center" vertical="center" wrapText="1"/>
    </xf>
    <xf numFmtId="0" fontId="77" fillId="19" borderId="9" xfId="27" applyFont="1" applyFill="1" applyBorder="1" applyAlignment="1">
      <alignment horizontal="center" vertical="center" wrapText="1"/>
    </xf>
    <xf numFmtId="0" fontId="77" fillId="19" borderId="57" xfId="27" applyFont="1" applyFill="1" applyBorder="1" applyAlignment="1">
      <alignment horizontal="center" vertical="center"/>
    </xf>
    <xf numFmtId="0" fontId="77" fillId="19" borderId="88" xfId="27" applyFont="1" applyFill="1" applyBorder="1" applyAlignment="1">
      <alignment horizontal="center" vertical="center"/>
    </xf>
    <xf numFmtId="165" fontId="77" fillId="19" borderId="177" xfId="20" applyFont="1" applyFill="1" applyBorder="1" applyAlignment="1">
      <alignment horizontal="center" vertical="center"/>
    </xf>
    <xf numFmtId="165" fontId="77" fillId="19" borderId="90" xfId="20" applyFont="1" applyFill="1" applyBorder="1" applyAlignment="1">
      <alignment horizontal="center" vertical="center"/>
    </xf>
    <xf numFmtId="0" fontId="77" fillId="0" borderId="198" xfId="27" applyFont="1" applyBorder="1" applyAlignment="1">
      <alignment horizontal="center" vertical="center"/>
    </xf>
    <xf numFmtId="0" fontId="73" fillId="0" borderId="190" xfId="27" applyFont="1" applyBorder="1" applyAlignment="1">
      <alignment horizontal="center" vertical="center"/>
    </xf>
    <xf numFmtId="0" fontId="73" fillId="0" borderId="189" xfId="27" applyFont="1" applyBorder="1" applyAlignment="1">
      <alignment horizontal="center" vertical="center"/>
    </xf>
    <xf numFmtId="164" fontId="77" fillId="0" borderId="178" xfId="31" applyFont="1" applyFill="1" applyBorder="1" applyAlignment="1">
      <alignment horizontal="left" vertical="center"/>
    </xf>
    <xf numFmtId="164" fontId="77" fillId="0" borderId="196" xfId="31" applyFont="1" applyFill="1" applyBorder="1" applyAlignment="1">
      <alignment horizontal="left" vertical="center"/>
    </xf>
    <xf numFmtId="0" fontId="77" fillId="19" borderId="57" xfId="27" applyFont="1" applyFill="1" applyBorder="1" applyAlignment="1">
      <alignment horizontal="center" vertical="center" wrapText="1"/>
    </xf>
    <xf numFmtId="0" fontId="77" fillId="19" borderId="88" xfId="27" applyFont="1" applyFill="1" applyBorder="1" applyAlignment="1">
      <alignment horizontal="center" vertical="center" wrapText="1"/>
    </xf>
    <xf numFmtId="0" fontId="77" fillId="19" borderId="56" xfId="27" applyFont="1" applyFill="1" applyBorder="1" applyAlignment="1">
      <alignment horizontal="center" vertical="center"/>
    </xf>
    <xf numFmtId="0" fontId="77" fillId="19" borderId="87" xfId="27" applyFont="1" applyFill="1" applyBorder="1" applyAlignment="1">
      <alignment horizontal="center" vertical="center"/>
    </xf>
    <xf numFmtId="0" fontId="77" fillId="0" borderId="172" xfId="27" applyFont="1" applyBorder="1" applyAlignment="1">
      <alignment horizontal="center" vertical="center"/>
    </xf>
    <xf numFmtId="0" fontId="77" fillId="19" borderId="175" xfId="27" applyFont="1" applyFill="1" applyBorder="1" applyAlignment="1">
      <alignment horizontal="center" vertical="center"/>
    </xf>
    <xf numFmtId="0" fontId="77" fillId="19" borderId="176" xfId="27" applyFont="1" applyFill="1" applyBorder="1" applyAlignment="1">
      <alignment horizontal="center" vertical="center"/>
    </xf>
    <xf numFmtId="0" fontId="30" fillId="0" borderId="0" xfId="28" applyFont="1" applyAlignment="1">
      <alignment horizontal="left" vertical="center" wrapText="1"/>
    </xf>
    <xf numFmtId="0" fontId="76" fillId="0" borderId="0" xfId="27" applyFont="1" applyAlignment="1">
      <alignment horizontal="center" vertical="center"/>
    </xf>
    <xf numFmtId="0" fontId="77" fillId="19" borderId="175" xfId="27" applyFont="1" applyFill="1" applyBorder="1" applyAlignment="1">
      <alignment horizontal="center" vertical="center" wrapText="1"/>
    </xf>
    <xf numFmtId="0" fontId="77" fillId="19" borderId="176" xfId="27" applyFont="1" applyFill="1" applyBorder="1" applyAlignment="1">
      <alignment horizontal="center" vertical="center" wrapText="1"/>
    </xf>
    <xf numFmtId="0" fontId="76" fillId="0" borderId="153" xfId="27" applyFont="1" applyBorder="1" applyAlignment="1">
      <alignment horizontal="left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2" borderId="0" xfId="0" quotePrefix="1" applyNumberFormat="1" applyFont="1" applyFill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 wrapText="1"/>
    </xf>
    <xf numFmtId="49" fontId="11" fillId="2" borderId="6" xfId="0" applyNumberFormat="1" applyFont="1" applyFill="1" applyBorder="1" applyAlignment="1">
      <alignment horizontal="center" vertical="center"/>
    </xf>
    <xf numFmtId="49" fontId="11" fillId="2" borderId="9" xfId="0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top" wrapText="1"/>
    </xf>
    <xf numFmtId="0" fontId="13" fillId="3" borderId="8" xfId="0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top" wrapText="1"/>
    </xf>
    <xf numFmtId="14" fontId="13" fillId="3" borderId="7" xfId="0" applyNumberFormat="1" applyFont="1" applyFill="1" applyBorder="1" applyAlignment="1">
      <alignment horizontal="center" vertical="center" wrapText="1"/>
    </xf>
    <xf numFmtId="14" fontId="13" fillId="3" borderId="8" xfId="0" applyNumberFormat="1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14" fontId="28" fillId="3" borderId="7" xfId="0" applyNumberFormat="1" applyFont="1" applyFill="1" applyBorder="1" applyAlignment="1">
      <alignment horizontal="center" vertical="top" wrapText="1"/>
    </xf>
    <xf numFmtId="14" fontId="28" fillId="3" borderId="4" xfId="0" applyNumberFormat="1" applyFont="1" applyFill="1" applyBorder="1" applyAlignment="1">
      <alignment horizontal="center" vertical="top" wrapText="1"/>
    </xf>
    <xf numFmtId="0" fontId="28" fillId="3" borderId="7" xfId="0" applyFont="1" applyFill="1" applyBorder="1" applyAlignment="1">
      <alignment horizontal="center" vertical="top" wrapText="1"/>
    </xf>
    <xf numFmtId="0" fontId="28" fillId="3" borderId="4" xfId="0" applyFont="1" applyFill="1" applyBorder="1" applyAlignment="1">
      <alignment horizontal="center" vertical="top" wrapText="1"/>
    </xf>
    <xf numFmtId="0" fontId="13" fillId="3" borderId="7" xfId="0" quotePrefix="1" applyFont="1" applyFill="1" applyBorder="1" applyAlignment="1">
      <alignment horizontal="center" vertical="top" wrapText="1"/>
    </xf>
    <xf numFmtId="0" fontId="13" fillId="3" borderId="4" xfId="0" quotePrefix="1" applyFont="1" applyFill="1" applyBorder="1" applyAlignment="1">
      <alignment horizontal="center" vertical="top" wrapText="1"/>
    </xf>
    <xf numFmtId="0" fontId="13" fillId="3" borderId="4" xfId="0" applyFont="1" applyFill="1" applyBorder="1" applyAlignment="1">
      <alignment horizontal="center" vertical="center" wrapText="1"/>
    </xf>
    <xf numFmtId="14" fontId="13" fillId="3" borderId="7" xfId="0" applyNumberFormat="1" applyFont="1" applyFill="1" applyBorder="1" applyAlignment="1">
      <alignment horizontal="center" vertical="top" wrapText="1"/>
    </xf>
    <xf numFmtId="14" fontId="13" fillId="3" borderId="8" xfId="0" applyNumberFormat="1" applyFont="1" applyFill="1" applyBorder="1" applyAlignment="1">
      <alignment horizontal="center" vertical="top" wrapText="1"/>
    </xf>
    <xf numFmtId="14" fontId="13" fillId="3" borderId="4" xfId="0" applyNumberFormat="1" applyFont="1" applyFill="1" applyBorder="1" applyAlignment="1">
      <alignment horizontal="center" vertical="top" wrapText="1"/>
    </xf>
    <xf numFmtId="2" fontId="13" fillId="3" borderId="4" xfId="0" applyNumberFormat="1" applyFont="1" applyFill="1" applyBorder="1" applyAlignment="1">
      <alignment horizontal="center" vertical="top" wrapText="1"/>
    </xf>
    <xf numFmtId="14" fontId="13" fillId="3" borderId="7" xfId="0" applyNumberFormat="1" applyFont="1" applyFill="1" applyBorder="1" applyAlignment="1">
      <alignment horizontal="left" vertical="top" wrapText="1"/>
    </xf>
    <xf numFmtId="14" fontId="13" fillId="3" borderId="8" xfId="0" applyNumberFormat="1" applyFont="1" applyFill="1" applyBorder="1" applyAlignment="1">
      <alignment horizontal="left" vertical="top" wrapText="1"/>
    </xf>
    <xf numFmtId="14" fontId="13" fillId="3" borderId="4" xfId="0" applyNumberFormat="1" applyFont="1" applyFill="1" applyBorder="1" applyAlignment="1">
      <alignment horizontal="left" vertical="top" wrapText="1"/>
    </xf>
    <xf numFmtId="0" fontId="13" fillId="3" borderId="8" xfId="0" quotePrefix="1" applyFont="1" applyFill="1" applyBorder="1" applyAlignment="1">
      <alignment horizontal="center" vertical="top" wrapText="1"/>
    </xf>
    <xf numFmtId="9" fontId="13" fillId="3" borderId="4" xfId="19" applyFont="1" applyFill="1" applyBorder="1" applyAlignment="1">
      <alignment horizontal="center" vertical="top" wrapText="1"/>
    </xf>
  </cellXfs>
  <cellStyles count="32">
    <cellStyle name="Comma" xfId="20" builtinId="3"/>
    <cellStyle name="Comma [0]" xfId="23" builtinId="6"/>
    <cellStyle name="Comma [0] 2" xfId="15" xr:uid="{00000000-0005-0000-0000-000002000000}"/>
    <cellStyle name="Comma [0] 2 2" xfId="8" xr:uid="{00000000-0005-0000-0000-000003000000}"/>
    <cellStyle name="Comma [0] 2 3" xfId="16" xr:uid="{00000000-0005-0000-0000-000004000000}"/>
    <cellStyle name="Comma [0] 3" xfId="25" xr:uid="{D16DD03C-7EF1-45E0-8854-433352C40D89}"/>
    <cellStyle name="Comma [0] 4" xfId="31" xr:uid="{1C7060EA-D892-40D1-995F-D53C4005D4D9}"/>
    <cellStyle name="Comma 13 2" xfId="9" xr:uid="{00000000-0005-0000-0000-000005000000}"/>
    <cellStyle name="Comma 2" xfId="2" xr:uid="{00000000-0005-0000-0000-000006000000}"/>
    <cellStyle name="Comma 2 2" xfId="14" xr:uid="{00000000-0005-0000-0000-000007000000}"/>
    <cellStyle name="Comma 2 6" xfId="6" xr:uid="{00000000-0005-0000-0000-000008000000}"/>
    <cellStyle name="Comma 3" xfId="12" xr:uid="{00000000-0005-0000-0000-000009000000}"/>
    <cellStyle name="Comma 3 4" xfId="10" xr:uid="{00000000-0005-0000-0000-00000A000000}"/>
    <cellStyle name="Comma 4" xfId="22" xr:uid="{00000000-0005-0000-0000-00000B000000}"/>
    <cellStyle name="Comma 5" xfId="11" xr:uid="{00000000-0005-0000-0000-00000C000000}"/>
    <cellStyle name="Comma 6" xfId="29" xr:uid="{698A6117-C70E-4388-96E1-FEA7844F500D}"/>
    <cellStyle name="Currency" xfId="26" builtinId="4"/>
    <cellStyle name="Normal" xfId="0" builtinId="0"/>
    <cellStyle name="Normal 10" xfId="3" xr:uid="{00000000-0005-0000-0000-00000E000000}"/>
    <cellStyle name="Normal 13" xfId="5" xr:uid="{00000000-0005-0000-0000-00000F000000}"/>
    <cellStyle name="Normal 14" xfId="30" xr:uid="{BDF121F7-317E-4EF0-BFFF-FBC883620E6F}"/>
    <cellStyle name="Normal 2" xfId="1" xr:uid="{00000000-0005-0000-0000-000010000000}"/>
    <cellStyle name="Normal 2 2 2" xfId="27" xr:uid="{C7416F51-4D3C-48CA-8083-0F6A9B154AE1}"/>
    <cellStyle name="Normal 21" xfId="4" xr:uid="{00000000-0005-0000-0000-000011000000}"/>
    <cellStyle name="Normal 3" xfId="7" xr:uid="{00000000-0005-0000-0000-000012000000}"/>
    <cellStyle name="Normal 4" xfId="17" xr:uid="{00000000-0005-0000-0000-000013000000}"/>
    <cellStyle name="Normal 5" xfId="18" xr:uid="{00000000-0005-0000-0000-000014000000}"/>
    <cellStyle name="Normal 6" xfId="28" xr:uid="{F1A624CA-9492-471F-840A-4C057DFB2971}"/>
    <cellStyle name="Normal 7" xfId="13" xr:uid="{00000000-0005-0000-0000-000015000000}"/>
    <cellStyle name="Percent" xfId="19" builtinId="5"/>
    <cellStyle name="Percent 2" xfId="21" xr:uid="{00000000-0005-0000-0000-000017000000}"/>
    <cellStyle name="Percent 3" xfId="24" xr:uid="{12100B08-5DF7-46B1-83EF-AC0894E2765E}"/>
  </cellStyles>
  <dxfs count="26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ndense val="0"/>
        <extend val="0"/>
        <color rgb="FFFFFFFF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colors>
    <mruColors>
      <color rgb="FF0033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587829</xdr:colOff>
      <xdr:row>3</xdr:row>
      <xdr:rowOff>97972</xdr:rowOff>
    </xdr:from>
    <xdr:to>
      <xdr:col>13</xdr:col>
      <xdr:colOff>691968</xdr:colOff>
      <xdr:row>6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E2BE0-3954-4FD1-94E5-1EDFDB2B7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3972" y="914401"/>
          <a:ext cx="692331" cy="84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268877</xdr:colOff>
      <xdr:row>1</xdr:row>
      <xdr:rowOff>261258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2D16F6-F135-43B0-A7ED-4086C1548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634637" cy="5355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34947</xdr:colOff>
      <xdr:row>0</xdr:row>
      <xdr:rowOff>40465</xdr:rowOff>
    </xdr:from>
    <xdr:to>
      <xdr:col>1</xdr:col>
      <xdr:colOff>297180</xdr:colOff>
      <xdr:row>1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ABC682-4BF8-4DED-928E-57948E9EF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47" y="40465"/>
          <a:ext cx="262233" cy="27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6B8C-A27F-47C3-A50A-07C0BBE74564}">
  <dimension ref="C2:F281"/>
  <sheetViews>
    <sheetView topLeftCell="A5" zoomScale="70" zoomScaleNormal="70" workbookViewId="0">
      <selection activeCell="F206" sqref="F206"/>
    </sheetView>
  </sheetViews>
  <sheetFormatPr defaultColWidth="9.08984375" defaultRowHeight="18"/>
  <cols>
    <col min="1" max="2" width="9.08984375" style="1394"/>
    <col min="3" max="3" width="6.81640625" style="1395" customWidth="1"/>
    <col min="4" max="4" width="30.81640625" style="1395" customWidth="1"/>
    <col min="5" max="5" width="25.81640625" style="1394" customWidth="1"/>
    <col min="6" max="6" width="29.81640625" style="1405" customWidth="1"/>
    <col min="7" max="16384" width="9.08984375" style="1394"/>
  </cols>
  <sheetData>
    <row r="2" spans="3:6">
      <c r="C2" s="1565" t="s">
        <v>3795</v>
      </c>
      <c r="D2" s="1565"/>
      <c r="E2" s="1565"/>
      <c r="F2" s="1565"/>
    </row>
    <row r="3" spans="3:6">
      <c r="C3" s="1566" t="s">
        <v>2656</v>
      </c>
      <c r="D3" s="1566"/>
      <c r="E3" s="1566"/>
      <c r="F3" s="1566"/>
    </row>
    <row r="4" spans="3:6">
      <c r="C4" s="1565" t="str">
        <f>'RKP Dermaga T2 Global - Nex'!B4</f>
        <v xml:space="preserve">PEKERJAAN DERMAGA SITE SATUI - TAHAP II </v>
      </c>
      <c r="D4" s="1565"/>
      <c r="E4" s="1565"/>
      <c r="F4" s="1565"/>
    </row>
    <row r="5" spans="3:6">
      <c r="C5" s="1565" t="s">
        <v>3796</v>
      </c>
      <c r="D5" s="1565"/>
      <c r="E5" s="1565"/>
      <c r="F5" s="1565"/>
    </row>
    <row r="6" spans="3:6" ht="18.5" thickBot="1"/>
    <row r="7" spans="3:6" s="1396" customFormat="1">
      <c r="C7" s="1567" t="s">
        <v>2</v>
      </c>
      <c r="D7" s="1569" t="s">
        <v>3</v>
      </c>
      <c r="E7" s="1570"/>
      <c r="F7" s="1573" t="s">
        <v>3797</v>
      </c>
    </row>
    <row r="8" spans="3:6" s="1396" customFormat="1" ht="18.5" thickBot="1">
      <c r="C8" s="1568"/>
      <c r="D8" s="1571"/>
      <c r="E8" s="1572"/>
      <c r="F8" s="1574"/>
    </row>
    <row r="9" spans="3:6" s="1396" customFormat="1" ht="18.5" thickBot="1">
      <c r="C9" s="1397"/>
      <c r="D9" s="1398" t="s">
        <v>2532</v>
      </c>
      <c r="E9" s="1398"/>
      <c r="F9" s="1406"/>
    </row>
    <row r="10" spans="3:6">
      <c r="C10" s="1412" t="s">
        <v>98</v>
      </c>
      <c r="D10" s="1563" t="s">
        <v>2533</v>
      </c>
      <c r="E10" s="1564"/>
      <c r="F10" s="1415">
        <f>'RKP Dermaga T2 Global - Nex'!F11</f>
        <v>0</v>
      </c>
    </row>
    <row r="11" spans="3:6">
      <c r="C11" s="1413" t="s">
        <v>106</v>
      </c>
      <c r="D11" s="1555" t="s">
        <v>2601</v>
      </c>
      <c r="E11" s="1556"/>
      <c r="F11" s="1416">
        <f>'RKP Dermaga T2 Global - Nex'!F28</f>
        <v>470000000</v>
      </c>
    </row>
    <row r="12" spans="3:6">
      <c r="C12" s="1413" t="s">
        <v>107</v>
      </c>
      <c r="D12" s="1555" t="s">
        <v>2691</v>
      </c>
      <c r="E12" s="1556"/>
      <c r="F12" s="1416">
        <f>'RKP Dermaga T2 Global - Nex'!F95</f>
        <v>0</v>
      </c>
    </row>
    <row r="13" spans="3:6">
      <c r="C13" s="1413" t="s">
        <v>111</v>
      </c>
      <c r="D13" s="1555" t="s">
        <v>2781</v>
      </c>
      <c r="E13" s="1556"/>
      <c r="F13" s="1416">
        <f>'RKP Dermaga T2 Global - Nex'!F126</f>
        <v>0</v>
      </c>
    </row>
    <row r="14" spans="3:6">
      <c r="C14" s="1413" t="s">
        <v>113</v>
      </c>
      <c r="D14" s="1555" t="s">
        <v>2530</v>
      </c>
      <c r="E14" s="1556"/>
      <c r="F14" s="1416">
        <f>'RKP Dermaga T2 Global - Nex'!F134</f>
        <v>22000000</v>
      </c>
    </row>
    <row r="15" spans="3:6">
      <c r="C15" s="1413" t="s">
        <v>953</v>
      </c>
      <c r="D15" s="1555" t="s">
        <v>2783</v>
      </c>
      <c r="E15" s="1556"/>
      <c r="F15" s="1416">
        <f>'RKP Dermaga T2 Global - Nex'!F143</f>
        <v>0</v>
      </c>
    </row>
    <row r="16" spans="3:6">
      <c r="C16" s="1413" t="s">
        <v>3075</v>
      </c>
      <c r="D16" s="1555" t="s">
        <v>2787</v>
      </c>
      <c r="E16" s="1556"/>
      <c r="F16" s="1416">
        <f>'RKP Dermaga T2 Global - Nex'!F171</f>
        <v>0</v>
      </c>
    </row>
    <row r="17" spans="3:6" ht="18.5" thickBot="1">
      <c r="C17" s="1414" t="s">
        <v>3076</v>
      </c>
      <c r="D17" s="1560" t="s">
        <v>2801</v>
      </c>
      <c r="E17" s="1561"/>
      <c r="F17" s="1417">
        <f>'RKP Dermaga T2 Global - Nex'!F174</f>
        <v>0</v>
      </c>
    </row>
    <row r="18" spans="3:6" s="1396" customFormat="1" ht="18.5" thickBot="1">
      <c r="C18" s="1397"/>
      <c r="D18" s="1562" t="s">
        <v>3798</v>
      </c>
      <c r="E18" s="1562"/>
      <c r="F18" s="1418">
        <f>SUM(F10:F17)</f>
        <v>492000000</v>
      </c>
    </row>
    <row r="19" spans="3:6" ht="18.5" thickBot="1">
      <c r="C19" s="1399"/>
      <c r="D19" s="1399"/>
      <c r="E19" s="1400"/>
      <c r="F19" s="1407"/>
    </row>
    <row r="20" spans="3:6" s="1396" customFormat="1" ht="18.5" thickBot="1">
      <c r="C20" s="1397"/>
      <c r="D20" s="1562" t="s">
        <v>2545</v>
      </c>
      <c r="E20" s="1562"/>
      <c r="F20" s="1406"/>
    </row>
    <row r="21" spans="3:6">
      <c r="C21" s="1421" t="s">
        <v>98</v>
      </c>
      <c r="D21" s="1555" t="s">
        <v>94</v>
      </c>
      <c r="E21" s="1556"/>
      <c r="F21" s="1457">
        <f>'RKP Dermaga T2 Global - Nex'!F189</f>
        <v>14242000000</v>
      </c>
    </row>
    <row r="22" spans="3:6">
      <c r="C22" s="1413" t="s">
        <v>106</v>
      </c>
      <c r="D22" s="1555" t="s">
        <v>2550</v>
      </c>
      <c r="E22" s="1556"/>
      <c r="F22" s="1419">
        <f>'RKP Dermaga T2 Global - Nex'!F247</f>
        <v>0</v>
      </c>
    </row>
    <row r="23" spans="3:6" ht="18.5" thickBot="1">
      <c r="C23" s="1414" t="s">
        <v>107</v>
      </c>
      <c r="D23" s="1560" t="s">
        <v>2552</v>
      </c>
      <c r="E23" s="1561"/>
      <c r="F23" s="1420">
        <f>'RKP Dermaga T2 Global - Nex'!F264</f>
        <v>115000000</v>
      </c>
    </row>
    <row r="24" spans="3:6" s="1396" customFormat="1" ht="18.5" thickBot="1">
      <c r="C24" s="1397"/>
      <c r="D24" s="1562" t="s">
        <v>3799</v>
      </c>
      <c r="E24" s="1562"/>
      <c r="F24" s="1418">
        <f>SUM(F21:F23)</f>
        <v>14357000000</v>
      </c>
    </row>
    <row r="25" spans="3:6" ht="18.5" thickBot="1">
      <c r="C25" s="1399"/>
      <c r="D25" s="1399"/>
      <c r="E25" s="1400"/>
      <c r="F25" s="1407"/>
    </row>
    <row r="26" spans="3:6" s="1396" customFormat="1" ht="18.5" thickBot="1">
      <c r="C26" s="1397"/>
      <c r="D26" s="1562" t="s">
        <v>3800</v>
      </c>
      <c r="E26" s="1562"/>
      <c r="F26" s="1418">
        <f>F18+F24</f>
        <v>14849000000</v>
      </c>
    </row>
    <row r="28" spans="3:6">
      <c r="C28" s="1410" t="s">
        <v>3804</v>
      </c>
      <c r="D28" s="1409"/>
    </row>
    <row r="34" spans="3:6">
      <c r="C34" s="1401"/>
      <c r="D34" s="1401"/>
      <c r="E34" s="1554" t="s">
        <v>3900</v>
      </c>
      <c r="F34" s="1554"/>
    </row>
    <row r="35" spans="3:6">
      <c r="C35" s="1557" t="s">
        <v>3801</v>
      </c>
      <c r="D35" s="1557"/>
      <c r="E35" s="1500"/>
      <c r="F35" s="1408" t="s">
        <v>3802</v>
      </c>
    </row>
    <row r="36" spans="3:6">
      <c r="C36" s="1403"/>
      <c r="E36" s="1422"/>
      <c r="F36" s="1422"/>
    </row>
    <row r="37" spans="3:6">
      <c r="C37" s="1403"/>
      <c r="D37" s="1403"/>
      <c r="F37" s="1408"/>
    </row>
    <row r="38" spans="3:6">
      <c r="C38" s="1403"/>
      <c r="D38" s="1403"/>
      <c r="F38" s="1408"/>
    </row>
    <row r="39" spans="3:6">
      <c r="C39" s="1403"/>
      <c r="D39" s="1403"/>
      <c r="F39" s="1408"/>
    </row>
    <row r="40" spans="3:6" s="1396" customFormat="1" ht="19.5">
      <c r="C40" s="1558" t="s">
        <v>3803</v>
      </c>
      <c r="D40" s="1558"/>
      <c r="E40" s="1411"/>
      <c r="F40" s="1423" t="s">
        <v>3894</v>
      </c>
    </row>
    <row r="41" spans="3:6">
      <c r="C41" s="1559" t="s">
        <v>3071</v>
      </c>
      <c r="D41" s="1559"/>
      <c r="E41" s="1402"/>
      <c r="F41" s="1424" t="s">
        <v>3895</v>
      </c>
    </row>
    <row r="45" spans="3:6" ht="19.5">
      <c r="E45" s="1404"/>
    </row>
    <row r="277" hidden="1"/>
    <row r="281" ht="24.65" customHeight="1"/>
  </sheetData>
  <mergeCells count="26">
    <mergeCell ref="D10:E10"/>
    <mergeCell ref="D11:E11"/>
    <mergeCell ref="D12:E12"/>
    <mergeCell ref="C2:F2"/>
    <mergeCell ref="C3:F3"/>
    <mergeCell ref="C4:F4"/>
    <mergeCell ref="C5:F5"/>
    <mergeCell ref="C7:C8"/>
    <mergeCell ref="D7:E8"/>
    <mergeCell ref="F7:F8"/>
    <mergeCell ref="D13:E13"/>
    <mergeCell ref="D14:E14"/>
    <mergeCell ref="D23:E23"/>
    <mergeCell ref="D24:E24"/>
    <mergeCell ref="D26:E26"/>
    <mergeCell ref="D21:E21"/>
    <mergeCell ref="D15:E15"/>
    <mergeCell ref="D16:E16"/>
    <mergeCell ref="D17:E17"/>
    <mergeCell ref="D18:E18"/>
    <mergeCell ref="D20:E20"/>
    <mergeCell ref="E34:F34"/>
    <mergeCell ref="D22:E22"/>
    <mergeCell ref="C35:D35"/>
    <mergeCell ref="C40:D40"/>
    <mergeCell ref="C41:D41"/>
  </mergeCells>
  <printOptions horizontalCentered="1"/>
  <pageMargins left="0.511811023622047" right="0.511811023622047" top="0.55118110236220497" bottom="0.55118110236220497" header="0.31496062992126" footer="0.31496062992126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N288"/>
  <sheetViews>
    <sheetView showGridLines="0" tabSelected="1" zoomScale="70" zoomScaleNormal="70" zoomScaleSheetLayoutView="85" workbookViewId="0">
      <pane xSplit="5" ySplit="9" topLeftCell="F265" activePane="bottomRight" state="frozen"/>
      <selection activeCell="I39" sqref="I39"/>
      <selection pane="topRight" activeCell="I39" sqref="I39"/>
      <selection pane="bottomLeft" activeCell="I39" sqref="I39"/>
      <selection pane="bottomRight" activeCell="F282" sqref="F282"/>
    </sheetView>
  </sheetViews>
  <sheetFormatPr defaultColWidth="9.1796875" defaultRowHeight="14.4" customHeight="1" outlineLevelRow="1"/>
  <cols>
    <col min="1" max="2" width="5.81640625" style="500" customWidth="1"/>
    <col min="3" max="3" width="14.81640625" style="501" customWidth="1"/>
    <col min="4" max="4" width="51.90625" style="501" customWidth="1"/>
    <col min="5" max="5" width="10.81640625" style="501" bestFit="1" customWidth="1"/>
    <col min="6" max="6" width="17.54296875" style="501" bestFit="1" customWidth="1"/>
    <col min="7" max="7" width="38.81640625" style="501" hidden="1" customWidth="1"/>
    <col min="8" max="8" width="1.453125" style="501" hidden="1" customWidth="1"/>
    <col min="9" max="9" width="18.36328125" style="502" bestFit="1" customWidth="1"/>
    <col min="10" max="10" width="12.36328125" style="501" bestFit="1" customWidth="1"/>
    <col min="11" max="11" width="5.36328125" style="502" bestFit="1" customWidth="1"/>
    <col min="12" max="12" width="7.6328125" style="502" bestFit="1" customWidth="1"/>
    <col min="13" max="13" width="12.36328125" style="502" bestFit="1" customWidth="1"/>
    <col min="14" max="14" width="12.36328125" style="501" bestFit="1" customWidth="1"/>
    <col min="15" max="15" width="5.36328125" style="502" bestFit="1" customWidth="1"/>
    <col min="16" max="16" width="7.6328125" style="502" bestFit="1" customWidth="1"/>
    <col min="17" max="17" width="12.36328125" style="502" bestFit="1" customWidth="1"/>
    <col min="18" max="18" width="16.08984375" style="502" customWidth="1"/>
    <col min="19" max="19" width="1.81640625" style="503" customWidth="1"/>
    <col min="20" max="22" width="15.81640625" style="502" customWidth="1"/>
    <col min="23" max="36" width="15.81640625" style="501" customWidth="1"/>
    <col min="37" max="40" width="16" style="501" bestFit="1" customWidth="1"/>
    <col min="41" max="41" width="9.1796875" style="501"/>
    <col min="42" max="42" width="16" style="501" bestFit="1" customWidth="1"/>
    <col min="43" max="16384" width="9.1796875" style="501"/>
  </cols>
  <sheetData>
    <row r="1" spans="2:40" ht="14.4" customHeight="1">
      <c r="B1" s="1531" t="s">
        <v>3805</v>
      </c>
      <c r="C1" s="1531"/>
      <c r="D1" s="1531"/>
      <c r="E1" s="1531"/>
      <c r="F1" s="1531"/>
      <c r="I1" s="1530" t="s">
        <v>2555</v>
      </c>
      <c r="J1" s="1530"/>
      <c r="K1" s="1530"/>
      <c r="L1" s="1530"/>
      <c r="M1" s="1530"/>
      <c r="N1" s="1530"/>
      <c r="O1" s="1530"/>
      <c r="P1" s="1530"/>
      <c r="Q1" s="1530"/>
      <c r="R1" s="1530"/>
      <c r="S1" s="1530"/>
      <c r="T1" s="1530"/>
      <c r="U1" s="1530"/>
      <c r="V1" s="1530"/>
      <c r="W1" s="1530"/>
      <c r="X1" s="1530"/>
      <c r="Y1" s="1530"/>
      <c r="Z1" s="1530"/>
      <c r="AA1" s="1530"/>
      <c r="AB1" s="1530"/>
      <c r="AC1" s="1530"/>
      <c r="AD1" s="1530"/>
      <c r="AE1" s="1530"/>
      <c r="AF1" s="1530"/>
      <c r="AG1" s="1530"/>
      <c r="AH1" s="1530"/>
      <c r="AI1" s="1530"/>
      <c r="AJ1" s="1530"/>
    </row>
    <row r="3" spans="2:40" ht="14.4" customHeight="1">
      <c r="B3" s="1532" t="s">
        <v>2656</v>
      </c>
      <c r="C3" s="1532"/>
      <c r="D3" s="1532"/>
      <c r="E3" s="1532"/>
      <c r="F3" s="1532"/>
      <c r="G3" s="502"/>
      <c r="H3" s="502"/>
      <c r="J3" s="502"/>
      <c r="N3" s="502"/>
      <c r="W3" s="502"/>
      <c r="X3" s="502"/>
      <c r="Y3" s="502"/>
      <c r="Z3" s="502"/>
      <c r="AA3" s="502"/>
      <c r="AB3" s="502"/>
      <c r="AC3" s="502"/>
      <c r="AD3" s="502"/>
      <c r="AE3" s="502"/>
      <c r="AF3" s="502"/>
      <c r="AG3" s="502"/>
      <c r="AH3" s="502"/>
      <c r="AI3" s="502"/>
      <c r="AJ3" s="502"/>
      <c r="AK3" s="500"/>
      <c r="AL3" s="500"/>
      <c r="AM3" s="500"/>
      <c r="AN3" s="500"/>
    </row>
    <row r="4" spans="2:40" ht="14.4" customHeight="1">
      <c r="B4" s="502" t="s">
        <v>3901</v>
      </c>
      <c r="C4" s="502"/>
      <c r="I4" s="504"/>
      <c r="K4" s="504"/>
      <c r="L4" s="504"/>
      <c r="M4" s="504"/>
      <c r="O4" s="504"/>
      <c r="P4" s="504"/>
      <c r="Q4" s="504"/>
      <c r="R4" s="505"/>
      <c r="S4" s="506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J4" s="504"/>
      <c r="AK4" s="500"/>
      <c r="AL4" s="500"/>
      <c r="AM4" s="500"/>
      <c r="AN4" s="500"/>
    </row>
    <row r="5" spans="2:40" ht="14.4" customHeight="1">
      <c r="S5" s="506"/>
      <c r="T5" s="501"/>
      <c r="U5" s="501"/>
      <c r="V5" s="501"/>
    </row>
    <row r="6" spans="2:40" s="500" customFormat="1" ht="14.4" customHeight="1">
      <c r="B6" s="1540" t="s">
        <v>2</v>
      </c>
      <c r="C6" s="1521" t="s">
        <v>636</v>
      </c>
      <c r="D6" s="1521" t="s">
        <v>3</v>
      </c>
      <c r="E6" s="1551" t="s">
        <v>38</v>
      </c>
      <c r="F6" s="1524" t="s">
        <v>952</v>
      </c>
      <c r="G6" s="1543" t="s">
        <v>37</v>
      </c>
      <c r="H6" s="1521" t="s">
        <v>38</v>
      </c>
      <c r="I6" s="1548" t="s">
        <v>3133</v>
      </c>
      <c r="J6" s="1549"/>
      <c r="K6" s="1549"/>
      <c r="L6" s="1549"/>
      <c r="M6" s="1549"/>
      <c r="N6" s="1549"/>
      <c r="O6" s="1549"/>
      <c r="P6" s="1549"/>
      <c r="Q6" s="1550"/>
      <c r="R6" s="1521" t="s">
        <v>2237</v>
      </c>
      <c r="S6" s="507"/>
      <c r="T6" s="1527" t="s">
        <v>2824</v>
      </c>
      <c r="U6" s="1528"/>
      <c r="V6" s="1528"/>
      <c r="W6" s="1528"/>
      <c r="X6" s="1528"/>
      <c r="Y6" s="1528"/>
      <c r="Z6" s="1528"/>
      <c r="AA6" s="1528"/>
      <c r="AB6" s="1528"/>
      <c r="AC6" s="1528"/>
      <c r="AD6" s="1528"/>
      <c r="AE6" s="1528"/>
      <c r="AF6" s="1528"/>
      <c r="AG6" s="1528"/>
      <c r="AH6" s="1528"/>
      <c r="AI6" s="1528"/>
      <c r="AJ6" s="1529"/>
      <c r="AK6" s="508"/>
      <c r="AL6" s="508"/>
      <c r="AM6" s="508"/>
      <c r="AN6" s="508"/>
    </row>
    <row r="7" spans="2:40" s="500" customFormat="1" ht="14.4" customHeight="1">
      <c r="B7" s="1541"/>
      <c r="C7" s="1522"/>
      <c r="D7" s="1522"/>
      <c r="E7" s="1552"/>
      <c r="F7" s="1525"/>
      <c r="G7" s="1544"/>
      <c r="H7" s="1522"/>
      <c r="I7" s="1546" t="s">
        <v>2276</v>
      </c>
      <c r="J7" s="1527" t="s">
        <v>2531</v>
      </c>
      <c r="K7" s="1528"/>
      <c r="L7" s="1528"/>
      <c r="M7" s="1529"/>
      <c r="N7" s="1527" t="s">
        <v>2277</v>
      </c>
      <c r="O7" s="1528"/>
      <c r="P7" s="1528"/>
      <c r="Q7" s="1529"/>
      <c r="R7" s="1522"/>
      <c r="S7" s="507"/>
      <c r="T7" s="991"/>
      <c r="U7" s="992"/>
      <c r="V7" s="992"/>
      <c r="W7" s="992"/>
      <c r="X7" s="994"/>
      <c r="Y7" s="995"/>
      <c r="Z7" s="992"/>
      <c r="AA7" s="992"/>
      <c r="AB7" s="992"/>
      <c r="AC7" s="992"/>
      <c r="AD7" s="992"/>
      <c r="AE7" s="992"/>
      <c r="AF7" s="992"/>
      <c r="AG7" s="992"/>
      <c r="AH7" s="992"/>
      <c r="AI7" s="992"/>
      <c r="AJ7" s="993"/>
      <c r="AK7" s="508"/>
      <c r="AL7" s="508"/>
      <c r="AM7" s="508"/>
      <c r="AN7" s="508"/>
    </row>
    <row r="8" spans="2:40" s="500" customFormat="1" ht="14.4" customHeight="1">
      <c r="B8" s="1542"/>
      <c r="C8" s="1523"/>
      <c r="D8" s="1523"/>
      <c r="E8" s="1553"/>
      <c r="F8" s="1526"/>
      <c r="G8" s="1545"/>
      <c r="H8" s="1523"/>
      <c r="I8" s="1547"/>
      <c r="J8" s="637" t="s">
        <v>2245</v>
      </c>
      <c r="K8" s="1533" t="s">
        <v>2246</v>
      </c>
      <c r="L8" s="1533"/>
      <c r="M8" s="639" t="s">
        <v>2247</v>
      </c>
      <c r="N8" s="637" t="s">
        <v>2245</v>
      </c>
      <c r="O8" s="1533" t="s">
        <v>2810</v>
      </c>
      <c r="P8" s="1533"/>
      <c r="Q8" s="639" t="s">
        <v>2247</v>
      </c>
      <c r="R8" s="1523"/>
      <c r="S8" s="507"/>
      <c r="T8" s="1534" t="s">
        <v>2822</v>
      </c>
      <c r="U8" s="1535"/>
      <c r="V8" s="1535"/>
      <c r="W8" s="1535"/>
      <c r="X8" s="1536"/>
      <c r="Y8" s="1537" t="s">
        <v>2823</v>
      </c>
      <c r="Z8" s="1538"/>
      <c r="AA8" s="1538"/>
      <c r="AB8" s="1538"/>
      <c r="AC8" s="1538"/>
      <c r="AD8" s="1538"/>
      <c r="AE8" s="1538"/>
      <c r="AF8" s="1538"/>
      <c r="AG8" s="1538"/>
      <c r="AH8" s="1538"/>
      <c r="AI8" s="1538"/>
      <c r="AJ8" s="1539"/>
      <c r="AK8" s="508"/>
      <c r="AL8" s="508"/>
      <c r="AM8" s="508"/>
      <c r="AN8" s="508"/>
    </row>
    <row r="9" spans="2:40" s="500" customFormat="1" ht="14.4" customHeight="1">
      <c r="B9" s="1542"/>
      <c r="C9" s="1523"/>
      <c r="D9" s="1523"/>
      <c r="E9" s="1553"/>
      <c r="F9" s="1526"/>
      <c r="G9" s="1545"/>
      <c r="H9" s="1523"/>
      <c r="I9" s="1522"/>
      <c r="J9" s="637"/>
      <c r="K9" s="638" t="s">
        <v>2808</v>
      </c>
      <c r="L9" s="638" t="s">
        <v>2809</v>
      </c>
      <c r="M9" s="639"/>
      <c r="N9" s="637"/>
      <c r="O9" s="638" t="s">
        <v>2808</v>
      </c>
      <c r="P9" s="638" t="s">
        <v>2809</v>
      </c>
      <c r="Q9" s="640"/>
      <c r="R9" s="1523"/>
      <c r="S9" s="507"/>
      <c r="T9" s="641" t="s">
        <v>2811</v>
      </c>
      <c r="U9" s="642" t="s">
        <v>2812</v>
      </c>
      <c r="V9" s="642" t="s">
        <v>2813</v>
      </c>
      <c r="W9" s="642" t="s">
        <v>2814</v>
      </c>
      <c r="X9" s="640" t="s">
        <v>2815</v>
      </c>
      <c r="Y9" s="643" t="s">
        <v>2816</v>
      </c>
      <c r="Z9" s="642" t="s">
        <v>2817</v>
      </c>
      <c r="AA9" s="642" t="s">
        <v>2818</v>
      </c>
      <c r="AB9" s="642" t="s">
        <v>2819</v>
      </c>
      <c r="AC9" s="642" t="s">
        <v>27</v>
      </c>
      <c r="AD9" s="642" t="s">
        <v>2820</v>
      </c>
      <c r="AE9" s="642" t="s">
        <v>2821</v>
      </c>
      <c r="AF9" s="642" t="s">
        <v>2811</v>
      </c>
      <c r="AG9" s="642" t="s">
        <v>2812</v>
      </c>
      <c r="AH9" s="642" t="s">
        <v>2813</v>
      </c>
      <c r="AI9" s="642" t="s">
        <v>2814</v>
      </c>
      <c r="AJ9" s="640" t="s">
        <v>2815</v>
      </c>
    </row>
    <row r="10" spans="2:40" ht="14.4" customHeight="1" thickBot="1">
      <c r="B10" s="899" t="s">
        <v>93</v>
      </c>
      <c r="C10" s="513" t="s">
        <v>2582</v>
      </c>
      <c r="D10" s="514" t="s">
        <v>2532</v>
      </c>
      <c r="E10" s="513"/>
      <c r="F10" s="1444">
        <f t="shared" ref="F10:AJ10" si="0">F11+F28+F95+F126+F129+F134+F143+F171+F174</f>
        <v>492000000</v>
      </c>
      <c r="G10" s="1425" t="e">
        <f t="shared" si="0"/>
        <v>#REF!</v>
      </c>
      <c r="H10" s="515" t="e">
        <f t="shared" si="0"/>
        <v>#REF!</v>
      </c>
      <c r="I10" s="515">
        <f t="shared" si="0"/>
        <v>0</v>
      </c>
      <c r="J10" s="516">
        <f t="shared" si="0"/>
        <v>0</v>
      </c>
      <c r="K10" s="517">
        <f t="shared" si="0"/>
        <v>0</v>
      </c>
      <c r="L10" s="517">
        <f t="shared" si="0"/>
        <v>0</v>
      </c>
      <c r="M10" s="518">
        <f t="shared" si="0"/>
        <v>0</v>
      </c>
      <c r="N10" s="516">
        <f t="shared" si="0"/>
        <v>0</v>
      </c>
      <c r="O10" s="517">
        <f t="shared" si="0"/>
        <v>0</v>
      </c>
      <c r="P10" s="517">
        <f t="shared" si="0"/>
        <v>0</v>
      </c>
      <c r="Q10" s="518">
        <f t="shared" si="0"/>
        <v>0</v>
      </c>
      <c r="R10" s="513">
        <f t="shared" si="0"/>
        <v>0</v>
      </c>
      <c r="S10" s="507">
        <f t="shared" si="0"/>
        <v>0</v>
      </c>
      <c r="T10" s="657">
        <f t="shared" si="0"/>
        <v>0</v>
      </c>
      <c r="U10" s="658">
        <f t="shared" si="0"/>
        <v>0</v>
      </c>
      <c r="V10" s="658">
        <f t="shared" si="0"/>
        <v>0</v>
      </c>
      <c r="W10" s="658">
        <f t="shared" si="0"/>
        <v>0</v>
      </c>
      <c r="X10" s="659">
        <f t="shared" si="0"/>
        <v>0</v>
      </c>
      <c r="Y10" s="660">
        <f t="shared" si="0"/>
        <v>0</v>
      </c>
      <c r="Z10" s="658">
        <f t="shared" si="0"/>
        <v>0</v>
      </c>
      <c r="AA10" s="658">
        <f t="shared" si="0"/>
        <v>0</v>
      </c>
      <c r="AB10" s="658">
        <f t="shared" si="0"/>
        <v>0</v>
      </c>
      <c r="AC10" s="658">
        <f t="shared" si="0"/>
        <v>0</v>
      </c>
      <c r="AD10" s="658">
        <f t="shared" si="0"/>
        <v>0</v>
      </c>
      <c r="AE10" s="658">
        <f t="shared" si="0"/>
        <v>0</v>
      </c>
      <c r="AF10" s="658">
        <f t="shared" si="0"/>
        <v>0</v>
      </c>
      <c r="AG10" s="658">
        <f t="shared" si="0"/>
        <v>0</v>
      </c>
      <c r="AH10" s="658">
        <f t="shared" si="0"/>
        <v>0</v>
      </c>
      <c r="AI10" s="658">
        <f t="shared" si="0"/>
        <v>0</v>
      </c>
      <c r="AJ10" s="659">
        <f t="shared" si="0"/>
        <v>0</v>
      </c>
      <c r="AK10" s="500"/>
      <c r="AL10" s="500"/>
      <c r="AM10" s="500"/>
      <c r="AN10" s="500"/>
    </row>
    <row r="11" spans="2:40" ht="14.4" customHeight="1" collapsed="1" thickBot="1">
      <c r="B11" s="900" t="s">
        <v>98</v>
      </c>
      <c r="C11" s="520" t="s">
        <v>2556</v>
      </c>
      <c r="D11" s="521" t="s">
        <v>2533</v>
      </c>
      <c r="E11" s="519"/>
      <c r="F11" s="1445">
        <f>F27</f>
        <v>0</v>
      </c>
      <c r="G11" s="1426">
        <f t="shared" ref="G11:H11" si="1">G27</f>
        <v>0</v>
      </c>
      <c r="H11" s="519">
        <f t="shared" si="1"/>
        <v>0</v>
      </c>
      <c r="I11" s="519">
        <f>I27</f>
        <v>0</v>
      </c>
      <c r="J11" s="523">
        <f t="shared" ref="J11:AJ11" si="2">J27</f>
        <v>0</v>
      </c>
      <c r="K11" s="524">
        <f t="shared" si="2"/>
        <v>0</v>
      </c>
      <c r="L11" s="524">
        <f t="shared" si="2"/>
        <v>0</v>
      </c>
      <c r="M11" s="525">
        <f t="shared" si="2"/>
        <v>0</v>
      </c>
      <c r="N11" s="523">
        <f t="shared" si="2"/>
        <v>0</v>
      </c>
      <c r="O11" s="524">
        <f t="shared" si="2"/>
        <v>0</v>
      </c>
      <c r="P11" s="524">
        <f t="shared" si="2"/>
        <v>0</v>
      </c>
      <c r="Q11" s="525">
        <f t="shared" si="2"/>
        <v>0</v>
      </c>
      <c r="R11" s="519">
        <f t="shared" si="2"/>
        <v>0</v>
      </c>
      <c r="S11" s="507">
        <f t="shared" si="2"/>
        <v>0</v>
      </c>
      <c r="T11" s="644">
        <f t="shared" si="2"/>
        <v>0</v>
      </c>
      <c r="U11" s="615">
        <f t="shared" si="2"/>
        <v>0</v>
      </c>
      <c r="V11" s="615">
        <f t="shared" si="2"/>
        <v>0</v>
      </c>
      <c r="W11" s="615">
        <f t="shared" si="2"/>
        <v>0</v>
      </c>
      <c r="X11" s="616">
        <f t="shared" si="2"/>
        <v>0</v>
      </c>
      <c r="Y11" s="645">
        <f t="shared" si="2"/>
        <v>0</v>
      </c>
      <c r="Z11" s="615">
        <f t="shared" si="2"/>
        <v>0</v>
      </c>
      <c r="AA11" s="615">
        <f t="shared" si="2"/>
        <v>0</v>
      </c>
      <c r="AB11" s="615">
        <f t="shared" si="2"/>
        <v>0</v>
      </c>
      <c r="AC11" s="615">
        <f t="shared" si="2"/>
        <v>0</v>
      </c>
      <c r="AD11" s="615">
        <f t="shared" si="2"/>
        <v>0</v>
      </c>
      <c r="AE11" s="615">
        <f t="shared" si="2"/>
        <v>0</v>
      </c>
      <c r="AF11" s="615">
        <f t="shared" si="2"/>
        <v>0</v>
      </c>
      <c r="AG11" s="615">
        <f t="shared" si="2"/>
        <v>0</v>
      </c>
      <c r="AH11" s="615">
        <f t="shared" si="2"/>
        <v>0</v>
      </c>
      <c r="AI11" s="615">
        <f t="shared" si="2"/>
        <v>0</v>
      </c>
      <c r="AJ11" s="616">
        <f t="shared" si="2"/>
        <v>0</v>
      </c>
      <c r="AK11" s="500"/>
      <c r="AL11" s="500"/>
      <c r="AM11" s="500"/>
      <c r="AN11" s="500"/>
    </row>
    <row r="12" spans="2:40" ht="14.4" hidden="1" customHeight="1" outlineLevel="1">
      <c r="B12" s="901"/>
      <c r="C12" s="527" t="s">
        <v>2557</v>
      </c>
      <c r="D12" s="528" t="s">
        <v>2567</v>
      </c>
      <c r="E12" s="526"/>
      <c r="F12" s="1446">
        <v>0</v>
      </c>
      <c r="G12" s="1427"/>
      <c r="H12" s="526"/>
      <c r="I12" s="526"/>
      <c r="J12" s="530"/>
      <c r="K12" s="531"/>
      <c r="L12" s="531"/>
      <c r="M12" s="532"/>
      <c r="N12" s="530"/>
      <c r="O12" s="531"/>
      <c r="P12" s="531"/>
      <c r="Q12" s="532"/>
      <c r="R12" s="526"/>
      <c r="S12" s="507"/>
      <c r="T12" s="510"/>
      <c r="U12" s="511"/>
      <c r="V12" s="511"/>
      <c r="W12" s="511"/>
      <c r="X12" s="509"/>
      <c r="Y12" s="512"/>
      <c r="Z12" s="511"/>
      <c r="AA12" s="511"/>
      <c r="AB12" s="511"/>
      <c r="AC12" s="511"/>
      <c r="AD12" s="511"/>
      <c r="AE12" s="511"/>
      <c r="AF12" s="511"/>
      <c r="AG12" s="511"/>
      <c r="AH12" s="511"/>
      <c r="AI12" s="511"/>
      <c r="AJ12" s="509"/>
      <c r="AK12" s="500"/>
      <c r="AL12" s="500"/>
      <c r="AM12" s="500"/>
      <c r="AN12" s="500"/>
    </row>
    <row r="13" spans="2:40" ht="14.4" hidden="1" customHeight="1" outlineLevel="1">
      <c r="B13" s="901"/>
      <c r="C13" s="527" t="s">
        <v>2558</v>
      </c>
      <c r="D13" s="528" t="s">
        <v>2568</v>
      </c>
      <c r="E13" s="526"/>
      <c r="F13" s="1446">
        <v>0</v>
      </c>
      <c r="G13" s="1427"/>
      <c r="H13" s="526"/>
      <c r="I13" s="526"/>
      <c r="J13" s="530"/>
      <c r="K13" s="531"/>
      <c r="L13" s="531"/>
      <c r="M13" s="532"/>
      <c r="N13" s="530"/>
      <c r="O13" s="531"/>
      <c r="P13" s="531"/>
      <c r="Q13" s="532"/>
      <c r="R13" s="526"/>
      <c r="S13" s="507"/>
      <c r="T13" s="510"/>
      <c r="U13" s="511"/>
      <c r="V13" s="511"/>
      <c r="W13" s="511"/>
      <c r="X13" s="509"/>
      <c r="Y13" s="512"/>
      <c r="Z13" s="511"/>
      <c r="AA13" s="511"/>
      <c r="AB13" s="511"/>
      <c r="AC13" s="511"/>
      <c r="AD13" s="511"/>
      <c r="AE13" s="511"/>
      <c r="AF13" s="511"/>
      <c r="AG13" s="511"/>
      <c r="AH13" s="511"/>
      <c r="AI13" s="511"/>
      <c r="AJ13" s="509"/>
      <c r="AK13" s="500"/>
      <c r="AL13" s="500"/>
      <c r="AM13" s="500"/>
      <c r="AN13" s="500"/>
    </row>
    <row r="14" spans="2:40" ht="14.4" hidden="1" customHeight="1" outlineLevel="1">
      <c r="B14" s="901"/>
      <c r="C14" s="527" t="s">
        <v>2559</v>
      </c>
      <c r="D14" s="528" t="s">
        <v>2569</v>
      </c>
      <c r="E14" s="526"/>
      <c r="F14" s="1446">
        <v>0</v>
      </c>
      <c r="G14" s="1427"/>
      <c r="H14" s="526"/>
      <c r="I14" s="526"/>
      <c r="J14" s="530"/>
      <c r="K14" s="531"/>
      <c r="L14" s="531"/>
      <c r="M14" s="532"/>
      <c r="N14" s="530"/>
      <c r="O14" s="531"/>
      <c r="P14" s="531"/>
      <c r="Q14" s="532"/>
      <c r="R14" s="526"/>
      <c r="S14" s="507"/>
      <c r="T14" s="510"/>
      <c r="U14" s="511"/>
      <c r="V14" s="511"/>
      <c r="W14" s="511"/>
      <c r="X14" s="509"/>
      <c r="Y14" s="512"/>
      <c r="Z14" s="511"/>
      <c r="AA14" s="511"/>
      <c r="AB14" s="511"/>
      <c r="AC14" s="511"/>
      <c r="AD14" s="511"/>
      <c r="AE14" s="511"/>
      <c r="AF14" s="511"/>
      <c r="AG14" s="511"/>
      <c r="AH14" s="511"/>
      <c r="AI14" s="511"/>
      <c r="AJ14" s="509"/>
      <c r="AK14" s="500"/>
      <c r="AL14" s="500"/>
      <c r="AM14" s="500"/>
      <c r="AN14" s="500"/>
    </row>
    <row r="15" spans="2:40" ht="14.4" hidden="1" customHeight="1" outlineLevel="1">
      <c r="B15" s="901"/>
      <c r="C15" s="527" t="s">
        <v>2560</v>
      </c>
      <c r="D15" s="528" t="s">
        <v>2570</v>
      </c>
      <c r="E15" s="526"/>
      <c r="F15" s="1446">
        <v>0</v>
      </c>
      <c r="G15" s="1427"/>
      <c r="H15" s="526"/>
      <c r="I15" s="526"/>
      <c r="J15" s="530"/>
      <c r="K15" s="531"/>
      <c r="L15" s="531"/>
      <c r="M15" s="532"/>
      <c r="N15" s="530"/>
      <c r="O15" s="531"/>
      <c r="P15" s="531"/>
      <c r="Q15" s="532"/>
      <c r="R15" s="526"/>
      <c r="S15" s="507"/>
      <c r="T15" s="510"/>
      <c r="U15" s="511"/>
      <c r="V15" s="511"/>
      <c r="W15" s="511"/>
      <c r="X15" s="509"/>
      <c r="Y15" s="512"/>
      <c r="Z15" s="511"/>
      <c r="AA15" s="511"/>
      <c r="AB15" s="511"/>
      <c r="AC15" s="511"/>
      <c r="AD15" s="511"/>
      <c r="AE15" s="511"/>
      <c r="AF15" s="511"/>
      <c r="AG15" s="511"/>
      <c r="AH15" s="511"/>
      <c r="AI15" s="511"/>
      <c r="AJ15" s="509"/>
      <c r="AK15" s="500"/>
      <c r="AL15" s="500"/>
      <c r="AM15" s="500"/>
      <c r="AN15" s="500"/>
    </row>
    <row r="16" spans="2:40" ht="14.4" hidden="1" customHeight="1" outlineLevel="1">
      <c r="B16" s="901"/>
      <c r="C16" s="527" t="s">
        <v>2561</v>
      </c>
      <c r="D16" s="528" t="s">
        <v>2571</v>
      </c>
      <c r="E16" s="526"/>
      <c r="F16" s="1446">
        <v>0</v>
      </c>
      <c r="G16" s="1427"/>
      <c r="H16" s="526"/>
      <c r="I16" s="526"/>
      <c r="J16" s="530"/>
      <c r="K16" s="531"/>
      <c r="L16" s="531"/>
      <c r="M16" s="532"/>
      <c r="N16" s="530"/>
      <c r="O16" s="531"/>
      <c r="P16" s="531"/>
      <c r="Q16" s="532"/>
      <c r="R16" s="526"/>
      <c r="S16" s="507"/>
      <c r="T16" s="510"/>
      <c r="U16" s="511"/>
      <c r="V16" s="511"/>
      <c r="W16" s="511"/>
      <c r="X16" s="509"/>
      <c r="Y16" s="512"/>
      <c r="Z16" s="511"/>
      <c r="AA16" s="511"/>
      <c r="AB16" s="511"/>
      <c r="AC16" s="511"/>
      <c r="AD16" s="511"/>
      <c r="AE16" s="511"/>
      <c r="AF16" s="511"/>
      <c r="AG16" s="511"/>
      <c r="AH16" s="511"/>
      <c r="AI16" s="511"/>
      <c r="AJ16" s="509"/>
      <c r="AK16" s="500"/>
      <c r="AL16" s="500"/>
      <c r="AM16" s="500"/>
      <c r="AN16" s="500"/>
    </row>
    <row r="17" spans="1:40" ht="14.4" hidden="1" customHeight="1" outlineLevel="1">
      <c r="B17" s="901"/>
      <c r="C17" s="527" t="s">
        <v>2562</v>
      </c>
      <c r="D17" s="528" t="s">
        <v>2572</v>
      </c>
      <c r="E17" s="526"/>
      <c r="F17" s="1446">
        <v>0</v>
      </c>
      <c r="G17" s="1427"/>
      <c r="H17" s="526"/>
      <c r="I17" s="526"/>
      <c r="J17" s="530"/>
      <c r="K17" s="531"/>
      <c r="L17" s="531"/>
      <c r="M17" s="532"/>
      <c r="N17" s="530"/>
      <c r="O17" s="531"/>
      <c r="P17" s="531"/>
      <c r="Q17" s="532"/>
      <c r="R17" s="526"/>
      <c r="S17" s="507"/>
      <c r="T17" s="510"/>
      <c r="U17" s="511"/>
      <c r="V17" s="511"/>
      <c r="W17" s="511"/>
      <c r="X17" s="509"/>
      <c r="Y17" s="512"/>
      <c r="Z17" s="511"/>
      <c r="AA17" s="511"/>
      <c r="AB17" s="511"/>
      <c r="AC17" s="511"/>
      <c r="AD17" s="511"/>
      <c r="AE17" s="511"/>
      <c r="AF17" s="511"/>
      <c r="AG17" s="511"/>
      <c r="AH17" s="511"/>
      <c r="AI17" s="511"/>
      <c r="AJ17" s="509"/>
      <c r="AK17" s="500"/>
      <c r="AL17" s="500"/>
      <c r="AM17" s="500"/>
      <c r="AN17" s="500"/>
    </row>
    <row r="18" spans="1:40" ht="14.4" hidden="1" customHeight="1" outlineLevel="1">
      <c r="B18" s="901"/>
      <c r="C18" s="527" t="s">
        <v>2563</v>
      </c>
      <c r="D18" s="528" t="s">
        <v>2573</v>
      </c>
      <c r="E18" s="526"/>
      <c r="F18" s="1446">
        <v>0</v>
      </c>
      <c r="G18" s="1427"/>
      <c r="H18" s="526"/>
      <c r="I18" s="526"/>
      <c r="J18" s="530"/>
      <c r="K18" s="531"/>
      <c r="L18" s="531"/>
      <c r="M18" s="532"/>
      <c r="N18" s="530"/>
      <c r="O18" s="531"/>
      <c r="P18" s="531"/>
      <c r="Q18" s="532"/>
      <c r="R18" s="526"/>
      <c r="S18" s="507"/>
      <c r="T18" s="510"/>
      <c r="U18" s="511"/>
      <c r="V18" s="511"/>
      <c r="W18" s="511"/>
      <c r="X18" s="509"/>
      <c r="Y18" s="512"/>
      <c r="Z18" s="511"/>
      <c r="AA18" s="511"/>
      <c r="AB18" s="511"/>
      <c r="AC18" s="511"/>
      <c r="AD18" s="511"/>
      <c r="AE18" s="511"/>
      <c r="AF18" s="511"/>
      <c r="AG18" s="511"/>
      <c r="AH18" s="511"/>
      <c r="AI18" s="511"/>
      <c r="AJ18" s="509"/>
      <c r="AK18" s="500"/>
      <c r="AL18" s="500"/>
      <c r="AM18" s="500"/>
      <c r="AN18" s="500"/>
    </row>
    <row r="19" spans="1:40" ht="14.4" hidden="1" customHeight="1" outlineLevel="1">
      <c r="B19" s="901"/>
      <c r="C19" s="527" t="s">
        <v>2564</v>
      </c>
      <c r="D19" s="528" t="s">
        <v>2574</v>
      </c>
      <c r="E19" s="526"/>
      <c r="F19" s="1446">
        <v>0</v>
      </c>
      <c r="G19" s="1427"/>
      <c r="H19" s="526"/>
      <c r="I19" s="526"/>
      <c r="J19" s="530"/>
      <c r="K19" s="531"/>
      <c r="L19" s="531"/>
      <c r="M19" s="532"/>
      <c r="N19" s="530"/>
      <c r="O19" s="531"/>
      <c r="P19" s="531"/>
      <c r="Q19" s="532"/>
      <c r="R19" s="526"/>
      <c r="S19" s="507"/>
      <c r="T19" s="510"/>
      <c r="U19" s="511"/>
      <c r="V19" s="511"/>
      <c r="W19" s="511"/>
      <c r="X19" s="509"/>
      <c r="Y19" s="512"/>
      <c r="Z19" s="511"/>
      <c r="AA19" s="511"/>
      <c r="AB19" s="511"/>
      <c r="AC19" s="511"/>
      <c r="AD19" s="511"/>
      <c r="AE19" s="511"/>
      <c r="AF19" s="511"/>
      <c r="AG19" s="511"/>
      <c r="AH19" s="511"/>
      <c r="AI19" s="511"/>
      <c r="AJ19" s="509"/>
      <c r="AK19" s="500"/>
      <c r="AL19" s="500"/>
      <c r="AM19" s="500"/>
      <c r="AN19" s="500"/>
    </row>
    <row r="20" spans="1:40" ht="14.4" hidden="1" customHeight="1" outlineLevel="1" collapsed="1">
      <c r="B20" s="902"/>
      <c r="C20" s="527" t="s">
        <v>2565</v>
      </c>
      <c r="D20" s="528" t="s">
        <v>2575</v>
      </c>
      <c r="E20" s="555"/>
      <c r="F20" s="1446">
        <f>SUM(F21:F25)</f>
        <v>0</v>
      </c>
      <c r="G20" s="1428">
        <f t="shared" ref="G20:I20" si="3">SUM(G21:G25)</f>
        <v>0</v>
      </c>
      <c r="H20" s="555">
        <f t="shared" si="3"/>
        <v>0</v>
      </c>
      <c r="I20" s="555">
        <f t="shared" si="3"/>
        <v>0</v>
      </c>
      <c r="J20" s="557">
        <f t="shared" ref="J20" si="4">SUM(J21:J25)</f>
        <v>0</v>
      </c>
      <c r="K20" s="558">
        <f t="shared" ref="K20" si="5">SUM(K21:K25)</f>
        <v>0</v>
      </c>
      <c r="L20" s="558">
        <f t="shared" ref="L20" si="6">SUM(L21:L25)</f>
        <v>0</v>
      </c>
      <c r="M20" s="559">
        <f t="shared" ref="M20" si="7">SUM(M21:M25)</f>
        <v>0</v>
      </c>
      <c r="N20" s="557">
        <f t="shared" ref="N20" si="8">SUM(N21:N25)</f>
        <v>0</v>
      </c>
      <c r="O20" s="558">
        <f t="shared" ref="O20" si="9">SUM(O21:O25)</f>
        <v>0</v>
      </c>
      <c r="P20" s="558">
        <f t="shared" ref="P20" si="10">SUM(P21:P25)</f>
        <v>0</v>
      </c>
      <c r="Q20" s="559">
        <f t="shared" ref="Q20" si="11">SUM(Q21:Q25)</f>
        <v>0</v>
      </c>
      <c r="R20" s="555">
        <f t="shared" ref="R20" si="12">SUM(R21:R25)</f>
        <v>0</v>
      </c>
      <c r="S20" s="560">
        <f t="shared" ref="S20" si="13">SUM(S21:S25)</f>
        <v>0</v>
      </c>
      <c r="T20" s="561">
        <f t="shared" ref="T20" si="14">SUM(T21:T25)</f>
        <v>0</v>
      </c>
      <c r="U20" s="562">
        <f t="shared" ref="U20" si="15">SUM(U21:U25)</f>
        <v>0</v>
      </c>
      <c r="V20" s="562">
        <f t="shared" ref="V20" si="16">SUM(V21:V25)</f>
        <v>0</v>
      </c>
      <c r="W20" s="562">
        <f t="shared" ref="W20" si="17">SUM(W21:W25)</f>
        <v>0</v>
      </c>
      <c r="X20" s="563">
        <f t="shared" ref="X20" si="18">SUM(X21:X25)</f>
        <v>0</v>
      </c>
      <c r="Y20" s="564">
        <f t="shared" ref="Y20" si="19">SUM(Y21:Y25)</f>
        <v>0</v>
      </c>
      <c r="Z20" s="562">
        <f t="shared" ref="Z20" si="20">SUM(Z21:Z25)</f>
        <v>0</v>
      </c>
      <c r="AA20" s="562">
        <f t="shared" ref="AA20" si="21">SUM(AA21:AA25)</f>
        <v>0</v>
      </c>
      <c r="AB20" s="562">
        <f t="shared" ref="AB20" si="22">SUM(AB21:AB25)</f>
        <v>0</v>
      </c>
      <c r="AC20" s="562">
        <f t="shared" ref="AC20" si="23">SUM(AC21:AC25)</f>
        <v>0</v>
      </c>
      <c r="AD20" s="562">
        <f t="shared" ref="AD20" si="24">SUM(AD21:AD25)</f>
        <v>0</v>
      </c>
      <c r="AE20" s="562">
        <f t="shared" ref="AE20" si="25">SUM(AE21:AE25)</f>
        <v>0</v>
      </c>
      <c r="AF20" s="562">
        <f t="shared" ref="AF20" si="26">SUM(AF21:AF25)</f>
        <v>0</v>
      </c>
      <c r="AG20" s="562">
        <f t="shared" ref="AG20" si="27">SUM(AG21:AG25)</f>
        <v>0</v>
      </c>
      <c r="AH20" s="562">
        <f t="shared" ref="AH20" si="28">SUM(AH21:AH25)</f>
        <v>0</v>
      </c>
      <c r="AI20" s="562">
        <f t="shared" ref="AI20" si="29">SUM(AI21:AI25)</f>
        <v>0</v>
      </c>
      <c r="AJ20" s="563">
        <f t="shared" ref="AJ20" si="30">SUM(AJ21:AJ25)</f>
        <v>0</v>
      </c>
      <c r="AK20" s="500"/>
      <c r="AL20" s="500"/>
      <c r="AM20" s="500"/>
      <c r="AN20" s="500"/>
    </row>
    <row r="21" spans="1:40" ht="14.4" hidden="1" customHeight="1" outlineLevel="1">
      <c r="B21" s="901"/>
      <c r="C21" s="527" t="s">
        <v>2566</v>
      </c>
      <c r="D21" s="533" t="s">
        <v>2576</v>
      </c>
      <c r="E21" s="526"/>
      <c r="F21" s="1446">
        <v>0</v>
      </c>
      <c r="G21" s="1427"/>
      <c r="H21" s="526"/>
      <c r="I21" s="526"/>
      <c r="J21" s="530"/>
      <c r="K21" s="531"/>
      <c r="L21" s="531"/>
      <c r="M21" s="532"/>
      <c r="N21" s="530"/>
      <c r="O21" s="531"/>
      <c r="P21" s="531"/>
      <c r="Q21" s="532"/>
      <c r="R21" s="526"/>
      <c r="S21" s="507"/>
      <c r="T21" s="510"/>
      <c r="U21" s="511"/>
      <c r="V21" s="511"/>
      <c r="W21" s="511"/>
      <c r="X21" s="509"/>
      <c r="Y21" s="512"/>
      <c r="Z21" s="511"/>
      <c r="AA21" s="511"/>
      <c r="AB21" s="511"/>
      <c r="AC21" s="511"/>
      <c r="AD21" s="511"/>
      <c r="AE21" s="511"/>
      <c r="AF21" s="511"/>
      <c r="AG21" s="511"/>
      <c r="AH21" s="511"/>
      <c r="AI21" s="511"/>
      <c r="AJ21" s="509"/>
      <c r="AK21" s="500"/>
      <c r="AL21" s="500"/>
      <c r="AM21" s="500"/>
      <c r="AN21" s="500"/>
    </row>
    <row r="22" spans="1:40" ht="14.4" hidden="1" customHeight="1" outlineLevel="1" collapsed="1">
      <c r="B22" s="901"/>
      <c r="C22" s="527" t="s">
        <v>2566</v>
      </c>
      <c r="D22" s="533" t="s">
        <v>2577</v>
      </c>
      <c r="E22" s="526"/>
      <c r="F22" s="1446">
        <v>0</v>
      </c>
      <c r="G22" s="1427"/>
      <c r="H22" s="526"/>
      <c r="I22" s="526"/>
      <c r="J22" s="530"/>
      <c r="K22" s="531"/>
      <c r="L22" s="531"/>
      <c r="M22" s="532"/>
      <c r="N22" s="530"/>
      <c r="O22" s="531"/>
      <c r="P22" s="531"/>
      <c r="Q22" s="532"/>
      <c r="R22" s="526"/>
      <c r="S22" s="507"/>
      <c r="T22" s="510"/>
      <c r="U22" s="511"/>
      <c r="V22" s="511"/>
      <c r="W22" s="511"/>
      <c r="X22" s="509"/>
      <c r="Y22" s="512"/>
      <c r="Z22" s="511"/>
      <c r="AA22" s="511"/>
      <c r="AB22" s="511"/>
      <c r="AC22" s="511"/>
      <c r="AD22" s="511"/>
      <c r="AE22" s="511"/>
      <c r="AF22" s="511"/>
      <c r="AG22" s="511"/>
      <c r="AH22" s="511"/>
      <c r="AI22" s="511"/>
      <c r="AJ22" s="509"/>
      <c r="AK22" s="500"/>
      <c r="AL22" s="500"/>
      <c r="AM22" s="500"/>
      <c r="AN22" s="500"/>
    </row>
    <row r="23" spans="1:40" ht="14.4" hidden="1" customHeight="1" outlineLevel="1" collapsed="1">
      <c r="B23" s="901"/>
      <c r="C23" s="527" t="s">
        <v>2566</v>
      </c>
      <c r="D23" s="533" t="s">
        <v>2578</v>
      </c>
      <c r="E23" s="526"/>
      <c r="F23" s="1446">
        <v>0</v>
      </c>
      <c r="G23" s="1427"/>
      <c r="H23" s="526"/>
      <c r="I23" s="526"/>
      <c r="J23" s="530"/>
      <c r="K23" s="531"/>
      <c r="L23" s="531"/>
      <c r="M23" s="532"/>
      <c r="N23" s="530"/>
      <c r="O23" s="531"/>
      <c r="P23" s="531"/>
      <c r="Q23" s="532"/>
      <c r="R23" s="526"/>
      <c r="S23" s="507"/>
      <c r="T23" s="510"/>
      <c r="U23" s="511"/>
      <c r="V23" s="511"/>
      <c r="W23" s="511"/>
      <c r="X23" s="509"/>
      <c r="Y23" s="512"/>
      <c r="Z23" s="511"/>
      <c r="AA23" s="511"/>
      <c r="AB23" s="511"/>
      <c r="AC23" s="511"/>
      <c r="AD23" s="511"/>
      <c r="AE23" s="511"/>
      <c r="AF23" s="511"/>
      <c r="AG23" s="511"/>
      <c r="AH23" s="511"/>
      <c r="AI23" s="511"/>
      <c r="AJ23" s="509"/>
      <c r="AK23" s="500"/>
      <c r="AL23" s="500"/>
      <c r="AM23" s="500"/>
      <c r="AN23" s="500"/>
    </row>
    <row r="24" spans="1:40" ht="14.4" hidden="1" customHeight="1" outlineLevel="1" collapsed="1">
      <c r="B24" s="901"/>
      <c r="C24" s="527" t="s">
        <v>2566</v>
      </c>
      <c r="D24" s="533" t="s">
        <v>2579</v>
      </c>
      <c r="E24" s="526"/>
      <c r="F24" s="1446">
        <v>0</v>
      </c>
      <c r="G24" s="1427"/>
      <c r="H24" s="526"/>
      <c r="I24" s="526"/>
      <c r="J24" s="530"/>
      <c r="K24" s="531"/>
      <c r="L24" s="531"/>
      <c r="M24" s="532"/>
      <c r="N24" s="530"/>
      <c r="O24" s="531"/>
      <c r="P24" s="531"/>
      <c r="Q24" s="532"/>
      <c r="R24" s="526"/>
      <c r="S24" s="507"/>
      <c r="T24" s="510"/>
      <c r="U24" s="511"/>
      <c r="V24" s="511"/>
      <c r="W24" s="511"/>
      <c r="X24" s="509"/>
      <c r="Y24" s="512"/>
      <c r="Z24" s="511"/>
      <c r="AA24" s="511"/>
      <c r="AB24" s="511"/>
      <c r="AC24" s="511"/>
      <c r="AD24" s="511"/>
      <c r="AE24" s="511"/>
      <c r="AF24" s="511"/>
      <c r="AG24" s="511"/>
      <c r="AH24" s="511"/>
      <c r="AI24" s="511"/>
      <c r="AJ24" s="509"/>
      <c r="AK24" s="500"/>
      <c r="AL24" s="500"/>
      <c r="AM24" s="500"/>
      <c r="AN24" s="500"/>
    </row>
    <row r="25" spans="1:40" ht="14.4" hidden="1" customHeight="1" outlineLevel="1" collapsed="1">
      <c r="B25" s="901"/>
      <c r="C25" s="527" t="s">
        <v>2566</v>
      </c>
      <c r="D25" s="533" t="s">
        <v>2580</v>
      </c>
      <c r="E25" s="526"/>
      <c r="F25" s="1446">
        <v>0</v>
      </c>
      <c r="G25" s="1427"/>
      <c r="H25" s="526"/>
      <c r="I25" s="526"/>
      <c r="J25" s="530"/>
      <c r="K25" s="531"/>
      <c r="L25" s="531"/>
      <c r="M25" s="532"/>
      <c r="N25" s="530"/>
      <c r="O25" s="531"/>
      <c r="P25" s="531"/>
      <c r="Q25" s="532"/>
      <c r="R25" s="526"/>
      <c r="S25" s="507"/>
      <c r="T25" s="510"/>
      <c r="U25" s="511"/>
      <c r="V25" s="511"/>
      <c r="W25" s="511"/>
      <c r="X25" s="509"/>
      <c r="Y25" s="512"/>
      <c r="Z25" s="511"/>
      <c r="AA25" s="511"/>
      <c r="AB25" s="511"/>
      <c r="AC25" s="511"/>
      <c r="AD25" s="511"/>
      <c r="AE25" s="511"/>
      <c r="AF25" s="511"/>
      <c r="AG25" s="511"/>
      <c r="AH25" s="511"/>
      <c r="AI25" s="511"/>
      <c r="AJ25" s="509"/>
      <c r="AK25" s="500"/>
      <c r="AL25" s="500"/>
      <c r="AM25" s="500"/>
      <c r="AN25" s="500"/>
    </row>
    <row r="26" spans="1:40" ht="14.4" hidden="1" customHeight="1" outlineLevel="1" collapsed="1">
      <c r="B26" s="901"/>
      <c r="C26" s="662">
        <v>51201001102</v>
      </c>
      <c r="D26" s="528" t="s">
        <v>2581</v>
      </c>
      <c r="E26" s="526"/>
      <c r="F26" s="1446">
        <v>0</v>
      </c>
      <c r="G26" s="1427"/>
      <c r="H26" s="526"/>
      <c r="I26" s="526"/>
      <c r="J26" s="530"/>
      <c r="K26" s="531"/>
      <c r="L26" s="531"/>
      <c r="M26" s="532"/>
      <c r="N26" s="530"/>
      <c r="O26" s="531"/>
      <c r="P26" s="531"/>
      <c r="Q26" s="532"/>
      <c r="R26" s="526"/>
      <c r="S26" s="507"/>
      <c r="T26" s="510"/>
      <c r="U26" s="511"/>
      <c r="V26" s="511"/>
      <c r="W26" s="511"/>
      <c r="X26" s="509"/>
      <c r="Y26" s="512"/>
      <c r="Z26" s="511"/>
      <c r="AA26" s="511"/>
      <c r="AB26" s="511"/>
      <c r="AC26" s="511"/>
      <c r="AD26" s="511"/>
      <c r="AE26" s="511"/>
      <c r="AF26" s="511"/>
      <c r="AG26" s="511"/>
      <c r="AH26" s="511"/>
      <c r="AI26" s="511"/>
      <c r="AJ26" s="509"/>
      <c r="AK26" s="500"/>
      <c r="AL26" s="500"/>
      <c r="AM26" s="500"/>
      <c r="AN26" s="500"/>
    </row>
    <row r="27" spans="1:40" ht="14.4" hidden="1" customHeight="1" outlineLevel="1" thickBot="1">
      <c r="B27" s="903"/>
      <c r="C27" s="534"/>
      <c r="D27" s="535" t="s">
        <v>2792</v>
      </c>
      <c r="E27" s="536"/>
      <c r="F27" s="1447">
        <f>F12+F13+F14+F15+F16+F17+F18+F19+F20+F26</f>
        <v>0</v>
      </c>
      <c r="G27" s="1429">
        <f t="shared" ref="G27:I27" si="31">G12+G13+G14+G15+G16+G17+G18+G19+G20+G26</f>
        <v>0</v>
      </c>
      <c r="H27" s="535">
        <f t="shared" si="31"/>
        <v>0</v>
      </c>
      <c r="I27" s="535">
        <f t="shared" si="31"/>
        <v>0</v>
      </c>
      <c r="J27" s="537">
        <f t="shared" ref="J27" si="32">J12+J13+J14+J15+J16+J17+J18+J19+J20+J26</f>
        <v>0</v>
      </c>
      <c r="K27" s="538">
        <f t="shared" ref="K27" si="33">K12+K13+K14+K15+K16+K17+K18+K19+K20+K26</f>
        <v>0</v>
      </c>
      <c r="L27" s="538">
        <f t="shared" ref="L27" si="34">L12+L13+L14+L15+L16+L17+L18+L19+L20+L26</f>
        <v>0</v>
      </c>
      <c r="M27" s="539">
        <f t="shared" ref="M27" si="35">M12+M13+M14+M15+M16+M17+M18+M19+M20+M26</f>
        <v>0</v>
      </c>
      <c r="N27" s="537">
        <f t="shared" ref="N27" si="36">N12+N13+N14+N15+N16+N17+N18+N19+N20+N26</f>
        <v>0</v>
      </c>
      <c r="O27" s="538">
        <f t="shared" ref="O27" si="37">O12+O13+O14+O15+O16+O17+O18+O19+O20+O26</f>
        <v>0</v>
      </c>
      <c r="P27" s="538">
        <f t="shared" ref="P27" si="38">P12+P13+P14+P15+P16+P17+P18+P19+P20+P26</f>
        <v>0</v>
      </c>
      <c r="Q27" s="539">
        <f t="shared" ref="Q27" si="39">Q12+Q13+Q14+Q15+Q16+Q17+Q18+Q19+Q20+Q26</f>
        <v>0</v>
      </c>
      <c r="R27" s="540">
        <f t="shared" ref="R27" si="40">R12+R13+R14+R15+R16+R17+R18+R19+R20+R26</f>
        <v>0</v>
      </c>
      <c r="S27" s="541">
        <f t="shared" ref="S27" si="41">S12+S13+S14+S15+S16+S17+S18+S19+S20+S26</f>
        <v>0</v>
      </c>
      <c r="T27" s="542">
        <f t="shared" ref="T27" si="42">T12+T13+T14+T15+T16+T17+T18+T19+T20+T26</f>
        <v>0</v>
      </c>
      <c r="U27" s="543">
        <f t="shared" ref="U27" si="43">U12+U13+U14+U15+U16+U17+U18+U19+U20+U26</f>
        <v>0</v>
      </c>
      <c r="V27" s="543">
        <f t="shared" ref="V27" si="44">V12+V13+V14+V15+V16+V17+V18+V19+V20+V26</f>
        <v>0</v>
      </c>
      <c r="W27" s="543">
        <f t="shared" ref="W27" si="45">W12+W13+W14+W15+W16+W17+W18+W19+W20+W26</f>
        <v>0</v>
      </c>
      <c r="X27" s="544">
        <f t="shared" ref="X27" si="46">X12+X13+X14+X15+X16+X17+X18+X19+X20+X26</f>
        <v>0</v>
      </c>
      <c r="Y27" s="545">
        <f t="shared" ref="Y27" si="47">Y12+Y13+Y14+Y15+Y16+Y17+Y18+Y19+Y20+Y26</f>
        <v>0</v>
      </c>
      <c r="Z27" s="543">
        <f t="shared" ref="Z27" si="48">Z12+Z13+Z14+Z15+Z16+Z17+Z18+Z19+Z20+Z26</f>
        <v>0</v>
      </c>
      <c r="AA27" s="543">
        <f t="shared" ref="AA27" si="49">AA12+AA13+AA14+AA15+AA16+AA17+AA18+AA19+AA20+AA26</f>
        <v>0</v>
      </c>
      <c r="AB27" s="543">
        <f t="shared" ref="AB27" si="50">AB12+AB13+AB14+AB15+AB16+AB17+AB18+AB19+AB20+AB26</f>
        <v>0</v>
      </c>
      <c r="AC27" s="543">
        <f t="shared" ref="AC27" si="51">AC12+AC13+AC14+AC15+AC16+AC17+AC18+AC19+AC20+AC26</f>
        <v>0</v>
      </c>
      <c r="AD27" s="543">
        <f t="shared" ref="AD27" si="52">AD12+AD13+AD14+AD15+AD16+AD17+AD18+AD19+AD20+AD26</f>
        <v>0</v>
      </c>
      <c r="AE27" s="543">
        <f t="shared" ref="AE27" si="53">AE12+AE13+AE14+AE15+AE16+AE17+AE18+AE19+AE20+AE26</f>
        <v>0</v>
      </c>
      <c r="AF27" s="543">
        <f t="shared" ref="AF27" si="54">AF12+AF13+AF14+AF15+AF16+AF17+AF18+AF19+AF20+AF26</f>
        <v>0</v>
      </c>
      <c r="AG27" s="543">
        <f t="shared" ref="AG27" si="55">AG12+AG13+AG14+AG15+AG16+AG17+AG18+AG19+AG20+AG26</f>
        <v>0</v>
      </c>
      <c r="AH27" s="543">
        <f t="shared" ref="AH27" si="56">AH12+AH13+AH14+AH15+AH16+AH17+AH18+AH19+AH20+AH26</f>
        <v>0</v>
      </c>
      <c r="AI27" s="543">
        <f t="shared" ref="AI27" si="57">AI12+AI13+AI14+AI15+AI16+AI17+AI18+AI19+AI20+AI26</f>
        <v>0</v>
      </c>
      <c r="AJ27" s="544">
        <f t="shared" ref="AJ27" si="58">AJ12+AJ13+AJ14+AJ15+AJ16+AJ17+AJ18+AJ19+AJ20+AJ26</f>
        <v>0</v>
      </c>
      <c r="AK27" s="500"/>
      <c r="AL27" s="500"/>
      <c r="AM27" s="500"/>
      <c r="AN27" s="500"/>
    </row>
    <row r="28" spans="1:40" ht="14.4" customHeight="1" thickBot="1">
      <c r="B28" s="900" t="s">
        <v>106</v>
      </c>
      <c r="C28" s="520" t="s">
        <v>2583</v>
      </c>
      <c r="D28" s="521" t="s">
        <v>2601</v>
      </c>
      <c r="E28" s="519"/>
      <c r="F28" s="1445">
        <f t="shared" ref="F28:AJ28" si="59">F38+F43+F47+F51+F64+F84+F89+F94</f>
        <v>470000000</v>
      </c>
      <c r="G28" s="1426" t="e">
        <f t="shared" si="59"/>
        <v>#REF!</v>
      </c>
      <c r="H28" s="519" t="e">
        <f t="shared" si="59"/>
        <v>#REF!</v>
      </c>
      <c r="I28" s="519">
        <f t="shared" si="59"/>
        <v>0</v>
      </c>
      <c r="J28" s="523">
        <f t="shared" si="59"/>
        <v>0</v>
      </c>
      <c r="K28" s="524">
        <f t="shared" si="59"/>
        <v>0</v>
      </c>
      <c r="L28" s="524">
        <f t="shared" si="59"/>
        <v>0</v>
      </c>
      <c r="M28" s="525">
        <f t="shared" si="59"/>
        <v>0</v>
      </c>
      <c r="N28" s="523">
        <f t="shared" si="59"/>
        <v>0</v>
      </c>
      <c r="O28" s="524">
        <f t="shared" si="59"/>
        <v>0</v>
      </c>
      <c r="P28" s="524">
        <f t="shared" si="59"/>
        <v>0</v>
      </c>
      <c r="Q28" s="525">
        <f t="shared" si="59"/>
        <v>0</v>
      </c>
      <c r="R28" s="519">
        <f t="shared" si="59"/>
        <v>0</v>
      </c>
      <c r="S28" s="507">
        <f t="shared" si="59"/>
        <v>0</v>
      </c>
      <c r="T28" s="644">
        <f t="shared" si="59"/>
        <v>0</v>
      </c>
      <c r="U28" s="615">
        <f t="shared" si="59"/>
        <v>0</v>
      </c>
      <c r="V28" s="615">
        <f t="shared" si="59"/>
        <v>0</v>
      </c>
      <c r="W28" s="615">
        <f t="shared" si="59"/>
        <v>0</v>
      </c>
      <c r="X28" s="616">
        <f t="shared" si="59"/>
        <v>0</v>
      </c>
      <c r="Y28" s="645">
        <f t="shared" si="59"/>
        <v>0</v>
      </c>
      <c r="Z28" s="615">
        <f t="shared" si="59"/>
        <v>0</v>
      </c>
      <c r="AA28" s="615">
        <f t="shared" si="59"/>
        <v>0</v>
      </c>
      <c r="AB28" s="615">
        <f t="shared" si="59"/>
        <v>0</v>
      </c>
      <c r="AC28" s="615">
        <f t="shared" si="59"/>
        <v>0</v>
      </c>
      <c r="AD28" s="615">
        <f t="shared" si="59"/>
        <v>0</v>
      </c>
      <c r="AE28" s="615">
        <f t="shared" si="59"/>
        <v>0</v>
      </c>
      <c r="AF28" s="615">
        <f t="shared" si="59"/>
        <v>0</v>
      </c>
      <c r="AG28" s="615">
        <f t="shared" si="59"/>
        <v>0</v>
      </c>
      <c r="AH28" s="615">
        <f t="shared" si="59"/>
        <v>0</v>
      </c>
      <c r="AI28" s="615">
        <f t="shared" si="59"/>
        <v>0</v>
      </c>
      <c r="AJ28" s="616">
        <f t="shared" si="59"/>
        <v>0</v>
      </c>
      <c r="AK28" s="500"/>
      <c r="AL28" s="500"/>
      <c r="AM28" s="500"/>
      <c r="AN28" s="500"/>
    </row>
    <row r="29" spans="1:40" s="502" customFormat="1" ht="14.4" customHeight="1" collapsed="1">
      <c r="A29" s="504"/>
      <c r="B29" s="901"/>
      <c r="C29" s="546" t="s">
        <v>2584</v>
      </c>
      <c r="D29" s="547" t="s">
        <v>2789</v>
      </c>
      <c r="E29" s="526"/>
      <c r="F29" s="1448">
        <f>F38</f>
        <v>0</v>
      </c>
      <c r="G29" s="1427">
        <f t="shared" ref="G29:I29" si="60">G38</f>
        <v>0</v>
      </c>
      <c r="H29" s="526">
        <f t="shared" si="60"/>
        <v>0</v>
      </c>
      <c r="I29" s="526">
        <f t="shared" si="60"/>
        <v>0</v>
      </c>
      <c r="J29" s="530">
        <f t="shared" ref="J29:AJ29" si="61">J38</f>
        <v>0</v>
      </c>
      <c r="K29" s="531">
        <f t="shared" si="61"/>
        <v>0</v>
      </c>
      <c r="L29" s="531">
        <f t="shared" si="61"/>
        <v>0</v>
      </c>
      <c r="M29" s="532">
        <f t="shared" si="61"/>
        <v>0</v>
      </c>
      <c r="N29" s="530">
        <f t="shared" si="61"/>
        <v>0</v>
      </c>
      <c r="O29" s="531">
        <f t="shared" si="61"/>
        <v>0</v>
      </c>
      <c r="P29" s="531">
        <f t="shared" si="61"/>
        <v>0</v>
      </c>
      <c r="Q29" s="532">
        <f t="shared" si="61"/>
        <v>0</v>
      </c>
      <c r="R29" s="526">
        <f t="shared" si="61"/>
        <v>0</v>
      </c>
      <c r="S29" s="507">
        <f t="shared" si="61"/>
        <v>0</v>
      </c>
      <c r="T29" s="510">
        <f t="shared" si="61"/>
        <v>0</v>
      </c>
      <c r="U29" s="511">
        <f t="shared" si="61"/>
        <v>0</v>
      </c>
      <c r="V29" s="511">
        <f t="shared" si="61"/>
        <v>0</v>
      </c>
      <c r="W29" s="511">
        <f t="shared" si="61"/>
        <v>0</v>
      </c>
      <c r="X29" s="509">
        <f t="shared" si="61"/>
        <v>0</v>
      </c>
      <c r="Y29" s="512">
        <f t="shared" si="61"/>
        <v>0</v>
      </c>
      <c r="Z29" s="511">
        <f t="shared" si="61"/>
        <v>0</v>
      </c>
      <c r="AA29" s="511">
        <f t="shared" si="61"/>
        <v>0</v>
      </c>
      <c r="AB29" s="511">
        <f t="shared" si="61"/>
        <v>0</v>
      </c>
      <c r="AC29" s="511">
        <f t="shared" si="61"/>
        <v>0</v>
      </c>
      <c r="AD29" s="511">
        <f t="shared" si="61"/>
        <v>0</v>
      </c>
      <c r="AE29" s="511">
        <f t="shared" si="61"/>
        <v>0</v>
      </c>
      <c r="AF29" s="511">
        <f t="shared" si="61"/>
        <v>0</v>
      </c>
      <c r="AG29" s="511">
        <f t="shared" si="61"/>
        <v>0</v>
      </c>
      <c r="AH29" s="511">
        <f t="shared" si="61"/>
        <v>0</v>
      </c>
      <c r="AI29" s="511">
        <f t="shared" si="61"/>
        <v>0</v>
      </c>
      <c r="AJ29" s="509">
        <f t="shared" si="61"/>
        <v>0</v>
      </c>
      <c r="AK29" s="504"/>
      <c r="AL29" s="504"/>
      <c r="AM29" s="504"/>
      <c r="AN29" s="504"/>
    </row>
    <row r="30" spans="1:40" ht="14.4" hidden="1" customHeight="1" outlineLevel="1">
      <c r="B30" s="901"/>
      <c r="C30" s="527" t="s">
        <v>2585</v>
      </c>
      <c r="D30" s="528" t="s">
        <v>2593</v>
      </c>
      <c r="E30" s="526"/>
      <c r="F30" s="1446">
        <v>0</v>
      </c>
      <c r="G30" s="1427"/>
      <c r="H30" s="526"/>
      <c r="I30" s="526"/>
      <c r="J30" s="530"/>
      <c r="K30" s="531"/>
      <c r="L30" s="531"/>
      <c r="M30" s="532"/>
      <c r="N30" s="530"/>
      <c r="O30" s="531"/>
      <c r="P30" s="531"/>
      <c r="Q30" s="532"/>
      <c r="R30" s="526"/>
      <c r="S30" s="507"/>
      <c r="T30" s="510"/>
      <c r="U30" s="511"/>
      <c r="V30" s="511"/>
      <c r="W30" s="511"/>
      <c r="X30" s="509"/>
      <c r="Y30" s="512"/>
      <c r="Z30" s="511"/>
      <c r="AA30" s="511"/>
      <c r="AB30" s="511"/>
      <c r="AC30" s="511"/>
      <c r="AD30" s="511"/>
      <c r="AE30" s="511"/>
      <c r="AF30" s="511"/>
      <c r="AG30" s="511"/>
      <c r="AH30" s="511"/>
      <c r="AI30" s="511"/>
      <c r="AJ30" s="509"/>
      <c r="AK30" s="500"/>
      <c r="AL30" s="500"/>
      <c r="AM30" s="500"/>
      <c r="AN30" s="500"/>
    </row>
    <row r="31" spans="1:40" ht="14.4" hidden="1" customHeight="1" outlineLevel="1">
      <c r="B31" s="901"/>
      <c r="C31" s="527" t="s">
        <v>2586</v>
      </c>
      <c r="D31" s="528" t="s">
        <v>2594</v>
      </c>
      <c r="E31" s="526"/>
      <c r="F31" s="1446">
        <v>0</v>
      </c>
      <c r="G31" s="1427"/>
      <c r="H31" s="526"/>
      <c r="I31" s="526"/>
      <c r="J31" s="530"/>
      <c r="K31" s="531"/>
      <c r="L31" s="531"/>
      <c r="M31" s="532"/>
      <c r="N31" s="530"/>
      <c r="O31" s="531"/>
      <c r="P31" s="531"/>
      <c r="Q31" s="532"/>
      <c r="R31" s="526"/>
      <c r="S31" s="507"/>
      <c r="T31" s="510"/>
      <c r="U31" s="511"/>
      <c r="V31" s="511"/>
      <c r="W31" s="511"/>
      <c r="X31" s="509"/>
      <c r="Y31" s="512"/>
      <c r="Z31" s="511"/>
      <c r="AA31" s="511"/>
      <c r="AB31" s="511"/>
      <c r="AC31" s="511"/>
      <c r="AD31" s="511"/>
      <c r="AE31" s="511"/>
      <c r="AF31" s="511"/>
      <c r="AG31" s="511"/>
      <c r="AH31" s="511"/>
      <c r="AI31" s="511"/>
      <c r="AJ31" s="509"/>
      <c r="AK31" s="500"/>
      <c r="AL31" s="500"/>
      <c r="AM31" s="500"/>
      <c r="AN31" s="500"/>
    </row>
    <row r="32" spans="1:40" ht="14.4" hidden="1" customHeight="1" outlineLevel="1">
      <c r="B32" s="901"/>
      <c r="C32" s="527" t="s">
        <v>2587</v>
      </c>
      <c r="D32" s="528" t="s">
        <v>2595</v>
      </c>
      <c r="E32" s="526"/>
      <c r="F32" s="1446">
        <v>0</v>
      </c>
      <c r="G32" s="1427"/>
      <c r="H32" s="526"/>
      <c r="I32" s="526"/>
      <c r="J32" s="530"/>
      <c r="K32" s="531"/>
      <c r="L32" s="531"/>
      <c r="M32" s="532"/>
      <c r="N32" s="530"/>
      <c r="O32" s="531"/>
      <c r="P32" s="531"/>
      <c r="Q32" s="532"/>
      <c r="R32" s="526"/>
      <c r="S32" s="507"/>
      <c r="T32" s="510"/>
      <c r="U32" s="511"/>
      <c r="V32" s="511"/>
      <c r="W32" s="511"/>
      <c r="X32" s="509"/>
      <c r="Y32" s="512"/>
      <c r="Z32" s="511"/>
      <c r="AA32" s="511"/>
      <c r="AB32" s="511"/>
      <c r="AC32" s="511"/>
      <c r="AD32" s="511"/>
      <c r="AE32" s="511"/>
      <c r="AF32" s="511"/>
      <c r="AG32" s="511"/>
      <c r="AH32" s="511"/>
      <c r="AI32" s="511"/>
      <c r="AJ32" s="509"/>
      <c r="AK32" s="500"/>
      <c r="AL32" s="500"/>
      <c r="AM32" s="500"/>
      <c r="AN32" s="500"/>
    </row>
    <row r="33" spans="2:40" ht="14.4" hidden="1" customHeight="1" outlineLevel="1">
      <c r="B33" s="901"/>
      <c r="C33" s="527" t="s">
        <v>2588</v>
      </c>
      <c r="D33" s="528" t="s">
        <v>2596</v>
      </c>
      <c r="E33" s="526"/>
      <c r="F33" s="1446">
        <v>0</v>
      </c>
      <c r="G33" s="1427"/>
      <c r="H33" s="526"/>
      <c r="I33" s="526"/>
      <c r="J33" s="530"/>
      <c r="K33" s="531"/>
      <c r="L33" s="531"/>
      <c r="M33" s="532"/>
      <c r="N33" s="530"/>
      <c r="O33" s="531"/>
      <c r="P33" s="531"/>
      <c r="Q33" s="532"/>
      <c r="R33" s="526"/>
      <c r="S33" s="507"/>
      <c r="T33" s="510"/>
      <c r="U33" s="511"/>
      <c r="V33" s="511"/>
      <c r="W33" s="511"/>
      <c r="X33" s="509"/>
      <c r="Y33" s="512"/>
      <c r="Z33" s="511"/>
      <c r="AA33" s="511"/>
      <c r="AB33" s="511"/>
      <c r="AC33" s="511"/>
      <c r="AD33" s="511"/>
      <c r="AE33" s="511"/>
      <c r="AF33" s="511"/>
      <c r="AG33" s="511"/>
      <c r="AH33" s="511"/>
      <c r="AI33" s="511"/>
      <c r="AJ33" s="509"/>
      <c r="AK33" s="500"/>
      <c r="AL33" s="500"/>
      <c r="AM33" s="500"/>
      <c r="AN33" s="500"/>
    </row>
    <row r="34" spans="2:40" ht="14.4" hidden="1" customHeight="1" outlineLevel="1">
      <c r="B34" s="901"/>
      <c r="C34" s="527" t="s">
        <v>2589</v>
      </c>
      <c r="D34" s="528" t="s">
        <v>2597</v>
      </c>
      <c r="E34" s="526"/>
      <c r="F34" s="1446">
        <v>0</v>
      </c>
      <c r="G34" s="1427"/>
      <c r="H34" s="526"/>
      <c r="I34" s="526"/>
      <c r="J34" s="530"/>
      <c r="K34" s="531"/>
      <c r="L34" s="531"/>
      <c r="M34" s="532"/>
      <c r="N34" s="530"/>
      <c r="O34" s="531"/>
      <c r="P34" s="531"/>
      <c r="Q34" s="532"/>
      <c r="R34" s="526"/>
      <c r="S34" s="507"/>
      <c r="T34" s="510"/>
      <c r="U34" s="511"/>
      <c r="V34" s="511"/>
      <c r="W34" s="511"/>
      <c r="X34" s="509"/>
      <c r="Y34" s="512"/>
      <c r="Z34" s="511"/>
      <c r="AA34" s="511"/>
      <c r="AB34" s="511"/>
      <c r="AC34" s="511"/>
      <c r="AD34" s="511"/>
      <c r="AE34" s="511"/>
      <c r="AF34" s="511"/>
      <c r="AG34" s="511"/>
      <c r="AH34" s="511"/>
      <c r="AI34" s="511"/>
      <c r="AJ34" s="509"/>
      <c r="AK34" s="500"/>
      <c r="AL34" s="500"/>
      <c r="AM34" s="500"/>
      <c r="AN34" s="500"/>
    </row>
    <row r="35" spans="2:40" ht="14.4" hidden="1" customHeight="1" outlineLevel="1">
      <c r="B35" s="901"/>
      <c r="C35" s="527" t="s">
        <v>2590</v>
      </c>
      <c r="D35" s="528" t="s">
        <v>2598</v>
      </c>
      <c r="E35" s="526"/>
      <c r="F35" s="1446">
        <v>0</v>
      </c>
      <c r="G35" s="1427"/>
      <c r="H35" s="526"/>
      <c r="I35" s="526"/>
      <c r="J35" s="530"/>
      <c r="K35" s="531"/>
      <c r="L35" s="531"/>
      <c r="M35" s="532"/>
      <c r="N35" s="530"/>
      <c r="O35" s="531"/>
      <c r="P35" s="531"/>
      <c r="Q35" s="532"/>
      <c r="R35" s="526"/>
      <c r="S35" s="507"/>
      <c r="T35" s="510"/>
      <c r="U35" s="511"/>
      <c r="V35" s="511"/>
      <c r="W35" s="511"/>
      <c r="X35" s="509"/>
      <c r="Y35" s="512"/>
      <c r="Z35" s="511"/>
      <c r="AA35" s="511"/>
      <c r="AB35" s="511"/>
      <c r="AC35" s="511"/>
      <c r="AD35" s="511"/>
      <c r="AE35" s="511"/>
      <c r="AF35" s="511"/>
      <c r="AG35" s="511"/>
      <c r="AH35" s="511"/>
      <c r="AI35" s="511"/>
      <c r="AJ35" s="509"/>
      <c r="AK35" s="500"/>
      <c r="AL35" s="500"/>
      <c r="AM35" s="500"/>
      <c r="AN35" s="500"/>
    </row>
    <row r="36" spans="2:40" ht="14.4" hidden="1" customHeight="1" outlineLevel="1">
      <c r="B36" s="901"/>
      <c r="C36" s="527" t="s">
        <v>2591</v>
      </c>
      <c r="D36" s="528" t="s">
        <v>2599</v>
      </c>
      <c r="E36" s="526"/>
      <c r="F36" s="1446">
        <v>0</v>
      </c>
      <c r="G36" s="1427"/>
      <c r="H36" s="526"/>
      <c r="I36" s="526"/>
      <c r="J36" s="530"/>
      <c r="K36" s="531"/>
      <c r="L36" s="531"/>
      <c r="M36" s="532"/>
      <c r="N36" s="530"/>
      <c r="O36" s="531"/>
      <c r="P36" s="531"/>
      <c r="Q36" s="532"/>
      <c r="R36" s="526"/>
      <c r="S36" s="507"/>
      <c r="T36" s="510"/>
      <c r="U36" s="511"/>
      <c r="V36" s="511"/>
      <c r="W36" s="511"/>
      <c r="X36" s="509"/>
      <c r="Y36" s="512"/>
      <c r="Z36" s="511"/>
      <c r="AA36" s="511"/>
      <c r="AB36" s="511"/>
      <c r="AC36" s="511"/>
      <c r="AD36" s="511"/>
      <c r="AE36" s="511"/>
      <c r="AF36" s="511"/>
      <c r="AG36" s="511"/>
      <c r="AH36" s="511"/>
      <c r="AI36" s="511"/>
      <c r="AJ36" s="509"/>
      <c r="AK36" s="500"/>
      <c r="AL36" s="500"/>
      <c r="AM36" s="500"/>
      <c r="AN36" s="500"/>
    </row>
    <row r="37" spans="2:40" ht="14.4" hidden="1" customHeight="1" outlineLevel="1">
      <c r="B37" s="901"/>
      <c r="C37" s="527" t="s">
        <v>2592</v>
      </c>
      <c r="D37" s="528" t="s">
        <v>2600</v>
      </c>
      <c r="E37" s="526"/>
      <c r="F37" s="1446">
        <v>0</v>
      </c>
      <c r="G37" s="1427"/>
      <c r="H37" s="526"/>
      <c r="I37" s="526"/>
      <c r="J37" s="530"/>
      <c r="K37" s="531"/>
      <c r="L37" s="531"/>
      <c r="M37" s="532"/>
      <c r="N37" s="530"/>
      <c r="O37" s="531"/>
      <c r="P37" s="531"/>
      <c r="Q37" s="532"/>
      <c r="R37" s="526"/>
      <c r="S37" s="507"/>
      <c r="T37" s="510"/>
      <c r="U37" s="511"/>
      <c r="V37" s="511"/>
      <c r="W37" s="511"/>
      <c r="X37" s="509"/>
      <c r="Y37" s="512"/>
      <c r="Z37" s="511"/>
      <c r="AA37" s="511"/>
      <c r="AB37" s="511"/>
      <c r="AC37" s="511"/>
      <c r="AD37" s="511"/>
      <c r="AE37" s="511"/>
      <c r="AF37" s="511"/>
      <c r="AG37" s="511"/>
      <c r="AH37" s="511"/>
      <c r="AI37" s="511"/>
      <c r="AJ37" s="509"/>
      <c r="AK37" s="500"/>
      <c r="AL37" s="500"/>
      <c r="AM37" s="500"/>
      <c r="AN37" s="500"/>
    </row>
    <row r="38" spans="2:40" ht="14.4" hidden="1" customHeight="1" outlineLevel="1" thickBot="1">
      <c r="B38" s="904"/>
      <c r="C38" s="548"/>
      <c r="D38" s="549" t="s">
        <v>2806</v>
      </c>
      <c r="E38" s="550"/>
      <c r="F38" s="1449">
        <f>SUM(F30:F37)</f>
        <v>0</v>
      </c>
      <c r="G38" s="1430">
        <f t="shared" ref="G38:I38" si="62">SUM(G30:G37)</f>
        <v>0</v>
      </c>
      <c r="H38" s="549">
        <f t="shared" si="62"/>
        <v>0</v>
      </c>
      <c r="I38" s="549">
        <f t="shared" si="62"/>
        <v>0</v>
      </c>
      <c r="J38" s="551">
        <f t="shared" ref="J38" si="63">SUM(J30:J37)</f>
        <v>0</v>
      </c>
      <c r="K38" s="552">
        <f t="shared" ref="K38" si="64">SUM(K30:K37)</f>
        <v>0</v>
      </c>
      <c r="L38" s="552">
        <f t="shared" ref="L38" si="65">SUM(L30:L37)</f>
        <v>0</v>
      </c>
      <c r="M38" s="553">
        <f t="shared" ref="M38" si="66">SUM(M30:M37)</f>
        <v>0</v>
      </c>
      <c r="N38" s="551">
        <f t="shared" ref="N38" si="67">SUM(N30:N37)</f>
        <v>0</v>
      </c>
      <c r="O38" s="552">
        <f t="shared" ref="O38" si="68">SUM(O30:O37)</f>
        <v>0</v>
      </c>
      <c r="P38" s="552">
        <f t="shared" ref="P38" si="69">SUM(P30:P37)</f>
        <v>0</v>
      </c>
      <c r="Q38" s="553">
        <f t="shared" ref="Q38" si="70">SUM(Q30:Q37)</f>
        <v>0</v>
      </c>
      <c r="R38" s="554">
        <f t="shared" ref="R38" si="71">SUM(R30:R37)</f>
        <v>0</v>
      </c>
      <c r="S38" s="541">
        <f t="shared" ref="S38" si="72">SUM(S30:S37)</f>
        <v>0</v>
      </c>
      <c r="T38" s="542">
        <f t="shared" ref="T38" si="73">SUM(T30:T37)</f>
        <v>0</v>
      </c>
      <c r="U38" s="543">
        <f t="shared" ref="U38" si="74">SUM(U30:U37)</f>
        <v>0</v>
      </c>
      <c r="V38" s="543">
        <f t="shared" ref="V38" si="75">SUM(V30:V37)</f>
        <v>0</v>
      </c>
      <c r="W38" s="543">
        <f t="shared" ref="W38" si="76">SUM(W30:W37)</f>
        <v>0</v>
      </c>
      <c r="X38" s="544">
        <f t="shared" ref="X38" si="77">SUM(X30:X37)</f>
        <v>0</v>
      </c>
      <c r="Y38" s="545">
        <f t="shared" ref="Y38" si="78">SUM(Y30:Y37)</f>
        <v>0</v>
      </c>
      <c r="Z38" s="543">
        <f t="shared" ref="Z38" si="79">SUM(Z30:Z37)</f>
        <v>0</v>
      </c>
      <c r="AA38" s="543">
        <f t="shared" ref="AA38" si="80">SUM(AA30:AA37)</f>
        <v>0</v>
      </c>
      <c r="AB38" s="543">
        <f t="shared" ref="AB38" si="81">SUM(AB30:AB37)</f>
        <v>0</v>
      </c>
      <c r="AC38" s="543">
        <f t="shared" ref="AC38" si="82">SUM(AC30:AC37)</f>
        <v>0</v>
      </c>
      <c r="AD38" s="543">
        <f t="shared" ref="AD38" si="83">SUM(AD30:AD37)</f>
        <v>0</v>
      </c>
      <c r="AE38" s="543">
        <f t="shared" ref="AE38" si="84">SUM(AE30:AE37)</f>
        <v>0</v>
      </c>
      <c r="AF38" s="543">
        <f t="shared" ref="AF38" si="85">SUM(AF30:AF37)</f>
        <v>0</v>
      </c>
      <c r="AG38" s="543">
        <f t="shared" ref="AG38" si="86">SUM(AG30:AG37)</f>
        <v>0</v>
      </c>
      <c r="AH38" s="543">
        <f t="shared" ref="AH38" si="87">SUM(AH30:AH37)</f>
        <v>0</v>
      </c>
      <c r="AI38" s="543">
        <f t="shared" ref="AI38" si="88">SUM(AI30:AI37)</f>
        <v>0</v>
      </c>
      <c r="AJ38" s="544">
        <f t="shared" ref="AJ38" si="89">SUM(AJ30:AJ37)</f>
        <v>0</v>
      </c>
      <c r="AK38" s="500"/>
      <c r="AL38" s="500"/>
      <c r="AM38" s="500"/>
      <c r="AN38" s="500"/>
    </row>
    <row r="39" spans="2:40" ht="14.4" customHeight="1" collapsed="1">
      <c r="B39" s="901"/>
      <c r="C39" s="546" t="s">
        <v>2602</v>
      </c>
      <c r="D39" s="547" t="s">
        <v>2606</v>
      </c>
      <c r="E39" s="526"/>
      <c r="F39" s="1448">
        <f>F43</f>
        <v>0</v>
      </c>
      <c r="G39" s="1427">
        <f t="shared" ref="G39:I39" si="90">G43</f>
        <v>0</v>
      </c>
      <c r="H39" s="526">
        <f t="shared" si="90"/>
        <v>0</v>
      </c>
      <c r="I39" s="526">
        <f t="shared" si="90"/>
        <v>0</v>
      </c>
      <c r="J39" s="530">
        <f t="shared" ref="J39:AJ39" si="91">J43</f>
        <v>0</v>
      </c>
      <c r="K39" s="531">
        <f t="shared" si="91"/>
        <v>0</v>
      </c>
      <c r="L39" s="531">
        <f t="shared" si="91"/>
        <v>0</v>
      </c>
      <c r="M39" s="532">
        <f t="shared" si="91"/>
        <v>0</v>
      </c>
      <c r="N39" s="530">
        <f t="shared" si="91"/>
        <v>0</v>
      </c>
      <c r="O39" s="531">
        <f t="shared" si="91"/>
        <v>0</v>
      </c>
      <c r="P39" s="531">
        <f t="shared" si="91"/>
        <v>0</v>
      </c>
      <c r="Q39" s="532">
        <f t="shared" si="91"/>
        <v>0</v>
      </c>
      <c r="R39" s="526">
        <f t="shared" si="91"/>
        <v>0</v>
      </c>
      <c r="S39" s="507">
        <f t="shared" si="91"/>
        <v>0</v>
      </c>
      <c r="T39" s="510">
        <f t="shared" si="91"/>
        <v>0</v>
      </c>
      <c r="U39" s="511">
        <f t="shared" si="91"/>
        <v>0</v>
      </c>
      <c r="V39" s="511">
        <f t="shared" si="91"/>
        <v>0</v>
      </c>
      <c r="W39" s="511">
        <f t="shared" si="91"/>
        <v>0</v>
      </c>
      <c r="X39" s="509">
        <f t="shared" si="91"/>
        <v>0</v>
      </c>
      <c r="Y39" s="512">
        <f t="shared" si="91"/>
        <v>0</v>
      </c>
      <c r="Z39" s="511">
        <f t="shared" si="91"/>
        <v>0</v>
      </c>
      <c r="AA39" s="511">
        <f t="shared" si="91"/>
        <v>0</v>
      </c>
      <c r="AB39" s="511">
        <f t="shared" si="91"/>
        <v>0</v>
      </c>
      <c r="AC39" s="511">
        <f t="shared" si="91"/>
        <v>0</v>
      </c>
      <c r="AD39" s="511">
        <f t="shared" si="91"/>
        <v>0</v>
      </c>
      <c r="AE39" s="511">
        <f t="shared" si="91"/>
        <v>0</v>
      </c>
      <c r="AF39" s="511">
        <f t="shared" si="91"/>
        <v>0</v>
      </c>
      <c r="AG39" s="511">
        <f t="shared" si="91"/>
        <v>0</v>
      </c>
      <c r="AH39" s="511">
        <f t="shared" si="91"/>
        <v>0</v>
      </c>
      <c r="AI39" s="511">
        <f t="shared" si="91"/>
        <v>0</v>
      </c>
      <c r="AJ39" s="509">
        <f t="shared" si="91"/>
        <v>0</v>
      </c>
      <c r="AK39" s="500"/>
      <c r="AL39" s="500"/>
      <c r="AM39" s="500"/>
      <c r="AN39" s="500"/>
    </row>
    <row r="40" spans="2:40" ht="14.4" hidden="1" customHeight="1" outlineLevel="1">
      <c r="B40" s="901"/>
      <c r="C40" s="527" t="s">
        <v>2603</v>
      </c>
      <c r="D40" s="528" t="s">
        <v>2607</v>
      </c>
      <c r="E40" s="526"/>
      <c r="F40" s="1446">
        <v>0</v>
      </c>
      <c r="G40" s="1427"/>
      <c r="H40" s="526"/>
      <c r="I40" s="526"/>
      <c r="J40" s="530"/>
      <c r="K40" s="531"/>
      <c r="L40" s="531"/>
      <c r="M40" s="532"/>
      <c r="N40" s="530"/>
      <c r="O40" s="531"/>
      <c r="P40" s="531"/>
      <c r="Q40" s="532"/>
      <c r="R40" s="526"/>
      <c r="S40" s="507"/>
      <c r="T40" s="510"/>
      <c r="U40" s="511"/>
      <c r="V40" s="511"/>
      <c r="W40" s="511"/>
      <c r="X40" s="509"/>
      <c r="Y40" s="512"/>
      <c r="Z40" s="511"/>
      <c r="AA40" s="511"/>
      <c r="AB40" s="511"/>
      <c r="AC40" s="511"/>
      <c r="AD40" s="511"/>
      <c r="AE40" s="511"/>
      <c r="AF40" s="511"/>
      <c r="AG40" s="511"/>
      <c r="AH40" s="511"/>
      <c r="AI40" s="511"/>
      <c r="AJ40" s="509"/>
      <c r="AK40" s="500"/>
      <c r="AL40" s="500"/>
      <c r="AM40" s="500"/>
      <c r="AN40" s="500"/>
    </row>
    <row r="41" spans="2:40" ht="14.4" hidden="1" customHeight="1" outlineLevel="1">
      <c r="B41" s="901"/>
      <c r="C41" s="527" t="s">
        <v>2604</v>
      </c>
      <c r="D41" s="528" t="s">
        <v>2608</v>
      </c>
      <c r="E41" s="526"/>
      <c r="F41" s="1446">
        <v>0</v>
      </c>
      <c r="G41" s="1427"/>
      <c r="H41" s="526"/>
      <c r="I41" s="526"/>
      <c r="J41" s="530"/>
      <c r="K41" s="531"/>
      <c r="L41" s="531"/>
      <c r="M41" s="532"/>
      <c r="N41" s="530"/>
      <c r="O41" s="531"/>
      <c r="P41" s="531"/>
      <c r="Q41" s="532"/>
      <c r="R41" s="526"/>
      <c r="S41" s="507"/>
      <c r="T41" s="510"/>
      <c r="U41" s="511"/>
      <c r="V41" s="511"/>
      <c r="W41" s="511"/>
      <c r="X41" s="509"/>
      <c r="Y41" s="512"/>
      <c r="Z41" s="511"/>
      <c r="AA41" s="511"/>
      <c r="AB41" s="511"/>
      <c r="AC41" s="511"/>
      <c r="AD41" s="511"/>
      <c r="AE41" s="511"/>
      <c r="AF41" s="511"/>
      <c r="AG41" s="511"/>
      <c r="AH41" s="511"/>
      <c r="AI41" s="511"/>
      <c r="AJ41" s="509"/>
      <c r="AK41" s="500"/>
      <c r="AL41" s="500"/>
      <c r="AM41" s="500"/>
      <c r="AN41" s="500"/>
    </row>
    <row r="42" spans="2:40" ht="14.4" hidden="1" customHeight="1" outlineLevel="1">
      <c r="B42" s="901"/>
      <c r="C42" s="527" t="s">
        <v>2605</v>
      </c>
      <c r="D42" s="528" t="s">
        <v>2609</v>
      </c>
      <c r="E42" s="526"/>
      <c r="F42" s="1446">
        <v>0</v>
      </c>
      <c r="G42" s="1427"/>
      <c r="H42" s="526"/>
      <c r="I42" s="526"/>
      <c r="J42" s="530"/>
      <c r="K42" s="531"/>
      <c r="L42" s="531"/>
      <c r="M42" s="532"/>
      <c r="N42" s="530"/>
      <c r="O42" s="531"/>
      <c r="P42" s="531"/>
      <c r="Q42" s="532"/>
      <c r="R42" s="526"/>
      <c r="S42" s="507"/>
      <c r="T42" s="510"/>
      <c r="U42" s="511"/>
      <c r="V42" s="511"/>
      <c r="W42" s="511"/>
      <c r="X42" s="509"/>
      <c r="Y42" s="512"/>
      <c r="Z42" s="511"/>
      <c r="AA42" s="511"/>
      <c r="AB42" s="511"/>
      <c r="AC42" s="511"/>
      <c r="AD42" s="511"/>
      <c r="AE42" s="511"/>
      <c r="AF42" s="511"/>
      <c r="AG42" s="511"/>
      <c r="AH42" s="511"/>
      <c r="AI42" s="511"/>
      <c r="AJ42" s="509"/>
      <c r="AK42" s="500"/>
      <c r="AL42" s="500"/>
      <c r="AM42" s="500"/>
      <c r="AN42" s="500"/>
    </row>
    <row r="43" spans="2:40" ht="14.4" hidden="1" customHeight="1" outlineLevel="1" thickBot="1">
      <c r="B43" s="904"/>
      <c r="C43" s="548"/>
      <c r="D43" s="549" t="s">
        <v>2610</v>
      </c>
      <c r="E43" s="550"/>
      <c r="F43" s="1449">
        <f>SUM(F40:F42)</f>
        <v>0</v>
      </c>
      <c r="G43" s="1430">
        <f t="shared" ref="G43:I43" si="92">SUM(G40:G42)</f>
        <v>0</v>
      </c>
      <c r="H43" s="549">
        <f t="shared" si="92"/>
        <v>0</v>
      </c>
      <c r="I43" s="549">
        <f t="shared" si="92"/>
        <v>0</v>
      </c>
      <c r="J43" s="551">
        <f t="shared" ref="J43" si="93">SUM(J40:J42)</f>
        <v>0</v>
      </c>
      <c r="K43" s="552">
        <f t="shared" ref="K43" si="94">SUM(K40:K42)</f>
        <v>0</v>
      </c>
      <c r="L43" s="552">
        <f t="shared" ref="L43" si="95">SUM(L40:L42)</f>
        <v>0</v>
      </c>
      <c r="M43" s="553">
        <f t="shared" ref="M43" si="96">SUM(M40:M42)</f>
        <v>0</v>
      </c>
      <c r="N43" s="551">
        <f t="shared" ref="N43" si="97">SUM(N40:N42)</f>
        <v>0</v>
      </c>
      <c r="O43" s="552">
        <f t="shared" ref="O43" si="98">SUM(O40:O42)</f>
        <v>0</v>
      </c>
      <c r="P43" s="552">
        <f t="shared" ref="P43" si="99">SUM(P40:P42)</f>
        <v>0</v>
      </c>
      <c r="Q43" s="553">
        <f t="shared" ref="Q43" si="100">SUM(Q40:Q42)</f>
        <v>0</v>
      </c>
      <c r="R43" s="554">
        <f t="shared" ref="R43" si="101">SUM(R40:R42)</f>
        <v>0</v>
      </c>
      <c r="S43" s="541">
        <f t="shared" ref="S43" si="102">SUM(S40:S42)</f>
        <v>0</v>
      </c>
      <c r="T43" s="542">
        <f t="shared" ref="T43" si="103">SUM(T40:T42)</f>
        <v>0</v>
      </c>
      <c r="U43" s="543">
        <f t="shared" ref="U43" si="104">SUM(U40:U42)</f>
        <v>0</v>
      </c>
      <c r="V43" s="543">
        <f t="shared" ref="V43" si="105">SUM(V40:V42)</f>
        <v>0</v>
      </c>
      <c r="W43" s="543">
        <f t="shared" ref="W43" si="106">SUM(W40:W42)</f>
        <v>0</v>
      </c>
      <c r="X43" s="544">
        <f t="shared" ref="X43" si="107">SUM(X40:X42)</f>
        <v>0</v>
      </c>
      <c r="Y43" s="545">
        <f t="shared" ref="Y43" si="108">SUM(Y40:Y42)</f>
        <v>0</v>
      </c>
      <c r="Z43" s="543">
        <f t="shared" ref="Z43" si="109">SUM(Z40:Z42)</f>
        <v>0</v>
      </c>
      <c r="AA43" s="543">
        <f t="shared" ref="AA43" si="110">SUM(AA40:AA42)</f>
        <v>0</v>
      </c>
      <c r="AB43" s="543">
        <f t="shared" ref="AB43" si="111">SUM(AB40:AB42)</f>
        <v>0</v>
      </c>
      <c r="AC43" s="543">
        <f t="shared" ref="AC43" si="112">SUM(AC40:AC42)</f>
        <v>0</v>
      </c>
      <c r="AD43" s="543">
        <f t="shared" ref="AD43" si="113">SUM(AD40:AD42)</f>
        <v>0</v>
      </c>
      <c r="AE43" s="543">
        <f t="shared" ref="AE43" si="114">SUM(AE40:AE42)</f>
        <v>0</v>
      </c>
      <c r="AF43" s="543">
        <f t="shared" ref="AF43" si="115">SUM(AF40:AF42)</f>
        <v>0</v>
      </c>
      <c r="AG43" s="543">
        <f t="shared" ref="AG43" si="116">SUM(AG40:AG42)</f>
        <v>0</v>
      </c>
      <c r="AH43" s="543">
        <f t="shared" ref="AH43" si="117">SUM(AH40:AH42)</f>
        <v>0</v>
      </c>
      <c r="AI43" s="543">
        <f t="shared" ref="AI43" si="118">SUM(AI40:AI42)</f>
        <v>0</v>
      </c>
      <c r="AJ43" s="544">
        <f t="shared" ref="AJ43" si="119">SUM(AJ40:AJ42)</f>
        <v>0</v>
      </c>
      <c r="AK43" s="500"/>
      <c r="AL43" s="500"/>
      <c r="AM43" s="500"/>
      <c r="AN43" s="500"/>
    </row>
    <row r="44" spans="2:40" ht="14.4" customHeight="1" collapsed="1">
      <c r="B44" s="901"/>
      <c r="C44" s="546" t="s">
        <v>2611</v>
      </c>
      <c r="D44" s="547" t="s">
        <v>2652</v>
      </c>
      <c r="E44" s="526"/>
      <c r="F44" s="1448">
        <f>F47</f>
        <v>0</v>
      </c>
      <c r="G44" s="1427">
        <f t="shared" ref="G44:I44" si="120">G47</f>
        <v>0</v>
      </c>
      <c r="H44" s="526">
        <f t="shared" si="120"/>
        <v>0</v>
      </c>
      <c r="I44" s="526">
        <f t="shared" si="120"/>
        <v>0</v>
      </c>
      <c r="J44" s="530">
        <f t="shared" ref="J44:AJ44" si="121">J47</f>
        <v>0</v>
      </c>
      <c r="K44" s="531">
        <f t="shared" si="121"/>
        <v>0</v>
      </c>
      <c r="L44" s="531">
        <f t="shared" si="121"/>
        <v>0</v>
      </c>
      <c r="M44" s="532">
        <f t="shared" si="121"/>
        <v>0</v>
      </c>
      <c r="N44" s="530">
        <f t="shared" si="121"/>
        <v>0</v>
      </c>
      <c r="O44" s="531">
        <f t="shared" si="121"/>
        <v>0</v>
      </c>
      <c r="P44" s="531">
        <f t="shared" si="121"/>
        <v>0</v>
      </c>
      <c r="Q44" s="532">
        <f t="shared" si="121"/>
        <v>0</v>
      </c>
      <c r="R44" s="526">
        <f t="shared" si="121"/>
        <v>0</v>
      </c>
      <c r="S44" s="507">
        <f t="shared" si="121"/>
        <v>0</v>
      </c>
      <c r="T44" s="510">
        <f t="shared" si="121"/>
        <v>0</v>
      </c>
      <c r="U44" s="511">
        <f t="shared" si="121"/>
        <v>0</v>
      </c>
      <c r="V44" s="511">
        <f t="shared" si="121"/>
        <v>0</v>
      </c>
      <c r="W44" s="511">
        <f t="shared" si="121"/>
        <v>0</v>
      </c>
      <c r="X44" s="509">
        <f t="shared" si="121"/>
        <v>0</v>
      </c>
      <c r="Y44" s="512">
        <f t="shared" si="121"/>
        <v>0</v>
      </c>
      <c r="Z44" s="511">
        <f t="shared" si="121"/>
        <v>0</v>
      </c>
      <c r="AA44" s="511">
        <f t="shared" si="121"/>
        <v>0</v>
      </c>
      <c r="AB44" s="511">
        <f t="shared" si="121"/>
        <v>0</v>
      </c>
      <c r="AC44" s="511">
        <f t="shared" si="121"/>
        <v>0</v>
      </c>
      <c r="AD44" s="511">
        <f t="shared" si="121"/>
        <v>0</v>
      </c>
      <c r="AE44" s="511">
        <f t="shared" si="121"/>
        <v>0</v>
      </c>
      <c r="AF44" s="511">
        <f t="shared" si="121"/>
        <v>0</v>
      </c>
      <c r="AG44" s="511">
        <f t="shared" si="121"/>
        <v>0</v>
      </c>
      <c r="AH44" s="511">
        <f t="shared" si="121"/>
        <v>0</v>
      </c>
      <c r="AI44" s="511">
        <f t="shared" si="121"/>
        <v>0</v>
      </c>
      <c r="AJ44" s="509">
        <f t="shared" si="121"/>
        <v>0</v>
      </c>
      <c r="AK44" s="500"/>
      <c r="AL44" s="500"/>
      <c r="AM44" s="500"/>
      <c r="AN44" s="500"/>
    </row>
    <row r="45" spans="2:40" ht="14.4" hidden="1" customHeight="1" outlineLevel="1">
      <c r="B45" s="902"/>
      <c r="C45" s="527" t="s">
        <v>2612</v>
      </c>
      <c r="D45" s="528" t="s">
        <v>2635</v>
      </c>
      <c r="E45" s="555"/>
      <c r="F45" s="1446">
        <v>0</v>
      </c>
      <c r="G45" s="1428"/>
      <c r="H45" s="555"/>
      <c r="I45" s="555"/>
      <c r="J45" s="557"/>
      <c r="K45" s="558"/>
      <c r="L45" s="558"/>
      <c r="M45" s="559"/>
      <c r="N45" s="557"/>
      <c r="O45" s="558"/>
      <c r="P45" s="558"/>
      <c r="Q45" s="559"/>
      <c r="R45" s="555"/>
      <c r="S45" s="560"/>
      <c r="T45" s="561"/>
      <c r="U45" s="562"/>
      <c r="V45" s="562"/>
      <c r="W45" s="562"/>
      <c r="X45" s="563"/>
      <c r="Y45" s="564"/>
      <c r="Z45" s="562"/>
      <c r="AA45" s="562"/>
      <c r="AB45" s="562"/>
      <c r="AC45" s="562"/>
      <c r="AD45" s="562"/>
      <c r="AE45" s="562"/>
      <c r="AF45" s="562"/>
      <c r="AG45" s="562"/>
      <c r="AH45" s="562"/>
      <c r="AI45" s="562"/>
      <c r="AJ45" s="563"/>
      <c r="AK45" s="500"/>
      <c r="AL45" s="500"/>
      <c r="AM45" s="500"/>
      <c r="AN45" s="500"/>
    </row>
    <row r="46" spans="2:40" ht="14.4" hidden="1" customHeight="1" outlineLevel="1">
      <c r="B46" s="902"/>
      <c r="C46" s="527" t="s">
        <v>2613</v>
      </c>
      <c r="D46" s="528" t="s">
        <v>2636</v>
      </c>
      <c r="E46" s="555"/>
      <c r="F46" s="1446">
        <v>0</v>
      </c>
      <c r="G46" s="1428"/>
      <c r="H46" s="555"/>
      <c r="I46" s="555"/>
      <c r="J46" s="557"/>
      <c r="K46" s="558"/>
      <c r="L46" s="558"/>
      <c r="M46" s="559"/>
      <c r="N46" s="557"/>
      <c r="O46" s="558"/>
      <c r="P46" s="558"/>
      <c r="Q46" s="559"/>
      <c r="R46" s="555"/>
      <c r="S46" s="560"/>
      <c r="T46" s="561"/>
      <c r="U46" s="562"/>
      <c r="V46" s="562"/>
      <c r="W46" s="562"/>
      <c r="X46" s="563"/>
      <c r="Y46" s="564"/>
      <c r="Z46" s="562"/>
      <c r="AA46" s="562"/>
      <c r="AB46" s="562"/>
      <c r="AC46" s="562"/>
      <c r="AD46" s="562"/>
      <c r="AE46" s="562"/>
      <c r="AF46" s="562"/>
      <c r="AG46" s="562"/>
      <c r="AH46" s="562"/>
      <c r="AI46" s="562"/>
      <c r="AJ46" s="563"/>
      <c r="AK46" s="500"/>
      <c r="AL46" s="500"/>
      <c r="AM46" s="500"/>
      <c r="AN46" s="500"/>
    </row>
    <row r="47" spans="2:40" ht="14.4" hidden="1" customHeight="1" outlineLevel="1" thickBot="1">
      <c r="B47" s="904"/>
      <c r="C47" s="548"/>
      <c r="D47" s="549" t="s">
        <v>2660</v>
      </c>
      <c r="E47" s="550"/>
      <c r="F47" s="1449">
        <f>SUM(F45:F46)</f>
        <v>0</v>
      </c>
      <c r="G47" s="1430">
        <f t="shared" ref="G47:I47" si="122">SUM(G45:G46)</f>
        <v>0</v>
      </c>
      <c r="H47" s="549">
        <f t="shared" si="122"/>
        <v>0</v>
      </c>
      <c r="I47" s="549">
        <f t="shared" si="122"/>
        <v>0</v>
      </c>
      <c r="J47" s="551">
        <f t="shared" ref="J47" si="123">SUM(J45:J46)</f>
        <v>0</v>
      </c>
      <c r="K47" s="552">
        <f t="shared" ref="K47" si="124">SUM(K45:K46)</f>
        <v>0</v>
      </c>
      <c r="L47" s="552">
        <f t="shared" ref="L47" si="125">SUM(L45:L46)</f>
        <v>0</v>
      </c>
      <c r="M47" s="553">
        <f t="shared" ref="M47" si="126">SUM(M45:M46)</f>
        <v>0</v>
      </c>
      <c r="N47" s="551">
        <f t="shared" ref="N47" si="127">SUM(N45:N46)</f>
        <v>0</v>
      </c>
      <c r="O47" s="552">
        <f t="shared" ref="O47" si="128">SUM(O45:O46)</f>
        <v>0</v>
      </c>
      <c r="P47" s="552">
        <f t="shared" ref="P47" si="129">SUM(P45:P46)</f>
        <v>0</v>
      </c>
      <c r="Q47" s="553">
        <f t="shared" ref="Q47" si="130">SUM(Q45:Q46)</f>
        <v>0</v>
      </c>
      <c r="R47" s="554">
        <f t="shared" ref="R47" si="131">SUM(R45:R46)</f>
        <v>0</v>
      </c>
      <c r="S47" s="541">
        <f t="shared" ref="S47" si="132">SUM(S45:S46)</f>
        <v>0</v>
      </c>
      <c r="T47" s="542">
        <f t="shared" ref="T47" si="133">SUM(T45:T46)</f>
        <v>0</v>
      </c>
      <c r="U47" s="543">
        <f t="shared" ref="U47" si="134">SUM(U45:U46)</f>
        <v>0</v>
      </c>
      <c r="V47" s="543">
        <f t="shared" ref="V47" si="135">SUM(V45:V46)</f>
        <v>0</v>
      </c>
      <c r="W47" s="543">
        <f t="shared" ref="W47" si="136">SUM(W45:W46)</f>
        <v>0</v>
      </c>
      <c r="X47" s="544">
        <f t="shared" ref="X47" si="137">SUM(X45:X46)</f>
        <v>0</v>
      </c>
      <c r="Y47" s="545">
        <f t="shared" ref="Y47" si="138">SUM(Y45:Y46)</f>
        <v>0</v>
      </c>
      <c r="Z47" s="543">
        <f t="shared" ref="Z47" si="139">SUM(Z45:Z46)</f>
        <v>0</v>
      </c>
      <c r="AA47" s="543">
        <f t="shared" ref="AA47" si="140">SUM(AA45:AA46)</f>
        <v>0</v>
      </c>
      <c r="AB47" s="543">
        <f t="shared" ref="AB47" si="141">SUM(AB45:AB46)</f>
        <v>0</v>
      </c>
      <c r="AC47" s="543">
        <f t="shared" ref="AC47" si="142">SUM(AC45:AC46)</f>
        <v>0</v>
      </c>
      <c r="AD47" s="543">
        <f t="shared" ref="AD47" si="143">SUM(AD45:AD46)</f>
        <v>0</v>
      </c>
      <c r="AE47" s="543">
        <f t="shared" ref="AE47" si="144">SUM(AE45:AE46)</f>
        <v>0</v>
      </c>
      <c r="AF47" s="543">
        <f t="shared" ref="AF47" si="145">SUM(AF45:AF46)</f>
        <v>0</v>
      </c>
      <c r="AG47" s="543">
        <f t="shared" ref="AG47" si="146">SUM(AG45:AG46)</f>
        <v>0</v>
      </c>
      <c r="AH47" s="543">
        <f t="shared" ref="AH47" si="147">SUM(AH45:AH46)</f>
        <v>0</v>
      </c>
      <c r="AI47" s="543">
        <f t="shared" ref="AI47" si="148">SUM(AI45:AI46)</f>
        <v>0</v>
      </c>
      <c r="AJ47" s="544">
        <f t="shared" ref="AJ47" si="149">SUM(AJ45:AJ46)</f>
        <v>0</v>
      </c>
      <c r="AK47" s="500"/>
      <c r="AL47" s="500"/>
      <c r="AM47" s="500"/>
      <c r="AN47" s="500"/>
    </row>
    <row r="48" spans="2:40" ht="14.4" customHeight="1" collapsed="1">
      <c r="B48" s="901"/>
      <c r="C48" s="546" t="s">
        <v>2614</v>
      </c>
      <c r="D48" s="547" t="s">
        <v>2653</v>
      </c>
      <c r="E48" s="526"/>
      <c r="F48" s="1448">
        <f>F51</f>
        <v>0</v>
      </c>
      <c r="G48" s="1427">
        <f t="shared" ref="G48:I48" si="150">G51</f>
        <v>0</v>
      </c>
      <c r="H48" s="526">
        <f t="shared" si="150"/>
        <v>0</v>
      </c>
      <c r="I48" s="526">
        <f t="shared" si="150"/>
        <v>0</v>
      </c>
      <c r="J48" s="530">
        <f t="shared" ref="J48:AJ48" si="151">J51</f>
        <v>0</v>
      </c>
      <c r="K48" s="531">
        <f t="shared" si="151"/>
        <v>0</v>
      </c>
      <c r="L48" s="531">
        <f t="shared" si="151"/>
        <v>0</v>
      </c>
      <c r="M48" s="532">
        <f t="shared" si="151"/>
        <v>0</v>
      </c>
      <c r="N48" s="530">
        <f t="shared" si="151"/>
        <v>0</v>
      </c>
      <c r="O48" s="531">
        <f t="shared" si="151"/>
        <v>0</v>
      </c>
      <c r="P48" s="531">
        <f t="shared" si="151"/>
        <v>0</v>
      </c>
      <c r="Q48" s="532">
        <f t="shared" si="151"/>
        <v>0</v>
      </c>
      <c r="R48" s="526">
        <f t="shared" si="151"/>
        <v>0</v>
      </c>
      <c r="S48" s="507">
        <f t="shared" si="151"/>
        <v>0</v>
      </c>
      <c r="T48" s="510">
        <f t="shared" si="151"/>
        <v>0</v>
      </c>
      <c r="U48" s="511">
        <f t="shared" si="151"/>
        <v>0</v>
      </c>
      <c r="V48" s="511">
        <f t="shared" si="151"/>
        <v>0</v>
      </c>
      <c r="W48" s="511">
        <f t="shared" si="151"/>
        <v>0</v>
      </c>
      <c r="X48" s="509">
        <f t="shared" si="151"/>
        <v>0</v>
      </c>
      <c r="Y48" s="512">
        <f t="shared" si="151"/>
        <v>0</v>
      </c>
      <c r="Z48" s="511">
        <f t="shared" si="151"/>
        <v>0</v>
      </c>
      <c r="AA48" s="511">
        <f t="shared" si="151"/>
        <v>0</v>
      </c>
      <c r="AB48" s="511">
        <f t="shared" si="151"/>
        <v>0</v>
      </c>
      <c r="AC48" s="511">
        <f t="shared" si="151"/>
        <v>0</v>
      </c>
      <c r="AD48" s="511">
        <f t="shared" si="151"/>
        <v>0</v>
      </c>
      <c r="AE48" s="511">
        <f t="shared" si="151"/>
        <v>0</v>
      </c>
      <c r="AF48" s="511">
        <f t="shared" si="151"/>
        <v>0</v>
      </c>
      <c r="AG48" s="511">
        <f t="shared" si="151"/>
        <v>0</v>
      </c>
      <c r="AH48" s="511">
        <f t="shared" si="151"/>
        <v>0</v>
      </c>
      <c r="AI48" s="511">
        <f t="shared" si="151"/>
        <v>0</v>
      </c>
      <c r="AJ48" s="509">
        <f t="shared" si="151"/>
        <v>0</v>
      </c>
      <c r="AK48" s="500"/>
      <c r="AL48" s="500"/>
      <c r="AM48" s="500"/>
      <c r="AN48" s="500"/>
    </row>
    <row r="49" spans="1:40" ht="14.4" hidden="1" customHeight="1" outlineLevel="1">
      <c r="B49" s="902"/>
      <c r="C49" s="527" t="s">
        <v>2615</v>
      </c>
      <c r="D49" s="528" t="s">
        <v>2637</v>
      </c>
      <c r="E49" s="555"/>
      <c r="F49" s="1446">
        <v>0</v>
      </c>
      <c r="G49" s="1428"/>
      <c r="H49" s="555"/>
      <c r="I49" s="555"/>
      <c r="J49" s="557"/>
      <c r="K49" s="558"/>
      <c r="L49" s="558"/>
      <c r="M49" s="559"/>
      <c r="N49" s="557"/>
      <c r="O49" s="558"/>
      <c r="P49" s="558"/>
      <c r="Q49" s="559"/>
      <c r="R49" s="555"/>
      <c r="S49" s="560"/>
      <c r="T49" s="561"/>
      <c r="U49" s="562"/>
      <c r="V49" s="562"/>
      <c r="W49" s="562"/>
      <c r="X49" s="563"/>
      <c r="Y49" s="564"/>
      <c r="Z49" s="562"/>
      <c r="AA49" s="562"/>
      <c r="AB49" s="562"/>
      <c r="AC49" s="562"/>
      <c r="AD49" s="562"/>
      <c r="AE49" s="562"/>
      <c r="AF49" s="562"/>
      <c r="AG49" s="562"/>
      <c r="AH49" s="562"/>
      <c r="AI49" s="562"/>
      <c r="AJ49" s="563"/>
      <c r="AK49" s="500"/>
      <c r="AL49" s="500"/>
      <c r="AM49" s="500"/>
      <c r="AN49" s="500"/>
    </row>
    <row r="50" spans="1:40" ht="14.4" hidden="1" customHeight="1" outlineLevel="1">
      <c r="B50" s="902"/>
      <c r="C50" s="527" t="s">
        <v>2616</v>
      </c>
      <c r="D50" s="528" t="s">
        <v>2638</v>
      </c>
      <c r="E50" s="555"/>
      <c r="F50" s="1446">
        <v>0</v>
      </c>
      <c r="G50" s="1428"/>
      <c r="H50" s="555"/>
      <c r="I50" s="555"/>
      <c r="J50" s="557"/>
      <c r="K50" s="558"/>
      <c r="L50" s="558"/>
      <c r="M50" s="559"/>
      <c r="N50" s="557"/>
      <c r="O50" s="558"/>
      <c r="P50" s="558"/>
      <c r="Q50" s="559"/>
      <c r="R50" s="555"/>
      <c r="S50" s="560"/>
      <c r="T50" s="561"/>
      <c r="U50" s="562"/>
      <c r="V50" s="562"/>
      <c r="W50" s="562"/>
      <c r="X50" s="563"/>
      <c r="Y50" s="564"/>
      <c r="Z50" s="562"/>
      <c r="AA50" s="562"/>
      <c r="AB50" s="562"/>
      <c r="AC50" s="562"/>
      <c r="AD50" s="562"/>
      <c r="AE50" s="562"/>
      <c r="AF50" s="562"/>
      <c r="AG50" s="562"/>
      <c r="AH50" s="562"/>
      <c r="AI50" s="562"/>
      <c r="AJ50" s="563"/>
      <c r="AK50" s="500"/>
      <c r="AL50" s="500"/>
      <c r="AM50" s="500"/>
      <c r="AN50" s="500"/>
    </row>
    <row r="51" spans="1:40" ht="14.4" hidden="1" customHeight="1" outlineLevel="1" thickBot="1">
      <c r="B51" s="904"/>
      <c r="C51" s="548"/>
      <c r="D51" s="549" t="s">
        <v>2790</v>
      </c>
      <c r="E51" s="550"/>
      <c r="F51" s="1449">
        <f>SUM(F49:F50)</f>
        <v>0</v>
      </c>
      <c r="G51" s="1430">
        <f t="shared" ref="G51:I51" si="152">SUM(G49:G50)</f>
        <v>0</v>
      </c>
      <c r="H51" s="549">
        <f t="shared" si="152"/>
        <v>0</v>
      </c>
      <c r="I51" s="549">
        <f t="shared" si="152"/>
        <v>0</v>
      </c>
      <c r="J51" s="551">
        <f t="shared" ref="J51" si="153">SUM(J49:J50)</f>
        <v>0</v>
      </c>
      <c r="K51" s="552">
        <f t="shared" ref="K51" si="154">SUM(K49:K50)</f>
        <v>0</v>
      </c>
      <c r="L51" s="552">
        <f t="shared" ref="L51" si="155">SUM(L49:L50)</f>
        <v>0</v>
      </c>
      <c r="M51" s="553">
        <f t="shared" ref="M51" si="156">SUM(M49:M50)</f>
        <v>0</v>
      </c>
      <c r="N51" s="551">
        <f t="shared" ref="N51" si="157">SUM(N49:N50)</f>
        <v>0</v>
      </c>
      <c r="O51" s="552">
        <f t="shared" ref="O51" si="158">SUM(O49:O50)</f>
        <v>0</v>
      </c>
      <c r="P51" s="552">
        <f t="shared" ref="P51" si="159">SUM(P49:P50)</f>
        <v>0</v>
      </c>
      <c r="Q51" s="553">
        <f t="shared" ref="Q51" si="160">SUM(Q49:Q50)</f>
        <v>0</v>
      </c>
      <c r="R51" s="554">
        <f t="shared" ref="R51" si="161">SUM(R49:R50)</f>
        <v>0</v>
      </c>
      <c r="S51" s="541">
        <f t="shared" ref="S51" si="162">SUM(S49:S50)</f>
        <v>0</v>
      </c>
      <c r="T51" s="542">
        <f t="shared" ref="T51" si="163">SUM(T49:T50)</f>
        <v>0</v>
      </c>
      <c r="U51" s="543">
        <f t="shared" ref="U51" si="164">SUM(U49:U50)</f>
        <v>0</v>
      </c>
      <c r="V51" s="543">
        <f t="shared" ref="V51" si="165">SUM(V49:V50)</f>
        <v>0</v>
      </c>
      <c r="W51" s="543">
        <f t="shared" ref="W51" si="166">SUM(W49:W50)</f>
        <v>0</v>
      </c>
      <c r="X51" s="544">
        <f t="shared" ref="X51" si="167">SUM(X49:X50)</f>
        <v>0</v>
      </c>
      <c r="Y51" s="545">
        <f t="shared" ref="Y51" si="168">SUM(Y49:Y50)</f>
        <v>0</v>
      </c>
      <c r="Z51" s="543">
        <f t="shared" ref="Z51" si="169">SUM(Z49:Z50)</f>
        <v>0</v>
      </c>
      <c r="AA51" s="543">
        <f t="shared" ref="AA51" si="170">SUM(AA49:AA50)</f>
        <v>0</v>
      </c>
      <c r="AB51" s="543">
        <f t="shared" ref="AB51" si="171">SUM(AB49:AB50)</f>
        <v>0</v>
      </c>
      <c r="AC51" s="543">
        <f t="shared" ref="AC51" si="172">SUM(AC49:AC50)</f>
        <v>0</v>
      </c>
      <c r="AD51" s="543">
        <f t="shared" ref="AD51" si="173">SUM(AD49:AD50)</f>
        <v>0</v>
      </c>
      <c r="AE51" s="543">
        <f t="shared" ref="AE51" si="174">SUM(AE49:AE50)</f>
        <v>0</v>
      </c>
      <c r="AF51" s="543">
        <f t="shared" ref="AF51" si="175">SUM(AF49:AF50)</f>
        <v>0</v>
      </c>
      <c r="AG51" s="543">
        <f t="shared" ref="AG51" si="176">SUM(AG49:AG50)</f>
        <v>0</v>
      </c>
      <c r="AH51" s="543">
        <f t="shared" ref="AH51" si="177">SUM(AH49:AH50)</f>
        <v>0</v>
      </c>
      <c r="AI51" s="543">
        <f t="shared" ref="AI51" si="178">SUM(AI49:AI50)</f>
        <v>0</v>
      </c>
      <c r="AJ51" s="544">
        <f t="shared" ref="AJ51" si="179">SUM(AJ49:AJ50)</f>
        <v>0</v>
      </c>
      <c r="AK51" s="500"/>
      <c r="AL51" s="500"/>
      <c r="AM51" s="500"/>
      <c r="AN51" s="500"/>
    </row>
    <row r="52" spans="1:40" ht="14.4" customHeight="1">
      <c r="B52" s="901"/>
      <c r="C52" s="546" t="s">
        <v>2617</v>
      </c>
      <c r="D52" s="547" t="s">
        <v>2654</v>
      </c>
      <c r="E52" s="526"/>
      <c r="F52" s="1448">
        <f>F64</f>
        <v>0</v>
      </c>
      <c r="G52" s="1427" t="e">
        <f t="shared" ref="G52:I52" si="180">G64</f>
        <v>#REF!</v>
      </c>
      <c r="H52" s="526" t="e">
        <f t="shared" si="180"/>
        <v>#REF!</v>
      </c>
      <c r="I52" s="526">
        <f t="shared" si="180"/>
        <v>0</v>
      </c>
      <c r="J52" s="530">
        <f t="shared" ref="J52:AJ52" si="181">J64</f>
        <v>0</v>
      </c>
      <c r="K52" s="531">
        <f t="shared" si="181"/>
        <v>0</v>
      </c>
      <c r="L52" s="531">
        <f t="shared" si="181"/>
        <v>0</v>
      </c>
      <c r="M52" s="532">
        <f t="shared" si="181"/>
        <v>0</v>
      </c>
      <c r="N52" s="530">
        <f t="shared" si="181"/>
        <v>0</v>
      </c>
      <c r="O52" s="531">
        <f t="shared" si="181"/>
        <v>0</v>
      </c>
      <c r="P52" s="531">
        <f t="shared" si="181"/>
        <v>0</v>
      </c>
      <c r="Q52" s="532">
        <f t="shared" si="181"/>
        <v>0</v>
      </c>
      <c r="R52" s="526">
        <f t="shared" si="181"/>
        <v>0</v>
      </c>
      <c r="S52" s="507">
        <f t="shared" si="181"/>
        <v>0</v>
      </c>
      <c r="T52" s="510">
        <f t="shared" si="181"/>
        <v>0</v>
      </c>
      <c r="U52" s="511">
        <f t="shared" si="181"/>
        <v>0</v>
      </c>
      <c r="V52" s="511">
        <f t="shared" si="181"/>
        <v>0</v>
      </c>
      <c r="W52" s="511">
        <f t="shared" si="181"/>
        <v>0</v>
      </c>
      <c r="X52" s="509">
        <f t="shared" si="181"/>
        <v>0</v>
      </c>
      <c r="Y52" s="512">
        <f t="shared" si="181"/>
        <v>0</v>
      </c>
      <c r="Z52" s="511">
        <f t="shared" si="181"/>
        <v>0</v>
      </c>
      <c r="AA52" s="511">
        <f t="shared" si="181"/>
        <v>0</v>
      </c>
      <c r="AB52" s="511">
        <f t="shared" si="181"/>
        <v>0</v>
      </c>
      <c r="AC52" s="511">
        <f t="shared" si="181"/>
        <v>0</v>
      </c>
      <c r="AD52" s="511">
        <f t="shared" si="181"/>
        <v>0</v>
      </c>
      <c r="AE52" s="511">
        <f t="shared" si="181"/>
        <v>0</v>
      </c>
      <c r="AF52" s="511">
        <f t="shared" si="181"/>
        <v>0</v>
      </c>
      <c r="AG52" s="511">
        <f t="shared" si="181"/>
        <v>0</v>
      </c>
      <c r="AH52" s="511">
        <f t="shared" si="181"/>
        <v>0</v>
      </c>
      <c r="AI52" s="511">
        <f t="shared" si="181"/>
        <v>0</v>
      </c>
      <c r="AJ52" s="509">
        <f t="shared" si="181"/>
        <v>0</v>
      </c>
      <c r="AK52" s="500"/>
      <c r="AL52" s="500"/>
      <c r="AM52" s="500"/>
      <c r="AN52" s="500"/>
    </row>
    <row r="53" spans="1:40" ht="14.4" customHeight="1" outlineLevel="1" collapsed="1">
      <c r="B53" s="902"/>
      <c r="C53" s="527" t="s">
        <v>2618</v>
      </c>
      <c r="D53" s="528" t="s">
        <v>2534</v>
      </c>
      <c r="E53" s="555"/>
      <c r="F53" s="1448">
        <f>SUM(F55:F59)</f>
        <v>0</v>
      </c>
      <c r="G53" s="1428">
        <f t="shared" ref="G53:H53" si="182">SUM(G55:G56)</f>
        <v>1190000000</v>
      </c>
      <c r="H53" s="555">
        <f t="shared" si="182"/>
        <v>1190000000</v>
      </c>
      <c r="I53" s="555">
        <v>0</v>
      </c>
      <c r="J53" s="557">
        <v>0</v>
      </c>
      <c r="K53" s="558">
        <v>0</v>
      </c>
      <c r="L53" s="558">
        <v>0</v>
      </c>
      <c r="M53" s="559">
        <v>0</v>
      </c>
      <c r="N53" s="557">
        <v>0</v>
      </c>
      <c r="O53" s="558">
        <v>0</v>
      </c>
      <c r="P53" s="558">
        <v>0</v>
      </c>
      <c r="Q53" s="559">
        <v>0</v>
      </c>
      <c r="R53" s="555">
        <v>0</v>
      </c>
      <c r="S53" s="560">
        <v>0</v>
      </c>
      <c r="T53" s="561">
        <v>0</v>
      </c>
      <c r="U53" s="562">
        <v>0</v>
      </c>
      <c r="V53" s="562">
        <v>0</v>
      </c>
      <c r="W53" s="562">
        <v>0</v>
      </c>
      <c r="X53" s="563">
        <v>0</v>
      </c>
      <c r="Y53" s="564">
        <v>0</v>
      </c>
      <c r="Z53" s="562">
        <v>0</v>
      </c>
      <c r="AA53" s="562">
        <v>0</v>
      </c>
      <c r="AB53" s="562">
        <v>0</v>
      </c>
      <c r="AC53" s="562">
        <v>0</v>
      </c>
      <c r="AD53" s="562">
        <v>0</v>
      </c>
      <c r="AE53" s="562">
        <v>0</v>
      </c>
      <c r="AF53" s="562">
        <v>0</v>
      </c>
      <c r="AG53" s="562">
        <v>0</v>
      </c>
      <c r="AH53" s="562">
        <v>0</v>
      </c>
      <c r="AI53" s="562">
        <v>0</v>
      </c>
      <c r="AJ53" s="563">
        <v>0</v>
      </c>
      <c r="AK53" s="500"/>
      <c r="AL53" s="500"/>
      <c r="AM53" s="500"/>
      <c r="AN53" s="500"/>
    </row>
    <row r="54" spans="1:40" s="1499" customFormat="1" ht="14.4" customHeight="1" outlineLevel="1">
      <c r="A54" s="500"/>
      <c r="B54" s="902"/>
      <c r="C54" s="527"/>
      <c r="D54" s="533" t="s">
        <v>3842</v>
      </c>
      <c r="E54" s="555"/>
      <c r="F54" s="1446"/>
      <c r="G54" s="1503">
        <v>1080000000</v>
      </c>
      <c r="H54" s="1502">
        <v>1080000000</v>
      </c>
      <c r="I54" s="555">
        <v>0</v>
      </c>
      <c r="J54" s="1504">
        <v>0</v>
      </c>
      <c r="K54" s="1505">
        <v>0</v>
      </c>
      <c r="L54" s="1505">
        <v>0</v>
      </c>
      <c r="M54" s="1506">
        <v>0</v>
      </c>
      <c r="N54" s="1504">
        <v>0</v>
      </c>
      <c r="O54" s="1505">
        <v>0</v>
      </c>
      <c r="P54" s="1505">
        <v>0</v>
      </c>
      <c r="Q54" s="1506">
        <v>0</v>
      </c>
      <c r="R54" s="1502">
        <v>0</v>
      </c>
      <c r="S54" s="1498">
        <v>0</v>
      </c>
      <c r="T54" s="1507">
        <v>0</v>
      </c>
      <c r="U54" s="1496">
        <v>0</v>
      </c>
      <c r="V54" s="1496">
        <v>0</v>
      </c>
      <c r="W54" s="1496">
        <v>0</v>
      </c>
      <c r="X54" s="1508">
        <v>0</v>
      </c>
      <c r="Y54" s="1509">
        <v>0</v>
      </c>
      <c r="Z54" s="1496">
        <v>0</v>
      </c>
      <c r="AA54" s="1496">
        <v>0</v>
      </c>
      <c r="AB54" s="1496">
        <v>0</v>
      </c>
      <c r="AC54" s="1496">
        <v>0</v>
      </c>
      <c r="AD54" s="1496">
        <v>0</v>
      </c>
      <c r="AE54" s="1496">
        <v>0</v>
      </c>
      <c r="AF54" s="1496">
        <v>0</v>
      </c>
      <c r="AG54" s="1496">
        <v>0</v>
      </c>
      <c r="AH54" s="1496">
        <v>0</v>
      </c>
      <c r="AI54" s="1496">
        <v>0</v>
      </c>
      <c r="AJ54" s="1508">
        <v>0</v>
      </c>
      <c r="AK54" s="1501"/>
      <c r="AL54" s="1501"/>
      <c r="AM54" s="1501"/>
      <c r="AN54" s="1501"/>
    </row>
    <row r="55" spans="1:40" s="1499" customFormat="1" ht="14.4" customHeight="1" outlineLevel="1">
      <c r="A55" s="500"/>
      <c r="B55" s="902"/>
      <c r="C55" s="527"/>
      <c r="D55" s="533" t="s">
        <v>3806</v>
      </c>
      <c r="E55" s="555"/>
      <c r="F55" s="1446"/>
      <c r="G55" s="1503">
        <v>1080000000</v>
      </c>
      <c r="H55" s="1502">
        <v>1080000000</v>
      </c>
      <c r="I55" s="555">
        <v>0</v>
      </c>
      <c r="J55" s="1504">
        <v>0</v>
      </c>
      <c r="K55" s="1505">
        <v>0</v>
      </c>
      <c r="L55" s="1505">
        <v>0</v>
      </c>
      <c r="M55" s="1506">
        <v>0</v>
      </c>
      <c r="N55" s="1504">
        <v>0</v>
      </c>
      <c r="O55" s="1505">
        <v>0</v>
      </c>
      <c r="P55" s="1505">
        <v>0</v>
      </c>
      <c r="Q55" s="1506">
        <v>0</v>
      </c>
      <c r="R55" s="1502">
        <v>0</v>
      </c>
      <c r="S55" s="1498">
        <v>0</v>
      </c>
      <c r="T55" s="1507">
        <v>0</v>
      </c>
      <c r="U55" s="1496">
        <v>0</v>
      </c>
      <c r="V55" s="1496">
        <v>0</v>
      </c>
      <c r="W55" s="1496">
        <v>0</v>
      </c>
      <c r="X55" s="1508">
        <v>0</v>
      </c>
      <c r="Y55" s="1509">
        <v>0</v>
      </c>
      <c r="Z55" s="1496">
        <v>0</v>
      </c>
      <c r="AA55" s="1496">
        <v>0</v>
      </c>
      <c r="AB55" s="1496">
        <v>0</v>
      </c>
      <c r="AC55" s="1496">
        <v>0</v>
      </c>
      <c r="AD55" s="1496">
        <v>0</v>
      </c>
      <c r="AE55" s="1496">
        <v>0</v>
      </c>
      <c r="AF55" s="1496">
        <v>0</v>
      </c>
      <c r="AG55" s="1496">
        <v>0</v>
      </c>
      <c r="AH55" s="1496">
        <v>0</v>
      </c>
      <c r="AI55" s="1496">
        <v>0</v>
      </c>
      <c r="AJ55" s="1508">
        <v>0</v>
      </c>
      <c r="AK55" s="1501"/>
      <c r="AL55" s="1501"/>
      <c r="AM55" s="1501"/>
      <c r="AN55" s="1501"/>
    </row>
    <row r="56" spans="1:40" s="1499" customFormat="1" ht="14.4" customHeight="1" outlineLevel="1" collapsed="1">
      <c r="A56" s="500"/>
      <c r="B56" s="902"/>
      <c r="C56" s="527"/>
      <c r="D56" s="1518" t="s">
        <v>3807</v>
      </c>
      <c r="E56" s="555"/>
      <c r="F56" s="1446"/>
      <c r="G56" s="1503">
        <v>110000000</v>
      </c>
      <c r="H56" s="1502">
        <v>110000000</v>
      </c>
      <c r="I56" s="555">
        <v>0</v>
      </c>
      <c r="J56" s="1504">
        <v>0</v>
      </c>
      <c r="K56" s="1505">
        <v>0</v>
      </c>
      <c r="L56" s="1505">
        <v>0</v>
      </c>
      <c r="M56" s="1506">
        <v>0</v>
      </c>
      <c r="N56" s="1504">
        <v>0</v>
      </c>
      <c r="O56" s="1505">
        <v>0</v>
      </c>
      <c r="P56" s="1505">
        <v>0</v>
      </c>
      <c r="Q56" s="1506">
        <v>0</v>
      </c>
      <c r="R56" s="1502">
        <v>0</v>
      </c>
      <c r="S56" s="1498">
        <v>0</v>
      </c>
      <c r="T56" s="1507">
        <v>0</v>
      </c>
      <c r="U56" s="1496">
        <v>0</v>
      </c>
      <c r="V56" s="1496">
        <v>0</v>
      </c>
      <c r="W56" s="1496">
        <v>0</v>
      </c>
      <c r="X56" s="1508">
        <v>0</v>
      </c>
      <c r="Y56" s="1509">
        <v>0</v>
      </c>
      <c r="Z56" s="1496">
        <v>0</v>
      </c>
      <c r="AA56" s="1496">
        <v>0</v>
      </c>
      <c r="AB56" s="1496">
        <v>0</v>
      </c>
      <c r="AC56" s="1496">
        <v>0</v>
      </c>
      <c r="AD56" s="1496">
        <v>0</v>
      </c>
      <c r="AE56" s="1496">
        <v>0</v>
      </c>
      <c r="AF56" s="1496">
        <v>0</v>
      </c>
      <c r="AG56" s="1496">
        <v>0</v>
      </c>
      <c r="AH56" s="1496">
        <v>0</v>
      </c>
      <c r="AI56" s="1496">
        <v>0</v>
      </c>
      <c r="AJ56" s="1508">
        <v>0</v>
      </c>
      <c r="AK56" s="1501"/>
      <c r="AL56" s="1501"/>
      <c r="AM56" s="1501"/>
      <c r="AN56" s="1501"/>
    </row>
    <row r="57" spans="1:40" s="1499" customFormat="1" ht="14.4" customHeight="1" outlineLevel="1">
      <c r="A57" s="500"/>
      <c r="B57" s="902"/>
      <c r="C57" s="527"/>
      <c r="D57" s="533" t="s">
        <v>3843</v>
      </c>
      <c r="E57" s="555"/>
      <c r="F57" s="1446"/>
      <c r="G57" s="1503">
        <v>1080000000</v>
      </c>
      <c r="H57" s="1502">
        <v>1080000000</v>
      </c>
      <c r="I57" s="555">
        <v>0</v>
      </c>
      <c r="J57" s="1504">
        <v>0</v>
      </c>
      <c r="K57" s="1505">
        <v>0</v>
      </c>
      <c r="L57" s="1505">
        <v>0</v>
      </c>
      <c r="M57" s="1506">
        <v>0</v>
      </c>
      <c r="N57" s="1504">
        <v>0</v>
      </c>
      <c r="O57" s="1505">
        <v>0</v>
      </c>
      <c r="P57" s="1505">
        <v>0</v>
      </c>
      <c r="Q57" s="1506">
        <v>0</v>
      </c>
      <c r="R57" s="1502">
        <v>0</v>
      </c>
      <c r="S57" s="1498">
        <v>0</v>
      </c>
      <c r="T57" s="1507">
        <v>0</v>
      </c>
      <c r="U57" s="1496">
        <v>0</v>
      </c>
      <c r="V57" s="1496">
        <v>0</v>
      </c>
      <c r="W57" s="1496">
        <v>0</v>
      </c>
      <c r="X57" s="1508">
        <v>0</v>
      </c>
      <c r="Y57" s="1509">
        <v>0</v>
      </c>
      <c r="Z57" s="1496">
        <v>0</v>
      </c>
      <c r="AA57" s="1496">
        <v>0</v>
      </c>
      <c r="AB57" s="1496">
        <v>0</v>
      </c>
      <c r="AC57" s="1496">
        <v>0</v>
      </c>
      <c r="AD57" s="1496">
        <v>0</v>
      </c>
      <c r="AE57" s="1496">
        <v>0</v>
      </c>
      <c r="AF57" s="1496">
        <v>0</v>
      </c>
      <c r="AG57" s="1496">
        <v>0</v>
      </c>
      <c r="AH57" s="1496">
        <v>0</v>
      </c>
      <c r="AI57" s="1496">
        <v>0</v>
      </c>
      <c r="AJ57" s="1508">
        <v>0</v>
      </c>
      <c r="AK57" s="1501"/>
      <c r="AL57" s="1501"/>
      <c r="AM57" s="1501"/>
      <c r="AN57" s="1501"/>
    </row>
    <row r="58" spans="1:40" s="1499" customFormat="1" ht="14.4" customHeight="1" outlineLevel="1" collapsed="1">
      <c r="A58" s="500"/>
      <c r="B58" s="902"/>
      <c r="C58" s="527"/>
      <c r="D58" s="1518" t="s">
        <v>3844</v>
      </c>
      <c r="E58" s="555"/>
      <c r="F58" s="1446"/>
      <c r="G58" s="1503">
        <v>110000000</v>
      </c>
      <c r="H58" s="1502">
        <v>110000000</v>
      </c>
      <c r="I58" s="555">
        <v>0</v>
      </c>
      <c r="J58" s="1504">
        <v>0</v>
      </c>
      <c r="K58" s="1505">
        <v>0</v>
      </c>
      <c r="L58" s="1505">
        <v>0</v>
      </c>
      <c r="M58" s="1506">
        <v>0</v>
      </c>
      <c r="N58" s="1504">
        <v>0</v>
      </c>
      <c r="O58" s="1505">
        <v>0</v>
      </c>
      <c r="P58" s="1505">
        <v>0</v>
      </c>
      <c r="Q58" s="1506">
        <v>0</v>
      </c>
      <c r="R58" s="1502">
        <v>0</v>
      </c>
      <c r="S58" s="1498">
        <v>0</v>
      </c>
      <c r="T58" s="1507">
        <v>0</v>
      </c>
      <c r="U58" s="1496">
        <v>0</v>
      </c>
      <c r="V58" s="1496">
        <v>0</v>
      </c>
      <c r="W58" s="1496">
        <v>0</v>
      </c>
      <c r="X58" s="1508">
        <v>0</v>
      </c>
      <c r="Y58" s="1509">
        <v>0</v>
      </c>
      <c r="Z58" s="1496">
        <v>0</v>
      </c>
      <c r="AA58" s="1496">
        <v>0</v>
      </c>
      <c r="AB58" s="1496">
        <v>0</v>
      </c>
      <c r="AC58" s="1496">
        <v>0</v>
      </c>
      <c r="AD58" s="1496">
        <v>0</v>
      </c>
      <c r="AE58" s="1496">
        <v>0</v>
      </c>
      <c r="AF58" s="1496">
        <v>0</v>
      </c>
      <c r="AG58" s="1496">
        <v>0</v>
      </c>
      <c r="AH58" s="1496">
        <v>0</v>
      </c>
      <c r="AI58" s="1496">
        <v>0</v>
      </c>
      <c r="AJ58" s="1508">
        <v>0</v>
      </c>
      <c r="AK58" s="1501"/>
      <c r="AL58" s="1501"/>
      <c r="AM58" s="1501"/>
      <c r="AN58" s="1501"/>
    </row>
    <row r="59" spans="1:40" ht="14.4" customHeight="1" outlineLevel="1" collapsed="1">
      <c r="B59" s="902"/>
      <c r="C59" s="527"/>
      <c r="D59" s="533" t="s">
        <v>2543</v>
      </c>
      <c r="E59" s="555"/>
      <c r="F59" s="1446">
        <v>0</v>
      </c>
      <c r="G59" s="1428"/>
      <c r="H59" s="555"/>
      <c r="I59" s="555"/>
      <c r="J59" s="557"/>
      <c r="K59" s="558"/>
      <c r="L59" s="558"/>
      <c r="M59" s="559"/>
      <c r="N59" s="557"/>
      <c r="O59" s="558"/>
      <c r="P59" s="558"/>
      <c r="Q59" s="559"/>
      <c r="R59" s="555"/>
      <c r="S59" s="560"/>
      <c r="T59" s="561"/>
      <c r="U59" s="562"/>
      <c r="V59" s="562"/>
      <c r="W59" s="562"/>
      <c r="X59" s="563"/>
      <c r="Y59" s="564"/>
      <c r="Z59" s="562"/>
      <c r="AA59" s="562"/>
      <c r="AB59" s="562"/>
      <c r="AC59" s="562"/>
      <c r="AD59" s="562"/>
      <c r="AE59" s="562"/>
      <c r="AF59" s="562"/>
      <c r="AG59" s="562"/>
      <c r="AH59" s="562"/>
      <c r="AI59" s="562"/>
      <c r="AJ59" s="563"/>
      <c r="AK59" s="500"/>
      <c r="AL59" s="500"/>
      <c r="AM59" s="500"/>
      <c r="AN59" s="500"/>
    </row>
    <row r="60" spans="1:40" ht="14.4" customHeight="1" outlineLevel="1">
      <c r="B60" s="902"/>
      <c r="C60" s="527" t="s">
        <v>2619</v>
      </c>
      <c r="D60" s="528" t="s">
        <v>2639</v>
      </c>
      <c r="E60" s="555"/>
      <c r="F60" s="1446">
        <v>0</v>
      </c>
      <c r="G60" s="1428"/>
      <c r="H60" s="555"/>
      <c r="I60" s="555"/>
      <c r="J60" s="557"/>
      <c r="K60" s="558"/>
      <c r="L60" s="558"/>
      <c r="M60" s="559"/>
      <c r="N60" s="557"/>
      <c r="O60" s="558"/>
      <c r="P60" s="558"/>
      <c r="Q60" s="559"/>
      <c r="R60" s="555"/>
      <c r="S60" s="560"/>
      <c r="T60" s="561"/>
      <c r="U60" s="562"/>
      <c r="V60" s="562"/>
      <c r="W60" s="562"/>
      <c r="X60" s="563"/>
      <c r="Y60" s="564"/>
      <c r="Z60" s="562"/>
      <c r="AA60" s="562"/>
      <c r="AB60" s="562"/>
      <c r="AC60" s="562"/>
      <c r="AD60" s="562"/>
      <c r="AE60" s="562"/>
      <c r="AF60" s="562"/>
      <c r="AG60" s="562"/>
      <c r="AH60" s="562"/>
      <c r="AI60" s="562"/>
      <c r="AJ60" s="563"/>
      <c r="AK60" s="500"/>
      <c r="AL60" s="500"/>
      <c r="AM60" s="500"/>
      <c r="AN60" s="500"/>
    </row>
    <row r="61" spans="1:40" ht="14.4" customHeight="1" outlineLevel="1">
      <c r="B61" s="902"/>
      <c r="C61" s="527" t="s">
        <v>2620</v>
      </c>
      <c r="D61" s="528" t="s">
        <v>2640</v>
      </c>
      <c r="E61" s="555"/>
      <c r="F61" s="1446">
        <v>0</v>
      </c>
      <c r="G61" s="1428" t="e">
        <f>SUM(#REF!)</f>
        <v>#REF!</v>
      </c>
      <c r="H61" s="555" t="e">
        <f>SUM(#REF!)</f>
        <v>#REF!</v>
      </c>
      <c r="I61" s="555"/>
      <c r="J61" s="557"/>
      <c r="K61" s="558"/>
      <c r="L61" s="558"/>
      <c r="M61" s="559"/>
      <c r="N61" s="557"/>
      <c r="O61" s="558"/>
      <c r="P61" s="558"/>
      <c r="Q61" s="559"/>
      <c r="R61" s="555"/>
      <c r="S61" s="560"/>
      <c r="T61" s="561"/>
      <c r="U61" s="562"/>
      <c r="V61" s="562"/>
      <c r="W61" s="562"/>
      <c r="X61" s="563"/>
      <c r="Y61" s="564"/>
      <c r="Z61" s="562"/>
      <c r="AA61" s="562"/>
      <c r="AB61" s="562"/>
      <c r="AC61" s="562"/>
      <c r="AD61" s="562"/>
      <c r="AE61" s="562"/>
      <c r="AF61" s="562"/>
      <c r="AG61" s="562"/>
      <c r="AH61" s="562"/>
      <c r="AI61" s="562"/>
      <c r="AJ61" s="563"/>
      <c r="AK61" s="500"/>
      <c r="AL61" s="500"/>
      <c r="AM61" s="500"/>
      <c r="AN61" s="500"/>
    </row>
    <row r="62" spans="1:40" ht="14.4" customHeight="1" outlineLevel="1">
      <c r="B62" s="902"/>
      <c r="C62" s="527" t="s">
        <v>2621</v>
      </c>
      <c r="D62" s="528" t="s">
        <v>2641</v>
      </c>
      <c r="E62" s="555"/>
      <c r="F62" s="1446">
        <v>0</v>
      </c>
      <c r="G62" s="1428"/>
      <c r="H62" s="555"/>
      <c r="I62" s="555"/>
      <c r="J62" s="557"/>
      <c r="K62" s="558"/>
      <c r="L62" s="558"/>
      <c r="M62" s="559"/>
      <c r="N62" s="557"/>
      <c r="O62" s="558"/>
      <c r="P62" s="558"/>
      <c r="Q62" s="559"/>
      <c r="R62" s="555"/>
      <c r="S62" s="560"/>
      <c r="T62" s="561"/>
      <c r="U62" s="562"/>
      <c r="V62" s="562"/>
      <c r="W62" s="562"/>
      <c r="X62" s="563"/>
      <c r="Y62" s="564"/>
      <c r="Z62" s="562"/>
      <c r="AA62" s="562"/>
      <c r="AB62" s="562"/>
      <c r="AC62" s="562"/>
      <c r="AD62" s="562"/>
      <c r="AE62" s="562"/>
      <c r="AF62" s="562"/>
      <c r="AG62" s="562"/>
      <c r="AH62" s="562"/>
      <c r="AI62" s="562"/>
      <c r="AJ62" s="563"/>
      <c r="AK62" s="500"/>
      <c r="AL62" s="500"/>
      <c r="AM62" s="500"/>
      <c r="AN62" s="500"/>
    </row>
    <row r="63" spans="1:40" ht="14.4" customHeight="1" outlineLevel="1">
      <c r="B63" s="902"/>
      <c r="C63" s="527" t="s">
        <v>2622</v>
      </c>
      <c r="D63" s="528" t="s">
        <v>2642</v>
      </c>
      <c r="E63" s="555"/>
      <c r="F63" s="1446">
        <v>0</v>
      </c>
      <c r="G63" s="1428"/>
      <c r="H63" s="555"/>
      <c r="I63" s="555"/>
      <c r="J63" s="557"/>
      <c r="K63" s="558"/>
      <c r="L63" s="558"/>
      <c r="M63" s="559"/>
      <c r="N63" s="557"/>
      <c r="O63" s="558"/>
      <c r="P63" s="558"/>
      <c r="Q63" s="559"/>
      <c r="R63" s="555"/>
      <c r="S63" s="560"/>
      <c r="T63" s="561"/>
      <c r="U63" s="562"/>
      <c r="V63" s="562"/>
      <c r="W63" s="562"/>
      <c r="X63" s="563"/>
      <c r="Y63" s="564"/>
      <c r="Z63" s="562"/>
      <c r="AA63" s="562"/>
      <c r="AB63" s="562"/>
      <c r="AC63" s="562"/>
      <c r="AD63" s="562"/>
      <c r="AE63" s="562"/>
      <c r="AF63" s="562"/>
      <c r="AG63" s="562"/>
      <c r="AH63" s="562"/>
      <c r="AI63" s="562"/>
      <c r="AJ63" s="563"/>
      <c r="AK63" s="500"/>
      <c r="AL63" s="500"/>
      <c r="AM63" s="500"/>
      <c r="AN63" s="500"/>
    </row>
    <row r="64" spans="1:40" ht="14.4" customHeight="1" outlineLevel="1" thickBot="1">
      <c r="B64" s="904"/>
      <c r="C64" s="548"/>
      <c r="D64" s="549" t="s">
        <v>2791</v>
      </c>
      <c r="E64" s="550"/>
      <c r="F64" s="1449">
        <f t="shared" ref="F64:AJ64" si="183">F53+F60+F61+F62+F63</f>
        <v>0</v>
      </c>
      <c r="G64" s="1430" t="e">
        <f t="shared" si="183"/>
        <v>#REF!</v>
      </c>
      <c r="H64" s="549" t="e">
        <f t="shared" si="183"/>
        <v>#REF!</v>
      </c>
      <c r="I64" s="549">
        <f t="shared" si="183"/>
        <v>0</v>
      </c>
      <c r="J64" s="551">
        <f t="shared" si="183"/>
        <v>0</v>
      </c>
      <c r="K64" s="552">
        <f t="shared" si="183"/>
        <v>0</v>
      </c>
      <c r="L64" s="552">
        <f t="shared" si="183"/>
        <v>0</v>
      </c>
      <c r="M64" s="553">
        <f t="shared" si="183"/>
        <v>0</v>
      </c>
      <c r="N64" s="551">
        <f t="shared" si="183"/>
        <v>0</v>
      </c>
      <c r="O64" s="552">
        <f t="shared" si="183"/>
        <v>0</v>
      </c>
      <c r="P64" s="552">
        <f t="shared" si="183"/>
        <v>0</v>
      </c>
      <c r="Q64" s="553">
        <f t="shared" si="183"/>
        <v>0</v>
      </c>
      <c r="R64" s="554">
        <f t="shared" si="183"/>
        <v>0</v>
      </c>
      <c r="S64" s="541">
        <f t="shared" si="183"/>
        <v>0</v>
      </c>
      <c r="T64" s="542">
        <f t="shared" si="183"/>
        <v>0</v>
      </c>
      <c r="U64" s="543">
        <f t="shared" si="183"/>
        <v>0</v>
      </c>
      <c r="V64" s="543">
        <f t="shared" si="183"/>
        <v>0</v>
      </c>
      <c r="W64" s="543">
        <f t="shared" si="183"/>
        <v>0</v>
      </c>
      <c r="X64" s="544">
        <f t="shared" si="183"/>
        <v>0</v>
      </c>
      <c r="Y64" s="545">
        <f t="shared" si="183"/>
        <v>0</v>
      </c>
      <c r="Z64" s="543">
        <f t="shared" si="183"/>
        <v>0</v>
      </c>
      <c r="AA64" s="543">
        <f t="shared" si="183"/>
        <v>0</v>
      </c>
      <c r="AB64" s="543">
        <f t="shared" si="183"/>
        <v>0</v>
      </c>
      <c r="AC64" s="543">
        <f t="shared" si="183"/>
        <v>0</v>
      </c>
      <c r="AD64" s="543">
        <f t="shared" si="183"/>
        <v>0</v>
      </c>
      <c r="AE64" s="543">
        <f t="shared" si="183"/>
        <v>0</v>
      </c>
      <c r="AF64" s="543">
        <f t="shared" si="183"/>
        <v>0</v>
      </c>
      <c r="AG64" s="543">
        <f t="shared" si="183"/>
        <v>0</v>
      </c>
      <c r="AH64" s="543">
        <f t="shared" si="183"/>
        <v>0</v>
      </c>
      <c r="AI64" s="543">
        <f t="shared" si="183"/>
        <v>0</v>
      </c>
      <c r="AJ64" s="544">
        <f t="shared" si="183"/>
        <v>0</v>
      </c>
      <c r="AK64" s="500"/>
      <c r="AL64" s="500"/>
      <c r="AM64" s="500"/>
      <c r="AN64" s="500"/>
    </row>
    <row r="65" spans="1:40" ht="14.4" customHeight="1" thickTop="1">
      <c r="B65" s="901"/>
      <c r="C65" s="546" t="s">
        <v>2623</v>
      </c>
      <c r="D65" s="547" t="s">
        <v>2655</v>
      </c>
      <c r="E65" s="526"/>
      <c r="F65" s="1448">
        <f>F84</f>
        <v>470000000</v>
      </c>
      <c r="G65" s="1427">
        <f t="shared" ref="G65:I65" si="184">G84</f>
        <v>0</v>
      </c>
      <c r="H65" s="526">
        <f t="shared" si="184"/>
        <v>0</v>
      </c>
      <c r="I65" s="526">
        <f t="shared" si="184"/>
        <v>0</v>
      </c>
      <c r="J65" s="530">
        <f t="shared" ref="J65:AJ65" si="185">J84</f>
        <v>0</v>
      </c>
      <c r="K65" s="531">
        <f t="shared" si="185"/>
        <v>0</v>
      </c>
      <c r="L65" s="531">
        <f t="shared" si="185"/>
        <v>0</v>
      </c>
      <c r="M65" s="532">
        <f t="shared" si="185"/>
        <v>0</v>
      </c>
      <c r="N65" s="530">
        <f t="shared" si="185"/>
        <v>0</v>
      </c>
      <c r="O65" s="531">
        <f t="shared" si="185"/>
        <v>0</v>
      </c>
      <c r="P65" s="531">
        <f t="shared" si="185"/>
        <v>0</v>
      </c>
      <c r="Q65" s="532">
        <f t="shared" si="185"/>
        <v>0</v>
      </c>
      <c r="R65" s="526">
        <f t="shared" si="185"/>
        <v>0</v>
      </c>
      <c r="S65" s="507">
        <f t="shared" si="185"/>
        <v>0</v>
      </c>
      <c r="T65" s="510">
        <f t="shared" si="185"/>
        <v>0</v>
      </c>
      <c r="U65" s="511">
        <f t="shared" si="185"/>
        <v>0</v>
      </c>
      <c r="V65" s="511">
        <f t="shared" si="185"/>
        <v>0</v>
      </c>
      <c r="W65" s="511">
        <f t="shared" si="185"/>
        <v>0</v>
      </c>
      <c r="X65" s="509">
        <f t="shared" si="185"/>
        <v>0</v>
      </c>
      <c r="Y65" s="512">
        <f t="shared" si="185"/>
        <v>0</v>
      </c>
      <c r="Z65" s="511">
        <f t="shared" si="185"/>
        <v>0</v>
      </c>
      <c r="AA65" s="511">
        <f t="shared" si="185"/>
        <v>0</v>
      </c>
      <c r="AB65" s="511">
        <f t="shared" si="185"/>
        <v>0</v>
      </c>
      <c r="AC65" s="511">
        <f t="shared" si="185"/>
        <v>0</v>
      </c>
      <c r="AD65" s="511">
        <f t="shared" si="185"/>
        <v>0</v>
      </c>
      <c r="AE65" s="511">
        <f t="shared" si="185"/>
        <v>0</v>
      </c>
      <c r="AF65" s="511">
        <f t="shared" si="185"/>
        <v>0</v>
      </c>
      <c r="AG65" s="511">
        <f t="shared" si="185"/>
        <v>0</v>
      </c>
      <c r="AH65" s="511">
        <f t="shared" si="185"/>
        <v>0</v>
      </c>
      <c r="AI65" s="511">
        <f t="shared" si="185"/>
        <v>0</v>
      </c>
      <c r="AJ65" s="509">
        <f t="shared" si="185"/>
        <v>0</v>
      </c>
      <c r="AK65" s="500"/>
      <c r="AL65" s="500"/>
      <c r="AM65" s="500"/>
      <c r="AN65" s="500"/>
    </row>
    <row r="66" spans="1:40" ht="14.4" customHeight="1" outlineLevel="1">
      <c r="B66" s="902"/>
      <c r="C66" s="527" t="s">
        <v>2624</v>
      </c>
      <c r="D66" s="528" t="s">
        <v>2643</v>
      </c>
      <c r="E66" s="555"/>
      <c r="F66" s="1446">
        <v>0</v>
      </c>
      <c r="G66" s="1428"/>
      <c r="H66" s="555"/>
      <c r="I66" s="555"/>
      <c r="J66" s="557"/>
      <c r="K66" s="558"/>
      <c r="L66" s="558"/>
      <c r="M66" s="559"/>
      <c r="N66" s="557"/>
      <c r="O66" s="558"/>
      <c r="P66" s="558"/>
      <c r="Q66" s="559"/>
      <c r="R66" s="555"/>
      <c r="S66" s="560"/>
      <c r="T66" s="561"/>
      <c r="U66" s="562"/>
      <c r="V66" s="562"/>
      <c r="W66" s="562"/>
      <c r="X66" s="563"/>
      <c r="Y66" s="564"/>
      <c r="Z66" s="562"/>
      <c r="AA66" s="562"/>
      <c r="AB66" s="562"/>
      <c r="AC66" s="562"/>
      <c r="AD66" s="562"/>
      <c r="AE66" s="562"/>
      <c r="AF66" s="562"/>
      <c r="AG66" s="562"/>
      <c r="AH66" s="562"/>
      <c r="AI66" s="562"/>
      <c r="AJ66" s="563"/>
      <c r="AK66" s="500"/>
      <c r="AL66" s="500"/>
      <c r="AM66" s="500"/>
      <c r="AN66" s="500"/>
    </row>
    <row r="67" spans="1:40" ht="14.4" customHeight="1" outlineLevel="1">
      <c r="B67" s="902"/>
      <c r="C67" s="527" t="s">
        <v>2625</v>
      </c>
      <c r="D67" s="528" t="s">
        <v>2644</v>
      </c>
      <c r="E67" s="555"/>
      <c r="F67" s="1446">
        <f>SUM(F72:H82)</f>
        <v>470000000</v>
      </c>
      <c r="G67" s="1428">
        <f t="shared" ref="G67:I67" si="186">SUM(G73:G82)</f>
        <v>0</v>
      </c>
      <c r="H67" s="555">
        <f t="shared" si="186"/>
        <v>0</v>
      </c>
      <c r="I67" s="555">
        <f t="shared" si="186"/>
        <v>0</v>
      </c>
      <c r="J67" s="557">
        <f t="shared" ref="J67" si="187">SUM(J73:J82)</f>
        <v>0</v>
      </c>
      <c r="K67" s="558">
        <f t="shared" ref="K67" si="188">SUM(K73:K82)</f>
        <v>0</v>
      </c>
      <c r="L67" s="558">
        <f t="shared" ref="L67" si="189">SUM(L73:L82)</f>
        <v>0</v>
      </c>
      <c r="M67" s="559">
        <f t="shared" ref="M67" si="190">SUM(M73:M82)</f>
        <v>0</v>
      </c>
      <c r="N67" s="557">
        <f t="shared" ref="N67" si="191">SUM(N73:N82)</f>
        <v>0</v>
      </c>
      <c r="O67" s="558">
        <f t="shared" ref="O67" si="192">SUM(O73:O82)</f>
        <v>0</v>
      </c>
      <c r="P67" s="558">
        <f t="shared" ref="P67" si="193">SUM(P73:P82)</f>
        <v>0</v>
      </c>
      <c r="Q67" s="559">
        <f t="shared" ref="Q67" si="194">SUM(Q73:Q82)</f>
        <v>0</v>
      </c>
      <c r="R67" s="555">
        <f t="shared" ref="R67" si="195">SUM(R73:R82)</f>
        <v>0</v>
      </c>
      <c r="S67" s="560">
        <f t="shared" ref="S67" si="196">SUM(S73:S82)</f>
        <v>0</v>
      </c>
      <c r="T67" s="561">
        <f t="shared" ref="T67" si="197">SUM(T73:T82)</f>
        <v>0</v>
      </c>
      <c r="U67" s="562">
        <f t="shared" ref="U67" si="198">SUM(U73:U82)</f>
        <v>0</v>
      </c>
      <c r="V67" s="562">
        <f t="shared" ref="V67" si="199">SUM(V73:V82)</f>
        <v>0</v>
      </c>
      <c r="W67" s="562">
        <f t="shared" ref="W67" si="200">SUM(W73:W82)</f>
        <v>0</v>
      </c>
      <c r="X67" s="563">
        <f t="shared" ref="X67" si="201">SUM(X73:X82)</f>
        <v>0</v>
      </c>
      <c r="Y67" s="564">
        <f t="shared" ref="Y67" si="202">SUM(Y73:Y82)</f>
        <v>0</v>
      </c>
      <c r="Z67" s="562">
        <f t="shared" ref="Z67" si="203">SUM(Z73:Z82)</f>
        <v>0</v>
      </c>
      <c r="AA67" s="562">
        <f t="shared" ref="AA67" si="204">SUM(AA73:AA82)</f>
        <v>0</v>
      </c>
      <c r="AB67" s="562">
        <f t="shared" ref="AB67" si="205">SUM(AB73:AB82)</f>
        <v>0</v>
      </c>
      <c r="AC67" s="562">
        <f t="shared" ref="AC67" si="206">SUM(AC73:AC82)</f>
        <v>0</v>
      </c>
      <c r="AD67" s="562">
        <f t="shared" ref="AD67" si="207">SUM(AD73:AD82)</f>
        <v>0</v>
      </c>
      <c r="AE67" s="562">
        <f t="shared" ref="AE67" si="208">SUM(AE73:AE82)</f>
        <v>0</v>
      </c>
      <c r="AF67" s="562">
        <f t="shared" ref="AF67" si="209">SUM(AF73:AF82)</f>
        <v>0</v>
      </c>
      <c r="AG67" s="562">
        <f t="shared" ref="AG67" si="210">SUM(AG73:AG82)</f>
        <v>0</v>
      </c>
      <c r="AH67" s="562">
        <f t="shared" ref="AH67" si="211">SUM(AH73:AH82)</f>
        <v>0</v>
      </c>
      <c r="AI67" s="562">
        <f t="shared" ref="AI67" si="212">SUM(AI73:AI82)</f>
        <v>0</v>
      </c>
      <c r="AJ67" s="563">
        <f t="shared" ref="AJ67" si="213">SUM(AJ73:AJ82)</f>
        <v>0</v>
      </c>
      <c r="AK67" s="500"/>
      <c r="AL67" s="500"/>
      <c r="AM67" s="500"/>
      <c r="AN67" s="500"/>
    </row>
    <row r="68" spans="1:40" s="1499" customFormat="1" ht="14.4" customHeight="1" outlineLevel="1">
      <c r="A68" s="500"/>
      <c r="B68" s="902"/>
      <c r="C68" s="527"/>
      <c r="D68" s="533" t="s">
        <v>3845</v>
      </c>
      <c r="E68" s="555"/>
      <c r="F68" s="1446"/>
      <c r="G68" s="1428"/>
      <c r="H68" s="555"/>
      <c r="I68" s="555"/>
      <c r="J68" s="1504"/>
      <c r="K68" s="1505"/>
      <c r="L68" s="1505"/>
      <c r="M68" s="1506"/>
      <c r="N68" s="1504"/>
      <c r="O68" s="1505"/>
      <c r="P68" s="1505"/>
      <c r="Q68" s="1506"/>
      <c r="R68" s="1502"/>
      <c r="S68" s="1498"/>
      <c r="T68" s="1507"/>
      <c r="U68" s="1496"/>
      <c r="V68" s="1496"/>
      <c r="W68" s="1496"/>
      <c r="X68" s="1508"/>
      <c r="Y68" s="1509"/>
      <c r="Z68" s="1496"/>
      <c r="AA68" s="1496"/>
      <c r="AB68" s="1496"/>
      <c r="AC68" s="1496"/>
      <c r="AD68" s="1496"/>
      <c r="AE68" s="1496"/>
      <c r="AF68" s="1496"/>
      <c r="AG68" s="1496"/>
      <c r="AH68" s="1496"/>
      <c r="AI68" s="1496"/>
      <c r="AJ68" s="1508"/>
      <c r="AK68" s="1501"/>
      <c r="AL68" s="1501"/>
      <c r="AM68" s="1501"/>
      <c r="AN68" s="1501"/>
    </row>
    <row r="69" spans="1:40" s="1499" customFormat="1" ht="14.4" customHeight="1" outlineLevel="1">
      <c r="A69" s="500"/>
      <c r="B69" s="902"/>
      <c r="C69" s="527"/>
      <c r="D69" s="533" t="s">
        <v>3846</v>
      </c>
      <c r="E69" s="555"/>
      <c r="F69" s="1446"/>
      <c r="G69" s="1428"/>
      <c r="H69" s="555"/>
      <c r="I69" s="555"/>
      <c r="J69" s="1504"/>
      <c r="K69" s="1505"/>
      <c r="L69" s="1505"/>
      <c r="M69" s="1506"/>
      <c r="N69" s="1504"/>
      <c r="O69" s="1505"/>
      <c r="P69" s="1505"/>
      <c r="Q69" s="1506"/>
      <c r="R69" s="1502"/>
      <c r="S69" s="1498"/>
      <c r="T69" s="1507"/>
      <c r="U69" s="1496"/>
      <c r="V69" s="1496"/>
      <c r="W69" s="1496"/>
      <c r="X69" s="1508"/>
      <c r="Y69" s="1509"/>
      <c r="Z69" s="1496"/>
      <c r="AA69" s="1496"/>
      <c r="AB69" s="1496"/>
      <c r="AC69" s="1496"/>
      <c r="AD69" s="1496"/>
      <c r="AE69" s="1496"/>
      <c r="AF69" s="1496"/>
      <c r="AG69" s="1496"/>
      <c r="AH69" s="1496"/>
      <c r="AI69" s="1496"/>
      <c r="AJ69" s="1508"/>
      <c r="AK69" s="1501"/>
      <c r="AL69" s="1501"/>
      <c r="AM69" s="1501"/>
      <c r="AN69" s="1501"/>
    </row>
    <row r="70" spans="1:40" s="1499" customFormat="1" ht="14.4" customHeight="1" outlineLevel="1">
      <c r="A70" s="500"/>
      <c r="B70" s="902"/>
      <c r="C70" s="527"/>
      <c r="D70" s="533" t="s">
        <v>3847</v>
      </c>
      <c r="E70" s="555"/>
      <c r="F70" s="1446"/>
      <c r="G70" s="1428"/>
      <c r="H70" s="555"/>
      <c r="I70" s="555"/>
      <c r="J70" s="1504"/>
      <c r="K70" s="1505"/>
      <c r="L70" s="1505"/>
      <c r="M70" s="1506"/>
      <c r="N70" s="1504"/>
      <c r="O70" s="1505"/>
      <c r="P70" s="1505"/>
      <c r="Q70" s="1506"/>
      <c r="R70" s="1502"/>
      <c r="S70" s="1498"/>
      <c r="T70" s="1507"/>
      <c r="U70" s="1496"/>
      <c r="V70" s="1496"/>
      <c r="W70" s="1496"/>
      <c r="X70" s="1508"/>
      <c r="Y70" s="1509"/>
      <c r="Z70" s="1496"/>
      <c r="AA70" s="1496"/>
      <c r="AB70" s="1496"/>
      <c r="AC70" s="1496"/>
      <c r="AD70" s="1496"/>
      <c r="AE70" s="1496"/>
      <c r="AF70" s="1496"/>
      <c r="AG70" s="1496"/>
      <c r="AH70" s="1496"/>
      <c r="AI70" s="1496"/>
      <c r="AJ70" s="1508"/>
      <c r="AK70" s="1501"/>
      <c r="AL70" s="1501"/>
      <c r="AM70" s="1501"/>
      <c r="AN70" s="1501"/>
    </row>
    <row r="71" spans="1:40" s="1499" customFormat="1" ht="14.4" customHeight="1" outlineLevel="1">
      <c r="A71" s="500"/>
      <c r="B71" s="902"/>
      <c r="C71" s="527"/>
      <c r="D71" s="533" t="s">
        <v>3848</v>
      </c>
      <c r="E71" s="555"/>
      <c r="F71" s="1446"/>
      <c r="G71" s="1428"/>
      <c r="H71" s="555"/>
      <c r="I71" s="555"/>
      <c r="J71" s="1504"/>
      <c r="K71" s="1505"/>
      <c r="L71" s="1505"/>
      <c r="M71" s="1506"/>
      <c r="N71" s="1504"/>
      <c r="O71" s="1505"/>
      <c r="P71" s="1505"/>
      <c r="Q71" s="1506"/>
      <c r="R71" s="1502"/>
      <c r="S71" s="1498"/>
      <c r="T71" s="1507"/>
      <c r="U71" s="1496"/>
      <c r="V71" s="1496"/>
      <c r="W71" s="1496"/>
      <c r="X71" s="1508"/>
      <c r="Y71" s="1509"/>
      <c r="Z71" s="1496"/>
      <c r="AA71" s="1496"/>
      <c r="AB71" s="1496"/>
      <c r="AC71" s="1496"/>
      <c r="AD71" s="1496"/>
      <c r="AE71" s="1496"/>
      <c r="AF71" s="1496"/>
      <c r="AG71" s="1496"/>
      <c r="AH71" s="1496"/>
      <c r="AI71" s="1496"/>
      <c r="AJ71" s="1508"/>
      <c r="AK71" s="1501"/>
      <c r="AL71" s="1501"/>
      <c r="AM71" s="1501"/>
      <c r="AN71" s="1501"/>
    </row>
    <row r="72" spans="1:40" s="1499" customFormat="1" ht="14.4" customHeight="1" outlineLevel="1">
      <c r="A72" s="500"/>
      <c r="B72" s="902"/>
      <c r="C72" s="527"/>
      <c r="D72" s="533" t="s">
        <v>3808</v>
      </c>
      <c r="E72" s="555"/>
      <c r="F72" s="1446"/>
      <c r="G72" s="1428"/>
      <c r="H72" s="555"/>
      <c r="I72" s="555"/>
      <c r="J72" s="1504"/>
      <c r="K72" s="1505"/>
      <c r="L72" s="1505"/>
      <c r="M72" s="1506"/>
      <c r="N72" s="1504"/>
      <c r="O72" s="1505"/>
      <c r="P72" s="1505"/>
      <c r="Q72" s="1506"/>
      <c r="R72" s="1502"/>
      <c r="S72" s="1498"/>
      <c r="T72" s="1507"/>
      <c r="U72" s="1496"/>
      <c r="V72" s="1496"/>
      <c r="W72" s="1496"/>
      <c r="X72" s="1508"/>
      <c r="Y72" s="1509"/>
      <c r="Z72" s="1496"/>
      <c r="AA72" s="1496"/>
      <c r="AB72" s="1496"/>
      <c r="AC72" s="1496"/>
      <c r="AD72" s="1496"/>
      <c r="AE72" s="1496"/>
      <c r="AF72" s="1496"/>
      <c r="AG72" s="1496"/>
      <c r="AH72" s="1496"/>
      <c r="AI72" s="1496"/>
      <c r="AJ72" s="1508"/>
      <c r="AK72" s="1501"/>
      <c r="AL72" s="1501"/>
      <c r="AM72" s="1501"/>
      <c r="AN72" s="1501"/>
    </row>
    <row r="73" spans="1:40" ht="14.4" customHeight="1" outlineLevel="1">
      <c r="B73" s="902"/>
      <c r="C73" s="527"/>
      <c r="D73" s="533" t="s">
        <v>2536</v>
      </c>
      <c r="E73" s="555"/>
      <c r="F73" s="1446">
        <v>50000000</v>
      </c>
      <c r="G73" s="1428"/>
      <c r="H73" s="555"/>
      <c r="I73" s="555"/>
      <c r="J73" s="557"/>
      <c r="K73" s="558"/>
      <c r="L73" s="558"/>
      <c r="M73" s="559"/>
      <c r="N73" s="557"/>
      <c r="O73" s="558"/>
      <c r="P73" s="558"/>
      <c r="Q73" s="559"/>
      <c r="R73" s="555"/>
      <c r="S73" s="560"/>
      <c r="T73" s="561"/>
      <c r="U73" s="562"/>
      <c r="V73" s="562"/>
      <c r="W73" s="562"/>
      <c r="X73" s="563"/>
      <c r="Y73" s="564"/>
      <c r="Z73" s="562"/>
      <c r="AA73" s="562"/>
      <c r="AB73" s="562"/>
      <c r="AC73" s="562"/>
      <c r="AD73" s="562"/>
      <c r="AE73" s="562"/>
      <c r="AF73" s="562"/>
      <c r="AG73" s="562"/>
      <c r="AH73" s="562"/>
      <c r="AI73" s="562"/>
      <c r="AJ73" s="563"/>
      <c r="AK73" s="500"/>
      <c r="AL73" s="500"/>
      <c r="AM73" s="500"/>
      <c r="AN73" s="500"/>
    </row>
    <row r="74" spans="1:40" ht="14.4" customHeight="1" outlineLevel="1">
      <c r="B74" s="902"/>
      <c r="C74" s="527"/>
      <c r="D74" s="533" t="s">
        <v>2537</v>
      </c>
      <c r="E74" s="555"/>
      <c r="F74" s="1446">
        <v>300000000</v>
      </c>
      <c r="G74" s="1428"/>
      <c r="H74" s="555"/>
      <c r="I74" s="555"/>
      <c r="J74" s="557"/>
      <c r="K74" s="558"/>
      <c r="L74" s="558"/>
      <c r="M74" s="559"/>
      <c r="N74" s="557"/>
      <c r="O74" s="558"/>
      <c r="P74" s="558"/>
      <c r="Q74" s="559"/>
      <c r="R74" s="555"/>
      <c r="S74" s="560"/>
      <c r="T74" s="561"/>
      <c r="U74" s="562"/>
      <c r="V74" s="562"/>
      <c r="W74" s="562"/>
      <c r="X74" s="563"/>
      <c r="Y74" s="564"/>
      <c r="Z74" s="562"/>
      <c r="AA74" s="562"/>
      <c r="AB74" s="562"/>
      <c r="AC74" s="562"/>
      <c r="AD74" s="562"/>
      <c r="AE74" s="562"/>
      <c r="AF74" s="562"/>
      <c r="AG74" s="562"/>
      <c r="AH74" s="562"/>
      <c r="AI74" s="562"/>
      <c r="AJ74" s="563"/>
      <c r="AK74" s="500"/>
      <c r="AL74" s="500"/>
      <c r="AM74" s="500"/>
      <c r="AN74" s="500"/>
    </row>
    <row r="75" spans="1:40" ht="14.4" customHeight="1" outlineLevel="1">
      <c r="B75" s="902"/>
      <c r="C75" s="527"/>
      <c r="D75" s="533" t="s">
        <v>2538</v>
      </c>
      <c r="E75" s="555"/>
      <c r="F75" s="1446">
        <v>0</v>
      </c>
      <c r="G75" s="1428"/>
      <c r="H75" s="555"/>
      <c r="I75" s="555"/>
      <c r="J75" s="557"/>
      <c r="K75" s="558"/>
      <c r="L75" s="558"/>
      <c r="M75" s="559"/>
      <c r="N75" s="557"/>
      <c r="O75" s="558"/>
      <c r="P75" s="558"/>
      <c r="Q75" s="559"/>
      <c r="R75" s="555"/>
      <c r="S75" s="560"/>
      <c r="T75" s="561"/>
      <c r="U75" s="562"/>
      <c r="V75" s="562"/>
      <c r="W75" s="562"/>
      <c r="X75" s="563"/>
      <c r="Y75" s="564"/>
      <c r="Z75" s="562"/>
      <c r="AA75" s="562"/>
      <c r="AB75" s="562"/>
      <c r="AC75" s="562"/>
      <c r="AD75" s="562"/>
      <c r="AE75" s="562"/>
      <c r="AF75" s="562"/>
      <c r="AG75" s="562"/>
      <c r="AH75" s="562"/>
      <c r="AI75" s="562"/>
      <c r="AJ75" s="563"/>
      <c r="AK75" s="500"/>
      <c r="AL75" s="500"/>
      <c r="AM75" s="500"/>
      <c r="AN75" s="500"/>
    </row>
    <row r="76" spans="1:40" ht="14.4" customHeight="1" outlineLevel="1">
      <c r="B76" s="902"/>
      <c r="C76" s="527"/>
      <c r="D76" s="533" t="s">
        <v>2539</v>
      </c>
      <c r="E76" s="555"/>
      <c r="F76" s="1446">
        <v>0</v>
      </c>
      <c r="G76" s="1428"/>
      <c r="H76" s="555"/>
      <c r="I76" s="555"/>
      <c r="J76" s="557"/>
      <c r="K76" s="558"/>
      <c r="L76" s="558"/>
      <c r="M76" s="559"/>
      <c r="N76" s="557"/>
      <c r="O76" s="558"/>
      <c r="P76" s="558"/>
      <c r="Q76" s="559"/>
      <c r="R76" s="555"/>
      <c r="S76" s="560"/>
      <c r="T76" s="561"/>
      <c r="U76" s="562"/>
      <c r="V76" s="562"/>
      <c r="W76" s="562"/>
      <c r="X76" s="563"/>
      <c r="Y76" s="564"/>
      <c r="Z76" s="562"/>
      <c r="AA76" s="562"/>
      <c r="AB76" s="562"/>
      <c r="AC76" s="562"/>
      <c r="AD76" s="562"/>
      <c r="AE76" s="562"/>
      <c r="AF76" s="562"/>
      <c r="AG76" s="562"/>
      <c r="AH76" s="562"/>
      <c r="AI76" s="562"/>
      <c r="AJ76" s="563"/>
      <c r="AK76" s="500"/>
      <c r="AL76" s="500"/>
      <c r="AM76" s="500"/>
      <c r="AN76" s="500"/>
    </row>
    <row r="77" spans="1:40" ht="14.4" customHeight="1" outlineLevel="1">
      <c r="B77" s="902"/>
      <c r="C77" s="527"/>
      <c r="D77" s="533" t="s">
        <v>2544</v>
      </c>
      <c r="E77" s="555"/>
      <c r="F77" s="1446">
        <v>80000000</v>
      </c>
      <c r="G77" s="1428"/>
      <c r="H77" s="555"/>
      <c r="I77" s="555"/>
      <c r="J77" s="557"/>
      <c r="K77" s="558"/>
      <c r="L77" s="558"/>
      <c r="M77" s="559"/>
      <c r="N77" s="557"/>
      <c r="O77" s="558"/>
      <c r="P77" s="558"/>
      <c r="Q77" s="559"/>
      <c r="R77" s="555"/>
      <c r="S77" s="560"/>
      <c r="T77" s="561"/>
      <c r="U77" s="562"/>
      <c r="V77" s="562"/>
      <c r="W77" s="562"/>
      <c r="X77" s="563"/>
      <c r="Y77" s="564"/>
      <c r="Z77" s="562"/>
      <c r="AA77" s="562"/>
      <c r="AB77" s="562"/>
      <c r="AC77" s="562"/>
      <c r="AD77" s="562"/>
      <c r="AE77" s="562"/>
      <c r="AF77" s="562"/>
      <c r="AG77" s="562"/>
      <c r="AH77" s="562"/>
      <c r="AI77" s="562"/>
      <c r="AJ77" s="563"/>
      <c r="AK77" s="500"/>
      <c r="AL77" s="500"/>
      <c r="AM77" s="500"/>
      <c r="AN77" s="500"/>
    </row>
    <row r="78" spans="1:40" ht="14.4" customHeight="1" outlineLevel="1">
      <c r="B78" s="902"/>
      <c r="C78" s="527"/>
      <c r="D78" s="533" t="s">
        <v>78</v>
      </c>
      <c r="E78" s="555"/>
      <c r="F78" s="1446">
        <v>40000000</v>
      </c>
      <c r="G78" s="1428"/>
      <c r="H78" s="555"/>
      <c r="I78" s="555"/>
      <c r="J78" s="557"/>
      <c r="K78" s="558"/>
      <c r="L78" s="558"/>
      <c r="M78" s="559"/>
      <c r="N78" s="557"/>
      <c r="O78" s="558"/>
      <c r="P78" s="558"/>
      <c r="Q78" s="559"/>
      <c r="R78" s="555"/>
      <c r="S78" s="560"/>
      <c r="T78" s="561"/>
      <c r="U78" s="562"/>
      <c r="V78" s="562"/>
      <c r="W78" s="562"/>
      <c r="X78" s="563"/>
      <c r="Y78" s="564"/>
      <c r="Z78" s="562"/>
      <c r="AA78" s="562"/>
      <c r="AB78" s="562"/>
      <c r="AC78" s="562"/>
      <c r="AD78" s="562"/>
      <c r="AE78" s="562"/>
      <c r="AF78" s="562"/>
      <c r="AG78" s="562"/>
      <c r="AH78" s="562"/>
      <c r="AI78" s="562"/>
      <c r="AJ78" s="563"/>
      <c r="AK78" s="500"/>
      <c r="AL78" s="500"/>
      <c r="AM78" s="500"/>
      <c r="AN78" s="500"/>
    </row>
    <row r="79" spans="1:40" ht="14.4" customHeight="1" outlineLevel="1">
      <c r="B79" s="902"/>
      <c r="C79" s="527"/>
      <c r="D79" s="533" t="s">
        <v>122</v>
      </c>
      <c r="E79" s="555"/>
      <c r="F79" s="1446">
        <v>0</v>
      </c>
      <c r="G79" s="1428"/>
      <c r="H79" s="555"/>
      <c r="I79" s="555"/>
      <c r="J79" s="557"/>
      <c r="K79" s="558"/>
      <c r="L79" s="558"/>
      <c r="M79" s="559"/>
      <c r="N79" s="557"/>
      <c r="O79" s="558"/>
      <c r="P79" s="558"/>
      <c r="Q79" s="559"/>
      <c r="R79" s="555"/>
      <c r="S79" s="560"/>
      <c r="T79" s="561"/>
      <c r="U79" s="562"/>
      <c r="V79" s="562"/>
      <c r="W79" s="562"/>
      <c r="X79" s="563"/>
      <c r="Y79" s="564"/>
      <c r="Z79" s="562"/>
      <c r="AA79" s="562"/>
      <c r="AB79" s="562"/>
      <c r="AC79" s="562"/>
      <c r="AD79" s="562"/>
      <c r="AE79" s="562"/>
      <c r="AF79" s="562"/>
      <c r="AG79" s="562"/>
      <c r="AH79" s="562"/>
      <c r="AI79" s="562"/>
      <c r="AJ79" s="563"/>
      <c r="AK79" s="500"/>
      <c r="AL79" s="500"/>
      <c r="AM79" s="500"/>
      <c r="AN79" s="500"/>
    </row>
    <row r="80" spans="1:40" ht="14.4" customHeight="1" outlineLevel="1">
      <c r="B80" s="902"/>
      <c r="C80" s="527"/>
      <c r="D80" s="533" t="s">
        <v>117</v>
      </c>
      <c r="E80" s="555"/>
      <c r="F80" s="1446">
        <v>0</v>
      </c>
      <c r="G80" s="1428"/>
      <c r="H80" s="555"/>
      <c r="I80" s="555"/>
      <c r="J80" s="557"/>
      <c r="K80" s="558"/>
      <c r="L80" s="558"/>
      <c r="M80" s="559"/>
      <c r="N80" s="557"/>
      <c r="O80" s="558"/>
      <c r="P80" s="558"/>
      <c r="Q80" s="559"/>
      <c r="R80" s="555"/>
      <c r="S80" s="560"/>
      <c r="T80" s="561"/>
      <c r="U80" s="562"/>
      <c r="V80" s="562"/>
      <c r="W80" s="562"/>
      <c r="X80" s="563"/>
      <c r="Y80" s="564"/>
      <c r="Z80" s="562"/>
      <c r="AA80" s="562"/>
      <c r="AB80" s="562"/>
      <c r="AC80" s="562"/>
      <c r="AD80" s="562"/>
      <c r="AE80" s="562"/>
      <c r="AF80" s="562"/>
      <c r="AG80" s="562"/>
      <c r="AH80" s="562"/>
      <c r="AI80" s="562"/>
      <c r="AJ80" s="563"/>
      <c r="AK80" s="500"/>
      <c r="AL80" s="500"/>
      <c r="AM80" s="500"/>
      <c r="AN80" s="500"/>
    </row>
    <row r="81" spans="1:40" ht="14.4" customHeight="1" outlineLevel="1">
      <c r="B81" s="902"/>
      <c r="C81" s="527"/>
      <c r="D81" s="533" t="s">
        <v>2540</v>
      </c>
      <c r="E81" s="555"/>
      <c r="F81" s="1446">
        <v>0</v>
      </c>
      <c r="G81" s="1428"/>
      <c r="H81" s="555"/>
      <c r="I81" s="555"/>
      <c r="J81" s="557"/>
      <c r="K81" s="558"/>
      <c r="L81" s="558"/>
      <c r="M81" s="559"/>
      <c r="N81" s="557"/>
      <c r="O81" s="558"/>
      <c r="P81" s="558"/>
      <c r="Q81" s="559"/>
      <c r="R81" s="555"/>
      <c r="S81" s="560"/>
      <c r="T81" s="561"/>
      <c r="U81" s="562"/>
      <c r="V81" s="562"/>
      <c r="W81" s="562"/>
      <c r="X81" s="563"/>
      <c r="Y81" s="564"/>
      <c r="Z81" s="562"/>
      <c r="AA81" s="562"/>
      <c r="AB81" s="562"/>
      <c r="AC81" s="562"/>
      <c r="AD81" s="562"/>
      <c r="AE81" s="562"/>
      <c r="AF81" s="562"/>
      <c r="AG81" s="562"/>
      <c r="AH81" s="562"/>
      <c r="AI81" s="562"/>
      <c r="AJ81" s="563"/>
      <c r="AK81" s="500"/>
      <c r="AL81" s="500"/>
      <c r="AM81" s="500"/>
      <c r="AN81" s="500"/>
    </row>
    <row r="82" spans="1:40" ht="14.4" customHeight="1" outlineLevel="1">
      <c r="B82" s="902"/>
      <c r="C82" s="527"/>
      <c r="D82" s="533" t="s">
        <v>583</v>
      </c>
      <c r="E82" s="555"/>
      <c r="F82" s="1446">
        <v>0</v>
      </c>
      <c r="G82" s="1428"/>
      <c r="H82" s="555"/>
      <c r="I82" s="555"/>
      <c r="J82" s="557"/>
      <c r="K82" s="558"/>
      <c r="L82" s="558"/>
      <c r="M82" s="559"/>
      <c r="N82" s="557"/>
      <c r="O82" s="558"/>
      <c r="P82" s="558"/>
      <c r="Q82" s="559"/>
      <c r="R82" s="555"/>
      <c r="S82" s="560"/>
      <c r="T82" s="561"/>
      <c r="U82" s="562"/>
      <c r="V82" s="562"/>
      <c r="W82" s="562"/>
      <c r="X82" s="563"/>
      <c r="Y82" s="564"/>
      <c r="Z82" s="562"/>
      <c r="AA82" s="562"/>
      <c r="AB82" s="562"/>
      <c r="AC82" s="562"/>
      <c r="AD82" s="562"/>
      <c r="AE82" s="562"/>
      <c r="AF82" s="562"/>
      <c r="AG82" s="562"/>
      <c r="AH82" s="562"/>
      <c r="AI82" s="562"/>
      <c r="AJ82" s="563"/>
      <c r="AK82" s="500"/>
      <c r="AL82" s="500"/>
      <c r="AM82" s="500"/>
      <c r="AN82" s="500"/>
    </row>
    <row r="83" spans="1:40" ht="14.4" customHeight="1" outlineLevel="1">
      <c r="B83" s="902"/>
      <c r="C83" s="527" t="s">
        <v>2626</v>
      </c>
      <c r="D83" s="528" t="s">
        <v>2645</v>
      </c>
      <c r="E83" s="555"/>
      <c r="F83" s="1446">
        <v>0</v>
      </c>
      <c r="G83" s="1428"/>
      <c r="H83" s="555"/>
      <c r="I83" s="555"/>
      <c r="J83" s="557"/>
      <c r="K83" s="558"/>
      <c r="L83" s="558"/>
      <c r="M83" s="559"/>
      <c r="N83" s="557"/>
      <c r="O83" s="558"/>
      <c r="P83" s="558"/>
      <c r="Q83" s="559"/>
      <c r="R83" s="555"/>
      <c r="S83" s="560"/>
      <c r="T83" s="561"/>
      <c r="U83" s="562"/>
      <c r="V83" s="562"/>
      <c r="W83" s="562"/>
      <c r="X83" s="563"/>
      <c r="Y83" s="564"/>
      <c r="Z83" s="562"/>
      <c r="AA83" s="562"/>
      <c r="AB83" s="562"/>
      <c r="AC83" s="562"/>
      <c r="AD83" s="562"/>
      <c r="AE83" s="562"/>
      <c r="AF83" s="562"/>
      <c r="AG83" s="562"/>
      <c r="AH83" s="562"/>
      <c r="AI83" s="562"/>
      <c r="AJ83" s="563"/>
      <c r="AK83" s="500"/>
      <c r="AL83" s="500"/>
      <c r="AM83" s="500"/>
      <c r="AN83" s="500"/>
    </row>
    <row r="84" spans="1:40" ht="14.4" customHeight="1" outlineLevel="1" thickBot="1">
      <c r="B84" s="904"/>
      <c r="C84" s="548"/>
      <c r="D84" s="549" t="s">
        <v>2661</v>
      </c>
      <c r="E84" s="550"/>
      <c r="F84" s="1449">
        <f t="shared" ref="F84:AJ84" si="214">F66+F67+F83</f>
        <v>470000000</v>
      </c>
      <c r="G84" s="1430">
        <f t="shared" si="214"/>
        <v>0</v>
      </c>
      <c r="H84" s="549">
        <f t="shared" si="214"/>
        <v>0</v>
      </c>
      <c r="I84" s="549">
        <f t="shared" si="214"/>
        <v>0</v>
      </c>
      <c r="J84" s="551">
        <f t="shared" si="214"/>
        <v>0</v>
      </c>
      <c r="K84" s="552">
        <f t="shared" si="214"/>
        <v>0</v>
      </c>
      <c r="L84" s="552">
        <f t="shared" si="214"/>
        <v>0</v>
      </c>
      <c r="M84" s="553">
        <f t="shared" si="214"/>
        <v>0</v>
      </c>
      <c r="N84" s="551">
        <f t="shared" si="214"/>
        <v>0</v>
      </c>
      <c r="O84" s="552">
        <f t="shared" si="214"/>
        <v>0</v>
      </c>
      <c r="P84" s="552">
        <f t="shared" si="214"/>
        <v>0</v>
      </c>
      <c r="Q84" s="553">
        <f t="shared" si="214"/>
        <v>0</v>
      </c>
      <c r="R84" s="554">
        <f t="shared" si="214"/>
        <v>0</v>
      </c>
      <c r="S84" s="541">
        <f t="shared" si="214"/>
        <v>0</v>
      </c>
      <c r="T84" s="542">
        <f t="shared" si="214"/>
        <v>0</v>
      </c>
      <c r="U84" s="543">
        <f t="shared" si="214"/>
        <v>0</v>
      </c>
      <c r="V84" s="543">
        <f t="shared" si="214"/>
        <v>0</v>
      </c>
      <c r="W84" s="543">
        <f t="shared" si="214"/>
        <v>0</v>
      </c>
      <c r="X84" s="544">
        <f t="shared" si="214"/>
        <v>0</v>
      </c>
      <c r="Y84" s="545">
        <f t="shared" si="214"/>
        <v>0</v>
      </c>
      <c r="Z84" s="543">
        <f t="shared" si="214"/>
        <v>0</v>
      </c>
      <c r="AA84" s="543">
        <f t="shared" si="214"/>
        <v>0</v>
      </c>
      <c r="AB84" s="543">
        <f t="shared" si="214"/>
        <v>0</v>
      </c>
      <c r="AC84" s="543">
        <f t="shared" si="214"/>
        <v>0</v>
      </c>
      <c r="AD84" s="543">
        <f t="shared" si="214"/>
        <v>0</v>
      </c>
      <c r="AE84" s="543">
        <f t="shared" si="214"/>
        <v>0</v>
      </c>
      <c r="AF84" s="543">
        <f t="shared" si="214"/>
        <v>0</v>
      </c>
      <c r="AG84" s="543">
        <f t="shared" si="214"/>
        <v>0</v>
      </c>
      <c r="AH84" s="543">
        <f t="shared" si="214"/>
        <v>0</v>
      </c>
      <c r="AI84" s="543">
        <f t="shared" si="214"/>
        <v>0</v>
      </c>
      <c r="AJ84" s="544">
        <f t="shared" si="214"/>
        <v>0</v>
      </c>
      <c r="AK84" s="500"/>
      <c r="AL84" s="500"/>
      <c r="AM84" s="500"/>
      <c r="AN84" s="500"/>
    </row>
    <row r="85" spans="1:40" ht="14.4" customHeight="1" collapsed="1" thickTop="1">
      <c r="B85" s="901"/>
      <c r="C85" s="546" t="s">
        <v>2627</v>
      </c>
      <c r="D85" s="547" t="s">
        <v>2659</v>
      </c>
      <c r="E85" s="526"/>
      <c r="F85" s="1448">
        <f>F89</f>
        <v>0</v>
      </c>
      <c r="G85" s="1427">
        <f t="shared" ref="G85:I85" si="215">G89</f>
        <v>0</v>
      </c>
      <c r="H85" s="526">
        <f t="shared" si="215"/>
        <v>0</v>
      </c>
      <c r="I85" s="526">
        <f t="shared" si="215"/>
        <v>0</v>
      </c>
      <c r="J85" s="530">
        <f t="shared" ref="J85:AJ85" si="216">J89</f>
        <v>0</v>
      </c>
      <c r="K85" s="531">
        <f t="shared" si="216"/>
        <v>0</v>
      </c>
      <c r="L85" s="531">
        <f t="shared" si="216"/>
        <v>0</v>
      </c>
      <c r="M85" s="532">
        <f t="shared" si="216"/>
        <v>0</v>
      </c>
      <c r="N85" s="530">
        <f t="shared" si="216"/>
        <v>0</v>
      </c>
      <c r="O85" s="531">
        <f t="shared" si="216"/>
        <v>0</v>
      </c>
      <c r="P85" s="531">
        <f t="shared" si="216"/>
        <v>0</v>
      </c>
      <c r="Q85" s="532">
        <f t="shared" si="216"/>
        <v>0</v>
      </c>
      <c r="R85" s="526">
        <f t="shared" si="216"/>
        <v>0</v>
      </c>
      <c r="S85" s="507">
        <f t="shared" si="216"/>
        <v>0</v>
      </c>
      <c r="T85" s="510">
        <f t="shared" si="216"/>
        <v>0</v>
      </c>
      <c r="U85" s="511">
        <f t="shared" si="216"/>
        <v>0</v>
      </c>
      <c r="V85" s="511">
        <f t="shared" si="216"/>
        <v>0</v>
      </c>
      <c r="W85" s="511">
        <f t="shared" si="216"/>
        <v>0</v>
      </c>
      <c r="X85" s="509">
        <f t="shared" si="216"/>
        <v>0</v>
      </c>
      <c r="Y85" s="512">
        <f t="shared" si="216"/>
        <v>0</v>
      </c>
      <c r="Z85" s="511">
        <f t="shared" si="216"/>
        <v>0</v>
      </c>
      <c r="AA85" s="511">
        <f t="shared" si="216"/>
        <v>0</v>
      </c>
      <c r="AB85" s="511">
        <f t="shared" si="216"/>
        <v>0</v>
      </c>
      <c r="AC85" s="511">
        <f t="shared" si="216"/>
        <v>0</v>
      </c>
      <c r="AD85" s="511">
        <f t="shared" si="216"/>
        <v>0</v>
      </c>
      <c r="AE85" s="511">
        <f t="shared" si="216"/>
        <v>0</v>
      </c>
      <c r="AF85" s="511">
        <f t="shared" si="216"/>
        <v>0</v>
      </c>
      <c r="AG85" s="511">
        <f t="shared" si="216"/>
        <v>0</v>
      </c>
      <c r="AH85" s="511">
        <f t="shared" si="216"/>
        <v>0</v>
      </c>
      <c r="AI85" s="511">
        <f t="shared" si="216"/>
        <v>0</v>
      </c>
      <c r="AJ85" s="509">
        <f t="shared" si="216"/>
        <v>0</v>
      </c>
      <c r="AK85" s="500"/>
      <c r="AL85" s="500"/>
      <c r="AM85" s="500"/>
      <c r="AN85" s="500"/>
    </row>
    <row r="86" spans="1:40" ht="14.4" hidden="1" customHeight="1" outlineLevel="1">
      <c r="B86" s="902"/>
      <c r="C86" s="527" t="s">
        <v>2628</v>
      </c>
      <c r="D86" s="528" t="s">
        <v>2646</v>
      </c>
      <c r="E86" s="555"/>
      <c r="F86" s="1446"/>
      <c r="G86" s="1428"/>
      <c r="H86" s="555"/>
      <c r="I86" s="555"/>
      <c r="J86" s="557"/>
      <c r="K86" s="558"/>
      <c r="L86" s="558"/>
      <c r="M86" s="559"/>
      <c r="N86" s="557"/>
      <c r="O86" s="558"/>
      <c r="P86" s="558"/>
      <c r="Q86" s="559"/>
      <c r="R86" s="555"/>
      <c r="S86" s="560"/>
      <c r="T86" s="561"/>
      <c r="U86" s="562"/>
      <c r="V86" s="562"/>
      <c r="W86" s="562"/>
      <c r="X86" s="563"/>
      <c r="Y86" s="564"/>
      <c r="Z86" s="562"/>
      <c r="AA86" s="562"/>
      <c r="AB86" s="562"/>
      <c r="AC86" s="562"/>
      <c r="AD86" s="562"/>
      <c r="AE86" s="562"/>
      <c r="AF86" s="562"/>
      <c r="AG86" s="562"/>
      <c r="AH86" s="562"/>
      <c r="AI86" s="562"/>
      <c r="AJ86" s="563"/>
      <c r="AK86" s="500"/>
      <c r="AL86" s="500"/>
      <c r="AM86" s="500"/>
      <c r="AN86" s="500"/>
    </row>
    <row r="87" spans="1:40" ht="14.4" hidden="1" customHeight="1" outlineLevel="1">
      <c r="B87" s="902"/>
      <c r="C87" s="527" t="s">
        <v>2629</v>
      </c>
      <c r="D87" s="528" t="s">
        <v>2647</v>
      </c>
      <c r="E87" s="555"/>
      <c r="F87" s="1446"/>
      <c r="G87" s="1428"/>
      <c r="H87" s="555"/>
      <c r="I87" s="555"/>
      <c r="J87" s="557"/>
      <c r="K87" s="558"/>
      <c r="L87" s="558"/>
      <c r="M87" s="559"/>
      <c r="N87" s="557"/>
      <c r="O87" s="558"/>
      <c r="P87" s="558"/>
      <c r="Q87" s="559"/>
      <c r="R87" s="555"/>
      <c r="S87" s="560"/>
      <c r="T87" s="561"/>
      <c r="U87" s="562"/>
      <c r="V87" s="562"/>
      <c r="W87" s="562"/>
      <c r="X87" s="563"/>
      <c r="Y87" s="564"/>
      <c r="Z87" s="562"/>
      <c r="AA87" s="562"/>
      <c r="AB87" s="562"/>
      <c r="AC87" s="562"/>
      <c r="AD87" s="562"/>
      <c r="AE87" s="562"/>
      <c r="AF87" s="562"/>
      <c r="AG87" s="562"/>
      <c r="AH87" s="562"/>
      <c r="AI87" s="562"/>
      <c r="AJ87" s="563"/>
      <c r="AK87" s="500"/>
      <c r="AL87" s="500"/>
      <c r="AM87" s="500"/>
      <c r="AN87" s="500"/>
    </row>
    <row r="88" spans="1:40" ht="14.4" hidden="1" customHeight="1" outlineLevel="1">
      <c r="B88" s="902"/>
      <c r="C88" s="527" t="s">
        <v>2630</v>
      </c>
      <c r="D88" s="528" t="s">
        <v>2648</v>
      </c>
      <c r="E88" s="555"/>
      <c r="F88" s="1446"/>
      <c r="G88" s="1428"/>
      <c r="H88" s="555"/>
      <c r="I88" s="555"/>
      <c r="J88" s="557"/>
      <c r="K88" s="558"/>
      <c r="L88" s="558"/>
      <c r="M88" s="559"/>
      <c r="N88" s="557"/>
      <c r="O88" s="558"/>
      <c r="P88" s="558"/>
      <c r="Q88" s="559"/>
      <c r="R88" s="555"/>
      <c r="S88" s="560"/>
      <c r="T88" s="561"/>
      <c r="U88" s="562"/>
      <c r="V88" s="562"/>
      <c r="W88" s="562"/>
      <c r="X88" s="563"/>
      <c r="Y88" s="564"/>
      <c r="Z88" s="562"/>
      <c r="AA88" s="562"/>
      <c r="AB88" s="562"/>
      <c r="AC88" s="562"/>
      <c r="AD88" s="562"/>
      <c r="AE88" s="562"/>
      <c r="AF88" s="562"/>
      <c r="AG88" s="562"/>
      <c r="AH88" s="562"/>
      <c r="AI88" s="562"/>
      <c r="AJ88" s="563"/>
      <c r="AK88" s="500"/>
      <c r="AL88" s="500"/>
      <c r="AM88" s="500"/>
      <c r="AN88" s="500"/>
    </row>
    <row r="89" spans="1:40" ht="14.4" hidden="1" customHeight="1" outlineLevel="1" thickBot="1">
      <c r="B89" s="904"/>
      <c r="C89" s="548"/>
      <c r="D89" s="549" t="s">
        <v>2662</v>
      </c>
      <c r="E89" s="550"/>
      <c r="F89" s="1449">
        <f>SUM(F86:F88)</f>
        <v>0</v>
      </c>
      <c r="G89" s="1430">
        <f t="shared" ref="G89:I89" si="217">SUM(G86:G88)</f>
        <v>0</v>
      </c>
      <c r="H89" s="549">
        <f t="shared" si="217"/>
        <v>0</v>
      </c>
      <c r="I89" s="549">
        <f t="shared" si="217"/>
        <v>0</v>
      </c>
      <c r="J89" s="551">
        <f t="shared" ref="J89" si="218">SUM(J86:J88)</f>
        <v>0</v>
      </c>
      <c r="K89" s="552">
        <f t="shared" ref="K89" si="219">SUM(K86:K88)</f>
        <v>0</v>
      </c>
      <c r="L89" s="552">
        <f t="shared" ref="L89" si="220">SUM(L86:L88)</f>
        <v>0</v>
      </c>
      <c r="M89" s="553">
        <f t="shared" ref="M89" si="221">SUM(M86:M88)</f>
        <v>0</v>
      </c>
      <c r="N89" s="551">
        <f t="shared" ref="N89" si="222">SUM(N86:N88)</f>
        <v>0</v>
      </c>
      <c r="O89" s="552">
        <f t="shared" ref="O89" si="223">SUM(O86:O88)</f>
        <v>0</v>
      </c>
      <c r="P89" s="552">
        <f t="shared" ref="P89" si="224">SUM(P86:P88)</f>
        <v>0</v>
      </c>
      <c r="Q89" s="553">
        <f t="shared" ref="Q89" si="225">SUM(Q86:Q88)</f>
        <v>0</v>
      </c>
      <c r="R89" s="554">
        <f t="shared" ref="R89" si="226">SUM(R86:R88)</f>
        <v>0</v>
      </c>
      <c r="S89" s="541">
        <f t="shared" ref="S89" si="227">SUM(S86:S88)</f>
        <v>0</v>
      </c>
      <c r="T89" s="542">
        <f t="shared" ref="T89" si="228">SUM(T86:T88)</f>
        <v>0</v>
      </c>
      <c r="U89" s="543">
        <f t="shared" ref="U89" si="229">SUM(U86:U88)</f>
        <v>0</v>
      </c>
      <c r="V89" s="543">
        <f t="shared" ref="V89" si="230">SUM(V86:V88)</f>
        <v>0</v>
      </c>
      <c r="W89" s="543">
        <f t="shared" ref="W89" si="231">SUM(W86:W88)</f>
        <v>0</v>
      </c>
      <c r="X89" s="544">
        <f t="shared" ref="X89" si="232">SUM(X86:X88)</f>
        <v>0</v>
      </c>
      <c r="Y89" s="545">
        <f t="shared" ref="Y89" si="233">SUM(Y86:Y88)</f>
        <v>0</v>
      </c>
      <c r="Z89" s="543">
        <f t="shared" ref="Z89" si="234">SUM(Z86:Z88)</f>
        <v>0</v>
      </c>
      <c r="AA89" s="543">
        <f t="shared" ref="AA89" si="235">SUM(AA86:AA88)</f>
        <v>0</v>
      </c>
      <c r="AB89" s="543">
        <f t="shared" ref="AB89" si="236">SUM(AB86:AB88)</f>
        <v>0</v>
      </c>
      <c r="AC89" s="543">
        <f t="shared" ref="AC89" si="237">SUM(AC86:AC88)</f>
        <v>0</v>
      </c>
      <c r="AD89" s="543">
        <f t="shared" ref="AD89" si="238">SUM(AD86:AD88)</f>
        <v>0</v>
      </c>
      <c r="AE89" s="543">
        <f t="shared" ref="AE89" si="239">SUM(AE86:AE88)</f>
        <v>0</v>
      </c>
      <c r="AF89" s="543">
        <f t="shared" ref="AF89" si="240">SUM(AF86:AF88)</f>
        <v>0</v>
      </c>
      <c r="AG89" s="543">
        <f t="shared" ref="AG89" si="241">SUM(AG86:AG88)</f>
        <v>0</v>
      </c>
      <c r="AH89" s="543">
        <f t="shared" ref="AH89" si="242">SUM(AH86:AH88)</f>
        <v>0</v>
      </c>
      <c r="AI89" s="543">
        <f t="shared" ref="AI89" si="243">SUM(AI86:AI88)</f>
        <v>0</v>
      </c>
      <c r="AJ89" s="544">
        <f t="shared" ref="AJ89" si="244">SUM(AJ86:AJ88)</f>
        <v>0</v>
      </c>
      <c r="AK89" s="500"/>
      <c r="AL89" s="500"/>
      <c r="AM89" s="500"/>
      <c r="AN89" s="500"/>
    </row>
    <row r="90" spans="1:40" ht="14.4" customHeight="1" collapsed="1" thickBot="1">
      <c r="B90" s="901"/>
      <c r="C90" s="546" t="s">
        <v>2631</v>
      </c>
      <c r="D90" s="547" t="s">
        <v>2658</v>
      </c>
      <c r="E90" s="526"/>
      <c r="F90" s="1448">
        <f>F94</f>
        <v>0</v>
      </c>
      <c r="G90" s="1427">
        <f t="shared" ref="G90:I90" si="245">G94</f>
        <v>0</v>
      </c>
      <c r="H90" s="526">
        <f t="shared" si="245"/>
        <v>0</v>
      </c>
      <c r="I90" s="526">
        <f t="shared" si="245"/>
        <v>0</v>
      </c>
      <c r="J90" s="530">
        <f t="shared" ref="J90:AJ90" si="246">J94</f>
        <v>0</v>
      </c>
      <c r="K90" s="531">
        <f t="shared" si="246"/>
        <v>0</v>
      </c>
      <c r="L90" s="531">
        <f t="shared" si="246"/>
        <v>0</v>
      </c>
      <c r="M90" s="532">
        <f t="shared" si="246"/>
        <v>0</v>
      </c>
      <c r="N90" s="530">
        <f t="shared" si="246"/>
        <v>0</v>
      </c>
      <c r="O90" s="531">
        <f t="shared" si="246"/>
        <v>0</v>
      </c>
      <c r="P90" s="531">
        <f t="shared" si="246"/>
        <v>0</v>
      </c>
      <c r="Q90" s="532">
        <f t="shared" si="246"/>
        <v>0</v>
      </c>
      <c r="R90" s="526">
        <f t="shared" si="246"/>
        <v>0</v>
      </c>
      <c r="S90" s="507">
        <f t="shared" si="246"/>
        <v>0</v>
      </c>
      <c r="T90" s="510">
        <f t="shared" si="246"/>
        <v>0</v>
      </c>
      <c r="U90" s="511">
        <f t="shared" si="246"/>
        <v>0</v>
      </c>
      <c r="V90" s="511">
        <f t="shared" si="246"/>
        <v>0</v>
      </c>
      <c r="W90" s="511">
        <f t="shared" si="246"/>
        <v>0</v>
      </c>
      <c r="X90" s="509">
        <f t="shared" si="246"/>
        <v>0</v>
      </c>
      <c r="Y90" s="512">
        <f t="shared" si="246"/>
        <v>0</v>
      </c>
      <c r="Z90" s="511">
        <f t="shared" si="246"/>
        <v>0</v>
      </c>
      <c r="AA90" s="511">
        <f t="shared" si="246"/>
        <v>0</v>
      </c>
      <c r="AB90" s="511">
        <f t="shared" si="246"/>
        <v>0</v>
      </c>
      <c r="AC90" s="511">
        <f t="shared" si="246"/>
        <v>0</v>
      </c>
      <c r="AD90" s="511">
        <f t="shared" si="246"/>
        <v>0</v>
      </c>
      <c r="AE90" s="511">
        <f t="shared" si="246"/>
        <v>0</v>
      </c>
      <c r="AF90" s="511">
        <f t="shared" si="246"/>
        <v>0</v>
      </c>
      <c r="AG90" s="511">
        <f t="shared" si="246"/>
        <v>0</v>
      </c>
      <c r="AH90" s="511">
        <f t="shared" si="246"/>
        <v>0</v>
      </c>
      <c r="AI90" s="511">
        <f t="shared" si="246"/>
        <v>0</v>
      </c>
      <c r="AJ90" s="509">
        <f t="shared" si="246"/>
        <v>0</v>
      </c>
      <c r="AK90" s="500"/>
      <c r="AL90" s="500"/>
      <c r="AM90" s="500"/>
      <c r="AN90" s="500"/>
    </row>
    <row r="91" spans="1:40" ht="14.4" hidden="1" customHeight="1" outlineLevel="1">
      <c r="B91" s="902"/>
      <c r="C91" s="527" t="s">
        <v>2632</v>
      </c>
      <c r="D91" s="528" t="s">
        <v>2649</v>
      </c>
      <c r="E91" s="555"/>
      <c r="F91" s="1446"/>
      <c r="G91" s="1428"/>
      <c r="H91" s="555"/>
      <c r="I91" s="555"/>
      <c r="J91" s="557"/>
      <c r="K91" s="558"/>
      <c r="L91" s="558"/>
      <c r="M91" s="559"/>
      <c r="N91" s="557"/>
      <c r="O91" s="558"/>
      <c r="P91" s="558"/>
      <c r="Q91" s="559"/>
      <c r="R91" s="555"/>
      <c r="S91" s="560"/>
      <c r="T91" s="561"/>
      <c r="U91" s="562"/>
      <c r="V91" s="562"/>
      <c r="W91" s="562"/>
      <c r="X91" s="563"/>
      <c r="Y91" s="564"/>
      <c r="Z91" s="562"/>
      <c r="AA91" s="562"/>
      <c r="AB91" s="562"/>
      <c r="AC91" s="562"/>
      <c r="AD91" s="562"/>
      <c r="AE91" s="562"/>
      <c r="AF91" s="562"/>
      <c r="AG91" s="562"/>
      <c r="AH91" s="562"/>
      <c r="AI91" s="562"/>
      <c r="AJ91" s="563"/>
      <c r="AK91" s="500"/>
      <c r="AL91" s="500"/>
      <c r="AM91" s="500"/>
      <c r="AN91" s="500"/>
    </row>
    <row r="92" spans="1:40" ht="14.4" hidden="1" customHeight="1" outlineLevel="1">
      <c r="B92" s="902"/>
      <c r="C92" s="527" t="s">
        <v>2633</v>
      </c>
      <c r="D92" s="528" t="s">
        <v>2650</v>
      </c>
      <c r="E92" s="555"/>
      <c r="F92" s="1446"/>
      <c r="G92" s="1428"/>
      <c r="H92" s="555"/>
      <c r="I92" s="555"/>
      <c r="J92" s="557"/>
      <c r="K92" s="558"/>
      <c r="L92" s="558"/>
      <c r="M92" s="559"/>
      <c r="N92" s="557"/>
      <c r="O92" s="558"/>
      <c r="P92" s="558"/>
      <c r="Q92" s="559"/>
      <c r="R92" s="555"/>
      <c r="S92" s="560"/>
      <c r="T92" s="561"/>
      <c r="U92" s="562"/>
      <c r="V92" s="562"/>
      <c r="W92" s="562"/>
      <c r="X92" s="563"/>
      <c r="Y92" s="564"/>
      <c r="Z92" s="562"/>
      <c r="AA92" s="562"/>
      <c r="AB92" s="562"/>
      <c r="AC92" s="562"/>
      <c r="AD92" s="562"/>
      <c r="AE92" s="562"/>
      <c r="AF92" s="562"/>
      <c r="AG92" s="562"/>
      <c r="AH92" s="562"/>
      <c r="AI92" s="562"/>
      <c r="AJ92" s="563"/>
      <c r="AK92" s="500"/>
      <c r="AL92" s="500"/>
      <c r="AM92" s="500"/>
      <c r="AN92" s="500"/>
    </row>
    <row r="93" spans="1:40" ht="14.4" hidden="1" customHeight="1" outlineLevel="1">
      <c r="B93" s="902"/>
      <c r="C93" s="527" t="s">
        <v>2634</v>
      </c>
      <c r="D93" s="528" t="s">
        <v>2651</v>
      </c>
      <c r="E93" s="555"/>
      <c r="F93" s="1446"/>
      <c r="G93" s="1428"/>
      <c r="H93" s="555"/>
      <c r="I93" s="555"/>
      <c r="J93" s="557"/>
      <c r="K93" s="558"/>
      <c r="L93" s="558"/>
      <c r="M93" s="559"/>
      <c r="N93" s="557"/>
      <c r="O93" s="558"/>
      <c r="P93" s="558"/>
      <c r="Q93" s="559"/>
      <c r="R93" s="555"/>
      <c r="S93" s="560"/>
      <c r="T93" s="561"/>
      <c r="U93" s="562"/>
      <c r="V93" s="562"/>
      <c r="W93" s="562"/>
      <c r="X93" s="563"/>
      <c r="Y93" s="564"/>
      <c r="Z93" s="562"/>
      <c r="AA93" s="562"/>
      <c r="AB93" s="562"/>
      <c r="AC93" s="562"/>
      <c r="AD93" s="562"/>
      <c r="AE93" s="562"/>
      <c r="AF93" s="562"/>
      <c r="AG93" s="562"/>
      <c r="AH93" s="562"/>
      <c r="AI93" s="562"/>
      <c r="AJ93" s="563"/>
      <c r="AK93" s="500"/>
      <c r="AL93" s="500"/>
      <c r="AM93" s="500"/>
      <c r="AN93" s="500"/>
    </row>
    <row r="94" spans="1:40" ht="14.4" hidden="1" customHeight="1" outlineLevel="1" thickBot="1">
      <c r="B94" s="903"/>
      <c r="C94" s="534"/>
      <c r="D94" s="535" t="s">
        <v>2663</v>
      </c>
      <c r="E94" s="536"/>
      <c r="F94" s="1447">
        <f>SUM(F91:F93)</f>
        <v>0</v>
      </c>
      <c r="G94" s="1429">
        <f t="shared" ref="G94:I94" si="247">SUM(G91:G93)</f>
        <v>0</v>
      </c>
      <c r="H94" s="535">
        <f t="shared" si="247"/>
        <v>0</v>
      </c>
      <c r="I94" s="535">
        <f t="shared" si="247"/>
        <v>0</v>
      </c>
      <c r="J94" s="537">
        <f t="shared" ref="J94" si="248">SUM(J91:J93)</f>
        <v>0</v>
      </c>
      <c r="K94" s="538">
        <f t="shared" ref="K94" si="249">SUM(K91:K93)</f>
        <v>0</v>
      </c>
      <c r="L94" s="538">
        <f t="shared" ref="L94" si="250">SUM(L91:L93)</f>
        <v>0</v>
      </c>
      <c r="M94" s="539">
        <f t="shared" ref="M94" si="251">SUM(M91:M93)</f>
        <v>0</v>
      </c>
      <c r="N94" s="537">
        <f t="shared" ref="N94" si="252">SUM(N91:N93)</f>
        <v>0</v>
      </c>
      <c r="O94" s="538">
        <f t="shared" ref="O94" si="253">SUM(O91:O93)</f>
        <v>0</v>
      </c>
      <c r="P94" s="538">
        <f t="shared" ref="P94" si="254">SUM(P91:P93)</f>
        <v>0</v>
      </c>
      <c r="Q94" s="539">
        <f t="shared" ref="Q94" si="255">SUM(Q91:Q93)</f>
        <v>0</v>
      </c>
      <c r="R94" s="540">
        <f t="shared" ref="R94" si="256">SUM(R91:R93)</f>
        <v>0</v>
      </c>
      <c r="S94" s="541">
        <f t="shared" ref="S94" si="257">SUM(S91:S93)</f>
        <v>0</v>
      </c>
      <c r="T94" s="542">
        <f t="shared" ref="T94" si="258">SUM(T91:T93)</f>
        <v>0</v>
      </c>
      <c r="U94" s="543">
        <f t="shared" ref="U94" si="259">SUM(U91:U93)</f>
        <v>0</v>
      </c>
      <c r="V94" s="543">
        <f t="shared" ref="V94" si="260">SUM(V91:V93)</f>
        <v>0</v>
      </c>
      <c r="W94" s="543">
        <f t="shared" ref="W94" si="261">SUM(W91:W93)</f>
        <v>0</v>
      </c>
      <c r="X94" s="544">
        <f t="shared" ref="X94" si="262">SUM(X91:X93)</f>
        <v>0</v>
      </c>
      <c r="Y94" s="545">
        <f t="shared" ref="Y94" si="263">SUM(Y91:Y93)</f>
        <v>0</v>
      </c>
      <c r="Z94" s="543">
        <f t="shared" ref="Z94" si="264">SUM(Z91:Z93)</f>
        <v>0</v>
      </c>
      <c r="AA94" s="543">
        <f t="shared" ref="AA94" si="265">SUM(AA91:AA93)</f>
        <v>0</v>
      </c>
      <c r="AB94" s="543">
        <f t="shared" ref="AB94" si="266">SUM(AB91:AB93)</f>
        <v>0</v>
      </c>
      <c r="AC94" s="543">
        <f t="shared" ref="AC94" si="267">SUM(AC91:AC93)</f>
        <v>0</v>
      </c>
      <c r="AD94" s="543">
        <f t="shared" ref="AD94" si="268">SUM(AD91:AD93)</f>
        <v>0</v>
      </c>
      <c r="AE94" s="543">
        <f t="shared" ref="AE94" si="269">SUM(AE91:AE93)</f>
        <v>0</v>
      </c>
      <c r="AF94" s="543">
        <f t="shared" ref="AF94" si="270">SUM(AF91:AF93)</f>
        <v>0</v>
      </c>
      <c r="AG94" s="543">
        <f t="shared" ref="AG94" si="271">SUM(AG91:AG93)</f>
        <v>0</v>
      </c>
      <c r="AH94" s="543">
        <f t="shared" ref="AH94" si="272">SUM(AH91:AH93)</f>
        <v>0</v>
      </c>
      <c r="AI94" s="543">
        <f t="shared" ref="AI94" si="273">SUM(AI91:AI93)</f>
        <v>0</v>
      </c>
      <c r="AJ94" s="544">
        <f t="shared" ref="AJ94" si="274">SUM(AJ91:AJ93)</f>
        <v>0</v>
      </c>
      <c r="AK94" s="500"/>
      <c r="AL94" s="500"/>
      <c r="AM94" s="500"/>
      <c r="AN94" s="500"/>
    </row>
    <row r="95" spans="1:40" s="502" customFormat="1" ht="14.4" customHeight="1" thickBot="1">
      <c r="A95" s="504"/>
      <c r="B95" s="900" t="s">
        <v>107</v>
      </c>
      <c r="C95" s="520" t="s">
        <v>2664</v>
      </c>
      <c r="D95" s="522" t="s">
        <v>2691</v>
      </c>
      <c r="E95" s="519"/>
      <c r="F95" s="1445">
        <f>F96+F103+F112+F116</f>
        <v>0</v>
      </c>
      <c r="G95" s="1426">
        <f t="shared" ref="G95:I95" si="275">G96+G103+G112+G116</f>
        <v>0</v>
      </c>
      <c r="H95" s="519">
        <f t="shared" si="275"/>
        <v>0</v>
      </c>
      <c r="I95" s="519">
        <f t="shared" si="275"/>
        <v>0</v>
      </c>
      <c r="J95" s="523">
        <f t="shared" ref="J95" si="276">J96+J103+J112+J116</f>
        <v>0</v>
      </c>
      <c r="K95" s="524">
        <f t="shared" ref="K95" si="277">K96+K103+K112+K116</f>
        <v>0</v>
      </c>
      <c r="L95" s="524">
        <f t="shared" ref="L95" si="278">L96+L103+L112+L116</f>
        <v>0</v>
      </c>
      <c r="M95" s="525">
        <f t="shared" ref="M95" si="279">M96+M103+M112+M116</f>
        <v>0</v>
      </c>
      <c r="N95" s="523">
        <f t="shared" ref="N95" si="280">N96+N103+N112+N116</f>
        <v>0</v>
      </c>
      <c r="O95" s="524">
        <f t="shared" ref="O95" si="281">O96+O103+O112+O116</f>
        <v>0</v>
      </c>
      <c r="P95" s="524">
        <f t="shared" ref="P95" si="282">P96+P103+P112+P116</f>
        <v>0</v>
      </c>
      <c r="Q95" s="525">
        <f t="shared" ref="Q95" si="283">Q96+Q103+Q112+Q116</f>
        <v>0</v>
      </c>
      <c r="R95" s="519">
        <f t="shared" ref="R95" si="284">R96+R103+R112+R116</f>
        <v>0</v>
      </c>
      <c r="S95" s="541">
        <f t="shared" ref="S95" si="285">S96+S103+S112+S116</f>
        <v>0</v>
      </c>
      <c r="T95" s="646">
        <f t="shared" ref="T95" si="286">T96+T103+T112+T116</f>
        <v>0</v>
      </c>
      <c r="U95" s="647">
        <f t="shared" ref="U95" si="287">U96+U103+U112+U116</f>
        <v>0</v>
      </c>
      <c r="V95" s="647">
        <f t="shared" ref="V95" si="288">V96+V103+V112+V116</f>
        <v>0</v>
      </c>
      <c r="W95" s="647">
        <f t="shared" ref="W95" si="289">W96+W103+W112+W116</f>
        <v>0</v>
      </c>
      <c r="X95" s="648">
        <f t="shared" ref="X95" si="290">X96+X103+X112+X116</f>
        <v>0</v>
      </c>
      <c r="Y95" s="649">
        <f t="shared" ref="Y95" si="291">Y96+Y103+Y112+Y116</f>
        <v>0</v>
      </c>
      <c r="Z95" s="647">
        <f t="shared" ref="Z95" si="292">Z96+Z103+Z112+Z116</f>
        <v>0</v>
      </c>
      <c r="AA95" s="647">
        <f t="shared" ref="AA95" si="293">AA96+AA103+AA112+AA116</f>
        <v>0</v>
      </c>
      <c r="AB95" s="647">
        <f t="shared" ref="AB95" si="294">AB96+AB103+AB112+AB116</f>
        <v>0</v>
      </c>
      <c r="AC95" s="647">
        <f t="shared" ref="AC95" si="295">AC96+AC103+AC112+AC116</f>
        <v>0</v>
      </c>
      <c r="AD95" s="647">
        <f t="shared" ref="AD95" si="296">AD96+AD103+AD112+AD116</f>
        <v>0</v>
      </c>
      <c r="AE95" s="647">
        <f t="shared" ref="AE95" si="297">AE96+AE103+AE112+AE116</f>
        <v>0</v>
      </c>
      <c r="AF95" s="647">
        <f t="shared" ref="AF95" si="298">AF96+AF103+AF112+AF116</f>
        <v>0</v>
      </c>
      <c r="AG95" s="647">
        <f t="shared" ref="AG95" si="299">AG96+AG103+AG112+AG116</f>
        <v>0</v>
      </c>
      <c r="AH95" s="647">
        <f t="shared" ref="AH95" si="300">AH96+AH103+AH112+AH116</f>
        <v>0</v>
      </c>
      <c r="AI95" s="647">
        <f t="shared" ref="AI95" si="301">AI96+AI103+AI112+AI116</f>
        <v>0</v>
      </c>
      <c r="AJ95" s="648">
        <f t="shared" ref="AJ95" si="302">AJ96+AJ103+AJ112+AJ116</f>
        <v>0</v>
      </c>
      <c r="AK95" s="504"/>
      <c r="AL95" s="504"/>
      <c r="AM95" s="504"/>
      <c r="AN95" s="504"/>
    </row>
    <row r="96" spans="1:40" s="502" customFormat="1" ht="14.4" customHeight="1" collapsed="1">
      <c r="A96" s="504"/>
      <c r="B96" s="901"/>
      <c r="C96" s="546" t="s">
        <v>2665</v>
      </c>
      <c r="D96" s="529" t="s">
        <v>2692</v>
      </c>
      <c r="E96" s="526"/>
      <c r="F96" s="1448">
        <f>F102</f>
        <v>0</v>
      </c>
      <c r="G96" s="1427">
        <f t="shared" ref="G96:I96" si="303">G102</f>
        <v>0</v>
      </c>
      <c r="H96" s="526">
        <f t="shared" si="303"/>
        <v>0</v>
      </c>
      <c r="I96" s="526">
        <f t="shared" si="303"/>
        <v>0</v>
      </c>
      <c r="J96" s="530">
        <f t="shared" ref="J96:AJ96" si="304">J102</f>
        <v>0</v>
      </c>
      <c r="K96" s="531">
        <f t="shared" si="304"/>
        <v>0</v>
      </c>
      <c r="L96" s="531">
        <f t="shared" si="304"/>
        <v>0</v>
      </c>
      <c r="M96" s="532">
        <f t="shared" si="304"/>
        <v>0</v>
      </c>
      <c r="N96" s="530">
        <f t="shared" si="304"/>
        <v>0</v>
      </c>
      <c r="O96" s="531">
        <f t="shared" si="304"/>
        <v>0</v>
      </c>
      <c r="P96" s="531">
        <f t="shared" si="304"/>
        <v>0</v>
      </c>
      <c r="Q96" s="532">
        <f t="shared" si="304"/>
        <v>0</v>
      </c>
      <c r="R96" s="526">
        <f t="shared" si="304"/>
        <v>0</v>
      </c>
      <c r="S96" s="541">
        <f t="shared" si="304"/>
        <v>0</v>
      </c>
      <c r="T96" s="542">
        <f t="shared" si="304"/>
        <v>0</v>
      </c>
      <c r="U96" s="543">
        <f t="shared" si="304"/>
        <v>0</v>
      </c>
      <c r="V96" s="543">
        <f t="shared" si="304"/>
        <v>0</v>
      </c>
      <c r="W96" s="543">
        <f t="shared" si="304"/>
        <v>0</v>
      </c>
      <c r="X96" s="544">
        <f t="shared" si="304"/>
        <v>0</v>
      </c>
      <c r="Y96" s="545">
        <f t="shared" si="304"/>
        <v>0</v>
      </c>
      <c r="Z96" s="543">
        <f t="shared" si="304"/>
        <v>0</v>
      </c>
      <c r="AA96" s="543">
        <f t="shared" si="304"/>
        <v>0</v>
      </c>
      <c r="AB96" s="543">
        <f t="shared" si="304"/>
        <v>0</v>
      </c>
      <c r="AC96" s="543">
        <f t="shared" si="304"/>
        <v>0</v>
      </c>
      <c r="AD96" s="543">
        <f t="shared" si="304"/>
        <v>0</v>
      </c>
      <c r="AE96" s="543">
        <f t="shared" si="304"/>
        <v>0</v>
      </c>
      <c r="AF96" s="543">
        <f t="shared" si="304"/>
        <v>0</v>
      </c>
      <c r="AG96" s="543">
        <f t="shared" si="304"/>
        <v>0</v>
      </c>
      <c r="AH96" s="543">
        <f t="shared" si="304"/>
        <v>0</v>
      </c>
      <c r="AI96" s="543">
        <f t="shared" si="304"/>
        <v>0</v>
      </c>
      <c r="AJ96" s="544">
        <f t="shared" si="304"/>
        <v>0</v>
      </c>
      <c r="AK96" s="504"/>
      <c r="AL96" s="504"/>
      <c r="AM96" s="504"/>
      <c r="AN96" s="504"/>
    </row>
    <row r="97" spans="1:40" ht="14.4" hidden="1" customHeight="1" outlineLevel="1">
      <c r="B97" s="902"/>
      <c r="C97" s="527" t="s">
        <v>2666</v>
      </c>
      <c r="D97" s="556" t="s">
        <v>2693</v>
      </c>
      <c r="E97" s="555"/>
      <c r="F97" s="1448"/>
      <c r="G97" s="1428"/>
      <c r="H97" s="555"/>
      <c r="I97" s="526"/>
      <c r="J97" s="530"/>
      <c r="K97" s="531"/>
      <c r="L97" s="531"/>
      <c r="M97" s="532"/>
      <c r="N97" s="530"/>
      <c r="O97" s="531"/>
      <c r="P97" s="531"/>
      <c r="Q97" s="532"/>
      <c r="R97" s="526"/>
      <c r="S97" s="541"/>
      <c r="T97" s="542"/>
      <c r="U97" s="543"/>
      <c r="V97" s="543"/>
      <c r="W97" s="543"/>
      <c r="X97" s="544"/>
      <c r="Y97" s="545"/>
      <c r="Z97" s="543"/>
      <c r="AA97" s="543"/>
      <c r="AB97" s="543"/>
      <c r="AC97" s="543"/>
      <c r="AD97" s="543"/>
      <c r="AE97" s="543"/>
      <c r="AF97" s="543"/>
      <c r="AG97" s="543"/>
      <c r="AH97" s="543"/>
      <c r="AI97" s="543"/>
      <c r="AJ97" s="544"/>
      <c r="AK97" s="500"/>
      <c r="AL97" s="500"/>
      <c r="AM97" s="500"/>
      <c r="AN97" s="500"/>
    </row>
    <row r="98" spans="1:40" ht="14.4" hidden="1" customHeight="1" outlineLevel="1">
      <c r="B98" s="902"/>
      <c r="C98" s="527" t="s">
        <v>2667</v>
      </c>
      <c r="D98" s="556" t="s">
        <v>2694</v>
      </c>
      <c r="E98" s="555"/>
      <c r="F98" s="1448"/>
      <c r="G98" s="1428"/>
      <c r="H98" s="555"/>
      <c r="I98" s="526"/>
      <c r="J98" s="530"/>
      <c r="K98" s="531"/>
      <c r="L98" s="531"/>
      <c r="M98" s="532"/>
      <c r="N98" s="530"/>
      <c r="O98" s="531"/>
      <c r="P98" s="531"/>
      <c r="Q98" s="532"/>
      <c r="R98" s="526"/>
      <c r="S98" s="541"/>
      <c r="T98" s="542"/>
      <c r="U98" s="543"/>
      <c r="V98" s="543"/>
      <c r="W98" s="543"/>
      <c r="X98" s="544"/>
      <c r="Y98" s="545"/>
      <c r="Z98" s="543"/>
      <c r="AA98" s="543"/>
      <c r="AB98" s="543"/>
      <c r="AC98" s="543"/>
      <c r="AD98" s="543"/>
      <c r="AE98" s="543"/>
      <c r="AF98" s="543"/>
      <c r="AG98" s="543"/>
      <c r="AH98" s="543"/>
      <c r="AI98" s="543"/>
      <c r="AJ98" s="544"/>
      <c r="AK98" s="500"/>
      <c r="AL98" s="500"/>
      <c r="AM98" s="500"/>
      <c r="AN98" s="500"/>
    </row>
    <row r="99" spans="1:40" ht="14.4" hidden="1" customHeight="1" outlineLevel="1">
      <c r="B99" s="902"/>
      <c r="C99" s="527" t="s">
        <v>2668</v>
      </c>
      <c r="D99" s="556" t="s">
        <v>2695</v>
      </c>
      <c r="E99" s="555"/>
      <c r="F99" s="1448"/>
      <c r="G99" s="1428"/>
      <c r="H99" s="555"/>
      <c r="I99" s="526"/>
      <c r="J99" s="530"/>
      <c r="K99" s="531"/>
      <c r="L99" s="531"/>
      <c r="M99" s="532"/>
      <c r="N99" s="530"/>
      <c r="O99" s="531"/>
      <c r="P99" s="531"/>
      <c r="Q99" s="532"/>
      <c r="R99" s="526"/>
      <c r="S99" s="541"/>
      <c r="T99" s="542"/>
      <c r="U99" s="543"/>
      <c r="V99" s="543"/>
      <c r="W99" s="543"/>
      <c r="X99" s="544"/>
      <c r="Y99" s="545"/>
      <c r="Z99" s="543"/>
      <c r="AA99" s="543"/>
      <c r="AB99" s="543"/>
      <c r="AC99" s="543"/>
      <c r="AD99" s="543"/>
      <c r="AE99" s="543"/>
      <c r="AF99" s="543"/>
      <c r="AG99" s="543"/>
      <c r="AH99" s="543"/>
      <c r="AI99" s="543"/>
      <c r="AJ99" s="544"/>
      <c r="AK99" s="500"/>
      <c r="AL99" s="500"/>
      <c r="AM99" s="500"/>
      <c r="AN99" s="500"/>
    </row>
    <row r="100" spans="1:40" ht="14.4" hidden="1" customHeight="1" outlineLevel="1">
      <c r="B100" s="902"/>
      <c r="C100" s="527" t="s">
        <v>2669</v>
      </c>
      <c r="D100" s="556" t="s">
        <v>2696</v>
      </c>
      <c r="E100" s="555"/>
      <c r="F100" s="1448"/>
      <c r="G100" s="1428"/>
      <c r="H100" s="555"/>
      <c r="I100" s="526"/>
      <c r="J100" s="530"/>
      <c r="K100" s="531"/>
      <c r="L100" s="531"/>
      <c r="M100" s="532"/>
      <c r="N100" s="530"/>
      <c r="O100" s="531"/>
      <c r="P100" s="531"/>
      <c r="Q100" s="532"/>
      <c r="R100" s="526"/>
      <c r="S100" s="541"/>
      <c r="T100" s="542"/>
      <c r="U100" s="543"/>
      <c r="V100" s="543"/>
      <c r="W100" s="543"/>
      <c r="X100" s="544"/>
      <c r="Y100" s="545"/>
      <c r="Z100" s="543"/>
      <c r="AA100" s="543"/>
      <c r="AB100" s="543"/>
      <c r="AC100" s="543"/>
      <c r="AD100" s="543"/>
      <c r="AE100" s="543"/>
      <c r="AF100" s="543"/>
      <c r="AG100" s="543"/>
      <c r="AH100" s="543"/>
      <c r="AI100" s="543"/>
      <c r="AJ100" s="544"/>
      <c r="AK100" s="500"/>
      <c r="AL100" s="500"/>
      <c r="AM100" s="500"/>
      <c r="AN100" s="500"/>
    </row>
    <row r="101" spans="1:40" ht="14.4" hidden="1" customHeight="1" outlineLevel="1">
      <c r="B101" s="902"/>
      <c r="C101" s="527" t="s">
        <v>2670</v>
      </c>
      <c r="D101" s="556" t="s">
        <v>2697</v>
      </c>
      <c r="E101" s="555"/>
      <c r="F101" s="1448"/>
      <c r="G101" s="1428"/>
      <c r="H101" s="555"/>
      <c r="I101" s="526"/>
      <c r="J101" s="530"/>
      <c r="K101" s="531"/>
      <c r="L101" s="531"/>
      <c r="M101" s="532"/>
      <c r="N101" s="530"/>
      <c r="O101" s="531"/>
      <c r="P101" s="531"/>
      <c r="Q101" s="532"/>
      <c r="R101" s="526"/>
      <c r="S101" s="541"/>
      <c r="T101" s="542"/>
      <c r="U101" s="543"/>
      <c r="V101" s="543"/>
      <c r="W101" s="543"/>
      <c r="X101" s="544"/>
      <c r="Y101" s="545"/>
      <c r="Z101" s="543"/>
      <c r="AA101" s="543"/>
      <c r="AB101" s="543"/>
      <c r="AC101" s="543"/>
      <c r="AD101" s="543"/>
      <c r="AE101" s="543"/>
      <c r="AF101" s="543"/>
      <c r="AG101" s="543"/>
      <c r="AH101" s="543"/>
      <c r="AI101" s="543"/>
      <c r="AJ101" s="544"/>
      <c r="AK101" s="500"/>
      <c r="AL101" s="500"/>
      <c r="AM101" s="500"/>
      <c r="AN101" s="500"/>
    </row>
    <row r="102" spans="1:40" ht="14.4" hidden="1" customHeight="1" outlineLevel="1" thickBot="1">
      <c r="B102" s="904"/>
      <c r="C102" s="548"/>
      <c r="D102" s="549" t="s">
        <v>2793</v>
      </c>
      <c r="E102" s="550"/>
      <c r="F102" s="1449">
        <f>SUM(F97:F101)</f>
        <v>0</v>
      </c>
      <c r="G102" s="1430">
        <f t="shared" ref="G102:I102" si="305">SUM(G97:G101)</f>
        <v>0</v>
      </c>
      <c r="H102" s="549">
        <f t="shared" si="305"/>
        <v>0</v>
      </c>
      <c r="I102" s="549">
        <f t="shared" si="305"/>
        <v>0</v>
      </c>
      <c r="J102" s="551">
        <f t="shared" ref="J102" si="306">SUM(J97:J101)</f>
        <v>0</v>
      </c>
      <c r="K102" s="552">
        <f t="shared" ref="K102" si="307">SUM(K97:K101)</f>
        <v>0</v>
      </c>
      <c r="L102" s="552">
        <f t="shared" ref="L102" si="308">SUM(L97:L101)</f>
        <v>0</v>
      </c>
      <c r="M102" s="553">
        <f t="shared" ref="M102" si="309">SUM(M97:M101)</f>
        <v>0</v>
      </c>
      <c r="N102" s="551">
        <f t="shared" ref="N102" si="310">SUM(N97:N101)</f>
        <v>0</v>
      </c>
      <c r="O102" s="552">
        <f t="shared" ref="O102" si="311">SUM(O97:O101)</f>
        <v>0</v>
      </c>
      <c r="P102" s="552">
        <f t="shared" ref="P102" si="312">SUM(P97:P101)</f>
        <v>0</v>
      </c>
      <c r="Q102" s="553">
        <f t="shared" ref="Q102" si="313">SUM(Q97:Q101)</f>
        <v>0</v>
      </c>
      <c r="R102" s="554">
        <f t="shared" ref="R102" si="314">SUM(R97:R101)</f>
        <v>0</v>
      </c>
      <c r="S102" s="541">
        <f t="shared" ref="S102" si="315">SUM(S97:S101)</f>
        <v>0</v>
      </c>
      <c r="T102" s="542">
        <f t="shared" ref="T102" si="316">SUM(T97:T101)</f>
        <v>0</v>
      </c>
      <c r="U102" s="543">
        <f t="shared" ref="U102" si="317">SUM(U97:U101)</f>
        <v>0</v>
      </c>
      <c r="V102" s="543">
        <f t="shared" ref="V102" si="318">SUM(V97:V101)</f>
        <v>0</v>
      </c>
      <c r="W102" s="543">
        <f t="shared" ref="W102" si="319">SUM(W97:W101)</f>
        <v>0</v>
      </c>
      <c r="X102" s="544">
        <f t="shared" ref="X102" si="320">SUM(X97:X101)</f>
        <v>0</v>
      </c>
      <c r="Y102" s="545">
        <f t="shared" ref="Y102" si="321">SUM(Y97:Y101)</f>
        <v>0</v>
      </c>
      <c r="Z102" s="543">
        <f t="shared" ref="Z102" si="322">SUM(Z97:Z101)</f>
        <v>0</v>
      </c>
      <c r="AA102" s="543">
        <f t="shared" ref="AA102" si="323">SUM(AA97:AA101)</f>
        <v>0</v>
      </c>
      <c r="AB102" s="543">
        <f t="shared" ref="AB102" si="324">SUM(AB97:AB101)</f>
        <v>0</v>
      </c>
      <c r="AC102" s="543">
        <f t="shared" ref="AC102" si="325">SUM(AC97:AC101)</f>
        <v>0</v>
      </c>
      <c r="AD102" s="543">
        <f t="shared" ref="AD102" si="326">SUM(AD97:AD101)</f>
        <v>0</v>
      </c>
      <c r="AE102" s="543">
        <f t="shared" ref="AE102" si="327">SUM(AE97:AE101)</f>
        <v>0</v>
      </c>
      <c r="AF102" s="543">
        <f t="shared" ref="AF102" si="328">SUM(AF97:AF101)</f>
        <v>0</v>
      </c>
      <c r="AG102" s="543">
        <f t="shared" ref="AG102" si="329">SUM(AG97:AG101)</f>
        <v>0</v>
      </c>
      <c r="AH102" s="543">
        <f t="shared" ref="AH102" si="330">SUM(AH97:AH101)</f>
        <v>0</v>
      </c>
      <c r="AI102" s="543">
        <f t="shared" ref="AI102" si="331">SUM(AI97:AI101)</f>
        <v>0</v>
      </c>
      <c r="AJ102" s="544">
        <f t="shared" ref="AJ102" si="332">SUM(AJ97:AJ101)</f>
        <v>0</v>
      </c>
      <c r="AK102" s="500"/>
      <c r="AL102" s="500"/>
      <c r="AM102" s="500"/>
      <c r="AN102" s="500"/>
    </row>
    <row r="103" spans="1:40" s="502" customFormat="1" ht="14.4" customHeight="1" collapsed="1">
      <c r="A103" s="504"/>
      <c r="B103" s="901"/>
      <c r="C103" s="546" t="s">
        <v>2671</v>
      </c>
      <c r="D103" s="529" t="s">
        <v>2714</v>
      </c>
      <c r="E103" s="526"/>
      <c r="F103" s="1448">
        <f>F111</f>
        <v>0</v>
      </c>
      <c r="G103" s="1427">
        <f t="shared" ref="G103:I103" si="333">G111</f>
        <v>0</v>
      </c>
      <c r="H103" s="526">
        <f t="shared" si="333"/>
        <v>0</v>
      </c>
      <c r="I103" s="526">
        <f t="shared" si="333"/>
        <v>0</v>
      </c>
      <c r="J103" s="530">
        <f t="shared" ref="J103:AJ103" si="334">J111</f>
        <v>0</v>
      </c>
      <c r="K103" s="531">
        <f t="shared" si="334"/>
        <v>0</v>
      </c>
      <c r="L103" s="531">
        <f t="shared" si="334"/>
        <v>0</v>
      </c>
      <c r="M103" s="532">
        <f t="shared" si="334"/>
        <v>0</v>
      </c>
      <c r="N103" s="530">
        <f t="shared" si="334"/>
        <v>0</v>
      </c>
      <c r="O103" s="531">
        <f t="shared" si="334"/>
        <v>0</v>
      </c>
      <c r="P103" s="531">
        <f t="shared" si="334"/>
        <v>0</v>
      </c>
      <c r="Q103" s="532">
        <f t="shared" si="334"/>
        <v>0</v>
      </c>
      <c r="R103" s="526">
        <f t="shared" si="334"/>
        <v>0</v>
      </c>
      <c r="S103" s="541">
        <f t="shared" si="334"/>
        <v>0</v>
      </c>
      <c r="T103" s="542">
        <f t="shared" si="334"/>
        <v>0</v>
      </c>
      <c r="U103" s="543">
        <f t="shared" si="334"/>
        <v>0</v>
      </c>
      <c r="V103" s="543">
        <f t="shared" si="334"/>
        <v>0</v>
      </c>
      <c r="W103" s="543">
        <f t="shared" si="334"/>
        <v>0</v>
      </c>
      <c r="X103" s="544">
        <f t="shared" si="334"/>
        <v>0</v>
      </c>
      <c r="Y103" s="545">
        <f t="shared" si="334"/>
        <v>0</v>
      </c>
      <c r="Z103" s="543">
        <f t="shared" si="334"/>
        <v>0</v>
      </c>
      <c r="AA103" s="543">
        <f t="shared" si="334"/>
        <v>0</v>
      </c>
      <c r="AB103" s="543">
        <f t="shared" si="334"/>
        <v>0</v>
      </c>
      <c r="AC103" s="543">
        <f t="shared" si="334"/>
        <v>0</v>
      </c>
      <c r="AD103" s="543">
        <f t="shared" si="334"/>
        <v>0</v>
      </c>
      <c r="AE103" s="543">
        <f t="shared" si="334"/>
        <v>0</v>
      </c>
      <c r="AF103" s="543">
        <f t="shared" si="334"/>
        <v>0</v>
      </c>
      <c r="AG103" s="543">
        <f t="shared" si="334"/>
        <v>0</v>
      </c>
      <c r="AH103" s="543">
        <f t="shared" si="334"/>
        <v>0</v>
      </c>
      <c r="AI103" s="543">
        <f t="shared" si="334"/>
        <v>0</v>
      </c>
      <c r="AJ103" s="544">
        <f t="shared" si="334"/>
        <v>0</v>
      </c>
      <c r="AK103" s="504"/>
      <c r="AL103" s="504"/>
      <c r="AM103" s="504"/>
      <c r="AN103" s="504"/>
    </row>
    <row r="104" spans="1:40" ht="14.4" hidden="1" customHeight="1" outlineLevel="1">
      <c r="B104" s="902"/>
      <c r="C104" s="527" t="s">
        <v>2672</v>
      </c>
      <c r="D104" s="556" t="s">
        <v>2698</v>
      </c>
      <c r="E104" s="555"/>
      <c r="F104" s="1448"/>
      <c r="G104" s="1428"/>
      <c r="H104" s="555"/>
      <c r="I104" s="526"/>
      <c r="J104" s="530"/>
      <c r="K104" s="531"/>
      <c r="L104" s="531"/>
      <c r="M104" s="532"/>
      <c r="N104" s="530"/>
      <c r="O104" s="531"/>
      <c r="P104" s="531"/>
      <c r="Q104" s="532"/>
      <c r="R104" s="526"/>
      <c r="S104" s="541"/>
      <c r="T104" s="542"/>
      <c r="U104" s="543"/>
      <c r="V104" s="543"/>
      <c r="W104" s="543"/>
      <c r="X104" s="544"/>
      <c r="Y104" s="545"/>
      <c r="Z104" s="543"/>
      <c r="AA104" s="543"/>
      <c r="AB104" s="543"/>
      <c r="AC104" s="543"/>
      <c r="AD104" s="543"/>
      <c r="AE104" s="543"/>
      <c r="AF104" s="543"/>
      <c r="AG104" s="543"/>
      <c r="AH104" s="543"/>
      <c r="AI104" s="543"/>
      <c r="AJ104" s="544"/>
      <c r="AK104" s="500"/>
      <c r="AL104" s="500"/>
      <c r="AM104" s="500"/>
      <c r="AN104" s="500"/>
    </row>
    <row r="105" spans="1:40" ht="14.4" hidden="1" customHeight="1" outlineLevel="1">
      <c r="B105" s="902"/>
      <c r="C105" s="527" t="s">
        <v>2673</v>
      </c>
      <c r="D105" s="556" t="s">
        <v>2699</v>
      </c>
      <c r="E105" s="555"/>
      <c r="F105" s="1448"/>
      <c r="G105" s="1428"/>
      <c r="H105" s="555"/>
      <c r="I105" s="526"/>
      <c r="J105" s="530"/>
      <c r="K105" s="531"/>
      <c r="L105" s="531"/>
      <c r="M105" s="532"/>
      <c r="N105" s="530"/>
      <c r="O105" s="531"/>
      <c r="P105" s="531"/>
      <c r="Q105" s="532"/>
      <c r="R105" s="526"/>
      <c r="S105" s="541"/>
      <c r="T105" s="542"/>
      <c r="U105" s="543"/>
      <c r="V105" s="543"/>
      <c r="W105" s="543"/>
      <c r="X105" s="544"/>
      <c r="Y105" s="545"/>
      <c r="Z105" s="543"/>
      <c r="AA105" s="543"/>
      <c r="AB105" s="543"/>
      <c r="AC105" s="543"/>
      <c r="AD105" s="543"/>
      <c r="AE105" s="543"/>
      <c r="AF105" s="543"/>
      <c r="AG105" s="543"/>
      <c r="AH105" s="543"/>
      <c r="AI105" s="543"/>
      <c r="AJ105" s="544"/>
      <c r="AK105" s="500"/>
      <c r="AL105" s="500"/>
      <c r="AM105" s="500"/>
      <c r="AN105" s="500"/>
    </row>
    <row r="106" spans="1:40" ht="14.4" hidden="1" customHeight="1" outlineLevel="1">
      <c r="B106" s="902"/>
      <c r="C106" s="527" t="s">
        <v>2674</v>
      </c>
      <c r="D106" s="556" t="s">
        <v>2700</v>
      </c>
      <c r="E106" s="555"/>
      <c r="F106" s="1448"/>
      <c r="G106" s="1428"/>
      <c r="H106" s="555"/>
      <c r="I106" s="526"/>
      <c r="J106" s="530"/>
      <c r="K106" s="531"/>
      <c r="L106" s="531"/>
      <c r="M106" s="532"/>
      <c r="N106" s="530"/>
      <c r="O106" s="531"/>
      <c r="P106" s="531"/>
      <c r="Q106" s="532"/>
      <c r="R106" s="526"/>
      <c r="S106" s="541"/>
      <c r="T106" s="542"/>
      <c r="U106" s="543"/>
      <c r="V106" s="543"/>
      <c r="W106" s="543"/>
      <c r="X106" s="544"/>
      <c r="Y106" s="545"/>
      <c r="Z106" s="543"/>
      <c r="AA106" s="543"/>
      <c r="AB106" s="543"/>
      <c r="AC106" s="543"/>
      <c r="AD106" s="543"/>
      <c r="AE106" s="543"/>
      <c r="AF106" s="543"/>
      <c r="AG106" s="543"/>
      <c r="AH106" s="543"/>
      <c r="AI106" s="543"/>
      <c r="AJ106" s="544"/>
      <c r="AK106" s="500"/>
      <c r="AL106" s="500"/>
      <c r="AM106" s="500"/>
      <c r="AN106" s="500"/>
    </row>
    <row r="107" spans="1:40" ht="14.4" hidden="1" customHeight="1" outlineLevel="1">
      <c r="B107" s="902"/>
      <c r="C107" s="527" t="s">
        <v>2675</v>
      </c>
      <c r="D107" s="556" t="s">
        <v>2701</v>
      </c>
      <c r="E107" s="555"/>
      <c r="F107" s="1448"/>
      <c r="G107" s="1428"/>
      <c r="H107" s="555"/>
      <c r="I107" s="526"/>
      <c r="J107" s="530"/>
      <c r="K107" s="531"/>
      <c r="L107" s="531"/>
      <c r="M107" s="532"/>
      <c r="N107" s="530"/>
      <c r="O107" s="531"/>
      <c r="P107" s="531"/>
      <c r="Q107" s="532"/>
      <c r="R107" s="526"/>
      <c r="S107" s="541"/>
      <c r="T107" s="542"/>
      <c r="U107" s="543"/>
      <c r="V107" s="543"/>
      <c r="W107" s="543"/>
      <c r="X107" s="544"/>
      <c r="Y107" s="545"/>
      <c r="Z107" s="543"/>
      <c r="AA107" s="543"/>
      <c r="AB107" s="543"/>
      <c r="AC107" s="543"/>
      <c r="AD107" s="543"/>
      <c r="AE107" s="543"/>
      <c r="AF107" s="543"/>
      <c r="AG107" s="543"/>
      <c r="AH107" s="543"/>
      <c r="AI107" s="543"/>
      <c r="AJ107" s="544"/>
      <c r="AK107" s="500"/>
      <c r="AL107" s="500"/>
      <c r="AM107" s="500"/>
      <c r="AN107" s="500"/>
    </row>
    <row r="108" spans="1:40" ht="14.4" hidden="1" customHeight="1" outlineLevel="1">
      <c r="B108" s="902"/>
      <c r="C108" s="527" t="s">
        <v>2676</v>
      </c>
      <c r="D108" s="556" t="s">
        <v>2702</v>
      </c>
      <c r="E108" s="555"/>
      <c r="F108" s="1448"/>
      <c r="G108" s="1428"/>
      <c r="H108" s="555"/>
      <c r="I108" s="526"/>
      <c r="J108" s="530"/>
      <c r="K108" s="531"/>
      <c r="L108" s="531"/>
      <c r="M108" s="532"/>
      <c r="N108" s="530"/>
      <c r="O108" s="531"/>
      <c r="P108" s="531"/>
      <c r="Q108" s="532"/>
      <c r="R108" s="526"/>
      <c r="S108" s="541"/>
      <c r="T108" s="542"/>
      <c r="U108" s="543"/>
      <c r="V108" s="543"/>
      <c r="W108" s="543"/>
      <c r="X108" s="544"/>
      <c r="Y108" s="545"/>
      <c r="Z108" s="543"/>
      <c r="AA108" s="543"/>
      <c r="AB108" s="543"/>
      <c r="AC108" s="543"/>
      <c r="AD108" s="543"/>
      <c r="AE108" s="543"/>
      <c r="AF108" s="543"/>
      <c r="AG108" s="543"/>
      <c r="AH108" s="543"/>
      <c r="AI108" s="543"/>
      <c r="AJ108" s="544"/>
      <c r="AK108" s="500"/>
      <c r="AL108" s="500"/>
      <c r="AM108" s="500"/>
      <c r="AN108" s="500"/>
    </row>
    <row r="109" spans="1:40" ht="14.4" hidden="1" customHeight="1" outlineLevel="1">
      <c r="B109" s="902"/>
      <c r="C109" s="527" t="s">
        <v>2677</v>
      </c>
      <c r="D109" s="556" t="s">
        <v>2703</v>
      </c>
      <c r="E109" s="555"/>
      <c r="F109" s="1448"/>
      <c r="G109" s="1428"/>
      <c r="H109" s="555"/>
      <c r="I109" s="526"/>
      <c r="J109" s="530"/>
      <c r="K109" s="531"/>
      <c r="L109" s="531"/>
      <c r="M109" s="532"/>
      <c r="N109" s="530"/>
      <c r="O109" s="531"/>
      <c r="P109" s="531"/>
      <c r="Q109" s="532"/>
      <c r="R109" s="526"/>
      <c r="S109" s="541"/>
      <c r="T109" s="542"/>
      <c r="U109" s="543"/>
      <c r="V109" s="543"/>
      <c r="W109" s="543"/>
      <c r="X109" s="544"/>
      <c r="Y109" s="545"/>
      <c r="Z109" s="543"/>
      <c r="AA109" s="543"/>
      <c r="AB109" s="543"/>
      <c r="AC109" s="543"/>
      <c r="AD109" s="543"/>
      <c r="AE109" s="543"/>
      <c r="AF109" s="543"/>
      <c r="AG109" s="543"/>
      <c r="AH109" s="543"/>
      <c r="AI109" s="543"/>
      <c r="AJ109" s="544"/>
      <c r="AK109" s="500"/>
      <c r="AL109" s="500"/>
      <c r="AM109" s="500"/>
      <c r="AN109" s="500"/>
    </row>
    <row r="110" spans="1:40" ht="14.4" hidden="1" customHeight="1" outlineLevel="1">
      <c r="B110" s="902"/>
      <c r="C110" s="527" t="s">
        <v>2678</v>
      </c>
      <c r="D110" s="556" t="s">
        <v>2704</v>
      </c>
      <c r="E110" s="555"/>
      <c r="F110" s="1448"/>
      <c r="G110" s="1428"/>
      <c r="H110" s="555"/>
      <c r="I110" s="526"/>
      <c r="J110" s="530"/>
      <c r="K110" s="531"/>
      <c r="L110" s="531"/>
      <c r="M110" s="532"/>
      <c r="N110" s="530"/>
      <c r="O110" s="531"/>
      <c r="P110" s="531"/>
      <c r="Q110" s="532"/>
      <c r="R110" s="526"/>
      <c r="S110" s="541"/>
      <c r="T110" s="542"/>
      <c r="U110" s="543"/>
      <c r="V110" s="543"/>
      <c r="W110" s="543"/>
      <c r="X110" s="544"/>
      <c r="Y110" s="545"/>
      <c r="Z110" s="543"/>
      <c r="AA110" s="543"/>
      <c r="AB110" s="543"/>
      <c r="AC110" s="543"/>
      <c r="AD110" s="543"/>
      <c r="AE110" s="543"/>
      <c r="AF110" s="543"/>
      <c r="AG110" s="543"/>
      <c r="AH110" s="543"/>
      <c r="AI110" s="543"/>
      <c r="AJ110" s="544"/>
      <c r="AK110" s="500"/>
      <c r="AL110" s="500"/>
      <c r="AM110" s="500"/>
      <c r="AN110" s="500"/>
    </row>
    <row r="111" spans="1:40" s="502" customFormat="1" ht="14.4" hidden="1" customHeight="1" outlineLevel="1" thickBot="1">
      <c r="A111" s="504"/>
      <c r="B111" s="904"/>
      <c r="C111" s="548"/>
      <c r="D111" s="549" t="s">
        <v>2794</v>
      </c>
      <c r="E111" s="550"/>
      <c r="F111" s="1449">
        <f>SUM(F104:F110)</f>
        <v>0</v>
      </c>
      <c r="G111" s="1430">
        <f t="shared" ref="G111:I111" si="335">SUM(G104:G110)</f>
        <v>0</v>
      </c>
      <c r="H111" s="549">
        <f t="shared" si="335"/>
        <v>0</v>
      </c>
      <c r="I111" s="549">
        <f t="shared" si="335"/>
        <v>0</v>
      </c>
      <c r="J111" s="551">
        <f t="shared" ref="J111" si="336">SUM(J104:J110)</f>
        <v>0</v>
      </c>
      <c r="K111" s="552">
        <f t="shared" ref="K111" si="337">SUM(K104:K110)</f>
        <v>0</v>
      </c>
      <c r="L111" s="552">
        <f t="shared" ref="L111" si="338">SUM(L104:L110)</f>
        <v>0</v>
      </c>
      <c r="M111" s="553">
        <f t="shared" ref="M111" si="339">SUM(M104:M110)</f>
        <v>0</v>
      </c>
      <c r="N111" s="551">
        <f t="shared" ref="N111" si="340">SUM(N104:N110)</f>
        <v>0</v>
      </c>
      <c r="O111" s="552">
        <f t="shared" ref="O111" si="341">SUM(O104:O110)</f>
        <v>0</v>
      </c>
      <c r="P111" s="552">
        <f t="shared" ref="P111" si="342">SUM(P104:P110)</f>
        <v>0</v>
      </c>
      <c r="Q111" s="553">
        <f t="shared" ref="Q111" si="343">SUM(Q104:Q110)</f>
        <v>0</v>
      </c>
      <c r="R111" s="554">
        <f t="shared" ref="R111" si="344">SUM(R104:R110)</f>
        <v>0</v>
      </c>
      <c r="S111" s="541">
        <f t="shared" ref="S111" si="345">SUM(S104:S110)</f>
        <v>0</v>
      </c>
      <c r="T111" s="542">
        <f t="shared" ref="T111" si="346">SUM(T104:T110)</f>
        <v>0</v>
      </c>
      <c r="U111" s="543">
        <f t="shared" ref="U111" si="347">SUM(U104:U110)</f>
        <v>0</v>
      </c>
      <c r="V111" s="543">
        <f t="shared" ref="V111" si="348">SUM(V104:V110)</f>
        <v>0</v>
      </c>
      <c r="W111" s="543">
        <f t="shared" ref="W111" si="349">SUM(W104:W110)</f>
        <v>0</v>
      </c>
      <c r="X111" s="544">
        <f t="shared" ref="X111" si="350">SUM(X104:X110)</f>
        <v>0</v>
      </c>
      <c r="Y111" s="545">
        <f t="shared" ref="Y111" si="351">SUM(Y104:Y110)</f>
        <v>0</v>
      </c>
      <c r="Z111" s="543">
        <f t="shared" ref="Z111" si="352">SUM(Z104:Z110)</f>
        <v>0</v>
      </c>
      <c r="AA111" s="543">
        <f t="shared" ref="AA111" si="353">SUM(AA104:AA110)</f>
        <v>0</v>
      </c>
      <c r="AB111" s="543">
        <f t="shared" ref="AB111" si="354">SUM(AB104:AB110)</f>
        <v>0</v>
      </c>
      <c r="AC111" s="543">
        <f t="shared" ref="AC111" si="355">SUM(AC104:AC110)</f>
        <v>0</v>
      </c>
      <c r="AD111" s="543">
        <f t="shared" ref="AD111" si="356">SUM(AD104:AD110)</f>
        <v>0</v>
      </c>
      <c r="AE111" s="543">
        <f t="shared" ref="AE111" si="357">SUM(AE104:AE110)</f>
        <v>0</v>
      </c>
      <c r="AF111" s="543">
        <f t="shared" ref="AF111" si="358">SUM(AF104:AF110)</f>
        <v>0</v>
      </c>
      <c r="AG111" s="543">
        <f t="shared" ref="AG111" si="359">SUM(AG104:AG110)</f>
        <v>0</v>
      </c>
      <c r="AH111" s="543">
        <f t="shared" ref="AH111" si="360">SUM(AH104:AH110)</f>
        <v>0</v>
      </c>
      <c r="AI111" s="543">
        <f t="shared" ref="AI111" si="361">SUM(AI104:AI110)</f>
        <v>0</v>
      </c>
      <c r="AJ111" s="544">
        <f t="shared" ref="AJ111" si="362">SUM(AJ104:AJ110)</f>
        <v>0</v>
      </c>
      <c r="AK111" s="504"/>
      <c r="AL111" s="504"/>
      <c r="AM111" s="504"/>
      <c r="AN111" s="504"/>
    </row>
    <row r="112" spans="1:40" ht="14.4" customHeight="1" collapsed="1">
      <c r="B112" s="901"/>
      <c r="C112" s="546" t="s">
        <v>2679</v>
      </c>
      <c r="D112" s="529" t="s">
        <v>2715</v>
      </c>
      <c r="E112" s="526"/>
      <c r="F112" s="1448">
        <f>F115</f>
        <v>0</v>
      </c>
      <c r="G112" s="1427">
        <f t="shared" ref="G112:I112" si="363">G115</f>
        <v>0</v>
      </c>
      <c r="H112" s="526">
        <f t="shared" si="363"/>
        <v>0</v>
      </c>
      <c r="I112" s="526">
        <f t="shared" si="363"/>
        <v>0</v>
      </c>
      <c r="J112" s="530">
        <f t="shared" ref="J112:AJ112" si="364">J115</f>
        <v>0</v>
      </c>
      <c r="K112" s="531">
        <f t="shared" si="364"/>
        <v>0</v>
      </c>
      <c r="L112" s="531">
        <f t="shared" si="364"/>
        <v>0</v>
      </c>
      <c r="M112" s="532">
        <f t="shared" si="364"/>
        <v>0</v>
      </c>
      <c r="N112" s="530">
        <f t="shared" si="364"/>
        <v>0</v>
      </c>
      <c r="O112" s="531">
        <f t="shared" si="364"/>
        <v>0</v>
      </c>
      <c r="P112" s="531">
        <f t="shared" si="364"/>
        <v>0</v>
      </c>
      <c r="Q112" s="532">
        <f t="shared" si="364"/>
        <v>0</v>
      </c>
      <c r="R112" s="526">
        <f t="shared" si="364"/>
        <v>0</v>
      </c>
      <c r="S112" s="541">
        <f t="shared" si="364"/>
        <v>0</v>
      </c>
      <c r="T112" s="542">
        <f t="shared" si="364"/>
        <v>0</v>
      </c>
      <c r="U112" s="543">
        <f t="shared" si="364"/>
        <v>0</v>
      </c>
      <c r="V112" s="543">
        <f t="shared" si="364"/>
        <v>0</v>
      </c>
      <c r="W112" s="543">
        <f t="shared" si="364"/>
        <v>0</v>
      </c>
      <c r="X112" s="544">
        <f t="shared" si="364"/>
        <v>0</v>
      </c>
      <c r="Y112" s="545">
        <f t="shared" si="364"/>
        <v>0</v>
      </c>
      <c r="Z112" s="543">
        <f t="shared" si="364"/>
        <v>0</v>
      </c>
      <c r="AA112" s="543">
        <f t="shared" si="364"/>
        <v>0</v>
      </c>
      <c r="AB112" s="543">
        <f t="shared" si="364"/>
        <v>0</v>
      </c>
      <c r="AC112" s="543">
        <f t="shared" si="364"/>
        <v>0</v>
      </c>
      <c r="AD112" s="543">
        <f t="shared" si="364"/>
        <v>0</v>
      </c>
      <c r="AE112" s="543">
        <f t="shared" si="364"/>
        <v>0</v>
      </c>
      <c r="AF112" s="543">
        <f t="shared" si="364"/>
        <v>0</v>
      </c>
      <c r="AG112" s="543">
        <f t="shared" si="364"/>
        <v>0</v>
      </c>
      <c r="AH112" s="543">
        <f t="shared" si="364"/>
        <v>0</v>
      </c>
      <c r="AI112" s="543">
        <f t="shared" si="364"/>
        <v>0</v>
      </c>
      <c r="AJ112" s="544">
        <f t="shared" si="364"/>
        <v>0</v>
      </c>
      <c r="AK112" s="500"/>
      <c r="AL112" s="500"/>
      <c r="AM112" s="500"/>
      <c r="AN112" s="500"/>
    </row>
    <row r="113" spans="1:40" ht="14.4" hidden="1" customHeight="1" outlineLevel="1">
      <c r="B113" s="902"/>
      <c r="C113" s="527" t="s">
        <v>2680</v>
      </c>
      <c r="D113" s="556" t="s">
        <v>2705</v>
      </c>
      <c r="E113" s="555"/>
      <c r="F113" s="1448"/>
      <c r="G113" s="1428"/>
      <c r="H113" s="555"/>
      <c r="I113" s="526"/>
      <c r="J113" s="530"/>
      <c r="K113" s="531"/>
      <c r="L113" s="531"/>
      <c r="M113" s="532"/>
      <c r="N113" s="530"/>
      <c r="O113" s="531"/>
      <c r="P113" s="531"/>
      <c r="Q113" s="532"/>
      <c r="R113" s="526"/>
      <c r="S113" s="541"/>
      <c r="T113" s="542"/>
      <c r="U113" s="543"/>
      <c r="V113" s="543"/>
      <c r="W113" s="543"/>
      <c r="X113" s="544"/>
      <c r="Y113" s="545"/>
      <c r="Z113" s="543"/>
      <c r="AA113" s="543"/>
      <c r="AB113" s="543"/>
      <c r="AC113" s="543"/>
      <c r="AD113" s="543"/>
      <c r="AE113" s="543"/>
      <c r="AF113" s="543"/>
      <c r="AG113" s="543"/>
      <c r="AH113" s="543"/>
      <c r="AI113" s="543"/>
      <c r="AJ113" s="544"/>
      <c r="AK113" s="500"/>
      <c r="AL113" s="500"/>
      <c r="AM113" s="500"/>
      <c r="AN113" s="500"/>
    </row>
    <row r="114" spans="1:40" s="502" customFormat="1" ht="14.4" hidden="1" customHeight="1" outlineLevel="1">
      <c r="A114" s="504"/>
      <c r="B114" s="902"/>
      <c r="C114" s="527" t="s">
        <v>2681</v>
      </c>
      <c r="D114" s="556" t="s">
        <v>2535</v>
      </c>
      <c r="E114" s="555"/>
      <c r="F114" s="1448"/>
      <c r="G114" s="1428"/>
      <c r="H114" s="555"/>
      <c r="I114" s="526"/>
      <c r="J114" s="530"/>
      <c r="K114" s="531"/>
      <c r="L114" s="531"/>
      <c r="M114" s="532"/>
      <c r="N114" s="530"/>
      <c r="O114" s="531"/>
      <c r="P114" s="531"/>
      <c r="Q114" s="532"/>
      <c r="R114" s="526"/>
      <c r="S114" s="541"/>
      <c r="T114" s="542"/>
      <c r="U114" s="543"/>
      <c r="V114" s="543"/>
      <c r="W114" s="543"/>
      <c r="X114" s="544"/>
      <c r="Y114" s="545"/>
      <c r="Z114" s="543"/>
      <c r="AA114" s="543"/>
      <c r="AB114" s="543"/>
      <c r="AC114" s="543"/>
      <c r="AD114" s="543"/>
      <c r="AE114" s="543"/>
      <c r="AF114" s="543"/>
      <c r="AG114" s="543"/>
      <c r="AH114" s="543"/>
      <c r="AI114" s="543"/>
      <c r="AJ114" s="544"/>
      <c r="AK114" s="504"/>
      <c r="AL114" s="504"/>
      <c r="AM114" s="504"/>
      <c r="AN114" s="504"/>
    </row>
    <row r="115" spans="1:40" ht="14.4" hidden="1" customHeight="1" outlineLevel="1" thickBot="1">
      <c r="B115" s="904"/>
      <c r="C115" s="548"/>
      <c r="D115" s="549" t="s">
        <v>2794</v>
      </c>
      <c r="E115" s="550"/>
      <c r="F115" s="1449">
        <f>SUM(F113:F114)</f>
        <v>0</v>
      </c>
      <c r="G115" s="1430">
        <f t="shared" ref="G115:I115" si="365">SUM(G113:G114)</f>
        <v>0</v>
      </c>
      <c r="H115" s="549">
        <f t="shared" si="365"/>
        <v>0</v>
      </c>
      <c r="I115" s="549">
        <f t="shared" si="365"/>
        <v>0</v>
      </c>
      <c r="J115" s="551">
        <f t="shared" ref="J115" si="366">SUM(J113:J114)</f>
        <v>0</v>
      </c>
      <c r="K115" s="552">
        <f t="shared" ref="K115" si="367">SUM(K113:K114)</f>
        <v>0</v>
      </c>
      <c r="L115" s="552">
        <f t="shared" ref="L115" si="368">SUM(L113:L114)</f>
        <v>0</v>
      </c>
      <c r="M115" s="553">
        <f t="shared" ref="M115" si="369">SUM(M113:M114)</f>
        <v>0</v>
      </c>
      <c r="N115" s="551">
        <f t="shared" ref="N115" si="370">SUM(N113:N114)</f>
        <v>0</v>
      </c>
      <c r="O115" s="552">
        <f t="shared" ref="O115" si="371">SUM(O113:O114)</f>
        <v>0</v>
      </c>
      <c r="P115" s="552">
        <f t="shared" ref="P115" si="372">SUM(P113:P114)</f>
        <v>0</v>
      </c>
      <c r="Q115" s="553">
        <f t="shared" ref="Q115" si="373">SUM(Q113:Q114)</f>
        <v>0</v>
      </c>
      <c r="R115" s="554">
        <f t="shared" ref="R115" si="374">SUM(R113:R114)</f>
        <v>0</v>
      </c>
      <c r="S115" s="541">
        <f t="shared" ref="S115" si="375">SUM(S113:S114)</f>
        <v>0</v>
      </c>
      <c r="T115" s="542">
        <f t="shared" ref="T115" si="376">SUM(T113:T114)</f>
        <v>0</v>
      </c>
      <c r="U115" s="543">
        <f t="shared" ref="U115" si="377">SUM(U113:U114)</f>
        <v>0</v>
      </c>
      <c r="V115" s="543">
        <f t="shared" ref="V115" si="378">SUM(V113:V114)</f>
        <v>0</v>
      </c>
      <c r="W115" s="543">
        <f t="shared" ref="W115" si="379">SUM(W113:W114)</f>
        <v>0</v>
      </c>
      <c r="X115" s="544">
        <f t="shared" ref="X115" si="380">SUM(X113:X114)</f>
        <v>0</v>
      </c>
      <c r="Y115" s="545">
        <f t="shared" ref="Y115" si="381">SUM(Y113:Y114)</f>
        <v>0</v>
      </c>
      <c r="Z115" s="543">
        <f t="shared" ref="Z115" si="382">SUM(Z113:Z114)</f>
        <v>0</v>
      </c>
      <c r="AA115" s="543">
        <f t="shared" ref="AA115" si="383">SUM(AA113:AA114)</f>
        <v>0</v>
      </c>
      <c r="AB115" s="543">
        <f t="shared" ref="AB115" si="384">SUM(AB113:AB114)</f>
        <v>0</v>
      </c>
      <c r="AC115" s="543">
        <f t="shared" ref="AC115" si="385">SUM(AC113:AC114)</f>
        <v>0</v>
      </c>
      <c r="AD115" s="543">
        <f t="shared" ref="AD115" si="386">SUM(AD113:AD114)</f>
        <v>0</v>
      </c>
      <c r="AE115" s="543">
        <f t="shared" ref="AE115" si="387">SUM(AE113:AE114)</f>
        <v>0</v>
      </c>
      <c r="AF115" s="543">
        <f t="shared" ref="AF115" si="388">SUM(AF113:AF114)</f>
        <v>0</v>
      </c>
      <c r="AG115" s="543">
        <f t="shared" ref="AG115" si="389">SUM(AG113:AG114)</f>
        <v>0</v>
      </c>
      <c r="AH115" s="543">
        <f t="shared" ref="AH115" si="390">SUM(AH113:AH114)</f>
        <v>0</v>
      </c>
      <c r="AI115" s="543">
        <f t="shared" ref="AI115" si="391">SUM(AI113:AI114)</f>
        <v>0</v>
      </c>
      <c r="AJ115" s="544">
        <f t="shared" ref="AJ115" si="392">SUM(AJ113:AJ114)</f>
        <v>0</v>
      </c>
      <c r="AK115" s="500"/>
      <c r="AL115" s="500"/>
      <c r="AM115" s="500"/>
      <c r="AN115" s="500"/>
    </row>
    <row r="116" spans="1:40" ht="14.4" customHeight="1" collapsed="1" thickBot="1">
      <c r="B116" s="901"/>
      <c r="C116" s="546" t="s">
        <v>2682</v>
      </c>
      <c r="D116" s="529" t="s">
        <v>2716</v>
      </c>
      <c r="E116" s="526"/>
      <c r="F116" s="1448">
        <f>F125</f>
        <v>0</v>
      </c>
      <c r="G116" s="1427">
        <f t="shared" ref="G116:I116" si="393">G125</f>
        <v>0</v>
      </c>
      <c r="H116" s="526">
        <f t="shared" si="393"/>
        <v>0</v>
      </c>
      <c r="I116" s="526">
        <f t="shared" si="393"/>
        <v>0</v>
      </c>
      <c r="J116" s="530">
        <f t="shared" ref="J116:AJ116" si="394">J125</f>
        <v>0</v>
      </c>
      <c r="K116" s="531">
        <f t="shared" si="394"/>
        <v>0</v>
      </c>
      <c r="L116" s="531">
        <f t="shared" si="394"/>
        <v>0</v>
      </c>
      <c r="M116" s="532">
        <f t="shared" si="394"/>
        <v>0</v>
      </c>
      <c r="N116" s="530">
        <f t="shared" si="394"/>
        <v>0</v>
      </c>
      <c r="O116" s="531">
        <f t="shared" si="394"/>
        <v>0</v>
      </c>
      <c r="P116" s="531">
        <f t="shared" si="394"/>
        <v>0</v>
      </c>
      <c r="Q116" s="532">
        <f t="shared" si="394"/>
        <v>0</v>
      </c>
      <c r="R116" s="526">
        <f t="shared" si="394"/>
        <v>0</v>
      </c>
      <c r="S116" s="541">
        <f t="shared" si="394"/>
        <v>0</v>
      </c>
      <c r="T116" s="542">
        <f t="shared" si="394"/>
        <v>0</v>
      </c>
      <c r="U116" s="543">
        <f t="shared" si="394"/>
        <v>0</v>
      </c>
      <c r="V116" s="543">
        <f t="shared" si="394"/>
        <v>0</v>
      </c>
      <c r="W116" s="543">
        <f t="shared" si="394"/>
        <v>0</v>
      </c>
      <c r="X116" s="544">
        <f t="shared" si="394"/>
        <v>0</v>
      </c>
      <c r="Y116" s="545">
        <f t="shared" si="394"/>
        <v>0</v>
      </c>
      <c r="Z116" s="543">
        <f t="shared" si="394"/>
        <v>0</v>
      </c>
      <c r="AA116" s="543">
        <f t="shared" si="394"/>
        <v>0</v>
      </c>
      <c r="AB116" s="543">
        <f t="shared" si="394"/>
        <v>0</v>
      </c>
      <c r="AC116" s="543">
        <f t="shared" si="394"/>
        <v>0</v>
      </c>
      <c r="AD116" s="543">
        <f t="shared" si="394"/>
        <v>0</v>
      </c>
      <c r="AE116" s="543">
        <f t="shared" si="394"/>
        <v>0</v>
      </c>
      <c r="AF116" s="543">
        <f t="shared" si="394"/>
        <v>0</v>
      </c>
      <c r="AG116" s="543">
        <f t="shared" si="394"/>
        <v>0</v>
      </c>
      <c r="AH116" s="543">
        <f t="shared" si="394"/>
        <v>0</v>
      </c>
      <c r="AI116" s="543">
        <f t="shared" si="394"/>
        <v>0</v>
      </c>
      <c r="AJ116" s="544">
        <f t="shared" si="394"/>
        <v>0</v>
      </c>
      <c r="AK116" s="500"/>
      <c r="AL116" s="500"/>
      <c r="AM116" s="500"/>
      <c r="AN116" s="500"/>
    </row>
    <row r="117" spans="1:40" ht="14.4" hidden="1" customHeight="1" outlineLevel="1">
      <c r="B117" s="902"/>
      <c r="C117" s="527" t="s">
        <v>2683</v>
      </c>
      <c r="D117" s="556" t="s">
        <v>2706</v>
      </c>
      <c r="E117" s="555"/>
      <c r="F117" s="1448"/>
      <c r="G117" s="1428"/>
      <c r="H117" s="555"/>
      <c r="I117" s="526"/>
      <c r="J117" s="530"/>
      <c r="K117" s="531"/>
      <c r="L117" s="531"/>
      <c r="M117" s="532"/>
      <c r="N117" s="530"/>
      <c r="O117" s="531"/>
      <c r="P117" s="531"/>
      <c r="Q117" s="532"/>
      <c r="R117" s="526"/>
      <c r="S117" s="541"/>
      <c r="T117" s="542"/>
      <c r="U117" s="543"/>
      <c r="V117" s="543"/>
      <c r="W117" s="543"/>
      <c r="X117" s="544"/>
      <c r="Y117" s="545"/>
      <c r="Z117" s="543"/>
      <c r="AA117" s="543"/>
      <c r="AB117" s="543"/>
      <c r="AC117" s="543"/>
      <c r="AD117" s="543"/>
      <c r="AE117" s="543"/>
      <c r="AF117" s="543"/>
      <c r="AG117" s="543"/>
      <c r="AH117" s="543"/>
      <c r="AI117" s="543"/>
      <c r="AJ117" s="544"/>
      <c r="AK117" s="500"/>
      <c r="AL117" s="500"/>
      <c r="AM117" s="500"/>
      <c r="AN117" s="500"/>
    </row>
    <row r="118" spans="1:40" ht="14.4" hidden="1" customHeight="1" outlineLevel="1">
      <c r="B118" s="902"/>
      <c r="C118" s="527" t="s">
        <v>2684</v>
      </c>
      <c r="D118" s="556" t="s">
        <v>2707</v>
      </c>
      <c r="E118" s="555"/>
      <c r="F118" s="1448"/>
      <c r="G118" s="1428"/>
      <c r="H118" s="555"/>
      <c r="I118" s="526"/>
      <c r="J118" s="530"/>
      <c r="K118" s="531"/>
      <c r="L118" s="531"/>
      <c r="M118" s="532"/>
      <c r="N118" s="530"/>
      <c r="O118" s="531"/>
      <c r="P118" s="531"/>
      <c r="Q118" s="532"/>
      <c r="R118" s="526"/>
      <c r="S118" s="541"/>
      <c r="T118" s="542"/>
      <c r="U118" s="543"/>
      <c r="V118" s="543"/>
      <c r="W118" s="543"/>
      <c r="X118" s="544"/>
      <c r="Y118" s="545"/>
      <c r="Z118" s="543"/>
      <c r="AA118" s="543"/>
      <c r="AB118" s="543"/>
      <c r="AC118" s="543"/>
      <c r="AD118" s="543"/>
      <c r="AE118" s="543"/>
      <c r="AF118" s="543"/>
      <c r="AG118" s="543"/>
      <c r="AH118" s="543"/>
      <c r="AI118" s="543"/>
      <c r="AJ118" s="544"/>
      <c r="AK118" s="500"/>
      <c r="AL118" s="500"/>
      <c r="AM118" s="500"/>
      <c r="AN118" s="500"/>
    </row>
    <row r="119" spans="1:40" ht="14.4" hidden="1" customHeight="1" outlineLevel="1">
      <c r="B119" s="902"/>
      <c r="C119" s="527" t="s">
        <v>2685</v>
      </c>
      <c r="D119" s="556" t="s">
        <v>2708</v>
      </c>
      <c r="E119" s="555"/>
      <c r="F119" s="1448"/>
      <c r="G119" s="1428"/>
      <c r="H119" s="555"/>
      <c r="I119" s="526"/>
      <c r="J119" s="530"/>
      <c r="K119" s="531"/>
      <c r="L119" s="531"/>
      <c r="M119" s="532"/>
      <c r="N119" s="530"/>
      <c r="O119" s="531"/>
      <c r="P119" s="531"/>
      <c r="Q119" s="532"/>
      <c r="R119" s="526"/>
      <c r="S119" s="541"/>
      <c r="T119" s="542"/>
      <c r="U119" s="543"/>
      <c r="V119" s="543"/>
      <c r="W119" s="543"/>
      <c r="X119" s="544"/>
      <c r="Y119" s="545"/>
      <c r="Z119" s="543"/>
      <c r="AA119" s="543"/>
      <c r="AB119" s="543"/>
      <c r="AC119" s="543"/>
      <c r="AD119" s="543"/>
      <c r="AE119" s="543"/>
      <c r="AF119" s="543"/>
      <c r="AG119" s="543"/>
      <c r="AH119" s="543"/>
      <c r="AI119" s="543"/>
      <c r="AJ119" s="544"/>
      <c r="AK119" s="500"/>
      <c r="AL119" s="500"/>
      <c r="AM119" s="500"/>
      <c r="AN119" s="500"/>
    </row>
    <row r="120" spans="1:40" ht="14.4" hidden="1" customHeight="1" outlineLevel="1">
      <c r="B120" s="902"/>
      <c r="C120" s="527" t="s">
        <v>2686</v>
      </c>
      <c r="D120" s="556" t="s">
        <v>2709</v>
      </c>
      <c r="E120" s="555"/>
      <c r="F120" s="1448"/>
      <c r="G120" s="1428"/>
      <c r="H120" s="555"/>
      <c r="I120" s="526"/>
      <c r="J120" s="530"/>
      <c r="K120" s="531"/>
      <c r="L120" s="531"/>
      <c r="M120" s="532"/>
      <c r="N120" s="530"/>
      <c r="O120" s="531"/>
      <c r="P120" s="531"/>
      <c r="Q120" s="532"/>
      <c r="R120" s="526"/>
      <c r="S120" s="541"/>
      <c r="T120" s="542"/>
      <c r="U120" s="543"/>
      <c r="V120" s="543"/>
      <c r="W120" s="543"/>
      <c r="X120" s="544"/>
      <c r="Y120" s="545"/>
      <c r="Z120" s="543"/>
      <c r="AA120" s="543"/>
      <c r="AB120" s="543"/>
      <c r="AC120" s="543"/>
      <c r="AD120" s="543"/>
      <c r="AE120" s="543"/>
      <c r="AF120" s="543"/>
      <c r="AG120" s="543"/>
      <c r="AH120" s="543"/>
      <c r="AI120" s="543"/>
      <c r="AJ120" s="544"/>
      <c r="AK120" s="500"/>
      <c r="AL120" s="500"/>
      <c r="AM120" s="500"/>
      <c r="AN120" s="500"/>
    </row>
    <row r="121" spans="1:40" ht="14.4" hidden="1" customHeight="1" outlineLevel="1">
      <c r="B121" s="902"/>
      <c r="C121" s="527" t="s">
        <v>2687</v>
      </c>
      <c r="D121" s="556" t="s">
        <v>2710</v>
      </c>
      <c r="E121" s="555"/>
      <c r="F121" s="1448"/>
      <c r="G121" s="1428"/>
      <c r="H121" s="555"/>
      <c r="I121" s="526"/>
      <c r="J121" s="530"/>
      <c r="K121" s="531"/>
      <c r="L121" s="531"/>
      <c r="M121" s="532"/>
      <c r="N121" s="530"/>
      <c r="O121" s="531"/>
      <c r="P121" s="531"/>
      <c r="Q121" s="532"/>
      <c r="R121" s="526"/>
      <c r="S121" s="541"/>
      <c r="T121" s="542"/>
      <c r="U121" s="543"/>
      <c r="V121" s="543"/>
      <c r="W121" s="543"/>
      <c r="X121" s="544"/>
      <c r="Y121" s="545"/>
      <c r="Z121" s="543"/>
      <c r="AA121" s="543"/>
      <c r="AB121" s="543"/>
      <c r="AC121" s="543"/>
      <c r="AD121" s="543"/>
      <c r="AE121" s="543"/>
      <c r="AF121" s="543"/>
      <c r="AG121" s="543"/>
      <c r="AH121" s="543"/>
      <c r="AI121" s="543"/>
      <c r="AJ121" s="544"/>
      <c r="AK121" s="500"/>
      <c r="AL121" s="500"/>
      <c r="AM121" s="500"/>
      <c r="AN121" s="500"/>
    </row>
    <row r="122" spans="1:40" ht="14.4" hidden="1" customHeight="1" outlineLevel="1">
      <c r="B122" s="902"/>
      <c r="C122" s="527" t="s">
        <v>2688</v>
      </c>
      <c r="D122" s="556" t="s">
        <v>2711</v>
      </c>
      <c r="E122" s="555"/>
      <c r="F122" s="1448"/>
      <c r="G122" s="1428"/>
      <c r="H122" s="555"/>
      <c r="I122" s="526"/>
      <c r="J122" s="530"/>
      <c r="K122" s="531"/>
      <c r="L122" s="531"/>
      <c r="M122" s="532"/>
      <c r="N122" s="530"/>
      <c r="O122" s="531"/>
      <c r="P122" s="531"/>
      <c r="Q122" s="532"/>
      <c r="R122" s="526"/>
      <c r="S122" s="541"/>
      <c r="T122" s="542"/>
      <c r="U122" s="543"/>
      <c r="V122" s="543"/>
      <c r="W122" s="543"/>
      <c r="X122" s="544"/>
      <c r="Y122" s="545"/>
      <c r="Z122" s="543"/>
      <c r="AA122" s="543"/>
      <c r="AB122" s="543"/>
      <c r="AC122" s="543"/>
      <c r="AD122" s="543"/>
      <c r="AE122" s="543"/>
      <c r="AF122" s="543"/>
      <c r="AG122" s="543"/>
      <c r="AH122" s="543"/>
      <c r="AI122" s="543"/>
      <c r="AJ122" s="544"/>
      <c r="AK122" s="500"/>
      <c r="AL122" s="500"/>
      <c r="AM122" s="500"/>
      <c r="AN122" s="500"/>
    </row>
    <row r="123" spans="1:40" s="502" customFormat="1" ht="14.4" hidden="1" customHeight="1" outlineLevel="1">
      <c r="A123" s="504"/>
      <c r="B123" s="902"/>
      <c r="C123" s="527" t="s">
        <v>2689</v>
      </c>
      <c r="D123" s="556" t="s">
        <v>2712</v>
      </c>
      <c r="E123" s="555"/>
      <c r="F123" s="1448"/>
      <c r="G123" s="1428"/>
      <c r="H123" s="555"/>
      <c r="I123" s="526"/>
      <c r="J123" s="530"/>
      <c r="K123" s="531"/>
      <c r="L123" s="531"/>
      <c r="M123" s="532"/>
      <c r="N123" s="530"/>
      <c r="O123" s="531"/>
      <c r="P123" s="531"/>
      <c r="Q123" s="532"/>
      <c r="R123" s="526"/>
      <c r="S123" s="541"/>
      <c r="T123" s="542"/>
      <c r="U123" s="543"/>
      <c r="V123" s="543"/>
      <c r="W123" s="543"/>
      <c r="X123" s="544"/>
      <c r="Y123" s="545"/>
      <c r="Z123" s="543"/>
      <c r="AA123" s="543"/>
      <c r="AB123" s="543"/>
      <c r="AC123" s="543"/>
      <c r="AD123" s="543"/>
      <c r="AE123" s="543"/>
      <c r="AF123" s="543"/>
      <c r="AG123" s="543"/>
      <c r="AH123" s="543"/>
      <c r="AI123" s="543"/>
      <c r="AJ123" s="544"/>
      <c r="AK123" s="504"/>
      <c r="AL123" s="504"/>
      <c r="AM123" s="504"/>
      <c r="AN123" s="504"/>
    </row>
    <row r="124" spans="1:40" ht="14.4" hidden="1" customHeight="1" outlineLevel="1">
      <c r="B124" s="902"/>
      <c r="C124" s="527" t="s">
        <v>2690</v>
      </c>
      <c r="D124" s="556" t="s">
        <v>2713</v>
      </c>
      <c r="E124" s="555"/>
      <c r="F124" s="1448"/>
      <c r="G124" s="1428"/>
      <c r="H124" s="555"/>
      <c r="I124" s="526"/>
      <c r="J124" s="530"/>
      <c r="K124" s="531"/>
      <c r="L124" s="531"/>
      <c r="M124" s="532"/>
      <c r="N124" s="530"/>
      <c r="O124" s="531"/>
      <c r="P124" s="531"/>
      <c r="Q124" s="532"/>
      <c r="R124" s="526"/>
      <c r="S124" s="541"/>
      <c r="T124" s="542"/>
      <c r="U124" s="543"/>
      <c r="V124" s="543"/>
      <c r="W124" s="543"/>
      <c r="X124" s="544"/>
      <c r="Y124" s="545"/>
      <c r="Z124" s="543"/>
      <c r="AA124" s="543"/>
      <c r="AB124" s="543"/>
      <c r="AC124" s="543"/>
      <c r="AD124" s="543"/>
      <c r="AE124" s="543"/>
      <c r="AF124" s="543"/>
      <c r="AG124" s="543"/>
      <c r="AH124" s="543"/>
      <c r="AI124" s="543"/>
      <c r="AJ124" s="544"/>
      <c r="AK124" s="500"/>
      <c r="AL124" s="500"/>
      <c r="AM124" s="500"/>
      <c r="AN124" s="500"/>
    </row>
    <row r="125" spans="1:40" s="502" customFormat="1" ht="14.4" hidden="1" customHeight="1" outlineLevel="1" thickBot="1">
      <c r="A125" s="504"/>
      <c r="B125" s="903"/>
      <c r="C125" s="534"/>
      <c r="D125" s="535" t="s">
        <v>2795</v>
      </c>
      <c r="E125" s="536"/>
      <c r="F125" s="1447">
        <f>SUM(F117:F124)</f>
        <v>0</v>
      </c>
      <c r="G125" s="1429">
        <f t="shared" ref="G125:I125" si="395">SUM(G117:G124)</f>
        <v>0</v>
      </c>
      <c r="H125" s="535">
        <f t="shared" si="395"/>
        <v>0</v>
      </c>
      <c r="I125" s="535">
        <f t="shared" si="395"/>
        <v>0</v>
      </c>
      <c r="J125" s="537">
        <f t="shared" ref="J125" si="396">SUM(J117:J124)</f>
        <v>0</v>
      </c>
      <c r="K125" s="538">
        <f t="shared" ref="K125" si="397">SUM(K117:K124)</f>
        <v>0</v>
      </c>
      <c r="L125" s="538">
        <f t="shared" ref="L125" si="398">SUM(L117:L124)</f>
        <v>0</v>
      </c>
      <c r="M125" s="539">
        <f t="shared" ref="M125" si="399">SUM(M117:M124)</f>
        <v>0</v>
      </c>
      <c r="N125" s="537">
        <f t="shared" ref="N125" si="400">SUM(N117:N124)</f>
        <v>0</v>
      </c>
      <c r="O125" s="538">
        <f t="shared" ref="O125" si="401">SUM(O117:O124)</f>
        <v>0</v>
      </c>
      <c r="P125" s="538">
        <f t="shared" ref="P125" si="402">SUM(P117:P124)</f>
        <v>0</v>
      </c>
      <c r="Q125" s="539">
        <f t="shared" ref="Q125" si="403">SUM(Q117:Q124)</f>
        <v>0</v>
      </c>
      <c r="R125" s="540">
        <f t="shared" ref="R125" si="404">SUM(R117:R124)</f>
        <v>0</v>
      </c>
      <c r="S125" s="541">
        <f t="shared" ref="S125" si="405">SUM(S117:S124)</f>
        <v>0</v>
      </c>
      <c r="T125" s="542">
        <f t="shared" ref="T125" si="406">SUM(T117:T124)</f>
        <v>0</v>
      </c>
      <c r="U125" s="543">
        <f t="shared" ref="U125" si="407">SUM(U117:U124)</f>
        <v>0</v>
      </c>
      <c r="V125" s="543">
        <f t="shared" ref="V125" si="408">SUM(V117:V124)</f>
        <v>0</v>
      </c>
      <c r="W125" s="543">
        <f t="shared" ref="W125" si="409">SUM(W117:W124)</f>
        <v>0</v>
      </c>
      <c r="X125" s="544">
        <f t="shared" ref="X125" si="410">SUM(X117:X124)</f>
        <v>0</v>
      </c>
      <c r="Y125" s="545">
        <f t="shared" ref="Y125" si="411">SUM(Y117:Y124)</f>
        <v>0</v>
      </c>
      <c r="Z125" s="543">
        <f t="shared" ref="Z125" si="412">SUM(Z117:Z124)</f>
        <v>0</v>
      </c>
      <c r="AA125" s="543">
        <f t="shared" ref="AA125" si="413">SUM(AA117:AA124)</f>
        <v>0</v>
      </c>
      <c r="AB125" s="543">
        <f t="shared" ref="AB125" si="414">SUM(AB117:AB124)</f>
        <v>0</v>
      </c>
      <c r="AC125" s="543">
        <f t="shared" ref="AC125" si="415">SUM(AC117:AC124)</f>
        <v>0</v>
      </c>
      <c r="AD125" s="543">
        <f t="shared" ref="AD125" si="416">SUM(AD117:AD124)</f>
        <v>0</v>
      </c>
      <c r="AE125" s="543">
        <f t="shared" ref="AE125" si="417">SUM(AE117:AE124)</f>
        <v>0</v>
      </c>
      <c r="AF125" s="543">
        <f t="shared" ref="AF125" si="418">SUM(AF117:AF124)</f>
        <v>0</v>
      </c>
      <c r="AG125" s="543">
        <f t="shared" ref="AG125" si="419">SUM(AG117:AG124)</f>
        <v>0</v>
      </c>
      <c r="AH125" s="543">
        <f t="shared" ref="AH125" si="420">SUM(AH117:AH124)</f>
        <v>0</v>
      </c>
      <c r="AI125" s="543">
        <f t="shared" ref="AI125" si="421">SUM(AI117:AI124)</f>
        <v>0</v>
      </c>
      <c r="AJ125" s="544">
        <f t="shared" ref="AJ125" si="422">SUM(AJ117:AJ124)</f>
        <v>0</v>
      </c>
      <c r="AK125" s="504"/>
      <c r="AL125" s="504"/>
      <c r="AM125" s="504"/>
      <c r="AN125" s="504"/>
    </row>
    <row r="126" spans="1:40" ht="14.4" customHeight="1" thickBot="1">
      <c r="B126" s="900" t="s">
        <v>111</v>
      </c>
      <c r="C126" s="520" t="s">
        <v>2717</v>
      </c>
      <c r="D126" s="522" t="s">
        <v>2781</v>
      </c>
      <c r="E126" s="519"/>
      <c r="F126" s="1445">
        <f>F128</f>
        <v>0</v>
      </c>
      <c r="G126" s="1426">
        <f t="shared" ref="G126:I126" si="423">G128</f>
        <v>0</v>
      </c>
      <c r="H126" s="519">
        <f t="shared" si="423"/>
        <v>0</v>
      </c>
      <c r="I126" s="519">
        <f t="shared" si="423"/>
        <v>0</v>
      </c>
      <c r="J126" s="523">
        <f t="shared" ref="J126:AJ126" si="424">J128</f>
        <v>0</v>
      </c>
      <c r="K126" s="524">
        <f t="shared" si="424"/>
        <v>0</v>
      </c>
      <c r="L126" s="524">
        <f t="shared" si="424"/>
        <v>0</v>
      </c>
      <c r="M126" s="525">
        <f t="shared" si="424"/>
        <v>0</v>
      </c>
      <c r="N126" s="523">
        <f t="shared" si="424"/>
        <v>0</v>
      </c>
      <c r="O126" s="524">
        <f t="shared" si="424"/>
        <v>0</v>
      </c>
      <c r="P126" s="524">
        <f t="shared" si="424"/>
        <v>0</v>
      </c>
      <c r="Q126" s="525">
        <f t="shared" si="424"/>
        <v>0</v>
      </c>
      <c r="R126" s="519">
        <f t="shared" si="424"/>
        <v>0</v>
      </c>
      <c r="S126" s="541">
        <f t="shared" si="424"/>
        <v>0</v>
      </c>
      <c r="T126" s="646">
        <f t="shared" si="424"/>
        <v>0</v>
      </c>
      <c r="U126" s="647">
        <f t="shared" si="424"/>
        <v>0</v>
      </c>
      <c r="V126" s="647">
        <f t="shared" si="424"/>
        <v>0</v>
      </c>
      <c r="W126" s="647">
        <f t="shared" si="424"/>
        <v>0</v>
      </c>
      <c r="X126" s="648">
        <f t="shared" si="424"/>
        <v>0</v>
      </c>
      <c r="Y126" s="649">
        <f t="shared" si="424"/>
        <v>0</v>
      </c>
      <c r="Z126" s="647">
        <f t="shared" si="424"/>
        <v>0</v>
      </c>
      <c r="AA126" s="647">
        <f t="shared" si="424"/>
        <v>0</v>
      </c>
      <c r="AB126" s="647">
        <f t="shared" si="424"/>
        <v>0</v>
      </c>
      <c r="AC126" s="647">
        <f t="shared" si="424"/>
        <v>0</v>
      </c>
      <c r="AD126" s="647">
        <f t="shared" si="424"/>
        <v>0</v>
      </c>
      <c r="AE126" s="647">
        <f t="shared" si="424"/>
        <v>0</v>
      </c>
      <c r="AF126" s="647">
        <f t="shared" si="424"/>
        <v>0</v>
      </c>
      <c r="AG126" s="647">
        <f t="shared" si="424"/>
        <v>0</v>
      </c>
      <c r="AH126" s="647">
        <f t="shared" si="424"/>
        <v>0</v>
      </c>
      <c r="AI126" s="647">
        <f t="shared" si="424"/>
        <v>0</v>
      </c>
      <c r="AJ126" s="648">
        <f t="shared" si="424"/>
        <v>0</v>
      </c>
      <c r="AK126" s="500"/>
      <c r="AL126" s="500"/>
      <c r="AM126" s="500"/>
      <c r="AN126" s="500"/>
    </row>
    <row r="127" spans="1:40" ht="14.4" customHeight="1" outlineLevel="1">
      <c r="B127" s="902"/>
      <c r="C127" s="527" t="s">
        <v>2718</v>
      </c>
      <c r="D127" s="556" t="s">
        <v>2756</v>
      </c>
      <c r="E127" s="555"/>
      <c r="F127" s="1448"/>
      <c r="G127" s="1428"/>
      <c r="H127" s="555"/>
      <c r="I127" s="526"/>
      <c r="J127" s="530"/>
      <c r="K127" s="531"/>
      <c r="L127" s="531"/>
      <c r="M127" s="532"/>
      <c r="N127" s="530"/>
      <c r="O127" s="531"/>
      <c r="P127" s="531"/>
      <c r="Q127" s="532"/>
      <c r="R127" s="526"/>
      <c r="S127" s="541"/>
      <c r="T127" s="542"/>
      <c r="U127" s="543"/>
      <c r="V127" s="543"/>
      <c r="W127" s="543"/>
      <c r="X127" s="544"/>
      <c r="Y127" s="545"/>
      <c r="Z127" s="543"/>
      <c r="AA127" s="543"/>
      <c r="AB127" s="543"/>
      <c r="AC127" s="543"/>
      <c r="AD127" s="543"/>
      <c r="AE127" s="543"/>
      <c r="AF127" s="543"/>
      <c r="AG127" s="543"/>
      <c r="AH127" s="543"/>
      <c r="AI127" s="543"/>
      <c r="AJ127" s="544"/>
      <c r="AK127" s="500"/>
      <c r="AL127" s="500"/>
      <c r="AM127" s="500"/>
      <c r="AN127" s="500"/>
    </row>
    <row r="128" spans="1:40" ht="14.4" customHeight="1" outlineLevel="1">
      <c r="B128" s="902"/>
      <c r="C128" s="527"/>
      <c r="D128" s="529" t="s">
        <v>2796</v>
      </c>
      <c r="E128" s="555"/>
      <c r="F128" s="1448">
        <f>F127</f>
        <v>0</v>
      </c>
      <c r="G128" s="1428">
        <f t="shared" ref="G128:I128" si="425">G127</f>
        <v>0</v>
      </c>
      <c r="H128" s="555">
        <f t="shared" si="425"/>
        <v>0</v>
      </c>
      <c r="I128" s="526">
        <f t="shared" si="425"/>
        <v>0</v>
      </c>
      <c r="J128" s="530">
        <f t="shared" ref="J128" si="426">J127</f>
        <v>0</v>
      </c>
      <c r="K128" s="531">
        <f t="shared" ref="K128" si="427">K127</f>
        <v>0</v>
      </c>
      <c r="L128" s="531">
        <f t="shared" ref="L128" si="428">L127</f>
        <v>0</v>
      </c>
      <c r="M128" s="532">
        <f t="shared" ref="M128" si="429">M127</f>
        <v>0</v>
      </c>
      <c r="N128" s="530">
        <f t="shared" ref="N128" si="430">N127</f>
        <v>0</v>
      </c>
      <c r="O128" s="531">
        <f t="shared" ref="O128" si="431">O127</f>
        <v>0</v>
      </c>
      <c r="P128" s="531">
        <f t="shared" ref="P128" si="432">P127</f>
        <v>0</v>
      </c>
      <c r="Q128" s="532">
        <f t="shared" ref="Q128" si="433">Q127</f>
        <v>0</v>
      </c>
      <c r="R128" s="526">
        <f t="shared" ref="R128" si="434">R127</f>
        <v>0</v>
      </c>
      <c r="S128" s="541">
        <f t="shared" ref="S128" si="435">S127</f>
        <v>0</v>
      </c>
      <c r="T128" s="542">
        <f t="shared" ref="T128" si="436">T127</f>
        <v>0</v>
      </c>
      <c r="U128" s="543">
        <f t="shared" ref="U128" si="437">U127</f>
        <v>0</v>
      </c>
      <c r="V128" s="543">
        <f t="shared" ref="V128" si="438">V127</f>
        <v>0</v>
      </c>
      <c r="W128" s="543">
        <f t="shared" ref="W128" si="439">W127</f>
        <v>0</v>
      </c>
      <c r="X128" s="544">
        <f t="shared" ref="X128" si="440">X127</f>
        <v>0</v>
      </c>
      <c r="Y128" s="545">
        <f t="shared" ref="Y128" si="441">Y127</f>
        <v>0</v>
      </c>
      <c r="Z128" s="543">
        <f t="shared" ref="Z128" si="442">Z127</f>
        <v>0</v>
      </c>
      <c r="AA128" s="543">
        <f t="shared" ref="AA128" si="443">AA127</f>
        <v>0</v>
      </c>
      <c r="AB128" s="543">
        <f t="shared" ref="AB128" si="444">AB127</f>
        <v>0</v>
      </c>
      <c r="AC128" s="543">
        <f t="shared" ref="AC128" si="445">AC127</f>
        <v>0</v>
      </c>
      <c r="AD128" s="543">
        <f t="shared" ref="AD128" si="446">AD127</f>
        <v>0</v>
      </c>
      <c r="AE128" s="543">
        <f t="shared" ref="AE128" si="447">AE127</f>
        <v>0</v>
      </c>
      <c r="AF128" s="543">
        <f t="shared" ref="AF128" si="448">AF127</f>
        <v>0</v>
      </c>
      <c r="AG128" s="543">
        <f t="shared" ref="AG128" si="449">AG127</f>
        <v>0</v>
      </c>
      <c r="AH128" s="543">
        <f t="shared" ref="AH128" si="450">AH127</f>
        <v>0</v>
      </c>
      <c r="AI128" s="543">
        <f t="shared" ref="AI128" si="451">AI127</f>
        <v>0</v>
      </c>
      <c r="AJ128" s="544">
        <f t="shared" ref="AJ128" si="452">AJ127</f>
        <v>0</v>
      </c>
      <c r="AK128" s="500"/>
      <c r="AL128" s="500"/>
      <c r="AM128" s="500"/>
      <c r="AN128" s="500"/>
    </row>
    <row r="129" spans="1:40" ht="14.4" customHeight="1" collapsed="1">
      <c r="B129" s="905"/>
      <c r="C129" s="565" t="s">
        <v>2719</v>
      </c>
      <c r="D129" s="566" t="s">
        <v>2782</v>
      </c>
      <c r="E129" s="567"/>
      <c r="F129" s="1450">
        <f>F133</f>
        <v>0</v>
      </c>
      <c r="G129" s="1431">
        <f t="shared" ref="G129:I129" si="453">G133</f>
        <v>0</v>
      </c>
      <c r="H129" s="567">
        <f t="shared" si="453"/>
        <v>0</v>
      </c>
      <c r="I129" s="567">
        <f t="shared" si="453"/>
        <v>0</v>
      </c>
      <c r="J129" s="568">
        <f t="shared" ref="J129:AJ129" si="454">J133</f>
        <v>0</v>
      </c>
      <c r="K129" s="569">
        <f t="shared" si="454"/>
        <v>0</v>
      </c>
      <c r="L129" s="569">
        <f t="shared" si="454"/>
        <v>0</v>
      </c>
      <c r="M129" s="570">
        <f t="shared" si="454"/>
        <v>0</v>
      </c>
      <c r="N129" s="568">
        <f t="shared" si="454"/>
        <v>0</v>
      </c>
      <c r="O129" s="569">
        <f t="shared" si="454"/>
        <v>0</v>
      </c>
      <c r="P129" s="569">
        <f t="shared" si="454"/>
        <v>0</v>
      </c>
      <c r="Q129" s="570">
        <f t="shared" si="454"/>
        <v>0</v>
      </c>
      <c r="R129" s="567">
        <f t="shared" si="454"/>
        <v>0</v>
      </c>
      <c r="S129" s="541">
        <f t="shared" si="454"/>
        <v>0</v>
      </c>
      <c r="T129" s="646">
        <f t="shared" si="454"/>
        <v>0</v>
      </c>
      <c r="U129" s="647">
        <f t="shared" si="454"/>
        <v>0</v>
      </c>
      <c r="V129" s="647">
        <f t="shared" si="454"/>
        <v>0</v>
      </c>
      <c r="W129" s="647">
        <f t="shared" si="454"/>
        <v>0</v>
      </c>
      <c r="X129" s="648">
        <f t="shared" si="454"/>
        <v>0</v>
      </c>
      <c r="Y129" s="649">
        <f t="shared" si="454"/>
        <v>0</v>
      </c>
      <c r="Z129" s="647">
        <f t="shared" si="454"/>
        <v>0</v>
      </c>
      <c r="AA129" s="647">
        <f t="shared" si="454"/>
        <v>0</v>
      </c>
      <c r="AB129" s="647">
        <f t="shared" si="454"/>
        <v>0</v>
      </c>
      <c r="AC129" s="647">
        <f t="shared" si="454"/>
        <v>0</v>
      </c>
      <c r="AD129" s="647">
        <f t="shared" si="454"/>
        <v>0</v>
      </c>
      <c r="AE129" s="647">
        <f t="shared" si="454"/>
        <v>0</v>
      </c>
      <c r="AF129" s="647">
        <f t="shared" si="454"/>
        <v>0</v>
      </c>
      <c r="AG129" s="647">
        <f t="shared" si="454"/>
        <v>0</v>
      </c>
      <c r="AH129" s="647">
        <f t="shared" si="454"/>
        <v>0</v>
      </c>
      <c r="AI129" s="647">
        <f t="shared" si="454"/>
        <v>0</v>
      </c>
      <c r="AJ129" s="648">
        <f t="shared" si="454"/>
        <v>0</v>
      </c>
      <c r="AK129" s="500"/>
      <c r="AL129" s="500"/>
      <c r="AM129" s="500"/>
      <c r="AN129" s="500"/>
    </row>
    <row r="130" spans="1:40" s="502" customFormat="1" ht="14.4" hidden="1" customHeight="1" outlineLevel="1">
      <c r="A130" s="504"/>
      <c r="B130" s="902"/>
      <c r="C130" s="527" t="s">
        <v>2720</v>
      </c>
      <c r="D130" s="556" t="s">
        <v>2757</v>
      </c>
      <c r="E130" s="555"/>
      <c r="F130" s="1448"/>
      <c r="G130" s="1428"/>
      <c r="H130" s="555"/>
      <c r="I130" s="526"/>
      <c r="J130" s="530"/>
      <c r="K130" s="531"/>
      <c r="L130" s="531"/>
      <c r="M130" s="532"/>
      <c r="N130" s="530"/>
      <c r="O130" s="531"/>
      <c r="P130" s="531"/>
      <c r="Q130" s="532"/>
      <c r="R130" s="526"/>
      <c r="S130" s="541"/>
      <c r="T130" s="542"/>
      <c r="U130" s="543"/>
      <c r="V130" s="543"/>
      <c r="W130" s="543"/>
      <c r="X130" s="544"/>
      <c r="Y130" s="545"/>
      <c r="Z130" s="543"/>
      <c r="AA130" s="543"/>
      <c r="AB130" s="543"/>
      <c r="AC130" s="543"/>
      <c r="AD130" s="543"/>
      <c r="AE130" s="543"/>
      <c r="AF130" s="543"/>
      <c r="AG130" s="543"/>
      <c r="AH130" s="543"/>
      <c r="AI130" s="543"/>
      <c r="AJ130" s="544"/>
      <c r="AK130" s="504"/>
      <c r="AL130" s="504"/>
      <c r="AM130" s="504"/>
      <c r="AN130" s="504"/>
    </row>
    <row r="131" spans="1:40" ht="14.4" hidden="1" customHeight="1" outlineLevel="1">
      <c r="B131" s="902"/>
      <c r="C131" s="527" t="s">
        <v>2721</v>
      </c>
      <c r="D131" s="556" t="s">
        <v>2758</v>
      </c>
      <c r="E131" s="555"/>
      <c r="F131" s="1448"/>
      <c r="G131" s="1428"/>
      <c r="H131" s="555"/>
      <c r="I131" s="526"/>
      <c r="J131" s="530"/>
      <c r="K131" s="531"/>
      <c r="L131" s="531"/>
      <c r="M131" s="532"/>
      <c r="N131" s="530"/>
      <c r="O131" s="531"/>
      <c r="P131" s="531"/>
      <c r="Q131" s="532"/>
      <c r="R131" s="526"/>
      <c r="S131" s="541"/>
      <c r="T131" s="542"/>
      <c r="U131" s="543"/>
      <c r="V131" s="543"/>
      <c r="W131" s="543"/>
      <c r="X131" s="544"/>
      <c r="Y131" s="545"/>
      <c r="Z131" s="543"/>
      <c r="AA131" s="543"/>
      <c r="AB131" s="543"/>
      <c r="AC131" s="543"/>
      <c r="AD131" s="543"/>
      <c r="AE131" s="543"/>
      <c r="AF131" s="543"/>
      <c r="AG131" s="543"/>
      <c r="AH131" s="543"/>
      <c r="AI131" s="543"/>
      <c r="AJ131" s="544"/>
      <c r="AK131" s="500"/>
      <c r="AL131" s="500"/>
      <c r="AM131" s="500"/>
      <c r="AN131" s="500"/>
    </row>
    <row r="132" spans="1:40" ht="14.4" hidden="1" customHeight="1" outlineLevel="1">
      <c r="B132" s="902"/>
      <c r="C132" s="527" t="s">
        <v>2722</v>
      </c>
      <c r="D132" s="556" t="s">
        <v>2759</v>
      </c>
      <c r="E132" s="555"/>
      <c r="F132" s="1448"/>
      <c r="G132" s="1428"/>
      <c r="H132" s="555"/>
      <c r="I132" s="526"/>
      <c r="J132" s="530"/>
      <c r="K132" s="531"/>
      <c r="L132" s="531"/>
      <c r="M132" s="532"/>
      <c r="N132" s="530"/>
      <c r="O132" s="531"/>
      <c r="P132" s="531"/>
      <c r="Q132" s="532"/>
      <c r="R132" s="526"/>
      <c r="S132" s="541"/>
      <c r="T132" s="542"/>
      <c r="U132" s="543"/>
      <c r="V132" s="543"/>
      <c r="W132" s="543"/>
      <c r="X132" s="544"/>
      <c r="Y132" s="545"/>
      <c r="Z132" s="543"/>
      <c r="AA132" s="543"/>
      <c r="AB132" s="543"/>
      <c r="AC132" s="543"/>
      <c r="AD132" s="543"/>
      <c r="AE132" s="543"/>
      <c r="AF132" s="543"/>
      <c r="AG132" s="543"/>
      <c r="AH132" s="543"/>
      <c r="AI132" s="543"/>
      <c r="AJ132" s="544"/>
      <c r="AK132" s="500"/>
      <c r="AL132" s="500"/>
      <c r="AM132" s="500"/>
      <c r="AN132" s="500"/>
    </row>
    <row r="133" spans="1:40" ht="14.4" hidden="1" customHeight="1" outlineLevel="1">
      <c r="B133" s="902"/>
      <c r="C133" s="527"/>
      <c r="D133" s="529" t="s">
        <v>2797</v>
      </c>
      <c r="E133" s="555"/>
      <c r="F133" s="1448">
        <f>SUM(F130:F132)</f>
        <v>0</v>
      </c>
      <c r="G133" s="1428">
        <f t="shared" ref="G133:I133" si="455">SUM(G130:G132)</f>
        <v>0</v>
      </c>
      <c r="H133" s="555">
        <f t="shared" si="455"/>
        <v>0</v>
      </c>
      <c r="I133" s="526">
        <f t="shared" si="455"/>
        <v>0</v>
      </c>
      <c r="J133" s="530">
        <f t="shared" ref="J133" si="456">SUM(J130:J132)</f>
        <v>0</v>
      </c>
      <c r="K133" s="531">
        <f t="shared" ref="K133" si="457">SUM(K130:K132)</f>
        <v>0</v>
      </c>
      <c r="L133" s="531">
        <f t="shared" ref="L133" si="458">SUM(L130:L132)</f>
        <v>0</v>
      </c>
      <c r="M133" s="532">
        <f t="shared" ref="M133" si="459">SUM(M130:M132)</f>
        <v>0</v>
      </c>
      <c r="N133" s="530">
        <f t="shared" ref="N133" si="460">SUM(N130:N132)</f>
        <v>0</v>
      </c>
      <c r="O133" s="531">
        <f t="shared" ref="O133" si="461">SUM(O130:O132)</f>
        <v>0</v>
      </c>
      <c r="P133" s="531">
        <f t="shared" ref="P133" si="462">SUM(P130:P132)</f>
        <v>0</v>
      </c>
      <c r="Q133" s="532">
        <f t="shared" ref="Q133" si="463">SUM(Q130:Q132)</f>
        <v>0</v>
      </c>
      <c r="R133" s="526">
        <f t="shared" ref="R133" si="464">SUM(R130:R132)</f>
        <v>0</v>
      </c>
      <c r="S133" s="541">
        <f t="shared" ref="S133" si="465">SUM(S130:S132)</f>
        <v>0</v>
      </c>
      <c r="T133" s="542">
        <f t="shared" ref="T133" si="466">SUM(T130:T132)</f>
        <v>0</v>
      </c>
      <c r="U133" s="543">
        <f t="shared" ref="U133" si="467">SUM(U130:U132)</f>
        <v>0</v>
      </c>
      <c r="V133" s="543">
        <f t="shared" ref="V133" si="468">SUM(V130:V132)</f>
        <v>0</v>
      </c>
      <c r="W133" s="543">
        <f t="shared" ref="W133" si="469">SUM(W130:W132)</f>
        <v>0</v>
      </c>
      <c r="X133" s="544">
        <f t="shared" ref="X133" si="470">SUM(X130:X132)</f>
        <v>0</v>
      </c>
      <c r="Y133" s="545">
        <f t="shared" ref="Y133" si="471">SUM(Y130:Y132)</f>
        <v>0</v>
      </c>
      <c r="Z133" s="543">
        <f t="shared" ref="Z133" si="472">SUM(Z130:Z132)</f>
        <v>0</v>
      </c>
      <c r="AA133" s="543">
        <f t="shared" ref="AA133" si="473">SUM(AA130:AA132)</f>
        <v>0</v>
      </c>
      <c r="AB133" s="543">
        <f t="shared" ref="AB133" si="474">SUM(AB130:AB132)</f>
        <v>0</v>
      </c>
      <c r="AC133" s="543">
        <f t="shared" ref="AC133" si="475">SUM(AC130:AC132)</f>
        <v>0</v>
      </c>
      <c r="AD133" s="543">
        <f t="shared" ref="AD133" si="476">SUM(AD130:AD132)</f>
        <v>0</v>
      </c>
      <c r="AE133" s="543">
        <f t="shared" ref="AE133" si="477">SUM(AE130:AE132)</f>
        <v>0</v>
      </c>
      <c r="AF133" s="543">
        <f t="shared" ref="AF133" si="478">SUM(AF130:AF132)</f>
        <v>0</v>
      </c>
      <c r="AG133" s="543">
        <f t="shared" ref="AG133" si="479">SUM(AG130:AG132)</f>
        <v>0</v>
      </c>
      <c r="AH133" s="543">
        <f t="shared" ref="AH133" si="480">SUM(AH130:AH132)</f>
        <v>0</v>
      </c>
      <c r="AI133" s="543">
        <f t="shared" ref="AI133" si="481">SUM(AI130:AI132)</f>
        <v>0</v>
      </c>
      <c r="AJ133" s="544">
        <f t="shared" ref="AJ133" si="482">SUM(AJ130:AJ132)</f>
        <v>0</v>
      </c>
      <c r="AK133" s="500"/>
      <c r="AL133" s="500"/>
      <c r="AM133" s="500"/>
      <c r="AN133" s="500"/>
    </row>
    <row r="134" spans="1:40" s="502" customFormat="1" ht="14.4" customHeight="1">
      <c r="A134" s="504"/>
      <c r="B134" s="905" t="s">
        <v>113</v>
      </c>
      <c r="C134" s="565" t="s">
        <v>2723</v>
      </c>
      <c r="D134" s="566" t="s">
        <v>2530</v>
      </c>
      <c r="E134" s="567"/>
      <c r="F134" s="1450">
        <f>F142</f>
        <v>22000000</v>
      </c>
      <c r="G134" s="1431">
        <f t="shared" ref="G134:I134" si="483">G142</f>
        <v>100610000</v>
      </c>
      <c r="H134" s="567">
        <f t="shared" si="483"/>
        <v>100610000</v>
      </c>
      <c r="I134" s="567">
        <f t="shared" si="483"/>
        <v>0</v>
      </c>
      <c r="J134" s="568">
        <f t="shared" ref="J134:AJ134" si="484">J142</f>
        <v>0</v>
      </c>
      <c r="K134" s="569">
        <f t="shared" si="484"/>
        <v>0</v>
      </c>
      <c r="L134" s="569">
        <f t="shared" si="484"/>
        <v>0</v>
      </c>
      <c r="M134" s="570">
        <f t="shared" si="484"/>
        <v>0</v>
      </c>
      <c r="N134" s="568">
        <f t="shared" si="484"/>
        <v>0</v>
      </c>
      <c r="O134" s="569">
        <f t="shared" si="484"/>
        <v>0</v>
      </c>
      <c r="P134" s="569">
        <f t="shared" si="484"/>
        <v>0</v>
      </c>
      <c r="Q134" s="570">
        <f t="shared" si="484"/>
        <v>0</v>
      </c>
      <c r="R134" s="567">
        <f t="shared" si="484"/>
        <v>0</v>
      </c>
      <c r="S134" s="541">
        <f t="shared" si="484"/>
        <v>0</v>
      </c>
      <c r="T134" s="646">
        <f t="shared" si="484"/>
        <v>0</v>
      </c>
      <c r="U134" s="647">
        <f t="shared" si="484"/>
        <v>0</v>
      </c>
      <c r="V134" s="647">
        <f t="shared" si="484"/>
        <v>0</v>
      </c>
      <c r="W134" s="647">
        <f t="shared" si="484"/>
        <v>0</v>
      </c>
      <c r="X134" s="648">
        <f t="shared" si="484"/>
        <v>0</v>
      </c>
      <c r="Y134" s="649">
        <f t="shared" si="484"/>
        <v>0</v>
      </c>
      <c r="Z134" s="647">
        <f t="shared" si="484"/>
        <v>0</v>
      </c>
      <c r="AA134" s="647">
        <f t="shared" si="484"/>
        <v>0</v>
      </c>
      <c r="AB134" s="647">
        <f t="shared" si="484"/>
        <v>0</v>
      </c>
      <c r="AC134" s="647">
        <f t="shared" si="484"/>
        <v>0</v>
      </c>
      <c r="AD134" s="647">
        <f t="shared" si="484"/>
        <v>0</v>
      </c>
      <c r="AE134" s="647">
        <f t="shared" si="484"/>
        <v>0</v>
      </c>
      <c r="AF134" s="647">
        <f t="shared" si="484"/>
        <v>0</v>
      </c>
      <c r="AG134" s="647">
        <f t="shared" si="484"/>
        <v>0</v>
      </c>
      <c r="AH134" s="647">
        <f t="shared" si="484"/>
        <v>0</v>
      </c>
      <c r="AI134" s="647">
        <f t="shared" si="484"/>
        <v>0</v>
      </c>
      <c r="AJ134" s="648">
        <f t="shared" si="484"/>
        <v>0</v>
      </c>
      <c r="AK134" s="504"/>
      <c r="AL134" s="504"/>
      <c r="AM134" s="504"/>
      <c r="AN134" s="504"/>
    </row>
    <row r="135" spans="1:40" s="502" customFormat="1" ht="14.4" customHeight="1" outlineLevel="1">
      <c r="A135" s="504"/>
      <c r="B135" s="902"/>
      <c r="C135" s="527" t="s">
        <v>2724</v>
      </c>
      <c r="D135" s="556" t="s">
        <v>2760</v>
      </c>
      <c r="E135" s="555"/>
      <c r="F135" s="1448"/>
      <c r="G135" s="1428">
        <f t="shared" ref="G135:H135" si="485">4000000*14</f>
        <v>56000000</v>
      </c>
      <c r="H135" s="555">
        <f t="shared" si="485"/>
        <v>56000000</v>
      </c>
      <c r="I135" s="526">
        <v>0</v>
      </c>
      <c r="J135" s="530">
        <v>0</v>
      </c>
      <c r="K135" s="531">
        <v>0</v>
      </c>
      <c r="L135" s="531">
        <v>0</v>
      </c>
      <c r="M135" s="532">
        <v>0</v>
      </c>
      <c r="N135" s="530">
        <v>0</v>
      </c>
      <c r="O135" s="531">
        <v>0</v>
      </c>
      <c r="P135" s="531">
        <v>0</v>
      </c>
      <c r="Q135" s="532">
        <v>0</v>
      </c>
      <c r="R135" s="526">
        <v>0</v>
      </c>
      <c r="S135" s="541">
        <v>0</v>
      </c>
      <c r="T135" s="542">
        <v>0</v>
      </c>
      <c r="U135" s="543">
        <v>0</v>
      </c>
      <c r="V135" s="543">
        <v>0</v>
      </c>
      <c r="W135" s="543">
        <v>0</v>
      </c>
      <c r="X135" s="544">
        <v>0</v>
      </c>
      <c r="Y135" s="545">
        <v>0</v>
      </c>
      <c r="Z135" s="543">
        <v>0</v>
      </c>
      <c r="AA135" s="543">
        <v>0</v>
      </c>
      <c r="AB135" s="543">
        <v>0</v>
      </c>
      <c r="AC135" s="543">
        <v>0</v>
      </c>
      <c r="AD135" s="543">
        <v>0</v>
      </c>
      <c r="AE135" s="543">
        <v>0</v>
      </c>
      <c r="AF135" s="543">
        <v>0</v>
      </c>
      <c r="AG135" s="543">
        <v>0</v>
      </c>
      <c r="AH135" s="543">
        <v>0</v>
      </c>
      <c r="AI135" s="543">
        <v>0</v>
      </c>
      <c r="AJ135" s="544">
        <v>0</v>
      </c>
      <c r="AK135" s="504"/>
      <c r="AL135" s="504"/>
      <c r="AM135" s="504"/>
      <c r="AN135" s="504"/>
    </row>
    <row r="136" spans="1:40" s="1473" customFormat="1" ht="14.4" customHeight="1" outlineLevel="1">
      <c r="A136" s="504"/>
      <c r="B136" s="902"/>
      <c r="C136" s="527"/>
      <c r="D136" s="556" t="s">
        <v>3849</v>
      </c>
      <c r="E136" s="555"/>
      <c r="F136" s="1446"/>
      <c r="G136" s="1428"/>
      <c r="H136" s="555"/>
      <c r="I136" s="526"/>
      <c r="J136" s="1510"/>
      <c r="K136" s="1511"/>
      <c r="L136" s="1511"/>
      <c r="M136" s="1512"/>
      <c r="N136" s="1510"/>
      <c r="O136" s="1511"/>
      <c r="P136" s="1511"/>
      <c r="Q136" s="1512"/>
      <c r="R136" s="1460"/>
      <c r="S136" s="1513"/>
      <c r="T136" s="1483"/>
      <c r="U136" s="1485"/>
      <c r="V136" s="1485"/>
      <c r="W136" s="1485"/>
      <c r="X136" s="1486"/>
      <c r="Y136" s="1487"/>
      <c r="Z136" s="1485"/>
      <c r="AA136" s="1485"/>
      <c r="AB136" s="1485"/>
      <c r="AC136" s="1485"/>
      <c r="AD136" s="1485"/>
      <c r="AE136" s="1485"/>
      <c r="AF136" s="1485"/>
      <c r="AG136" s="1485"/>
      <c r="AH136" s="1485"/>
      <c r="AI136" s="1485"/>
      <c r="AJ136" s="1486"/>
      <c r="AK136" s="1458"/>
      <c r="AL136" s="1458"/>
      <c r="AM136" s="1458"/>
      <c r="AN136" s="1458"/>
    </row>
    <row r="137" spans="1:40" s="1473" customFormat="1" ht="14.4" customHeight="1" outlineLevel="1">
      <c r="A137" s="504"/>
      <c r="B137" s="902"/>
      <c r="C137" s="527"/>
      <c r="D137" s="556" t="s">
        <v>3850</v>
      </c>
      <c r="E137" s="555"/>
      <c r="F137" s="1446"/>
      <c r="G137" s="1428"/>
      <c r="H137" s="555"/>
      <c r="I137" s="526"/>
      <c r="J137" s="1510"/>
      <c r="K137" s="1511"/>
      <c r="L137" s="1511"/>
      <c r="M137" s="1512"/>
      <c r="N137" s="1510"/>
      <c r="O137" s="1511"/>
      <c r="P137" s="1511"/>
      <c r="Q137" s="1512"/>
      <c r="R137" s="1460"/>
      <c r="S137" s="1513"/>
      <c r="T137" s="1483"/>
      <c r="U137" s="1485"/>
      <c r="V137" s="1485"/>
      <c r="W137" s="1485"/>
      <c r="X137" s="1486"/>
      <c r="Y137" s="1487"/>
      <c r="Z137" s="1485"/>
      <c r="AA137" s="1485"/>
      <c r="AB137" s="1485"/>
      <c r="AC137" s="1485"/>
      <c r="AD137" s="1485"/>
      <c r="AE137" s="1485"/>
      <c r="AF137" s="1485"/>
      <c r="AG137" s="1485"/>
      <c r="AH137" s="1485"/>
      <c r="AI137" s="1485"/>
      <c r="AJ137" s="1486"/>
      <c r="AK137" s="1458"/>
      <c r="AL137" s="1458"/>
      <c r="AM137" s="1458"/>
      <c r="AN137" s="1458"/>
    </row>
    <row r="138" spans="1:40" s="1473" customFormat="1" ht="14.4" customHeight="1" outlineLevel="1">
      <c r="A138" s="504"/>
      <c r="B138" s="902"/>
      <c r="C138" s="527"/>
      <c r="D138" s="556" t="s">
        <v>3851</v>
      </c>
      <c r="E138" s="555"/>
      <c r="F138" s="1446"/>
      <c r="G138" s="1428"/>
      <c r="H138" s="555"/>
      <c r="I138" s="526"/>
      <c r="J138" s="1510"/>
      <c r="K138" s="1511"/>
      <c r="L138" s="1511"/>
      <c r="M138" s="1512"/>
      <c r="N138" s="1510"/>
      <c r="O138" s="1511"/>
      <c r="P138" s="1511"/>
      <c r="Q138" s="1512"/>
      <c r="R138" s="1460"/>
      <c r="S138" s="1513"/>
      <c r="T138" s="1483"/>
      <c r="U138" s="1485"/>
      <c r="V138" s="1485"/>
      <c r="W138" s="1485"/>
      <c r="X138" s="1486"/>
      <c r="Y138" s="1487"/>
      <c r="Z138" s="1485"/>
      <c r="AA138" s="1485"/>
      <c r="AB138" s="1485"/>
      <c r="AC138" s="1485"/>
      <c r="AD138" s="1485"/>
      <c r="AE138" s="1485"/>
      <c r="AF138" s="1485"/>
      <c r="AG138" s="1485"/>
      <c r="AH138" s="1485"/>
      <c r="AI138" s="1485"/>
      <c r="AJ138" s="1486"/>
      <c r="AK138" s="1458"/>
      <c r="AL138" s="1458"/>
      <c r="AM138" s="1458"/>
      <c r="AN138" s="1458"/>
    </row>
    <row r="139" spans="1:40" s="502" customFormat="1" ht="14.4" customHeight="1" outlineLevel="1">
      <c r="A139" s="504"/>
      <c r="B139" s="902"/>
      <c r="C139" s="527"/>
      <c r="D139" s="556" t="s">
        <v>3852</v>
      </c>
      <c r="E139" s="555"/>
      <c r="F139" s="1446">
        <v>7000000</v>
      </c>
      <c r="G139" s="1428"/>
      <c r="H139" s="555"/>
      <c r="I139" s="526"/>
      <c r="J139" s="530"/>
      <c r="K139" s="531"/>
      <c r="L139" s="531"/>
      <c r="M139" s="532"/>
      <c r="N139" s="530"/>
      <c r="O139" s="531"/>
      <c r="P139" s="531"/>
      <c r="Q139" s="532"/>
      <c r="R139" s="526"/>
      <c r="S139" s="541"/>
      <c r="T139" s="542"/>
      <c r="U139" s="543"/>
      <c r="V139" s="543"/>
      <c r="W139" s="543"/>
      <c r="X139" s="544"/>
      <c r="Y139" s="545"/>
      <c r="Z139" s="543"/>
      <c r="AA139" s="543"/>
      <c r="AB139" s="543"/>
      <c r="AC139" s="543"/>
      <c r="AD139" s="543"/>
      <c r="AE139" s="543"/>
      <c r="AF139" s="543"/>
      <c r="AG139" s="543"/>
      <c r="AH139" s="543"/>
      <c r="AI139" s="543"/>
      <c r="AJ139" s="544"/>
      <c r="AK139" s="504"/>
      <c r="AL139" s="504"/>
      <c r="AM139" s="504"/>
      <c r="AN139" s="504"/>
    </row>
    <row r="140" spans="1:40" ht="14.4" customHeight="1" outlineLevel="1">
      <c r="B140" s="902"/>
      <c r="C140" s="527" t="s">
        <v>2725</v>
      </c>
      <c r="D140" s="556" t="s">
        <v>2761</v>
      </c>
      <c r="E140" s="555"/>
      <c r="F140" s="1448"/>
      <c r="G140" s="1428">
        <f t="shared" ref="G140:H140" si="486">20610000+(2000000*12)</f>
        <v>44610000</v>
      </c>
      <c r="H140" s="555">
        <f t="shared" si="486"/>
        <v>44610000</v>
      </c>
      <c r="I140" s="526">
        <v>0</v>
      </c>
      <c r="J140" s="530">
        <v>0</v>
      </c>
      <c r="K140" s="531">
        <v>0</v>
      </c>
      <c r="L140" s="531">
        <v>0</v>
      </c>
      <c r="M140" s="532">
        <v>0</v>
      </c>
      <c r="N140" s="530">
        <v>0</v>
      </c>
      <c r="O140" s="531">
        <v>0</v>
      </c>
      <c r="P140" s="531">
        <v>0</v>
      </c>
      <c r="Q140" s="532">
        <v>0</v>
      </c>
      <c r="R140" s="526">
        <v>0</v>
      </c>
      <c r="S140" s="541">
        <v>0</v>
      </c>
      <c r="T140" s="542">
        <v>0</v>
      </c>
      <c r="U140" s="543">
        <v>0</v>
      </c>
      <c r="V140" s="543">
        <v>0</v>
      </c>
      <c r="W140" s="543">
        <v>0</v>
      </c>
      <c r="X140" s="544">
        <v>0</v>
      </c>
      <c r="Y140" s="545">
        <v>0</v>
      </c>
      <c r="Z140" s="543">
        <v>0</v>
      </c>
      <c r="AA140" s="543">
        <v>0</v>
      </c>
      <c r="AB140" s="543">
        <v>0</v>
      </c>
      <c r="AC140" s="543">
        <v>0</v>
      </c>
      <c r="AD140" s="543">
        <v>0</v>
      </c>
      <c r="AE140" s="543">
        <v>0</v>
      </c>
      <c r="AF140" s="543">
        <v>0</v>
      </c>
      <c r="AG140" s="543">
        <v>0</v>
      </c>
      <c r="AH140" s="543">
        <v>0</v>
      </c>
      <c r="AI140" s="543">
        <v>0</v>
      </c>
      <c r="AJ140" s="544">
        <v>0</v>
      </c>
      <c r="AK140" s="500"/>
      <c r="AL140" s="500"/>
      <c r="AM140" s="500"/>
      <c r="AN140" s="500"/>
    </row>
    <row r="141" spans="1:40" ht="14.4" customHeight="1" outlineLevel="1">
      <c r="B141" s="902"/>
      <c r="C141" s="527"/>
      <c r="D141" s="556" t="s">
        <v>3853</v>
      </c>
      <c r="E141" s="555"/>
      <c r="F141" s="1446">
        <v>15000000</v>
      </c>
      <c r="G141" s="1428"/>
      <c r="H141" s="555"/>
      <c r="I141" s="526"/>
      <c r="J141" s="530"/>
      <c r="K141" s="531"/>
      <c r="L141" s="531"/>
      <c r="M141" s="532"/>
      <c r="N141" s="530"/>
      <c r="O141" s="531"/>
      <c r="P141" s="531"/>
      <c r="Q141" s="532"/>
      <c r="R141" s="526"/>
      <c r="S141" s="541"/>
      <c r="T141" s="542"/>
      <c r="U141" s="543"/>
      <c r="V141" s="543"/>
      <c r="W141" s="543"/>
      <c r="X141" s="544"/>
      <c r="Y141" s="545"/>
      <c r="Z141" s="543"/>
      <c r="AA141" s="543"/>
      <c r="AB141" s="543"/>
      <c r="AC141" s="543"/>
      <c r="AD141" s="543"/>
      <c r="AE141" s="543"/>
      <c r="AF141" s="543"/>
      <c r="AG141" s="543"/>
      <c r="AH141" s="543"/>
      <c r="AI141" s="543"/>
      <c r="AJ141" s="544"/>
      <c r="AK141" s="500"/>
      <c r="AL141" s="500"/>
      <c r="AM141" s="500"/>
      <c r="AN141" s="500"/>
    </row>
    <row r="142" spans="1:40" ht="14.4" customHeight="1" outlineLevel="1">
      <c r="B142" s="902"/>
      <c r="C142" s="527"/>
      <c r="D142" s="529" t="s">
        <v>2798</v>
      </c>
      <c r="E142" s="555"/>
      <c r="F142" s="1448">
        <f>SUM(F135:F141)</f>
        <v>22000000</v>
      </c>
      <c r="G142" s="1428">
        <f t="shared" ref="G142:I142" si="487">SUM(G135:G140)</f>
        <v>100610000</v>
      </c>
      <c r="H142" s="555">
        <f t="shared" si="487"/>
        <v>100610000</v>
      </c>
      <c r="I142" s="526">
        <f t="shared" si="487"/>
        <v>0</v>
      </c>
      <c r="J142" s="530">
        <f t="shared" ref="J142" si="488">SUM(J135:J140)</f>
        <v>0</v>
      </c>
      <c r="K142" s="531">
        <f t="shared" ref="K142" si="489">SUM(K135:K140)</f>
        <v>0</v>
      </c>
      <c r="L142" s="531">
        <f t="shared" ref="L142" si="490">SUM(L135:L140)</f>
        <v>0</v>
      </c>
      <c r="M142" s="532">
        <f t="shared" ref="M142" si="491">SUM(M135:M140)</f>
        <v>0</v>
      </c>
      <c r="N142" s="530">
        <f t="shared" ref="N142" si="492">SUM(N135:N140)</f>
        <v>0</v>
      </c>
      <c r="O142" s="531">
        <f t="shared" ref="O142" si="493">SUM(O135:O140)</f>
        <v>0</v>
      </c>
      <c r="P142" s="531">
        <f t="shared" ref="P142" si="494">SUM(P135:P140)</f>
        <v>0</v>
      </c>
      <c r="Q142" s="532">
        <f t="shared" ref="Q142" si="495">SUM(Q135:Q140)</f>
        <v>0</v>
      </c>
      <c r="R142" s="526">
        <f t="shared" ref="R142" si="496">SUM(R135:R140)</f>
        <v>0</v>
      </c>
      <c r="S142" s="541">
        <f t="shared" ref="S142" si="497">SUM(S135:S140)</f>
        <v>0</v>
      </c>
      <c r="T142" s="542">
        <f t="shared" ref="T142" si="498">SUM(T135:T140)</f>
        <v>0</v>
      </c>
      <c r="U142" s="543">
        <f t="shared" ref="U142" si="499">SUM(U135:U140)</f>
        <v>0</v>
      </c>
      <c r="V142" s="543">
        <f t="shared" ref="V142" si="500">SUM(V135:V140)</f>
        <v>0</v>
      </c>
      <c r="W142" s="543">
        <f t="shared" ref="W142" si="501">SUM(W135:W140)</f>
        <v>0</v>
      </c>
      <c r="X142" s="544">
        <f t="shared" ref="X142" si="502">SUM(X135:X140)</f>
        <v>0</v>
      </c>
      <c r="Y142" s="545">
        <f t="shared" ref="Y142" si="503">SUM(Y135:Y140)</f>
        <v>0</v>
      </c>
      <c r="Z142" s="543">
        <f t="shared" ref="Z142" si="504">SUM(Z135:Z140)</f>
        <v>0</v>
      </c>
      <c r="AA142" s="543">
        <f t="shared" ref="AA142" si="505">SUM(AA135:AA140)</f>
        <v>0</v>
      </c>
      <c r="AB142" s="543">
        <f t="shared" ref="AB142" si="506">SUM(AB135:AB140)</f>
        <v>0</v>
      </c>
      <c r="AC142" s="543">
        <f t="shared" ref="AC142" si="507">SUM(AC135:AC140)</f>
        <v>0</v>
      </c>
      <c r="AD142" s="543">
        <f t="shared" ref="AD142" si="508">SUM(AD135:AD140)</f>
        <v>0</v>
      </c>
      <c r="AE142" s="543">
        <f t="shared" ref="AE142" si="509">SUM(AE135:AE140)</f>
        <v>0</v>
      </c>
      <c r="AF142" s="543">
        <f t="shared" ref="AF142" si="510">SUM(AF135:AF140)</f>
        <v>0</v>
      </c>
      <c r="AG142" s="543">
        <f t="shared" ref="AG142" si="511">SUM(AG135:AG140)</f>
        <v>0</v>
      </c>
      <c r="AH142" s="543">
        <f t="shared" ref="AH142" si="512">SUM(AH135:AH140)</f>
        <v>0</v>
      </c>
      <c r="AI142" s="543">
        <f t="shared" ref="AI142" si="513">SUM(AI135:AI140)</f>
        <v>0</v>
      </c>
      <c r="AJ142" s="544">
        <f t="shared" ref="AJ142" si="514">SUM(AJ135:AJ140)</f>
        <v>0</v>
      </c>
      <c r="AK142" s="500"/>
      <c r="AL142" s="500"/>
      <c r="AM142" s="500"/>
      <c r="AN142" s="500"/>
    </row>
    <row r="143" spans="1:40" ht="14.4" customHeight="1" collapsed="1">
      <c r="B143" s="905" t="s">
        <v>953</v>
      </c>
      <c r="C143" s="565" t="s">
        <v>2726</v>
      </c>
      <c r="D143" s="566" t="s">
        <v>2783</v>
      </c>
      <c r="E143" s="567"/>
      <c r="F143" s="1450">
        <f>F147+F153+F158+F162+F170</f>
        <v>0</v>
      </c>
      <c r="G143" s="1431">
        <f t="shared" ref="G143:I143" si="515">G147+G153+G158+G162+G170</f>
        <v>0</v>
      </c>
      <c r="H143" s="567">
        <f t="shared" si="515"/>
        <v>0</v>
      </c>
      <c r="I143" s="567">
        <f t="shared" si="515"/>
        <v>0</v>
      </c>
      <c r="J143" s="568">
        <f t="shared" ref="J143:AJ143" si="516">J147+J153+J158+J162+J170</f>
        <v>0</v>
      </c>
      <c r="K143" s="569">
        <f t="shared" si="516"/>
        <v>0</v>
      </c>
      <c r="L143" s="569">
        <f t="shared" si="516"/>
        <v>0</v>
      </c>
      <c r="M143" s="570">
        <f t="shared" si="516"/>
        <v>0</v>
      </c>
      <c r="N143" s="568">
        <f t="shared" si="516"/>
        <v>0</v>
      </c>
      <c r="O143" s="569">
        <f t="shared" si="516"/>
        <v>0</v>
      </c>
      <c r="P143" s="569">
        <f t="shared" si="516"/>
        <v>0</v>
      </c>
      <c r="Q143" s="570">
        <f t="shared" si="516"/>
        <v>0</v>
      </c>
      <c r="R143" s="567">
        <f t="shared" si="516"/>
        <v>0</v>
      </c>
      <c r="S143" s="541">
        <f t="shared" si="516"/>
        <v>0</v>
      </c>
      <c r="T143" s="646">
        <f t="shared" si="516"/>
        <v>0</v>
      </c>
      <c r="U143" s="647">
        <f t="shared" si="516"/>
        <v>0</v>
      </c>
      <c r="V143" s="647">
        <f t="shared" si="516"/>
        <v>0</v>
      </c>
      <c r="W143" s="647">
        <f t="shared" si="516"/>
        <v>0</v>
      </c>
      <c r="X143" s="648">
        <f t="shared" si="516"/>
        <v>0</v>
      </c>
      <c r="Y143" s="649">
        <f t="shared" si="516"/>
        <v>0</v>
      </c>
      <c r="Z143" s="647">
        <f t="shared" si="516"/>
        <v>0</v>
      </c>
      <c r="AA143" s="647">
        <f t="shared" si="516"/>
        <v>0</v>
      </c>
      <c r="AB143" s="647">
        <f t="shared" si="516"/>
        <v>0</v>
      </c>
      <c r="AC143" s="647">
        <f t="shared" si="516"/>
        <v>0</v>
      </c>
      <c r="AD143" s="647">
        <f t="shared" si="516"/>
        <v>0</v>
      </c>
      <c r="AE143" s="647">
        <f t="shared" si="516"/>
        <v>0</v>
      </c>
      <c r="AF143" s="647">
        <f t="shared" si="516"/>
        <v>0</v>
      </c>
      <c r="AG143" s="647">
        <f t="shared" si="516"/>
        <v>0</v>
      </c>
      <c r="AH143" s="647">
        <f t="shared" si="516"/>
        <v>0</v>
      </c>
      <c r="AI143" s="647">
        <f t="shared" si="516"/>
        <v>0</v>
      </c>
      <c r="AJ143" s="648">
        <f t="shared" si="516"/>
        <v>0</v>
      </c>
      <c r="AK143" s="500"/>
      <c r="AL143" s="500"/>
      <c r="AM143" s="500"/>
      <c r="AN143" s="500"/>
    </row>
    <row r="144" spans="1:40" s="502" customFormat="1" ht="14.4" customHeight="1" collapsed="1">
      <c r="A144" s="504"/>
      <c r="B144" s="901"/>
      <c r="C144" s="546" t="s">
        <v>2727</v>
      </c>
      <c r="D144" s="529" t="s">
        <v>2784</v>
      </c>
      <c r="E144" s="526"/>
      <c r="F144" s="1448"/>
      <c r="G144" s="1427"/>
      <c r="H144" s="526"/>
      <c r="I144" s="526"/>
      <c r="J144" s="530"/>
      <c r="K144" s="531"/>
      <c r="L144" s="531"/>
      <c r="M144" s="532"/>
      <c r="N144" s="530"/>
      <c r="O144" s="531"/>
      <c r="P144" s="531"/>
      <c r="Q144" s="532"/>
      <c r="R144" s="526"/>
      <c r="S144" s="541"/>
      <c r="T144" s="542"/>
      <c r="U144" s="543"/>
      <c r="V144" s="543"/>
      <c r="W144" s="543"/>
      <c r="X144" s="544"/>
      <c r="Y144" s="545"/>
      <c r="Z144" s="543"/>
      <c r="AA144" s="543"/>
      <c r="AB144" s="543"/>
      <c r="AC144" s="543"/>
      <c r="AD144" s="543"/>
      <c r="AE144" s="543"/>
      <c r="AF144" s="543"/>
      <c r="AG144" s="543"/>
      <c r="AH144" s="543"/>
      <c r="AI144" s="543"/>
      <c r="AJ144" s="544"/>
      <c r="AK144" s="504"/>
      <c r="AL144" s="504"/>
      <c r="AM144" s="504"/>
      <c r="AN144" s="504"/>
    </row>
    <row r="145" spans="1:40" ht="14.4" hidden="1" customHeight="1" outlineLevel="1" collapsed="1">
      <c r="B145" s="902"/>
      <c r="C145" s="527" t="s">
        <v>2728</v>
      </c>
      <c r="D145" s="556" t="s">
        <v>2762</v>
      </c>
      <c r="E145" s="555"/>
      <c r="F145" s="1448"/>
      <c r="G145" s="1428"/>
      <c r="H145" s="555"/>
      <c r="I145" s="526"/>
      <c r="J145" s="530"/>
      <c r="K145" s="531"/>
      <c r="L145" s="531"/>
      <c r="M145" s="532"/>
      <c r="N145" s="530"/>
      <c r="O145" s="531"/>
      <c r="P145" s="531"/>
      <c r="Q145" s="532"/>
      <c r="R145" s="526"/>
      <c r="S145" s="541"/>
      <c r="T145" s="542"/>
      <c r="U145" s="543"/>
      <c r="V145" s="543"/>
      <c r="W145" s="543"/>
      <c r="X145" s="544"/>
      <c r="Y145" s="545"/>
      <c r="Z145" s="543"/>
      <c r="AA145" s="543"/>
      <c r="AB145" s="543"/>
      <c r="AC145" s="543"/>
      <c r="AD145" s="543"/>
      <c r="AE145" s="543"/>
      <c r="AF145" s="543"/>
      <c r="AG145" s="543"/>
      <c r="AH145" s="543"/>
      <c r="AI145" s="543"/>
      <c r="AJ145" s="544"/>
      <c r="AK145" s="500"/>
      <c r="AL145" s="500"/>
      <c r="AM145" s="500"/>
      <c r="AN145" s="500"/>
    </row>
    <row r="146" spans="1:40" ht="14.4" hidden="1" customHeight="1" outlineLevel="1" collapsed="1">
      <c r="B146" s="902"/>
      <c r="C146" s="527" t="s">
        <v>2729</v>
      </c>
      <c r="D146" s="556" t="s">
        <v>2763</v>
      </c>
      <c r="E146" s="555"/>
      <c r="F146" s="1448"/>
      <c r="G146" s="1428"/>
      <c r="H146" s="555"/>
      <c r="I146" s="526"/>
      <c r="J146" s="530"/>
      <c r="K146" s="531"/>
      <c r="L146" s="531"/>
      <c r="M146" s="532"/>
      <c r="N146" s="530"/>
      <c r="O146" s="531"/>
      <c r="P146" s="531"/>
      <c r="Q146" s="532"/>
      <c r="R146" s="526"/>
      <c r="S146" s="541"/>
      <c r="T146" s="542"/>
      <c r="U146" s="543"/>
      <c r="V146" s="543"/>
      <c r="W146" s="543"/>
      <c r="X146" s="544"/>
      <c r="Y146" s="545"/>
      <c r="Z146" s="543"/>
      <c r="AA146" s="543"/>
      <c r="AB146" s="543"/>
      <c r="AC146" s="543"/>
      <c r="AD146" s="543"/>
      <c r="AE146" s="543"/>
      <c r="AF146" s="543"/>
      <c r="AG146" s="543"/>
      <c r="AH146" s="543"/>
      <c r="AI146" s="543"/>
      <c r="AJ146" s="544"/>
      <c r="AK146" s="500"/>
      <c r="AL146" s="500"/>
      <c r="AM146" s="500"/>
      <c r="AN146" s="500"/>
    </row>
    <row r="147" spans="1:40" ht="14.4" hidden="1" customHeight="1" outlineLevel="1" collapsed="1">
      <c r="B147" s="902"/>
      <c r="C147" s="527"/>
      <c r="D147" s="529" t="s">
        <v>2805</v>
      </c>
      <c r="E147" s="555"/>
      <c r="F147" s="1448">
        <f>SUM(F145:F146)</f>
        <v>0</v>
      </c>
      <c r="G147" s="1428">
        <f t="shared" ref="G147:I147" si="517">SUM(G145:G146)</f>
        <v>0</v>
      </c>
      <c r="H147" s="555">
        <f t="shared" si="517"/>
        <v>0</v>
      </c>
      <c r="I147" s="526">
        <f t="shared" si="517"/>
        <v>0</v>
      </c>
      <c r="J147" s="530">
        <f t="shared" ref="J147" si="518">SUM(J145:J146)</f>
        <v>0</v>
      </c>
      <c r="K147" s="531">
        <f t="shared" ref="K147" si="519">SUM(K145:K146)</f>
        <v>0</v>
      </c>
      <c r="L147" s="531">
        <f t="shared" ref="L147" si="520">SUM(L145:L146)</f>
        <v>0</v>
      </c>
      <c r="M147" s="532">
        <f t="shared" ref="M147" si="521">SUM(M145:M146)</f>
        <v>0</v>
      </c>
      <c r="N147" s="530">
        <f t="shared" ref="N147" si="522">SUM(N145:N146)</f>
        <v>0</v>
      </c>
      <c r="O147" s="531">
        <f t="shared" ref="O147" si="523">SUM(O145:O146)</f>
        <v>0</v>
      </c>
      <c r="P147" s="531">
        <f t="shared" ref="P147" si="524">SUM(P145:P146)</f>
        <v>0</v>
      </c>
      <c r="Q147" s="532">
        <f t="shared" ref="Q147" si="525">SUM(Q145:Q146)</f>
        <v>0</v>
      </c>
      <c r="R147" s="526">
        <f t="shared" ref="R147" si="526">SUM(R145:R146)</f>
        <v>0</v>
      </c>
      <c r="S147" s="541">
        <f t="shared" ref="S147" si="527">SUM(S145:S146)</f>
        <v>0</v>
      </c>
      <c r="T147" s="542">
        <f t="shared" ref="T147" si="528">SUM(T145:T146)</f>
        <v>0</v>
      </c>
      <c r="U147" s="543">
        <f t="shared" ref="U147" si="529">SUM(U145:U146)</f>
        <v>0</v>
      </c>
      <c r="V147" s="543">
        <f t="shared" ref="V147" si="530">SUM(V145:V146)</f>
        <v>0</v>
      </c>
      <c r="W147" s="543">
        <f t="shared" ref="W147" si="531">SUM(W145:W146)</f>
        <v>0</v>
      </c>
      <c r="X147" s="544">
        <f t="shared" ref="X147" si="532">SUM(X145:X146)</f>
        <v>0</v>
      </c>
      <c r="Y147" s="545">
        <f t="shared" ref="Y147" si="533">SUM(Y145:Y146)</f>
        <v>0</v>
      </c>
      <c r="Z147" s="543">
        <f t="shared" ref="Z147" si="534">SUM(Z145:Z146)</f>
        <v>0</v>
      </c>
      <c r="AA147" s="543">
        <f t="shared" ref="AA147" si="535">SUM(AA145:AA146)</f>
        <v>0</v>
      </c>
      <c r="AB147" s="543">
        <f t="shared" ref="AB147" si="536">SUM(AB145:AB146)</f>
        <v>0</v>
      </c>
      <c r="AC147" s="543">
        <f t="shared" ref="AC147" si="537">SUM(AC145:AC146)</f>
        <v>0</v>
      </c>
      <c r="AD147" s="543">
        <f t="shared" ref="AD147" si="538">SUM(AD145:AD146)</f>
        <v>0</v>
      </c>
      <c r="AE147" s="543">
        <f t="shared" ref="AE147" si="539">SUM(AE145:AE146)</f>
        <v>0</v>
      </c>
      <c r="AF147" s="543">
        <f t="shared" ref="AF147" si="540">SUM(AF145:AF146)</f>
        <v>0</v>
      </c>
      <c r="AG147" s="543">
        <f t="shared" ref="AG147" si="541">SUM(AG145:AG146)</f>
        <v>0</v>
      </c>
      <c r="AH147" s="543">
        <f t="shared" ref="AH147" si="542">SUM(AH145:AH146)</f>
        <v>0</v>
      </c>
      <c r="AI147" s="543">
        <f t="shared" ref="AI147" si="543">SUM(AI145:AI146)</f>
        <v>0</v>
      </c>
      <c r="AJ147" s="544">
        <f t="shared" ref="AJ147" si="544">SUM(AJ145:AJ146)</f>
        <v>0</v>
      </c>
      <c r="AK147" s="500"/>
      <c r="AL147" s="500"/>
      <c r="AM147" s="500"/>
      <c r="AN147" s="500"/>
    </row>
    <row r="148" spans="1:40" ht="14.4" customHeight="1" collapsed="1">
      <c r="B148" s="901"/>
      <c r="C148" s="546" t="s">
        <v>2730</v>
      </c>
      <c r="D148" s="529" t="s">
        <v>2785</v>
      </c>
      <c r="E148" s="526"/>
      <c r="F148" s="1448"/>
      <c r="G148" s="1427"/>
      <c r="H148" s="526"/>
      <c r="I148" s="526"/>
      <c r="J148" s="530"/>
      <c r="K148" s="531"/>
      <c r="L148" s="531"/>
      <c r="M148" s="532"/>
      <c r="N148" s="530"/>
      <c r="O148" s="531"/>
      <c r="P148" s="531"/>
      <c r="Q148" s="532"/>
      <c r="R148" s="526"/>
      <c r="S148" s="541"/>
      <c r="T148" s="542"/>
      <c r="U148" s="543"/>
      <c r="V148" s="543"/>
      <c r="W148" s="543"/>
      <c r="X148" s="544"/>
      <c r="Y148" s="545"/>
      <c r="Z148" s="543"/>
      <c r="AA148" s="543"/>
      <c r="AB148" s="543"/>
      <c r="AC148" s="543"/>
      <c r="AD148" s="543"/>
      <c r="AE148" s="543"/>
      <c r="AF148" s="543"/>
      <c r="AG148" s="543"/>
      <c r="AH148" s="543"/>
      <c r="AI148" s="543"/>
      <c r="AJ148" s="544"/>
      <c r="AK148" s="500"/>
      <c r="AL148" s="500"/>
      <c r="AM148" s="500"/>
      <c r="AN148" s="500"/>
    </row>
    <row r="149" spans="1:40" ht="14.4" hidden="1" customHeight="1" outlineLevel="1" collapsed="1">
      <c r="B149" s="902"/>
      <c r="C149" s="527" t="s">
        <v>2731</v>
      </c>
      <c r="D149" s="556" t="s">
        <v>2764</v>
      </c>
      <c r="E149" s="555"/>
      <c r="F149" s="1448"/>
      <c r="G149" s="1428"/>
      <c r="H149" s="555"/>
      <c r="I149" s="526"/>
      <c r="J149" s="530"/>
      <c r="K149" s="531"/>
      <c r="L149" s="531"/>
      <c r="M149" s="532"/>
      <c r="N149" s="530"/>
      <c r="O149" s="531"/>
      <c r="P149" s="531"/>
      <c r="Q149" s="532"/>
      <c r="R149" s="526"/>
      <c r="S149" s="541"/>
      <c r="T149" s="542"/>
      <c r="U149" s="543"/>
      <c r="V149" s="543"/>
      <c r="W149" s="543"/>
      <c r="X149" s="544"/>
      <c r="Y149" s="545"/>
      <c r="Z149" s="543"/>
      <c r="AA149" s="543"/>
      <c r="AB149" s="543"/>
      <c r="AC149" s="543"/>
      <c r="AD149" s="543"/>
      <c r="AE149" s="543"/>
      <c r="AF149" s="543"/>
      <c r="AG149" s="543"/>
      <c r="AH149" s="543"/>
      <c r="AI149" s="543"/>
      <c r="AJ149" s="544"/>
      <c r="AK149" s="500"/>
      <c r="AL149" s="500"/>
      <c r="AM149" s="500"/>
      <c r="AN149" s="500"/>
    </row>
    <row r="150" spans="1:40" s="502" customFormat="1" ht="14.4" hidden="1" customHeight="1" outlineLevel="1" collapsed="1">
      <c r="A150" s="504"/>
      <c r="B150" s="902"/>
      <c r="C150" s="527" t="s">
        <v>2732</v>
      </c>
      <c r="D150" s="556" t="s">
        <v>2765</v>
      </c>
      <c r="E150" s="555"/>
      <c r="F150" s="1448"/>
      <c r="G150" s="1428"/>
      <c r="H150" s="555"/>
      <c r="I150" s="526"/>
      <c r="J150" s="530"/>
      <c r="K150" s="531"/>
      <c r="L150" s="531"/>
      <c r="M150" s="532"/>
      <c r="N150" s="530"/>
      <c r="O150" s="531"/>
      <c r="P150" s="531"/>
      <c r="Q150" s="532"/>
      <c r="R150" s="526"/>
      <c r="S150" s="541"/>
      <c r="T150" s="542"/>
      <c r="U150" s="543"/>
      <c r="V150" s="543"/>
      <c r="W150" s="543"/>
      <c r="X150" s="544"/>
      <c r="Y150" s="545"/>
      <c r="Z150" s="543"/>
      <c r="AA150" s="543"/>
      <c r="AB150" s="543"/>
      <c r="AC150" s="543"/>
      <c r="AD150" s="543"/>
      <c r="AE150" s="543"/>
      <c r="AF150" s="543"/>
      <c r="AG150" s="543"/>
      <c r="AH150" s="543"/>
      <c r="AI150" s="543"/>
      <c r="AJ150" s="544"/>
      <c r="AK150" s="504"/>
      <c r="AL150" s="504"/>
      <c r="AM150" s="504"/>
      <c r="AN150" s="504"/>
    </row>
    <row r="151" spans="1:40" ht="14.4" hidden="1" customHeight="1" outlineLevel="1" collapsed="1">
      <c r="B151" s="902"/>
      <c r="C151" s="527" t="s">
        <v>2733</v>
      </c>
      <c r="D151" s="556" t="s">
        <v>2766</v>
      </c>
      <c r="E151" s="555"/>
      <c r="F151" s="1448"/>
      <c r="G151" s="1428"/>
      <c r="H151" s="555"/>
      <c r="I151" s="526"/>
      <c r="J151" s="530"/>
      <c r="K151" s="531"/>
      <c r="L151" s="531"/>
      <c r="M151" s="532"/>
      <c r="N151" s="530"/>
      <c r="O151" s="531"/>
      <c r="P151" s="531"/>
      <c r="Q151" s="532"/>
      <c r="R151" s="526"/>
      <c r="S151" s="541"/>
      <c r="T151" s="571"/>
      <c r="U151" s="572"/>
      <c r="V151" s="572"/>
      <c r="W151" s="572"/>
      <c r="X151" s="573"/>
      <c r="Y151" s="574"/>
      <c r="Z151" s="572"/>
      <c r="AA151" s="572"/>
      <c r="AB151" s="572"/>
      <c r="AC151" s="572"/>
      <c r="AD151" s="572"/>
      <c r="AE151" s="572"/>
      <c r="AF151" s="572"/>
      <c r="AG151" s="572"/>
      <c r="AH151" s="572"/>
      <c r="AI151" s="572"/>
      <c r="AJ151" s="573"/>
      <c r="AK151" s="500"/>
      <c r="AL151" s="500"/>
      <c r="AM151" s="500"/>
      <c r="AN151" s="500"/>
    </row>
    <row r="152" spans="1:40" ht="14.4" hidden="1" customHeight="1" outlineLevel="1" collapsed="1">
      <c r="B152" s="902"/>
      <c r="C152" s="527" t="s">
        <v>2734</v>
      </c>
      <c r="D152" s="556" t="s">
        <v>2767</v>
      </c>
      <c r="E152" s="555"/>
      <c r="F152" s="1448"/>
      <c r="G152" s="1428"/>
      <c r="H152" s="555"/>
      <c r="I152" s="526"/>
      <c r="J152" s="530"/>
      <c r="K152" s="531"/>
      <c r="L152" s="531"/>
      <c r="M152" s="532"/>
      <c r="N152" s="530"/>
      <c r="O152" s="531"/>
      <c r="P152" s="531"/>
      <c r="Q152" s="532"/>
      <c r="R152" s="526"/>
      <c r="S152" s="541"/>
      <c r="T152" s="571"/>
      <c r="U152" s="572"/>
      <c r="V152" s="572"/>
      <c r="W152" s="572"/>
      <c r="X152" s="573"/>
      <c r="Y152" s="574"/>
      <c r="Z152" s="572"/>
      <c r="AA152" s="572"/>
      <c r="AB152" s="572"/>
      <c r="AC152" s="572"/>
      <c r="AD152" s="572"/>
      <c r="AE152" s="572"/>
      <c r="AF152" s="572"/>
      <c r="AG152" s="572"/>
      <c r="AH152" s="572"/>
      <c r="AI152" s="572"/>
      <c r="AJ152" s="573"/>
      <c r="AK152" s="500"/>
      <c r="AL152" s="500"/>
      <c r="AM152" s="500"/>
      <c r="AN152" s="500"/>
    </row>
    <row r="153" spans="1:40" ht="14.4" hidden="1" customHeight="1" outlineLevel="1" collapsed="1">
      <c r="B153" s="902"/>
      <c r="C153" s="527"/>
      <c r="D153" s="529" t="s">
        <v>2804</v>
      </c>
      <c r="E153" s="555"/>
      <c r="F153" s="1448">
        <f>SUM(F149:F152)</f>
        <v>0</v>
      </c>
      <c r="G153" s="1428">
        <f t="shared" ref="G153:I153" si="545">SUM(G149:G152)</f>
        <v>0</v>
      </c>
      <c r="H153" s="555">
        <f t="shared" si="545"/>
        <v>0</v>
      </c>
      <c r="I153" s="526">
        <f t="shared" si="545"/>
        <v>0</v>
      </c>
      <c r="J153" s="530">
        <f t="shared" ref="J153" si="546">SUM(J149:J152)</f>
        <v>0</v>
      </c>
      <c r="K153" s="531">
        <f t="shared" ref="K153" si="547">SUM(K149:K152)</f>
        <v>0</v>
      </c>
      <c r="L153" s="531">
        <f t="shared" ref="L153" si="548">SUM(L149:L152)</f>
        <v>0</v>
      </c>
      <c r="M153" s="532">
        <f t="shared" ref="M153" si="549">SUM(M149:M152)</f>
        <v>0</v>
      </c>
      <c r="N153" s="530">
        <f t="shared" ref="N153" si="550">SUM(N149:N152)</f>
        <v>0</v>
      </c>
      <c r="O153" s="531">
        <f t="shared" ref="O153" si="551">SUM(O149:O152)</f>
        <v>0</v>
      </c>
      <c r="P153" s="531">
        <f t="shared" ref="P153" si="552">SUM(P149:P152)</f>
        <v>0</v>
      </c>
      <c r="Q153" s="532">
        <f t="shared" ref="Q153" si="553">SUM(Q149:Q152)</f>
        <v>0</v>
      </c>
      <c r="R153" s="526">
        <f t="shared" ref="R153" si="554">SUM(R149:R152)</f>
        <v>0</v>
      </c>
      <c r="S153" s="541">
        <f t="shared" ref="S153" si="555">SUM(S149:S152)</f>
        <v>0</v>
      </c>
      <c r="T153" s="571">
        <f t="shared" ref="T153" si="556">SUM(T149:T152)</f>
        <v>0</v>
      </c>
      <c r="U153" s="572">
        <f t="shared" ref="U153" si="557">SUM(U149:U152)</f>
        <v>0</v>
      </c>
      <c r="V153" s="572">
        <f t="shared" ref="V153" si="558">SUM(V149:V152)</f>
        <v>0</v>
      </c>
      <c r="W153" s="572">
        <f t="shared" ref="W153" si="559">SUM(W149:W152)</f>
        <v>0</v>
      </c>
      <c r="X153" s="573">
        <f t="shared" ref="X153" si="560">SUM(X149:X152)</f>
        <v>0</v>
      </c>
      <c r="Y153" s="574">
        <f t="shared" ref="Y153" si="561">SUM(Y149:Y152)</f>
        <v>0</v>
      </c>
      <c r="Z153" s="572">
        <f t="shared" ref="Z153" si="562">SUM(Z149:Z152)</f>
        <v>0</v>
      </c>
      <c r="AA153" s="572">
        <f t="shared" ref="AA153" si="563">SUM(AA149:AA152)</f>
        <v>0</v>
      </c>
      <c r="AB153" s="572">
        <f t="shared" ref="AB153" si="564">SUM(AB149:AB152)</f>
        <v>0</v>
      </c>
      <c r="AC153" s="572">
        <f t="shared" ref="AC153" si="565">SUM(AC149:AC152)</f>
        <v>0</v>
      </c>
      <c r="AD153" s="572">
        <f t="shared" ref="AD153" si="566">SUM(AD149:AD152)</f>
        <v>0</v>
      </c>
      <c r="AE153" s="572">
        <f t="shared" ref="AE153" si="567">SUM(AE149:AE152)</f>
        <v>0</v>
      </c>
      <c r="AF153" s="572">
        <f t="shared" ref="AF153" si="568">SUM(AF149:AF152)</f>
        <v>0</v>
      </c>
      <c r="AG153" s="572">
        <f t="shared" ref="AG153" si="569">SUM(AG149:AG152)</f>
        <v>0</v>
      </c>
      <c r="AH153" s="572">
        <f t="shared" ref="AH153" si="570">SUM(AH149:AH152)</f>
        <v>0</v>
      </c>
      <c r="AI153" s="572">
        <f t="shared" ref="AI153" si="571">SUM(AI149:AI152)</f>
        <v>0</v>
      </c>
      <c r="AJ153" s="573">
        <f t="shared" ref="AJ153" si="572">SUM(AJ149:AJ152)</f>
        <v>0</v>
      </c>
      <c r="AK153" s="500"/>
      <c r="AL153" s="500"/>
      <c r="AM153" s="500"/>
      <c r="AN153" s="500"/>
    </row>
    <row r="154" spans="1:40" ht="14.4" customHeight="1" collapsed="1">
      <c r="B154" s="901"/>
      <c r="C154" s="546" t="s">
        <v>2735</v>
      </c>
      <c r="D154" s="529" t="s">
        <v>2716</v>
      </c>
      <c r="E154" s="526"/>
      <c r="F154" s="1448"/>
      <c r="G154" s="1427"/>
      <c r="H154" s="526"/>
      <c r="I154" s="526"/>
      <c r="J154" s="530"/>
      <c r="K154" s="531"/>
      <c r="L154" s="531"/>
      <c r="M154" s="532"/>
      <c r="N154" s="530"/>
      <c r="O154" s="531"/>
      <c r="P154" s="531"/>
      <c r="Q154" s="532"/>
      <c r="R154" s="526"/>
      <c r="S154" s="541"/>
      <c r="T154" s="571"/>
      <c r="U154" s="572"/>
      <c r="V154" s="572"/>
      <c r="W154" s="572"/>
      <c r="X154" s="573"/>
      <c r="Y154" s="574"/>
      <c r="Z154" s="572"/>
      <c r="AA154" s="572"/>
      <c r="AB154" s="572"/>
      <c r="AC154" s="572"/>
      <c r="AD154" s="572"/>
      <c r="AE154" s="572"/>
      <c r="AF154" s="572"/>
      <c r="AG154" s="572"/>
      <c r="AH154" s="572"/>
      <c r="AI154" s="572"/>
      <c r="AJ154" s="573"/>
      <c r="AK154" s="500"/>
      <c r="AL154" s="500"/>
      <c r="AM154" s="500"/>
      <c r="AN154" s="500"/>
    </row>
    <row r="155" spans="1:40" ht="14.4" hidden="1" customHeight="1" outlineLevel="1" collapsed="1">
      <c r="B155" s="902"/>
      <c r="C155" s="527" t="s">
        <v>2736</v>
      </c>
      <c r="D155" s="556" t="s">
        <v>2768</v>
      </c>
      <c r="E155" s="555"/>
      <c r="F155" s="1446"/>
      <c r="G155" s="1428"/>
      <c r="H155" s="555"/>
      <c r="I155" s="555"/>
      <c r="J155" s="557"/>
      <c r="K155" s="558"/>
      <c r="L155" s="558"/>
      <c r="M155" s="559"/>
      <c r="N155" s="557"/>
      <c r="O155" s="558"/>
      <c r="P155" s="558"/>
      <c r="Q155" s="559"/>
      <c r="R155" s="555"/>
      <c r="S155" s="575"/>
      <c r="T155" s="542"/>
      <c r="U155" s="543"/>
      <c r="V155" s="543"/>
      <c r="W155" s="543"/>
      <c r="X155" s="544"/>
      <c r="Y155" s="545"/>
      <c r="Z155" s="543"/>
      <c r="AA155" s="543"/>
      <c r="AB155" s="543"/>
      <c r="AC155" s="543"/>
      <c r="AD155" s="543"/>
      <c r="AE155" s="543"/>
      <c r="AF155" s="543"/>
      <c r="AG155" s="543"/>
      <c r="AH155" s="543"/>
      <c r="AI155" s="543"/>
      <c r="AJ155" s="544"/>
      <c r="AK155" s="500"/>
      <c r="AL155" s="500"/>
      <c r="AM155" s="500"/>
      <c r="AN155" s="500"/>
    </row>
    <row r="156" spans="1:40" ht="14.4" hidden="1" customHeight="1" outlineLevel="1" collapsed="1">
      <c r="B156" s="902"/>
      <c r="C156" s="527" t="s">
        <v>2737</v>
      </c>
      <c r="D156" s="556" t="s">
        <v>2769</v>
      </c>
      <c r="E156" s="555"/>
      <c r="F156" s="1446"/>
      <c r="G156" s="1428"/>
      <c r="H156" s="555"/>
      <c r="I156" s="555"/>
      <c r="J156" s="557"/>
      <c r="K156" s="558"/>
      <c r="L156" s="558"/>
      <c r="M156" s="559"/>
      <c r="N156" s="557"/>
      <c r="O156" s="558"/>
      <c r="P156" s="558"/>
      <c r="Q156" s="559"/>
      <c r="R156" s="555"/>
      <c r="S156" s="575"/>
      <c r="T156" s="571"/>
      <c r="U156" s="572"/>
      <c r="V156" s="572"/>
      <c r="W156" s="572"/>
      <c r="X156" s="573"/>
      <c r="Y156" s="574"/>
      <c r="Z156" s="572"/>
      <c r="AA156" s="572"/>
      <c r="AB156" s="572"/>
      <c r="AC156" s="572"/>
      <c r="AD156" s="572"/>
      <c r="AE156" s="572"/>
      <c r="AF156" s="572"/>
      <c r="AG156" s="572"/>
      <c r="AH156" s="572"/>
      <c r="AI156" s="572"/>
      <c r="AJ156" s="573"/>
      <c r="AK156" s="500"/>
      <c r="AL156" s="500"/>
      <c r="AM156" s="500"/>
      <c r="AN156" s="500"/>
    </row>
    <row r="157" spans="1:40" ht="14.4" hidden="1" customHeight="1" outlineLevel="1" collapsed="1">
      <c r="B157" s="902"/>
      <c r="C157" s="527" t="s">
        <v>2738</v>
      </c>
      <c r="D157" s="556" t="s">
        <v>2770</v>
      </c>
      <c r="E157" s="555"/>
      <c r="F157" s="1446"/>
      <c r="G157" s="1428"/>
      <c r="H157" s="555"/>
      <c r="I157" s="555"/>
      <c r="J157" s="557"/>
      <c r="K157" s="558"/>
      <c r="L157" s="558"/>
      <c r="M157" s="559"/>
      <c r="N157" s="557"/>
      <c r="O157" s="558"/>
      <c r="P157" s="558"/>
      <c r="Q157" s="559"/>
      <c r="R157" s="555"/>
      <c r="S157" s="575"/>
      <c r="T157" s="571"/>
      <c r="U157" s="572"/>
      <c r="V157" s="572"/>
      <c r="W157" s="572"/>
      <c r="X157" s="573"/>
      <c r="Y157" s="574"/>
      <c r="Z157" s="572"/>
      <c r="AA157" s="572"/>
      <c r="AB157" s="572"/>
      <c r="AC157" s="572"/>
      <c r="AD157" s="572"/>
      <c r="AE157" s="572"/>
      <c r="AF157" s="572"/>
      <c r="AG157" s="572"/>
      <c r="AH157" s="572"/>
      <c r="AI157" s="572"/>
      <c r="AJ157" s="573"/>
      <c r="AK157" s="500"/>
      <c r="AL157" s="500"/>
      <c r="AM157" s="500"/>
      <c r="AN157" s="500"/>
    </row>
    <row r="158" spans="1:40" ht="14.4" hidden="1" customHeight="1" outlineLevel="1" collapsed="1">
      <c r="B158" s="902"/>
      <c r="C158" s="527"/>
      <c r="D158" s="529" t="s">
        <v>2795</v>
      </c>
      <c r="E158" s="555"/>
      <c r="F158" s="1448">
        <f>SUM(F155:F157)</f>
        <v>0</v>
      </c>
      <c r="G158" s="1428">
        <f t="shared" ref="G158:I158" si="573">SUM(G155:G157)</f>
        <v>0</v>
      </c>
      <c r="H158" s="555">
        <f t="shared" si="573"/>
        <v>0</v>
      </c>
      <c r="I158" s="555">
        <f t="shared" si="573"/>
        <v>0</v>
      </c>
      <c r="J158" s="557">
        <f t="shared" ref="J158" si="574">SUM(J155:J157)</f>
        <v>0</v>
      </c>
      <c r="K158" s="558">
        <f t="shared" ref="K158" si="575">SUM(K155:K157)</f>
        <v>0</v>
      </c>
      <c r="L158" s="558">
        <f t="shared" ref="L158" si="576">SUM(L155:L157)</f>
        <v>0</v>
      </c>
      <c r="M158" s="559">
        <f t="shared" ref="M158" si="577">SUM(M155:M157)</f>
        <v>0</v>
      </c>
      <c r="N158" s="557">
        <f t="shared" ref="N158" si="578">SUM(N155:N157)</f>
        <v>0</v>
      </c>
      <c r="O158" s="558">
        <f t="shared" ref="O158" si="579">SUM(O155:O157)</f>
        <v>0</v>
      </c>
      <c r="P158" s="558">
        <f t="shared" ref="P158" si="580">SUM(P155:P157)</f>
        <v>0</v>
      </c>
      <c r="Q158" s="559">
        <f t="shared" ref="Q158" si="581">SUM(Q155:Q157)</f>
        <v>0</v>
      </c>
      <c r="R158" s="555">
        <f t="shared" ref="R158" si="582">SUM(R155:R157)</f>
        <v>0</v>
      </c>
      <c r="S158" s="575">
        <f t="shared" ref="S158" si="583">SUM(S155:S157)</f>
        <v>0</v>
      </c>
      <c r="T158" s="571">
        <f t="shared" ref="T158" si="584">SUM(T155:T157)</f>
        <v>0</v>
      </c>
      <c r="U158" s="572">
        <f t="shared" ref="U158" si="585">SUM(U155:U157)</f>
        <v>0</v>
      </c>
      <c r="V158" s="572">
        <f t="shared" ref="V158" si="586">SUM(V155:V157)</f>
        <v>0</v>
      </c>
      <c r="W158" s="572">
        <f t="shared" ref="W158" si="587">SUM(W155:W157)</f>
        <v>0</v>
      </c>
      <c r="X158" s="573">
        <f t="shared" ref="X158" si="588">SUM(X155:X157)</f>
        <v>0</v>
      </c>
      <c r="Y158" s="574">
        <f t="shared" ref="Y158" si="589">SUM(Y155:Y157)</f>
        <v>0</v>
      </c>
      <c r="Z158" s="572">
        <f t="shared" ref="Z158" si="590">SUM(Z155:Z157)</f>
        <v>0</v>
      </c>
      <c r="AA158" s="572">
        <f t="shared" ref="AA158" si="591">SUM(AA155:AA157)</f>
        <v>0</v>
      </c>
      <c r="AB158" s="572">
        <f t="shared" ref="AB158" si="592">SUM(AB155:AB157)</f>
        <v>0</v>
      </c>
      <c r="AC158" s="572">
        <f t="shared" ref="AC158" si="593">SUM(AC155:AC157)</f>
        <v>0</v>
      </c>
      <c r="AD158" s="572">
        <f t="shared" ref="AD158" si="594">SUM(AD155:AD157)</f>
        <v>0</v>
      </c>
      <c r="AE158" s="572">
        <f t="shared" ref="AE158" si="595">SUM(AE155:AE157)</f>
        <v>0</v>
      </c>
      <c r="AF158" s="572">
        <f t="shared" ref="AF158" si="596">SUM(AF155:AF157)</f>
        <v>0</v>
      </c>
      <c r="AG158" s="572">
        <f t="shared" ref="AG158" si="597">SUM(AG155:AG157)</f>
        <v>0</v>
      </c>
      <c r="AH158" s="572">
        <f t="shared" ref="AH158" si="598">SUM(AH155:AH157)</f>
        <v>0</v>
      </c>
      <c r="AI158" s="572">
        <f t="shared" ref="AI158" si="599">SUM(AI155:AI157)</f>
        <v>0</v>
      </c>
      <c r="AJ158" s="573">
        <f t="shared" ref="AJ158" si="600">SUM(AJ155:AJ157)</f>
        <v>0</v>
      </c>
      <c r="AK158" s="500"/>
      <c r="AL158" s="500"/>
      <c r="AM158" s="500"/>
      <c r="AN158" s="500"/>
    </row>
    <row r="159" spans="1:40" ht="14.4" customHeight="1" collapsed="1">
      <c r="B159" s="902"/>
      <c r="C159" s="546" t="s">
        <v>2739</v>
      </c>
      <c r="D159" s="529" t="s">
        <v>2715</v>
      </c>
      <c r="E159" s="555"/>
      <c r="F159" s="1448"/>
      <c r="G159" s="1428"/>
      <c r="H159" s="555"/>
      <c r="I159" s="526"/>
      <c r="J159" s="530"/>
      <c r="K159" s="531"/>
      <c r="L159" s="531"/>
      <c r="M159" s="532"/>
      <c r="N159" s="530"/>
      <c r="O159" s="531"/>
      <c r="P159" s="531"/>
      <c r="Q159" s="532"/>
      <c r="R159" s="526"/>
      <c r="S159" s="541"/>
      <c r="T159" s="542"/>
      <c r="U159" s="543"/>
      <c r="V159" s="543"/>
      <c r="W159" s="543"/>
      <c r="X159" s="544"/>
      <c r="Y159" s="545"/>
      <c r="Z159" s="543"/>
      <c r="AA159" s="543"/>
      <c r="AB159" s="543"/>
      <c r="AC159" s="543"/>
      <c r="AD159" s="543"/>
      <c r="AE159" s="543"/>
      <c r="AF159" s="543"/>
      <c r="AG159" s="543"/>
      <c r="AH159" s="543"/>
      <c r="AI159" s="543"/>
      <c r="AJ159" s="544"/>
      <c r="AK159" s="500"/>
      <c r="AL159" s="500"/>
      <c r="AM159" s="500"/>
      <c r="AN159" s="500"/>
    </row>
    <row r="160" spans="1:40" ht="14.4" hidden="1" customHeight="1" outlineLevel="1" collapsed="1">
      <c r="B160" s="902"/>
      <c r="C160" s="527" t="s">
        <v>2740</v>
      </c>
      <c r="D160" s="556" t="s">
        <v>2705</v>
      </c>
      <c r="E160" s="555"/>
      <c r="F160" s="1446"/>
      <c r="G160" s="1428"/>
      <c r="H160" s="555"/>
      <c r="I160" s="555"/>
      <c r="J160" s="557"/>
      <c r="K160" s="558"/>
      <c r="L160" s="558"/>
      <c r="M160" s="559"/>
      <c r="N160" s="557"/>
      <c r="O160" s="558"/>
      <c r="P160" s="558"/>
      <c r="Q160" s="559"/>
      <c r="R160" s="555"/>
      <c r="S160" s="575"/>
      <c r="T160" s="571"/>
      <c r="U160" s="572"/>
      <c r="V160" s="572"/>
      <c r="W160" s="572"/>
      <c r="X160" s="573"/>
      <c r="Y160" s="574"/>
      <c r="Z160" s="572"/>
      <c r="AA160" s="572"/>
      <c r="AB160" s="572"/>
      <c r="AC160" s="572"/>
      <c r="AD160" s="572"/>
      <c r="AE160" s="572"/>
      <c r="AF160" s="572"/>
      <c r="AG160" s="572"/>
      <c r="AH160" s="572"/>
      <c r="AI160" s="572"/>
      <c r="AJ160" s="573"/>
      <c r="AK160" s="500"/>
      <c r="AL160" s="500"/>
      <c r="AM160" s="500"/>
      <c r="AN160" s="500"/>
    </row>
    <row r="161" spans="1:40" ht="14.4" hidden="1" customHeight="1" outlineLevel="1" collapsed="1">
      <c r="B161" s="902"/>
      <c r="C161" s="527" t="s">
        <v>2741</v>
      </c>
      <c r="D161" s="556" t="s">
        <v>2535</v>
      </c>
      <c r="E161" s="555"/>
      <c r="F161" s="1446"/>
      <c r="G161" s="1428"/>
      <c r="H161" s="555"/>
      <c r="I161" s="555"/>
      <c r="J161" s="557"/>
      <c r="K161" s="558"/>
      <c r="L161" s="558"/>
      <c r="M161" s="559"/>
      <c r="N161" s="557"/>
      <c r="O161" s="558"/>
      <c r="P161" s="558"/>
      <c r="Q161" s="559"/>
      <c r="R161" s="555"/>
      <c r="S161" s="575"/>
      <c r="T161" s="571"/>
      <c r="U161" s="572"/>
      <c r="V161" s="572"/>
      <c r="W161" s="572"/>
      <c r="X161" s="573"/>
      <c r="Y161" s="574"/>
      <c r="Z161" s="572"/>
      <c r="AA161" s="572"/>
      <c r="AB161" s="572"/>
      <c r="AC161" s="572"/>
      <c r="AD161" s="572"/>
      <c r="AE161" s="572"/>
      <c r="AF161" s="572"/>
      <c r="AG161" s="572"/>
      <c r="AH161" s="572"/>
      <c r="AI161" s="572"/>
      <c r="AJ161" s="573"/>
      <c r="AK161" s="500"/>
      <c r="AL161" s="500"/>
      <c r="AM161" s="500"/>
      <c r="AN161" s="500"/>
    </row>
    <row r="162" spans="1:40" ht="14.4" hidden="1" customHeight="1" outlineLevel="1" collapsed="1">
      <c r="B162" s="902"/>
      <c r="C162" s="527"/>
      <c r="D162" s="529" t="s">
        <v>2803</v>
      </c>
      <c r="E162" s="555"/>
      <c r="F162" s="1448">
        <f>SUM(F160:F161)</f>
        <v>0</v>
      </c>
      <c r="G162" s="1428">
        <f t="shared" ref="G162:I162" si="601">SUM(G160:G161)</f>
        <v>0</v>
      </c>
      <c r="H162" s="555">
        <f t="shared" si="601"/>
        <v>0</v>
      </c>
      <c r="I162" s="555">
        <f t="shared" si="601"/>
        <v>0</v>
      </c>
      <c r="J162" s="557">
        <f t="shared" ref="J162" si="602">SUM(J160:J161)</f>
        <v>0</v>
      </c>
      <c r="K162" s="558">
        <f t="shared" ref="K162" si="603">SUM(K160:K161)</f>
        <v>0</v>
      </c>
      <c r="L162" s="558">
        <f t="shared" ref="L162" si="604">SUM(L160:L161)</f>
        <v>0</v>
      </c>
      <c r="M162" s="559">
        <f t="shared" ref="M162" si="605">SUM(M160:M161)</f>
        <v>0</v>
      </c>
      <c r="N162" s="557">
        <f t="shared" ref="N162" si="606">SUM(N160:N161)</f>
        <v>0</v>
      </c>
      <c r="O162" s="558">
        <f t="shared" ref="O162" si="607">SUM(O160:O161)</f>
        <v>0</v>
      </c>
      <c r="P162" s="558">
        <f t="shared" ref="P162" si="608">SUM(P160:P161)</f>
        <v>0</v>
      </c>
      <c r="Q162" s="559">
        <f t="shared" ref="Q162" si="609">SUM(Q160:Q161)</f>
        <v>0</v>
      </c>
      <c r="R162" s="555">
        <f t="shared" ref="R162" si="610">SUM(R160:R161)</f>
        <v>0</v>
      </c>
      <c r="S162" s="575">
        <f t="shared" ref="S162" si="611">SUM(S160:S161)</f>
        <v>0</v>
      </c>
      <c r="T162" s="571">
        <f t="shared" ref="T162" si="612">SUM(T160:T161)</f>
        <v>0</v>
      </c>
      <c r="U162" s="572">
        <f t="shared" ref="U162" si="613">SUM(U160:U161)</f>
        <v>0</v>
      </c>
      <c r="V162" s="572">
        <f t="shared" ref="V162" si="614">SUM(V160:V161)</f>
        <v>0</v>
      </c>
      <c r="W162" s="572">
        <f t="shared" ref="W162" si="615">SUM(W160:W161)</f>
        <v>0</v>
      </c>
      <c r="X162" s="573">
        <f t="shared" ref="X162" si="616">SUM(X160:X161)</f>
        <v>0</v>
      </c>
      <c r="Y162" s="574">
        <f t="shared" ref="Y162" si="617">SUM(Y160:Y161)</f>
        <v>0</v>
      </c>
      <c r="Z162" s="572">
        <f t="shared" ref="Z162" si="618">SUM(Z160:Z161)</f>
        <v>0</v>
      </c>
      <c r="AA162" s="572">
        <f t="shared" ref="AA162" si="619">SUM(AA160:AA161)</f>
        <v>0</v>
      </c>
      <c r="AB162" s="572">
        <f t="shared" ref="AB162" si="620">SUM(AB160:AB161)</f>
        <v>0</v>
      </c>
      <c r="AC162" s="572">
        <f t="shared" ref="AC162" si="621">SUM(AC160:AC161)</f>
        <v>0</v>
      </c>
      <c r="AD162" s="572">
        <f t="shared" ref="AD162" si="622">SUM(AD160:AD161)</f>
        <v>0</v>
      </c>
      <c r="AE162" s="572">
        <f t="shared" ref="AE162" si="623">SUM(AE160:AE161)</f>
        <v>0</v>
      </c>
      <c r="AF162" s="572">
        <f t="shared" ref="AF162" si="624">SUM(AF160:AF161)</f>
        <v>0</v>
      </c>
      <c r="AG162" s="572">
        <f t="shared" ref="AG162" si="625">SUM(AG160:AG161)</f>
        <v>0</v>
      </c>
      <c r="AH162" s="572">
        <f t="shared" ref="AH162" si="626">SUM(AH160:AH161)</f>
        <v>0</v>
      </c>
      <c r="AI162" s="572">
        <f t="shared" ref="AI162" si="627">SUM(AI160:AI161)</f>
        <v>0</v>
      </c>
      <c r="AJ162" s="573">
        <f t="shared" ref="AJ162" si="628">SUM(AJ160:AJ161)</f>
        <v>0</v>
      </c>
      <c r="AK162" s="500"/>
      <c r="AL162" s="500"/>
      <c r="AM162" s="500"/>
      <c r="AN162" s="500"/>
    </row>
    <row r="163" spans="1:40" ht="14.4" customHeight="1">
      <c r="B163" s="902"/>
      <c r="C163" s="546" t="s">
        <v>2742</v>
      </c>
      <c r="D163" s="529" t="s">
        <v>2786</v>
      </c>
      <c r="E163" s="555"/>
      <c r="F163" s="1448"/>
      <c r="G163" s="1428"/>
      <c r="H163" s="555"/>
      <c r="I163" s="526"/>
      <c r="J163" s="530"/>
      <c r="K163" s="531"/>
      <c r="L163" s="531"/>
      <c r="M163" s="532"/>
      <c r="N163" s="530"/>
      <c r="O163" s="531"/>
      <c r="P163" s="531"/>
      <c r="Q163" s="532"/>
      <c r="R163" s="526"/>
      <c r="S163" s="541"/>
      <c r="T163" s="571"/>
      <c r="U163" s="572"/>
      <c r="V163" s="572"/>
      <c r="W163" s="572"/>
      <c r="X163" s="573"/>
      <c r="Y163" s="574"/>
      <c r="Z163" s="572"/>
      <c r="AA163" s="572"/>
      <c r="AB163" s="572"/>
      <c r="AC163" s="572"/>
      <c r="AD163" s="572"/>
      <c r="AE163" s="572"/>
      <c r="AF163" s="572"/>
      <c r="AG163" s="572"/>
      <c r="AH163" s="572"/>
      <c r="AI163" s="572"/>
      <c r="AJ163" s="573"/>
      <c r="AK163" s="500"/>
      <c r="AL163" s="500"/>
      <c r="AM163" s="500"/>
      <c r="AN163" s="500"/>
    </row>
    <row r="164" spans="1:40" ht="14.4" customHeight="1" outlineLevel="1" collapsed="1">
      <c r="B164" s="902"/>
      <c r="C164" s="527" t="s">
        <v>2743</v>
      </c>
      <c r="D164" s="556" t="s">
        <v>2771</v>
      </c>
      <c r="E164" s="555"/>
      <c r="F164" s="1446"/>
      <c r="G164" s="1428"/>
      <c r="H164" s="555"/>
      <c r="I164" s="555"/>
      <c r="J164" s="557"/>
      <c r="K164" s="558"/>
      <c r="L164" s="558"/>
      <c r="M164" s="559"/>
      <c r="N164" s="557"/>
      <c r="O164" s="558"/>
      <c r="P164" s="558"/>
      <c r="Q164" s="559"/>
      <c r="R164" s="555"/>
      <c r="S164" s="575"/>
      <c r="T164" s="542"/>
      <c r="U164" s="543"/>
      <c r="V164" s="543"/>
      <c r="W164" s="543"/>
      <c r="X164" s="544"/>
      <c r="Y164" s="545"/>
      <c r="Z164" s="543"/>
      <c r="AA164" s="543"/>
      <c r="AB164" s="543"/>
      <c r="AC164" s="543"/>
      <c r="AD164" s="543"/>
      <c r="AE164" s="543"/>
      <c r="AF164" s="543"/>
      <c r="AG164" s="543"/>
      <c r="AH164" s="543"/>
      <c r="AI164" s="543"/>
      <c r="AJ164" s="544"/>
      <c r="AK164" s="500"/>
      <c r="AL164" s="500"/>
      <c r="AM164" s="500"/>
      <c r="AN164" s="500"/>
    </row>
    <row r="165" spans="1:40" s="1499" customFormat="1" ht="14.4" customHeight="1" outlineLevel="1">
      <c r="A165" s="500"/>
      <c r="B165" s="902"/>
      <c r="C165" s="527"/>
      <c r="D165" s="556" t="s">
        <v>3854</v>
      </c>
      <c r="E165" s="555"/>
      <c r="F165" s="1446"/>
      <c r="G165" s="1428"/>
      <c r="H165" s="555"/>
      <c r="I165" s="555"/>
      <c r="J165" s="1504"/>
      <c r="K165" s="1505"/>
      <c r="L165" s="1505"/>
      <c r="M165" s="1506"/>
      <c r="N165" s="1504"/>
      <c r="O165" s="1505"/>
      <c r="P165" s="1505"/>
      <c r="Q165" s="1506"/>
      <c r="R165" s="1502"/>
      <c r="S165" s="1514"/>
      <c r="T165" s="1483"/>
      <c r="U165" s="1485"/>
      <c r="V165" s="1485"/>
      <c r="W165" s="1485"/>
      <c r="X165" s="1486"/>
      <c r="Y165" s="1487"/>
      <c r="Z165" s="1485"/>
      <c r="AA165" s="1485"/>
      <c r="AB165" s="1485"/>
      <c r="AC165" s="1485"/>
      <c r="AD165" s="1485"/>
      <c r="AE165" s="1485"/>
      <c r="AF165" s="1485"/>
      <c r="AG165" s="1485"/>
      <c r="AH165" s="1485"/>
      <c r="AI165" s="1485"/>
      <c r="AJ165" s="1486"/>
      <c r="AK165" s="1501"/>
      <c r="AL165" s="1501"/>
      <c r="AM165" s="1501"/>
      <c r="AN165" s="1501"/>
    </row>
    <row r="166" spans="1:40" s="1499" customFormat="1" ht="14.4" customHeight="1" outlineLevel="1">
      <c r="A166" s="500"/>
      <c r="B166" s="902"/>
      <c r="C166" s="527"/>
      <c r="D166" s="556" t="s">
        <v>3855</v>
      </c>
      <c r="E166" s="555"/>
      <c r="F166" s="1446"/>
      <c r="G166" s="1428"/>
      <c r="H166" s="555"/>
      <c r="I166" s="555"/>
      <c r="J166" s="1504"/>
      <c r="K166" s="1505"/>
      <c r="L166" s="1505"/>
      <c r="M166" s="1506"/>
      <c r="N166" s="1504"/>
      <c r="O166" s="1505"/>
      <c r="P166" s="1505"/>
      <c r="Q166" s="1506"/>
      <c r="R166" s="1502"/>
      <c r="S166" s="1514"/>
      <c r="T166" s="1483"/>
      <c r="U166" s="1485"/>
      <c r="V166" s="1485"/>
      <c r="W166" s="1485"/>
      <c r="X166" s="1486"/>
      <c r="Y166" s="1487"/>
      <c r="Z166" s="1485"/>
      <c r="AA166" s="1485"/>
      <c r="AB166" s="1485"/>
      <c r="AC166" s="1485"/>
      <c r="AD166" s="1485"/>
      <c r="AE166" s="1485"/>
      <c r="AF166" s="1485"/>
      <c r="AG166" s="1485"/>
      <c r="AH166" s="1485"/>
      <c r="AI166" s="1485"/>
      <c r="AJ166" s="1486"/>
      <c r="AK166" s="1501"/>
      <c r="AL166" s="1501"/>
      <c r="AM166" s="1501"/>
      <c r="AN166" s="1501"/>
    </row>
    <row r="167" spans="1:40" s="1499" customFormat="1" ht="14.4" customHeight="1" outlineLevel="1">
      <c r="A167" s="500"/>
      <c r="B167" s="902"/>
      <c r="C167" s="527"/>
      <c r="D167" s="556" t="s">
        <v>3856</v>
      </c>
      <c r="E167" s="555"/>
      <c r="F167" s="1446"/>
      <c r="G167" s="1428"/>
      <c r="H167" s="555"/>
      <c r="I167" s="555"/>
      <c r="J167" s="1504"/>
      <c r="K167" s="1505"/>
      <c r="L167" s="1505"/>
      <c r="M167" s="1506"/>
      <c r="N167" s="1504"/>
      <c r="O167" s="1505"/>
      <c r="P167" s="1505"/>
      <c r="Q167" s="1506"/>
      <c r="R167" s="1502"/>
      <c r="S167" s="1514"/>
      <c r="T167" s="1483"/>
      <c r="U167" s="1485"/>
      <c r="V167" s="1485"/>
      <c r="W167" s="1485"/>
      <c r="X167" s="1486"/>
      <c r="Y167" s="1487"/>
      <c r="Z167" s="1485"/>
      <c r="AA167" s="1485"/>
      <c r="AB167" s="1485"/>
      <c r="AC167" s="1485"/>
      <c r="AD167" s="1485"/>
      <c r="AE167" s="1485"/>
      <c r="AF167" s="1485"/>
      <c r="AG167" s="1485"/>
      <c r="AH167" s="1485"/>
      <c r="AI167" s="1485"/>
      <c r="AJ167" s="1486"/>
      <c r="AK167" s="1501"/>
      <c r="AL167" s="1501"/>
      <c r="AM167" s="1501"/>
      <c r="AN167" s="1501"/>
    </row>
    <row r="168" spans="1:40" ht="14.4" customHeight="1" outlineLevel="1" collapsed="1">
      <c r="B168" s="902"/>
      <c r="C168" s="527" t="s">
        <v>2744</v>
      </c>
      <c r="D168" s="556" t="s">
        <v>2772</v>
      </c>
      <c r="E168" s="555"/>
      <c r="F168" s="1446"/>
      <c r="G168" s="1428"/>
      <c r="H168" s="555"/>
      <c r="I168" s="555"/>
      <c r="J168" s="557"/>
      <c r="K168" s="558"/>
      <c r="L168" s="558"/>
      <c r="M168" s="559"/>
      <c r="N168" s="557"/>
      <c r="O168" s="558"/>
      <c r="P168" s="558"/>
      <c r="Q168" s="559"/>
      <c r="R168" s="555"/>
      <c r="S168" s="575"/>
      <c r="T168" s="571"/>
      <c r="U168" s="572"/>
      <c r="V168" s="572"/>
      <c r="W168" s="572"/>
      <c r="X168" s="573"/>
      <c r="Y168" s="574"/>
      <c r="Z168" s="572"/>
      <c r="AA168" s="572"/>
      <c r="AB168" s="572"/>
      <c r="AC168" s="572"/>
      <c r="AD168" s="572"/>
      <c r="AE168" s="572"/>
      <c r="AF168" s="572"/>
      <c r="AG168" s="572"/>
      <c r="AH168" s="572"/>
      <c r="AI168" s="572"/>
      <c r="AJ168" s="573"/>
      <c r="AK168" s="500"/>
      <c r="AL168" s="500"/>
      <c r="AM168" s="500"/>
      <c r="AN168" s="500"/>
    </row>
    <row r="169" spans="1:40" ht="14.4" customHeight="1" outlineLevel="1" collapsed="1">
      <c r="B169" s="902"/>
      <c r="C169" s="527" t="s">
        <v>2745</v>
      </c>
      <c r="D169" s="556" t="s">
        <v>2773</v>
      </c>
      <c r="E169" s="555"/>
      <c r="F169" s="1446"/>
      <c r="G169" s="1428"/>
      <c r="H169" s="555"/>
      <c r="I169" s="555"/>
      <c r="J169" s="557"/>
      <c r="K169" s="558"/>
      <c r="L169" s="558"/>
      <c r="M169" s="559"/>
      <c r="N169" s="557"/>
      <c r="O169" s="558"/>
      <c r="P169" s="558"/>
      <c r="Q169" s="559"/>
      <c r="R169" s="555"/>
      <c r="S169" s="575"/>
      <c r="T169" s="542"/>
      <c r="U169" s="543"/>
      <c r="V169" s="543"/>
      <c r="W169" s="543"/>
      <c r="X169" s="544"/>
      <c r="Y169" s="545"/>
      <c r="Z169" s="543"/>
      <c r="AA169" s="543"/>
      <c r="AB169" s="543"/>
      <c r="AC169" s="543"/>
      <c r="AD169" s="543"/>
      <c r="AE169" s="543"/>
      <c r="AF169" s="543"/>
      <c r="AG169" s="543"/>
      <c r="AH169" s="543"/>
      <c r="AI169" s="543"/>
      <c r="AJ169" s="544"/>
      <c r="AK169" s="500"/>
      <c r="AL169" s="500"/>
      <c r="AM169" s="500"/>
      <c r="AN169" s="500"/>
    </row>
    <row r="170" spans="1:40" ht="14.4" customHeight="1" outlineLevel="1" collapsed="1">
      <c r="B170" s="902"/>
      <c r="C170" s="527"/>
      <c r="D170" s="529" t="s">
        <v>2802</v>
      </c>
      <c r="E170" s="555"/>
      <c r="F170" s="1448">
        <f>SUM(F164:F169)</f>
        <v>0</v>
      </c>
      <c r="G170" s="1428">
        <f t="shared" ref="G170:I170" si="629">SUM(G164:G169)</f>
        <v>0</v>
      </c>
      <c r="H170" s="555">
        <f t="shared" si="629"/>
        <v>0</v>
      </c>
      <c r="I170" s="555">
        <f t="shared" si="629"/>
        <v>0</v>
      </c>
      <c r="J170" s="557">
        <f t="shared" ref="J170" si="630">SUM(J164:J169)</f>
        <v>0</v>
      </c>
      <c r="K170" s="558">
        <f t="shared" ref="K170" si="631">SUM(K164:K169)</f>
        <v>0</v>
      </c>
      <c r="L170" s="558">
        <f t="shared" ref="L170" si="632">SUM(L164:L169)</f>
        <v>0</v>
      </c>
      <c r="M170" s="559">
        <f t="shared" ref="M170" si="633">SUM(M164:M169)</f>
        <v>0</v>
      </c>
      <c r="N170" s="557">
        <f t="shared" ref="N170" si="634">SUM(N164:N169)</f>
        <v>0</v>
      </c>
      <c r="O170" s="558">
        <f t="shared" ref="O170" si="635">SUM(O164:O169)</f>
        <v>0</v>
      </c>
      <c r="P170" s="558">
        <f t="shared" ref="P170" si="636">SUM(P164:P169)</f>
        <v>0</v>
      </c>
      <c r="Q170" s="559">
        <f t="shared" ref="Q170" si="637">SUM(Q164:Q169)</f>
        <v>0</v>
      </c>
      <c r="R170" s="555">
        <f t="shared" ref="R170" si="638">SUM(R164:R169)</f>
        <v>0</v>
      </c>
      <c r="S170" s="575">
        <f t="shared" ref="S170" si="639">SUM(S164:S169)</f>
        <v>0</v>
      </c>
      <c r="T170" s="542">
        <f t="shared" ref="T170" si="640">SUM(T164:T169)</f>
        <v>0</v>
      </c>
      <c r="U170" s="543">
        <f t="shared" ref="U170" si="641">SUM(U164:U169)</f>
        <v>0</v>
      </c>
      <c r="V170" s="543">
        <f t="shared" ref="V170" si="642">SUM(V164:V169)</f>
        <v>0</v>
      </c>
      <c r="W170" s="543">
        <f t="shared" ref="W170" si="643">SUM(W164:W169)</f>
        <v>0</v>
      </c>
      <c r="X170" s="544">
        <f t="shared" ref="X170" si="644">SUM(X164:X169)</f>
        <v>0</v>
      </c>
      <c r="Y170" s="545">
        <f t="shared" ref="Y170" si="645">SUM(Y164:Y169)</f>
        <v>0</v>
      </c>
      <c r="Z170" s="543">
        <f t="shared" ref="Z170" si="646">SUM(Z164:Z169)</f>
        <v>0</v>
      </c>
      <c r="AA170" s="543">
        <f t="shared" ref="AA170" si="647">SUM(AA164:AA169)</f>
        <v>0</v>
      </c>
      <c r="AB170" s="543">
        <f t="shared" ref="AB170" si="648">SUM(AB164:AB169)</f>
        <v>0</v>
      </c>
      <c r="AC170" s="543">
        <f t="shared" ref="AC170" si="649">SUM(AC164:AC169)</f>
        <v>0</v>
      </c>
      <c r="AD170" s="543">
        <f t="shared" ref="AD170" si="650">SUM(AD164:AD169)</f>
        <v>0</v>
      </c>
      <c r="AE170" s="543">
        <f t="shared" ref="AE170" si="651">SUM(AE164:AE169)</f>
        <v>0</v>
      </c>
      <c r="AF170" s="543">
        <f t="shared" ref="AF170" si="652">SUM(AF164:AF169)</f>
        <v>0</v>
      </c>
      <c r="AG170" s="543">
        <f t="shared" ref="AG170" si="653">SUM(AG164:AG169)</f>
        <v>0</v>
      </c>
      <c r="AH170" s="543">
        <f t="shared" ref="AH170" si="654">SUM(AH164:AH169)</f>
        <v>0</v>
      </c>
      <c r="AI170" s="543">
        <f t="shared" ref="AI170" si="655">SUM(AI164:AI169)</f>
        <v>0</v>
      </c>
      <c r="AJ170" s="544">
        <f t="shared" ref="AJ170" si="656">SUM(AJ164:AJ169)</f>
        <v>0</v>
      </c>
      <c r="AK170" s="500"/>
      <c r="AL170" s="500"/>
      <c r="AM170" s="500"/>
      <c r="AN170" s="500"/>
    </row>
    <row r="171" spans="1:40" ht="14.4" customHeight="1">
      <c r="B171" s="905" t="s">
        <v>3075</v>
      </c>
      <c r="C171" s="565" t="s">
        <v>2746</v>
      </c>
      <c r="D171" s="566" t="s">
        <v>2787</v>
      </c>
      <c r="E171" s="576"/>
      <c r="F171" s="1450">
        <f>F173</f>
        <v>0</v>
      </c>
      <c r="G171" s="1432">
        <f t="shared" ref="G171:I171" si="657">G173</f>
        <v>0</v>
      </c>
      <c r="H171" s="576">
        <f t="shared" si="657"/>
        <v>0</v>
      </c>
      <c r="I171" s="567">
        <f t="shared" si="657"/>
        <v>0</v>
      </c>
      <c r="J171" s="568">
        <f t="shared" ref="J171:AJ171" si="658">J173</f>
        <v>0</v>
      </c>
      <c r="K171" s="569">
        <f t="shared" si="658"/>
        <v>0</v>
      </c>
      <c r="L171" s="569">
        <f t="shared" si="658"/>
        <v>0</v>
      </c>
      <c r="M171" s="570">
        <f t="shared" si="658"/>
        <v>0</v>
      </c>
      <c r="N171" s="568">
        <f t="shared" si="658"/>
        <v>0</v>
      </c>
      <c r="O171" s="569">
        <f t="shared" si="658"/>
        <v>0</v>
      </c>
      <c r="P171" s="569">
        <f t="shared" si="658"/>
        <v>0</v>
      </c>
      <c r="Q171" s="570">
        <f t="shared" si="658"/>
        <v>0</v>
      </c>
      <c r="R171" s="567">
        <f t="shared" si="658"/>
        <v>0</v>
      </c>
      <c r="S171" s="541">
        <f t="shared" si="658"/>
        <v>0</v>
      </c>
      <c r="T171" s="614">
        <f t="shared" si="658"/>
        <v>0</v>
      </c>
      <c r="U171" s="650">
        <f t="shared" si="658"/>
        <v>0</v>
      </c>
      <c r="V171" s="650">
        <f t="shared" si="658"/>
        <v>0</v>
      </c>
      <c r="W171" s="650">
        <f t="shared" si="658"/>
        <v>0</v>
      </c>
      <c r="X171" s="651">
        <f t="shared" si="658"/>
        <v>0</v>
      </c>
      <c r="Y171" s="652">
        <f t="shared" si="658"/>
        <v>0</v>
      </c>
      <c r="Z171" s="650">
        <f t="shared" si="658"/>
        <v>0</v>
      </c>
      <c r="AA171" s="650">
        <f t="shared" si="658"/>
        <v>0</v>
      </c>
      <c r="AB171" s="650">
        <f t="shared" si="658"/>
        <v>0</v>
      </c>
      <c r="AC171" s="650">
        <f t="shared" si="658"/>
        <v>0</v>
      </c>
      <c r="AD171" s="650">
        <f t="shared" si="658"/>
        <v>0</v>
      </c>
      <c r="AE171" s="650">
        <f t="shared" si="658"/>
        <v>0</v>
      </c>
      <c r="AF171" s="650">
        <f t="shared" si="658"/>
        <v>0</v>
      </c>
      <c r="AG171" s="650">
        <f t="shared" si="658"/>
        <v>0</v>
      </c>
      <c r="AH171" s="650">
        <f t="shared" si="658"/>
        <v>0</v>
      </c>
      <c r="AI171" s="650">
        <f t="shared" si="658"/>
        <v>0</v>
      </c>
      <c r="AJ171" s="651">
        <f t="shared" si="658"/>
        <v>0</v>
      </c>
      <c r="AK171" s="500"/>
      <c r="AL171" s="500"/>
      <c r="AM171" s="500"/>
      <c r="AN171" s="500"/>
    </row>
    <row r="172" spans="1:40" ht="14.4" customHeight="1" outlineLevel="1">
      <c r="B172" s="902"/>
      <c r="C172" s="527" t="s">
        <v>2747</v>
      </c>
      <c r="D172" s="556" t="s">
        <v>2774</v>
      </c>
      <c r="E172" s="555"/>
      <c r="F172" s="1446"/>
      <c r="G172" s="1428"/>
      <c r="H172" s="555"/>
      <c r="I172" s="555"/>
      <c r="J172" s="557"/>
      <c r="K172" s="558"/>
      <c r="L172" s="558"/>
      <c r="M172" s="559"/>
      <c r="N172" s="557"/>
      <c r="O172" s="558"/>
      <c r="P172" s="558"/>
      <c r="Q172" s="559"/>
      <c r="R172" s="555"/>
      <c r="S172" s="575"/>
      <c r="T172" s="571"/>
      <c r="U172" s="572"/>
      <c r="V172" s="572"/>
      <c r="W172" s="572"/>
      <c r="X172" s="573"/>
      <c r="Y172" s="574"/>
      <c r="Z172" s="572"/>
      <c r="AA172" s="572"/>
      <c r="AB172" s="572"/>
      <c r="AC172" s="572"/>
      <c r="AD172" s="572"/>
      <c r="AE172" s="572"/>
      <c r="AF172" s="572"/>
      <c r="AG172" s="572"/>
      <c r="AH172" s="572"/>
      <c r="AI172" s="572"/>
      <c r="AJ172" s="573"/>
      <c r="AK172" s="500"/>
      <c r="AL172" s="500"/>
      <c r="AM172" s="500"/>
      <c r="AN172" s="500"/>
    </row>
    <row r="173" spans="1:40" s="502" customFormat="1" ht="14.4" customHeight="1" outlineLevel="1">
      <c r="A173" s="504"/>
      <c r="B173" s="901"/>
      <c r="C173" s="546"/>
      <c r="D173" s="529" t="s">
        <v>2799</v>
      </c>
      <c r="E173" s="526"/>
      <c r="F173" s="1448">
        <f>F172</f>
        <v>0</v>
      </c>
      <c r="G173" s="1427">
        <f t="shared" ref="G173:I173" si="659">G172</f>
        <v>0</v>
      </c>
      <c r="H173" s="526">
        <f t="shared" si="659"/>
        <v>0</v>
      </c>
      <c r="I173" s="526">
        <f t="shared" si="659"/>
        <v>0</v>
      </c>
      <c r="J173" s="530">
        <f t="shared" ref="J173" si="660">J172</f>
        <v>0</v>
      </c>
      <c r="K173" s="531">
        <f t="shared" ref="K173" si="661">K172</f>
        <v>0</v>
      </c>
      <c r="L173" s="531">
        <f t="shared" ref="L173" si="662">L172</f>
        <v>0</v>
      </c>
      <c r="M173" s="532">
        <f t="shared" ref="M173" si="663">M172</f>
        <v>0</v>
      </c>
      <c r="N173" s="530">
        <f t="shared" ref="N173" si="664">N172</f>
        <v>0</v>
      </c>
      <c r="O173" s="531">
        <f t="shared" ref="O173" si="665">O172</f>
        <v>0</v>
      </c>
      <c r="P173" s="531">
        <f t="shared" ref="P173" si="666">P172</f>
        <v>0</v>
      </c>
      <c r="Q173" s="532">
        <f t="shared" ref="Q173" si="667">Q172</f>
        <v>0</v>
      </c>
      <c r="R173" s="526">
        <f t="shared" ref="R173" si="668">R172</f>
        <v>0</v>
      </c>
      <c r="S173" s="541">
        <f t="shared" ref="S173" si="669">S172</f>
        <v>0</v>
      </c>
      <c r="T173" s="542">
        <f t="shared" ref="T173" si="670">T172</f>
        <v>0</v>
      </c>
      <c r="U173" s="543">
        <f t="shared" ref="U173" si="671">U172</f>
        <v>0</v>
      </c>
      <c r="V173" s="543">
        <f t="shared" ref="V173" si="672">V172</f>
        <v>0</v>
      </c>
      <c r="W173" s="543">
        <f t="shared" ref="W173" si="673">W172</f>
        <v>0</v>
      </c>
      <c r="X173" s="544">
        <f t="shared" ref="X173" si="674">X172</f>
        <v>0</v>
      </c>
      <c r="Y173" s="545">
        <f t="shared" ref="Y173" si="675">Y172</f>
        <v>0</v>
      </c>
      <c r="Z173" s="543">
        <f t="shared" ref="Z173" si="676">Z172</f>
        <v>0</v>
      </c>
      <c r="AA173" s="543">
        <f t="shared" ref="AA173" si="677">AA172</f>
        <v>0</v>
      </c>
      <c r="AB173" s="543">
        <f t="shared" ref="AB173" si="678">AB172</f>
        <v>0</v>
      </c>
      <c r="AC173" s="543">
        <f t="shared" ref="AC173" si="679">AC172</f>
        <v>0</v>
      </c>
      <c r="AD173" s="543">
        <f t="shared" ref="AD173" si="680">AD172</f>
        <v>0</v>
      </c>
      <c r="AE173" s="543">
        <f t="shared" ref="AE173" si="681">AE172</f>
        <v>0</v>
      </c>
      <c r="AF173" s="543">
        <f t="shared" ref="AF173" si="682">AF172</f>
        <v>0</v>
      </c>
      <c r="AG173" s="543">
        <f t="shared" ref="AG173" si="683">AG172</f>
        <v>0</v>
      </c>
      <c r="AH173" s="543">
        <f t="shared" ref="AH173" si="684">AH172</f>
        <v>0</v>
      </c>
      <c r="AI173" s="543">
        <f t="shared" ref="AI173" si="685">AI172</f>
        <v>0</v>
      </c>
      <c r="AJ173" s="544">
        <f t="shared" ref="AJ173" si="686">AJ172</f>
        <v>0</v>
      </c>
      <c r="AK173" s="504"/>
      <c r="AL173" s="504"/>
      <c r="AM173" s="504"/>
      <c r="AN173" s="504"/>
    </row>
    <row r="174" spans="1:40" ht="14.4" customHeight="1">
      <c r="B174" s="905" t="s">
        <v>3076</v>
      </c>
      <c r="C174" s="565" t="s">
        <v>2748</v>
      </c>
      <c r="D174" s="566" t="s">
        <v>2801</v>
      </c>
      <c r="E174" s="576"/>
      <c r="F174" s="1450">
        <f>F186</f>
        <v>0</v>
      </c>
      <c r="G174" s="1432">
        <f t="shared" ref="G174:I174" si="687">G186</f>
        <v>120000001</v>
      </c>
      <c r="H174" s="576">
        <f t="shared" si="687"/>
        <v>120000002</v>
      </c>
      <c r="I174" s="567">
        <f t="shared" si="687"/>
        <v>0</v>
      </c>
      <c r="J174" s="568">
        <f t="shared" ref="J174:AJ174" si="688">J186</f>
        <v>0</v>
      </c>
      <c r="K174" s="569">
        <f t="shared" si="688"/>
        <v>0</v>
      </c>
      <c r="L174" s="569">
        <f t="shared" si="688"/>
        <v>0</v>
      </c>
      <c r="M174" s="570">
        <f t="shared" si="688"/>
        <v>0</v>
      </c>
      <c r="N174" s="568">
        <f t="shared" si="688"/>
        <v>0</v>
      </c>
      <c r="O174" s="569">
        <f t="shared" si="688"/>
        <v>0</v>
      </c>
      <c r="P174" s="569">
        <f t="shared" si="688"/>
        <v>0</v>
      </c>
      <c r="Q174" s="570">
        <f t="shared" si="688"/>
        <v>0</v>
      </c>
      <c r="R174" s="567">
        <f t="shared" si="688"/>
        <v>0</v>
      </c>
      <c r="S174" s="541">
        <f t="shared" si="688"/>
        <v>0</v>
      </c>
      <c r="T174" s="614">
        <f t="shared" si="688"/>
        <v>0</v>
      </c>
      <c r="U174" s="650">
        <f t="shared" si="688"/>
        <v>0</v>
      </c>
      <c r="V174" s="650">
        <f t="shared" si="688"/>
        <v>0</v>
      </c>
      <c r="W174" s="650">
        <f t="shared" si="688"/>
        <v>0</v>
      </c>
      <c r="X174" s="651">
        <f t="shared" si="688"/>
        <v>0</v>
      </c>
      <c r="Y174" s="652">
        <f t="shared" si="688"/>
        <v>0</v>
      </c>
      <c r="Z174" s="650">
        <f t="shared" si="688"/>
        <v>0</v>
      </c>
      <c r="AA174" s="650">
        <f t="shared" si="688"/>
        <v>0</v>
      </c>
      <c r="AB174" s="650">
        <f t="shared" si="688"/>
        <v>0</v>
      </c>
      <c r="AC174" s="650">
        <f t="shared" si="688"/>
        <v>0</v>
      </c>
      <c r="AD174" s="650">
        <f t="shared" si="688"/>
        <v>0</v>
      </c>
      <c r="AE174" s="650">
        <f t="shared" si="688"/>
        <v>0</v>
      </c>
      <c r="AF174" s="650">
        <f t="shared" si="688"/>
        <v>0</v>
      </c>
      <c r="AG174" s="650">
        <f t="shared" si="688"/>
        <v>0</v>
      </c>
      <c r="AH174" s="650">
        <f t="shared" si="688"/>
        <v>0</v>
      </c>
      <c r="AI174" s="650">
        <f t="shared" si="688"/>
        <v>0</v>
      </c>
      <c r="AJ174" s="651">
        <f t="shared" si="688"/>
        <v>0</v>
      </c>
      <c r="AK174" s="500"/>
      <c r="AL174" s="500"/>
      <c r="AM174" s="500"/>
      <c r="AN174" s="500"/>
    </row>
    <row r="175" spans="1:40" ht="14.4" customHeight="1" outlineLevel="1">
      <c r="B175" s="902"/>
      <c r="C175" s="527" t="s">
        <v>2749</v>
      </c>
      <c r="D175" s="556" t="s">
        <v>2775</v>
      </c>
      <c r="E175" s="555"/>
      <c r="F175" s="1446"/>
      <c r="G175" s="1428"/>
      <c r="H175" s="555"/>
      <c r="I175" s="555"/>
      <c r="J175" s="557"/>
      <c r="K175" s="558"/>
      <c r="L175" s="558"/>
      <c r="M175" s="559"/>
      <c r="N175" s="557"/>
      <c r="O175" s="558"/>
      <c r="P175" s="558"/>
      <c r="Q175" s="559"/>
      <c r="R175" s="555"/>
      <c r="S175" s="575"/>
      <c r="T175" s="571"/>
      <c r="U175" s="572"/>
      <c r="V175" s="572"/>
      <c r="W175" s="572"/>
      <c r="X175" s="573"/>
      <c r="Y175" s="574"/>
      <c r="Z175" s="572"/>
      <c r="AA175" s="572"/>
      <c r="AB175" s="572"/>
      <c r="AC175" s="572"/>
      <c r="AD175" s="572"/>
      <c r="AE175" s="572"/>
      <c r="AF175" s="572"/>
      <c r="AG175" s="572"/>
      <c r="AH175" s="572"/>
      <c r="AI175" s="572"/>
      <c r="AJ175" s="573"/>
      <c r="AK175" s="500"/>
      <c r="AL175" s="500"/>
      <c r="AM175" s="500"/>
      <c r="AN175" s="500"/>
    </row>
    <row r="176" spans="1:40" ht="14.4" customHeight="1" outlineLevel="1">
      <c r="B176" s="902"/>
      <c r="C176" s="527" t="s">
        <v>2750</v>
      </c>
      <c r="D176" s="556" t="s">
        <v>2776</v>
      </c>
      <c r="E176" s="555"/>
      <c r="F176" s="1446"/>
      <c r="G176" s="1428"/>
      <c r="H176" s="555"/>
      <c r="I176" s="555"/>
      <c r="J176" s="557"/>
      <c r="K176" s="558"/>
      <c r="L176" s="558"/>
      <c r="M176" s="559"/>
      <c r="N176" s="557"/>
      <c r="O176" s="558"/>
      <c r="P176" s="558"/>
      <c r="Q176" s="559"/>
      <c r="R176" s="555"/>
      <c r="S176" s="575"/>
      <c r="T176" s="571"/>
      <c r="U176" s="572"/>
      <c r="V176" s="572"/>
      <c r="W176" s="572"/>
      <c r="X176" s="573"/>
      <c r="Y176" s="574"/>
      <c r="Z176" s="572"/>
      <c r="AA176" s="572"/>
      <c r="AB176" s="572"/>
      <c r="AC176" s="572"/>
      <c r="AD176" s="572"/>
      <c r="AE176" s="572"/>
      <c r="AF176" s="572"/>
      <c r="AG176" s="572"/>
      <c r="AH176" s="572"/>
      <c r="AI176" s="572"/>
      <c r="AJ176" s="573"/>
      <c r="AK176" s="500"/>
      <c r="AL176" s="500"/>
      <c r="AM176" s="500"/>
      <c r="AN176" s="500"/>
    </row>
    <row r="177" spans="1:40" s="1499" customFormat="1" ht="14.4" customHeight="1" outlineLevel="1">
      <c r="A177" s="500"/>
      <c r="B177" s="902"/>
      <c r="C177" s="527" t="s">
        <v>2751</v>
      </c>
      <c r="D177" s="556" t="s">
        <v>3859</v>
      </c>
      <c r="E177" s="555"/>
      <c r="F177" s="1519">
        <f>SUM(F178:F180)</f>
        <v>0</v>
      </c>
      <c r="G177" s="1428"/>
      <c r="H177" s="555"/>
      <c r="I177" s="555"/>
      <c r="J177" s="1504"/>
      <c r="K177" s="1505"/>
      <c r="L177" s="1505"/>
      <c r="M177" s="1506"/>
      <c r="N177" s="1504"/>
      <c r="O177" s="1505"/>
      <c r="P177" s="1505"/>
      <c r="Q177" s="1506"/>
      <c r="R177" s="1502"/>
      <c r="S177" s="1514"/>
      <c r="T177" s="1495"/>
      <c r="U177" s="1515"/>
      <c r="V177" s="1515"/>
      <c r="W177" s="1515"/>
      <c r="X177" s="1516"/>
      <c r="Y177" s="1517"/>
      <c r="Z177" s="1515"/>
      <c r="AA177" s="1515"/>
      <c r="AB177" s="1515"/>
      <c r="AC177" s="1515"/>
      <c r="AD177" s="1515"/>
      <c r="AE177" s="1515"/>
      <c r="AF177" s="1515"/>
      <c r="AG177" s="1515"/>
      <c r="AH177" s="1515"/>
      <c r="AI177" s="1515"/>
      <c r="AJ177" s="1516"/>
      <c r="AK177" s="1501"/>
      <c r="AL177" s="1501"/>
      <c r="AM177" s="1501"/>
      <c r="AN177" s="1501"/>
    </row>
    <row r="178" spans="1:40" s="1499" customFormat="1" ht="14.4" customHeight="1" outlineLevel="1">
      <c r="A178" s="500"/>
      <c r="B178" s="902"/>
      <c r="C178" s="527"/>
      <c r="D178" s="556" t="s">
        <v>3857</v>
      </c>
      <c r="E178" s="555"/>
      <c r="F178" s="1446"/>
      <c r="G178" s="1428"/>
      <c r="H178" s="555"/>
      <c r="I178" s="555"/>
      <c r="J178" s="1504"/>
      <c r="K178" s="1505"/>
      <c r="L178" s="1505"/>
      <c r="M178" s="1506"/>
      <c r="N178" s="1504"/>
      <c r="O178" s="1505"/>
      <c r="P178" s="1505"/>
      <c r="Q178" s="1506"/>
      <c r="R178" s="1502"/>
      <c r="S178" s="1514"/>
      <c r="T178" s="1495"/>
      <c r="U178" s="1515"/>
      <c r="V178" s="1515"/>
      <c r="W178" s="1515"/>
      <c r="X178" s="1516"/>
      <c r="Y178" s="1517"/>
      <c r="Z178" s="1515"/>
      <c r="AA178" s="1515"/>
      <c r="AB178" s="1515"/>
      <c r="AC178" s="1515"/>
      <c r="AD178" s="1515"/>
      <c r="AE178" s="1515"/>
      <c r="AF178" s="1515"/>
      <c r="AG178" s="1515"/>
      <c r="AH178" s="1515"/>
      <c r="AI178" s="1515"/>
      <c r="AJ178" s="1516"/>
      <c r="AK178" s="1501"/>
      <c r="AL178" s="1501"/>
      <c r="AM178" s="1501"/>
      <c r="AN178" s="1501"/>
    </row>
    <row r="179" spans="1:40" s="1499" customFormat="1" ht="14.4" customHeight="1" outlineLevel="1">
      <c r="A179" s="500"/>
      <c r="B179" s="902"/>
      <c r="C179" s="527"/>
      <c r="D179" s="556" t="s">
        <v>3858</v>
      </c>
      <c r="E179" s="555"/>
      <c r="F179" s="1446"/>
      <c r="G179" s="1428"/>
      <c r="H179" s="555"/>
      <c r="I179" s="555"/>
      <c r="J179" s="1504"/>
      <c r="K179" s="1505"/>
      <c r="L179" s="1505"/>
      <c r="M179" s="1506"/>
      <c r="N179" s="1504"/>
      <c r="O179" s="1505"/>
      <c r="P179" s="1505"/>
      <c r="Q179" s="1506"/>
      <c r="R179" s="1502"/>
      <c r="S179" s="1514"/>
      <c r="T179" s="1495"/>
      <c r="U179" s="1515"/>
      <c r="V179" s="1515"/>
      <c r="W179" s="1515"/>
      <c r="X179" s="1516"/>
      <c r="Y179" s="1517"/>
      <c r="Z179" s="1515"/>
      <c r="AA179" s="1515"/>
      <c r="AB179" s="1515"/>
      <c r="AC179" s="1515"/>
      <c r="AD179" s="1515"/>
      <c r="AE179" s="1515"/>
      <c r="AF179" s="1515"/>
      <c r="AG179" s="1515"/>
      <c r="AH179" s="1515"/>
      <c r="AI179" s="1515"/>
      <c r="AJ179" s="1516"/>
      <c r="AK179" s="1501"/>
      <c r="AL179" s="1501"/>
      <c r="AM179" s="1501"/>
      <c r="AN179" s="1501"/>
    </row>
    <row r="180" spans="1:40" ht="14.4" customHeight="1" outlineLevel="1">
      <c r="B180" s="902"/>
      <c r="C180" s="527"/>
      <c r="D180" s="556" t="s">
        <v>3860</v>
      </c>
      <c r="E180" s="555"/>
      <c r="F180" s="1446">
        <v>0</v>
      </c>
      <c r="G180" s="1428"/>
      <c r="H180" s="555"/>
      <c r="I180" s="555"/>
      <c r="J180" s="557"/>
      <c r="K180" s="558"/>
      <c r="L180" s="558"/>
      <c r="M180" s="559"/>
      <c r="N180" s="557"/>
      <c r="O180" s="558"/>
      <c r="P180" s="558"/>
      <c r="Q180" s="559"/>
      <c r="R180" s="555"/>
      <c r="S180" s="575"/>
      <c r="T180" s="571"/>
      <c r="U180" s="572"/>
      <c r="V180" s="572"/>
      <c r="W180" s="572"/>
      <c r="X180" s="573"/>
      <c r="Y180" s="574"/>
      <c r="Z180" s="572"/>
      <c r="AA180" s="572"/>
      <c r="AB180" s="572"/>
      <c r="AC180" s="572"/>
      <c r="AD180" s="572"/>
      <c r="AE180" s="572"/>
      <c r="AF180" s="572"/>
      <c r="AG180" s="572"/>
      <c r="AH180" s="572"/>
      <c r="AI180" s="572"/>
      <c r="AJ180" s="573"/>
      <c r="AK180" s="500"/>
      <c r="AL180" s="500"/>
      <c r="AM180" s="500"/>
      <c r="AN180" s="500"/>
    </row>
    <row r="181" spans="1:40" ht="14.4" customHeight="1" outlineLevel="1">
      <c r="B181" s="902"/>
      <c r="C181" s="527" t="s">
        <v>2752</v>
      </c>
      <c r="D181" s="556" t="s">
        <v>2777</v>
      </c>
      <c r="E181" s="555"/>
      <c r="F181" s="1446"/>
      <c r="G181" s="1428"/>
      <c r="H181" s="555"/>
      <c r="I181" s="555"/>
      <c r="J181" s="557"/>
      <c r="K181" s="558"/>
      <c r="L181" s="558"/>
      <c r="M181" s="559"/>
      <c r="N181" s="557"/>
      <c r="O181" s="558"/>
      <c r="P181" s="558"/>
      <c r="Q181" s="559"/>
      <c r="R181" s="555"/>
      <c r="S181" s="575"/>
      <c r="T181" s="561"/>
      <c r="U181" s="562"/>
      <c r="V181" s="562"/>
      <c r="W181" s="562"/>
      <c r="X181" s="563"/>
      <c r="Y181" s="564"/>
      <c r="Z181" s="562"/>
      <c r="AA181" s="562"/>
      <c r="AB181" s="562"/>
      <c r="AC181" s="562"/>
      <c r="AD181" s="562"/>
      <c r="AE181" s="562"/>
      <c r="AF181" s="562"/>
      <c r="AG181" s="562"/>
      <c r="AH181" s="562"/>
      <c r="AI181" s="562"/>
      <c r="AJ181" s="563"/>
      <c r="AK181" s="500"/>
      <c r="AL181" s="500"/>
      <c r="AM181" s="500"/>
      <c r="AN181" s="500"/>
    </row>
    <row r="182" spans="1:40" ht="14.4" customHeight="1" outlineLevel="1">
      <c r="B182" s="902"/>
      <c r="C182" s="527" t="s">
        <v>2753</v>
      </c>
      <c r="D182" s="556" t="s">
        <v>2778</v>
      </c>
      <c r="E182" s="555"/>
      <c r="F182" s="1446"/>
      <c r="G182" s="1428"/>
      <c r="H182" s="555"/>
      <c r="I182" s="555"/>
      <c r="J182" s="557"/>
      <c r="K182" s="558"/>
      <c r="L182" s="558"/>
      <c r="M182" s="559"/>
      <c r="N182" s="557"/>
      <c r="O182" s="558"/>
      <c r="P182" s="558"/>
      <c r="Q182" s="559"/>
      <c r="R182" s="555"/>
      <c r="S182" s="575"/>
      <c r="T182" s="542"/>
      <c r="U182" s="543"/>
      <c r="V182" s="543"/>
      <c r="W182" s="543"/>
      <c r="X182" s="544"/>
      <c r="Y182" s="545"/>
      <c r="Z182" s="543"/>
      <c r="AA182" s="543"/>
      <c r="AB182" s="543"/>
      <c r="AC182" s="543"/>
      <c r="AD182" s="543"/>
      <c r="AE182" s="543"/>
      <c r="AF182" s="543"/>
      <c r="AG182" s="543"/>
      <c r="AH182" s="543"/>
      <c r="AI182" s="543"/>
      <c r="AJ182" s="544"/>
      <c r="AK182" s="500"/>
      <c r="AL182" s="500"/>
      <c r="AM182" s="500"/>
      <c r="AN182" s="500"/>
    </row>
    <row r="183" spans="1:40" ht="14.4" customHeight="1" outlineLevel="1">
      <c r="B183" s="902"/>
      <c r="C183" s="527" t="s">
        <v>2754</v>
      </c>
      <c r="D183" s="556" t="s">
        <v>2779</v>
      </c>
      <c r="E183" s="555"/>
      <c r="F183" s="1446"/>
      <c r="G183" s="1428"/>
      <c r="H183" s="555"/>
      <c r="I183" s="555"/>
      <c r="J183" s="557"/>
      <c r="K183" s="558"/>
      <c r="L183" s="558"/>
      <c r="M183" s="559"/>
      <c r="N183" s="557"/>
      <c r="O183" s="558"/>
      <c r="P183" s="558"/>
      <c r="Q183" s="559"/>
      <c r="R183" s="555"/>
      <c r="S183" s="575"/>
      <c r="T183" s="542"/>
      <c r="U183" s="543"/>
      <c r="V183" s="543"/>
      <c r="W183" s="543"/>
      <c r="X183" s="544"/>
      <c r="Y183" s="545"/>
      <c r="Z183" s="543"/>
      <c r="AA183" s="543"/>
      <c r="AB183" s="543"/>
      <c r="AC183" s="543"/>
      <c r="AD183" s="543"/>
      <c r="AE183" s="543"/>
      <c r="AF183" s="543"/>
      <c r="AG183" s="543"/>
      <c r="AH183" s="543"/>
      <c r="AI183" s="543"/>
      <c r="AJ183" s="544"/>
      <c r="AK183" s="500"/>
      <c r="AL183" s="500"/>
      <c r="AM183" s="500"/>
      <c r="AN183" s="500"/>
    </row>
    <row r="184" spans="1:40" ht="14.4" customHeight="1" outlineLevel="1">
      <c r="B184" s="906"/>
      <c r="C184" s="577" t="s">
        <v>2755</v>
      </c>
      <c r="D184" s="578" t="s">
        <v>2780</v>
      </c>
      <c r="E184" s="579"/>
      <c r="F184" s="1451">
        <f>F185</f>
        <v>0</v>
      </c>
      <c r="G184" s="1433">
        <f t="shared" ref="G184:H184" si="689">G185</f>
        <v>120000001</v>
      </c>
      <c r="H184" s="579">
        <f t="shared" si="689"/>
        <v>120000002</v>
      </c>
      <c r="I184" s="579">
        <v>0</v>
      </c>
      <c r="J184" s="561">
        <v>0</v>
      </c>
      <c r="K184" s="562">
        <v>0</v>
      </c>
      <c r="L184" s="562">
        <v>0</v>
      </c>
      <c r="M184" s="563">
        <v>0</v>
      </c>
      <c r="N184" s="561">
        <v>0</v>
      </c>
      <c r="O184" s="562">
        <v>0</v>
      </c>
      <c r="P184" s="562">
        <v>0</v>
      </c>
      <c r="Q184" s="563">
        <v>0</v>
      </c>
      <c r="R184" s="579">
        <v>0</v>
      </c>
      <c r="S184" s="560">
        <v>0</v>
      </c>
      <c r="T184" s="510">
        <v>0</v>
      </c>
      <c r="U184" s="511">
        <v>0</v>
      </c>
      <c r="V184" s="511">
        <v>0</v>
      </c>
      <c r="W184" s="511">
        <v>0</v>
      </c>
      <c r="X184" s="509">
        <v>0</v>
      </c>
      <c r="Y184" s="512">
        <v>0</v>
      </c>
      <c r="Z184" s="511">
        <v>0</v>
      </c>
      <c r="AA184" s="511">
        <v>0</v>
      </c>
      <c r="AB184" s="511">
        <v>0</v>
      </c>
      <c r="AC184" s="511">
        <v>0</v>
      </c>
      <c r="AD184" s="511">
        <v>0</v>
      </c>
      <c r="AE184" s="511">
        <v>0</v>
      </c>
      <c r="AF184" s="511">
        <v>0</v>
      </c>
      <c r="AG184" s="511">
        <v>0</v>
      </c>
      <c r="AH184" s="511">
        <v>0</v>
      </c>
      <c r="AI184" s="511">
        <v>0</v>
      </c>
      <c r="AJ184" s="509">
        <v>0</v>
      </c>
      <c r="AK184" s="500"/>
      <c r="AL184" s="500"/>
      <c r="AM184" s="500"/>
      <c r="AN184" s="500"/>
    </row>
    <row r="185" spans="1:40" ht="14.4" customHeight="1" outlineLevel="1">
      <c r="B185" s="903"/>
      <c r="C185" s="534"/>
      <c r="D185" s="636" t="s">
        <v>2542</v>
      </c>
      <c r="E185" s="536"/>
      <c r="F185" s="1447">
        <v>0</v>
      </c>
      <c r="G185" s="1434">
        <v>120000001</v>
      </c>
      <c r="H185" s="536">
        <v>120000002</v>
      </c>
      <c r="I185" s="536">
        <v>0</v>
      </c>
      <c r="J185" s="581">
        <v>0</v>
      </c>
      <c r="K185" s="582">
        <v>0</v>
      </c>
      <c r="L185" s="582">
        <v>0</v>
      </c>
      <c r="M185" s="583">
        <v>0</v>
      </c>
      <c r="N185" s="581">
        <v>0</v>
      </c>
      <c r="O185" s="582">
        <v>0</v>
      </c>
      <c r="P185" s="582">
        <v>0</v>
      </c>
      <c r="Q185" s="583">
        <v>0</v>
      </c>
      <c r="R185" s="536">
        <v>0</v>
      </c>
      <c r="S185" s="560">
        <v>0</v>
      </c>
      <c r="T185" s="510">
        <v>0</v>
      </c>
      <c r="U185" s="511">
        <v>0</v>
      </c>
      <c r="V185" s="511">
        <v>0</v>
      </c>
      <c r="W185" s="511">
        <v>0</v>
      </c>
      <c r="X185" s="509">
        <v>0</v>
      </c>
      <c r="Y185" s="512">
        <v>0</v>
      </c>
      <c r="Z185" s="511">
        <v>0</v>
      </c>
      <c r="AA185" s="511">
        <v>0</v>
      </c>
      <c r="AB185" s="511">
        <v>0</v>
      </c>
      <c r="AC185" s="511">
        <v>0</v>
      </c>
      <c r="AD185" s="511">
        <v>0</v>
      </c>
      <c r="AE185" s="511">
        <v>0</v>
      </c>
      <c r="AF185" s="511">
        <v>0</v>
      </c>
      <c r="AG185" s="511">
        <v>0</v>
      </c>
      <c r="AH185" s="511">
        <v>0</v>
      </c>
      <c r="AI185" s="511">
        <v>0</v>
      </c>
      <c r="AJ185" s="509">
        <v>0</v>
      </c>
      <c r="AK185" s="500"/>
      <c r="AL185" s="500"/>
      <c r="AM185" s="500"/>
      <c r="AN185" s="500"/>
    </row>
    <row r="186" spans="1:40" ht="14.4" customHeight="1" outlineLevel="1" thickBot="1">
      <c r="B186" s="907"/>
      <c r="C186" s="584"/>
      <c r="D186" s="585" t="s">
        <v>2800</v>
      </c>
      <c r="E186" s="586"/>
      <c r="F186" s="1452">
        <f>F175+F176+F177+F181+F182+F183+F184</f>
        <v>0</v>
      </c>
      <c r="G186" s="1435">
        <f t="shared" ref="G186:I186" si="690">G175+G176+G177+G181+G182+G183+G184</f>
        <v>120000001</v>
      </c>
      <c r="H186" s="585">
        <f t="shared" si="690"/>
        <v>120000002</v>
      </c>
      <c r="I186" s="585">
        <f t="shared" si="690"/>
        <v>0</v>
      </c>
      <c r="J186" s="587">
        <f t="shared" ref="J186:AJ186" si="691">J175+J176+J177+J181+J182+J183+J184</f>
        <v>0</v>
      </c>
      <c r="K186" s="588">
        <f t="shared" si="691"/>
        <v>0</v>
      </c>
      <c r="L186" s="588">
        <f t="shared" si="691"/>
        <v>0</v>
      </c>
      <c r="M186" s="589">
        <f t="shared" si="691"/>
        <v>0</v>
      </c>
      <c r="N186" s="587">
        <f t="shared" si="691"/>
        <v>0</v>
      </c>
      <c r="O186" s="588">
        <f t="shared" si="691"/>
        <v>0</v>
      </c>
      <c r="P186" s="588">
        <f t="shared" si="691"/>
        <v>0</v>
      </c>
      <c r="Q186" s="589">
        <f t="shared" si="691"/>
        <v>0</v>
      </c>
      <c r="R186" s="590">
        <f t="shared" si="691"/>
        <v>0</v>
      </c>
      <c r="S186" s="541">
        <f t="shared" si="691"/>
        <v>0</v>
      </c>
      <c r="T186" s="510">
        <f t="shared" si="691"/>
        <v>0</v>
      </c>
      <c r="U186" s="511">
        <f t="shared" si="691"/>
        <v>0</v>
      </c>
      <c r="V186" s="511">
        <f t="shared" si="691"/>
        <v>0</v>
      </c>
      <c r="W186" s="511">
        <f t="shared" si="691"/>
        <v>0</v>
      </c>
      <c r="X186" s="509">
        <f t="shared" si="691"/>
        <v>0</v>
      </c>
      <c r="Y186" s="512">
        <f t="shared" si="691"/>
        <v>0</v>
      </c>
      <c r="Z186" s="511">
        <f t="shared" si="691"/>
        <v>0</v>
      </c>
      <c r="AA186" s="511">
        <f t="shared" si="691"/>
        <v>0</v>
      </c>
      <c r="AB186" s="511">
        <f t="shared" si="691"/>
        <v>0</v>
      </c>
      <c r="AC186" s="511">
        <f t="shared" si="691"/>
        <v>0</v>
      </c>
      <c r="AD186" s="511">
        <f t="shared" si="691"/>
        <v>0</v>
      </c>
      <c r="AE186" s="511">
        <f t="shared" si="691"/>
        <v>0</v>
      </c>
      <c r="AF186" s="511">
        <f t="shared" si="691"/>
        <v>0</v>
      </c>
      <c r="AG186" s="511">
        <f t="shared" si="691"/>
        <v>0</v>
      </c>
      <c r="AH186" s="511">
        <f t="shared" si="691"/>
        <v>0</v>
      </c>
      <c r="AI186" s="511">
        <f t="shared" si="691"/>
        <v>0</v>
      </c>
      <c r="AJ186" s="509">
        <f t="shared" si="691"/>
        <v>0</v>
      </c>
      <c r="AK186" s="500"/>
      <c r="AL186" s="500"/>
      <c r="AM186" s="500"/>
      <c r="AN186" s="500"/>
    </row>
    <row r="187" spans="1:40" s="628" customFormat="1" ht="14.4" customHeight="1" thickBot="1">
      <c r="A187" s="631"/>
      <c r="B187" s="591"/>
      <c r="C187" s="591"/>
      <c r="D187" s="592"/>
      <c r="E187" s="591"/>
      <c r="F187" s="593"/>
      <c r="G187" s="593"/>
      <c r="H187" s="593"/>
      <c r="I187" s="593"/>
      <c r="J187" s="593"/>
      <c r="K187" s="593"/>
      <c r="L187" s="593"/>
      <c r="M187" s="593"/>
      <c r="N187" s="593"/>
      <c r="O187" s="593"/>
      <c r="P187" s="593"/>
      <c r="Q187" s="593"/>
      <c r="R187" s="591"/>
      <c r="S187" s="506"/>
      <c r="T187" s="661"/>
      <c r="U187" s="661"/>
      <c r="V187" s="661"/>
      <c r="W187" s="661"/>
      <c r="X187" s="661"/>
      <c r="Y187" s="661"/>
      <c r="Z187" s="661"/>
      <c r="AA187" s="661"/>
      <c r="AB187" s="661"/>
      <c r="AC187" s="661"/>
      <c r="AD187" s="661"/>
      <c r="AE187" s="661"/>
      <c r="AF187" s="661"/>
      <c r="AG187" s="661"/>
      <c r="AH187" s="661"/>
      <c r="AI187" s="661"/>
      <c r="AJ187" s="661"/>
      <c r="AK187" s="631"/>
      <c r="AL187" s="631"/>
      <c r="AM187" s="631"/>
      <c r="AN187" s="631"/>
    </row>
    <row r="188" spans="1:40" ht="14.4" customHeight="1" thickBot="1">
      <c r="B188" s="908" t="s">
        <v>96</v>
      </c>
      <c r="C188" s="594"/>
      <c r="D188" s="595" t="s">
        <v>2545</v>
      </c>
      <c r="E188" s="594"/>
      <c r="F188" s="1453">
        <f t="shared" ref="F188:AJ188" si="692">SUM(F246,F263,F280)</f>
        <v>14357000000</v>
      </c>
      <c r="G188" s="1436" t="e">
        <f t="shared" si="692"/>
        <v>#REF!</v>
      </c>
      <c r="H188" s="596" t="e">
        <f t="shared" si="692"/>
        <v>#REF!</v>
      </c>
      <c r="I188" s="596">
        <f t="shared" si="692"/>
        <v>0</v>
      </c>
      <c r="J188" s="597">
        <f t="shared" si="692"/>
        <v>0</v>
      </c>
      <c r="K188" s="598">
        <f t="shared" si="692"/>
        <v>0</v>
      </c>
      <c r="L188" s="598">
        <f t="shared" si="692"/>
        <v>0</v>
      </c>
      <c r="M188" s="599">
        <f t="shared" si="692"/>
        <v>0</v>
      </c>
      <c r="N188" s="597">
        <f t="shared" si="692"/>
        <v>0</v>
      </c>
      <c r="O188" s="598">
        <f t="shared" si="692"/>
        <v>0</v>
      </c>
      <c r="P188" s="598">
        <f t="shared" si="692"/>
        <v>0</v>
      </c>
      <c r="Q188" s="599">
        <f t="shared" si="692"/>
        <v>0</v>
      </c>
      <c r="R188" s="594">
        <f t="shared" si="692"/>
        <v>0</v>
      </c>
      <c r="S188" s="507">
        <f t="shared" si="692"/>
        <v>11</v>
      </c>
      <c r="T188" s="657">
        <f t="shared" si="692"/>
        <v>0</v>
      </c>
      <c r="U188" s="658">
        <f t="shared" si="692"/>
        <v>0</v>
      </c>
      <c r="V188" s="658">
        <f t="shared" si="692"/>
        <v>0</v>
      </c>
      <c r="W188" s="658">
        <f t="shared" si="692"/>
        <v>0</v>
      </c>
      <c r="X188" s="659">
        <f t="shared" si="692"/>
        <v>0</v>
      </c>
      <c r="Y188" s="660">
        <f t="shared" si="692"/>
        <v>0</v>
      </c>
      <c r="Z188" s="658">
        <f t="shared" si="692"/>
        <v>0</v>
      </c>
      <c r="AA188" s="658">
        <f t="shared" si="692"/>
        <v>0</v>
      </c>
      <c r="AB188" s="658">
        <f t="shared" si="692"/>
        <v>0</v>
      </c>
      <c r="AC188" s="658">
        <f t="shared" si="692"/>
        <v>0</v>
      </c>
      <c r="AD188" s="658">
        <f t="shared" si="692"/>
        <v>0</v>
      </c>
      <c r="AE188" s="658">
        <f t="shared" si="692"/>
        <v>0</v>
      </c>
      <c r="AF188" s="658">
        <f t="shared" si="692"/>
        <v>0</v>
      </c>
      <c r="AG188" s="658">
        <f t="shared" si="692"/>
        <v>0</v>
      </c>
      <c r="AH188" s="658">
        <f t="shared" si="692"/>
        <v>0</v>
      </c>
      <c r="AI188" s="658">
        <f t="shared" si="692"/>
        <v>0</v>
      </c>
      <c r="AJ188" s="659">
        <f t="shared" si="692"/>
        <v>0</v>
      </c>
      <c r="AK188" s="500"/>
      <c r="AL188" s="500"/>
      <c r="AM188" s="500"/>
      <c r="AN188" s="500"/>
    </row>
    <row r="189" spans="1:40" ht="14.4" customHeight="1">
      <c r="B189" s="905" t="s">
        <v>98</v>
      </c>
      <c r="C189" s="567"/>
      <c r="D189" s="600" t="s">
        <v>94</v>
      </c>
      <c r="E189" s="567"/>
      <c r="F189" s="1450">
        <f>F246</f>
        <v>14242000000</v>
      </c>
      <c r="G189" s="1437" t="e">
        <f t="shared" ref="G189:I189" si="693">G246</f>
        <v>#REF!</v>
      </c>
      <c r="H189" s="566" t="e">
        <f t="shared" si="693"/>
        <v>#REF!</v>
      </c>
      <c r="I189" s="566">
        <f t="shared" si="693"/>
        <v>0</v>
      </c>
      <c r="J189" s="601">
        <f t="shared" ref="J189:AJ189" si="694">J246</f>
        <v>0</v>
      </c>
      <c r="K189" s="602">
        <f t="shared" si="694"/>
        <v>0</v>
      </c>
      <c r="L189" s="602">
        <f t="shared" si="694"/>
        <v>0</v>
      </c>
      <c r="M189" s="603">
        <f t="shared" si="694"/>
        <v>0</v>
      </c>
      <c r="N189" s="601">
        <f t="shared" si="694"/>
        <v>0</v>
      </c>
      <c r="O189" s="602">
        <f t="shared" si="694"/>
        <v>0</v>
      </c>
      <c r="P189" s="602">
        <f t="shared" si="694"/>
        <v>0</v>
      </c>
      <c r="Q189" s="603">
        <f t="shared" si="694"/>
        <v>0</v>
      </c>
      <c r="R189" s="567">
        <f t="shared" si="694"/>
        <v>0</v>
      </c>
      <c r="S189" s="507">
        <f t="shared" si="694"/>
        <v>0</v>
      </c>
      <c r="T189" s="653">
        <f t="shared" si="694"/>
        <v>0</v>
      </c>
      <c r="U189" s="654">
        <f t="shared" si="694"/>
        <v>0</v>
      </c>
      <c r="V189" s="654">
        <f t="shared" si="694"/>
        <v>0</v>
      </c>
      <c r="W189" s="654">
        <f t="shared" si="694"/>
        <v>0</v>
      </c>
      <c r="X189" s="655">
        <f t="shared" si="694"/>
        <v>0</v>
      </c>
      <c r="Y189" s="656">
        <f t="shared" si="694"/>
        <v>0</v>
      </c>
      <c r="Z189" s="654">
        <f t="shared" si="694"/>
        <v>0</v>
      </c>
      <c r="AA189" s="654">
        <f t="shared" si="694"/>
        <v>0</v>
      </c>
      <c r="AB189" s="654">
        <f t="shared" si="694"/>
        <v>0</v>
      </c>
      <c r="AC189" s="654">
        <f t="shared" si="694"/>
        <v>0</v>
      </c>
      <c r="AD189" s="654">
        <f t="shared" si="694"/>
        <v>0</v>
      </c>
      <c r="AE189" s="654">
        <f t="shared" si="694"/>
        <v>0</v>
      </c>
      <c r="AF189" s="654">
        <f t="shared" si="694"/>
        <v>0</v>
      </c>
      <c r="AG189" s="654">
        <f t="shared" si="694"/>
        <v>0</v>
      </c>
      <c r="AH189" s="654">
        <f t="shared" si="694"/>
        <v>0</v>
      </c>
      <c r="AI189" s="654">
        <f t="shared" si="694"/>
        <v>0</v>
      </c>
      <c r="AJ189" s="655">
        <f t="shared" si="694"/>
        <v>0</v>
      </c>
      <c r="AK189" s="500"/>
      <c r="AL189" s="500"/>
      <c r="AM189" s="500"/>
      <c r="AN189" s="500"/>
    </row>
    <row r="190" spans="1:40" s="502" customFormat="1" ht="14.4" customHeight="1">
      <c r="A190" s="504"/>
      <c r="B190" s="901">
        <v>1</v>
      </c>
      <c r="C190" s="526"/>
      <c r="D190" s="547" t="s">
        <v>3841</v>
      </c>
      <c r="E190" s="526"/>
      <c r="F190" s="1448">
        <f>SUM(F191:F196)</f>
        <v>672000000</v>
      </c>
      <c r="G190" s="1438">
        <f t="shared" ref="G190:H198" si="695">4000000*3*90</f>
        <v>1080000000</v>
      </c>
      <c r="H190" s="529">
        <f t="shared" si="695"/>
        <v>1080000000</v>
      </c>
      <c r="I190" s="529">
        <v>0</v>
      </c>
      <c r="J190" s="604">
        <v>0</v>
      </c>
      <c r="K190" s="605">
        <v>0</v>
      </c>
      <c r="L190" s="605">
        <v>0</v>
      </c>
      <c r="M190" s="606">
        <v>0</v>
      </c>
      <c r="N190" s="604">
        <v>0</v>
      </c>
      <c r="O190" s="605">
        <v>0</v>
      </c>
      <c r="P190" s="605">
        <v>0</v>
      </c>
      <c r="Q190" s="606">
        <v>0</v>
      </c>
      <c r="R190" s="526">
        <v>0</v>
      </c>
      <c r="S190" s="507">
        <v>0</v>
      </c>
      <c r="T190" s="510">
        <v>0</v>
      </c>
      <c r="U190" s="511">
        <v>0</v>
      </c>
      <c r="V190" s="511">
        <v>0</v>
      </c>
      <c r="W190" s="511">
        <v>0</v>
      </c>
      <c r="X190" s="509">
        <v>0</v>
      </c>
      <c r="Y190" s="512">
        <v>0</v>
      </c>
      <c r="Z190" s="511">
        <v>0</v>
      </c>
      <c r="AA190" s="511">
        <v>0</v>
      </c>
      <c r="AB190" s="511">
        <v>0</v>
      </c>
      <c r="AC190" s="511">
        <v>0</v>
      </c>
      <c r="AD190" s="511">
        <v>0</v>
      </c>
      <c r="AE190" s="511">
        <v>0</v>
      </c>
      <c r="AF190" s="511">
        <v>0</v>
      </c>
      <c r="AG190" s="511">
        <v>0</v>
      </c>
      <c r="AH190" s="511">
        <v>0</v>
      </c>
      <c r="AI190" s="511">
        <v>0</v>
      </c>
      <c r="AJ190" s="509">
        <v>0</v>
      </c>
    </row>
    <row r="191" spans="1:40" s="1473" customFormat="1" ht="14.4" hidden="1" customHeight="1" outlineLevel="1">
      <c r="A191" s="504"/>
      <c r="B191" s="1459"/>
      <c r="C191" s="1460"/>
      <c r="D191" s="1461" t="s">
        <v>3861</v>
      </c>
      <c r="E191" s="1460"/>
      <c r="F191" s="1462"/>
      <c r="G191" s="1463"/>
      <c r="H191" s="1464"/>
      <c r="I191" s="1464"/>
      <c r="J191" s="1465"/>
      <c r="K191" s="1466"/>
      <c r="L191" s="1466"/>
      <c r="M191" s="1467"/>
      <c r="N191" s="1465"/>
      <c r="O191" s="1466"/>
      <c r="P191" s="1466"/>
      <c r="Q191" s="1467"/>
      <c r="R191" s="1460"/>
      <c r="S191" s="1468"/>
      <c r="T191" s="1469"/>
      <c r="U191" s="1470"/>
      <c r="V191" s="1470"/>
      <c r="W191" s="1470"/>
      <c r="X191" s="1471"/>
      <c r="Y191" s="1472"/>
      <c r="Z191" s="1470"/>
      <c r="AA191" s="1470"/>
      <c r="AB191" s="1470"/>
      <c r="AC191" s="1470"/>
      <c r="AD191" s="1470"/>
      <c r="AE191" s="1470"/>
      <c r="AF191" s="1470"/>
      <c r="AG191" s="1470"/>
      <c r="AH191" s="1470"/>
      <c r="AI191" s="1470"/>
      <c r="AJ191" s="1471"/>
    </row>
    <row r="192" spans="1:40" s="1473" customFormat="1" ht="14.4" hidden="1" customHeight="1" outlineLevel="1">
      <c r="A192" s="504"/>
      <c r="B192" s="1459"/>
      <c r="C192" s="1460"/>
      <c r="D192" s="1461" t="s">
        <v>3862</v>
      </c>
      <c r="E192" s="1460"/>
      <c r="F192" s="1462"/>
      <c r="G192" s="1463"/>
      <c r="H192" s="1464"/>
      <c r="I192" s="1464"/>
      <c r="J192" s="1465"/>
      <c r="K192" s="1466"/>
      <c r="L192" s="1466"/>
      <c r="M192" s="1467"/>
      <c r="N192" s="1465"/>
      <c r="O192" s="1466"/>
      <c r="P192" s="1466"/>
      <c r="Q192" s="1467"/>
      <c r="R192" s="1460"/>
      <c r="S192" s="1468"/>
      <c r="T192" s="1469"/>
      <c r="U192" s="1470"/>
      <c r="V192" s="1470"/>
      <c r="W192" s="1470"/>
      <c r="X192" s="1471"/>
      <c r="Y192" s="1472"/>
      <c r="Z192" s="1470"/>
      <c r="AA192" s="1470"/>
      <c r="AB192" s="1470"/>
      <c r="AC192" s="1470"/>
      <c r="AD192" s="1470"/>
      <c r="AE192" s="1470"/>
      <c r="AF192" s="1470"/>
      <c r="AG192" s="1470"/>
      <c r="AH192" s="1470"/>
      <c r="AI192" s="1470"/>
      <c r="AJ192" s="1471"/>
    </row>
    <row r="193" spans="1:36" s="1473" customFormat="1" ht="14.4" hidden="1" customHeight="1" outlineLevel="1">
      <c r="A193" s="504"/>
      <c r="B193" s="1459"/>
      <c r="C193" s="1460"/>
      <c r="D193" s="1461" t="s">
        <v>3863</v>
      </c>
      <c r="E193" s="1460"/>
      <c r="F193" s="1462"/>
      <c r="G193" s="1463"/>
      <c r="H193" s="1464"/>
      <c r="I193" s="1464"/>
      <c r="J193" s="1465"/>
      <c r="K193" s="1466"/>
      <c r="L193" s="1466"/>
      <c r="M193" s="1467"/>
      <c r="N193" s="1465"/>
      <c r="O193" s="1466"/>
      <c r="P193" s="1466"/>
      <c r="Q193" s="1467"/>
      <c r="R193" s="1460"/>
      <c r="S193" s="1468"/>
      <c r="T193" s="1469"/>
      <c r="U193" s="1470"/>
      <c r="V193" s="1470"/>
      <c r="W193" s="1470"/>
      <c r="X193" s="1471"/>
      <c r="Y193" s="1472"/>
      <c r="Z193" s="1470"/>
      <c r="AA193" s="1470"/>
      <c r="AB193" s="1470"/>
      <c r="AC193" s="1470"/>
      <c r="AD193" s="1470"/>
      <c r="AE193" s="1470"/>
      <c r="AF193" s="1470"/>
      <c r="AG193" s="1470"/>
      <c r="AH193" s="1470"/>
      <c r="AI193" s="1470"/>
      <c r="AJ193" s="1471"/>
    </row>
    <row r="194" spans="1:36" s="502" customFormat="1" ht="14.4" customHeight="1" outlineLevel="1">
      <c r="A194" s="504"/>
      <c r="B194" s="901"/>
      <c r="C194" s="526"/>
      <c r="D194" s="533" t="s">
        <v>3896</v>
      </c>
      <c r="E194" s="526"/>
      <c r="F194" s="1446">
        <v>672000000</v>
      </c>
      <c r="G194" s="1438"/>
      <c r="H194" s="529"/>
      <c r="I194" s="529"/>
      <c r="J194" s="604"/>
      <c r="K194" s="605"/>
      <c r="L194" s="605"/>
      <c r="M194" s="606"/>
      <c r="N194" s="604"/>
      <c r="O194" s="605"/>
      <c r="P194" s="605"/>
      <c r="Q194" s="606"/>
      <c r="R194" s="526"/>
      <c r="S194" s="507"/>
      <c r="T194" s="510"/>
      <c r="U194" s="511"/>
      <c r="V194" s="511"/>
      <c r="W194" s="511"/>
      <c r="X194" s="509"/>
      <c r="Y194" s="512"/>
      <c r="Z194" s="511"/>
      <c r="AA194" s="511"/>
      <c r="AB194" s="511"/>
      <c r="AC194" s="511"/>
      <c r="AD194" s="511"/>
      <c r="AE194" s="511"/>
      <c r="AF194" s="511"/>
      <c r="AG194" s="511"/>
      <c r="AH194" s="511"/>
      <c r="AI194" s="511"/>
      <c r="AJ194" s="509"/>
    </row>
    <row r="195" spans="1:36" s="502" customFormat="1" ht="14.4" hidden="1" customHeight="1" outlineLevel="1">
      <c r="A195" s="504"/>
      <c r="B195" s="901"/>
      <c r="C195" s="526"/>
      <c r="D195" s="533" t="s">
        <v>3899</v>
      </c>
      <c r="E195" s="526"/>
      <c r="F195" s="1446"/>
      <c r="G195" s="1438"/>
      <c r="H195" s="529"/>
      <c r="I195" s="529"/>
      <c r="J195" s="604"/>
      <c r="K195" s="605"/>
      <c r="L195" s="605"/>
      <c r="M195" s="606"/>
      <c r="N195" s="604"/>
      <c r="O195" s="605"/>
      <c r="P195" s="605"/>
      <c r="Q195" s="606"/>
      <c r="R195" s="526"/>
      <c r="S195" s="507"/>
      <c r="T195" s="510"/>
      <c r="U195" s="511"/>
      <c r="V195" s="511"/>
      <c r="W195" s="511"/>
      <c r="X195" s="509"/>
      <c r="Y195" s="512"/>
      <c r="Z195" s="511"/>
      <c r="AA195" s="511"/>
      <c r="AB195" s="511"/>
      <c r="AC195" s="511"/>
      <c r="AD195" s="511"/>
      <c r="AE195" s="511"/>
      <c r="AF195" s="511"/>
      <c r="AG195" s="511"/>
      <c r="AH195" s="511"/>
      <c r="AI195" s="511"/>
      <c r="AJ195" s="509"/>
    </row>
    <row r="196" spans="1:36" s="502" customFormat="1" ht="14.4" hidden="1" customHeight="1" outlineLevel="1">
      <c r="A196" s="504"/>
      <c r="B196" s="901"/>
      <c r="C196" s="526"/>
      <c r="D196" s="533" t="s">
        <v>3864</v>
      </c>
      <c r="E196" s="526"/>
      <c r="F196" s="1446"/>
      <c r="G196" s="1438"/>
      <c r="H196" s="529"/>
      <c r="I196" s="529"/>
      <c r="J196" s="604"/>
      <c r="K196" s="605"/>
      <c r="L196" s="605"/>
      <c r="M196" s="606"/>
      <c r="N196" s="604"/>
      <c r="O196" s="605"/>
      <c r="P196" s="605"/>
      <c r="Q196" s="606"/>
      <c r="R196" s="526"/>
      <c r="S196" s="507"/>
      <c r="T196" s="510"/>
      <c r="U196" s="511"/>
      <c r="V196" s="511"/>
      <c r="W196" s="511"/>
      <c r="X196" s="509"/>
      <c r="Y196" s="512"/>
      <c r="Z196" s="511"/>
      <c r="AA196" s="511"/>
      <c r="AB196" s="511"/>
      <c r="AC196" s="511"/>
      <c r="AD196" s="511"/>
      <c r="AE196" s="511"/>
      <c r="AF196" s="511"/>
      <c r="AG196" s="511"/>
      <c r="AH196" s="511"/>
      <c r="AI196" s="511"/>
      <c r="AJ196" s="509"/>
    </row>
    <row r="197" spans="1:36" s="502" customFormat="1" ht="14.4" customHeight="1">
      <c r="A197" s="504"/>
      <c r="B197" s="901"/>
      <c r="C197" s="526"/>
      <c r="D197" s="533"/>
      <c r="E197" s="526"/>
      <c r="F197" s="1446"/>
      <c r="G197" s="1438"/>
      <c r="H197" s="529"/>
      <c r="I197" s="529"/>
      <c r="J197" s="604"/>
      <c r="K197" s="605"/>
      <c r="L197" s="605"/>
      <c r="M197" s="606"/>
      <c r="N197" s="604"/>
      <c r="O197" s="605"/>
      <c r="P197" s="605"/>
      <c r="Q197" s="606"/>
      <c r="R197" s="526"/>
      <c r="S197" s="507"/>
      <c r="T197" s="510"/>
      <c r="U197" s="511"/>
      <c r="V197" s="511"/>
      <c r="W197" s="511"/>
      <c r="X197" s="509"/>
      <c r="Y197" s="512"/>
      <c r="Z197" s="511"/>
      <c r="AA197" s="511"/>
      <c r="AB197" s="511"/>
      <c r="AC197" s="511"/>
      <c r="AD197" s="511"/>
      <c r="AE197" s="511"/>
      <c r="AF197" s="511"/>
      <c r="AG197" s="511"/>
      <c r="AH197" s="511"/>
      <c r="AI197" s="511"/>
      <c r="AJ197" s="509"/>
    </row>
    <row r="198" spans="1:36" s="502" customFormat="1" ht="14.4" customHeight="1">
      <c r="A198" s="504"/>
      <c r="B198" s="901">
        <f>B190+1</f>
        <v>2</v>
      </c>
      <c r="C198" s="526"/>
      <c r="D198" s="547" t="s">
        <v>2541</v>
      </c>
      <c r="E198" s="526"/>
      <c r="F198" s="1448">
        <v>0</v>
      </c>
      <c r="G198" s="1438">
        <f t="shared" si="695"/>
        <v>1080000000</v>
      </c>
      <c r="H198" s="529">
        <f t="shared" si="695"/>
        <v>1080000000</v>
      </c>
      <c r="I198" s="529">
        <v>0</v>
      </c>
      <c r="J198" s="604">
        <v>0</v>
      </c>
      <c r="K198" s="605">
        <v>0</v>
      </c>
      <c r="L198" s="605">
        <v>0</v>
      </c>
      <c r="M198" s="606">
        <v>0</v>
      </c>
      <c r="N198" s="604">
        <v>0</v>
      </c>
      <c r="O198" s="605">
        <v>0</v>
      </c>
      <c r="P198" s="605">
        <v>0</v>
      </c>
      <c r="Q198" s="606">
        <v>0</v>
      </c>
      <c r="R198" s="526">
        <v>0</v>
      </c>
      <c r="S198" s="507">
        <v>0</v>
      </c>
      <c r="T198" s="510">
        <v>0</v>
      </c>
      <c r="U198" s="511">
        <v>0</v>
      </c>
      <c r="V198" s="511">
        <v>0</v>
      </c>
      <c r="W198" s="511">
        <v>0</v>
      </c>
      <c r="X198" s="509">
        <v>0</v>
      </c>
      <c r="Y198" s="512">
        <v>0</v>
      </c>
      <c r="Z198" s="511">
        <v>0</v>
      </c>
      <c r="AA198" s="511">
        <v>0</v>
      </c>
      <c r="AB198" s="511">
        <v>0</v>
      </c>
      <c r="AC198" s="511">
        <v>0</v>
      </c>
      <c r="AD198" s="511">
        <v>0</v>
      </c>
      <c r="AE198" s="511">
        <v>0</v>
      </c>
      <c r="AF198" s="511">
        <v>0</v>
      </c>
      <c r="AG198" s="511">
        <v>0</v>
      </c>
      <c r="AH198" s="511">
        <v>0</v>
      </c>
      <c r="AI198" s="511">
        <v>0</v>
      </c>
      <c r="AJ198" s="509">
        <v>0</v>
      </c>
    </row>
    <row r="199" spans="1:36" s="502" customFormat="1" ht="14.4" customHeight="1">
      <c r="A199" s="504"/>
      <c r="B199" s="901"/>
      <c r="C199" s="526"/>
      <c r="D199" s="547"/>
      <c r="E199" s="526"/>
      <c r="F199" s="1448"/>
      <c r="G199" s="1438"/>
      <c r="H199" s="529"/>
      <c r="I199" s="529"/>
      <c r="J199" s="604"/>
      <c r="K199" s="605"/>
      <c r="L199" s="605"/>
      <c r="M199" s="606"/>
      <c r="N199" s="604"/>
      <c r="O199" s="605"/>
      <c r="P199" s="605"/>
      <c r="Q199" s="606"/>
      <c r="R199" s="526"/>
      <c r="S199" s="507"/>
      <c r="T199" s="510"/>
      <c r="U199" s="511"/>
      <c r="V199" s="511"/>
      <c r="W199" s="511"/>
      <c r="X199" s="509"/>
      <c r="Y199" s="512"/>
      <c r="Z199" s="511"/>
      <c r="AA199" s="511"/>
      <c r="AB199" s="511"/>
      <c r="AC199" s="511"/>
      <c r="AD199" s="511"/>
      <c r="AE199" s="511"/>
      <c r="AF199" s="511"/>
      <c r="AG199" s="511"/>
      <c r="AH199" s="511"/>
      <c r="AI199" s="511"/>
      <c r="AJ199" s="509"/>
    </row>
    <row r="200" spans="1:36" s="502" customFormat="1" ht="14.4" customHeight="1">
      <c r="A200" s="504"/>
      <c r="B200" s="901">
        <f t="shared" ref="B200" si="696">B198+1</f>
        <v>3</v>
      </c>
      <c r="C200" s="526"/>
      <c r="D200" s="547" t="s">
        <v>2788</v>
      </c>
      <c r="E200" s="526"/>
      <c r="F200" s="1448">
        <f>SUM(F201:F204)</f>
        <v>100000000</v>
      </c>
      <c r="G200" s="1438">
        <f t="shared" ref="G200:H200" si="697">15*4000000*12</f>
        <v>720000000</v>
      </c>
      <c r="H200" s="529">
        <f t="shared" si="697"/>
        <v>720000000</v>
      </c>
      <c r="I200" s="529">
        <v>0</v>
      </c>
      <c r="J200" s="604">
        <v>0</v>
      </c>
      <c r="K200" s="605">
        <v>0</v>
      </c>
      <c r="L200" s="605">
        <v>0</v>
      </c>
      <c r="M200" s="606">
        <v>0</v>
      </c>
      <c r="N200" s="604">
        <v>0</v>
      </c>
      <c r="O200" s="605">
        <v>0</v>
      </c>
      <c r="P200" s="605">
        <v>0</v>
      </c>
      <c r="Q200" s="606">
        <v>0</v>
      </c>
      <c r="R200" s="526">
        <v>0</v>
      </c>
      <c r="S200" s="507">
        <v>0</v>
      </c>
      <c r="T200" s="510">
        <v>0</v>
      </c>
      <c r="U200" s="511">
        <v>0</v>
      </c>
      <c r="V200" s="511">
        <v>0</v>
      </c>
      <c r="W200" s="511">
        <v>0</v>
      </c>
      <c r="X200" s="509">
        <v>0</v>
      </c>
      <c r="Y200" s="512">
        <v>0</v>
      </c>
      <c r="Z200" s="511">
        <v>0</v>
      </c>
      <c r="AA200" s="511">
        <v>0</v>
      </c>
      <c r="AB200" s="511">
        <v>0</v>
      </c>
      <c r="AC200" s="511">
        <v>0</v>
      </c>
      <c r="AD200" s="511">
        <v>0</v>
      </c>
      <c r="AE200" s="511">
        <v>0</v>
      </c>
      <c r="AF200" s="511">
        <v>0</v>
      </c>
      <c r="AG200" s="511">
        <v>0</v>
      </c>
      <c r="AH200" s="511">
        <v>0</v>
      </c>
      <c r="AI200" s="511">
        <v>0</v>
      </c>
      <c r="AJ200" s="509">
        <v>0</v>
      </c>
    </row>
    <row r="201" spans="1:36" s="1473" customFormat="1" ht="14.4" hidden="1" customHeight="1" outlineLevel="1">
      <c r="A201" s="504"/>
      <c r="B201" s="1459"/>
      <c r="C201" s="1460"/>
      <c r="D201" s="1461" t="s">
        <v>3866</v>
      </c>
      <c r="E201" s="1460"/>
      <c r="F201" s="1462"/>
      <c r="G201" s="1463"/>
      <c r="H201" s="1464"/>
      <c r="I201" s="1464"/>
      <c r="J201" s="1465"/>
      <c r="K201" s="1466"/>
      <c r="L201" s="1466"/>
      <c r="M201" s="1467"/>
      <c r="N201" s="1465"/>
      <c r="O201" s="1466"/>
      <c r="P201" s="1466"/>
      <c r="Q201" s="1467"/>
      <c r="R201" s="1460"/>
      <c r="S201" s="1468"/>
      <c r="T201" s="1469"/>
      <c r="U201" s="1470"/>
      <c r="V201" s="1470"/>
      <c r="W201" s="1470"/>
      <c r="X201" s="1471"/>
      <c r="Y201" s="1472"/>
      <c r="Z201" s="1470"/>
      <c r="AA201" s="1470"/>
      <c r="AB201" s="1470"/>
      <c r="AC201" s="1470"/>
      <c r="AD201" s="1470"/>
      <c r="AE201" s="1470"/>
      <c r="AF201" s="1470"/>
      <c r="AG201" s="1470"/>
      <c r="AH201" s="1470"/>
      <c r="AI201" s="1470"/>
      <c r="AJ201" s="1471"/>
    </row>
    <row r="202" spans="1:36" s="1473" customFormat="1" ht="14.4" hidden="1" customHeight="1" outlineLevel="1">
      <c r="A202" s="504"/>
      <c r="B202" s="1459"/>
      <c r="C202" s="1460"/>
      <c r="D202" s="1461" t="s">
        <v>3865</v>
      </c>
      <c r="E202" s="1460"/>
      <c r="F202" s="1462"/>
      <c r="G202" s="1463"/>
      <c r="H202" s="1464"/>
      <c r="I202" s="1464"/>
      <c r="J202" s="1465"/>
      <c r="K202" s="1466"/>
      <c r="L202" s="1466"/>
      <c r="M202" s="1467"/>
      <c r="N202" s="1465"/>
      <c r="O202" s="1466"/>
      <c r="P202" s="1466"/>
      <c r="Q202" s="1467"/>
      <c r="R202" s="1460"/>
      <c r="S202" s="1468"/>
      <c r="T202" s="1469"/>
      <c r="U202" s="1470"/>
      <c r="V202" s="1470"/>
      <c r="W202" s="1470"/>
      <c r="X202" s="1471"/>
      <c r="Y202" s="1472"/>
      <c r="Z202" s="1470"/>
      <c r="AA202" s="1470"/>
      <c r="AB202" s="1470"/>
      <c r="AC202" s="1470"/>
      <c r="AD202" s="1470"/>
      <c r="AE202" s="1470"/>
      <c r="AF202" s="1470"/>
      <c r="AG202" s="1470"/>
      <c r="AH202" s="1470"/>
      <c r="AI202" s="1470"/>
      <c r="AJ202" s="1471"/>
    </row>
    <row r="203" spans="1:36" s="502" customFormat="1" ht="14.4" hidden="1" customHeight="1" outlineLevel="1">
      <c r="A203" s="504"/>
      <c r="B203" s="901"/>
      <c r="C203" s="526"/>
      <c r="D203" s="533" t="s">
        <v>3867</v>
      </c>
      <c r="E203" s="526"/>
      <c r="F203" s="1446"/>
      <c r="G203" s="1438"/>
      <c r="H203" s="529"/>
      <c r="I203" s="529"/>
      <c r="J203" s="604"/>
      <c r="K203" s="605"/>
      <c r="L203" s="605"/>
      <c r="M203" s="606"/>
      <c r="N203" s="604"/>
      <c r="O203" s="605"/>
      <c r="P203" s="605"/>
      <c r="Q203" s="606"/>
      <c r="R203" s="526"/>
      <c r="S203" s="507"/>
      <c r="T203" s="510"/>
      <c r="U203" s="511"/>
      <c r="V203" s="511"/>
      <c r="W203" s="511"/>
      <c r="X203" s="509"/>
      <c r="Y203" s="512"/>
      <c r="Z203" s="511"/>
      <c r="AA203" s="511"/>
      <c r="AB203" s="511"/>
      <c r="AC203" s="511"/>
      <c r="AD203" s="511"/>
      <c r="AE203" s="511"/>
      <c r="AF203" s="511"/>
      <c r="AG203" s="511"/>
      <c r="AH203" s="511"/>
      <c r="AI203" s="511"/>
      <c r="AJ203" s="509"/>
    </row>
    <row r="204" spans="1:36" s="502" customFormat="1" ht="14.4" customHeight="1" outlineLevel="1">
      <c r="A204" s="504"/>
      <c r="B204" s="901"/>
      <c r="C204" s="526"/>
      <c r="D204" s="533" t="s">
        <v>3897</v>
      </c>
      <c r="E204" s="526"/>
      <c r="F204" s="1446">
        <v>100000000</v>
      </c>
      <c r="G204" s="1438"/>
      <c r="H204" s="529"/>
      <c r="I204" s="529"/>
      <c r="J204" s="604"/>
      <c r="K204" s="605"/>
      <c r="L204" s="605"/>
      <c r="M204" s="606"/>
      <c r="N204" s="604"/>
      <c r="O204" s="605"/>
      <c r="P204" s="605"/>
      <c r="Q204" s="606"/>
      <c r="R204" s="526"/>
      <c r="S204" s="507"/>
      <c r="T204" s="510"/>
      <c r="U204" s="511"/>
      <c r="V204" s="511"/>
      <c r="W204" s="511"/>
      <c r="X204" s="509"/>
      <c r="Y204" s="512"/>
      <c r="Z204" s="511"/>
      <c r="AA204" s="511"/>
      <c r="AB204" s="511"/>
      <c r="AC204" s="511"/>
      <c r="AD204" s="511"/>
      <c r="AE204" s="511"/>
      <c r="AF204" s="511"/>
      <c r="AG204" s="511"/>
      <c r="AH204" s="511"/>
      <c r="AI204" s="511"/>
      <c r="AJ204" s="509"/>
    </row>
    <row r="205" spans="1:36" s="502" customFormat="1" ht="14.4" customHeight="1">
      <c r="A205" s="504"/>
      <c r="B205" s="901"/>
      <c r="C205" s="526"/>
      <c r="D205" s="533"/>
      <c r="E205" s="526"/>
      <c r="F205" s="1446"/>
      <c r="G205" s="1438"/>
      <c r="H205" s="529"/>
      <c r="I205" s="529"/>
      <c r="J205" s="604"/>
      <c r="K205" s="605"/>
      <c r="L205" s="605"/>
      <c r="M205" s="606"/>
      <c r="N205" s="604"/>
      <c r="O205" s="605"/>
      <c r="P205" s="605"/>
      <c r="Q205" s="606"/>
      <c r="R205" s="526"/>
      <c r="S205" s="507"/>
      <c r="T205" s="510"/>
      <c r="U205" s="511"/>
      <c r="V205" s="511"/>
      <c r="W205" s="511"/>
      <c r="X205" s="509"/>
      <c r="Y205" s="512"/>
      <c r="Z205" s="511"/>
      <c r="AA205" s="511"/>
      <c r="AB205" s="511"/>
      <c r="AC205" s="511"/>
      <c r="AD205" s="511"/>
      <c r="AE205" s="511"/>
      <c r="AF205" s="511"/>
      <c r="AG205" s="511"/>
      <c r="AH205" s="511"/>
      <c r="AI205" s="511"/>
      <c r="AJ205" s="509"/>
    </row>
    <row r="206" spans="1:36" s="502" customFormat="1" ht="14.4" customHeight="1">
      <c r="A206" s="504"/>
      <c r="B206" s="901">
        <f>B200+1</f>
        <v>4</v>
      </c>
      <c r="C206" s="663"/>
      <c r="D206" s="890" t="s">
        <v>3810</v>
      </c>
      <c r="E206" s="891"/>
      <c r="F206" s="1451">
        <f>SUM(F207:H216)</f>
        <v>13470000000</v>
      </c>
      <c r="G206" s="1439">
        <f t="shared" ref="G206:H206" si="698">((((75000*8)+35000+40000+95000+95000+300000)+(255000*6))*212)*1.4</f>
        <v>799876000</v>
      </c>
      <c r="H206" s="891">
        <f t="shared" si="698"/>
        <v>799876000</v>
      </c>
      <c r="I206" s="891">
        <v>0</v>
      </c>
      <c r="J206" s="510">
        <v>0</v>
      </c>
      <c r="K206" s="511">
        <v>0</v>
      </c>
      <c r="L206" s="511">
        <v>0</v>
      </c>
      <c r="M206" s="509">
        <v>0</v>
      </c>
      <c r="N206" s="510">
        <v>0</v>
      </c>
      <c r="O206" s="511">
        <v>0</v>
      </c>
      <c r="P206" s="511">
        <v>0</v>
      </c>
      <c r="Q206" s="509">
        <v>0</v>
      </c>
      <c r="R206" s="891">
        <v>0</v>
      </c>
      <c r="S206" s="507">
        <v>0</v>
      </c>
      <c r="T206" s="510">
        <v>0</v>
      </c>
      <c r="U206" s="511">
        <v>0</v>
      </c>
      <c r="V206" s="511">
        <v>0</v>
      </c>
      <c r="W206" s="511">
        <v>0</v>
      </c>
      <c r="X206" s="509">
        <v>0</v>
      </c>
      <c r="Y206" s="512">
        <v>0</v>
      </c>
      <c r="Z206" s="511">
        <v>0</v>
      </c>
      <c r="AA206" s="511">
        <v>0</v>
      </c>
      <c r="AB206" s="511">
        <v>0</v>
      </c>
      <c r="AC206" s="511">
        <v>0</v>
      </c>
      <c r="AD206" s="511">
        <v>0</v>
      </c>
      <c r="AE206" s="511">
        <v>0</v>
      </c>
      <c r="AF206" s="511">
        <v>0</v>
      </c>
      <c r="AG206" s="511">
        <v>0</v>
      </c>
      <c r="AH206" s="511">
        <v>0</v>
      </c>
      <c r="AI206" s="511">
        <v>0</v>
      </c>
      <c r="AJ206" s="509">
        <v>0</v>
      </c>
    </row>
    <row r="207" spans="1:36" s="1473" customFormat="1" ht="14.4" hidden="1" customHeight="1" outlineLevel="1">
      <c r="A207" s="504"/>
      <c r="B207" s="1459"/>
      <c r="C207" s="1474"/>
      <c r="D207" s="1475" t="s">
        <v>3868</v>
      </c>
      <c r="E207" s="1476"/>
      <c r="F207" s="1477"/>
      <c r="G207" s="1478"/>
      <c r="H207" s="1476"/>
      <c r="I207" s="1476"/>
      <c r="J207" s="1469"/>
      <c r="K207" s="1470"/>
      <c r="L207" s="1470"/>
      <c r="M207" s="1471"/>
      <c r="N207" s="1469"/>
      <c r="O207" s="1470"/>
      <c r="P207" s="1470"/>
      <c r="Q207" s="1471"/>
      <c r="R207" s="1476"/>
      <c r="S207" s="1468"/>
      <c r="T207" s="1469"/>
      <c r="U207" s="1470"/>
      <c r="V207" s="1470"/>
      <c r="W207" s="1470"/>
      <c r="X207" s="1471"/>
      <c r="Y207" s="1472"/>
      <c r="Z207" s="1470"/>
      <c r="AA207" s="1470"/>
      <c r="AB207" s="1470"/>
      <c r="AC207" s="1470"/>
      <c r="AD207" s="1470"/>
      <c r="AE207" s="1470"/>
      <c r="AF207" s="1470"/>
      <c r="AG207" s="1470"/>
      <c r="AH207" s="1470"/>
      <c r="AI207" s="1470"/>
      <c r="AJ207" s="1471"/>
    </row>
    <row r="208" spans="1:36" s="1473" customFormat="1" ht="14.4" hidden="1" customHeight="1" outlineLevel="1">
      <c r="A208" s="504"/>
      <c r="B208" s="1459"/>
      <c r="C208" s="1474"/>
      <c r="D208" s="1475" t="s">
        <v>3840</v>
      </c>
      <c r="E208" s="1476"/>
      <c r="F208" s="1477"/>
      <c r="G208" s="1478"/>
      <c r="H208" s="1476"/>
      <c r="I208" s="1476"/>
      <c r="J208" s="1469"/>
      <c r="K208" s="1470"/>
      <c r="L208" s="1470"/>
      <c r="M208" s="1471"/>
      <c r="N208" s="1469"/>
      <c r="O208" s="1470"/>
      <c r="P208" s="1470"/>
      <c r="Q208" s="1471"/>
      <c r="R208" s="1476"/>
      <c r="S208" s="1468"/>
      <c r="T208" s="1469"/>
      <c r="U208" s="1470"/>
      <c r="V208" s="1470"/>
      <c r="W208" s="1470"/>
      <c r="X208" s="1471"/>
      <c r="Y208" s="1472"/>
      <c r="Z208" s="1470"/>
      <c r="AA208" s="1470"/>
      <c r="AB208" s="1470"/>
      <c r="AC208" s="1470"/>
      <c r="AD208" s="1470"/>
      <c r="AE208" s="1470"/>
      <c r="AF208" s="1470"/>
      <c r="AG208" s="1470"/>
      <c r="AH208" s="1470"/>
      <c r="AI208" s="1470"/>
      <c r="AJ208" s="1471"/>
    </row>
    <row r="209" spans="1:36" s="1473" customFormat="1" ht="14.4" hidden="1" customHeight="1" outlineLevel="1">
      <c r="A209" s="504"/>
      <c r="B209" s="1459"/>
      <c r="C209" s="1474"/>
      <c r="D209" s="1475" t="s">
        <v>3869</v>
      </c>
      <c r="E209" s="1476"/>
      <c r="F209" s="1477"/>
      <c r="G209" s="1478"/>
      <c r="H209" s="1476"/>
      <c r="I209" s="1476"/>
      <c r="J209" s="1469"/>
      <c r="K209" s="1470"/>
      <c r="L209" s="1470"/>
      <c r="M209" s="1471"/>
      <c r="N209" s="1469"/>
      <c r="O209" s="1470"/>
      <c r="P209" s="1470"/>
      <c r="Q209" s="1471"/>
      <c r="R209" s="1476"/>
      <c r="S209" s="1468"/>
      <c r="T209" s="1469"/>
      <c r="U209" s="1470"/>
      <c r="V209" s="1470"/>
      <c r="W209" s="1470"/>
      <c r="X209" s="1471"/>
      <c r="Y209" s="1472"/>
      <c r="Z209" s="1470"/>
      <c r="AA209" s="1470"/>
      <c r="AB209" s="1470"/>
      <c r="AC209" s="1470"/>
      <c r="AD209" s="1470"/>
      <c r="AE209" s="1470"/>
      <c r="AF209" s="1470"/>
      <c r="AG209" s="1470"/>
      <c r="AH209" s="1470"/>
      <c r="AI209" s="1470"/>
      <c r="AJ209" s="1471"/>
    </row>
    <row r="210" spans="1:36" s="1473" customFormat="1" ht="14.4" hidden="1" customHeight="1" outlineLevel="1">
      <c r="A210" s="504"/>
      <c r="B210" s="1459"/>
      <c r="C210" s="1474"/>
      <c r="D210" s="1475" t="s">
        <v>3876</v>
      </c>
      <c r="E210" s="1476"/>
      <c r="F210" s="1479"/>
      <c r="G210" s="1478"/>
      <c r="H210" s="1476"/>
      <c r="I210" s="1476"/>
      <c r="J210" s="1469"/>
      <c r="K210" s="1470"/>
      <c r="L210" s="1470"/>
      <c r="M210" s="1471"/>
      <c r="N210" s="1469"/>
      <c r="O210" s="1470"/>
      <c r="P210" s="1470"/>
      <c r="Q210" s="1471"/>
      <c r="R210" s="1476"/>
      <c r="S210" s="1468"/>
      <c r="T210" s="1469"/>
      <c r="U210" s="1470"/>
      <c r="V210" s="1470"/>
      <c r="W210" s="1470"/>
      <c r="X210" s="1471"/>
      <c r="Y210" s="1472"/>
      <c r="Z210" s="1470"/>
      <c r="AA210" s="1470"/>
      <c r="AB210" s="1470"/>
      <c r="AC210" s="1470"/>
      <c r="AD210" s="1470"/>
      <c r="AE210" s="1470"/>
      <c r="AF210" s="1470"/>
      <c r="AG210" s="1470"/>
      <c r="AH210" s="1470"/>
      <c r="AI210" s="1470"/>
      <c r="AJ210" s="1471"/>
    </row>
    <row r="211" spans="1:36" s="502" customFormat="1" ht="14.4" customHeight="1" outlineLevel="1">
      <c r="A211" s="504"/>
      <c r="B211" s="901"/>
      <c r="C211" s="663"/>
      <c r="D211" s="618" t="s">
        <v>3834</v>
      </c>
      <c r="E211" s="891"/>
      <c r="F211" s="1454">
        <f>650000000*6</f>
        <v>3900000000</v>
      </c>
      <c r="G211" s="1439"/>
      <c r="H211" s="891"/>
      <c r="I211" s="891"/>
      <c r="J211" s="510"/>
      <c r="K211" s="511"/>
      <c r="L211" s="511"/>
      <c r="M211" s="509"/>
      <c r="N211" s="510"/>
      <c r="O211" s="511"/>
      <c r="P211" s="511"/>
      <c r="Q211" s="509"/>
      <c r="R211" s="891"/>
      <c r="S211" s="507"/>
      <c r="T211" s="510"/>
      <c r="U211" s="511"/>
      <c r="V211" s="511"/>
      <c r="W211" s="511"/>
      <c r="X211" s="509"/>
      <c r="Y211" s="512"/>
      <c r="Z211" s="511"/>
      <c r="AA211" s="511"/>
      <c r="AB211" s="511"/>
      <c r="AC211" s="511"/>
      <c r="AD211" s="511"/>
      <c r="AE211" s="511"/>
      <c r="AF211" s="511"/>
      <c r="AG211" s="511"/>
      <c r="AH211" s="511"/>
      <c r="AI211" s="511"/>
      <c r="AJ211" s="509"/>
    </row>
    <row r="212" spans="1:36" s="502" customFormat="1" ht="14.4" customHeight="1" outlineLevel="1">
      <c r="A212" s="504"/>
      <c r="B212" s="901"/>
      <c r="C212" s="663"/>
      <c r="D212" s="618" t="s">
        <v>3874</v>
      </c>
      <c r="E212" s="891"/>
      <c r="F212" s="1454">
        <f>35000000*6</f>
        <v>210000000</v>
      </c>
      <c r="G212" s="1439"/>
      <c r="H212" s="891"/>
      <c r="I212" s="891"/>
      <c r="J212" s="510"/>
      <c r="K212" s="511"/>
      <c r="L212" s="511"/>
      <c r="M212" s="509"/>
      <c r="N212" s="510"/>
      <c r="O212" s="511"/>
      <c r="P212" s="511"/>
      <c r="Q212" s="509"/>
      <c r="R212" s="891"/>
      <c r="S212" s="507"/>
      <c r="T212" s="510"/>
      <c r="U212" s="511"/>
      <c r="V212" s="511"/>
      <c r="W212" s="511"/>
      <c r="X212" s="509"/>
      <c r="Y212" s="512"/>
      <c r="Z212" s="511"/>
      <c r="AA212" s="511"/>
      <c r="AB212" s="511"/>
      <c r="AC212" s="511"/>
      <c r="AD212" s="511"/>
      <c r="AE212" s="511"/>
      <c r="AF212" s="511"/>
      <c r="AG212" s="511"/>
      <c r="AH212" s="511"/>
      <c r="AI212" s="511"/>
      <c r="AJ212" s="509"/>
    </row>
    <row r="213" spans="1:36" s="502" customFormat="1" ht="14.4" customHeight="1" outlineLevel="1">
      <c r="A213" s="504"/>
      <c r="B213" s="901"/>
      <c r="C213" s="663"/>
      <c r="D213" s="618" t="s">
        <v>3893</v>
      </c>
      <c r="E213" s="891"/>
      <c r="F213" s="1454">
        <f>120000000*6</f>
        <v>720000000</v>
      </c>
      <c r="G213" s="1439"/>
      <c r="H213" s="891"/>
      <c r="I213" s="891"/>
      <c r="J213" s="510"/>
      <c r="K213" s="511"/>
      <c r="L213" s="511"/>
      <c r="M213" s="509"/>
      <c r="N213" s="510"/>
      <c r="O213" s="511"/>
      <c r="P213" s="511"/>
      <c r="Q213" s="509"/>
      <c r="R213" s="891"/>
      <c r="S213" s="507"/>
      <c r="T213" s="510"/>
      <c r="U213" s="511"/>
      <c r="V213" s="511"/>
      <c r="W213" s="511"/>
      <c r="X213" s="509"/>
      <c r="Y213" s="512"/>
      <c r="Z213" s="511"/>
      <c r="AA213" s="511"/>
      <c r="AB213" s="511"/>
      <c r="AC213" s="511"/>
      <c r="AD213" s="511"/>
      <c r="AE213" s="511"/>
      <c r="AF213" s="511"/>
      <c r="AG213" s="511"/>
      <c r="AH213" s="511"/>
      <c r="AI213" s="511"/>
      <c r="AJ213" s="509"/>
    </row>
    <row r="214" spans="1:36" s="502" customFormat="1" ht="14.4" customHeight="1" outlineLevel="1">
      <c r="A214" s="504"/>
      <c r="B214" s="901"/>
      <c r="C214" s="663"/>
      <c r="D214" s="618" t="s">
        <v>3903</v>
      </c>
      <c r="E214" s="891"/>
      <c r="F214" s="1520">
        <f>(1200000*3)*12*160</f>
        <v>6912000000</v>
      </c>
      <c r="G214" s="1439"/>
      <c r="H214" s="891"/>
      <c r="I214" s="891"/>
      <c r="J214" s="510"/>
      <c r="K214" s="511"/>
      <c r="L214" s="511"/>
      <c r="M214" s="509"/>
      <c r="N214" s="510"/>
      <c r="O214" s="511"/>
      <c r="P214" s="511"/>
      <c r="Q214" s="509"/>
      <c r="R214" s="891"/>
      <c r="S214" s="507"/>
      <c r="T214" s="510"/>
      <c r="U214" s="511"/>
      <c r="V214" s="511"/>
      <c r="W214" s="511"/>
      <c r="X214" s="509"/>
      <c r="Y214" s="512"/>
      <c r="Z214" s="511"/>
      <c r="AA214" s="511"/>
      <c r="AB214" s="511"/>
      <c r="AC214" s="511"/>
      <c r="AD214" s="511"/>
      <c r="AE214" s="511"/>
      <c r="AF214" s="511"/>
      <c r="AG214" s="511"/>
      <c r="AH214" s="511"/>
      <c r="AI214" s="511"/>
      <c r="AJ214" s="509"/>
    </row>
    <row r="215" spans="1:36" s="502" customFormat="1" ht="14.4" customHeight="1" outlineLevel="1">
      <c r="A215" s="504"/>
      <c r="B215" s="901"/>
      <c r="C215" s="663"/>
      <c r="D215" s="618" t="s">
        <v>3902</v>
      </c>
      <c r="E215" s="891"/>
      <c r="F215" s="1520">
        <f>(1200000*3)*12*40</f>
        <v>1728000000</v>
      </c>
      <c r="G215" s="1439"/>
      <c r="H215" s="891"/>
      <c r="I215" s="891"/>
      <c r="J215" s="510"/>
      <c r="K215" s="511"/>
      <c r="L215" s="511"/>
      <c r="M215" s="509"/>
      <c r="N215" s="510"/>
      <c r="O215" s="511"/>
      <c r="P215" s="511"/>
      <c r="Q215" s="509"/>
      <c r="R215" s="891"/>
      <c r="S215" s="507"/>
      <c r="T215" s="510"/>
      <c r="U215" s="511"/>
      <c r="V215" s="511"/>
      <c r="W215" s="511"/>
      <c r="X215" s="509"/>
      <c r="Y215" s="512"/>
      <c r="Z215" s="511"/>
      <c r="AA215" s="511"/>
      <c r="AB215" s="511"/>
      <c r="AC215" s="511"/>
      <c r="AD215" s="511"/>
      <c r="AE215" s="511"/>
      <c r="AF215" s="511"/>
      <c r="AG215" s="511"/>
      <c r="AH215" s="511"/>
      <c r="AI215" s="511"/>
      <c r="AJ215" s="509"/>
    </row>
    <row r="216" spans="1:36" s="502" customFormat="1" ht="14.4" customHeight="1" outlineLevel="1">
      <c r="A216" s="504"/>
      <c r="B216" s="901"/>
      <c r="C216" s="663"/>
      <c r="D216" s="618" t="s">
        <v>3875</v>
      </c>
      <c r="E216" s="891"/>
      <c r="F216" s="1454"/>
      <c r="G216" s="1439"/>
      <c r="H216" s="891"/>
      <c r="I216" s="891"/>
      <c r="J216" s="510"/>
      <c r="K216" s="511"/>
      <c r="L216" s="511"/>
      <c r="M216" s="509"/>
      <c r="N216" s="510"/>
      <c r="O216" s="511"/>
      <c r="P216" s="511"/>
      <c r="Q216" s="509"/>
      <c r="R216" s="891"/>
      <c r="S216" s="507"/>
      <c r="T216" s="510"/>
      <c r="U216" s="511"/>
      <c r="V216" s="511"/>
      <c r="W216" s="511"/>
      <c r="X216" s="509"/>
      <c r="Y216" s="512"/>
      <c r="Z216" s="511"/>
      <c r="AA216" s="511"/>
      <c r="AB216" s="511"/>
      <c r="AC216" s="511"/>
      <c r="AD216" s="511"/>
      <c r="AE216" s="511"/>
      <c r="AF216" s="511"/>
      <c r="AG216" s="511"/>
      <c r="AH216" s="511"/>
      <c r="AI216" s="511"/>
      <c r="AJ216" s="509"/>
    </row>
    <row r="217" spans="1:36" s="502" customFormat="1" ht="14.4" customHeight="1">
      <c r="A217" s="504"/>
      <c r="B217" s="901"/>
      <c r="C217" s="663"/>
      <c r="D217" s="609"/>
      <c r="E217" s="891"/>
      <c r="F217" s="1454"/>
      <c r="G217" s="1439"/>
      <c r="H217" s="891"/>
      <c r="I217" s="891"/>
      <c r="J217" s="510"/>
      <c r="K217" s="511"/>
      <c r="L217" s="511"/>
      <c r="M217" s="509"/>
      <c r="N217" s="510"/>
      <c r="O217" s="511"/>
      <c r="P217" s="511"/>
      <c r="Q217" s="509"/>
      <c r="R217" s="891"/>
      <c r="S217" s="507"/>
      <c r="T217" s="510"/>
      <c r="U217" s="511"/>
      <c r="V217" s="511"/>
      <c r="W217" s="511"/>
      <c r="X217" s="509"/>
      <c r="Y217" s="512"/>
      <c r="Z217" s="511"/>
      <c r="AA217" s="511"/>
      <c r="AB217" s="511"/>
      <c r="AC217" s="511"/>
      <c r="AD217" s="511"/>
      <c r="AE217" s="511"/>
      <c r="AF217" s="511"/>
      <c r="AG217" s="511"/>
      <c r="AH217" s="511"/>
      <c r="AI217" s="511"/>
      <c r="AJ217" s="509"/>
    </row>
    <row r="218" spans="1:36" s="502" customFormat="1" ht="14.4" customHeight="1" collapsed="1">
      <c r="A218" s="504"/>
      <c r="B218" s="901">
        <v>5</v>
      </c>
      <c r="C218" s="580"/>
      <c r="D218" s="892" t="s">
        <v>3811</v>
      </c>
      <c r="E218" s="580"/>
      <c r="F218" s="1451">
        <f>SUM(F219:F234)</f>
        <v>0</v>
      </c>
      <c r="G218" s="892" t="e">
        <f>SUM(#REF!)</f>
        <v>#REF!</v>
      </c>
      <c r="H218" s="580" t="e">
        <f>SUM(#REF!)</f>
        <v>#REF!</v>
      </c>
      <c r="I218" s="580">
        <v>0</v>
      </c>
      <c r="J218" s="542">
        <v>0</v>
      </c>
      <c r="K218" s="511">
        <v>0</v>
      </c>
      <c r="L218" s="511">
        <v>0</v>
      </c>
      <c r="M218" s="509">
        <v>0</v>
      </c>
      <c r="N218" s="542">
        <v>0</v>
      </c>
      <c r="O218" s="511">
        <v>0</v>
      </c>
      <c r="P218" s="511">
        <v>0</v>
      </c>
      <c r="Q218" s="509">
        <v>0</v>
      </c>
      <c r="R218" s="667">
        <v>0</v>
      </c>
      <c r="S218" s="507">
        <v>0</v>
      </c>
      <c r="T218" s="542">
        <v>0</v>
      </c>
      <c r="U218" s="543">
        <v>0</v>
      </c>
      <c r="V218" s="543">
        <v>0</v>
      </c>
      <c r="W218" s="543">
        <v>0</v>
      </c>
      <c r="X218" s="544">
        <v>0</v>
      </c>
      <c r="Y218" s="545">
        <v>0</v>
      </c>
      <c r="Z218" s="543">
        <v>0</v>
      </c>
      <c r="AA218" s="543">
        <v>0</v>
      </c>
      <c r="AB218" s="543">
        <v>0</v>
      </c>
      <c r="AC218" s="543">
        <v>0</v>
      </c>
      <c r="AD218" s="543">
        <v>0</v>
      </c>
      <c r="AE218" s="543">
        <v>0</v>
      </c>
      <c r="AF218" s="543">
        <v>0</v>
      </c>
      <c r="AG218" s="543">
        <v>0</v>
      </c>
      <c r="AH218" s="543">
        <v>0</v>
      </c>
      <c r="AI218" s="511">
        <v>0</v>
      </c>
      <c r="AJ218" s="544">
        <v>0</v>
      </c>
    </row>
    <row r="219" spans="1:36" s="1473" customFormat="1" ht="14.4" hidden="1" customHeight="1" outlineLevel="1">
      <c r="A219" s="504"/>
      <c r="B219" s="1459"/>
      <c r="C219" s="1480"/>
      <c r="D219" s="1481" t="s">
        <v>3877</v>
      </c>
      <c r="E219" s="1480"/>
      <c r="F219" s="1479"/>
      <c r="G219" s="1482"/>
      <c r="H219" s="1480"/>
      <c r="I219" s="1480"/>
      <c r="J219" s="1483"/>
      <c r="K219" s="1470"/>
      <c r="L219" s="1470"/>
      <c r="M219" s="1471"/>
      <c r="N219" s="1483"/>
      <c r="O219" s="1470"/>
      <c r="P219" s="1470"/>
      <c r="Q219" s="1471"/>
      <c r="R219" s="1484"/>
      <c r="S219" s="1468"/>
      <c r="T219" s="1483"/>
      <c r="U219" s="1485"/>
      <c r="V219" s="1485"/>
      <c r="W219" s="1485"/>
      <c r="X219" s="1486"/>
      <c r="Y219" s="1487"/>
      <c r="Z219" s="1485"/>
      <c r="AA219" s="1485"/>
      <c r="AB219" s="1485"/>
      <c r="AC219" s="1485"/>
      <c r="AD219" s="1485"/>
      <c r="AE219" s="1485"/>
      <c r="AF219" s="1485"/>
      <c r="AG219" s="1485"/>
      <c r="AH219" s="1485"/>
      <c r="AI219" s="1470"/>
      <c r="AJ219" s="1486"/>
    </row>
    <row r="220" spans="1:36" s="1473" customFormat="1" ht="14.4" hidden="1" customHeight="1" outlineLevel="1">
      <c r="A220" s="504"/>
      <c r="B220" s="1459"/>
      <c r="C220" s="1480"/>
      <c r="D220" s="1481" t="s">
        <v>3878</v>
      </c>
      <c r="E220" s="1480"/>
      <c r="F220" s="1479"/>
      <c r="G220" s="1482"/>
      <c r="H220" s="1480"/>
      <c r="I220" s="1480"/>
      <c r="J220" s="1483"/>
      <c r="K220" s="1470"/>
      <c r="L220" s="1470"/>
      <c r="M220" s="1471"/>
      <c r="N220" s="1483"/>
      <c r="O220" s="1470"/>
      <c r="P220" s="1470"/>
      <c r="Q220" s="1471"/>
      <c r="R220" s="1484"/>
      <c r="S220" s="1468"/>
      <c r="T220" s="1483"/>
      <c r="U220" s="1485"/>
      <c r="V220" s="1485"/>
      <c r="W220" s="1485"/>
      <c r="X220" s="1486"/>
      <c r="Y220" s="1487"/>
      <c r="Z220" s="1485"/>
      <c r="AA220" s="1485"/>
      <c r="AB220" s="1485"/>
      <c r="AC220" s="1485"/>
      <c r="AD220" s="1485"/>
      <c r="AE220" s="1485"/>
      <c r="AF220" s="1485"/>
      <c r="AG220" s="1485"/>
      <c r="AH220" s="1485"/>
      <c r="AI220" s="1470"/>
      <c r="AJ220" s="1486"/>
    </row>
    <row r="221" spans="1:36" s="1473" customFormat="1" ht="14.4" hidden="1" customHeight="1" outlineLevel="1">
      <c r="A221" s="504"/>
      <c r="B221" s="1459"/>
      <c r="C221" s="1480"/>
      <c r="D221" s="1481" t="s">
        <v>3879</v>
      </c>
      <c r="E221" s="1480"/>
      <c r="F221" s="1479"/>
      <c r="G221" s="1482"/>
      <c r="H221" s="1480"/>
      <c r="I221" s="1480"/>
      <c r="J221" s="1483"/>
      <c r="K221" s="1470"/>
      <c r="L221" s="1470"/>
      <c r="M221" s="1471"/>
      <c r="N221" s="1483"/>
      <c r="O221" s="1470"/>
      <c r="P221" s="1470"/>
      <c r="Q221" s="1471"/>
      <c r="R221" s="1484"/>
      <c r="S221" s="1468"/>
      <c r="T221" s="1483"/>
      <c r="U221" s="1485"/>
      <c r="V221" s="1485"/>
      <c r="W221" s="1485"/>
      <c r="X221" s="1486"/>
      <c r="Y221" s="1487"/>
      <c r="Z221" s="1485"/>
      <c r="AA221" s="1485"/>
      <c r="AB221" s="1485"/>
      <c r="AC221" s="1485"/>
      <c r="AD221" s="1485"/>
      <c r="AE221" s="1485"/>
      <c r="AF221" s="1485"/>
      <c r="AG221" s="1485"/>
      <c r="AH221" s="1485"/>
      <c r="AI221" s="1470"/>
      <c r="AJ221" s="1486"/>
    </row>
    <row r="222" spans="1:36" s="1473" customFormat="1" ht="14.4" hidden="1" customHeight="1" outlineLevel="1">
      <c r="A222" s="504"/>
      <c r="B222" s="1459"/>
      <c r="C222" s="1480"/>
      <c r="D222" s="1481" t="s">
        <v>3880</v>
      </c>
      <c r="E222" s="1480"/>
      <c r="F222" s="1479"/>
      <c r="G222" s="1482"/>
      <c r="H222" s="1480"/>
      <c r="I222" s="1480"/>
      <c r="J222" s="1483"/>
      <c r="K222" s="1470"/>
      <c r="L222" s="1470"/>
      <c r="M222" s="1471"/>
      <c r="N222" s="1483"/>
      <c r="O222" s="1470"/>
      <c r="P222" s="1470"/>
      <c r="Q222" s="1471"/>
      <c r="R222" s="1484"/>
      <c r="S222" s="1468"/>
      <c r="T222" s="1483"/>
      <c r="U222" s="1485"/>
      <c r="V222" s="1485"/>
      <c r="W222" s="1485"/>
      <c r="X222" s="1486"/>
      <c r="Y222" s="1487"/>
      <c r="Z222" s="1485"/>
      <c r="AA222" s="1485"/>
      <c r="AB222" s="1485"/>
      <c r="AC222" s="1485"/>
      <c r="AD222" s="1485"/>
      <c r="AE222" s="1485"/>
      <c r="AF222" s="1485"/>
      <c r="AG222" s="1485"/>
      <c r="AH222" s="1485"/>
      <c r="AI222" s="1470"/>
      <c r="AJ222" s="1486"/>
    </row>
    <row r="223" spans="1:36" s="1473" customFormat="1" ht="14.4" hidden="1" customHeight="1" outlineLevel="1">
      <c r="A223" s="504"/>
      <c r="B223" s="1459"/>
      <c r="C223" s="1480"/>
      <c r="D223" s="1481" t="s">
        <v>3827</v>
      </c>
      <c r="E223" s="1480"/>
      <c r="F223" s="1479"/>
      <c r="G223" s="1482"/>
      <c r="H223" s="1480"/>
      <c r="I223" s="1480"/>
      <c r="J223" s="1483"/>
      <c r="K223" s="1470"/>
      <c r="L223" s="1470"/>
      <c r="M223" s="1471"/>
      <c r="N223" s="1483"/>
      <c r="O223" s="1470"/>
      <c r="P223" s="1470"/>
      <c r="Q223" s="1471"/>
      <c r="R223" s="1484"/>
      <c r="S223" s="1468"/>
      <c r="T223" s="1483"/>
      <c r="U223" s="1485"/>
      <c r="V223" s="1485"/>
      <c r="W223" s="1485"/>
      <c r="X223" s="1486"/>
      <c r="Y223" s="1487"/>
      <c r="Z223" s="1485"/>
      <c r="AA223" s="1485"/>
      <c r="AB223" s="1485"/>
      <c r="AC223" s="1485"/>
      <c r="AD223" s="1485"/>
      <c r="AE223" s="1485"/>
      <c r="AF223" s="1485"/>
      <c r="AG223" s="1485"/>
      <c r="AH223" s="1485"/>
      <c r="AI223" s="1470"/>
      <c r="AJ223" s="1486"/>
    </row>
    <row r="224" spans="1:36" s="1473" customFormat="1" ht="14.4" hidden="1" customHeight="1" outlineLevel="1">
      <c r="A224" s="504"/>
      <c r="B224" s="1459"/>
      <c r="C224" s="1480"/>
      <c r="D224" s="1481" t="s">
        <v>3881</v>
      </c>
      <c r="E224" s="1480"/>
      <c r="F224" s="1479"/>
      <c r="G224" s="1482"/>
      <c r="H224" s="1480"/>
      <c r="I224" s="1480"/>
      <c r="J224" s="1483"/>
      <c r="K224" s="1470"/>
      <c r="L224" s="1470"/>
      <c r="M224" s="1471"/>
      <c r="N224" s="1483"/>
      <c r="O224" s="1470"/>
      <c r="P224" s="1470"/>
      <c r="Q224" s="1471"/>
      <c r="R224" s="1484"/>
      <c r="S224" s="1468"/>
      <c r="T224" s="1483"/>
      <c r="U224" s="1485"/>
      <c r="V224" s="1485"/>
      <c r="W224" s="1485"/>
      <c r="X224" s="1486"/>
      <c r="Y224" s="1487"/>
      <c r="Z224" s="1485"/>
      <c r="AA224" s="1485"/>
      <c r="AB224" s="1485"/>
      <c r="AC224" s="1485"/>
      <c r="AD224" s="1485"/>
      <c r="AE224" s="1485"/>
      <c r="AF224" s="1485"/>
      <c r="AG224" s="1485"/>
      <c r="AH224" s="1485"/>
      <c r="AI224" s="1470"/>
      <c r="AJ224" s="1486"/>
    </row>
    <row r="225" spans="1:40" s="502" customFormat="1" ht="14.4" hidden="1" customHeight="1" outlineLevel="1">
      <c r="A225" s="504"/>
      <c r="B225" s="901"/>
      <c r="C225" s="580"/>
      <c r="D225" s="609" t="s">
        <v>3833</v>
      </c>
      <c r="E225" s="580"/>
      <c r="F225" s="1454"/>
      <c r="G225" s="892"/>
      <c r="H225" s="580"/>
      <c r="I225" s="580"/>
      <c r="J225" s="542"/>
      <c r="K225" s="511"/>
      <c r="L225" s="511"/>
      <c r="M225" s="509"/>
      <c r="N225" s="542"/>
      <c r="O225" s="511"/>
      <c r="P225" s="511"/>
      <c r="Q225" s="509"/>
      <c r="R225" s="667"/>
      <c r="S225" s="507"/>
      <c r="T225" s="542"/>
      <c r="U225" s="543"/>
      <c r="V225" s="543"/>
      <c r="W225" s="543"/>
      <c r="X225" s="544"/>
      <c r="Y225" s="545"/>
      <c r="Z225" s="543"/>
      <c r="AA225" s="543"/>
      <c r="AB225" s="543"/>
      <c r="AC225" s="543"/>
      <c r="AD225" s="543"/>
      <c r="AE225" s="543"/>
      <c r="AF225" s="543"/>
      <c r="AG225" s="543"/>
      <c r="AH225" s="543"/>
      <c r="AI225" s="511"/>
      <c r="AJ225" s="544"/>
    </row>
    <row r="226" spans="1:40" s="502" customFormat="1" ht="14.4" hidden="1" customHeight="1" outlineLevel="1">
      <c r="A226" s="504"/>
      <c r="B226" s="901"/>
      <c r="C226" s="580"/>
      <c r="D226" s="609" t="s">
        <v>3812</v>
      </c>
      <c r="E226" s="580"/>
      <c r="F226" s="1454"/>
      <c r="G226" s="892"/>
      <c r="H226" s="580"/>
      <c r="I226" s="580"/>
      <c r="J226" s="542"/>
      <c r="K226" s="511"/>
      <c r="L226" s="511"/>
      <c r="M226" s="509"/>
      <c r="N226" s="542"/>
      <c r="O226" s="511"/>
      <c r="P226" s="511"/>
      <c r="Q226" s="509"/>
      <c r="R226" s="667"/>
      <c r="S226" s="507"/>
      <c r="T226" s="542"/>
      <c r="U226" s="543"/>
      <c r="V226" s="543"/>
      <c r="W226" s="543"/>
      <c r="X226" s="544"/>
      <c r="Y226" s="545"/>
      <c r="Z226" s="543"/>
      <c r="AA226" s="543"/>
      <c r="AB226" s="543"/>
      <c r="AC226" s="543"/>
      <c r="AD226" s="543"/>
      <c r="AE226" s="543"/>
      <c r="AF226" s="543"/>
      <c r="AG226" s="543"/>
      <c r="AH226" s="543"/>
      <c r="AI226" s="511"/>
      <c r="AJ226" s="544"/>
    </row>
    <row r="227" spans="1:40" s="502" customFormat="1" ht="14.4" hidden="1" customHeight="1" outlineLevel="1">
      <c r="A227" s="504"/>
      <c r="B227" s="901"/>
      <c r="C227" s="580"/>
      <c r="D227" s="609" t="s">
        <v>3813</v>
      </c>
      <c r="E227" s="580"/>
      <c r="F227" s="1454"/>
      <c r="G227" s="892"/>
      <c r="H227" s="580"/>
      <c r="I227" s="580"/>
      <c r="J227" s="542"/>
      <c r="K227" s="511"/>
      <c r="L227" s="511"/>
      <c r="M227" s="509"/>
      <c r="N227" s="542"/>
      <c r="O227" s="511"/>
      <c r="P227" s="511"/>
      <c r="Q227" s="509"/>
      <c r="R227" s="667"/>
      <c r="S227" s="507"/>
      <c r="T227" s="542"/>
      <c r="U227" s="543"/>
      <c r="V227" s="543"/>
      <c r="W227" s="543"/>
      <c r="X227" s="544"/>
      <c r="Y227" s="545"/>
      <c r="Z227" s="543"/>
      <c r="AA227" s="543"/>
      <c r="AB227" s="543"/>
      <c r="AC227" s="543"/>
      <c r="AD227" s="543"/>
      <c r="AE227" s="543"/>
      <c r="AF227" s="543"/>
      <c r="AG227" s="543"/>
      <c r="AH227" s="543"/>
      <c r="AI227" s="511"/>
      <c r="AJ227" s="544"/>
    </row>
    <row r="228" spans="1:40" s="502" customFormat="1" ht="14.4" hidden="1" customHeight="1" outlineLevel="1">
      <c r="A228" s="504"/>
      <c r="B228" s="901"/>
      <c r="C228" s="580"/>
      <c r="D228" s="609" t="s">
        <v>3814</v>
      </c>
      <c r="E228" s="580"/>
      <c r="F228" s="1454"/>
      <c r="G228" s="892"/>
      <c r="H228" s="580"/>
      <c r="I228" s="580"/>
      <c r="J228" s="542"/>
      <c r="K228" s="511"/>
      <c r="L228" s="511"/>
      <c r="M228" s="509"/>
      <c r="N228" s="542"/>
      <c r="O228" s="511"/>
      <c r="P228" s="511"/>
      <c r="Q228" s="509"/>
      <c r="R228" s="667"/>
      <c r="S228" s="507"/>
      <c r="T228" s="542"/>
      <c r="U228" s="543"/>
      <c r="V228" s="543"/>
      <c r="W228" s="543"/>
      <c r="X228" s="544"/>
      <c r="Y228" s="545"/>
      <c r="Z228" s="543"/>
      <c r="AA228" s="543"/>
      <c r="AB228" s="543"/>
      <c r="AC228" s="543"/>
      <c r="AD228" s="543"/>
      <c r="AE228" s="543"/>
      <c r="AF228" s="543"/>
      <c r="AG228" s="543"/>
      <c r="AH228" s="543"/>
      <c r="AI228" s="511"/>
      <c r="AJ228" s="544"/>
    </row>
    <row r="229" spans="1:40" s="502" customFormat="1" ht="14.4" hidden="1" customHeight="1" outlineLevel="1">
      <c r="A229" s="504"/>
      <c r="B229" s="901"/>
      <c r="C229" s="580"/>
      <c r="D229" s="609" t="s">
        <v>3815</v>
      </c>
      <c r="E229" s="580"/>
      <c r="F229" s="1454"/>
      <c r="G229" s="892"/>
      <c r="H229" s="580"/>
      <c r="I229" s="580"/>
      <c r="J229" s="542"/>
      <c r="K229" s="511"/>
      <c r="L229" s="511"/>
      <c r="M229" s="509"/>
      <c r="N229" s="542"/>
      <c r="O229" s="511"/>
      <c r="P229" s="511"/>
      <c r="Q229" s="509"/>
      <c r="R229" s="667"/>
      <c r="S229" s="507"/>
      <c r="T229" s="542"/>
      <c r="U229" s="543"/>
      <c r="V229" s="543"/>
      <c r="W229" s="543"/>
      <c r="X229" s="544"/>
      <c r="Y229" s="545"/>
      <c r="Z229" s="543"/>
      <c r="AA229" s="543"/>
      <c r="AB229" s="543"/>
      <c r="AC229" s="543"/>
      <c r="AD229" s="543"/>
      <c r="AE229" s="543"/>
      <c r="AF229" s="543"/>
      <c r="AG229" s="543"/>
      <c r="AH229" s="543"/>
      <c r="AI229" s="511"/>
      <c r="AJ229" s="544"/>
    </row>
    <row r="230" spans="1:40" s="502" customFormat="1" ht="14.4" hidden="1" customHeight="1" outlineLevel="1">
      <c r="A230" s="504"/>
      <c r="B230" s="901"/>
      <c r="C230" s="580"/>
      <c r="D230" s="609" t="s">
        <v>3882</v>
      </c>
      <c r="E230" s="580"/>
      <c r="F230" s="1454"/>
      <c r="G230" s="892"/>
      <c r="H230" s="580"/>
      <c r="I230" s="580"/>
      <c r="J230" s="542"/>
      <c r="K230" s="511"/>
      <c r="L230" s="511"/>
      <c r="M230" s="509"/>
      <c r="N230" s="542"/>
      <c r="O230" s="511"/>
      <c r="P230" s="511"/>
      <c r="Q230" s="509"/>
      <c r="R230" s="667"/>
      <c r="S230" s="507"/>
      <c r="T230" s="542"/>
      <c r="U230" s="543"/>
      <c r="V230" s="543"/>
      <c r="W230" s="543"/>
      <c r="X230" s="544"/>
      <c r="Y230" s="545"/>
      <c r="Z230" s="543"/>
      <c r="AA230" s="543"/>
      <c r="AB230" s="543"/>
      <c r="AC230" s="543"/>
      <c r="AD230" s="543"/>
      <c r="AE230" s="543"/>
      <c r="AF230" s="543"/>
      <c r="AG230" s="543"/>
      <c r="AH230" s="543"/>
      <c r="AI230" s="511"/>
      <c r="AJ230" s="544"/>
    </row>
    <row r="231" spans="1:40" s="502" customFormat="1" ht="14.4" hidden="1" customHeight="1" outlineLevel="1">
      <c r="A231" s="504"/>
      <c r="B231" s="901"/>
      <c r="C231" s="580"/>
      <c r="D231" s="609" t="s">
        <v>3817</v>
      </c>
      <c r="E231" s="580"/>
      <c r="F231" s="1454"/>
      <c r="G231" s="892"/>
      <c r="H231" s="580"/>
      <c r="I231" s="580"/>
      <c r="J231" s="542"/>
      <c r="K231" s="511"/>
      <c r="L231" s="511"/>
      <c r="M231" s="509"/>
      <c r="N231" s="542"/>
      <c r="O231" s="511"/>
      <c r="P231" s="511"/>
      <c r="Q231" s="509"/>
      <c r="R231" s="667"/>
      <c r="S231" s="507"/>
      <c r="T231" s="542"/>
      <c r="U231" s="543"/>
      <c r="V231" s="543"/>
      <c r="W231" s="543"/>
      <c r="X231" s="544"/>
      <c r="Y231" s="545"/>
      <c r="Z231" s="543"/>
      <c r="AA231" s="543"/>
      <c r="AB231" s="543"/>
      <c r="AC231" s="543"/>
      <c r="AD231" s="543"/>
      <c r="AE231" s="543"/>
      <c r="AF231" s="543"/>
      <c r="AG231" s="543"/>
      <c r="AH231" s="543"/>
      <c r="AI231" s="511"/>
      <c r="AJ231" s="544"/>
    </row>
    <row r="232" spans="1:40" s="502" customFormat="1" ht="14.4" hidden="1" customHeight="1" outlineLevel="1">
      <c r="A232" s="504"/>
      <c r="B232" s="901"/>
      <c r="C232" s="580"/>
      <c r="D232" s="609" t="s">
        <v>3816</v>
      </c>
      <c r="E232" s="580"/>
      <c r="F232" s="1454"/>
      <c r="G232" s="892"/>
      <c r="H232" s="580"/>
      <c r="I232" s="580"/>
      <c r="J232" s="542"/>
      <c r="K232" s="511"/>
      <c r="L232" s="511"/>
      <c r="M232" s="509"/>
      <c r="N232" s="542"/>
      <c r="O232" s="511"/>
      <c r="P232" s="511"/>
      <c r="Q232" s="509"/>
      <c r="R232" s="667"/>
      <c r="S232" s="507"/>
      <c r="T232" s="542"/>
      <c r="U232" s="543"/>
      <c r="V232" s="543"/>
      <c r="W232" s="543"/>
      <c r="X232" s="544"/>
      <c r="Y232" s="545"/>
      <c r="Z232" s="543"/>
      <c r="AA232" s="543"/>
      <c r="AB232" s="543"/>
      <c r="AC232" s="543"/>
      <c r="AD232" s="543"/>
      <c r="AE232" s="543"/>
      <c r="AF232" s="543"/>
      <c r="AG232" s="543"/>
      <c r="AH232" s="543"/>
      <c r="AI232" s="511"/>
      <c r="AJ232" s="544"/>
    </row>
    <row r="233" spans="1:40" s="502" customFormat="1" ht="14.4" hidden="1" customHeight="1" outlineLevel="1">
      <c r="A233" s="504"/>
      <c r="B233" s="901"/>
      <c r="C233" s="580"/>
      <c r="D233" s="609" t="s">
        <v>3818</v>
      </c>
      <c r="E233" s="580"/>
      <c r="F233" s="1454"/>
      <c r="G233" s="892"/>
      <c r="H233" s="580"/>
      <c r="I233" s="580"/>
      <c r="J233" s="542"/>
      <c r="K233" s="511"/>
      <c r="L233" s="511"/>
      <c r="M233" s="509"/>
      <c r="N233" s="542"/>
      <c r="O233" s="511"/>
      <c r="P233" s="511"/>
      <c r="Q233" s="509"/>
      <c r="R233" s="667"/>
      <c r="S233" s="507"/>
      <c r="T233" s="542"/>
      <c r="U233" s="543"/>
      <c r="V233" s="543"/>
      <c r="W233" s="543"/>
      <c r="X233" s="544"/>
      <c r="Y233" s="545"/>
      <c r="Z233" s="543"/>
      <c r="AA233" s="543"/>
      <c r="AB233" s="543"/>
      <c r="AC233" s="543"/>
      <c r="AD233" s="543"/>
      <c r="AE233" s="543"/>
      <c r="AF233" s="543"/>
      <c r="AG233" s="543"/>
      <c r="AH233" s="543"/>
      <c r="AI233" s="511"/>
      <c r="AJ233" s="544"/>
    </row>
    <row r="234" spans="1:40" s="502" customFormat="1" ht="14.4" hidden="1" customHeight="1" outlineLevel="1">
      <c r="A234" s="504"/>
      <c r="B234" s="901"/>
      <c r="C234" s="580"/>
      <c r="D234" s="609" t="s">
        <v>3819</v>
      </c>
      <c r="E234" s="580"/>
      <c r="F234" s="1454"/>
      <c r="G234" s="892"/>
      <c r="H234" s="580"/>
      <c r="I234" s="580"/>
      <c r="J234" s="542"/>
      <c r="K234" s="511"/>
      <c r="L234" s="511"/>
      <c r="M234" s="509"/>
      <c r="N234" s="542"/>
      <c r="O234" s="511"/>
      <c r="P234" s="511"/>
      <c r="Q234" s="509"/>
      <c r="R234" s="667"/>
      <c r="S234" s="507"/>
      <c r="T234" s="542"/>
      <c r="U234" s="543"/>
      <c r="V234" s="543"/>
      <c r="W234" s="543"/>
      <c r="X234" s="544"/>
      <c r="Y234" s="545"/>
      <c r="Z234" s="543"/>
      <c r="AA234" s="543"/>
      <c r="AB234" s="543"/>
      <c r="AC234" s="543"/>
      <c r="AD234" s="543"/>
      <c r="AE234" s="543"/>
      <c r="AF234" s="543"/>
      <c r="AG234" s="543"/>
      <c r="AH234" s="543"/>
      <c r="AI234" s="511"/>
      <c r="AJ234" s="544"/>
    </row>
    <row r="235" spans="1:40" s="502" customFormat="1" ht="14.4" customHeight="1">
      <c r="A235" s="504"/>
      <c r="B235" s="901"/>
      <c r="C235" s="580"/>
      <c r="D235" s="609"/>
      <c r="E235" s="580"/>
      <c r="F235" s="1454"/>
      <c r="G235" s="892"/>
      <c r="H235" s="580"/>
      <c r="I235" s="580"/>
      <c r="J235" s="542"/>
      <c r="K235" s="511"/>
      <c r="L235" s="511"/>
      <c r="M235" s="509"/>
      <c r="N235" s="542"/>
      <c r="O235" s="511"/>
      <c r="P235" s="511"/>
      <c r="Q235" s="509"/>
      <c r="R235" s="667"/>
      <c r="S235" s="507"/>
      <c r="T235" s="542"/>
      <c r="U235" s="543"/>
      <c r="V235" s="543"/>
      <c r="W235" s="543"/>
      <c r="X235" s="544"/>
      <c r="Y235" s="545"/>
      <c r="Z235" s="543"/>
      <c r="AA235" s="543"/>
      <c r="AB235" s="543"/>
      <c r="AC235" s="543"/>
      <c r="AD235" s="543"/>
      <c r="AE235" s="543"/>
      <c r="AF235" s="543"/>
      <c r="AG235" s="543"/>
      <c r="AH235" s="543"/>
      <c r="AI235" s="511"/>
      <c r="AJ235" s="544"/>
    </row>
    <row r="236" spans="1:40" s="502" customFormat="1" ht="14.4" customHeight="1" collapsed="1">
      <c r="A236" s="504"/>
      <c r="B236" s="901">
        <v>6</v>
      </c>
      <c r="C236" s="663"/>
      <c r="D236" s="580" t="s">
        <v>3829</v>
      </c>
      <c r="E236" s="580"/>
      <c r="F236" s="1451">
        <f>SUM(F237:F240)</f>
        <v>0</v>
      </c>
      <c r="G236" s="892">
        <f t="shared" ref="G236:H236" si="699">(((4900*0.3*6000000)+(4900*0.3*200*19000)))+(((4900*0.3*6000000)+(4900*0.3*200*19000))*(0.5))</f>
        <v>21609000000</v>
      </c>
      <c r="H236" s="580">
        <f t="shared" si="699"/>
        <v>21609000000</v>
      </c>
      <c r="I236" s="580">
        <v>0</v>
      </c>
      <c r="J236" s="542">
        <v>0</v>
      </c>
      <c r="K236" s="511">
        <v>0</v>
      </c>
      <c r="L236" s="511">
        <v>0</v>
      </c>
      <c r="M236" s="509">
        <v>0</v>
      </c>
      <c r="N236" s="542">
        <v>0</v>
      </c>
      <c r="O236" s="511">
        <v>0</v>
      </c>
      <c r="P236" s="511">
        <v>0</v>
      </c>
      <c r="Q236" s="509">
        <v>0</v>
      </c>
      <c r="R236" s="667">
        <v>0</v>
      </c>
      <c r="S236" s="507">
        <v>0</v>
      </c>
      <c r="T236" s="542">
        <v>0</v>
      </c>
      <c r="U236" s="543">
        <v>0</v>
      </c>
      <c r="V236" s="543">
        <v>0</v>
      </c>
      <c r="W236" s="543">
        <v>0</v>
      </c>
      <c r="X236" s="544">
        <v>0</v>
      </c>
      <c r="Y236" s="545">
        <v>0</v>
      </c>
      <c r="Z236" s="543">
        <v>0</v>
      </c>
      <c r="AA236" s="543">
        <v>0</v>
      </c>
      <c r="AB236" s="543">
        <v>0</v>
      </c>
      <c r="AC236" s="543">
        <v>0</v>
      </c>
      <c r="AD236" s="543">
        <v>0</v>
      </c>
      <c r="AE236" s="543">
        <v>0</v>
      </c>
      <c r="AF236" s="543">
        <v>0</v>
      </c>
      <c r="AG236" s="543">
        <v>0</v>
      </c>
      <c r="AH236" s="543">
        <v>0</v>
      </c>
      <c r="AI236" s="543">
        <v>0</v>
      </c>
      <c r="AJ236" s="544">
        <v>0</v>
      </c>
      <c r="AK236" s="504"/>
      <c r="AL236" s="504"/>
      <c r="AM236" s="504"/>
      <c r="AN236" s="504"/>
    </row>
    <row r="237" spans="1:40" s="502" customFormat="1" ht="14.4" hidden="1" customHeight="1" outlineLevel="1">
      <c r="A237" s="504"/>
      <c r="B237" s="901"/>
      <c r="C237" s="663"/>
      <c r="D237" s="609" t="s">
        <v>3822</v>
      </c>
      <c r="E237" s="580"/>
      <c r="F237" s="1454"/>
      <c r="G237" s="892"/>
      <c r="H237" s="580"/>
      <c r="I237" s="580"/>
      <c r="J237" s="542"/>
      <c r="K237" s="511"/>
      <c r="L237" s="511"/>
      <c r="M237" s="509"/>
      <c r="N237" s="542"/>
      <c r="O237" s="511"/>
      <c r="P237" s="511"/>
      <c r="Q237" s="509"/>
      <c r="R237" s="667"/>
      <c r="S237" s="507"/>
      <c r="T237" s="542"/>
      <c r="U237" s="543"/>
      <c r="V237" s="543"/>
      <c r="W237" s="543"/>
      <c r="X237" s="544"/>
      <c r="Y237" s="545"/>
      <c r="Z237" s="543"/>
      <c r="AA237" s="543"/>
      <c r="AB237" s="543"/>
      <c r="AC237" s="543"/>
      <c r="AD237" s="543"/>
      <c r="AE237" s="543"/>
      <c r="AF237" s="543"/>
      <c r="AG237" s="543"/>
      <c r="AH237" s="543"/>
      <c r="AI237" s="543"/>
      <c r="AJ237" s="544"/>
      <c r="AK237" s="504"/>
      <c r="AL237" s="504"/>
      <c r="AM237" s="504"/>
      <c r="AN237" s="504"/>
    </row>
    <row r="238" spans="1:40" s="502" customFormat="1" ht="14.4" hidden="1" customHeight="1" outlineLevel="1">
      <c r="A238" s="504"/>
      <c r="B238" s="901"/>
      <c r="C238" s="663"/>
      <c r="D238" s="609" t="s">
        <v>3823</v>
      </c>
      <c r="E238" s="580"/>
      <c r="F238" s="1454"/>
      <c r="G238" s="892"/>
      <c r="H238" s="580"/>
      <c r="I238" s="580"/>
      <c r="J238" s="542"/>
      <c r="K238" s="511"/>
      <c r="L238" s="511"/>
      <c r="M238" s="509"/>
      <c r="N238" s="542"/>
      <c r="O238" s="511"/>
      <c r="P238" s="511"/>
      <c r="Q238" s="509"/>
      <c r="R238" s="667"/>
      <c r="S238" s="507"/>
      <c r="T238" s="542"/>
      <c r="U238" s="543"/>
      <c r="V238" s="543"/>
      <c r="W238" s="543"/>
      <c r="X238" s="544"/>
      <c r="Y238" s="545"/>
      <c r="Z238" s="543"/>
      <c r="AA238" s="543"/>
      <c r="AB238" s="543"/>
      <c r="AC238" s="543"/>
      <c r="AD238" s="543"/>
      <c r="AE238" s="543"/>
      <c r="AF238" s="543"/>
      <c r="AG238" s="543"/>
      <c r="AH238" s="543"/>
      <c r="AI238" s="543"/>
      <c r="AJ238" s="544"/>
      <c r="AK238" s="504"/>
      <c r="AL238" s="504"/>
      <c r="AM238" s="504"/>
      <c r="AN238" s="504"/>
    </row>
    <row r="239" spans="1:40" s="502" customFormat="1" ht="14.4" hidden="1" customHeight="1" outlineLevel="1">
      <c r="A239" s="504"/>
      <c r="B239" s="901"/>
      <c r="C239" s="663"/>
      <c r="D239" s="609" t="s">
        <v>3824</v>
      </c>
      <c r="E239" s="580"/>
      <c r="F239" s="1454"/>
      <c r="G239" s="892"/>
      <c r="H239" s="580"/>
      <c r="I239" s="580" t="s">
        <v>3022</v>
      </c>
      <c r="J239" s="542"/>
      <c r="K239" s="511"/>
      <c r="L239" s="511"/>
      <c r="M239" s="509"/>
      <c r="N239" s="542"/>
      <c r="O239" s="511"/>
      <c r="P239" s="511"/>
      <c r="Q239" s="509"/>
      <c r="R239" s="667"/>
      <c r="S239" s="507"/>
      <c r="T239" s="542"/>
      <c r="U239" s="543"/>
      <c r="V239" s="543"/>
      <c r="W239" s="543"/>
      <c r="X239" s="544"/>
      <c r="Y239" s="545"/>
      <c r="Z239" s="543"/>
      <c r="AA239" s="543"/>
      <c r="AB239" s="543"/>
      <c r="AC239" s="543"/>
      <c r="AD239" s="543"/>
      <c r="AE239" s="543"/>
      <c r="AF239" s="543"/>
      <c r="AG239" s="543"/>
      <c r="AH239" s="543"/>
      <c r="AI239" s="543"/>
      <c r="AJ239" s="544"/>
      <c r="AK239" s="504"/>
      <c r="AL239" s="504"/>
      <c r="AM239" s="504"/>
      <c r="AN239" s="504"/>
    </row>
    <row r="240" spans="1:40" s="502" customFormat="1" ht="14.4" hidden="1" customHeight="1" outlineLevel="1">
      <c r="A240" s="504"/>
      <c r="B240" s="901"/>
      <c r="C240" s="663"/>
      <c r="D240" s="609" t="s">
        <v>3825</v>
      </c>
      <c r="E240" s="580"/>
      <c r="F240" s="1454"/>
      <c r="G240" s="892"/>
      <c r="H240" s="580"/>
      <c r="I240" s="580"/>
      <c r="J240" s="542"/>
      <c r="K240" s="511"/>
      <c r="L240" s="511"/>
      <c r="M240" s="509"/>
      <c r="N240" s="542"/>
      <c r="O240" s="511"/>
      <c r="P240" s="511"/>
      <c r="Q240" s="509"/>
      <c r="R240" s="667"/>
      <c r="S240" s="507"/>
      <c r="T240" s="542"/>
      <c r="U240" s="543"/>
      <c r="V240" s="543"/>
      <c r="W240" s="543"/>
      <c r="X240" s="544"/>
      <c r="Y240" s="545"/>
      <c r="Z240" s="543"/>
      <c r="AA240" s="543"/>
      <c r="AB240" s="543"/>
      <c r="AC240" s="543"/>
      <c r="AD240" s="543"/>
      <c r="AE240" s="543"/>
      <c r="AF240" s="543"/>
      <c r="AG240" s="543"/>
      <c r="AH240" s="543"/>
      <c r="AI240" s="543"/>
      <c r="AJ240" s="544"/>
      <c r="AK240" s="504"/>
      <c r="AL240" s="504"/>
      <c r="AM240" s="504"/>
      <c r="AN240" s="504"/>
    </row>
    <row r="241" spans="1:40" s="502" customFormat="1" ht="14.4" customHeight="1">
      <c r="A241" s="504"/>
      <c r="B241" s="901"/>
      <c r="C241" s="663"/>
      <c r="D241" s="609"/>
      <c r="E241" s="580"/>
      <c r="F241" s="1454"/>
      <c r="G241" s="892"/>
      <c r="H241" s="580"/>
      <c r="I241" s="580"/>
      <c r="J241" s="542"/>
      <c r="K241" s="511"/>
      <c r="L241" s="511"/>
      <c r="M241" s="509"/>
      <c r="N241" s="542"/>
      <c r="O241" s="511"/>
      <c r="P241" s="511"/>
      <c r="Q241" s="509"/>
      <c r="R241" s="667"/>
      <c r="S241" s="507"/>
      <c r="T241" s="542"/>
      <c r="U241" s="543"/>
      <c r="V241" s="543"/>
      <c r="W241" s="543"/>
      <c r="X241" s="544"/>
      <c r="Y241" s="545"/>
      <c r="Z241" s="543"/>
      <c r="AA241" s="543"/>
      <c r="AB241" s="543"/>
      <c r="AC241" s="543"/>
      <c r="AD241" s="543"/>
      <c r="AE241" s="543"/>
      <c r="AF241" s="543"/>
      <c r="AG241" s="543"/>
      <c r="AH241" s="543"/>
      <c r="AI241" s="543"/>
      <c r="AJ241" s="544"/>
      <c r="AK241" s="504"/>
      <c r="AL241" s="504"/>
      <c r="AM241" s="504"/>
      <c r="AN241" s="504"/>
    </row>
    <row r="242" spans="1:40" s="502" customFormat="1" ht="14.4" customHeight="1" collapsed="1">
      <c r="A242" s="504"/>
      <c r="B242" s="901">
        <v>7</v>
      </c>
      <c r="C242" s="580"/>
      <c r="D242" s="996" t="s">
        <v>3820</v>
      </c>
      <c r="E242" s="580"/>
      <c r="F242" s="1451">
        <f>F244</f>
        <v>0</v>
      </c>
      <c r="G242" s="892"/>
      <c r="H242" s="580"/>
      <c r="I242" s="580"/>
      <c r="J242" s="542"/>
      <c r="K242" s="511"/>
      <c r="L242" s="511"/>
      <c r="M242" s="509"/>
      <c r="N242" s="542"/>
      <c r="O242" s="511"/>
      <c r="P242" s="511"/>
      <c r="Q242" s="509"/>
      <c r="R242" s="667"/>
      <c r="S242" s="507"/>
      <c r="T242" s="542"/>
      <c r="U242" s="543"/>
      <c r="V242" s="543"/>
      <c r="W242" s="543"/>
      <c r="X242" s="544"/>
      <c r="Y242" s="545"/>
      <c r="Z242" s="543"/>
      <c r="AA242" s="543"/>
      <c r="AB242" s="543"/>
      <c r="AC242" s="543"/>
      <c r="AD242" s="543"/>
      <c r="AE242" s="543"/>
      <c r="AF242" s="543"/>
      <c r="AG242" s="543"/>
      <c r="AH242" s="543"/>
      <c r="AI242" s="511"/>
      <c r="AJ242" s="544"/>
    </row>
    <row r="243" spans="1:40" s="1473" customFormat="1" ht="14.4" hidden="1" customHeight="1" outlineLevel="1">
      <c r="A243" s="504"/>
      <c r="B243" s="1459"/>
      <c r="C243" s="1480"/>
      <c r="D243" s="1481" t="s">
        <v>3883</v>
      </c>
      <c r="E243" s="1480"/>
      <c r="F243" s="1479"/>
      <c r="G243" s="1482"/>
      <c r="H243" s="1480"/>
      <c r="I243" s="1480"/>
      <c r="J243" s="1483"/>
      <c r="K243" s="1470"/>
      <c r="L243" s="1470"/>
      <c r="M243" s="1471"/>
      <c r="N243" s="1483"/>
      <c r="O243" s="1470"/>
      <c r="P243" s="1470"/>
      <c r="Q243" s="1471"/>
      <c r="R243" s="1484"/>
      <c r="S243" s="1468"/>
      <c r="T243" s="1483"/>
      <c r="U243" s="1485"/>
      <c r="V243" s="1485"/>
      <c r="W243" s="1485"/>
      <c r="X243" s="1486"/>
      <c r="Y243" s="1487"/>
      <c r="Z243" s="1485"/>
      <c r="AA243" s="1485"/>
      <c r="AB243" s="1485"/>
      <c r="AC243" s="1485"/>
      <c r="AD243" s="1485"/>
      <c r="AE243" s="1485"/>
      <c r="AF243" s="1485"/>
      <c r="AG243" s="1485"/>
      <c r="AH243" s="1485"/>
      <c r="AI243" s="1470"/>
      <c r="AJ243" s="1486"/>
    </row>
    <row r="244" spans="1:40" s="502" customFormat="1" ht="14.4" hidden="1" customHeight="1" outlineLevel="1">
      <c r="A244" s="504"/>
      <c r="B244" s="901"/>
      <c r="C244" s="580"/>
      <c r="D244" s="609" t="s">
        <v>3821</v>
      </c>
      <c r="E244" s="580"/>
      <c r="F244" s="1454"/>
      <c r="G244" s="892"/>
      <c r="H244" s="580"/>
      <c r="I244" s="580"/>
      <c r="J244" s="542"/>
      <c r="K244" s="511"/>
      <c r="L244" s="511"/>
      <c r="M244" s="509"/>
      <c r="N244" s="542"/>
      <c r="O244" s="511"/>
      <c r="P244" s="511"/>
      <c r="Q244" s="509"/>
      <c r="R244" s="667"/>
      <c r="S244" s="507"/>
      <c r="T244" s="542"/>
      <c r="U244" s="543"/>
      <c r="V244" s="543"/>
      <c r="W244" s="543"/>
      <c r="X244" s="544"/>
      <c r="Y244" s="545"/>
      <c r="Z244" s="543"/>
      <c r="AA244" s="543"/>
      <c r="AB244" s="543"/>
      <c r="AC244" s="543"/>
      <c r="AD244" s="543"/>
      <c r="AE244" s="543"/>
      <c r="AF244" s="543"/>
      <c r="AG244" s="543"/>
      <c r="AH244" s="543"/>
      <c r="AI244" s="511"/>
      <c r="AJ244" s="544"/>
    </row>
    <row r="245" spans="1:40" ht="14.4" customHeight="1">
      <c r="B245" s="901"/>
      <c r="C245" s="577"/>
      <c r="D245" s="607"/>
      <c r="E245" s="607"/>
      <c r="F245" s="1454"/>
      <c r="G245" s="1440"/>
      <c r="H245" s="607"/>
      <c r="I245" s="607"/>
      <c r="J245" s="571"/>
      <c r="K245" s="562"/>
      <c r="L245" s="562"/>
      <c r="M245" s="563"/>
      <c r="N245" s="571"/>
      <c r="O245" s="562"/>
      <c r="P245" s="562"/>
      <c r="Q245" s="563"/>
      <c r="R245" s="608"/>
      <c r="S245" s="560"/>
      <c r="T245" s="561"/>
      <c r="U245" s="562"/>
      <c r="V245" s="562"/>
      <c r="W245" s="562"/>
      <c r="X245" s="563"/>
      <c r="Y245" s="564"/>
      <c r="Z245" s="562"/>
      <c r="AA245" s="562"/>
      <c r="AB245" s="562"/>
      <c r="AC245" s="562"/>
      <c r="AD245" s="562"/>
      <c r="AE245" s="562"/>
      <c r="AF245" s="562"/>
      <c r="AG245" s="562"/>
      <c r="AH245" s="562"/>
      <c r="AI245" s="562"/>
      <c r="AJ245" s="563"/>
    </row>
    <row r="246" spans="1:40" ht="14.4" customHeight="1" thickBot="1">
      <c r="B246" s="904"/>
      <c r="C246" s="548"/>
      <c r="D246" s="549" t="s">
        <v>2547</v>
      </c>
      <c r="E246" s="550"/>
      <c r="F246" s="1449">
        <f>F190+F198+F200+F206+F236+F218+F242</f>
        <v>14242000000</v>
      </c>
      <c r="G246" s="1430" t="e">
        <f t="shared" ref="G246:AJ246" si="700">G198+G200+G206+G236+G218</f>
        <v>#REF!</v>
      </c>
      <c r="H246" s="549" t="e">
        <f t="shared" si="700"/>
        <v>#REF!</v>
      </c>
      <c r="I246" s="549">
        <f t="shared" si="700"/>
        <v>0</v>
      </c>
      <c r="J246" s="551">
        <f t="shared" si="700"/>
        <v>0</v>
      </c>
      <c r="K246" s="552">
        <f t="shared" si="700"/>
        <v>0</v>
      </c>
      <c r="L246" s="552">
        <f t="shared" si="700"/>
        <v>0</v>
      </c>
      <c r="M246" s="553">
        <f t="shared" si="700"/>
        <v>0</v>
      </c>
      <c r="N246" s="551">
        <f t="shared" si="700"/>
        <v>0</v>
      </c>
      <c r="O246" s="552">
        <f t="shared" si="700"/>
        <v>0</v>
      </c>
      <c r="P246" s="552">
        <f t="shared" si="700"/>
        <v>0</v>
      </c>
      <c r="Q246" s="553">
        <f t="shared" si="700"/>
        <v>0</v>
      </c>
      <c r="R246" s="554">
        <f t="shared" si="700"/>
        <v>0</v>
      </c>
      <c r="S246" s="541">
        <f t="shared" si="700"/>
        <v>0</v>
      </c>
      <c r="T246" s="561">
        <f t="shared" si="700"/>
        <v>0</v>
      </c>
      <c r="U246" s="562">
        <f t="shared" si="700"/>
        <v>0</v>
      </c>
      <c r="V246" s="562">
        <f t="shared" si="700"/>
        <v>0</v>
      </c>
      <c r="W246" s="562">
        <f t="shared" si="700"/>
        <v>0</v>
      </c>
      <c r="X246" s="563">
        <f t="shared" si="700"/>
        <v>0</v>
      </c>
      <c r="Y246" s="564">
        <f t="shared" si="700"/>
        <v>0</v>
      </c>
      <c r="Z246" s="562">
        <f t="shared" si="700"/>
        <v>0</v>
      </c>
      <c r="AA246" s="562">
        <f t="shared" si="700"/>
        <v>0</v>
      </c>
      <c r="AB246" s="562">
        <f t="shared" si="700"/>
        <v>0</v>
      </c>
      <c r="AC246" s="562">
        <f t="shared" si="700"/>
        <v>0</v>
      </c>
      <c r="AD246" s="562">
        <f t="shared" si="700"/>
        <v>0</v>
      </c>
      <c r="AE246" s="562">
        <f t="shared" si="700"/>
        <v>0</v>
      </c>
      <c r="AF246" s="562">
        <f t="shared" si="700"/>
        <v>0</v>
      </c>
      <c r="AG246" s="562">
        <f t="shared" si="700"/>
        <v>0</v>
      </c>
      <c r="AH246" s="562">
        <f t="shared" si="700"/>
        <v>0</v>
      </c>
      <c r="AI246" s="562">
        <f t="shared" si="700"/>
        <v>0</v>
      </c>
      <c r="AJ246" s="563">
        <f t="shared" si="700"/>
        <v>0</v>
      </c>
    </row>
    <row r="247" spans="1:40" s="502" customFormat="1" ht="14.4" customHeight="1" thickTop="1">
      <c r="A247" s="504"/>
      <c r="B247" s="909" t="s">
        <v>107</v>
      </c>
      <c r="C247" s="611"/>
      <c r="D247" s="612" t="s">
        <v>2550</v>
      </c>
      <c r="E247" s="619"/>
      <c r="F247" s="1455">
        <f>F263</f>
        <v>0</v>
      </c>
      <c r="G247" s="1441">
        <f>G263</f>
        <v>1</v>
      </c>
      <c r="H247" s="619">
        <f>H263</f>
        <v>2</v>
      </c>
      <c r="I247" s="610">
        <f>I263</f>
        <v>0</v>
      </c>
      <c r="J247" s="646">
        <f t="shared" ref="J247:AJ247" si="701">J263</f>
        <v>0</v>
      </c>
      <c r="K247" s="615">
        <f t="shared" si="701"/>
        <v>0</v>
      </c>
      <c r="L247" s="615">
        <f t="shared" si="701"/>
        <v>0</v>
      </c>
      <c r="M247" s="616">
        <f t="shared" si="701"/>
        <v>0</v>
      </c>
      <c r="N247" s="646">
        <f t="shared" si="701"/>
        <v>0</v>
      </c>
      <c r="O247" s="615">
        <f t="shared" si="701"/>
        <v>0</v>
      </c>
      <c r="P247" s="615">
        <f t="shared" si="701"/>
        <v>0</v>
      </c>
      <c r="Q247" s="616">
        <f t="shared" si="701"/>
        <v>0</v>
      </c>
      <c r="R247" s="567">
        <f t="shared" si="701"/>
        <v>0</v>
      </c>
      <c r="S247" s="541">
        <f t="shared" si="701"/>
        <v>11</v>
      </c>
      <c r="T247" s="644">
        <f t="shared" si="701"/>
        <v>0</v>
      </c>
      <c r="U247" s="615">
        <f t="shared" si="701"/>
        <v>0</v>
      </c>
      <c r="V247" s="615">
        <f t="shared" si="701"/>
        <v>0</v>
      </c>
      <c r="W247" s="615">
        <f t="shared" si="701"/>
        <v>0</v>
      </c>
      <c r="X247" s="616">
        <f t="shared" si="701"/>
        <v>0</v>
      </c>
      <c r="Y247" s="645">
        <f t="shared" si="701"/>
        <v>0</v>
      </c>
      <c r="Z247" s="615">
        <f t="shared" si="701"/>
        <v>0</v>
      </c>
      <c r="AA247" s="615">
        <f t="shared" si="701"/>
        <v>0</v>
      </c>
      <c r="AB247" s="615">
        <f t="shared" si="701"/>
        <v>0</v>
      </c>
      <c r="AC247" s="615">
        <f t="shared" si="701"/>
        <v>0</v>
      </c>
      <c r="AD247" s="615">
        <f t="shared" si="701"/>
        <v>0</v>
      </c>
      <c r="AE247" s="615">
        <f t="shared" si="701"/>
        <v>0</v>
      </c>
      <c r="AF247" s="615">
        <f t="shared" si="701"/>
        <v>0</v>
      </c>
      <c r="AG247" s="615">
        <f t="shared" si="701"/>
        <v>0</v>
      </c>
      <c r="AH247" s="615">
        <f t="shared" si="701"/>
        <v>0</v>
      </c>
      <c r="AI247" s="615">
        <f t="shared" si="701"/>
        <v>0</v>
      </c>
      <c r="AJ247" s="616">
        <f t="shared" si="701"/>
        <v>0</v>
      </c>
    </row>
    <row r="248" spans="1:40" s="502" customFormat="1" ht="14.4" customHeight="1" collapsed="1">
      <c r="A248" s="504"/>
      <c r="B248" s="910">
        <v>1</v>
      </c>
      <c r="C248" s="663"/>
      <c r="D248" s="580" t="s">
        <v>2548</v>
      </c>
      <c r="E248" s="580"/>
      <c r="F248" s="1451">
        <f>SUM(F249:H255)</f>
        <v>0</v>
      </c>
      <c r="G248" s="892">
        <v>1</v>
      </c>
      <c r="H248" s="580">
        <v>2</v>
      </c>
      <c r="I248" s="580">
        <v>0</v>
      </c>
      <c r="J248" s="542">
        <v>0</v>
      </c>
      <c r="K248" s="511">
        <v>0</v>
      </c>
      <c r="L248" s="511">
        <v>0</v>
      </c>
      <c r="M248" s="509">
        <v>0</v>
      </c>
      <c r="N248" s="542">
        <v>0</v>
      </c>
      <c r="O248" s="511">
        <v>0</v>
      </c>
      <c r="P248" s="511">
        <v>0</v>
      </c>
      <c r="Q248" s="509">
        <v>0</v>
      </c>
      <c r="R248" s="667">
        <v>0</v>
      </c>
      <c r="S248" s="507">
        <v>11</v>
      </c>
      <c r="T248" s="542">
        <v>0</v>
      </c>
      <c r="U248" s="543">
        <v>0</v>
      </c>
      <c r="V248" s="543">
        <v>0</v>
      </c>
      <c r="W248" s="543">
        <v>0</v>
      </c>
      <c r="X248" s="544">
        <v>0</v>
      </c>
      <c r="Y248" s="545">
        <v>0</v>
      </c>
      <c r="Z248" s="543">
        <v>0</v>
      </c>
      <c r="AA248" s="543">
        <v>0</v>
      </c>
      <c r="AB248" s="543">
        <v>0</v>
      </c>
      <c r="AC248" s="543">
        <v>0</v>
      </c>
      <c r="AD248" s="543">
        <v>0</v>
      </c>
      <c r="AE248" s="543">
        <v>0</v>
      </c>
      <c r="AF248" s="543">
        <v>0</v>
      </c>
      <c r="AG248" s="543">
        <v>0</v>
      </c>
      <c r="AH248" s="543">
        <v>0</v>
      </c>
      <c r="AI248" s="543">
        <v>0</v>
      </c>
      <c r="AJ248" s="544">
        <v>0</v>
      </c>
      <c r="AK248" s="504"/>
      <c r="AL248" s="504"/>
      <c r="AM248" s="504"/>
      <c r="AN248" s="504"/>
    </row>
    <row r="249" spans="1:40" s="1473" customFormat="1" ht="14.4" hidden="1" customHeight="1" outlineLevel="1">
      <c r="A249" s="504"/>
      <c r="B249" s="1488"/>
      <c r="C249" s="1474"/>
      <c r="D249" s="1481" t="s">
        <v>3884</v>
      </c>
      <c r="E249" s="1480"/>
      <c r="F249" s="1479"/>
      <c r="G249" s="1482"/>
      <c r="H249" s="1480"/>
      <c r="I249" s="1480"/>
      <c r="J249" s="1483"/>
      <c r="K249" s="1470"/>
      <c r="L249" s="1470"/>
      <c r="M249" s="1471"/>
      <c r="N249" s="1483"/>
      <c r="O249" s="1470"/>
      <c r="P249" s="1470"/>
      <c r="Q249" s="1471"/>
      <c r="R249" s="1484"/>
      <c r="S249" s="1468"/>
      <c r="T249" s="1483"/>
      <c r="U249" s="1485"/>
      <c r="V249" s="1485"/>
      <c r="W249" s="1485"/>
      <c r="X249" s="1486"/>
      <c r="Y249" s="1487"/>
      <c r="Z249" s="1485"/>
      <c r="AA249" s="1485"/>
      <c r="AB249" s="1485"/>
      <c r="AC249" s="1485"/>
      <c r="AD249" s="1485"/>
      <c r="AE249" s="1485"/>
      <c r="AF249" s="1485"/>
      <c r="AG249" s="1485"/>
      <c r="AH249" s="1485"/>
      <c r="AI249" s="1485"/>
      <c r="AJ249" s="1486"/>
      <c r="AK249" s="1458"/>
      <c r="AL249" s="1458"/>
      <c r="AM249" s="1458"/>
      <c r="AN249" s="1458"/>
    </row>
    <row r="250" spans="1:40" s="1473" customFormat="1" ht="14.4" hidden="1" customHeight="1" outlineLevel="1">
      <c r="A250" s="504"/>
      <c r="B250" s="1488"/>
      <c r="C250" s="1474"/>
      <c r="D250" s="1481" t="s">
        <v>3885</v>
      </c>
      <c r="E250" s="1480"/>
      <c r="F250" s="1479"/>
      <c r="G250" s="1482"/>
      <c r="H250" s="1480"/>
      <c r="I250" s="1480"/>
      <c r="J250" s="1483"/>
      <c r="K250" s="1470"/>
      <c r="L250" s="1470"/>
      <c r="M250" s="1471"/>
      <c r="N250" s="1483"/>
      <c r="O250" s="1470"/>
      <c r="P250" s="1470"/>
      <c r="Q250" s="1471"/>
      <c r="R250" s="1484"/>
      <c r="S250" s="1468"/>
      <c r="T250" s="1483"/>
      <c r="U250" s="1485"/>
      <c r="V250" s="1485"/>
      <c r="W250" s="1485"/>
      <c r="X250" s="1486"/>
      <c r="Y250" s="1487"/>
      <c r="Z250" s="1485"/>
      <c r="AA250" s="1485"/>
      <c r="AB250" s="1485"/>
      <c r="AC250" s="1485"/>
      <c r="AD250" s="1485"/>
      <c r="AE250" s="1485"/>
      <c r="AF250" s="1485"/>
      <c r="AG250" s="1485"/>
      <c r="AH250" s="1485"/>
      <c r="AI250" s="1485"/>
      <c r="AJ250" s="1486"/>
      <c r="AK250" s="1458"/>
      <c r="AL250" s="1458"/>
      <c r="AM250" s="1458"/>
      <c r="AN250" s="1458"/>
    </row>
    <row r="251" spans="1:40" s="1473" customFormat="1" ht="14.4" hidden="1" customHeight="1" outlineLevel="1">
      <c r="A251" s="504"/>
      <c r="B251" s="1488"/>
      <c r="C251" s="1474"/>
      <c r="D251" s="1481" t="s">
        <v>3886</v>
      </c>
      <c r="E251" s="1480"/>
      <c r="F251" s="1479"/>
      <c r="G251" s="1482"/>
      <c r="H251" s="1480"/>
      <c r="I251" s="1480"/>
      <c r="J251" s="1483"/>
      <c r="K251" s="1470"/>
      <c r="L251" s="1470"/>
      <c r="M251" s="1471"/>
      <c r="N251" s="1483"/>
      <c r="O251" s="1470"/>
      <c r="P251" s="1470"/>
      <c r="Q251" s="1471"/>
      <c r="R251" s="1484"/>
      <c r="S251" s="1468"/>
      <c r="T251" s="1483"/>
      <c r="U251" s="1485"/>
      <c r="V251" s="1485"/>
      <c r="W251" s="1485"/>
      <c r="X251" s="1486"/>
      <c r="Y251" s="1487"/>
      <c r="Z251" s="1485"/>
      <c r="AA251" s="1485"/>
      <c r="AB251" s="1485"/>
      <c r="AC251" s="1485"/>
      <c r="AD251" s="1485"/>
      <c r="AE251" s="1485"/>
      <c r="AF251" s="1485"/>
      <c r="AG251" s="1485"/>
      <c r="AH251" s="1485"/>
      <c r="AI251" s="1485"/>
      <c r="AJ251" s="1486"/>
      <c r="AK251" s="1458"/>
      <c r="AL251" s="1458"/>
      <c r="AM251" s="1458"/>
      <c r="AN251" s="1458"/>
    </row>
    <row r="252" spans="1:40" ht="14.4" hidden="1" customHeight="1" outlineLevel="1">
      <c r="B252" s="906"/>
      <c r="C252" s="577"/>
      <c r="D252" s="609" t="s">
        <v>3892</v>
      </c>
      <c r="E252" s="607"/>
      <c r="F252" s="1454"/>
      <c r="G252" s="1440"/>
      <c r="H252" s="607"/>
      <c r="I252" s="607"/>
      <c r="J252" s="571"/>
      <c r="K252" s="562"/>
      <c r="L252" s="562"/>
      <c r="M252" s="509"/>
      <c r="N252" s="571"/>
      <c r="O252" s="562"/>
      <c r="P252" s="562"/>
      <c r="Q252" s="509"/>
      <c r="R252" s="617"/>
      <c r="S252" s="560"/>
      <c r="T252" s="542"/>
      <c r="U252" s="543"/>
      <c r="V252" s="543"/>
      <c r="W252" s="572"/>
      <c r="X252" s="573"/>
      <c r="Y252" s="574"/>
      <c r="Z252" s="572"/>
      <c r="AA252" s="572"/>
      <c r="AB252" s="572"/>
      <c r="AC252" s="572"/>
      <c r="AD252" s="572"/>
      <c r="AE252" s="572"/>
      <c r="AF252" s="572"/>
      <c r="AG252" s="572"/>
      <c r="AH252" s="572"/>
      <c r="AI252" s="511"/>
      <c r="AJ252" s="573"/>
    </row>
    <row r="253" spans="1:40" ht="14.4" hidden="1" customHeight="1" outlineLevel="1">
      <c r="B253" s="906"/>
      <c r="C253" s="577"/>
      <c r="D253" s="609" t="s">
        <v>3832</v>
      </c>
      <c r="E253" s="607"/>
      <c r="F253" s="1454"/>
      <c r="G253" s="1440"/>
      <c r="H253" s="607"/>
      <c r="I253" s="607"/>
      <c r="J253" s="571"/>
      <c r="K253" s="562"/>
      <c r="L253" s="562"/>
      <c r="M253" s="509"/>
      <c r="N253" s="571"/>
      <c r="O253" s="562"/>
      <c r="P253" s="562"/>
      <c r="Q253" s="509"/>
      <c r="R253" s="617"/>
      <c r="S253" s="560"/>
      <c r="T253" s="542"/>
      <c r="U253" s="543"/>
      <c r="V253" s="543"/>
      <c r="W253" s="572"/>
      <c r="X253" s="573"/>
      <c r="Y253" s="574"/>
      <c r="Z253" s="572"/>
      <c r="AA253" s="572"/>
      <c r="AB253" s="572"/>
      <c r="AC253" s="572"/>
      <c r="AD253" s="572"/>
      <c r="AE253" s="572"/>
      <c r="AF253" s="572"/>
      <c r="AG253" s="572"/>
      <c r="AH253" s="572"/>
      <c r="AI253" s="511"/>
      <c r="AJ253" s="573"/>
    </row>
    <row r="254" spans="1:40" ht="14.4" hidden="1" customHeight="1" outlineLevel="1">
      <c r="B254" s="906"/>
      <c r="C254" s="577"/>
      <c r="D254" s="609" t="s">
        <v>3074</v>
      </c>
      <c r="E254" s="607"/>
      <c r="F254" s="1454"/>
      <c r="G254" s="1440"/>
      <c r="H254" s="607"/>
      <c r="I254" s="607"/>
      <c r="J254" s="571"/>
      <c r="K254" s="562"/>
      <c r="L254" s="562"/>
      <c r="M254" s="509"/>
      <c r="N254" s="571"/>
      <c r="O254" s="562"/>
      <c r="P254" s="562"/>
      <c r="Q254" s="509"/>
      <c r="R254" s="617"/>
      <c r="S254" s="560"/>
      <c r="T254" s="542"/>
      <c r="U254" s="543"/>
      <c r="V254" s="543"/>
      <c r="W254" s="572"/>
      <c r="X254" s="573"/>
      <c r="Y254" s="574"/>
      <c r="Z254" s="572"/>
      <c r="AA254" s="572"/>
      <c r="AB254" s="572"/>
      <c r="AC254" s="572"/>
      <c r="AD254" s="572"/>
      <c r="AE254" s="572"/>
      <c r="AF254" s="572"/>
      <c r="AG254" s="572"/>
      <c r="AH254" s="572"/>
      <c r="AI254" s="511"/>
      <c r="AJ254" s="573"/>
    </row>
    <row r="255" spans="1:40" ht="14.4" hidden="1" customHeight="1" outlineLevel="1">
      <c r="B255" s="906"/>
      <c r="C255" s="577"/>
      <c r="D255" s="609" t="s">
        <v>3826</v>
      </c>
      <c r="E255" s="607"/>
      <c r="F255" s="1454"/>
      <c r="G255" s="1440"/>
      <c r="H255" s="607"/>
      <c r="I255" s="607"/>
      <c r="J255" s="571"/>
      <c r="K255" s="562"/>
      <c r="L255" s="562"/>
      <c r="M255" s="509"/>
      <c r="N255" s="571"/>
      <c r="O255" s="562"/>
      <c r="P255" s="562"/>
      <c r="Q255" s="509"/>
      <c r="R255" s="617"/>
      <c r="S255" s="560"/>
      <c r="T255" s="542"/>
      <c r="U255" s="543"/>
      <c r="V255" s="543"/>
      <c r="W255" s="572"/>
      <c r="X255" s="573"/>
      <c r="Y255" s="574"/>
      <c r="Z255" s="572"/>
      <c r="AA255" s="572"/>
      <c r="AB255" s="572"/>
      <c r="AC255" s="572"/>
      <c r="AD255" s="572"/>
      <c r="AE255" s="572"/>
      <c r="AF255" s="572"/>
      <c r="AG255" s="572"/>
      <c r="AH255" s="572"/>
      <c r="AI255" s="511"/>
      <c r="AJ255" s="573"/>
    </row>
    <row r="256" spans="1:40" ht="14.4" customHeight="1">
      <c r="B256" s="906"/>
      <c r="C256" s="577"/>
      <c r="D256" s="618"/>
      <c r="E256" s="607"/>
      <c r="F256" s="1454"/>
      <c r="G256" s="1440"/>
      <c r="H256" s="607"/>
      <c r="I256" s="607"/>
      <c r="J256" s="571"/>
      <c r="K256" s="562"/>
      <c r="L256" s="562"/>
      <c r="M256" s="509"/>
      <c r="N256" s="571"/>
      <c r="O256" s="562"/>
      <c r="P256" s="562"/>
      <c r="Q256" s="509"/>
      <c r="R256" s="617"/>
      <c r="S256" s="560"/>
      <c r="T256" s="542"/>
      <c r="U256" s="543"/>
      <c r="V256" s="543"/>
      <c r="W256" s="572"/>
      <c r="X256" s="573"/>
      <c r="Y256" s="574"/>
      <c r="Z256" s="572"/>
      <c r="AA256" s="572"/>
      <c r="AB256" s="572"/>
      <c r="AC256" s="572"/>
      <c r="AD256" s="572"/>
      <c r="AE256" s="572"/>
      <c r="AF256" s="572"/>
      <c r="AG256" s="572"/>
      <c r="AH256" s="572"/>
      <c r="AI256" s="511"/>
      <c r="AJ256" s="573"/>
    </row>
    <row r="257" spans="1:36" s="502" customFormat="1" ht="14.4" customHeight="1" collapsed="1">
      <c r="A257" s="504"/>
      <c r="B257" s="910">
        <v>2</v>
      </c>
      <c r="C257" s="663"/>
      <c r="D257" s="580" t="s">
        <v>2549</v>
      </c>
      <c r="E257" s="580"/>
      <c r="F257" s="1451">
        <f>SUM(F258:F261)</f>
        <v>0</v>
      </c>
      <c r="G257" s="892">
        <f t="shared" ref="G257:AJ257" si="702">SUM(G259:G261)</f>
        <v>0</v>
      </c>
      <c r="H257" s="580">
        <f t="shared" si="702"/>
        <v>0</v>
      </c>
      <c r="I257" s="580">
        <f t="shared" si="702"/>
        <v>0</v>
      </c>
      <c r="J257" s="542">
        <f t="shared" si="702"/>
        <v>0</v>
      </c>
      <c r="K257" s="511">
        <f t="shared" si="702"/>
        <v>0</v>
      </c>
      <c r="L257" s="511">
        <f t="shared" si="702"/>
        <v>0</v>
      </c>
      <c r="M257" s="509">
        <f t="shared" si="702"/>
        <v>0</v>
      </c>
      <c r="N257" s="542">
        <f t="shared" si="702"/>
        <v>0</v>
      </c>
      <c r="O257" s="511">
        <f t="shared" si="702"/>
        <v>0</v>
      </c>
      <c r="P257" s="511">
        <f t="shared" si="702"/>
        <v>0</v>
      </c>
      <c r="Q257" s="509">
        <f t="shared" si="702"/>
        <v>0</v>
      </c>
      <c r="R257" s="668">
        <f t="shared" si="702"/>
        <v>0</v>
      </c>
      <c r="S257" s="507">
        <f t="shared" si="702"/>
        <v>0</v>
      </c>
      <c r="T257" s="542">
        <f t="shared" si="702"/>
        <v>0</v>
      </c>
      <c r="U257" s="543">
        <f t="shared" si="702"/>
        <v>0</v>
      </c>
      <c r="V257" s="543">
        <f t="shared" si="702"/>
        <v>0</v>
      </c>
      <c r="W257" s="543">
        <f t="shared" si="702"/>
        <v>0</v>
      </c>
      <c r="X257" s="544">
        <f t="shared" si="702"/>
        <v>0</v>
      </c>
      <c r="Y257" s="545">
        <f t="shared" si="702"/>
        <v>0</v>
      </c>
      <c r="Z257" s="543">
        <f t="shared" si="702"/>
        <v>0</v>
      </c>
      <c r="AA257" s="543">
        <f t="shared" si="702"/>
        <v>0</v>
      </c>
      <c r="AB257" s="543">
        <f t="shared" si="702"/>
        <v>0</v>
      </c>
      <c r="AC257" s="543">
        <f t="shared" si="702"/>
        <v>0</v>
      </c>
      <c r="AD257" s="543">
        <f t="shared" si="702"/>
        <v>0</v>
      </c>
      <c r="AE257" s="543">
        <f t="shared" si="702"/>
        <v>0</v>
      </c>
      <c r="AF257" s="543">
        <f t="shared" si="702"/>
        <v>0</v>
      </c>
      <c r="AG257" s="543">
        <f t="shared" si="702"/>
        <v>0</v>
      </c>
      <c r="AH257" s="543">
        <f t="shared" si="702"/>
        <v>0</v>
      </c>
      <c r="AI257" s="511">
        <f t="shared" si="702"/>
        <v>0</v>
      </c>
      <c r="AJ257" s="544">
        <f t="shared" si="702"/>
        <v>0</v>
      </c>
    </row>
    <row r="258" spans="1:36" ht="14.4" hidden="1" customHeight="1" outlineLevel="1">
      <c r="B258" s="906"/>
      <c r="C258" s="577"/>
      <c r="D258" s="609" t="s">
        <v>3870</v>
      </c>
      <c r="E258" s="607"/>
      <c r="F258" s="1454"/>
      <c r="G258" s="1440"/>
      <c r="H258" s="607"/>
      <c r="I258" s="607"/>
      <c r="J258" s="571"/>
      <c r="K258" s="562"/>
      <c r="L258" s="562"/>
      <c r="M258" s="509"/>
      <c r="N258" s="571"/>
      <c r="O258" s="562"/>
      <c r="P258" s="562"/>
      <c r="Q258" s="509"/>
      <c r="R258" s="617"/>
      <c r="S258" s="560"/>
      <c r="T258" s="542"/>
      <c r="U258" s="543"/>
      <c r="V258" s="543"/>
      <c r="W258" s="572"/>
      <c r="X258" s="573"/>
      <c r="Y258" s="574"/>
      <c r="Z258" s="572"/>
      <c r="AA258" s="572"/>
      <c r="AB258" s="572"/>
      <c r="AC258" s="572"/>
      <c r="AD258" s="572"/>
      <c r="AE258" s="572"/>
      <c r="AF258" s="572"/>
      <c r="AG258" s="572"/>
      <c r="AH258" s="572"/>
      <c r="AI258" s="511"/>
      <c r="AJ258" s="573"/>
    </row>
    <row r="259" spans="1:36" ht="14.4" hidden="1" customHeight="1" outlineLevel="1">
      <c r="B259" s="906"/>
      <c r="C259" s="577"/>
      <c r="D259" s="609" t="s">
        <v>3871</v>
      </c>
      <c r="E259" s="607"/>
      <c r="F259" s="1454"/>
      <c r="G259" s="1440"/>
      <c r="H259" s="607"/>
      <c r="I259" s="607"/>
      <c r="J259" s="571"/>
      <c r="K259" s="562"/>
      <c r="L259" s="562"/>
      <c r="M259" s="509"/>
      <c r="N259" s="571"/>
      <c r="O259" s="562"/>
      <c r="P259" s="562"/>
      <c r="Q259" s="509"/>
      <c r="R259" s="617"/>
      <c r="S259" s="560"/>
      <c r="T259" s="542"/>
      <c r="U259" s="543"/>
      <c r="V259" s="543"/>
      <c r="W259" s="572"/>
      <c r="X259" s="573"/>
      <c r="Y259" s="574"/>
      <c r="Z259" s="572"/>
      <c r="AA259" s="572"/>
      <c r="AB259" s="572"/>
      <c r="AC259" s="572"/>
      <c r="AD259" s="572"/>
      <c r="AE259" s="572"/>
      <c r="AF259" s="572"/>
      <c r="AG259" s="572"/>
      <c r="AH259" s="572"/>
      <c r="AI259" s="511"/>
      <c r="AJ259" s="573"/>
    </row>
    <row r="260" spans="1:36" ht="14.4" hidden="1" customHeight="1" outlineLevel="1">
      <c r="B260" s="906"/>
      <c r="C260" s="577"/>
      <c r="D260" s="609" t="s">
        <v>3872</v>
      </c>
      <c r="E260" s="607"/>
      <c r="F260" s="1454"/>
      <c r="G260" s="1440"/>
      <c r="H260" s="607"/>
      <c r="I260" s="607"/>
      <c r="J260" s="571"/>
      <c r="K260" s="562"/>
      <c r="L260" s="562"/>
      <c r="M260" s="509"/>
      <c r="N260" s="571"/>
      <c r="O260" s="562"/>
      <c r="P260" s="562"/>
      <c r="Q260" s="509"/>
      <c r="R260" s="617"/>
      <c r="S260" s="560"/>
      <c r="T260" s="542"/>
      <c r="U260" s="543"/>
      <c r="V260" s="543"/>
      <c r="W260" s="572"/>
      <c r="X260" s="573"/>
      <c r="Y260" s="574"/>
      <c r="Z260" s="572"/>
      <c r="AA260" s="572"/>
      <c r="AB260" s="572"/>
      <c r="AC260" s="572"/>
      <c r="AD260" s="572"/>
      <c r="AE260" s="572"/>
      <c r="AF260" s="572"/>
      <c r="AG260" s="572"/>
      <c r="AH260" s="572"/>
      <c r="AI260" s="511"/>
      <c r="AJ260" s="573"/>
    </row>
    <row r="261" spans="1:36" ht="14.4" hidden="1" customHeight="1" outlineLevel="1">
      <c r="B261" s="906"/>
      <c r="C261" s="577"/>
      <c r="D261" s="609" t="s">
        <v>3873</v>
      </c>
      <c r="E261" s="607"/>
      <c r="F261" s="1454"/>
      <c r="G261" s="1440"/>
      <c r="H261" s="607"/>
      <c r="I261" s="607"/>
      <c r="J261" s="571"/>
      <c r="K261" s="562"/>
      <c r="L261" s="562"/>
      <c r="M261" s="509"/>
      <c r="N261" s="571"/>
      <c r="O261" s="562"/>
      <c r="P261" s="562"/>
      <c r="Q261" s="509"/>
      <c r="R261" s="617"/>
      <c r="S261" s="560"/>
      <c r="T261" s="542"/>
      <c r="U261" s="543"/>
      <c r="V261" s="543"/>
      <c r="W261" s="572"/>
      <c r="X261" s="573"/>
      <c r="Y261" s="574"/>
      <c r="Z261" s="572"/>
      <c r="AA261" s="572"/>
      <c r="AB261" s="572"/>
      <c r="AC261" s="572"/>
      <c r="AD261" s="572"/>
      <c r="AE261" s="572"/>
      <c r="AF261" s="572"/>
      <c r="AG261" s="572"/>
      <c r="AH261" s="572"/>
      <c r="AI261" s="511"/>
      <c r="AJ261" s="573"/>
    </row>
    <row r="262" spans="1:36" s="502" customFormat="1" ht="14.4" customHeight="1">
      <c r="A262" s="504"/>
      <c r="B262" s="910"/>
      <c r="C262" s="663"/>
      <c r="D262" s="580"/>
      <c r="E262" s="580"/>
      <c r="F262" s="1451"/>
      <c r="G262" s="892"/>
      <c r="H262" s="580"/>
      <c r="I262" s="580"/>
      <c r="J262" s="542"/>
      <c r="K262" s="511"/>
      <c r="L262" s="511"/>
      <c r="M262" s="509"/>
      <c r="N262" s="542"/>
      <c r="O262" s="511"/>
      <c r="P262" s="511"/>
      <c r="Q262" s="509"/>
      <c r="R262" s="667"/>
      <c r="S262" s="507"/>
      <c r="T262" s="510"/>
      <c r="U262" s="511"/>
      <c r="V262" s="511"/>
      <c r="W262" s="511"/>
      <c r="X262" s="509"/>
      <c r="Y262" s="512"/>
      <c r="Z262" s="511"/>
      <c r="AA262" s="511"/>
      <c r="AB262" s="511"/>
      <c r="AC262" s="511"/>
      <c r="AD262" s="511"/>
      <c r="AE262" s="511"/>
      <c r="AF262" s="511"/>
      <c r="AG262" s="511"/>
      <c r="AH262" s="511"/>
      <c r="AI262" s="511"/>
      <c r="AJ262" s="509"/>
    </row>
    <row r="263" spans="1:36" ht="14.4" customHeight="1" thickBot="1">
      <c r="B263" s="904"/>
      <c r="C263" s="548"/>
      <c r="D263" s="549" t="s">
        <v>2551</v>
      </c>
      <c r="E263" s="550"/>
      <c r="F263" s="1449">
        <f>F248+F257+F262</f>
        <v>0</v>
      </c>
      <c r="G263" s="1430">
        <f t="shared" ref="G263:AJ263" si="703">G248+G257</f>
        <v>1</v>
      </c>
      <c r="H263" s="549">
        <f t="shared" si="703"/>
        <v>2</v>
      </c>
      <c r="I263" s="549">
        <f t="shared" si="703"/>
        <v>0</v>
      </c>
      <c r="J263" s="551">
        <f t="shared" si="703"/>
        <v>0</v>
      </c>
      <c r="K263" s="552">
        <f t="shared" si="703"/>
        <v>0</v>
      </c>
      <c r="L263" s="552">
        <f t="shared" si="703"/>
        <v>0</v>
      </c>
      <c r="M263" s="553">
        <f t="shared" si="703"/>
        <v>0</v>
      </c>
      <c r="N263" s="551">
        <f t="shared" si="703"/>
        <v>0</v>
      </c>
      <c r="O263" s="552">
        <f t="shared" si="703"/>
        <v>0</v>
      </c>
      <c r="P263" s="552">
        <f t="shared" si="703"/>
        <v>0</v>
      </c>
      <c r="Q263" s="553">
        <f t="shared" si="703"/>
        <v>0</v>
      </c>
      <c r="R263" s="554">
        <f t="shared" si="703"/>
        <v>0</v>
      </c>
      <c r="S263" s="541">
        <f t="shared" si="703"/>
        <v>11</v>
      </c>
      <c r="T263" s="561">
        <f t="shared" si="703"/>
        <v>0</v>
      </c>
      <c r="U263" s="562">
        <f t="shared" si="703"/>
        <v>0</v>
      </c>
      <c r="V263" s="562">
        <f t="shared" si="703"/>
        <v>0</v>
      </c>
      <c r="W263" s="562">
        <f t="shared" si="703"/>
        <v>0</v>
      </c>
      <c r="X263" s="563">
        <f t="shared" si="703"/>
        <v>0</v>
      </c>
      <c r="Y263" s="564">
        <f t="shared" si="703"/>
        <v>0</v>
      </c>
      <c r="Z263" s="562">
        <f t="shared" si="703"/>
        <v>0</v>
      </c>
      <c r="AA263" s="562">
        <f t="shared" si="703"/>
        <v>0</v>
      </c>
      <c r="AB263" s="562">
        <f t="shared" si="703"/>
        <v>0</v>
      </c>
      <c r="AC263" s="562">
        <f t="shared" si="703"/>
        <v>0</v>
      </c>
      <c r="AD263" s="562">
        <f t="shared" si="703"/>
        <v>0</v>
      </c>
      <c r="AE263" s="562">
        <f t="shared" si="703"/>
        <v>0</v>
      </c>
      <c r="AF263" s="562">
        <f t="shared" si="703"/>
        <v>0</v>
      </c>
      <c r="AG263" s="562">
        <f t="shared" si="703"/>
        <v>0</v>
      </c>
      <c r="AH263" s="562">
        <f t="shared" si="703"/>
        <v>0</v>
      </c>
      <c r="AI263" s="562">
        <f t="shared" si="703"/>
        <v>0</v>
      </c>
      <c r="AJ263" s="563">
        <f t="shared" si="703"/>
        <v>0</v>
      </c>
    </row>
    <row r="264" spans="1:36" ht="14.4" customHeight="1" thickTop="1">
      <c r="B264" s="909" t="s">
        <v>111</v>
      </c>
      <c r="C264" s="611"/>
      <c r="D264" s="619" t="s">
        <v>2552</v>
      </c>
      <c r="E264" s="613"/>
      <c r="F264" s="1455">
        <f t="shared" ref="F264:AJ264" si="704">F280</f>
        <v>115000000</v>
      </c>
      <c r="G264" s="1442">
        <f t="shared" si="704"/>
        <v>0</v>
      </c>
      <c r="H264" s="613">
        <f t="shared" si="704"/>
        <v>0</v>
      </c>
      <c r="I264" s="610">
        <f t="shared" si="704"/>
        <v>0</v>
      </c>
      <c r="J264" s="614">
        <f t="shared" si="704"/>
        <v>0</v>
      </c>
      <c r="K264" s="615">
        <f t="shared" si="704"/>
        <v>0</v>
      </c>
      <c r="L264" s="615">
        <f t="shared" si="704"/>
        <v>0</v>
      </c>
      <c r="M264" s="616">
        <f t="shared" si="704"/>
        <v>0</v>
      </c>
      <c r="N264" s="614">
        <f t="shared" si="704"/>
        <v>0</v>
      </c>
      <c r="O264" s="615">
        <f t="shared" si="704"/>
        <v>0</v>
      </c>
      <c r="P264" s="615">
        <f t="shared" si="704"/>
        <v>0</v>
      </c>
      <c r="Q264" s="616">
        <f t="shared" si="704"/>
        <v>0</v>
      </c>
      <c r="R264" s="567">
        <f t="shared" si="704"/>
        <v>0</v>
      </c>
      <c r="S264" s="541">
        <f t="shared" si="704"/>
        <v>0</v>
      </c>
      <c r="T264" s="653">
        <f t="shared" si="704"/>
        <v>0</v>
      </c>
      <c r="U264" s="654">
        <f t="shared" si="704"/>
        <v>0</v>
      </c>
      <c r="V264" s="654">
        <f t="shared" si="704"/>
        <v>0</v>
      </c>
      <c r="W264" s="654">
        <f t="shared" si="704"/>
        <v>0</v>
      </c>
      <c r="X264" s="655">
        <f t="shared" si="704"/>
        <v>0</v>
      </c>
      <c r="Y264" s="656">
        <f t="shared" si="704"/>
        <v>0</v>
      </c>
      <c r="Z264" s="654">
        <f t="shared" si="704"/>
        <v>0</v>
      </c>
      <c r="AA264" s="654">
        <f t="shared" si="704"/>
        <v>0</v>
      </c>
      <c r="AB264" s="654">
        <f t="shared" si="704"/>
        <v>0</v>
      </c>
      <c r="AC264" s="654">
        <f t="shared" si="704"/>
        <v>0</v>
      </c>
      <c r="AD264" s="654">
        <f t="shared" si="704"/>
        <v>0</v>
      </c>
      <c r="AE264" s="654">
        <f t="shared" si="704"/>
        <v>0</v>
      </c>
      <c r="AF264" s="654">
        <f t="shared" si="704"/>
        <v>0</v>
      </c>
      <c r="AG264" s="654">
        <f t="shared" si="704"/>
        <v>0</v>
      </c>
      <c r="AH264" s="654">
        <f t="shared" si="704"/>
        <v>0</v>
      </c>
      <c r="AI264" s="654">
        <f t="shared" si="704"/>
        <v>0</v>
      </c>
      <c r="AJ264" s="655">
        <f t="shared" si="704"/>
        <v>0</v>
      </c>
    </row>
    <row r="265" spans="1:36" s="502" customFormat="1" ht="14.4" customHeight="1">
      <c r="A265" s="504"/>
      <c r="B265" s="911">
        <v>1</v>
      </c>
      <c r="C265" s="664"/>
      <c r="D265" s="580" t="s">
        <v>3828</v>
      </c>
      <c r="E265" s="665"/>
      <c r="F265" s="1451">
        <f>SUM(F266:F278)</f>
        <v>115000000</v>
      </c>
      <c r="G265" s="892">
        <v>0</v>
      </c>
      <c r="H265" s="580">
        <v>0</v>
      </c>
      <c r="I265" s="580">
        <v>0</v>
      </c>
      <c r="J265" s="542">
        <v>0</v>
      </c>
      <c r="K265" s="511">
        <v>0</v>
      </c>
      <c r="L265" s="511">
        <v>0</v>
      </c>
      <c r="M265" s="509">
        <v>0</v>
      </c>
      <c r="N265" s="542">
        <v>0</v>
      </c>
      <c r="O265" s="511">
        <v>0</v>
      </c>
      <c r="P265" s="511">
        <v>0</v>
      </c>
      <c r="Q265" s="509">
        <v>0</v>
      </c>
      <c r="R265" s="667">
        <v>0</v>
      </c>
      <c r="S265" s="507">
        <v>0</v>
      </c>
      <c r="T265" s="542">
        <v>0</v>
      </c>
      <c r="U265" s="543">
        <v>0</v>
      </c>
      <c r="V265" s="543">
        <v>0</v>
      </c>
      <c r="W265" s="543">
        <v>0</v>
      </c>
      <c r="X265" s="544">
        <v>0</v>
      </c>
      <c r="Y265" s="545">
        <v>0</v>
      </c>
      <c r="Z265" s="543">
        <v>0</v>
      </c>
      <c r="AA265" s="543">
        <v>0</v>
      </c>
      <c r="AB265" s="543">
        <v>0</v>
      </c>
      <c r="AC265" s="543">
        <v>0</v>
      </c>
      <c r="AD265" s="543">
        <v>0</v>
      </c>
      <c r="AE265" s="543">
        <v>0</v>
      </c>
      <c r="AF265" s="543">
        <v>0</v>
      </c>
      <c r="AG265" s="543">
        <v>0</v>
      </c>
      <c r="AH265" s="543">
        <v>0</v>
      </c>
      <c r="AI265" s="543">
        <v>0</v>
      </c>
      <c r="AJ265" s="544">
        <v>0</v>
      </c>
    </row>
    <row r="266" spans="1:36" ht="14.4" hidden="1" customHeight="1" outlineLevel="1">
      <c r="B266" s="912"/>
      <c r="C266" s="620"/>
      <c r="D266" s="618" t="s">
        <v>2825</v>
      </c>
      <c r="E266" s="621"/>
      <c r="F266" s="1454"/>
      <c r="G266" s="1440"/>
      <c r="H266" s="607"/>
      <c r="I266" s="607"/>
      <c r="J266" s="571"/>
      <c r="K266" s="562"/>
      <c r="L266" s="562"/>
      <c r="M266" s="509"/>
      <c r="N266" s="571"/>
      <c r="O266" s="562"/>
      <c r="P266" s="562"/>
      <c r="Q266" s="509"/>
      <c r="R266" s="608"/>
      <c r="S266" s="560"/>
      <c r="T266" s="542"/>
      <c r="U266" s="543"/>
      <c r="V266" s="543"/>
      <c r="W266" s="543"/>
      <c r="X266" s="544"/>
      <c r="Y266" s="545"/>
      <c r="Z266" s="543"/>
      <c r="AA266" s="543"/>
      <c r="AB266" s="543"/>
      <c r="AC266" s="543"/>
      <c r="AD266" s="543"/>
      <c r="AE266" s="543"/>
      <c r="AF266" s="543"/>
      <c r="AG266" s="543"/>
      <c r="AH266" s="543"/>
      <c r="AI266" s="543"/>
      <c r="AJ266" s="544"/>
    </row>
    <row r="267" spans="1:36" ht="14.4" hidden="1" customHeight="1" outlineLevel="1">
      <c r="B267" s="912"/>
      <c r="C267" s="620"/>
      <c r="D267" s="618" t="s">
        <v>3157</v>
      </c>
      <c r="E267" s="621"/>
      <c r="F267" s="1454"/>
      <c r="G267" s="1440"/>
      <c r="H267" s="607"/>
      <c r="I267" s="607"/>
      <c r="J267" s="571"/>
      <c r="K267" s="562"/>
      <c r="L267" s="562"/>
      <c r="M267" s="509"/>
      <c r="N267" s="571"/>
      <c r="O267" s="562"/>
      <c r="P267" s="562"/>
      <c r="Q267" s="509"/>
      <c r="R267" s="608"/>
      <c r="S267" s="560"/>
      <c r="T267" s="542"/>
      <c r="U267" s="543"/>
      <c r="V267" s="543"/>
      <c r="W267" s="543"/>
      <c r="X267" s="544"/>
      <c r="Y267" s="545"/>
      <c r="Z267" s="543"/>
      <c r="AA267" s="543"/>
      <c r="AB267" s="543"/>
      <c r="AC267" s="543"/>
      <c r="AD267" s="543"/>
      <c r="AE267" s="543"/>
      <c r="AF267" s="543"/>
      <c r="AG267" s="543"/>
      <c r="AH267" s="543"/>
      <c r="AI267" s="543"/>
      <c r="AJ267" s="544"/>
    </row>
    <row r="268" spans="1:36" s="1499" customFormat="1" ht="14.4" hidden="1" customHeight="1" outlineLevel="1">
      <c r="A268" s="500"/>
      <c r="B268" s="1489"/>
      <c r="C268" s="1490"/>
      <c r="D268" s="1491" t="s">
        <v>3887</v>
      </c>
      <c r="E268" s="1492"/>
      <c r="F268" s="1479"/>
      <c r="G268" s="1493"/>
      <c r="H268" s="1494"/>
      <c r="I268" s="1494"/>
      <c r="J268" s="1495"/>
      <c r="K268" s="1496"/>
      <c r="L268" s="1496"/>
      <c r="M268" s="1471"/>
      <c r="N268" s="1495"/>
      <c r="O268" s="1496"/>
      <c r="P268" s="1496"/>
      <c r="Q268" s="1471"/>
      <c r="R268" s="1497"/>
      <c r="S268" s="1498"/>
      <c r="T268" s="1483"/>
      <c r="U268" s="1485"/>
      <c r="V268" s="1485"/>
      <c r="W268" s="1485"/>
      <c r="X268" s="1486"/>
      <c r="Y268" s="1487"/>
      <c r="Z268" s="1485"/>
      <c r="AA268" s="1485"/>
      <c r="AB268" s="1485"/>
      <c r="AC268" s="1485"/>
      <c r="AD268" s="1485"/>
      <c r="AE268" s="1485"/>
      <c r="AF268" s="1485"/>
      <c r="AG268" s="1485"/>
      <c r="AH268" s="1485"/>
      <c r="AI268" s="1485"/>
      <c r="AJ268" s="1486"/>
    </row>
    <row r="269" spans="1:36" ht="14.4" hidden="1" customHeight="1" outlineLevel="1">
      <c r="B269" s="912"/>
      <c r="C269" s="620"/>
      <c r="D269" s="618" t="s">
        <v>3830</v>
      </c>
      <c r="E269" s="621"/>
      <c r="F269" s="1454"/>
      <c r="G269" s="1440"/>
      <c r="H269" s="607"/>
      <c r="I269" s="607"/>
      <c r="J269" s="571"/>
      <c r="K269" s="562"/>
      <c r="L269" s="562"/>
      <c r="M269" s="509"/>
      <c r="N269" s="571"/>
      <c r="O269" s="562"/>
      <c r="P269" s="562"/>
      <c r="Q269" s="509"/>
      <c r="R269" s="608"/>
      <c r="S269" s="560"/>
      <c r="T269" s="542"/>
      <c r="U269" s="543"/>
      <c r="V269" s="543"/>
      <c r="W269" s="543"/>
      <c r="X269" s="544"/>
      <c r="Y269" s="545"/>
      <c r="Z269" s="543"/>
      <c r="AA269" s="543"/>
      <c r="AB269" s="543"/>
      <c r="AC269" s="543"/>
      <c r="AD269" s="543"/>
      <c r="AE269" s="543"/>
      <c r="AF269" s="543"/>
      <c r="AG269" s="543"/>
      <c r="AH269" s="543"/>
      <c r="AI269" s="543"/>
      <c r="AJ269" s="544"/>
    </row>
    <row r="270" spans="1:36" ht="14.4" hidden="1" customHeight="1" outlineLevel="1">
      <c r="B270" s="912"/>
      <c r="C270" s="620"/>
      <c r="D270" s="618" t="s">
        <v>3831</v>
      </c>
      <c r="E270" s="621"/>
      <c r="F270" s="1454"/>
      <c r="G270" s="1440"/>
      <c r="H270" s="607"/>
      <c r="I270" s="607"/>
      <c r="J270" s="571"/>
      <c r="K270" s="562"/>
      <c r="L270" s="562"/>
      <c r="M270" s="509"/>
      <c r="N270" s="571"/>
      <c r="O270" s="562"/>
      <c r="P270" s="562"/>
      <c r="Q270" s="509"/>
      <c r="R270" s="608"/>
      <c r="S270" s="560"/>
      <c r="T270" s="542"/>
      <c r="U270" s="543"/>
      <c r="V270" s="543"/>
      <c r="W270" s="543"/>
      <c r="X270" s="544"/>
      <c r="Y270" s="545"/>
      <c r="Z270" s="543"/>
      <c r="AA270" s="543"/>
      <c r="AB270" s="543"/>
      <c r="AC270" s="543"/>
      <c r="AD270" s="543"/>
      <c r="AE270" s="543"/>
      <c r="AF270" s="543"/>
      <c r="AG270" s="543"/>
      <c r="AH270" s="543"/>
      <c r="AI270" s="543"/>
      <c r="AJ270" s="544"/>
    </row>
    <row r="271" spans="1:36" ht="14.4" customHeight="1" outlineLevel="1">
      <c r="B271" s="912"/>
      <c r="C271" s="620"/>
      <c r="D271" s="618" t="s">
        <v>3151</v>
      </c>
      <c r="E271" s="621"/>
      <c r="F271" s="1454">
        <v>30000000</v>
      </c>
      <c r="G271" s="1440"/>
      <c r="H271" s="607"/>
      <c r="I271" s="607"/>
      <c r="J271" s="571"/>
      <c r="K271" s="562"/>
      <c r="L271" s="562"/>
      <c r="M271" s="509"/>
      <c r="N271" s="571"/>
      <c r="O271" s="562"/>
      <c r="P271" s="562"/>
      <c r="Q271" s="509"/>
      <c r="R271" s="608"/>
      <c r="S271" s="560"/>
      <c r="T271" s="542"/>
      <c r="U271" s="543"/>
      <c r="V271" s="543"/>
      <c r="W271" s="543"/>
      <c r="X271" s="544"/>
      <c r="Y271" s="545"/>
      <c r="Z271" s="543"/>
      <c r="AA271" s="543"/>
      <c r="AB271" s="543"/>
      <c r="AC271" s="543"/>
      <c r="AD271" s="543"/>
      <c r="AE271" s="543"/>
      <c r="AF271" s="543"/>
      <c r="AG271" s="543"/>
      <c r="AH271" s="543"/>
      <c r="AI271" s="543"/>
      <c r="AJ271" s="544"/>
    </row>
    <row r="272" spans="1:36" s="1499" customFormat="1" ht="15.5" hidden="1" outlineLevel="1">
      <c r="A272" s="500"/>
      <c r="B272" s="1489"/>
      <c r="C272" s="1490"/>
      <c r="D272" s="1475" t="s">
        <v>3888</v>
      </c>
      <c r="E272" s="1492"/>
      <c r="F272" s="1479"/>
      <c r="G272" s="1493"/>
      <c r="H272" s="1494"/>
      <c r="I272" s="1494"/>
      <c r="J272" s="1495"/>
      <c r="K272" s="1496"/>
      <c r="L272" s="1496"/>
      <c r="M272" s="1471"/>
      <c r="N272" s="1495"/>
      <c r="O272" s="1496"/>
      <c r="P272" s="1496"/>
      <c r="Q272" s="1471"/>
      <c r="R272" s="1497"/>
      <c r="S272" s="1498"/>
      <c r="T272" s="1483"/>
      <c r="U272" s="1485"/>
      <c r="V272" s="1485"/>
      <c r="W272" s="1485"/>
      <c r="X272" s="1486"/>
      <c r="Y272" s="1487"/>
      <c r="Z272" s="1485"/>
      <c r="AA272" s="1485"/>
      <c r="AB272" s="1485"/>
      <c r="AC272" s="1485"/>
      <c r="AD272" s="1485"/>
      <c r="AE272" s="1485"/>
      <c r="AF272" s="1485"/>
      <c r="AG272" s="1485"/>
      <c r="AH272" s="1485"/>
      <c r="AI272" s="1485"/>
      <c r="AJ272" s="1486"/>
    </row>
    <row r="273" spans="1:36" s="1499" customFormat="1" ht="14.4" hidden="1" customHeight="1" outlineLevel="1">
      <c r="A273" s="500"/>
      <c r="B273" s="1489"/>
      <c r="C273" s="1490"/>
      <c r="D273" s="1475" t="s">
        <v>3889</v>
      </c>
      <c r="E273" s="1492"/>
      <c r="F273" s="1479"/>
      <c r="G273" s="1493"/>
      <c r="H273" s="1494"/>
      <c r="I273" s="1494"/>
      <c r="J273" s="1495"/>
      <c r="K273" s="1496"/>
      <c r="L273" s="1496"/>
      <c r="M273" s="1471"/>
      <c r="N273" s="1495"/>
      <c r="O273" s="1496"/>
      <c r="P273" s="1496"/>
      <c r="Q273" s="1471"/>
      <c r="R273" s="1497"/>
      <c r="S273" s="1498"/>
      <c r="T273" s="1483"/>
      <c r="U273" s="1485"/>
      <c r="V273" s="1485"/>
      <c r="W273" s="1485"/>
      <c r="X273" s="1486"/>
      <c r="Y273" s="1487"/>
      <c r="Z273" s="1485"/>
      <c r="AA273" s="1485"/>
      <c r="AB273" s="1485"/>
      <c r="AC273" s="1485"/>
      <c r="AD273" s="1485"/>
      <c r="AE273" s="1485"/>
      <c r="AF273" s="1485"/>
      <c r="AG273" s="1485"/>
      <c r="AH273" s="1485"/>
      <c r="AI273" s="1485"/>
      <c r="AJ273" s="1486"/>
    </row>
    <row r="274" spans="1:36" ht="14.4" customHeight="1" outlineLevel="1">
      <c r="B274" s="912"/>
      <c r="C274" s="620"/>
      <c r="D274" s="618" t="s">
        <v>3890</v>
      </c>
      <c r="E274" s="621"/>
      <c r="F274" s="1454">
        <v>50000000</v>
      </c>
      <c r="G274" s="1440"/>
      <c r="H274" s="607"/>
      <c r="I274" s="607"/>
      <c r="J274" s="571"/>
      <c r="K274" s="562"/>
      <c r="L274" s="562"/>
      <c r="M274" s="509"/>
      <c r="N274" s="571"/>
      <c r="O274" s="562"/>
      <c r="P274" s="562"/>
      <c r="Q274" s="509"/>
      <c r="R274" s="608"/>
      <c r="S274" s="560"/>
      <c r="T274" s="542"/>
      <c r="U274" s="543"/>
      <c r="V274" s="543"/>
      <c r="W274" s="543"/>
      <c r="X274" s="544"/>
      <c r="Y274" s="545"/>
      <c r="Z274" s="543"/>
      <c r="AA274" s="543"/>
      <c r="AB274" s="543"/>
      <c r="AC274" s="543"/>
      <c r="AD274" s="543"/>
      <c r="AE274" s="543"/>
      <c r="AF274" s="543"/>
      <c r="AG274" s="543"/>
      <c r="AH274" s="543"/>
      <c r="AI274" s="543"/>
      <c r="AJ274" s="544"/>
    </row>
    <row r="275" spans="1:36" s="1499" customFormat="1" ht="14.4" hidden="1" customHeight="1" outlineLevel="1">
      <c r="A275" s="500"/>
      <c r="B275" s="1489"/>
      <c r="C275" s="1490"/>
      <c r="D275" s="1475" t="s">
        <v>3153</v>
      </c>
      <c r="E275" s="1492"/>
      <c r="F275" s="1479"/>
      <c r="G275" s="1493"/>
      <c r="H275" s="1494"/>
      <c r="I275" s="1494"/>
      <c r="J275" s="1495"/>
      <c r="K275" s="1496"/>
      <c r="L275" s="1496"/>
      <c r="M275" s="1471"/>
      <c r="N275" s="1495"/>
      <c r="O275" s="1496"/>
      <c r="P275" s="1496"/>
      <c r="Q275" s="1471"/>
      <c r="R275" s="1497"/>
      <c r="S275" s="1498"/>
      <c r="T275" s="1483"/>
      <c r="U275" s="1485"/>
      <c r="V275" s="1485"/>
      <c r="W275" s="1485"/>
      <c r="X275" s="1486"/>
      <c r="Y275" s="1487"/>
      <c r="Z275" s="1485"/>
      <c r="AA275" s="1485"/>
      <c r="AB275" s="1485"/>
      <c r="AC275" s="1485"/>
      <c r="AD275" s="1485"/>
      <c r="AE275" s="1485"/>
      <c r="AF275" s="1485"/>
      <c r="AG275" s="1485"/>
      <c r="AH275" s="1485"/>
      <c r="AI275" s="1485"/>
      <c r="AJ275" s="1486"/>
    </row>
    <row r="276" spans="1:36" s="1499" customFormat="1" ht="14.4" hidden="1" customHeight="1" outlineLevel="1">
      <c r="A276" s="500"/>
      <c r="B276" s="1489"/>
      <c r="C276" s="1490"/>
      <c r="D276" s="1475" t="s">
        <v>3154</v>
      </c>
      <c r="E276" s="1492"/>
      <c r="F276" s="1479"/>
      <c r="G276" s="1493"/>
      <c r="H276" s="1494"/>
      <c r="I276" s="1494"/>
      <c r="J276" s="1495"/>
      <c r="K276" s="1496"/>
      <c r="L276" s="1496"/>
      <c r="M276" s="1471"/>
      <c r="N276" s="1495"/>
      <c r="O276" s="1496"/>
      <c r="P276" s="1496"/>
      <c r="Q276" s="1471"/>
      <c r="R276" s="1497"/>
      <c r="S276" s="1498"/>
      <c r="T276" s="1483"/>
      <c r="U276" s="1485"/>
      <c r="V276" s="1485"/>
      <c r="W276" s="1485"/>
      <c r="X276" s="1486"/>
      <c r="Y276" s="1487"/>
      <c r="Z276" s="1485"/>
      <c r="AA276" s="1485"/>
      <c r="AB276" s="1485"/>
      <c r="AC276" s="1485"/>
      <c r="AD276" s="1485"/>
      <c r="AE276" s="1485"/>
      <c r="AF276" s="1485"/>
      <c r="AG276" s="1485"/>
      <c r="AH276" s="1485"/>
      <c r="AI276" s="1485"/>
      <c r="AJ276" s="1486"/>
    </row>
    <row r="277" spans="1:36" ht="14.4" hidden="1" customHeight="1" outlineLevel="1">
      <c r="B277" s="912"/>
      <c r="C277" s="620"/>
      <c r="D277" s="618" t="s">
        <v>3155</v>
      </c>
      <c r="E277" s="621"/>
      <c r="F277" s="1454"/>
      <c r="G277" s="1440"/>
      <c r="H277" s="607"/>
      <c r="I277" s="607"/>
      <c r="J277" s="571"/>
      <c r="K277" s="562"/>
      <c r="L277" s="562"/>
      <c r="M277" s="509"/>
      <c r="N277" s="571"/>
      <c r="O277" s="562"/>
      <c r="P277" s="562"/>
      <c r="Q277" s="509"/>
      <c r="R277" s="608"/>
      <c r="S277" s="560"/>
      <c r="T277" s="542"/>
      <c r="U277" s="543"/>
      <c r="V277" s="543"/>
      <c r="W277" s="543"/>
      <c r="X277" s="544"/>
      <c r="Y277" s="545"/>
      <c r="Z277" s="543"/>
      <c r="AA277" s="543"/>
      <c r="AB277" s="543"/>
      <c r="AC277" s="543"/>
      <c r="AD277" s="543"/>
      <c r="AE277" s="543"/>
      <c r="AF277" s="543"/>
      <c r="AG277" s="543"/>
      <c r="AH277" s="543"/>
      <c r="AI277" s="543"/>
      <c r="AJ277" s="544"/>
    </row>
    <row r="278" spans="1:36" ht="14.4" customHeight="1" outlineLevel="1">
      <c r="B278" s="912"/>
      <c r="C278" s="620"/>
      <c r="D278" s="618" t="s">
        <v>3904</v>
      </c>
      <c r="E278" s="621"/>
      <c r="F278" s="1454">
        <v>35000000</v>
      </c>
      <c r="G278" s="1440"/>
      <c r="H278" s="607"/>
      <c r="I278" s="607"/>
      <c r="J278" s="571"/>
      <c r="K278" s="562"/>
      <c r="L278" s="562"/>
      <c r="M278" s="509"/>
      <c r="N278" s="571"/>
      <c r="O278" s="562"/>
      <c r="P278" s="562"/>
      <c r="Q278" s="509"/>
      <c r="R278" s="608"/>
      <c r="S278" s="560"/>
      <c r="T278" s="542"/>
      <c r="U278" s="543"/>
      <c r="V278" s="543"/>
      <c r="W278" s="543"/>
      <c r="X278" s="544"/>
      <c r="Y278" s="545"/>
      <c r="Z278" s="543"/>
      <c r="AA278" s="543"/>
      <c r="AB278" s="543"/>
      <c r="AC278" s="543"/>
      <c r="AD278" s="543"/>
      <c r="AE278" s="543"/>
      <c r="AF278" s="543"/>
      <c r="AG278" s="543"/>
      <c r="AH278" s="543"/>
      <c r="AI278" s="543"/>
      <c r="AJ278" s="544"/>
    </row>
    <row r="279" spans="1:36" s="502" customFormat="1" ht="14.4" customHeight="1">
      <c r="A279" s="504"/>
      <c r="B279" s="910"/>
      <c r="C279" s="663"/>
      <c r="D279" s="666"/>
      <c r="E279" s="665"/>
      <c r="F279" s="1451"/>
      <c r="G279" s="892">
        <v>0</v>
      </c>
      <c r="H279" s="580">
        <v>0</v>
      </c>
      <c r="I279" s="580">
        <v>0</v>
      </c>
      <c r="J279" s="542">
        <v>0</v>
      </c>
      <c r="K279" s="511">
        <v>0</v>
      </c>
      <c r="L279" s="511">
        <v>0</v>
      </c>
      <c r="M279" s="509">
        <v>0</v>
      </c>
      <c r="N279" s="542">
        <v>0</v>
      </c>
      <c r="O279" s="511">
        <v>0</v>
      </c>
      <c r="P279" s="511">
        <v>0</v>
      </c>
      <c r="Q279" s="509">
        <v>0</v>
      </c>
      <c r="R279" s="667">
        <v>0</v>
      </c>
      <c r="S279" s="507">
        <v>0</v>
      </c>
      <c r="T279" s="542">
        <v>0</v>
      </c>
      <c r="U279" s="543">
        <v>0</v>
      </c>
      <c r="V279" s="543">
        <v>0</v>
      </c>
      <c r="W279" s="543">
        <v>0</v>
      </c>
      <c r="X279" s="544">
        <v>0</v>
      </c>
      <c r="Y279" s="545">
        <v>0</v>
      </c>
      <c r="Z279" s="543">
        <v>0</v>
      </c>
      <c r="AA279" s="543">
        <v>0</v>
      </c>
      <c r="AB279" s="543">
        <v>0</v>
      </c>
      <c r="AC279" s="543">
        <v>0</v>
      </c>
      <c r="AD279" s="543">
        <v>0</v>
      </c>
      <c r="AE279" s="543">
        <v>0</v>
      </c>
      <c r="AF279" s="543">
        <v>0</v>
      </c>
      <c r="AG279" s="543">
        <v>0</v>
      </c>
      <c r="AH279" s="543">
        <v>0</v>
      </c>
      <c r="AI279" s="543">
        <v>0</v>
      </c>
      <c r="AJ279" s="544">
        <v>0</v>
      </c>
    </row>
    <row r="280" spans="1:36" ht="14.4" customHeight="1" thickBot="1">
      <c r="B280" s="903"/>
      <c r="C280" s="534"/>
      <c r="D280" s="535" t="s">
        <v>2553</v>
      </c>
      <c r="E280" s="536"/>
      <c r="F280" s="1447">
        <f>F265</f>
        <v>115000000</v>
      </c>
      <c r="G280" s="1429">
        <f t="shared" ref="G280:AJ280" si="705">SUM(G265:G279)</f>
        <v>0</v>
      </c>
      <c r="H280" s="535">
        <f t="shared" si="705"/>
        <v>0</v>
      </c>
      <c r="I280" s="535">
        <f t="shared" si="705"/>
        <v>0</v>
      </c>
      <c r="J280" s="537">
        <f t="shared" si="705"/>
        <v>0</v>
      </c>
      <c r="K280" s="538">
        <f t="shared" si="705"/>
        <v>0</v>
      </c>
      <c r="L280" s="538">
        <f t="shared" si="705"/>
        <v>0</v>
      </c>
      <c r="M280" s="539">
        <f t="shared" si="705"/>
        <v>0</v>
      </c>
      <c r="N280" s="537">
        <f t="shared" si="705"/>
        <v>0</v>
      </c>
      <c r="O280" s="538">
        <f t="shared" si="705"/>
        <v>0</v>
      </c>
      <c r="P280" s="538">
        <f t="shared" si="705"/>
        <v>0</v>
      </c>
      <c r="Q280" s="539">
        <f t="shared" si="705"/>
        <v>0</v>
      </c>
      <c r="R280" s="540">
        <f t="shared" si="705"/>
        <v>0</v>
      </c>
      <c r="S280" s="541">
        <f t="shared" si="705"/>
        <v>0</v>
      </c>
      <c r="T280" s="537">
        <f t="shared" si="705"/>
        <v>0</v>
      </c>
      <c r="U280" s="538">
        <f t="shared" si="705"/>
        <v>0</v>
      </c>
      <c r="V280" s="538">
        <f t="shared" si="705"/>
        <v>0</v>
      </c>
      <c r="W280" s="538">
        <f t="shared" si="705"/>
        <v>0</v>
      </c>
      <c r="X280" s="539">
        <f t="shared" si="705"/>
        <v>0</v>
      </c>
      <c r="Y280" s="622">
        <f t="shared" si="705"/>
        <v>0</v>
      </c>
      <c r="Z280" s="538">
        <f t="shared" si="705"/>
        <v>0</v>
      </c>
      <c r="AA280" s="538">
        <f t="shared" si="705"/>
        <v>0</v>
      </c>
      <c r="AB280" s="538">
        <f t="shared" si="705"/>
        <v>0</v>
      </c>
      <c r="AC280" s="538">
        <f t="shared" si="705"/>
        <v>0</v>
      </c>
      <c r="AD280" s="538">
        <f t="shared" si="705"/>
        <v>0</v>
      </c>
      <c r="AE280" s="538">
        <f t="shared" si="705"/>
        <v>0</v>
      </c>
      <c r="AF280" s="538">
        <f t="shared" si="705"/>
        <v>0</v>
      </c>
      <c r="AG280" s="538">
        <f t="shared" si="705"/>
        <v>0</v>
      </c>
      <c r="AH280" s="538">
        <f t="shared" si="705"/>
        <v>0</v>
      </c>
      <c r="AI280" s="538">
        <f t="shared" si="705"/>
        <v>0</v>
      </c>
      <c r="AJ280" s="539">
        <f t="shared" si="705"/>
        <v>0</v>
      </c>
    </row>
    <row r="281" spans="1:36" s="628" customFormat="1" ht="14.4" customHeight="1" thickBot="1">
      <c r="A281" s="625"/>
      <c r="B281" s="898"/>
      <c r="C281" s="626"/>
      <c r="D281" s="627"/>
      <c r="E281" s="627"/>
      <c r="F281" s="627"/>
      <c r="G281" s="627"/>
      <c r="H281" s="627"/>
      <c r="I281" s="627"/>
      <c r="J281" s="627"/>
      <c r="K281" s="627"/>
      <c r="L281" s="627"/>
      <c r="M281" s="627"/>
      <c r="N281" s="627"/>
      <c r="O281" s="627"/>
      <c r="P281" s="627"/>
      <c r="Q281" s="627"/>
      <c r="R281" s="627"/>
      <c r="S281" s="503"/>
      <c r="T281" s="503"/>
      <c r="U281" s="503"/>
      <c r="V281" s="503"/>
      <c r="W281" s="503"/>
      <c r="X281" s="503"/>
      <c r="Y281" s="503"/>
      <c r="Z281" s="503"/>
      <c r="AA281" s="503"/>
      <c r="AB281" s="503"/>
      <c r="AC281" s="503"/>
      <c r="AD281" s="503"/>
      <c r="AE281" s="503"/>
      <c r="AF281" s="503"/>
      <c r="AG281" s="503"/>
      <c r="AH281" s="503"/>
      <c r="AI281" s="503"/>
      <c r="AJ281" s="503"/>
    </row>
    <row r="282" spans="1:36" ht="24.65" customHeight="1" thickBot="1">
      <c r="A282" s="623"/>
      <c r="B282" s="913"/>
      <c r="C282" s="893"/>
      <c r="D282" s="894" t="s">
        <v>2554</v>
      </c>
      <c r="E282" s="894"/>
      <c r="F282" s="1456">
        <f t="shared" ref="F282:AJ282" si="706">F10+F188</f>
        <v>14849000000</v>
      </c>
      <c r="G282" s="1443" t="e">
        <f t="shared" si="706"/>
        <v>#REF!</v>
      </c>
      <c r="H282" s="894" t="e">
        <f t="shared" si="706"/>
        <v>#REF!</v>
      </c>
      <c r="I282" s="894">
        <f t="shared" si="706"/>
        <v>0</v>
      </c>
      <c r="J282" s="895">
        <f t="shared" si="706"/>
        <v>0</v>
      </c>
      <c r="K282" s="896">
        <f t="shared" si="706"/>
        <v>0</v>
      </c>
      <c r="L282" s="896">
        <f t="shared" si="706"/>
        <v>0</v>
      </c>
      <c r="M282" s="897">
        <f t="shared" si="706"/>
        <v>0</v>
      </c>
      <c r="N282" s="895">
        <f t="shared" si="706"/>
        <v>0</v>
      </c>
      <c r="O282" s="896">
        <f t="shared" si="706"/>
        <v>0</v>
      </c>
      <c r="P282" s="896">
        <f t="shared" si="706"/>
        <v>0</v>
      </c>
      <c r="Q282" s="897">
        <f t="shared" si="706"/>
        <v>0</v>
      </c>
      <c r="R282" s="894">
        <f t="shared" si="706"/>
        <v>0</v>
      </c>
      <c r="S282" s="541">
        <f t="shared" si="706"/>
        <v>11</v>
      </c>
      <c r="T282" s="629">
        <f t="shared" si="706"/>
        <v>0</v>
      </c>
      <c r="U282" s="624">
        <f t="shared" si="706"/>
        <v>0</v>
      </c>
      <c r="V282" s="624">
        <f t="shared" si="706"/>
        <v>0</v>
      </c>
      <c r="W282" s="624">
        <f t="shared" si="706"/>
        <v>0</v>
      </c>
      <c r="X282" s="624">
        <f t="shared" si="706"/>
        <v>0</v>
      </c>
      <c r="Y282" s="624">
        <f t="shared" si="706"/>
        <v>0</v>
      </c>
      <c r="Z282" s="624">
        <f t="shared" si="706"/>
        <v>0</v>
      </c>
      <c r="AA282" s="624">
        <f t="shared" si="706"/>
        <v>0</v>
      </c>
      <c r="AB282" s="624">
        <f t="shared" si="706"/>
        <v>0</v>
      </c>
      <c r="AC282" s="624">
        <f t="shared" si="706"/>
        <v>0</v>
      </c>
      <c r="AD282" s="624">
        <f t="shared" si="706"/>
        <v>0</v>
      </c>
      <c r="AE282" s="624">
        <f t="shared" si="706"/>
        <v>0</v>
      </c>
      <c r="AF282" s="624">
        <f t="shared" si="706"/>
        <v>0</v>
      </c>
      <c r="AG282" s="624">
        <f t="shared" si="706"/>
        <v>0</v>
      </c>
      <c r="AH282" s="624">
        <f t="shared" si="706"/>
        <v>0</v>
      </c>
      <c r="AI282" s="624">
        <f t="shared" si="706"/>
        <v>0</v>
      </c>
      <c r="AJ282" s="630">
        <f t="shared" si="706"/>
        <v>0</v>
      </c>
    </row>
    <row r="283" spans="1:36" s="628" customFormat="1" ht="14.4" customHeight="1">
      <c r="A283" s="631"/>
      <c r="B283" s="631"/>
      <c r="D283" s="632"/>
      <c r="F283" s="633"/>
      <c r="G283" s="503"/>
      <c r="H283" s="503"/>
      <c r="I283" s="503"/>
      <c r="J283" s="503"/>
      <c r="K283" s="634"/>
      <c r="L283" s="634"/>
      <c r="M283" s="634"/>
      <c r="N283" s="503"/>
      <c r="O283" s="634"/>
      <c r="P283" s="634"/>
      <c r="Q283" s="634"/>
      <c r="R283" s="503"/>
      <c r="S283" s="503"/>
      <c r="T283" s="503"/>
      <c r="U283" s="503"/>
      <c r="V283" s="503"/>
    </row>
    <row r="284" spans="1:36" ht="14.4" customHeight="1">
      <c r="D284" s="502"/>
      <c r="E284" s="502"/>
      <c r="F284" s="502">
        <f>F191+F192+F193+F201+F202+F207+F208+F209+F210+F219+F220+F221+F222+F223+F224+F243+F249+F250+F251+F268+F272+F275+F276</f>
        <v>0</v>
      </c>
      <c r="G284" s="502"/>
      <c r="H284" s="502"/>
      <c r="I284" s="502" t="s">
        <v>3891</v>
      </c>
      <c r="J284" s="502"/>
      <c r="K284" s="635"/>
      <c r="L284" s="635"/>
      <c r="M284" s="635"/>
      <c r="N284" s="502"/>
      <c r="O284" s="635"/>
      <c r="P284" s="635"/>
      <c r="Q284" s="635"/>
    </row>
    <row r="285" spans="1:36" s="502" customFormat="1" ht="14.4" customHeight="1">
      <c r="A285" s="500"/>
      <c r="B285" s="500"/>
      <c r="C285" s="501"/>
      <c r="D285" s="501" t="s">
        <v>3835</v>
      </c>
      <c r="E285" s="501" t="s">
        <v>3836</v>
      </c>
      <c r="F285" s="503">
        <f>F278+F274+F271+F214+F215+F213+F212+F211+F204+F194</f>
        <v>14357000000</v>
      </c>
      <c r="G285" s="501"/>
      <c r="H285" s="501"/>
      <c r="I285" s="502" t="s">
        <v>3898</v>
      </c>
      <c r="J285" s="501"/>
      <c r="K285" s="503"/>
      <c r="L285" s="503"/>
      <c r="M285" s="503"/>
      <c r="N285" s="501"/>
      <c r="O285" s="503"/>
      <c r="P285" s="503"/>
      <c r="Q285" s="503"/>
      <c r="S285" s="503"/>
      <c r="W285" s="501"/>
      <c r="X285" s="501"/>
      <c r="Y285" s="501"/>
      <c r="Z285" s="501"/>
      <c r="AA285" s="501"/>
      <c r="AB285" s="501"/>
      <c r="AC285" s="501"/>
      <c r="AD285" s="501"/>
      <c r="AE285" s="501"/>
      <c r="AF285" s="501"/>
      <c r="AG285" s="501"/>
      <c r="AH285" s="501"/>
      <c r="AI285" s="501"/>
      <c r="AJ285" s="501"/>
    </row>
    <row r="286" spans="1:36" s="502" customFormat="1" ht="14.4" customHeight="1">
      <c r="A286" s="500"/>
      <c r="B286" s="500"/>
      <c r="C286" s="501"/>
      <c r="D286" s="501" t="s">
        <v>3837</v>
      </c>
      <c r="E286" s="501" t="s">
        <v>3838</v>
      </c>
      <c r="F286" s="501"/>
      <c r="G286" s="501"/>
      <c r="H286" s="501"/>
      <c r="J286" s="501"/>
      <c r="N286" s="501"/>
      <c r="S286" s="503"/>
      <c r="W286" s="501"/>
      <c r="X286" s="501"/>
      <c r="Y286" s="501"/>
      <c r="Z286" s="501"/>
      <c r="AA286" s="501"/>
      <c r="AB286" s="501"/>
      <c r="AC286" s="501"/>
      <c r="AD286" s="501"/>
      <c r="AE286" s="501"/>
      <c r="AF286" s="501"/>
      <c r="AG286" s="501"/>
      <c r="AH286" s="501"/>
      <c r="AI286" s="501"/>
      <c r="AJ286" s="501"/>
    </row>
    <row r="287" spans="1:36" ht="14.4" customHeight="1">
      <c r="D287" s="501" t="s">
        <v>3809</v>
      </c>
    </row>
    <row r="288" spans="1:36" ht="14.4" customHeight="1">
      <c r="D288" s="501" t="s">
        <v>3839</v>
      </c>
      <c r="F288" s="633"/>
    </row>
  </sheetData>
  <sheetProtection formatCells="0" formatColumns="0" formatRows="0" insertColumns="0" insertRows="0" insertHyperlinks="0" deleteColumns="0" deleteRows="0" autoFilter="0"/>
  <mergeCells count="20">
    <mergeCell ref="N7:Q7"/>
    <mergeCell ref="I7:I9"/>
    <mergeCell ref="I6:Q6"/>
    <mergeCell ref="E6:E9"/>
    <mergeCell ref="C6:C9"/>
    <mergeCell ref="F6:F9"/>
    <mergeCell ref="J7:M7"/>
    <mergeCell ref="I1:AJ1"/>
    <mergeCell ref="B1:F1"/>
    <mergeCell ref="B3:F3"/>
    <mergeCell ref="K8:L8"/>
    <mergeCell ref="O8:P8"/>
    <mergeCell ref="T8:X8"/>
    <mergeCell ref="R6:R9"/>
    <mergeCell ref="Y8:AJ8"/>
    <mergeCell ref="T6:AJ6"/>
    <mergeCell ref="B6:B9"/>
    <mergeCell ref="D6:D9"/>
    <mergeCell ref="G6:G9"/>
    <mergeCell ref="H6:H9"/>
  </mergeCells>
  <conditionalFormatting sqref="I247 I264">
    <cfRule type="cellIs" dxfId="25" priority="50" operator="lessThan">
      <formula>0</formula>
    </cfRule>
  </conditionalFormatting>
  <conditionalFormatting sqref="I283:I285">
    <cfRule type="cellIs" dxfId="24" priority="1" operator="lessThan">
      <formula>0</formula>
    </cfRule>
  </conditionalFormatting>
  <conditionalFormatting sqref="R27 R38 R43 I206:I235 R206:R285">
    <cfRule type="cellIs" dxfId="23" priority="30" operator="lessThan">
      <formula>0</formula>
    </cfRule>
  </conditionalFormatting>
  <conditionalFormatting sqref="R47">
    <cfRule type="cellIs" dxfId="22" priority="12" operator="lessThan">
      <formula>0</formula>
    </cfRule>
  </conditionalFormatting>
  <conditionalFormatting sqref="R51">
    <cfRule type="cellIs" dxfId="21" priority="11" operator="lessThan">
      <formula>0</formula>
    </cfRule>
  </conditionalFormatting>
  <conditionalFormatting sqref="R64">
    <cfRule type="cellIs" dxfId="20" priority="10" operator="lessThan">
      <formula>0</formula>
    </cfRule>
  </conditionalFormatting>
  <conditionalFormatting sqref="R84">
    <cfRule type="cellIs" dxfId="19" priority="9" operator="lessThan">
      <formula>0</formula>
    </cfRule>
  </conditionalFormatting>
  <conditionalFormatting sqref="R89">
    <cfRule type="cellIs" dxfId="18" priority="8" operator="lessThan">
      <formula>0</formula>
    </cfRule>
  </conditionalFormatting>
  <conditionalFormatting sqref="R94:R183">
    <cfRule type="cellIs" dxfId="17" priority="3" operator="lessThan">
      <formula>0</formula>
    </cfRule>
  </conditionalFormatting>
  <conditionalFormatting sqref="R186">
    <cfRule type="cellIs" dxfId="16" priority="16" operator="lessThan">
      <formula>0</formula>
    </cfRule>
  </conditionalFormatting>
  <printOptions horizontalCentered="1"/>
  <pageMargins left="0.39370078740157499" right="0.39370078740157499" top="0.35433070866141703" bottom="0.59055118110236204" header="0.23622047244094499" footer="0.31496062992126"/>
  <pageSetup paperSize="9" scale="90" fitToHeight="0" orientation="portrait" r:id="rId1"/>
  <rowBreaks count="2" manualBreakCount="2">
    <brk id="129" min="1" max="5" man="1"/>
    <brk id="186" min="1" max="5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1598-54EF-4F67-BB18-25E3B21799B4}">
  <dimension ref="A1:R63"/>
  <sheetViews>
    <sheetView topLeftCell="A13" workbookViewId="0">
      <selection activeCell="F234" sqref="F234"/>
    </sheetView>
  </sheetViews>
  <sheetFormatPr defaultColWidth="8.90625" defaultRowHeight="15.5"/>
  <cols>
    <col min="1" max="1" width="4.6328125" style="945" bestFit="1" customWidth="1"/>
    <col min="2" max="2" width="28.81640625" style="945" bestFit="1" customWidth="1"/>
    <col min="3" max="5" width="9.81640625" style="946" customWidth="1"/>
    <col min="6" max="6" width="11.6328125" style="946" bestFit="1" customWidth="1"/>
    <col min="7" max="8" width="9.81640625" style="946" customWidth="1"/>
    <col min="9" max="9" width="9.81640625" style="945" customWidth="1"/>
    <col min="10" max="10" width="19.453125" style="947" bestFit="1" customWidth="1"/>
    <col min="11" max="11" width="17.90625" style="947" bestFit="1" customWidth="1"/>
    <col min="12" max="13" width="8.90625" style="945"/>
    <col min="14" max="14" width="23.08984375" style="945" bestFit="1" customWidth="1"/>
    <col min="15" max="15" width="3.6328125" style="946" bestFit="1" customWidth="1"/>
    <col min="16" max="17" width="15.08984375" style="947" bestFit="1" customWidth="1"/>
    <col min="18" max="16384" width="8.90625" style="945"/>
  </cols>
  <sheetData>
    <row r="1" spans="1:18">
      <c r="A1" s="1575" t="s">
        <v>3094</v>
      </c>
      <c r="B1" s="1575"/>
      <c r="C1" s="1575"/>
      <c r="D1" s="1575"/>
      <c r="E1" s="1575"/>
      <c r="F1" s="1575"/>
      <c r="G1" s="1575"/>
      <c r="H1" s="1575"/>
      <c r="I1" s="1575"/>
      <c r="J1" s="1575"/>
      <c r="K1" s="1575"/>
    </row>
    <row r="3" spans="1:18">
      <c r="A3" s="1576" t="s">
        <v>2656</v>
      </c>
      <c r="B3" s="1576"/>
      <c r="C3" s="1576"/>
      <c r="D3" s="1576"/>
      <c r="E3" s="1576"/>
      <c r="F3" s="1576"/>
      <c r="G3" s="1576"/>
      <c r="H3" s="1576"/>
      <c r="I3" s="1576"/>
      <c r="J3" s="1576"/>
      <c r="K3" s="1576"/>
    </row>
    <row r="4" spans="1:18">
      <c r="A4" s="1576" t="s">
        <v>2657</v>
      </c>
      <c r="B4" s="1576"/>
      <c r="C4" s="1576"/>
      <c r="D4" s="1576"/>
      <c r="E4" s="1576"/>
      <c r="F4" s="1576"/>
      <c r="G4" s="1576"/>
      <c r="H4" s="1576"/>
      <c r="I4" s="1576"/>
      <c r="J4" s="1576"/>
      <c r="K4" s="1576"/>
      <c r="Q4" s="947" t="s">
        <v>3112</v>
      </c>
    </row>
    <row r="5" spans="1:18" ht="16" thickBot="1"/>
    <row r="6" spans="1:18" s="948" customFormat="1">
      <c r="A6" s="1579" t="s">
        <v>2</v>
      </c>
      <c r="B6" s="1577" t="s">
        <v>3</v>
      </c>
      <c r="C6" s="1585" t="s">
        <v>3097</v>
      </c>
      <c r="D6" s="1586"/>
      <c r="E6" s="1586"/>
      <c r="F6" s="1586"/>
      <c r="G6" s="1586"/>
      <c r="H6" s="1586"/>
      <c r="I6" s="1587"/>
      <c r="J6" s="1581" t="s">
        <v>3100</v>
      </c>
      <c r="K6" s="1583" t="s">
        <v>2240</v>
      </c>
      <c r="N6" s="948" t="s">
        <v>3113</v>
      </c>
      <c r="P6" s="949"/>
      <c r="Q6" s="949"/>
    </row>
    <row r="7" spans="1:18" ht="31.5" thickBot="1">
      <c r="A7" s="1580"/>
      <c r="B7" s="1578"/>
      <c r="C7" s="988" t="s">
        <v>3098</v>
      </c>
      <c r="D7" s="988" t="s">
        <v>3099</v>
      </c>
      <c r="E7" s="988" t="s">
        <v>3127</v>
      </c>
      <c r="F7" s="988" t="s">
        <v>3106</v>
      </c>
      <c r="G7" s="988" t="s">
        <v>3107</v>
      </c>
      <c r="H7" s="988" t="s">
        <v>3108</v>
      </c>
      <c r="I7" s="950"/>
      <c r="J7" s="1582"/>
      <c r="K7" s="1584"/>
      <c r="O7" s="946" t="s">
        <v>3115</v>
      </c>
      <c r="P7" s="951" t="s">
        <v>3114</v>
      </c>
      <c r="Q7" s="951" t="s">
        <v>3116</v>
      </c>
    </row>
    <row r="8" spans="1:18" ht="16" thickTop="1">
      <c r="A8" s="952"/>
      <c r="B8" s="953"/>
      <c r="C8" s="954"/>
      <c r="D8" s="954"/>
      <c r="E8" s="954"/>
      <c r="F8" s="954"/>
      <c r="G8" s="954"/>
      <c r="H8" s="954"/>
      <c r="I8" s="953"/>
      <c r="J8" s="955"/>
      <c r="K8" s="956"/>
    </row>
    <row r="9" spans="1:18" s="962" customFormat="1">
      <c r="A9" s="957">
        <v>1</v>
      </c>
      <c r="B9" s="958" t="s">
        <v>2541</v>
      </c>
      <c r="C9" s="959"/>
      <c r="D9" s="959"/>
      <c r="E9" s="959"/>
      <c r="F9" s="959"/>
      <c r="G9" s="959"/>
      <c r="H9" s="959"/>
      <c r="I9" s="958"/>
      <c r="J9" s="960"/>
      <c r="K9" s="961">
        <f>SUM(K10:K11)</f>
        <v>1080000000</v>
      </c>
      <c r="N9" s="963" t="s">
        <v>3113</v>
      </c>
      <c r="O9" s="946"/>
      <c r="P9" s="964"/>
      <c r="Q9" s="964"/>
    </row>
    <row r="10" spans="1:18">
      <c r="A10" s="965"/>
      <c r="B10" s="966" t="s">
        <v>3104</v>
      </c>
      <c r="C10" s="967"/>
      <c r="D10" s="967"/>
      <c r="E10" s="967"/>
      <c r="F10" s="967">
        <v>2</v>
      </c>
      <c r="G10" s="967">
        <v>8</v>
      </c>
      <c r="H10" s="967">
        <v>90</v>
      </c>
      <c r="I10" s="966"/>
      <c r="J10" s="968">
        <v>500000</v>
      </c>
      <c r="K10" s="969">
        <f>F10*G10*H10*J10</f>
        <v>720000000</v>
      </c>
      <c r="N10" s="945" t="s">
        <v>3117</v>
      </c>
      <c r="O10" s="946" t="s">
        <v>2847</v>
      </c>
      <c r="P10" s="947">
        <v>270000</v>
      </c>
      <c r="Q10" s="947">
        <f>230000</f>
        <v>230000</v>
      </c>
    </row>
    <row r="11" spans="1:18">
      <c r="A11" s="965"/>
      <c r="B11" s="966" t="s">
        <v>3105</v>
      </c>
      <c r="C11" s="967"/>
      <c r="D11" s="967"/>
      <c r="E11" s="967"/>
      <c r="F11" s="967">
        <v>1</v>
      </c>
      <c r="G11" s="967">
        <v>8</v>
      </c>
      <c r="H11" s="967">
        <v>90</v>
      </c>
      <c r="I11" s="966"/>
      <c r="J11" s="968">
        <v>500000</v>
      </c>
      <c r="K11" s="969">
        <f>F11*G11*H11*J11</f>
        <v>360000000</v>
      </c>
      <c r="N11" s="945" t="s">
        <v>3118</v>
      </c>
      <c r="O11" s="946" t="s">
        <v>2847</v>
      </c>
      <c r="P11" s="947">
        <v>235000</v>
      </c>
      <c r="Q11" s="947">
        <v>200000</v>
      </c>
    </row>
    <row r="12" spans="1:18">
      <c r="A12" s="965"/>
      <c r="B12" s="966"/>
      <c r="C12" s="967"/>
      <c r="D12" s="967"/>
      <c r="E12" s="967"/>
      <c r="F12" s="967"/>
      <c r="G12" s="967"/>
      <c r="H12" s="967"/>
      <c r="I12" s="966"/>
      <c r="J12" s="968"/>
      <c r="K12" s="969"/>
      <c r="N12" s="945" t="s">
        <v>3123</v>
      </c>
      <c r="O12" s="946" t="s">
        <v>2847</v>
      </c>
      <c r="P12" s="947">
        <f>(P10+P11)/2</f>
        <v>252500</v>
      </c>
      <c r="Q12" s="947">
        <f>(Q10+Q11)/2</f>
        <v>215000</v>
      </c>
    </row>
    <row r="13" spans="1:18" s="962" customFormat="1">
      <c r="A13" s="957">
        <v>2</v>
      </c>
      <c r="B13" s="958" t="s">
        <v>3109</v>
      </c>
      <c r="C13" s="959"/>
      <c r="D13" s="959"/>
      <c r="E13" s="959"/>
      <c r="F13" s="959"/>
      <c r="G13" s="959"/>
      <c r="H13" s="959"/>
      <c r="I13" s="958"/>
      <c r="J13" s="960"/>
      <c r="K13" s="961">
        <f>K14</f>
        <v>720000000</v>
      </c>
      <c r="N13" s="945" t="s">
        <v>3124</v>
      </c>
      <c r="O13" s="946" t="s">
        <v>2847</v>
      </c>
      <c r="P13" s="947">
        <v>85000</v>
      </c>
      <c r="Q13" s="947">
        <v>100000</v>
      </c>
      <c r="R13" s="945"/>
    </row>
    <row r="14" spans="1:18">
      <c r="A14" s="965"/>
      <c r="B14" s="966" t="s">
        <v>3110</v>
      </c>
      <c r="C14" s="967"/>
      <c r="D14" s="967"/>
      <c r="E14" s="967"/>
      <c r="F14" s="967">
        <v>1</v>
      </c>
      <c r="G14" s="967">
        <v>8</v>
      </c>
      <c r="H14" s="967">
        <f>12*15</f>
        <v>180</v>
      </c>
      <c r="I14" s="966"/>
      <c r="J14" s="968">
        <v>500000</v>
      </c>
      <c r="K14" s="969">
        <f>F14*G14*H14*J14</f>
        <v>720000000</v>
      </c>
      <c r="N14" s="945" t="s">
        <v>3119</v>
      </c>
      <c r="O14" s="946" t="s">
        <v>2847</v>
      </c>
      <c r="P14" s="947">
        <v>200500</v>
      </c>
      <c r="Q14" s="947">
        <v>75000</v>
      </c>
    </row>
    <row r="15" spans="1:18">
      <c r="A15" s="965"/>
      <c r="B15" s="966"/>
      <c r="C15" s="967"/>
      <c r="D15" s="967"/>
      <c r="E15" s="967"/>
      <c r="F15" s="967"/>
      <c r="G15" s="967"/>
      <c r="H15" s="967"/>
      <c r="I15" s="966"/>
      <c r="J15" s="968"/>
      <c r="K15" s="969"/>
      <c r="N15" s="945" t="s">
        <v>3125</v>
      </c>
      <c r="Q15" s="947">
        <f>55000000/(212*8)</f>
        <v>32429.245283018867</v>
      </c>
    </row>
    <row r="16" spans="1:18" s="962" customFormat="1">
      <c r="A16" s="957">
        <v>3</v>
      </c>
      <c r="B16" s="958" t="s">
        <v>2546</v>
      </c>
      <c r="C16" s="959">
        <v>8</v>
      </c>
      <c r="D16" s="959"/>
      <c r="E16" s="959"/>
      <c r="F16" s="959">
        <v>212</v>
      </c>
      <c r="G16" s="959"/>
      <c r="H16" s="959"/>
      <c r="I16" s="958"/>
      <c r="J16" s="960">
        <f>P18</f>
        <v>538000</v>
      </c>
      <c r="K16" s="961">
        <f>C16*F16*J16</f>
        <v>912448000</v>
      </c>
      <c r="N16" s="945" t="s">
        <v>3120</v>
      </c>
      <c r="O16" s="946" t="s">
        <v>3121</v>
      </c>
      <c r="P16" s="947"/>
      <c r="Q16" s="947">
        <f>35000/8</f>
        <v>4375</v>
      </c>
      <c r="R16" s="945"/>
    </row>
    <row r="17" spans="1:17">
      <c r="A17" s="965"/>
      <c r="B17" s="966" t="s">
        <v>3111</v>
      </c>
      <c r="C17" s="967"/>
      <c r="D17" s="967"/>
      <c r="E17" s="967"/>
      <c r="F17" s="967"/>
      <c r="G17" s="967"/>
      <c r="H17" s="967"/>
      <c r="I17" s="966"/>
      <c r="J17" s="968"/>
      <c r="K17" s="969"/>
      <c r="N17" s="945" t="s">
        <v>3122</v>
      </c>
      <c r="O17" s="946" t="s">
        <v>2847</v>
      </c>
      <c r="Q17" s="947">
        <v>5000</v>
      </c>
    </row>
    <row r="18" spans="1:17">
      <c r="A18" s="965"/>
      <c r="B18" s="966" t="s">
        <v>3095</v>
      </c>
      <c r="C18" s="967"/>
      <c r="D18" s="967"/>
      <c r="E18" s="967"/>
      <c r="F18" s="967"/>
      <c r="G18" s="967"/>
      <c r="H18" s="967"/>
      <c r="I18" s="966"/>
      <c r="J18" s="968"/>
      <c r="K18" s="969"/>
      <c r="P18" s="947">
        <f>SUM(P12:P17)</f>
        <v>538000</v>
      </c>
      <c r="Q18" s="947">
        <f>SUM(Q12:Q17)</f>
        <v>431804.24528301886</v>
      </c>
    </row>
    <row r="19" spans="1:17">
      <c r="A19" s="965"/>
      <c r="B19" s="966" t="s">
        <v>3096</v>
      </c>
      <c r="C19" s="967"/>
      <c r="D19" s="967"/>
      <c r="E19" s="967"/>
      <c r="F19" s="967"/>
      <c r="G19" s="967"/>
      <c r="H19" s="967"/>
      <c r="I19" s="966"/>
      <c r="J19" s="968"/>
      <c r="K19" s="969"/>
    </row>
    <row r="20" spans="1:17">
      <c r="A20" s="965"/>
      <c r="B20" s="966"/>
      <c r="C20" s="967"/>
      <c r="D20" s="967"/>
      <c r="E20" s="967"/>
      <c r="F20" s="967"/>
      <c r="G20" s="967"/>
      <c r="H20" s="967"/>
      <c r="I20" s="966"/>
      <c r="J20" s="968"/>
      <c r="K20" s="969"/>
      <c r="P20" s="947">
        <f>P18*C16*F16</f>
        <v>912448000</v>
      </c>
      <c r="Q20" s="947">
        <f>Q18*C16*F16</f>
        <v>732340000</v>
      </c>
    </row>
    <row r="21" spans="1:17">
      <c r="A21" s="965">
        <v>4</v>
      </c>
      <c r="B21" s="958" t="s">
        <v>22</v>
      </c>
      <c r="C21" s="967"/>
      <c r="D21" s="967"/>
      <c r="E21" s="967"/>
      <c r="F21" s="959"/>
      <c r="G21" s="967"/>
      <c r="H21" s="967"/>
      <c r="I21" s="966"/>
      <c r="J21" s="968"/>
      <c r="K21" s="961">
        <f>K22+K30</f>
        <v>16451044400</v>
      </c>
    </row>
    <row r="22" spans="1:17">
      <c r="A22" s="965"/>
      <c r="B22" s="958" t="s">
        <v>3128</v>
      </c>
      <c r="C22" s="967"/>
      <c r="D22" s="967"/>
      <c r="E22" s="967"/>
      <c r="F22" s="959">
        <f>SUM(F23:F28)</f>
        <v>1678.6779999999999</v>
      </c>
      <c r="G22" s="967"/>
      <c r="H22" s="967"/>
      <c r="I22" s="966"/>
      <c r="J22" s="968">
        <v>6000000</v>
      </c>
      <c r="K22" s="969">
        <f>F22*J22</f>
        <v>10072068000</v>
      </c>
    </row>
    <row r="23" spans="1:17">
      <c r="A23" s="965"/>
      <c r="B23" s="966" t="s">
        <v>3111</v>
      </c>
      <c r="C23" s="967">
        <v>53.2</v>
      </c>
      <c r="D23" s="967">
        <v>33.799999999999997</v>
      </c>
      <c r="E23" s="967">
        <v>0.3</v>
      </c>
      <c r="F23" s="967">
        <f>C23*D23*E23</f>
        <v>539.44799999999998</v>
      </c>
      <c r="G23" s="967"/>
      <c r="H23" s="967"/>
      <c r="I23" s="966"/>
      <c r="J23" s="968"/>
      <c r="K23" s="969"/>
    </row>
    <row r="24" spans="1:17">
      <c r="A24" s="965"/>
      <c r="B24" s="966" t="s">
        <v>3095</v>
      </c>
      <c r="C24" s="967">
        <v>64</v>
      </c>
      <c r="D24" s="967">
        <v>14.3</v>
      </c>
      <c r="E24" s="967">
        <v>0.25</v>
      </c>
      <c r="F24" s="967">
        <f t="shared" ref="F24:F26" si="0">C24*D24*E24</f>
        <v>228.8</v>
      </c>
      <c r="G24" s="967"/>
      <c r="H24" s="967"/>
      <c r="I24" s="966"/>
      <c r="J24" s="968"/>
      <c r="K24" s="969"/>
    </row>
    <row r="25" spans="1:17">
      <c r="A25" s="965"/>
      <c r="B25" s="966" t="s">
        <v>3096</v>
      </c>
      <c r="C25" s="967">
        <v>44</v>
      </c>
      <c r="D25" s="967">
        <v>19.3</v>
      </c>
      <c r="E25" s="967">
        <v>0.25</v>
      </c>
      <c r="F25" s="967">
        <f t="shared" si="0"/>
        <v>212.3</v>
      </c>
      <c r="G25" s="967"/>
      <c r="H25" s="967"/>
      <c r="I25" s="966"/>
      <c r="J25" s="968"/>
      <c r="K25" s="969"/>
    </row>
    <row r="26" spans="1:17">
      <c r="A26" s="965"/>
      <c r="B26" s="966" t="s">
        <v>3130</v>
      </c>
      <c r="C26" s="967">
        <v>11</v>
      </c>
      <c r="D26" s="967">
        <v>8.1</v>
      </c>
      <c r="E26" s="967">
        <v>0.3</v>
      </c>
      <c r="F26" s="967">
        <f t="shared" si="0"/>
        <v>26.729999999999997</v>
      </c>
      <c r="G26" s="967"/>
      <c r="H26" s="967"/>
      <c r="I26" s="966"/>
      <c r="J26" s="968"/>
      <c r="K26" s="969"/>
    </row>
    <row r="27" spans="1:17">
      <c r="A27" s="965"/>
      <c r="B27" s="966" t="s">
        <v>3131</v>
      </c>
      <c r="C27" s="967"/>
      <c r="D27" s="967"/>
      <c r="E27" s="967">
        <v>0.3</v>
      </c>
      <c r="F27" s="967">
        <f>140*E27</f>
        <v>42</v>
      </c>
      <c r="G27" s="967"/>
      <c r="H27" s="967"/>
      <c r="I27" s="966"/>
      <c r="J27" s="968"/>
      <c r="K27" s="969"/>
    </row>
    <row r="28" spans="1:17">
      <c r="A28" s="965"/>
      <c r="B28" s="966" t="s">
        <v>3132</v>
      </c>
      <c r="C28" s="967"/>
      <c r="D28" s="967"/>
      <c r="E28" s="967"/>
      <c r="F28" s="967">
        <f>H28</f>
        <v>629.4</v>
      </c>
      <c r="G28" s="967"/>
      <c r="H28" s="989">
        <f>I28*0.6</f>
        <v>629.4</v>
      </c>
      <c r="I28" s="990">
        <v>1049</v>
      </c>
      <c r="J28" s="968"/>
      <c r="K28" s="969"/>
    </row>
    <row r="29" spans="1:17">
      <c r="A29" s="965"/>
      <c r="B29" s="966"/>
      <c r="C29" s="967"/>
      <c r="D29" s="967"/>
      <c r="E29" s="967"/>
      <c r="F29" s="967"/>
      <c r="G29" s="967"/>
      <c r="H29" s="967"/>
      <c r="I29" s="966"/>
      <c r="J29" s="968"/>
      <c r="K29" s="969"/>
    </row>
    <row r="30" spans="1:17">
      <c r="A30" s="965"/>
      <c r="B30" s="958" t="s">
        <v>3129</v>
      </c>
      <c r="C30" s="967"/>
      <c r="D30" s="967"/>
      <c r="E30" s="967"/>
      <c r="F30" s="970">
        <f>SUM(F31:F36)</f>
        <v>335735.6</v>
      </c>
      <c r="G30" s="967"/>
      <c r="H30" s="967"/>
      <c r="I30" s="966"/>
      <c r="J30" s="968">
        <v>19000</v>
      </c>
      <c r="K30" s="969">
        <f>F30*J30</f>
        <v>6378976400</v>
      </c>
    </row>
    <row r="31" spans="1:17">
      <c r="A31" s="965"/>
      <c r="B31" s="958"/>
      <c r="C31" s="967"/>
      <c r="D31" s="967"/>
      <c r="E31" s="967"/>
      <c r="F31" s="971">
        <f t="shared" ref="F31:F36" si="1">F23*200</f>
        <v>107889.59999999999</v>
      </c>
      <c r="G31" s="967"/>
      <c r="H31" s="967"/>
      <c r="I31" s="966"/>
      <c r="J31" s="968"/>
      <c r="K31" s="969"/>
    </row>
    <row r="32" spans="1:17">
      <c r="A32" s="965"/>
      <c r="B32" s="958"/>
      <c r="C32" s="967"/>
      <c r="D32" s="967"/>
      <c r="E32" s="967"/>
      <c r="F32" s="971">
        <f t="shared" si="1"/>
        <v>45760</v>
      </c>
      <c r="G32" s="967"/>
      <c r="H32" s="967"/>
      <c r="I32" s="966"/>
      <c r="J32" s="968"/>
      <c r="K32" s="969"/>
      <c r="N32" s="947"/>
    </row>
    <row r="33" spans="1:17">
      <c r="A33" s="965"/>
      <c r="B33" s="958"/>
      <c r="C33" s="967"/>
      <c r="D33" s="967"/>
      <c r="E33" s="967"/>
      <c r="F33" s="971">
        <f t="shared" si="1"/>
        <v>42460</v>
      </c>
      <c r="G33" s="967"/>
      <c r="H33" s="967"/>
      <c r="I33" s="966"/>
      <c r="J33" s="968"/>
      <c r="K33" s="969"/>
    </row>
    <row r="34" spans="1:17">
      <c r="A34" s="965"/>
      <c r="B34" s="958"/>
      <c r="C34" s="967"/>
      <c r="D34" s="967"/>
      <c r="E34" s="967"/>
      <c r="F34" s="971">
        <f t="shared" si="1"/>
        <v>5345.9999999999991</v>
      </c>
      <c r="G34" s="967"/>
      <c r="H34" s="967"/>
      <c r="I34" s="966"/>
      <c r="J34" s="968"/>
      <c r="K34" s="969"/>
    </row>
    <row r="35" spans="1:17">
      <c r="A35" s="965"/>
      <c r="B35" s="958"/>
      <c r="C35" s="967"/>
      <c r="D35" s="967"/>
      <c r="E35" s="967"/>
      <c r="F35" s="971">
        <f t="shared" si="1"/>
        <v>8400</v>
      </c>
      <c r="G35" s="967"/>
      <c r="H35" s="967"/>
      <c r="I35" s="966"/>
      <c r="J35" s="968"/>
      <c r="K35" s="969"/>
    </row>
    <row r="36" spans="1:17">
      <c r="A36" s="965"/>
      <c r="B36" s="958"/>
      <c r="C36" s="967"/>
      <c r="D36" s="967"/>
      <c r="E36" s="967"/>
      <c r="F36" s="971">
        <f t="shared" si="1"/>
        <v>125880</v>
      </c>
      <c r="G36" s="967"/>
      <c r="H36" s="967"/>
      <c r="I36" s="966"/>
      <c r="J36" s="968"/>
      <c r="K36" s="969"/>
    </row>
    <row r="37" spans="1:17">
      <c r="A37" s="965"/>
      <c r="B37" s="966"/>
      <c r="C37" s="967"/>
      <c r="D37" s="967"/>
      <c r="E37" s="967"/>
      <c r="F37" s="967"/>
      <c r="G37" s="967"/>
      <c r="H37" s="967"/>
      <c r="I37" s="966"/>
      <c r="J37" s="968"/>
      <c r="K37" s="969"/>
    </row>
    <row r="38" spans="1:17" s="962" customFormat="1">
      <c r="A38" s="957">
        <v>5</v>
      </c>
      <c r="B38" s="958" t="s">
        <v>3126</v>
      </c>
      <c r="C38" s="959"/>
      <c r="D38" s="959"/>
      <c r="E38" s="959"/>
      <c r="F38" s="959"/>
      <c r="G38" s="959"/>
      <c r="H38" s="959"/>
      <c r="I38" s="958"/>
      <c r="J38" s="960"/>
      <c r="K38" s="961">
        <f>K39+K40</f>
        <v>8880000000</v>
      </c>
      <c r="N38" s="945"/>
      <c r="O38" s="946"/>
      <c r="P38" s="947"/>
      <c r="Q38" s="947"/>
    </row>
    <row r="39" spans="1:17">
      <c r="A39" s="965"/>
      <c r="B39" s="966" t="s">
        <v>3095</v>
      </c>
      <c r="C39" s="967">
        <v>60</v>
      </c>
      <c r="D39" s="967">
        <v>12</v>
      </c>
      <c r="E39" s="967"/>
      <c r="F39" s="967">
        <f>C39*D39</f>
        <v>720</v>
      </c>
      <c r="G39" s="967"/>
      <c r="H39" s="967"/>
      <c r="I39" s="966"/>
      <c r="J39" s="968">
        <v>6000000</v>
      </c>
      <c r="K39" s="969">
        <f>F39*J39</f>
        <v>4320000000</v>
      </c>
    </row>
    <row r="40" spans="1:17">
      <c r="A40" s="965"/>
      <c r="B40" s="966" t="s">
        <v>3096</v>
      </c>
      <c r="C40" s="967">
        <v>40</v>
      </c>
      <c r="D40" s="967">
        <v>19</v>
      </c>
      <c r="E40" s="967"/>
      <c r="F40" s="967">
        <f>C40*D40</f>
        <v>760</v>
      </c>
      <c r="G40" s="967"/>
      <c r="H40" s="967"/>
      <c r="I40" s="966"/>
      <c r="J40" s="968">
        <v>6000000</v>
      </c>
      <c r="K40" s="969">
        <f>F40*J40</f>
        <v>4560000000</v>
      </c>
    </row>
    <row r="41" spans="1:17">
      <c r="A41" s="965"/>
      <c r="B41" s="966"/>
      <c r="C41" s="967"/>
      <c r="D41" s="967"/>
      <c r="E41" s="967"/>
      <c r="F41" s="967"/>
      <c r="G41" s="967"/>
      <c r="H41" s="967"/>
      <c r="I41" s="966"/>
      <c r="J41" s="968"/>
      <c r="K41" s="969"/>
    </row>
    <row r="42" spans="1:17">
      <c r="A42" s="965"/>
      <c r="B42" s="966"/>
      <c r="C42" s="967"/>
      <c r="D42" s="967"/>
      <c r="E42" s="967"/>
      <c r="F42" s="967"/>
      <c r="G42" s="967"/>
      <c r="H42" s="967"/>
      <c r="I42" s="966"/>
      <c r="J42" s="968"/>
      <c r="K42" s="969"/>
      <c r="P42" s="947">
        <f>C16*F16*P10</f>
        <v>457920000</v>
      </c>
    </row>
    <row r="43" spans="1:17" s="962" customFormat="1">
      <c r="A43" s="957"/>
      <c r="B43" s="958" t="s">
        <v>3101</v>
      </c>
      <c r="C43" s="959">
        <v>4</v>
      </c>
      <c r="D43" s="959">
        <v>4</v>
      </c>
      <c r="E43" s="959"/>
      <c r="F43" s="959">
        <f>C43*D43</f>
        <v>16</v>
      </c>
      <c r="G43" s="959"/>
      <c r="H43" s="959"/>
      <c r="I43" s="958"/>
      <c r="J43" s="960">
        <v>4500000</v>
      </c>
      <c r="K43" s="961">
        <f>F43*J43</f>
        <v>72000000</v>
      </c>
      <c r="N43" s="945"/>
      <c r="O43" s="946"/>
      <c r="P43" s="947">
        <v>340000000</v>
      </c>
      <c r="Q43" s="947"/>
    </row>
    <row r="44" spans="1:17">
      <c r="A44" s="965"/>
      <c r="B44" s="966"/>
      <c r="C44" s="967"/>
      <c r="D44" s="967"/>
      <c r="E44" s="967"/>
      <c r="F44" s="967"/>
      <c r="G44" s="967"/>
      <c r="H44" s="967"/>
      <c r="I44" s="966"/>
      <c r="J44" s="968"/>
      <c r="K44" s="969"/>
      <c r="P44" s="947">
        <f>C16*F16</f>
        <v>1696</v>
      </c>
    </row>
    <row r="45" spans="1:17" s="962" customFormat="1">
      <c r="A45" s="957"/>
      <c r="B45" s="958" t="s">
        <v>2807</v>
      </c>
      <c r="C45" s="959">
        <v>3</v>
      </c>
      <c r="D45" s="959">
        <v>6</v>
      </c>
      <c r="E45" s="959"/>
      <c r="F45" s="959">
        <f>C45*D45</f>
        <v>18</v>
      </c>
      <c r="G45" s="959"/>
      <c r="H45" s="959"/>
      <c r="I45" s="958"/>
      <c r="J45" s="960">
        <v>4500000</v>
      </c>
      <c r="K45" s="961">
        <f>F45*J45</f>
        <v>81000000</v>
      </c>
      <c r="N45" s="945"/>
      <c r="O45" s="946"/>
      <c r="P45" s="947">
        <f>P43/P44</f>
        <v>200471.69811320756</v>
      </c>
      <c r="Q45" s="947"/>
    </row>
    <row r="46" spans="1:17">
      <c r="A46" s="965"/>
      <c r="B46" s="966"/>
      <c r="C46" s="967"/>
      <c r="D46" s="967"/>
      <c r="E46" s="967"/>
      <c r="F46" s="967"/>
      <c r="G46" s="967"/>
      <c r="H46" s="967"/>
      <c r="I46" s="966"/>
      <c r="J46" s="968"/>
      <c r="K46" s="969"/>
    </row>
    <row r="47" spans="1:17" s="962" customFormat="1">
      <c r="A47" s="957"/>
      <c r="B47" s="958" t="s">
        <v>3102</v>
      </c>
      <c r="C47" s="959">
        <v>3</v>
      </c>
      <c r="D47" s="959">
        <v>8</v>
      </c>
      <c r="E47" s="959"/>
      <c r="F47" s="959">
        <f>C47*D47</f>
        <v>24</v>
      </c>
      <c r="G47" s="959"/>
      <c r="H47" s="959"/>
      <c r="I47" s="958"/>
      <c r="J47" s="960">
        <v>4500000</v>
      </c>
      <c r="K47" s="961">
        <f>F47*J47</f>
        <v>108000000</v>
      </c>
      <c r="N47" s="945"/>
      <c r="O47" s="946"/>
      <c r="P47" s="947"/>
      <c r="Q47" s="947"/>
    </row>
    <row r="48" spans="1:17">
      <c r="A48" s="965"/>
      <c r="B48" s="966"/>
      <c r="C48" s="967"/>
      <c r="D48" s="967"/>
      <c r="E48" s="967"/>
      <c r="F48" s="967"/>
      <c r="G48" s="967"/>
      <c r="H48" s="967"/>
      <c r="I48" s="966"/>
      <c r="J48" s="968"/>
      <c r="K48" s="969"/>
    </row>
    <row r="49" spans="1:17" s="962" customFormat="1">
      <c r="A49" s="957"/>
      <c r="B49" s="958" t="s">
        <v>3103</v>
      </c>
      <c r="C49" s="959"/>
      <c r="D49" s="959"/>
      <c r="E49" s="959"/>
      <c r="F49" s="959">
        <v>4</v>
      </c>
      <c r="G49" s="959"/>
      <c r="H49" s="959"/>
      <c r="I49" s="958"/>
      <c r="J49" s="960">
        <v>1400000000</v>
      </c>
      <c r="K49" s="961">
        <f>F49*J49</f>
        <v>5600000000</v>
      </c>
      <c r="N49" s="945"/>
      <c r="O49" s="946"/>
      <c r="P49" s="947"/>
      <c r="Q49" s="947"/>
    </row>
    <row r="50" spans="1:17" s="962" customFormat="1">
      <c r="A50" s="972"/>
      <c r="B50" s="958"/>
      <c r="C50" s="959"/>
      <c r="D50" s="959"/>
      <c r="E50" s="959"/>
      <c r="F50" s="959"/>
      <c r="G50" s="959"/>
      <c r="H50" s="959"/>
      <c r="I50" s="958"/>
      <c r="J50" s="960"/>
      <c r="K50" s="961"/>
      <c r="N50" s="945"/>
      <c r="O50" s="946"/>
      <c r="P50" s="947"/>
      <c r="Q50" s="947"/>
    </row>
    <row r="51" spans="1:17">
      <c r="A51" s="973"/>
      <c r="B51" s="974"/>
      <c r="C51" s="975"/>
      <c r="D51" s="975"/>
      <c r="E51" s="975"/>
      <c r="F51" s="975"/>
      <c r="G51" s="975"/>
      <c r="H51" s="975"/>
      <c r="I51" s="974"/>
      <c r="J51" s="976"/>
      <c r="K51" s="977"/>
    </row>
    <row r="52" spans="1:17">
      <c r="A52" s="983"/>
      <c r="B52" s="984"/>
      <c r="C52" s="985"/>
      <c r="D52" s="985"/>
      <c r="E52" s="985"/>
      <c r="F52" s="985"/>
      <c r="G52" s="985"/>
      <c r="H52" s="985"/>
      <c r="I52" s="984"/>
      <c r="J52" s="986"/>
      <c r="K52" s="987">
        <f>K9+K13+K16+K21+K38+K43+K45+K47+K49</f>
        <v>33904492400</v>
      </c>
      <c r="N52" s="962"/>
      <c r="O52" s="948"/>
      <c r="P52" s="964"/>
      <c r="Q52" s="964"/>
    </row>
    <row r="53" spans="1:17" ht="16" thickBot="1">
      <c r="A53" s="978"/>
      <c r="B53" s="979"/>
      <c r="C53" s="980"/>
      <c r="D53" s="980"/>
      <c r="E53" s="980"/>
      <c r="F53" s="980"/>
      <c r="G53" s="980"/>
      <c r="H53" s="980"/>
      <c r="I53" s="979"/>
      <c r="J53" s="981"/>
      <c r="K53" s="982"/>
    </row>
    <row r="57" spans="1:17">
      <c r="N57" s="962"/>
      <c r="O57" s="948"/>
      <c r="P57" s="964"/>
      <c r="Q57" s="964"/>
    </row>
    <row r="59" spans="1:17">
      <c r="N59" s="962"/>
      <c r="O59" s="948"/>
      <c r="P59" s="964"/>
      <c r="Q59" s="964"/>
    </row>
    <row r="61" spans="1:17">
      <c r="N61" s="962"/>
      <c r="O61" s="948"/>
      <c r="P61" s="964"/>
      <c r="Q61" s="964"/>
    </row>
    <row r="63" spans="1:17">
      <c r="N63" s="962"/>
      <c r="O63" s="948"/>
      <c r="P63" s="964"/>
      <c r="Q63" s="964"/>
    </row>
  </sheetData>
  <mergeCells count="8">
    <mergeCell ref="A1:K1"/>
    <mergeCell ref="A3:K3"/>
    <mergeCell ref="A4:K4"/>
    <mergeCell ref="B6:B7"/>
    <mergeCell ref="A6:A7"/>
    <mergeCell ref="J6:J7"/>
    <mergeCell ref="K6:K7"/>
    <mergeCell ref="C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3245-445A-4719-A2C4-74139EBEF6BF}">
  <dimension ref="A1:P851"/>
  <sheetViews>
    <sheetView topLeftCell="B1" zoomScale="55" zoomScaleNormal="55" zoomScaleSheetLayoutView="70" workbookViewId="0">
      <pane ySplit="10" topLeftCell="A132" activePane="bottomLeft" state="frozen"/>
      <selection activeCell="B1" sqref="B1"/>
      <selection pane="bottomLeft" activeCell="D201" sqref="D201"/>
    </sheetView>
  </sheetViews>
  <sheetFormatPr defaultColWidth="9.81640625" defaultRowHeight="72" customHeight="1"/>
  <cols>
    <col min="1" max="1" width="2.1796875" style="669" hidden="1" customWidth="1"/>
    <col min="2" max="2" width="5.453125" style="670" customWidth="1"/>
    <col min="3" max="3" width="5.90625" style="669" customWidth="1"/>
    <col min="4" max="4" width="63.453125" style="669" customWidth="1"/>
    <col min="5" max="5" width="52.81640625" style="675" bestFit="1" customWidth="1"/>
    <col min="6" max="6" width="7.6328125" style="671" bestFit="1" customWidth="1"/>
    <col min="7" max="7" width="6.453125" style="671" bestFit="1" customWidth="1"/>
    <col min="8" max="8" width="20.36328125" style="672" customWidth="1"/>
    <col min="9" max="10" width="24.453125" style="672" customWidth="1"/>
    <col min="11" max="11" width="24.453125" style="671" customWidth="1"/>
    <col min="12" max="12" width="5.81640625" style="673" customWidth="1"/>
    <col min="13" max="13" width="5.08984375" style="674" customWidth="1"/>
    <col min="14" max="16" width="21.81640625" style="920" customWidth="1"/>
    <col min="17" max="16384" width="9.81640625" style="669"/>
  </cols>
  <sheetData>
    <row r="1" spans="1:16" ht="21.65" customHeight="1">
      <c r="D1" s="1596" t="s">
        <v>3082</v>
      </c>
      <c r="E1" s="1596"/>
    </row>
    <row r="2" spans="1:16" ht="21.65" customHeight="1">
      <c r="D2" s="1596" t="s">
        <v>3083</v>
      </c>
      <c r="E2" s="1596"/>
    </row>
    <row r="3" spans="1:16" ht="21.65" customHeight="1"/>
    <row r="4" spans="1:16" s="677" customFormat="1" ht="25.25" customHeight="1">
      <c r="A4" s="676"/>
      <c r="B4" s="1597" t="s">
        <v>2826</v>
      </c>
      <c r="C4" s="1597"/>
      <c r="D4" s="1597"/>
      <c r="E4" s="1597"/>
      <c r="F4" s="1597"/>
      <c r="G4" s="1597"/>
      <c r="H4" s="1597"/>
      <c r="I4" s="1597"/>
      <c r="J4" s="1597"/>
      <c r="K4" s="1597"/>
      <c r="L4" s="673"/>
      <c r="M4" s="674"/>
      <c r="N4" s="921"/>
      <c r="O4" s="921"/>
      <c r="P4" s="921"/>
    </row>
    <row r="5" spans="1:16" s="677" customFormat="1" ht="25.25" customHeight="1">
      <c r="A5" s="676"/>
      <c r="B5" s="1597" t="s">
        <v>2827</v>
      </c>
      <c r="C5" s="1597"/>
      <c r="D5" s="1597"/>
      <c r="E5" s="1597"/>
      <c r="F5" s="1597"/>
      <c r="G5" s="1597"/>
      <c r="H5" s="1597"/>
      <c r="I5" s="1597"/>
      <c r="J5" s="1597"/>
      <c r="K5" s="1597"/>
      <c r="L5" s="673"/>
      <c r="M5" s="674"/>
      <c r="N5" s="921"/>
      <c r="O5" s="921"/>
      <c r="P5" s="921"/>
    </row>
    <row r="6" spans="1:16" s="677" customFormat="1" ht="25.25" customHeight="1">
      <c r="A6" s="676"/>
      <c r="B6" s="678"/>
      <c r="C6" s="678"/>
      <c r="D6" s="678"/>
      <c r="E6" s="678"/>
      <c r="F6" s="678"/>
      <c r="G6" s="678"/>
      <c r="H6" s="678"/>
      <c r="I6" s="678"/>
      <c r="J6" s="678"/>
      <c r="K6" s="678"/>
      <c r="L6" s="673"/>
      <c r="M6" s="674"/>
      <c r="N6" s="921"/>
      <c r="O6" s="921"/>
      <c r="P6" s="921"/>
    </row>
    <row r="7" spans="1:16" s="677" customFormat="1" ht="25.25" customHeight="1" thickBot="1">
      <c r="A7" s="676"/>
      <c r="B7" s="678"/>
      <c r="C7" s="678"/>
      <c r="D7" s="678"/>
      <c r="E7" s="678"/>
      <c r="F7" s="678"/>
      <c r="G7" s="678"/>
      <c r="H7" s="678"/>
      <c r="I7" s="678"/>
      <c r="J7" s="678"/>
      <c r="K7" s="678"/>
      <c r="L7" s="673"/>
      <c r="M7" s="674"/>
      <c r="N7" s="921"/>
      <c r="O7" s="921"/>
      <c r="P7" s="921"/>
    </row>
    <row r="8" spans="1:16" s="680" customFormat="1" ht="27.65" customHeight="1">
      <c r="A8" s="679"/>
      <c r="B8" s="1607" t="s">
        <v>2828</v>
      </c>
      <c r="C8" s="1610" t="s">
        <v>2829</v>
      </c>
      <c r="D8" s="1610"/>
      <c r="E8" s="1613" t="s">
        <v>2830</v>
      </c>
      <c r="F8" s="1618" t="s">
        <v>517</v>
      </c>
      <c r="G8" s="1619"/>
      <c r="H8" s="1598" t="s">
        <v>2831</v>
      </c>
      <c r="I8" s="1598" t="s">
        <v>2832</v>
      </c>
      <c r="J8" s="1598" t="s">
        <v>2833</v>
      </c>
      <c r="K8" s="1601" t="s">
        <v>2834</v>
      </c>
      <c r="L8" s="673"/>
      <c r="M8" s="674"/>
      <c r="N8" s="1604" t="s">
        <v>3079</v>
      </c>
      <c r="O8" s="1588" t="s">
        <v>3080</v>
      </c>
      <c r="P8" s="1588" t="s">
        <v>3081</v>
      </c>
    </row>
    <row r="9" spans="1:16" ht="20.149999999999999" customHeight="1">
      <c r="A9" s="681"/>
      <c r="B9" s="1608"/>
      <c r="C9" s="1611"/>
      <c r="D9" s="1611"/>
      <c r="E9" s="1614"/>
      <c r="F9" s="1591" t="s">
        <v>2835</v>
      </c>
      <c r="G9" s="1591" t="s">
        <v>2836</v>
      </c>
      <c r="H9" s="1599"/>
      <c r="I9" s="1599"/>
      <c r="J9" s="1599"/>
      <c r="K9" s="1602"/>
      <c r="N9" s="1605"/>
      <c r="O9" s="1589"/>
      <c r="P9" s="1589"/>
    </row>
    <row r="10" spans="1:16" ht="20.149999999999999" customHeight="1" thickBot="1">
      <c r="A10" s="681"/>
      <c r="B10" s="1609"/>
      <c r="C10" s="1612"/>
      <c r="D10" s="1612"/>
      <c r="E10" s="1615"/>
      <c r="F10" s="1592"/>
      <c r="G10" s="1592"/>
      <c r="H10" s="1600"/>
      <c r="I10" s="1600"/>
      <c r="J10" s="1600"/>
      <c r="K10" s="1603"/>
      <c r="N10" s="1606"/>
      <c r="O10" s="1590"/>
      <c r="P10" s="1590"/>
    </row>
    <row r="11" spans="1:16" s="690" customFormat="1" ht="20.149999999999999" customHeight="1" thickTop="1">
      <c r="A11" s="682"/>
      <c r="B11" s="683">
        <v>1</v>
      </c>
      <c r="C11" s="684" t="s">
        <v>2837</v>
      </c>
      <c r="D11" s="684"/>
      <c r="E11" s="685"/>
      <c r="F11" s="686"/>
      <c r="G11" s="686"/>
      <c r="H11" s="687"/>
      <c r="I11" s="687"/>
      <c r="J11" s="688"/>
      <c r="K11" s="689"/>
      <c r="L11" s="673"/>
      <c r="M11" s="674"/>
      <c r="N11" s="914"/>
      <c r="O11" s="914"/>
      <c r="P11" s="914"/>
    </row>
    <row r="12" spans="1:16" ht="20.149999999999999" customHeight="1">
      <c r="A12" s="681"/>
      <c r="B12" s="691"/>
      <c r="C12" s="692" t="s">
        <v>93</v>
      </c>
      <c r="D12" s="693" t="s">
        <v>2838</v>
      </c>
      <c r="E12" s="694"/>
      <c r="F12" s="695">
        <v>1</v>
      </c>
      <c r="G12" s="695" t="s">
        <v>2839</v>
      </c>
      <c r="H12" s="696"/>
      <c r="I12" s="696">
        <v>1200000000</v>
      </c>
      <c r="J12" s="697">
        <v>750000000</v>
      </c>
      <c r="K12" s="698">
        <f>I12+J12</f>
        <v>1950000000</v>
      </c>
      <c r="N12" s="915"/>
      <c r="O12" s="915"/>
      <c r="P12" s="915"/>
    </row>
    <row r="13" spans="1:16" ht="20.149999999999999" customHeight="1">
      <c r="A13" s="681"/>
      <c r="B13" s="691"/>
      <c r="C13" s="695"/>
      <c r="D13" s="699"/>
      <c r="E13" s="694"/>
      <c r="F13" s="695"/>
      <c r="G13" s="695"/>
      <c r="H13" s="696"/>
      <c r="I13" s="696"/>
      <c r="J13" s="697"/>
      <c r="K13" s="700"/>
      <c r="N13" s="915"/>
      <c r="O13" s="915"/>
      <c r="P13" s="915"/>
    </row>
    <row r="14" spans="1:16" ht="20.149999999999999" customHeight="1">
      <c r="A14" s="681"/>
      <c r="B14" s="835"/>
      <c r="C14" s="739"/>
      <c r="D14" s="846"/>
      <c r="E14" s="738"/>
      <c r="F14" s="739"/>
      <c r="G14" s="739"/>
      <c r="H14" s="822">
        <f>SUM(H12:H13)</f>
        <v>0</v>
      </c>
      <c r="I14" s="922">
        <f t="shared" ref="I14:J14" si="0">SUM(I12:I13)</f>
        <v>1200000000</v>
      </c>
      <c r="J14" s="922">
        <f t="shared" si="0"/>
        <v>750000000</v>
      </c>
      <c r="K14" s="922">
        <f>SUM(K12:K13)</f>
        <v>1950000000</v>
      </c>
      <c r="N14" s="915"/>
      <c r="O14" s="915"/>
      <c r="P14" s="915"/>
    </row>
    <row r="15" spans="1:16" ht="19.25" customHeight="1">
      <c r="A15" s="681"/>
      <c r="B15" s="923">
        <v>2</v>
      </c>
      <c r="C15" s="924" t="s">
        <v>2840</v>
      </c>
      <c r="D15" s="925"/>
      <c r="E15" s="926"/>
      <c r="F15" s="927"/>
      <c r="G15" s="927"/>
      <c r="H15" s="928"/>
      <c r="I15" s="928"/>
      <c r="J15" s="929"/>
      <c r="K15" s="930"/>
      <c r="M15" s="701"/>
      <c r="N15" s="916"/>
      <c r="O15" s="915"/>
      <c r="P15" s="915"/>
    </row>
    <row r="16" spans="1:16" ht="20.149999999999999" customHeight="1">
      <c r="A16" s="681"/>
      <c r="B16" s="702"/>
      <c r="C16" s="703" t="s">
        <v>93</v>
      </c>
      <c r="D16" s="703" t="s">
        <v>2841</v>
      </c>
      <c r="E16" s="704"/>
      <c r="F16" s="705"/>
      <c r="G16" s="705"/>
      <c r="H16" s="706"/>
      <c r="I16" s="706"/>
      <c r="J16" s="707"/>
      <c r="K16" s="700"/>
      <c r="N16" s="915"/>
      <c r="O16" s="915"/>
      <c r="P16" s="915"/>
    </row>
    <row r="17" spans="1:16" ht="37">
      <c r="A17" s="681"/>
      <c r="B17" s="708"/>
      <c r="C17" s="699">
        <v>2</v>
      </c>
      <c r="D17" s="699" t="s">
        <v>2842</v>
      </c>
      <c r="E17" s="709" t="s">
        <v>2843</v>
      </c>
      <c r="F17" s="695">
        <v>1</v>
      </c>
      <c r="G17" s="695" t="s">
        <v>2844</v>
      </c>
      <c r="H17" s="710">
        <v>2500000000</v>
      </c>
      <c r="I17" s="711">
        <f>H17*F17</f>
        <v>2500000000</v>
      </c>
      <c r="J17" s="712"/>
      <c r="K17" s="698">
        <f>I17+J17</f>
        <v>2500000000</v>
      </c>
      <c r="N17" s="915"/>
      <c r="O17" s="915"/>
      <c r="P17" s="915"/>
    </row>
    <row r="18" spans="1:16" ht="57" customHeight="1">
      <c r="A18" s="681"/>
      <c r="B18" s="708"/>
      <c r="C18" s="699">
        <v>3</v>
      </c>
      <c r="D18" s="699" t="s">
        <v>2845</v>
      </c>
      <c r="E18" s="713" t="s">
        <v>2846</v>
      </c>
      <c r="F18" s="695">
        <v>26</v>
      </c>
      <c r="G18" s="695" t="s">
        <v>2847</v>
      </c>
      <c r="H18" s="714">
        <v>23000000</v>
      </c>
      <c r="I18" s="697">
        <f>H18*F18</f>
        <v>598000000</v>
      </c>
      <c r="J18" s="711">
        <f>SUM(N18:P18)</f>
        <v>343000000</v>
      </c>
      <c r="K18" s="698">
        <f>I18+J18</f>
        <v>941000000</v>
      </c>
      <c r="N18" s="915">
        <v>147000000</v>
      </c>
      <c r="O18" s="915">
        <v>135000000</v>
      </c>
      <c r="P18" s="915">
        <v>61000000</v>
      </c>
    </row>
    <row r="19" spans="1:16" ht="55.5">
      <c r="A19" s="681"/>
      <c r="B19" s="708"/>
      <c r="C19" s="699">
        <v>4</v>
      </c>
      <c r="D19" s="699" t="s">
        <v>2848</v>
      </c>
      <c r="E19" s="713" t="s">
        <v>2849</v>
      </c>
      <c r="F19" s="695">
        <v>56</v>
      </c>
      <c r="G19" s="695" t="s">
        <v>2847</v>
      </c>
      <c r="H19" s="714">
        <v>23000000</v>
      </c>
      <c r="I19" s="697">
        <f>H19*F19</f>
        <v>1288000000</v>
      </c>
      <c r="J19" s="711">
        <f>SUM(N19:P19)</f>
        <v>476000000</v>
      </c>
      <c r="K19" s="698">
        <f>I19+J19</f>
        <v>1764000000</v>
      </c>
      <c r="N19" s="915">
        <v>147000000</v>
      </c>
      <c r="O19" s="915">
        <v>268000000</v>
      </c>
      <c r="P19" s="915">
        <v>61000000</v>
      </c>
    </row>
    <row r="20" spans="1:16" ht="20.149999999999999" customHeight="1">
      <c r="A20" s="681"/>
      <c r="B20" s="736"/>
      <c r="C20" s="737"/>
      <c r="D20" s="737"/>
      <c r="E20" s="738"/>
      <c r="F20" s="739"/>
      <c r="G20" s="739"/>
      <c r="H20" s="740"/>
      <c r="I20" s="847">
        <f>SUM(I17:I19)</f>
        <v>4386000000</v>
      </c>
      <c r="J20" s="741">
        <f t="shared" ref="J20" si="1">SUM(J17:J19)</f>
        <v>819000000</v>
      </c>
      <c r="K20" s="741">
        <f>SUM(K17:K19)</f>
        <v>5205000000</v>
      </c>
      <c r="N20" s="915"/>
      <c r="O20" s="915"/>
      <c r="P20" s="915"/>
    </row>
    <row r="21" spans="1:16" ht="20.149999999999999" customHeight="1">
      <c r="A21" s="681"/>
      <c r="B21" s="742"/>
      <c r="C21" s="743" t="s">
        <v>96</v>
      </c>
      <c r="D21" s="743" t="s">
        <v>2850</v>
      </c>
      <c r="E21" s="744"/>
      <c r="F21" s="745"/>
      <c r="G21" s="745"/>
      <c r="H21" s="715"/>
      <c r="I21" s="716"/>
      <c r="J21" s="717"/>
      <c r="K21" s="718"/>
      <c r="N21" s="915"/>
      <c r="O21" s="915"/>
      <c r="P21" s="915"/>
    </row>
    <row r="22" spans="1:16" ht="39" customHeight="1">
      <c r="A22" s="681"/>
      <c r="B22" s="719"/>
      <c r="C22" s="720">
        <v>1</v>
      </c>
      <c r="D22" s="699" t="s">
        <v>2851</v>
      </c>
      <c r="E22" s="721" t="s">
        <v>2852</v>
      </c>
      <c r="F22" s="695">
        <v>44.4</v>
      </c>
      <c r="G22" s="695" t="s">
        <v>2847</v>
      </c>
      <c r="H22" s="714">
        <v>23000000</v>
      </c>
      <c r="I22" s="697">
        <f>H22*F22</f>
        <v>1021200000</v>
      </c>
      <c r="J22" s="711">
        <f>SUM(N22:P22)</f>
        <v>426000000</v>
      </c>
      <c r="K22" s="698">
        <f t="shared" ref="K22:K28" si="2">I22+J22</f>
        <v>1447200000</v>
      </c>
      <c r="N22" s="915">
        <v>147000000</v>
      </c>
      <c r="O22" s="915">
        <v>218000000</v>
      </c>
      <c r="P22" s="915">
        <v>61000000</v>
      </c>
    </row>
    <row r="23" spans="1:16" ht="40.5" customHeight="1">
      <c r="A23" s="681"/>
      <c r="B23" s="719"/>
      <c r="C23" s="720">
        <v>2</v>
      </c>
      <c r="D23" s="722" t="s">
        <v>2853</v>
      </c>
      <c r="E23" s="723" t="s">
        <v>2854</v>
      </c>
      <c r="F23" s="724">
        <v>22.85</v>
      </c>
      <c r="G23" s="724" t="s">
        <v>2847</v>
      </c>
      <c r="H23" s="725">
        <v>23000000</v>
      </c>
      <c r="I23" s="697">
        <f t="shared" ref="I23:I28" si="3">H23*F23</f>
        <v>525550000.00000006</v>
      </c>
      <c r="J23" s="711">
        <f>SUM(N23:P23)</f>
        <v>328000000</v>
      </c>
      <c r="K23" s="698">
        <f t="shared" si="2"/>
        <v>853550000</v>
      </c>
      <c r="N23" s="915">
        <v>147000000</v>
      </c>
      <c r="O23" s="915">
        <v>120000000</v>
      </c>
      <c r="P23" s="915">
        <v>61000000</v>
      </c>
    </row>
    <row r="24" spans="1:16" ht="27.65" customHeight="1">
      <c r="A24" s="681"/>
      <c r="B24" s="708"/>
      <c r="C24" s="720">
        <v>3</v>
      </c>
      <c r="D24" s="699" t="s">
        <v>3084</v>
      </c>
      <c r="E24" s="726" t="s">
        <v>2855</v>
      </c>
      <c r="F24" s="695">
        <v>4</v>
      </c>
      <c r="G24" s="695" t="s">
        <v>2856</v>
      </c>
      <c r="H24" s="714">
        <v>120000000</v>
      </c>
      <c r="I24" s="697">
        <f t="shared" si="3"/>
        <v>480000000</v>
      </c>
      <c r="J24" s="727">
        <f>2050000000*4</f>
        <v>8200000000</v>
      </c>
      <c r="K24" s="698">
        <f t="shared" si="2"/>
        <v>8680000000</v>
      </c>
      <c r="N24" s="915"/>
      <c r="O24" s="915"/>
      <c r="P24" s="915"/>
    </row>
    <row r="25" spans="1:16" ht="37">
      <c r="A25" s="681"/>
      <c r="B25" s="708"/>
      <c r="C25" s="720">
        <v>4</v>
      </c>
      <c r="D25" s="699" t="s">
        <v>2857</v>
      </c>
      <c r="E25" s="721" t="s">
        <v>2858</v>
      </c>
      <c r="F25" s="695">
        <v>4</v>
      </c>
      <c r="G25" s="695" t="s">
        <v>2859</v>
      </c>
      <c r="H25" s="714">
        <v>80000000</v>
      </c>
      <c r="I25" s="697">
        <f t="shared" si="3"/>
        <v>320000000</v>
      </c>
      <c r="J25" s="727"/>
      <c r="K25" s="698">
        <f t="shared" si="2"/>
        <v>320000000</v>
      </c>
      <c r="N25" s="915"/>
      <c r="O25" s="915"/>
      <c r="P25" s="915"/>
    </row>
    <row r="26" spans="1:16" ht="18.5">
      <c r="A26" s="681"/>
      <c r="B26" s="708"/>
      <c r="C26" s="720">
        <v>5</v>
      </c>
      <c r="D26" s="699" t="s">
        <v>2860</v>
      </c>
      <c r="E26" s="726" t="s">
        <v>2861</v>
      </c>
      <c r="F26" s="695">
        <v>1</v>
      </c>
      <c r="G26" s="695" t="s">
        <v>2839</v>
      </c>
      <c r="H26" s="714">
        <v>680000000</v>
      </c>
      <c r="I26" s="697">
        <f t="shared" si="3"/>
        <v>680000000</v>
      </c>
      <c r="J26" s="727"/>
      <c r="K26" s="698">
        <f t="shared" si="2"/>
        <v>680000000</v>
      </c>
      <c r="N26" s="915"/>
      <c r="O26" s="915"/>
      <c r="P26" s="915"/>
    </row>
    <row r="27" spans="1:16" ht="37">
      <c r="A27" s="681"/>
      <c r="B27" s="708"/>
      <c r="C27" s="720">
        <v>6</v>
      </c>
      <c r="D27" s="699" t="s">
        <v>2862</v>
      </c>
      <c r="E27" s="721" t="s">
        <v>2863</v>
      </c>
      <c r="F27" s="695">
        <v>1</v>
      </c>
      <c r="G27" s="695" t="s">
        <v>2859</v>
      </c>
      <c r="H27" s="714">
        <v>300000000</v>
      </c>
      <c r="I27" s="697">
        <f t="shared" si="3"/>
        <v>300000000</v>
      </c>
      <c r="J27" s="727"/>
      <c r="K27" s="698">
        <f t="shared" si="2"/>
        <v>300000000</v>
      </c>
      <c r="N27" s="915"/>
      <c r="O27" s="915"/>
      <c r="P27" s="915"/>
    </row>
    <row r="28" spans="1:16" ht="37">
      <c r="A28" s="681"/>
      <c r="B28" s="708"/>
      <c r="C28" s="720">
        <v>7</v>
      </c>
      <c r="D28" s="699" t="s">
        <v>2864</v>
      </c>
      <c r="E28" s="721" t="s">
        <v>2865</v>
      </c>
      <c r="F28" s="695">
        <v>1</v>
      </c>
      <c r="G28" s="695" t="s">
        <v>2859</v>
      </c>
      <c r="H28" s="714">
        <v>300000000</v>
      </c>
      <c r="I28" s="697">
        <f t="shared" si="3"/>
        <v>300000000</v>
      </c>
      <c r="J28" s="727"/>
      <c r="K28" s="698">
        <f t="shared" si="2"/>
        <v>300000000</v>
      </c>
      <c r="N28" s="915"/>
      <c r="O28" s="915"/>
      <c r="P28" s="915"/>
    </row>
    <row r="29" spans="1:16" ht="25.75" customHeight="1">
      <c r="A29" s="681"/>
      <c r="B29" s="728"/>
      <c r="C29" s="729"/>
      <c r="D29" s="730"/>
      <c r="E29" s="731"/>
      <c r="F29" s="732"/>
      <c r="G29" s="732"/>
      <c r="H29" s="733"/>
      <c r="I29" s="734"/>
      <c r="J29" s="735"/>
      <c r="K29" s="700"/>
      <c r="N29" s="915"/>
      <c r="O29" s="915"/>
      <c r="P29" s="915"/>
    </row>
    <row r="30" spans="1:16" ht="20.149999999999999" customHeight="1">
      <c r="A30" s="681"/>
      <c r="B30" s="736"/>
      <c r="C30" s="737"/>
      <c r="D30" s="737"/>
      <c r="E30" s="738"/>
      <c r="F30" s="739"/>
      <c r="G30" s="739"/>
      <c r="H30" s="740"/>
      <c r="I30" s="741">
        <f>SUM(I22:I29)</f>
        <v>3626750000</v>
      </c>
      <c r="J30" s="741">
        <f t="shared" ref="J30" si="4">SUM(J22:J29)</f>
        <v>8954000000</v>
      </c>
      <c r="K30" s="741">
        <f>SUM(K22:K29)</f>
        <v>12580750000</v>
      </c>
      <c r="N30" s="915"/>
      <c r="O30" s="915"/>
      <c r="P30" s="915"/>
    </row>
    <row r="31" spans="1:16" ht="20.149999999999999" customHeight="1">
      <c r="A31" s="681"/>
      <c r="B31" s="742"/>
      <c r="C31" s="743" t="s">
        <v>97</v>
      </c>
      <c r="D31" s="743" t="s">
        <v>2866</v>
      </c>
      <c r="E31" s="744"/>
      <c r="F31" s="745"/>
      <c r="G31" s="745"/>
      <c r="H31" s="746"/>
      <c r="I31" s="747"/>
      <c r="J31" s="745"/>
      <c r="K31" s="718"/>
      <c r="N31" s="915"/>
      <c r="O31" s="915"/>
      <c r="P31" s="915"/>
    </row>
    <row r="32" spans="1:16" ht="40.5" customHeight="1">
      <c r="A32" s="681"/>
      <c r="B32" s="708"/>
      <c r="C32" s="699">
        <v>1</v>
      </c>
      <c r="D32" s="699" t="s">
        <v>2867</v>
      </c>
      <c r="E32" s="713" t="s">
        <v>3085</v>
      </c>
      <c r="F32" s="695">
        <v>1</v>
      </c>
      <c r="G32" s="695" t="s">
        <v>2859</v>
      </c>
      <c r="H32" s="714">
        <v>765000000</v>
      </c>
      <c r="I32" s="748">
        <f t="shared" ref="I32:I40" si="5">H32*F32</f>
        <v>765000000</v>
      </c>
      <c r="J32" s="711">
        <f>SUM(N32:P32)</f>
        <v>340000000</v>
      </c>
      <c r="K32" s="698">
        <f>I32+J32</f>
        <v>1105000000</v>
      </c>
      <c r="N32" s="915">
        <v>147000000</v>
      </c>
      <c r="O32" s="915">
        <v>132000000</v>
      </c>
      <c r="P32" s="915">
        <v>61000000</v>
      </c>
    </row>
    <row r="33" spans="1:16" ht="39.5" customHeight="1">
      <c r="A33" s="681"/>
      <c r="B33" s="708"/>
      <c r="C33" s="699">
        <v>3</v>
      </c>
      <c r="D33" s="749" t="s">
        <v>2868</v>
      </c>
      <c r="E33" s="713" t="s">
        <v>2869</v>
      </c>
      <c r="F33" s="695">
        <v>23.5</v>
      </c>
      <c r="G33" s="695" t="s">
        <v>2847</v>
      </c>
      <c r="H33" s="750">
        <v>23000000</v>
      </c>
      <c r="I33" s="748">
        <f t="shared" si="5"/>
        <v>540500000</v>
      </c>
      <c r="J33" s="711">
        <f>SUM(N33:P33)</f>
        <v>331000000</v>
      </c>
      <c r="K33" s="698">
        <f t="shared" ref="K33:K40" si="6">I33+J33</f>
        <v>871500000</v>
      </c>
      <c r="N33" s="915">
        <v>147000000</v>
      </c>
      <c r="O33" s="915">
        <v>123000000</v>
      </c>
      <c r="P33" s="915">
        <v>61000000</v>
      </c>
    </row>
    <row r="34" spans="1:16" ht="23.4" customHeight="1">
      <c r="A34" s="681"/>
      <c r="B34" s="708"/>
      <c r="C34" s="699">
        <v>4</v>
      </c>
      <c r="D34" s="749" t="s">
        <v>2870</v>
      </c>
      <c r="E34" s="721" t="s">
        <v>2871</v>
      </c>
      <c r="F34" s="695">
        <v>1</v>
      </c>
      <c r="G34" s="695" t="s">
        <v>2872</v>
      </c>
      <c r="H34" s="714">
        <v>55000000</v>
      </c>
      <c r="I34" s="748">
        <f t="shared" si="5"/>
        <v>55000000</v>
      </c>
      <c r="J34" s="727"/>
      <c r="K34" s="698">
        <f t="shared" si="6"/>
        <v>55000000</v>
      </c>
      <c r="N34" s="915"/>
      <c r="O34" s="915"/>
      <c r="P34" s="915"/>
    </row>
    <row r="35" spans="1:16" s="757" customFormat="1" ht="23.4" customHeight="1">
      <c r="A35" s="751"/>
      <c r="B35" s="752"/>
      <c r="C35" s="753">
        <v>5</v>
      </c>
      <c r="D35" s="749" t="s">
        <v>2873</v>
      </c>
      <c r="E35" s="721" t="s">
        <v>2874</v>
      </c>
      <c r="F35" s="754">
        <v>2</v>
      </c>
      <c r="G35" s="754" t="s">
        <v>2875</v>
      </c>
      <c r="H35" s="714">
        <v>233000000</v>
      </c>
      <c r="I35" s="748">
        <f t="shared" si="5"/>
        <v>466000000</v>
      </c>
      <c r="J35" s="727"/>
      <c r="K35" s="698">
        <f t="shared" si="6"/>
        <v>466000000</v>
      </c>
      <c r="L35" s="755"/>
      <c r="M35" s="756"/>
      <c r="N35" s="917"/>
      <c r="O35" s="917"/>
      <c r="P35" s="917"/>
    </row>
    <row r="36" spans="1:16" s="757" customFormat="1" ht="23.4" customHeight="1">
      <c r="A36" s="751"/>
      <c r="B36" s="752"/>
      <c r="C36" s="753">
        <v>6</v>
      </c>
      <c r="D36" s="749" t="s">
        <v>3086</v>
      </c>
      <c r="E36" s="721" t="s">
        <v>2876</v>
      </c>
      <c r="F36" s="754">
        <v>2</v>
      </c>
      <c r="G36" s="754" t="s">
        <v>2875</v>
      </c>
      <c r="H36" s="714">
        <v>400000000</v>
      </c>
      <c r="I36" s="748">
        <f t="shared" si="5"/>
        <v>800000000</v>
      </c>
      <c r="J36" s="711">
        <f>SUM(N36:P36)</f>
        <v>240000000</v>
      </c>
      <c r="K36" s="698">
        <f t="shared" si="6"/>
        <v>1040000000</v>
      </c>
      <c r="L36" s="755"/>
      <c r="M36" s="756"/>
      <c r="N36" s="917">
        <f>120000000*2</f>
        <v>240000000</v>
      </c>
      <c r="O36" s="917"/>
      <c r="P36" s="917"/>
    </row>
    <row r="37" spans="1:16" s="757" customFormat="1" ht="42" customHeight="1">
      <c r="A37" s="751"/>
      <c r="B37" s="752"/>
      <c r="C37" s="753">
        <v>7</v>
      </c>
      <c r="D37" s="749" t="s">
        <v>2877</v>
      </c>
      <c r="E37" s="758" t="s">
        <v>2878</v>
      </c>
      <c r="F37" s="754">
        <v>12</v>
      </c>
      <c r="G37" s="754" t="s">
        <v>2847</v>
      </c>
      <c r="H37" s="714">
        <v>12000000</v>
      </c>
      <c r="I37" s="748">
        <f t="shared" si="5"/>
        <v>144000000</v>
      </c>
      <c r="J37" s="711">
        <f>SUM(N37:P37)</f>
        <v>74000000</v>
      </c>
      <c r="K37" s="698">
        <f t="shared" si="6"/>
        <v>218000000</v>
      </c>
      <c r="L37" s="755"/>
      <c r="M37" s="756"/>
      <c r="N37" s="917">
        <f>37000000*2</f>
        <v>74000000</v>
      </c>
      <c r="O37" s="917"/>
      <c r="P37" s="917"/>
    </row>
    <row r="38" spans="1:16" ht="40.5" customHeight="1">
      <c r="A38" s="681"/>
      <c r="B38" s="708"/>
      <c r="C38" s="753">
        <v>8</v>
      </c>
      <c r="D38" s="749" t="s">
        <v>2879</v>
      </c>
      <c r="E38" s="758" t="s">
        <v>2880</v>
      </c>
      <c r="F38" s="695">
        <v>10</v>
      </c>
      <c r="G38" s="695" t="s">
        <v>2859</v>
      </c>
      <c r="H38" s="714">
        <v>12000000</v>
      </c>
      <c r="I38" s="748">
        <f t="shared" si="5"/>
        <v>120000000</v>
      </c>
      <c r="J38" s="711">
        <f>SUM(N38:P38)</f>
        <v>21000000</v>
      </c>
      <c r="K38" s="698">
        <f t="shared" si="6"/>
        <v>141000000</v>
      </c>
      <c r="N38" s="915">
        <v>21000000</v>
      </c>
      <c r="O38" s="915"/>
      <c r="P38" s="915"/>
    </row>
    <row r="39" spans="1:16" s="757" customFormat="1" ht="40.4" customHeight="1">
      <c r="A39" s="751"/>
      <c r="B39" s="752"/>
      <c r="C39" s="753">
        <v>9</v>
      </c>
      <c r="D39" s="759" t="s">
        <v>2881</v>
      </c>
      <c r="E39" s="758" t="s">
        <v>2882</v>
      </c>
      <c r="F39" s="754">
        <v>12</v>
      </c>
      <c r="G39" s="754" t="s">
        <v>2847</v>
      </c>
      <c r="H39" s="714">
        <v>21000000</v>
      </c>
      <c r="I39" s="748">
        <f t="shared" si="5"/>
        <v>252000000</v>
      </c>
      <c r="J39" s="711">
        <f>SUM(N39:P39)</f>
        <v>79500000</v>
      </c>
      <c r="K39" s="698">
        <f t="shared" si="6"/>
        <v>331500000</v>
      </c>
      <c r="L39" s="755"/>
      <c r="M39" s="756"/>
      <c r="N39" s="917">
        <v>28000000</v>
      </c>
      <c r="O39" s="917">
        <v>38500000</v>
      </c>
      <c r="P39" s="917">
        <v>13000000</v>
      </c>
    </row>
    <row r="40" spans="1:16" s="757" customFormat="1" ht="40.4" customHeight="1">
      <c r="A40" s="751"/>
      <c r="B40" s="752"/>
      <c r="C40" s="753">
        <v>10</v>
      </c>
      <c r="D40" s="759" t="s">
        <v>2883</v>
      </c>
      <c r="E40" s="758" t="s">
        <v>2884</v>
      </c>
      <c r="F40" s="754">
        <v>26</v>
      </c>
      <c r="G40" s="754" t="s">
        <v>2847</v>
      </c>
      <c r="H40" s="714">
        <v>21000000</v>
      </c>
      <c r="I40" s="748">
        <f t="shared" si="5"/>
        <v>546000000</v>
      </c>
      <c r="J40" s="711">
        <f>SUM(N40:P40)</f>
        <v>129500000</v>
      </c>
      <c r="K40" s="698">
        <f t="shared" si="6"/>
        <v>675500000</v>
      </c>
      <c r="L40" s="755"/>
      <c r="M40" s="756"/>
      <c r="N40" s="917">
        <v>46000000</v>
      </c>
      <c r="O40" s="917">
        <v>70500000</v>
      </c>
      <c r="P40" s="917">
        <v>13000000</v>
      </c>
    </row>
    <row r="41" spans="1:16" s="757" customFormat="1" ht="22" customHeight="1">
      <c r="A41" s="751"/>
      <c r="B41" s="760"/>
      <c r="C41" s="761"/>
      <c r="D41" s="762"/>
      <c r="E41" s="763"/>
      <c r="F41" s="764"/>
      <c r="G41" s="764"/>
      <c r="H41" s="765"/>
      <c r="I41" s="766"/>
      <c r="J41" s="767"/>
      <c r="K41" s="768"/>
      <c r="L41" s="755"/>
      <c r="M41" s="756"/>
      <c r="N41" s="917"/>
      <c r="O41" s="917"/>
      <c r="P41" s="917"/>
    </row>
    <row r="42" spans="1:16" ht="20.149999999999999" customHeight="1">
      <c r="A42" s="681"/>
      <c r="B42" s="736"/>
      <c r="C42" s="737"/>
      <c r="D42" s="769"/>
      <c r="E42" s="738"/>
      <c r="F42" s="739"/>
      <c r="G42" s="739"/>
      <c r="H42" s="740"/>
      <c r="I42" s="741">
        <f>SUM(I32:I41)</f>
        <v>3688500000</v>
      </c>
      <c r="J42" s="741">
        <f t="shared" ref="J42" si="7">SUM(J32:J41)</f>
        <v>1215000000</v>
      </c>
      <c r="K42" s="741">
        <f>SUM(K32:K41)</f>
        <v>4903500000</v>
      </c>
      <c r="N42" s="915"/>
      <c r="O42" s="915"/>
      <c r="P42" s="915"/>
    </row>
    <row r="43" spans="1:16" ht="20.149999999999999" customHeight="1">
      <c r="A43" s="681"/>
      <c r="B43" s="770"/>
      <c r="C43" s="771" t="s">
        <v>104</v>
      </c>
      <c r="D43" s="772" t="s">
        <v>2885</v>
      </c>
      <c r="E43" s="773"/>
      <c r="F43" s="774"/>
      <c r="G43" s="774"/>
      <c r="H43" s="775"/>
      <c r="I43" s="776"/>
      <c r="J43" s="777"/>
      <c r="K43" s="778"/>
      <c r="N43" s="915"/>
      <c r="O43" s="915"/>
      <c r="P43" s="915"/>
    </row>
    <row r="44" spans="1:16" ht="26.4" customHeight="1">
      <c r="A44" s="681"/>
      <c r="B44" s="702"/>
      <c r="C44" s="779">
        <v>1</v>
      </c>
      <c r="D44" s="780" t="s">
        <v>2885</v>
      </c>
      <c r="E44" s="781" t="s">
        <v>2886</v>
      </c>
      <c r="F44" s="705">
        <v>3</v>
      </c>
      <c r="G44" s="705" t="s">
        <v>2859</v>
      </c>
      <c r="H44" s="714">
        <v>20000000</v>
      </c>
      <c r="I44" s="748">
        <f t="shared" ref="I44:I48" si="8">H44*F44</f>
        <v>60000000</v>
      </c>
      <c r="J44" s="727">
        <f>1323000000*3</f>
        <v>3969000000</v>
      </c>
      <c r="K44" s="698">
        <f t="shared" ref="K44:K50" si="9">I44+J44</f>
        <v>4029000000</v>
      </c>
      <c r="N44" s="915"/>
      <c r="O44" s="915"/>
      <c r="P44" s="915"/>
    </row>
    <row r="45" spans="1:16" ht="25.75" customHeight="1">
      <c r="A45" s="681"/>
      <c r="B45" s="702"/>
      <c r="C45" s="779">
        <v>2</v>
      </c>
      <c r="D45" s="780" t="s">
        <v>2887</v>
      </c>
      <c r="E45" s="781" t="s">
        <v>2888</v>
      </c>
      <c r="F45" s="705">
        <v>1</v>
      </c>
      <c r="G45" s="705" t="s">
        <v>2844</v>
      </c>
      <c r="H45" s="782">
        <v>250000000</v>
      </c>
      <c r="I45" s="782">
        <f t="shared" si="8"/>
        <v>250000000</v>
      </c>
      <c r="J45" s="783"/>
      <c r="K45" s="698">
        <f t="shared" si="9"/>
        <v>250000000</v>
      </c>
      <c r="N45" s="915"/>
      <c r="O45" s="915"/>
      <c r="P45" s="915"/>
    </row>
    <row r="46" spans="1:16" ht="37">
      <c r="A46" s="681"/>
      <c r="B46" s="702"/>
      <c r="C46" s="779">
        <v>3</v>
      </c>
      <c r="D46" s="780" t="s">
        <v>2889</v>
      </c>
      <c r="E46" s="781" t="s">
        <v>2890</v>
      </c>
      <c r="F46" s="705">
        <v>1</v>
      </c>
      <c r="G46" s="705" t="s">
        <v>2859</v>
      </c>
      <c r="H46" s="748">
        <v>115000000</v>
      </c>
      <c r="I46" s="782">
        <f t="shared" si="8"/>
        <v>115000000</v>
      </c>
      <c r="J46" s="727"/>
      <c r="K46" s="698">
        <f t="shared" si="9"/>
        <v>115000000</v>
      </c>
      <c r="N46" s="915"/>
      <c r="O46" s="915"/>
      <c r="P46" s="915"/>
    </row>
    <row r="47" spans="1:16" ht="37">
      <c r="A47" s="681"/>
      <c r="B47" s="784"/>
      <c r="C47" s="779">
        <v>4</v>
      </c>
      <c r="D47" s="785" t="s">
        <v>2891</v>
      </c>
      <c r="E47" s="759" t="s">
        <v>2892</v>
      </c>
      <c r="F47" s="786">
        <v>2</v>
      </c>
      <c r="G47" s="786" t="s">
        <v>2875</v>
      </c>
      <c r="H47" s="787">
        <v>1500000</v>
      </c>
      <c r="I47" s="782">
        <f t="shared" si="8"/>
        <v>3000000</v>
      </c>
      <c r="J47" s="711">
        <f>SUM(N47:P47)</f>
        <v>54000000</v>
      </c>
      <c r="K47" s="698">
        <f t="shared" si="9"/>
        <v>57000000</v>
      </c>
      <c r="N47" s="915">
        <f>27000000*2</f>
        <v>54000000</v>
      </c>
      <c r="O47" s="915"/>
      <c r="P47" s="915"/>
    </row>
    <row r="48" spans="1:16" ht="20.399999999999999" customHeight="1">
      <c r="A48" s="681"/>
      <c r="B48" s="708"/>
      <c r="C48" s="699">
        <v>5</v>
      </c>
      <c r="D48" s="749" t="s">
        <v>3078</v>
      </c>
      <c r="E48" s="713" t="s">
        <v>2930</v>
      </c>
      <c r="F48" s="754">
        <v>1</v>
      </c>
      <c r="G48" s="754" t="s">
        <v>2859</v>
      </c>
      <c r="H48" s="798">
        <v>1500000</v>
      </c>
      <c r="I48" s="748">
        <f t="shared" si="8"/>
        <v>1500000</v>
      </c>
      <c r="J48" s="727">
        <v>350000000</v>
      </c>
      <c r="K48" s="698">
        <f t="shared" si="9"/>
        <v>351500000</v>
      </c>
      <c r="N48" s="915"/>
      <c r="O48" s="915"/>
      <c r="P48" s="915"/>
    </row>
    <row r="49" spans="1:16" ht="20.399999999999999" customHeight="1">
      <c r="A49" s="681"/>
      <c r="B49" s="708"/>
      <c r="C49" s="699">
        <v>6</v>
      </c>
      <c r="D49" s="699" t="s">
        <v>2893</v>
      </c>
      <c r="E49" s="788" t="s">
        <v>2894</v>
      </c>
      <c r="F49" s="695">
        <v>1</v>
      </c>
      <c r="G49" s="695" t="s">
        <v>2839</v>
      </c>
      <c r="H49" s="765">
        <v>120000000</v>
      </c>
      <c r="I49" s="766">
        <f>H49*F49</f>
        <v>120000000</v>
      </c>
      <c r="J49" s="767"/>
      <c r="K49" s="698">
        <f>I49+J49</f>
        <v>120000000</v>
      </c>
      <c r="N49" s="915"/>
      <c r="O49" s="915"/>
      <c r="P49" s="915"/>
    </row>
    <row r="50" spans="1:16" ht="37">
      <c r="A50" s="681"/>
      <c r="B50" s="719"/>
      <c r="C50" s="779">
        <v>7</v>
      </c>
      <c r="D50" s="780" t="s">
        <v>2895</v>
      </c>
      <c r="E50" s="758" t="s">
        <v>2896</v>
      </c>
      <c r="F50" s="833">
        <v>17</v>
      </c>
      <c r="G50" s="833" t="s">
        <v>2847</v>
      </c>
      <c r="H50" s="714">
        <v>21000000</v>
      </c>
      <c r="I50" s="748">
        <f t="shared" ref="I50" si="10">H50*F50</f>
        <v>357000000</v>
      </c>
      <c r="J50" s="711">
        <f>SUM(N50:P50)</f>
        <v>91500000</v>
      </c>
      <c r="K50" s="698">
        <f t="shared" si="9"/>
        <v>448500000</v>
      </c>
      <c r="N50" s="915">
        <v>28000000</v>
      </c>
      <c r="O50" s="915">
        <v>50500000</v>
      </c>
      <c r="P50" s="917">
        <v>13000000</v>
      </c>
    </row>
    <row r="51" spans="1:16" ht="20.149999999999999" customHeight="1">
      <c r="A51" s="681"/>
      <c r="B51" s="736"/>
      <c r="C51" s="737"/>
      <c r="D51" s="769"/>
      <c r="E51" s="738"/>
      <c r="F51" s="739"/>
      <c r="G51" s="739"/>
      <c r="H51" s="789"/>
      <c r="I51" s="741">
        <f>SUM(I44:I50)</f>
        <v>906500000</v>
      </c>
      <c r="J51" s="741">
        <f t="shared" ref="J51" si="11">SUM(J44:J50)</f>
        <v>4464500000</v>
      </c>
      <c r="K51" s="741">
        <f>SUM(K44:K50)</f>
        <v>5371000000</v>
      </c>
      <c r="N51" s="915"/>
      <c r="O51" s="915"/>
      <c r="P51" s="915"/>
    </row>
    <row r="52" spans="1:16" ht="20.149999999999999" customHeight="1">
      <c r="A52" s="681"/>
      <c r="B52" s="742"/>
      <c r="C52" s="743" t="s">
        <v>105</v>
      </c>
      <c r="D52" s="743" t="s">
        <v>2897</v>
      </c>
      <c r="E52" s="744"/>
      <c r="F52" s="745"/>
      <c r="G52" s="745"/>
      <c r="H52" s="746"/>
      <c r="I52" s="747"/>
      <c r="J52" s="745"/>
      <c r="K52" s="718"/>
      <c r="N52" s="915"/>
      <c r="O52" s="915"/>
      <c r="P52" s="915"/>
    </row>
    <row r="53" spans="1:16" ht="20.149999999999999" customHeight="1">
      <c r="A53" s="681"/>
      <c r="B53" s="702"/>
      <c r="C53" s="779">
        <v>1</v>
      </c>
      <c r="D53" s="779" t="s">
        <v>2898</v>
      </c>
      <c r="E53" s="721" t="s">
        <v>2899</v>
      </c>
      <c r="F53" s="705">
        <v>2</v>
      </c>
      <c r="G53" s="705" t="s">
        <v>2859</v>
      </c>
      <c r="H53" s="714">
        <v>270000000</v>
      </c>
      <c r="I53" s="748">
        <f t="shared" ref="I53:I60" si="12">H53*F53</f>
        <v>540000000</v>
      </c>
      <c r="J53" s="711">
        <f>SUM(N53:P53)</f>
        <v>259000000</v>
      </c>
      <c r="K53" s="698">
        <f t="shared" ref="K53:K60" si="13">I53+J53</f>
        <v>799000000</v>
      </c>
      <c r="N53" s="915">
        <f>85000000*2</f>
        <v>170000000</v>
      </c>
      <c r="O53" s="915">
        <v>72600000</v>
      </c>
      <c r="P53" s="915">
        <v>16400000</v>
      </c>
    </row>
    <row r="54" spans="1:16" ht="18.5">
      <c r="A54" s="681"/>
      <c r="B54" s="702"/>
      <c r="C54" s="779">
        <v>2</v>
      </c>
      <c r="D54" s="779" t="s">
        <v>2900</v>
      </c>
      <c r="E54" s="758" t="s">
        <v>2901</v>
      </c>
      <c r="F54" s="705">
        <v>7</v>
      </c>
      <c r="G54" s="705" t="s">
        <v>2847</v>
      </c>
      <c r="H54" s="750">
        <v>12000000</v>
      </c>
      <c r="I54" s="748">
        <f t="shared" si="12"/>
        <v>84000000</v>
      </c>
      <c r="J54" s="711">
        <f>SUM(N54:P54)</f>
        <v>111000000</v>
      </c>
      <c r="K54" s="698">
        <f t="shared" si="13"/>
        <v>195000000</v>
      </c>
      <c r="N54" s="915">
        <v>22000000</v>
      </c>
      <c r="O54" s="915">
        <v>72600000</v>
      </c>
      <c r="P54" s="915">
        <v>16400000</v>
      </c>
    </row>
    <row r="55" spans="1:16" ht="18.5">
      <c r="A55" s="681"/>
      <c r="B55" s="702"/>
      <c r="C55" s="779">
        <v>3</v>
      </c>
      <c r="D55" s="779" t="s">
        <v>2902</v>
      </c>
      <c r="E55" s="726" t="s">
        <v>2903</v>
      </c>
      <c r="F55" s="705">
        <v>1</v>
      </c>
      <c r="G55" s="705" t="s">
        <v>2839</v>
      </c>
      <c r="H55" s="714">
        <v>50000000</v>
      </c>
      <c r="I55" s="748">
        <f t="shared" si="12"/>
        <v>50000000</v>
      </c>
      <c r="J55" s="727"/>
      <c r="K55" s="698">
        <f t="shared" si="13"/>
        <v>50000000</v>
      </c>
      <c r="N55" s="915"/>
      <c r="O55" s="915"/>
      <c r="P55" s="915"/>
    </row>
    <row r="56" spans="1:16" ht="37">
      <c r="A56" s="681"/>
      <c r="B56" s="708"/>
      <c r="C56" s="699">
        <v>4</v>
      </c>
      <c r="D56" s="699" t="s">
        <v>2904</v>
      </c>
      <c r="E56" s="781" t="s">
        <v>2890</v>
      </c>
      <c r="F56" s="695">
        <v>1</v>
      </c>
      <c r="G56" s="695" t="s">
        <v>2859</v>
      </c>
      <c r="H56" s="714">
        <v>115000000</v>
      </c>
      <c r="I56" s="748">
        <f t="shared" si="12"/>
        <v>115000000</v>
      </c>
      <c r="J56" s="727"/>
      <c r="K56" s="698">
        <f t="shared" si="13"/>
        <v>115000000</v>
      </c>
      <c r="N56" s="915"/>
      <c r="O56" s="915"/>
      <c r="P56" s="915"/>
    </row>
    <row r="57" spans="1:16" ht="37">
      <c r="A57" s="681"/>
      <c r="B57" s="708"/>
      <c r="C57" s="699">
        <v>5</v>
      </c>
      <c r="D57" s="699" t="s">
        <v>2905</v>
      </c>
      <c r="E57" s="726" t="s">
        <v>2906</v>
      </c>
      <c r="F57" s="695">
        <v>2</v>
      </c>
      <c r="G57" s="695" t="s">
        <v>2907</v>
      </c>
      <c r="H57" s="714">
        <v>60000000</v>
      </c>
      <c r="I57" s="748">
        <f t="shared" si="12"/>
        <v>120000000</v>
      </c>
      <c r="J57" s="727">
        <f>1500000000*F57</f>
        <v>3000000000</v>
      </c>
      <c r="K57" s="698">
        <f t="shared" si="13"/>
        <v>3120000000</v>
      </c>
      <c r="N57" s="915"/>
      <c r="O57" s="915"/>
      <c r="P57" s="915"/>
    </row>
    <row r="58" spans="1:16" s="757" customFormat="1" ht="19.75" customHeight="1">
      <c r="A58" s="751"/>
      <c r="B58" s="752"/>
      <c r="C58" s="699">
        <v>6</v>
      </c>
      <c r="D58" s="749" t="s">
        <v>2908</v>
      </c>
      <c r="E58" s="726" t="s">
        <v>2909</v>
      </c>
      <c r="F58" s="754">
        <v>86</v>
      </c>
      <c r="G58" s="754" t="s">
        <v>2910</v>
      </c>
      <c r="H58" s="750">
        <v>14000000</v>
      </c>
      <c r="I58" s="748">
        <f t="shared" si="12"/>
        <v>1204000000</v>
      </c>
      <c r="J58" s="783"/>
      <c r="K58" s="698">
        <f t="shared" si="13"/>
        <v>1204000000</v>
      </c>
      <c r="L58" s="790"/>
      <c r="M58" s="756"/>
      <c r="N58" s="917"/>
      <c r="O58" s="917"/>
      <c r="P58" s="917"/>
    </row>
    <row r="59" spans="1:16" ht="22.25" customHeight="1">
      <c r="A59" s="681"/>
      <c r="B59" s="708"/>
      <c r="C59" s="699">
        <v>7</v>
      </c>
      <c r="D59" s="699" t="s">
        <v>2911</v>
      </c>
      <c r="E59" s="758" t="s">
        <v>2912</v>
      </c>
      <c r="F59" s="695">
        <v>1</v>
      </c>
      <c r="G59" s="695" t="s">
        <v>2859</v>
      </c>
      <c r="H59" s="714">
        <v>120000000</v>
      </c>
      <c r="I59" s="748">
        <f t="shared" si="12"/>
        <v>120000000</v>
      </c>
      <c r="J59" s="727"/>
      <c r="K59" s="698">
        <f t="shared" si="13"/>
        <v>120000000</v>
      </c>
      <c r="N59" s="915"/>
      <c r="O59" s="915"/>
      <c r="P59" s="915"/>
    </row>
    <row r="60" spans="1:16" ht="18.5">
      <c r="A60" s="681"/>
      <c r="B60" s="791"/>
      <c r="C60" s="730">
        <v>8</v>
      </c>
      <c r="D60" s="730" t="s">
        <v>2913</v>
      </c>
      <c r="E60" s="792" t="s">
        <v>2914</v>
      </c>
      <c r="F60" s="732">
        <v>1</v>
      </c>
      <c r="G60" s="732" t="s">
        <v>2859</v>
      </c>
      <c r="H60" s="793">
        <v>215000000</v>
      </c>
      <c r="I60" s="794">
        <f t="shared" si="12"/>
        <v>215000000</v>
      </c>
      <c r="J60" s="795"/>
      <c r="K60" s="698">
        <f t="shared" si="13"/>
        <v>215000000</v>
      </c>
      <c r="N60" s="915"/>
      <c r="O60" s="915"/>
      <c r="P60" s="915"/>
    </row>
    <row r="61" spans="1:16" ht="20.149999999999999" customHeight="1">
      <c r="A61" s="681"/>
      <c r="B61" s="736"/>
      <c r="C61" s="737"/>
      <c r="D61" s="737"/>
      <c r="E61" s="738"/>
      <c r="F61" s="739"/>
      <c r="G61" s="739"/>
      <c r="H61" s="789"/>
      <c r="I61" s="741">
        <f>SUM(I53:I60)</f>
        <v>2448000000</v>
      </c>
      <c r="J61" s="741">
        <f t="shared" ref="J61" si="14">SUM(J53:J60)</f>
        <v>3370000000</v>
      </c>
      <c r="K61" s="741">
        <f>SUM(K53:K60)</f>
        <v>5818000000</v>
      </c>
      <c r="N61" s="915"/>
      <c r="O61" s="915"/>
      <c r="P61" s="915"/>
    </row>
    <row r="62" spans="1:16" ht="20.149999999999999" customHeight="1">
      <c r="A62" s="681"/>
      <c r="B62" s="796"/>
      <c r="C62" s="797" t="s">
        <v>109</v>
      </c>
      <c r="D62" s="743" t="s">
        <v>2915</v>
      </c>
      <c r="E62" s="744"/>
      <c r="F62" s="745"/>
      <c r="G62" s="745"/>
      <c r="H62" s="746"/>
      <c r="I62" s="747"/>
      <c r="J62" s="745"/>
      <c r="K62" s="718"/>
      <c r="N62" s="915"/>
      <c r="O62" s="915"/>
      <c r="P62" s="915"/>
    </row>
    <row r="63" spans="1:16" ht="20.149999999999999" customHeight="1">
      <c r="A63" s="681"/>
      <c r="B63" s="708"/>
      <c r="C63" s="699">
        <v>1</v>
      </c>
      <c r="D63" s="749" t="s">
        <v>2916</v>
      </c>
      <c r="E63" s="713" t="s">
        <v>2917</v>
      </c>
      <c r="F63" s="754">
        <v>1</v>
      </c>
      <c r="G63" s="754" t="s">
        <v>2844</v>
      </c>
      <c r="H63" s="798">
        <v>0</v>
      </c>
      <c r="I63" s="748">
        <f t="shared" ref="I63:I89" si="15">H63*F63</f>
        <v>0</v>
      </c>
      <c r="J63" s="727">
        <v>4000000000</v>
      </c>
      <c r="K63" s="698">
        <f t="shared" ref="K63:K89" si="16">I63+J63</f>
        <v>4000000000</v>
      </c>
      <c r="M63" s="756"/>
      <c r="N63" s="915"/>
      <c r="O63" s="915"/>
      <c r="P63" s="915"/>
    </row>
    <row r="64" spans="1:16" ht="20.149999999999999" customHeight="1">
      <c r="A64" s="681"/>
      <c r="B64" s="708"/>
      <c r="C64" s="699">
        <v>2</v>
      </c>
      <c r="D64" s="749" t="s">
        <v>2918</v>
      </c>
      <c r="E64" s="713" t="s">
        <v>2919</v>
      </c>
      <c r="F64" s="754">
        <v>2</v>
      </c>
      <c r="G64" s="754" t="s">
        <v>2859</v>
      </c>
      <c r="H64" s="798">
        <v>48000000</v>
      </c>
      <c r="I64" s="748">
        <f t="shared" si="15"/>
        <v>96000000</v>
      </c>
      <c r="J64" s="727">
        <v>800000000</v>
      </c>
      <c r="K64" s="698">
        <f t="shared" si="16"/>
        <v>896000000</v>
      </c>
      <c r="M64" s="756"/>
      <c r="N64" s="915"/>
      <c r="O64" s="915"/>
      <c r="P64" s="915"/>
    </row>
    <row r="65" spans="1:16" ht="20.149999999999999" customHeight="1">
      <c r="A65" s="681"/>
      <c r="B65" s="708"/>
      <c r="C65" s="699">
        <v>3</v>
      </c>
      <c r="D65" s="799" t="s">
        <v>2920</v>
      </c>
      <c r="E65" s="800" t="s">
        <v>2921</v>
      </c>
      <c r="F65" s="801">
        <v>6</v>
      </c>
      <c r="G65" s="801" t="s">
        <v>2847</v>
      </c>
      <c r="H65" s="715">
        <v>8000000</v>
      </c>
      <c r="I65" s="748">
        <f t="shared" si="15"/>
        <v>48000000</v>
      </c>
      <c r="J65" s="711">
        <f>SUM(N65:P65)</f>
        <v>15000000</v>
      </c>
      <c r="K65" s="698">
        <f t="shared" si="16"/>
        <v>63000000</v>
      </c>
      <c r="M65" s="756"/>
      <c r="N65" s="915">
        <v>15000000</v>
      </c>
      <c r="O65" s="915"/>
      <c r="P65" s="915"/>
    </row>
    <row r="66" spans="1:16" ht="20.149999999999999" customHeight="1">
      <c r="A66" s="681"/>
      <c r="B66" s="708"/>
      <c r="C66" s="699">
        <v>4</v>
      </c>
      <c r="D66" s="799" t="s">
        <v>2922</v>
      </c>
      <c r="E66" s="800" t="s">
        <v>2923</v>
      </c>
      <c r="F66" s="801">
        <v>8</v>
      </c>
      <c r="G66" s="801" t="s">
        <v>2847</v>
      </c>
      <c r="H66" s="715">
        <v>8000000</v>
      </c>
      <c r="I66" s="748">
        <f t="shared" si="15"/>
        <v>64000000</v>
      </c>
      <c r="J66" s="711">
        <f>SUM(N66:P66)</f>
        <v>15000000</v>
      </c>
      <c r="K66" s="698">
        <f t="shared" si="16"/>
        <v>79000000</v>
      </c>
      <c r="M66" s="756"/>
      <c r="N66" s="915">
        <v>15000000</v>
      </c>
      <c r="O66" s="915"/>
      <c r="P66" s="915"/>
    </row>
    <row r="67" spans="1:16" ht="18.5">
      <c r="A67" s="681"/>
      <c r="B67" s="708"/>
      <c r="C67" s="699">
        <v>5</v>
      </c>
      <c r="D67" s="802" t="s">
        <v>2924</v>
      </c>
      <c r="E67" s="803" t="s">
        <v>2925</v>
      </c>
      <c r="F67" s="774">
        <v>1</v>
      </c>
      <c r="G67" s="774" t="s">
        <v>2839</v>
      </c>
      <c r="H67" s="715">
        <v>190000000</v>
      </c>
      <c r="I67" s="748">
        <f t="shared" si="15"/>
        <v>190000000</v>
      </c>
      <c r="J67" s="717"/>
      <c r="K67" s="698">
        <f t="shared" si="16"/>
        <v>190000000</v>
      </c>
      <c r="N67" s="915"/>
      <c r="O67" s="915"/>
      <c r="P67" s="915"/>
    </row>
    <row r="68" spans="1:16" ht="20.399999999999999" customHeight="1">
      <c r="A68" s="681"/>
      <c r="B68" s="708"/>
      <c r="C68" s="699">
        <v>6</v>
      </c>
      <c r="D68" s="699" t="s">
        <v>3087</v>
      </c>
      <c r="E68" s="804" t="s">
        <v>2926</v>
      </c>
      <c r="F68" s="695">
        <v>2</v>
      </c>
      <c r="G68" s="695" t="s">
        <v>2859</v>
      </c>
      <c r="H68" s="714">
        <v>1500000</v>
      </c>
      <c r="I68" s="748">
        <f t="shared" si="15"/>
        <v>3000000</v>
      </c>
      <c r="J68" s="711">
        <f>SUM(N68:P68)</f>
        <v>90000000</v>
      </c>
      <c r="K68" s="698">
        <f t="shared" si="16"/>
        <v>93000000</v>
      </c>
      <c r="N68" s="915">
        <f>45000000*2</f>
        <v>90000000</v>
      </c>
      <c r="O68" s="915"/>
      <c r="P68" s="915"/>
    </row>
    <row r="69" spans="1:16" ht="20.399999999999999" customHeight="1">
      <c r="A69" s="681"/>
      <c r="B69" s="770"/>
      <c r="C69" s="699">
        <v>7</v>
      </c>
      <c r="D69" s="699" t="s">
        <v>2927</v>
      </c>
      <c r="E69" s="804" t="s">
        <v>2928</v>
      </c>
      <c r="F69" s="695">
        <v>1</v>
      </c>
      <c r="G69" s="695" t="s">
        <v>2907</v>
      </c>
      <c r="H69" s="714">
        <v>1350000000</v>
      </c>
      <c r="I69" s="748">
        <f t="shared" si="15"/>
        <v>1350000000</v>
      </c>
      <c r="J69" s="727"/>
      <c r="K69" s="698">
        <f>I69+J69</f>
        <v>1350000000</v>
      </c>
      <c r="N69" s="915"/>
      <c r="O69" s="915"/>
      <c r="P69" s="915"/>
    </row>
    <row r="70" spans="1:16" ht="20.399999999999999" customHeight="1">
      <c r="A70" s="681"/>
      <c r="B70" s="708"/>
      <c r="C70" s="699">
        <v>8</v>
      </c>
      <c r="D70" s="699" t="s">
        <v>2929</v>
      </c>
      <c r="E70" s="804" t="s">
        <v>3088</v>
      </c>
      <c r="F70" s="695">
        <v>1</v>
      </c>
      <c r="G70" s="695" t="s">
        <v>2907</v>
      </c>
      <c r="H70" s="714">
        <v>400000000</v>
      </c>
      <c r="I70" s="748">
        <f t="shared" si="15"/>
        <v>400000000</v>
      </c>
      <c r="J70" s="727"/>
      <c r="K70" s="698">
        <f>I70+J70</f>
        <v>400000000</v>
      </c>
      <c r="N70" s="915"/>
      <c r="O70" s="915"/>
      <c r="P70" s="915"/>
    </row>
    <row r="71" spans="1:16" ht="20.149999999999999" customHeight="1">
      <c r="A71" s="681"/>
      <c r="B71" s="708"/>
      <c r="C71" s="699">
        <v>9</v>
      </c>
      <c r="D71" s="749" t="s">
        <v>3078</v>
      </c>
      <c r="E71" s="713" t="s">
        <v>2930</v>
      </c>
      <c r="F71" s="754">
        <v>1</v>
      </c>
      <c r="G71" s="754" t="s">
        <v>2859</v>
      </c>
      <c r="H71" s="798">
        <v>1500000</v>
      </c>
      <c r="I71" s="748">
        <f t="shared" si="15"/>
        <v>1500000</v>
      </c>
      <c r="J71" s="727">
        <v>350000000</v>
      </c>
      <c r="K71" s="698">
        <f t="shared" ref="K71" si="17">I71+J71</f>
        <v>351500000</v>
      </c>
      <c r="M71" s="756"/>
      <c r="N71" s="915"/>
      <c r="O71" s="915"/>
      <c r="P71" s="915"/>
    </row>
    <row r="72" spans="1:16" ht="20.399999999999999" customHeight="1">
      <c r="A72" s="681"/>
      <c r="B72" s="708"/>
      <c r="C72" s="699">
        <v>10</v>
      </c>
      <c r="D72" s="699" t="s">
        <v>2931</v>
      </c>
      <c r="E72" s="804" t="s">
        <v>3089</v>
      </c>
      <c r="F72" s="695">
        <v>1</v>
      </c>
      <c r="G72" s="695" t="s">
        <v>2907</v>
      </c>
      <c r="H72" s="714">
        <v>400000000</v>
      </c>
      <c r="I72" s="748">
        <f t="shared" si="15"/>
        <v>400000000</v>
      </c>
      <c r="J72" s="727"/>
      <c r="K72" s="698">
        <f>I72+J72</f>
        <v>400000000</v>
      </c>
      <c r="N72" s="915"/>
      <c r="O72" s="915"/>
      <c r="P72" s="915"/>
    </row>
    <row r="73" spans="1:16" ht="20.399999999999999" customHeight="1">
      <c r="A73" s="681"/>
      <c r="B73" s="708"/>
      <c r="C73" s="699">
        <v>11</v>
      </c>
      <c r="D73" s="699" t="s">
        <v>2932</v>
      </c>
      <c r="E73" s="803" t="s">
        <v>2933</v>
      </c>
      <c r="F73" s="695">
        <v>2</v>
      </c>
      <c r="G73" s="695" t="s">
        <v>2859</v>
      </c>
      <c r="H73" s="714">
        <v>1500000</v>
      </c>
      <c r="I73" s="748">
        <f t="shared" si="15"/>
        <v>3000000</v>
      </c>
      <c r="J73" s="711">
        <f>SUM(N73:P73)</f>
        <v>70000000</v>
      </c>
      <c r="K73" s="698">
        <f t="shared" ref="K73:K74" si="18">I73+J73</f>
        <v>73000000</v>
      </c>
      <c r="N73" s="915">
        <v>70000000</v>
      </c>
      <c r="O73" s="915"/>
      <c r="P73" s="915"/>
    </row>
    <row r="74" spans="1:16" ht="20.399999999999999" customHeight="1">
      <c r="A74" s="681"/>
      <c r="B74" s="708"/>
      <c r="C74" s="699">
        <v>12</v>
      </c>
      <c r="D74" s="699" t="s">
        <v>2934</v>
      </c>
      <c r="E74" s="758" t="s">
        <v>2935</v>
      </c>
      <c r="F74" s="774">
        <v>30</v>
      </c>
      <c r="G74" s="695" t="s">
        <v>2910</v>
      </c>
      <c r="H74" s="714">
        <v>14000000</v>
      </c>
      <c r="I74" s="748">
        <f t="shared" si="15"/>
        <v>420000000</v>
      </c>
      <c r="J74" s="727"/>
      <c r="K74" s="698">
        <f t="shared" si="18"/>
        <v>420000000</v>
      </c>
      <c r="N74" s="915"/>
      <c r="O74" s="915"/>
      <c r="P74" s="915"/>
    </row>
    <row r="75" spans="1:16" ht="20.399999999999999" customHeight="1">
      <c r="A75" s="681"/>
      <c r="B75" s="708"/>
      <c r="C75" s="699">
        <v>13</v>
      </c>
      <c r="D75" s="699" t="s">
        <v>2936</v>
      </c>
      <c r="E75" s="721"/>
      <c r="F75" s="695">
        <v>1</v>
      </c>
      <c r="G75" s="695" t="s">
        <v>2859</v>
      </c>
      <c r="H75" s="714">
        <v>8000000</v>
      </c>
      <c r="I75" s="748">
        <f t="shared" si="15"/>
        <v>8000000</v>
      </c>
      <c r="J75" s="727"/>
      <c r="K75" s="698">
        <f>I75+J75</f>
        <v>8000000</v>
      </c>
      <c r="N75" s="915"/>
      <c r="O75" s="915"/>
      <c r="P75" s="915"/>
    </row>
    <row r="76" spans="1:16" ht="20.399999999999999" customHeight="1">
      <c r="A76" s="681"/>
      <c r="B76" s="708"/>
      <c r="C76" s="699">
        <v>14</v>
      </c>
      <c r="D76" s="699" t="s">
        <v>3090</v>
      </c>
      <c r="E76" s="805"/>
      <c r="F76" s="695">
        <v>2</v>
      </c>
      <c r="G76" s="695" t="s">
        <v>2859</v>
      </c>
      <c r="H76" s="714">
        <v>1500000</v>
      </c>
      <c r="I76" s="748">
        <f t="shared" si="15"/>
        <v>3000000</v>
      </c>
      <c r="J76" s="711">
        <f>SUM(N76:P76)</f>
        <v>140000000</v>
      </c>
      <c r="K76" s="698">
        <f>I76+J76</f>
        <v>143000000</v>
      </c>
      <c r="N76" s="915">
        <f>70000000*2</f>
        <v>140000000</v>
      </c>
      <c r="O76" s="915"/>
      <c r="P76" s="915"/>
    </row>
    <row r="77" spans="1:16" ht="20.399999999999999" customHeight="1">
      <c r="A77" s="681"/>
      <c r="B77" s="770"/>
      <c r="C77" s="699">
        <v>15</v>
      </c>
      <c r="D77" s="699" t="s">
        <v>2937</v>
      </c>
      <c r="E77" s="721"/>
      <c r="F77" s="695">
        <v>1</v>
      </c>
      <c r="G77" s="695" t="s">
        <v>2907</v>
      </c>
      <c r="H77" s="714">
        <v>1500000</v>
      </c>
      <c r="I77" s="748">
        <f t="shared" si="15"/>
        <v>1500000</v>
      </c>
      <c r="J77" s="727"/>
      <c r="K77" s="698">
        <f t="shared" si="16"/>
        <v>1500000</v>
      </c>
      <c r="N77" s="915"/>
      <c r="O77" s="915"/>
      <c r="P77" s="915"/>
    </row>
    <row r="78" spans="1:16" ht="20.399999999999999" customHeight="1">
      <c r="A78" s="681"/>
      <c r="B78" s="708"/>
      <c r="C78" s="699">
        <v>16</v>
      </c>
      <c r="D78" s="699" t="s">
        <v>2938</v>
      </c>
      <c r="E78" s="804"/>
      <c r="F78" s="695">
        <v>1</v>
      </c>
      <c r="G78" s="695" t="s">
        <v>2907</v>
      </c>
      <c r="H78" s="714">
        <v>1500000</v>
      </c>
      <c r="I78" s="748">
        <f t="shared" si="15"/>
        <v>1500000</v>
      </c>
      <c r="J78" s="727"/>
      <c r="K78" s="698">
        <f t="shared" si="16"/>
        <v>1500000</v>
      </c>
      <c r="N78" s="915"/>
      <c r="O78" s="915"/>
      <c r="P78" s="915"/>
    </row>
    <row r="79" spans="1:16" ht="20.399999999999999" customHeight="1">
      <c r="A79" s="681"/>
      <c r="B79" s="708"/>
      <c r="C79" s="699">
        <v>17</v>
      </c>
      <c r="D79" s="699" t="s">
        <v>2939</v>
      </c>
      <c r="E79" s="803" t="s">
        <v>2940</v>
      </c>
      <c r="F79" s="695">
        <v>1</v>
      </c>
      <c r="G79" s="695" t="s">
        <v>2839</v>
      </c>
      <c r="H79" s="714">
        <v>125000000</v>
      </c>
      <c r="I79" s="748">
        <f t="shared" si="15"/>
        <v>125000000</v>
      </c>
      <c r="J79" s="727"/>
      <c r="K79" s="698">
        <f t="shared" si="16"/>
        <v>125000000</v>
      </c>
      <c r="N79" s="915"/>
      <c r="O79" s="915"/>
      <c r="P79" s="915"/>
    </row>
    <row r="80" spans="1:16" ht="20.149999999999999" customHeight="1">
      <c r="A80" s="681"/>
      <c r="B80" s="708"/>
      <c r="C80" s="699">
        <v>18</v>
      </c>
      <c r="D80" s="699" t="s">
        <v>2941</v>
      </c>
      <c r="E80" s="800" t="s">
        <v>2942</v>
      </c>
      <c r="F80" s="774">
        <v>1</v>
      </c>
      <c r="G80" s="695" t="s">
        <v>2839</v>
      </c>
      <c r="H80" s="714">
        <v>90000000</v>
      </c>
      <c r="I80" s="748">
        <f t="shared" si="15"/>
        <v>90000000</v>
      </c>
      <c r="J80" s="727"/>
      <c r="K80" s="698">
        <f t="shared" si="16"/>
        <v>90000000</v>
      </c>
      <c r="N80" s="915"/>
      <c r="O80" s="915"/>
      <c r="P80" s="915"/>
    </row>
    <row r="81" spans="1:16" ht="20.399999999999999" customHeight="1">
      <c r="A81" s="681"/>
      <c r="B81" s="708"/>
      <c r="C81" s="699">
        <v>19</v>
      </c>
      <c r="D81" s="699" t="s">
        <v>2943</v>
      </c>
      <c r="E81" s="803" t="s">
        <v>2940</v>
      </c>
      <c r="F81" s="695">
        <v>1</v>
      </c>
      <c r="G81" s="695" t="s">
        <v>2839</v>
      </c>
      <c r="H81" s="714">
        <v>125000000</v>
      </c>
      <c r="I81" s="748">
        <f t="shared" si="15"/>
        <v>125000000</v>
      </c>
      <c r="J81" s="727"/>
      <c r="K81" s="698">
        <f t="shared" si="16"/>
        <v>125000000</v>
      </c>
      <c r="N81" s="915"/>
      <c r="O81" s="915"/>
      <c r="P81" s="915"/>
    </row>
    <row r="82" spans="1:16" ht="20.399999999999999" customHeight="1">
      <c r="A82" s="681"/>
      <c r="B82" s="708"/>
      <c r="C82" s="699">
        <v>20</v>
      </c>
      <c r="D82" s="699" t="s">
        <v>2944</v>
      </c>
      <c r="E82" s="803" t="s">
        <v>2945</v>
      </c>
      <c r="F82" s="695">
        <v>2</v>
      </c>
      <c r="G82" s="695" t="s">
        <v>2859</v>
      </c>
      <c r="H82" s="714">
        <v>1500000</v>
      </c>
      <c r="I82" s="748">
        <f t="shared" si="15"/>
        <v>3000000</v>
      </c>
      <c r="J82" s="711">
        <f>SUM(N82:P82)</f>
        <v>70000000</v>
      </c>
      <c r="K82" s="698">
        <f t="shared" si="16"/>
        <v>73000000</v>
      </c>
      <c r="N82" s="915">
        <v>70000000</v>
      </c>
      <c r="O82" s="915"/>
      <c r="P82" s="915"/>
    </row>
    <row r="83" spans="1:16" ht="20.399999999999999" customHeight="1">
      <c r="A83" s="681"/>
      <c r="B83" s="708"/>
      <c r="C83" s="699">
        <v>21</v>
      </c>
      <c r="D83" s="699" t="s">
        <v>2946</v>
      </c>
      <c r="E83" s="804" t="s">
        <v>2947</v>
      </c>
      <c r="F83" s="695">
        <v>1</v>
      </c>
      <c r="G83" s="695" t="s">
        <v>2839</v>
      </c>
      <c r="H83" s="714">
        <v>134000000</v>
      </c>
      <c r="I83" s="748">
        <f t="shared" si="15"/>
        <v>134000000</v>
      </c>
      <c r="J83" s="727"/>
      <c r="K83" s="698">
        <f t="shared" si="16"/>
        <v>134000000</v>
      </c>
      <c r="N83" s="915"/>
      <c r="O83" s="915"/>
      <c r="P83" s="915"/>
    </row>
    <row r="84" spans="1:16" ht="20.399999999999999" customHeight="1">
      <c r="A84" s="681"/>
      <c r="B84" s="708"/>
      <c r="C84" s="699">
        <v>22</v>
      </c>
      <c r="D84" s="699" t="s">
        <v>2948</v>
      </c>
      <c r="E84" s="726" t="s">
        <v>2949</v>
      </c>
      <c r="F84" s="695">
        <v>2</v>
      </c>
      <c r="G84" s="695" t="s">
        <v>2859</v>
      </c>
      <c r="H84" s="714">
        <v>1500000</v>
      </c>
      <c r="I84" s="748">
        <f t="shared" si="15"/>
        <v>3000000</v>
      </c>
      <c r="J84" s="711">
        <f>SUM(N84:P84)</f>
        <v>44000000</v>
      </c>
      <c r="K84" s="698">
        <f t="shared" si="16"/>
        <v>47000000</v>
      </c>
      <c r="N84" s="915">
        <f>22000000*2</f>
        <v>44000000</v>
      </c>
      <c r="O84" s="915"/>
      <c r="P84" s="915"/>
    </row>
    <row r="85" spans="1:16" ht="20.399999999999999" customHeight="1">
      <c r="A85" s="681"/>
      <c r="B85" s="708"/>
      <c r="C85" s="699">
        <v>23</v>
      </c>
      <c r="D85" s="673" t="s">
        <v>2950</v>
      </c>
      <c r="E85" s="713" t="s">
        <v>2951</v>
      </c>
      <c r="F85" s="695">
        <v>3</v>
      </c>
      <c r="G85" s="695" t="s">
        <v>2859</v>
      </c>
      <c r="H85" s="714">
        <v>5000000</v>
      </c>
      <c r="I85" s="748">
        <f t="shared" si="15"/>
        <v>15000000</v>
      </c>
      <c r="J85" s="727"/>
      <c r="K85" s="698">
        <f t="shared" si="16"/>
        <v>15000000</v>
      </c>
      <c r="N85" s="915"/>
      <c r="O85" s="915"/>
      <c r="P85" s="915"/>
    </row>
    <row r="86" spans="1:16" ht="20.399999999999999" customHeight="1">
      <c r="A86" s="681"/>
      <c r="B86" s="708"/>
      <c r="C86" s="699">
        <v>24</v>
      </c>
      <c r="D86" s="699" t="s">
        <v>2952</v>
      </c>
      <c r="E86" s="788" t="s">
        <v>2953</v>
      </c>
      <c r="F86" s="695">
        <v>1</v>
      </c>
      <c r="G86" s="695" t="s">
        <v>2839</v>
      </c>
      <c r="H86" s="714"/>
      <c r="I86" s="748">
        <f t="shared" si="15"/>
        <v>0</v>
      </c>
      <c r="J86" s="727"/>
      <c r="K86" s="698">
        <f t="shared" si="16"/>
        <v>0</v>
      </c>
      <c r="N86" s="915"/>
      <c r="O86" s="915"/>
      <c r="P86" s="915"/>
    </row>
    <row r="87" spans="1:16" ht="20.399999999999999" customHeight="1">
      <c r="A87" s="681"/>
      <c r="B87" s="708"/>
      <c r="C87" s="699">
        <v>25</v>
      </c>
      <c r="D87" s="699" t="s">
        <v>2954</v>
      </c>
      <c r="E87" s="758" t="s">
        <v>2955</v>
      </c>
      <c r="F87" s="695">
        <v>2</v>
      </c>
      <c r="G87" s="695" t="s">
        <v>2859</v>
      </c>
      <c r="H87" s="714">
        <v>1500000</v>
      </c>
      <c r="I87" s="748">
        <f t="shared" si="15"/>
        <v>3000000</v>
      </c>
      <c r="J87" s="711">
        <f>SUM(N87:P87)</f>
        <v>140000000</v>
      </c>
      <c r="K87" s="698">
        <f t="shared" si="16"/>
        <v>143000000</v>
      </c>
      <c r="N87" s="915">
        <f>70000000*2</f>
        <v>140000000</v>
      </c>
      <c r="O87" s="915"/>
      <c r="P87" s="915"/>
    </row>
    <row r="88" spans="1:16" ht="20.399999999999999" customHeight="1">
      <c r="A88" s="681"/>
      <c r="B88" s="708"/>
      <c r="C88" s="699">
        <v>26</v>
      </c>
      <c r="D88" s="699" t="s">
        <v>2956</v>
      </c>
      <c r="E88" s="758" t="s">
        <v>2957</v>
      </c>
      <c r="F88" s="695">
        <v>2</v>
      </c>
      <c r="G88" s="695" t="s">
        <v>2839</v>
      </c>
      <c r="H88" s="714">
        <v>1500000</v>
      </c>
      <c r="I88" s="748">
        <f t="shared" si="15"/>
        <v>3000000</v>
      </c>
      <c r="J88" s="711">
        <f>SUM(N88:P88)</f>
        <v>90000000</v>
      </c>
      <c r="K88" s="698">
        <f t="shared" si="16"/>
        <v>93000000</v>
      </c>
      <c r="N88" s="915">
        <f>45000000*2</f>
        <v>90000000</v>
      </c>
      <c r="O88" s="915"/>
      <c r="P88" s="915"/>
    </row>
    <row r="89" spans="1:16" ht="20.149999999999999" customHeight="1">
      <c r="A89" s="681"/>
      <c r="B89" s="791"/>
      <c r="C89" s="730">
        <v>27</v>
      </c>
      <c r="D89" s="730" t="s">
        <v>2958</v>
      </c>
      <c r="E89" s="806" t="s">
        <v>3091</v>
      </c>
      <c r="F89" s="732">
        <v>1</v>
      </c>
      <c r="G89" s="732" t="s">
        <v>2859</v>
      </c>
      <c r="H89" s="807">
        <v>0</v>
      </c>
      <c r="I89" s="808">
        <f t="shared" si="15"/>
        <v>0</v>
      </c>
      <c r="J89" s="931">
        <v>26000000</v>
      </c>
      <c r="K89" s="932">
        <f t="shared" si="16"/>
        <v>26000000</v>
      </c>
      <c r="N89" s="915"/>
      <c r="O89" s="915"/>
      <c r="P89" s="915"/>
    </row>
    <row r="90" spans="1:16" ht="20.399999999999999" customHeight="1">
      <c r="A90" s="681"/>
      <c r="B90" s="736"/>
      <c r="C90" s="737"/>
      <c r="D90" s="737"/>
      <c r="E90" s="738"/>
      <c r="F90" s="739"/>
      <c r="G90" s="739"/>
      <c r="H90" s="789"/>
      <c r="I90" s="741">
        <f>SUM(I63:I89)</f>
        <v>3490500000</v>
      </c>
      <c r="J90" s="741">
        <f t="shared" ref="J90" si="19">SUM(J63:J89)</f>
        <v>5850000000</v>
      </c>
      <c r="K90" s="741">
        <f>SUM(K63:K89)</f>
        <v>9340500000</v>
      </c>
      <c r="N90" s="915"/>
      <c r="O90" s="915"/>
      <c r="P90" s="915"/>
    </row>
    <row r="91" spans="1:16" ht="20.149999999999999" customHeight="1">
      <c r="A91" s="681"/>
      <c r="B91" s="742"/>
      <c r="C91" s="743" t="s">
        <v>2959</v>
      </c>
      <c r="D91" s="743" t="s">
        <v>2960</v>
      </c>
      <c r="E91" s="744"/>
      <c r="F91" s="745"/>
      <c r="G91" s="745"/>
      <c r="H91" s="746"/>
      <c r="I91" s="747"/>
      <c r="J91" s="745"/>
      <c r="K91" s="718"/>
      <c r="N91" s="915"/>
      <c r="O91" s="915"/>
      <c r="P91" s="915"/>
    </row>
    <row r="92" spans="1:16" ht="37">
      <c r="A92" s="681"/>
      <c r="B92" s="702"/>
      <c r="C92" s="779">
        <v>1</v>
      </c>
      <c r="D92" s="779" t="s">
        <v>2961</v>
      </c>
      <c r="E92" s="758" t="s">
        <v>2962</v>
      </c>
      <c r="F92" s="705">
        <v>26.24</v>
      </c>
      <c r="G92" s="705" t="s">
        <v>2847</v>
      </c>
      <c r="H92" s="714">
        <v>34000000</v>
      </c>
      <c r="I92" s="748">
        <f t="shared" ref="I92:I136" si="20">H92*F92</f>
        <v>892160000</v>
      </c>
      <c r="J92" s="711">
        <f>SUM(N92:P92)</f>
        <v>51000000</v>
      </c>
      <c r="K92" s="698">
        <f>I92+J92</f>
        <v>943160000</v>
      </c>
      <c r="N92" s="915">
        <v>51000000</v>
      </c>
      <c r="O92" s="915"/>
      <c r="P92" s="915"/>
    </row>
    <row r="93" spans="1:16" ht="19.75" customHeight="1">
      <c r="A93" s="681"/>
      <c r="B93" s="702"/>
      <c r="C93" s="779">
        <v>2</v>
      </c>
      <c r="D93" s="779" t="s">
        <v>2963</v>
      </c>
      <c r="E93" s="726" t="s">
        <v>2964</v>
      </c>
      <c r="F93" s="705">
        <v>1</v>
      </c>
      <c r="G93" s="705" t="s">
        <v>2859</v>
      </c>
      <c r="H93" s="714">
        <v>95000000</v>
      </c>
      <c r="I93" s="748">
        <f t="shared" si="20"/>
        <v>95000000</v>
      </c>
      <c r="J93" s="727"/>
      <c r="K93" s="698">
        <f t="shared" ref="K93:K136" si="21">I93+J93</f>
        <v>95000000</v>
      </c>
      <c r="N93" s="915"/>
      <c r="O93" s="915"/>
      <c r="P93" s="915"/>
    </row>
    <row r="94" spans="1:16" ht="22.75" customHeight="1">
      <c r="A94" s="681"/>
      <c r="B94" s="702"/>
      <c r="C94" s="779">
        <v>3</v>
      </c>
      <c r="D94" s="779" t="s">
        <v>2965</v>
      </c>
      <c r="E94" s="726" t="s">
        <v>2966</v>
      </c>
      <c r="F94" s="705">
        <v>1</v>
      </c>
      <c r="G94" s="705" t="s">
        <v>2859</v>
      </c>
      <c r="H94" s="714">
        <v>270000000</v>
      </c>
      <c r="I94" s="748">
        <f t="shared" si="20"/>
        <v>270000000</v>
      </c>
      <c r="J94" s="711">
        <f>SUM(N94:P94)</f>
        <v>45000000</v>
      </c>
      <c r="K94" s="698">
        <f t="shared" si="21"/>
        <v>315000000</v>
      </c>
      <c r="N94" s="915">
        <v>45000000</v>
      </c>
      <c r="O94" s="915"/>
      <c r="P94" s="915"/>
    </row>
    <row r="95" spans="1:16" ht="25.75" customHeight="1">
      <c r="A95" s="681"/>
      <c r="B95" s="702"/>
      <c r="C95" s="779">
        <v>4</v>
      </c>
      <c r="D95" s="779" t="s">
        <v>2967</v>
      </c>
      <c r="E95" s="726" t="s">
        <v>2968</v>
      </c>
      <c r="F95" s="705">
        <v>4.5</v>
      </c>
      <c r="G95" s="705" t="s">
        <v>2859</v>
      </c>
      <c r="H95" s="714">
        <v>8000000</v>
      </c>
      <c r="I95" s="748">
        <f t="shared" si="20"/>
        <v>36000000</v>
      </c>
      <c r="J95" s="711">
        <f>SUM(N95:P95)</f>
        <v>15000000</v>
      </c>
      <c r="K95" s="698">
        <f t="shared" si="21"/>
        <v>51000000</v>
      </c>
      <c r="N95" s="915">
        <v>15000000</v>
      </c>
      <c r="O95" s="915"/>
      <c r="P95" s="915"/>
    </row>
    <row r="96" spans="1:16" ht="18.5">
      <c r="A96" s="681"/>
      <c r="B96" s="702"/>
      <c r="C96" s="779">
        <v>5</v>
      </c>
      <c r="D96" s="809" t="s">
        <v>2969</v>
      </c>
      <c r="E96" s="726"/>
      <c r="F96" s="705">
        <v>1</v>
      </c>
      <c r="G96" s="705" t="s">
        <v>2839</v>
      </c>
      <c r="H96" s="810">
        <v>150000000</v>
      </c>
      <c r="I96" s="811">
        <f t="shared" si="20"/>
        <v>150000000</v>
      </c>
      <c r="J96" s="812"/>
      <c r="K96" s="698">
        <f t="shared" si="21"/>
        <v>150000000</v>
      </c>
      <c r="N96" s="915"/>
      <c r="O96" s="915"/>
      <c r="P96" s="915"/>
    </row>
    <row r="97" spans="1:16" ht="18.5">
      <c r="A97" s="681"/>
      <c r="B97" s="702"/>
      <c r="C97" s="779">
        <v>6</v>
      </c>
      <c r="D97" s="779" t="s">
        <v>2970</v>
      </c>
      <c r="E97" s="726" t="s">
        <v>2971</v>
      </c>
      <c r="F97" s="705">
        <v>1</v>
      </c>
      <c r="G97" s="705" t="s">
        <v>2859</v>
      </c>
      <c r="H97" s="798">
        <v>290000000</v>
      </c>
      <c r="I97" s="748">
        <f t="shared" si="20"/>
        <v>290000000</v>
      </c>
      <c r="J97" s="727"/>
      <c r="K97" s="698">
        <f t="shared" si="21"/>
        <v>290000000</v>
      </c>
      <c r="N97" s="915"/>
      <c r="O97" s="915"/>
      <c r="P97" s="915"/>
    </row>
    <row r="98" spans="1:16" ht="20.149999999999999" customHeight="1">
      <c r="A98" s="681"/>
      <c r="B98" s="702"/>
      <c r="C98" s="779">
        <v>7</v>
      </c>
      <c r="D98" s="779" t="s">
        <v>2972</v>
      </c>
      <c r="E98" s="726" t="s">
        <v>2973</v>
      </c>
      <c r="F98" s="705">
        <v>1</v>
      </c>
      <c r="G98" s="705" t="s">
        <v>2859</v>
      </c>
      <c r="H98" s="813">
        <v>35000000</v>
      </c>
      <c r="I98" s="748">
        <f t="shared" si="20"/>
        <v>35000000</v>
      </c>
      <c r="J98" s="711">
        <f>SUM(N98:P98)</f>
        <v>31000000</v>
      </c>
      <c r="K98" s="698">
        <f t="shared" si="21"/>
        <v>66000000</v>
      </c>
      <c r="N98" s="915">
        <v>31000000</v>
      </c>
      <c r="O98" s="915"/>
      <c r="P98" s="915"/>
    </row>
    <row r="99" spans="1:16" ht="20.149999999999999" customHeight="1">
      <c r="A99" s="681"/>
      <c r="B99" s="708"/>
      <c r="C99" s="779">
        <v>8</v>
      </c>
      <c r="D99" s="779" t="s">
        <v>2974</v>
      </c>
      <c r="E99" s="726" t="s">
        <v>2975</v>
      </c>
      <c r="F99" s="695">
        <v>1</v>
      </c>
      <c r="G99" s="695" t="s">
        <v>2859</v>
      </c>
      <c r="H99" s="798">
        <v>3500000</v>
      </c>
      <c r="I99" s="748">
        <f t="shared" si="20"/>
        <v>3500000</v>
      </c>
      <c r="J99" s="727">
        <v>135000000</v>
      </c>
      <c r="K99" s="698">
        <f t="shared" si="21"/>
        <v>138500000</v>
      </c>
      <c r="N99" s="915"/>
      <c r="O99" s="915"/>
      <c r="P99" s="915"/>
    </row>
    <row r="100" spans="1:16" ht="20.149999999999999" customHeight="1">
      <c r="A100" s="681"/>
      <c r="B100" s="814"/>
      <c r="C100" s="815">
        <v>9</v>
      </c>
      <c r="D100" s="815" t="s">
        <v>2976</v>
      </c>
      <c r="E100" s="806" t="s">
        <v>2977</v>
      </c>
      <c r="F100" s="816">
        <v>1</v>
      </c>
      <c r="G100" s="816" t="s">
        <v>2839</v>
      </c>
      <c r="H100" s="817">
        <v>350000000</v>
      </c>
      <c r="I100" s="818">
        <f t="shared" si="20"/>
        <v>350000000</v>
      </c>
      <c r="J100" s="795"/>
      <c r="K100" s="819">
        <f t="shared" si="21"/>
        <v>350000000</v>
      </c>
      <c r="N100" s="915"/>
      <c r="O100" s="915"/>
      <c r="P100" s="915"/>
    </row>
    <row r="101" spans="1:16" ht="28.25" customHeight="1">
      <c r="A101" s="681"/>
      <c r="B101" s="708"/>
      <c r="C101" s="699">
        <v>10</v>
      </c>
      <c r="D101" s="779" t="s">
        <v>2978</v>
      </c>
      <c r="E101" s="694" t="s">
        <v>2979</v>
      </c>
      <c r="F101" s="695">
        <v>1</v>
      </c>
      <c r="G101" s="695" t="s">
        <v>2839</v>
      </c>
      <c r="H101" s="714">
        <v>128000000</v>
      </c>
      <c r="I101" s="748">
        <f t="shared" si="20"/>
        <v>128000000</v>
      </c>
      <c r="J101" s="798"/>
      <c r="K101" s="698">
        <f t="shared" si="21"/>
        <v>128000000</v>
      </c>
      <c r="L101" s="673" t="s">
        <v>2980</v>
      </c>
      <c r="N101" s="915"/>
      <c r="O101" s="915"/>
      <c r="P101" s="915"/>
    </row>
    <row r="102" spans="1:16" ht="28.25" customHeight="1">
      <c r="A102" s="681"/>
      <c r="B102" s="708"/>
      <c r="C102" s="699">
        <v>11</v>
      </c>
      <c r="D102" s="779" t="s">
        <v>2981</v>
      </c>
      <c r="E102" s="694"/>
      <c r="F102" s="695">
        <v>1</v>
      </c>
      <c r="G102" s="695" t="s">
        <v>2839</v>
      </c>
      <c r="H102" s="714">
        <v>25000000</v>
      </c>
      <c r="I102" s="748">
        <f t="shared" si="20"/>
        <v>25000000</v>
      </c>
      <c r="J102" s="798">
        <v>15000000</v>
      </c>
      <c r="K102" s="698">
        <f t="shared" si="21"/>
        <v>40000000</v>
      </c>
      <c r="N102" s="915">
        <v>15000000</v>
      </c>
      <c r="O102" s="915"/>
      <c r="P102" s="915"/>
    </row>
    <row r="103" spans="1:16" ht="28.25" customHeight="1">
      <c r="A103" s="681"/>
      <c r="B103" s="708"/>
      <c r="C103" s="699">
        <v>12</v>
      </c>
      <c r="D103" s="779" t="s">
        <v>2982</v>
      </c>
      <c r="E103" s="694" t="s">
        <v>2983</v>
      </c>
      <c r="F103" s="695">
        <v>1</v>
      </c>
      <c r="G103" s="695" t="s">
        <v>2839</v>
      </c>
      <c r="H103" s="714">
        <v>40000000</v>
      </c>
      <c r="I103" s="748">
        <f t="shared" si="20"/>
        <v>40000000</v>
      </c>
      <c r="J103" s="798">
        <v>106000000</v>
      </c>
      <c r="K103" s="698">
        <f t="shared" si="21"/>
        <v>146000000</v>
      </c>
      <c r="N103" s="915"/>
      <c r="O103" s="915"/>
      <c r="P103" s="915"/>
    </row>
    <row r="104" spans="1:16" ht="37">
      <c r="A104" s="681"/>
      <c r="B104" s="702"/>
      <c r="C104" s="699">
        <v>13</v>
      </c>
      <c r="D104" s="779" t="s">
        <v>2984</v>
      </c>
      <c r="E104" s="721" t="s">
        <v>2985</v>
      </c>
      <c r="F104" s="705">
        <v>1</v>
      </c>
      <c r="G104" s="705" t="s">
        <v>2859</v>
      </c>
      <c r="H104" s="714">
        <v>150000000</v>
      </c>
      <c r="I104" s="748">
        <f t="shared" si="20"/>
        <v>150000000</v>
      </c>
      <c r="J104" s="711">
        <f>SUM(N104:P104)</f>
        <v>43000000</v>
      </c>
      <c r="K104" s="698">
        <f t="shared" si="21"/>
        <v>193000000</v>
      </c>
      <c r="N104" s="915">
        <v>43000000</v>
      </c>
      <c r="O104" s="915"/>
      <c r="P104" s="915"/>
    </row>
    <row r="105" spans="1:16" ht="20.149999999999999" customHeight="1">
      <c r="A105" s="681"/>
      <c r="B105" s="708"/>
      <c r="C105" s="699">
        <v>14</v>
      </c>
      <c r="D105" s="699" t="s">
        <v>2986</v>
      </c>
      <c r="E105" s="721" t="s">
        <v>2987</v>
      </c>
      <c r="F105" s="695">
        <v>1</v>
      </c>
      <c r="G105" s="695" t="s">
        <v>2859</v>
      </c>
      <c r="H105" s="714">
        <v>250000000</v>
      </c>
      <c r="I105" s="748">
        <f t="shared" si="20"/>
        <v>250000000</v>
      </c>
      <c r="J105" s="798"/>
      <c r="K105" s="698">
        <f t="shared" si="21"/>
        <v>250000000</v>
      </c>
      <c r="N105" s="915"/>
      <c r="O105" s="915"/>
      <c r="P105" s="915"/>
    </row>
    <row r="106" spans="1:16" ht="20.149999999999999" customHeight="1">
      <c r="A106" s="681"/>
      <c r="B106" s="708"/>
      <c r="C106" s="699">
        <v>15</v>
      </c>
      <c r="D106" s="779" t="s">
        <v>2988</v>
      </c>
      <c r="E106" s="726" t="s">
        <v>2989</v>
      </c>
      <c r="F106" s="705">
        <v>2</v>
      </c>
      <c r="G106" s="705" t="s">
        <v>2875</v>
      </c>
      <c r="H106" s="714">
        <v>1500000</v>
      </c>
      <c r="I106" s="748">
        <f t="shared" si="20"/>
        <v>3000000</v>
      </c>
      <c r="J106" s="798">
        <v>15000000</v>
      </c>
      <c r="K106" s="698">
        <f t="shared" si="21"/>
        <v>18000000</v>
      </c>
      <c r="N106" s="915"/>
      <c r="O106" s="915"/>
      <c r="P106" s="915"/>
    </row>
    <row r="107" spans="1:16" ht="20.149999999999999" customHeight="1">
      <c r="A107" s="681"/>
      <c r="B107" s="708"/>
      <c r="C107" s="699">
        <v>16</v>
      </c>
      <c r="D107" s="779" t="s">
        <v>2990</v>
      </c>
      <c r="E107" s="694" t="s">
        <v>2991</v>
      </c>
      <c r="F107" s="705">
        <v>2</v>
      </c>
      <c r="G107" s="705" t="s">
        <v>2875</v>
      </c>
      <c r="H107" s="714">
        <v>3000000</v>
      </c>
      <c r="I107" s="748">
        <f t="shared" si="20"/>
        <v>6000000</v>
      </c>
      <c r="J107" s="798">
        <f>55000000*2</f>
        <v>110000000</v>
      </c>
      <c r="K107" s="698">
        <f t="shared" si="21"/>
        <v>116000000</v>
      </c>
      <c r="N107" s="915"/>
      <c r="O107" s="915"/>
      <c r="P107" s="915"/>
    </row>
    <row r="108" spans="1:16" ht="20.149999999999999" customHeight="1">
      <c r="A108" s="681"/>
      <c r="B108" s="708"/>
      <c r="C108" s="699">
        <v>17</v>
      </c>
      <c r="D108" s="699" t="s">
        <v>2992</v>
      </c>
      <c r="E108" s="758" t="s">
        <v>2993</v>
      </c>
      <c r="F108" s="695">
        <v>1</v>
      </c>
      <c r="G108" s="695" t="s">
        <v>2859</v>
      </c>
      <c r="H108" s="714">
        <v>55000000</v>
      </c>
      <c r="I108" s="748">
        <f t="shared" si="20"/>
        <v>55000000</v>
      </c>
      <c r="J108" s="711">
        <f>SUM(N108:P108)</f>
        <v>15000000</v>
      </c>
      <c r="K108" s="698">
        <f t="shared" si="21"/>
        <v>70000000</v>
      </c>
      <c r="N108" s="915">
        <v>15000000</v>
      </c>
      <c r="O108" s="915"/>
      <c r="P108" s="915"/>
    </row>
    <row r="109" spans="1:16" ht="20.149999999999999" customHeight="1">
      <c r="A109" s="681"/>
      <c r="B109" s="708"/>
      <c r="C109" s="699">
        <v>18</v>
      </c>
      <c r="D109" s="749" t="s">
        <v>2994</v>
      </c>
      <c r="E109" s="721" t="s">
        <v>2995</v>
      </c>
      <c r="F109" s="695">
        <v>1</v>
      </c>
      <c r="G109" s="695" t="s">
        <v>2859</v>
      </c>
      <c r="H109" s="714">
        <v>170000000</v>
      </c>
      <c r="I109" s="748">
        <f t="shared" si="20"/>
        <v>170000000</v>
      </c>
      <c r="J109" s="711">
        <f>SUM(N109:P109)</f>
        <v>73500000</v>
      </c>
      <c r="K109" s="698">
        <f t="shared" si="21"/>
        <v>243500000</v>
      </c>
      <c r="N109" s="915">
        <v>31000000</v>
      </c>
      <c r="O109" s="915">
        <v>29500000</v>
      </c>
      <c r="P109" s="915">
        <v>13000000</v>
      </c>
    </row>
    <row r="110" spans="1:16" ht="22.75" customHeight="1">
      <c r="A110" s="681"/>
      <c r="B110" s="708"/>
      <c r="C110" s="699">
        <v>19</v>
      </c>
      <c r="D110" s="709" t="s">
        <v>2996</v>
      </c>
      <c r="E110" s="726"/>
      <c r="F110" s="695">
        <v>1</v>
      </c>
      <c r="G110" s="695" t="s">
        <v>2859</v>
      </c>
      <c r="H110" s="714">
        <v>45000000</v>
      </c>
      <c r="I110" s="748">
        <f t="shared" si="20"/>
        <v>45000000</v>
      </c>
      <c r="J110" s="711">
        <f>SUM(N110:P110)</f>
        <v>15000000</v>
      </c>
      <c r="K110" s="698">
        <f t="shared" si="21"/>
        <v>60000000</v>
      </c>
      <c r="N110" s="915">
        <v>15000000</v>
      </c>
      <c r="O110" s="915"/>
      <c r="P110" s="915"/>
    </row>
    <row r="111" spans="1:16" ht="22.75" customHeight="1">
      <c r="A111" s="681"/>
      <c r="B111" s="708"/>
      <c r="C111" s="699">
        <v>20</v>
      </c>
      <c r="D111" s="709" t="s">
        <v>2997</v>
      </c>
      <c r="E111" s="726" t="s">
        <v>2998</v>
      </c>
      <c r="F111" s="695">
        <v>1</v>
      </c>
      <c r="G111" s="695" t="s">
        <v>2859</v>
      </c>
      <c r="H111" s="714">
        <v>180000000</v>
      </c>
      <c r="I111" s="748">
        <f t="shared" si="20"/>
        <v>180000000</v>
      </c>
      <c r="J111" s="798"/>
      <c r="K111" s="698">
        <f t="shared" si="21"/>
        <v>180000000</v>
      </c>
      <c r="N111" s="915"/>
      <c r="O111" s="915"/>
      <c r="P111" s="915"/>
    </row>
    <row r="112" spans="1:16" ht="22.75" customHeight="1">
      <c r="A112" s="681"/>
      <c r="B112" s="708"/>
      <c r="C112" s="699">
        <v>21</v>
      </c>
      <c r="D112" s="709" t="s">
        <v>2999</v>
      </c>
      <c r="E112" s="726" t="s">
        <v>3000</v>
      </c>
      <c r="F112" s="695">
        <v>1</v>
      </c>
      <c r="G112" s="695" t="s">
        <v>2839</v>
      </c>
      <c r="H112" s="714">
        <v>110000000</v>
      </c>
      <c r="I112" s="748">
        <f t="shared" si="20"/>
        <v>110000000</v>
      </c>
      <c r="J112" s="798"/>
      <c r="K112" s="698">
        <f t="shared" si="21"/>
        <v>110000000</v>
      </c>
      <c r="N112" s="915"/>
      <c r="O112" s="915"/>
      <c r="P112" s="915"/>
    </row>
    <row r="113" spans="1:16" ht="22.75" customHeight="1">
      <c r="A113" s="681"/>
      <c r="B113" s="708"/>
      <c r="C113" s="699">
        <v>22</v>
      </c>
      <c r="D113" s="709" t="s">
        <v>3001</v>
      </c>
      <c r="E113" s="726"/>
      <c r="F113" s="695">
        <v>1</v>
      </c>
      <c r="G113" s="695" t="s">
        <v>2839</v>
      </c>
      <c r="H113" s="714">
        <v>25000000</v>
      </c>
      <c r="I113" s="748">
        <f t="shared" si="20"/>
        <v>25000000</v>
      </c>
      <c r="J113" s="711">
        <f>SUM(N113:P113)</f>
        <v>15000000</v>
      </c>
      <c r="K113" s="698">
        <f t="shared" si="21"/>
        <v>40000000</v>
      </c>
      <c r="N113" s="915">
        <v>15000000</v>
      </c>
      <c r="O113" s="915"/>
      <c r="P113" s="915"/>
    </row>
    <row r="114" spans="1:16" ht="22.75" customHeight="1">
      <c r="A114" s="681"/>
      <c r="B114" s="708"/>
      <c r="C114" s="699">
        <v>23</v>
      </c>
      <c r="D114" s="709" t="s">
        <v>3002</v>
      </c>
      <c r="E114" s="726" t="s">
        <v>3003</v>
      </c>
      <c r="F114" s="695">
        <v>1</v>
      </c>
      <c r="G114" s="695" t="s">
        <v>2839</v>
      </c>
      <c r="H114" s="714">
        <v>3500000</v>
      </c>
      <c r="I114" s="748">
        <f t="shared" si="20"/>
        <v>3500000</v>
      </c>
      <c r="J114" s="798">
        <v>65000000</v>
      </c>
      <c r="K114" s="698">
        <f t="shared" si="21"/>
        <v>68500000</v>
      </c>
      <c r="N114" s="915"/>
      <c r="O114" s="915"/>
      <c r="P114" s="915"/>
    </row>
    <row r="115" spans="1:16" ht="22.75" customHeight="1">
      <c r="A115" s="681"/>
      <c r="B115" s="708"/>
      <c r="C115" s="699">
        <v>24</v>
      </c>
      <c r="D115" s="709" t="s">
        <v>3004</v>
      </c>
      <c r="E115" s="726"/>
      <c r="F115" s="695">
        <v>1</v>
      </c>
      <c r="G115" s="695" t="s">
        <v>2839</v>
      </c>
      <c r="H115" s="714">
        <v>25000000</v>
      </c>
      <c r="I115" s="748">
        <f t="shared" si="20"/>
        <v>25000000</v>
      </c>
      <c r="J115" s="798"/>
      <c r="K115" s="698">
        <f t="shared" si="21"/>
        <v>25000000</v>
      </c>
      <c r="N115" s="915">
        <v>15000000</v>
      </c>
      <c r="O115" s="915"/>
      <c r="P115" s="915"/>
    </row>
    <row r="116" spans="1:16" ht="22.75" customHeight="1">
      <c r="A116" s="681"/>
      <c r="B116" s="708"/>
      <c r="C116" s="699">
        <v>25</v>
      </c>
      <c r="D116" s="709" t="s">
        <v>3005</v>
      </c>
      <c r="E116" s="726" t="s">
        <v>2998</v>
      </c>
      <c r="F116" s="695">
        <v>1</v>
      </c>
      <c r="G116" s="695" t="s">
        <v>2839</v>
      </c>
      <c r="H116" s="714">
        <v>180000000</v>
      </c>
      <c r="I116" s="748">
        <f t="shared" si="20"/>
        <v>180000000</v>
      </c>
      <c r="J116" s="798"/>
      <c r="K116" s="698">
        <f t="shared" si="21"/>
        <v>180000000</v>
      </c>
      <c r="N116" s="915"/>
      <c r="O116" s="915"/>
      <c r="P116" s="915"/>
    </row>
    <row r="117" spans="1:16" ht="22.75" customHeight="1">
      <c r="A117" s="681"/>
      <c r="B117" s="708"/>
      <c r="C117" s="699">
        <v>26</v>
      </c>
      <c r="D117" s="709" t="s">
        <v>3006</v>
      </c>
      <c r="E117" s="726"/>
      <c r="F117" s="695">
        <v>1</v>
      </c>
      <c r="G117" s="695" t="s">
        <v>2839</v>
      </c>
      <c r="H117" s="714">
        <v>25000000</v>
      </c>
      <c r="I117" s="748">
        <f t="shared" si="20"/>
        <v>25000000</v>
      </c>
      <c r="J117" s="711">
        <f>SUM(N117:P117)</f>
        <v>15000000</v>
      </c>
      <c r="K117" s="698">
        <f t="shared" si="21"/>
        <v>40000000</v>
      </c>
      <c r="N117" s="915">
        <v>15000000</v>
      </c>
      <c r="O117" s="915"/>
      <c r="P117" s="915"/>
    </row>
    <row r="118" spans="1:16" ht="22.75" customHeight="1">
      <c r="A118" s="681"/>
      <c r="B118" s="708"/>
      <c r="C118" s="699">
        <v>27</v>
      </c>
      <c r="D118" s="709" t="s">
        <v>3007</v>
      </c>
      <c r="E118" s="726" t="s">
        <v>3000</v>
      </c>
      <c r="F118" s="695">
        <v>1</v>
      </c>
      <c r="G118" s="695" t="s">
        <v>2839</v>
      </c>
      <c r="H118" s="714">
        <v>110000000</v>
      </c>
      <c r="I118" s="748">
        <f t="shared" si="20"/>
        <v>110000000</v>
      </c>
      <c r="J118" s="798"/>
      <c r="K118" s="698">
        <f t="shared" si="21"/>
        <v>110000000</v>
      </c>
      <c r="N118" s="915"/>
      <c r="O118" s="915"/>
      <c r="P118" s="915"/>
    </row>
    <row r="119" spans="1:16" ht="22.75" customHeight="1">
      <c r="A119" s="681"/>
      <c r="B119" s="708"/>
      <c r="C119" s="699">
        <v>28</v>
      </c>
      <c r="D119" s="709" t="s">
        <v>3008</v>
      </c>
      <c r="E119" s="726"/>
      <c r="F119" s="695">
        <v>1</v>
      </c>
      <c r="G119" s="695" t="s">
        <v>2839</v>
      </c>
      <c r="H119" s="714">
        <v>25000000</v>
      </c>
      <c r="I119" s="748">
        <f t="shared" si="20"/>
        <v>25000000</v>
      </c>
      <c r="J119" s="711">
        <f>SUM(N119:P119)</f>
        <v>15000000</v>
      </c>
      <c r="K119" s="698">
        <f t="shared" si="21"/>
        <v>40000000</v>
      </c>
      <c r="N119" s="915">
        <v>15000000</v>
      </c>
      <c r="O119" s="915"/>
      <c r="P119" s="915"/>
    </row>
    <row r="120" spans="1:16" ht="22.75" customHeight="1">
      <c r="A120" s="681"/>
      <c r="B120" s="708"/>
      <c r="C120" s="699">
        <v>29</v>
      </c>
      <c r="D120" s="709" t="s">
        <v>3009</v>
      </c>
      <c r="E120" s="726" t="s">
        <v>3003</v>
      </c>
      <c r="F120" s="695">
        <v>1</v>
      </c>
      <c r="G120" s="695" t="s">
        <v>2839</v>
      </c>
      <c r="H120" s="714">
        <v>3500000</v>
      </c>
      <c r="I120" s="748">
        <f t="shared" si="20"/>
        <v>3500000</v>
      </c>
      <c r="J120" s="798">
        <v>65000000</v>
      </c>
      <c r="K120" s="698">
        <f t="shared" si="21"/>
        <v>68500000</v>
      </c>
      <c r="N120" s="915"/>
      <c r="O120" s="915"/>
      <c r="P120" s="915"/>
    </row>
    <row r="121" spans="1:16" ht="20.149999999999999" customHeight="1">
      <c r="A121" s="681"/>
      <c r="B121" s="708"/>
      <c r="C121" s="699">
        <v>30</v>
      </c>
      <c r="D121" s="699" t="s">
        <v>3010</v>
      </c>
      <c r="E121" s="758" t="s">
        <v>3011</v>
      </c>
      <c r="F121" s="695">
        <v>8</v>
      </c>
      <c r="G121" s="695" t="s">
        <v>2847</v>
      </c>
      <c r="H121" s="714">
        <v>8000000</v>
      </c>
      <c r="I121" s="748">
        <f t="shared" si="20"/>
        <v>64000000</v>
      </c>
      <c r="J121" s="711">
        <f>SUM(N121:P121)</f>
        <v>21000000</v>
      </c>
      <c r="K121" s="698">
        <f t="shared" si="21"/>
        <v>85000000</v>
      </c>
      <c r="N121" s="915">
        <v>21000000</v>
      </c>
      <c r="O121" s="915"/>
      <c r="P121" s="915"/>
    </row>
    <row r="122" spans="1:16" ht="55.5">
      <c r="A122" s="681"/>
      <c r="B122" s="708"/>
      <c r="C122" s="699">
        <v>31</v>
      </c>
      <c r="D122" s="699" t="s">
        <v>3012</v>
      </c>
      <c r="E122" s="726" t="s">
        <v>3013</v>
      </c>
      <c r="F122" s="695">
        <v>1</v>
      </c>
      <c r="G122" s="695" t="s">
        <v>2859</v>
      </c>
      <c r="H122" s="714">
        <v>250000000</v>
      </c>
      <c r="I122" s="748">
        <f t="shared" si="20"/>
        <v>250000000</v>
      </c>
      <c r="J122" s="711">
        <f>SUM(N122:P122)</f>
        <v>222000000</v>
      </c>
      <c r="K122" s="698">
        <f t="shared" si="21"/>
        <v>472000000</v>
      </c>
      <c r="N122" s="915">
        <f>74000000*3</f>
        <v>222000000</v>
      </c>
      <c r="O122" s="915"/>
      <c r="P122" s="915"/>
    </row>
    <row r="123" spans="1:16" ht="20.149999999999999" customHeight="1">
      <c r="A123" s="681"/>
      <c r="B123" s="708"/>
      <c r="C123" s="699">
        <v>32</v>
      </c>
      <c r="D123" s="699" t="s">
        <v>3014</v>
      </c>
      <c r="E123" s="758" t="s">
        <v>3015</v>
      </c>
      <c r="F123" s="695">
        <v>6.5</v>
      </c>
      <c r="G123" s="695" t="s">
        <v>2847</v>
      </c>
      <c r="H123" s="714">
        <v>8000000</v>
      </c>
      <c r="I123" s="748">
        <f t="shared" si="20"/>
        <v>52000000</v>
      </c>
      <c r="J123" s="711">
        <f>SUM(N123:P123)</f>
        <v>21000000</v>
      </c>
      <c r="K123" s="698">
        <f t="shared" si="21"/>
        <v>73000000</v>
      </c>
      <c r="N123" s="915">
        <v>21000000</v>
      </c>
      <c r="O123" s="915"/>
      <c r="P123" s="915"/>
    </row>
    <row r="124" spans="1:16" ht="18.5">
      <c r="A124" s="681"/>
      <c r="B124" s="708"/>
      <c r="C124" s="699">
        <v>33</v>
      </c>
      <c r="D124" s="749" t="s">
        <v>3016</v>
      </c>
      <c r="E124" s="721" t="s">
        <v>3017</v>
      </c>
      <c r="F124" s="695">
        <v>1</v>
      </c>
      <c r="G124" s="695" t="s">
        <v>2859</v>
      </c>
      <c r="H124" s="714">
        <v>170000000</v>
      </c>
      <c r="I124" s="748">
        <f t="shared" si="20"/>
        <v>170000000</v>
      </c>
      <c r="J124" s="711">
        <f>SUM(N124:P124)</f>
        <v>80000000</v>
      </c>
      <c r="K124" s="698">
        <f t="shared" si="21"/>
        <v>250000000</v>
      </c>
      <c r="N124" s="915">
        <v>31000000</v>
      </c>
      <c r="O124" s="915">
        <v>36000000</v>
      </c>
      <c r="P124" s="915">
        <v>13000000</v>
      </c>
    </row>
    <row r="125" spans="1:16" ht="20.149999999999999" customHeight="1">
      <c r="A125" s="681"/>
      <c r="B125" s="708"/>
      <c r="C125" s="699">
        <v>34</v>
      </c>
      <c r="D125" s="699" t="s">
        <v>3018</v>
      </c>
      <c r="E125" s="758" t="s">
        <v>3019</v>
      </c>
      <c r="F125" s="695">
        <v>6</v>
      </c>
      <c r="G125" s="695" t="s">
        <v>2847</v>
      </c>
      <c r="H125" s="714">
        <v>8000000</v>
      </c>
      <c r="I125" s="748">
        <f t="shared" si="20"/>
        <v>48000000</v>
      </c>
      <c r="J125" s="711">
        <f>SUM(N125:P125)</f>
        <v>21000000</v>
      </c>
      <c r="K125" s="698">
        <f t="shared" si="21"/>
        <v>69000000</v>
      </c>
      <c r="N125" s="915">
        <v>21000000</v>
      </c>
      <c r="O125" s="915"/>
      <c r="P125" s="915"/>
    </row>
    <row r="126" spans="1:16" ht="25.25" customHeight="1">
      <c r="A126" s="681"/>
      <c r="B126" s="708"/>
      <c r="C126" s="699">
        <v>35</v>
      </c>
      <c r="D126" s="699" t="s">
        <v>3020</v>
      </c>
      <c r="E126" s="726" t="s">
        <v>3021</v>
      </c>
      <c r="F126" s="695">
        <v>2</v>
      </c>
      <c r="G126" s="695" t="s">
        <v>2875</v>
      </c>
      <c r="H126" s="714">
        <v>220000000</v>
      </c>
      <c r="I126" s="748">
        <f t="shared" si="20"/>
        <v>440000000</v>
      </c>
      <c r="J126" s="798"/>
      <c r="K126" s="698">
        <f t="shared" si="21"/>
        <v>440000000</v>
      </c>
      <c r="N126" s="915"/>
      <c r="O126" s="915"/>
      <c r="P126" s="915"/>
    </row>
    <row r="127" spans="1:16" ht="25.25" customHeight="1">
      <c r="A127" s="681"/>
      <c r="B127" s="708"/>
      <c r="C127" s="699">
        <v>36</v>
      </c>
      <c r="D127" s="699" t="s">
        <v>3023</v>
      </c>
      <c r="E127" s="726" t="s">
        <v>3003</v>
      </c>
      <c r="F127" s="695">
        <v>2</v>
      </c>
      <c r="G127" s="695" t="s">
        <v>2875</v>
      </c>
      <c r="H127" s="714">
        <v>3500000</v>
      </c>
      <c r="I127" s="748">
        <f t="shared" si="20"/>
        <v>7000000</v>
      </c>
      <c r="J127" s="798">
        <f>135000000*2</f>
        <v>270000000</v>
      </c>
      <c r="K127" s="698">
        <f t="shared" si="21"/>
        <v>277000000</v>
      </c>
      <c r="N127" s="915"/>
      <c r="O127" s="915"/>
      <c r="P127" s="915"/>
    </row>
    <row r="128" spans="1:16" ht="20.149999999999999" customHeight="1">
      <c r="A128" s="681"/>
      <c r="B128" s="708"/>
      <c r="C128" s="699">
        <v>37</v>
      </c>
      <c r="D128" s="699" t="s">
        <v>3024</v>
      </c>
      <c r="E128" s="758" t="s">
        <v>3025</v>
      </c>
      <c r="F128" s="695">
        <v>8.1999999999999993</v>
      </c>
      <c r="G128" s="695" t="s">
        <v>2859</v>
      </c>
      <c r="H128" s="714">
        <v>8000000</v>
      </c>
      <c r="I128" s="748">
        <f t="shared" si="20"/>
        <v>65599999.999999993</v>
      </c>
      <c r="J128" s="711">
        <f t="shared" ref="J128:J136" si="22">SUM(N128:P128)</f>
        <v>21000000</v>
      </c>
      <c r="K128" s="698">
        <f t="shared" si="21"/>
        <v>86600000</v>
      </c>
      <c r="N128" s="915">
        <v>21000000</v>
      </c>
      <c r="O128" s="915"/>
      <c r="P128" s="915"/>
    </row>
    <row r="129" spans="1:16" ht="18.5">
      <c r="A129" s="681"/>
      <c r="B129" s="708"/>
      <c r="C129" s="699">
        <v>38</v>
      </c>
      <c r="D129" s="749" t="s">
        <v>3026</v>
      </c>
      <c r="E129" s="721" t="s">
        <v>3017</v>
      </c>
      <c r="F129" s="695">
        <v>1</v>
      </c>
      <c r="G129" s="695" t="s">
        <v>2859</v>
      </c>
      <c r="H129" s="714">
        <v>170000000</v>
      </c>
      <c r="I129" s="748">
        <f t="shared" si="20"/>
        <v>170000000</v>
      </c>
      <c r="J129" s="711">
        <f t="shared" si="22"/>
        <v>80000000</v>
      </c>
      <c r="K129" s="698">
        <f t="shared" si="21"/>
        <v>250000000</v>
      </c>
      <c r="N129" s="915">
        <v>31000000</v>
      </c>
      <c r="O129" s="915">
        <v>36000000</v>
      </c>
      <c r="P129" s="915">
        <v>13000000</v>
      </c>
    </row>
    <row r="130" spans="1:16" ht="20.149999999999999" customHeight="1">
      <c r="A130" s="681"/>
      <c r="B130" s="708"/>
      <c r="C130" s="699">
        <v>39</v>
      </c>
      <c r="D130" s="699" t="s">
        <v>3027</v>
      </c>
      <c r="E130" s="758" t="s">
        <v>3028</v>
      </c>
      <c r="F130" s="695">
        <v>20</v>
      </c>
      <c r="G130" s="695" t="s">
        <v>2859</v>
      </c>
      <c r="H130" s="714">
        <v>11000000</v>
      </c>
      <c r="I130" s="748">
        <f t="shared" si="20"/>
        <v>220000000</v>
      </c>
      <c r="J130" s="711">
        <f t="shared" si="22"/>
        <v>31000000</v>
      </c>
      <c r="K130" s="698">
        <f t="shared" si="21"/>
        <v>251000000</v>
      </c>
      <c r="N130" s="915">
        <v>31000000</v>
      </c>
      <c r="O130" s="915"/>
      <c r="P130" s="915"/>
    </row>
    <row r="131" spans="1:16" ht="20.149999999999999" customHeight="1">
      <c r="A131" s="681"/>
      <c r="B131" s="708"/>
      <c r="C131" s="699">
        <v>40</v>
      </c>
      <c r="D131" s="699" t="s">
        <v>3029</v>
      </c>
      <c r="E131" s="758" t="s">
        <v>3028</v>
      </c>
      <c r="F131" s="695">
        <v>20</v>
      </c>
      <c r="G131" s="695" t="s">
        <v>2859</v>
      </c>
      <c r="H131" s="714">
        <v>11000000</v>
      </c>
      <c r="I131" s="748">
        <f t="shared" si="20"/>
        <v>220000000</v>
      </c>
      <c r="J131" s="711">
        <f t="shared" si="22"/>
        <v>31000000</v>
      </c>
      <c r="K131" s="698">
        <f t="shared" si="21"/>
        <v>251000000</v>
      </c>
      <c r="N131" s="915">
        <v>31000000</v>
      </c>
      <c r="O131" s="915"/>
      <c r="P131" s="915"/>
    </row>
    <row r="132" spans="1:16" ht="20.149999999999999" customHeight="1">
      <c r="A132" s="681"/>
      <c r="B132" s="708"/>
      <c r="C132" s="699">
        <v>41</v>
      </c>
      <c r="D132" s="699" t="s">
        <v>3030</v>
      </c>
      <c r="E132" s="758" t="s">
        <v>3031</v>
      </c>
      <c r="F132" s="695">
        <v>17</v>
      </c>
      <c r="G132" s="695" t="s">
        <v>2859</v>
      </c>
      <c r="H132" s="714">
        <v>10000000</v>
      </c>
      <c r="I132" s="748">
        <f t="shared" si="20"/>
        <v>170000000</v>
      </c>
      <c r="J132" s="711">
        <f t="shared" si="22"/>
        <v>31000000</v>
      </c>
      <c r="K132" s="698">
        <f t="shared" si="21"/>
        <v>201000000</v>
      </c>
      <c r="N132" s="915">
        <v>31000000</v>
      </c>
      <c r="O132" s="915"/>
      <c r="P132" s="915"/>
    </row>
    <row r="133" spans="1:16" ht="37">
      <c r="A133" s="681"/>
      <c r="B133" s="702"/>
      <c r="C133" s="699">
        <v>42</v>
      </c>
      <c r="D133" s="820" t="s">
        <v>3032</v>
      </c>
      <c r="E133" s="758" t="s">
        <v>3033</v>
      </c>
      <c r="F133" s="705">
        <v>20.5</v>
      </c>
      <c r="G133" s="705" t="s">
        <v>2859</v>
      </c>
      <c r="H133" s="750">
        <v>17000000</v>
      </c>
      <c r="I133" s="821">
        <f t="shared" si="20"/>
        <v>348500000</v>
      </c>
      <c r="J133" s="711">
        <f t="shared" si="22"/>
        <v>51000000</v>
      </c>
      <c r="K133" s="698">
        <f t="shared" si="21"/>
        <v>399500000</v>
      </c>
      <c r="N133" s="915">
        <v>51000000</v>
      </c>
      <c r="O133" s="915"/>
      <c r="P133" s="915"/>
    </row>
    <row r="134" spans="1:16" ht="37">
      <c r="A134" s="681"/>
      <c r="B134" s="702"/>
      <c r="C134" s="699">
        <v>43</v>
      </c>
      <c r="D134" s="820" t="s">
        <v>3032</v>
      </c>
      <c r="E134" s="758" t="s">
        <v>3033</v>
      </c>
      <c r="F134" s="705">
        <v>20.5</v>
      </c>
      <c r="G134" s="705" t="s">
        <v>2859</v>
      </c>
      <c r="H134" s="750">
        <v>17000000</v>
      </c>
      <c r="I134" s="821">
        <f t="shared" si="20"/>
        <v>348500000</v>
      </c>
      <c r="J134" s="711">
        <f t="shared" si="22"/>
        <v>51000000</v>
      </c>
      <c r="K134" s="698">
        <f t="shared" si="21"/>
        <v>399500000</v>
      </c>
      <c r="N134" s="915">
        <v>51000000</v>
      </c>
      <c r="O134" s="915"/>
      <c r="P134" s="915"/>
    </row>
    <row r="135" spans="1:16" ht="37">
      <c r="A135" s="681"/>
      <c r="B135" s="702"/>
      <c r="C135" s="699">
        <v>44</v>
      </c>
      <c r="D135" s="820" t="s">
        <v>3032</v>
      </c>
      <c r="E135" s="758" t="s">
        <v>3033</v>
      </c>
      <c r="F135" s="705">
        <v>20.5</v>
      </c>
      <c r="G135" s="705" t="s">
        <v>2859</v>
      </c>
      <c r="H135" s="750">
        <v>17000000</v>
      </c>
      <c r="I135" s="821">
        <f t="shared" si="20"/>
        <v>348500000</v>
      </c>
      <c r="J135" s="711">
        <f t="shared" si="22"/>
        <v>51000000</v>
      </c>
      <c r="K135" s="698">
        <f t="shared" si="21"/>
        <v>399500000</v>
      </c>
      <c r="N135" s="915">
        <v>51000000</v>
      </c>
      <c r="O135" s="915"/>
      <c r="P135" s="915"/>
    </row>
    <row r="136" spans="1:16" ht="37">
      <c r="A136" s="681"/>
      <c r="B136" s="702"/>
      <c r="C136" s="699">
        <v>45</v>
      </c>
      <c r="D136" s="820" t="s">
        <v>3032</v>
      </c>
      <c r="E136" s="758" t="s">
        <v>3034</v>
      </c>
      <c r="F136" s="705">
        <v>20.5</v>
      </c>
      <c r="G136" s="705" t="s">
        <v>2859</v>
      </c>
      <c r="H136" s="750">
        <v>17000000</v>
      </c>
      <c r="I136" s="821">
        <f t="shared" si="20"/>
        <v>348500000</v>
      </c>
      <c r="J136" s="711">
        <f t="shared" si="22"/>
        <v>51000000</v>
      </c>
      <c r="K136" s="698">
        <f t="shared" si="21"/>
        <v>399500000</v>
      </c>
      <c r="N136" s="915">
        <v>51000000</v>
      </c>
      <c r="O136" s="915"/>
      <c r="P136" s="915"/>
    </row>
    <row r="137" spans="1:16" ht="20.149999999999999" customHeight="1">
      <c r="A137" s="681"/>
      <c r="B137" s="736"/>
      <c r="C137" s="737"/>
      <c r="D137" s="737"/>
      <c r="E137" s="738"/>
      <c r="F137" s="739"/>
      <c r="G137" s="739"/>
      <c r="H137" s="822"/>
      <c r="I137" s="741">
        <f t="shared" ref="I137:J137" si="23">SUM(I92:I136)</f>
        <v>6951260000</v>
      </c>
      <c r="J137" s="741">
        <f t="shared" si="23"/>
        <v>1877500000</v>
      </c>
      <c r="K137" s="741">
        <f>SUM(K92:K136)</f>
        <v>8828760000</v>
      </c>
      <c r="N137" s="915"/>
      <c r="O137" s="915"/>
      <c r="P137" s="915"/>
    </row>
    <row r="138" spans="1:16" ht="20.149999999999999" customHeight="1">
      <c r="A138" s="681"/>
      <c r="B138" s="823">
        <v>4</v>
      </c>
      <c r="C138" s="824" t="s">
        <v>3035</v>
      </c>
      <c r="D138" s="825"/>
      <c r="E138" s="826"/>
      <c r="F138" s="827"/>
      <c r="G138" s="827"/>
      <c r="H138" s="828"/>
      <c r="I138" s="829"/>
      <c r="J138" s="827"/>
      <c r="K138" s="718"/>
      <c r="N138" s="915"/>
      <c r="O138" s="915"/>
      <c r="P138" s="915"/>
    </row>
    <row r="139" spans="1:16" ht="20.149999999999999" customHeight="1">
      <c r="A139" s="681"/>
      <c r="B139" s="830"/>
      <c r="C139" s="779">
        <v>1</v>
      </c>
      <c r="D139" s="779" t="s">
        <v>3036</v>
      </c>
      <c r="E139" s="726" t="s">
        <v>3037</v>
      </c>
      <c r="F139" s="705">
        <v>1</v>
      </c>
      <c r="G139" s="705" t="s">
        <v>2839</v>
      </c>
      <c r="H139" s="714">
        <v>750000000</v>
      </c>
      <c r="I139" s="821">
        <f t="shared" ref="I139:I145" si="24">H139*F139</f>
        <v>750000000</v>
      </c>
      <c r="J139" s="813"/>
      <c r="K139" s="698">
        <f t="shared" ref="K139:K145" si="25">I139+J139</f>
        <v>750000000</v>
      </c>
      <c r="N139" s="915"/>
      <c r="O139" s="915"/>
      <c r="P139" s="915"/>
    </row>
    <row r="140" spans="1:16" ht="38.4" customHeight="1">
      <c r="A140" s="681"/>
      <c r="B140" s="830"/>
      <c r="C140" s="779">
        <v>2</v>
      </c>
      <c r="D140" s="779" t="s">
        <v>3038</v>
      </c>
      <c r="E140" s="726" t="s">
        <v>3039</v>
      </c>
      <c r="F140" s="705">
        <v>1</v>
      </c>
      <c r="G140" s="705" t="s">
        <v>2839</v>
      </c>
      <c r="H140" s="714">
        <v>420000000</v>
      </c>
      <c r="I140" s="821">
        <f t="shared" si="24"/>
        <v>420000000</v>
      </c>
      <c r="J140" s="813"/>
      <c r="K140" s="698">
        <f t="shared" si="25"/>
        <v>420000000</v>
      </c>
      <c r="N140" s="915"/>
      <c r="O140" s="915"/>
      <c r="P140" s="915"/>
    </row>
    <row r="141" spans="1:16" ht="20.149999999999999" customHeight="1">
      <c r="A141" s="681"/>
      <c r="B141" s="830"/>
      <c r="C141" s="779">
        <v>3</v>
      </c>
      <c r="D141" s="779" t="s">
        <v>3040</v>
      </c>
      <c r="E141" s="726" t="s">
        <v>3041</v>
      </c>
      <c r="F141" s="705">
        <v>1</v>
      </c>
      <c r="G141" s="705" t="s">
        <v>2839</v>
      </c>
      <c r="H141" s="714">
        <v>170000000</v>
      </c>
      <c r="I141" s="821">
        <f t="shared" si="24"/>
        <v>170000000</v>
      </c>
      <c r="J141" s="813"/>
      <c r="K141" s="698">
        <f t="shared" si="25"/>
        <v>170000000</v>
      </c>
      <c r="N141" s="915"/>
      <c r="O141" s="915"/>
      <c r="P141" s="915"/>
    </row>
    <row r="142" spans="1:16" ht="20.149999999999999" customHeight="1">
      <c r="A142" s="681"/>
      <c r="B142" s="830"/>
      <c r="C142" s="779">
        <v>4</v>
      </c>
      <c r="D142" s="699" t="s">
        <v>3042</v>
      </c>
      <c r="E142" s="726" t="s">
        <v>3043</v>
      </c>
      <c r="F142" s="695">
        <v>1</v>
      </c>
      <c r="G142" s="695" t="s">
        <v>2839</v>
      </c>
      <c r="H142" s="714">
        <v>215000000</v>
      </c>
      <c r="I142" s="821">
        <f t="shared" si="24"/>
        <v>215000000</v>
      </c>
      <c r="J142" s="813">
        <v>1500000000</v>
      </c>
      <c r="K142" s="698">
        <f t="shared" si="25"/>
        <v>1715000000</v>
      </c>
      <c r="N142" s="915"/>
      <c r="O142" s="915"/>
      <c r="P142" s="915"/>
    </row>
    <row r="143" spans="1:16" ht="20.149999999999999" customHeight="1">
      <c r="A143" s="681"/>
      <c r="B143" s="830"/>
      <c r="C143" s="779">
        <v>5</v>
      </c>
      <c r="D143" s="779" t="s">
        <v>3044</v>
      </c>
      <c r="E143" s="726" t="s">
        <v>3045</v>
      </c>
      <c r="F143" s="705">
        <v>1</v>
      </c>
      <c r="G143" s="705" t="s">
        <v>2839</v>
      </c>
      <c r="H143" s="714">
        <v>30000000</v>
      </c>
      <c r="I143" s="821">
        <f t="shared" si="24"/>
        <v>30000000</v>
      </c>
      <c r="J143" s="813"/>
      <c r="K143" s="698">
        <f t="shared" si="25"/>
        <v>30000000</v>
      </c>
      <c r="N143" s="915"/>
      <c r="O143" s="915"/>
      <c r="P143" s="915"/>
    </row>
    <row r="144" spans="1:16" ht="20.149999999999999" customHeight="1">
      <c r="A144" s="681"/>
      <c r="B144" s="830"/>
      <c r="C144" s="779">
        <v>6</v>
      </c>
      <c r="D144" s="779" t="s">
        <v>3046</v>
      </c>
      <c r="E144" s="726" t="s">
        <v>3047</v>
      </c>
      <c r="F144" s="705">
        <v>1</v>
      </c>
      <c r="G144" s="705" t="s">
        <v>2839</v>
      </c>
      <c r="H144" s="714">
        <v>550000000</v>
      </c>
      <c r="I144" s="821">
        <f t="shared" si="24"/>
        <v>550000000</v>
      </c>
      <c r="J144" s="813"/>
      <c r="K144" s="698">
        <f t="shared" si="25"/>
        <v>550000000</v>
      </c>
      <c r="N144" s="915"/>
      <c r="O144" s="915"/>
      <c r="P144" s="915"/>
    </row>
    <row r="145" spans="1:16" ht="53.4" customHeight="1">
      <c r="A145" s="681"/>
      <c r="B145" s="831"/>
      <c r="C145" s="720">
        <v>7</v>
      </c>
      <c r="D145" s="720" t="s">
        <v>3048</v>
      </c>
      <c r="E145" s="832" t="s">
        <v>3049</v>
      </c>
      <c r="F145" s="833">
        <v>1</v>
      </c>
      <c r="G145" s="833" t="s">
        <v>2839</v>
      </c>
      <c r="H145" s="834">
        <v>412000000</v>
      </c>
      <c r="I145" s="821">
        <f t="shared" si="24"/>
        <v>412000000</v>
      </c>
      <c r="J145" s="813"/>
      <c r="K145" s="698">
        <f t="shared" si="25"/>
        <v>412000000</v>
      </c>
      <c r="N145" s="915"/>
      <c r="O145" s="915"/>
      <c r="P145" s="915"/>
    </row>
    <row r="146" spans="1:16" ht="20.149999999999999" customHeight="1">
      <c r="A146" s="681"/>
      <c r="B146" s="835"/>
      <c r="C146" s="737"/>
      <c r="D146" s="739"/>
      <c r="E146" s="738"/>
      <c r="F146" s="739"/>
      <c r="G146" s="739"/>
      <c r="H146" s="836"/>
      <c r="I146" s="741">
        <f t="shared" ref="I146:J146" si="26">SUM(I139:I145)</f>
        <v>2547000000</v>
      </c>
      <c r="J146" s="741">
        <f t="shared" si="26"/>
        <v>1500000000</v>
      </c>
      <c r="K146" s="741">
        <f>SUM(K139:K145)</f>
        <v>4047000000</v>
      </c>
      <c r="N146" s="915"/>
      <c r="O146" s="915"/>
      <c r="P146" s="915"/>
    </row>
    <row r="147" spans="1:16" s="844" customFormat="1" ht="24" customHeight="1">
      <c r="A147" s="837"/>
      <c r="B147" s="838">
        <v>5</v>
      </c>
      <c r="C147" s="839" t="s">
        <v>3050</v>
      </c>
      <c r="D147" s="839"/>
      <c r="E147" s="840"/>
      <c r="F147" s="841">
        <v>1</v>
      </c>
      <c r="G147" s="841" t="s">
        <v>2839</v>
      </c>
      <c r="H147" s="842">
        <v>75000000</v>
      </c>
      <c r="I147" s="821">
        <f t="shared" ref="I147:I148" si="27">H147*F147</f>
        <v>75000000</v>
      </c>
      <c r="J147" s="843"/>
      <c r="K147" s="698">
        <f t="shared" ref="K147:K148" si="28">I147+J147</f>
        <v>75000000</v>
      </c>
      <c r="L147" s="673"/>
      <c r="M147" s="674"/>
      <c r="N147" s="918"/>
      <c r="O147" s="918"/>
      <c r="P147" s="918"/>
    </row>
    <row r="148" spans="1:16" s="844" customFormat="1" ht="24" customHeight="1">
      <c r="A148" s="837"/>
      <c r="B148" s="838">
        <v>6</v>
      </c>
      <c r="C148" s="839" t="s">
        <v>3051</v>
      </c>
      <c r="D148" s="839"/>
      <c r="E148" s="840"/>
      <c r="F148" s="841">
        <v>1</v>
      </c>
      <c r="G148" s="841" t="s">
        <v>2839</v>
      </c>
      <c r="H148" s="842">
        <v>450000000</v>
      </c>
      <c r="I148" s="821">
        <f t="shared" si="27"/>
        <v>450000000</v>
      </c>
      <c r="J148" s="813"/>
      <c r="K148" s="698">
        <f t="shared" si="28"/>
        <v>450000000</v>
      </c>
      <c r="L148" s="673"/>
      <c r="M148" s="674"/>
      <c r="N148" s="918"/>
      <c r="O148" s="918"/>
      <c r="P148" s="918"/>
    </row>
    <row r="149" spans="1:16" ht="20.149999999999999" customHeight="1">
      <c r="A149" s="681"/>
      <c r="B149" s="835"/>
      <c r="C149" s="845"/>
      <c r="D149" s="846"/>
      <c r="E149" s="738"/>
      <c r="F149" s="846"/>
      <c r="G149" s="846"/>
      <c r="H149" s="836"/>
      <c r="I149" s="847">
        <f t="shared" ref="I149:J149" si="29">SUM(I147:I148)</f>
        <v>525000000</v>
      </c>
      <c r="J149" s="848">
        <f t="shared" si="29"/>
        <v>0</v>
      </c>
      <c r="K149" s="741">
        <f>SUM(K147:K148)</f>
        <v>525000000</v>
      </c>
      <c r="N149" s="915"/>
      <c r="O149" s="915"/>
      <c r="P149" s="915"/>
    </row>
    <row r="150" spans="1:16" ht="20.149999999999999" customHeight="1">
      <c r="A150" s="681"/>
      <c r="B150" s="823">
        <v>7</v>
      </c>
      <c r="C150" s="824" t="s">
        <v>3052</v>
      </c>
      <c r="D150" s="825"/>
      <c r="E150" s="826"/>
      <c r="F150" s="827"/>
      <c r="G150" s="827"/>
      <c r="H150" s="828"/>
      <c r="I150" s="829"/>
      <c r="J150" s="827"/>
      <c r="K150" s="718"/>
      <c r="N150" s="915"/>
      <c r="O150" s="915"/>
      <c r="P150" s="915"/>
    </row>
    <row r="151" spans="1:16" ht="20.149999999999999" customHeight="1">
      <c r="A151" s="681"/>
      <c r="B151" s="849"/>
      <c r="C151" s="850" t="s">
        <v>93</v>
      </c>
      <c r="D151" s="850" t="s">
        <v>3053</v>
      </c>
      <c r="E151" s="851"/>
      <c r="F151" s="852"/>
      <c r="G151" s="852"/>
      <c r="H151" s="853"/>
      <c r="I151" s="854"/>
      <c r="J151" s="855"/>
      <c r="K151" s="718"/>
      <c r="N151" s="915"/>
      <c r="O151" s="915"/>
      <c r="P151" s="915"/>
    </row>
    <row r="152" spans="1:16" ht="20.149999999999999" customHeight="1">
      <c r="A152" s="681"/>
      <c r="B152" s="830"/>
      <c r="C152" s="779">
        <v>1</v>
      </c>
      <c r="D152" s="779" t="s">
        <v>3054</v>
      </c>
      <c r="E152" s="726" t="s">
        <v>3055</v>
      </c>
      <c r="F152" s="705">
        <v>1</v>
      </c>
      <c r="G152" s="705" t="s">
        <v>2839</v>
      </c>
      <c r="H152" s="933">
        <v>250000000</v>
      </c>
      <c r="I152" s="821">
        <f t="shared" ref="I152:I153" si="30">H152*F152</f>
        <v>250000000</v>
      </c>
      <c r="J152" s="813"/>
      <c r="K152" s="698">
        <f t="shared" ref="K152:K153" si="31">I152+J152</f>
        <v>250000000</v>
      </c>
      <c r="N152" s="915"/>
      <c r="O152" s="915"/>
      <c r="P152" s="915"/>
    </row>
    <row r="153" spans="1:16" ht="20.149999999999999" customHeight="1">
      <c r="A153" s="681"/>
      <c r="B153" s="708"/>
      <c r="C153" s="699">
        <v>2</v>
      </c>
      <c r="D153" s="699" t="s">
        <v>3056</v>
      </c>
      <c r="E153" s="726"/>
      <c r="F153" s="695">
        <v>1</v>
      </c>
      <c r="G153" s="695" t="s">
        <v>2844</v>
      </c>
      <c r="H153" s="933">
        <v>350000000</v>
      </c>
      <c r="I153" s="821">
        <f t="shared" si="30"/>
        <v>350000000</v>
      </c>
      <c r="J153" s="813"/>
      <c r="K153" s="698">
        <f t="shared" si="31"/>
        <v>350000000</v>
      </c>
      <c r="N153" s="915"/>
      <c r="O153" s="915"/>
      <c r="P153" s="915"/>
    </row>
    <row r="154" spans="1:16" ht="20.149999999999999" customHeight="1">
      <c r="A154" s="681"/>
      <c r="B154" s="791"/>
      <c r="C154" s="730"/>
      <c r="D154" s="730"/>
      <c r="E154" s="806"/>
      <c r="F154" s="732"/>
      <c r="G154" s="732"/>
      <c r="H154" s="807"/>
      <c r="I154" s="808"/>
      <c r="J154" s="735"/>
      <c r="K154" s="700"/>
      <c r="N154" s="915"/>
      <c r="O154" s="915"/>
      <c r="P154" s="915"/>
    </row>
    <row r="155" spans="1:16" ht="20.149999999999999" customHeight="1">
      <c r="A155" s="681"/>
      <c r="B155" s="736"/>
      <c r="C155" s="737"/>
      <c r="D155" s="737"/>
      <c r="E155" s="738"/>
      <c r="F155" s="739"/>
      <c r="G155" s="739"/>
      <c r="H155" s="822"/>
      <c r="I155" s="847">
        <f>SUM(I152:I154)</f>
        <v>600000000</v>
      </c>
      <c r="J155" s="741">
        <f>SUM(J152:J154)</f>
        <v>0</v>
      </c>
      <c r="K155" s="741">
        <f>SUM(K152:K154)</f>
        <v>600000000</v>
      </c>
      <c r="N155" s="915"/>
      <c r="O155" s="915"/>
      <c r="P155" s="915"/>
    </row>
    <row r="156" spans="1:16" ht="20.149999999999999" customHeight="1">
      <c r="A156" s="681"/>
      <c r="B156" s="849"/>
      <c r="C156" s="850" t="s">
        <v>96</v>
      </c>
      <c r="D156" s="850" t="s">
        <v>3057</v>
      </c>
      <c r="E156" s="851"/>
      <c r="F156" s="852"/>
      <c r="G156" s="852"/>
      <c r="H156" s="856"/>
      <c r="I156" s="854"/>
      <c r="J156" s="856"/>
      <c r="K156" s="857"/>
      <c r="N156" s="915"/>
      <c r="O156" s="915"/>
      <c r="P156" s="915"/>
    </row>
    <row r="157" spans="1:16" ht="25.75" customHeight="1">
      <c r="A157" s="681"/>
      <c r="B157" s="770"/>
      <c r="C157" s="802">
        <v>1</v>
      </c>
      <c r="D157" s="802" t="s">
        <v>3058</v>
      </c>
      <c r="E157" s="726" t="s">
        <v>3059</v>
      </c>
      <c r="F157" s="695">
        <v>1</v>
      </c>
      <c r="G157" s="695" t="s">
        <v>2875</v>
      </c>
      <c r="H157" s="715">
        <v>600000000</v>
      </c>
      <c r="I157" s="821">
        <f t="shared" ref="I157:I159" si="32">H157*F157</f>
        <v>600000000</v>
      </c>
      <c r="J157" s="858"/>
      <c r="K157" s="698">
        <f t="shared" ref="K157:K159" si="33">I157+J157</f>
        <v>600000000</v>
      </c>
      <c r="N157" s="915"/>
      <c r="O157" s="915"/>
      <c r="P157" s="915"/>
    </row>
    <row r="158" spans="1:16" ht="37">
      <c r="A158" s="681"/>
      <c r="B158" s="708"/>
      <c r="C158" s="699">
        <v>2</v>
      </c>
      <c r="D158" s="699" t="s">
        <v>3060</v>
      </c>
      <c r="E158" s="804" t="s">
        <v>3061</v>
      </c>
      <c r="F158" s="695">
        <v>1</v>
      </c>
      <c r="G158" s="695" t="s">
        <v>2875</v>
      </c>
      <c r="H158" s="714">
        <v>1500000</v>
      </c>
      <c r="I158" s="821">
        <f t="shared" si="32"/>
        <v>1500000</v>
      </c>
      <c r="J158" s="798">
        <v>32000000</v>
      </c>
      <c r="K158" s="698">
        <f t="shared" si="33"/>
        <v>33500000</v>
      </c>
      <c r="N158" s="915"/>
      <c r="O158" s="915"/>
      <c r="P158" s="915"/>
    </row>
    <row r="159" spans="1:16" ht="18.5">
      <c r="A159" s="681"/>
      <c r="B159" s="708"/>
      <c r="C159" s="699">
        <v>3</v>
      </c>
      <c r="D159" s="699" t="s">
        <v>3062</v>
      </c>
      <c r="E159" s="721" t="s">
        <v>3063</v>
      </c>
      <c r="F159" s="695">
        <v>1</v>
      </c>
      <c r="G159" s="695" t="s">
        <v>2875</v>
      </c>
      <c r="H159" s="714"/>
      <c r="I159" s="821">
        <f t="shared" si="32"/>
        <v>0</v>
      </c>
      <c r="J159" s="798">
        <v>160000000</v>
      </c>
      <c r="K159" s="698">
        <f t="shared" si="33"/>
        <v>160000000</v>
      </c>
      <c r="L159" s="673" t="s">
        <v>3022</v>
      </c>
      <c r="N159" s="915"/>
      <c r="O159" s="915"/>
      <c r="P159" s="915"/>
    </row>
    <row r="160" spans="1:16" ht="20.149999999999999" customHeight="1">
      <c r="A160" s="681"/>
      <c r="B160" s="708"/>
      <c r="C160" s="699"/>
      <c r="D160" s="699"/>
      <c r="E160" s="721"/>
      <c r="F160" s="695"/>
      <c r="G160" s="695"/>
      <c r="H160" s="696"/>
      <c r="I160" s="697"/>
      <c r="J160" s="727"/>
      <c r="K160" s="700"/>
      <c r="N160" s="915"/>
      <c r="O160" s="915"/>
      <c r="P160" s="915"/>
    </row>
    <row r="161" spans="1:16" ht="20.149999999999999" customHeight="1">
      <c r="A161" s="681"/>
      <c r="B161" s="736"/>
      <c r="C161" s="845"/>
      <c r="D161" s="845"/>
      <c r="E161" s="738"/>
      <c r="F161" s="739"/>
      <c r="G161" s="739"/>
      <c r="H161" s="822"/>
      <c r="I161" s="847">
        <f>SUM(I157:I160)</f>
        <v>601500000</v>
      </c>
      <c r="J161" s="848">
        <f t="shared" ref="J161" si="34">SUM(J157:J160)</f>
        <v>192000000</v>
      </c>
      <c r="K161" s="741">
        <f>SUM(K157:K160)</f>
        <v>793500000</v>
      </c>
      <c r="N161" s="915"/>
      <c r="O161" s="915"/>
      <c r="P161" s="915"/>
    </row>
    <row r="162" spans="1:16" ht="19.25" customHeight="1">
      <c r="A162" s="681"/>
      <c r="B162" s="934"/>
      <c r="C162" s="935"/>
      <c r="D162" s="935"/>
      <c r="E162" s="936"/>
      <c r="F162" s="937"/>
      <c r="G162" s="937"/>
      <c r="H162" s="938"/>
      <c r="I162" s="939"/>
      <c r="J162" s="767"/>
      <c r="K162" s="940"/>
      <c r="M162" s="701"/>
      <c r="N162" s="916"/>
      <c r="O162" s="915"/>
      <c r="P162" s="915"/>
    </row>
    <row r="163" spans="1:16" ht="18.5" hidden="1">
      <c r="A163" s="681"/>
      <c r="B163" s="708"/>
      <c r="C163" s="699"/>
      <c r="D163" s="699"/>
      <c r="E163" s="709"/>
      <c r="F163" s="695"/>
      <c r="G163" s="695"/>
      <c r="H163" s="710"/>
      <c r="I163" s="727"/>
      <c r="J163" s="859"/>
      <c r="K163" s="698"/>
      <c r="N163" s="915"/>
      <c r="O163" s="915"/>
      <c r="P163" s="915"/>
    </row>
    <row r="164" spans="1:16" ht="18.5" hidden="1">
      <c r="A164" s="681"/>
      <c r="B164" s="708"/>
      <c r="C164" s="699"/>
      <c r="D164" s="941"/>
      <c r="E164" s="709"/>
      <c r="F164" s="695"/>
      <c r="G164" s="695"/>
      <c r="H164" s="710"/>
      <c r="I164" s="727">
        <f t="shared" ref="I164:I168" si="35">H164*F164</f>
        <v>0</v>
      </c>
      <c r="J164" s="859"/>
      <c r="K164" s="698">
        <f t="shared" ref="K164:K168" si="36">I164+J164</f>
        <v>0</v>
      </c>
      <c r="N164" s="915"/>
      <c r="O164" s="915"/>
      <c r="P164" s="915"/>
    </row>
    <row r="165" spans="1:16" ht="18.5" hidden="1">
      <c r="A165" s="681"/>
      <c r="B165" s="708"/>
      <c r="C165" s="699"/>
      <c r="D165" s="941"/>
      <c r="E165" s="709"/>
      <c r="F165" s="695"/>
      <c r="G165" s="695"/>
      <c r="H165" s="710"/>
      <c r="I165" s="727">
        <f t="shared" si="35"/>
        <v>0</v>
      </c>
      <c r="J165" s="859"/>
      <c r="K165" s="698">
        <f t="shared" si="36"/>
        <v>0</v>
      </c>
      <c r="N165" s="915"/>
      <c r="O165" s="915"/>
      <c r="P165" s="915"/>
    </row>
    <row r="166" spans="1:16" ht="18.5" hidden="1">
      <c r="A166" s="681"/>
      <c r="B166" s="708"/>
      <c r="C166" s="699"/>
      <c r="D166" s="699"/>
      <c r="E166" s="713"/>
      <c r="F166" s="695"/>
      <c r="G166" s="695"/>
      <c r="H166" s="710"/>
      <c r="I166" s="727"/>
      <c r="J166" s="727"/>
      <c r="K166" s="698"/>
      <c r="N166" s="915"/>
      <c r="O166" s="915"/>
      <c r="P166" s="915"/>
    </row>
    <row r="167" spans="1:16" ht="18.5" hidden="1">
      <c r="A167" s="681"/>
      <c r="B167" s="708"/>
      <c r="C167" s="699"/>
      <c r="D167" s="941"/>
      <c r="E167" s="709"/>
      <c r="F167" s="695"/>
      <c r="G167" s="695"/>
      <c r="H167" s="710"/>
      <c r="I167" s="727">
        <f t="shared" si="35"/>
        <v>0</v>
      </c>
      <c r="J167" s="859"/>
      <c r="K167" s="698">
        <f t="shared" si="36"/>
        <v>0</v>
      </c>
      <c r="N167" s="915"/>
      <c r="O167" s="915"/>
      <c r="P167" s="915"/>
    </row>
    <row r="168" spans="1:16" ht="18.5" hidden="1">
      <c r="A168" s="681"/>
      <c r="B168" s="708"/>
      <c r="C168" s="699"/>
      <c r="D168" s="941"/>
      <c r="E168" s="709"/>
      <c r="F168" s="695"/>
      <c r="G168" s="695"/>
      <c r="H168" s="710"/>
      <c r="I168" s="727">
        <f t="shared" si="35"/>
        <v>0</v>
      </c>
      <c r="J168" s="859"/>
      <c r="K168" s="698">
        <f t="shared" si="36"/>
        <v>0</v>
      </c>
      <c r="N168" s="915"/>
      <c r="O168" s="915"/>
      <c r="P168" s="915"/>
    </row>
    <row r="169" spans="1:16" ht="20.149999999999999" hidden="1" customHeight="1">
      <c r="A169" s="681"/>
      <c r="B169" s="835"/>
      <c r="C169" s="845"/>
      <c r="D169" s="846"/>
      <c r="E169" s="738"/>
      <c r="F169" s="846"/>
      <c r="G169" s="846"/>
      <c r="H169" s="942"/>
      <c r="I169" s="848">
        <f>SUM(I163:I168)</f>
        <v>0</v>
      </c>
      <c r="J169" s="848">
        <f>SUM(J163:J166)</f>
        <v>0</v>
      </c>
      <c r="K169" s="741">
        <f>SUM(K163:K168)</f>
        <v>0</v>
      </c>
      <c r="N169" s="915"/>
      <c r="O169" s="915"/>
      <c r="P169" s="915"/>
    </row>
    <row r="170" spans="1:16" ht="19" thickBot="1">
      <c r="A170" s="681"/>
      <c r="B170" s="708"/>
      <c r="C170" s="699"/>
      <c r="D170" s="699"/>
      <c r="E170" s="713"/>
      <c r="F170" s="695"/>
      <c r="G170" s="695"/>
      <c r="H170" s="714"/>
      <c r="I170" s="697"/>
      <c r="J170" s="860"/>
      <c r="K170" s="861"/>
      <c r="N170" s="915"/>
      <c r="O170" s="915"/>
      <c r="P170" s="915"/>
    </row>
    <row r="171" spans="1:16" s="867" customFormat="1" ht="49.75" customHeight="1" thickTop="1" thickBot="1">
      <c r="A171" s="862"/>
      <c r="B171" s="863"/>
      <c r="C171" s="1593" t="s">
        <v>3064</v>
      </c>
      <c r="D171" s="1594"/>
      <c r="E171" s="1595"/>
      <c r="F171" s="864"/>
      <c r="G171" s="864"/>
      <c r="H171" s="865"/>
      <c r="I171" s="866">
        <f>I169+I161+I155+I149+I146+I137+I90+I61+I51+I42+I30+I20+I14</f>
        <v>30971010000</v>
      </c>
      <c r="J171" s="866">
        <f>J169+J161+J155+J149+J146+J137+J90+J61+J51+J42+J30+J20+J14</f>
        <v>28992000000</v>
      </c>
      <c r="K171" s="866">
        <f>K169+K161+K155+K149+K146+K137+K90+K61+K51+K42+K30+K20+K14</f>
        <v>59963010000</v>
      </c>
      <c r="M171" s="674"/>
      <c r="N171" s="919">
        <f>SUM(N18:N170)</f>
        <v>3225000000</v>
      </c>
      <c r="O171" s="919">
        <f t="shared" ref="O171:P171" si="37">SUM(O18:O170)</f>
        <v>1402200000</v>
      </c>
      <c r="P171" s="919">
        <f t="shared" si="37"/>
        <v>476800000</v>
      </c>
    </row>
    <row r="172" spans="1:16" ht="20.149999999999999" customHeight="1">
      <c r="A172" s="681"/>
      <c r="B172" s="868"/>
      <c r="C172" s="869"/>
      <c r="D172" s="869"/>
      <c r="E172" s="870"/>
      <c r="F172" s="871"/>
      <c r="G172" s="871"/>
      <c r="H172" s="872"/>
      <c r="I172" s="872"/>
      <c r="J172" s="872"/>
      <c r="K172" s="871"/>
    </row>
    <row r="173" spans="1:16" ht="20.149999999999999" customHeight="1">
      <c r="A173" s="681"/>
      <c r="B173" s="943" t="s">
        <v>3092</v>
      </c>
      <c r="C173" s="943"/>
      <c r="D173" s="943" t="s">
        <v>3093</v>
      </c>
      <c r="E173" s="944"/>
      <c r="H173" s="873"/>
      <c r="I173" s="873"/>
      <c r="J173" s="873"/>
    </row>
    <row r="174" spans="1:16" ht="20.149999999999999" customHeight="1">
      <c r="A174" s="681"/>
      <c r="H174" s="874"/>
      <c r="I174" s="874"/>
      <c r="J174" s="874"/>
    </row>
    <row r="175" spans="1:16" ht="20.149999999999999" customHeight="1">
      <c r="A175" s="681"/>
      <c r="H175" s="874"/>
      <c r="I175" s="874"/>
      <c r="J175" s="874"/>
    </row>
    <row r="176" spans="1:16" ht="20.149999999999999" customHeight="1">
      <c r="A176" s="681"/>
      <c r="H176" s="874"/>
      <c r="I176" s="874"/>
      <c r="J176" s="874"/>
    </row>
    <row r="177" spans="1:10" ht="20.149999999999999" customHeight="1">
      <c r="A177" s="681"/>
      <c r="E177" s="875"/>
      <c r="H177" s="874"/>
      <c r="I177" s="874"/>
      <c r="J177" s="874"/>
    </row>
    <row r="178" spans="1:10" ht="20.149999999999999" customHeight="1">
      <c r="A178" s="681"/>
      <c r="E178" s="875"/>
      <c r="H178" s="874"/>
      <c r="I178" s="874"/>
      <c r="J178" s="874"/>
    </row>
    <row r="179" spans="1:10" ht="20.149999999999999" customHeight="1">
      <c r="A179" s="681"/>
      <c r="E179" s="875"/>
      <c r="H179" s="874"/>
      <c r="I179" s="874"/>
      <c r="J179" s="874"/>
    </row>
    <row r="180" spans="1:10" ht="20.149999999999999" customHeight="1">
      <c r="A180" s="681"/>
      <c r="E180" s="875"/>
      <c r="H180" s="874"/>
      <c r="I180" s="874"/>
      <c r="J180" s="874"/>
    </row>
    <row r="181" spans="1:10" ht="20.149999999999999" customHeight="1">
      <c r="A181" s="681"/>
      <c r="E181" s="875"/>
      <c r="H181" s="874"/>
      <c r="I181" s="874"/>
      <c r="J181" s="874"/>
    </row>
    <row r="182" spans="1:10" ht="20.149999999999999" customHeight="1">
      <c r="A182" s="681"/>
      <c r="E182" s="875"/>
      <c r="H182" s="874"/>
      <c r="I182" s="874"/>
      <c r="J182" s="874"/>
    </row>
    <row r="183" spans="1:10" ht="20.149999999999999" customHeight="1">
      <c r="A183" s="681"/>
      <c r="E183" s="875"/>
      <c r="H183" s="874"/>
      <c r="I183" s="874"/>
      <c r="J183" s="874"/>
    </row>
    <row r="184" spans="1:10" ht="20.149999999999999" customHeight="1">
      <c r="A184" s="681"/>
      <c r="E184" s="875"/>
      <c r="H184" s="874"/>
      <c r="I184" s="874"/>
      <c r="J184" s="874"/>
    </row>
    <row r="185" spans="1:10" ht="20.149999999999999" customHeight="1">
      <c r="A185" s="681"/>
      <c r="E185" s="875"/>
      <c r="H185" s="874"/>
      <c r="I185" s="874"/>
      <c r="J185" s="874"/>
    </row>
    <row r="186" spans="1:10" ht="20.149999999999999" customHeight="1">
      <c r="A186" s="681"/>
      <c r="E186" s="875"/>
      <c r="H186" s="874"/>
      <c r="I186" s="874"/>
      <c r="J186" s="874"/>
    </row>
    <row r="187" spans="1:10" ht="20.149999999999999" customHeight="1">
      <c r="A187" s="681"/>
      <c r="E187" s="875"/>
      <c r="H187" s="874"/>
      <c r="I187" s="874"/>
      <c r="J187" s="874"/>
    </row>
    <row r="188" spans="1:10" ht="20.149999999999999" customHeight="1">
      <c r="A188" s="681"/>
      <c r="E188" s="875"/>
      <c r="H188" s="874"/>
      <c r="I188" s="874"/>
      <c r="J188" s="874"/>
    </row>
    <row r="189" spans="1:10" ht="20.149999999999999" customHeight="1">
      <c r="A189" s="681"/>
      <c r="E189" s="875"/>
      <c r="H189" s="874"/>
      <c r="I189" s="874"/>
      <c r="J189" s="874"/>
    </row>
    <row r="190" spans="1:10" ht="20.149999999999999" customHeight="1">
      <c r="A190" s="681"/>
      <c r="E190" s="875"/>
      <c r="H190" s="874"/>
      <c r="I190" s="874"/>
      <c r="J190" s="874"/>
    </row>
    <row r="191" spans="1:10" ht="20.149999999999999" customHeight="1">
      <c r="A191" s="681"/>
      <c r="E191" s="875"/>
      <c r="H191" s="874"/>
      <c r="I191" s="874"/>
      <c r="J191" s="874"/>
    </row>
    <row r="192" spans="1:10" ht="20.149999999999999" customHeight="1">
      <c r="A192" s="681"/>
      <c r="E192" s="875"/>
      <c r="H192" s="874"/>
      <c r="I192" s="874"/>
      <c r="J192" s="874"/>
    </row>
    <row r="193" spans="1:16" ht="20.149999999999999" customHeight="1">
      <c r="A193" s="681"/>
      <c r="E193" s="875"/>
      <c r="H193" s="874"/>
      <c r="I193" s="874"/>
      <c r="J193" s="874"/>
    </row>
    <row r="194" spans="1:16" ht="20.149999999999999" customHeight="1">
      <c r="A194" s="681"/>
      <c r="E194" s="875"/>
      <c r="H194" s="874"/>
      <c r="I194" s="874"/>
      <c r="J194" s="874"/>
    </row>
    <row r="195" spans="1:16" ht="20.149999999999999" customHeight="1">
      <c r="A195" s="681"/>
      <c r="E195" s="875"/>
      <c r="H195" s="874"/>
      <c r="I195" s="874"/>
      <c r="J195" s="874"/>
    </row>
    <row r="196" spans="1:16" ht="20.149999999999999" customHeight="1">
      <c r="A196" s="681"/>
      <c r="E196" s="875"/>
      <c r="H196" s="874"/>
      <c r="I196" s="874"/>
      <c r="J196" s="874"/>
    </row>
    <row r="197" spans="1:16" ht="20.149999999999999" customHeight="1">
      <c r="A197" s="681"/>
      <c r="E197" s="875"/>
      <c r="H197" s="874"/>
      <c r="I197" s="874"/>
      <c r="J197" s="874"/>
    </row>
    <row r="198" spans="1:16" ht="20.149999999999999" customHeight="1">
      <c r="A198" s="681"/>
      <c r="H198" s="874"/>
      <c r="I198" s="874"/>
      <c r="J198" s="874"/>
    </row>
    <row r="199" spans="1:16" ht="20.149999999999999" customHeight="1">
      <c r="A199" s="681"/>
      <c r="D199" s="876" t="s">
        <v>3065</v>
      </c>
      <c r="F199" s="1620" t="s">
        <v>3066</v>
      </c>
      <c r="G199" s="1620"/>
      <c r="H199" s="1620"/>
      <c r="I199" s="874"/>
      <c r="J199" s="1620" t="s">
        <v>3067</v>
      </c>
      <c r="K199" s="1620"/>
    </row>
    <row r="200" spans="1:16" ht="20.149999999999999" customHeight="1">
      <c r="A200" s="681"/>
      <c r="D200" s="876"/>
      <c r="F200" s="876"/>
      <c r="H200" s="874"/>
      <c r="I200" s="874"/>
      <c r="J200" s="876"/>
    </row>
    <row r="201" spans="1:16" ht="20.149999999999999" customHeight="1">
      <c r="A201" s="681"/>
      <c r="D201" s="877"/>
      <c r="F201" s="877"/>
      <c r="H201" s="878"/>
      <c r="I201" s="878"/>
      <c r="J201" s="877"/>
    </row>
    <row r="202" spans="1:16" ht="20.149999999999999" customHeight="1">
      <c r="A202" s="681"/>
      <c r="D202" s="877"/>
      <c r="F202" s="877"/>
      <c r="H202" s="878"/>
      <c r="I202" s="878"/>
      <c r="J202" s="877"/>
    </row>
    <row r="203" spans="1:16" ht="20.149999999999999" customHeight="1">
      <c r="A203" s="681"/>
      <c r="D203" s="877"/>
      <c r="F203" s="877"/>
      <c r="H203" s="874"/>
      <c r="I203" s="874"/>
      <c r="J203" s="877"/>
    </row>
    <row r="204" spans="1:16" ht="23.4" customHeight="1">
      <c r="A204" s="681"/>
      <c r="D204" s="879" t="s">
        <v>3068</v>
      </c>
      <c r="F204" s="1621" t="s">
        <v>3069</v>
      </c>
      <c r="G204" s="1621"/>
      <c r="H204" s="1621"/>
      <c r="I204" s="874"/>
      <c r="J204" s="1622" t="s">
        <v>3070</v>
      </c>
      <c r="K204" s="1622"/>
    </row>
    <row r="205" spans="1:16" s="882" customFormat="1" ht="20.149999999999999" customHeight="1">
      <c r="A205" s="880"/>
      <c r="B205" s="881"/>
      <c r="D205" s="883" t="s">
        <v>3071</v>
      </c>
      <c r="F205" s="1616" t="s">
        <v>3072</v>
      </c>
      <c r="G205" s="1616"/>
      <c r="H205" s="1616"/>
      <c r="I205" s="884"/>
      <c r="J205" s="1617" t="s">
        <v>3073</v>
      </c>
      <c r="K205" s="1617"/>
      <c r="M205" s="886"/>
      <c r="N205" s="886"/>
      <c r="O205" s="886"/>
      <c r="P205" s="886"/>
    </row>
    <row r="206" spans="1:16" s="882" customFormat="1" ht="20.149999999999999" customHeight="1">
      <c r="A206" s="880"/>
      <c r="B206" s="881"/>
      <c r="D206" s="883"/>
      <c r="E206" s="885"/>
      <c r="F206" s="883"/>
      <c r="G206" s="883"/>
      <c r="H206" s="884"/>
      <c r="I206" s="884"/>
      <c r="J206" s="884"/>
      <c r="K206" s="883"/>
      <c r="M206" s="886"/>
      <c r="N206" s="886"/>
      <c r="O206" s="886"/>
      <c r="P206" s="886"/>
    </row>
    <row r="207" spans="1:16" s="882" customFormat="1" ht="20.149999999999999" customHeight="1">
      <c r="A207" s="880"/>
      <c r="B207" s="881"/>
      <c r="D207" s="883"/>
      <c r="E207" s="885"/>
      <c r="F207" s="883"/>
      <c r="G207" s="883"/>
      <c r="H207" s="884"/>
      <c r="I207" s="884"/>
      <c r="J207" s="884"/>
      <c r="K207" s="883"/>
      <c r="M207" s="886"/>
      <c r="N207" s="886"/>
      <c r="O207" s="886"/>
      <c r="P207" s="886"/>
    </row>
    <row r="208" spans="1:16" s="882" customFormat="1" ht="20.149999999999999" customHeight="1">
      <c r="A208" s="880"/>
      <c r="B208" s="881"/>
      <c r="D208" s="883"/>
      <c r="E208" s="885"/>
      <c r="F208" s="883"/>
      <c r="G208" s="883"/>
      <c r="H208" s="884"/>
      <c r="I208" s="884"/>
      <c r="J208" s="884"/>
      <c r="K208" s="883"/>
      <c r="M208" s="886"/>
      <c r="N208" s="886"/>
      <c r="O208" s="886"/>
      <c r="P208" s="886"/>
    </row>
    <row r="209" spans="1:16" s="882" customFormat="1" ht="20.149999999999999" customHeight="1">
      <c r="A209" s="880"/>
      <c r="B209" s="881"/>
      <c r="D209" s="883"/>
      <c r="E209" s="885"/>
      <c r="F209" s="883"/>
      <c r="G209" s="883"/>
      <c r="H209" s="884"/>
      <c r="I209" s="884"/>
      <c r="J209" s="884"/>
      <c r="K209" s="883"/>
      <c r="M209" s="886"/>
      <c r="N209" s="886"/>
      <c r="O209" s="886"/>
      <c r="P209" s="886"/>
    </row>
    <row r="210" spans="1:16" ht="20.149999999999999" customHeight="1" thickBot="1">
      <c r="A210" s="887"/>
      <c r="H210" s="874"/>
      <c r="I210" s="874"/>
      <c r="J210" s="874"/>
    </row>
    <row r="211" spans="1:16" ht="20.149999999999999" customHeight="1"/>
    <row r="212" spans="1:16" ht="20.149999999999999" customHeight="1">
      <c r="E212" s="888"/>
      <c r="H212" s="874"/>
      <c r="I212" s="874"/>
      <c r="J212" s="874"/>
    </row>
    <row r="213" spans="1:16" ht="20.149999999999999" customHeight="1">
      <c r="H213" s="874"/>
      <c r="I213" s="874"/>
      <c r="J213" s="874"/>
    </row>
    <row r="214" spans="1:16" ht="20.149999999999999" customHeight="1">
      <c r="H214" s="874"/>
      <c r="I214" s="874"/>
      <c r="J214" s="874"/>
    </row>
    <row r="215" spans="1:16" ht="20.149999999999999" customHeight="1"/>
    <row r="216" spans="1:16" ht="20.149999999999999" customHeight="1"/>
    <row r="217" spans="1:16" ht="20.149999999999999" customHeight="1"/>
    <row r="218" spans="1:16" ht="20.149999999999999" customHeight="1"/>
    <row r="219" spans="1:16" ht="20.149999999999999" customHeight="1"/>
    <row r="220" spans="1:16" ht="20.149999999999999" customHeight="1"/>
    <row r="221" spans="1:16" ht="20.149999999999999" customHeight="1"/>
    <row r="222" spans="1:16" ht="20.149999999999999" customHeight="1"/>
    <row r="851" spans="11:11" ht="72" customHeight="1">
      <c r="K851" s="889"/>
    </row>
  </sheetData>
  <mergeCells count="24">
    <mergeCell ref="F205:H205"/>
    <mergeCell ref="J205:K205"/>
    <mergeCell ref="F8:G8"/>
    <mergeCell ref="H8:H10"/>
    <mergeCell ref="F199:H199"/>
    <mergeCell ref="J199:K199"/>
    <mergeCell ref="F204:H204"/>
    <mergeCell ref="J204:K204"/>
    <mergeCell ref="P8:P10"/>
    <mergeCell ref="F9:F10"/>
    <mergeCell ref="G9:G10"/>
    <mergeCell ref="C171:E171"/>
    <mergeCell ref="D1:E1"/>
    <mergeCell ref="D2:E2"/>
    <mergeCell ref="B4:K4"/>
    <mergeCell ref="B5:K5"/>
    <mergeCell ref="I8:I10"/>
    <mergeCell ref="J8:J10"/>
    <mergeCell ref="K8:K10"/>
    <mergeCell ref="N8:N10"/>
    <mergeCell ref="O8:O10"/>
    <mergeCell ref="B8:B10"/>
    <mergeCell ref="C8:D10"/>
    <mergeCell ref="E8:E10"/>
  </mergeCells>
  <printOptions horizontalCentered="1"/>
  <pageMargins left="0.11811023622047245" right="0.11811023622047245" top="0.15748031496062992" bottom="0.15748031496062992" header="0.31496062992125984" footer="0.31496062992125984"/>
  <pageSetup paperSize="9" scale="64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39A4-01FD-49D0-817F-9F15BC28FB8D}">
  <dimension ref="A1:AH939"/>
  <sheetViews>
    <sheetView topLeftCell="B1" zoomScale="70" zoomScaleNormal="70" workbookViewId="0">
      <selection activeCell="AE18" sqref="AE18"/>
    </sheetView>
  </sheetViews>
  <sheetFormatPr defaultRowHeight="12.5"/>
  <cols>
    <col min="1" max="1" width="0" hidden="1" customWidth="1"/>
    <col min="2" max="2" width="4.81640625" customWidth="1"/>
    <col min="3" max="3" width="34" customWidth="1"/>
    <col min="4" max="4" width="4.81640625" customWidth="1"/>
    <col min="5" max="5" width="7.81640625" customWidth="1"/>
    <col min="6" max="6" width="7.90625" bestFit="1" customWidth="1"/>
    <col min="7" max="7" width="12.90625" bestFit="1" customWidth="1"/>
    <col min="8" max="8" width="13.54296875" bestFit="1" customWidth="1"/>
    <col min="9" max="9" width="14.54296875" bestFit="1" customWidth="1"/>
    <col min="12" max="12" width="4.81640625" bestFit="1" customWidth="1"/>
    <col min="13" max="13" width="35.1796875" bestFit="1" customWidth="1"/>
    <col min="14" max="16" width="5.54296875" bestFit="1" customWidth="1"/>
    <col min="17" max="17" width="8.453125" bestFit="1" customWidth="1"/>
    <col min="18" max="18" width="6" bestFit="1" customWidth="1"/>
    <col min="19" max="19" width="3.90625" bestFit="1" customWidth="1"/>
    <col min="20" max="20" width="2" bestFit="1" customWidth="1"/>
    <col min="21" max="21" width="1.81640625" bestFit="1" customWidth="1"/>
    <col min="22" max="22" width="14.81640625" bestFit="1" customWidth="1"/>
    <col min="23" max="23" width="6.90625" bestFit="1" customWidth="1"/>
    <col min="24" max="24" width="11" bestFit="1" customWidth="1"/>
    <col min="25" max="25" width="12" bestFit="1" customWidth="1"/>
    <col min="26" max="26" width="8.6328125" bestFit="1" customWidth="1"/>
    <col min="27" max="27" width="12" bestFit="1" customWidth="1"/>
    <col min="28" max="28" width="14.54296875" style="1091" bestFit="1" customWidth="1"/>
    <col min="30" max="30" width="3.90625" bestFit="1" customWidth="1"/>
    <col min="31" max="31" width="117.453125" bestFit="1" customWidth="1"/>
    <col min="32" max="32" width="3.36328125" bestFit="1" customWidth="1"/>
    <col min="33" max="33" width="5.1796875" bestFit="1" customWidth="1"/>
    <col min="34" max="34" width="15.90625" customWidth="1"/>
  </cols>
  <sheetData>
    <row r="1" spans="1:34" ht="13">
      <c r="A1" s="997"/>
      <c r="B1" s="997"/>
      <c r="C1" s="1760" t="s">
        <v>3134</v>
      </c>
      <c r="D1" s="1760"/>
      <c r="E1" s="998"/>
      <c r="F1" s="998"/>
      <c r="G1" s="997"/>
      <c r="H1" s="997"/>
      <c r="I1" s="997"/>
    </row>
    <row r="2" spans="1:34" ht="13">
      <c r="A2" s="997"/>
      <c r="B2" s="997"/>
      <c r="C2" s="1760" t="s">
        <v>3083</v>
      </c>
      <c r="D2" s="1760"/>
      <c r="E2" s="998"/>
      <c r="F2" s="998"/>
      <c r="G2" s="997"/>
      <c r="H2" s="997"/>
      <c r="I2" s="997"/>
    </row>
    <row r="3" spans="1:34" ht="14">
      <c r="A3" s="997"/>
      <c r="B3" s="997"/>
      <c r="C3" s="1006"/>
      <c r="D3" s="1006"/>
      <c r="E3" s="998"/>
      <c r="F3" s="998"/>
      <c r="G3" s="997"/>
      <c r="H3" s="997"/>
      <c r="I3" s="997"/>
    </row>
    <row r="4" spans="1:34" ht="14">
      <c r="A4" s="997"/>
      <c r="B4" s="997"/>
      <c r="C4" s="1006"/>
      <c r="D4" s="1006"/>
      <c r="E4" s="998"/>
      <c r="F4" s="998"/>
      <c r="G4" s="997"/>
      <c r="H4" s="997"/>
      <c r="I4" s="997"/>
    </row>
    <row r="5" spans="1:34" ht="15.5">
      <c r="A5" s="1001"/>
      <c r="B5" s="1761" t="s">
        <v>2826</v>
      </c>
      <c r="C5" s="1761"/>
      <c r="D5" s="1761"/>
      <c r="E5" s="1761"/>
      <c r="F5" s="1761"/>
      <c r="G5" s="1761"/>
      <c r="H5" s="1761"/>
      <c r="I5" s="1761"/>
    </row>
    <row r="6" spans="1:34" ht="16" thickBot="1">
      <c r="A6" s="1001"/>
      <c r="B6" s="1002"/>
      <c r="C6" s="1761" t="s">
        <v>2827</v>
      </c>
      <c r="D6" s="1761"/>
      <c r="E6" s="1761"/>
      <c r="F6" s="1761"/>
      <c r="G6" s="1761"/>
      <c r="H6" s="1761"/>
      <c r="I6" s="1761"/>
      <c r="L6" s="1671" t="s">
        <v>3162</v>
      </c>
      <c r="M6" s="1671"/>
      <c r="N6" s="1001"/>
      <c r="O6" s="1001"/>
      <c r="P6" s="1001"/>
      <c r="Q6" s="1001"/>
      <c r="R6" s="1001"/>
      <c r="S6" s="1001"/>
      <c r="T6" s="1001"/>
      <c r="U6" s="1001"/>
      <c r="V6" s="1001"/>
      <c r="W6" s="998"/>
      <c r="X6" s="1040"/>
      <c r="Y6" s="1040"/>
      <c r="Z6" s="1001"/>
      <c r="AA6" s="1040"/>
      <c r="AB6" s="1092"/>
    </row>
    <row r="7" spans="1:34" ht="15" thickBot="1">
      <c r="A7" s="997"/>
      <c r="B7" s="1758" t="s">
        <v>2</v>
      </c>
      <c r="C7" s="1758" t="s">
        <v>3161</v>
      </c>
      <c r="D7" s="1758" t="s">
        <v>3160</v>
      </c>
      <c r="E7" s="1758"/>
      <c r="F7" s="1758" t="s">
        <v>3138</v>
      </c>
      <c r="G7" s="1762" t="s">
        <v>3139</v>
      </c>
      <c r="H7" s="1758" t="s">
        <v>3158</v>
      </c>
      <c r="I7" s="1758" t="s">
        <v>3159</v>
      </c>
      <c r="L7" s="1755" t="s">
        <v>3135</v>
      </c>
      <c r="M7" s="1744" t="s">
        <v>3136</v>
      </c>
      <c r="N7" s="1744" t="s">
        <v>3163</v>
      </c>
      <c r="O7" s="1744" t="s">
        <v>3164</v>
      </c>
      <c r="P7" s="1753" t="s">
        <v>3165</v>
      </c>
      <c r="Q7" s="1753" t="s">
        <v>3166</v>
      </c>
      <c r="R7" s="1744" t="s">
        <v>3137</v>
      </c>
      <c r="S7" s="1744"/>
      <c r="T7" s="1744" t="s">
        <v>3167</v>
      </c>
      <c r="U7" s="1744"/>
      <c r="V7" s="1744"/>
      <c r="W7" s="1744" t="s">
        <v>3168</v>
      </c>
      <c r="X7" s="1744" t="s">
        <v>3140</v>
      </c>
      <c r="Y7" s="1744" t="s">
        <v>3141</v>
      </c>
      <c r="Z7" s="1744" t="s">
        <v>3168</v>
      </c>
      <c r="AA7" s="1744" t="s">
        <v>3140</v>
      </c>
      <c r="AB7" s="1746" t="s">
        <v>3141</v>
      </c>
      <c r="AD7" s="1228">
        <v>1</v>
      </c>
      <c r="AE7" s="1283" t="s">
        <v>3495</v>
      </c>
      <c r="AF7" s="1229"/>
      <c r="AG7" s="1230"/>
      <c r="AH7" s="1230"/>
    </row>
    <row r="8" spans="1:34" ht="15.5" thickTop="1" thickBot="1">
      <c r="A8" s="997"/>
      <c r="B8" s="1759"/>
      <c r="C8" s="1759"/>
      <c r="D8" s="1759"/>
      <c r="E8" s="1759"/>
      <c r="F8" s="1759"/>
      <c r="G8" s="1763"/>
      <c r="H8" s="1759"/>
      <c r="I8" s="1759"/>
      <c r="L8" s="1756"/>
      <c r="M8" s="1745"/>
      <c r="N8" s="1745"/>
      <c r="O8" s="1745"/>
      <c r="P8" s="1754"/>
      <c r="Q8" s="1754"/>
      <c r="R8" s="1745"/>
      <c r="S8" s="1745"/>
      <c r="T8" s="1745"/>
      <c r="U8" s="1745"/>
      <c r="V8" s="1745"/>
      <c r="W8" s="1745"/>
      <c r="X8" s="1745"/>
      <c r="Y8" s="1745"/>
      <c r="Z8" s="1745"/>
      <c r="AA8" s="1745"/>
      <c r="AB8" s="1747"/>
      <c r="AD8" s="1231" t="s">
        <v>2</v>
      </c>
      <c r="AE8" s="1231" t="s">
        <v>3161</v>
      </c>
      <c r="AF8" s="1623" t="s">
        <v>3496</v>
      </c>
      <c r="AG8" s="1624"/>
      <c r="AH8" s="1231" t="s">
        <v>3497</v>
      </c>
    </row>
    <row r="9" spans="1:34" ht="14.5">
      <c r="A9" s="1003"/>
      <c r="B9" s="1032" t="s">
        <v>98</v>
      </c>
      <c r="C9" s="1033" t="s">
        <v>3142</v>
      </c>
      <c r="D9" s="1034"/>
      <c r="E9" s="1034"/>
      <c r="F9" s="1035"/>
      <c r="G9" s="1036"/>
      <c r="H9" s="1037"/>
      <c r="I9" s="1038"/>
      <c r="L9" s="1115">
        <f>1</f>
        <v>1</v>
      </c>
      <c r="M9" s="1116" t="s">
        <v>3169</v>
      </c>
      <c r="N9" s="1117">
        <f>N46</f>
        <v>73.756214950000015</v>
      </c>
      <c r="O9" s="1117">
        <f>O46</f>
        <v>55</v>
      </c>
      <c r="P9" s="1117">
        <f>P46</f>
        <v>130.625</v>
      </c>
      <c r="Q9" s="1117">
        <v>160</v>
      </c>
      <c r="R9" s="1118">
        <f>115*T9</f>
        <v>460</v>
      </c>
      <c r="S9" s="1119" t="s">
        <v>3170</v>
      </c>
      <c r="T9" s="1120">
        <v>4</v>
      </c>
      <c r="U9" s="1121" t="s">
        <v>3171</v>
      </c>
      <c r="V9" s="1122" t="s">
        <v>3172</v>
      </c>
      <c r="W9" s="1123"/>
      <c r="X9" s="1124"/>
      <c r="Y9" s="1124"/>
      <c r="Z9" s="1125" t="s">
        <v>3150</v>
      </c>
      <c r="AA9" s="1126">
        <v>171861</v>
      </c>
      <c r="AB9" s="1127">
        <f>AA9*R9</f>
        <v>79056060</v>
      </c>
      <c r="AD9" s="1232">
        <v>1</v>
      </c>
      <c r="AE9" s="1284" t="s">
        <v>3498</v>
      </c>
      <c r="AF9" s="1233">
        <v>1</v>
      </c>
      <c r="AG9" s="1234" t="s">
        <v>3499</v>
      </c>
      <c r="AH9" s="1235" t="s">
        <v>3500</v>
      </c>
    </row>
    <row r="10" spans="1:34" ht="14.5">
      <c r="A10" s="1003"/>
      <c r="B10" s="1008" t="s">
        <v>93</v>
      </c>
      <c r="C10" s="1009" t="s">
        <v>2825</v>
      </c>
      <c r="D10" s="1010"/>
      <c r="E10" s="1010"/>
      <c r="F10" s="1011"/>
      <c r="G10" s="1012"/>
      <c r="H10" s="1013"/>
      <c r="I10" s="1014"/>
      <c r="L10" s="1128">
        <f t="shared" ref="L10:L29" si="0">L9+1</f>
        <v>2</v>
      </c>
      <c r="M10" s="1129" t="s">
        <v>3173</v>
      </c>
      <c r="N10" s="1130">
        <f>N71</f>
        <v>211.21097917499998</v>
      </c>
      <c r="O10" s="1130">
        <f>O71</f>
        <v>157.5</v>
      </c>
      <c r="P10" s="1130">
        <f>P71</f>
        <v>374.0625</v>
      </c>
      <c r="Q10" s="1130">
        <v>500</v>
      </c>
      <c r="R10" s="1131">
        <f>(102+15+4)*T10</f>
        <v>484</v>
      </c>
      <c r="S10" s="1132" t="s">
        <v>3170</v>
      </c>
      <c r="T10" s="1133">
        <v>4</v>
      </c>
      <c r="U10" s="1134" t="s">
        <v>3171</v>
      </c>
      <c r="V10" s="1135" t="s">
        <v>3174</v>
      </c>
      <c r="W10" s="1136"/>
      <c r="X10" s="1137"/>
      <c r="Y10" s="1137"/>
      <c r="Z10" s="1138" t="s">
        <v>3150</v>
      </c>
      <c r="AA10" s="1139">
        <v>433894</v>
      </c>
      <c r="AB10" s="1140">
        <f t="shared" ref="AB10:AB29" si="1">AA10*R10</f>
        <v>210004696</v>
      </c>
      <c r="AD10" s="1232"/>
      <c r="AE10" s="1284"/>
      <c r="AF10" s="1233"/>
      <c r="AG10" s="1234"/>
      <c r="AH10" s="1641" t="s">
        <v>3794</v>
      </c>
    </row>
    <row r="11" spans="1:34" ht="14.5">
      <c r="A11" s="1003"/>
      <c r="B11" s="1015">
        <v>1</v>
      </c>
      <c r="C11" s="1016" t="s">
        <v>2825</v>
      </c>
      <c r="D11" s="1017">
        <v>1</v>
      </c>
      <c r="E11" s="1017" t="s">
        <v>2839</v>
      </c>
      <c r="F11" s="1011"/>
      <c r="G11" s="1012"/>
      <c r="H11" s="1014">
        <v>180000000</v>
      </c>
      <c r="I11" s="1014">
        <f>H11</f>
        <v>180000000</v>
      </c>
      <c r="L11" s="1128">
        <f t="shared" si="0"/>
        <v>3</v>
      </c>
      <c r="M11" s="1129" t="s">
        <v>3175</v>
      </c>
      <c r="N11" s="1141">
        <f>N97</f>
        <v>365.42851952499996</v>
      </c>
      <c r="O11" s="1141">
        <f>O97</f>
        <v>272.5</v>
      </c>
      <c r="P11" s="1141">
        <f>P97</f>
        <v>647.1875</v>
      </c>
      <c r="Q11" s="1142">
        <v>800</v>
      </c>
      <c r="R11" s="1131">
        <f>(10+82+35+12)*T11</f>
        <v>973</v>
      </c>
      <c r="S11" s="1132" t="s">
        <v>3170</v>
      </c>
      <c r="T11" s="1133">
        <v>7</v>
      </c>
      <c r="U11" s="1134" t="s">
        <v>3171</v>
      </c>
      <c r="V11" s="1135" t="s">
        <v>3174</v>
      </c>
      <c r="W11" s="1143"/>
      <c r="X11" s="1144"/>
      <c r="Y11" s="1144"/>
      <c r="Z11" s="1138" t="s">
        <v>3150</v>
      </c>
      <c r="AA11" s="1139">
        <v>433894</v>
      </c>
      <c r="AB11" s="1140">
        <f t="shared" si="1"/>
        <v>422178862</v>
      </c>
      <c r="AD11" s="1232"/>
      <c r="AE11" s="1284"/>
      <c r="AF11" s="1233"/>
      <c r="AG11" s="1234"/>
      <c r="AH11" s="1642"/>
    </row>
    <row r="12" spans="1:34" ht="14.5">
      <c r="A12" s="997"/>
      <c r="B12" s="1018"/>
      <c r="C12" s="1019" t="s">
        <v>3143</v>
      </c>
      <c r="D12" s="1017"/>
      <c r="E12" s="1017"/>
      <c r="F12" s="1011"/>
      <c r="G12" s="1012"/>
      <c r="H12" s="1013"/>
      <c r="I12" s="1020">
        <f>I11</f>
        <v>180000000</v>
      </c>
      <c r="L12" s="1128">
        <f t="shared" si="0"/>
        <v>4</v>
      </c>
      <c r="M12" s="1129" t="s">
        <v>3176</v>
      </c>
      <c r="N12" s="1142">
        <f>N112</f>
        <v>386.61666854700007</v>
      </c>
      <c r="O12" s="1142">
        <f>O112</f>
        <v>288.3</v>
      </c>
      <c r="P12" s="1142">
        <f>P112</f>
        <v>684.71249999999998</v>
      </c>
      <c r="Q12" s="1142">
        <v>800</v>
      </c>
      <c r="R12" s="1131">
        <f>(102+20+55+4)*T12</f>
        <v>1267</v>
      </c>
      <c r="S12" s="1132" t="s">
        <v>3170</v>
      </c>
      <c r="T12" s="1133">
        <v>7</v>
      </c>
      <c r="U12" s="1134" t="s">
        <v>3171</v>
      </c>
      <c r="V12" s="1135" t="s">
        <v>3174</v>
      </c>
      <c r="W12" s="1143"/>
      <c r="X12" s="1144"/>
      <c r="Y12" s="1144"/>
      <c r="Z12" s="1138" t="s">
        <v>3150</v>
      </c>
      <c r="AA12" s="1139">
        <v>433894</v>
      </c>
      <c r="AB12" s="1140">
        <f t="shared" si="1"/>
        <v>549743698</v>
      </c>
      <c r="AD12" s="1236">
        <v>2</v>
      </c>
      <c r="AE12" s="1237" t="s">
        <v>3501</v>
      </c>
      <c r="AF12" s="1233">
        <v>1</v>
      </c>
      <c r="AG12" s="1238" t="s">
        <v>2839</v>
      </c>
      <c r="AH12" s="1239" t="s">
        <v>3502</v>
      </c>
    </row>
    <row r="13" spans="1:34" ht="14.5">
      <c r="A13" s="997"/>
      <c r="B13" s="1018"/>
      <c r="C13" s="1019"/>
      <c r="D13" s="1017"/>
      <c r="E13" s="1017"/>
      <c r="F13" s="1011"/>
      <c r="G13" s="1012"/>
      <c r="H13" s="1013"/>
      <c r="I13" s="1020"/>
      <c r="L13" s="1128">
        <f t="shared" si="0"/>
        <v>5</v>
      </c>
      <c r="M13" s="1129" t="s">
        <v>3177</v>
      </c>
      <c r="N13" s="1141">
        <f>N165</f>
        <v>509.99070082699984</v>
      </c>
      <c r="O13" s="1141">
        <f>O165</f>
        <v>380.29999999999995</v>
      </c>
      <c r="P13" s="1141">
        <f>P165</f>
        <v>903.21250000000009</v>
      </c>
      <c r="Q13" s="1142">
        <v>1000</v>
      </c>
      <c r="R13" s="1131">
        <v>812</v>
      </c>
      <c r="S13" s="1132" t="s">
        <v>3170</v>
      </c>
      <c r="T13" s="1133">
        <v>7</v>
      </c>
      <c r="U13" s="1134" t="s">
        <v>3171</v>
      </c>
      <c r="V13" s="1135" t="s">
        <v>3178</v>
      </c>
      <c r="W13" s="1143"/>
      <c r="X13" s="1144"/>
      <c r="Y13" s="1144"/>
      <c r="Z13" s="1138" t="s">
        <v>3150</v>
      </c>
      <c r="AA13" s="1139">
        <v>522477</v>
      </c>
      <c r="AB13" s="1140">
        <f t="shared" si="1"/>
        <v>424251324</v>
      </c>
      <c r="AD13" s="1240" t="s">
        <v>109</v>
      </c>
      <c r="AE13" s="1241" t="s">
        <v>3503</v>
      </c>
      <c r="AF13" s="1242"/>
      <c r="AG13" s="1243"/>
      <c r="AH13" s="1244"/>
    </row>
    <row r="14" spans="1:34" ht="14.5">
      <c r="A14" s="1003"/>
      <c r="B14" s="1008" t="s">
        <v>106</v>
      </c>
      <c r="C14" s="1009" t="s">
        <v>3144</v>
      </c>
      <c r="D14" s="1010"/>
      <c r="E14" s="1010"/>
      <c r="F14" s="1011"/>
      <c r="G14" s="1012"/>
      <c r="H14" s="1013"/>
      <c r="I14" s="1014"/>
      <c r="L14" s="1128">
        <f t="shared" si="0"/>
        <v>6</v>
      </c>
      <c r="M14" s="1129" t="s">
        <v>3179</v>
      </c>
      <c r="N14" s="1142">
        <f>N210</f>
        <v>448.03548026900006</v>
      </c>
      <c r="O14" s="1142">
        <f>O210</f>
        <v>334.1</v>
      </c>
      <c r="P14" s="1142">
        <f>P210</f>
        <v>793.48749999999995</v>
      </c>
      <c r="Q14" s="1142">
        <v>800</v>
      </c>
      <c r="R14" s="1131">
        <v>1057</v>
      </c>
      <c r="S14" s="1132" t="s">
        <v>3170</v>
      </c>
      <c r="T14" s="1133">
        <v>7</v>
      </c>
      <c r="U14" s="1134" t="s">
        <v>3171</v>
      </c>
      <c r="V14" s="1135" t="s">
        <v>3174</v>
      </c>
      <c r="W14" s="1143"/>
      <c r="X14" s="1144"/>
      <c r="Y14" s="1144"/>
      <c r="Z14" s="1138" t="s">
        <v>3150</v>
      </c>
      <c r="AA14" s="1139">
        <v>433894</v>
      </c>
      <c r="AB14" s="1140">
        <f t="shared" si="1"/>
        <v>458625958</v>
      </c>
      <c r="AD14" s="1245">
        <v>1</v>
      </c>
      <c r="AE14" s="1246" t="s">
        <v>3504</v>
      </c>
      <c r="AF14" s="1247">
        <v>1</v>
      </c>
      <c r="AG14" s="1248" t="s">
        <v>3505</v>
      </c>
      <c r="AH14" s="1249" t="s">
        <v>3506</v>
      </c>
    </row>
    <row r="15" spans="1:34" ht="14.5">
      <c r="A15" s="1003"/>
      <c r="B15" s="1008" t="s">
        <v>93</v>
      </c>
      <c r="C15" s="1009" t="s">
        <v>2825</v>
      </c>
      <c r="D15" s="1010"/>
      <c r="E15" s="1010"/>
      <c r="F15" s="1011"/>
      <c r="G15" s="1012"/>
      <c r="H15" s="1013"/>
      <c r="I15" s="1014"/>
      <c r="L15" s="1128">
        <f t="shared" si="0"/>
        <v>7</v>
      </c>
      <c r="M15" s="1129" t="s">
        <v>3180</v>
      </c>
      <c r="N15" s="1145" t="s">
        <v>2241</v>
      </c>
      <c r="O15" s="1145" t="s">
        <v>2241</v>
      </c>
      <c r="P15" s="1145" t="s">
        <v>2241</v>
      </c>
      <c r="Q15" s="1142">
        <v>60</v>
      </c>
      <c r="R15" s="1131">
        <v>130</v>
      </c>
      <c r="S15" s="1132" t="s">
        <v>3170</v>
      </c>
      <c r="T15" s="1146">
        <v>1</v>
      </c>
      <c r="U15" s="1147" t="s">
        <v>3171</v>
      </c>
      <c r="V15" s="1148" t="s">
        <v>3181</v>
      </c>
      <c r="W15" s="1143"/>
      <c r="X15" s="1144"/>
      <c r="Y15" s="1144"/>
      <c r="Z15" s="1138" t="s">
        <v>3150</v>
      </c>
      <c r="AA15" s="1139">
        <v>512292</v>
      </c>
      <c r="AB15" s="1140">
        <f t="shared" si="1"/>
        <v>66597960</v>
      </c>
      <c r="AD15" s="1240">
        <v>2</v>
      </c>
      <c r="AE15" s="1241" t="s">
        <v>3507</v>
      </c>
      <c r="AF15" s="1242">
        <v>1</v>
      </c>
      <c r="AG15" s="1243" t="s">
        <v>3505</v>
      </c>
      <c r="AH15" s="1244" t="s">
        <v>3508</v>
      </c>
    </row>
    <row r="16" spans="1:34" ht="14.5">
      <c r="A16" s="997"/>
      <c r="B16" s="1015">
        <v>1</v>
      </c>
      <c r="C16" s="1016" t="s">
        <v>3145</v>
      </c>
      <c r="D16" s="1017">
        <v>1</v>
      </c>
      <c r="E16" s="1017" t="s">
        <v>2839</v>
      </c>
      <c r="F16" s="1011"/>
      <c r="G16" s="1012"/>
      <c r="H16" s="1014">
        <v>600000000</v>
      </c>
      <c r="I16" s="1014">
        <f>H16</f>
        <v>600000000</v>
      </c>
      <c r="L16" s="1128">
        <f t="shared" si="0"/>
        <v>8</v>
      </c>
      <c r="M16" s="1129" t="s">
        <v>3182</v>
      </c>
      <c r="N16" s="1142">
        <f>N190</f>
        <v>60.345994050000002</v>
      </c>
      <c r="O16" s="1142">
        <f>O190</f>
        <v>45</v>
      </c>
      <c r="P16" s="1142">
        <f>P190</f>
        <v>106.875</v>
      </c>
      <c r="Q16" s="1142">
        <v>125</v>
      </c>
      <c r="R16" s="1131">
        <v>25</v>
      </c>
      <c r="S16" s="1132" t="s">
        <v>3170</v>
      </c>
      <c r="T16" s="1133">
        <v>1</v>
      </c>
      <c r="U16" s="1134" t="s">
        <v>3171</v>
      </c>
      <c r="V16" s="1149" t="s">
        <v>3183</v>
      </c>
      <c r="W16" s="1143"/>
      <c r="X16" s="1144"/>
      <c r="Y16" s="1144"/>
      <c r="Z16" s="1138" t="s">
        <v>3150</v>
      </c>
      <c r="AA16" s="1139">
        <v>272006</v>
      </c>
      <c r="AB16" s="1140">
        <f t="shared" si="1"/>
        <v>6800150</v>
      </c>
      <c r="AD16" s="1240">
        <v>3</v>
      </c>
      <c r="AE16" s="1241" t="s">
        <v>3509</v>
      </c>
      <c r="AF16" s="1242">
        <v>1</v>
      </c>
      <c r="AG16" s="1243" t="s">
        <v>3505</v>
      </c>
      <c r="AH16" s="1244" t="s">
        <v>3508</v>
      </c>
    </row>
    <row r="17" spans="1:34" ht="14.5">
      <c r="A17" s="997"/>
      <c r="B17" s="1015">
        <v>2</v>
      </c>
      <c r="C17" s="1016" t="s">
        <v>3146</v>
      </c>
      <c r="D17" s="1017">
        <v>1</v>
      </c>
      <c r="E17" s="1017" t="s">
        <v>2839</v>
      </c>
      <c r="F17" s="1011"/>
      <c r="G17" s="1012"/>
      <c r="H17" s="1014">
        <v>1300000000</v>
      </c>
      <c r="I17" s="1014">
        <f>H17</f>
        <v>1300000000</v>
      </c>
      <c r="L17" s="1128">
        <f t="shared" si="0"/>
        <v>9</v>
      </c>
      <c r="M17" s="1129" t="s">
        <v>3184</v>
      </c>
      <c r="N17" s="1142">
        <f>N192</f>
        <v>60.345994050000002</v>
      </c>
      <c r="O17" s="1142">
        <f>O192</f>
        <v>45</v>
      </c>
      <c r="P17" s="1142">
        <f>P192</f>
        <v>106.875</v>
      </c>
      <c r="Q17" s="1142">
        <v>125</v>
      </c>
      <c r="R17" s="1131">
        <v>25</v>
      </c>
      <c r="S17" s="1132" t="s">
        <v>3170</v>
      </c>
      <c r="T17" s="1133">
        <v>1</v>
      </c>
      <c r="U17" s="1134" t="s">
        <v>3171</v>
      </c>
      <c r="V17" s="1149" t="s">
        <v>3183</v>
      </c>
      <c r="W17" s="1143"/>
      <c r="X17" s="1144"/>
      <c r="Y17" s="1144"/>
      <c r="Z17" s="1138" t="s">
        <v>3150</v>
      </c>
      <c r="AA17" s="1139">
        <v>272006</v>
      </c>
      <c r="AB17" s="1140">
        <f t="shared" si="1"/>
        <v>6800150</v>
      </c>
      <c r="AD17" s="1245">
        <v>4</v>
      </c>
      <c r="AE17" s="1246" t="s">
        <v>3510</v>
      </c>
      <c r="AF17" s="1247">
        <v>1</v>
      </c>
      <c r="AG17" s="1248" t="s">
        <v>3505</v>
      </c>
      <c r="AH17" s="1249" t="s">
        <v>3506</v>
      </c>
    </row>
    <row r="18" spans="1:34" ht="14.5">
      <c r="A18" s="997"/>
      <c r="B18" s="1018"/>
      <c r="C18" s="1019" t="s">
        <v>3143</v>
      </c>
      <c r="D18" s="1017"/>
      <c r="E18" s="1017"/>
      <c r="F18" s="1011"/>
      <c r="G18" s="1012"/>
      <c r="H18" s="1013"/>
      <c r="I18" s="1020">
        <f>SUM(I16:I17)</f>
        <v>1900000000</v>
      </c>
      <c r="L18" s="1128">
        <f t="shared" si="0"/>
        <v>10</v>
      </c>
      <c r="M18" s="1129" t="s">
        <v>3185</v>
      </c>
      <c r="N18" s="1142">
        <f>N194</f>
        <v>60.345994050000002</v>
      </c>
      <c r="O18" s="1142">
        <f>O194</f>
        <v>45</v>
      </c>
      <c r="P18" s="1142">
        <f>P194</f>
        <v>106.875</v>
      </c>
      <c r="Q18" s="1142">
        <v>125</v>
      </c>
      <c r="R18" s="1131">
        <v>25</v>
      </c>
      <c r="S18" s="1132" t="s">
        <v>3170</v>
      </c>
      <c r="T18" s="1133">
        <v>1</v>
      </c>
      <c r="U18" s="1134" t="s">
        <v>3171</v>
      </c>
      <c r="V18" s="1149" t="s">
        <v>3183</v>
      </c>
      <c r="W18" s="1150"/>
      <c r="X18" s="1144"/>
      <c r="Y18" s="1144"/>
      <c r="Z18" s="1138" t="s">
        <v>3150</v>
      </c>
      <c r="AA18" s="1139">
        <v>272006</v>
      </c>
      <c r="AB18" s="1140">
        <f t="shared" si="1"/>
        <v>6800150</v>
      </c>
      <c r="AD18" s="1240">
        <v>5</v>
      </c>
      <c r="AE18" s="1241" t="s">
        <v>3511</v>
      </c>
      <c r="AF18" s="1242">
        <v>1</v>
      </c>
      <c r="AG18" s="1243" t="s">
        <v>3505</v>
      </c>
      <c r="AH18" s="1244" t="s">
        <v>3508</v>
      </c>
    </row>
    <row r="19" spans="1:34" ht="14.5">
      <c r="A19" s="997"/>
      <c r="B19" s="1018"/>
      <c r="C19" s="1021"/>
      <c r="D19" s="1017"/>
      <c r="E19" s="1017"/>
      <c r="F19" s="1022"/>
      <c r="G19" s="1023"/>
      <c r="H19" s="1013"/>
      <c r="I19" s="1014"/>
      <c r="L19" s="1128">
        <f t="shared" si="0"/>
        <v>11</v>
      </c>
      <c r="M19" s="1129" t="s">
        <v>3186</v>
      </c>
      <c r="N19" s="1145" t="s">
        <v>2241</v>
      </c>
      <c r="O19" s="1145" t="s">
        <v>2241</v>
      </c>
      <c r="P19" s="1145" t="s">
        <v>2241</v>
      </c>
      <c r="Q19" s="1142">
        <v>125</v>
      </c>
      <c r="R19" s="1131">
        <v>21</v>
      </c>
      <c r="S19" s="1132" t="s">
        <v>3170</v>
      </c>
      <c r="T19" s="1133">
        <v>1</v>
      </c>
      <c r="U19" s="1134" t="s">
        <v>3171</v>
      </c>
      <c r="V19" s="1149" t="s">
        <v>3183</v>
      </c>
      <c r="W19" s="1150"/>
      <c r="X19" s="1144"/>
      <c r="Y19" s="1144"/>
      <c r="Z19" s="1138" t="s">
        <v>3150</v>
      </c>
      <c r="AA19" s="1139">
        <v>272006</v>
      </c>
      <c r="AB19" s="1140">
        <f t="shared" si="1"/>
        <v>5712126</v>
      </c>
      <c r="AD19" s="1240">
        <v>6</v>
      </c>
      <c r="AE19" s="1241" t="s">
        <v>3512</v>
      </c>
      <c r="AF19" s="1242">
        <v>1</v>
      </c>
      <c r="AG19" s="1243" t="s">
        <v>3505</v>
      </c>
      <c r="AH19" s="1244" t="s">
        <v>3508</v>
      </c>
    </row>
    <row r="20" spans="1:34" ht="14.5">
      <c r="A20" s="1003"/>
      <c r="B20" s="1008" t="s">
        <v>96</v>
      </c>
      <c r="C20" s="1009" t="s">
        <v>3147</v>
      </c>
      <c r="D20" s="1010"/>
      <c r="E20" s="1010"/>
      <c r="F20" s="1011"/>
      <c r="G20" s="1012"/>
      <c r="H20" s="1013"/>
      <c r="I20" s="1014"/>
      <c r="L20" s="1128">
        <f t="shared" si="0"/>
        <v>12</v>
      </c>
      <c r="M20" s="1151" t="s">
        <v>3187</v>
      </c>
      <c r="N20" s="1142">
        <f>N100</f>
        <v>120.6919881</v>
      </c>
      <c r="O20" s="1142">
        <f>O100</f>
        <v>90</v>
      </c>
      <c r="P20" s="1142">
        <f>P100</f>
        <v>213.75</v>
      </c>
      <c r="Q20" s="1142">
        <v>250</v>
      </c>
      <c r="R20" s="1152">
        <v>6</v>
      </c>
      <c r="S20" s="1132" t="s">
        <v>3170</v>
      </c>
      <c r="T20" s="1133">
        <v>4</v>
      </c>
      <c r="U20" s="1134" t="s">
        <v>3171</v>
      </c>
      <c r="V20" s="1135" t="s">
        <v>3172</v>
      </c>
      <c r="W20" s="1136"/>
      <c r="X20" s="1137"/>
      <c r="Y20" s="1137"/>
      <c r="Z20" s="1138" t="s">
        <v>3150</v>
      </c>
      <c r="AA20" s="1139">
        <v>171861</v>
      </c>
      <c r="AB20" s="1140">
        <f t="shared" si="1"/>
        <v>1031166</v>
      </c>
      <c r="AD20" s="1245">
        <v>7</v>
      </c>
      <c r="AE20" s="1246" t="s">
        <v>3513</v>
      </c>
      <c r="AF20" s="1247">
        <v>1</v>
      </c>
      <c r="AG20" s="1248" t="s">
        <v>3505</v>
      </c>
      <c r="AH20" s="1249" t="s">
        <v>3506</v>
      </c>
    </row>
    <row r="21" spans="1:34" ht="14.5">
      <c r="A21" s="997"/>
      <c r="B21" s="1015">
        <v>1</v>
      </c>
      <c r="C21" s="1016" t="s">
        <v>3148</v>
      </c>
      <c r="D21" s="1017">
        <v>1</v>
      </c>
      <c r="E21" s="1017" t="s">
        <v>2839</v>
      </c>
      <c r="F21" s="1011"/>
      <c r="G21" s="1012"/>
      <c r="H21" s="1013"/>
      <c r="I21" s="1014">
        <v>2500000000</v>
      </c>
      <c r="L21" s="1128">
        <f t="shared" si="0"/>
        <v>13</v>
      </c>
      <c r="M21" s="1151" t="s">
        <v>3188</v>
      </c>
      <c r="N21" s="1142">
        <f>N102</f>
        <v>120.6919881</v>
      </c>
      <c r="O21" s="1142">
        <f>O102</f>
        <v>90</v>
      </c>
      <c r="P21" s="1142">
        <f>P102</f>
        <v>213.75</v>
      </c>
      <c r="Q21" s="1142">
        <v>250</v>
      </c>
      <c r="R21" s="1152">
        <v>5</v>
      </c>
      <c r="S21" s="1132" t="s">
        <v>3170</v>
      </c>
      <c r="T21" s="1133">
        <v>4</v>
      </c>
      <c r="U21" s="1134" t="s">
        <v>3171</v>
      </c>
      <c r="V21" s="1135" t="s">
        <v>3172</v>
      </c>
      <c r="W21" s="1136"/>
      <c r="X21" s="1137"/>
      <c r="Y21" s="1137"/>
      <c r="Z21" s="1138" t="s">
        <v>3150</v>
      </c>
      <c r="AA21" s="1139">
        <v>171861</v>
      </c>
      <c r="AB21" s="1140">
        <f t="shared" si="1"/>
        <v>859305</v>
      </c>
      <c r="AD21" s="1240">
        <v>8</v>
      </c>
      <c r="AE21" s="1241" t="s">
        <v>3514</v>
      </c>
      <c r="AF21" s="1242">
        <v>1</v>
      </c>
      <c r="AG21" s="1243" t="s">
        <v>3505</v>
      </c>
      <c r="AH21" s="1244" t="s">
        <v>3508</v>
      </c>
    </row>
    <row r="22" spans="1:34" ht="14.5">
      <c r="A22" s="997"/>
      <c r="B22" s="1015">
        <v>2</v>
      </c>
      <c r="C22" s="1021" t="s">
        <v>3077</v>
      </c>
      <c r="D22" s="1017">
        <v>1</v>
      </c>
      <c r="E22" s="1017" t="s">
        <v>2839</v>
      </c>
      <c r="F22" s="1011"/>
      <c r="G22" s="1012"/>
      <c r="H22" s="1013"/>
      <c r="I22" s="1014">
        <v>1630000000</v>
      </c>
      <c r="L22" s="1128">
        <f t="shared" si="0"/>
        <v>14</v>
      </c>
      <c r="M22" s="1151" t="s">
        <v>3189</v>
      </c>
      <c r="N22" s="1142">
        <f>N104</f>
        <v>120.6919881</v>
      </c>
      <c r="O22" s="1142">
        <f>O104</f>
        <v>90</v>
      </c>
      <c r="P22" s="1142">
        <f>P104</f>
        <v>213.75</v>
      </c>
      <c r="Q22" s="1142">
        <v>250</v>
      </c>
      <c r="R22" s="1152">
        <v>6</v>
      </c>
      <c r="S22" s="1132" t="s">
        <v>3170</v>
      </c>
      <c r="T22" s="1133">
        <v>4</v>
      </c>
      <c r="U22" s="1134" t="s">
        <v>3171</v>
      </c>
      <c r="V22" s="1135" t="s">
        <v>3172</v>
      </c>
      <c r="W22" s="1143"/>
      <c r="X22" s="1144"/>
      <c r="Y22" s="1144"/>
      <c r="Z22" s="1138" t="s">
        <v>3150</v>
      </c>
      <c r="AA22" s="1139">
        <v>171861</v>
      </c>
      <c r="AB22" s="1140">
        <f t="shared" si="1"/>
        <v>1031166</v>
      </c>
      <c r="AD22" s="1240">
        <v>9</v>
      </c>
      <c r="AE22" s="1241" t="s">
        <v>3515</v>
      </c>
      <c r="AF22" s="1242">
        <v>1</v>
      </c>
      <c r="AG22" s="1243" t="s">
        <v>3505</v>
      </c>
      <c r="AH22" s="1244" t="s">
        <v>3508</v>
      </c>
    </row>
    <row r="23" spans="1:34" ht="14.5">
      <c r="A23" s="997"/>
      <c r="B23" s="1015">
        <v>3</v>
      </c>
      <c r="C23" s="1024" t="s">
        <v>3149</v>
      </c>
      <c r="D23" s="1017">
        <v>1</v>
      </c>
      <c r="E23" s="1017" t="s">
        <v>2839</v>
      </c>
      <c r="F23" s="1011" t="s">
        <v>3150</v>
      </c>
      <c r="G23" s="1012"/>
      <c r="H23" s="1013">
        <f>AA31</f>
        <v>3000000000</v>
      </c>
      <c r="I23" s="1014">
        <f t="shared" ref="I23:I27" si="2">H23</f>
        <v>3000000000</v>
      </c>
      <c r="L23" s="1128">
        <f t="shared" si="0"/>
        <v>15</v>
      </c>
      <c r="M23" s="1153" t="s">
        <v>3190</v>
      </c>
      <c r="N23" s="1145" t="s">
        <v>2241</v>
      </c>
      <c r="O23" s="1145" t="s">
        <v>2241</v>
      </c>
      <c r="P23" s="1145" t="s">
        <v>2241</v>
      </c>
      <c r="Q23" s="1154">
        <v>32</v>
      </c>
      <c r="R23" s="1152">
        <v>75</v>
      </c>
      <c r="S23" s="1132" t="s">
        <v>3170</v>
      </c>
      <c r="T23" s="1155">
        <v>1</v>
      </c>
      <c r="U23" s="1147" t="s">
        <v>3171</v>
      </c>
      <c r="V23" s="1148" t="s">
        <v>3191</v>
      </c>
      <c r="W23" s="1143"/>
      <c r="X23" s="1144"/>
      <c r="Y23" s="1144"/>
      <c r="Z23" s="1138" t="s">
        <v>3150</v>
      </c>
      <c r="AA23" s="1156">
        <v>38801.5</v>
      </c>
      <c r="AB23" s="1140">
        <f t="shared" si="1"/>
        <v>2910112.5</v>
      </c>
      <c r="AD23" s="1245">
        <v>10</v>
      </c>
      <c r="AE23" s="1246" t="s">
        <v>3516</v>
      </c>
      <c r="AF23" s="1247">
        <v>1</v>
      </c>
      <c r="AG23" s="1248" t="s">
        <v>3505</v>
      </c>
      <c r="AH23" s="1249" t="s">
        <v>3506</v>
      </c>
    </row>
    <row r="24" spans="1:34" ht="14.5">
      <c r="A24" s="997"/>
      <c r="B24" s="1015">
        <v>4</v>
      </c>
      <c r="C24" s="1024" t="s">
        <v>3151</v>
      </c>
      <c r="D24" s="1017">
        <v>1</v>
      </c>
      <c r="E24" s="1017" t="s">
        <v>2839</v>
      </c>
      <c r="F24" s="1011" t="s">
        <v>3150</v>
      </c>
      <c r="G24" s="1012"/>
      <c r="H24" s="1013">
        <f>AA214</f>
        <v>400000000.00000006</v>
      </c>
      <c r="I24" s="1014">
        <f t="shared" si="2"/>
        <v>400000000.00000006</v>
      </c>
      <c r="L24" s="1128">
        <f t="shared" si="0"/>
        <v>16</v>
      </c>
      <c r="M24" s="1153" t="s">
        <v>3192</v>
      </c>
      <c r="N24" s="1145" t="s">
        <v>2241</v>
      </c>
      <c r="O24" s="1145" t="s">
        <v>2241</v>
      </c>
      <c r="P24" s="1145" t="s">
        <v>2241</v>
      </c>
      <c r="Q24" s="1154">
        <v>32</v>
      </c>
      <c r="R24" s="1152">
        <v>60</v>
      </c>
      <c r="S24" s="1132" t="s">
        <v>3170</v>
      </c>
      <c r="T24" s="1155">
        <v>1</v>
      </c>
      <c r="U24" s="1147" t="s">
        <v>3171</v>
      </c>
      <c r="V24" s="1148" t="s">
        <v>3191</v>
      </c>
      <c r="W24" s="1143"/>
      <c r="X24" s="1144"/>
      <c r="Y24" s="1144"/>
      <c r="Z24" s="1138" t="s">
        <v>3150</v>
      </c>
      <c r="AA24" s="1156">
        <v>38801.5</v>
      </c>
      <c r="AB24" s="1140">
        <f t="shared" si="1"/>
        <v>2328090</v>
      </c>
      <c r="AD24" s="1240">
        <v>11</v>
      </c>
      <c r="AE24" s="1241" t="s">
        <v>3514</v>
      </c>
      <c r="AF24" s="1242">
        <v>1</v>
      </c>
      <c r="AG24" s="1243" t="s">
        <v>3505</v>
      </c>
      <c r="AH24" s="1244" t="s">
        <v>3508</v>
      </c>
    </row>
    <row r="25" spans="1:34" ht="14.5">
      <c r="A25" s="1003"/>
      <c r="B25" s="1015">
        <v>5</v>
      </c>
      <c r="C25" s="1024" t="s">
        <v>3152</v>
      </c>
      <c r="D25" s="1017">
        <v>1</v>
      </c>
      <c r="E25" s="1017" t="s">
        <v>2839</v>
      </c>
      <c r="F25" s="1011"/>
      <c r="G25" s="1012"/>
      <c r="H25" s="1013">
        <f>V229</f>
        <v>180000000</v>
      </c>
      <c r="I25" s="1014">
        <f t="shared" si="2"/>
        <v>180000000</v>
      </c>
      <c r="L25" s="1128">
        <f t="shared" si="0"/>
        <v>17</v>
      </c>
      <c r="M25" s="1151" t="s">
        <v>3193</v>
      </c>
      <c r="N25" s="1145" t="s">
        <v>2241</v>
      </c>
      <c r="O25" s="1145" t="s">
        <v>2241</v>
      </c>
      <c r="P25" s="1145" t="s">
        <v>2241</v>
      </c>
      <c r="Q25" s="1154">
        <v>32</v>
      </c>
      <c r="R25" s="1152">
        <v>25</v>
      </c>
      <c r="S25" s="1132" t="s">
        <v>3170</v>
      </c>
      <c r="T25" s="1155">
        <v>1</v>
      </c>
      <c r="U25" s="1147" t="s">
        <v>3171</v>
      </c>
      <c r="V25" s="1148" t="s">
        <v>3191</v>
      </c>
      <c r="W25" s="1143"/>
      <c r="X25" s="1144"/>
      <c r="Y25" s="1144"/>
      <c r="Z25" s="1138" t="s">
        <v>3150</v>
      </c>
      <c r="AA25" s="1156">
        <v>38801.5</v>
      </c>
      <c r="AB25" s="1140">
        <f t="shared" si="1"/>
        <v>970037.5</v>
      </c>
      <c r="AD25" s="1240">
        <v>12</v>
      </c>
      <c r="AE25" s="1241" t="s">
        <v>3515</v>
      </c>
      <c r="AF25" s="1242">
        <v>1</v>
      </c>
      <c r="AG25" s="1243" t="s">
        <v>3505</v>
      </c>
      <c r="AH25" s="1244" t="s">
        <v>3508</v>
      </c>
    </row>
    <row r="26" spans="1:34" ht="14.5">
      <c r="A26" s="997"/>
      <c r="B26" s="1015">
        <v>6</v>
      </c>
      <c r="C26" s="1021" t="s">
        <v>3153</v>
      </c>
      <c r="D26" s="1017">
        <v>1</v>
      </c>
      <c r="E26" s="1017" t="s">
        <v>2839</v>
      </c>
      <c r="F26" s="1011"/>
      <c r="G26" s="1012"/>
      <c r="H26" s="1013">
        <f>V244</f>
        <v>60000000</v>
      </c>
      <c r="I26" s="1014">
        <f t="shared" si="2"/>
        <v>60000000</v>
      </c>
      <c r="L26" s="1128">
        <f t="shared" si="0"/>
        <v>18</v>
      </c>
      <c r="M26" s="1151" t="s">
        <v>3194</v>
      </c>
      <c r="N26" s="1145" t="s">
        <v>2241</v>
      </c>
      <c r="O26" s="1145" t="s">
        <v>2241</v>
      </c>
      <c r="P26" s="1145" t="s">
        <v>2241</v>
      </c>
      <c r="Q26" s="1154">
        <v>32</v>
      </c>
      <c r="R26" s="1152">
        <v>80</v>
      </c>
      <c r="S26" s="1132" t="s">
        <v>3170</v>
      </c>
      <c r="T26" s="1155">
        <v>1</v>
      </c>
      <c r="U26" s="1147" t="s">
        <v>3171</v>
      </c>
      <c r="V26" s="1148" t="s">
        <v>3191</v>
      </c>
      <c r="W26" s="1143"/>
      <c r="X26" s="1144"/>
      <c r="Y26" s="1144"/>
      <c r="Z26" s="1138" t="s">
        <v>3150</v>
      </c>
      <c r="AA26" s="1156">
        <v>38801.5</v>
      </c>
      <c r="AB26" s="1140">
        <f t="shared" si="1"/>
        <v>3104120</v>
      </c>
      <c r="AD26" s="1245">
        <v>13</v>
      </c>
      <c r="AE26" s="1246" t="s">
        <v>3517</v>
      </c>
      <c r="AF26" s="1247">
        <v>1</v>
      </c>
      <c r="AG26" s="1248" t="s">
        <v>3505</v>
      </c>
      <c r="AH26" s="1249" t="s">
        <v>3506</v>
      </c>
    </row>
    <row r="27" spans="1:34" ht="14.5">
      <c r="A27" s="997"/>
      <c r="B27" s="1015">
        <v>7</v>
      </c>
      <c r="C27" s="1024" t="s">
        <v>3154</v>
      </c>
      <c r="D27" s="1017">
        <v>1</v>
      </c>
      <c r="E27" s="1017" t="s">
        <v>2839</v>
      </c>
      <c r="F27" s="1011"/>
      <c r="G27" s="1012"/>
      <c r="H27" s="1013">
        <f>V305</f>
        <v>80000000</v>
      </c>
      <c r="I27" s="1014">
        <f t="shared" si="2"/>
        <v>80000000</v>
      </c>
      <c r="L27" s="1128">
        <f t="shared" si="0"/>
        <v>19</v>
      </c>
      <c r="M27" s="1151" t="s">
        <v>3195</v>
      </c>
      <c r="N27" s="1145" t="s">
        <v>2241</v>
      </c>
      <c r="O27" s="1145" t="s">
        <v>2241</v>
      </c>
      <c r="P27" s="1145" t="s">
        <v>2241</v>
      </c>
      <c r="Q27" s="1154">
        <v>32</v>
      </c>
      <c r="R27" s="1152">
        <v>30</v>
      </c>
      <c r="S27" s="1132" t="s">
        <v>3170</v>
      </c>
      <c r="T27" s="1155">
        <v>1</v>
      </c>
      <c r="U27" s="1147" t="s">
        <v>3171</v>
      </c>
      <c r="V27" s="1148" t="s">
        <v>3191</v>
      </c>
      <c r="W27" s="1143"/>
      <c r="X27" s="1144"/>
      <c r="Y27" s="1144"/>
      <c r="Z27" s="1138" t="s">
        <v>3150</v>
      </c>
      <c r="AA27" s="1156">
        <v>38801.5</v>
      </c>
      <c r="AB27" s="1140">
        <f t="shared" si="1"/>
        <v>1164045</v>
      </c>
      <c r="AD27" s="1240">
        <v>14</v>
      </c>
      <c r="AE27" s="1241" t="s">
        <v>3518</v>
      </c>
      <c r="AF27" s="1242">
        <v>1</v>
      </c>
      <c r="AG27" s="1243" t="s">
        <v>3505</v>
      </c>
      <c r="AH27" s="1244" t="s">
        <v>3508</v>
      </c>
    </row>
    <row r="28" spans="1:34" ht="14.5">
      <c r="A28" s="997"/>
      <c r="B28" s="1015">
        <v>8</v>
      </c>
      <c r="C28" s="1024" t="s">
        <v>3155</v>
      </c>
      <c r="D28" s="1017">
        <v>1</v>
      </c>
      <c r="E28" s="1017" t="s">
        <v>2839</v>
      </c>
      <c r="F28" s="1011"/>
      <c r="G28" s="1012"/>
      <c r="H28" s="1013">
        <f>V292</f>
        <v>250000000</v>
      </c>
      <c r="I28" s="1014">
        <f>H28</f>
        <v>250000000</v>
      </c>
      <c r="L28" s="1128">
        <f t="shared" si="0"/>
        <v>20</v>
      </c>
      <c r="M28" s="1151" t="s">
        <v>3196</v>
      </c>
      <c r="N28" s="1145" t="s">
        <v>2241</v>
      </c>
      <c r="O28" s="1145" t="s">
        <v>2241</v>
      </c>
      <c r="P28" s="1145" t="s">
        <v>2241</v>
      </c>
      <c r="Q28" s="1154">
        <v>32</v>
      </c>
      <c r="R28" s="1152">
        <v>15</v>
      </c>
      <c r="S28" s="1132" t="s">
        <v>3170</v>
      </c>
      <c r="T28" s="1155">
        <v>1</v>
      </c>
      <c r="U28" s="1147" t="s">
        <v>3171</v>
      </c>
      <c r="V28" s="1148" t="s">
        <v>3191</v>
      </c>
      <c r="W28" s="1143"/>
      <c r="X28" s="1144"/>
      <c r="Y28" s="1144"/>
      <c r="Z28" s="1138" t="s">
        <v>3150</v>
      </c>
      <c r="AA28" s="1156">
        <v>38801.5</v>
      </c>
      <c r="AB28" s="1140">
        <f t="shared" si="1"/>
        <v>582022.5</v>
      </c>
      <c r="AD28" s="1240">
        <v>15</v>
      </c>
      <c r="AE28" s="1241" t="s">
        <v>3519</v>
      </c>
      <c r="AF28" s="1242">
        <v>1</v>
      </c>
      <c r="AG28" s="1243" t="s">
        <v>3505</v>
      </c>
      <c r="AH28" s="1244" t="s">
        <v>3508</v>
      </c>
    </row>
    <row r="29" spans="1:34" ht="15" thickBot="1">
      <c r="A29" s="997"/>
      <c r="B29" s="1015">
        <v>9</v>
      </c>
      <c r="C29" s="1024" t="s">
        <v>3156</v>
      </c>
      <c r="D29" s="1017">
        <v>1</v>
      </c>
      <c r="E29" s="1017" t="s">
        <v>2839</v>
      </c>
      <c r="F29" s="1011"/>
      <c r="G29" s="1012"/>
      <c r="H29" s="1013">
        <f>V318</f>
        <v>150000000</v>
      </c>
      <c r="I29" s="1014">
        <f>H29</f>
        <v>150000000</v>
      </c>
      <c r="L29" s="1157">
        <f t="shared" si="0"/>
        <v>21</v>
      </c>
      <c r="M29" s="1158" t="s">
        <v>3414</v>
      </c>
      <c r="N29" s="1159"/>
      <c r="O29" s="1160"/>
      <c r="P29" s="1160"/>
      <c r="Q29" s="1161"/>
      <c r="R29" s="1162">
        <v>1</v>
      </c>
      <c r="S29" s="1163" t="s">
        <v>2839</v>
      </c>
      <c r="T29" s="1164"/>
      <c r="U29" s="1165"/>
      <c r="V29" s="1166"/>
      <c r="W29" s="1167"/>
      <c r="X29" s="1168"/>
      <c r="Y29" s="1168"/>
      <c r="Z29" s="1169"/>
      <c r="AA29" s="1170">
        <v>105000000</v>
      </c>
      <c r="AB29" s="1171">
        <f t="shared" si="1"/>
        <v>105000000</v>
      </c>
      <c r="AD29" s="1245">
        <v>19</v>
      </c>
      <c r="AE29" s="1246" t="s">
        <v>3520</v>
      </c>
      <c r="AF29" s="1247">
        <v>1</v>
      </c>
      <c r="AG29" s="1248" t="s">
        <v>3505</v>
      </c>
      <c r="AH29" s="1249" t="s">
        <v>3506</v>
      </c>
    </row>
    <row r="30" spans="1:34" ht="15" thickBot="1">
      <c r="A30" s="997"/>
      <c r="B30" s="1018"/>
      <c r="C30" s="1024"/>
      <c r="D30" s="1017"/>
      <c r="E30" s="1017"/>
      <c r="F30" s="1011"/>
      <c r="G30" s="1012"/>
      <c r="H30" s="1013"/>
      <c r="I30" s="1014"/>
      <c r="L30" s="1748" t="s">
        <v>2240</v>
      </c>
      <c r="M30" s="1749"/>
      <c r="N30" s="1749"/>
      <c r="O30" s="1749"/>
      <c r="P30" s="1749"/>
      <c r="Q30" s="1749"/>
      <c r="R30" s="1749"/>
      <c r="S30" s="1749"/>
      <c r="T30" s="1749"/>
      <c r="U30" s="1749"/>
      <c r="V30" s="1749"/>
      <c r="W30" s="1749"/>
      <c r="X30" s="1749"/>
      <c r="Y30" s="1749"/>
      <c r="Z30" s="1750"/>
      <c r="AA30" s="1751">
        <f>SUM(AB9:AB29)</f>
        <v>2355551198.5</v>
      </c>
      <c r="AB30" s="1752"/>
      <c r="AD30" s="1240">
        <v>20</v>
      </c>
      <c r="AE30" s="1241" t="s">
        <v>3514</v>
      </c>
      <c r="AF30" s="1242">
        <v>1</v>
      </c>
      <c r="AG30" s="1243" t="s">
        <v>3505</v>
      </c>
      <c r="AH30" s="1244" t="s">
        <v>3508</v>
      </c>
    </row>
    <row r="31" spans="1:34" ht="15.5" thickTop="1" thickBot="1">
      <c r="A31" s="997"/>
      <c r="B31" s="1018"/>
      <c r="C31" s="1019" t="s">
        <v>3143</v>
      </c>
      <c r="D31" s="1017"/>
      <c r="E31" s="1017"/>
      <c r="F31" s="1011"/>
      <c r="G31" s="1012"/>
      <c r="H31" s="1013"/>
      <c r="I31" s="1020">
        <f>SUM(I21:I29)</f>
        <v>8250000000</v>
      </c>
      <c r="L31" s="1725" t="s">
        <v>3197</v>
      </c>
      <c r="M31" s="1726"/>
      <c r="N31" s="1726"/>
      <c r="O31" s="1726"/>
      <c r="P31" s="1726"/>
      <c r="Q31" s="1726"/>
      <c r="R31" s="1726"/>
      <c r="S31" s="1726"/>
      <c r="T31" s="1726"/>
      <c r="U31" s="1726"/>
      <c r="V31" s="1726"/>
      <c r="W31" s="1726"/>
      <c r="X31" s="1726"/>
      <c r="Y31" s="1726"/>
      <c r="Z31" s="1727"/>
      <c r="AA31" s="1728">
        <f>AA30*121%+149783049.815</f>
        <v>3000000000</v>
      </c>
      <c r="AB31" s="1729"/>
      <c r="AD31" s="1240">
        <v>21</v>
      </c>
      <c r="AE31" s="1241" t="s">
        <v>3515</v>
      </c>
      <c r="AF31" s="1242">
        <v>1</v>
      </c>
      <c r="AG31" s="1243" t="s">
        <v>3505</v>
      </c>
      <c r="AH31" s="1244" t="s">
        <v>3508</v>
      </c>
    </row>
    <row r="32" spans="1:34" ht="14.5">
      <c r="A32" s="997"/>
      <c r="B32" s="1025"/>
      <c r="C32" s="1026"/>
      <c r="D32" s="1027"/>
      <c r="E32" s="1027"/>
      <c r="F32" s="1028"/>
      <c r="G32" s="1029"/>
      <c r="H32" s="1030"/>
      <c r="I32" s="1031"/>
      <c r="L32" s="997"/>
      <c r="M32" s="997"/>
      <c r="N32" s="997"/>
      <c r="O32" s="998"/>
      <c r="P32" s="998"/>
      <c r="Q32" s="998"/>
      <c r="R32" s="997"/>
      <c r="S32" s="997"/>
      <c r="T32" s="997"/>
      <c r="U32" s="997"/>
      <c r="V32" s="997"/>
      <c r="W32" s="999"/>
      <c r="X32" s="1000"/>
      <c r="Y32" s="1000"/>
      <c r="Z32" s="997"/>
      <c r="AA32" s="1000"/>
      <c r="AB32" s="1093"/>
      <c r="AD32" s="1245">
        <v>55</v>
      </c>
      <c r="AE32" s="1246" t="s">
        <v>3521</v>
      </c>
      <c r="AF32" s="1247">
        <v>1</v>
      </c>
      <c r="AG32" s="1248" t="s">
        <v>3505</v>
      </c>
      <c r="AH32" s="1249" t="s">
        <v>3506</v>
      </c>
    </row>
    <row r="33" spans="1:34" ht="15" customHeight="1" thickBot="1">
      <c r="A33" s="997"/>
      <c r="B33" s="1757" t="s">
        <v>2240</v>
      </c>
      <c r="C33" s="1757"/>
      <c r="D33" s="1757"/>
      <c r="E33" s="1757"/>
      <c r="F33" s="1757"/>
      <c r="G33" s="1757"/>
      <c r="H33" s="1039"/>
      <c r="I33" s="1039">
        <f>SUM(I12,I18,I31)</f>
        <v>10330000000</v>
      </c>
      <c r="L33" s="1764" t="s">
        <v>3198</v>
      </c>
      <c r="M33" s="1764"/>
      <c r="N33" s="1001"/>
      <c r="O33" s="1001"/>
      <c r="P33" s="1001"/>
      <c r="Q33" s="1001"/>
      <c r="R33" s="1001"/>
      <c r="S33" s="1001"/>
      <c r="T33" s="1001"/>
      <c r="U33" s="1001"/>
      <c r="V33" s="1001"/>
      <c r="W33" s="998"/>
      <c r="X33" s="1040"/>
      <c r="Y33" s="1040"/>
      <c r="Z33" s="1001"/>
      <c r="AA33" s="1040"/>
      <c r="AB33" s="1092"/>
      <c r="AD33" s="1240">
        <v>56</v>
      </c>
      <c r="AE33" s="1241" t="s">
        <v>3507</v>
      </c>
      <c r="AF33" s="1242">
        <v>1</v>
      </c>
      <c r="AG33" s="1243" t="s">
        <v>3505</v>
      </c>
      <c r="AH33" s="1244" t="s">
        <v>3508</v>
      </c>
    </row>
    <row r="34" spans="1:34" ht="14.5">
      <c r="L34" s="1740" t="s">
        <v>3135</v>
      </c>
      <c r="M34" s="1730" t="s">
        <v>3136</v>
      </c>
      <c r="N34" s="1730" t="s">
        <v>3163</v>
      </c>
      <c r="O34" s="1730" t="s">
        <v>3164</v>
      </c>
      <c r="P34" s="1742" t="s">
        <v>3165</v>
      </c>
      <c r="Q34" s="1730" t="s">
        <v>3199</v>
      </c>
      <c r="R34" s="1637" t="s">
        <v>3137</v>
      </c>
      <c r="S34" s="1735"/>
      <c r="T34" s="1637" t="s">
        <v>3167</v>
      </c>
      <c r="U34" s="1738"/>
      <c r="V34" s="1735"/>
      <c r="W34" s="1730" t="s">
        <v>3168</v>
      </c>
      <c r="X34" s="1730" t="s">
        <v>3140</v>
      </c>
      <c r="Y34" s="1730" t="s">
        <v>3141</v>
      </c>
      <c r="Z34" s="1730" t="s">
        <v>3168</v>
      </c>
      <c r="AA34" s="1730" t="s">
        <v>3140</v>
      </c>
      <c r="AB34" s="1732" t="s">
        <v>3141</v>
      </c>
      <c r="AD34" s="1240">
        <v>57</v>
      </c>
      <c r="AE34" s="1241" t="s">
        <v>3522</v>
      </c>
      <c r="AF34" s="1242">
        <v>1</v>
      </c>
      <c r="AG34" s="1243" t="s">
        <v>3505</v>
      </c>
      <c r="AH34" s="1244" t="s">
        <v>3508</v>
      </c>
    </row>
    <row r="35" spans="1:34" ht="14.5">
      <c r="L35" s="1741"/>
      <c r="M35" s="1734"/>
      <c r="N35" s="1734"/>
      <c r="O35" s="1734"/>
      <c r="P35" s="1743"/>
      <c r="Q35" s="1734"/>
      <c r="R35" s="1736"/>
      <c r="S35" s="1737"/>
      <c r="T35" s="1736"/>
      <c r="U35" s="1739"/>
      <c r="V35" s="1737"/>
      <c r="W35" s="1731"/>
      <c r="X35" s="1731"/>
      <c r="Y35" s="1731"/>
      <c r="Z35" s="1731"/>
      <c r="AA35" s="1731"/>
      <c r="AB35" s="1733"/>
      <c r="AD35" s="1240"/>
      <c r="AE35" s="1241"/>
      <c r="AF35" s="1242"/>
      <c r="AG35" s="1243"/>
      <c r="AH35" s="1244"/>
    </row>
    <row r="36" spans="1:34" ht="14.5">
      <c r="L36" s="1172">
        <v>1</v>
      </c>
      <c r="M36" s="1173" t="s">
        <v>3111</v>
      </c>
      <c r="N36" s="1174"/>
      <c r="O36" s="1175"/>
      <c r="P36" s="1175"/>
      <c r="Q36" s="1176"/>
      <c r="R36" s="1177"/>
      <c r="S36" s="1178"/>
      <c r="T36" s="1179"/>
      <c r="U36" s="1180"/>
      <c r="V36" s="1181"/>
      <c r="W36" s="1182"/>
      <c r="X36" s="1183"/>
      <c r="Y36" s="1183"/>
      <c r="Z36" s="1173"/>
      <c r="AA36" s="1183"/>
      <c r="AB36" s="1184"/>
      <c r="AD36" s="1240"/>
      <c r="AE36" s="1241"/>
      <c r="AF36" s="1242"/>
      <c r="AG36" s="1243"/>
      <c r="AH36" s="1244"/>
    </row>
    <row r="37" spans="1:34" ht="14.5">
      <c r="L37" s="1185"/>
      <c r="M37" s="1186"/>
      <c r="N37" s="1187"/>
      <c r="O37" s="1188"/>
      <c r="P37" s="1188"/>
      <c r="Q37" s="1154"/>
      <c r="R37" s="1189"/>
      <c r="S37" s="1190"/>
      <c r="T37" s="1191"/>
      <c r="U37" s="1147"/>
      <c r="V37" s="1148"/>
      <c r="W37" s="1136"/>
      <c r="X37" s="1192"/>
      <c r="Y37" s="1192"/>
      <c r="Z37" s="1186"/>
      <c r="AA37" s="1192"/>
      <c r="AB37" s="1193"/>
      <c r="AD37" s="1240"/>
      <c r="AE37" s="1241" t="s">
        <v>3523</v>
      </c>
      <c r="AF37" s="1242"/>
      <c r="AG37" s="1243"/>
      <c r="AH37" s="1244"/>
    </row>
    <row r="38" spans="1:34" ht="14.5">
      <c r="L38" s="1194" t="s">
        <v>3200</v>
      </c>
      <c r="M38" s="1195" t="s">
        <v>3201</v>
      </c>
      <c r="N38" s="1196">
        <f>1.34102209*O38</f>
        <v>7.3756214950000007</v>
      </c>
      <c r="O38" s="1141">
        <v>5.5</v>
      </c>
      <c r="P38" s="1141">
        <f>O38*1.9*1.25</f>
        <v>13.0625</v>
      </c>
      <c r="Q38" s="1154" t="s">
        <v>3202</v>
      </c>
      <c r="R38" s="1197">
        <v>10</v>
      </c>
      <c r="S38" s="1132" t="s">
        <v>3170</v>
      </c>
      <c r="T38" s="1198">
        <v>1</v>
      </c>
      <c r="U38" s="1147" t="s">
        <v>3171</v>
      </c>
      <c r="V38" s="1148" t="s">
        <v>3203</v>
      </c>
      <c r="W38" s="1143" t="s">
        <v>3204</v>
      </c>
      <c r="X38" s="1156">
        <v>25695.599999999999</v>
      </c>
      <c r="Y38" s="1156">
        <f t="shared" ref="Y38:Y44" si="3">X38*R38</f>
        <v>256956</v>
      </c>
      <c r="Z38" s="1138" t="s">
        <v>3150</v>
      </c>
      <c r="AA38" s="1156">
        <v>24920.400000000001</v>
      </c>
      <c r="AB38" s="1199">
        <f t="shared" ref="AB38:AB44" si="4">AA38*R38</f>
        <v>249204</v>
      </c>
      <c r="AD38" s="1240"/>
      <c r="AE38" s="1241"/>
      <c r="AF38" s="1242"/>
      <c r="AG38" s="1243"/>
      <c r="AH38" s="1244"/>
    </row>
    <row r="39" spans="1:34" ht="14.5">
      <c r="L39" s="1194" t="s">
        <v>3205</v>
      </c>
      <c r="M39" s="1195" t="s">
        <v>3206</v>
      </c>
      <c r="N39" s="1196">
        <f t="shared" ref="N39:N42" si="5">1.34102209*O39</f>
        <v>7.3756214950000007</v>
      </c>
      <c r="O39" s="1141">
        <v>5.5</v>
      </c>
      <c r="P39" s="1141">
        <f>O39*1.9*1.25</f>
        <v>13.0625</v>
      </c>
      <c r="Q39" s="1154" t="s">
        <v>3202</v>
      </c>
      <c r="R39" s="1197">
        <v>60</v>
      </c>
      <c r="S39" s="1132" t="s">
        <v>3170</v>
      </c>
      <c r="T39" s="1198">
        <v>1</v>
      </c>
      <c r="U39" s="1147" t="s">
        <v>3171</v>
      </c>
      <c r="V39" s="1148" t="s">
        <v>3203</v>
      </c>
      <c r="W39" s="1143" t="s">
        <v>3204</v>
      </c>
      <c r="X39" s="1156">
        <v>25695.599999999999</v>
      </c>
      <c r="Y39" s="1156">
        <f t="shared" si="3"/>
        <v>1541736</v>
      </c>
      <c r="Z39" s="1138" t="s">
        <v>3150</v>
      </c>
      <c r="AA39" s="1156">
        <v>24920.399999999998</v>
      </c>
      <c r="AB39" s="1199">
        <f t="shared" si="4"/>
        <v>1495223.9999999998</v>
      </c>
      <c r="AD39" s="1240"/>
      <c r="AE39" s="1241" t="s">
        <v>3524</v>
      </c>
      <c r="AF39" s="1242"/>
      <c r="AG39" s="1243"/>
      <c r="AH39" s="1244"/>
    </row>
    <row r="40" spans="1:34" ht="14.5">
      <c r="L40" s="1194" t="s">
        <v>3207</v>
      </c>
      <c r="M40" s="1195" t="s">
        <v>3208</v>
      </c>
      <c r="N40" s="1196">
        <f t="shared" si="5"/>
        <v>29.502485980000003</v>
      </c>
      <c r="O40" s="1142">
        <v>22</v>
      </c>
      <c r="P40" s="1141">
        <f>O40*1.9*1.25</f>
        <v>52.25</v>
      </c>
      <c r="Q40" s="1154" t="s">
        <v>3209</v>
      </c>
      <c r="R40" s="1197">
        <v>20</v>
      </c>
      <c r="S40" s="1132" t="s">
        <v>3170</v>
      </c>
      <c r="T40" s="1146">
        <v>1</v>
      </c>
      <c r="U40" s="1147" t="s">
        <v>3171</v>
      </c>
      <c r="V40" s="1148" t="s">
        <v>3181</v>
      </c>
      <c r="W40" s="1143" t="s">
        <v>3204</v>
      </c>
      <c r="X40" s="1156">
        <v>56011.9</v>
      </c>
      <c r="Y40" s="1156">
        <f t="shared" si="3"/>
        <v>1120238</v>
      </c>
      <c r="Z40" s="1138" t="s">
        <v>3150</v>
      </c>
      <c r="AA40" s="1156">
        <v>54322.1</v>
      </c>
      <c r="AB40" s="1199">
        <f t="shared" si="4"/>
        <v>1086442</v>
      </c>
      <c r="AD40" s="1240">
        <v>1</v>
      </c>
      <c r="AE40" s="1241" t="s">
        <v>3525</v>
      </c>
      <c r="AF40" s="1242">
        <v>1</v>
      </c>
      <c r="AG40" s="1243" t="s">
        <v>3505</v>
      </c>
      <c r="AH40" s="1244" t="s">
        <v>3508</v>
      </c>
    </row>
    <row r="41" spans="1:34" ht="14.5">
      <c r="L41" s="1200"/>
      <c r="M41" s="1195"/>
      <c r="N41" s="1145"/>
      <c r="O41" s="1142"/>
      <c r="P41" s="1142"/>
      <c r="Q41" s="1154"/>
      <c r="R41" s="1197">
        <v>20</v>
      </c>
      <c r="S41" s="1132" t="s">
        <v>3170</v>
      </c>
      <c r="T41" s="1197">
        <v>1</v>
      </c>
      <c r="U41" s="1147" t="s">
        <v>3171</v>
      </c>
      <c r="V41" s="1148" t="s">
        <v>3210</v>
      </c>
      <c r="W41" s="1143" t="s">
        <v>3204</v>
      </c>
      <c r="X41" s="1156">
        <v>69310.5</v>
      </c>
      <c r="Y41" s="1156">
        <f t="shared" si="3"/>
        <v>1386210</v>
      </c>
      <c r="Z41" s="1138" t="s">
        <v>3150</v>
      </c>
      <c r="AA41" s="1156">
        <v>67219.5</v>
      </c>
      <c r="AB41" s="1199">
        <f t="shared" si="4"/>
        <v>1344390</v>
      </c>
      <c r="AD41" s="1240">
        <v>2</v>
      </c>
      <c r="AE41" s="1241" t="s">
        <v>3526</v>
      </c>
      <c r="AF41" s="1242">
        <v>28</v>
      </c>
      <c r="AG41" s="1243" t="s">
        <v>3487</v>
      </c>
      <c r="AH41" s="1244" t="s">
        <v>3506</v>
      </c>
    </row>
    <row r="42" spans="1:34" ht="14.5">
      <c r="L42" s="1194" t="s">
        <v>3211</v>
      </c>
      <c r="M42" s="1195" t="s">
        <v>3212</v>
      </c>
      <c r="N42" s="1196">
        <f t="shared" si="5"/>
        <v>29.502485980000003</v>
      </c>
      <c r="O42" s="1142">
        <v>22</v>
      </c>
      <c r="P42" s="1141">
        <f>O42*1.9*1.25</f>
        <v>52.25</v>
      </c>
      <c r="Q42" s="1154" t="s">
        <v>3209</v>
      </c>
      <c r="R42" s="1197">
        <v>25</v>
      </c>
      <c r="S42" s="1132" t="s">
        <v>3170</v>
      </c>
      <c r="T42" s="1146">
        <v>1</v>
      </c>
      <c r="U42" s="1147" t="s">
        <v>3171</v>
      </c>
      <c r="V42" s="1148" t="s">
        <v>3181</v>
      </c>
      <c r="W42" s="1143" t="s">
        <v>3204</v>
      </c>
      <c r="X42" s="1156">
        <v>56011.9</v>
      </c>
      <c r="Y42" s="1156">
        <f t="shared" si="3"/>
        <v>1400297.5</v>
      </c>
      <c r="Z42" s="1138" t="s">
        <v>3150</v>
      </c>
      <c r="AA42" s="1156">
        <v>86674.9</v>
      </c>
      <c r="AB42" s="1199">
        <f t="shared" si="4"/>
        <v>2166872.5</v>
      </c>
      <c r="AD42" s="1240">
        <v>3</v>
      </c>
      <c r="AE42" s="1241" t="s">
        <v>3527</v>
      </c>
      <c r="AF42" s="1242">
        <v>28</v>
      </c>
      <c r="AG42" s="1243" t="s">
        <v>3487</v>
      </c>
      <c r="AH42" s="1244" t="s">
        <v>3506</v>
      </c>
    </row>
    <row r="43" spans="1:34" ht="14.5">
      <c r="L43" s="1200"/>
      <c r="M43" s="1195"/>
      <c r="N43" s="1145"/>
      <c r="O43" s="1142"/>
      <c r="P43" s="1142"/>
      <c r="Q43" s="1154"/>
      <c r="R43" s="1197">
        <v>25</v>
      </c>
      <c r="S43" s="1132" t="s">
        <v>3170</v>
      </c>
      <c r="T43" s="1197">
        <v>1</v>
      </c>
      <c r="U43" s="1147" t="s">
        <v>3171</v>
      </c>
      <c r="V43" s="1148" t="s">
        <v>3210</v>
      </c>
      <c r="W43" s="1143" t="s">
        <v>3204</v>
      </c>
      <c r="X43" s="1156">
        <v>69310.5</v>
      </c>
      <c r="Y43" s="1156">
        <f t="shared" si="3"/>
        <v>1732762.5</v>
      </c>
      <c r="Z43" s="1138" t="s">
        <v>3150</v>
      </c>
      <c r="AA43" s="1156">
        <v>67219.5</v>
      </c>
      <c r="AB43" s="1199">
        <f t="shared" si="4"/>
        <v>1680487.5</v>
      </c>
      <c r="AD43" s="1240">
        <v>4</v>
      </c>
      <c r="AE43" s="1241" t="s">
        <v>3528</v>
      </c>
      <c r="AF43" s="1242">
        <v>28</v>
      </c>
      <c r="AG43" s="1243" t="s">
        <v>3487</v>
      </c>
      <c r="AH43" s="1244" t="s">
        <v>3506</v>
      </c>
    </row>
    <row r="44" spans="1:34" ht="14.5">
      <c r="L44" s="1194" t="s">
        <v>3213</v>
      </c>
      <c r="M44" s="1195" t="s">
        <v>3214</v>
      </c>
      <c r="N44" s="1145"/>
      <c r="O44" s="1142"/>
      <c r="P44" s="1142"/>
      <c r="Q44" s="1154"/>
      <c r="R44" s="1197">
        <f>SUM(R40,R42)*2</f>
        <v>90</v>
      </c>
      <c r="S44" s="1132" t="s">
        <v>3170</v>
      </c>
      <c r="T44" s="1198">
        <v>1</v>
      </c>
      <c r="U44" s="1147" t="s">
        <v>3171</v>
      </c>
      <c r="V44" s="1148" t="s">
        <v>3215</v>
      </c>
      <c r="W44" s="1143" t="s">
        <v>3204</v>
      </c>
      <c r="X44" s="1156">
        <v>14481.95</v>
      </c>
      <c r="Y44" s="1156">
        <f t="shared" si="3"/>
        <v>1303375.5</v>
      </c>
      <c r="Z44" s="1138" t="s">
        <v>3150</v>
      </c>
      <c r="AA44" s="1156">
        <v>14045.05</v>
      </c>
      <c r="AB44" s="1199">
        <f t="shared" si="4"/>
        <v>1264054.5</v>
      </c>
      <c r="AD44" s="1240">
        <v>5</v>
      </c>
      <c r="AE44" s="1241" t="s">
        <v>3529</v>
      </c>
      <c r="AF44" s="1242">
        <v>28</v>
      </c>
      <c r="AG44" s="1243" t="s">
        <v>3487</v>
      </c>
      <c r="AH44" s="1244" t="s">
        <v>3530</v>
      </c>
    </row>
    <row r="45" spans="1:34" ht="14.5">
      <c r="L45" s="1201"/>
      <c r="M45" s="1202"/>
      <c r="N45" s="1203"/>
      <c r="O45" s="1204"/>
      <c r="P45" s="1204"/>
      <c r="Q45" s="1205"/>
      <c r="R45" s="1206"/>
      <c r="S45" s="1207"/>
      <c r="T45" s="1206"/>
      <c r="U45" s="1208"/>
      <c r="V45" s="1207"/>
      <c r="W45" s="1209"/>
      <c r="X45" s="1210"/>
      <c r="Y45" s="1210"/>
      <c r="Z45" s="1202"/>
      <c r="AA45" s="1210"/>
      <c r="AB45" s="1211"/>
      <c r="AD45" s="1240">
        <v>6</v>
      </c>
      <c r="AE45" s="1241" t="s">
        <v>3531</v>
      </c>
      <c r="AF45" s="1242">
        <v>1</v>
      </c>
      <c r="AG45" s="1243" t="s">
        <v>3505</v>
      </c>
      <c r="AH45" s="1244" t="s">
        <v>3532</v>
      </c>
    </row>
    <row r="46" spans="1:34" ht="15" thickBot="1">
      <c r="L46" s="1719" t="s">
        <v>2240</v>
      </c>
      <c r="M46" s="1720"/>
      <c r="N46" s="1045">
        <f>SUM(N38:N45)</f>
        <v>73.756214950000015</v>
      </c>
      <c r="O46" s="1045">
        <f>SUM(O38:O45)</f>
        <v>55</v>
      </c>
      <c r="P46" s="1045">
        <f>SUM(P38:P45)</f>
        <v>130.625</v>
      </c>
      <c r="Q46" s="1046"/>
      <c r="R46" s="1047"/>
      <c r="S46" s="1048"/>
      <c r="T46" s="1047"/>
      <c r="U46" s="1049"/>
      <c r="V46" s="1048"/>
      <c r="W46" s="1050"/>
      <c r="X46" s="1051"/>
      <c r="Y46" s="1051"/>
      <c r="Z46" s="1052"/>
      <c r="AA46" s="1051"/>
      <c r="AB46" s="1094">
        <f>SUM(AB38:AB45)</f>
        <v>9286674.5</v>
      </c>
      <c r="AD46" s="1240">
        <v>7</v>
      </c>
      <c r="AE46" s="1241" t="s">
        <v>3533</v>
      </c>
      <c r="AF46" s="1242">
        <v>3</v>
      </c>
      <c r="AG46" s="1243" t="s">
        <v>3487</v>
      </c>
      <c r="AH46" s="1244" t="s">
        <v>3534</v>
      </c>
    </row>
    <row r="47" spans="1:34" ht="15" thickTop="1">
      <c r="L47" s="1212">
        <v>2</v>
      </c>
      <c r="M47" s="1213" t="s">
        <v>3216</v>
      </c>
      <c r="N47" s="1214"/>
      <c r="O47" s="1215"/>
      <c r="P47" s="1215"/>
      <c r="Q47" s="1216"/>
      <c r="R47" s="1217"/>
      <c r="S47" s="1218"/>
      <c r="T47" s="1217"/>
      <c r="U47" s="1219"/>
      <c r="V47" s="1218"/>
      <c r="W47" s="1220"/>
      <c r="X47" s="1221"/>
      <c r="Y47" s="1221"/>
      <c r="Z47" s="1213"/>
      <c r="AA47" s="1221"/>
      <c r="AB47" s="1222"/>
      <c r="AD47" s="1240">
        <v>8</v>
      </c>
      <c r="AE47" s="1241" t="s">
        <v>3535</v>
      </c>
      <c r="AF47" s="1242">
        <v>14</v>
      </c>
      <c r="AG47" s="1243" t="s">
        <v>3487</v>
      </c>
      <c r="AH47" s="1244" t="s">
        <v>3536</v>
      </c>
    </row>
    <row r="48" spans="1:34" ht="14.5">
      <c r="L48" s="1185"/>
      <c r="M48" s="1186"/>
      <c r="N48" s="1145"/>
      <c r="O48" s="1142"/>
      <c r="P48" s="1142"/>
      <c r="Q48" s="1154"/>
      <c r="R48" s="1189"/>
      <c r="S48" s="1190"/>
      <c r="T48" s="1189"/>
      <c r="U48" s="1223"/>
      <c r="V48" s="1190"/>
      <c r="W48" s="1136"/>
      <c r="X48" s="1192"/>
      <c r="Y48" s="1192"/>
      <c r="Z48" s="1186"/>
      <c r="AA48" s="1192"/>
      <c r="AB48" s="1193"/>
      <c r="AD48" s="1240">
        <v>9</v>
      </c>
      <c r="AE48" s="1241" t="s">
        <v>3537</v>
      </c>
      <c r="AF48" s="1242">
        <v>2</v>
      </c>
      <c r="AG48" s="1243" t="s">
        <v>3487</v>
      </c>
      <c r="AH48" s="1244" t="s">
        <v>3536</v>
      </c>
    </row>
    <row r="49" spans="12:34" ht="14.5">
      <c r="L49" s="1194" t="s">
        <v>3217</v>
      </c>
      <c r="M49" s="1195" t="s">
        <v>2851</v>
      </c>
      <c r="N49" s="1196">
        <f t="shared" ref="N49" si="6">1.34102209*O49</f>
        <v>29.502485980000003</v>
      </c>
      <c r="O49" s="1142">
        <v>22</v>
      </c>
      <c r="P49" s="1141">
        <f>O49*1.9*1.25</f>
        <v>52.25</v>
      </c>
      <c r="Q49" s="1154" t="s">
        <v>3209</v>
      </c>
      <c r="R49" s="1197">
        <v>35</v>
      </c>
      <c r="S49" s="1132" t="s">
        <v>3170</v>
      </c>
      <c r="T49" s="1146">
        <v>1</v>
      </c>
      <c r="U49" s="1147" t="s">
        <v>3171</v>
      </c>
      <c r="V49" s="1148" t="s">
        <v>3181</v>
      </c>
      <c r="W49" s="1143" t="s">
        <v>3204</v>
      </c>
      <c r="X49" s="1156">
        <v>56011.9</v>
      </c>
      <c r="Y49" s="1156">
        <f t="shared" ref="Y49:Y56" si="7">X49*R49</f>
        <v>1960416.5</v>
      </c>
      <c r="Z49" s="1138" t="s">
        <v>3150</v>
      </c>
      <c r="AA49" s="1156">
        <v>54322.1</v>
      </c>
      <c r="AB49" s="1199">
        <f t="shared" ref="AB49:AB56" si="8">AA49*R49</f>
        <v>1901273.5</v>
      </c>
      <c r="AD49" s="1240">
        <v>10</v>
      </c>
      <c r="AE49" s="1241" t="s">
        <v>3538</v>
      </c>
      <c r="AF49" s="1242">
        <v>14</v>
      </c>
      <c r="AG49" s="1243" t="s">
        <v>3487</v>
      </c>
      <c r="AH49" s="1244" t="s">
        <v>3506</v>
      </c>
    </row>
    <row r="50" spans="12:34" ht="14.5">
      <c r="L50" s="1200"/>
      <c r="M50" s="1195"/>
      <c r="N50" s="1145"/>
      <c r="O50" s="1142"/>
      <c r="P50" s="1142"/>
      <c r="Q50" s="1154"/>
      <c r="R50" s="1197">
        <v>35</v>
      </c>
      <c r="S50" s="1132" t="s">
        <v>3170</v>
      </c>
      <c r="T50" s="1197">
        <v>1</v>
      </c>
      <c r="U50" s="1147" t="s">
        <v>3171</v>
      </c>
      <c r="V50" s="1148" t="s">
        <v>3210</v>
      </c>
      <c r="W50" s="1143" t="s">
        <v>3204</v>
      </c>
      <c r="X50" s="1156">
        <v>69310.5</v>
      </c>
      <c r="Y50" s="1156">
        <f t="shared" si="7"/>
        <v>2425867.5</v>
      </c>
      <c r="Z50" s="1138" t="s">
        <v>3150</v>
      </c>
      <c r="AA50" s="1156">
        <v>67219.5</v>
      </c>
      <c r="AB50" s="1199">
        <f t="shared" si="8"/>
        <v>2352682.5</v>
      </c>
      <c r="AD50" s="1240">
        <v>11</v>
      </c>
      <c r="AE50" s="1241" t="s">
        <v>3539</v>
      </c>
      <c r="AF50" s="1242">
        <v>1</v>
      </c>
      <c r="AG50" s="1243" t="s">
        <v>3505</v>
      </c>
      <c r="AH50" s="1244" t="s">
        <v>3508</v>
      </c>
    </row>
    <row r="51" spans="12:34" ht="14.5">
      <c r="L51" s="1194" t="s">
        <v>3218</v>
      </c>
      <c r="M51" s="1195" t="s">
        <v>3219</v>
      </c>
      <c r="N51" s="1196">
        <f t="shared" ref="N51" si="9">1.34102209*O51</f>
        <v>14.751242990000001</v>
      </c>
      <c r="O51" s="1142">
        <v>11</v>
      </c>
      <c r="P51" s="1141">
        <f>O51*1.9*1.25</f>
        <v>26.125</v>
      </c>
      <c r="Q51" s="1154" t="s">
        <v>3209</v>
      </c>
      <c r="R51" s="1197">
        <v>35</v>
      </c>
      <c r="S51" s="1132" t="s">
        <v>3170</v>
      </c>
      <c r="T51" s="1146">
        <v>1</v>
      </c>
      <c r="U51" s="1147" t="s">
        <v>3171</v>
      </c>
      <c r="V51" s="1148" t="s">
        <v>3220</v>
      </c>
      <c r="W51" s="1143" t="s">
        <v>3204</v>
      </c>
      <c r="X51" s="1156">
        <v>56011.9</v>
      </c>
      <c r="Y51" s="1156">
        <f t="shared" si="7"/>
        <v>1960416.5</v>
      </c>
      <c r="Z51" s="1138" t="s">
        <v>3150</v>
      </c>
      <c r="AA51" s="1156">
        <v>54322.1</v>
      </c>
      <c r="AB51" s="1199">
        <f t="shared" si="8"/>
        <v>1901273.5</v>
      </c>
      <c r="AD51" s="1240">
        <v>12</v>
      </c>
      <c r="AE51" s="1241" t="s">
        <v>3540</v>
      </c>
      <c r="AF51" s="1242">
        <v>1</v>
      </c>
      <c r="AG51" s="1243" t="s">
        <v>3505</v>
      </c>
      <c r="AH51" s="1244" t="s">
        <v>3508</v>
      </c>
    </row>
    <row r="52" spans="12:34" ht="14.5">
      <c r="L52" s="1200"/>
      <c r="M52" s="1195"/>
      <c r="N52" s="1145"/>
      <c r="O52" s="1142"/>
      <c r="P52" s="1142"/>
      <c r="Q52" s="1154"/>
      <c r="R52" s="1197">
        <v>35</v>
      </c>
      <c r="S52" s="1132" t="s">
        <v>3170</v>
      </c>
      <c r="T52" s="1146">
        <v>1</v>
      </c>
      <c r="U52" s="1147" t="s">
        <v>3171</v>
      </c>
      <c r="V52" s="1148" t="s">
        <v>3221</v>
      </c>
      <c r="W52" s="1143" t="s">
        <v>3204</v>
      </c>
      <c r="X52" s="1156">
        <v>42713.3</v>
      </c>
      <c r="Y52" s="1156">
        <f t="shared" si="7"/>
        <v>1494965.5</v>
      </c>
      <c r="Z52" s="1138" t="s">
        <v>3150</v>
      </c>
      <c r="AA52" s="1156">
        <v>41424.699999999997</v>
      </c>
      <c r="AB52" s="1199">
        <f t="shared" si="8"/>
        <v>1449864.5</v>
      </c>
      <c r="AD52" s="1240">
        <v>13</v>
      </c>
      <c r="AE52" s="1241" t="s">
        <v>3541</v>
      </c>
      <c r="AF52" s="1242">
        <v>2</v>
      </c>
      <c r="AG52" s="1243" t="s">
        <v>3487</v>
      </c>
      <c r="AH52" s="1244" t="s">
        <v>3542</v>
      </c>
    </row>
    <row r="53" spans="12:34" ht="14.5">
      <c r="L53" s="1194" t="s">
        <v>3222</v>
      </c>
      <c r="M53" s="1195" t="s">
        <v>3223</v>
      </c>
      <c r="N53" s="1196">
        <f t="shared" ref="N53:N54" si="10">1.34102209*O53</f>
        <v>29.502485980000003</v>
      </c>
      <c r="O53" s="1141">
        <v>22</v>
      </c>
      <c r="P53" s="1141">
        <f>O53*1.9*1.25</f>
        <v>52.25</v>
      </c>
      <c r="Q53" s="1154" t="s">
        <v>3224</v>
      </c>
      <c r="R53" s="1197">
        <v>17</v>
      </c>
      <c r="S53" s="1132" t="s">
        <v>3170</v>
      </c>
      <c r="T53" s="1146">
        <v>1</v>
      </c>
      <c r="U53" s="1147" t="s">
        <v>3171</v>
      </c>
      <c r="V53" s="1148" t="s">
        <v>3225</v>
      </c>
      <c r="W53" s="1143" t="s">
        <v>3204</v>
      </c>
      <c r="X53" s="1156">
        <v>56011.9</v>
      </c>
      <c r="Y53" s="1156">
        <f t="shared" si="7"/>
        <v>952202.3</v>
      </c>
      <c r="Z53" s="1138" t="s">
        <v>3150</v>
      </c>
      <c r="AA53" s="1156">
        <v>133783.20000000001</v>
      </c>
      <c r="AB53" s="1199">
        <f t="shared" si="8"/>
        <v>2274314.4000000004</v>
      </c>
      <c r="AD53" s="1240">
        <v>14</v>
      </c>
      <c r="AE53" s="1241" t="s">
        <v>3543</v>
      </c>
      <c r="AF53" s="1242">
        <v>3</v>
      </c>
      <c r="AG53" s="1243" t="s">
        <v>3487</v>
      </c>
      <c r="AH53" s="1244" t="s">
        <v>3508</v>
      </c>
    </row>
    <row r="54" spans="12:34" ht="14.5">
      <c r="L54" s="1194" t="s">
        <v>3226</v>
      </c>
      <c r="M54" s="1195" t="s">
        <v>3227</v>
      </c>
      <c r="N54" s="1196">
        <f t="shared" si="10"/>
        <v>14.751242990000001</v>
      </c>
      <c r="O54" s="1142">
        <v>11</v>
      </c>
      <c r="P54" s="1141">
        <f>O54*1.9*1.25</f>
        <v>26.125</v>
      </c>
      <c r="Q54" s="1154" t="s">
        <v>3209</v>
      </c>
      <c r="R54" s="1197">
        <f>27+11+4</f>
        <v>42</v>
      </c>
      <c r="S54" s="1132" t="s">
        <v>3170</v>
      </c>
      <c r="T54" s="1146">
        <v>1</v>
      </c>
      <c r="U54" s="1147" t="s">
        <v>3171</v>
      </c>
      <c r="V54" s="1148" t="s">
        <v>3220</v>
      </c>
      <c r="W54" s="1143" t="s">
        <v>3204</v>
      </c>
      <c r="X54" s="1156">
        <v>56011.9</v>
      </c>
      <c r="Y54" s="1156">
        <f t="shared" si="7"/>
        <v>2352499.8000000003</v>
      </c>
      <c r="Z54" s="1138" t="s">
        <v>3150</v>
      </c>
      <c r="AA54" s="1156">
        <v>54322.1</v>
      </c>
      <c r="AB54" s="1199">
        <f t="shared" si="8"/>
        <v>2281528.1999999997</v>
      </c>
      <c r="AD54" s="1240">
        <v>15</v>
      </c>
      <c r="AE54" s="1241" t="s">
        <v>3544</v>
      </c>
      <c r="AF54" s="1242">
        <v>3</v>
      </c>
      <c r="AG54" s="1243" t="s">
        <v>3487</v>
      </c>
      <c r="AH54" s="1244" t="s">
        <v>3508</v>
      </c>
    </row>
    <row r="55" spans="12:34" ht="14.5">
      <c r="L55" s="1200"/>
      <c r="M55" s="1195"/>
      <c r="N55" s="1145"/>
      <c r="O55" s="1142"/>
      <c r="P55" s="1142"/>
      <c r="Q55" s="1154"/>
      <c r="R55" s="1197">
        <f>27+11+4</f>
        <v>42</v>
      </c>
      <c r="S55" s="1132" t="s">
        <v>3170</v>
      </c>
      <c r="T55" s="1146">
        <v>1</v>
      </c>
      <c r="U55" s="1147" t="s">
        <v>3171</v>
      </c>
      <c r="V55" s="1148" t="s">
        <v>3221</v>
      </c>
      <c r="W55" s="1143" t="s">
        <v>3204</v>
      </c>
      <c r="X55" s="1156">
        <v>42713.3</v>
      </c>
      <c r="Y55" s="1156">
        <f t="shared" si="7"/>
        <v>1793958.6</v>
      </c>
      <c r="Z55" s="1138" t="s">
        <v>3150</v>
      </c>
      <c r="AA55" s="1156">
        <v>41424.699999999997</v>
      </c>
      <c r="AB55" s="1199">
        <f t="shared" si="8"/>
        <v>1739837.4</v>
      </c>
      <c r="AD55" s="1240">
        <v>16</v>
      </c>
      <c r="AE55" s="1241" t="s">
        <v>3545</v>
      </c>
      <c r="AF55" s="1242">
        <v>14</v>
      </c>
      <c r="AG55" s="1243" t="s">
        <v>3487</v>
      </c>
      <c r="AH55" s="1244" t="s">
        <v>3546</v>
      </c>
    </row>
    <row r="56" spans="12:34" ht="14.5">
      <c r="L56" s="1194"/>
      <c r="M56" s="1195" t="s">
        <v>3228</v>
      </c>
      <c r="N56" s="1196">
        <f t="shared" ref="N56" si="11">1.34102209*O56</f>
        <v>5.3640883600000002</v>
      </c>
      <c r="O56" s="1141">
        <v>4</v>
      </c>
      <c r="P56" s="1141">
        <f>O56*1.9*1.25</f>
        <v>9.5</v>
      </c>
      <c r="Q56" s="1154" t="s">
        <v>3202</v>
      </c>
      <c r="R56" s="1197">
        <v>20</v>
      </c>
      <c r="S56" s="1132" t="s">
        <v>3170</v>
      </c>
      <c r="T56" s="1198">
        <v>1</v>
      </c>
      <c r="U56" s="1147" t="s">
        <v>3171</v>
      </c>
      <c r="V56" s="1148" t="s">
        <v>3203</v>
      </c>
      <c r="W56" s="1143" t="s">
        <v>3204</v>
      </c>
      <c r="X56" s="1156">
        <v>25695.599999999999</v>
      </c>
      <c r="Y56" s="1156">
        <f t="shared" si="7"/>
        <v>513912</v>
      </c>
      <c r="Z56" s="1138" t="s">
        <v>3150</v>
      </c>
      <c r="AA56" s="1156">
        <v>24920.399999999998</v>
      </c>
      <c r="AB56" s="1199">
        <f t="shared" si="8"/>
        <v>498407.99999999994</v>
      </c>
      <c r="AD56" s="1240">
        <v>17</v>
      </c>
      <c r="AE56" s="1241" t="s">
        <v>3547</v>
      </c>
      <c r="AF56" s="1242">
        <v>7</v>
      </c>
      <c r="AG56" s="1243" t="s">
        <v>3487</v>
      </c>
      <c r="AH56" s="1244" t="s">
        <v>3506</v>
      </c>
    </row>
    <row r="57" spans="12:34" ht="14.5">
      <c r="L57" s="1194" t="s">
        <v>3229</v>
      </c>
      <c r="M57" s="1195" t="s">
        <v>3230</v>
      </c>
      <c r="N57" s="1145"/>
      <c r="O57" s="1141"/>
      <c r="P57" s="1141"/>
      <c r="Q57" s="1154"/>
      <c r="R57" s="1197"/>
      <c r="S57" s="1132"/>
      <c r="T57" s="1191"/>
      <c r="U57" s="1147"/>
      <c r="V57" s="1148"/>
      <c r="W57" s="1143" t="s">
        <v>3204</v>
      </c>
      <c r="X57" s="1156">
        <v>0</v>
      </c>
      <c r="Y57" s="1156">
        <f>U57*X57</f>
        <v>0</v>
      </c>
      <c r="Z57" s="1138"/>
      <c r="AA57" s="1156"/>
      <c r="AB57" s="1199"/>
      <c r="AD57" s="1240">
        <v>18</v>
      </c>
      <c r="AE57" s="1241" t="s">
        <v>3547</v>
      </c>
      <c r="AF57" s="1242">
        <v>14</v>
      </c>
      <c r="AG57" s="1243" t="s">
        <v>3487</v>
      </c>
      <c r="AH57" s="1244" t="s">
        <v>3506</v>
      </c>
    </row>
    <row r="58" spans="12:34" ht="14.5">
      <c r="L58" s="1194"/>
      <c r="M58" s="1224" t="s">
        <v>3231</v>
      </c>
      <c r="N58" s="1196">
        <f t="shared" ref="N58:N60" si="12">1.34102209*O58</f>
        <v>5.3640883600000002</v>
      </c>
      <c r="O58" s="1141">
        <v>4</v>
      </c>
      <c r="P58" s="1141">
        <f>O58*1.9*1.25</f>
        <v>9.5</v>
      </c>
      <c r="Q58" s="1154" t="s">
        <v>3202</v>
      </c>
      <c r="R58" s="1197">
        <v>20</v>
      </c>
      <c r="S58" s="1132" t="s">
        <v>3170</v>
      </c>
      <c r="T58" s="1198">
        <v>1</v>
      </c>
      <c r="U58" s="1147" t="s">
        <v>3171</v>
      </c>
      <c r="V58" s="1148" t="s">
        <v>3203</v>
      </c>
      <c r="W58" s="1143" t="s">
        <v>3204</v>
      </c>
      <c r="X58" s="1156">
        <v>25695.599999999999</v>
      </c>
      <c r="Y58" s="1156">
        <f t="shared" ref="Y58:Y69" si="13">X58*R58</f>
        <v>513912</v>
      </c>
      <c r="Z58" s="1138" t="s">
        <v>3150</v>
      </c>
      <c r="AA58" s="1156">
        <v>24920.399999999998</v>
      </c>
      <c r="AB58" s="1199">
        <f t="shared" ref="AB58:AB69" si="14">AA58*R58</f>
        <v>498407.99999999994</v>
      </c>
      <c r="AD58" s="1240">
        <v>19</v>
      </c>
      <c r="AE58" s="1241" t="s">
        <v>3548</v>
      </c>
      <c r="AF58" s="1242">
        <v>1</v>
      </c>
      <c r="AG58" s="1243" t="s">
        <v>2872</v>
      </c>
      <c r="AH58" s="1244" t="s">
        <v>3500</v>
      </c>
    </row>
    <row r="59" spans="12:34" ht="14.5">
      <c r="L59" s="1194"/>
      <c r="M59" s="1224" t="s">
        <v>3232</v>
      </c>
      <c r="N59" s="1196">
        <f t="shared" si="12"/>
        <v>5.3640883600000002</v>
      </c>
      <c r="O59" s="1141">
        <v>4</v>
      </c>
      <c r="P59" s="1141">
        <f>O59*1.9*1.25</f>
        <v>9.5</v>
      </c>
      <c r="Q59" s="1154" t="s">
        <v>3202</v>
      </c>
      <c r="R59" s="1197">
        <v>20</v>
      </c>
      <c r="S59" s="1132" t="s">
        <v>3170</v>
      </c>
      <c r="T59" s="1198">
        <v>1</v>
      </c>
      <c r="U59" s="1147" t="s">
        <v>3171</v>
      </c>
      <c r="V59" s="1148" t="s">
        <v>3203</v>
      </c>
      <c r="W59" s="1143" t="s">
        <v>3204</v>
      </c>
      <c r="X59" s="1156">
        <v>25695.599999999999</v>
      </c>
      <c r="Y59" s="1156">
        <f t="shared" si="13"/>
        <v>513912</v>
      </c>
      <c r="Z59" s="1138" t="s">
        <v>3150</v>
      </c>
      <c r="AA59" s="1156">
        <v>24920.399999999998</v>
      </c>
      <c r="AB59" s="1199">
        <f t="shared" si="14"/>
        <v>498407.99999999994</v>
      </c>
      <c r="AD59" s="1250"/>
      <c r="AE59" s="1251"/>
      <c r="AF59" s="1252"/>
      <c r="AG59" s="1253"/>
      <c r="AH59" s="1254"/>
    </row>
    <row r="60" spans="12:34" ht="15" thickBot="1">
      <c r="L60" s="1194" t="s">
        <v>3233</v>
      </c>
      <c r="M60" s="1195" t="s">
        <v>3234</v>
      </c>
      <c r="N60" s="1196">
        <f t="shared" si="12"/>
        <v>24.808908665000001</v>
      </c>
      <c r="O60" s="1225">
        <v>18.5</v>
      </c>
      <c r="P60" s="1141">
        <f>O60*1.9*1.25</f>
        <v>43.9375</v>
      </c>
      <c r="Q60" s="1154" t="s">
        <v>3209</v>
      </c>
      <c r="R60" s="1197">
        <v>10</v>
      </c>
      <c r="S60" s="1132" t="s">
        <v>3170</v>
      </c>
      <c r="T60" s="1146">
        <v>1</v>
      </c>
      <c r="U60" s="1147" t="s">
        <v>3171</v>
      </c>
      <c r="V60" s="1148" t="s">
        <v>3181</v>
      </c>
      <c r="W60" s="1143" t="s">
        <v>3204</v>
      </c>
      <c r="X60" s="1156">
        <v>56011.9</v>
      </c>
      <c r="Y60" s="1156">
        <f t="shared" si="13"/>
        <v>560119</v>
      </c>
      <c r="Z60" s="1138" t="s">
        <v>3150</v>
      </c>
      <c r="AA60" s="1156">
        <v>54322.1</v>
      </c>
      <c r="AB60" s="1199">
        <f t="shared" si="14"/>
        <v>543221</v>
      </c>
      <c r="AD60" s="1285"/>
      <c r="AE60" s="1255" t="s">
        <v>2240</v>
      </c>
      <c r="AF60" s="1256">
        <v>1</v>
      </c>
      <c r="AG60" s="1286" t="s">
        <v>3499</v>
      </c>
      <c r="AH60" s="1255"/>
    </row>
    <row r="61" spans="12:34" ht="15" thickTop="1">
      <c r="L61" s="1200"/>
      <c r="M61" s="1195"/>
      <c r="N61" s="1145"/>
      <c r="O61" s="1142"/>
      <c r="P61" s="1142"/>
      <c r="Q61" s="1154"/>
      <c r="R61" s="1197">
        <v>10</v>
      </c>
      <c r="S61" s="1132" t="s">
        <v>3170</v>
      </c>
      <c r="T61" s="1197">
        <v>1</v>
      </c>
      <c r="U61" s="1147" t="s">
        <v>3171</v>
      </c>
      <c r="V61" s="1148" t="s">
        <v>3210</v>
      </c>
      <c r="W61" s="1143" t="s">
        <v>3204</v>
      </c>
      <c r="X61" s="1156">
        <v>69310.5</v>
      </c>
      <c r="Y61" s="1156">
        <f t="shared" si="13"/>
        <v>693105</v>
      </c>
      <c r="Z61" s="1138" t="s">
        <v>3150</v>
      </c>
      <c r="AA61" s="1156">
        <v>67219.5</v>
      </c>
      <c r="AB61" s="1199">
        <f t="shared" si="14"/>
        <v>672195</v>
      </c>
      <c r="AD61" s="1257"/>
      <c r="AE61" s="1258"/>
      <c r="AF61" s="1259"/>
      <c r="AG61" s="1257"/>
      <c r="AH61" s="1257"/>
    </row>
    <row r="62" spans="12:34" ht="15" thickBot="1">
      <c r="L62" s="1194" t="s">
        <v>3235</v>
      </c>
      <c r="M62" s="1195" t="s">
        <v>3236</v>
      </c>
      <c r="N62" s="1196">
        <f t="shared" ref="N62" si="15">1.34102209*O62</f>
        <v>24.808908665000001</v>
      </c>
      <c r="O62" s="1225">
        <v>18.5</v>
      </c>
      <c r="P62" s="1141">
        <f>O62*1.9*1.25</f>
        <v>43.9375</v>
      </c>
      <c r="Q62" s="1154" t="s">
        <v>3209</v>
      </c>
      <c r="R62" s="1197">
        <v>15</v>
      </c>
      <c r="S62" s="1132" t="s">
        <v>3170</v>
      </c>
      <c r="T62" s="1146">
        <v>1</v>
      </c>
      <c r="U62" s="1147" t="s">
        <v>3171</v>
      </c>
      <c r="V62" s="1148" t="s">
        <v>3181</v>
      </c>
      <c r="W62" s="1143" t="s">
        <v>3204</v>
      </c>
      <c r="X62" s="1156">
        <v>56011.9</v>
      </c>
      <c r="Y62" s="1156">
        <f t="shared" si="13"/>
        <v>840178.5</v>
      </c>
      <c r="Z62" s="1138" t="s">
        <v>3150</v>
      </c>
      <c r="AA62" s="1156">
        <v>54322.1</v>
      </c>
      <c r="AB62" s="1199">
        <f t="shared" si="14"/>
        <v>814831.5</v>
      </c>
      <c r="AD62" s="1260">
        <v>2</v>
      </c>
      <c r="AE62" s="1261" t="s">
        <v>3549</v>
      </c>
      <c r="AF62" s="1262"/>
      <c r="AG62" s="1263"/>
      <c r="AH62" s="1263"/>
    </row>
    <row r="63" spans="12:34" ht="15.5" thickTop="1" thickBot="1">
      <c r="L63" s="1200"/>
      <c r="M63" s="1195"/>
      <c r="N63" s="1145"/>
      <c r="O63" s="1142"/>
      <c r="P63" s="1142"/>
      <c r="Q63" s="1154"/>
      <c r="R63" s="1197">
        <v>15</v>
      </c>
      <c r="S63" s="1132" t="s">
        <v>3170</v>
      </c>
      <c r="T63" s="1197">
        <v>1</v>
      </c>
      <c r="U63" s="1147" t="s">
        <v>3171</v>
      </c>
      <c r="V63" s="1148" t="s">
        <v>3210</v>
      </c>
      <c r="W63" s="1143" t="s">
        <v>3204</v>
      </c>
      <c r="X63" s="1156">
        <v>69310.5</v>
      </c>
      <c r="Y63" s="1156">
        <f t="shared" si="13"/>
        <v>1039657.5</v>
      </c>
      <c r="Z63" s="1138" t="s">
        <v>3150</v>
      </c>
      <c r="AA63" s="1156">
        <v>67219.5</v>
      </c>
      <c r="AB63" s="1199">
        <f t="shared" si="14"/>
        <v>1008292.5</v>
      </c>
      <c r="AD63" s="1231" t="s">
        <v>2</v>
      </c>
      <c r="AE63" s="1231" t="s">
        <v>3161</v>
      </c>
      <c r="AF63" s="1623" t="s">
        <v>3496</v>
      </c>
      <c r="AG63" s="1624"/>
      <c r="AH63" s="1231" t="s">
        <v>3497</v>
      </c>
    </row>
    <row r="64" spans="12:34" ht="15" thickTop="1">
      <c r="L64" s="1194" t="s">
        <v>3237</v>
      </c>
      <c r="M64" s="1195" t="s">
        <v>3238</v>
      </c>
      <c r="N64" s="1196">
        <f t="shared" ref="N64" si="16">1.34102209*O64</f>
        <v>24.808908665000001</v>
      </c>
      <c r="O64" s="1225">
        <v>18.5</v>
      </c>
      <c r="P64" s="1141">
        <f>O64*1.9*1.25</f>
        <v>43.9375</v>
      </c>
      <c r="Q64" s="1154" t="s">
        <v>3209</v>
      </c>
      <c r="R64" s="1197">
        <v>20</v>
      </c>
      <c r="S64" s="1132" t="s">
        <v>3170</v>
      </c>
      <c r="T64" s="1146">
        <v>1</v>
      </c>
      <c r="U64" s="1147" t="s">
        <v>3171</v>
      </c>
      <c r="V64" s="1148" t="s">
        <v>3181</v>
      </c>
      <c r="W64" s="1143" t="s">
        <v>3204</v>
      </c>
      <c r="X64" s="1156">
        <v>56011.9</v>
      </c>
      <c r="Y64" s="1156">
        <f t="shared" si="13"/>
        <v>1120238</v>
      </c>
      <c r="Z64" s="1138" t="s">
        <v>3150</v>
      </c>
      <c r="AA64" s="1156">
        <v>54322.1</v>
      </c>
      <c r="AB64" s="1199">
        <f t="shared" si="14"/>
        <v>1086442</v>
      </c>
      <c r="AD64" s="1232">
        <v>1</v>
      </c>
      <c r="AE64" s="1284" t="s">
        <v>3550</v>
      </c>
      <c r="AF64" s="1233">
        <v>1</v>
      </c>
      <c r="AG64" s="1234" t="s">
        <v>3499</v>
      </c>
      <c r="AH64" s="1235" t="s">
        <v>3500</v>
      </c>
    </row>
    <row r="65" spans="12:34" ht="14.5">
      <c r="L65" s="1200"/>
      <c r="M65" s="1195"/>
      <c r="N65" s="1145"/>
      <c r="O65" s="1142"/>
      <c r="P65" s="1142"/>
      <c r="Q65" s="1154"/>
      <c r="R65" s="1197">
        <v>20</v>
      </c>
      <c r="S65" s="1132" t="s">
        <v>3170</v>
      </c>
      <c r="T65" s="1197">
        <v>1</v>
      </c>
      <c r="U65" s="1147" t="s">
        <v>3171</v>
      </c>
      <c r="V65" s="1148" t="s">
        <v>3210</v>
      </c>
      <c r="W65" s="1143" t="s">
        <v>3204</v>
      </c>
      <c r="X65" s="1156">
        <v>69310.5</v>
      </c>
      <c r="Y65" s="1156">
        <f t="shared" si="13"/>
        <v>1386210</v>
      </c>
      <c r="Z65" s="1138" t="s">
        <v>3150</v>
      </c>
      <c r="AA65" s="1156">
        <v>67219.5</v>
      </c>
      <c r="AB65" s="1199">
        <f t="shared" si="14"/>
        <v>1344390</v>
      </c>
      <c r="AD65" s="1236">
        <v>2</v>
      </c>
      <c r="AE65" s="1237" t="s">
        <v>3501</v>
      </c>
      <c r="AF65" s="1233">
        <v>1</v>
      </c>
      <c r="AG65" s="1238" t="s">
        <v>2839</v>
      </c>
      <c r="AH65" s="1239" t="s">
        <v>3502</v>
      </c>
    </row>
    <row r="66" spans="12:34" ht="14.5">
      <c r="L66" s="1194" t="s">
        <v>3239</v>
      </c>
      <c r="M66" s="1195" t="s">
        <v>3240</v>
      </c>
      <c r="N66" s="1196">
        <f t="shared" ref="N66" si="17">1.34102209*O66</f>
        <v>24.808908665000001</v>
      </c>
      <c r="O66" s="1225">
        <v>18.5</v>
      </c>
      <c r="P66" s="1141">
        <f>O66*1.9*1.25</f>
        <v>43.9375</v>
      </c>
      <c r="Q66" s="1154" t="s">
        <v>3209</v>
      </c>
      <c r="R66" s="1197">
        <v>25</v>
      </c>
      <c r="S66" s="1132" t="s">
        <v>3170</v>
      </c>
      <c r="T66" s="1146">
        <v>1</v>
      </c>
      <c r="U66" s="1147" t="s">
        <v>3171</v>
      </c>
      <c r="V66" s="1148" t="s">
        <v>3181</v>
      </c>
      <c r="W66" s="1143" t="s">
        <v>3204</v>
      </c>
      <c r="X66" s="1156">
        <v>56011.9</v>
      </c>
      <c r="Y66" s="1156">
        <f t="shared" si="13"/>
        <v>1400297.5</v>
      </c>
      <c r="Z66" s="1138" t="s">
        <v>3150</v>
      </c>
      <c r="AA66" s="1156">
        <v>54322.1</v>
      </c>
      <c r="AB66" s="1199">
        <f t="shared" si="14"/>
        <v>1358052.5</v>
      </c>
      <c r="AD66" s="1236"/>
      <c r="AE66" s="1237"/>
      <c r="AF66" s="1233"/>
      <c r="AG66" s="1238"/>
      <c r="AH66" s="1239"/>
    </row>
    <row r="67" spans="12:34" ht="14.5">
      <c r="L67" s="1200"/>
      <c r="M67" s="1195"/>
      <c r="N67" s="1145"/>
      <c r="O67" s="1142"/>
      <c r="P67" s="1142"/>
      <c r="Q67" s="1154"/>
      <c r="R67" s="1197">
        <v>25</v>
      </c>
      <c r="S67" s="1132" t="s">
        <v>3170</v>
      </c>
      <c r="T67" s="1197">
        <v>1</v>
      </c>
      <c r="U67" s="1147" t="s">
        <v>3171</v>
      </c>
      <c r="V67" s="1148" t="s">
        <v>3210</v>
      </c>
      <c r="W67" s="1143" t="s">
        <v>3204</v>
      </c>
      <c r="X67" s="1156">
        <v>69310.5</v>
      </c>
      <c r="Y67" s="1156">
        <f t="shared" si="13"/>
        <v>1732762.5</v>
      </c>
      <c r="Z67" s="1138" t="s">
        <v>3150</v>
      </c>
      <c r="AA67" s="1156">
        <v>67219.5</v>
      </c>
      <c r="AB67" s="1199">
        <f t="shared" si="14"/>
        <v>1680487.5</v>
      </c>
      <c r="AD67" s="1240"/>
      <c r="AE67" s="1241" t="s">
        <v>3551</v>
      </c>
      <c r="AF67" s="1242"/>
      <c r="AG67" s="1243"/>
      <c r="AH67" s="1244"/>
    </row>
    <row r="68" spans="12:34" ht="14.5">
      <c r="L68" s="1194" t="s">
        <v>3241</v>
      </c>
      <c r="M68" s="1195" t="s">
        <v>3242</v>
      </c>
      <c r="N68" s="1196">
        <f t="shared" ref="N68" si="18">1.34102209*O68</f>
        <v>7.3756214950000007</v>
      </c>
      <c r="O68" s="1141">
        <v>5.5</v>
      </c>
      <c r="P68" s="1141">
        <f>O68*1.9*1.25</f>
        <v>13.0625</v>
      </c>
      <c r="Q68" s="1154" t="s">
        <v>3202</v>
      </c>
      <c r="R68" s="1197">
        <v>30</v>
      </c>
      <c r="S68" s="1132" t="s">
        <v>3170</v>
      </c>
      <c r="T68" s="1198">
        <v>1</v>
      </c>
      <c r="U68" s="1147" t="s">
        <v>3171</v>
      </c>
      <c r="V68" s="1148" t="s">
        <v>3203</v>
      </c>
      <c r="W68" s="1143" t="s">
        <v>3204</v>
      </c>
      <c r="X68" s="1156">
        <v>25695.599999999999</v>
      </c>
      <c r="Y68" s="1156">
        <f t="shared" si="13"/>
        <v>770868</v>
      </c>
      <c r="Z68" s="1138" t="s">
        <v>3150</v>
      </c>
      <c r="AA68" s="1156">
        <v>24920.399999999998</v>
      </c>
      <c r="AB68" s="1199">
        <f t="shared" si="14"/>
        <v>747611.99999999988</v>
      </c>
      <c r="AD68" s="1240">
        <v>1</v>
      </c>
      <c r="AE68" s="1241" t="s">
        <v>3552</v>
      </c>
      <c r="AF68" s="1242">
        <v>1</v>
      </c>
      <c r="AG68" s="1243" t="s">
        <v>3505</v>
      </c>
      <c r="AH68" s="1244" t="s">
        <v>3506</v>
      </c>
    </row>
    <row r="69" spans="12:34" ht="14.5">
      <c r="L69" s="1194" t="s">
        <v>3243</v>
      </c>
      <c r="M69" s="1195" t="s">
        <v>3214</v>
      </c>
      <c r="N69" s="1145"/>
      <c r="O69" s="1142"/>
      <c r="P69" s="1142"/>
      <c r="Q69" s="1154"/>
      <c r="R69" s="1197">
        <f>SUM(R54,R49,R51)*2</f>
        <v>224</v>
      </c>
      <c r="S69" s="1132" t="s">
        <v>3170</v>
      </c>
      <c r="T69" s="1198">
        <v>1</v>
      </c>
      <c r="U69" s="1147" t="s">
        <v>3171</v>
      </c>
      <c r="V69" s="1148" t="s">
        <v>3215</v>
      </c>
      <c r="W69" s="1143" t="s">
        <v>3204</v>
      </c>
      <c r="X69" s="1156">
        <v>14481.95</v>
      </c>
      <c r="Y69" s="1156">
        <f t="shared" si="13"/>
        <v>3243956.8000000003</v>
      </c>
      <c r="Z69" s="1138" t="s">
        <v>3150</v>
      </c>
      <c r="AA69" s="1156">
        <v>14045.05</v>
      </c>
      <c r="AB69" s="1199">
        <f t="shared" si="14"/>
        <v>3146091.1999999997</v>
      </c>
      <c r="AD69" s="1240">
        <v>2</v>
      </c>
      <c r="AE69" s="1241" t="s">
        <v>3533</v>
      </c>
      <c r="AF69" s="1242">
        <v>3</v>
      </c>
      <c r="AG69" s="1243" t="s">
        <v>3487</v>
      </c>
      <c r="AH69" s="1244" t="s">
        <v>3553</v>
      </c>
    </row>
    <row r="70" spans="12:34" ht="14.5">
      <c r="L70" s="1201"/>
      <c r="M70" s="1202"/>
      <c r="N70" s="1203"/>
      <c r="O70" s="1226"/>
      <c r="P70" s="1226"/>
      <c r="Q70" s="1205"/>
      <c r="R70" s="1206"/>
      <c r="S70" s="1207"/>
      <c r="T70" s="1227"/>
      <c r="U70" s="1208"/>
      <c r="V70" s="1207"/>
      <c r="W70" s="1209"/>
      <c r="X70" s="1210"/>
      <c r="Y70" s="1210"/>
      <c r="Z70" s="1202"/>
      <c r="AA70" s="1210"/>
      <c r="AB70" s="1211"/>
      <c r="AD70" s="1240">
        <v>3</v>
      </c>
      <c r="AE70" s="1241" t="s">
        <v>3554</v>
      </c>
      <c r="AF70" s="1242">
        <v>1</v>
      </c>
      <c r="AG70" s="1243" t="s">
        <v>3505</v>
      </c>
      <c r="AH70" s="1244" t="s">
        <v>3508</v>
      </c>
    </row>
    <row r="71" spans="12:34" ht="15" thickBot="1">
      <c r="L71" s="1719" t="s">
        <v>2240</v>
      </c>
      <c r="M71" s="1720"/>
      <c r="N71" s="1053">
        <f>SUM(N49:N70)</f>
        <v>211.21097917499998</v>
      </c>
      <c r="O71" s="1053">
        <f>SUM(O49:O70)</f>
        <v>157.5</v>
      </c>
      <c r="P71" s="1053">
        <f>SUM(P49:P70)</f>
        <v>374.0625</v>
      </c>
      <c r="Q71" s="1041"/>
      <c r="R71" s="1054"/>
      <c r="S71" s="1055"/>
      <c r="T71" s="1054"/>
      <c r="U71" s="1056"/>
      <c r="V71" s="1055"/>
      <c r="W71" s="1057"/>
      <c r="X71" s="1058"/>
      <c r="Y71" s="1058"/>
      <c r="Z71" s="1042"/>
      <c r="AA71" s="1058"/>
      <c r="AB71" s="1095">
        <f>SUM(AB49:AB70)</f>
        <v>27797613.199999999</v>
      </c>
      <c r="AD71" s="1240">
        <v>4</v>
      </c>
      <c r="AE71" s="1241" t="s">
        <v>3555</v>
      </c>
      <c r="AF71" s="1242">
        <v>1</v>
      </c>
      <c r="AG71" s="1243" t="s">
        <v>3505</v>
      </c>
      <c r="AH71" s="1244" t="s">
        <v>3508</v>
      </c>
    </row>
    <row r="72" spans="12:34" ht="15" thickTop="1">
      <c r="L72" s="1332">
        <v>3</v>
      </c>
      <c r="M72" s="1333" t="s">
        <v>3244</v>
      </c>
      <c r="N72" s="1380"/>
      <c r="O72" s="1381"/>
      <c r="P72" s="1381"/>
      <c r="Q72" s="1334"/>
      <c r="R72" s="1335"/>
      <c r="S72" s="1336"/>
      <c r="T72" s="1335"/>
      <c r="U72" s="1337"/>
      <c r="V72" s="1336"/>
      <c r="W72" s="1338"/>
      <c r="X72" s="1339"/>
      <c r="Y72" s="1339"/>
      <c r="Z72" s="1333"/>
      <c r="AA72" s="1339"/>
      <c r="AB72" s="1340"/>
      <c r="AD72" s="1240">
        <v>5</v>
      </c>
      <c r="AE72" s="1241" t="s">
        <v>3556</v>
      </c>
      <c r="AF72" s="1242">
        <v>1</v>
      </c>
      <c r="AG72" s="1243" t="s">
        <v>3505</v>
      </c>
      <c r="AH72" s="1244" t="s">
        <v>3508</v>
      </c>
    </row>
    <row r="73" spans="12:34" ht="14.5">
      <c r="L73" s="1341"/>
      <c r="M73" s="1342"/>
      <c r="N73" s="1383"/>
      <c r="O73" s="1387"/>
      <c r="P73" s="1387"/>
      <c r="Q73" s="1313"/>
      <c r="R73" s="1344"/>
      <c r="S73" s="1345"/>
      <c r="T73" s="1344"/>
      <c r="U73" s="1346"/>
      <c r="V73" s="1345"/>
      <c r="W73" s="1123"/>
      <c r="X73" s="1347"/>
      <c r="Y73" s="1347"/>
      <c r="Z73" s="1342"/>
      <c r="AA73" s="1347"/>
      <c r="AB73" s="1348"/>
      <c r="AD73" s="1240">
        <v>6</v>
      </c>
      <c r="AE73" s="1241" t="s">
        <v>3557</v>
      </c>
      <c r="AF73" s="1242">
        <v>1</v>
      </c>
      <c r="AG73" s="1243" t="s">
        <v>3505</v>
      </c>
      <c r="AH73" s="1244" t="s">
        <v>3508</v>
      </c>
    </row>
    <row r="74" spans="12:34" ht="14.5">
      <c r="L74" s="1194" t="s">
        <v>3245</v>
      </c>
      <c r="M74" s="1195" t="s">
        <v>3246</v>
      </c>
      <c r="N74" s="1196">
        <f t="shared" ref="N74" si="19">1.34102209*O74</f>
        <v>24.808908665000001</v>
      </c>
      <c r="O74" s="1225">
        <v>18.5</v>
      </c>
      <c r="P74" s="1141">
        <f>O74*1.9*1.25</f>
        <v>43.9375</v>
      </c>
      <c r="Q74" s="1154" t="s">
        <v>3209</v>
      </c>
      <c r="R74" s="1197">
        <f>23+4</f>
        <v>27</v>
      </c>
      <c r="S74" s="1132" t="s">
        <v>3170</v>
      </c>
      <c r="T74" s="1197">
        <v>1</v>
      </c>
      <c r="U74" s="1147" t="s">
        <v>3171</v>
      </c>
      <c r="V74" s="1148" t="s">
        <v>3181</v>
      </c>
      <c r="W74" s="1143" t="s">
        <v>3204</v>
      </c>
      <c r="X74" s="1156">
        <v>89371.1</v>
      </c>
      <c r="Y74" s="1156">
        <f t="shared" ref="Y74:Y95" si="20">X74*R74</f>
        <v>2413019.7000000002</v>
      </c>
      <c r="Z74" s="1138" t="s">
        <v>3150</v>
      </c>
      <c r="AA74" s="1156">
        <v>86674.9</v>
      </c>
      <c r="AB74" s="1199">
        <f t="shared" ref="AB74:AB95" si="21">AA74*R74</f>
        <v>2340222.2999999998</v>
      </c>
      <c r="AD74" s="1240">
        <v>7</v>
      </c>
      <c r="AE74" s="1241" t="s">
        <v>3558</v>
      </c>
      <c r="AF74" s="1242">
        <v>3</v>
      </c>
      <c r="AG74" s="1243" t="s">
        <v>3487</v>
      </c>
      <c r="AH74" s="1244" t="s">
        <v>3508</v>
      </c>
    </row>
    <row r="75" spans="12:34" ht="14.5">
      <c r="L75" s="1200"/>
      <c r="M75" s="1195"/>
      <c r="N75" s="1145"/>
      <c r="O75" s="1225"/>
      <c r="P75" s="1225"/>
      <c r="Q75" s="1154"/>
      <c r="R75" s="1197">
        <f>23+4</f>
        <v>27</v>
      </c>
      <c r="S75" s="1132" t="s">
        <v>3170</v>
      </c>
      <c r="T75" s="1197">
        <v>1</v>
      </c>
      <c r="U75" s="1147" t="s">
        <v>3171</v>
      </c>
      <c r="V75" s="1148" t="s">
        <v>3210</v>
      </c>
      <c r="W75" s="1143" t="s">
        <v>3204</v>
      </c>
      <c r="X75" s="1156">
        <v>69310.5</v>
      </c>
      <c r="Y75" s="1156">
        <f t="shared" si="20"/>
        <v>1871383.5</v>
      </c>
      <c r="Z75" s="1138" t="s">
        <v>3150</v>
      </c>
      <c r="AA75" s="1156">
        <v>67219.5</v>
      </c>
      <c r="AB75" s="1199">
        <f t="shared" si="21"/>
        <v>1814926.5</v>
      </c>
      <c r="AD75" s="1240">
        <v>8</v>
      </c>
      <c r="AE75" s="1241" t="s">
        <v>3547</v>
      </c>
      <c r="AF75" s="1242">
        <v>4</v>
      </c>
      <c r="AG75" s="1243" t="s">
        <v>3487</v>
      </c>
      <c r="AH75" s="1244" t="s">
        <v>3506</v>
      </c>
    </row>
    <row r="76" spans="12:34" ht="14.5">
      <c r="L76" s="1194" t="s">
        <v>3247</v>
      </c>
      <c r="M76" s="1195" t="s">
        <v>3248</v>
      </c>
      <c r="N76" s="1196">
        <f t="shared" ref="N76" si="22">1.34102209*O76</f>
        <v>24.808908665000001</v>
      </c>
      <c r="O76" s="1225">
        <v>18.5</v>
      </c>
      <c r="P76" s="1141">
        <f>O76*1.9*1.25</f>
        <v>43.9375</v>
      </c>
      <c r="Q76" s="1154" t="s">
        <v>3209</v>
      </c>
      <c r="R76" s="1197">
        <f>R75+4</f>
        <v>31</v>
      </c>
      <c r="S76" s="1132" t="s">
        <v>3170</v>
      </c>
      <c r="T76" s="1197">
        <v>1</v>
      </c>
      <c r="U76" s="1147" t="s">
        <v>3171</v>
      </c>
      <c r="V76" s="1148" t="s">
        <v>3181</v>
      </c>
      <c r="W76" s="1143" t="s">
        <v>3204</v>
      </c>
      <c r="X76" s="1156">
        <v>89371.1</v>
      </c>
      <c r="Y76" s="1156">
        <f t="shared" si="20"/>
        <v>2770504.1</v>
      </c>
      <c r="Z76" s="1138" t="s">
        <v>3150</v>
      </c>
      <c r="AA76" s="1156">
        <v>86674.9</v>
      </c>
      <c r="AB76" s="1199">
        <f t="shared" si="21"/>
        <v>2686921.9</v>
      </c>
      <c r="AD76" s="1240">
        <v>9</v>
      </c>
      <c r="AE76" s="1241" t="s">
        <v>3559</v>
      </c>
      <c r="AF76" s="1242">
        <v>2</v>
      </c>
      <c r="AG76" s="1243" t="s">
        <v>3487</v>
      </c>
      <c r="AH76" s="1244" t="s">
        <v>3560</v>
      </c>
    </row>
    <row r="77" spans="12:34" ht="14.5">
      <c r="L77" s="1200"/>
      <c r="M77" s="1195"/>
      <c r="N77" s="1145"/>
      <c r="O77" s="1225"/>
      <c r="P77" s="1225"/>
      <c r="Q77" s="1154"/>
      <c r="R77" s="1197">
        <f>R75+4</f>
        <v>31</v>
      </c>
      <c r="S77" s="1132" t="s">
        <v>3170</v>
      </c>
      <c r="T77" s="1197">
        <v>1</v>
      </c>
      <c r="U77" s="1147" t="s">
        <v>3171</v>
      </c>
      <c r="V77" s="1148" t="s">
        <v>3210</v>
      </c>
      <c r="W77" s="1143" t="s">
        <v>3204</v>
      </c>
      <c r="X77" s="1156">
        <v>69310.5</v>
      </c>
      <c r="Y77" s="1156">
        <f t="shared" si="20"/>
        <v>2148625.5</v>
      </c>
      <c r="Z77" s="1138" t="s">
        <v>3150</v>
      </c>
      <c r="AA77" s="1156">
        <v>67219.5</v>
      </c>
      <c r="AB77" s="1199">
        <f t="shared" si="21"/>
        <v>2083804.5</v>
      </c>
      <c r="AD77" s="1240">
        <v>10</v>
      </c>
      <c r="AE77" s="1241" t="s">
        <v>3561</v>
      </c>
      <c r="AF77" s="1242">
        <v>2</v>
      </c>
      <c r="AG77" s="1243" t="s">
        <v>3487</v>
      </c>
      <c r="AH77" s="1244" t="s">
        <v>3560</v>
      </c>
    </row>
    <row r="78" spans="12:34" ht="14.5">
      <c r="L78" s="1194" t="s">
        <v>3249</v>
      </c>
      <c r="M78" s="1195" t="s">
        <v>3250</v>
      </c>
      <c r="N78" s="1196">
        <f t="shared" ref="N78:N81" si="23">1.34102209*O78</f>
        <v>5.3640883600000002</v>
      </c>
      <c r="O78" s="1225">
        <v>4</v>
      </c>
      <c r="P78" s="1141">
        <f>O78*1.9*1.25</f>
        <v>9.5</v>
      </c>
      <c r="Q78" s="1154" t="s">
        <v>3202</v>
      </c>
      <c r="R78" s="1197">
        <v>20</v>
      </c>
      <c r="S78" s="1132" t="s">
        <v>3170</v>
      </c>
      <c r="T78" s="1198">
        <v>1</v>
      </c>
      <c r="U78" s="1147" t="s">
        <v>3171</v>
      </c>
      <c r="V78" s="1148" t="s">
        <v>3203</v>
      </c>
      <c r="W78" s="1143" t="s">
        <v>3204</v>
      </c>
      <c r="X78" s="1156">
        <v>25695.599999999999</v>
      </c>
      <c r="Y78" s="1156">
        <f t="shared" si="20"/>
        <v>513912</v>
      </c>
      <c r="Z78" s="1138" t="s">
        <v>3150</v>
      </c>
      <c r="AA78" s="1156">
        <v>24920.399999999998</v>
      </c>
      <c r="AB78" s="1199">
        <f t="shared" si="21"/>
        <v>498407.99999999994</v>
      </c>
      <c r="AD78" s="1240">
        <v>11</v>
      </c>
      <c r="AE78" s="1241" t="s">
        <v>3543</v>
      </c>
      <c r="AF78" s="1242">
        <v>1</v>
      </c>
      <c r="AG78" s="1243" t="s">
        <v>3505</v>
      </c>
      <c r="AH78" s="1244" t="s">
        <v>3508</v>
      </c>
    </row>
    <row r="79" spans="12:34" ht="14.5">
      <c r="L79" s="1194" t="s">
        <v>3251</v>
      </c>
      <c r="M79" s="1195" t="s">
        <v>3252</v>
      </c>
      <c r="N79" s="1196">
        <f t="shared" si="23"/>
        <v>5.3640883600000002</v>
      </c>
      <c r="O79" s="1225">
        <v>4</v>
      </c>
      <c r="P79" s="1141">
        <f>O79*1.9*1.25</f>
        <v>9.5</v>
      </c>
      <c r="Q79" s="1154" t="s">
        <v>3202</v>
      </c>
      <c r="R79" s="1197">
        <v>25</v>
      </c>
      <c r="S79" s="1132" t="s">
        <v>3170</v>
      </c>
      <c r="T79" s="1198">
        <v>1</v>
      </c>
      <c r="U79" s="1147" t="s">
        <v>3171</v>
      </c>
      <c r="V79" s="1148" t="s">
        <v>3203</v>
      </c>
      <c r="W79" s="1143" t="s">
        <v>3204</v>
      </c>
      <c r="X79" s="1156">
        <v>25695.599999999999</v>
      </c>
      <c r="Y79" s="1156">
        <f t="shared" si="20"/>
        <v>642390</v>
      </c>
      <c r="Z79" s="1138" t="s">
        <v>3150</v>
      </c>
      <c r="AA79" s="1156">
        <v>24920.399999999998</v>
      </c>
      <c r="AB79" s="1199">
        <f t="shared" si="21"/>
        <v>623010</v>
      </c>
      <c r="AD79" s="1240">
        <v>12</v>
      </c>
      <c r="AE79" s="1241" t="s">
        <v>3544</v>
      </c>
      <c r="AF79" s="1242">
        <v>1</v>
      </c>
      <c r="AG79" s="1243" t="s">
        <v>3505</v>
      </c>
      <c r="AH79" s="1244" t="s">
        <v>3508</v>
      </c>
    </row>
    <row r="80" spans="12:34" ht="14.5">
      <c r="L80" s="1194" t="s">
        <v>3253</v>
      </c>
      <c r="M80" s="1195" t="s">
        <v>3254</v>
      </c>
      <c r="N80" s="1196">
        <f t="shared" si="23"/>
        <v>5.3640883600000002</v>
      </c>
      <c r="O80" s="1225">
        <v>4</v>
      </c>
      <c r="P80" s="1141">
        <f>O80*1.9*1.25</f>
        <v>9.5</v>
      </c>
      <c r="Q80" s="1154" t="s">
        <v>3202</v>
      </c>
      <c r="R80" s="1197">
        <f>25+4</f>
        <v>29</v>
      </c>
      <c r="S80" s="1132" t="s">
        <v>3170</v>
      </c>
      <c r="T80" s="1198">
        <v>1</v>
      </c>
      <c r="U80" s="1147" t="s">
        <v>3171</v>
      </c>
      <c r="V80" s="1148" t="s">
        <v>3203</v>
      </c>
      <c r="W80" s="1143" t="s">
        <v>3204</v>
      </c>
      <c r="X80" s="1156">
        <v>25695.599999999999</v>
      </c>
      <c r="Y80" s="1156">
        <f t="shared" si="20"/>
        <v>745172.39999999991</v>
      </c>
      <c r="Z80" s="1138" t="s">
        <v>3150</v>
      </c>
      <c r="AA80" s="1156">
        <v>24920.399999999998</v>
      </c>
      <c r="AB80" s="1199">
        <f t="shared" si="21"/>
        <v>722691.6</v>
      </c>
      <c r="AD80" s="1240">
        <v>13</v>
      </c>
      <c r="AE80" s="1241" t="s">
        <v>3562</v>
      </c>
      <c r="AF80" s="1242">
        <v>1</v>
      </c>
      <c r="AG80" s="1243" t="s">
        <v>3505</v>
      </c>
      <c r="AH80" s="1244" t="s">
        <v>3563</v>
      </c>
    </row>
    <row r="81" spans="12:34" ht="14.5">
      <c r="L81" s="1194" t="s">
        <v>3255</v>
      </c>
      <c r="M81" s="1195" t="s">
        <v>3256</v>
      </c>
      <c r="N81" s="1196">
        <f t="shared" si="23"/>
        <v>10.057665675000001</v>
      </c>
      <c r="O81" s="1225">
        <v>7.5</v>
      </c>
      <c r="P81" s="1141">
        <f>O81*1.9*1.25</f>
        <v>17.8125</v>
      </c>
      <c r="Q81" s="1154" t="s">
        <v>3209</v>
      </c>
      <c r="R81" s="1197">
        <f>R80+25</f>
        <v>54</v>
      </c>
      <c r="S81" s="1132" t="s">
        <v>3170</v>
      </c>
      <c r="T81" s="1198">
        <v>1</v>
      </c>
      <c r="U81" s="1147" t="s">
        <v>3171</v>
      </c>
      <c r="V81" s="1148" t="s">
        <v>3191</v>
      </c>
      <c r="W81" s="1143" t="s">
        <v>3204</v>
      </c>
      <c r="X81" s="1156">
        <v>40008.5</v>
      </c>
      <c r="Y81" s="1156">
        <f t="shared" si="20"/>
        <v>2160459</v>
      </c>
      <c r="Z81" s="1138" t="s">
        <v>3150</v>
      </c>
      <c r="AA81" s="1156">
        <v>38801.5</v>
      </c>
      <c r="AB81" s="1199">
        <f t="shared" si="21"/>
        <v>2095281</v>
      </c>
      <c r="AD81" s="1240">
        <v>14</v>
      </c>
      <c r="AE81" s="1241" t="s">
        <v>3564</v>
      </c>
      <c r="AF81" s="1242">
        <v>1</v>
      </c>
      <c r="AG81" s="1243" t="s">
        <v>2872</v>
      </c>
      <c r="AH81" s="1244" t="s">
        <v>3500</v>
      </c>
    </row>
    <row r="82" spans="12:34" ht="14.5">
      <c r="L82" s="1194"/>
      <c r="M82" s="1195"/>
      <c r="N82" s="1145"/>
      <c r="O82" s="1225"/>
      <c r="P82" s="1141"/>
      <c r="Q82" s="1154" t="s">
        <v>3209</v>
      </c>
      <c r="R82" s="1197">
        <v>54</v>
      </c>
      <c r="S82" s="1132" t="s">
        <v>3170</v>
      </c>
      <c r="T82" s="1198">
        <v>1</v>
      </c>
      <c r="U82" s="1147" t="s">
        <v>3171</v>
      </c>
      <c r="V82" s="1148" t="s">
        <v>3191</v>
      </c>
      <c r="W82" s="1143" t="s">
        <v>3204</v>
      </c>
      <c r="X82" s="1156">
        <v>40008.5</v>
      </c>
      <c r="Y82" s="1156">
        <f t="shared" si="20"/>
        <v>2160459</v>
      </c>
      <c r="Z82" s="1138" t="s">
        <v>3150</v>
      </c>
      <c r="AA82" s="1156">
        <v>38801.5</v>
      </c>
      <c r="AB82" s="1199">
        <f t="shared" si="21"/>
        <v>2095281</v>
      </c>
      <c r="AD82" s="1240"/>
      <c r="AE82" s="1241" t="s">
        <v>3565</v>
      </c>
      <c r="AF82" s="1242">
        <v>1</v>
      </c>
      <c r="AG82" s="1243" t="s">
        <v>3505</v>
      </c>
      <c r="AH82" s="1244" t="s">
        <v>3508</v>
      </c>
    </row>
    <row r="83" spans="12:34" ht="14.5">
      <c r="L83" s="1194" t="s">
        <v>3257</v>
      </c>
      <c r="M83" s="1195" t="s">
        <v>2879</v>
      </c>
      <c r="N83" s="1196">
        <f t="shared" ref="N83:N84" si="24">1.34102209*O83</f>
        <v>7.3756214950000007</v>
      </c>
      <c r="O83" s="1141">
        <v>5.5</v>
      </c>
      <c r="P83" s="1141">
        <f>O83*1.9*1.25</f>
        <v>13.0625</v>
      </c>
      <c r="Q83" s="1154" t="s">
        <v>3202</v>
      </c>
      <c r="R83" s="1197">
        <f>31+3</f>
        <v>34</v>
      </c>
      <c r="S83" s="1132" t="s">
        <v>3170</v>
      </c>
      <c r="T83" s="1197">
        <v>1</v>
      </c>
      <c r="U83" s="1147" t="s">
        <v>3171</v>
      </c>
      <c r="V83" s="1148" t="s">
        <v>3203</v>
      </c>
      <c r="W83" s="1143" t="s">
        <v>3204</v>
      </c>
      <c r="X83" s="1156">
        <v>25695.599999999999</v>
      </c>
      <c r="Y83" s="1156">
        <f t="shared" si="20"/>
        <v>873650.39999999991</v>
      </c>
      <c r="Z83" s="1138" t="s">
        <v>3150</v>
      </c>
      <c r="AA83" s="1156">
        <v>24920.399999999998</v>
      </c>
      <c r="AB83" s="1199">
        <f t="shared" si="21"/>
        <v>847293.6</v>
      </c>
      <c r="AD83" s="1240"/>
      <c r="AE83" s="1241"/>
      <c r="AF83" s="1242"/>
      <c r="AG83" s="1243"/>
      <c r="AH83" s="1244"/>
    </row>
    <row r="84" spans="12:34" ht="14.5">
      <c r="L84" s="1194"/>
      <c r="M84" s="1195" t="s">
        <v>3258</v>
      </c>
      <c r="N84" s="1196">
        <f t="shared" si="24"/>
        <v>14.751242990000001</v>
      </c>
      <c r="O84" s="1388">
        <v>11</v>
      </c>
      <c r="P84" s="1141">
        <f>O84*1.9*1.25</f>
        <v>26.125</v>
      </c>
      <c r="Q84" s="1154" t="s">
        <v>3209</v>
      </c>
      <c r="R84" s="1197">
        <v>32</v>
      </c>
      <c r="S84" s="1132" t="s">
        <v>3170</v>
      </c>
      <c r="T84" s="1197">
        <v>1</v>
      </c>
      <c r="U84" s="1147" t="s">
        <v>3171</v>
      </c>
      <c r="V84" s="1148" t="s">
        <v>3220</v>
      </c>
      <c r="W84" s="1143" t="s">
        <v>3204</v>
      </c>
      <c r="X84" s="1156">
        <v>56011.9</v>
      </c>
      <c r="Y84" s="1156">
        <f t="shared" si="20"/>
        <v>1792380.8</v>
      </c>
      <c r="Z84" s="1138" t="s">
        <v>3150</v>
      </c>
      <c r="AA84" s="1156">
        <v>54322.1</v>
      </c>
      <c r="AB84" s="1199">
        <f t="shared" si="21"/>
        <v>1738307.2</v>
      </c>
      <c r="AD84" s="1240"/>
      <c r="AE84" s="1241" t="s">
        <v>3566</v>
      </c>
      <c r="AF84" s="1242"/>
      <c r="AG84" s="1243"/>
      <c r="AH84" s="1244"/>
    </row>
    <row r="85" spans="12:34" ht="14.5">
      <c r="L85" s="1200"/>
      <c r="M85" s="1195"/>
      <c r="N85" s="1150"/>
      <c r="O85" s="1388"/>
      <c r="P85" s="1388"/>
      <c r="Q85" s="1154"/>
      <c r="R85" s="1197">
        <v>32</v>
      </c>
      <c r="S85" s="1132" t="s">
        <v>3170</v>
      </c>
      <c r="T85" s="1197">
        <v>1</v>
      </c>
      <c r="U85" s="1147" t="s">
        <v>3171</v>
      </c>
      <c r="V85" s="1148" t="s">
        <v>3221</v>
      </c>
      <c r="W85" s="1143" t="s">
        <v>3204</v>
      </c>
      <c r="X85" s="1156">
        <v>42713.3</v>
      </c>
      <c r="Y85" s="1156">
        <f t="shared" si="20"/>
        <v>1366825.6</v>
      </c>
      <c r="Z85" s="1138" t="s">
        <v>3150</v>
      </c>
      <c r="AA85" s="1156">
        <v>41424.699999999997</v>
      </c>
      <c r="AB85" s="1199">
        <f t="shared" si="21"/>
        <v>1325590.3999999999</v>
      </c>
      <c r="AD85" s="1240"/>
      <c r="AE85" s="1241"/>
      <c r="AF85" s="1242"/>
      <c r="AG85" s="1243"/>
      <c r="AH85" s="1244"/>
    </row>
    <row r="86" spans="12:34" ht="14.5">
      <c r="L86" s="1194" t="s">
        <v>3259</v>
      </c>
      <c r="M86" s="1195" t="s">
        <v>3260</v>
      </c>
      <c r="N86" s="1196">
        <f t="shared" ref="N86" si="25">1.34102209*O86</f>
        <v>14.751242990000001</v>
      </c>
      <c r="O86" s="1388">
        <v>11</v>
      </c>
      <c r="P86" s="1141">
        <f>O86*1.9*1.25</f>
        <v>26.125</v>
      </c>
      <c r="Q86" s="1154" t="s">
        <v>3209</v>
      </c>
      <c r="R86" s="1197">
        <v>36</v>
      </c>
      <c r="S86" s="1132" t="s">
        <v>3170</v>
      </c>
      <c r="T86" s="1197">
        <v>1</v>
      </c>
      <c r="U86" s="1147" t="s">
        <v>3171</v>
      </c>
      <c r="V86" s="1148" t="s">
        <v>3220</v>
      </c>
      <c r="W86" s="1143" t="s">
        <v>3204</v>
      </c>
      <c r="X86" s="1156">
        <v>56011.9</v>
      </c>
      <c r="Y86" s="1156">
        <f t="shared" si="20"/>
        <v>2016428.4000000001</v>
      </c>
      <c r="Z86" s="1138" t="s">
        <v>3150</v>
      </c>
      <c r="AA86" s="1156">
        <v>54322.1</v>
      </c>
      <c r="AB86" s="1199">
        <f t="shared" si="21"/>
        <v>1955595.5999999999</v>
      </c>
      <c r="AD86" s="1240"/>
      <c r="AE86" s="1241" t="s">
        <v>3567</v>
      </c>
      <c r="AF86" s="1242"/>
      <c r="AG86" s="1243"/>
      <c r="AH86" s="1244"/>
    </row>
    <row r="87" spans="12:34" ht="14.5">
      <c r="L87" s="1200"/>
      <c r="M87" s="1195"/>
      <c r="N87" s="1150"/>
      <c r="O87" s="1388"/>
      <c r="P87" s="1388"/>
      <c r="Q87" s="1154"/>
      <c r="R87" s="1197">
        <v>36</v>
      </c>
      <c r="S87" s="1132" t="s">
        <v>3170</v>
      </c>
      <c r="T87" s="1197">
        <v>1</v>
      </c>
      <c r="U87" s="1147" t="s">
        <v>3171</v>
      </c>
      <c r="V87" s="1148" t="s">
        <v>3221</v>
      </c>
      <c r="W87" s="1143" t="s">
        <v>3204</v>
      </c>
      <c r="X87" s="1156">
        <v>42713.3</v>
      </c>
      <c r="Y87" s="1156">
        <f t="shared" si="20"/>
        <v>1537678.8</v>
      </c>
      <c r="Z87" s="1138" t="s">
        <v>3150</v>
      </c>
      <c r="AA87" s="1156">
        <v>41424.699999999997</v>
      </c>
      <c r="AB87" s="1199">
        <f t="shared" si="21"/>
        <v>1491289.2</v>
      </c>
      <c r="AD87" s="1240">
        <v>1</v>
      </c>
      <c r="AE87" s="1241" t="s">
        <v>3568</v>
      </c>
      <c r="AF87" s="1242"/>
      <c r="AG87" s="1243"/>
      <c r="AH87" s="1244"/>
    </row>
    <row r="88" spans="12:34" ht="14.5">
      <c r="L88" s="1194" t="s">
        <v>3261</v>
      </c>
      <c r="M88" s="1349" t="s">
        <v>2900</v>
      </c>
      <c r="N88" s="1196">
        <f t="shared" ref="N88:N94" si="26">1.34102209*O88</f>
        <v>7.3756214950000007</v>
      </c>
      <c r="O88" s="1154">
        <v>5.5</v>
      </c>
      <c r="P88" s="1141">
        <f t="shared" ref="P88:P94" si="27">O88*1.9*1.25</f>
        <v>13.0625</v>
      </c>
      <c r="Q88" s="1154" t="s">
        <v>3202</v>
      </c>
      <c r="R88" s="1197">
        <v>20</v>
      </c>
      <c r="S88" s="1132" t="s">
        <v>3170</v>
      </c>
      <c r="T88" s="1197">
        <v>1</v>
      </c>
      <c r="U88" s="1147" t="s">
        <v>3171</v>
      </c>
      <c r="V88" s="1148" t="s">
        <v>3203</v>
      </c>
      <c r="W88" s="1143" t="s">
        <v>3204</v>
      </c>
      <c r="X88" s="1156">
        <v>25695.599999999999</v>
      </c>
      <c r="Y88" s="1156">
        <f t="shared" si="20"/>
        <v>513912</v>
      </c>
      <c r="Z88" s="1138" t="s">
        <v>3150</v>
      </c>
      <c r="AA88" s="1156">
        <v>24920.399999999998</v>
      </c>
      <c r="AB88" s="1199">
        <f t="shared" si="21"/>
        <v>498407.99999999994</v>
      </c>
      <c r="AD88" s="1240">
        <v>2</v>
      </c>
      <c r="AE88" s="1241" t="s">
        <v>3569</v>
      </c>
      <c r="AF88" s="1242"/>
      <c r="AG88" s="1243"/>
      <c r="AH88" s="1244"/>
    </row>
    <row r="89" spans="12:34" ht="14.5">
      <c r="L89" s="1194" t="s">
        <v>3262</v>
      </c>
      <c r="M89" s="1349" t="s">
        <v>3263</v>
      </c>
      <c r="N89" s="1196">
        <f t="shared" si="26"/>
        <v>60.345994050000002</v>
      </c>
      <c r="O89" s="1154">
        <v>45</v>
      </c>
      <c r="P89" s="1141">
        <f t="shared" si="27"/>
        <v>106.875</v>
      </c>
      <c r="Q89" s="1154" t="s">
        <v>3264</v>
      </c>
      <c r="R89" s="1197">
        <v>14</v>
      </c>
      <c r="S89" s="1132" t="s">
        <v>3170</v>
      </c>
      <c r="T89" s="1197">
        <v>1</v>
      </c>
      <c r="U89" s="1147" t="s">
        <v>3171</v>
      </c>
      <c r="V89" s="1148" t="s">
        <v>3183</v>
      </c>
      <c r="W89" s="1143" t="s">
        <v>3204</v>
      </c>
      <c r="X89" s="1156">
        <v>288962.8</v>
      </c>
      <c r="Y89" s="1156">
        <f t="shared" si="20"/>
        <v>4045479.1999999997</v>
      </c>
      <c r="Z89" s="1138" t="s">
        <v>3150</v>
      </c>
      <c r="AA89" s="1156">
        <v>280245.2</v>
      </c>
      <c r="AB89" s="1199">
        <f t="shared" si="21"/>
        <v>3923432.8000000003</v>
      </c>
      <c r="AD89" s="1240"/>
      <c r="AE89" s="1241"/>
      <c r="AF89" s="1242"/>
      <c r="AG89" s="1243"/>
      <c r="AH89" s="1244"/>
    </row>
    <row r="90" spans="12:34" ht="14.5">
      <c r="L90" s="1194" t="s">
        <v>3265</v>
      </c>
      <c r="M90" s="1349" t="s">
        <v>3266</v>
      </c>
      <c r="N90" s="1196">
        <f t="shared" si="26"/>
        <v>60.345994050000002</v>
      </c>
      <c r="O90" s="1154">
        <v>45</v>
      </c>
      <c r="P90" s="1141">
        <f t="shared" si="27"/>
        <v>106.875</v>
      </c>
      <c r="Q90" s="1154" t="s">
        <v>3264</v>
      </c>
      <c r="R90" s="1197">
        <v>14</v>
      </c>
      <c r="S90" s="1132" t="s">
        <v>3170</v>
      </c>
      <c r="T90" s="1197">
        <v>1</v>
      </c>
      <c r="U90" s="1147" t="s">
        <v>3171</v>
      </c>
      <c r="V90" s="1148" t="s">
        <v>3183</v>
      </c>
      <c r="W90" s="1143" t="s">
        <v>3204</v>
      </c>
      <c r="X90" s="1156">
        <v>288962.8</v>
      </c>
      <c r="Y90" s="1156">
        <f t="shared" si="20"/>
        <v>4045479.1999999997</v>
      </c>
      <c r="Z90" s="1138" t="s">
        <v>3150</v>
      </c>
      <c r="AA90" s="1156">
        <v>280245.2</v>
      </c>
      <c r="AB90" s="1199">
        <f t="shared" si="21"/>
        <v>3923432.8000000003</v>
      </c>
      <c r="AD90" s="1240">
        <v>1</v>
      </c>
      <c r="AE90" s="1241" t="s">
        <v>3570</v>
      </c>
      <c r="AF90" s="1242">
        <v>2</v>
      </c>
      <c r="AG90" s="1243" t="s">
        <v>3487</v>
      </c>
      <c r="AH90" s="1244" t="s">
        <v>3506</v>
      </c>
    </row>
    <row r="91" spans="12:34" ht="14.5">
      <c r="L91" s="1194" t="s">
        <v>3267</v>
      </c>
      <c r="M91" s="1349" t="s">
        <v>3268</v>
      </c>
      <c r="N91" s="1196">
        <f t="shared" si="26"/>
        <v>60.345994050000002</v>
      </c>
      <c r="O91" s="1154">
        <v>45</v>
      </c>
      <c r="P91" s="1141">
        <f t="shared" si="27"/>
        <v>106.875</v>
      </c>
      <c r="Q91" s="1154" t="s">
        <v>3264</v>
      </c>
      <c r="R91" s="1197">
        <v>9</v>
      </c>
      <c r="S91" s="1132" t="s">
        <v>3170</v>
      </c>
      <c r="T91" s="1197">
        <v>1</v>
      </c>
      <c r="U91" s="1147" t="s">
        <v>3171</v>
      </c>
      <c r="V91" s="1148" t="s">
        <v>3183</v>
      </c>
      <c r="W91" s="1143" t="s">
        <v>3204</v>
      </c>
      <c r="X91" s="1156">
        <v>288962.8</v>
      </c>
      <c r="Y91" s="1156">
        <f t="shared" si="20"/>
        <v>2600665.1999999997</v>
      </c>
      <c r="Z91" s="1138" t="s">
        <v>3150</v>
      </c>
      <c r="AA91" s="1156">
        <v>280245.2</v>
      </c>
      <c r="AB91" s="1199">
        <f t="shared" si="21"/>
        <v>2522206.8000000003</v>
      </c>
      <c r="AD91" s="1240">
        <v>2</v>
      </c>
      <c r="AE91" s="1241" t="s">
        <v>3571</v>
      </c>
      <c r="AF91" s="1242">
        <v>2</v>
      </c>
      <c r="AG91" s="1243" t="s">
        <v>3487</v>
      </c>
      <c r="AH91" s="1244" t="s">
        <v>3506</v>
      </c>
    </row>
    <row r="92" spans="12:34" ht="14.5">
      <c r="L92" s="1194" t="s">
        <v>3269</v>
      </c>
      <c r="M92" s="1349" t="s">
        <v>3270</v>
      </c>
      <c r="N92" s="1196">
        <f t="shared" si="26"/>
        <v>60.345994050000002</v>
      </c>
      <c r="O92" s="1154">
        <v>45</v>
      </c>
      <c r="P92" s="1141">
        <f t="shared" si="27"/>
        <v>106.875</v>
      </c>
      <c r="Q92" s="1154" t="s">
        <v>3264</v>
      </c>
      <c r="R92" s="1197">
        <v>9</v>
      </c>
      <c r="S92" s="1132" t="s">
        <v>3170</v>
      </c>
      <c r="T92" s="1197">
        <v>1</v>
      </c>
      <c r="U92" s="1147" t="s">
        <v>3171</v>
      </c>
      <c r="V92" s="1148" t="s">
        <v>3183</v>
      </c>
      <c r="W92" s="1143" t="s">
        <v>3204</v>
      </c>
      <c r="X92" s="1156">
        <v>288962.8</v>
      </c>
      <c r="Y92" s="1156">
        <f t="shared" si="20"/>
        <v>2600665.1999999997</v>
      </c>
      <c r="Z92" s="1138" t="s">
        <v>3150</v>
      </c>
      <c r="AA92" s="1156">
        <v>280245.2</v>
      </c>
      <c r="AB92" s="1199">
        <f t="shared" si="21"/>
        <v>2522206.8000000003</v>
      </c>
      <c r="AD92" s="1240">
        <v>3</v>
      </c>
      <c r="AE92" s="1241" t="s">
        <v>3572</v>
      </c>
      <c r="AF92" s="1242">
        <v>2</v>
      </c>
      <c r="AG92" s="1243" t="s">
        <v>3487</v>
      </c>
      <c r="AH92" s="1244" t="s">
        <v>3506</v>
      </c>
    </row>
    <row r="93" spans="12:34" ht="14.5">
      <c r="L93" s="1194" t="s">
        <v>3271</v>
      </c>
      <c r="M93" s="1349" t="s">
        <v>3272</v>
      </c>
      <c r="N93" s="1196">
        <f t="shared" si="26"/>
        <v>2.0115331350000001</v>
      </c>
      <c r="O93" s="1154">
        <v>1.5</v>
      </c>
      <c r="P93" s="1141">
        <f t="shared" si="27"/>
        <v>3.5624999999999996</v>
      </c>
      <c r="Q93" s="1154" t="s">
        <v>3202</v>
      </c>
      <c r="R93" s="1197">
        <v>9</v>
      </c>
      <c r="S93" s="1132" t="s">
        <v>3170</v>
      </c>
      <c r="T93" s="1389">
        <v>1</v>
      </c>
      <c r="U93" s="1147" t="s">
        <v>3171</v>
      </c>
      <c r="V93" s="1148" t="s">
        <v>3203</v>
      </c>
      <c r="W93" s="1143" t="s">
        <v>3204</v>
      </c>
      <c r="X93" s="1156">
        <v>25695.599999999999</v>
      </c>
      <c r="Y93" s="1156">
        <f t="shared" si="20"/>
        <v>231260.4</v>
      </c>
      <c r="Z93" s="1138" t="s">
        <v>3150</v>
      </c>
      <c r="AA93" s="1156">
        <v>24920.399999999998</v>
      </c>
      <c r="AB93" s="1199">
        <f t="shared" si="21"/>
        <v>224283.59999999998</v>
      </c>
      <c r="AD93" s="1240">
        <v>4</v>
      </c>
      <c r="AE93" s="1241" t="s">
        <v>3573</v>
      </c>
      <c r="AF93" s="1242">
        <v>2</v>
      </c>
      <c r="AG93" s="1243" t="s">
        <v>3487</v>
      </c>
      <c r="AH93" s="1244" t="s">
        <v>3506</v>
      </c>
    </row>
    <row r="94" spans="12:34" ht="14.5">
      <c r="L94" s="1194" t="s">
        <v>3273</v>
      </c>
      <c r="M94" s="1349" t="s">
        <v>3274</v>
      </c>
      <c r="N94" s="1196">
        <f t="shared" si="26"/>
        <v>2.0115331350000001</v>
      </c>
      <c r="O94" s="1154">
        <v>1.5</v>
      </c>
      <c r="P94" s="1141">
        <f t="shared" si="27"/>
        <v>3.5624999999999996</v>
      </c>
      <c r="Q94" s="1154" t="s">
        <v>3202</v>
      </c>
      <c r="R94" s="1197">
        <v>9</v>
      </c>
      <c r="S94" s="1132" t="s">
        <v>3170</v>
      </c>
      <c r="T94" s="1389">
        <v>1</v>
      </c>
      <c r="U94" s="1147" t="s">
        <v>3171</v>
      </c>
      <c r="V94" s="1148" t="s">
        <v>3203</v>
      </c>
      <c r="W94" s="1143" t="s">
        <v>3204</v>
      </c>
      <c r="X94" s="1156">
        <v>25695.599999999999</v>
      </c>
      <c r="Y94" s="1156">
        <f t="shared" si="20"/>
        <v>231260.4</v>
      </c>
      <c r="Z94" s="1138" t="s">
        <v>3150</v>
      </c>
      <c r="AA94" s="1156">
        <v>24920.399999999998</v>
      </c>
      <c r="AB94" s="1199">
        <f t="shared" si="21"/>
        <v>224283.59999999998</v>
      </c>
      <c r="AD94" s="1240">
        <v>5</v>
      </c>
      <c r="AE94" s="1241" t="s">
        <v>3574</v>
      </c>
      <c r="AF94" s="1242">
        <v>4</v>
      </c>
      <c r="AG94" s="1243" t="s">
        <v>3487</v>
      </c>
      <c r="AH94" s="1244" t="s">
        <v>3536</v>
      </c>
    </row>
    <row r="95" spans="12:34" ht="14.5">
      <c r="L95" s="1194" t="s">
        <v>3275</v>
      </c>
      <c r="M95" s="1195" t="s">
        <v>3214</v>
      </c>
      <c r="N95" s="1145"/>
      <c r="O95" s="1142"/>
      <c r="P95" s="1142"/>
      <c r="Q95" s="1154"/>
      <c r="R95" s="1197">
        <f>SUM(R80,R81,R84,R86,R88)*1.5</f>
        <v>256.5</v>
      </c>
      <c r="S95" s="1132" t="s">
        <v>3170</v>
      </c>
      <c r="T95" s="1191">
        <v>1</v>
      </c>
      <c r="U95" s="1147" t="s">
        <v>3171</v>
      </c>
      <c r="V95" s="1148" t="s">
        <v>3215</v>
      </c>
      <c r="W95" s="1143" t="s">
        <v>3204</v>
      </c>
      <c r="X95" s="1156">
        <v>14481.95</v>
      </c>
      <c r="Y95" s="1156">
        <f t="shared" si="20"/>
        <v>3714620.1750000003</v>
      </c>
      <c r="Z95" s="1138" t="s">
        <v>3150</v>
      </c>
      <c r="AA95" s="1156">
        <v>14045.05</v>
      </c>
      <c r="AB95" s="1199">
        <f t="shared" si="21"/>
        <v>3602555.3249999997</v>
      </c>
      <c r="AD95" s="1240">
        <v>6</v>
      </c>
      <c r="AE95" s="1241" t="s">
        <v>3575</v>
      </c>
      <c r="AF95" s="1242">
        <v>2</v>
      </c>
      <c r="AG95" s="1243" t="s">
        <v>3487</v>
      </c>
      <c r="AH95" s="1244" t="s">
        <v>3536</v>
      </c>
    </row>
    <row r="96" spans="12:34" ht="14.5">
      <c r="L96" s="1320"/>
      <c r="M96" s="1390"/>
      <c r="N96" s="1391"/>
      <c r="O96" s="1205"/>
      <c r="P96" s="1392"/>
      <c r="Q96" s="1205"/>
      <c r="R96" s="1206"/>
      <c r="S96" s="1207"/>
      <c r="T96" s="1393"/>
      <c r="U96" s="1352"/>
      <c r="V96" s="1353"/>
      <c r="W96" s="1354"/>
      <c r="X96" s="1210"/>
      <c r="Y96" s="1210"/>
      <c r="Z96" s="1355"/>
      <c r="AA96" s="1210"/>
      <c r="AB96" s="1211"/>
      <c r="AD96" s="1240">
        <v>7</v>
      </c>
      <c r="AE96" s="1241" t="s">
        <v>3576</v>
      </c>
      <c r="AF96" s="1242">
        <v>2</v>
      </c>
      <c r="AG96" s="1243" t="s">
        <v>3487</v>
      </c>
      <c r="AH96" s="1244" t="s">
        <v>3536</v>
      </c>
    </row>
    <row r="97" spans="12:34" ht="15" thickBot="1">
      <c r="L97" s="1719" t="s">
        <v>2240</v>
      </c>
      <c r="M97" s="1720"/>
      <c r="N97" s="1059">
        <f>SUM(N74:N95)</f>
        <v>365.42851952499996</v>
      </c>
      <c r="O97" s="1059">
        <f>SUM(O74:O95)</f>
        <v>272.5</v>
      </c>
      <c r="P97" s="1059">
        <f>SUM(P74:P95)</f>
        <v>647.1875</v>
      </c>
      <c r="Q97" s="1041"/>
      <c r="R97" s="1054"/>
      <c r="S97" s="1055"/>
      <c r="T97" s="1054"/>
      <c r="U97" s="1043"/>
      <c r="V97" s="1044"/>
      <c r="W97" s="1057"/>
      <c r="X97" s="1058"/>
      <c r="Y97" s="1058"/>
      <c r="Z97" s="1042"/>
      <c r="AA97" s="1058"/>
      <c r="AB97" s="1095">
        <f>SUM(AB74:AB95)</f>
        <v>39759432.525000006</v>
      </c>
      <c r="AD97" s="1240">
        <v>8</v>
      </c>
      <c r="AE97" s="1241" t="s">
        <v>3577</v>
      </c>
      <c r="AF97" s="1242">
        <v>4</v>
      </c>
      <c r="AG97" s="1243" t="s">
        <v>3487</v>
      </c>
      <c r="AH97" s="1244" t="s">
        <v>3546</v>
      </c>
    </row>
    <row r="98" spans="12:34" ht="15" thickTop="1">
      <c r="L98" s="1332">
        <v>4</v>
      </c>
      <c r="M98" s="1333" t="s">
        <v>3276</v>
      </c>
      <c r="N98" s="1380"/>
      <c r="O98" s="1381"/>
      <c r="P98" s="1381"/>
      <c r="Q98" s="1334"/>
      <c r="R98" s="1335"/>
      <c r="S98" s="1336"/>
      <c r="T98" s="1335"/>
      <c r="U98" s="1337"/>
      <c r="V98" s="1336"/>
      <c r="W98" s="1338"/>
      <c r="X98" s="1339"/>
      <c r="Y98" s="1339"/>
      <c r="Z98" s="1333"/>
      <c r="AA98" s="1339"/>
      <c r="AB98" s="1340"/>
      <c r="AD98" s="1240">
        <v>9</v>
      </c>
      <c r="AE98" s="1241" t="s">
        <v>3562</v>
      </c>
      <c r="AF98" s="1242">
        <v>2</v>
      </c>
      <c r="AG98" s="1243" t="s">
        <v>3487</v>
      </c>
      <c r="AH98" s="1244" t="s">
        <v>3563</v>
      </c>
    </row>
    <row r="99" spans="12:34" ht="14.5">
      <c r="L99" s="1382"/>
      <c r="M99" s="1356"/>
      <c r="N99" s="1383"/>
      <c r="O99" s="1384"/>
      <c r="P99" s="1384"/>
      <c r="Q99" s="1313"/>
      <c r="R99" s="1360"/>
      <c r="S99" s="1119"/>
      <c r="T99" s="1385"/>
      <c r="U99" s="1361"/>
      <c r="V99" s="1362"/>
      <c r="W99" s="1343"/>
      <c r="X99" s="1364"/>
      <c r="Y99" s="1364"/>
      <c r="Z99" s="1356"/>
      <c r="AA99" s="1364"/>
      <c r="AB99" s="1365"/>
      <c r="AD99" s="1240">
        <v>10</v>
      </c>
      <c r="AE99" s="1241" t="s">
        <v>3578</v>
      </c>
      <c r="AF99" s="1242">
        <v>1</v>
      </c>
      <c r="AG99" s="1243" t="s">
        <v>2872</v>
      </c>
      <c r="AH99" s="1244" t="s">
        <v>3500</v>
      </c>
    </row>
    <row r="100" spans="12:34" ht="14.5">
      <c r="L100" s="1194" t="s">
        <v>3277</v>
      </c>
      <c r="M100" s="1195" t="s">
        <v>3278</v>
      </c>
      <c r="N100" s="1196">
        <f t="shared" ref="N100" si="28">1.34102209*O100</f>
        <v>120.6919881</v>
      </c>
      <c r="O100" s="1130">
        <v>90</v>
      </c>
      <c r="P100" s="1141">
        <f>O100*1.9*1.25</f>
        <v>213.75</v>
      </c>
      <c r="Q100" s="1154" t="s">
        <v>3209</v>
      </c>
      <c r="R100" s="1197">
        <v>11</v>
      </c>
      <c r="S100" s="1132" t="s">
        <v>3170</v>
      </c>
      <c r="T100" s="1191">
        <v>4</v>
      </c>
      <c r="U100" s="1147" t="s">
        <v>3171</v>
      </c>
      <c r="V100" s="1148" t="s">
        <v>3172</v>
      </c>
      <c r="W100" s="1143" t="s">
        <v>3204</v>
      </c>
      <c r="X100" s="1156">
        <v>749455</v>
      </c>
      <c r="Y100" s="1156">
        <f t="shared" ref="Y100:Y110" si="29">X100*R100</f>
        <v>8244005</v>
      </c>
      <c r="Z100" s="1138" t="s">
        <v>3150</v>
      </c>
      <c r="AA100" s="1156">
        <v>171861</v>
      </c>
      <c r="AB100" s="1199">
        <f>AA100*R100*T100</f>
        <v>7561884</v>
      </c>
      <c r="AD100" s="1240"/>
      <c r="AE100" s="1241" t="s">
        <v>3579</v>
      </c>
      <c r="AF100" s="1242">
        <v>2</v>
      </c>
      <c r="AG100" s="1243" t="s">
        <v>3487</v>
      </c>
      <c r="AH100" s="1244" t="s">
        <v>3508</v>
      </c>
    </row>
    <row r="101" spans="12:34" ht="14.5">
      <c r="L101" s="1200"/>
      <c r="M101" s="1195"/>
      <c r="N101" s="1145"/>
      <c r="O101" s="1130"/>
      <c r="P101" s="1130"/>
      <c r="Q101" s="1154"/>
      <c r="R101" s="1197">
        <v>11</v>
      </c>
      <c r="S101" s="1132" t="s">
        <v>3170</v>
      </c>
      <c r="T101" s="1191">
        <v>3</v>
      </c>
      <c r="U101" s="1147" t="s">
        <v>3171</v>
      </c>
      <c r="V101" s="1148" t="s">
        <v>3172</v>
      </c>
      <c r="W101" s="1143" t="s">
        <v>3204</v>
      </c>
      <c r="X101" s="1156">
        <v>561246</v>
      </c>
      <c r="Y101" s="1156">
        <f t="shared" si="29"/>
        <v>6173706</v>
      </c>
      <c r="Z101" s="1138" t="s">
        <v>3150</v>
      </c>
      <c r="AA101" s="1156">
        <v>171861</v>
      </c>
      <c r="AB101" s="1199">
        <f t="shared" ref="AB101:AB105" si="30">AA101*R101*T101</f>
        <v>5671413</v>
      </c>
      <c r="AD101" s="1240"/>
      <c r="AE101" s="1241"/>
      <c r="AF101" s="1242"/>
      <c r="AG101" s="1243"/>
      <c r="AH101" s="1244"/>
    </row>
    <row r="102" spans="12:34" ht="14.5">
      <c r="L102" s="1194" t="s">
        <v>3279</v>
      </c>
      <c r="M102" s="1195" t="s">
        <v>3280</v>
      </c>
      <c r="N102" s="1196">
        <f t="shared" ref="N102" si="31">1.34102209*O102</f>
        <v>120.6919881</v>
      </c>
      <c r="O102" s="1130">
        <v>90</v>
      </c>
      <c r="P102" s="1141">
        <f>O102*1.9*1.25</f>
        <v>213.75</v>
      </c>
      <c r="Q102" s="1154" t="s">
        <v>3209</v>
      </c>
      <c r="R102" s="1197">
        <v>8</v>
      </c>
      <c r="S102" s="1132" t="s">
        <v>3170</v>
      </c>
      <c r="T102" s="1191">
        <v>4</v>
      </c>
      <c r="U102" s="1147" t="s">
        <v>3171</v>
      </c>
      <c r="V102" s="1148" t="s">
        <v>3172</v>
      </c>
      <c r="W102" s="1143" t="s">
        <v>3204</v>
      </c>
      <c r="X102" s="1156">
        <v>749455</v>
      </c>
      <c r="Y102" s="1156">
        <f t="shared" si="29"/>
        <v>5995640</v>
      </c>
      <c r="Z102" s="1138" t="s">
        <v>3150</v>
      </c>
      <c r="AA102" s="1156">
        <v>171861</v>
      </c>
      <c r="AB102" s="1199">
        <f t="shared" si="30"/>
        <v>5499552</v>
      </c>
      <c r="AD102" s="1240"/>
      <c r="AE102" s="1241" t="s">
        <v>3580</v>
      </c>
      <c r="AF102" s="1242"/>
      <c r="AG102" s="1243"/>
      <c r="AH102" s="1244"/>
    </row>
    <row r="103" spans="12:34" ht="14.5">
      <c r="L103" s="1200"/>
      <c r="M103" s="1195"/>
      <c r="N103" s="1145"/>
      <c r="O103" s="1130"/>
      <c r="P103" s="1130"/>
      <c r="Q103" s="1154"/>
      <c r="R103" s="1197">
        <v>8</v>
      </c>
      <c r="S103" s="1132" t="s">
        <v>3170</v>
      </c>
      <c r="T103" s="1191">
        <v>3</v>
      </c>
      <c r="U103" s="1147" t="s">
        <v>3171</v>
      </c>
      <c r="V103" s="1148" t="s">
        <v>3172</v>
      </c>
      <c r="W103" s="1143" t="s">
        <v>3204</v>
      </c>
      <c r="X103" s="1156">
        <v>561246</v>
      </c>
      <c r="Y103" s="1156">
        <f t="shared" si="29"/>
        <v>4489968</v>
      </c>
      <c r="Z103" s="1138" t="s">
        <v>3150</v>
      </c>
      <c r="AA103" s="1156">
        <v>171861</v>
      </c>
      <c r="AB103" s="1199">
        <f t="shared" si="30"/>
        <v>4124664</v>
      </c>
      <c r="AD103" s="1240">
        <v>1</v>
      </c>
      <c r="AE103" s="1241" t="s">
        <v>3581</v>
      </c>
      <c r="AF103" s="1242"/>
      <c r="AG103" s="1243"/>
      <c r="AH103" s="1244"/>
    </row>
    <row r="104" spans="12:34" ht="14.5">
      <c r="L104" s="1194" t="s">
        <v>3281</v>
      </c>
      <c r="M104" s="1195" t="s">
        <v>3282</v>
      </c>
      <c r="N104" s="1196">
        <f t="shared" ref="N104" si="32">1.34102209*O104</f>
        <v>120.6919881</v>
      </c>
      <c r="O104" s="1130">
        <v>90</v>
      </c>
      <c r="P104" s="1141">
        <f>O104*1.9*1.25</f>
        <v>213.75</v>
      </c>
      <c r="Q104" s="1154" t="s">
        <v>3209</v>
      </c>
      <c r="R104" s="1197">
        <v>11</v>
      </c>
      <c r="S104" s="1132" t="s">
        <v>3170</v>
      </c>
      <c r="T104" s="1191">
        <v>4</v>
      </c>
      <c r="U104" s="1147" t="s">
        <v>3171</v>
      </c>
      <c r="V104" s="1148" t="s">
        <v>3172</v>
      </c>
      <c r="W104" s="1143" t="s">
        <v>3204</v>
      </c>
      <c r="X104" s="1144">
        <v>561247</v>
      </c>
      <c r="Y104" s="1144">
        <f t="shared" si="29"/>
        <v>6173717</v>
      </c>
      <c r="Z104" s="1138" t="s">
        <v>3150</v>
      </c>
      <c r="AA104" s="1156">
        <v>171861</v>
      </c>
      <c r="AB104" s="1199">
        <f>AA104*R104*T104</f>
        <v>7561884</v>
      </c>
      <c r="AD104" s="1240">
        <v>2</v>
      </c>
      <c r="AE104" s="1241" t="s">
        <v>3582</v>
      </c>
      <c r="AF104" s="1242"/>
      <c r="AG104" s="1243"/>
      <c r="AH104" s="1244"/>
    </row>
    <row r="105" spans="12:34" ht="14.5">
      <c r="L105" s="1200"/>
      <c r="M105" s="1195"/>
      <c r="N105" s="1145"/>
      <c r="O105" s="1130"/>
      <c r="P105" s="1130"/>
      <c r="Q105" s="1154"/>
      <c r="R105" s="1197">
        <v>11</v>
      </c>
      <c r="S105" s="1132" t="s">
        <v>3170</v>
      </c>
      <c r="T105" s="1191">
        <v>3</v>
      </c>
      <c r="U105" s="1147" t="s">
        <v>3171</v>
      </c>
      <c r="V105" s="1148" t="s">
        <v>3172</v>
      </c>
      <c r="W105" s="1143" t="s">
        <v>3204</v>
      </c>
      <c r="X105" s="1144">
        <v>561248</v>
      </c>
      <c r="Y105" s="1144">
        <f t="shared" si="29"/>
        <v>6173728</v>
      </c>
      <c r="Z105" s="1138" t="s">
        <v>3150</v>
      </c>
      <c r="AA105" s="1156">
        <v>171861</v>
      </c>
      <c r="AB105" s="1199">
        <f t="shared" si="30"/>
        <v>5671413</v>
      </c>
      <c r="AD105" s="1240"/>
      <c r="AE105" s="1241"/>
      <c r="AF105" s="1242"/>
      <c r="AG105" s="1243"/>
      <c r="AH105" s="1244"/>
    </row>
    <row r="106" spans="12:34" ht="14.5">
      <c r="L106" s="1194" t="s">
        <v>3283</v>
      </c>
      <c r="M106" s="1195" t="s">
        <v>3284</v>
      </c>
      <c r="N106" s="1196">
        <f t="shared" ref="N106:N108" si="33">1.34102209*O106</f>
        <v>7.3756214950000007</v>
      </c>
      <c r="O106" s="1386">
        <v>5.5</v>
      </c>
      <c r="P106" s="1141">
        <f>O106*1.9*1.25</f>
        <v>13.0625</v>
      </c>
      <c r="Q106" s="1154" t="s">
        <v>3202</v>
      </c>
      <c r="R106" s="1197">
        <v>14</v>
      </c>
      <c r="S106" s="1132" t="s">
        <v>3170</v>
      </c>
      <c r="T106" s="1197">
        <v>1</v>
      </c>
      <c r="U106" s="1147" t="s">
        <v>3171</v>
      </c>
      <c r="V106" s="1148" t="s">
        <v>3191</v>
      </c>
      <c r="W106" s="1143" t="s">
        <v>3204</v>
      </c>
      <c r="X106" s="1144">
        <v>40008.5</v>
      </c>
      <c r="Y106" s="1144">
        <f t="shared" si="29"/>
        <v>560119</v>
      </c>
      <c r="Z106" s="1138" t="s">
        <v>3150</v>
      </c>
      <c r="AA106" s="1144">
        <v>38801.5</v>
      </c>
      <c r="AB106" s="1350">
        <f t="shared" ref="AB106:AB110" si="34">AA106*R106</f>
        <v>543221</v>
      </c>
      <c r="AD106" s="1240">
        <v>1</v>
      </c>
      <c r="AE106" s="1241" t="s">
        <v>3583</v>
      </c>
      <c r="AF106" s="1242">
        <v>2</v>
      </c>
      <c r="AG106" s="1243" t="s">
        <v>3487</v>
      </c>
      <c r="AH106" s="1244" t="s">
        <v>3506</v>
      </c>
    </row>
    <row r="107" spans="12:34" ht="14.5">
      <c r="L107" s="1194" t="s">
        <v>3285</v>
      </c>
      <c r="M107" s="1195" t="s">
        <v>3286</v>
      </c>
      <c r="N107" s="1196">
        <f t="shared" si="33"/>
        <v>7.3756214950000007</v>
      </c>
      <c r="O107" s="1386">
        <v>5.5</v>
      </c>
      <c r="P107" s="1141">
        <f>O107*1.9*1.25</f>
        <v>13.0625</v>
      </c>
      <c r="Q107" s="1154" t="s">
        <v>3202</v>
      </c>
      <c r="R107" s="1197">
        <v>14</v>
      </c>
      <c r="S107" s="1132" t="s">
        <v>3170</v>
      </c>
      <c r="T107" s="1197">
        <v>1</v>
      </c>
      <c r="U107" s="1147" t="s">
        <v>3171</v>
      </c>
      <c r="V107" s="1148" t="s">
        <v>3191</v>
      </c>
      <c r="W107" s="1143" t="s">
        <v>3204</v>
      </c>
      <c r="X107" s="1144">
        <v>40008.5</v>
      </c>
      <c r="Y107" s="1144">
        <f t="shared" si="29"/>
        <v>560119</v>
      </c>
      <c r="Z107" s="1138" t="s">
        <v>3150</v>
      </c>
      <c r="AA107" s="1144">
        <v>38801.5</v>
      </c>
      <c r="AB107" s="1350">
        <f t="shared" si="34"/>
        <v>543221</v>
      </c>
      <c r="AD107" s="1240">
        <v>2</v>
      </c>
      <c r="AE107" s="1241" t="s">
        <v>3584</v>
      </c>
      <c r="AF107" s="1242">
        <v>2</v>
      </c>
      <c r="AG107" s="1243" t="s">
        <v>3487</v>
      </c>
      <c r="AH107" s="1244" t="s">
        <v>3506</v>
      </c>
    </row>
    <row r="108" spans="12:34" ht="14.5">
      <c r="L108" s="1194" t="s">
        <v>3287</v>
      </c>
      <c r="M108" s="1195" t="s">
        <v>3288</v>
      </c>
      <c r="N108" s="1196">
        <f t="shared" si="33"/>
        <v>7.3756214950000007</v>
      </c>
      <c r="O108" s="1386">
        <v>5.5</v>
      </c>
      <c r="P108" s="1141">
        <f>O108*1.9*1.25</f>
        <v>13.0625</v>
      </c>
      <c r="Q108" s="1154" t="s">
        <v>3202</v>
      </c>
      <c r="R108" s="1197">
        <v>25</v>
      </c>
      <c r="S108" s="1132" t="s">
        <v>3170</v>
      </c>
      <c r="T108" s="1197">
        <v>1</v>
      </c>
      <c r="U108" s="1147" t="s">
        <v>3171</v>
      </c>
      <c r="V108" s="1148" t="s">
        <v>3191</v>
      </c>
      <c r="W108" s="1143" t="s">
        <v>3204</v>
      </c>
      <c r="X108" s="1144">
        <v>40008.5</v>
      </c>
      <c r="Y108" s="1144">
        <f t="shared" si="29"/>
        <v>1000212.5</v>
      </c>
      <c r="Z108" s="1138" t="s">
        <v>3150</v>
      </c>
      <c r="AA108" s="1144">
        <v>38801.5</v>
      </c>
      <c r="AB108" s="1350">
        <f t="shared" si="34"/>
        <v>970037.5</v>
      </c>
      <c r="AD108" s="1240">
        <v>3</v>
      </c>
      <c r="AE108" s="1241" t="s">
        <v>3584</v>
      </c>
      <c r="AF108" s="1242">
        <v>4</v>
      </c>
      <c r="AG108" s="1243" t="s">
        <v>3487</v>
      </c>
      <c r="AH108" s="1244" t="s">
        <v>3506</v>
      </c>
    </row>
    <row r="109" spans="12:34" ht="14.5">
      <c r="L109" s="1194" t="s">
        <v>3289</v>
      </c>
      <c r="M109" s="1195" t="s">
        <v>3214</v>
      </c>
      <c r="N109" s="1145"/>
      <c r="O109" s="1142"/>
      <c r="P109" s="1142"/>
      <c r="Q109" s="1154"/>
      <c r="R109" s="1197">
        <v>50</v>
      </c>
      <c r="S109" s="1132" t="s">
        <v>3170</v>
      </c>
      <c r="T109" s="1191">
        <v>1</v>
      </c>
      <c r="U109" s="1147" t="s">
        <v>3171</v>
      </c>
      <c r="V109" s="1148" t="s">
        <v>3215</v>
      </c>
      <c r="W109" s="1143" t="s">
        <v>3204</v>
      </c>
      <c r="X109" s="1144">
        <v>14481.95</v>
      </c>
      <c r="Y109" s="1144">
        <f t="shared" si="29"/>
        <v>724097.5</v>
      </c>
      <c r="Z109" s="1138" t="s">
        <v>3150</v>
      </c>
      <c r="AA109" s="1144">
        <v>14045.05</v>
      </c>
      <c r="AB109" s="1350">
        <f t="shared" si="34"/>
        <v>702252.5</v>
      </c>
      <c r="AD109" s="1240">
        <v>4</v>
      </c>
      <c r="AE109" s="1241" t="s">
        <v>3572</v>
      </c>
      <c r="AF109" s="1242">
        <v>2</v>
      </c>
      <c r="AG109" s="1243" t="s">
        <v>3487</v>
      </c>
      <c r="AH109" s="1244" t="s">
        <v>3506</v>
      </c>
    </row>
    <row r="110" spans="12:34" ht="14.5">
      <c r="L110" s="1194" t="s">
        <v>3290</v>
      </c>
      <c r="M110" s="1195" t="s">
        <v>3291</v>
      </c>
      <c r="N110" s="1196">
        <f t="shared" ref="N110" si="35">1.34102209*O110</f>
        <v>2.4138397620000003</v>
      </c>
      <c r="O110" s="1386">
        <v>1.8</v>
      </c>
      <c r="P110" s="1141">
        <f>O110*1.9*1.25</f>
        <v>4.2750000000000004</v>
      </c>
      <c r="Q110" s="1154" t="s">
        <v>3202</v>
      </c>
      <c r="R110" s="1197">
        <v>14</v>
      </c>
      <c r="S110" s="1132"/>
      <c r="T110" s="1197">
        <v>1</v>
      </c>
      <c r="U110" s="1147" t="s">
        <v>3171</v>
      </c>
      <c r="V110" s="1148" t="s">
        <v>3203</v>
      </c>
      <c r="W110" s="1143" t="s">
        <v>3204</v>
      </c>
      <c r="X110" s="1144">
        <v>25695.599999999999</v>
      </c>
      <c r="Y110" s="1144">
        <f t="shared" si="29"/>
        <v>359738.39999999997</v>
      </c>
      <c r="Z110" s="1138" t="s">
        <v>3150</v>
      </c>
      <c r="AA110" s="1144">
        <v>24920.399999999998</v>
      </c>
      <c r="AB110" s="1350">
        <f t="shared" si="34"/>
        <v>348885.6</v>
      </c>
      <c r="AD110" s="1240">
        <v>5</v>
      </c>
      <c r="AE110" s="1241" t="s">
        <v>3585</v>
      </c>
      <c r="AF110" s="1242">
        <v>2</v>
      </c>
      <c r="AG110" s="1243" t="s">
        <v>3487</v>
      </c>
      <c r="AH110" s="1244" t="s">
        <v>3546</v>
      </c>
    </row>
    <row r="111" spans="12:34" ht="14.5">
      <c r="L111" s="1201"/>
      <c r="M111" s="1202"/>
      <c r="N111" s="1203"/>
      <c r="O111" s="1226"/>
      <c r="P111" s="1226"/>
      <c r="Q111" s="1205"/>
      <c r="R111" s="1206"/>
      <c r="S111" s="1207"/>
      <c r="T111" s="1206"/>
      <c r="U111" s="1208"/>
      <c r="V111" s="1207"/>
      <c r="W111" s="1209"/>
      <c r="X111" s="1210"/>
      <c r="Y111" s="1210"/>
      <c r="Z111" s="1202"/>
      <c r="AA111" s="1210"/>
      <c r="AB111" s="1211"/>
      <c r="AD111" s="1240">
        <v>6</v>
      </c>
      <c r="AE111" s="1241" t="s">
        <v>3586</v>
      </c>
      <c r="AF111" s="1242">
        <v>2</v>
      </c>
      <c r="AG111" s="1243" t="s">
        <v>3487</v>
      </c>
      <c r="AH111" s="1244" t="s">
        <v>3506</v>
      </c>
    </row>
    <row r="112" spans="12:34" ht="15" thickBot="1">
      <c r="L112" s="1719" t="s">
        <v>2240</v>
      </c>
      <c r="M112" s="1720"/>
      <c r="N112" s="1053">
        <f>SUM(N100:N110)</f>
        <v>386.61666854700007</v>
      </c>
      <c r="O112" s="1053">
        <f>SUM(O100:O110)</f>
        <v>288.3</v>
      </c>
      <c r="P112" s="1053">
        <f>SUM(P100:P110)</f>
        <v>684.71249999999998</v>
      </c>
      <c r="Q112" s="1041"/>
      <c r="R112" s="1054"/>
      <c r="S112" s="1055"/>
      <c r="T112" s="1054"/>
      <c r="U112" s="1056"/>
      <c r="V112" s="1055"/>
      <c r="W112" s="1057"/>
      <c r="X112" s="1058"/>
      <c r="Y112" s="1058"/>
      <c r="Z112" s="1042"/>
      <c r="AA112" s="1058"/>
      <c r="AB112" s="1095">
        <f>SUM(AB100:AB111)</f>
        <v>39198427.600000001</v>
      </c>
      <c r="AD112" s="1240">
        <v>7</v>
      </c>
      <c r="AE112" s="1241" t="s">
        <v>3574</v>
      </c>
      <c r="AF112" s="1242">
        <v>4</v>
      </c>
      <c r="AG112" s="1243" t="s">
        <v>3487</v>
      </c>
      <c r="AH112" s="1244" t="s">
        <v>3536</v>
      </c>
    </row>
    <row r="113" spans="12:34" ht="15" thickTop="1">
      <c r="L113" s="1060">
        <v>5</v>
      </c>
      <c r="M113" s="1061" t="s">
        <v>3292</v>
      </c>
      <c r="N113" s="1062"/>
      <c r="O113" s="1063"/>
      <c r="P113" s="1063"/>
      <c r="Q113" s="1064"/>
      <c r="R113" s="1065"/>
      <c r="S113" s="1066"/>
      <c r="T113" s="1065"/>
      <c r="U113" s="1067"/>
      <c r="V113" s="1066"/>
      <c r="W113" s="1068"/>
      <c r="X113" s="1069"/>
      <c r="Y113" s="1069"/>
      <c r="Z113" s="1061"/>
      <c r="AA113" s="1069"/>
      <c r="AB113" s="1096"/>
      <c r="AD113" s="1240">
        <v>8</v>
      </c>
      <c r="AE113" s="1241" t="s">
        <v>3575</v>
      </c>
      <c r="AF113" s="1242">
        <v>2</v>
      </c>
      <c r="AG113" s="1243" t="s">
        <v>3487</v>
      </c>
      <c r="AH113" s="1244" t="s">
        <v>3536</v>
      </c>
    </row>
    <row r="114" spans="12:34" ht="14.5">
      <c r="L114" s="1288" t="s">
        <v>3293</v>
      </c>
      <c r="M114" s="1356" t="s">
        <v>3294</v>
      </c>
      <c r="N114" s="1357">
        <f t="shared" ref="N114" si="36">1.34102209*O114</f>
        <v>14.751242990000001</v>
      </c>
      <c r="O114" s="1358">
        <v>11</v>
      </c>
      <c r="P114" s="1359">
        <f>O114*1.9*1.25</f>
        <v>26.125</v>
      </c>
      <c r="Q114" s="1313" t="s">
        <v>3209</v>
      </c>
      <c r="R114" s="1360">
        <v>40</v>
      </c>
      <c r="S114" s="1119" t="s">
        <v>3170</v>
      </c>
      <c r="T114" s="1360">
        <v>1</v>
      </c>
      <c r="U114" s="1361" t="s">
        <v>3171</v>
      </c>
      <c r="V114" s="1362" t="s">
        <v>3220</v>
      </c>
      <c r="W114" s="1363" t="s">
        <v>3204</v>
      </c>
      <c r="X114" s="1364">
        <v>56011.9</v>
      </c>
      <c r="Y114" s="1364">
        <f t="shared" ref="Y114:Y163" si="37">X114*R114</f>
        <v>2240476</v>
      </c>
      <c r="Z114" s="1125" t="s">
        <v>3150</v>
      </c>
      <c r="AA114" s="1364">
        <v>54322.1</v>
      </c>
      <c r="AB114" s="1365">
        <f t="shared" ref="AB114:AB163" si="38">AA114*R114</f>
        <v>2172884</v>
      </c>
      <c r="AD114" s="1240">
        <v>9</v>
      </c>
      <c r="AE114" s="1241" t="s">
        <v>3576</v>
      </c>
      <c r="AF114" s="1242">
        <v>2</v>
      </c>
      <c r="AG114" s="1243" t="s">
        <v>3487</v>
      </c>
      <c r="AH114" s="1244" t="s">
        <v>3536</v>
      </c>
    </row>
    <row r="115" spans="12:34" ht="14.5">
      <c r="L115" s="1366"/>
      <c r="M115" s="1195"/>
      <c r="N115" s="1150"/>
      <c r="O115" s="1367"/>
      <c r="P115" s="1367"/>
      <c r="Q115" s="1154"/>
      <c r="R115" s="1197">
        <v>40</v>
      </c>
      <c r="S115" s="1132" t="s">
        <v>3170</v>
      </c>
      <c r="T115" s="1197">
        <v>1</v>
      </c>
      <c r="U115" s="1147" t="s">
        <v>3171</v>
      </c>
      <c r="V115" s="1148" t="s">
        <v>3221</v>
      </c>
      <c r="W115" s="1143" t="s">
        <v>3204</v>
      </c>
      <c r="X115" s="1156">
        <v>42713.3</v>
      </c>
      <c r="Y115" s="1156">
        <f t="shared" si="37"/>
        <v>1708532</v>
      </c>
      <c r="Z115" s="1138" t="s">
        <v>3150</v>
      </c>
      <c r="AA115" s="1156">
        <v>41424.699999999997</v>
      </c>
      <c r="AB115" s="1199">
        <f t="shared" si="38"/>
        <v>1656988</v>
      </c>
      <c r="AD115" s="1240">
        <v>10</v>
      </c>
      <c r="AE115" s="1241" t="s">
        <v>3577</v>
      </c>
      <c r="AF115" s="1242">
        <v>4</v>
      </c>
      <c r="AG115" s="1243" t="s">
        <v>3487</v>
      </c>
      <c r="AH115" s="1244" t="s">
        <v>3546</v>
      </c>
    </row>
    <row r="116" spans="12:34" ht="14.5">
      <c r="L116" s="1194" t="s">
        <v>3295</v>
      </c>
      <c r="M116" s="1195" t="s">
        <v>3296</v>
      </c>
      <c r="N116" s="1196">
        <f t="shared" ref="N116:N134" si="39">1.34102209*O116</f>
        <v>73.75621495</v>
      </c>
      <c r="O116" s="1368">
        <v>55</v>
      </c>
      <c r="P116" s="1141">
        <f t="shared" ref="P116:P134" si="40">O116*1.9*1.25</f>
        <v>130.625</v>
      </c>
      <c r="Q116" s="1154" t="s">
        <v>3264</v>
      </c>
      <c r="R116" s="1197">
        <f>7+6+17+4</f>
        <v>34</v>
      </c>
      <c r="S116" s="1132" t="s">
        <v>3170</v>
      </c>
      <c r="T116" s="1197">
        <v>1</v>
      </c>
      <c r="U116" s="1147" t="s">
        <v>3171</v>
      </c>
      <c r="V116" s="1148" t="s">
        <v>3183</v>
      </c>
      <c r="W116" s="1143" t="s">
        <v>3204</v>
      </c>
      <c r="X116" s="1156">
        <v>288962.8</v>
      </c>
      <c r="Y116" s="1156">
        <f t="shared" si="37"/>
        <v>9824735.1999999993</v>
      </c>
      <c r="Z116" s="1138" t="s">
        <v>3150</v>
      </c>
      <c r="AA116" s="1156">
        <v>280245.2</v>
      </c>
      <c r="AB116" s="1199">
        <f t="shared" si="38"/>
        <v>9528336.8000000007</v>
      </c>
      <c r="AD116" s="1240">
        <v>11</v>
      </c>
      <c r="AE116" s="1241" t="s">
        <v>3562</v>
      </c>
      <c r="AF116" s="1242">
        <v>2</v>
      </c>
      <c r="AG116" s="1243" t="s">
        <v>3487</v>
      </c>
      <c r="AH116" s="1244" t="s">
        <v>3563</v>
      </c>
    </row>
    <row r="117" spans="12:34" ht="14.5">
      <c r="L117" s="1194" t="s">
        <v>3297</v>
      </c>
      <c r="M117" s="1195" t="s">
        <v>3298</v>
      </c>
      <c r="N117" s="1196">
        <f t="shared" si="39"/>
        <v>2.9502485980000004</v>
      </c>
      <c r="O117" s="1154">
        <v>2.2000000000000002</v>
      </c>
      <c r="P117" s="1141">
        <f t="shared" si="40"/>
        <v>5.2249999999999996</v>
      </c>
      <c r="Q117" s="1154" t="s">
        <v>3202</v>
      </c>
      <c r="R117" s="1197">
        <v>30</v>
      </c>
      <c r="S117" s="1132" t="s">
        <v>3170</v>
      </c>
      <c r="T117" s="1197">
        <v>1</v>
      </c>
      <c r="U117" s="1147" t="s">
        <v>3171</v>
      </c>
      <c r="V117" s="1148" t="s">
        <v>3203</v>
      </c>
      <c r="W117" s="1143" t="s">
        <v>3204</v>
      </c>
      <c r="X117" s="1156">
        <v>25695.599999999999</v>
      </c>
      <c r="Y117" s="1156">
        <f t="shared" si="37"/>
        <v>770868</v>
      </c>
      <c r="Z117" s="1138" t="s">
        <v>3150</v>
      </c>
      <c r="AA117" s="1156">
        <v>24920.399999999998</v>
      </c>
      <c r="AB117" s="1199">
        <f t="shared" si="38"/>
        <v>747611.99999999988</v>
      </c>
      <c r="AD117" s="1240">
        <v>12</v>
      </c>
      <c r="AE117" s="1241" t="s">
        <v>3578</v>
      </c>
      <c r="AF117" s="1242">
        <v>1</v>
      </c>
      <c r="AG117" s="1243" t="s">
        <v>2872</v>
      </c>
      <c r="AH117" s="1244" t="s">
        <v>3500</v>
      </c>
    </row>
    <row r="118" spans="12:34" ht="14.5">
      <c r="L118" s="1194" t="s">
        <v>3299</v>
      </c>
      <c r="M118" s="1195" t="s">
        <v>3300</v>
      </c>
      <c r="N118" s="1196">
        <f t="shared" si="39"/>
        <v>7.3756214950000007</v>
      </c>
      <c r="O118" s="1154">
        <v>5.5</v>
      </c>
      <c r="P118" s="1141">
        <f t="shared" si="40"/>
        <v>13.0625</v>
      </c>
      <c r="Q118" s="1154" t="s">
        <v>3202</v>
      </c>
      <c r="R118" s="1197">
        <v>25</v>
      </c>
      <c r="S118" s="1132" t="s">
        <v>3170</v>
      </c>
      <c r="T118" s="1197">
        <v>1</v>
      </c>
      <c r="U118" s="1147" t="s">
        <v>3171</v>
      </c>
      <c r="V118" s="1148" t="s">
        <v>3203</v>
      </c>
      <c r="W118" s="1143" t="s">
        <v>3204</v>
      </c>
      <c r="X118" s="1156">
        <v>25695.599999999999</v>
      </c>
      <c r="Y118" s="1156">
        <f t="shared" si="37"/>
        <v>642390</v>
      </c>
      <c r="Z118" s="1138" t="s">
        <v>3150</v>
      </c>
      <c r="AA118" s="1156">
        <v>24920.399999999998</v>
      </c>
      <c r="AB118" s="1199">
        <f t="shared" si="38"/>
        <v>623010</v>
      </c>
      <c r="AD118" s="1240"/>
      <c r="AE118" s="1241" t="s">
        <v>3587</v>
      </c>
      <c r="AF118" s="1242">
        <v>4</v>
      </c>
      <c r="AG118" s="1243" t="s">
        <v>3487</v>
      </c>
      <c r="AH118" s="1244" t="s">
        <v>3508</v>
      </c>
    </row>
    <row r="119" spans="12:34" ht="15" thickBot="1">
      <c r="L119" s="1194" t="s">
        <v>3301</v>
      </c>
      <c r="M119" s="1195" t="s">
        <v>3302</v>
      </c>
      <c r="N119" s="1196">
        <f t="shared" si="39"/>
        <v>2.9502485980000004</v>
      </c>
      <c r="O119" s="1154">
        <v>2.2000000000000002</v>
      </c>
      <c r="P119" s="1141">
        <f t="shared" si="40"/>
        <v>5.2249999999999996</v>
      </c>
      <c r="Q119" s="1154" t="s">
        <v>3202</v>
      </c>
      <c r="R119" s="1197">
        <v>25</v>
      </c>
      <c r="S119" s="1132" t="s">
        <v>3170</v>
      </c>
      <c r="T119" s="1197">
        <v>1</v>
      </c>
      <c r="U119" s="1147" t="s">
        <v>3171</v>
      </c>
      <c r="V119" s="1148" t="s">
        <v>3203</v>
      </c>
      <c r="W119" s="1143" t="s">
        <v>3204</v>
      </c>
      <c r="X119" s="1156">
        <v>25695.599999999999</v>
      </c>
      <c r="Y119" s="1156">
        <f t="shared" si="37"/>
        <v>642390</v>
      </c>
      <c r="Z119" s="1138" t="s">
        <v>3150</v>
      </c>
      <c r="AA119" s="1156">
        <v>24920.399999999998</v>
      </c>
      <c r="AB119" s="1199">
        <f t="shared" si="38"/>
        <v>623010</v>
      </c>
      <c r="AD119" s="1285"/>
      <c r="AE119" s="1255" t="s">
        <v>2240</v>
      </c>
      <c r="AF119" s="1256">
        <v>1</v>
      </c>
      <c r="AG119" s="1286" t="s">
        <v>3499</v>
      </c>
      <c r="AH119" s="1255"/>
    </row>
    <row r="120" spans="12:34" ht="15" thickTop="1">
      <c r="L120" s="1194" t="s">
        <v>3303</v>
      </c>
      <c r="M120" s="1195" t="s">
        <v>3304</v>
      </c>
      <c r="N120" s="1196">
        <f t="shared" si="39"/>
        <v>73.75621495</v>
      </c>
      <c r="O120" s="1368">
        <v>55</v>
      </c>
      <c r="P120" s="1141">
        <f t="shared" si="40"/>
        <v>130.625</v>
      </c>
      <c r="Q120" s="1154" t="s">
        <v>3264</v>
      </c>
      <c r="R120" s="1197">
        <v>32</v>
      </c>
      <c r="S120" s="1132" t="s">
        <v>3170</v>
      </c>
      <c r="T120" s="1197">
        <v>1</v>
      </c>
      <c r="U120" s="1147" t="s">
        <v>3171</v>
      </c>
      <c r="V120" s="1148" t="s">
        <v>3183</v>
      </c>
      <c r="W120" s="1143" t="s">
        <v>3204</v>
      </c>
      <c r="X120" s="1156">
        <v>288962.8</v>
      </c>
      <c r="Y120" s="1156">
        <f t="shared" si="37"/>
        <v>9246809.5999999996</v>
      </c>
      <c r="Z120" s="1138" t="s">
        <v>3150</v>
      </c>
      <c r="AA120" s="1156">
        <v>280245.2</v>
      </c>
      <c r="AB120" s="1199">
        <f t="shared" si="38"/>
        <v>8967846.4000000004</v>
      </c>
      <c r="AD120" s="1257"/>
      <c r="AE120" s="1258"/>
      <c r="AF120" s="1259"/>
      <c r="AG120" s="1257"/>
      <c r="AH120" s="1257"/>
    </row>
    <row r="121" spans="12:34" ht="15" thickBot="1">
      <c r="L121" s="1194" t="s">
        <v>3305</v>
      </c>
      <c r="M121" s="1195" t="s">
        <v>3306</v>
      </c>
      <c r="N121" s="1196">
        <f t="shared" si="39"/>
        <v>2.9502485980000004</v>
      </c>
      <c r="O121" s="1154">
        <v>2.2000000000000002</v>
      </c>
      <c r="P121" s="1141">
        <f t="shared" si="40"/>
        <v>5.2249999999999996</v>
      </c>
      <c r="Q121" s="1154" t="s">
        <v>3202</v>
      </c>
      <c r="R121" s="1197">
        <v>30</v>
      </c>
      <c r="S121" s="1132" t="s">
        <v>3170</v>
      </c>
      <c r="T121" s="1197">
        <v>1</v>
      </c>
      <c r="U121" s="1147" t="s">
        <v>3171</v>
      </c>
      <c r="V121" s="1148" t="s">
        <v>3203</v>
      </c>
      <c r="W121" s="1143" t="s">
        <v>3204</v>
      </c>
      <c r="X121" s="1156">
        <v>25695.599999999999</v>
      </c>
      <c r="Y121" s="1156">
        <f t="shared" si="37"/>
        <v>770868</v>
      </c>
      <c r="Z121" s="1138" t="s">
        <v>3150</v>
      </c>
      <c r="AA121" s="1156">
        <v>24920.399999999998</v>
      </c>
      <c r="AB121" s="1199">
        <f t="shared" si="38"/>
        <v>747611.99999999988</v>
      </c>
      <c r="AD121" s="1260">
        <v>3</v>
      </c>
      <c r="AE121" s="1261" t="s">
        <v>3588</v>
      </c>
      <c r="AF121" s="1262"/>
      <c r="AG121" s="1263"/>
      <c r="AH121" s="1263"/>
    </row>
    <row r="122" spans="12:34" ht="15.5" thickTop="1" thickBot="1">
      <c r="L122" s="1194" t="s">
        <v>3307</v>
      </c>
      <c r="M122" s="1195" t="s">
        <v>3308</v>
      </c>
      <c r="N122" s="1196">
        <f t="shared" si="39"/>
        <v>5.3640883600000002</v>
      </c>
      <c r="O122" s="1154">
        <v>4</v>
      </c>
      <c r="P122" s="1141">
        <f t="shared" si="40"/>
        <v>9.5</v>
      </c>
      <c r="Q122" s="1154" t="s">
        <v>3202</v>
      </c>
      <c r="R122" s="1197">
        <v>28</v>
      </c>
      <c r="S122" s="1132" t="s">
        <v>3170</v>
      </c>
      <c r="T122" s="1197">
        <v>1</v>
      </c>
      <c r="U122" s="1147" t="s">
        <v>3171</v>
      </c>
      <c r="V122" s="1148" t="s">
        <v>3203</v>
      </c>
      <c r="W122" s="1143" t="s">
        <v>3204</v>
      </c>
      <c r="X122" s="1156">
        <v>25695.599999999999</v>
      </c>
      <c r="Y122" s="1156">
        <f t="shared" si="37"/>
        <v>719476.79999999993</v>
      </c>
      <c r="Z122" s="1138" t="s">
        <v>3150</v>
      </c>
      <c r="AA122" s="1156">
        <v>24920.399999999998</v>
      </c>
      <c r="AB122" s="1199">
        <f t="shared" si="38"/>
        <v>697771.2</v>
      </c>
      <c r="AD122" s="1231" t="s">
        <v>2</v>
      </c>
      <c r="AE122" s="1231" t="s">
        <v>3161</v>
      </c>
      <c r="AF122" s="1623" t="s">
        <v>3496</v>
      </c>
      <c r="AG122" s="1624"/>
      <c r="AH122" s="1231" t="s">
        <v>3497</v>
      </c>
    </row>
    <row r="123" spans="12:34" ht="15" thickTop="1">
      <c r="L123" s="1194" t="s">
        <v>3309</v>
      </c>
      <c r="M123" s="1195" t="s">
        <v>3310</v>
      </c>
      <c r="N123" s="1196">
        <f t="shared" si="39"/>
        <v>7.3756214950000007</v>
      </c>
      <c r="O123" s="1154">
        <v>5.5</v>
      </c>
      <c r="P123" s="1141">
        <f t="shared" si="40"/>
        <v>13.0625</v>
      </c>
      <c r="Q123" s="1154" t="s">
        <v>3202</v>
      </c>
      <c r="R123" s="1197">
        <v>22</v>
      </c>
      <c r="S123" s="1132" t="s">
        <v>3170</v>
      </c>
      <c r="T123" s="1197">
        <v>1</v>
      </c>
      <c r="U123" s="1147" t="s">
        <v>3171</v>
      </c>
      <c r="V123" s="1148" t="s">
        <v>3203</v>
      </c>
      <c r="W123" s="1143" t="s">
        <v>3204</v>
      </c>
      <c r="X123" s="1156">
        <v>25695.599999999999</v>
      </c>
      <c r="Y123" s="1156">
        <f t="shared" si="37"/>
        <v>565303.19999999995</v>
      </c>
      <c r="Z123" s="1138" t="s">
        <v>3150</v>
      </c>
      <c r="AA123" s="1156">
        <v>24920.399999999998</v>
      </c>
      <c r="AB123" s="1199">
        <f t="shared" si="38"/>
        <v>548248.79999999993</v>
      </c>
      <c r="AD123" s="1232">
        <v>1</v>
      </c>
      <c r="AE123" s="1284" t="s">
        <v>3589</v>
      </c>
      <c r="AF123" s="1233">
        <v>1</v>
      </c>
      <c r="AG123" s="1234" t="s">
        <v>3499</v>
      </c>
      <c r="AH123" s="1235" t="s">
        <v>3500</v>
      </c>
    </row>
    <row r="124" spans="12:34" ht="14.5">
      <c r="L124" s="1194" t="s">
        <v>3311</v>
      </c>
      <c r="M124" s="1195" t="s">
        <v>3312</v>
      </c>
      <c r="N124" s="1196">
        <f t="shared" si="39"/>
        <v>7.3756214950000007</v>
      </c>
      <c r="O124" s="1154">
        <v>5.5</v>
      </c>
      <c r="P124" s="1141">
        <f t="shared" si="40"/>
        <v>13.0625</v>
      </c>
      <c r="Q124" s="1154" t="s">
        <v>3202</v>
      </c>
      <c r="R124" s="1197">
        <v>22</v>
      </c>
      <c r="S124" s="1132" t="s">
        <v>3170</v>
      </c>
      <c r="T124" s="1197">
        <v>1</v>
      </c>
      <c r="U124" s="1147" t="s">
        <v>3171</v>
      </c>
      <c r="V124" s="1148" t="s">
        <v>3203</v>
      </c>
      <c r="W124" s="1143" t="s">
        <v>3204</v>
      </c>
      <c r="X124" s="1156">
        <v>25695.599999999999</v>
      </c>
      <c r="Y124" s="1156">
        <f t="shared" si="37"/>
        <v>565303.19999999995</v>
      </c>
      <c r="Z124" s="1138" t="s">
        <v>3150</v>
      </c>
      <c r="AA124" s="1156">
        <v>24920.399999999998</v>
      </c>
      <c r="AB124" s="1199">
        <f t="shared" si="38"/>
        <v>548248.79999999993</v>
      </c>
      <c r="AD124" s="1236">
        <v>2</v>
      </c>
      <c r="AE124" s="1237" t="s">
        <v>3501</v>
      </c>
      <c r="AF124" s="1233">
        <v>1</v>
      </c>
      <c r="AG124" s="1238" t="s">
        <v>2839</v>
      </c>
      <c r="AH124" s="1239" t="s">
        <v>3502</v>
      </c>
    </row>
    <row r="125" spans="12:34" ht="14.5">
      <c r="L125" s="1194" t="s">
        <v>3313</v>
      </c>
      <c r="M125" s="1195" t="s">
        <v>3314</v>
      </c>
      <c r="N125" s="1196">
        <f t="shared" si="39"/>
        <v>2.9502485980000004</v>
      </c>
      <c r="O125" s="1154">
        <v>2.2000000000000002</v>
      </c>
      <c r="P125" s="1141">
        <f t="shared" si="40"/>
        <v>5.2249999999999996</v>
      </c>
      <c r="Q125" s="1154" t="s">
        <v>3202</v>
      </c>
      <c r="R125" s="1197">
        <v>22</v>
      </c>
      <c r="S125" s="1132" t="s">
        <v>3170</v>
      </c>
      <c r="T125" s="1197">
        <v>1</v>
      </c>
      <c r="U125" s="1147" t="s">
        <v>3171</v>
      </c>
      <c r="V125" s="1148" t="s">
        <v>3203</v>
      </c>
      <c r="W125" s="1143" t="s">
        <v>3204</v>
      </c>
      <c r="X125" s="1156">
        <v>25695.599999999999</v>
      </c>
      <c r="Y125" s="1156">
        <f t="shared" si="37"/>
        <v>565303.19999999995</v>
      </c>
      <c r="Z125" s="1138" t="s">
        <v>3150</v>
      </c>
      <c r="AA125" s="1156">
        <v>24920.399999999998</v>
      </c>
      <c r="AB125" s="1199">
        <f t="shared" si="38"/>
        <v>548248.79999999993</v>
      </c>
      <c r="AD125" s="1236"/>
      <c r="AE125" s="1237"/>
      <c r="AF125" s="1233"/>
      <c r="AG125" s="1238"/>
      <c r="AH125" s="1239"/>
    </row>
    <row r="126" spans="12:34" ht="14.5">
      <c r="L126" s="1194" t="s">
        <v>3315</v>
      </c>
      <c r="M126" s="1195" t="s">
        <v>3316</v>
      </c>
      <c r="N126" s="1196">
        <f t="shared" si="39"/>
        <v>7.3756214950000007</v>
      </c>
      <c r="O126" s="1154">
        <v>5.5</v>
      </c>
      <c r="P126" s="1141">
        <f t="shared" si="40"/>
        <v>13.0625</v>
      </c>
      <c r="Q126" s="1154" t="s">
        <v>3202</v>
      </c>
      <c r="R126" s="1197">
        <v>36</v>
      </c>
      <c r="S126" s="1132" t="s">
        <v>3170</v>
      </c>
      <c r="T126" s="1197">
        <v>1</v>
      </c>
      <c r="U126" s="1147" t="s">
        <v>3171</v>
      </c>
      <c r="V126" s="1148" t="s">
        <v>3203</v>
      </c>
      <c r="W126" s="1143" t="s">
        <v>3204</v>
      </c>
      <c r="X126" s="1156">
        <v>25695.599999999999</v>
      </c>
      <c r="Y126" s="1156">
        <f t="shared" si="37"/>
        <v>925041.6</v>
      </c>
      <c r="Z126" s="1138" t="s">
        <v>3150</v>
      </c>
      <c r="AA126" s="1156">
        <v>24920.399999999998</v>
      </c>
      <c r="AB126" s="1199">
        <f t="shared" si="38"/>
        <v>897134.39999999991</v>
      </c>
      <c r="AD126" s="1240"/>
      <c r="AE126" s="1241" t="s">
        <v>3551</v>
      </c>
      <c r="AF126" s="1242"/>
      <c r="AG126" s="1243"/>
      <c r="AH126" s="1244"/>
    </row>
    <row r="127" spans="12:34" ht="14.5">
      <c r="L127" s="1194" t="s">
        <v>3317</v>
      </c>
      <c r="M127" s="1195" t="s">
        <v>3318</v>
      </c>
      <c r="N127" s="1196">
        <f t="shared" si="39"/>
        <v>2.9502485980000004</v>
      </c>
      <c r="O127" s="1154">
        <v>2.2000000000000002</v>
      </c>
      <c r="P127" s="1141">
        <f t="shared" si="40"/>
        <v>5.2249999999999996</v>
      </c>
      <c r="Q127" s="1154" t="s">
        <v>3202</v>
      </c>
      <c r="R127" s="1197">
        <v>36</v>
      </c>
      <c r="S127" s="1132" t="s">
        <v>3170</v>
      </c>
      <c r="T127" s="1197">
        <v>1</v>
      </c>
      <c r="U127" s="1147" t="s">
        <v>3171</v>
      </c>
      <c r="V127" s="1148" t="s">
        <v>3203</v>
      </c>
      <c r="W127" s="1143" t="s">
        <v>3204</v>
      </c>
      <c r="X127" s="1156">
        <v>25695.599999999999</v>
      </c>
      <c r="Y127" s="1156">
        <f t="shared" si="37"/>
        <v>925041.6</v>
      </c>
      <c r="Z127" s="1138" t="s">
        <v>3150</v>
      </c>
      <c r="AA127" s="1156">
        <v>24920.399999999998</v>
      </c>
      <c r="AB127" s="1199">
        <f t="shared" si="38"/>
        <v>897134.39999999991</v>
      </c>
      <c r="AD127" s="1240">
        <v>1</v>
      </c>
      <c r="AE127" s="1241" t="s">
        <v>3590</v>
      </c>
      <c r="AF127" s="1242">
        <v>1</v>
      </c>
      <c r="AG127" s="1243" t="s">
        <v>3505</v>
      </c>
      <c r="AH127" s="1244" t="s">
        <v>3506</v>
      </c>
    </row>
    <row r="128" spans="12:34" ht="14.5">
      <c r="L128" s="1194" t="s">
        <v>3319</v>
      </c>
      <c r="M128" s="1195" t="s">
        <v>3320</v>
      </c>
      <c r="N128" s="1196">
        <f t="shared" si="39"/>
        <v>29.502485980000003</v>
      </c>
      <c r="O128" s="1154">
        <v>22</v>
      </c>
      <c r="P128" s="1141">
        <f t="shared" si="40"/>
        <v>52.25</v>
      </c>
      <c r="Q128" s="1154" t="s">
        <v>3264</v>
      </c>
      <c r="R128" s="1197">
        <f>7+17+4</f>
        <v>28</v>
      </c>
      <c r="S128" s="1132" t="s">
        <v>3170</v>
      </c>
      <c r="T128" s="1197">
        <v>1</v>
      </c>
      <c r="U128" s="1147" t="s">
        <v>3171</v>
      </c>
      <c r="V128" s="1148" t="s">
        <v>3181</v>
      </c>
      <c r="W128" s="1143" t="s">
        <v>3204</v>
      </c>
      <c r="X128" s="1156">
        <v>89371.1</v>
      </c>
      <c r="Y128" s="1156">
        <f t="shared" si="37"/>
        <v>2502390.8000000003</v>
      </c>
      <c r="Z128" s="1138" t="s">
        <v>3150</v>
      </c>
      <c r="AA128" s="1156">
        <v>86674.9</v>
      </c>
      <c r="AB128" s="1199">
        <f t="shared" si="38"/>
        <v>2426897.1999999997</v>
      </c>
      <c r="AD128" s="1240">
        <v>2</v>
      </c>
      <c r="AE128" s="1241" t="s">
        <v>3533</v>
      </c>
      <c r="AF128" s="1242">
        <v>3</v>
      </c>
      <c r="AG128" s="1243" t="s">
        <v>3487</v>
      </c>
      <c r="AH128" s="1244" t="s">
        <v>3553</v>
      </c>
    </row>
    <row r="129" spans="12:34" ht="14.5">
      <c r="L129" s="1194" t="s">
        <v>3321</v>
      </c>
      <c r="M129" s="1195" t="s">
        <v>3322</v>
      </c>
      <c r="N129" s="1196">
        <f t="shared" si="39"/>
        <v>29.502485980000003</v>
      </c>
      <c r="O129" s="1154">
        <v>22</v>
      </c>
      <c r="P129" s="1141">
        <f t="shared" si="40"/>
        <v>52.25</v>
      </c>
      <c r="Q129" s="1154" t="s">
        <v>3264</v>
      </c>
      <c r="R129" s="1197">
        <f>7+17+4+3</f>
        <v>31</v>
      </c>
      <c r="S129" s="1132" t="s">
        <v>3170</v>
      </c>
      <c r="T129" s="1197">
        <v>1</v>
      </c>
      <c r="U129" s="1147" t="s">
        <v>3171</v>
      </c>
      <c r="V129" s="1148" t="s">
        <v>3181</v>
      </c>
      <c r="W129" s="1143" t="s">
        <v>3204</v>
      </c>
      <c r="X129" s="1156">
        <v>89371.1</v>
      </c>
      <c r="Y129" s="1156">
        <f t="shared" si="37"/>
        <v>2770504.1</v>
      </c>
      <c r="Z129" s="1138" t="s">
        <v>3150</v>
      </c>
      <c r="AA129" s="1156">
        <v>86674.9</v>
      </c>
      <c r="AB129" s="1199">
        <f t="shared" si="38"/>
        <v>2686921.9</v>
      </c>
      <c r="AD129" s="1240">
        <v>3</v>
      </c>
      <c r="AE129" s="1241" t="s">
        <v>3511</v>
      </c>
      <c r="AF129" s="1242">
        <v>1</v>
      </c>
      <c r="AG129" s="1243" t="s">
        <v>3505</v>
      </c>
      <c r="AH129" s="1244" t="s">
        <v>3508</v>
      </c>
    </row>
    <row r="130" spans="12:34" ht="14.5">
      <c r="L130" s="1194" t="s">
        <v>3323</v>
      </c>
      <c r="M130" s="1195" t="s">
        <v>3324</v>
      </c>
      <c r="N130" s="1196">
        <f t="shared" si="39"/>
        <v>2.9502485980000004</v>
      </c>
      <c r="O130" s="1154">
        <v>2.2000000000000002</v>
      </c>
      <c r="P130" s="1141">
        <f t="shared" si="40"/>
        <v>5.2249999999999996</v>
      </c>
      <c r="Q130" s="1154" t="s">
        <v>3202</v>
      </c>
      <c r="R130" s="1197">
        <f>R128-4</f>
        <v>24</v>
      </c>
      <c r="S130" s="1132" t="s">
        <v>3170</v>
      </c>
      <c r="T130" s="1197">
        <v>1</v>
      </c>
      <c r="U130" s="1147" t="s">
        <v>3171</v>
      </c>
      <c r="V130" s="1148" t="s">
        <v>3203</v>
      </c>
      <c r="W130" s="1143" t="s">
        <v>3204</v>
      </c>
      <c r="X130" s="1156">
        <v>25695.599999999999</v>
      </c>
      <c r="Y130" s="1156">
        <f t="shared" si="37"/>
        <v>616694.39999999991</v>
      </c>
      <c r="Z130" s="1138" t="s">
        <v>3150</v>
      </c>
      <c r="AA130" s="1156">
        <v>24920.399999999998</v>
      </c>
      <c r="AB130" s="1199">
        <f t="shared" si="38"/>
        <v>598089.6</v>
      </c>
      <c r="AD130" s="1240">
        <v>4</v>
      </c>
      <c r="AE130" s="1241" t="s">
        <v>3555</v>
      </c>
      <c r="AF130" s="1242">
        <v>1</v>
      </c>
      <c r="AG130" s="1243" t="s">
        <v>3505</v>
      </c>
      <c r="AH130" s="1244" t="s">
        <v>3508</v>
      </c>
    </row>
    <row r="131" spans="12:34" ht="14.5">
      <c r="L131" s="1194" t="s">
        <v>3325</v>
      </c>
      <c r="M131" s="1195" t="s">
        <v>3326</v>
      </c>
      <c r="N131" s="1196">
        <f t="shared" si="39"/>
        <v>2.9502485980000004</v>
      </c>
      <c r="O131" s="1154">
        <v>2.2000000000000002</v>
      </c>
      <c r="P131" s="1141">
        <f t="shared" si="40"/>
        <v>5.2249999999999996</v>
      </c>
      <c r="Q131" s="1154" t="s">
        <v>3202</v>
      </c>
      <c r="R131" s="1197">
        <f>R129-4</f>
        <v>27</v>
      </c>
      <c r="S131" s="1132" t="s">
        <v>3170</v>
      </c>
      <c r="T131" s="1197">
        <v>1</v>
      </c>
      <c r="U131" s="1147" t="s">
        <v>3171</v>
      </c>
      <c r="V131" s="1148" t="s">
        <v>3203</v>
      </c>
      <c r="W131" s="1143" t="s">
        <v>3204</v>
      </c>
      <c r="X131" s="1156">
        <v>25695.599999999999</v>
      </c>
      <c r="Y131" s="1156">
        <f t="shared" si="37"/>
        <v>693781.2</v>
      </c>
      <c r="Z131" s="1138" t="s">
        <v>3150</v>
      </c>
      <c r="AA131" s="1156">
        <v>24920.399999999998</v>
      </c>
      <c r="AB131" s="1199">
        <f t="shared" si="38"/>
        <v>672850.79999999993</v>
      </c>
      <c r="AD131" s="1240">
        <v>5</v>
      </c>
      <c r="AE131" s="1241" t="s">
        <v>3556</v>
      </c>
      <c r="AF131" s="1242">
        <v>1</v>
      </c>
      <c r="AG131" s="1243" t="s">
        <v>3505</v>
      </c>
      <c r="AH131" s="1244" t="s">
        <v>3508</v>
      </c>
    </row>
    <row r="132" spans="12:34" ht="14.5">
      <c r="L132" s="1194" t="s">
        <v>3327</v>
      </c>
      <c r="M132" s="1195" t="s">
        <v>3328</v>
      </c>
      <c r="N132" s="1196">
        <f t="shared" si="39"/>
        <v>2.9502485980000004</v>
      </c>
      <c r="O132" s="1154">
        <v>2.2000000000000002</v>
      </c>
      <c r="P132" s="1141">
        <f t="shared" si="40"/>
        <v>5.2249999999999996</v>
      </c>
      <c r="Q132" s="1154" t="s">
        <v>3202</v>
      </c>
      <c r="R132" s="1197">
        <f>7+15+4</f>
        <v>26</v>
      </c>
      <c r="S132" s="1132" t="s">
        <v>3170</v>
      </c>
      <c r="T132" s="1197">
        <v>1</v>
      </c>
      <c r="U132" s="1147" t="s">
        <v>3171</v>
      </c>
      <c r="V132" s="1148" t="s">
        <v>3203</v>
      </c>
      <c r="W132" s="1143" t="s">
        <v>3204</v>
      </c>
      <c r="X132" s="1156">
        <v>25695.599999999999</v>
      </c>
      <c r="Y132" s="1156">
        <f t="shared" si="37"/>
        <v>668085.6</v>
      </c>
      <c r="Z132" s="1138" t="s">
        <v>3150</v>
      </c>
      <c r="AA132" s="1156">
        <v>24920.399999999998</v>
      </c>
      <c r="AB132" s="1199">
        <f t="shared" si="38"/>
        <v>647930.39999999991</v>
      </c>
      <c r="AD132" s="1240">
        <v>6</v>
      </c>
      <c r="AE132" s="1241" t="s">
        <v>3557</v>
      </c>
      <c r="AF132" s="1242">
        <v>1</v>
      </c>
      <c r="AG132" s="1243" t="s">
        <v>3505</v>
      </c>
      <c r="AH132" s="1244" t="s">
        <v>3508</v>
      </c>
    </row>
    <row r="133" spans="12:34" ht="14.5">
      <c r="L133" s="1194" t="s">
        <v>3329</v>
      </c>
      <c r="M133" s="1195" t="s">
        <v>3330</v>
      </c>
      <c r="N133" s="1196">
        <f t="shared" si="39"/>
        <v>2.9502485980000004</v>
      </c>
      <c r="O133" s="1154">
        <v>2.2000000000000002</v>
      </c>
      <c r="P133" s="1141">
        <f t="shared" si="40"/>
        <v>5.2249999999999996</v>
      </c>
      <c r="Q133" s="1154" t="s">
        <v>3202</v>
      </c>
      <c r="R133" s="1197">
        <f>7+15+4+3</f>
        <v>29</v>
      </c>
      <c r="S133" s="1132" t="s">
        <v>3170</v>
      </c>
      <c r="T133" s="1197">
        <v>1</v>
      </c>
      <c r="U133" s="1147" t="s">
        <v>3171</v>
      </c>
      <c r="V133" s="1148" t="s">
        <v>3203</v>
      </c>
      <c r="W133" s="1143" t="s">
        <v>3204</v>
      </c>
      <c r="X133" s="1156">
        <v>25695.599999999999</v>
      </c>
      <c r="Y133" s="1156">
        <f t="shared" si="37"/>
        <v>745172.39999999991</v>
      </c>
      <c r="Z133" s="1138" t="s">
        <v>3150</v>
      </c>
      <c r="AA133" s="1156">
        <v>24920.399999999998</v>
      </c>
      <c r="AB133" s="1199">
        <f t="shared" si="38"/>
        <v>722691.6</v>
      </c>
      <c r="AD133" s="1240">
        <v>7</v>
      </c>
      <c r="AE133" s="1241" t="s">
        <v>3512</v>
      </c>
      <c r="AF133" s="1242">
        <v>3</v>
      </c>
      <c r="AG133" s="1243" t="s">
        <v>3487</v>
      </c>
      <c r="AH133" s="1244" t="s">
        <v>3508</v>
      </c>
    </row>
    <row r="134" spans="12:34" ht="14.5">
      <c r="L134" s="1194" t="s">
        <v>3331</v>
      </c>
      <c r="M134" s="1195" t="s">
        <v>3332</v>
      </c>
      <c r="N134" s="1196">
        <f t="shared" si="39"/>
        <v>20.115331350000002</v>
      </c>
      <c r="O134" s="1154">
        <v>15</v>
      </c>
      <c r="P134" s="1141">
        <f t="shared" si="40"/>
        <v>35.625</v>
      </c>
      <c r="Q134" s="1154" t="s">
        <v>3209</v>
      </c>
      <c r="R134" s="1197">
        <v>19</v>
      </c>
      <c r="S134" s="1132" t="s">
        <v>3170</v>
      </c>
      <c r="T134" s="1197">
        <v>1</v>
      </c>
      <c r="U134" s="1147" t="s">
        <v>3171</v>
      </c>
      <c r="V134" s="1148" t="s">
        <v>3220</v>
      </c>
      <c r="W134" s="1143" t="s">
        <v>3204</v>
      </c>
      <c r="X134" s="1156">
        <v>56011.9</v>
      </c>
      <c r="Y134" s="1156">
        <f t="shared" si="37"/>
        <v>1064226.1000000001</v>
      </c>
      <c r="Z134" s="1138" t="s">
        <v>3150</v>
      </c>
      <c r="AA134" s="1156">
        <v>54322.1</v>
      </c>
      <c r="AB134" s="1199">
        <f t="shared" si="38"/>
        <v>1032119.9</v>
      </c>
      <c r="AD134" s="1240">
        <v>8</v>
      </c>
      <c r="AE134" s="1241" t="s">
        <v>3591</v>
      </c>
      <c r="AF134" s="1242">
        <v>1</v>
      </c>
      <c r="AG134" s="1243" t="s">
        <v>3505</v>
      </c>
      <c r="AH134" s="1244" t="s">
        <v>3508</v>
      </c>
    </row>
    <row r="135" spans="12:34" ht="14.5">
      <c r="L135" s="1200"/>
      <c r="M135" s="1195"/>
      <c r="N135" s="1150"/>
      <c r="O135" s="1154"/>
      <c r="P135" s="1154"/>
      <c r="Q135" s="1154"/>
      <c r="R135" s="1197">
        <v>19</v>
      </c>
      <c r="S135" s="1132" t="s">
        <v>3170</v>
      </c>
      <c r="T135" s="1197">
        <v>1</v>
      </c>
      <c r="U135" s="1147" t="s">
        <v>3171</v>
      </c>
      <c r="V135" s="1148" t="s">
        <v>3221</v>
      </c>
      <c r="W135" s="1143" t="s">
        <v>3204</v>
      </c>
      <c r="X135" s="1156">
        <v>42713.3</v>
      </c>
      <c r="Y135" s="1156">
        <f t="shared" si="37"/>
        <v>811552.70000000007</v>
      </c>
      <c r="Z135" s="1138" t="s">
        <v>3150</v>
      </c>
      <c r="AA135" s="1156">
        <v>41424.699999999997</v>
      </c>
      <c r="AB135" s="1199">
        <f t="shared" si="38"/>
        <v>787069.29999999993</v>
      </c>
      <c r="AD135" s="1240">
        <v>9</v>
      </c>
      <c r="AE135" s="1241" t="s">
        <v>3547</v>
      </c>
      <c r="AF135" s="1242">
        <v>4</v>
      </c>
      <c r="AG135" s="1243" t="s">
        <v>3487</v>
      </c>
      <c r="AH135" s="1244" t="s">
        <v>3506</v>
      </c>
    </row>
    <row r="136" spans="12:34" ht="14.5">
      <c r="L136" s="1194" t="s">
        <v>3333</v>
      </c>
      <c r="M136" s="1195" t="s">
        <v>3334</v>
      </c>
      <c r="N136" s="1196">
        <f t="shared" ref="N136" si="41">1.34102209*O136</f>
        <v>20.115331350000002</v>
      </c>
      <c r="O136" s="1154">
        <v>15</v>
      </c>
      <c r="P136" s="1141">
        <f>O136*1.9*1.25</f>
        <v>35.625</v>
      </c>
      <c r="Q136" s="1154" t="s">
        <v>3209</v>
      </c>
      <c r="R136" s="1197">
        <v>20</v>
      </c>
      <c r="S136" s="1132" t="s">
        <v>3170</v>
      </c>
      <c r="T136" s="1197">
        <v>1</v>
      </c>
      <c r="U136" s="1147" t="s">
        <v>3171</v>
      </c>
      <c r="V136" s="1148" t="s">
        <v>3220</v>
      </c>
      <c r="W136" s="1143" t="s">
        <v>3204</v>
      </c>
      <c r="X136" s="1156">
        <v>56011.9</v>
      </c>
      <c r="Y136" s="1156">
        <f t="shared" si="37"/>
        <v>1120238</v>
      </c>
      <c r="Z136" s="1138" t="s">
        <v>3150</v>
      </c>
      <c r="AA136" s="1156">
        <v>54322.1</v>
      </c>
      <c r="AB136" s="1199">
        <f t="shared" si="38"/>
        <v>1086442</v>
      </c>
      <c r="AD136" s="1240">
        <v>10</v>
      </c>
      <c r="AE136" s="1241" t="s">
        <v>3559</v>
      </c>
      <c r="AF136" s="1242">
        <v>2</v>
      </c>
      <c r="AG136" s="1243" t="s">
        <v>3487</v>
      </c>
      <c r="AH136" s="1244" t="s">
        <v>3560</v>
      </c>
    </row>
    <row r="137" spans="12:34" ht="14.5">
      <c r="L137" s="1200"/>
      <c r="M137" s="1195"/>
      <c r="N137" s="1150"/>
      <c r="O137" s="1154"/>
      <c r="P137" s="1154"/>
      <c r="Q137" s="1154"/>
      <c r="R137" s="1197">
        <v>20</v>
      </c>
      <c r="S137" s="1132" t="s">
        <v>3170</v>
      </c>
      <c r="T137" s="1197">
        <v>1</v>
      </c>
      <c r="U137" s="1147" t="s">
        <v>3171</v>
      </c>
      <c r="V137" s="1148" t="s">
        <v>3221</v>
      </c>
      <c r="W137" s="1143" t="s">
        <v>3204</v>
      </c>
      <c r="X137" s="1156">
        <v>42713.3</v>
      </c>
      <c r="Y137" s="1156">
        <f t="shared" si="37"/>
        <v>854266</v>
      </c>
      <c r="Z137" s="1138" t="s">
        <v>3150</v>
      </c>
      <c r="AA137" s="1156">
        <v>41424.699999999997</v>
      </c>
      <c r="AB137" s="1199">
        <f t="shared" si="38"/>
        <v>828494</v>
      </c>
      <c r="AD137" s="1240">
        <v>11</v>
      </c>
      <c r="AE137" s="1241" t="s">
        <v>3561</v>
      </c>
      <c r="AF137" s="1242">
        <v>2</v>
      </c>
      <c r="AG137" s="1243" t="s">
        <v>3487</v>
      </c>
      <c r="AH137" s="1244" t="s">
        <v>3560</v>
      </c>
    </row>
    <row r="138" spans="12:34" ht="14.5">
      <c r="L138" s="1194" t="s">
        <v>3335</v>
      </c>
      <c r="M138" s="1195" t="s">
        <v>3336</v>
      </c>
      <c r="N138" s="1196">
        <f t="shared" ref="N138" si="42">1.34102209*O138</f>
        <v>20.115331350000002</v>
      </c>
      <c r="O138" s="1154">
        <v>15</v>
      </c>
      <c r="P138" s="1141">
        <f>O138*1.9*1.25</f>
        <v>35.625</v>
      </c>
      <c r="Q138" s="1154" t="s">
        <v>3209</v>
      </c>
      <c r="R138" s="1197">
        <v>21</v>
      </c>
      <c r="S138" s="1132" t="s">
        <v>3170</v>
      </c>
      <c r="T138" s="1197">
        <v>1</v>
      </c>
      <c r="U138" s="1147" t="s">
        <v>3171</v>
      </c>
      <c r="V138" s="1148" t="s">
        <v>3220</v>
      </c>
      <c r="W138" s="1143" t="s">
        <v>3204</v>
      </c>
      <c r="X138" s="1156">
        <v>56011.9</v>
      </c>
      <c r="Y138" s="1156">
        <f t="shared" si="37"/>
        <v>1176249.9000000001</v>
      </c>
      <c r="Z138" s="1138" t="s">
        <v>3150</v>
      </c>
      <c r="AA138" s="1156">
        <v>54322.1</v>
      </c>
      <c r="AB138" s="1199">
        <f t="shared" si="38"/>
        <v>1140764.0999999999</v>
      </c>
      <c r="AD138" s="1240">
        <v>12</v>
      </c>
      <c r="AE138" s="1241" t="s">
        <v>3564</v>
      </c>
      <c r="AF138" s="1242">
        <v>1</v>
      </c>
      <c r="AG138" s="1243" t="s">
        <v>2872</v>
      </c>
      <c r="AH138" s="1244" t="s">
        <v>3500</v>
      </c>
    </row>
    <row r="139" spans="12:34" ht="14.5">
      <c r="L139" s="1200"/>
      <c r="M139" s="1195"/>
      <c r="N139" s="1150"/>
      <c r="O139" s="1154"/>
      <c r="P139" s="1154"/>
      <c r="Q139" s="1154"/>
      <c r="R139" s="1197">
        <v>21</v>
      </c>
      <c r="S139" s="1132" t="s">
        <v>3170</v>
      </c>
      <c r="T139" s="1197">
        <v>1</v>
      </c>
      <c r="U139" s="1147" t="s">
        <v>3171</v>
      </c>
      <c r="V139" s="1148" t="s">
        <v>3221</v>
      </c>
      <c r="W139" s="1143" t="s">
        <v>3204</v>
      </c>
      <c r="X139" s="1156">
        <v>42713.3</v>
      </c>
      <c r="Y139" s="1156">
        <f t="shared" si="37"/>
        <v>896979.3</v>
      </c>
      <c r="Z139" s="1138" t="s">
        <v>3150</v>
      </c>
      <c r="AA139" s="1156">
        <v>41424.699999999997</v>
      </c>
      <c r="AB139" s="1199">
        <f t="shared" si="38"/>
        <v>869918.7</v>
      </c>
      <c r="AD139" s="1240"/>
      <c r="AE139" s="1241" t="s">
        <v>3592</v>
      </c>
      <c r="AF139" s="1242">
        <v>4</v>
      </c>
      <c r="AG139" s="1243" t="s">
        <v>3487</v>
      </c>
      <c r="AH139" s="1244" t="s">
        <v>3508</v>
      </c>
    </row>
    <row r="140" spans="12:34" ht="14.5">
      <c r="L140" s="1194" t="s">
        <v>3337</v>
      </c>
      <c r="M140" s="1195" t="s">
        <v>3338</v>
      </c>
      <c r="N140" s="1196">
        <f t="shared" ref="N140:N146" si="43">1.34102209*O140</f>
        <v>4.0230662700000002</v>
      </c>
      <c r="O140" s="1154">
        <v>3</v>
      </c>
      <c r="P140" s="1141">
        <f t="shared" ref="P140:P146" si="44">O140*1.9*1.25</f>
        <v>7.1249999999999991</v>
      </c>
      <c r="Q140" s="1154" t="s">
        <v>3202</v>
      </c>
      <c r="R140" s="1197">
        <v>21</v>
      </c>
      <c r="S140" s="1132" t="s">
        <v>3170</v>
      </c>
      <c r="T140" s="1197">
        <v>1</v>
      </c>
      <c r="U140" s="1147" t="s">
        <v>3171</v>
      </c>
      <c r="V140" s="1148" t="s">
        <v>3203</v>
      </c>
      <c r="W140" s="1143" t="s">
        <v>3204</v>
      </c>
      <c r="X140" s="1156">
        <v>25695.599999999999</v>
      </c>
      <c r="Y140" s="1156">
        <f t="shared" si="37"/>
        <v>539607.6</v>
      </c>
      <c r="Z140" s="1138" t="s">
        <v>3150</v>
      </c>
      <c r="AA140" s="1156">
        <v>24920.399999999998</v>
      </c>
      <c r="AB140" s="1199">
        <f t="shared" si="38"/>
        <v>523328.39999999997</v>
      </c>
      <c r="AD140" s="1240"/>
      <c r="AE140" s="1241"/>
      <c r="AF140" s="1242"/>
      <c r="AG140" s="1243"/>
      <c r="AH140" s="1244"/>
    </row>
    <row r="141" spans="12:34" ht="14.5">
      <c r="L141" s="1194" t="s">
        <v>3339</v>
      </c>
      <c r="M141" s="1195" t="s">
        <v>3340</v>
      </c>
      <c r="N141" s="1196">
        <f t="shared" si="43"/>
        <v>5.3640883600000002</v>
      </c>
      <c r="O141" s="1154">
        <v>4</v>
      </c>
      <c r="P141" s="1141">
        <f t="shared" si="44"/>
        <v>9.5</v>
      </c>
      <c r="Q141" s="1154" t="s">
        <v>3202</v>
      </c>
      <c r="R141" s="1197">
        <v>26</v>
      </c>
      <c r="S141" s="1132" t="s">
        <v>3170</v>
      </c>
      <c r="T141" s="1197">
        <v>1</v>
      </c>
      <c r="U141" s="1147" t="s">
        <v>3171</v>
      </c>
      <c r="V141" s="1148" t="s">
        <v>3203</v>
      </c>
      <c r="W141" s="1143" t="s">
        <v>3204</v>
      </c>
      <c r="X141" s="1156">
        <v>25695.599999999999</v>
      </c>
      <c r="Y141" s="1156">
        <f t="shared" si="37"/>
        <v>668085.6</v>
      </c>
      <c r="Z141" s="1138" t="s">
        <v>3150</v>
      </c>
      <c r="AA141" s="1156">
        <v>24920.399999999998</v>
      </c>
      <c r="AB141" s="1199">
        <f t="shared" si="38"/>
        <v>647930.39999999991</v>
      </c>
      <c r="AD141" s="1240"/>
      <c r="AE141" s="1241" t="s">
        <v>3593</v>
      </c>
      <c r="AF141" s="1242"/>
      <c r="AG141" s="1243"/>
      <c r="AH141" s="1244"/>
    </row>
    <row r="142" spans="12:34" ht="14.5">
      <c r="L142" s="1194" t="s">
        <v>3341</v>
      </c>
      <c r="M142" s="1195" t="s">
        <v>3342</v>
      </c>
      <c r="N142" s="1196">
        <f t="shared" si="43"/>
        <v>7.3756214950000007</v>
      </c>
      <c r="O142" s="1154">
        <v>5.5</v>
      </c>
      <c r="P142" s="1141">
        <f t="shared" si="44"/>
        <v>13.0625</v>
      </c>
      <c r="Q142" s="1154" t="s">
        <v>3202</v>
      </c>
      <c r="R142" s="1197">
        <v>30</v>
      </c>
      <c r="S142" s="1132" t="s">
        <v>3170</v>
      </c>
      <c r="T142" s="1197">
        <v>1</v>
      </c>
      <c r="U142" s="1147" t="s">
        <v>3171</v>
      </c>
      <c r="V142" s="1148" t="s">
        <v>3203</v>
      </c>
      <c r="W142" s="1143" t="s">
        <v>3204</v>
      </c>
      <c r="X142" s="1156">
        <v>25695.599999999999</v>
      </c>
      <c r="Y142" s="1156">
        <f t="shared" si="37"/>
        <v>770868</v>
      </c>
      <c r="Z142" s="1138" t="s">
        <v>3150</v>
      </c>
      <c r="AA142" s="1156">
        <v>24920.399999999998</v>
      </c>
      <c r="AB142" s="1199">
        <f t="shared" si="38"/>
        <v>747611.99999999988</v>
      </c>
      <c r="AD142" s="1240">
        <v>1</v>
      </c>
      <c r="AE142" s="1241" t="s">
        <v>3594</v>
      </c>
      <c r="AF142" s="1242">
        <v>2</v>
      </c>
      <c r="AG142" s="1243" t="s">
        <v>3487</v>
      </c>
      <c r="AH142" s="1244" t="s">
        <v>3506</v>
      </c>
    </row>
    <row r="143" spans="12:34" ht="14.5">
      <c r="L143" s="1194" t="s">
        <v>3343</v>
      </c>
      <c r="M143" s="1195" t="s">
        <v>3344</v>
      </c>
      <c r="N143" s="1196">
        <f t="shared" si="43"/>
        <v>5.3640883600000002</v>
      </c>
      <c r="O143" s="1154">
        <v>4</v>
      </c>
      <c r="P143" s="1141">
        <f t="shared" si="44"/>
        <v>9.5</v>
      </c>
      <c r="Q143" s="1154" t="s">
        <v>3202</v>
      </c>
      <c r="R143" s="1197">
        <v>26</v>
      </c>
      <c r="S143" s="1132" t="s">
        <v>3170</v>
      </c>
      <c r="T143" s="1197">
        <v>1</v>
      </c>
      <c r="U143" s="1147" t="s">
        <v>3171</v>
      </c>
      <c r="V143" s="1148" t="s">
        <v>3203</v>
      </c>
      <c r="W143" s="1143" t="s">
        <v>3204</v>
      </c>
      <c r="X143" s="1156">
        <v>25695.599999999999</v>
      </c>
      <c r="Y143" s="1156">
        <f t="shared" si="37"/>
        <v>668085.6</v>
      </c>
      <c r="Z143" s="1138" t="s">
        <v>3150</v>
      </c>
      <c r="AA143" s="1156">
        <v>24920.399999999998</v>
      </c>
      <c r="AB143" s="1199">
        <f t="shared" si="38"/>
        <v>647930.39999999991</v>
      </c>
      <c r="AD143" s="1240">
        <v>2</v>
      </c>
      <c r="AE143" s="1241" t="s">
        <v>3595</v>
      </c>
      <c r="AF143" s="1242">
        <v>1</v>
      </c>
      <c r="AG143" s="1243" t="s">
        <v>3505</v>
      </c>
      <c r="AH143" s="1244" t="s">
        <v>3506</v>
      </c>
    </row>
    <row r="144" spans="12:34" ht="14.5">
      <c r="L144" s="1194" t="s">
        <v>3345</v>
      </c>
      <c r="M144" s="1195" t="s">
        <v>3016</v>
      </c>
      <c r="N144" s="1196">
        <f t="shared" si="43"/>
        <v>7.3756214950000007</v>
      </c>
      <c r="O144" s="1154">
        <v>5.5</v>
      </c>
      <c r="P144" s="1141">
        <f t="shared" si="44"/>
        <v>13.0625</v>
      </c>
      <c r="Q144" s="1154" t="s">
        <v>3202</v>
      </c>
      <c r="R144" s="1197">
        <v>36</v>
      </c>
      <c r="S144" s="1132" t="s">
        <v>3170</v>
      </c>
      <c r="T144" s="1197">
        <v>1</v>
      </c>
      <c r="U144" s="1147" t="s">
        <v>3171</v>
      </c>
      <c r="V144" s="1148" t="s">
        <v>3203</v>
      </c>
      <c r="W144" s="1143" t="s">
        <v>3204</v>
      </c>
      <c r="X144" s="1156">
        <v>25695.599999999999</v>
      </c>
      <c r="Y144" s="1156">
        <f t="shared" si="37"/>
        <v>925041.6</v>
      </c>
      <c r="Z144" s="1138" t="s">
        <v>3150</v>
      </c>
      <c r="AA144" s="1156">
        <v>24920.399999999998</v>
      </c>
      <c r="AB144" s="1199">
        <f t="shared" si="38"/>
        <v>897134.39999999991</v>
      </c>
      <c r="AD144" s="1240">
        <v>3</v>
      </c>
      <c r="AE144" s="1241" t="s">
        <v>3596</v>
      </c>
      <c r="AF144" s="1242">
        <v>1</v>
      </c>
      <c r="AG144" s="1243" t="s">
        <v>3505</v>
      </c>
      <c r="AH144" s="1244" t="s">
        <v>3508</v>
      </c>
    </row>
    <row r="145" spans="12:34" ht="14.5">
      <c r="L145" s="1194" t="s">
        <v>3346</v>
      </c>
      <c r="M145" s="1195" t="s">
        <v>3018</v>
      </c>
      <c r="N145" s="1196">
        <f t="shared" si="43"/>
        <v>5.3640883600000002</v>
      </c>
      <c r="O145" s="1154">
        <v>4</v>
      </c>
      <c r="P145" s="1141">
        <f t="shared" si="44"/>
        <v>9.5</v>
      </c>
      <c r="Q145" s="1154" t="s">
        <v>3202</v>
      </c>
      <c r="R145" s="1197">
        <v>36</v>
      </c>
      <c r="S145" s="1132" t="s">
        <v>3170</v>
      </c>
      <c r="T145" s="1197">
        <v>1</v>
      </c>
      <c r="U145" s="1147" t="s">
        <v>3171</v>
      </c>
      <c r="V145" s="1148" t="s">
        <v>3203</v>
      </c>
      <c r="W145" s="1143" t="s">
        <v>3204</v>
      </c>
      <c r="X145" s="1156">
        <v>25695.599999999999</v>
      </c>
      <c r="Y145" s="1156">
        <f t="shared" si="37"/>
        <v>925041.6</v>
      </c>
      <c r="Z145" s="1138" t="s">
        <v>3150</v>
      </c>
      <c r="AA145" s="1156">
        <v>24920.399999999998</v>
      </c>
      <c r="AB145" s="1199">
        <f t="shared" si="38"/>
        <v>897134.39999999991</v>
      </c>
      <c r="AD145" s="1240">
        <v>4</v>
      </c>
      <c r="AE145" s="1241" t="s">
        <v>3597</v>
      </c>
      <c r="AF145" s="1242">
        <v>1</v>
      </c>
      <c r="AG145" s="1243" t="s">
        <v>3505</v>
      </c>
      <c r="AH145" s="1244" t="s">
        <v>3508</v>
      </c>
    </row>
    <row r="146" spans="12:34" ht="14.5">
      <c r="L146" s="1194" t="s">
        <v>3347</v>
      </c>
      <c r="M146" s="1195" t="s">
        <v>3348</v>
      </c>
      <c r="N146" s="1196">
        <f t="shared" si="43"/>
        <v>24.808908665000001</v>
      </c>
      <c r="O146" s="1154">
        <v>18.5</v>
      </c>
      <c r="P146" s="1141">
        <f t="shared" si="44"/>
        <v>43.9375</v>
      </c>
      <c r="Q146" s="1154" t="s">
        <v>3209</v>
      </c>
      <c r="R146" s="1197">
        <f>12+16+4</f>
        <v>32</v>
      </c>
      <c r="S146" s="1132" t="s">
        <v>3170</v>
      </c>
      <c r="T146" s="1197">
        <v>1</v>
      </c>
      <c r="U146" s="1147" t="s">
        <v>3171</v>
      </c>
      <c r="V146" s="1148" t="s">
        <v>3181</v>
      </c>
      <c r="W146" s="1143" t="s">
        <v>3204</v>
      </c>
      <c r="X146" s="1156">
        <v>89371.1</v>
      </c>
      <c r="Y146" s="1156">
        <f t="shared" si="37"/>
        <v>2859875.2</v>
      </c>
      <c r="Z146" s="1138" t="s">
        <v>3150</v>
      </c>
      <c r="AA146" s="1156">
        <v>86674.9</v>
      </c>
      <c r="AB146" s="1199">
        <f t="shared" si="38"/>
        <v>2773596.8</v>
      </c>
      <c r="AD146" s="1240">
        <v>5</v>
      </c>
      <c r="AE146" s="1241" t="s">
        <v>3598</v>
      </c>
      <c r="AF146" s="1242">
        <v>1</v>
      </c>
      <c r="AG146" s="1243" t="s">
        <v>3505</v>
      </c>
      <c r="AH146" s="1244" t="s">
        <v>3508</v>
      </c>
    </row>
    <row r="147" spans="12:34" ht="14.5">
      <c r="L147" s="1200"/>
      <c r="M147" s="1195"/>
      <c r="N147" s="1150"/>
      <c r="O147" s="1154"/>
      <c r="P147" s="1154"/>
      <c r="Q147" s="1154"/>
      <c r="R147" s="1197">
        <f>12+16+4</f>
        <v>32</v>
      </c>
      <c r="S147" s="1132" t="s">
        <v>3170</v>
      </c>
      <c r="T147" s="1197">
        <v>1</v>
      </c>
      <c r="U147" s="1147" t="s">
        <v>3171</v>
      </c>
      <c r="V147" s="1148" t="s">
        <v>3210</v>
      </c>
      <c r="W147" s="1143" t="s">
        <v>3204</v>
      </c>
      <c r="X147" s="1156">
        <v>69310.5</v>
      </c>
      <c r="Y147" s="1156">
        <f t="shared" si="37"/>
        <v>2217936</v>
      </c>
      <c r="Z147" s="1138" t="s">
        <v>3150</v>
      </c>
      <c r="AA147" s="1156">
        <v>67219.5</v>
      </c>
      <c r="AB147" s="1199">
        <f t="shared" si="38"/>
        <v>2151024</v>
      </c>
      <c r="AD147" s="1240">
        <v>6</v>
      </c>
      <c r="AE147" s="1241" t="s">
        <v>3599</v>
      </c>
      <c r="AF147" s="1242">
        <v>1</v>
      </c>
      <c r="AG147" s="1243" t="s">
        <v>3505</v>
      </c>
      <c r="AH147" s="1244" t="s">
        <v>3508</v>
      </c>
    </row>
    <row r="148" spans="12:34" ht="14.5">
      <c r="L148" s="1194" t="s">
        <v>3349</v>
      </c>
      <c r="M148" s="1195" t="s">
        <v>3350</v>
      </c>
      <c r="N148" s="1196">
        <f t="shared" ref="N148" si="45">1.34102209*O148</f>
        <v>24.808908665000001</v>
      </c>
      <c r="O148" s="1154">
        <v>18.5</v>
      </c>
      <c r="P148" s="1141">
        <f>O148*1.9*1.25</f>
        <v>43.9375</v>
      </c>
      <c r="Q148" s="1154" t="s">
        <v>3209</v>
      </c>
      <c r="R148" s="1197">
        <f>12+16+4+4</f>
        <v>36</v>
      </c>
      <c r="S148" s="1132" t="s">
        <v>3170</v>
      </c>
      <c r="T148" s="1197">
        <v>1</v>
      </c>
      <c r="U148" s="1147" t="s">
        <v>3171</v>
      </c>
      <c r="V148" s="1148" t="s">
        <v>3181</v>
      </c>
      <c r="W148" s="1143" t="s">
        <v>3204</v>
      </c>
      <c r="X148" s="1156">
        <v>89371.1</v>
      </c>
      <c r="Y148" s="1156">
        <f t="shared" si="37"/>
        <v>3217359.6</v>
      </c>
      <c r="Z148" s="1138" t="s">
        <v>3150</v>
      </c>
      <c r="AA148" s="1156">
        <v>86674.9</v>
      </c>
      <c r="AB148" s="1199">
        <f t="shared" si="38"/>
        <v>3120296.4</v>
      </c>
      <c r="AD148" s="1240">
        <v>7</v>
      </c>
      <c r="AE148" s="1241" t="s">
        <v>3543</v>
      </c>
      <c r="AF148" s="1242">
        <v>1</v>
      </c>
      <c r="AG148" s="1243" t="s">
        <v>3505</v>
      </c>
      <c r="AH148" s="1244" t="s">
        <v>3508</v>
      </c>
    </row>
    <row r="149" spans="12:34" ht="14.5">
      <c r="L149" s="1200"/>
      <c r="M149" s="1195"/>
      <c r="N149" s="1150"/>
      <c r="O149" s="1154"/>
      <c r="P149" s="1154"/>
      <c r="Q149" s="1154"/>
      <c r="R149" s="1197">
        <f>12+16+4+4</f>
        <v>36</v>
      </c>
      <c r="S149" s="1132" t="s">
        <v>3170</v>
      </c>
      <c r="T149" s="1197">
        <v>1</v>
      </c>
      <c r="U149" s="1147" t="s">
        <v>3171</v>
      </c>
      <c r="V149" s="1148" t="s">
        <v>3210</v>
      </c>
      <c r="W149" s="1143" t="s">
        <v>3204</v>
      </c>
      <c r="X149" s="1156">
        <v>69310.5</v>
      </c>
      <c r="Y149" s="1156">
        <f t="shared" si="37"/>
        <v>2495178</v>
      </c>
      <c r="Z149" s="1138" t="s">
        <v>3150</v>
      </c>
      <c r="AA149" s="1156">
        <v>67219.5</v>
      </c>
      <c r="AB149" s="1199">
        <f t="shared" si="38"/>
        <v>2419902</v>
      </c>
      <c r="AD149" s="1240">
        <v>8</v>
      </c>
      <c r="AE149" s="1241" t="s">
        <v>3544</v>
      </c>
      <c r="AF149" s="1242">
        <v>1</v>
      </c>
      <c r="AG149" s="1243" t="s">
        <v>3505</v>
      </c>
      <c r="AH149" s="1244" t="s">
        <v>3508</v>
      </c>
    </row>
    <row r="150" spans="12:34" ht="14.5">
      <c r="L150" s="1194" t="s">
        <v>3351</v>
      </c>
      <c r="M150" s="1195" t="s">
        <v>3352</v>
      </c>
      <c r="N150" s="1196">
        <f t="shared" ref="N150:N162" si="46">1.34102209*O150</f>
        <v>5.3640883600000002</v>
      </c>
      <c r="O150" s="1154">
        <v>4</v>
      </c>
      <c r="P150" s="1141">
        <f>O150*1.9*1.25</f>
        <v>9.5</v>
      </c>
      <c r="Q150" s="1154" t="s">
        <v>3202</v>
      </c>
      <c r="R150" s="1197">
        <v>30</v>
      </c>
      <c r="S150" s="1132" t="s">
        <v>3170</v>
      </c>
      <c r="T150" s="1197">
        <v>1</v>
      </c>
      <c r="U150" s="1147" t="s">
        <v>3171</v>
      </c>
      <c r="V150" s="1148" t="s">
        <v>3203</v>
      </c>
      <c r="W150" s="1143" t="s">
        <v>3204</v>
      </c>
      <c r="X150" s="1156">
        <v>25695.599999999999</v>
      </c>
      <c r="Y150" s="1156">
        <f t="shared" si="37"/>
        <v>770868</v>
      </c>
      <c r="Z150" s="1138" t="s">
        <v>3150</v>
      </c>
      <c r="AA150" s="1156">
        <v>24920.399999999998</v>
      </c>
      <c r="AB150" s="1199">
        <f t="shared" si="38"/>
        <v>747611.99999999988</v>
      </c>
      <c r="AD150" s="1240">
        <v>9</v>
      </c>
      <c r="AE150" s="1241" t="s">
        <v>3562</v>
      </c>
      <c r="AF150" s="1242">
        <v>1</v>
      </c>
      <c r="AG150" s="1243" t="s">
        <v>3505</v>
      </c>
      <c r="AH150" s="1244" t="s">
        <v>3563</v>
      </c>
    </row>
    <row r="151" spans="12:34" ht="14.5">
      <c r="L151" s="1194"/>
      <c r="M151" s="1195"/>
      <c r="N151" s="1196"/>
      <c r="O151" s="1154"/>
      <c r="P151" s="1141"/>
      <c r="Q151" s="1154"/>
      <c r="R151" s="1197"/>
      <c r="S151" s="1132"/>
      <c r="T151" s="1197"/>
      <c r="U151" s="1147"/>
      <c r="V151" s="1148"/>
      <c r="W151" s="1143"/>
      <c r="X151" s="1156"/>
      <c r="Y151" s="1156"/>
      <c r="Z151" s="1138"/>
      <c r="AA151" s="1156"/>
      <c r="AB151" s="1199"/>
      <c r="AD151" s="1240">
        <v>10</v>
      </c>
      <c r="AE151" s="1241" t="s">
        <v>3587</v>
      </c>
      <c r="AF151" s="1242">
        <v>2</v>
      </c>
      <c r="AG151" s="1243" t="s">
        <v>3487</v>
      </c>
      <c r="AH151" s="1244" t="s">
        <v>3508</v>
      </c>
    </row>
    <row r="152" spans="12:34" ht="14.5">
      <c r="L152" s="1194" t="s">
        <v>3353</v>
      </c>
      <c r="M152" s="1195" t="s">
        <v>3354</v>
      </c>
      <c r="N152" s="1196">
        <f t="shared" si="46"/>
        <v>7.3756214950000007</v>
      </c>
      <c r="O152" s="1154">
        <v>5.5</v>
      </c>
      <c r="P152" s="1141">
        <f>O152*1.9*1.25</f>
        <v>13.0625</v>
      </c>
      <c r="Q152" s="1154" t="s">
        <v>3202</v>
      </c>
      <c r="R152" s="1197">
        <v>48</v>
      </c>
      <c r="S152" s="1132" t="s">
        <v>3170</v>
      </c>
      <c r="T152" s="1197">
        <v>1</v>
      </c>
      <c r="U152" s="1147" t="s">
        <v>3171</v>
      </c>
      <c r="V152" s="1148" t="s">
        <v>3203</v>
      </c>
      <c r="W152" s="1143" t="s">
        <v>3204</v>
      </c>
      <c r="X152" s="1156">
        <v>25695.599999999999</v>
      </c>
      <c r="Y152" s="1156">
        <f t="shared" si="37"/>
        <v>1233388.7999999998</v>
      </c>
      <c r="Z152" s="1138" t="s">
        <v>3150</v>
      </c>
      <c r="AA152" s="1156">
        <v>24920.399999999998</v>
      </c>
      <c r="AB152" s="1199">
        <f t="shared" si="38"/>
        <v>1196179.2</v>
      </c>
      <c r="AD152" s="1240">
        <v>11</v>
      </c>
      <c r="AE152" s="1241" t="s">
        <v>3600</v>
      </c>
      <c r="AF152" s="1242">
        <v>2</v>
      </c>
      <c r="AG152" s="1243" t="s">
        <v>3487</v>
      </c>
      <c r="AH152" s="1244" t="s">
        <v>3508</v>
      </c>
    </row>
    <row r="153" spans="12:34" ht="14.5">
      <c r="L153" s="1194" t="s">
        <v>3355</v>
      </c>
      <c r="M153" s="1195" t="s">
        <v>3356</v>
      </c>
      <c r="N153" s="1196">
        <f t="shared" si="46"/>
        <v>5.3640883600000002</v>
      </c>
      <c r="O153" s="1154">
        <v>4</v>
      </c>
      <c r="P153" s="1141">
        <f>O153*1.9*1.25</f>
        <v>9.5</v>
      </c>
      <c r="Q153" s="1154" t="s">
        <v>3202</v>
      </c>
      <c r="R153" s="1197">
        <v>50</v>
      </c>
      <c r="S153" s="1132" t="s">
        <v>3170</v>
      </c>
      <c r="T153" s="1197">
        <v>1</v>
      </c>
      <c r="U153" s="1147" t="s">
        <v>3171</v>
      </c>
      <c r="V153" s="1148" t="s">
        <v>3203</v>
      </c>
      <c r="W153" s="1143" t="s">
        <v>3204</v>
      </c>
      <c r="X153" s="1156">
        <v>25695.599999999999</v>
      </c>
      <c r="Y153" s="1156">
        <f t="shared" si="37"/>
        <v>1284780</v>
      </c>
      <c r="Z153" s="1138" t="s">
        <v>3150</v>
      </c>
      <c r="AA153" s="1156">
        <v>24920.399999999998</v>
      </c>
      <c r="AB153" s="1199">
        <f t="shared" si="38"/>
        <v>1246020</v>
      </c>
      <c r="AD153" s="1240"/>
      <c r="AE153" s="1241"/>
      <c r="AF153" s="1242"/>
      <c r="AG153" s="1243"/>
      <c r="AH153" s="1244"/>
    </row>
    <row r="154" spans="12:34" ht="14.5">
      <c r="L154" s="1194" t="s">
        <v>3355</v>
      </c>
      <c r="M154" s="1195" t="s">
        <v>3357</v>
      </c>
      <c r="N154" s="1196">
        <f t="shared" si="46"/>
        <v>5.3640883600000002</v>
      </c>
      <c r="O154" s="1154">
        <v>4</v>
      </c>
      <c r="P154" s="1141">
        <f>O154*1.9*1.25</f>
        <v>9.5</v>
      </c>
      <c r="Q154" s="1154" t="s">
        <v>3202</v>
      </c>
      <c r="R154" s="1197">
        <v>70</v>
      </c>
      <c r="S154" s="1132" t="s">
        <v>3170</v>
      </c>
      <c r="T154" s="1197">
        <v>1</v>
      </c>
      <c r="U154" s="1147" t="s">
        <v>3171</v>
      </c>
      <c r="V154" s="1148" t="s">
        <v>3203</v>
      </c>
      <c r="W154" s="1143" t="s">
        <v>3204</v>
      </c>
      <c r="X154" s="1156">
        <v>25695.599999999999</v>
      </c>
      <c r="Y154" s="1156">
        <f t="shared" si="37"/>
        <v>1798692</v>
      </c>
      <c r="Z154" s="1138" t="s">
        <v>3150</v>
      </c>
      <c r="AA154" s="1156">
        <v>24920.399999999998</v>
      </c>
      <c r="AB154" s="1199">
        <f t="shared" si="38"/>
        <v>1744427.9999999998</v>
      </c>
      <c r="AD154" s="1240"/>
      <c r="AE154" s="1241" t="s">
        <v>3566</v>
      </c>
      <c r="AF154" s="1242"/>
      <c r="AG154" s="1243"/>
      <c r="AH154" s="1244"/>
    </row>
    <row r="155" spans="12:34" ht="14.5">
      <c r="L155" s="1194" t="s">
        <v>3358</v>
      </c>
      <c r="M155" s="1195" t="s">
        <v>3214</v>
      </c>
      <c r="N155" s="1145"/>
      <c r="O155" s="1142"/>
      <c r="P155" s="1142"/>
      <c r="Q155" s="1154"/>
      <c r="R155" s="1197">
        <v>350</v>
      </c>
      <c r="S155" s="1132" t="s">
        <v>3170</v>
      </c>
      <c r="T155" s="1191">
        <v>1</v>
      </c>
      <c r="U155" s="1147" t="s">
        <v>3171</v>
      </c>
      <c r="V155" s="1148" t="s">
        <v>3215</v>
      </c>
      <c r="W155" s="1143" t="s">
        <v>3204</v>
      </c>
      <c r="X155" s="1156">
        <v>14481.95</v>
      </c>
      <c r="Y155" s="1156">
        <f t="shared" si="37"/>
        <v>5068682.5</v>
      </c>
      <c r="Z155" s="1138" t="s">
        <v>3150</v>
      </c>
      <c r="AA155" s="1156">
        <v>14045.05</v>
      </c>
      <c r="AB155" s="1199">
        <f t="shared" si="38"/>
        <v>4915767.5</v>
      </c>
      <c r="AD155" s="1240">
        <v>1</v>
      </c>
      <c r="AE155" s="1241" t="s">
        <v>3601</v>
      </c>
      <c r="AF155" s="1242">
        <v>1</v>
      </c>
      <c r="AG155" s="1243" t="s">
        <v>3505</v>
      </c>
      <c r="AH155" s="1244" t="s">
        <v>3506</v>
      </c>
    </row>
    <row r="156" spans="12:34" ht="14.5">
      <c r="L156" s="1194" t="s">
        <v>3359</v>
      </c>
      <c r="M156" s="1195" t="s">
        <v>3360</v>
      </c>
      <c r="N156" s="1196">
        <f t="shared" si="46"/>
        <v>14.751242990000001</v>
      </c>
      <c r="O156" s="1154">
        <v>11</v>
      </c>
      <c r="P156" s="1141">
        <f>O156*1.9*1.25</f>
        <v>26.125</v>
      </c>
      <c r="Q156" s="1154" t="s">
        <v>3209</v>
      </c>
      <c r="R156" s="1197">
        <v>24</v>
      </c>
      <c r="S156" s="1132" t="s">
        <v>3170</v>
      </c>
      <c r="T156" s="1197">
        <v>1</v>
      </c>
      <c r="U156" s="1147" t="s">
        <v>3171</v>
      </c>
      <c r="V156" s="1148" t="s">
        <v>3220</v>
      </c>
      <c r="W156" s="1143" t="s">
        <v>3204</v>
      </c>
      <c r="X156" s="1144">
        <v>56011.9</v>
      </c>
      <c r="Y156" s="1144">
        <f t="shared" si="37"/>
        <v>1344285.6</v>
      </c>
      <c r="Z156" s="1138" t="s">
        <v>3150</v>
      </c>
      <c r="AA156" s="1144">
        <v>54322.1</v>
      </c>
      <c r="AB156" s="1350">
        <f t="shared" si="38"/>
        <v>1303730.3999999999</v>
      </c>
      <c r="AD156" s="1240">
        <v>2</v>
      </c>
      <c r="AE156" s="1241" t="s">
        <v>3602</v>
      </c>
      <c r="AF156" s="1242">
        <v>1</v>
      </c>
      <c r="AG156" s="1243" t="s">
        <v>2907</v>
      </c>
      <c r="AH156" s="1244" t="s">
        <v>2241</v>
      </c>
    </row>
    <row r="157" spans="12:34" ht="14.5">
      <c r="L157" s="1194"/>
      <c r="M157" s="1195"/>
      <c r="N157" s="1150"/>
      <c r="O157" s="1154"/>
      <c r="P157" s="1154"/>
      <c r="Q157" s="1154"/>
      <c r="R157" s="1197">
        <v>24</v>
      </c>
      <c r="S157" s="1132" t="s">
        <v>3170</v>
      </c>
      <c r="T157" s="1197">
        <v>1</v>
      </c>
      <c r="U157" s="1147" t="s">
        <v>3171</v>
      </c>
      <c r="V157" s="1148" t="s">
        <v>3221</v>
      </c>
      <c r="W157" s="1143" t="s">
        <v>3204</v>
      </c>
      <c r="X157" s="1144">
        <v>42713.3</v>
      </c>
      <c r="Y157" s="1144">
        <f t="shared" si="37"/>
        <v>1025119.2000000001</v>
      </c>
      <c r="Z157" s="1138" t="s">
        <v>3150</v>
      </c>
      <c r="AA157" s="1144">
        <v>41424.699999999997</v>
      </c>
      <c r="AB157" s="1350">
        <f t="shared" si="38"/>
        <v>994192.79999999993</v>
      </c>
      <c r="AD157" s="1240">
        <v>4</v>
      </c>
      <c r="AE157" s="1241" t="s">
        <v>3603</v>
      </c>
      <c r="AF157" s="1242">
        <v>1</v>
      </c>
      <c r="AG157" s="1243" t="s">
        <v>3505</v>
      </c>
      <c r="AH157" s="1244" t="s">
        <v>3508</v>
      </c>
    </row>
    <row r="158" spans="12:34" ht="14.5">
      <c r="L158" s="1194" t="s">
        <v>3361</v>
      </c>
      <c r="M158" s="1195" t="s">
        <v>3362</v>
      </c>
      <c r="N158" s="1196">
        <f t="shared" si="46"/>
        <v>14.751242990000001</v>
      </c>
      <c r="O158" s="1154">
        <v>11</v>
      </c>
      <c r="P158" s="1141">
        <f>O158*1.9*1.25</f>
        <v>26.125</v>
      </c>
      <c r="Q158" s="1154" t="s">
        <v>3209</v>
      </c>
      <c r="R158" s="1197">
        <v>44</v>
      </c>
      <c r="S158" s="1132" t="s">
        <v>3170</v>
      </c>
      <c r="T158" s="1197">
        <v>1</v>
      </c>
      <c r="U158" s="1147" t="s">
        <v>3171</v>
      </c>
      <c r="V158" s="1148" t="s">
        <v>3220</v>
      </c>
      <c r="W158" s="1143" t="s">
        <v>3204</v>
      </c>
      <c r="X158" s="1144">
        <v>56011.9</v>
      </c>
      <c r="Y158" s="1144">
        <f t="shared" si="37"/>
        <v>2464523.6</v>
      </c>
      <c r="Z158" s="1138" t="s">
        <v>3150</v>
      </c>
      <c r="AA158" s="1144">
        <v>54322.1</v>
      </c>
      <c r="AB158" s="1350">
        <f t="shared" si="38"/>
        <v>2390172.4</v>
      </c>
      <c r="AD158" s="1240"/>
      <c r="AE158" s="1241"/>
      <c r="AF158" s="1242"/>
      <c r="AG158" s="1243"/>
      <c r="AH158" s="1244"/>
    </row>
    <row r="159" spans="12:34" ht="14.5">
      <c r="L159" s="1194"/>
      <c r="M159" s="1195"/>
      <c r="N159" s="1150"/>
      <c r="O159" s="1154"/>
      <c r="P159" s="1154"/>
      <c r="Q159" s="1154"/>
      <c r="R159" s="1197">
        <v>44</v>
      </c>
      <c r="S159" s="1132" t="s">
        <v>3170</v>
      </c>
      <c r="T159" s="1197">
        <v>1</v>
      </c>
      <c r="U159" s="1147" t="s">
        <v>3171</v>
      </c>
      <c r="V159" s="1148" t="s">
        <v>3221</v>
      </c>
      <c r="W159" s="1143" t="s">
        <v>3204</v>
      </c>
      <c r="X159" s="1144">
        <v>42713.3</v>
      </c>
      <c r="Y159" s="1144">
        <f t="shared" si="37"/>
        <v>1879385.2000000002</v>
      </c>
      <c r="Z159" s="1138" t="s">
        <v>3150</v>
      </c>
      <c r="AA159" s="1144">
        <v>41424.699999999997</v>
      </c>
      <c r="AB159" s="1350">
        <f t="shared" si="38"/>
        <v>1822686.7999999998</v>
      </c>
      <c r="AD159" s="1240"/>
      <c r="AE159" s="1241" t="s">
        <v>3604</v>
      </c>
      <c r="AF159" s="1242"/>
      <c r="AG159" s="1243"/>
      <c r="AH159" s="1244"/>
    </row>
    <row r="160" spans="12:34" ht="14.5">
      <c r="L160" s="1194" t="s">
        <v>3363</v>
      </c>
      <c r="M160" s="1195" t="s">
        <v>3364</v>
      </c>
      <c r="N160" s="1196">
        <f t="shared" si="46"/>
        <v>14.751242990000001</v>
      </c>
      <c r="O160" s="1154">
        <v>11</v>
      </c>
      <c r="P160" s="1141">
        <f>O160*1.9*1.25</f>
        <v>26.125</v>
      </c>
      <c r="Q160" s="1154" t="s">
        <v>3209</v>
      </c>
      <c r="R160" s="1197">
        <v>64</v>
      </c>
      <c r="S160" s="1132" t="s">
        <v>3170</v>
      </c>
      <c r="T160" s="1197">
        <v>1</v>
      </c>
      <c r="U160" s="1147" t="s">
        <v>3171</v>
      </c>
      <c r="V160" s="1148" t="s">
        <v>3220</v>
      </c>
      <c r="W160" s="1143" t="s">
        <v>3204</v>
      </c>
      <c r="X160" s="1144">
        <v>56011.9</v>
      </c>
      <c r="Y160" s="1144">
        <f t="shared" si="37"/>
        <v>3584761.6</v>
      </c>
      <c r="Z160" s="1138" t="s">
        <v>3150</v>
      </c>
      <c r="AA160" s="1144">
        <v>54322.1</v>
      </c>
      <c r="AB160" s="1350">
        <f t="shared" si="38"/>
        <v>3476614.4</v>
      </c>
      <c r="AD160" s="1240">
        <v>1</v>
      </c>
      <c r="AE160" s="1241" t="s">
        <v>3605</v>
      </c>
      <c r="AF160" s="1242"/>
      <c r="AG160" s="1243"/>
      <c r="AH160" s="1244"/>
    </row>
    <row r="161" spans="12:34" ht="14.5">
      <c r="L161" s="1194"/>
      <c r="M161" s="1195"/>
      <c r="N161" s="1150"/>
      <c r="O161" s="1154"/>
      <c r="P161" s="1154"/>
      <c r="Q161" s="1154"/>
      <c r="R161" s="1197">
        <v>64</v>
      </c>
      <c r="S161" s="1132" t="s">
        <v>3170</v>
      </c>
      <c r="T161" s="1197">
        <v>1</v>
      </c>
      <c r="U161" s="1147" t="s">
        <v>3171</v>
      </c>
      <c r="V161" s="1148" t="s">
        <v>3221</v>
      </c>
      <c r="W161" s="1143" t="s">
        <v>3204</v>
      </c>
      <c r="X161" s="1144">
        <v>42713.3</v>
      </c>
      <c r="Y161" s="1144">
        <f t="shared" si="37"/>
        <v>2733651.2</v>
      </c>
      <c r="Z161" s="1138" t="s">
        <v>3150</v>
      </c>
      <c r="AA161" s="1144">
        <v>41424.699999999997</v>
      </c>
      <c r="AB161" s="1350">
        <f t="shared" si="38"/>
        <v>2651180.7999999998</v>
      </c>
      <c r="AD161" s="1240"/>
      <c r="AE161" s="1241"/>
      <c r="AF161" s="1242"/>
      <c r="AG161" s="1243"/>
      <c r="AH161" s="1244"/>
    </row>
    <row r="162" spans="12:34" ht="14.5">
      <c r="L162" s="1194" t="s">
        <v>3365</v>
      </c>
      <c r="M162" s="1195" t="s">
        <v>3366</v>
      </c>
      <c r="N162" s="1196">
        <f t="shared" si="46"/>
        <v>14.751242990000001</v>
      </c>
      <c r="O162" s="1154">
        <v>11</v>
      </c>
      <c r="P162" s="1141">
        <f>O162*1.9*1.25</f>
        <v>26.125</v>
      </c>
      <c r="Q162" s="1154" t="s">
        <v>3209</v>
      </c>
      <c r="R162" s="1197">
        <v>66</v>
      </c>
      <c r="S162" s="1132" t="s">
        <v>3170</v>
      </c>
      <c r="T162" s="1197">
        <v>1</v>
      </c>
      <c r="U162" s="1147" t="s">
        <v>3171</v>
      </c>
      <c r="V162" s="1148" t="s">
        <v>3220</v>
      </c>
      <c r="W162" s="1143" t="s">
        <v>3204</v>
      </c>
      <c r="X162" s="1144">
        <v>56011.9</v>
      </c>
      <c r="Y162" s="1144">
        <f t="shared" si="37"/>
        <v>3696785.4</v>
      </c>
      <c r="Z162" s="1138" t="s">
        <v>3150</v>
      </c>
      <c r="AA162" s="1144">
        <v>54322.1</v>
      </c>
      <c r="AB162" s="1350">
        <f t="shared" si="38"/>
        <v>3585258.6</v>
      </c>
      <c r="AD162" s="1240">
        <v>1</v>
      </c>
      <c r="AE162" s="1241" t="s">
        <v>3583</v>
      </c>
      <c r="AF162" s="1242">
        <v>1</v>
      </c>
      <c r="AG162" s="1243" t="s">
        <v>3505</v>
      </c>
      <c r="AH162" s="1244" t="s">
        <v>3506</v>
      </c>
    </row>
    <row r="163" spans="12:34" ht="14.5">
      <c r="L163" s="1194"/>
      <c r="M163" s="1195"/>
      <c r="N163" s="1150"/>
      <c r="O163" s="1154"/>
      <c r="P163" s="1154"/>
      <c r="Q163" s="1154"/>
      <c r="R163" s="1197">
        <v>66</v>
      </c>
      <c r="S163" s="1132" t="s">
        <v>3170</v>
      </c>
      <c r="T163" s="1197">
        <v>1</v>
      </c>
      <c r="U163" s="1147" t="s">
        <v>3171</v>
      </c>
      <c r="V163" s="1148" t="s">
        <v>3221</v>
      </c>
      <c r="W163" s="1143" t="s">
        <v>3204</v>
      </c>
      <c r="X163" s="1144">
        <v>42713.3</v>
      </c>
      <c r="Y163" s="1144">
        <f t="shared" si="37"/>
        <v>2819077.8000000003</v>
      </c>
      <c r="Z163" s="1138" t="s">
        <v>3150</v>
      </c>
      <c r="AA163" s="1144">
        <v>41424.699999999997</v>
      </c>
      <c r="AB163" s="1350">
        <f t="shared" si="38"/>
        <v>2734030.1999999997</v>
      </c>
      <c r="AD163" s="1240">
        <v>2</v>
      </c>
      <c r="AE163" s="1241" t="s">
        <v>3584</v>
      </c>
      <c r="AF163" s="1242">
        <v>1</v>
      </c>
      <c r="AG163" s="1243" t="s">
        <v>3505</v>
      </c>
      <c r="AH163" s="1244" t="s">
        <v>3506</v>
      </c>
    </row>
    <row r="164" spans="12:34" ht="14.5">
      <c r="L164" s="1194"/>
      <c r="M164" s="1195"/>
      <c r="N164" s="1150"/>
      <c r="O164" s="1154"/>
      <c r="P164" s="1154"/>
      <c r="Q164" s="1154"/>
      <c r="R164" s="1197"/>
      <c r="S164" s="1132"/>
      <c r="T164" s="1197"/>
      <c r="U164" s="1147"/>
      <c r="V164" s="1148"/>
      <c r="W164" s="1197"/>
      <c r="X164" s="1351"/>
      <c r="Y164" s="1351"/>
      <c r="Z164" s="1132"/>
      <c r="AA164" s="1195"/>
      <c r="AB164" s="1199"/>
      <c r="AD164" s="1240">
        <v>3</v>
      </c>
      <c r="AE164" s="1241" t="s">
        <v>3584</v>
      </c>
      <c r="AF164" s="1242">
        <v>2</v>
      </c>
      <c r="AG164" s="1243" t="s">
        <v>3487</v>
      </c>
      <c r="AH164" s="1244" t="s">
        <v>3506</v>
      </c>
    </row>
    <row r="165" spans="12:34" ht="14.5">
      <c r="L165" s="1721" t="s">
        <v>2240</v>
      </c>
      <c r="M165" s="1722"/>
      <c r="N165" s="1369">
        <f>SUM(N114:N162)</f>
        <v>509.99070082699984</v>
      </c>
      <c r="O165" s="1369">
        <f>SUM(O114:O162)</f>
        <v>380.29999999999995</v>
      </c>
      <c r="P165" s="1369">
        <f>SUM(P114:P162)</f>
        <v>903.21250000000009</v>
      </c>
      <c r="Q165" s="1154"/>
      <c r="R165" s="1197"/>
      <c r="S165" s="1132"/>
      <c r="T165" s="1197"/>
      <c r="U165" s="1351"/>
      <c r="V165" s="1132"/>
      <c r="W165" s="1150"/>
      <c r="X165" s="1156"/>
      <c r="Y165" s="1156"/>
      <c r="Z165" s="1195"/>
      <c r="AA165" s="1156"/>
      <c r="AB165" s="1193">
        <f>SUM(AB114:AB164)</f>
        <v>86338037.400000006</v>
      </c>
      <c r="AD165" s="1240">
        <v>4</v>
      </c>
      <c r="AE165" s="1241" t="s">
        <v>3572</v>
      </c>
      <c r="AF165" s="1242">
        <v>1</v>
      </c>
      <c r="AG165" s="1243" t="s">
        <v>3505</v>
      </c>
      <c r="AH165" s="1244" t="s">
        <v>3506</v>
      </c>
    </row>
    <row r="166" spans="12:34" ht="14.5">
      <c r="L166" s="1370">
        <v>6</v>
      </c>
      <c r="M166" s="1371" t="s">
        <v>3367</v>
      </c>
      <c r="N166" s="1372"/>
      <c r="O166" s="1373"/>
      <c r="P166" s="1373"/>
      <c r="Q166" s="1373"/>
      <c r="R166" s="1374"/>
      <c r="S166" s="1375"/>
      <c r="T166" s="1374"/>
      <c r="U166" s="1376"/>
      <c r="V166" s="1375"/>
      <c r="W166" s="1377"/>
      <c r="X166" s="1378"/>
      <c r="Y166" s="1378"/>
      <c r="Z166" s="1371"/>
      <c r="AA166" s="1378"/>
      <c r="AB166" s="1379"/>
      <c r="AD166" s="1240">
        <v>5</v>
      </c>
      <c r="AE166" s="1241" t="s">
        <v>3585</v>
      </c>
      <c r="AF166" s="1242">
        <v>1</v>
      </c>
      <c r="AG166" s="1243" t="s">
        <v>3505</v>
      </c>
      <c r="AH166" s="1244" t="s">
        <v>3546</v>
      </c>
    </row>
    <row r="167" spans="12:34" ht="14.5">
      <c r="L167" s="1185"/>
      <c r="M167" s="1186"/>
      <c r="N167" s="1150"/>
      <c r="O167" s="1154"/>
      <c r="P167" s="1154"/>
      <c r="Q167" s="1154"/>
      <c r="R167" s="1189"/>
      <c r="S167" s="1190"/>
      <c r="T167" s="1189"/>
      <c r="U167" s="1223"/>
      <c r="V167" s="1190"/>
      <c r="W167" s="1136"/>
      <c r="X167" s="1192"/>
      <c r="Y167" s="1192"/>
      <c r="Z167" s="1186"/>
      <c r="AA167" s="1192"/>
      <c r="AB167" s="1193"/>
      <c r="AD167" s="1240">
        <v>6</v>
      </c>
      <c r="AE167" s="1241" t="s">
        <v>3586</v>
      </c>
      <c r="AF167" s="1242">
        <v>1</v>
      </c>
      <c r="AG167" s="1243" t="s">
        <v>3505</v>
      </c>
      <c r="AH167" s="1244" t="s">
        <v>3506</v>
      </c>
    </row>
    <row r="168" spans="12:34" ht="14.5">
      <c r="L168" s="1194" t="s">
        <v>3368</v>
      </c>
      <c r="M168" s="1195" t="s">
        <v>3369</v>
      </c>
      <c r="N168" s="1196">
        <f t="shared" ref="N168:N170" si="47">1.34102209*O168</f>
        <v>2.4138397620000003</v>
      </c>
      <c r="O168" s="1154">
        <v>1.8</v>
      </c>
      <c r="P168" s="1141">
        <f>O168*1.9*1.25</f>
        <v>4.2750000000000004</v>
      </c>
      <c r="Q168" s="1154" t="s">
        <v>3202</v>
      </c>
      <c r="R168" s="1197">
        <v>28</v>
      </c>
      <c r="S168" s="1132" t="s">
        <v>3170</v>
      </c>
      <c r="T168" s="1197">
        <v>1</v>
      </c>
      <c r="U168" s="1147" t="s">
        <v>3171</v>
      </c>
      <c r="V168" s="1148" t="s">
        <v>3203</v>
      </c>
      <c r="W168" s="1143" t="s">
        <v>3204</v>
      </c>
      <c r="X168" s="1156">
        <v>25695.599999999999</v>
      </c>
      <c r="Y168" s="1156">
        <f t="shared" ref="Y168:Y208" si="48">X168*R168</f>
        <v>719476.79999999993</v>
      </c>
      <c r="Z168" s="1138" t="s">
        <v>3150</v>
      </c>
      <c r="AA168" s="1156">
        <v>24920.399999999998</v>
      </c>
      <c r="AB168" s="1199">
        <f t="shared" ref="AB168:AB208" si="49">AA168*R168</f>
        <v>697771.2</v>
      </c>
      <c r="AD168" s="1240">
        <v>7</v>
      </c>
      <c r="AE168" s="1241" t="s">
        <v>3574</v>
      </c>
      <c r="AF168" s="1242">
        <v>2</v>
      </c>
      <c r="AG168" s="1243" t="s">
        <v>3487</v>
      </c>
      <c r="AH168" s="1244" t="s">
        <v>3536</v>
      </c>
    </row>
    <row r="169" spans="12:34" ht="14.5">
      <c r="L169" s="1194" t="s">
        <v>3370</v>
      </c>
      <c r="M169" s="1195" t="s">
        <v>3371</v>
      </c>
      <c r="N169" s="1196">
        <f t="shared" si="47"/>
        <v>2.4138397620000003</v>
      </c>
      <c r="O169" s="1154">
        <v>1.8</v>
      </c>
      <c r="P169" s="1141">
        <f>O169*1.9*1.25</f>
        <v>4.2750000000000004</v>
      </c>
      <c r="Q169" s="1154" t="s">
        <v>3202</v>
      </c>
      <c r="R169" s="1197">
        <v>30</v>
      </c>
      <c r="S169" s="1132" t="s">
        <v>3170</v>
      </c>
      <c r="T169" s="1197">
        <v>1</v>
      </c>
      <c r="U169" s="1147" t="s">
        <v>3171</v>
      </c>
      <c r="V169" s="1148" t="s">
        <v>3203</v>
      </c>
      <c r="W169" s="1143" t="s">
        <v>3204</v>
      </c>
      <c r="X169" s="1156">
        <v>25695.599999999999</v>
      </c>
      <c r="Y169" s="1156">
        <f t="shared" si="48"/>
        <v>770868</v>
      </c>
      <c r="Z169" s="1138" t="s">
        <v>3150</v>
      </c>
      <c r="AA169" s="1156">
        <v>24920.399999999998</v>
      </c>
      <c r="AB169" s="1199">
        <f t="shared" si="49"/>
        <v>747611.99999999988</v>
      </c>
      <c r="AD169" s="1240">
        <v>8</v>
      </c>
      <c r="AE169" s="1241" t="s">
        <v>3575</v>
      </c>
      <c r="AF169" s="1242">
        <v>1</v>
      </c>
      <c r="AG169" s="1243" t="s">
        <v>3505</v>
      </c>
      <c r="AH169" s="1244" t="s">
        <v>3536</v>
      </c>
    </row>
    <row r="170" spans="12:34" ht="14.5">
      <c r="L170" s="1194" t="s">
        <v>3372</v>
      </c>
      <c r="M170" s="1349" t="s">
        <v>3373</v>
      </c>
      <c r="N170" s="1196">
        <f t="shared" si="47"/>
        <v>20.115331350000002</v>
      </c>
      <c r="O170" s="1154">
        <v>15</v>
      </c>
      <c r="P170" s="1141">
        <f>O170*1.9*1.25</f>
        <v>35.625</v>
      </c>
      <c r="Q170" s="1154" t="s">
        <v>3209</v>
      </c>
      <c r="R170" s="1197">
        <v>24</v>
      </c>
      <c r="S170" s="1132" t="s">
        <v>3170</v>
      </c>
      <c r="T170" s="1197">
        <v>1</v>
      </c>
      <c r="U170" s="1147" t="s">
        <v>3171</v>
      </c>
      <c r="V170" s="1148" t="s">
        <v>3220</v>
      </c>
      <c r="W170" s="1143" t="s">
        <v>3204</v>
      </c>
      <c r="X170" s="1156">
        <v>56011.9</v>
      </c>
      <c r="Y170" s="1156">
        <f t="shared" si="48"/>
        <v>1344285.6</v>
      </c>
      <c r="Z170" s="1138" t="s">
        <v>3150</v>
      </c>
      <c r="AA170" s="1156">
        <v>54322.1</v>
      </c>
      <c r="AB170" s="1199">
        <f t="shared" si="49"/>
        <v>1303730.3999999999</v>
      </c>
      <c r="AD170" s="1240">
        <v>9</v>
      </c>
      <c r="AE170" s="1241" t="s">
        <v>3576</v>
      </c>
      <c r="AF170" s="1242">
        <v>1</v>
      </c>
      <c r="AG170" s="1243" t="s">
        <v>3505</v>
      </c>
      <c r="AH170" s="1244" t="s">
        <v>3536</v>
      </c>
    </row>
    <row r="171" spans="12:34" ht="14.5">
      <c r="L171" s="1200"/>
      <c r="M171" s="1349"/>
      <c r="N171" s="1150"/>
      <c r="O171" s="1154"/>
      <c r="P171" s="1154"/>
      <c r="Q171" s="1154"/>
      <c r="R171" s="1197">
        <v>24</v>
      </c>
      <c r="S171" s="1132" t="s">
        <v>3170</v>
      </c>
      <c r="T171" s="1197">
        <v>1</v>
      </c>
      <c r="U171" s="1147" t="s">
        <v>3171</v>
      </c>
      <c r="V171" s="1148" t="s">
        <v>3221</v>
      </c>
      <c r="W171" s="1143" t="s">
        <v>3204</v>
      </c>
      <c r="X171" s="1156">
        <v>42713.3</v>
      </c>
      <c r="Y171" s="1156">
        <f t="shared" si="48"/>
        <v>1025119.2000000001</v>
      </c>
      <c r="Z171" s="1138" t="s">
        <v>3150</v>
      </c>
      <c r="AA171" s="1156">
        <v>41424.699999999997</v>
      </c>
      <c r="AB171" s="1199">
        <f t="shared" si="49"/>
        <v>994192.79999999993</v>
      </c>
      <c r="AD171" s="1240">
        <v>10</v>
      </c>
      <c r="AE171" s="1241" t="s">
        <v>3577</v>
      </c>
      <c r="AF171" s="1242">
        <v>2</v>
      </c>
      <c r="AG171" s="1243" t="s">
        <v>3487</v>
      </c>
      <c r="AH171" s="1244" t="s">
        <v>3546</v>
      </c>
    </row>
    <row r="172" spans="12:34" ht="14.5">
      <c r="L172" s="1194" t="s">
        <v>3374</v>
      </c>
      <c r="M172" s="1349" t="s">
        <v>3375</v>
      </c>
      <c r="N172" s="1196">
        <f t="shared" ref="N172" si="50">1.34102209*O172</f>
        <v>20.115331350000002</v>
      </c>
      <c r="O172" s="1154">
        <v>15</v>
      </c>
      <c r="P172" s="1141">
        <f>O172*1.9*1.25</f>
        <v>35.625</v>
      </c>
      <c r="Q172" s="1154" t="s">
        <v>3209</v>
      </c>
      <c r="R172" s="1197">
        <v>26</v>
      </c>
      <c r="S172" s="1132" t="s">
        <v>3170</v>
      </c>
      <c r="T172" s="1197">
        <v>1</v>
      </c>
      <c r="U172" s="1147" t="s">
        <v>3171</v>
      </c>
      <c r="V172" s="1148" t="s">
        <v>3220</v>
      </c>
      <c r="W172" s="1143" t="s">
        <v>3204</v>
      </c>
      <c r="X172" s="1156">
        <v>56011.9</v>
      </c>
      <c r="Y172" s="1156">
        <f t="shared" si="48"/>
        <v>1456309.4000000001</v>
      </c>
      <c r="Z172" s="1138" t="s">
        <v>3150</v>
      </c>
      <c r="AA172" s="1156">
        <v>54322.1</v>
      </c>
      <c r="AB172" s="1199">
        <f t="shared" si="49"/>
        <v>1412374.5999999999</v>
      </c>
      <c r="AD172" s="1240">
        <v>11</v>
      </c>
      <c r="AE172" s="1241" t="s">
        <v>3562</v>
      </c>
      <c r="AF172" s="1242">
        <v>1</v>
      </c>
      <c r="AG172" s="1243" t="s">
        <v>3505</v>
      </c>
      <c r="AH172" s="1244" t="s">
        <v>3563</v>
      </c>
    </row>
    <row r="173" spans="12:34" ht="14.5">
      <c r="L173" s="1200"/>
      <c r="M173" s="1349"/>
      <c r="N173" s="1150"/>
      <c r="O173" s="1154"/>
      <c r="P173" s="1154"/>
      <c r="Q173" s="1154"/>
      <c r="R173" s="1197">
        <v>26</v>
      </c>
      <c r="S173" s="1132" t="s">
        <v>3170</v>
      </c>
      <c r="T173" s="1197">
        <v>1</v>
      </c>
      <c r="U173" s="1147" t="s">
        <v>3171</v>
      </c>
      <c r="V173" s="1148" t="s">
        <v>3221</v>
      </c>
      <c r="W173" s="1143" t="s">
        <v>3204</v>
      </c>
      <c r="X173" s="1156">
        <v>42713.3</v>
      </c>
      <c r="Y173" s="1156">
        <f t="shared" si="48"/>
        <v>1110545.8</v>
      </c>
      <c r="Z173" s="1138" t="s">
        <v>3150</v>
      </c>
      <c r="AA173" s="1156">
        <v>41424.699999999997</v>
      </c>
      <c r="AB173" s="1199">
        <f t="shared" si="49"/>
        <v>1077042.2</v>
      </c>
      <c r="AD173" s="1240">
        <v>12</v>
      </c>
      <c r="AE173" s="1241" t="s">
        <v>3578</v>
      </c>
      <c r="AF173" s="1242">
        <v>1</v>
      </c>
      <c r="AG173" s="1243" t="s">
        <v>2872</v>
      </c>
      <c r="AH173" s="1244" t="s">
        <v>3500</v>
      </c>
    </row>
    <row r="174" spans="12:34" ht="14.5">
      <c r="L174" s="1194" t="s">
        <v>3376</v>
      </c>
      <c r="M174" s="1349" t="s">
        <v>3377</v>
      </c>
      <c r="N174" s="1196">
        <f t="shared" ref="N174" si="51">1.34102209*O174</f>
        <v>20.115331350000002</v>
      </c>
      <c r="O174" s="1154">
        <v>15</v>
      </c>
      <c r="P174" s="1141">
        <f>O174*1.9*1.25</f>
        <v>35.625</v>
      </c>
      <c r="Q174" s="1154" t="s">
        <v>3209</v>
      </c>
      <c r="R174" s="1197">
        <v>26</v>
      </c>
      <c r="S174" s="1132" t="s">
        <v>3170</v>
      </c>
      <c r="T174" s="1197">
        <v>1</v>
      </c>
      <c r="U174" s="1147" t="s">
        <v>3171</v>
      </c>
      <c r="V174" s="1148" t="s">
        <v>3220</v>
      </c>
      <c r="W174" s="1143" t="s">
        <v>3204</v>
      </c>
      <c r="X174" s="1156">
        <v>56011.9</v>
      </c>
      <c r="Y174" s="1156">
        <f t="shared" si="48"/>
        <v>1456309.4000000001</v>
      </c>
      <c r="Z174" s="1138" t="s">
        <v>3150</v>
      </c>
      <c r="AA174" s="1156">
        <v>54322.1</v>
      </c>
      <c r="AB174" s="1199">
        <f t="shared" si="49"/>
        <v>1412374.5999999999</v>
      </c>
      <c r="AD174" s="1240"/>
      <c r="AE174" s="1241" t="s">
        <v>3587</v>
      </c>
      <c r="AF174" s="1242">
        <v>2</v>
      </c>
      <c r="AG174" s="1243" t="s">
        <v>3487</v>
      </c>
      <c r="AH174" s="1244" t="s">
        <v>3508</v>
      </c>
    </row>
    <row r="175" spans="12:34" ht="14.5">
      <c r="L175" s="1200"/>
      <c r="M175" s="1349"/>
      <c r="N175" s="1150"/>
      <c r="O175" s="1154"/>
      <c r="P175" s="1154"/>
      <c r="Q175" s="1154"/>
      <c r="R175" s="1197">
        <v>26</v>
      </c>
      <c r="S175" s="1132" t="s">
        <v>3170</v>
      </c>
      <c r="T175" s="1197">
        <v>1</v>
      </c>
      <c r="U175" s="1147" t="s">
        <v>3171</v>
      </c>
      <c r="V175" s="1148" t="s">
        <v>3221</v>
      </c>
      <c r="W175" s="1143" t="s">
        <v>3204</v>
      </c>
      <c r="X175" s="1156">
        <v>42713.3</v>
      </c>
      <c r="Y175" s="1156">
        <f t="shared" si="48"/>
        <v>1110545.8</v>
      </c>
      <c r="Z175" s="1138" t="s">
        <v>3150</v>
      </c>
      <c r="AA175" s="1156">
        <v>41424.699999999997</v>
      </c>
      <c r="AB175" s="1199">
        <f t="shared" si="49"/>
        <v>1077042.2</v>
      </c>
      <c r="AD175" s="1240"/>
      <c r="AE175" s="1241"/>
      <c r="AF175" s="1242"/>
      <c r="AG175" s="1243"/>
      <c r="AH175" s="1244"/>
    </row>
    <row r="176" spans="12:34" ht="14.5">
      <c r="L176" s="1194" t="s">
        <v>3378</v>
      </c>
      <c r="M176" s="1349" t="s">
        <v>3379</v>
      </c>
      <c r="N176" s="1196">
        <f t="shared" ref="N176" si="52">1.34102209*O176</f>
        <v>20.115331350000002</v>
      </c>
      <c r="O176" s="1154">
        <v>15</v>
      </c>
      <c r="P176" s="1141">
        <f>O176*1.9*1.25</f>
        <v>35.625</v>
      </c>
      <c r="Q176" s="1154" t="s">
        <v>3209</v>
      </c>
      <c r="R176" s="1197">
        <v>28</v>
      </c>
      <c r="S176" s="1132" t="s">
        <v>3170</v>
      </c>
      <c r="T176" s="1197">
        <v>1</v>
      </c>
      <c r="U176" s="1147" t="s">
        <v>3171</v>
      </c>
      <c r="V176" s="1148" t="s">
        <v>3220</v>
      </c>
      <c r="W176" s="1143" t="s">
        <v>3204</v>
      </c>
      <c r="X176" s="1156">
        <v>56011.9</v>
      </c>
      <c r="Y176" s="1156">
        <f t="shared" si="48"/>
        <v>1568333.2</v>
      </c>
      <c r="Z176" s="1138" t="s">
        <v>3150</v>
      </c>
      <c r="AA176" s="1156">
        <v>54322.1</v>
      </c>
      <c r="AB176" s="1199">
        <f t="shared" si="49"/>
        <v>1521018.8</v>
      </c>
      <c r="AD176" s="1240"/>
      <c r="AE176" s="1241" t="s">
        <v>3606</v>
      </c>
      <c r="AF176" s="1242"/>
      <c r="AG176" s="1243"/>
      <c r="AH176" s="1244"/>
    </row>
    <row r="177" spans="12:34" ht="14.5">
      <c r="L177" s="1200"/>
      <c r="M177" s="1349"/>
      <c r="N177" s="1150"/>
      <c r="O177" s="1154"/>
      <c r="P177" s="1154"/>
      <c r="Q177" s="1154"/>
      <c r="R177" s="1197">
        <v>28</v>
      </c>
      <c r="S177" s="1132" t="s">
        <v>3170</v>
      </c>
      <c r="T177" s="1197">
        <v>1</v>
      </c>
      <c r="U177" s="1147" t="s">
        <v>3171</v>
      </c>
      <c r="V177" s="1148" t="s">
        <v>3221</v>
      </c>
      <c r="W177" s="1143" t="s">
        <v>3204</v>
      </c>
      <c r="X177" s="1156">
        <v>42713.3</v>
      </c>
      <c r="Y177" s="1156">
        <f t="shared" si="48"/>
        <v>1195972.4000000001</v>
      </c>
      <c r="Z177" s="1138" t="s">
        <v>3150</v>
      </c>
      <c r="AA177" s="1156">
        <v>41424.699999999997</v>
      </c>
      <c r="AB177" s="1199">
        <f t="shared" si="49"/>
        <v>1159891.5999999999</v>
      </c>
      <c r="AD177" s="1240">
        <v>1</v>
      </c>
      <c r="AE177" s="1287" t="s">
        <v>3607</v>
      </c>
      <c r="AF177" s="1242"/>
      <c r="AG177" s="1243"/>
      <c r="AH177" s="1244"/>
    </row>
    <row r="178" spans="12:34" ht="14.5">
      <c r="L178" s="1194" t="s">
        <v>3380</v>
      </c>
      <c r="M178" s="1349" t="s">
        <v>3381</v>
      </c>
      <c r="N178" s="1196">
        <f t="shared" ref="N178" si="53">1.34102209*O178</f>
        <v>20.115331350000002</v>
      </c>
      <c r="O178" s="1154">
        <v>15</v>
      </c>
      <c r="P178" s="1141">
        <f>O178*1.9*1.25</f>
        <v>35.625</v>
      </c>
      <c r="Q178" s="1154" t="s">
        <v>3382</v>
      </c>
      <c r="R178" s="1197">
        <v>40</v>
      </c>
      <c r="S178" s="1132" t="s">
        <v>3170</v>
      </c>
      <c r="T178" s="1197">
        <v>1</v>
      </c>
      <c r="U178" s="1147" t="s">
        <v>3171</v>
      </c>
      <c r="V178" s="1148" t="s">
        <v>3220</v>
      </c>
      <c r="W178" s="1143" t="s">
        <v>3204</v>
      </c>
      <c r="X178" s="1144">
        <v>56011.9</v>
      </c>
      <c r="Y178" s="1144">
        <f t="shared" si="48"/>
        <v>2240476</v>
      </c>
      <c r="Z178" s="1138" t="s">
        <v>3150</v>
      </c>
      <c r="AA178" s="1144">
        <v>54322.1</v>
      </c>
      <c r="AB178" s="1350">
        <f t="shared" si="49"/>
        <v>2172884</v>
      </c>
      <c r="AD178" s="1240">
        <v>2</v>
      </c>
      <c r="AE178" s="1287" t="s">
        <v>3608</v>
      </c>
      <c r="AF178" s="1242"/>
      <c r="AG178" s="1243"/>
      <c r="AH178" s="1244"/>
    </row>
    <row r="179" spans="12:34" ht="14.5">
      <c r="L179" s="1194"/>
      <c r="M179" s="1349"/>
      <c r="N179" s="1150"/>
      <c r="O179" s="1154"/>
      <c r="P179" s="1154"/>
      <c r="Q179" s="1154"/>
      <c r="R179" s="1197">
        <v>40</v>
      </c>
      <c r="S179" s="1132" t="s">
        <v>3170</v>
      </c>
      <c r="T179" s="1197">
        <v>1</v>
      </c>
      <c r="U179" s="1147" t="s">
        <v>3171</v>
      </c>
      <c r="V179" s="1148" t="s">
        <v>3221</v>
      </c>
      <c r="W179" s="1143" t="s">
        <v>3204</v>
      </c>
      <c r="X179" s="1156">
        <v>42713.3</v>
      </c>
      <c r="Y179" s="1156">
        <f t="shared" si="48"/>
        <v>1708532</v>
      </c>
      <c r="Z179" s="1138" t="s">
        <v>3150</v>
      </c>
      <c r="AA179" s="1156">
        <v>41424.699999999997</v>
      </c>
      <c r="AB179" s="1199">
        <f t="shared" si="49"/>
        <v>1656988</v>
      </c>
      <c r="AD179" s="1240">
        <v>3</v>
      </c>
      <c r="AE179" s="1287" t="s">
        <v>3609</v>
      </c>
      <c r="AF179" s="1242"/>
      <c r="AG179" s="1243"/>
      <c r="AH179" s="1244"/>
    </row>
    <row r="180" spans="12:34" ht="14.5">
      <c r="L180" s="1194" t="s">
        <v>3383</v>
      </c>
      <c r="M180" s="1349" t="s">
        <v>3384</v>
      </c>
      <c r="N180" s="1196">
        <f t="shared" ref="N180" si="54">1.34102209*O180</f>
        <v>14.751242990000001</v>
      </c>
      <c r="O180" s="1154">
        <v>11</v>
      </c>
      <c r="P180" s="1141">
        <f>O180*1.9*1.25</f>
        <v>26.125</v>
      </c>
      <c r="Q180" s="1154" t="s">
        <v>3209</v>
      </c>
      <c r="R180" s="1197">
        <v>32</v>
      </c>
      <c r="S180" s="1132" t="s">
        <v>3170</v>
      </c>
      <c r="T180" s="1197">
        <v>1</v>
      </c>
      <c r="U180" s="1147" t="s">
        <v>3171</v>
      </c>
      <c r="V180" s="1148" t="s">
        <v>3220</v>
      </c>
      <c r="W180" s="1143" t="s">
        <v>3204</v>
      </c>
      <c r="X180" s="1156">
        <v>56011.9</v>
      </c>
      <c r="Y180" s="1156">
        <f t="shared" si="48"/>
        <v>1792380.8</v>
      </c>
      <c r="Z180" s="1138" t="s">
        <v>3150</v>
      </c>
      <c r="AA180" s="1156">
        <v>54322.1</v>
      </c>
      <c r="AB180" s="1199">
        <f t="shared" si="49"/>
        <v>1738307.2</v>
      </c>
      <c r="AD180" s="1240"/>
      <c r="AE180" s="1287"/>
      <c r="AF180" s="1242"/>
      <c r="AG180" s="1243"/>
      <c r="AH180" s="1244"/>
    </row>
    <row r="181" spans="12:34" ht="13">
      <c r="L181" s="1200"/>
      <c r="M181" s="1349"/>
      <c r="N181" s="1150"/>
      <c r="O181" s="1154"/>
      <c r="P181" s="1154"/>
      <c r="Q181" s="1154"/>
      <c r="R181" s="1197">
        <v>32</v>
      </c>
      <c r="S181" s="1132" t="s">
        <v>3170</v>
      </c>
      <c r="T181" s="1197">
        <v>1</v>
      </c>
      <c r="U181" s="1147" t="s">
        <v>3171</v>
      </c>
      <c r="V181" s="1148" t="s">
        <v>3221</v>
      </c>
      <c r="W181" s="1143" t="s">
        <v>3204</v>
      </c>
      <c r="X181" s="1156">
        <v>42713.3</v>
      </c>
      <c r="Y181" s="1156">
        <f t="shared" si="48"/>
        <v>1366825.6</v>
      </c>
      <c r="Z181" s="1138" t="s">
        <v>3150</v>
      </c>
      <c r="AA181" s="1156">
        <v>41424.699999999997</v>
      </c>
      <c r="AB181" s="1199">
        <f t="shared" si="49"/>
        <v>1325590.3999999999</v>
      </c>
      <c r="AD181" s="997"/>
      <c r="AE181" s="997"/>
      <c r="AF181" s="997"/>
      <c r="AG181" s="997"/>
      <c r="AH181" s="997"/>
    </row>
    <row r="182" spans="12:34" ht="14.5">
      <c r="L182" s="1194" t="s">
        <v>3385</v>
      </c>
      <c r="M182" s="1349" t="s">
        <v>3386</v>
      </c>
      <c r="N182" s="1196">
        <f t="shared" ref="N182" si="55">1.34102209*O182</f>
        <v>14.751242990000001</v>
      </c>
      <c r="O182" s="1154">
        <v>11</v>
      </c>
      <c r="P182" s="1141">
        <f>O182*1.9*1.25</f>
        <v>26.125</v>
      </c>
      <c r="Q182" s="1154" t="s">
        <v>3209</v>
      </c>
      <c r="R182" s="1197">
        <v>32</v>
      </c>
      <c r="S182" s="1132" t="s">
        <v>3170</v>
      </c>
      <c r="T182" s="1197">
        <v>1</v>
      </c>
      <c r="U182" s="1147" t="s">
        <v>3171</v>
      </c>
      <c r="V182" s="1148" t="s">
        <v>3220</v>
      </c>
      <c r="W182" s="1143" t="s">
        <v>3204</v>
      </c>
      <c r="X182" s="1156">
        <v>56011.9</v>
      </c>
      <c r="Y182" s="1156">
        <f t="shared" si="48"/>
        <v>1792380.8</v>
      </c>
      <c r="Z182" s="1138" t="s">
        <v>3150</v>
      </c>
      <c r="AA182" s="1156">
        <v>54322.1</v>
      </c>
      <c r="AB182" s="1199">
        <f t="shared" si="49"/>
        <v>1738307.2</v>
      </c>
      <c r="AD182" s="1240"/>
      <c r="AE182" s="1241"/>
      <c r="AF182" s="1242"/>
      <c r="AG182" s="1243"/>
      <c r="AH182" s="1244"/>
    </row>
    <row r="183" spans="12:34" ht="14.5">
      <c r="L183" s="1200"/>
      <c r="M183" s="1349"/>
      <c r="N183" s="1150"/>
      <c r="O183" s="1154"/>
      <c r="P183" s="1154"/>
      <c r="Q183" s="1154"/>
      <c r="R183" s="1197">
        <v>32</v>
      </c>
      <c r="S183" s="1132" t="s">
        <v>3170</v>
      </c>
      <c r="T183" s="1197">
        <v>1</v>
      </c>
      <c r="U183" s="1147" t="s">
        <v>3171</v>
      </c>
      <c r="V183" s="1148" t="s">
        <v>3221</v>
      </c>
      <c r="W183" s="1143" t="s">
        <v>3204</v>
      </c>
      <c r="X183" s="1156">
        <v>42713.3</v>
      </c>
      <c r="Y183" s="1156">
        <f t="shared" si="48"/>
        <v>1366825.6</v>
      </c>
      <c r="Z183" s="1138" t="s">
        <v>3150</v>
      </c>
      <c r="AA183" s="1156">
        <v>41424.699999999997</v>
      </c>
      <c r="AB183" s="1199">
        <f t="shared" si="49"/>
        <v>1325590.3999999999</v>
      </c>
      <c r="AD183" s="1240"/>
      <c r="AE183" s="1241"/>
      <c r="AF183" s="1242"/>
      <c r="AG183" s="1243"/>
      <c r="AH183" s="1244"/>
    </row>
    <row r="184" spans="12:34" ht="14.5">
      <c r="L184" s="1194" t="s">
        <v>3383</v>
      </c>
      <c r="M184" s="1349" t="s">
        <v>3387</v>
      </c>
      <c r="N184" s="1196">
        <f t="shared" ref="N184" si="56">1.34102209*O184</f>
        <v>14.751242990000001</v>
      </c>
      <c r="O184" s="1154">
        <v>11</v>
      </c>
      <c r="P184" s="1141">
        <f>O184*1.9*1.25</f>
        <v>26.125</v>
      </c>
      <c r="Q184" s="1154" t="s">
        <v>3209</v>
      </c>
      <c r="R184" s="1197">
        <v>22</v>
      </c>
      <c r="S184" s="1132" t="s">
        <v>3170</v>
      </c>
      <c r="T184" s="1197">
        <v>1</v>
      </c>
      <c r="U184" s="1147" t="s">
        <v>3171</v>
      </c>
      <c r="V184" s="1148" t="s">
        <v>3220</v>
      </c>
      <c r="W184" s="1143" t="s">
        <v>3204</v>
      </c>
      <c r="X184" s="1156">
        <v>56011.9</v>
      </c>
      <c r="Y184" s="1156">
        <f t="shared" si="48"/>
        <v>1232261.8</v>
      </c>
      <c r="Z184" s="1138" t="s">
        <v>3150</v>
      </c>
      <c r="AA184" s="1156">
        <v>54322.1</v>
      </c>
      <c r="AB184" s="1199">
        <f t="shared" si="49"/>
        <v>1195086.2</v>
      </c>
      <c r="AD184" s="1240"/>
      <c r="AE184" s="1241"/>
      <c r="AF184" s="1242"/>
      <c r="AG184" s="1243"/>
      <c r="AH184" s="1244"/>
    </row>
    <row r="185" spans="12:34" ht="14.5">
      <c r="L185" s="1200"/>
      <c r="M185" s="1349"/>
      <c r="N185" s="1150"/>
      <c r="O185" s="1154"/>
      <c r="P185" s="1154"/>
      <c r="Q185" s="1154"/>
      <c r="R185" s="1197">
        <v>22</v>
      </c>
      <c r="S185" s="1132" t="s">
        <v>3170</v>
      </c>
      <c r="T185" s="1197">
        <v>1</v>
      </c>
      <c r="U185" s="1147" t="s">
        <v>3171</v>
      </c>
      <c r="V185" s="1148" t="s">
        <v>3221</v>
      </c>
      <c r="W185" s="1143" t="s">
        <v>3204</v>
      </c>
      <c r="X185" s="1156">
        <v>42713.3</v>
      </c>
      <c r="Y185" s="1156">
        <f t="shared" si="48"/>
        <v>939692.60000000009</v>
      </c>
      <c r="Z185" s="1138" t="s">
        <v>3150</v>
      </c>
      <c r="AA185" s="1156">
        <v>41424.699999999997</v>
      </c>
      <c r="AB185" s="1199">
        <f t="shared" si="49"/>
        <v>911343.39999999991</v>
      </c>
      <c r="AD185" s="1240">
        <v>1</v>
      </c>
      <c r="AE185" s="1241" t="s">
        <v>3610</v>
      </c>
      <c r="AF185" s="1242">
        <v>3</v>
      </c>
      <c r="AG185" s="1243" t="s">
        <v>3487</v>
      </c>
      <c r="AH185" s="1244" t="s">
        <v>3506</v>
      </c>
    </row>
    <row r="186" spans="12:34" ht="14.5">
      <c r="L186" s="1194" t="s">
        <v>3385</v>
      </c>
      <c r="M186" s="1349" t="s">
        <v>3388</v>
      </c>
      <c r="N186" s="1196">
        <f t="shared" ref="N186" si="57">1.34102209*O186</f>
        <v>14.751242990000001</v>
      </c>
      <c r="O186" s="1154">
        <v>11</v>
      </c>
      <c r="P186" s="1141">
        <f>O186*1.9*1.25</f>
        <v>26.125</v>
      </c>
      <c r="Q186" s="1154" t="s">
        <v>3209</v>
      </c>
      <c r="R186" s="1197">
        <v>22</v>
      </c>
      <c r="S186" s="1132" t="s">
        <v>3170</v>
      </c>
      <c r="T186" s="1197">
        <v>1</v>
      </c>
      <c r="U186" s="1147" t="s">
        <v>3171</v>
      </c>
      <c r="V186" s="1148" t="s">
        <v>3220</v>
      </c>
      <c r="W186" s="1143" t="s">
        <v>3204</v>
      </c>
      <c r="X186" s="1156">
        <v>56011.9</v>
      </c>
      <c r="Y186" s="1156">
        <f t="shared" si="48"/>
        <v>1232261.8</v>
      </c>
      <c r="Z186" s="1138" t="s">
        <v>3150</v>
      </c>
      <c r="AA186" s="1156">
        <v>54322.1</v>
      </c>
      <c r="AB186" s="1199">
        <f t="shared" si="49"/>
        <v>1195086.2</v>
      </c>
      <c r="AD186" s="1240">
        <v>2</v>
      </c>
      <c r="AE186" s="1241" t="s">
        <v>3611</v>
      </c>
      <c r="AF186" s="1242">
        <v>3</v>
      </c>
      <c r="AG186" s="1243" t="s">
        <v>3487</v>
      </c>
      <c r="AH186" s="1244" t="s">
        <v>3506</v>
      </c>
    </row>
    <row r="187" spans="12:34" ht="14.5">
      <c r="L187" s="1200"/>
      <c r="M187" s="1349"/>
      <c r="N187" s="1150"/>
      <c r="O187" s="1154"/>
      <c r="P187" s="1154"/>
      <c r="Q187" s="1154"/>
      <c r="R187" s="1197">
        <v>22</v>
      </c>
      <c r="S187" s="1132" t="s">
        <v>3170</v>
      </c>
      <c r="T187" s="1197">
        <v>1</v>
      </c>
      <c r="U187" s="1147" t="s">
        <v>3171</v>
      </c>
      <c r="V187" s="1148" t="s">
        <v>3221</v>
      </c>
      <c r="W187" s="1143" t="s">
        <v>3204</v>
      </c>
      <c r="X187" s="1156">
        <v>42713.3</v>
      </c>
      <c r="Y187" s="1156">
        <f t="shared" si="48"/>
        <v>939692.60000000009</v>
      </c>
      <c r="Z187" s="1138" t="s">
        <v>3150</v>
      </c>
      <c r="AA187" s="1156">
        <v>41424.699999999997</v>
      </c>
      <c r="AB187" s="1199">
        <f t="shared" si="49"/>
        <v>911343.39999999991</v>
      </c>
      <c r="AD187" s="1240">
        <v>3</v>
      </c>
      <c r="AE187" s="1241" t="s">
        <v>3611</v>
      </c>
      <c r="AF187" s="1242">
        <v>6</v>
      </c>
      <c r="AG187" s="1243" t="s">
        <v>3487</v>
      </c>
      <c r="AH187" s="1244" t="s">
        <v>3506</v>
      </c>
    </row>
    <row r="188" spans="12:34" ht="14.5">
      <c r="L188" s="1194" t="s">
        <v>3389</v>
      </c>
      <c r="M188" s="1195" t="s">
        <v>3390</v>
      </c>
      <c r="N188" s="1196">
        <f>1.34102209*O188</f>
        <v>7.3756214950000007</v>
      </c>
      <c r="O188" s="1154">
        <v>5.5</v>
      </c>
      <c r="P188" s="1141">
        <f>O188*1.9*1.25</f>
        <v>13.0625</v>
      </c>
      <c r="Q188" s="1154" t="s">
        <v>3202</v>
      </c>
      <c r="R188" s="1197">
        <v>30</v>
      </c>
      <c r="S188" s="1132" t="s">
        <v>3170</v>
      </c>
      <c r="T188" s="1197">
        <v>1</v>
      </c>
      <c r="U188" s="1147" t="s">
        <v>3171</v>
      </c>
      <c r="V188" s="1148" t="s">
        <v>3203</v>
      </c>
      <c r="W188" s="1143" t="s">
        <v>3204</v>
      </c>
      <c r="X188" s="1156">
        <v>25695.599999999999</v>
      </c>
      <c r="Y188" s="1156">
        <f>X188*R188</f>
        <v>770868</v>
      </c>
      <c r="Z188" s="1138" t="s">
        <v>3150</v>
      </c>
      <c r="AA188" s="1156">
        <v>24920.399999999998</v>
      </c>
      <c r="AB188" s="1199">
        <f>AA188*R188</f>
        <v>747611.99999999988</v>
      </c>
      <c r="AD188" s="1240">
        <v>4</v>
      </c>
      <c r="AE188" s="1241" t="s">
        <v>3572</v>
      </c>
      <c r="AF188" s="1242">
        <v>3</v>
      </c>
      <c r="AG188" s="1243" t="s">
        <v>3487</v>
      </c>
      <c r="AH188" s="1244" t="s">
        <v>3506</v>
      </c>
    </row>
    <row r="189" spans="12:34" ht="14.5">
      <c r="L189" s="1194" t="s">
        <v>3391</v>
      </c>
      <c r="M189" s="1195" t="s">
        <v>3392</v>
      </c>
      <c r="N189" s="1196">
        <f>1.34102209*O189</f>
        <v>5.3640883600000002</v>
      </c>
      <c r="O189" s="1154">
        <v>4</v>
      </c>
      <c r="P189" s="1141">
        <f>O189*1.9*1.25</f>
        <v>9.5</v>
      </c>
      <c r="Q189" s="1154" t="s">
        <v>3202</v>
      </c>
      <c r="R189" s="1197">
        <v>36</v>
      </c>
      <c r="S189" s="1132" t="s">
        <v>3170</v>
      </c>
      <c r="T189" s="1197">
        <v>1</v>
      </c>
      <c r="U189" s="1147" t="s">
        <v>3171</v>
      </c>
      <c r="V189" s="1148" t="s">
        <v>3203</v>
      </c>
      <c r="W189" s="1143" t="s">
        <v>3204</v>
      </c>
      <c r="X189" s="1156">
        <v>25695.599999999999</v>
      </c>
      <c r="Y189" s="1156">
        <f>X189*R189</f>
        <v>925041.6</v>
      </c>
      <c r="Z189" s="1138" t="s">
        <v>3150</v>
      </c>
      <c r="AA189" s="1156">
        <v>24920.399999999998</v>
      </c>
      <c r="AB189" s="1199">
        <f>AA189*R189</f>
        <v>897134.39999999991</v>
      </c>
      <c r="AD189" s="1240">
        <v>5</v>
      </c>
      <c r="AE189" s="1241" t="s">
        <v>3585</v>
      </c>
      <c r="AF189" s="1242">
        <v>3</v>
      </c>
      <c r="AG189" s="1243" t="s">
        <v>3487</v>
      </c>
      <c r="AH189" s="1244" t="s">
        <v>3546</v>
      </c>
    </row>
    <row r="190" spans="12:34" ht="14.5">
      <c r="L190" s="1194" t="s">
        <v>3393</v>
      </c>
      <c r="M190" s="1349" t="s">
        <v>3394</v>
      </c>
      <c r="N190" s="1196">
        <f t="shared" ref="N190" si="58">1.34102209*O190</f>
        <v>60.345994050000002</v>
      </c>
      <c r="O190" s="1154">
        <v>45</v>
      </c>
      <c r="P190" s="1141">
        <f>O190*1.9*1.25</f>
        <v>106.875</v>
      </c>
      <c r="Q190" s="1154" t="s">
        <v>3209</v>
      </c>
      <c r="R190" s="1197">
        <v>15</v>
      </c>
      <c r="S190" s="1132" t="s">
        <v>3170</v>
      </c>
      <c r="T190" s="1197">
        <v>1</v>
      </c>
      <c r="U190" s="1147" t="s">
        <v>3171</v>
      </c>
      <c r="V190" s="1148" t="s">
        <v>3183</v>
      </c>
      <c r="W190" s="1143" t="s">
        <v>3204</v>
      </c>
      <c r="X190" s="1156">
        <v>288962.8</v>
      </c>
      <c r="Y190" s="1156">
        <f t="shared" si="48"/>
        <v>4334442</v>
      </c>
      <c r="Z190" s="1138" t="s">
        <v>3150</v>
      </c>
      <c r="AA190" s="1156">
        <v>280245.2</v>
      </c>
      <c r="AB190" s="1199">
        <f t="shared" si="49"/>
        <v>4203678</v>
      </c>
      <c r="AD190" s="1240">
        <v>6</v>
      </c>
      <c r="AE190" s="1241" t="s">
        <v>3612</v>
      </c>
      <c r="AF190" s="1242">
        <v>3</v>
      </c>
      <c r="AG190" s="1243" t="s">
        <v>3487</v>
      </c>
      <c r="AH190" s="1244" t="s">
        <v>3506</v>
      </c>
    </row>
    <row r="191" spans="12:34" ht="14.5">
      <c r="L191" s="1200"/>
      <c r="M191" s="1349"/>
      <c r="N191" s="1150"/>
      <c r="O191" s="1154"/>
      <c r="P191" s="1154"/>
      <c r="Q191" s="1154"/>
      <c r="R191" s="1197">
        <v>15</v>
      </c>
      <c r="S191" s="1132" t="s">
        <v>3170</v>
      </c>
      <c r="T191" s="1197">
        <v>1</v>
      </c>
      <c r="U191" s="1147" t="s">
        <v>3171</v>
      </c>
      <c r="V191" s="1148" t="s">
        <v>3395</v>
      </c>
      <c r="W191" s="1143" t="s">
        <v>3204</v>
      </c>
      <c r="X191" s="1156">
        <v>162795.15</v>
      </c>
      <c r="Y191" s="1156">
        <f t="shared" si="48"/>
        <v>2441927.25</v>
      </c>
      <c r="Z191" s="1138" t="s">
        <v>3150</v>
      </c>
      <c r="AA191" s="1156">
        <v>157883.85</v>
      </c>
      <c r="AB191" s="1199">
        <f t="shared" si="49"/>
        <v>2368257.75</v>
      </c>
      <c r="AD191" s="1240">
        <v>7</v>
      </c>
      <c r="AE191" s="1241" t="s">
        <v>3574</v>
      </c>
      <c r="AF191" s="1242">
        <v>6</v>
      </c>
      <c r="AG191" s="1243" t="s">
        <v>3487</v>
      </c>
      <c r="AH191" s="1244" t="s">
        <v>3536</v>
      </c>
    </row>
    <row r="192" spans="12:34" ht="14.5">
      <c r="L192" s="1194" t="s">
        <v>3396</v>
      </c>
      <c r="M192" s="1349" t="s">
        <v>3397</v>
      </c>
      <c r="N192" s="1196">
        <f t="shared" ref="N192" si="59">1.34102209*O192</f>
        <v>60.345994050000002</v>
      </c>
      <c r="O192" s="1154">
        <v>45</v>
      </c>
      <c r="P192" s="1141">
        <f>O192*1.9*1.25</f>
        <v>106.875</v>
      </c>
      <c r="Q192" s="1154" t="s">
        <v>3209</v>
      </c>
      <c r="R192" s="1197">
        <v>15</v>
      </c>
      <c r="S192" s="1132" t="s">
        <v>3170</v>
      </c>
      <c r="T192" s="1197">
        <v>1</v>
      </c>
      <c r="U192" s="1147" t="s">
        <v>3171</v>
      </c>
      <c r="V192" s="1148" t="s">
        <v>3183</v>
      </c>
      <c r="W192" s="1143" t="s">
        <v>3204</v>
      </c>
      <c r="X192" s="1156">
        <v>288962.8</v>
      </c>
      <c r="Y192" s="1156">
        <f t="shared" si="48"/>
        <v>4334442</v>
      </c>
      <c r="Z192" s="1138" t="s">
        <v>3150</v>
      </c>
      <c r="AA192" s="1156">
        <v>280245.2</v>
      </c>
      <c r="AB192" s="1199">
        <f t="shared" si="49"/>
        <v>4203678</v>
      </c>
      <c r="AD192" s="1240">
        <v>8</v>
      </c>
      <c r="AE192" s="1241" t="s">
        <v>3575</v>
      </c>
      <c r="AF192" s="1242">
        <v>3</v>
      </c>
      <c r="AG192" s="1243" t="s">
        <v>3487</v>
      </c>
      <c r="AH192" s="1244" t="s">
        <v>3536</v>
      </c>
    </row>
    <row r="193" spans="12:34" ht="14.5">
      <c r="L193" s="1200"/>
      <c r="M193" s="1349"/>
      <c r="N193" s="1150"/>
      <c r="O193" s="1154"/>
      <c r="P193" s="1154"/>
      <c r="Q193" s="1154"/>
      <c r="R193" s="1197">
        <v>15</v>
      </c>
      <c r="S193" s="1132" t="s">
        <v>3170</v>
      </c>
      <c r="T193" s="1197">
        <v>1</v>
      </c>
      <c r="U193" s="1147" t="s">
        <v>3171</v>
      </c>
      <c r="V193" s="1148" t="s">
        <v>3395</v>
      </c>
      <c r="W193" s="1143" t="s">
        <v>3204</v>
      </c>
      <c r="X193" s="1156">
        <v>162795.15</v>
      </c>
      <c r="Y193" s="1156">
        <f t="shared" si="48"/>
        <v>2441927.25</v>
      </c>
      <c r="Z193" s="1138" t="s">
        <v>3150</v>
      </c>
      <c r="AA193" s="1156">
        <v>157883.85</v>
      </c>
      <c r="AB193" s="1199">
        <f t="shared" si="49"/>
        <v>2368257.75</v>
      </c>
      <c r="AD193" s="1240">
        <v>9</v>
      </c>
      <c r="AE193" s="1241" t="s">
        <v>3576</v>
      </c>
      <c r="AF193" s="1242">
        <v>3</v>
      </c>
      <c r="AG193" s="1243" t="s">
        <v>3487</v>
      </c>
      <c r="AH193" s="1244" t="s">
        <v>3536</v>
      </c>
    </row>
    <row r="194" spans="12:34" ht="14.5">
      <c r="L194" s="1194" t="s">
        <v>3396</v>
      </c>
      <c r="M194" s="1349" t="s">
        <v>3398</v>
      </c>
      <c r="N194" s="1196">
        <f t="shared" ref="N194" si="60">1.34102209*O194</f>
        <v>60.345994050000002</v>
      </c>
      <c r="O194" s="1154">
        <v>45</v>
      </c>
      <c r="P194" s="1141">
        <f>O194*1.9*1.25</f>
        <v>106.875</v>
      </c>
      <c r="Q194" s="1154" t="s">
        <v>3209</v>
      </c>
      <c r="R194" s="1197">
        <v>15</v>
      </c>
      <c r="S194" s="1132" t="s">
        <v>3170</v>
      </c>
      <c r="T194" s="1197">
        <v>1</v>
      </c>
      <c r="U194" s="1147" t="s">
        <v>3171</v>
      </c>
      <c r="V194" s="1148" t="s">
        <v>3183</v>
      </c>
      <c r="W194" s="1143" t="s">
        <v>3204</v>
      </c>
      <c r="X194" s="1156">
        <v>288962.8</v>
      </c>
      <c r="Y194" s="1156">
        <f t="shared" si="48"/>
        <v>4334442</v>
      </c>
      <c r="Z194" s="1138" t="s">
        <v>3150</v>
      </c>
      <c r="AA194" s="1156">
        <v>280245.2</v>
      </c>
      <c r="AB194" s="1199">
        <f t="shared" si="49"/>
        <v>4203678</v>
      </c>
      <c r="AD194" s="1240">
        <v>10</v>
      </c>
      <c r="AE194" s="1241" t="s">
        <v>3577</v>
      </c>
      <c r="AF194" s="1242">
        <v>6</v>
      </c>
      <c r="AG194" s="1243" t="s">
        <v>3487</v>
      </c>
      <c r="AH194" s="1244" t="s">
        <v>3546</v>
      </c>
    </row>
    <row r="195" spans="12:34" ht="14.5">
      <c r="L195" s="1200"/>
      <c r="M195" s="1349"/>
      <c r="N195" s="1150"/>
      <c r="O195" s="1154"/>
      <c r="P195" s="1154"/>
      <c r="Q195" s="1154"/>
      <c r="R195" s="1197">
        <v>15</v>
      </c>
      <c r="S195" s="1132" t="s">
        <v>3170</v>
      </c>
      <c r="T195" s="1197">
        <v>1</v>
      </c>
      <c r="U195" s="1147" t="s">
        <v>3171</v>
      </c>
      <c r="V195" s="1148" t="s">
        <v>3395</v>
      </c>
      <c r="W195" s="1143" t="s">
        <v>3204</v>
      </c>
      <c r="X195" s="1156">
        <v>162795.15</v>
      </c>
      <c r="Y195" s="1156">
        <f t="shared" si="48"/>
        <v>2441927.25</v>
      </c>
      <c r="Z195" s="1138" t="s">
        <v>3150</v>
      </c>
      <c r="AA195" s="1156">
        <v>157883.85</v>
      </c>
      <c r="AB195" s="1199">
        <f t="shared" si="49"/>
        <v>2368257.75</v>
      </c>
      <c r="AD195" s="1240">
        <v>11</v>
      </c>
      <c r="AE195" s="1241" t="s">
        <v>3562</v>
      </c>
      <c r="AF195" s="1242">
        <v>3</v>
      </c>
      <c r="AG195" s="1243" t="s">
        <v>3487</v>
      </c>
      <c r="AH195" s="1244" t="s">
        <v>3563</v>
      </c>
    </row>
    <row r="196" spans="12:34" ht="14.5">
      <c r="L196" s="1194" t="s">
        <v>3399</v>
      </c>
      <c r="M196" s="1195" t="s">
        <v>3400</v>
      </c>
      <c r="N196" s="1196">
        <f t="shared" ref="N196" si="61">1.34102209*O196</f>
        <v>10.057665675000001</v>
      </c>
      <c r="O196" s="1154">
        <v>7.5</v>
      </c>
      <c r="P196" s="1141">
        <f>O196*1.9*1.25</f>
        <v>17.8125</v>
      </c>
      <c r="Q196" s="1154" t="s">
        <v>3209</v>
      </c>
      <c r="R196" s="1197">
        <v>14</v>
      </c>
      <c r="S196" s="1132" t="s">
        <v>3170</v>
      </c>
      <c r="T196" s="1197">
        <v>1</v>
      </c>
      <c r="U196" s="1147" t="s">
        <v>3171</v>
      </c>
      <c r="V196" s="1148" t="s">
        <v>3191</v>
      </c>
      <c r="W196" s="1143" t="s">
        <v>3204</v>
      </c>
      <c r="X196" s="1156">
        <v>40008.5</v>
      </c>
      <c r="Y196" s="1156">
        <f t="shared" si="48"/>
        <v>560119</v>
      </c>
      <c r="Z196" s="1138" t="s">
        <v>3150</v>
      </c>
      <c r="AA196" s="1156">
        <v>38801.5</v>
      </c>
      <c r="AB196" s="1199">
        <f t="shared" si="49"/>
        <v>543221</v>
      </c>
      <c r="AD196" s="1240">
        <v>12</v>
      </c>
      <c r="AE196" s="1241" t="s">
        <v>3578</v>
      </c>
      <c r="AF196" s="1242">
        <v>1</v>
      </c>
      <c r="AG196" s="1243" t="s">
        <v>2872</v>
      </c>
      <c r="AH196" s="1244" t="s">
        <v>3500</v>
      </c>
    </row>
    <row r="197" spans="12:34" ht="14.5">
      <c r="L197" s="1200"/>
      <c r="M197" s="1195"/>
      <c r="N197" s="1150"/>
      <c r="O197" s="1154"/>
      <c r="P197" s="1154"/>
      <c r="Q197" s="1154"/>
      <c r="R197" s="1197">
        <v>14</v>
      </c>
      <c r="S197" s="1132" t="s">
        <v>3170</v>
      </c>
      <c r="T197" s="1197">
        <v>1</v>
      </c>
      <c r="U197" s="1147" t="s">
        <v>3171</v>
      </c>
      <c r="V197" s="1148" t="s">
        <v>3401</v>
      </c>
      <c r="W197" s="1143" t="s">
        <v>3204</v>
      </c>
      <c r="X197" s="1156">
        <v>30767.1</v>
      </c>
      <c r="Y197" s="1156">
        <f t="shared" si="48"/>
        <v>430739.39999999997</v>
      </c>
      <c r="Z197" s="1138" t="s">
        <v>3150</v>
      </c>
      <c r="AA197" s="1156">
        <v>29838.899999999998</v>
      </c>
      <c r="AB197" s="1199">
        <f t="shared" si="49"/>
        <v>417744.6</v>
      </c>
      <c r="AD197" s="1240"/>
      <c r="AE197" s="1241" t="s">
        <v>3579</v>
      </c>
      <c r="AF197" s="1242">
        <v>6</v>
      </c>
      <c r="AG197" s="1243" t="s">
        <v>3487</v>
      </c>
      <c r="AH197" s="1244" t="s">
        <v>3508</v>
      </c>
    </row>
    <row r="198" spans="12:34" ht="14.5">
      <c r="L198" s="1194" t="s">
        <v>3402</v>
      </c>
      <c r="M198" s="1195" t="s">
        <v>3403</v>
      </c>
      <c r="N198" s="1196">
        <f t="shared" ref="N198" si="62">1.34102209*O198</f>
        <v>10.057665675000001</v>
      </c>
      <c r="O198" s="1154">
        <v>7.5</v>
      </c>
      <c r="P198" s="1141">
        <f>O198*1.9*1.25</f>
        <v>17.8125</v>
      </c>
      <c r="Q198" s="1154" t="s">
        <v>3209</v>
      </c>
      <c r="R198" s="1197">
        <v>14</v>
      </c>
      <c r="S198" s="1132" t="s">
        <v>3170</v>
      </c>
      <c r="T198" s="1197">
        <v>1</v>
      </c>
      <c r="U198" s="1147" t="s">
        <v>3171</v>
      </c>
      <c r="V198" s="1148" t="s">
        <v>3191</v>
      </c>
      <c r="W198" s="1143" t="s">
        <v>3204</v>
      </c>
      <c r="X198" s="1156">
        <v>40008.5</v>
      </c>
      <c r="Y198" s="1156">
        <f t="shared" si="48"/>
        <v>560119</v>
      </c>
      <c r="Z198" s="1138" t="s">
        <v>3150</v>
      </c>
      <c r="AA198" s="1156">
        <v>38801.5</v>
      </c>
      <c r="AB198" s="1199">
        <f t="shared" si="49"/>
        <v>543221</v>
      </c>
      <c r="AD198" s="1240"/>
      <c r="AE198" s="1241"/>
      <c r="AF198" s="1242"/>
      <c r="AG198" s="1243"/>
      <c r="AH198" s="1244"/>
    </row>
    <row r="199" spans="12:34" ht="14.5">
      <c r="L199" s="1200"/>
      <c r="M199" s="1195"/>
      <c r="N199" s="1150"/>
      <c r="O199" s="1154"/>
      <c r="P199" s="1154"/>
      <c r="Q199" s="1154"/>
      <c r="R199" s="1197">
        <v>14</v>
      </c>
      <c r="S199" s="1132" t="s">
        <v>3170</v>
      </c>
      <c r="T199" s="1197">
        <v>1</v>
      </c>
      <c r="U199" s="1147" t="s">
        <v>3171</v>
      </c>
      <c r="V199" s="1148" t="s">
        <v>3401</v>
      </c>
      <c r="W199" s="1143" t="s">
        <v>3204</v>
      </c>
      <c r="X199" s="1156">
        <v>30767.1</v>
      </c>
      <c r="Y199" s="1156">
        <f t="shared" si="48"/>
        <v>430739.39999999997</v>
      </c>
      <c r="Z199" s="1138" t="s">
        <v>3150</v>
      </c>
      <c r="AA199" s="1156">
        <v>29838.899999999998</v>
      </c>
      <c r="AB199" s="1199">
        <f t="shared" si="49"/>
        <v>417744.6</v>
      </c>
      <c r="AD199" s="1240"/>
      <c r="AE199" s="1241" t="s">
        <v>3613</v>
      </c>
      <c r="AF199" s="1242"/>
      <c r="AG199" s="1243"/>
      <c r="AH199" s="1244"/>
    </row>
    <row r="200" spans="12:34" ht="14.5">
      <c r="L200" s="1194" t="s">
        <v>3404</v>
      </c>
      <c r="M200" s="1195" t="s">
        <v>3405</v>
      </c>
      <c r="N200" s="1196">
        <f t="shared" ref="N200" si="63">1.34102209*O200</f>
        <v>14.751242990000001</v>
      </c>
      <c r="O200" s="1154">
        <v>11</v>
      </c>
      <c r="P200" s="1141">
        <f>O200*1.9*1.25</f>
        <v>26.125</v>
      </c>
      <c r="Q200" s="1154" t="s">
        <v>3209</v>
      </c>
      <c r="R200" s="1197">
        <v>27</v>
      </c>
      <c r="S200" s="1132" t="s">
        <v>3170</v>
      </c>
      <c r="T200" s="1197">
        <v>1</v>
      </c>
      <c r="U200" s="1147" t="s">
        <v>3171</v>
      </c>
      <c r="V200" s="1148" t="s">
        <v>3220</v>
      </c>
      <c r="W200" s="1143" t="s">
        <v>3204</v>
      </c>
      <c r="X200" s="1156">
        <v>56011.9</v>
      </c>
      <c r="Y200" s="1156">
        <f t="shared" si="48"/>
        <v>1512321.3</v>
      </c>
      <c r="Z200" s="1138" t="s">
        <v>3150</v>
      </c>
      <c r="AA200" s="1156">
        <v>54322.1</v>
      </c>
      <c r="AB200" s="1199">
        <f t="shared" si="49"/>
        <v>1466696.7</v>
      </c>
      <c r="AD200" s="1240">
        <v>1</v>
      </c>
      <c r="AE200" s="1241" t="s">
        <v>3614</v>
      </c>
      <c r="AF200" s="1242"/>
      <c r="AG200" s="1243"/>
      <c r="AH200" s="1244"/>
    </row>
    <row r="201" spans="12:34" ht="14.5">
      <c r="L201" s="1200"/>
      <c r="M201" s="1195"/>
      <c r="N201" s="1150"/>
      <c r="O201" s="1154"/>
      <c r="P201" s="1154"/>
      <c r="Q201" s="1154"/>
      <c r="R201" s="1351">
        <v>27</v>
      </c>
      <c r="S201" s="1132" t="s">
        <v>3170</v>
      </c>
      <c r="T201" s="1197">
        <v>1</v>
      </c>
      <c r="U201" s="1147" t="s">
        <v>3171</v>
      </c>
      <c r="V201" s="1148" t="s">
        <v>3221</v>
      </c>
      <c r="W201" s="1143" t="s">
        <v>3204</v>
      </c>
      <c r="X201" s="1156">
        <v>42713.3</v>
      </c>
      <c r="Y201" s="1156">
        <f t="shared" si="48"/>
        <v>1153259.1000000001</v>
      </c>
      <c r="Z201" s="1138" t="s">
        <v>3150</v>
      </c>
      <c r="AA201" s="1156">
        <v>41424.699999999997</v>
      </c>
      <c r="AB201" s="1199">
        <f t="shared" si="49"/>
        <v>1118466.8999999999</v>
      </c>
      <c r="AD201" s="1240"/>
      <c r="AE201" s="1241"/>
      <c r="AF201" s="1242"/>
      <c r="AG201" s="1243"/>
      <c r="AH201" s="1244"/>
    </row>
    <row r="202" spans="12:34" ht="14.5">
      <c r="L202" s="1194" t="s">
        <v>3406</v>
      </c>
      <c r="M202" s="1195" t="s">
        <v>3407</v>
      </c>
      <c r="N202" s="1196">
        <f t="shared" ref="N202" si="64">1.34102209*O202</f>
        <v>14.751242990000001</v>
      </c>
      <c r="O202" s="1154">
        <v>11</v>
      </c>
      <c r="P202" s="1141">
        <f>O202*1.9*1.25</f>
        <v>26.125</v>
      </c>
      <c r="Q202" s="1154" t="s">
        <v>3209</v>
      </c>
      <c r="R202" s="1197">
        <v>27</v>
      </c>
      <c r="S202" s="1132" t="s">
        <v>3170</v>
      </c>
      <c r="T202" s="1197">
        <v>1</v>
      </c>
      <c r="U202" s="1147" t="s">
        <v>3171</v>
      </c>
      <c r="V202" s="1148" t="s">
        <v>3220</v>
      </c>
      <c r="W202" s="1143" t="s">
        <v>3204</v>
      </c>
      <c r="X202" s="1156">
        <v>56011.9</v>
      </c>
      <c r="Y202" s="1156">
        <f t="shared" si="48"/>
        <v>1512321.3</v>
      </c>
      <c r="Z202" s="1138" t="s">
        <v>3150</v>
      </c>
      <c r="AA202" s="1156">
        <v>54322.1</v>
      </c>
      <c r="AB202" s="1199">
        <f t="shared" si="49"/>
        <v>1466696.7</v>
      </c>
      <c r="AD202" s="1240">
        <v>1</v>
      </c>
      <c r="AE202" s="1241" t="s">
        <v>3615</v>
      </c>
      <c r="AF202" s="1242">
        <v>1</v>
      </c>
      <c r="AG202" s="1243" t="s">
        <v>3505</v>
      </c>
      <c r="AH202" s="1244" t="s">
        <v>3506</v>
      </c>
    </row>
    <row r="203" spans="12:34" ht="14.5">
      <c r="L203" s="1200"/>
      <c r="M203" s="1195"/>
      <c r="N203" s="1150"/>
      <c r="O203" s="1154"/>
      <c r="P203" s="1154"/>
      <c r="Q203" s="1154"/>
      <c r="R203" s="1197">
        <v>27</v>
      </c>
      <c r="S203" s="1132" t="s">
        <v>3170</v>
      </c>
      <c r="T203" s="1197">
        <v>1</v>
      </c>
      <c r="U203" s="1147" t="s">
        <v>3171</v>
      </c>
      <c r="V203" s="1148" t="s">
        <v>3221</v>
      </c>
      <c r="W203" s="1143" t="s">
        <v>3204</v>
      </c>
      <c r="X203" s="1156">
        <v>42713.3</v>
      </c>
      <c r="Y203" s="1156">
        <f t="shared" si="48"/>
        <v>1153259.1000000001</v>
      </c>
      <c r="Z203" s="1138" t="s">
        <v>3150</v>
      </c>
      <c r="AA203" s="1156">
        <v>41424.699999999997</v>
      </c>
      <c r="AB203" s="1199">
        <f t="shared" si="49"/>
        <v>1118466.8999999999</v>
      </c>
      <c r="AD203" s="1240">
        <v>2</v>
      </c>
      <c r="AE203" s="1241" t="s">
        <v>3616</v>
      </c>
      <c r="AF203" s="1242">
        <v>1</v>
      </c>
      <c r="AG203" s="1243" t="s">
        <v>3505</v>
      </c>
      <c r="AH203" s="1244" t="s">
        <v>3506</v>
      </c>
    </row>
    <row r="204" spans="12:34" ht="14.5">
      <c r="L204" s="1194" t="s">
        <v>3408</v>
      </c>
      <c r="M204" s="1195" t="s">
        <v>3409</v>
      </c>
      <c r="N204" s="1196">
        <f t="shared" ref="N204" si="65">1.34102209*O204</f>
        <v>20.115331350000002</v>
      </c>
      <c r="O204" s="1154">
        <v>15</v>
      </c>
      <c r="P204" s="1141">
        <f>O204*1.9*1.25</f>
        <v>35.625</v>
      </c>
      <c r="Q204" s="1154" t="s">
        <v>3209</v>
      </c>
      <c r="R204" s="1197">
        <v>32</v>
      </c>
      <c r="S204" s="1132" t="s">
        <v>3170</v>
      </c>
      <c r="T204" s="1197">
        <v>1</v>
      </c>
      <c r="U204" s="1147" t="s">
        <v>3171</v>
      </c>
      <c r="V204" s="1148" t="s">
        <v>3220</v>
      </c>
      <c r="W204" s="1143" t="s">
        <v>3204</v>
      </c>
      <c r="X204" s="1156">
        <v>56011.9</v>
      </c>
      <c r="Y204" s="1156">
        <f t="shared" si="48"/>
        <v>1792380.8</v>
      </c>
      <c r="Z204" s="1138" t="s">
        <v>3150</v>
      </c>
      <c r="AA204" s="1156">
        <v>54322.1</v>
      </c>
      <c r="AB204" s="1199">
        <f t="shared" si="49"/>
        <v>1738307.2</v>
      </c>
      <c r="AD204" s="1240">
        <v>3</v>
      </c>
      <c r="AE204" s="1241" t="s">
        <v>3572</v>
      </c>
      <c r="AF204" s="1242">
        <v>1</v>
      </c>
      <c r="AG204" s="1243" t="s">
        <v>3505</v>
      </c>
      <c r="AH204" s="1244" t="s">
        <v>3506</v>
      </c>
    </row>
    <row r="205" spans="12:34" ht="14.5">
      <c r="L205" s="1200"/>
      <c r="M205" s="1195"/>
      <c r="N205" s="1150"/>
      <c r="O205" s="1154"/>
      <c r="P205" s="1154"/>
      <c r="Q205" s="1154"/>
      <c r="R205" s="1351">
        <v>32</v>
      </c>
      <c r="S205" s="1132" t="s">
        <v>3170</v>
      </c>
      <c r="T205" s="1197">
        <v>1</v>
      </c>
      <c r="U205" s="1147" t="s">
        <v>3171</v>
      </c>
      <c r="V205" s="1148" t="s">
        <v>3221</v>
      </c>
      <c r="W205" s="1143" t="s">
        <v>3204</v>
      </c>
      <c r="X205" s="1156">
        <v>42713.3</v>
      </c>
      <c r="Y205" s="1156">
        <f t="shared" si="48"/>
        <v>1366825.6</v>
      </c>
      <c r="Z205" s="1138" t="s">
        <v>3150</v>
      </c>
      <c r="AA205" s="1156">
        <v>41424.699999999997</v>
      </c>
      <c r="AB205" s="1199">
        <f t="shared" si="49"/>
        <v>1325590.3999999999</v>
      </c>
      <c r="AD205" s="1240">
        <v>4</v>
      </c>
      <c r="AE205" s="1241" t="s">
        <v>3617</v>
      </c>
      <c r="AF205" s="1242">
        <v>1</v>
      </c>
      <c r="AG205" s="1243" t="s">
        <v>3505</v>
      </c>
      <c r="AH205" s="1244" t="s">
        <v>3506</v>
      </c>
    </row>
    <row r="206" spans="12:34" ht="14.5">
      <c r="L206" s="1194" t="s">
        <v>3410</v>
      </c>
      <c r="M206" s="1195" t="s">
        <v>3411</v>
      </c>
      <c r="N206" s="1196">
        <f t="shared" ref="N206" si="66">1.34102209*O206</f>
        <v>20.115331350000002</v>
      </c>
      <c r="O206" s="1154">
        <v>15</v>
      </c>
      <c r="P206" s="1141">
        <f>O206*1.9*1.25</f>
        <v>35.625</v>
      </c>
      <c r="Q206" s="1154" t="s">
        <v>3209</v>
      </c>
      <c r="R206" s="1197">
        <v>32</v>
      </c>
      <c r="S206" s="1132" t="s">
        <v>3170</v>
      </c>
      <c r="T206" s="1197">
        <v>1</v>
      </c>
      <c r="U206" s="1147" t="s">
        <v>3171</v>
      </c>
      <c r="V206" s="1148" t="s">
        <v>3220</v>
      </c>
      <c r="W206" s="1143" t="s">
        <v>3204</v>
      </c>
      <c r="X206" s="1156">
        <v>56011.9</v>
      </c>
      <c r="Y206" s="1156">
        <f t="shared" si="48"/>
        <v>1792380.8</v>
      </c>
      <c r="Z206" s="1138" t="s">
        <v>3150</v>
      </c>
      <c r="AA206" s="1156">
        <v>54322.1</v>
      </c>
      <c r="AB206" s="1199">
        <f t="shared" si="49"/>
        <v>1738307.2</v>
      </c>
      <c r="AD206" s="1240">
        <v>5</v>
      </c>
      <c r="AE206" s="1241" t="s">
        <v>3574</v>
      </c>
      <c r="AF206" s="1242">
        <v>2</v>
      </c>
      <c r="AG206" s="1243" t="s">
        <v>3487</v>
      </c>
      <c r="AH206" s="1244" t="s">
        <v>3536</v>
      </c>
    </row>
    <row r="207" spans="12:34" ht="14.5">
      <c r="L207" s="1200"/>
      <c r="M207" s="1195"/>
      <c r="N207" s="1150"/>
      <c r="O207" s="1154"/>
      <c r="P207" s="1154"/>
      <c r="Q207" s="1154"/>
      <c r="R207" s="1197">
        <v>32</v>
      </c>
      <c r="S207" s="1132" t="s">
        <v>3170</v>
      </c>
      <c r="T207" s="1197">
        <v>1</v>
      </c>
      <c r="U207" s="1147" t="s">
        <v>3171</v>
      </c>
      <c r="V207" s="1148" t="s">
        <v>3221</v>
      </c>
      <c r="W207" s="1143" t="s">
        <v>3204</v>
      </c>
      <c r="X207" s="1156">
        <v>42713.3</v>
      </c>
      <c r="Y207" s="1156">
        <f t="shared" si="48"/>
        <v>1366825.6</v>
      </c>
      <c r="Z207" s="1138" t="s">
        <v>3150</v>
      </c>
      <c r="AA207" s="1156">
        <v>41424.699999999997</v>
      </c>
      <c r="AB207" s="1199">
        <f t="shared" si="49"/>
        <v>1325590.3999999999</v>
      </c>
      <c r="AD207" s="1240">
        <v>6</v>
      </c>
      <c r="AE207" s="1241" t="s">
        <v>3575</v>
      </c>
      <c r="AF207" s="1242">
        <v>1</v>
      </c>
      <c r="AG207" s="1243" t="s">
        <v>3505</v>
      </c>
      <c r="AH207" s="1244" t="s">
        <v>3536</v>
      </c>
    </row>
    <row r="208" spans="12:34" ht="14.5">
      <c r="L208" s="1194" t="s">
        <v>3391</v>
      </c>
      <c r="M208" s="1195" t="s">
        <v>3214</v>
      </c>
      <c r="N208" s="1145"/>
      <c r="O208" s="1142"/>
      <c r="P208" s="1142"/>
      <c r="Q208" s="1154"/>
      <c r="R208" s="1197">
        <v>300</v>
      </c>
      <c r="S208" s="1132" t="s">
        <v>3170</v>
      </c>
      <c r="T208" s="1191">
        <v>1</v>
      </c>
      <c r="U208" s="1147" t="s">
        <v>3171</v>
      </c>
      <c r="V208" s="1148" t="s">
        <v>3215</v>
      </c>
      <c r="W208" s="1143" t="s">
        <v>3204</v>
      </c>
      <c r="X208" s="1156">
        <v>14481.95</v>
      </c>
      <c r="Y208" s="1156">
        <f t="shared" si="48"/>
        <v>4344585</v>
      </c>
      <c r="Z208" s="1138" t="s">
        <v>3150</v>
      </c>
      <c r="AA208" s="1156">
        <v>14045.05</v>
      </c>
      <c r="AB208" s="1199">
        <f t="shared" si="49"/>
        <v>4213515</v>
      </c>
      <c r="AD208" s="1240">
        <v>7</v>
      </c>
      <c r="AE208" s="1241" t="s">
        <v>3576</v>
      </c>
      <c r="AF208" s="1242">
        <v>1</v>
      </c>
      <c r="AG208" s="1243" t="s">
        <v>3505</v>
      </c>
      <c r="AH208" s="1244" t="s">
        <v>3536</v>
      </c>
    </row>
    <row r="209" spans="12:34" ht="14.5">
      <c r="L209" s="1201"/>
      <c r="M209" s="1202"/>
      <c r="N209" s="1209"/>
      <c r="O209" s="1205"/>
      <c r="P209" s="1205"/>
      <c r="Q209" s="1205"/>
      <c r="R209" s="1206"/>
      <c r="S209" s="1207"/>
      <c r="T209" s="1206"/>
      <c r="U209" s="1208"/>
      <c r="V209" s="1207"/>
      <c r="W209" s="1209"/>
      <c r="X209" s="1210"/>
      <c r="Y209" s="1210"/>
      <c r="Z209" s="1202"/>
      <c r="AA209" s="1210"/>
      <c r="AB209" s="1211"/>
      <c r="AD209" s="1240">
        <v>8</v>
      </c>
      <c r="AE209" s="1241" t="s">
        <v>3618</v>
      </c>
      <c r="AF209" s="1242">
        <v>1</v>
      </c>
      <c r="AG209" s="1243" t="s">
        <v>3505</v>
      </c>
      <c r="AH209" s="1244" t="s">
        <v>3619</v>
      </c>
    </row>
    <row r="210" spans="12:34" ht="15" thickBot="1">
      <c r="L210" s="1719" t="s">
        <v>2240</v>
      </c>
      <c r="M210" s="1720"/>
      <c r="N210" s="1070">
        <f>SUM(N167:N207)</f>
        <v>448.03548026900006</v>
      </c>
      <c r="O210" s="1070">
        <f>SUM(O167:O207)</f>
        <v>334.1</v>
      </c>
      <c r="P210" s="1070">
        <f>SUM(P167:P207)</f>
        <v>793.48749999999995</v>
      </c>
      <c r="Q210" s="1041"/>
      <c r="R210" s="1054"/>
      <c r="S210" s="1055"/>
      <c r="T210" s="1054"/>
      <c r="U210" s="1056"/>
      <c r="V210" s="1055"/>
      <c r="W210" s="1057"/>
      <c r="X210" s="1058"/>
      <c r="Y210" s="1058"/>
      <c r="Z210" s="1042"/>
      <c r="AA210" s="1058"/>
      <c r="AB210" s="1095">
        <f>SUM(AB168:AB209)</f>
        <v>64367699.049999997</v>
      </c>
      <c r="AD210" s="1240">
        <v>9</v>
      </c>
      <c r="AE210" s="1241" t="s">
        <v>3577</v>
      </c>
      <c r="AF210" s="1242">
        <v>2</v>
      </c>
      <c r="AG210" s="1243" t="s">
        <v>3487</v>
      </c>
      <c r="AH210" s="1244" t="s">
        <v>3546</v>
      </c>
    </row>
    <row r="211" spans="12:34" ht="26.5" thickTop="1">
      <c r="L211" s="1071">
        <v>7</v>
      </c>
      <c r="M211" s="1072" t="s">
        <v>3412</v>
      </c>
      <c r="N211" s="1073"/>
      <c r="O211" s="1074"/>
      <c r="P211" s="1074"/>
      <c r="Q211" s="1075"/>
      <c r="R211" s="1076">
        <v>1</v>
      </c>
      <c r="S211" s="1077" t="s">
        <v>2844</v>
      </c>
      <c r="T211" s="1076"/>
      <c r="U211" s="1078"/>
      <c r="V211" s="1077"/>
      <c r="W211" s="1073"/>
      <c r="X211" s="1079"/>
      <c r="Y211" s="1080">
        <v>25000000</v>
      </c>
      <c r="Z211" s="1081"/>
      <c r="AA211" s="1079"/>
      <c r="AB211" s="1097">
        <v>25000000</v>
      </c>
      <c r="AD211" s="1240">
        <v>10</v>
      </c>
      <c r="AE211" s="1241" t="s">
        <v>3562</v>
      </c>
      <c r="AF211" s="1242">
        <v>1</v>
      </c>
      <c r="AG211" s="1243" t="s">
        <v>3505</v>
      </c>
      <c r="AH211" s="1244" t="s">
        <v>3563</v>
      </c>
    </row>
    <row r="212" spans="12:34" ht="15" thickBot="1">
      <c r="L212" s="1082"/>
      <c r="M212" s="1042"/>
      <c r="N212" s="1057"/>
      <c r="O212" s="1083"/>
      <c r="P212" s="1083"/>
      <c r="Q212" s="1041"/>
      <c r="R212" s="1054"/>
      <c r="S212" s="1055"/>
      <c r="T212" s="1054"/>
      <c r="U212" s="1056"/>
      <c r="V212" s="1055"/>
      <c r="W212" s="1057"/>
      <c r="X212" s="1058"/>
      <c r="Y212" s="1058"/>
      <c r="Z212" s="1042"/>
      <c r="AA212" s="1058"/>
      <c r="AB212" s="1098"/>
      <c r="AD212" s="1240">
        <v>11</v>
      </c>
      <c r="AE212" s="1241" t="s">
        <v>3578</v>
      </c>
      <c r="AF212" s="1242">
        <v>1</v>
      </c>
      <c r="AG212" s="1243" t="s">
        <v>2872</v>
      </c>
      <c r="AH212" s="1244" t="s">
        <v>3500</v>
      </c>
    </row>
    <row r="213" spans="12:34" ht="15.5" thickTop="1" thickBot="1">
      <c r="L213" s="1084"/>
      <c r="M213" s="1085" t="s">
        <v>3413</v>
      </c>
      <c r="N213" s="1085"/>
      <c r="O213" s="1086">
        <f>SUM(O46,O71,O97,O112,O165,O210)</f>
        <v>1487.6999999999998</v>
      </c>
      <c r="P213" s="1087"/>
      <c r="Q213" s="1085"/>
      <c r="R213" s="1088"/>
      <c r="S213" s="1089"/>
      <c r="T213" s="1088"/>
      <c r="U213" s="1007"/>
      <c r="V213" s="1089"/>
      <c r="W213" s="1085"/>
      <c r="X213" s="1090">
        <v>18753150</v>
      </c>
      <c r="Y213" s="1090">
        <f>SUM(Y36:Y212)</f>
        <v>297856058.92500001</v>
      </c>
      <c r="Z213" s="1085"/>
      <c r="AA213" s="1723">
        <f>SUM(AB211,AB210,AB165,AB112,AB97,AB71,AB46)</f>
        <v>291747884.27499998</v>
      </c>
      <c r="AB213" s="1724"/>
      <c r="AD213" s="1240"/>
      <c r="AE213" s="1241" t="s">
        <v>3579</v>
      </c>
      <c r="AF213" s="1242">
        <v>1</v>
      </c>
      <c r="AG213" s="1243" t="s">
        <v>3505</v>
      </c>
      <c r="AH213" s="1244" t="s">
        <v>3508</v>
      </c>
    </row>
    <row r="214" spans="12:34" ht="15.5" thickTop="1" thickBot="1">
      <c r="L214" s="1725" t="s">
        <v>3197</v>
      </c>
      <c r="M214" s="1726"/>
      <c r="N214" s="1726"/>
      <c r="O214" s="1726"/>
      <c r="P214" s="1726"/>
      <c r="Q214" s="1726"/>
      <c r="R214" s="1726"/>
      <c r="S214" s="1726"/>
      <c r="T214" s="1726"/>
      <c r="U214" s="1726"/>
      <c r="V214" s="1726"/>
      <c r="W214" s="1726"/>
      <c r="X214" s="1726"/>
      <c r="Y214" s="1726"/>
      <c r="Z214" s="1727"/>
      <c r="AA214" s="1728">
        <f>AA213*121%+46985060.0272501</f>
        <v>400000000.00000006</v>
      </c>
      <c r="AB214" s="1729"/>
      <c r="AD214" s="1240"/>
      <c r="AE214" s="1241"/>
      <c r="AF214" s="1242"/>
      <c r="AG214" s="1243"/>
      <c r="AH214" s="1244"/>
    </row>
    <row r="215" spans="12:34" ht="14.5">
      <c r="AD215" s="1240"/>
      <c r="AE215" s="1241" t="s">
        <v>3620</v>
      </c>
      <c r="AF215" s="1242"/>
      <c r="AG215" s="1243"/>
      <c r="AH215" s="1244"/>
    </row>
    <row r="216" spans="12:34" ht="16" thickBot="1">
      <c r="L216" s="1671" t="s">
        <v>3415</v>
      </c>
      <c r="M216" s="1671"/>
      <c r="N216" s="1001"/>
      <c r="O216" s="1001"/>
      <c r="P216" s="1001"/>
      <c r="Q216" s="1001"/>
      <c r="R216" s="1001"/>
      <c r="S216" s="1001"/>
      <c r="T216" s="1001"/>
      <c r="U216" s="1001"/>
      <c r="V216" s="1001"/>
      <c r="W216" s="998"/>
      <c r="X216" s="1040"/>
      <c r="Y216" s="1040"/>
      <c r="Z216" s="1001"/>
      <c r="AA216" s="1040"/>
      <c r="AD216" s="1240">
        <v>1</v>
      </c>
      <c r="AE216" s="1241" t="s">
        <v>3621</v>
      </c>
      <c r="AF216" s="1242"/>
      <c r="AG216" s="1243"/>
      <c r="AH216" s="1244"/>
    </row>
    <row r="217" spans="12:34" ht="13.25" customHeight="1">
      <c r="L217" s="1672" t="s">
        <v>3135</v>
      </c>
      <c r="M217" s="1661" t="s">
        <v>3136</v>
      </c>
      <c r="N217" s="1661" t="s">
        <v>3137</v>
      </c>
      <c r="O217" s="1661"/>
      <c r="P217" s="1674" t="s">
        <v>3138</v>
      </c>
      <c r="Q217" s="1675"/>
      <c r="R217" s="1674" t="s">
        <v>3139</v>
      </c>
      <c r="S217" s="1678"/>
      <c r="T217" s="1678"/>
      <c r="U217" s="1675"/>
      <c r="V217" s="1661" t="s">
        <v>3140</v>
      </c>
      <c r="W217" s="1637" t="s">
        <v>3141</v>
      </c>
      <c r="X217" s="1638"/>
      <c r="Y217" s="1091"/>
      <c r="AB217"/>
      <c r="AD217" s="1240"/>
      <c r="AE217" s="1241"/>
      <c r="AF217" s="1242"/>
      <c r="AG217" s="1243"/>
      <c r="AH217" s="1244"/>
    </row>
    <row r="218" spans="12:34" ht="13.25" customHeight="1">
      <c r="L218" s="1673"/>
      <c r="M218" s="1662"/>
      <c r="N218" s="1662"/>
      <c r="O218" s="1662"/>
      <c r="P218" s="1676"/>
      <c r="Q218" s="1677"/>
      <c r="R218" s="1676"/>
      <c r="S218" s="1679"/>
      <c r="T218" s="1679"/>
      <c r="U218" s="1677"/>
      <c r="V218" s="1662"/>
      <c r="W218" s="1639"/>
      <c r="X218" s="1640"/>
      <c r="Y218" s="1091"/>
      <c r="AB218"/>
      <c r="AD218" s="1240">
        <v>1</v>
      </c>
      <c r="AE218" s="1241" t="s">
        <v>3622</v>
      </c>
      <c r="AF218" s="1242">
        <v>1</v>
      </c>
      <c r="AG218" s="1243" t="s">
        <v>3505</v>
      </c>
      <c r="AH218" s="1244" t="s">
        <v>3506</v>
      </c>
    </row>
    <row r="219" spans="12:34" ht="14.5">
      <c r="L219" s="1288">
        <v>1</v>
      </c>
      <c r="M219" s="1289" t="s">
        <v>3416</v>
      </c>
      <c r="N219" s="1292">
        <v>30</v>
      </c>
      <c r="O219" s="1311" t="s">
        <v>3417</v>
      </c>
      <c r="P219" s="1688" t="s">
        <v>3418</v>
      </c>
      <c r="Q219" s="1688"/>
      <c r="R219" s="1689" t="s">
        <v>3419</v>
      </c>
      <c r="S219" s="1690"/>
      <c r="T219" s="1690"/>
      <c r="U219" s="1691"/>
      <c r="V219" s="1293">
        <v>1475000</v>
      </c>
      <c r="W219" s="1635">
        <f t="shared" ref="W219:W227" si="67">V219*N219</f>
        <v>44250000</v>
      </c>
      <c r="X219" s="1636"/>
      <c r="Y219" s="1091"/>
      <c r="AB219"/>
      <c r="AD219" s="1240">
        <v>2</v>
      </c>
      <c r="AE219" s="1241" t="s">
        <v>3623</v>
      </c>
      <c r="AF219" s="1242">
        <v>1</v>
      </c>
      <c r="AG219" s="1243" t="s">
        <v>3505</v>
      </c>
      <c r="AH219" s="1244" t="s">
        <v>3506</v>
      </c>
    </row>
    <row r="220" spans="12:34" ht="14.5">
      <c r="L220" s="1194">
        <f>+L219+1</f>
        <v>2</v>
      </c>
      <c r="M220" s="1319" t="s">
        <v>3420</v>
      </c>
      <c r="N220" s="1297">
        <v>10</v>
      </c>
      <c r="O220" s="1294" t="s">
        <v>3417</v>
      </c>
      <c r="P220" s="1667" t="s">
        <v>3418</v>
      </c>
      <c r="Q220" s="1667"/>
      <c r="R220" s="1668" t="s">
        <v>3421</v>
      </c>
      <c r="S220" s="1669"/>
      <c r="T220" s="1669"/>
      <c r="U220" s="1670"/>
      <c r="V220" s="1301">
        <v>1475000</v>
      </c>
      <c r="W220" s="1629">
        <f t="shared" si="67"/>
        <v>14750000</v>
      </c>
      <c r="X220" s="1630"/>
      <c r="Y220" s="1091"/>
      <c r="AB220"/>
      <c r="AD220" s="1240">
        <v>3</v>
      </c>
      <c r="AE220" s="1241" t="s">
        <v>3572</v>
      </c>
      <c r="AF220" s="1242">
        <v>1</v>
      </c>
      <c r="AG220" s="1243" t="s">
        <v>3505</v>
      </c>
      <c r="AH220" s="1244" t="s">
        <v>3506</v>
      </c>
    </row>
    <row r="221" spans="12:34" ht="26">
      <c r="L221" s="1194">
        <f>+L220+1</f>
        <v>3</v>
      </c>
      <c r="M221" s="1294" t="s">
        <v>3422</v>
      </c>
      <c r="N221" s="1298">
        <v>100</v>
      </c>
      <c r="O221" s="1296" t="s">
        <v>3417</v>
      </c>
      <c r="P221" s="1667" t="s">
        <v>3418</v>
      </c>
      <c r="Q221" s="1667"/>
      <c r="R221" s="1668" t="s">
        <v>3423</v>
      </c>
      <c r="S221" s="1669"/>
      <c r="T221" s="1669"/>
      <c r="U221" s="1670"/>
      <c r="V221" s="1301">
        <v>527500</v>
      </c>
      <c r="W221" s="1629">
        <f t="shared" si="67"/>
        <v>52750000</v>
      </c>
      <c r="X221" s="1630"/>
      <c r="Y221" s="1091"/>
      <c r="AB221"/>
      <c r="AD221" s="1240">
        <v>4</v>
      </c>
      <c r="AE221" s="1241" t="s">
        <v>3624</v>
      </c>
      <c r="AF221" s="1242">
        <v>1</v>
      </c>
      <c r="AG221" s="1243" t="s">
        <v>3505</v>
      </c>
      <c r="AH221" s="1244" t="s">
        <v>3506</v>
      </c>
    </row>
    <row r="222" spans="12:34" ht="14.5">
      <c r="L222" s="1194">
        <f t="shared" ref="L222:L227" si="68">+L221+1</f>
        <v>4</v>
      </c>
      <c r="M222" s="1302" t="s">
        <v>3424</v>
      </c>
      <c r="N222" s="1298">
        <v>20</v>
      </c>
      <c r="O222" s="1296" t="s">
        <v>3417</v>
      </c>
      <c r="P222" s="1667" t="s">
        <v>3425</v>
      </c>
      <c r="Q222" s="1667"/>
      <c r="R222" s="1668"/>
      <c r="S222" s="1669"/>
      <c r="T222" s="1669"/>
      <c r="U222" s="1670"/>
      <c r="V222" s="1301">
        <v>53250</v>
      </c>
      <c r="W222" s="1629">
        <f t="shared" si="67"/>
        <v>1065000</v>
      </c>
      <c r="X222" s="1630"/>
      <c r="Y222" s="1091"/>
      <c r="AB222"/>
      <c r="AD222" s="1240">
        <v>5</v>
      </c>
      <c r="AE222" s="1241" t="s">
        <v>3574</v>
      </c>
      <c r="AF222" s="1242">
        <v>2</v>
      </c>
      <c r="AG222" s="1243" t="s">
        <v>3487</v>
      </c>
      <c r="AH222" s="1244" t="s">
        <v>3536</v>
      </c>
    </row>
    <row r="223" spans="12:34" ht="14.5">
      <c r="L223" s="1194">
        <f t="shared" si="68"/>
        <v>5</v>
      </c>
      <c r="M223" s="1302" t="s">
        <v>3426</v>
      </c>
      <c r="N223" s="1298">
        <v>12</v>
      </c>
      <c r="O223" s="1296" t="s">
        <v>3417</v>
      </c>
      <c r="P223" s="1667" t="s">
        <v>3425</v>
      </c>
      <c r="Q223" s="1667"/>
      <c r="R223" s="1668"/>
      <c r="S223" s="1669"/>
      <c r="T223" s="1669"/>
      <c r="U223" s="1670"/>
      <c r="V223" s="1301">
        <v>53500</v>
      </c>
      <c r="W223" s="1629">
        <f t="shared" si="67"/>
        <v>642000</v>
      </c>
      <c r="X223" s="1630"/>
      <c r="Y223" s="1091"/>
      <c r="AB223"/>
      <c r="AD223" s="1240">
        <v>6</v>
      </c>
      <c r="AE223" s="1241" t="s">
        <v>3575</v>
      </c>
      <c r="AF223" s="1242">
        <v>1</v>
      </c>
      <c r="AG223" s="1243" t="s">
        <v>3505</v>
      </c>
      <c r="AH223" s="1244" t="s">
        <v>3536</v>
      </c>
    </row>
    <row r="224" spans="12:34" ht="14.5">
      <c r="L224" s="1194">
        <f t="shared" si="68"/>
        <v>6</v>
      </c>
      <c r="M224" s="1302" t="s">
        <v>3427</v>
      </c>
      <c r="N224" s="1298">
        <v>10</v>
      </c>
      <c r="O224" s="1296" t="s">
        <v>3417</v>
      </c>
      <c r="P224" s="1667" t="s">
        <v>3425</v>
      </c>
      <c r="Q224" s="1667"/>
      <c r="R224" s="1668"/>
      <c r="S224" s="1669"/>
      <c r="T224" s="1669"/>
      <c r="U224" s="1670"/>
      <c r="V224" s="1301">
        <v>47500</v>
      </c>
      <c r="W224" s="1629">
        <f t="shared" si="67"/>
        <v>475000</v>
      </c>
      <c r="X224" s="1630"/>
      <c r="Y224" s="1091"/>
      <c r="AB224"/>
      <c r="AD224" s="1240">
        <v>7</v>
      </c>
      <c r="AE224" s="1241" t="s">
        <v>3576</v>
      </c>
      <c r="AF224" s="1242">
        <v>1</v>
      </c>
      <c r="AG224" s="1243" t="s">
        <v>3505</v>
      </c>
      <c r="AH224" s="1244" t="s">
        <v>3536</v>
      </c>
    </row>
    <row r="225" spans="12:34" ht="14.5">
      <c r="L225" s="1194">
        <f t="shared" si="68"/>
        <v>7</v>
      </c>
      <c r="M225" s="1294" t="s">
        <v>3428</v>
      </c>
      <c r="N225" s="1297">
        <v>1000</v>
      </c>
      <c r="O225" s="1294" t="s">
        <v>3170</v>
      </c>
      <c r="P225" s="1684" t="s">
        <v>3429</v>
      </c>
      <c r="Q225" s="1684"/>
      <c r="R225" s="1685"/>
      <c r="S225" s="1686"/>
      <c r="T225" s="1686"/>
      <c r="U225" s="1687"/>
      <c r="V225" s="1301">
        <v>14750</v>
      </c>
      <c r="W225" s="1629">
        <f t="shared" si="67"/>
        <v>14750000</v>
      </c>
      <c r="X225" s="1630"/>
      <c r="Y225" s="1091"/>
      <c r="AB225"/>
      <c r="AD225" s="1240">
        <v>8</v>
      </c>
      <c r="AE225" s="1241" t="s">
        <v>3577</v>
      </c>
      <c r="AF225" s="1242">
        <v>2</v>
      </c>
      <c r="AG225" s="1243" t="s">
        <v>3487</v>
      </c>
      <c r="AH225" s="1244" t="s">
        <v>3546</v>
      </c>
    </row>
    <row r="226" spans="12:34" ht="26">
      <c r="L226" s="1194">
        <f t="shared" si="68"/>
        <v>8</v>
      </c>
      <c r="M226" s="1294" t="s">
        <v>3430</v>
      </c>
      <c r="N226" s="1297">
        <v>200</v>
      </c>
      <c r="O226" s="1294" t="s">
        <v>3431</v>
      </c>
      <c r="P226" s="1667" t="s">
        <v>3432</v>
      </c>
      <c r="Q226" s="1667"/>
      <c r="R226" s="1668"/>
      <c r="S226" s="1669"/>
      <c r="T226" s="1669"/>
      <c r="U226" s="1670"/>
      <c r="V226" s="1301">
        <v>37500</v>
      </c>
      <c r="W226" s="1629">
        <f t="shared" si="67"/>
        <v>7500000</v>
      </c>
      <c r="X226" s="1630"/>
      <c r="Y226" s="1091"/>
      <c r="AB226"/>
      <c r="AD226" s="1240">
        <v>9</v>
      </c>
      <c r="AE226" s="1241" t="s">
        <v>3562</v>
      </c>
      <c r="AF226" s="1242">
        <v>1</v>
      </c>
      <c r="AG226" s="1243" t="s">
        <v>3505</v>
      </c>
      <c r="AH226" s="1244" t="s">
        <v>3563</v>
      </c>
    </row>
    <row r="227" spans="12:34" ht="15" thickBot="1">
      <c r="L227" s="1303">
        <f t="shared" si="68"/>
        <v>9</v>
      </c>
      <c r="M227" s="1304" t="s">
        <v>3433</v>
      </c>
      <c r="N227" s="1305">
        <v>1</v>
      </c>
      <c r="O227" s="1304" t="s">
        <v>2844</v>
      </c>
      <c r="P227" s="1716"/>
      <c r="Q227" s="1717"/>
      <c r="R227" s="1716"/>
      <c r="S227" s="1718"/>
      <c r="T227" s="1718"/>
      <c r="U227" s="1717"/>
      <c r="V227" s="1306">
        <v>6250000</v>
      </c>
      <c r="W227" s="1643">
        <f t="shared" si="67"/>
        <v>6250000</v>
      </c>
      <c r="X227" s="1644"/>
      <c r="Y227" s="1091"/>
      <c r="AB227"/>
      <c r="AD227" s="1240">
        <v>10</v>
      </c>
      <c r="AE227" s="1241" t="s">
        <v>3578</v>
      </c>
      <c r="AF227" s="1242">
        <v>1</v>
      </c>
      <c r="AG227" s="1243" t="s">
        <v>2872</v>
      </c>
      <c r="AH227" s="1244" t="s">
        <v>3500</v>
      </c>
    </row>
    <row r="228" spans="12:34" ht="15.5" thickTop="1" thickBot="1">
      <c r="L228" s="1113" t="s">
        <v>2240</v>
      </c>
      <c r="M228" s="1110"/>
      <c r="N228" s="1110"/>
      <c r="O228" s="1110"/>
      <c r="P228" s="1110"/>
      <c r="Q228" s="1110"/>
      <c r="R228" s="1110"/>
      <c r="S228" s="1110"/>
      <c r="T228" s="1110"/>
      <c r="U228" s="1110"/>
      <c r="V228" s="1625">
        <f>SUM(W219:X227)</f>
        <v>142432000</v>
      </c>
      <c r="W228" s="1625"/>
      <c r="X228" s="1626"/>
      <c r="Y228" s="1091"/>
      <c r="AB228"/>
      <c r="AD228" s="1240"/>
      <c r="AE228" s="1241" t="s">
        <v>3579</v>
      </c>
      <c r="AF228" s="1242">
        <v>1</v>
      </c>
      <c r="AG228" s="1243" t="s">
        <v>3505</v>
      </c>
      <c r="AH228" s="1244" t="s">
        <v>3508</v>
      </c>
    </row>
    <row r="229" spans="12:34" ht="15.5" thickTop="1" thickBot="1">
      <c r="L229" s="1114" t="s">
        <v>3197</v>
      </c>
      <c r="M229" s="1112"/>
      <c r="N229" s="1112"/>
      <c r="O229" s="1112"/>
      <c r="P229" s="1112"/>
      <c r="Q229" s="1112"/>
      <c r="R229" s="1112"/>
      <c r="S229" s="1112"/>
      <c r="T229" s="1112"/>
      <c r="U229" s="1112"/>
      <c r="V229" s="1627">
        <f>V228*121%+7657280</f>
        <v>180000000</v>
      </c>
      <c r="W229" s="1627"/>
      <c r="X229" s="1628"/>
      <c r="Y229" s="1091"/>
      <c r="AB229"/>
      <c r="AD229" s="1240"/>
      <c r="AE229" s="1241"/>
      <c r="AF229" s="1242"/>
      <c r="AG229" s="1243"/>
      <c r="AH229" s="1244"/>
    </row>
    <row r="230" spans="12:34" ht="14.5">
      <c r="L230" s="998"/>
      <c r="M230" s="997"/>
      <c r="N230" s="997"/>
      <c r="O230" s="1099"/>
      <c r="P230" s="1099"/>
      <c r="Q230" s="998"/>
      <c r="R230" s="997"/>
      <c r="S230" s="997"/>
      <c r="T230" s="997"/>
      <c r="U230" s="997"/>
      <c r="V230" s="997"/>
      <c r="W230" s="997"/>
      <c r="X230" s="1000"/>
      <c r="Y230" s="1091"/>
      <c r="AB230"/>
      <c r="AD230" s="1240"/>
      <c r="AE230" s="1241" t="s">
        <v>3625</v>
      </c>
      <c r="AF230" s="1242"/>
      <c r="AG230" s="1243"/>
      <c r="AH230" s="1244"/>
    </row>
    <row r="231" spans="12:34" ht="16" thickBot="1">
      <c r="L231" s="1671" t="s">
        <v>3434</v>
      </c>
      <c r="M231" s="1671"/>
      <c r="N231" s="1001"/>
      <c r="O231" s="1001"/>
      <c r="P231" s="1001"/>
      <c r="Q231" s="1001"/>
      <c r="R231" s="1001"/>
      <c r="S231" s="1001"/>
      <c r="T231" s="1001"/>
      <c r="U231" s="1001"/>
      <c r="V231" s="1001"/>
      <c r="W231" s="1001"/>
      <c r="X231" s="1040"/>
      <c r="Y231" s="1091"/>
      <c r="AB231"/>
      <c r="AD231" s="1240">
        <v>1</v>
      </c>
      <c r="AE231" s="1287" t="s">
        <v>3626</v>
      </c>
      <c r="AF231" s="1264"/>
      <c r="AG231" s="1243"/>
      <c r="AH231" s="1244"/>
    </row>
    <row r="232" spans="12:34" ht="13.25" customHeight="1">
      <c r="L232" s="1672" t="s">
        <v>3135</v>
      </c>
      <c r="M232" s="1661" t="s">
        <v>3136</v>
      </c>
      <c r="N232" s="1661" t="s">
        <v>3137</v>
      </c>
      <c r="O232" s="1661"/>
      <c r="P232" s="1674" t="s">
        <v>3138</v>
      </c>
      <c r="Q232" s="1675"/>
      <c r="R232" s="1674" t="s">
        <v>3139</v>
      </c>
      <c r="S232" s="1678"/>
      <c r="T232" s="1678"/>
      <c r="U232" s="1675"/>
      <c r="V232" s="1661" t="s">
        <v>3140</v>
      </c>
      <c r="W232" s="1637" t="s">
        <v>3141</v>
      </c>
      <c r="X232" s="1638"/>
      <c r="Y232" s="1091"/>
      <c r="AB232"/>
      <c r="AD232" s="1240">
        <v>2</v>
      </c>
      <c r="AE232" s="1287" t="s">
        <v>3627</v>
      </c>
      <c r="AF232" s="1264"/>
      <c r="AG232" s="1243"/>
      <c r="AH232" s="1244"/>
    </row>
    <row r="233" spans="12:34" ht="13.25" customHeight="1">
      <c r="L233" s="1673"/>
      <c r="M233" s="1662"/>
      <c r="N233" s="1662"/>
      <c r="O233" s="1662"/>
      <c r="P233" s="1676"/>
      <c r="Q233" s="1677"/>
      <c r="R233" s="1676"/>
      <c r="S233" s="1679"/>
      <c r="T233" s="1679"/>
      <c r="U233" s="1677"/>
      <c r="V233" s="1662"/>
      <c r="W233" s="1639"/>
      <c r="X233" s="1640"/>
      <c r="Y233" s="1091"/>
      <c r="AB233"/>
      <c r="AD233" s="1240">
        <v>3</v>
      </c>
      <c r="AE233" s="1287" t="s">
        <v>3628</v>
      </c>
      <c r="AF233" s="1264"/>
      <c r="AG233" s="1243"/>
      <c r="AH233" s="1244"/>
    </row>
    <row r="234" spans="12:34" ht="14.5">
      <c r="L234" s="1288">
        <v>1</v>
      </c>
      <c r="M234" s="1289" t="s">
        <v>3435</v>
      </c>
      <c r="N234" s="1292">
        <v>2</v>
      </c>
      <c r="O234" s="1311" t="s">
        <v>3417</v>
      </c>
      <c r="P234" s="1688" t="s">
        <v>3436</v>
      </c>
      <c r="Q234" s="1688"/>
      <c r="R234" s="1689" t="s">
        <v>3437</v>
      </c>
      <c r="S234" s="1690"/>
      <c r="T234" s="1690"/>
      <c r="U234" s="1691"/>
      <c r="V234" s="1293">
        <v>3850000</v>
      </c>
      <c r="W234" s="1635">
        <f t="shared" ref="W234:W240" si="69">V234*N234</f>
        <v>7700000</v>
      </c>
      <c r="X234" s="1636"/>
      <c r="Y234" s="1091"/>
      <c r="AB234"/>
      <c r="AD234" s="1240"/>
      <c r="AE234" s="1287"/>
      <c r="AF234" s="1242"/>
      <c r="AG234" s="1243"/>
      <c r="AH234" s="1244"/>
    </row>
    <row r="235" spans="12:34" ht="14.5">
      <c r="L235" s="1194">
        <v>2</v>
      </c>
      <c r="M235" s="1294" t="s">
        <v>3438</v>
      </c>
      <c r="N235" s="1298">
        <v>2</v>
      </c>
      <c r="O235" s="1296" t="s">
        <v>3417</v>
      </c>
      <c r="P235" s="1667"/>
      <c r="Q235" s="1667"/>
      <c r="R235" s="1668"/>
      <c r="S235" s="1669"/>
      <c r="T235" s="1669"/>
      <c r="U235" s="1670"/>
      <c r="V235" s="1301">
        <v>900000</v>
      </c>
      <c r="W235" s="1629">
        <f t="shared" si="69"/>
        <v>1800000</v>
      </c>
      <c r="X235" s="1630"/>
      <c r="Y235" s="1091"/>
      <c r="AB235"/>
      <c r="AD235" s="1240">
        <v>1</v>
      </c>
      <c r="AE235" s="1241" t="s">
        <v>3629</v>
      </c>
      <c r="AF235" s="1242">
        <v>3</v>
      </c>
      <c r="AG235" s="1243" t="s">
        <v>3487</v>
      </c>
      <c r="AH235" s="1244" t="s">
        <v>3506</v>
      </c>
    </row>
    <row r="236" spans="12:34" ht="14.5">
      <c r="L236" s="1194">
        <v>3</v>
      </c>
      <c r="M236" s="1302" t="s">
        <v>3439</v>
      </c>
      <c r="N236" s="1298">
        <v>10</v>
      </c>
      <c r="O236" s="1296" t="s">
        <v>3417</v>
      </c>
      <c r="P236" s="1667"/>
      <c r="Q236" s="1667"/>
      <c r="R236" s="1668"/>
      <c r="S236" s="1669"/>
      <c r="T236" s="1669"/>
      <c r="U236" s="1670"/>
      <c r="V236" s="1301">
        <v>62500</v>
      </c>
      <c r="W236" s="1629">
        <f t="shared" si="69"/>
        <v>625000</v>
      </c>
      <c r="X236" s="1630"/>
      <c r="Y236" s="1091"/>
      <c r="AB236"/>
      <c r="AD236" s="1240">
        <v>2</v>
      </c>
      <c r="AE236" s="1241" t="s">
        <v>3630</v>
      </c>
      <c r="AF236" s="1242">
        <v>3</v>
      </c>
      <c r="AG236" s="1243" t="s">
        <v>3487</v>
      </c>
      <c r="AH236" s="1244" t="s">
        <v>3506</v>
      </c>
    </row>
    <row r="237" spans="12:34" ht="14.5">
      <c r="L237" s="1194">
        <v>4</v>
      </c>
      <c r="M237" s="1302" t="s">
        <v>3440</v>
      </c>
      <c r="N237" s="1298">
        <v>50</v>
      </c>
      <c r="O237" s="1296" t="s">
        <v>3417</v>
      </c>
      <c r="P237" s="1667"/>
      <c r="Q237" s="1667"/>
      <c r="R237" s="1668"/>
      <c r="S237" s="1669"/>
      <c r="T237" s="1669"/>
      <c r="U237" s="1670"/>
      <c r="V237" s="1301">
        <v>115000</v>
      </c>
      <c r="W237" s="1629">
        <f t="shared" si="69"/>
        <v>5750000</v>
      </c>
      <c r="X237" s="1630"/>
      <c r="Y237" s="1091"/>
      <c r="AB237"/>
      <c r="AD237" s="1240">
        <v>3</v>
      </c>
      <c r="AE237" s="1241" t="s">
        <v>3572</v>
      </c>
      <c r="AF237" s="1242">
        <v>3</v>
      </c>
      <c r="AG237" s="1243" t="s">
        <v>3487</v>
      </c>
      <c r="AH237" s="1244" t="s">
        <v>3506</v>
      </c>
    </row>
    <row r="238" spans="12:34" ht="14.5">
      <c r="L238" s="1194">
        <v>5</v>
      </c>
      <c r="M238" s="1302" t="s">
        <v>3441</v>
      </c>
      <c r="N238" s="1298">
        <v>2</v>
      </c>
      <c r="O238" s="1296" t="s">
        <v>3417</v>
      </c>
      <c r="P238" s="1667"/>
      <c r="Q238" s="1667"/>
      <c r="R238" s="1668"/>
      <c r="S238" s="1669"/>
      <c r="T238" s="1669"/>
      <c r="U238" s="1670"/>
      <c r="V238" s="1301">
        <v>4115000</v>
      </c>
      <c r="W238" s="1629">
        <f t="shared" si="69"/>
        <v>8230000</v>
      </c>
      <c r="X238" s="1630"/>
      <c r="Y238" s="1091"/>
      <c r="AB238"/>
      <c r="AD238" s="1240">
        <v>4</v>
      </c>
      <c r="AE238" s="1241" t="s">
        <v>3612</v>
      </c>
      <c r="AF238" s="1242">
        <v>3</v>
      </c>
      <c r="AG238" s="1243" t="s">
        <v>3487</v>
      </c>
      <c r="AH238" s="1244" t="s">
        <v>3506</v>
      </c>
    </row>
    <row r="239" spans="12:34" ht="14.5">
      <c r="L239" s="1194">
        <v>6</v>
      </c>
      <c r="M239" s="1294" t="s">
        <v>3442</v>
      </c>
      <c r="N239" s="1297">
        <v>6</v>
      </c>
      <c r="O239" s="1294" t="s">
        <v>3170</v>
      </c>
      <c r="P239" s="1684"/>
      <c r="Q239" s="1684"/>
      <c r="R239" s="1685"/>
      <c r="S239" s="1686"/>
      <c r="T239" s="1686"/>
      <c r="U239" s="1687"/>
      <c r="V239" s="1301">
        <v>1025000</v>
      </c>
      <c r="W239" s="1629">
        <f t="shared" si="69"/>
        <v>6150000</v>
      </c>
      <c r="X239" s="1630"/>
      <c r="Y239" s="1091"/>
      <c r="AB239"/>
      <c r="AD239" s="1240">
        <v>5</v>
      </c>
      <c r="AE239" s="1241" t="s">
        <v>3574</v>
      </c>
      <c r="AF239" s="1242">
        <v>6</v>
      </c>
      <c r="AG239" s="1243" t="s">
        <v>3487</v>
      </c>
      <c r="AH239" s="1244" t="s">
        <v>3536</v>
      </c>
    </row>
    <row r="240" spans="12:34" ht="14.5">
      <c r="L240" s="1194">
        <v>7</v>
      </c>
      <c r="M240" s="1294" t="s">
        <v>3443</v>
      </c>
      <c r="N240" s="1297">
        <v>2</v>
      </c>
      <c r="O240" s="1294" t="s">
        <v>3431</v>
      </c>
      <c r="P240" s="1667"/>
      <c r="Q240" s="1667"/>
      <c r="R240" s="1668"/>
      <c r="S240" s="1669"/>
      <c r="T240" s="1669"/>
      <c r="U240" s="1670"/>
      <c r="V240" s="1301">
        <v>1750000</v>
      </c>
      <c r="W240" s="1629">
        <f t="shared" si="69"/>
        <v>3500000</v>
      </c>
      <c r="X240" s="1630"/>
      <c r="Y240" s="1091"/>
      <c r="AB240"/>
      <c r="AD240" s="1240">
        <v>6</v>
      </c>
      <c r="AE240" s="1241" t="s">
        <v>3575</v>
      </c>
      <c r="AF240" s="1242">
        <v>3</v>
      </c>
      <c r="AG240" s="1243" t="s">
        <v>3487</v>
      </c>
      <c r="AH240" s="1244" t="s">
        <v>3536</v>
      </c>
    </row>
    <row r="241" spans="12:34" ht="14.5">
      <c r="L241" s="1194">
        <v>8</v>
      </c>
      <c r="M241" s="1294" t="s">
        <v>3444</v>
      </c>
      <c r="N241" s="1297">
        <v>50</v>
      </c>
      <c r="O241" s="1294"/>
      <c r="P241" s="1668" t="s">
        <v>3150</v>
      </c>
      <c r="Q241" s="1670"/>
      <c r="R241" s="1308"/>
      <c r="S241" s="1309"/>
      <c r="T241" s="1309"/>
      <c r="U241" s="1310"/>
      <c r="V241" s="1301">
        <v>132500</v>
      </c>
      <c r="W241" s="1629"/>
      <c r="X241" s="1630"/>
      <c r="Y241" s="1091"/>
      <c r="AB241"/>
      <c r="AD241" s="1240">
        <v>7</v>
      </c>
      <c r="AE241" s="1241" t="s">
        <v>3576</v>
      </c>
      <c r="AF241" s="1242">
        <v>3</v>
      </c>
      <c r="AG241" s="1243" t="s">
        <v>3487</v>
      </c>
      <c r="AH241" s="1244" t="s">
        <v>3536</v>
      </c>
    </row>
    <row r="242" spans="12:34" ht="26.5" thickBot="1">
      <c r="L242" s="1303">
        <v>9</v>
      </c>
      <c r="M242" s="1304" t="s">
        <v>3445</v>
      </c>
      <c r="N242" s="1305">
        <v>2</v>
      </c>
      <c r="O242" s="1304" t="s">
        <v>2844</v>
      </c>
      <c r="P242" s="1716"/>
      <c r="Q242" s="1717"/>
      <c r="R242" s="1716"/>
      <c r="S242" s="1718"/>
      <c r="T242" s="1718"/>
      <c r="U242" s="1717"/>
      <c r="V242" s="1306">
        <v>3750000</v>
      </c>
      <c r="W242" s="1643">
        <f>V242*N242</f>
        <v>7500000</v>
      </c>
      <c r="X242" s="1644"/>
      <c r="Y242" s="1091"/>
      <c r="AB242"/>
      <c r="AD242" s="1240">
        <v>8</v>
      </c>
      <c r="AE242" s="1241" t="s">
        <v>3577</v>
      </c>
      <c r="AF242" s="1242">
        <v>6</v>
      </c>
      <c r="AG242" s="1243" t="s">
        <v>3487</v>
      </c>
      <c r="AH242" s="1244" t="s">
        <v>3546</v>
      </c>
    </row>
    <row r="243" spans="12:34" ht="15.5" thickTop="1" thickBot="1">
      <c r="L243" s="1113" t="s">
        <v>2240</v>
      </c>
      <c r="M243" s="1110"/>
      <c r="N243" s="1110"/>
      <c r="O243" s="1110"/>
      <c r="P243" s="1110"/>
      <c r="Q243" s="1110"/>
      <c r="R243" s="1110"/>
      <c r="S243" s="1110"/>
      <c r="T243" s="1110"/>
      <c r="U243" s="1110"/>
      <c r="V243" s="1625">
        <f>SUM(W234:X242)</f>
        <v>41255000</v>
      </c>
      <c r="W243" s="1625"/>
      <c r="X243" s="1626"/>
      <c r="Y243" s="1091"/>
      <c r="AB243"/>
      <c r="AD243" s="1240">
        <v>9</v>
      </c>
      <c r="AE243" s="1241" t="s">
        <v>3562</v>
      </c>
      <c r="AF243" s="1242">
        <v>3</v>
      </c>
      <c r="AG243" s="1243" t="s">
        <v>3487</v>
      </c>
      <c r="AH243" s="1244" t="s">
        <v>3563</v>
      </c>
    </row>
    <row r="244" spans="12:34" ht="15.5" thickTop="1" thickBot="1">
      <c r="L244" s="1114" t="s">
        <v>3197</v>
      </c>
      <c r="M244" s="1112"/>
      <c r="N244" s="1112"/>
      <c r="O244" s="1112"/>
      <c r="P244" s="1112"/>
      <c r="Q244" s="1112"/>
      <c r="R244" s="1112"/>
      <c r="S244" s="1112"/>
      <c r="T244" s="1112"/>
      <c r="U244" s="1112"/>
      <c r="V244" s="1627">
        <f>V243*121%+10081450</f>
        <v>60000000</v>
      </c>
      <c r="W244" s="1627"/>
      <c r="X244" s="1628"/>
      <c r="Y244" s="1091"/>
      <c r="AB244"/>
      <c r="AD244" s="1240">
        <v>10</v>
      </c>
      <c r="AE244" s="1241" t="s">
        <v>3578</v>
      </c>
      <c r="AF244" s="1242">
        <v>1</v>
      </c>
      <c r="AG244" s="1243" t="s">
        <v>2872</v>
      </c>
      <c r="AH244" s="1244" t="s">
        <v>3500</v>
      </c>
    </row>
    <row r="245" spans="12:34" ht="14.5">
      <c r="L245" s="998"/>
      <c r="M245" s="997"/>
      <c r="N245" s="997"/>
      <c r="O245" s="1099"/>
      <c r="P245" s="1099"/>
      <c r="Q245" s="998"/>
      <c r="R245" s="997"/>
      <c r="S245" s="997"/>
      <c r="T245" s="997"/>
      <c r="U245" s="997"/>
      <c r="V245" s="997"/>
      <c r="W245" s="997"/>
      <c r="X245" s="1000"/>
      <c r="Y245" s="1091"/>
      <c r="AB245"/>
      <c r="AD245" s="1240"/>
      <c r="AE245" s="1241" t="s">
        <v>3579</v>
      </c>
      <c r="AF245" s="1242">
        <v>3</v>
      </c>
      <c r="AG245" s="1243" t="s">
        <v>3487</v>
      </c>
      <c r="AH245" s="1244" t="s">
        <v>3508</v>
      </c>
    </row>
    <row r="246" spans="12:34" ht="16" thickBot="1">
      <c r="L246" s="1100" t="s">
        <v>3446</v>
      </c>
      <c r="M246" s="1100"/>
      <c r="N246" s="1001"/>
      <c r="O246" s="1001"/>
      <c r="P246" s="1001"/>
      <c r="Q246" s="1001"/>
      <c r="R246" s="1001"/>
      <c r="S246" s="1001"/>
      <c r="T246" s="1001"/>
      <c r="U246" s="1001"/>
      <c r="V246" s="1001"/>
      <c r="W246" s="1001"/>
      <c r="X246" s="1040"/>
      <c r="Y246" s="1091"/>
      <c r="AB246"/>
      <c r="AD246" s="1240"/>
      <c r="AE246" s="1241"/>
      <c r="AF246" s="1242"/>
      <c r="AG246" s="1243"/>
      <c r="AH246" s="1244"/>
    </row>
    <row r="247" spans="12:34" ht="13.25" customHeight="1">
      <c r="L247" s="1672" t="s">
        <v>3135</v>
      </c>
      <c r="M247" s="1661" t="s">
        <v>3136</v>
      </c>
      <c r="N247" s="1661" t="s">
        <v>3137</v>
      </c>
      <c r="O247" s="1661"/>
      <c r="P247" s="1674" t="s">
        <v>3138</v>
      </c>
      <c r="Q247" s="1675"/>
      <c r="R247" s="1674" t="s">
        <v>3139</v>
      </c>
      <c r="S247" s="1678"/>
      <c r="T247" s="1678"/>
      <c r="U247" s="1675"/>
      <c r="V247" s="1661" t="s">
        <v>3140</v>
      </c>
      <c r="W247" s="1637" t="s">
        <v>3141</v>
      </c>
      <c r="X247" s="1638"/>
      <c r="Y247" s="1091"/>
      <c r="AB247"/>
      <c r="AD247" s="1240"/>
      <c r="AE247" s="1241" t="s">
        <v>3631</v>
      </c>
      <c r="AF247" s="1242"/>
      <c r="AG247" s="1243"/>
      <c r="AH247" s="1244"/>
    </row>
    <row r="248" spans="12:34" ht="13.25" customHeight="1">
      <c r="L248" s="1673"/>
      <c r="M248" s="1662"/>
      <c r="N248" s="1662"/>
      <c r="O248" s="1662"/>
      <c r="P248" s="1676"/>
      <c r="Q248" s="1677"/>
      <c r="R248" s="1676"/>
      <c r="S248" s="1679"/>
      <c r="T248" s="1679"/>
      <c r="U248" s="1677"/>
      <c r="V248" s="1662"/>
      <c r="W248" s="1639"/>
      <c r="X248" s="1640"/>
      <c r="Y248" s="1091"/>
      <c r="AB248"/>
      <c r="AD248" s="1240">
        <v>1</v>
      </c>
      <c r="AE248" s="1241" t="s">
        <v>3602</v>
      </c>
      <c r="AF248" s="1242">
        <v>1</v>
      </c>
      <c r="AG248" s="1243" t="s">
        <v>2907</v>
      </c>
      <c r="AH248" s="1244" t="s">
        <v>2241</v>
      </c>
    </row>
    <row r="249" spans="12:34" ht="15" thickBot="1">
      <c r="L249" s="1328" t="s">
        <v>93</v>
      </c>
      <c r="M249" s="1329" t="s">
        <v>3447</v>
      </c>
      <c r="N249" s="1330"/>
      <c r="O249" s="1331"/>
      <c r="P249" s="1663"/>
      <c r="Q249" s="1663"/>
      <c r="R249" s="1701"/>
      <c r="S249" s="1702"/>
      <c r="T249" s="1702"/>
      <c r="U249" s="1703"/>
      <c r="V249" s="1293"/>
      <c r="W249" s="1635"/>
      <c r="X249" s="1636"/>
      <c r="Y249" s="1091"/>
      <c r="AB249"/>
      <c r="AD249" s="1285"/>
      <c r="AE249" s="1255" t="s">
        <v>2240</v>
      </c>
      <c r="AF249" s="1256">
        <v>1</v>
      </c>
      <c r="AG249" s="1286" t="s">
        <v>3499</v>
      </c>
      <c r="AH249" s="1255"/>
    </row>
    <row r="250" spans="12:34" ht="15" thickTop="1">
      <c r="L250" s="1194">
        <v>1</v>
      </c>
      <c r="M250" s="1294" t="s">
        <v>3448</v>
      </c>
      <c r="N250" s="1317"/>
      <c r="O250" s="1318"/>
      <c r="P250" s="1653" t="s">
        <v>3449</v>
      </c>
      <c r="Q250" s="1653"/>
      <c r="R250" s="1654" t="s">
        <v>3450</v>
      </c>
      <c r="S250" s="1655"/>
      <c r="T250" s="1655"/>
      <c r="U250" s="1656"/>
      <c r="V250" s="1301"/>
      <c r="W250" s="1629"/>
      <c r="X250" s="1630"/>
      <c r="Y250" s="1091"/>
      <c r="AB250"/>
      <c r="AD250" s="1257"/>
      <c r="AE250" s="1258"/>
      <c r="AF250" s="1259"/>
      <c r="AG250" s="1257"/>
      <c r="AH250" s="1257"/>
    </row>
    <row r="251" spans="12:34" ht="15" thickBot="1">
      <c r="L251" s="1320"/>
      <c r="M251" s="1321" t="s">
        <v>3451</v>
      </c>
      <c r="N251" s="1326">
        <v>50</v>
      </c>
      <c r="O251" s="1205" t="s">
        <v>3170</v>
      </c>
      <c r="P251" s="1704"/>
      <c r="Q251" s="1704"/>
      <c r="R251" s="1705"/>
      <c r="S251" s="1706"/>
      <c r="T251" s="1706"/>
      <c r="U251" s="1707"/>
      <c r="V251" s="1323"/>
      <c r="W251" s="1647"/>
      <c r="X251" s="1648"/>
      <c r="Y251" s="1091"/>
      <c r="AB251"/>
      <c r="AD251" s="1260">
        <v>4</v>
      </c>
      <c r="AE251" s="1261" t="s">
        <v>3632</v>
      </c>
      <c r="AF251" s="1262"/>
      <c r="AG251" s="1263"/>
      <c r="AH251" s="1263"/>
    </row>
    <row r="252" spans="12:34" ht="15.5" thickTop="1" thickBot="1">
      <c r="L252" s="1101"/>
      <c r="M252" s="1004" t="s">
        <v>3452</v>
      </c>
      <c r="N252" s="1102">
        <f>N251</f>
        <v>50</v>
      </c>
      <c r="O252" s="1103" t="s">
        <v>3170</v>
      </c>
      <c r="P252" s="1714"/>
      <c r="Q252" s="1714"/>
      <c r="R252" s="1712"/>
      <c r="S252" s="1715"/>
      <c r="T252" s="1715"/>
      <c r="U252" s="1713"/>
      <c r="V252" s="1005">
        <f>1800000/3</f>
        <v>600000</v>
      </c>
      <c r="W252" s="1645">
        <f>V252*N252</f>
        <v>30000000</v>
      </c>
      <c r="X252" s="1646"/>
      <c r="Y252" s="1091"/>
      <c r="AB252"/>
      <c r="AD252" s="1231" t="s">
        <v>2</v>
      </c>
      <c r="AE252" s="1231" t="s">
        <v>3161</v>
      </c>
      <c r="AF252" s="1623" t="s">
        <v>3496</v>
      </c>
      <c r="AG252" s="1624"/>
      <c r="AH252" s="1231" t="s">
        <v>3497</v>
      </c>
    </row>
    <row r="253" spans="12:34" ht="15" thickTop="1">
      <c r="L253" s="1288"/>
      <c r="M253" s="1324"/>
      <c r="N253" s="1312"/>
      <c r="O253" s="1313"/>
      <c r="P253" s="1663"/>
      <c r="Q253" s="1663"/>
      <c r="R253" s="1701"/>
      <c r="S253" s="1702"/>
      <c r="T253" s="1702"/>
      <c r="U253" s="1703"/>
      <c r="V253" s="1293"/>
      <c r="W253" s="1635"/>
      <c r="X253" s="1636"/>
      <c r="Y253" s="1091"/>
      <c r="AB253"/>
      <c r="AD253" s="1232">
        <v>1</v>
      </c>
      <c r="AE253" s="1284" t="s">
        <v>3633</v>
      </c>
      <c r="AF253" s="1233">
        <v>1</v>
      </c>
      <c r="AG253" s="1234" t="s">
        <v>3499</v>
      </c>
      <c r="AH253" s="1235" t="s">
        <v>3500</v>
      </c>
    </row>
    <row r="254" spans="12:34" ht="14.5">
      <c r="L254" s="1194"/>
      <c r="M254" s="1294"/>
      <c r="N254" s="1295"/>
      <c r="O254" s="1154"/>
      <c r="P254" s="1657"/>
      <c r="Q254" s="1657"/>
      <c r="R254" s="1658"/>
      <c r="S254" s="1659"/>
      <c r="T254" s="1659"/>
      <c r="U254" s="1660"/>
      <c r="V254" s="1301"/>
      <c r="W254" s="1629"/>
      <c r="X254" s="1630"/>
      <c r="Y254" s="1091"/>
      <c r="AB254"/>
      <c r="AD254" s="1236">
        <v>2</v>
      </c>
      <c r="AE254" s="1237" t="s">
        <v>3501</v>
      </c>
      <c r="AF254" s="1233">
        <v>1</v>
      </c>
      <c r="AG254" s="1238" t="s">
        <v>2839</v>
      </c>
      <c r="AH254" s="1239" t="s">
        <v>3502</v>
      </c>
    </row>
    <row r="255" spans="12:34" ht="14.5">
      <c r="L255" s="1194">
        <v>2</v>
      </c>
      <c r="M255" s="1294" t="s">
        <v>3453</v>
      </c>
      <c r="N255" s="1317"/>
      <c r="O255" s="1318"/>
      <c r="P255" s="1653" t="s">
        <v>3449</v>
      </c>
      <c r="Q255" s="1653"/>
      <c r="R255" s="1654" t="s">
        <v>3450</v>
      </c>
      <c r="S255" s="1655"/>
      <c r="T255" s="1655"/>
      <c r="U255" s="1656"/>
      <c r="V255" s="1301"/>
      <c r="W255" s="1629"/>
      <c r="X255" s="1630"/>
      <c r="Y255" s="1091"/>
      <c r="AB255"/>
      <c r="AD255" s="1240"/>
      <c r="AE255" s="1241"/>
      <c r="AF255" s="1242"/>
      <c r="AG255" s="1243"/>
      <c r="AH255" s="1244"/>
    </row>
    <row r="256" spans="12:34" ht="14.5">
      <c r="L256" s="1194"/>
      <c r="M256" s="1294" t="s">
        <v>3454</v>
      </c>
      <c r="N256" s="1295">
        <v>6</v>
      </c>
      <c r="O256" s="1154" t="s">
        <v>3170</v>
      </c>
      <c r="P256" s="1654"/>
      <c r="Q256" s="1656"/>
      <c r="R256" s="1298"/>
      <c r="S256" s="1299"/>
      <c r="T256" s="1299"/>
      <c r="U256" s="1300"/>
      <c r="V256" s="1301"/>
      <c r="W256" s="1629"/>
      <c r="X256" s="1630"/>
      <c r="Y256" s="1091"/>
      <c r="AB256"/>
      <c r="AD256" s="1240"/>
      <c r="AE256" s="1241" t="s">
        <v>3551</v>
      </c>
      <c r="AF256" s="1242"/>
      <c r="AG256" s="1243"/>
      <c r="AH256" s="1244"/>
    </row>
    <row r="257" spans="12:34" ht="14.5">
      <c r="L257" s="1320"/>
      <c r="M257" s="1327" t="s">
        <v>3455</v>
      </c>
      <c r="N257" s="1326">
        <v>21</v>
      </c>
      <c r="O257" s="1205" t="s">
        <v>3170</v>
      </c>
      <c r="P257" s="1704"/>
      <c r="Q257" s="1704"/>
      <c r="R257" s="1705"/>
      <c r="S257" s="1706"/>
      <c r="T257" s="1706"/>
      <c r="U257" s="1707"/>
      <c r="V257" s="1323"/>
      <c r="W257" s="1647"/>
      <c r="X257" s="1648"/>
      <c r="Y257" s="1091"/>
      <c r="AB257"/>
      <c r="AD257" s="1240">
        <v>1</v>
      </c>
      <c r="AE257" s="1241" t="s">
        <v>3634</v>
      </c>
      <c r="AF257" s="1242">
        <v>1</v>
      </c>
      <c r="AG257" s="1243" t="s">
        <v>3505</v>
      </c>
      <c r="AH257" s="1244" t="s">
        <v>3506</v>
      </c>
    </row>
    <row r="258" spans="12:34" ht="14.5">
      <c r="L258" s="1101"/>
      <c r="M258" s="1107" t="s">
        <v>3452</v>
      </c>
      <c r="N258" s="1102">
        <f>SUM(N256:N257)</f>
        <v>27</v>
      </c>
      <c r="O258" s="1103" t="s">
        <v>3170</v>
      </c>
      <c r="P258" s="1714"/>
      <c r="Q258" s="1714"/>
      <c r="R258" s="1712"/>
      <c r="S258" s="1715"/>
      <c r="T258" s="1715"/>
      <c r="U258" s="1713"/>
      <c r="V258" s="1005">
        <f>620000/3</f>
        <v>206666.66666666666</v>
      </c>
      <c r="W258" s="1645">
        <f>V258*N258</f>
        <v>5580000</v>
      </c>
      <c r="X258" s="1646"/>
      <c r="Y258" s="1091"/>
      <c r="AB258"/>
      <c r="AD258" s="1240">
        <v>2</v>
      </c>
      <c r="AE258" s="1241" t="s">
        <v>3533</v>
      </c>
      <c r="AF258" s="1242">
        <v>3</v>
      </c>
      <c r="AG258" s="1243" t="s">
        <v>3487</v>
      </c>
      <c r="AH258" s="1244" t="s">
        <v>3553</v>
      </c>
    </row>
    <row r="259" spans="12:34" ht="14.5">
      <c r="L259" s="1288"/>
      <c r="M259" s="1324"/>
      <c r="N259" s="1312"/>
      <c r="O259" s="1313"/>
      <c r="P259" s="1663"/>
      <c r="Q259" s="1663"/>
      <c r="R259" s="1701"/>
      <c r="S259" s="1702"/>
      <c r="T259" s="1702"/>
      <c r="U259" s="1703"/>
      <c r="V259" s="1293"/>
      <c r="W259" s="1635"/>
      <c r="X259" s="1636"/>
      <c r="Y259" s="1091"/>
      <c r="AB259"/>
      <c r="AD259" s="1240">
        <v>3</v>
      </c>
      <c r="AE259" s="1241" t="s">
        <v>3518</v>
      </c>
      <c r="AF259" s="1242">
        <v>1</v>
      </c>
      <c r="AG259" s="1243" t="s">
        <v>3505</v>
      </c>
      <c r="AH259" s="1244" t="s">
        <v>3508</v>
      </c>
    </row>
    <row r="260" spans="12:34" ht="14.5">
      <c r="L260" s="1194">
        <v>3</v>
      </c>
      <c r="M260" s="1302" t="s">
        <v>3456</v>
      </c>
      <c r="N260" s="1317"/>
      <c r="O260" s="1318"/>
      <c r="P260" s="1653" t="s">
        <v>3449</v>
      </c>
      <c r="Q260" s="1653"/>
      <c r="R260" s="1654" t="s">
        <v>3450</v>
      </c>
      <c r="S260" s="1655"/>
      <c r="T260" s="1655"/>
      <c r="U260" s="1656"/>
      <c r="V260" s="1301"/>
      <c r="W260" s="1629"/>
      <c r="X260" s="1630"/>
      <c r="Y260" s="1091"/>
      <c r="AB260"/>
      <c r="AD260" s="1240">
        <v>4</v>
      </c>
      <c r="AE260" s="1241" t="s">
        <v>3555</v>
      </c>
      <c r="AF260" s="1242">
        <v>1</v>
      </c>
      <c r="AG260" s="1243" t="s">
        <v>3505</v>
      </c>
      <c r="AH260" s="1244" t="s">
        <v>3508</v>
      </c>
    </row>
    <row r="261" spans="12:34" ht="14.5">
      <c r="L261" s="1194"/>
      <c r="M261" s="1302" t="s">
        <v>3457</v>
      </c>
      <c r="N261" s="1295">
        <v>15</v>
      </c>
      <c r="O261" s="1154" t="s">
        <v>3170</v>
      </c>
      <c r="P261" s="1653"/>
      <c r="Q261" s="1653"/>
      <c r="R261" s="1654"/>
      <c r="S261" s="1655"/>
      <c r="T261" s="1655"/>
      <c r="U261" s="1656"/>
      <c r="V261" s="1301"/>
      <c r="W261" s="1629"/>
      <c r="X261" s="1630"/>
      <c r="Y261" s="1091"/>
      <c r="AB261"/>
      <c r="AD261" s="1240">
        <v>5</v>
      </c>
      <c r="AE261" s="1241" t="s">
        <v>3556</v>
      </c>
      <c r="AF261" s="1242">
        <v>1</v>
      </c>
      <c r="AG261" s="1243" t="s">
        <v>3505</v>
      </c>
      <c r="AH261" s="1244" t="s">
        <v>3508</v>
      </c>
    </row>
    <row r="262" spans="12:34" ht="14.5">
      <c r="L262" s="1194"/>
      <c r="M262" s="1294" t="s">
        <v>3455</v>
      </c>
      <c r="N262" s="1295">
        <v>18</v>
      </c>
      <c r="O262" s="1154" t="s">
        <v>3170</v>
      </c>
      <c r="P262" s="1657"/>
      <c r="Q262" s="1657"/>
      <c r="R262" s="1658"/>
      <c r="S262" s="1659"/>
      <c r="T262" s="1659"/>
      <c r="U262" s="1660"/>
      <c r="V262" s="1301"/>
      <c r="W262" s="1629"/>
      <c r="X262" s="1630"/>
      <c r="Y262" s="1091"/>
      <c r="AB262"/>
      <c r="AD262" s="1240">
        <v>6</v>
      </c>
      <c r="AE262" s="1241" t="s">
        <v>3557</v>
      </c>
      <c r="AF262" s="1242">
        <v>1</v>
      </c>
      <c r="AG262" s="1243" t="s">
        <v>3505</v>
      </c>
      <c r="AH262" s="1244" t="s">
        <v>3508</v>
      </c>
    </row>
    <row r="263" spans="12:34" ht="14.5">
      <c r="L263" s="1320"/>
      <c r="M263" s="1325" t="s">
        <v>3458</v>
      </c>
      <c r="N263" s="1326">
        <v>42</v>
      </c>
      <c r="O263" s="1205" t="s">
        <v>3170</v>
      </c>
      <c r="P263" s="1704"/>
      <c r="Q263" s="1704"/>
      <c r="R263" s="1705"/>
      <c r="S263" s="1706"/>
      <c r="T263" s="1706"/>
      <c r="U263" s="1707"/>
      <c r="V263" s="1323"/>
      <c r="W263" s="1647"/>
      <c r="X263" s="1648"/>
      <c r="Y263" s="1091"/>
      <c r="AB263"/>
      <c r="AD263" s="1240">
        <v>7</v>
      </c>
      <c r="AE263" s="1241" t="s">
        <v>3635</v>
      </c>
      <c r="AF263" s="1242">
        <v>3</v>
      </c>
      <c r="AG263" s="1243" t="s">
        <v>3487</v>
      </c>
      <c r="AH263" s="1244" t="s">
        <v>3508</v>
      </c>
    </row>
    <row r="264" spans="12:34" ht="14.5">
      <c r="L264" s="1101"/>
      <c r="M264" s="1107" t="s">
        <v>3452</v>
      </c>
      <c r="N264" s="1108">
        <f>SUM(N261:N263)</f>
        <v>75</v>
      </c>
      <c r="O264" s="1103" t="s">
        <v>3170</v>
      </c>
      <c r="P264" s="1712"/>
      <c r="Q264" s="1713"/>
      <c r="R264" s="1104"/>
      <c r="S264" s="1105"/>
      <c r="T264" s="1105"/>
      <c r="U264" s="1106"/>
      <c r="V264" s="1005">
        <f>400000/3</f>
        <v>133333.33333333334</v>
      </c>
      <c r="W264" s="1645">
        <f>V264*N264</f>
        <v>10000000</v>
      </c>
      <c r="X264" s="1646"/>
      <c r="Y264" s="1091"/>
      <c r="AB264"/>
      <c r="AD264" s="1240">
        <v>8</v>
      </c>
      <c r="AE264" s="1241" t="s">
        <v>3591</v>
      </c>
      <c r="AF264" s="1242">
        <v>1</v>
      </c>
      <c r="AG264" s="1243" t="s">
        <v>3505</v>
      </c>
      <c r="AH264" s="1244" t="s">
        <v>3508</v>
      </c>
    </row>
    <row r="265" spans="12:34" ht="14.5">
      <c r="L265" s="1288"/>
      <c r="M265" s="1289"/>
      <c r="N265" s="1312"/>
      <c r="O265" s="1313"/>
      <c r="P265" s="1663"/>
      <c r="Q265" s="1663"/>
      <c r="R265" s="1701"/>
      <c r="S265" s="1702"/>
      <c r="T265" s="1702"/>
      <c r="U265" s="1703"/>
      <c r="V265" s="1293"/>
      <c r="W265" s="1635"/>
      <c r="X265" s="1636"/>
      <c r="Y265" s="1091"/>
      <c r="AB265"/>
      <c r="AD265" s="1240">
        <v>9</v>
      </c>
      <c r="AE265" s="1241" t="s">
        <v>3547</v>
      </c>
      <c r="AF265" s="1242">
        <v>4</v>
      </c>
      <c r="AG265" s="1243" t="s">
        <v>3487</v>
      </c>
      <c r="AH265" s="1244" t="s">
        <v>3506</v>
      </c>
    </row>
    <row r="266" spans="12:34" ht="14.5">
      <c r="L266" s="1194">
        <v>4</v>
      </c>
      <c r="M266" s="1294" t="s">
        <v>3459</v>
      </c>
      <c r="N266" s="1317"/>
      <c r="O266" s="1318"/>
      <c r="P266" s="1653" t="s">
        <v>3449</v>
      </c>
      <c r="Q266" s="1653"/>
      <c r="R266" s="1654" t="s">
        <v>3450</v>
      </c>
      <c r="S266" s="1655"/>
      <c r="T266" s="1655"/>
      <c r="U266" s="1656"/>
      <c r="V266" s="1301"/>
      <c r="W266" s="1629"/>
      <c r="X266" s="1630"/>
      <c r="Y266" s="1091"/>
      <c r="AB266"/>
      <c r="AD266" s="1240">
        <v>10</v>
      </c>
      <c r="AE266" s="1241" t="s">
        <v>3559</v>
      </c>
      <c r="AF266" s="1242">
        <v>2</v>
      </c>
      <c r="AG266" s="1243" t="s">
        <v>3487</v>
      </c>
      <c r="AH266" s="1244" t="s">
        <v>3560</v>
      </c>
    </row>
    <row r="267" spans="12:34" ht="14.5">
      <c r="L267" s="1194"/>
      <c r="M267" s="1302" t="s">
        <v>3460</v>
      </c>
      <c r="N267" s="1295">
        <v>12</v>
      </c>
      <c r="O267" s="1154" t="s">
        <v>3170</v>
      </c>
      <c r="P267" s="1653"/>
      <c r="Q267" s="1653"/>
      <c r="R267" s="1654"/>
      <c r="S267" s="1655"/>
      <c r="T267" s="1655"/>
      <c r="U267" s="1656"/>
      <c r="V267" s="1301"/>
      <c r="W267" s="1629"/>
      <c r="X267" s="1630"/>
      <c r="Y267" s="1091"/>
      <c r="AB267"/>
      <c r="AD267" s="1240">
        <v>11</v>
      </c>
      <c r="AE267" s="1241" t="s">
        <v>3561</v>
      </c>
      <c r="AF267" s="1242">
        <v>2</v>
      </c>
      <c r="AG267" s="1243" t="s">
        <v>3487</v>
      </c>
      <c r="AH267" s="1244" t="s">
        <v>3560</v>
      </c>
    </row>
    <row r="268" spans="12:34" ht="14.5">
      <c r="L268" s="1194"/>
      <c r="M268" s="1302" t="s">
        <v>3461</v>
      </c>
      <c r="N268" s="1295">
        <v>45</v>
      </c>
      <c r="O268" s="1154" t="s">
        <v>3170</v>
      </c>
      <c r="P268" s="1653"/>
      <c r="Q268" s="1653"/>
      <c r="R268" s="1654"/>
      <c r="S268" s="1655"/>
      <c r="T268" s="1655"/>
      <c r="U268" s="1656"/>
      <c r="V268" s="1301"/>
      <c r="W268" s="1629"/>
      <c r="X268" s="1630"/>
      <c r="Y268" s="1091"/>
      <c r="AB268"/>
      <c r="AD268" s="1240">
        <v>12</v>
      </c>
      <c r="AE268" s="1241" t="s">
        <v>3564</v>
      </c>
      <c r="AF268" s="1242">
        <v>1</v>
      </c>
      <c r="AG268" s="1243" t="s">
        <v>2872</v>
      </c>
      <c r="AH268" s="1244" t="s">
        <v>3500</v>
      </c>
    </row>
    <row r="269" spans="12:34" ht="14.5">
      <c r="L269" s="1194"/>
      <c r="M269" s="1319" t="s">
        <v>3455</v>
      </c>
      <c r="N269" s="1295">
        <v>42</v>
      </c>
      <c r="O269" s="1154" t="s">
        <v>3170</v>
      </c>
      <c r="P269" s="1653"/>
      <c r="Q269" s="1653"/>
      <c r="R269" s="1654"/>
      <c r="S269" s="1655"/>
      <c r="T269" s="1655"/>
      <c r="U269" s="1656"/>
      <c r="V269" s="1301"/>
      <c r="W269" s="1629"/>
      <c r="X269" s="1630"/>
      <c r="Y269" s="1091"/>
      <c r="AB269"/>
      <c r="AD269" s="1240"/>
      <c r="AE269" s="1241" t="s">
        <v>3592</v>
      </c>
      <c r="AF269" s="1242">
        <v>7</v>
      </c>
      <c r="AG269" s="1243" t="s">
        <v>3487</v>
      </c>
      <c r="AH269" s="1244" t="s">
        <v>3508</v>
      </c>
    </row>
    <row r="270" spans="12:34" ht="14.5">
      <c r="L270" s="1194"/>
      <c r="M270" s="1294" t="s">
        <v>3458</v>
      </c>
      <c r="N270" s="1295">
        <v>42</v>
      </c>
      <c r="O270" s="1154" t="s">
        <v>3170</v>
      </c>
      <c r="P270" s="1653"/>
      <c r="Q270" s="1653"/>
      <c r="R270" s="1654"/>
      <c r="S270" s="1655"/>
      <c r="T270" s="1655"/>
      <c r="U270" s="1656"/>
      <c r="V270" s="1301"/>
      <c r="W270" s="1629"/>
      <c r="X270" s="1630"/>
      <c r="Y270" s="1091"/>
      <c r="AB270"/>
      <c r="AD270" s="1240"/>
      <c r="AE270" s="1241"/>
      <c r="AF270" s="1242"/>
      <c r="AG270" s="1243"/>
      <c r="AH270" s="1244"/>
    </row>
    <row r="271" spans="12:34" ht="14.5">
      <c r="L271" s="1194"/>
      <c r="M271" s="1302" t="s">
        <v>3454</v>
      </c>
      <c r="N271" s="1295">
        <v>21</v>
      </c>
      <c r="O271" s="1154" t="s">
        <v>3170</v>
      </c>
      <c r="P271" s="1653"/>
      <c r="Q271" s="1653"/>
      <c r="R271" s="1654"/>
      <c r="S271" s="1655"/>
      <c r="T271" s="1655"/>
      <c r="U271" s="1656"/>
      <c r="V271" s="1301"/>
      <c r="W271" s="1629"/>
      <c r="X271" s="1630"/>
      <c r="Y271" s="1091"/>
      <c r="AB271"/>
      <c r="AD271" s="1240"/>
      <c r="AE271" s="1241" t="s">
        <v>3593</v>
      </c>
      <c r="AF271" s="1242"/>
      <c r="AG271" s="1243"/>
      <c r="AH271" s="1244"/>
    </row>
    <row r="272" spans="12:34" ht="14.5">
      <c r="L272" s="1194"/>
      <c r="M272" s="1302" t="s">
        <v>3462</v>
      </c>
      <c r="N272" s="1295">
        <v>15</v>
      </c>
      <c r="O272" s="1154" t="s">
        <v>3170</v>
      </c>
      <c r="P272" s="1653"/>
      <c r="Q272" s="1653"/>
      <c r="R272" s="1654"/>
      <c r="S272" s="1655"/>
      <c r="T272" s="1655"/>
      <c r="U272" s="1656"/>
      <c r="V272" s="1301"/>
      <c r="W272" s="1629"/>
      <c r="X272" s="1630"/>
      <c r="Y272" s="1091"/>
      <c r="AB272"/>
      <c r="AD272" s="1240">
        <v>1</v>
      </c>
      <c r="AE272" s="1241" t="s">
        <v>3594</v>
      </c>
      <c r="AF272" s="1242">
        <v>1</v>
      </c>
      <c r="AG272" s="1243" t="s">
        <v>3505</v>
      </c>
      <c r="AH272" s="1244" t="s">
        <v>3506</v>
      </c>
    </row>
    <row r="273" spans="12:34" ht="26">
      <c r="L273" s="1320"/>
      <c r="M273" s="1321" t="s">
        <v>3463</v>
      </c>
      <c r="N273" s="1322">
        <v>9</v>
      </c>
      <c r="O273" s="1205" t="s">
        <v>3170</v>
      </c>
      <c r="P273" s="1704"/>
      <c r="Q273" s="1704"/>
      <c r="R273" s="1705"/>
      <c r="S273" s="1706"/>
      <c r="T273" s="1706"/>
      <c r="U273" s="1707"/>
      <c r="V273" s="1323"/>
      <c r="W273" s="1647"/>
      <c r="X273" s="1648"/>
      <c r="Y273" s="1091"/>
      <c r="AB273"/>
      <c r="AD273" s="1240">
        <v>2</v>
      </c>
      <c r="AE273" s="1241" t="s">
        <v>3595</v>
      </c>
      <c r="AF273" s="1242">
        <v>1</v>
      </c>
      <c r="AG273" s="1243" t="s">
        <v>3505</v>
      </c>
      <c r="AH273" s="1244" t="s">
        <v>3506</v>
      </c>
    </row>
    <row r="274" spans="12:34" ht="14.5">
      <c r="L274" s="1101"/>
      <c r="M274" s="1107" t="s">
        <v>3452</v>
      </c>
      <c r="N274" s="1102">
        <f>SUM(N267:N273)</f>
        <v>186</v>
      </c>
      <c r="O274" s="1103" t="s">
        <v>3170</v>
      </c>
      <c r="P274" s="1708"/>
      <c r="Q274" s="1708"/>
      <c r="R274" s="1709"/>
      <c r="S274" s="1710"/>
      <c r="T274" s="1710"/>
      <c r="U274" s="1711"/>
      <c r="V274" s="1005">
        <f>160000/3</f>
        <v>53333.333333333336</v>
      </c>
      <c r="W274" s="1645">
        <f>V274*N274</f>
        <v>9920000</v>
      </c>
      <c r="X274" s="1646"/>
      <c r="Y274" s="1091"/>
      <c r="AB274"/>
      <c r="AD274" s="1240">
        <v>3</v>
      </c>
      <c r="AE274" s="1241" t="s">
        <v>3596</v>
      </c>
      <c r="AF274" s="1242">
        <v>1</v>
      </c>
      <c r="AG274" s="1243" t="s">
        <v>3505</v>
      </c>
      <c r="AH274" s="1244" t="s">
        <v>3508</v>
      </c>
    </row>
    <row r="275" spans="12:34" ht="14.5">
      <c r="L275" s="1288"/>
      <c r="M275" s="1311"/>
      <c r="N275" s="1312"/>
      <c r="O275" s="1313"/>
      <c r="P275" s="1663"/>
      <c r="Q275" s="1663"/>
      <c r="R275" s="1701"/>
      <c r="S275" s="1702"/>
      <c r="T275" s="1702"/>
      <c r="U275" s="1703"/>
      <c r="V275" s="1293"/>
      <c r="W275" s="1635"/>
      <c r="X275" s="1636"/>
      <c r="Y275" s="1091"/>
      <c r="AB275"/>
      <c r="AD275" s="1240">
        <v>4</v>
      </c>
      <c r="AE275" s="1241" t="s">
        <v>3597</v>
      </c>
      <c r="AF275" s="1242">
        <v>1</v>
      </c>
      <c r="AG275" s="1243" t="s">
        <v>3505</v>
      </c>
      <c r="AH275" s="1244" t="s">
        <v>3508</v>
      </c>
    </row>
    <row r="276" spans="12:34" ht="14.5">
      <c r="L276" s="1194"/>
      <c r="M276" s="1294"/>
      <c r="N276" s="1295"/>
      <c r="O276" s="1154"/>
      <c r="P276" s="1654"/>
      <c r="Q276" s="1656"/>
      <c r="R276" s="1298"/>
      <c r="S276" s="1299"/>
      <c r="T276" s="1299"/>
      <c r="U276" s="1300"/>
      <c r="V276" s="1301"/>
      <c r="W276" s="1629"/>
      <c r="X276" s="1630"/>
      <c r="Y276" s="1091"/>
      <c r="AB276"/>
      <c r="AD276" s="1240">
        <v>5</v>
      </c>
      <c r="AE276" s="1241" t="s">
        <v>3598</v>
      </c>
      <c r="AF276" s="1242">
        <v>1</v>
      </c>
      <c r="AG276" s="1243" t="s">
        <v>3505</v>
      </c>
      <c r="AH276" s="1244" t="s">
        <v>3508</v>
      </c>
    </row>
    <row r="277" spans="12:34" ht="14.5">
      <c r="L277" s="1194">
        <v>5</v>
      </c>
      <c r="M277" s="1314" t="s">
        <v>3464</v>
      </c>
      <c r="N277" s="1295">
        <v>1</v>
      </c>
      <c r="O277" s="1154" t="s">
        <v>2844</v>
      </c>
      <c r="P277" s="1653" t="s">
        <v>3449</v>
      </c>
      <c r="Q277" s="1653"/>
      <c r="R277" s="1654" t="s">
        <v>3450</v>
      </c>
      <c r="S277" s="1655"/>
      <c r="T277" s="1655"/>
      <c r="U277" s="1656"/>
      <c r="V277" s="1301"/>
      <c r="W277" s="1629">
        <v>20000000</v>
      </c>
      <c r="X277" s="1630"/>
      <c r="Y277" s="1091"/>
      <c r="AB277"/>
      <c r="AD277" s="1240">
        <v>6</v>
      </c>
      <c r="AE277" s="1241" t="s">
        <v>3599</v>
      </c>
      <c r="AF277" s="1242">
        <v>1</v>
      </c>
      <c r="AG277" s="1243" t="s">
        <v>3505</v>
      </c>
      <c r="AH277" s="1244" t="s">
        <v>3508</v>
      </c>
    </row>
    <row r="278" spans="12:34" ht="14.5">
      <c r="L278" s="1194">
        <v>6</v>
      </c>
      <c r="M278" s="1294" t="s">
        <v>3465</v>
      </c>
      <c r="N278" s="1295">
        <v>1</v>
      </c>
      <c r="O278" s="1154" t="s">
        <v>2844</v>
      </c>
      <c r="P278" s="1653" t="s">
        <v>3449</v>
      </c>
      <c r="Q278" s="1653"/>
      <c r="R278" s="1654" t="s">
        <v>3450</v>
      </c>
      <c r="S278" s="1655"/>
      <c r="T278" s="1655"/>
      <c r="U278" s="1656"/>
      <c r="V278" s="1301"/>
      <c r="W278" s="1629">
        <v>3000000</v>
      </c>
      <c r="X278" s="1630"/>
      <c r="Y278" s="1091"/>
      <c r="AB278"/>
      <c r="AD278" s="1240">
        <v>7</v>
      </c>
      <c r="AE278" s="1241" t="s">
        <v>3543</v>
      </c>
      <c r="AF278" s="1242">
        <v>1</v>
      </c>
      <c r="AG278" s="1243" t="s">
        <v>3505</v>
      </c>
      <c r="AH278" s="1244" t="s">
        <v>3508</v>
      </c>
    </row>
    <row r="279" spans="12:34" ht="14.5">
      <c r="L279" s="1194">
        <v>7</v>
      </c>
      <c r="M279" s="1302" t="s">
        <v>3466</v>
      </c>
      <c r="N279" s="1295">
        <v>1</v>
      </c>
      <c r="O279" s="1154" t="s">
        <v>2844</v>
      </c>
      <c r="P279" s="1653" t="s">
        <v>3449</v>
      </c>
      <c r="Q279" s="1653"/>
      <c r="R279" s="1654" t="s">
        <v>3450</v>
      </c>
      <c r="S279" s="1655"/>
      <c r="T279" s="1655"/>
      <c r="U279" s="1656"/>
      <c r="V279" s="1301"/>
      <c r="W279" s="1629">
        <v>6000000</v>
      </c>
      <c r="X279" s="1630"/>
      <c r="Y279" s="1091"/>
      <c r="AB279"/>
      <c r="AD279" s="1240">
        <v>8</v>
      </c>
      <c r="AE279" s="1241" t="s">
        <v>3544</v>
      </c>
      <c r="AF279" s="1242">
        <v>1</v>
      </c>
      <c r="AG279" s="1243" t="s">
        <v>3505</v>
      </c>
      <c r="AH279" s="1244" t="s">
        <v>3508</v>
      </c>
    </row>
    <row r="280" spans="12:34" ht="14.5">
      <c r="L280" s="1194">
        <v>8</v>
      </c>
      <c r="M280" s="1302" t="s">
        <v>3467</v>
      </c>
      <c r="N280" s="1295">
        <v>1</v>
      </c>
      <c r="O280" s="1154" t="s">
        <v>2844</v>
      </c>
      <c r="P280" s="1653" t="s">
        <v>3449</v>
      </c>
      <c r="Q280" s="1653"/>
      <c r="R280" s="1654" t="s">
        <v>3450</v>
      </c>
      <c r="S280" s="1655"/>
      <c r="T280" s="1655"/>
      <c r="U280" s="1656"/>
      <c r="V280" s="1301"/>
      <c r="W280" s="1629">
        <v>4000000</v>
      </c>
      <c r="X280" s="1630"/>
      <c r="Y280" s="1091"/>
      <c r="AB280"/>
      <c r="AD280" s="1240">
        <v>9</v>
      </c>
      <c r="AE280" s="1241" t="s">
        <v>3562</v>
      </c>
      <c r="AF280" s="1242">
        <v>1</v>
      </c>
      <c r="AG280" s="1243" t="s">
        <v>3505</v>
      </c>
      <c r="AH280" s="1244" t="s">
        <v>3563</v>
      </c>
    </row>
    <row r="281" spans="12:34" ht="14.5">
      <c r="L281" s="1194">
        <v>9</v>
      </c>
      <c r="M281" s="1315" t="s">
        <v>3468</v>
      </c>
      <c r="N281" s="1295">
        <v>1</v>
      </c>
      <c r="O281" s="1154" t="s">
        <v>2844</v>
      </c>
      <c r="P281" s="1653" t="s">
        <v>3449</v>
      </c>
      <c r="Q281" s="1653"/>
      <c r="R281" s="1654" t="s">
        <v>3450</v>
      </c>
      <c r="S281" s="1655"/>
      <c r="T281" s="1655"/>
      <c r="U281" s="1656"/>
      <c r="V281" s="1301"/>
      <c r="W281" s="1629">
        <f>W278/2</f>
        <v>1500000</v>
      </c>
      <c r="X281" s="1630"/>
      <c r="Y281" s="1091"/>
      <c r="AB281"/>
      <c r="AD281" s="1240"/>
      <c r="AE281" s="1241" t="s">
        <v>3587</v>
      </c>
      <c r="AF281" s="1242">
        <v>1</v>
      </c>
      <c r="AG281" s="1243" t="s">
        <v>3505</v>
      </c>
      <c r="AH281" s="1244" t="s">
        <v>3508</v>
      </c>
    </row>
    <row r="282" spans="12:34" ht="14.5">
      <c r="L282" s="1194">
        <v>10</v>
      </c>
      <c r="M282" s="1302" t="s">
        <v>3469</v>
      </c>
      <c r="N282" s="1295">
        <v>1</v>
      </c>
      <c r="O282" s="1154" t="s">
        <v>2844</v>
      </c>
      <c r="P282" s="1653" t="s">
        <v>3449</v>
      </c>
      <c r="Q282" s="1653"/>
      <c r="R282" s="1654" t="s">
        <v>3450</v>
      </c>
      <c r="S282" s="1655"/>
      <c r="T282" s="1655"/>
      <c r="U282" s="1656"/>
      <c r="V282" s="1301"/>
      <c r="W282" s="1629">
        <f t="shared" ref="W282:W283" si="70">W279/2</f>
        <v>3000000</v>
      </c>
      <c r="X282" s="1630"/>
      <c r="Y282" s="1091"/>
      <c r="AB282"/>
      <c r="AD282" s="1240"/>
      <c r="AE282" s="1241" t="s">
        <v>3600</v>
      </c>
      <c r="AF282" s="1242">
        <v>2</v>
      </c>
      <c r="AG282" s="1243" t="s">
        <v>3487</v>
      </c>
      <c r="AH282" s="1244" t="s">
        <v>3508</v>
      </c>
    </row>
    <row r="283" spans="12:34" ht="14.5">
      <c r="L283" s="1194">
        <v>11</v>
      </c>
      <c r="M283" s="1294" t="s">
        <v>3470</v>
      </c>
      <c r="N283" s="1295">
        <v>1</v>
      </c>
      <c r="O283" s="1154" t="s">
        <v>2844</v>
      </c>
      <c r="P283" s="1653" t="s">
        <v>3449</v>
      </c>
      <c r="Q283" s="1653"/>
      <c r="R283" s="1654" t="s">
        <v>3450</v>
      </c>
      <c r="S283" s="1655"/>
      <c r="T283" s="1655"/>
      <c r="U283" s="1656"/>
      <c r="V283" s="1301"/>
      <c r="W283" s="1629">
        <f t="shared" si="70"/>
        <v>2000000</v>
      </c>
      <c r="X283" s="1630"/>
      <c r="Y283" s="1091"/>
      <c r="AB283"/>
      <c r="AD283" s="1240"/>
      <c r="AE283" s="1241"/>
      <c r="AF283" s="1242"/>
      <c r="AG283" s="1243"/>
      <c r="AH283" s="1244"/>
    </row>
    <row r="284" spans="12:34" ht="14.5">
      <c r="L284" s="1194">
        <v>12</v>
      </c>
      <c r="M284" s="1316" t="s">
        <v>3471</v>
      </c>
      <c r="N284" s="1295">
        <v>1</v>
      </c>
      <c r="O284" s="1154" t="s">
        <v>2844</v>
      </c>
      <c r="P284" s="1653" t="s">
        <v>3449</v>
      </c>
      <c r="Q284" s="1653"/>
      <c r="R284" s="1654" t="s">
        <v>3450</v>
      </c>
      <c r="S284" s="1655"/>
      <c r="T284" s="1655"/>
      <c r="U284" s="1656"/>
      <c r="V284" s="1301"/>
      <c r="W284" s="1629">
        <v>1500000</v>
      </c>
      <c r="X284" s="1630"/>
      <c r="Y284" s="1091"/>
      <c r="AB284"/>
      <c r="AD284" s="1240"/>
      <c r="AE284" s="1241" t="s">
        <v>3566</v>
      </c>
      <c r="AF284" s="1242"/>
      <c r="AG284" s="1243"/>
      <c r="AH284" s="1244"/>
    </row>
    <row r="285" spans="12:34" ht="14.5">
      <c r="L285" s="1194">
        <v>13</v>
      </c>
      <c r="M285" s="1316" t="s">
        <v>3472</v>
      </c>
      <c r="N285" s="1295">
        <v>1</v>
      </c>
      <c r="O285" s="1154" t="s">
        <v>2844</v>
      </c>
      <c r="P285" s="1653" t="s">
        <v>3449</v>
      </c>
      <c r="Q285" s="1653"/>
      <c r="R285" s="1654" t="s">
        <v>3450</v>
      </c>
      <c r="S285" s="1655"/>
      <c r="T285" s="1655"/>
      <c r="U285" s="1656"/>
      <c r="V285" s="1301"/>
      <c r="W285" s="1629">
        <v>3000000</v>
      </c>
      <c r="X285" s="1630"/>
      <c r="Y285" s="1091"/>
      <c r="AB285"/>
      <c r="AD285" s="1240">
        <v>1</v>
      </c>
      <c r="AE285" s="1241" t="s">
        <v>3636</v>
      </c>
      <c r="AF285" s="1242">
        <v>2</v>
      </c>
      <c r="AG285" s="1243" t="s">
        <v>3487</v>
      </c>
      <c r="AH285" s="1244" t="s">
        <v>3506</v>
      </c>
    </row>
    <row r="286" spans="12:34" ht="14.5">
      <c r="L286" s="1194">
        <v>14</v>
      </c>
      <c r="M286" s="1294" t="s">
        <v>3473</v>
      </c>
      <c r="N286" s="1295">
        <v>1</v>
      </c>
      <c r="O286" s="1154" t="s">
        <v>2844</v>
      </c>
      <c r="P286" s="1653" t="s">
        <v>3449</v>
      </c>
      <c r="Q286" s="1653"/>
      <c r="R286" s="1654" t="s">
        <v>3450</v>
      </c>
      <c r="S286" s="1655"/>
      <c r="T286" s="1655"/>
      <c r="U286" s="1656"/>
      <c r="V286" s="1301"/>
      <c r="W286" s="1629">
        <v>2000000</v>
      </c>
      <c r="X286" s="1630"/>
      <c r="Y286" s="1091"/>
      <c r="AB286"/>
      <c r="AD286" s="1240">
        <v>2</v>
      </c>
      <c r="AE286" s="1241" t="s">
        <v>3637</v>
      </c>
      <c r="AF286" s="1242">
        <v>2</v>
      </c>
      <c r="AG286" s="1243" t="s">
        <v>3417</v>
      </c>
      <c r="AH286" s="1244" t="s">
        <v>2241</v>
      </c>
    </row>
    <row r="287" spans="12:34" ht="14.5">
      <c r="L287" s="1695">
        <v>15</v>
      </c>
      <c r="M287" s="1697" t="s">
        <v>3474</v>
      </c>
      <c r="N287" s="1699">
        <v>1</v>
      </c>
      <c r="O287" s="1699" t="s">
        <v>2844</v>
      </c>
      <c r="P287" s="1654"/>
      <c r="Q287" s="1656"/>
      <c r="R287" s="1654"/>
      <c r="S287" s="1655"/>
      <c r="T287" s="1655"/>
      <c r="U287" s="1656"/>
      <c r="V287" s="1301"/>
      <c r="W287" s="1631">
        <v>60000000</v>
      </c>
      <c r="X287" s="1632"/>
      <c r="Y287" s="1091"/>
      <c r="AB287"/>
      <c r="AD287" s="1240">
        <v>3</v>
      </c>
      <c r="AE287" s="1241" t="s">
        <v>3579</v>
      </c>
      <c r="AF287" s="1242">
        <v>2</v>
      </c>
      <c r="AG287" s="1243" t="s">
        <v>3487</v>
      </c>
      <c r="AH287" s="1244" t="s">
        <v>3508</v>
      </c>
    </row>
    <row r="288" spans="12:34" ht="14.5">
      <c r="L288" s="1695"/>
      <c r="M288" s="1697"/>
      <c r="N288" s="1699"/>
      <c r="O288" s="1699"/>
      <c r="P288" s="1654"/>
      <c r="Q288" s="1656"/>
      <c r="R288" s="1654"/>
      <c r="S288" s="1655"/>
      <c r="T288" s="1655"/>
      <c r="U288" s="1656"/>
      <c r="V288" s="1301"/>
      <c r="W288" s="1631"/>
      <c r="X288" s="1632"/>
      <c r="Y288" s="1091"/>
      <c r="AB288"/>
      <c r="AD288" s="1240"/>
      <c r="AE288" s="1241"/>
      <c r="AF288" s="1242"/>
      <c r="AG288" s="1243"/>
      <c r="AH288" s="1244"/>
    </row>
    <row r="289" spans="12:34" ht="14.5">
      <c r="L289" s="1695"/>
      <c r="M289" s="1697"/>
      <c r="N289" s="1699"/>
      <c r="O289" s="1699"/>
      <c r="P289" s="1654"/>
      <c r="Q289" s="1656"/>
      <c r="R289" s="1654"/>
      <c r="S289" s="1655"/>
      <c r="T289" s="1655"/>
      <c r="U289" s="1656"/>
      <c r="V289" s="1301"/>
      <c r="W289" s="1631"/>
      <c r="X289" s="1632"/>
      <c r="Y289" s="1091"/>
      <c r="AB289"/>
      <c r="AD289" s="1240"/>
      <c r="AE289" s="1241" t="s">
        <v>3638</v>
      </c>
      <c r="AF289" s="1242"/>
      <c r="AG289" s="1243"/>
      <c r="AH289" s="1244"/>
    </row>
    <row r="290" spans="12:34" ht="15" thickBot="1">
      <c r="L290" s="1696"/>
      <c r="M290" s="1698"/>
      <c r="N290" s="1700"/>
      <c r="O290" s="1700"/>
      <c r="P290" s="1650"/>
      <c r="Q290" s="1652"/>
      <c r="R290" s="1692"/>
      <c r="S290" s="1693"/>
      <c r="T290" s="1693"/>
      <c r="U290" s="1694"/>
      <c r="V290" s="1306"/>
      <c r="W290" s="1633"/>
      <c r="X290" s="1634"/>
      <c r="Y290" s="1091"/>
      <c r="AB290"/>
      <c r="AD290" s="1240">
        <v>1</v>
      </c>
      <c r="AE290" s="1287" t="s">
        <v>3639</v>
      </c>
      <c r="AF290" s="1264"/>
      <c r="AG290" s="1243"/>
      <c r="AH290" s="1244"/>
    </row>
    <row r="291" spans="12:34" ht="15.5" thickTop="1" thickBot="1">
      <c r="L291" s="1113" t="s">
        <v>2240</v>
      </c>
      <c r="M291" s="1110"/>
      <c r="N291" s="1110"/>
      <c r="O291" s="1110"/>
      <c r="P291" s="1110"/>
      <c r="Q291" s="1110"/>
      <c r="R291" s="1110"/>
      <c r="S291" s="1110"/>
      <c r="T291" s="1110"/>
      <c r="U291" s="1110"/>
      <c r="V291" s="1625">
        <f>SUM(W252:X290)</f>
        <v>161500000</v>
      </c>
      <c r="W291" s="1625"/>
      <c r="X291" s="1626"/>
      <c r="Y291" s="1091"/>
      <c r="AB291"/>
      <c r="AD291" s="1240">
        <v>2</v>
      </c>
      <c r="AE291" s="1287" t="s">
        <v>3640</v>
      </c>
      <c r="AF291" s="1264"/>
      <c r="AG291" s="1243"/>
      <c r="AH291" s="1244"/>
    </row>
    <row r="292" spans="12:34" ht="15.5" thickTop="1" thickBot="1">
      <c r="L292" s="1114" t="s">
        <v>3197</v>
      </c>
      <c r="M292" s="1112"/>
      <c r="N292" s="1112"/>
      <c r="O292" s="1112"/>
      <c r="P292" s="1112"/>
      <c r="Q292" s="1112"/>
      <c r="R292" s="1112"/>
      <c r="S292" s="1112"/>
      <c r="T292" s="1112"/>
      <c r="U292" s="1112"/>
      <c r="V292" s="1627">
        <f>V291*121%+54585000</f>
        <v>250000000</v>
      </c>
      <c r="W292" s="1627"/>
      <c r="X292" s="1628"/>
      <c r="Y292" s="1091"/>
      <c r="AB292"/>
      <c r="AD292" s="1240"/>
      <c r="AE292" s="1287"/>
      <c r="AF292" s="1264"/>
      <c r="AG292" s="1243"/>
      <c r="AH292" s="1244"/>
    </row>
    <row r="293" spans="12:34" ht="14.5">
      <c r="L293" s="998"/>
      <c r="M293" s="997"/>
      <c r="N293" s="997"/>
      <c r="O293" s="1099"/>
      <c r="P293" s="1099"/>
      <c r="Q293" s="998"/>
      <c r="R293" s="997"/>
      <c r="S293" s="997"/>
      <c r="T293" s="997"/>
      <c r="U293" s="997"/>
      <c r="V293" s="997"/>
      <c r="W293" s="997"/>
      <c r="X293" s="1000"/>
      <c r="Y293" s="1091"/>
      <c r="AB293"/>
      <c r="AD293" s="1240">
        <v>1</v>
      </c>
      <c r="AE293" s="1241" t="s">
        <v>3615</v>
      </c>
      <c r="AF293" s="1242">
        <v>2</v>
      </c>
      <c r="AG293" s="1243" t="s">
        <v>3487</v>
      </c>
      <c r="AH293" s="1244" t="s">
        <v>3506</v>
      </c>
    </row>
    <row r="294" spans="12:34" ht="16" thickBot="1">
      <c r="L294" s="1671" t="s">
        <v>3475</v>
      </c>
      <c r="M294" s="1671"/>
      <c r="N294" s="1001"/>
      <c r="O294" s="1001"/>
      <c r="P294" s="1001"/>
      <c r="Q294" s="1001"/>
      <c r="R294" s="1001"/>
      <c r="S294" s="1001"/>
      <c r="T294" s="1001"/>
      <c r="U294" s="1001"/>
      <c r="V294" s="1001"/>
      <c r="W294" s="1001"/>
      <c r="X294" s="1040"/>
      <c r="Y294" s="1091"/>
      <c r="AB294"/>
      <c r="AD294" s="1240">
        <v>2</v>
      </c>
      <c r="AE294" s="1241" t="s">
        <v>3616</v>
      </c>
      <c r="AF294" s="1242">
        <v>2</v>
      </c>
      <c r="AG294" s="1243" t="s">
        <v>3487</v>
      </c>
      <c r="AH294" s="1244" t="s">
        <v>3506</v>
      </c>
    </row>
    <row r="295" spans="12:34" ht="13.25" customHeight="1">
      <c r="L295" s="1672" t="s">
        <v>3135</v>
      </c>
      <c r="M295" s="1661" t="s">
        <v>3136</v>
      </c>
      <c r="N295" s="1661" t="s">
        <v>3137</v>
      </c>
      <c r="O295" s="1661"/>
      <c r="P295" s="1674" t="s">
        <v>3138</v>
      </c>
      <c r="Q295" s="1675"/>
      <c r="R295" s="1674" t="s">
        <v>3139</v>
      </c>
      <c r="S295" s="1678"/>
      <c r="T295" s="1678"/>
      <c r="U295" s="1675"/>
      <c r="V295" s="1661" t="s">
        <v>3140</v>
      </c>
      <c r="W295" s="1637" t="s">
        <v>3141</v>
      </c>
      <c r="X295" s="1638"/>
      <c r="Y295" s="1091"/>
      <c r="AB295"/>
      <c r="AD295" s="1240">
        <v>3</v>
      </c>
      <c r="AE295" s="1241" t="s">
        <v>3616</v>
      </c>
      <c r="AF295" s="1242">
        <v>4</v>
      </c>
      <c r="AG295" s="1243" t="s">
        <v>3487</v>
      </c>
      <c r="AH295" s="1244" t="s">
        <v>3506</v>
      </c>
    </row>
    <row r="296" spans="12:34" ht="13.75" customHeight="1">
      <c r="L296" s="1673"/>
      <c r="M296" s="1662"/>
      <c r="N296" s="1662"/>
      <c r="O296" s="1662"/>
      <c r="P296" s="1676"/>
      <c r="Q296" s="1677"/>
      <c r="R296" s="1676"/>
      <c r="S296" s="1679"/>
      <c r="T296" s="1679"/>
      <c r="U296" s="1677"/>
      <c r="V296" s="1662"/>
      <c r="W296" s="1639"/>
      <c r="X296" s="1640"/>
      <c r="Y296" s="1091"/>
      <c r="AB296"/>
      <c r="AD296" s="1240">
        <v>4</v>
      </c>
      <c r="AE296" s="1241" t="s">
        <v>3572</v>
      </c>
      <c r="AF296" s="1242">
        <v>2</v>
      </c>
      <c r="AG296" s="1243" t="s">
        <v>3487</v>
      </c>
      <c r="AH296" s="1244" t="s">
        <v>3506</v>
      </c>
    </row>
    <row r="297" spans="12:34" ht="14.5">
      <c r="L297" s="1288">
        <v>1</v>
      </c>
      <c r="M297" s="1289" t="s">
        <v>3476</v>
      </c>
      <c r="N297" s="1307">
        <v>2</v>
      </c>
      <c r="O297" s="1307" t="s">
        <v>2907</v>
      </c>
      <c r="P297" s="1688"/>
      <c r="Q297" s="1688"/>
      <c r="R297" s="1689"/>
      <c r="S297" s="1690"/>
      <c r="T297" s="1690"/>
      <c r="U297" s="1691"/>
      <c r="V297" s="1293">
        <v>32500000</v>
      </c>
      <c r="W297" s="1635">
        <f>V297*N297</f>
        <v>65000000</v>
      </c>
      <c r="X297" s="1636"/>
      <c r="Y297" s="1091"/>
      <c r="AB297"/>
      <c r="AD297" s="1240">
        <v>5</v>
      </c>
      <c r="AE297" s="1241" t="s">
        <v>3585</v>
      </c>
      <c r="AF297" s="1242">
        <v>2</v>
      </c>
      <c r="AG297" s="1243" t="s">
        <v>3487</v>
      </c>
      <c r="AH297" s="1244" t="s">
        <v>3546</v>
      </c>
    </row>
    <row r="298" spans="12:34" ht="14.5">
      <c r="L298" s="1194"/>
      <c r="M298" s="1294" t="s">
        <v>3477</v>
      </c>
      <c r="N298" s="1298"/>
      <c r="O298" s="1296"/>
      <c r="P298" s="1667"/>
      <c r="Q298" s="1667"/>
      <c r="R298" s="1668"/>
      <c r="S298" s="1669"/>
      <c r="T298" s="1669"/>
      <c r="U298" s="1670"/>
      <c r="V298" s="1301"/>
      <c r="W298" s="1629">
        <f t="shared" ref="W298:W303" si="71">V298*N298</f>
        <v>0</v>
      </c>
      <c r="X298" s="1630"/>
      <c r="Y298" s="1091"/>
      <c r="AB298"/>
      <c r="AD298" s="1240">
        <v>6</v>
      </c>
      <c r="AE298" s="1241" t="s">
        <v>3641</v>
      </c>
      <c r="AF298" s="1242">
        <v>2</v>
      </c>
      <c r="AG298" s="1243" t="s">
        <v>3487</v>
      </c>
      <c r="AH298" s="1244" t="s">
        <v>3506</v>
      </c>
    </row>
    <row r="299" spans="12:34" ht="14.5">
      <c r="L299" s="1194"/>
      <c r="M299" s="1302" t="s">
        <v>3478</v>
      </c>
      <c r="N299" s="1298"/>
      <c r="O299" s="1296"/>
      <c r="P299" s="1667"/>
      <c r="Q299" s="1667"/>
      <c r="R299" s="1668"/>
      <c r="S299" s="1669"/>
      <c r="T299" s="1669"/>
      <c r="U299" s="1670"/>
      <c r="V299" s="1301"/>
      <c r="W299" s="1629">
        <f t="shared" si="71"/>
        <v>0</v>
      </c>
      <c r="X299" s="1630"/>
      <c r="Y299" s="1091"/>
      <c r="AB299"/>
      <c r="AD299" s="1240">
        <v>7</v>
      </c>
      <c r="AE299" s="1241" t="s">
        <v>3574</v>
      </c>
      <c r="AF299" s="1242">
        <v>4</v>
      </c>
      <c r="AG299" s="1243" t="s">
        <v>3487</v>
      </c>
      <c r="AH299" s="1244" t="s">
        <v>3536</v>
      </c>
    </row>
    <row r="300" spans="12:34" ht="14.5">
      <c r="L300" s="1194"/>
      <c r="M300" s="1302" t="s">
        <v>3479</v>
      </c>
      <c r="N300" s="1298"/>
      <c r="O300" s="1296"/>
      <c r="P300" s="1667"/>
      <c r="Q300" s="1667"/>
      <c r="R300" s="1668"/>
      <c r="S300" s="1669"/>
      <c r="T300" s="1669"/>
      <c r="U300" s="1670"/>
      <c r="V300" s="1301"/>
      <c r="W300" s="1629">
        <f t="shared" si="71"/>
        <v>0</v>
      </c>
      <c r="X300" s="1630"/>
      <c r="Y300" s="1091"/>
      <c r="AB300"/>
      <c r="AD300" s="1240">
        <v>8</v>
      </c>
      <c r="AE300" s="1241" t="s">
        <v>3575</v>
      </c>
      <c r="AF300" s="1242">
        <v>2</v>
      </c>
      <c r="AG300" s="1243" t="s">
        <v>3487</v>
      </c>
      <c r="AH300" s="1244" t="s">
        <v>3536</v>
      </c>
    </row>
    <row r="301" spans="12:34" ht="14.5">
      <c r="L301" s="1194"/>
      <c r="M301" s="1302" t="s">
        <v>3480</v>
      </c>
      <c r="N301" s="1298"/>
      <c r="O301" s="1296"/>
      <c r="P301" s="1667"/>
      <c r="Q301" s="1667"/>
      <c r="R301" s="1668"/>
      <c r="S301" s="1669"/>
      <c r="T301" s="1669"/>
      <c r="U301" s="1670"/>
      <c r="V301" s="1301"/>
      <c r="W301" s="1629">
        <f t="shared" si="71"/>
        <v>0</v>
      </c>
      <c r="X301" s="1630"/>
      <c r="Y301" s="1091"/>
      <c r="AB301"/>
      <c r="AD301" s="1240">
        <v>9</v>
      </c>
      <c r="AE301" s="1241" t="s">
        <v>3576</v>
      </c>
      <c r="AF301" s="1242">
        <v>2</v>
      </c>
      <c r="AG301" s="1243" t="s">
        <v>3487</v>
      </c>
      <c r="AH301" s="1244" t="s">
        <v>3536</v>
      </c>
    </row>
    <row r="302" spans="12:34" ht="14.5">
      <c r="L302" s="1194"/>
      <c r="M302" s="1294" t="s">
        <v>3443</v>
      </c>
      <c r="N302" s="1297"/>
      <c r="O302" s="1294"/>
      <c r="P302" s="1684"/>
      <c r="Q302" s="1684"/>
      <c r="R302" s="1685"/>
      <c r="S302" s="1686"/>
      <c r="T302" s="1686"/>
      <c r="U302" s="1687"/>
      <c r="V302" s="1301"/>
      <c r="W302" s="1629">
        <f t="shared" si="71"/>
        <v>0</v>
      </c>
      <c r="X302" s="1630"/>
      <c r="Y302" s="1091"/>
      <c r="AB302"/>
      <c r="AD302" s="1240">
        <v>10</v>
      </c>
      <c r="AE302" s="1241" t="s">
        <v>3577</v>
      </c>
      <c r="AF302" s="1242">
        <v>4</v>
      </c>
      <c r="AG302" s="1243" t="s">
        <v>3487</v>
      </c>
      <c r="AH302" s="1244" t="s">
        <v>3546</v>
      </c>
    </row>
    <row r="303" spans="12:34" ht="15" thickBot="1">
      <c r="L303" s="1303"/>
      <c r="M303" s="1304" t="s">
        <v>3481</v>
      </c>
      <c r="N303" s="1305"/>
      <c r="O303" s="1304"/>
      <c r="P303" s="1680"/>
      <c r="Q303" s="1680"/>
      <c r="R303" s="1681"/>
      <c r="S303" s="1682"/>
      <c r="T303" s="1682"/>
      <c r="U303" s="1683"/>
      <c r="V303" s="1306"/>
      <c r="W303" s="1643">
        <f t="shared" si="71"/>
        <v>0</v>
      </c>
      <c r="X303" s="1644"/>
      <c r="Y303" s="1091"/>
      <c r="AB303"/>
      <c r="AD303" s="1240">
        <v>11</v>
      </c>
      <c r="AE303" s="1241" t="s">
        <v>3562</v>
      </c>
      <c r="AF303" s="1242">
        <v>2</v>
      </c>
      <c r="AG303" s="1243" t="s">
        <v>3487</v>
      </c>
      <c r="AH303" s="1244" t="s">
        <v>3563</v>
      </c>
    </row>
    <row r="304" spans="12:34" ht="15.5" thickTop="1" thickBot="1">
      <c r="L304" s="1113" t="s">
        <v>2240</v>
      </c>
      <c r="M304" s="1110"/>
      <c r="N304" s="1110"/>
      <c r="O304" s="1110"/>
      <c r="P304" s="1110"/>
      <c r="Q304" s="1110"/>
      <c r="R304" s="1110"/>
      <c r="S304" s="1110"/>
      <c r="T304" s="1110"/>
      <c r="U304" s="1110"/>
      <c r="V304" s="1625">
        <f>SUM(W297:X303)</f>
        <v>65000000</v>
      </c>
      <c r="W304" s="1625"/>
      <c r="X304" s="1626"/>
      <c r="Y304" s="1091"/>
      <c r="AB304"/>
      <c r="AD304" s="1240">
        <v>12</v>
      </c>
      <c r="AE304" s="1241" t="s">
        <v>3578</v>
      </c>
      <c r="AF304" s="1242">
        <v>1</v>
      </c>
      <c r="AG304" s="1243" t="s">
        <v>2872</v>
      </c>
      <c r="AH304" s="1244" t="s">
        <v>3500</v>
      </c>
    </row>
    <row r="305" spans="12:34" ht="15.5" thickTop="1" thickBot="1">
      <c r="L305" s="1114" t="s">
        <v>3197</v>
      </c>
      <c r="M305" s="1112"/>
      <c r="N305" s="1112"/>
      <c r="O305" s="1112"/>
      <c r="P305" s="1112"/>
      <c r="Q305" s="1112"/>
      <c r="R305" s="1112"/>
      <c r="S305" s="1112"/>
      <c r="T305" s="1112"/>
      <c r="U305" s="1112"/>
      <c r="V305" s="1627">
        <f>V304*121%+1350000</f>
        <v>80000000</v>
      </c>
      <c r="W305" s="1627"/>
      <c r="X305" s="1628"/>
      <c r="Y305" s="1091"/>
      <c r="AB305"/>
      <c r="AD305" s="1240"/>
      <c r="AE305" s="1241" t="s">
        <v>3587</v>
      </c>
      <c r="AF305" s="1242">
        <v>4</v>
      </c>
      <c r="AG305" s="1243" t="s">
        <v>3487</v>
      </c>
      <c r="AH305" s="1244" t="s">
        <v>3508</v>
      </c>
    </row>
    <row r="306" spans="12:34" ht="14.5">
      <c r="L306" s="997"/>
      <c r="M306" s="997"/>
      <c r="N306" s="997"/>
      <c r="O306" s="1099"/>
      <c r="P306" s="1099"/>
      <c r="Q306" s="998"/>
      <c r="R306" s="997"/>
      <c r="S306" s="997"/>
      <c r="T306" s="997"/>
      <c r="U306" s="997"/>
      <c r="V306" s="997"/>
      <c r="W306" s="997"/>
      <c r="X306" s="1000"/>
      <c r="Y306" s="1091"/>
      <c r="AB306"/>
      <c r="AD306" s="1240"/>
      <c r="AE306" s="1241"/>
      <c r="AF306" s="1242"/>
      <c r="AG306" s="1243"/>
      <c r="AH306" s="1244"/>
    </row>
    <row r="307" spans="12:34" ht="16" thickBot="1">
      <c r="L307" s="1671" t="s">
        <v>3482</v>
      </c>
      <c r="M307" s="1671"/>
      <c r="N307" s="1001"/>
      <c r="O307" s="1001"/>
      <c r="P307" s="1001"/>
      <c r="Q307" s="1001"/>
      <c r="R307" s="1001"/>
      <c r="S307" s="1001"/>
      <c r="T307" s="1001"/>
      <c r="U307" s="1001"/>
      <c r="V307" s="1001"/>
      <c r="W307" s="1001"/>
      <c r="X307" s="1040"/>
      <c r="Y307" s="1091"/>
      <c r="AB307"/>
      <c r="AD307" s="1240"/>
      <c r="AE307" s="1265" t="s">
        <v>3642</v>
      </c>
      <c r="AF307" s="1264"/>
      <c r="AG307" s="1243"/>
      <c r="AH307" s="1244"/>
    </row>
    <row r="308" spans="12:34" ht="13.25" customHeight="1">
      <c r="L308" s="1672" t="s">
        <v>3135</v>
      </c>
      <c r="M308" s="1661" t="s">
        <v>3136</v>
      </c>
      <c r="N308" s="1661" t="s">
        <v>3137</v>
      </c>
      <c r="O308" s="1661"/>
      <c r="P308" s="1674" t="s">
        <v>3138</v>
      </c>
      <c r="Q308" s="1675"/>
      <c r="R308" s="1674" t="s">
        <v>3139</v>
      </c>
      <c r="S308" s="1678"/>
      <c r="T308" s="1678"/>
      <c r="U308" s="1675"/>
      <c r="V308" s="1661" t="s">
        <v>3140</v>
      </c>
      <c r="W308" s="1637" t="s">
        <v>3141</v>
      </c>
      <c r="X308" s="1638"/>
      <c r="Y308" s="1091"/>
      <c r="AB308"/>
      <c r="AD308" s="1240">
        <v>1</v>
      </c>
      <c r="AE308" s="1287" t="s">
        <v>3643</v>
      </c>
      <c r="AF308" s="1264"/>
      <c r="AG308" s="1243"/>
      <c r="AH308" s="1244"/>
    </row>
    <row r="309" spans="12:34" ht="13.75" customHeight="1">
      <c r="L309" s="1673"/>
      <c r="M309" s="1662"/>
      <c r="N309" s="1662"/>
      <c r="O309" s="1662"/>
      <c r="P309" s="1676"/>
      <c r="Q309" s="1677"/>
      <c r="R309" s="1676"/>
      <c r="S309" s="1679"/>
      <c r="T309" s="1679"/>
      <c r="U309" s="1677"/>
      <c r="V309" s="1662"/>
      <c r="W309" s="1639"/>
      <c r="X309" s="1640"/>
      <c r="Y309" s="1091"/>
      <c r="AB309"/>
      <c r="AD309" s="1240">
        <v>2</v>
      </c>
      <c r="AE309" s="1287" t="s">
        <v>3644</v>
      </c>
      <c r="AF309" s="1264"/>
      <c r="AG309" s="1243"/>
      <c r="AH309" s="1244"/>
    </row>
    <row r="310" spans="12:34" ht="14.5">
      <c r="L310" s="1288">
        <v>1</v>
      </c>
      <c r="M310" s="1289" t="s">
        <v>3483</v>
      </c>
      <c r="N310" s="1290">
        <v>1</v>
      </c>
      <c r="O310" s="1291" t="s">
        <v>2907</v>
      </c>
      <c r="P310" s="1663" t="s">
        <v>3484</v>
      </c>
      <c r="Q310" s="1663"/>
      <c r="R310" s="1664" t="s">
        <v>3485</v>
      </c>
      <c r="S310" s="1665"/>
      <c r="T310" s="1665"/>
      <c r="U310" s="1666"/>
      <c r="V310" s="1293">
        <v>45000000</v>
      </c>
      <c r="W310" s="1635">
        <f>V310*N310</f>
        <v>45000000</v>
      </c>
      <c r="X310" s="1636"/>
      <c r="Y310" s="1091"/>
      <c r="AB310"/>
      <c r="AD310" s="1240">
        <v>3</v>
      </c>
      <c r="AE310" s="1287" t="s">
        <v>3645</v>
      </c>
      <c r="AF310" s="1264"/>
      <c r="AG310" s="1243"/>
      <c r="AH310" s="1244"/>
    </row>
    <row r="311" spans="12:34" ht="14.5">
      <c r="L311" s="1194">
        <v>2</v>
      </c>
      <c r="M311" s="1294" t="s">
        <v>3486</v>
      </c>
      <c r="N311" s="1295">
        <v>6</v>
      </c>
      <c r="O311" s="1296" t="s">
        <v>3487</v>
      </c>
      <c r="P311" s="1653"/>
      <c r="Q311" s="1653"/>
      <c r="R311" s="1654" t="s">
        <v>3488</v>
      </c>
      <c r="S311" s="1655"/>
      <c r="T311" s="1655"/>
      <c r="U311" s="1656"/>
      <c r="V311" s="1301">
        <v>3500000</v>
      </c>
      <c r="W311" s="1629">
        <f>V311*N311</f>
        <v>21000000</v>
      </c>
      <c r="X311" s="1630"/>
      <c r="Y311" s="1091"/>
      <c r="AB311"/>
      <c r="AD311" s="1240"/>
      <c r="AE311" s="1287"/>
      <c r="AF311" s="1242"/>
      <c r="AG311" s="1243"/>
      <c r="AH311" s="1244"/>
    </row>
    <row r="312" spans="12:34" ht="14.5">
      <c r="L312" s="1194">
        <v>3</v>
      </c>
      <c r="M312" s="1302" t="s">
        <v>3489</v>
      </c>
      <c r="N312" s="1295">
        <v>2</v>
      </c>
      <c r="O312" s="1296" t="s">
        <v>3487</v>
      </c>
      <c r="P312" s="1653"/>
      <c r="Q312" s="1653"/>
      <c r="R312" s="1654"/>
      <c r="S312" s="1655"/>
      <c r="T312" s="1655"/>
      <c r="U312" s="1656"/>
      <c r="V312" s="1301">
        <v>150000</v>
      </c>
      <c r="W312" s="1629">
        <f t="shared" ref="W312:W316" si="72">V312*N312</f>
        <v>300000</v>
      </c>
      <c r="X312" s="1630"/>
      <c r="Y312" s="1091"/>
      <c r="AB312"/>
      <c r="AD312" s="1240">
        <v>1</v>
      </c>
      <c r="AE312" s="1241" t="s">
        <v>3622</v>
      </c>
      <c r="AF312" s="1242">
        <v>3</v>
      </c>
      <c r="AG312" s="1243" t="s">
        <v>3487</v>
      </c>
      <c r="AH312" s="1244" t="s">
        <v>3506</v>
      </c>
    </row>
    <row r="313" spans="12:34" ht="14.5">
      <c r="L313" s="1194">
        <v>4</v>
      </c>
      <c r="M313" s="1302" t="s">
        <v>3490</v>
      </c>
      <c r="N313" s="1298">
        <v>20</v>
      </c>
      <c r="O313" s="1296" t="s">
        <v>3491</v>
      </c>
      <c r="P313" s="1653"/>
      <c r="Q313" s="1653"/>
      <c r="R313" s="1654"/>
      <c r="S313" s="1655"/>
      <c r="T313" s="1655"/>
      <c r="U313" s="1656"/>
      <c r="V313" s="1301">
        <v>2000000</v>
      </c>
      <c r="W313" s="1629">
        <f t="shared" si="72"/>
        <v>40000000</v>
      </c>
      <c r="X313" s="1630"/>
      <c r="Y313" s="1091"/>
      <c r="AB313"/>
      <c r="AD313" s="1240">
        <v>2</v>
      </c>
      <c r="AE313" s="1241" t="s">
        <v>3623</v>
      </c>
      <c r="AF313" s="1242">
        <v>3</v>
      </c>
      <c r="AG313" s="1243" t="s">
        <v>3487</v>
      </c>
      <c r="AH313" s="1244" t="s">
        <v>3506</v>
      </c>
    </row>
    <row r="314" spans="12:34" ht="14.5">
      <c r="L314" s="1194">
        <v>5</v>
      </c>
      <c r="M314" s="1302" t="s">
        <v>3492</v>
      </c>
      <c r="N314" s="1298">
        <v>1</v>
      </c>
      <c r="O314" s="1296" t="s">
        <v>3491</v>
      </c>
      <c r="P314" s="1653"/>
      <c r="Q314" s="1653"/>
      <c r="R314" s="1654"/>
      <c r="S314" s="1655"/>
      <c r="T314" s="1655"/>
      <c r="U314" s="1656"/>
      <c r="V314" s="1301">
        <v>210000</v>
      </c>
      <c r="W314" s="1629">
        <f t="shared" si="72"/>
        <v>210000</v>
      </c>
      <c r="X314" s="1630"/>
      <c r="Y314" s="1091"/>
      <c r="AB314"/>
      <c r="AD314" s="1240">
        <v>3</v>
      </c>
      <c r="AE314" s="1241" t="s">
        <v>3572</v>
      </c>
      <c r="AF314" s="1242">
        <v>3</v>
      </c>
      <c r="AG314" s="1243" t="s">
        <v>3487</v>
      </c>
      <c r="AH314" s="1244" t="s">
        <v>3506</v>
      </c>
    </row>
    <row r="315" spans="12:34" ht="14.5">
      <c r="L315" s="1194">
        <v>6</v>
      </c>
      <c r="M315" s="1302" t="s">
        <v>3493</v>
      </c>
      <c r="N315" s="1297">
        <v>1</v>
      </c>
      <c r="O315" s="1294" t="s">
        <v>3491</v>
      </c>
      <c r="P315" s="1657"/>
      <c r="Q315" s="1657"/>
      <c r="R315" s="1658"/>
      <c r="S315" s="1659"/>
      <c r="T315" s="1659"/>
      <c r="U315" s="1660"/>
      <c r="V315" s="1301">
        <v>210000</v>
      </c>
      <c r="W315" s="1629">
        <f t="shared" si="72"/>
        <v>210000</v>
      </c>
      <c r="X315" s="1630"/>
      <c r="Y315" s="1091"/>
      <c r="AB315"/>
      <c r="AD315" s="1240">
        <v>4</v>
      </c>
      <c r="AE315" s="1241" t="s">
        <v>3624</v>
      </c>
      <c r="AF315" s="1242">
        <v>3</v>
      </c>
      <c r="AG315" s="1243" t="s">
        <v>3487</v>
      </c>
      <c r="AH315" s="1244" t="s">
        <v>3506</v>
      </c>
    </row>
    <row r="316" spans="12:34" ht="15" thickBot="1">
      <c r="L316" s="1303">
        <v>7</v>
      </c>
      <c r="M316" s="1304" t="s">
        <v>3494</v>
      </c>
      <c r="N316" s="1305">
        <v>1</v>
      </c>
      <c r="O316" s="1304" t="s">
        <v>2872</v>
      </c>
      <c r="P316" s="1649"/>
      <c r="Q316" s="1649"/>
      <c r="R316" s="1650"/>
      <c r="S316" s="1651"/>
      <c r="T316" s="1651"/>
      <c r="U316" s="1652"/>
      <c r="V316" s="1306">
        <v>8000000</v>
      </c>
      <c r="W316" s="1643">
        <f t="shared" si="72"/>
        <v>8000000</v>
      </c>
      <c r="X316" s="1644"/>
      <c r="Y316" s="1091"/>
      <c r="AB316"/>
      <c r="AD316" s="1240">
        <v>5</v>
      </c>
      <c r="AE316" s="1241" t="s">
        <v>3574</v>
      </c>
      <c r="AF316" s="1242">
        <v>6</v>
      </c>
      <c r="AG316" s="1243" t="s">
        <v>3487</v>
      </c>
      <c r="AH316" s="1244" t="s">
        <v>3536</v>
      </c>
    </row>
    <row r="317" spans="12:34" ht="15.5" thickTop="1" thickBot="1">
      <c r="L317" s="1109" t="s">
        <v>2240</v>
      </c>
      <c r="M317" s="1110"/>
      <c r="N317" s="1110"/>
      <c r="O317" s="1110"/>
      <c r="P317" s="1110"/>
      <c r="Q317" s="1110"/>
      <c r="R317" s="1110"/>
      <c r="S317" s="1110"/>
      <c r="T317" s="1110"/>
      <c r="U317" s="1110"/>
      <c r="V317" s="1625">
        <f>SUM(W310:X316)</f>
        <v>114720000</v>
      </c>
      <c r="W317" s="1625"/>
      <c r="X317" s="1626"/>
      <c r="Y317" s="1091"/>
      <c r="AB317"/>
      <c r="AD317" s="1240">
        <v>6</v>
      </c>
      <c r="AE317" s="1241" t="s">
        <v>3575</v>
      </c>
      <c r="AF317" s="1242">
        <v>3</v>
      </c>
      <c r="AG317" s="1243" t="s">
        <v>3487</v>
      </c>
      <c r="AH317" s="1244" t="s">
        <v>3536</v>
      </c>
    </row>
    <row r="318" spans="12:34" ht="15.5" thickTop="1" thickBot="1">
      <c r="L318" s="1111" t="s">
        <v>3197</v>
      </c>
      <c r="M318" s="1112"/>
      <c r="N318" s="1112"/>
      <c r="O318" s="1112"/>
      <c r="P318" s="1112"/>
      <c r="Q318" s="1112"/>
      <c r="R318" s="1112"/>
      <c r="S318" s="1112"/>
      <c r="T318" s="1112"/>
      <c r="U318" s="1112"/>
      <c r="V318" s="1627">
        <f>V317*121%+11188800</f>
        <v>150000000</v>
      </c>
      <c r="W318" s="1627"/>
      <c r="X318" s="1628"/>
      <c r="Y318" s="1091"/>
      <c r="AB318"/>
      <c r="AD318" s="1240">
        <v>7</v>
      </c>
      <c r="AE318" s="1241" t="s">
        <v>3576</v>
      </c>
      <c r="AF318" s="1242">
        <v>3</v>
      </c>
      <c r="AG318" s="1243" t="s">
        <v>3487</v>
      </c>
      <c r="AH318" s="1244" t="s">
        <v>3536</v>
      </c>
    </row>
    <row r="319" spans="12:34" ht="14.5">
      <c r="Y319" s="1091"/>
      <c r="AB319"/>
      <c r="AD319" s="1240">
        <v>8</v>
      </c>
      <c r="AE319" s="1241" t="s">
        <v>3577</v>
      </c>
      <c r="AF319" s="1242">
        <v>6</v>
      </c>
      <c r="AG319" s="1243" t="s">
        <v>3487</v>
      </c>
      <c r="AH319" s="1244" t="s">
        <v>3546</v>
      </c>
    </row>
    <row r="320" spans="12:34" ht="14.5">
      <c r="Y320" s="1091"/>
      <c r="AB320"/>
      <c r="AD320" s="1240">
        <v>9</v>
      </c>
      <c r="AE320" s="1241" t="s">
        <v>3562</v>
      </c>
      <c r="AF320" s="1242">
        <v>3</v>
      </c>
      <c r="AG320" s="1243" t="s">
        <v>3487</v>
      </c>
      <c r="AH320" s="1244" t="s">
        <v>3563</v>
      </c>
    </row>
    <row r="321" spans="30:34" ht="14.5">
      <c r="AD321" s="1240">
        <v>10</v>
      </c>
      <c r="AE321" s="1241" t="s">
        <v>3578</v>
      </c>
      <c r="AF321" s="1242">
        <v>1</v>
      </c>
      <c r="AG321" s="1243" t="s">
        <v>2872</v>
      </c>
      <c r="AH321" s="1244" t="s">
        <v>3500</v>
      </c>
    </row>
    <row r="322" spans="30:34" ht="14.5">
      <c r="AD322" s="1240"/>
      <c r="AE322" s="1241" t="s">
        <v>3579</v>
      </c>
      <c r="AF322" s="1242">
        <v>3</v>
      </c>
      <c r="AG322" s="1243" t="s">
        <v>3487</v>
      </c>
      <c r="AH322" s="1244" t="s">
        <v>3508</v>
      </c>
    </row>
    <row r="323" spans="30:34" ht="14.5">
      <c r="AD323" s="1240"/>
      <c r="AE323" s="1241"/>
      <c r="AF323" s="1242"/>
      <c r="AG323" s="1243"/>
      <c r="AH323" s="1244"/>
    </row>
    <row r="324" spans="30:34" ht="14.5">
      <c r="AD324" s="1240"/>
      <c r="AE324" s="1241" t="s">
        <v>3646</v>
      </c>
      <c r="AF324" s="1242"/>
      <c r="AG324" s="1243"/>
      <c r="AH324" s="1244"/>
    </row>
    <row r="325" spans="30:34" ht="14.5">
      <c r="AD325" s="1240"/>
      <c r="AE325" s="1241"/>
      <c r="AF325" s="1242"/>
      <c r="AG325" s="1243"/>
      <c r="AH325" s="1244"/>
    </row>
    <row r="326" spans="30:34" ht="14.5">
      <c r="AD326" s="1240"/>
      <c r="AE326" s="1241"/>
      <c r="AF326" s="1242"/>
      <c r="AG326" s="1243"/>
      <c r="AH326" s="1244"/>
    </row>
    <row r="327" spans="30:34" ht="14.5">
      <c r="AD327" s="1240">
        <v>1</v>
      </c>
      <c r="AE327" s="1241" t="s">
        <v>3647</v>
      </c>
      <c r="AF327" s="1242">
        <v>1</v>
      </c>
      <c r="AG327" s="1243" t="s">
        <v>3505</v>
      </c>
      <c r="AH327" s="1244" t="s">
        <v>3506</v>
      </c>
    </row>
    <row r="328" spans="30:34" ht="14.5">
      <c r="AD328" s="1240">
        <v>2</v>
      </c>
      <c r="AE328" s="1241" t="s">
        <v>3648</v>
      </c>
      <c r="AF328" s="1242">
        <v>1</v>
      </c>
      <c r="AG328" s="1243" t="s">
        <v>3505</v>
      </c>
      <c r="AH328" s="1244" t="s">
        <v>3506</v>
      </c>
    </row>
    <row r="329" spans="30:34" ht="14.5">
      <c r="AD329" s="1240">
        <v>3</v>
      </c>
      <c r="AE329" s="1241" t="s">
        <v>3648</v>
      </c>
      <c r="AF329" s="1242">
        <v>2</v>
      </c>
      <c r="AG329" s="1243" t="s">
        <v>3487</v>
      </c>
      <c r="AH329" s="1244" t="s">
        <v>3506</v>
      </c>
    </row>
    <row r="330" spans="30:34" ht="14.5">
      <c r="AD330" s="1240">
        <v>4</v>
      </c>
      <c r="AE330" s="1241" t="s">
        <v>3572</v>
      </c>
      <c r="AF330" s="1242">
        <v>1</v>
      </c>
      <c r="AG330" s="1243" t="s">
        <v>3505</v>
      </c>
      <c r="AH330" s="1244" t="s">
        <v>3506</v>
      </c>
    </row>
    <row r="331" spans="30:34" ht="14.5">
      <c r="AD331" s="1240">
        <v>5</v>
      </c>
      <c r="AE331" s="1241" t="s">
        <v>3585</v>
      </c>
      <c r="AF331" s="1242">
        <v>1</v>
      </c>
      <c r="AG331" s="1243" t="s">
        <v>3505</v>
      </c>
      <c r="AH331" s="1244" t="s">
        <v>3546</v>
      </c>
    </row>
    <row r="332" spans="30:34" ht="14.5">
      <c r="AD332" s="1240">
        <v>6</v>
      </c>
      <c r="AE332" s="1241" t="s">
        <v>3573</v>
      </c>
      <c r="AF332" s="1242">
        <v>1</v>
      </c>
      <c r="AG332" s="1243" t="s">
        <v>3505</v>
      </c>
      <c r="AH332" s="1244" t="s">
        <v>3506</v>
      </c>
    </row>
    <row r="333" spans="30:34" ht="14.5">
      <c r="AD333" s="1240">
        <v>7</v>
      </c>
      <c r="AE333" s="1241" t="s">
        <v>3574</v>
      </c>
      <c r="AF333" s="1242">
        <v>2</v>
      </c>
      <c r="AG333" s="1243" t="s">
        <v>3487</v>
      </c>
      <c r="AH333" s="1244" t="s">
        <v>3536</v>
      </c>
    </row>
    <row r="334" spans="30:34" ht="14.5">
      <c r="AD334" s="1240">
        <v>8</v>
      </c>
      <c r="AE334" s="1241" t="s">
        <v>3575</v>
      </c>
      <c r="AF334" s="1242">
        <v>1</v>
      </c>
      <c r="AG334" s="1243" t="s">
        <v>3505</v>
      </c>
      <c r="AH334" s="1244" t="s">
        <v>3536</v>
      </c>
    </row>
    <row r="335" spans="30:34" ht="14.5">
      <c r="AD335" s="1240">
        <v>9</v>
      </c>
      <c r="AE335" s="1241" t="s">
        <v>3576</v>
      </c>
      <c r="AF335" s="1242">
        <v>1</v>
      </c>
      <c r="AG335" s="1243" t="s">
        <v>3505</v>
      </c>
      <c r="AH335" s="1244" t="s">
        <v>3536</v>
      </c>
    </row>
    <row r="336" spans="30:34" ht="14.5">
      <c r="AD336" s="1240">
        <v>10</v>
      </c>
      <c r="AE336" s="1241" t="s">
        <v>3577</v>
      </c>
      <c r="AF336" s="1242">
        <v>2</v>
      </c>
      <c r="AG336" s="1243" t="s">
        <v>3487</v>
      </c>
      <c r="AH336" s="1244" t="s">
        <v>3546</v>
      </c>
    </row>
    <row r="337" spans="30:34" ht="14.5">
      <c r="AD337" s="1240">
        <v>11</v>
      </c>
      <c r="AE337" s="1241" t="s">
        <v>3562</v>
      </c>
      <c r="AF337" s="1242">
        <v>1</v>
      </c>
      <c r="AG337" s="1243" t="s">
        <v>3505</v>
      </c>
      <c r="AH337" s="1244" t="s">
        <v>3563</v>
      </c>
    </row>
    <row r="338" spans="30:34" ht="14.5">
      <c r="AD338" s="1240">
        <v>12</v>
      </c>
      <c r="AE338" s="1241" t="s">
        <v>3578</v>
      </c>
      <c r="AF338" s="1242">
        <v>1</v>
      </c>
      <c r="AG338" s="1243" t="s">
        <v>2872</v>
      </c>
      <c r="AH338" s="1244" t="s">
        <v>3500</v>
      </c>
    </row>
    <row r="339" spans="30:34" ht="14.5">
      <c r="AD339" s="1240"/>
      <c r="AE339" s="1241" t="s">
        <v>3579</v>
      </c>
      <c r="AF339" s="1242">
        <v>2</v>
      </c>
      <c r="AG339" s="1243" t="s">
        <v>3487</v>
      </c>
      <c r="AH339" s="1244" t="s">
        <v>3508</v>
      </c>
    </row>
    <row r="340" spans="30:34" ht="14.5">
      <c r="AD340" s="1240"/>
      <c r="AE340" s="1241"/>
      <c r="AF340" s="1242"/>
      <c r="AG340" s="1243"/>
      <c r="AH340" s="1244"/>
    </row>
    <row r="341" spans="30:34" ht="14.5">
      <c r="AD341" s="1240"/>
      <c r="AE341" s="1241" t="s">
        <v>3567</v>
      </c>
      <c r="AF341" s="1242"/>
      <c r="AG341" s="1243"/>
      <c r="AH341" s="1244"/>
    </row>
    <row r="342" spans="30:34" ht="14.5">
      <c r="AD342" s="1240">
        <v>1</v>
      </c>
      <c r="AE342" s="1287" t="s">
        <v>3649</v>
      </c>
      <c r="AF342" s="1264"/>
      <c r="AG342" s="1243"/>
      <c r="AH342" s="1244"/>
    </row>
    <row r="343" spans="30:34" ht="14.5">
      <c r="AD343" s="1240">
        <v>2</v>
      </c>
      <c r="AE343" s="1287" t="s">
        <v>3650</v>
      </c>
      <c r="AF343" s="1264"/>
      <c r="AG343" s="1243"/>
      <c r="AH343" s="1244"/>
    </row>
    <row r="344" spans="30:34" ht="14.5">
      <c r="AD344" s="1240"/>
      <c r="AE344" s="1287"/>
      <c r="AF344" s="1242"/>
      <c r="AG344" s="1243"/>
      <c r="AH344" s="1244"/>
    </row>
    <row r="345" spans="30:34" ht="14.5">
      <c r="AD345" s="1240">
        <v>1</v>
      </c>
      <c r="AE345" s="1241" t="s">
        <v>3570</v>
      </c>
      <c r="AF345" s="1242">
        <v>2</v>
      </c>
      <c r="AG345" s="1243" t="s">
        <v>3487</v>
      </c>
      <c r="AH345" s="1244" t="s">
        <v>3506</v>
      </c>
    </row>
    <row r="346" spans="30:34" ht="14.5">
      <c r="AD346" s="1240">
        <v>2</v>
      </c>
      <c r="AE346" s="1241" t="s">
        <v>3571</v>
      </c>
      <c r="AF346" s="1242">
        <v>2</v>
      </c>
      <c r="AG346" s="1243" t="s">
        <v>3487</v>
      </c>
      <c r="AH346" s="1244" t="s">
        <v>3506</v>
      </c>
    </row>
    <row r="347" spans="30:34" ht="14.5">
      <c r="AD347" s="1240">
        <v>3</v>
      </c>
      <c r="AE347" s="1241" t="s">
        <v>3572</v>
      </c>
      <c r="AF347" s="1242">
        <v>2</v>
      </c>
      <c r="AG347" s="1243" t="s">
        <v>3487</v>
      </c>
      <c r="AH347" s="1244" t="s">
        <v>3506</v>
      </c>
    </row>
    <row r="348" spans="30:34" ht="14.5">
      <c r="AD348" s="1240">
        <v>4</v>
      </c>
      <c r="AE348" s="1241" t="s">
        <v>3573</v>
      </c>
      <c r="AF348" s="1242">
        <v>2</v>
      </c>
      <c r="AG348" s="1243" t="s">
        <v>3487</v>
      </c>
      <c r="AH348" s="1244" t="s">
        <v>3506</v>
      </c>
    </row>
    <row r="349" spans="30:34" ht="14.5">
      <c r="AD349" s="1240">
        <v>5</v>
      </c>
      <c r="AE349" s="1241" t="s">
        <v>3574</v>
      </c>
      <c r="AF349" s="1242">
        <v>4</v>
      </c>
      <c r="AG349" s="1243" t="s">
        <v>3487</v>
      </c>
      <c r="AH349" s="1244" t="s">
        <v>3536</v>
      </c>
    </row>
    <row r="350" spans="30:34" ht="14.5">
      <c r="AD350" s="1240">
        <v>6</v>
      </c>
      <c r="AE350" s="1241" t="s">
        <v>3575</v>
      </c>
      <c r="AF350" s="1242">
        <v>2</v>
      </c>
      <c r="AG350" s="1243" t="s">
        <v>3487</v>
      </c>
      <c r="AH350" s="1244" t="s">
        <v>3536</v>
      </c>
    </row>
    <row r="351" spans="30:34" ht="14.5">
      <c r="AD351" s="1240">
        <v>7</v>
      </c>
      <c r="AE351" s="1241" t="s">
        <v>3576</v>
      </c>
      <c r="AF351" s="1242">
        <v>2</v>
      </c>
      <c r="AG351" s="1243" t="s">
        <v>3487</v>
      </c>
      <c r="AH351" s="1244" t="s">
        <v>3536</v>
      </c>
    </row>
    <row r="352" spans="30:34" ht="14.5">
      <c r="AD352" s="1240">
        <v>8</v>
      </c>
      <c r="AE352" s="1241" t="s">
        <v>3577</v>
      </c>
      <c r="AF352" s="1242">
        <v>4</v>
      </c>
      <c r="AG352" s="1243" t="s">
        <v>3487</v>
      </c>
      <c r="AH352" s="1244" t="s">
        <v>3546</v>
      </c>
    </row>
    <row r="353" spans="30:34" ht="14.5">
      <c r="AD353" s="1240">
        <v>9</v>
      </c>
      <c r="AE353" s="1241" t="s">
        <v>3562</v>
      </c>
      <c r="AF353" s="1242">
        <v>2</v>
      </c>
      <c r="AG353" s="1243" t="s">
        <v>3487</v>
      </c>
      <c r="AH353" s="1244" t="s">
        <v>3563</v>
      </c>
    </row>
    <row r="354" spans="30:34" ht="14.5">
      <c r="AD354" s="1240">
        <v>10</v>
      </c>
      <c r="AE354" s="1241" t="s">
        <v>3578</v>
      </c>
      <c r="AF354" s="1242">
        <v>1</v>
      </c>
      <c r="AG354" s="1243" t="s">
        <v>2872</v>
      </c>
      <c r="AH354" s="1244" t="s">
        <v>3500</v>
      </c>
    </row>
    <row r="355" spans="30:34" ht="14.5">
      <c r="AD355" s="1240"/>
      <c r="AE355" s="1241" t="s">
        <v>3579</v>
      </c>
      <c r="AF355" s="1242">
        <v>2</v>
      </c>
      <c r="AG355" s="1243" t="s">
        <v>3487</v>
      </c>
      <c r="AH355" s="1244" t="s">
        <v>3508</v>
      </c>
    </row>
    <row r="356" spans="30:34" ht="14.5">
      <c r="AD356" s="1240"/>
      <c r="AE356" s="1241"/>
      <c r="AF356" s="1242"/>
      <c r="AG356" s="1243"/>
      <c r="AH356" s="1244"/>
    </row>
    <row r="357" spans="30:34" ht="14.5">
      <c r="AD357" s="1240"/>
      <c r="AE357" s="1241" t="s">
        <v>3651</v>
      </c>
      <c r="AF357" s="1242"/>
      <c r="AG357" s="1243"/>
      <c r="AH357" s="1244"/>
    </row>
    <row r="358" spans="30:34" ht="14.5">
      <c r="AD358" s="1240">
        <v>1</v>
      </c>
      <c r="AE358" s="1287" t="s">
        <v>3652</v>
      </c>
      <c r="AF358" s="1264"/>
      <c r="AG358" s="1243"/>
      <c r="AH358" s="1244"/>
    </row>
    <row r="359" spans="30:34" ht="14.5">
      <c r="AD359" s="1240">
        <v>2</v>
      </c>
      <c r="AE359" s="1287" t="s">
        <v>3653</v>
      </c>
      <c r="AF359" s="1264"/>
      <c r="AG359" s="1243"/>
      <c r="AH359" s="1244"/>
    </row>
    <row r="360" spans="30:34" ht="14.5">
      <c r="AD360" s="1240"/>
      <c r="AE360" s="1287"/>
      <c r="AF360" s="1242"/>
      <c r="AG360" s="1243"/>
      <c r="AH360" s="1244"/>
    </row>
    <row r="361" spans="30:34" ht="14.5">
      <c r="AD361" s="1240">
        <v>1</v>
      </c>
      <c r="AE361" s="1241" t="s">
        <v>3610</v>
      </c>
      <c r="AF361" s="1242">
        <v>2</v>
      </c>
      <c r="AG361" s="1243" t="s">
        <v>3487</v>
      </c>
      <c r="AH361" s="1244" t="s">
        <v>3506</v>
      </c>
    </row>
    <row r="362" spans="30:34" ht="14.5">
      <c r="AD362" s="1240">
        <v>2</v>
      </c>
      <c r="AE362" s="1241" t="s">
        <v>3611</v>
      </c>
      <c r="AF362" s="1242">
        <v>2</v>
      </c>
      <c r="AG362" s="1243" t="s">
        <v>3487</v>
      </c>
      <c r="AH362" s="1244" t="s">
        <v>3506</v>
      </c>
    </row>
    <row r="363" spans="30:34" ht="14.5">
      <c r="AD363" s="1240">
        <v>3</v>
      </c>
      <c r="AE363" s="1241" t="s">
        <v>3611</v>
      </c>
      <c r="AF363" s="1242">
        <v>4</v>
      </c>
      <c r="AG363" s="1243" t="s">
        <v>3487</v>
      </c>
      <c r="AH363" s="1244" t="s">
        <v>3506</v>
      </c>
    </row>
    <row r="364" spans="30:34" ht="14.5">
      <c r="AD364" s="1240">
        <v>4</v>
      </c>
      <c r="AE364" s="1241" t="s">
        <v>3572</v>
      </c>
      <c r="AF364" s="1242">
        <v>2</v>
      </c>
      <c r="AG364" s="1243" t="s">
        <v>3487</v>
      </c>
      <c r="AH364" s="1244" t="s">
        <v>3506</v>
      </c>
    </row>
    <row r="365" spans="30:34" ht="14.5">
      <c r="AD365" s="1240">
        <v>5</v>
      </c>
      <c r="AE365" s="1241" t="s">
        <v>3585</v>
      </c>
      <c r="AF365" s="1242">
        <v>2</v>
      </c>
      <c r="AG365" s="1243" t="s">
        <v>3487</v>
      </c>
      <c r="AH365" s="1244" t="s">
        <v>3546</v>
      </c>
    </row>
    <row r="366" spans="30:34" ht="14.5">
      <c r="AD366" s="1240">
        <v>6</v>
      </c>
      <c r="AE366" s="1241" t="s">
        <v>3612</v>
      </c>
      <c r="AF366" s="1242">
        <v>2</v>
      </c>
      <c r="AG366" s="1243" t="s">
        <v>3487</v>
      </c>
      <c r="AH366" s="1244" t="s">
        <v>3506</v>
      </c>
    </row>
    <row r="367" spans="30:34" ht="14.5">
      <c r="AD367" s="1240">
        <v>7</v>
      </c>
      <c r="AE367" s="1241" t="s">
        <v>3574</v>
      </c>
      <c r="AF367" s="1242">
        <v>4</v>
      </c>
      <c r="AG367" s="1243" t="s">
        <v>3487</v>
      </c>
      <c r="AH367" s="1244" t="s">
        <v>3536</v>
      </c>
    </row>
    <row r="368" spans="30:34" ht="14.5">
      <c r="AD368" s="1240">
        <v>8</v>
      </c>
      <c r="AE368" s="1241" t="s">
        <v>3575</v>
      </c>
      <c r="AF368" s="1242">
        <v>2</v>
      </c>
      <c r="AG368" s="1243" t="s">
        <v>3487</v>
      </c>
      <c r="AH368" s="1244" t="s">
        <v>3536</v>
      </c>
    </row>
    <row r="369" spans="30:34" ht="14.5">
      <c r="AD369" s="1240">
        <v>9</v>
      </c>
      <c r="AE369" s="1241" t="s">
        <v>3576</v>
      </c>
      <c r="AF369" s="1242">
        <v>2</v>
      </c>
      <c r="AG369" s="1243" t="s">
        <v>3487</v>
      </c>
      <c r="AH369" s="1244" t="s">
        <v>3536</v>
      </c>
    </row>
    <row r="370" spans="30:34" ht="14.5">
      <c r="AD370" s="1240">
        <v>10</v>
      </c>
      <c r="AE370" s="1241" t="s">
        <v>3577</v>
      </c>
      <c r="AF370" s="1242">
        <v>4</v>
      </c>
      <c r="AG370" s="1243" t="s">
        <v>3487</v>
      </c>
      <c r="AH370" s="1244" t="s">
        <v>3546</v>
      </c>
    </row>
    <row r="371" spans="30:34" ht="14.5">
      <c r="AD371" s="1240">
        <v>11</v>
      </c>
      <c r="AE371" s="1241" t="s">
        <v>3562</v>
      </c>
      <c r="AF371" s="1242">
        <v>2</v>
      </c>
      <c r="AG371" s="1243" t="s">
        <v>3487</v>
      </c>
      <c r="AH371" s="1244" t="s">
        <v>3563</v>
      </c>
    </row>
    <row r="372" spans="30:34" ht="14.5">
      <c r="AD372" s="1240">
        <v>12</v>
      </c>
      <c r="AE372" s="1241" t="s">
        <v>3578</v>
      </c>
      <c r="AF372" s="1242">
        <v>1</v>
      </c>
      <c r="AG372" s="1243" t="s">
        <v>2872</v>
      </c>
      <c r="AH372" s="1244" t="s">
        <v>3500</v>
      </c>
    </row>
    <row r="373" spans="30:34" ht="14.5">
      <c r="AD373" s="1240"/>
      <c r="AE373" s="1241" t="s">
        <v>3587</v>
      </c>
      <c r="AF373" s="1242">
        <v>4</v>
      </c>
      <c r="AG373" s="1243" t="s">
        <v>3487</v>
      </c>
      <c r="AH373" s="1244" t="s">
        <v>3508</v>
      </c>
    </row>
    <row r="374" spans="30:34" ht="14.5">
      <c r="AD374" s="1240"/>
      <c r="AE374" s="1241"/>
      <c r="AF374" s="1242"/>
      <c r="AG374" s="1243"/>
      <c r="AH374" s="1244"/>
    </row>
    <row r="375" spans="30:34" ht="14.5">
      <c r="AD375" s="1240"/>
      <c r="AE375" s="1241" t="s">
        <v>3654</v>
      </c>
      <c r="AF375" s="1242"/>
      <c r="AG375" s="1243"/>
      <c r="AH375" s="1244"/>
    </row>
    <row r="376" spans="30:34" ht="14.5">
      <c r="AD376" s="1240">
        <v>1</v>
      </c>
      <c r="AE376" s="1241" t="s">
        <v>3655</v>
      </c>
      <c r="AF376" s="1242"/>
      <c r="AG376" s="1243"/>
      <c r="AH376" s="1244"/>
    </row>
    <row r="377" spans="30:34" ht="14.5">
      <c r="AD377" s="1240"/>
      <c r="AE377" s="1241"/>
      <c r="AF377" s="1242"/>
      <c r="AG377" s="1243"/>
      <c r="AH377" s="1244"/>
    </row>
    <row r="378" spans="30:34" ht="14.5">
      <c r="AD378" s="1240">
        <v>1</v>
      </c>
      <c r="AE378" s="1241" t="s">
        <v>3656</v>
      </c>
      <c r="AF378" s="1242">
        <v>2</v>
      </c>
      <c r="AG378" s="1243" t="s">
        <v>3487</v>
      </c>
      <c r="AH378" s="1244" t="s">
        <v>3506</v>
      </c>
    </row>
    <row r="379" spans="30:34" ht="14.5">
      <c r="AD379" s="1240">
        <v>2</v>
      </c>
      <c r="AE379" s="1241" t="s">
        <v>3657</v>
      </c>
      <c r="AF379" s="1242">
        <v>4</v>
      </c>
      <c r="AG379" s="1243" t="s">
        <v>3487</v>
      </c>
      <c r="AH379" s="1244" t="s">
        <v>3506</v>
      </c>
    </row>
    <row r="380" spans="30:34" ht="14.5">
      <c r="AD380" s="1240">
        <v>3</v>
      </c>
      <c r="AE380" s="1241" t="s">
        <v>3572</v>
      </c>
      <c r="AF380" s="1242">
        <v>4</v>
      </c>
      <c r="AG380" s="1243" t="s">
        <v>3487</v>
      </c>
      <c r="AH380" s="1244" t="s">
        <v>3506</v>
      </c>
    </row>
    <row r="381" spans="30:34" ht="14.5">
      <c r="AD381" s="1240">
        <v>4</v>
      </c>
      <c r="AE381" s="1241" t="s">
        <v>3658</v>
      </c>
      <c r="AF381" s="1242">
        <v>2</v>
      </c>
      <c r="AG381" s="1243" t="s">
        <v>3487</v>
      </c>
      <c r="AH381" s="1244" t="s">
        <v>3506</v>
      </c>
    </row>
    <row r="382" spans="30:34" ht="14.5">
      <c r="AD382" s="1240">
        <v>5</v>
      </c>
      <c r="AE382" s="1241" t="s">
        <v>3574</v>
      </c>
      <c r="AF382" s="1242">
        <v>4</v>
      </c>
      <c r="AG382" s="1243" t="s">
        <v>3487</v>
      </c>
      <c r="AH382" s="1244" t="s">
        <v>3536</v>
      </c>
    </row>
    <row r="383" spans="30:34" ht="14.5">
      <c r="AD383" s="1240">
        <v>6</v>
      </c>
      <c r="AE383" s="1241" t="s">
        <v>3575</v>
      </c>
      <c r="AF383" s="1242">
        <v>2</v>
      </c>
      <c r="AG383" s="1243" t="s">
        <v>3487</v>
      </c>
      <c r="AH383" s="1244" t="s">
        <v>3536</v>
      </c>
    </row>
    <row r="384" spans="30:34" ht="14.5">
      <c r="AD384" s="1240">
        <v>7</v>
      </c>
      <c r="AE384" s="1241" t="s">
        <v>3576</v>
      </c>
      <c r="AF384" s="1242">
        <v>2</v>
      </c>
      <c r="AG384" s="1243" t="s">
        <v>3487</v>
      </c>
      <c r="AH384" s="1244" t="s">
        <v>3536</v>
      </c>
    </row>
    <row r="385" spans="30:34" ht="14.5">
      <c r="AD385" s="1240">
        <v>8</v>
      </c>
      <c r="AE385" s="1241" t="s">
        <v>3577</v>
      </c>
      <c r="AF385" s="1242">
        <v>4</v>
      </c>
      <c r="AG385" s="1243" t="s">
        <v>3487</v>
      </c>
      <c r="AH385" s="1244" t="s">
        <v>3546</v>
      </c>
    </row>
    <row r="386" spans="30:34" ht="14.5">
      <c r="AD386" s="1240">
        <v>9</v>
      </c>
      <c r="AE386" s="1241" t="s">
        <v>3562</v>
      </c>
      <c r="AF386" s="1242">
        <v>2</v>
      </c>
      <c r="AG386" s="1243" t="s">
        <v>3487</v>
      </c>
      <c r="AH386" s="1244" t="s">
        <v>3563</v>
      </c>
    </row>
    <row r="387" spans="30:34" ht="14.5">
      <c r="AD387" s="1240">
        <v>10</v>
      </c>
      <c r="AE387" s="1241" t="s">
        <v>3578</v>
      </c>
      <c r="AF387" s="1242">
        <v>1</v>
      </c>
      <c r="AG387" s="1243" t="s">
        <v>3505</v>
      </c>
      <c r="AH387" s="1244" t="s">
        <v>3500</v>
      </c>
    </row>
    <row r="388" spans="30:34" ht="14.5">
      <c r="AD388" s="1240"/>
      <c r="AE388" s="1241" t="s">
        <v>3565</v>
      </c>
      <c r="AF388" s="1242">
        <v>2</v>
      </c>
      <c r="AG388" s="1243" t="s">
        <v>3487</v>
      </c>
      <c r="AH388" s="1244" t="s">
        <v>3508</v>
      </c>
    </row>
    <row r="389" spans="30:34" ht="14.5">
      <c r="AD389" s="1240"/>
      <c r="AE389" s="1241"/>
      <c r="AF389" s="1242"/>
      <c r="AG389" s="1243"/>
      <c r="AH389" s="1244"/>
    </row>
    <row r="390" spans="30:34" ht="14.5">
      <c r="AD390" s="1240"/>
      <c r="AE390" s="1241" t="s">
        <v>3659</v>
      </c>
      <c r="AF390" s="1242"/>
      <c r="AG390" s="1243"/>
      <c r="AH390" s="1244"/>
    </row>
    <row r="391" spans="30:34" ht="14.5">
      <c r="AD391" s="1240">
        <v>1</v>
      </c>
      <c r="AE391" s="1241" t="s">
        <v>3660</v>
      </c>
      <c r="AF391" s="1242"/>
      <c r="AG391" s="1243"/>
      <c r="AH391" s="1244"/>
    </row>
    <row r="392" spans="30:34" ht="14.5">
      <c r="AD392" s="1240"/>
      <c r="AE392" s="1241"/>
      <c r="AF392" s="1242"/>
      <c r="AG392" s="1243"/>
      <c r="AH392" s="1244"/>
    </row>
    <row r="393" spans="30:34" ht="14.5">
      <c r="AD393" s="1240">
        <v>1</v>
      </c>
      <c r="AE393" s="1241" t="s">
        <v>3656</v>
      </c>
      <c r="AF393" s="1242">
        <v>2</v>
      </c>
      <c r="AG393" s="1243" t="s">
        <v>3487</v>
      </c>
      <c r="AH393" s="1244" t="s">
        <v>3506</v>
      </c>
    </row>
    <row r="394" spans="30:34" ht="14.5">
      <c r="AD394" s="1240">
        <v>2</v>
      </c>
      <c r="AE394" s="1241" t="s">
        <v>3657</v>
      </c>
      <c r="AF394" s="1242">
        <v>4</v>
      </c>
      <c r="AG394" s="1243" t="s">
        <v>3487</v>
      </c>
      <c r="AH394" s="1244" t="s">
        <v>3506</v>
      </c>
    </row>
    <row r="395" spans="30:34" ht="14.5">
      <c r="AD395" s="1240">
        <v>3</v>
      </c>
      <c r="AE395" s="1241" t="s">
        <v>3572</v>
      </c>
      <c r="AF395" s="1242">
        <v>4</v>
      </c>
      <c r="AG395" s="1243" t="s">
        <v>3487</v>
      </c>
      <c r="AH395" s="1244" t="s">
        <v>3506</v>
      </c>
    </row>
    <row r="396" spans="30:34" ht="14.5">
      <c r="AD396" s="1240">
        <v>4</v>
      </c>
      <c r="AE396" s="1241" t="s">
        <v>3658</v>
      </c>
      <c r="AF396" s="1242">
        <v>2</v>
      </c>
      <c r="AG396" s="1243" t="s">
        <v>3487</v>
      </c>
      <c r="AH396" s="1244" t="s">
        <v>3506</v>
      </c>
    </row>
    <row r="397" spans="30:34" ht="14.5">
      <c r="AD397" s="1240">
        <v>5</v>
      </c>
      <c r="AE397" s="1241" t="s">
        <v>3574</v>
      </c>
      <c r="AF397" s="1242">
        <v>4</v>
      </c>
      <c r="AG397" s="1243" t="s">
        <v>3487</v>
      </c>
      <c r="AH397" s="1244" t="s">
        <v>3536</v>
      </c>
    </row>
    <row r="398" spans="30:34" ht="14.5">
      <c r="AD398" s="1240">
        <v>6</v>
      </c>
      <c r="AE398" s="1241" t="s">
        <v>3575</v>
      </c>
      <c r="AF398" s="1242">
        <v>2</v>
      </c>
      <c r="AG398" s="1243" t="s">
        <v>3487</v>
      </c>
      <c r="AH398" s="1244" t="s">
        <v>3536</v>
      </c>
    </row>
    <row r="399" spans="30:34" ht="14.5">
      <c r="AD399" s="1240">
        <v>7</v>
      </c>
      <c r="AE399" s="1241" t="s">
        <v>3576</v>
      </c>
      <c r="AF399" s="1242">
        <v>2</v>
      </c>
      <c r="AG399" s="1243" t="s">
        <v>3487</v>
      </c>
      <c r="AH399" s="1244" t="s">
        <v>3536</v>
      </c>
    </row>
    <row r="400" spans="30:34" ht="14.5">
      <c r="AD400" s="1240">
        <v>8</v>
      </c>
      <c r="AE400" s="1241" t="s">
        <v>3577</v>
      </c>
      <c r="AF400" s="1242">
        <v>4</v>
      </c>
      <c r="AG400" s="1243" t="s">
        <v>3487</v>
      </c>
      <c r="AH400" s="1244" t="s">
        <v>3546</v>
      </c>
    </row>
    <row r="401" spans="30:34" ht="14.5">
      <c r="AD401" s="1240">
        <v>9</v>
      </c>
      <c r="AE401" s="1241" t="s">
        <v>3562</v>
      </c>
      <c r="AF401" s="1242">
        <v>2</v>
      </c>
      <c r="AG401" s="1243" t="s">
        <v>3487</v>
      </c>
      <c r="AH401" s="1244" t="s">
        <v>3563</v>
      </c>
    </row>
    <row r="402" spans="30:34" ht="14.5">
      <c r="AD402" s="1240">
        <v>10</v>
      </c>
      <c r="AE402" s="1241" t="s">
        <v>3578</v>
      </c>
      <c r="AF402" s="1242">
        <v>1</v>
      </c>
      <c r="AG402" s="1243" t="s">
        <v>3505</v>
      </c>
      <c r="AH402" s="1244" t="s">
        <v>3500</v>
      </c>
    </row>
    <row r="403" spans="30:34" ht="14.5">
      <c r="AD403" s="1240"/>
      <c r="AE403" s="1241" t="s">
        <v>3587</v>
      </c>
      <c r="AF403" s="1242">
        <v>2</v>
      </c>
      <c r="AG403" s="1243" t="s">
        <v>3487</v>
      </c>
      <c r="AH403" s="1244" t="s">
        <v>3508</v>
      </c>
    </row>
    <row r="404" spans="30:34" ht="14.5">
      <c r="AD404" s="1240"/>
      <c r="AE404" s="1241"/>
      <c r="AF404" s="1242"/>
      <c r="AG404" s="1243"/>
      <c r="AH404" s="1244"/>
    </row>
    <row r="405" spans="30:34" ht="14.5">
      <c r="AD405" s="1240"/>
      <c r="AE405" s="1241" t="s">
        <v>3631</v>
      </c>
      <c r="AF405" s="1242"/>
      <c r="AG405" s="1243"/>
      <c r="AH405" s="1244"/>
    </row>
    <row r="406" spans="30:34" ht="14.5">
      <c r="AD406" s="1240">
        <v>1</v>
      </c>
      <c r="AE406" s="1241" t="s">
        <v>3661</v>
      </c>
      <c r="AF406" s="1242">
        <v>2</v>
      </c>
      <c r="AG406" s="1243" t="s">
        <v>3417</v>
      </c>
      <c r="AH406" s="1244" t="s">
        <v>2241</v>
      </c>
    </row>
    <row r="407" spans="30:34" ht="14.5">
      <c r="AD407" s="1240"/>
      <c r="AE407" s="1241"/>
      <c r="AF407" s="1242"/>
      <c r="AG407" s="1243"/>
      <c r="AH407" s="1244"/>
    </row>
    <row r="408" spans="30:34" ht="15" thickBot="1">
      <c r="AD408" s="1285"/>
      <c r="AE408" s="1255" t="s">
        <v>2240</v>
      </c>
      <c r="AF408" s="1256">
        <v>1</v>
      </c>
      <c r="AG408" s="1286" t="s">
        <v>3499</v>
      </c>
      <c r="AH408" s="1255"/>
    </row>
    <row r="409" spans="30:34" ht="15" thickTop="1">
      <c r="AD409" s="1257"/>
      <c r="AE409" s="1258"/>
      <c r="AF409" s="1259"/>
      <c r="AG409" s="1257"/>
      <c r="AH409" s="1257"/>
    </row>
    <row r="410" spans="30:34" ht="15" thickBot="1">
      <c r="AD410" s="1266">
        <v>5</v>
      </c>
      <c r="AE410" s="1267" t="s">
        <v>3662</v>
      </c>
      <c r="AF410" s="1268"/>
      <c r="AG410" s="1269"/>
      <c r="AH410" s="1269"/>
    </row>
    <row r="411" spans="30:34" ht="15.5" thickTop="1" thickBot="1">
      <c r="AD411" s="1231" t="s">
        <v>2</v>
      </c>
      <c r="AE411" s="1231" t="s">
        <v>3161</v>
      </c>
      <c r="AF411" s="1623" t="s">
        <v>3496</v>
      </c>
      <c r="AG411" s="1624"/>
      <c r="AH411" s="1231" t="s">
        <v>3497</v>
      </c>
    </row>
    <row r="412" spans="30:34" ht="15" thickTop="1">
      <c r="AD412" s="1232">
        <v>1</v>
      </c>
      <c r="AE412" s="1284" t="s">
        <v>3663</v>
      </c>
      <c r="AF412" s="1233">
        <v>1</v>
      </c>
      <c r="AG412" s="1234" t="s">
        <v>3499</v>
      </c>
      <c r="AH412" s="1235" t="s">
        <v>3500</v>
      </c>
    </row>
    <row r="413" spans="30:34" ht="14.5">
      <c r="AD413" s="1236">
        <v>2</v>
      </c>
      <c r="AE413" s="1237" t="s">
        <v>3501</v>
      </c>
      <c r="AF413" s="1233">
        <v>1</v>
      </c>
      <c r="AG413" s="1238" t="s">
        <v>2839</v>
      </c>
      <c r="AH413" s="1239" t="s">
        <v>3502</v>
      </c>
    </row>
    <row r="414" spans="30:34" ht="14.5">
      <c r="AD414" s="1240"/>
      <c r="AE414" s="1241"/>
      <c r="AF414" s="1242"/>
      <c r="AG414" s="1243"/>
      <c r="AH414" s="1244"/>
    </row>
    <row r="415" spans="30:34" ht="14.5">
      <c r="AD415" s="1240"/>
      <c r="AE415" s="1241" t="s">
        <v>3551</v>
      </c>
      <c r="AF415" s="1242"/>
      <c r="AG415" s="1243"/>
      <c r="AH415" s="1244"/>
    </row>
    <row r="416" spans="30:34" ht="14.5">
      <c r="AD416" s="1240">
        <v>1</v>
      </c>
      <c r="AE416" s="1241" t="s">
        <v>3664</v>
      </c>
      <c r="AF416" s="1242">
        <v>1</v>
      </c>
      <c r="AG416" s="1243" t="s">
        <v>3505</v>
      </c>
      <c r="AH416" s="1244" t="s">
        <v>3506</v>
      </c>
    </row>
    <row r="417" spans="30:34" ht="14.5">
      <c r="AD417" s="1240">
        <v>2</v>
      </c>
      <c r="AE417" s="1241" t="s">
        <v>3533</v>
      </c>
      <c r="AF417" s="1242">
        <v>3</v>
      </c>
      <c r="AG417" s="1243" t="s">
        <v>3487</v>
      </c>
      <c r="AH417" s="1244" t="s">
        <v>3553</v>
      </c>
    </row>
    <row r="418" spans="30:34" ht="14.5">
      <c r="AD418" s="1240">
        <v>3</v>
      </c>
      <c r="AE418" s="1241" t="s">
        <v>3514</v>
      </c>
      <c r="AF418" s="1242">
        <v>1</v>
      </c>
      <c r="AG418" s="1243" t="s">
        <v>3505</v>
      </c>
      <c r="AH418" s="1244" t="s">
        <v>3508</v>
      </c>
    </row>
    <row r="419" spans="30:34" ht="14.5">
      <c r="AD419" s="1240">
        <v>4</v>
      </c>
      <c r="AE419" s="1241" t="s">
        <v>3555</v>
      </c>
      <c r="AF419" s="1242">
        <v>1</v>
      </c>
      <c r="AG419" s="1243" t="s">
        <v>3505</v>
      </c>
      <c r="AH419" s="1244" t="s">
        <v>3508</v>
      </c>
    </row>
    <row r="420" spans="30:34" ht="14.5">
      <c r="AD420" s="1240">
        <v>5</v>
      </c>
      <c r="AE420" s="1241" t="s">
        <v>3556</v>
      </c>
      <c r="AF420" s="1242">
        <v>1</v>
      </c>
      <c r="AG420" s="1243" t="s">
        <v>3505</v>
      </c>
      <c r="AH420" s="1244" t="s">
        <v>3508</v>
      </c>
    </row>
    <row r="421" spans="30:34" ht="14.5">
      <c r="AD421" s="1240">
        <v>6</v>
      </c>
      <c r="AE421" s="1241" t="s">
        <v>3557</v>
      </c>
      <c r="AF421" s="1242">
        <v>1</v>
      </c>
      <c r="AG421" s="1243" t="s">
        <v>3505</v>
      </c>
      <c r="AH421" s="1244" t="s">
        <v>3508</v>
      </c>
    </row>
    <row r="422" spans="30:34" ht="14.5">
      <c r="AD422" s="1240">
        <v>7</v>
      </c>
      <c r="AE422" s="1241" t="s">
        <v>3515</v>
      </c>
      <c r="AF422" s="1242">
        <v>3</v>
      </c>
      <c r="AG422" s="1243" t="s">
        <v>3487</v>
      </c>
      <c r="AH422" s="1244" t="s">
        <v>3508</v>
      </c>
    </row>
    <row r="423" spans="30:34" ht="14.5">
      <c r="AD423" s="1240">
        <v>8</v>
      </c>
      <c r="AE423" s="1241" t="s">
        <v>3591</v>
      </c>
      <c r="AF423" s="1242">
        <v>1</v>
      </c>
      <c r="AG423" s="1243" t="s">
        <v>3505</v>
      </c>
      <c r="AH423" s="1244" t="s">
        <v>3508</v>
      </c>
    </row>
    <row r="424" spans="30:34" ht="14.5">
      <c r="AD424" s="1240">
        <v>9</v>
      </c>
      <c r="AE424" s="1241" t="s">
        <v>3547</v>
      </c>
      <c r="AF424" s="1242">
        <v>4</v>
      </c>
      <c r="AG424" s="1243" t="s">
        <v>3487</v>
      </c>
      <c r="AH424" s="1244" t="s">
        <v>3506</v>
      </c>
    </row>
    <row r="425" spans="30:34" ht="14.5">
      <c r="AD425" s="1240">
        <v>10</v>
      </c>
      <c r="AE425" s="1241" t="s">
        <v>3559</v>
      </c>
      <c r="AF425" s="1242">
        <v>2</v>
      </c>
      <c r="AG425" s="1243" t="s">
        <v>3487</v>
      </c>
      <c r="AH425" s="1244" t="s">
        <v>3560</v>
      </c>
    </row>
    <row r="426" spans="30:34" ht="14.5">
      <c r="AD426" s="1240">
        <v>11</v>
      </c>
      <c r="AE426" s="1241" t="s">
        <v>3561</v>
      </c>
      <c r="AF426" s="1242">
        <v>2</v>
      </c>
      <c r="AG426" s="1243" t="s">
        <v>3487</v>
      </c>
      <c r="AH426" s="1244" t="s">
        <v>3560</v>
      </c>
    </row>
    <row r="427" spans="30:34" ht="14.5">
      <c r="AD427" s="1240">
        <v>12</v>
      </c>
      <c r="AE427" s="1241" t="s">
        <v>3548</v>
      </c>
      <c r="AF427" s="1242">
        <v>1</v>
      </c>
      <c r="AG427" s="1243" t="s">
        <v>2872</v>
      </c>
      <c r="AH427" s="1244" t="s">
        <v>3500</v>
      </c>
    </row>
    <row r="428" spans="30:34" ht="14.5">
      <c r="AD428" s="1240"/>
      <c r="AE428" s="1241" t="s">
        <v>3592</v>
      </c>
      <c r="AF428" s="1242">
        <v>4</v>
      </c>
      <c r="AG428" s="1243" t="s">
        <v>3487</v>
      </c>
      <c r="AH428" s="1244" t="s">
        <v>3508</v>
      </c>
    </row>
    <row r="429" spans="30:34" ht="14.5">
      <c r="AD429" s="1240"/>
      <c r="AE429" s="1241"/>
      <c r="AF429" s="1242"/>
      <c r="AG429" s="1243"/>
      <c r="AH429" s="1244"/>
    </row>
    <row r="430" spans="30:34" ht="14.5">
      <c r="AD430" s="1240"/>
      <c r="AE430" s="1241" t="s">
        <v>3593</v>
      </c>
      <c r="AF430" s="1242"/>
      <c r="AG430" s="1243"/>
      <c r="AH430" s="1244"/>
    </row>
    <row r="431" spans="30:34" ht="14.5">
      <c r="AD431" s="1240">
        <v>1</v>
      </c>
      <c r="AE431" s="1241" t="s">
        <v>3594</v>
      </c>
      <c r="AF431" s="1242">
        <v>1</v>
      </c>
      <c r="AG431" s="1243" t="s">
        <v>3505</v>
      </c>
      <c r="AH431" s="1244" t="s">
        <v>3506</v>
      </c>
    </row>
    <row r="432" spans="30:34" ht="14.5">
      <c r="AD432" s="1240">
        <v>2</v>
      </c>
      <c r="AE432" s="1241" t="s">
        <v>3595</v>
      </c>
      <c r="AF432" s="1242">
        <v>1</v>
      </c>
      <c r="AG432" s="1243" t="s">
        <v>3505</v>
      </c>
      <c r="AH432" s="1244" t="s">
        <v>3506</v>
      </c>
    </row>
    <row r="433" spans="30:34" ht="14.5">
      <c r="AD433" s="1240">
        <v>3</v>
      </c>
      <c r="AE433" s="1241" t="s">
        <v>3596</v>
      </c>
      <c r="AF433" s="1242">
        <v>1</v>
      </c>
      <c r="AG433" s="1243" t="s">
        <v>3505</v>
      </c>
      <c r="AH433" s="1244" t="s">
        <v>3508</v>
      </c>
    </row>
    <row r="434" spans="30:34" ht="14.5">
      <c r="AD434" s="1240">
        <v>4</v>
      </c>
      <c r="AE434" s="1241" t="s">
        <v>3597</v>
      </c>
      <c r="AF434" s="1242">
        <v>1</v>
      </c>
      <c r="AG434" s="1243" t="s">
        <v>3505</v>
      </c>
      <c r="AH434" s="1244" t="s">
        <v>3508</v>
      </c>
    </row>
    <row r="435" spans="30:34" ht="14.5">
      <c r="AD435" s="1240">
        <v>5</v>
      </c>
      <c r="AE435" s="1241" t="s">
        <v>3598</v>
      </c>
      <c r="AF435" s="1242">
        <v>1</v>
      </c>
      <c r="AG435" s="1243" t="s">
        <v>3505</v>
      </c>
      <c r="AH435" s="1244" t="s">
        <v>3508</v>
      </c>
    </row>
    <row r="436" spans="30:34" ht="14.5">
      <c r="AD436" s="1240">
        <v>6</v>
      </c>
      <c r="AE436" s="1241" t="s">
        <v>3599</v>
      </c>
      <c r="AF436" s="1242">
        <v>1</v>
      </c>
      <c r="AG436" s="1243" t="s">
        <v>3505</v>
      </c>
      <c r="AH436" s="1244" t="s">
        <v>3508</v>
      </c>
    </row>
    <row r="437" spans="30:34" ht="14.5">
      <c r="AD437" s="1240">
        <v>7</v>
      </c>
      <c r="AE437" s="1241" t="s">
        <v>3543</v>
      </c>
      <c r="AF437" s="1242">
        <v>1</v>
      </c>
      <c r="AG437" s="1243" t="s">
        <v>3505</v>
      </c>
      <c r="AH437" s="1244" t="s">
        <v>3508</v>
      </c>
    </row>
    <row r="438" spans="30:34" ht="14.5">
      <c r="AD438" s="1240">
        <v>8</v>
      </c>
      <c r="AE438" s="1241" t="s">
        <v>3544</v>
      </c>
      <c r="AF438" s="1242">
        <v>1</v>
      </c>
      <c r="AG438" s="1243" t="s">
        <v>3505</v>
      </c>
      <c r="AH438" s="1244" t="s">
        <v>3508</v>
      </c>
    </row>
    <row r="439" spans="30:34" ht="14.5">
      <c r="AD439" s="1240">
        <v>9</v>
      </c>
      <c r="AE439" s="1241" t="s">
        <v>3562</v>
      </c>
      <c r="AF439" s="1242">
        <v>1</v>
      </c>
      <c r="AG439" s="1243" t="s">
        <v>3505</v>
      </c>
      <c r="AH439" s="1244" t="s">
        <v>3563</v>
      </c>
    </row>
    <row r="440" spans="30:34" ht="14.5">
      <c r="AD440" s="1240"/>
      <c r="AE440" s="1241" t="s">
        <v>3587</v>
      </c>
      <c r="AF440" s="1242">
        <v>1</v>
      </c>
      <c r="AG440" s="1243" t="s">
        <v>3505</v>
      </c>
      <c r="AH440" s="1244" t="s">
        <v>3508</v>
      </c>
    </row>
    <row r="441" spans="30:34" ht="14.5">
      <c r="AD441" s="1240"/>
      <c r="AE441" s="1241" t="s">
        <v>3600</v>
      </c>
      <c r="AF441" s="1242">
        <v>2</v>
      </c>
      <c r="AG441" s="1243" t="s">
        <v>3487</v>
      </c>
      <c r="AH441" s="1244" t="s">
        <v>3508</v>
      </c>
    </row>
    <row r="442" spans="30:34" ht="14.5">
      <c r="AD442" s="1240"/>
      <c r="AE442" s="1241"/>
      <c r="AF442" s="1242"/>
      <c r="AG442" s="1243"/>
      <c r="AH442" s="1244"/>
    </row>
    <row r="443" spans="30:34" ht="14.5">
      <c r="AD443" s="1240"/>
      <c r="AE443" s="1241" t="s">
        <v>3566</v>
      </c>
      <c r="AF443" s="1242"/>
      <c r="AG443" s="1243"/>
      <c r="AH443" s="1244"/>
    </row>
    <row r="444" spans="30:34" ht="14.5">
      <c r="AD444" s="1240">
        <v>1</v>
      </c>
      <c r="AE444" s="1241" t="s">
        <v>3665</v>
      </c>
      <c r="AF444" s="1242">
        <v>2</v>
      </c>
      <c r="AG444" s="1243" t="s">
        <v>3487</v>
      </c>
      <c r="AH444" s="1244" t="s">
        <v>3506</v>
      </c>
    </row>
    <row r="445" spans="30:34" ht="14.5">
      <c r="AD445" s="1240">
        <v>2</v>
      </c>
      <c r="AE445" s="1241" t="s">
        <v>3666</v>
      </c>
      <c r="AF445" s="1242">
        <v>3</v>
      </c>
      <c r="AG445" s="1243" t="s">
        <v>3417</v>
      </c>
      <c r="AH445" s="1244" t="s">
        <v>2241</v>
      </c>
    </row>
    <row r="446" spans="30:34" ht="14.5">
      <c r="AD446" s="1240">
        <v>4</v>
      </c>
      <c r="AE446" s="1241" t="s">
        <v>3592</v>
      </c>
      <c r="AF446" s="1242">
        <v>2</v>
      </c>
      <c r="AG446" s="1243" t="s">
        <v>3487</v>
      </c>
      <c r="AH446" s="1244" t="s">
        <v>3508</v>
      </c>
    </row>
    <row r="447" spans="30:34" ht="14.5">
      <c r="AD447" s="1240"/>
      <c r="AE447" s="1241"/>
      <c r="AF447" s="1242"/>
      <c r="AG447" s="1243"/>
      <c r="AH447" s="1244"/>
    </row>
    <row r="448" spans="30:34" ht="14.5">
      <c r="AD448" s="1240"/>
      <c r="AE448" s="1241" t="s">
        <v>3667</v>
      </c>
      <c r="AF448" s="1242"/>
      <c r="AG448" s="1243"/>
      <c r="AH448" s="1244"/>
    </row>
    <row r="449" spans="30:34" ht="14.5">
      <c r="AD449" s="1240">
        <v>1</v>
      </c>
      <c r="AE449" s="1287" t="s">
        <v>3668</v>
      </c>
      <c r="AF449" s="1264"/>
      <c r="AG449" s="1243"/>
      <c r="AH449" s="1244"/>
    </row>
    <row r="450" spans="30:34" ht="14.5">
      <c r="AD450" s="1240">
        <v>2</v>
      </c>
      <c r="AE450" s="1287" t="s">
        <v>3669</v>
      </c>
      <c r="AF450" s="1264"/>
      <c r="AG450" s="1243"/>
      <c r="AH450" s="1244"/>
    </row>
    <row r="451" spans="30:34" ht="14.5">
      <c r="AD451" s="1240">
        <v>3</v>
      </c>
      <c r="AE451" s="1287" t="s">
        <v>3670</v>
      </c>
      <c r="AF451" s="1264"/>
      <c r="AG451" s="1243"/>
      <c r="AH451" s="1244"/>
    </row>
    <row r="452" spans="30:34" ht="14.5">
      <c r="AD452" s="1240"/>
      <c r="AE452" s="1287"/>
      <c r="AF452" s="1242"/>
      <c r="AG452" s="1243"/>
      <c r="AH452" s="1244"/>
    </row>
    <row r="453" spans="30:34" ht="14.5">
      <c r="AD453" s="1240">
        <v>1</v>
      </c>
      <c r="AE453" s="1241" t="s">
        <v>3570</v>
      </c>
      <c r="AF453" s="1242">
        <v>3</v>
      </c>
      <c r="AG453" s="1243" t="s">
        <v>3487</v>
      </c>
      <c r="AH453" s="1244" t="s">
        <v>3506</v>
      </c>
    </row>
    <row r="454" spans="30:34" ht="14.5">
      <c r="AD454" s="1240">
        <v>2</v>
      </c>
      <c r="AE454" s="1241" t="s">
        <v>3571</v>
      </c>
      <c r="AF454" s="1242">
        <v>3</v>
      </c>
      <c r="AG454" s="1243" t="s">
        <v>3487</v>
      </c>
      <c r="AH454" s="1244" t="s">
        <v>3506</v>
      </c>
    </row>
    <row r="455" spans="30:34" ht="14.5">
      <c r="AD455" s="1240">
        <v>3</v>
      </c>
      <c r="AE455" s="1241" t="s">
        <v>3572</v>
      </c>
      <c r="AF455" s="1242">
        <v>3</v>
      </c>
      <c r="AG455" s="1243" t="s">
        <v>3487</v>
      </c>
      <c r="AH455" s="1244" t="s">
        <v>3506</v>
      </c>
    </row>
    <row r="456" spans="30:34" ht="14.5">
      <c r="AD456" s="1240">
        <v>4</v>
      </c>
      <c r="AE456" s="1241" t="s">
        <v>3573</v>
      </c>
      <c r="AF456" s="1242">
        <v>3</v>
      </c>
      <c r="AG456" s="1243" t="s">
        <v>3487</v>
      </c>
      <c r="AH456" s="1244" t="s">
        <v>3506</v>
      </c>
    </row>
    <row r="457" spans="30:34" ht="14.5">
      <c r="AD457" s="1240">
        <v>5</v>
      </c>
      <c r="AE457" s="1241" t="s">
        <v>3574</v>
      </c>
      <c r="AF457" s="1242">
        <v>6</v>
      </c>
      <c r="AG457" s="1243" t="s">
        <v>3487</v>
      </c>
      <c r="AH457" s="1244" t="s">
        <v>3536</v>
      </c>
    </row>
    <row r="458" spans="30:34" ht="14.5">
      <c r="AD458" s="1240">
        <v>6</v>
      </c>
      <c r="AE458" s="1241" t="s">
        <v>3575</v>
      </c>
      <c r="AF458" s="1242">
        <v>3</v>
      </c>
      <c r="AG458" s="1243" t="s">
        <v>3487</v>
      </c>
      <c r="AH458" s="1244" t="s">
        <v>3536</v>
      </c>
    </row>
    <row r="459" spans="30:34" ht="14.5">
      <c r="AD459" s="1240">
        <v>7</v>
      </c>
      <c r="AE459" s="1241" t="s">
        <v>3576</v>
      </c>
      <c r="AF459" s="1242">
        <v>3</v>
      </c>
      <c r="AG459" s="1243" t="s">
        <v>3487</v>
      </c>
      <c r="AH459" s="1244" t="s">
        <v>3536</v>
      </c>
    </row>
    <row r="460" spans="30:34" ht="14.5">
      <c r="AD460" s="1240">
        <v>8</v>
      </c>
      <c r="AE460" s="1241" t="s">
        <v>3577</v>
      </c>
      <c r="AF460" s="1242">
        <v>6</v>
      </c>
      <c r="AG460" s="1243" t="s">
        <v>3487</v>
      </c>
      <c r="AH460" s="1244" t="s">
        <v>3546</v>
      </c>
    </row>
    <row r="461" spans="30:34" ht="14.5">
      <c r="AD461" s="1240">
        <v>9</v>
      </c>
      <c r="AE461" s="1241" t="s">
        <v>3562</v>
      </c>
      <c r="AF461" s="1242">
        <v>3</v>
      </c>
      <c r="AG461" s="1243" t="s">
        <v>3487</v>
      </c>
      <c r="AH461" s="1244" t="s">
        <v>3563</v>
      </c>
    </row>
    <row r="462" spans="30:34" ht="14.5">
      <c r="AD462" s="1240">
        <v>10</v>
      </c>
      <c r="AE462" s="1241" t="s">
        <v>3578</v>
      </c>
      <c r="AF462" s="1242">
        <v>1</v>
      </c>
      <c r="AG462" s="1243" t="s">
        <v>2872</v>
      </c>
      <c r="AH462" s="1244" t="s">
        <v>3500</v>
      </c>
    </row>
    <row r="463" spans="30:34" ht="14.5">
      <c r="AD463" s="1240"/>
      <c r="AE463" s="1241" t="s">
        <v>3579</v>
      </c>
      <c r="AF463" s="1242">
        <v>3</v>
      </c>
      <c r="AG463" s="1243" t="s">
        <v>3487</v>
      </c>
      <c r="AH463" s="1244" t="s">
        <v>3508</v>
      </c>
    </row>
    <row r="464" spans="30:34" ht="14.5">
      <c r="AD464" s="1240"/>
      <c r="AE464" s="1241"/>
      <c r="AF464" s="1242"/>
      <c r="AG464" s="1243"/>
      <c r="AH464" s="1244"/>
    </row>
    <row r="465" spans="30:34" ht="14.5">
      <c r="AD465" s="1240"/>
      <c r="AE465" s="1241" t="s">
        <v>3671</v>
      </c>
      <c r="AF465" s="1242"/>
      <c r="AG465" s="1243"/>
      <c r="AH465" s="1244"/>
    </row>
    <row r="466" spans="30:34" ht="14.5">
      <c r="AD466" s="1240">
        <v>1</v>
      </c>
      <c r="AE466" s="1241" t="s">
        <v>3672</v>
      </c>
      <c r="AF466" s="1242"/>
      <c r="AG466" s="1243"/>
      <c r="AH466" s="1244"/>
    </row>
    <row r="467" spans="30:34" ht="14.5">
      <c r="AD467" s="1240"/>
      <c r="AE467" s="1241"/>
      <c r="AF467" s="1242"/>
      <c r="AG467" s="1243"/>
      <c r="AH467" s="1244"/>
    </row>
    <row r="468" spans="30:34" ht="14.5">
      <c r="AD468" s="1240">
        <v>1</v>
      </c>
      <c r="AE468" s="1241" t="s">
        <v>3610</v>
      </c>
      <c r="AF468" s="1242">
        <v>1</v>
      </c>
      <c r="AG468" s="1243" t="s">
        <v>3505</v>
      </c>
      <c r="AH468" s="1244" t="s">
        <v>3506</v>
      </c>
    </row>
    <row r="469" spans="30:34" ht="14.5">
      <c r="AD469" s="1240">
        <v>2</v>
      </c>
      <c r="AE469" s="1241" t="s">
        <v>3611</v>
      </c>
      <c r="AF469" s="1242">
        <v>1</v>
      </c>
      <c r="AG469" s="1243" t="s">
        <v>3505</v>
      </c>
      <c r="AH469" s="1244" t="s">
        <v>3506</v>
      </c>
    </row>
    <row r="470" spans="30:34" ht="14.5">
      <c r="AD470" s="1240">
        <v>3</v>
      </c>
      <c r="AE470" s="1241" t="s">
        <v>3611</v>
      </c>
      <c r="AF470" s="1242">
        <v>2</v>
      </c>
      <c r="AG470" s="1243" t="s">
        <v>3487</v>
      </c>
      <c r="AH470" s="1244" t="s">
        <v>3506</v>
      </c>
    </row>
    <row r="471" spans="30:34" ht="14.5">
      <c r="AD471" s="1240">
        <v>4</v>
      </c>
      <c r="AE471" s="1241" t="s">
        <v>3572</v>
      </c>
      <c r="AF471" s="1242">
        <v>1</v>
      </c>
      <c r="AG471" s="1243" t="s">
        <v>3505</v>
      </c>
      <c r="AH471" s="1244" t="s">
        <v>3506</v>
      </c>
    </row>
    <row r="472" spans="30:34" ht="14.5">
      <c r="AD472" s="1240">
        <v>5</v>
      </c>
      <c r="AE472" s="1241" t="s">
        <v>3585</v>
      </c>
      <c r="AF472" s="1242">
        <v>1</v>
      </c>
      <c r="AG472" s="1243" t="s">
        <v>3505</v>
      </c>
      <c r="AH472" s="1244" t="s">
        <v>3546</v>
      </c>
    </row>
    <row r="473" spans="30:34" ht="14.5">
      <c r="AD473" s="1240">
        <v>6</v>
      </c>
      <c r="AE473" s="1241" t="s">
        <v>3612</v>
      </c>
      <c r="AF473" s="1242">
        <v>1</v>
      </c>
      <c r="AG473" s="1243" t="s">
        <v>3505</v>
      </c>
      <c r="AH473" s="1244" t="s">
        <v>3506</v>
      </c>
    </row>
    <row r="474" spans="30:34" ht="14.5">
      <c r="AD474" s="1240">
        <v>7</v>
      </c>
      <c r="AE474" s="1241" t="s">
        <v>3574</v>
      </c>
      <c r="AF474" s="1242">
        <v>2</v>
      </c>
      <c r="AG474" s="1243" t="s">
        <v>3487</v>
      </c>
      <c r="AH474" s="1244" t="s">
        <v>3536</v>
      </c>
    </row>
    <row r="475" spans="30:34" ht="14.5">
      <c r="AD475" s="1240">
        <v>8</v>
      </c>
      <c r="AE475" s="1241" t="s">
        <v>3575</v>
      </c>
      <c r="AF475" s="1242">
        <v>1</v>
      </c>
      <c r="AG475" s="1243" t="s">
        <v>3505</v>
      </c>
      <c r="AH475" s="1244" t="s">
        <v>3536</v>
      </c>
    </row>
    <row r="476" spans="30:34" ht="14.5">
      <c r="AD476" s="1240">
        <v>9</v>
      </c>
      <c r="AE476" s="1241" t="s">
        <v>3576</v>
      </c>
      <c r="AF476" s="1242">
        <v>1</v>
      </c>
      <c r="AG476" s="1243" t="s">
        <v>3505</v>
      </c>
      <c r="AH476" s="1244" t="s">
        <v>3536</v>
      </c>
    </row>
    <row r="477" spans="30:34" ht="14.5">
      <c r="AD477" s="1240">
        <v>10</v>
      </c>
      <c r="AE477" s="1241" t="s">
        <v>3577</v>
      </c>
      <c r="AF477" s="1242">
        <v>2</v>
      </c>
      <c r="AG477" s="1243" t="s">
        <v>3487</v>
      </c>
      <c r="AH477" s="1244" t="s">
        <v>3546</v>
      </c>
    </row>
    <row r="478" spans="30:34" ht="14.5">
      <c r="AD478" s="1240">
        <v>11</v>
      </c>
      <c r="AE478" s="1241" t="s">
        <v>3562</v>
      </c>
      <c r="AF478" s="1242">
        <v>1</v>
      </c>
      <c r="AG478" s="1243" t="s">
        <v>3505</v>
      </c>
      <c r="AH478" s="1244" t="s">
        <v>3563</v>
      </c>
    </row>
    <row r="479" spans="30:34" ht="14.5">
      <c r="AD479" s="1240">
        <v>12</v>
      </c>
      <c r="AE479" s="1241" t="s">
        <v>3578</v>
      </c>
      <c r="AF479" s="1242">
        <v>1</v>
      </c>
      <c r="AG479" s="1243" t="s">
        <v>2872</v>
      </c>
      <c r="AH479" s="1244" t="s">
        <v>3500</v>
      </c>
    </row>
    <row r="480" spans="30:34" ht="14.5">
      <c r="AD480" s="1240"/>
      <c r="AE480" s="1241" t="s">
        <v>3587</v>
      </c>
      <c r="AF480" s="1242">
        <v>2</v>
      </c>
      <c r="AG480" s="1243" t="s">
        <v>3487</v>
      </c>
      <c r="AH480" s="1244" t="s">
        <v>3508</v>
      </c>
    </row>
    <row r="481" spans="30:34" ht="14.5">
      <c r="AD481" s="1240"/>
      <c r="AE481" s="1241"/>
      <c r="AF481" s="1242"/>
      <c r="AG481" s="1243"/>
      <c r="AH481" s="1244"/>
    </row>
    <row r="482" spans="30:34" ht="14.5">
      <c r="AD482" s="1240"/>
      <c r="AE482" s="1241" t="s">
        <v>3673</v>
      </c>
      <c r="AF482" s="1242"/>
      <c r="AG482" s="1243"/>
      <c r="AH482" s="1244"/>
    </row>
    <row r="483" spans="30:34" ht="14.5">
      <c r="AD483" s="1240">
        <v>1</v>
      </c>
      <c r="AE483" s="1241" t="s">
        <v>3666</v>
      </c>
      <c r="AF483" s="1242">
        <v>3</v>
      </c>
      <c r="AG483" s="1243" t="s">
        <v>3417</v>
      </c>
      <c r="AH483" s="1244" t="s">
        <v>2241</v>
      </c>
    </row>
    <row r="484" spans="30:34" ht="14.5">
      <c r="AD484" s="1240"/>
      <c r="AE484" s="1241"/>
      <c r="AF484" s="1242"/>
      <c r="AG484" s="1243"/>
      <c r="AH484" s="1244"/>
    </row>
    <row r="485" spans="30:34" ht="15" thickBot="1">
      <c r="AD485" s="1285"/>
      <c r="AE485" s="1255" t="s">
        <v>2240</v>
      </c>
      <c r="AF485" s="1256">
        <v>1</v>
      </c>
      <c r="AG485" s="1286" t="s">
        <v>3499</v>
      </c>
      <c r="AH485" s="1255"/>
    </row>
    <row r="486" spans="30:34" ht="15" thickTop="1">
      <c r="AD486" s="1257"/>
      <c r="AE486" s="1258"/>
      <c r="AF486" s="1259"/>
      <c r="AG486" s="1257"/>
      <c r="AH486" s="1257"/>
    </row>
    <row r="487" spans="30:34" ht="15" thickBot="1">
      <c r="AD487" s="1266">
        <v>6</v>
      </c>
      <c r="AE487" s="1267" t="s">
        <v>3674</v>
      </c>
      <c r="AF487" s="1268"/>
      <c r="AG487" s="1269"/>
      <c r="AH487" s="1269"/>
    </row>
    <row r="488" spans="30:34" ht="15.5" thickTop="1" thickBot="1">
      <c r="AD488" s="1231" t="s">
        <v>2</v>
      </c>
      <c r="AE488" s="1231" t="s">
        <v>3161</v>
      </c>
      <c r="AF488" s="1623" t="s">
        <v>3496</v>
      </c>
      <c r="AG488" s="1624"/>
      <c r="AH488" s="1231" t="s">
        <v>3497</v>
      </c>
    </row>
    <row r="489" spans="30:34" ht="15" thickTop="1">
      <c r="AD489" s="1232">
        <v>1</v>
      </c>
      <c r="AE489" s="1284" t="s">
        <v>3675</v>
      </c>
      <c r="AF489" s="1233">
        <v>1</v>
      </c>
      <c r="AG489" s="1234" t="s">
        <v>3499</v>
      </c>
      <c r="AH489" s="1235" t="s">
        <v>3500</v>
      </c>
    </row>
    <row r="490" spans="30:34" ht="14.5">
      <c r="AD490" s="1236">
        <v>2</v>
      </c>
      <c r="AE490" s="1237" t="s">
        <v>3501</v>
      </c>
      <c r="AF490" s="1233">
        <v>1</v>
      </c>
      <c r="AG490" s="1238" t="s">
        <v>2839</v>
      </c>
      <c r="AH490" s="1239" t="s">
        <v>3502</v>
      </c>
    </row>
    <row r="491" spans="30:34" ht="14.5">
      <c r="AD491" s="1240"/>
      <c r="AE491" s="1241"/>
      <c r="AF491" s="1242"/>
      <c r="AG491" s="1243"/>
      <c r="AH491" s="1244"/>
    </row>
    <row r="492" spans="30:34" ht="14.5">
      <c r="AD492" s="1240"/>
      <c r="AE492" s="1241" t="s">
        <v>3551</v>
      </c>
      <c r="AF492" s="1242"/>
      <c r="AG492" s="1243"/>
      <c r="AH492" s="1244"/>
    </row>
    <row r="493" spans="30:34" ht="14.5">
      <c r="AD493" s="1240">
        <v>1</v>
      </c>
      <c r="AE493" s="1241" t="s">
        <v>3676</v>
      </c>
      <c r="AF493" s="1242">
        <v>1</v>
      </c>
      <c r="AG493" s="1243" t="s">
        <v>3505</v>
      </c>
      <c r="AH493" s="1244" t="s">
        <v>3506</v>
      </c>
    </row>
    <row r="494" spans="30:34" ht="14.5">
      <c r="AD494" s="1240">
        <v>2</v>
      </c>
      <c r="AE494" s="1241" t="s">
        <v>3533</v>
      </c>
      <c r="AF494" s="1242">
        <v>3</v>
      </c>
      <c r="AG494" s="1243" t="s">
        <v>3487</v>
      </c>
      <c r="AH494" s="1244" t="s">
        <v>3553</v>
      </c>
    </row>
    <row r="495" spans="30:34" ht="14.5">
      <c r="AD495" s="1240">
        <v>3</v>
      </c>
      <c r="AE495" s="1241" t="s">
        <v>3514</v>
      </c>
      <c r="AF495" s="1242">
        <v>1</v>
      </c>
      <c r="AG495" s="1243" t="s">
        <v>3505</v>
      </c>
      <c r="AH495" s="1244" t="s">
        <v>3508</v>
      </c>
    </row>
    <row r="496" spans="30:34" ht="14.5">
      <c r="AD496" s="1240">
        <v>4</v>
      </c>
      <c r="AE496" s="1241" t="s">
        <v>3555</v>
      </c>
      <c r="AF496" s="1242">
        <v>1</v>
      </c>
      <c r="AG496" s="1243" t="s">
        <v>3505</v>
      </c>
      <c r="AH496" s="1244" t="s">
        <v>3508</v>
      </c>
    </row>
    <row r="497" spans="30:34" ht="14.5">
      <c r="AD497" s="1240">
        <v>5</v>
      </c>
      <c r="AE497" s="1241" t="s">
        <v>3556</v>
      </c>
      <c r="AF497" s="1242">
        <v>1</v>
      </c>
      <c r="AG497" s="1243" t="s">
        <v>3505</v>
      </c>
      <c r="AH497" s="1244" t="s">
        <v>3508</v>
      </c>
    </row>
    <row r="498" spans="30:34" ht="14.5">
      <c r="AD498" s="1240">
        <v>6</v>
      </c>
      <c r="AE498" s="1241" t="s">
        <v>3557</v>
      </c>
      <c r="AF498" s="1242">
        <v>1</v>
      </c>
      <c r="AG498" s="1243" t="s">
        <v>3505</v>
      </c>
      <c r="AH498" s="1244" t="s">
        <v>3508</v>
      </c>
    </row>
    <row r="499" spans="30:34" ht="14.5">
      <c r="AD499" s="1240">
        <v>7</v>
      </c>
      <c r="AE499" s="1241" t="s">
        <v>3515</v>
      </c>
      <c r="AF499" s="1242">
        <v>3</v>
      </c>
      <c r="AG499" s="1243" t="s">
        <v>3487</v>
      </c>
      <c r="AH499" s="1244" t="s">
        <v>3508</v>
      </c>
    </row>
    <row r="500" spans="30:34" ht="14.5">
      <c r="AD500" s="1240">
        <v>8</v>
      </c>
      <c r="AE500" s="1241" t="s">
        <v>3591</v>
      </c>
      <c r="AF500" s="1242">
        <v>1</v>
      </c>
      <c r="AG500" s="1243" t="s">
        <v>3505</v>
      </c>
      <c r="AH500" s="1244" t="s">
        <v>3508</v>
      </c>
    </row>
    <row r="501" spans="30:34" ht="14.5">
      <c r="AD501" s="1240">
        <v>9</v>
      </c>
      <c r="AE501" s="1241" t="s">
        <v>3547</v>
      </c>
      <c r="AF501" s="1242">
        <v>4</v>
      </c>
      <c r="AG501" s="1243" t="s">
        <v>3487</v>
      </c>
      <c r="AH501" s="1244" t="s">
        <v>3506</v>
      </c>
    </row>
    <row r="502" spans="30:34" ht="14.5">
      <c r="AD502" s="1240">
        <v>10</v>
      </c>
      <c r="AE502" s="1241" t="s">
        <v>3559</v>
      </c>
      <c r="AF502" s="1242">
        <v>2</v>
      </c>
      <c r="AG502" s="1243" t="s">
        <v>3487</v>
      </c>
      <c r="AH502" s="1244" t="s">
        <v>3560</v>
      </c>
    </row>
    <row r="503" spans="30:34" ht="14.5">
      <c r="AD503" s="1240">
        <v>11</v>
      </c>
      <c r="AE503" s="1241" t="s">
        <v>3561</v>
      </c>
      <c r="AF503" s="1242">
        <v>2</v>
      </c>
      <c r="AG503" s="1243" t="s">
        <v>3487</v>
      </c>
      <c r="AH503" s="1244" t="s">
        <v>3560</v>
      </c>
    </row>
    <row r="504" spans="30:34" ht="14.5">
      <c r="AD504" s="1240">
        <v>12</v>
      </c>
      <c r="AE504" s="1241" t="s">
        <v>3548</v>
      </c>
      <c r="AF504" s="1242">
        <v>1</v>
      </c>
      <c r="AG504" s="1243" t="s">
        <v>2872</v>
      </c>
      <c r="AH504" s="1244" t="s">
        <v>3500</v>
      </c>
    </row>
    <row r="505" spans="30:34" ht="14.5">
      <c r="AD505" s="1240"/>
      <c r="AE505" s="1241" t="s">
        <v>3592</v>
      </c>
      <c r="AF505" s="1242">
        <v>4</v>
      </c>
      <c r="AG505" s="1243" t="s">
        <v>3487</v>
      </c>
      <c r="AH505" s="1244" t="s">
        <v>3508</v>
      </c>
    </row>
    <row r="506" spans="30:34" ht="14.5">
      <c r="AD506" s="1240"/>
      <c r="AE506" s="1241"/>
      <c r="AF506" s="1242"/>
      <c r="AG506" s="1243"/>
      <c r="AH506" s="1244"/>
    </row>
    <row r="507" spans="30:34" ht="14.5">
      <c r="AD507" s="1240"/>
      <c r="AE507" s="1241" t="s">
        <v>3593</v>
      </c>
      <c r="AF507" s="1242"/>
      <c r="AG507" s="1243"/>
      <c r="AH507" s="1244"/>
    </row>
    <row r="508" spans="30:34" ht="14.5">
      <c r="AD508" s="1240">
        <v>1</v>
      </c>
      <c r="AE508" s="1241" t="s">
        <v>3594</v>
      </c>
      <c r="AF508" s="1242">
        <v>1</v>
      </c>
      <c r="AG508" s="1243" t="s">
        <v>3505</v>
      </c>
      <c r="AH508" s="1244" t="s">
        <v>3506</v>
      </c>
    </row>
    <row r="509" spans="30:34" ht="14.5">
      <c r="AD509" s="1240">
        <v>2</v>
      </c>
      <c r="AE509" s="1241" t="s">
        <v>3595</v>
      </c>
      <c r="AF509" s="1242">
        <v>1</v>
      </c>
      <c r="AG509" s="1243" t="s">
        <v>3505</v>
      </c>
      <c r="AH509" s="1244" t="s">
        <v>3506</v>
      </c>
    </row>
    <row r="510" spans="30:34" ht="14.5">
      <c r="AD510" s="1240">
        <v>3</v>
      </c>
      <c r="AE510" s="1241" t="s">
        <v>3596</v>
      </c>
      <c r="AF510" s="1242">
        <v>1</v>
      </c>
      <c r="AG510" s="1243" t="s">
        <v>3505</v>
      </c>
      <c r="AH510" s="1244" t="s">
        <v>3508</v>
      </c>
    </row>
    <row r="511" spans="30:34" ht="14.5">
      <c r="AD511" s="1240">
        <v>4</v>
      </c>
      <c r="AE511" s="1241" t="s">
        <v>3597</v>
      </c>
      <c r="AF511" s="1242">
        <v>1</v>
      </c>
      <c r="AG511" s="1243" t="s">
        <v>3505</v>
      </c>
      <c r="AH511" s="1244" t="s">
        <v>3508</v>
      </c>
    </row>
    <row r="512" spans="30:34" ht="14.5">
      <c r="AD512" s="1240">
        <v>5</v>
      </c>
      <c r="AE512" s="1241" t="s">
        <v>3598</v>
      </c>
      <c r="AF512" s="1242">
        <v>1</v>
      </c>
      <c r="AG512" s="1243" t="s">
        <v>3505</v>
      </c>
      <c r="AH512" s="1244" t="s">
        <v>3508</v>
      </c>
    </row>
    <row r="513" spans="30:34" ht="14.5">
      <c r="AD513" s="1240">
        <v>6</v>
      </c>
      <c r="AE513" s="1241" t="s">
        <v>3599</v>
      </c>
      <c r="AF513" s="1242">
        <v>1</v>
      </c>
      <c r="AG513" s="1243" t="s">
        <v>3505</v>
      </c>
      <c r="AH513" s="1244" t="s">
        <v>3508</v>
      </c>
    </row>
    <row r="514" spans="30:34" ht="14.5">
      <c r="AD514" s="1240">
        <v>7</v>
      </c>
      <c r="AE514" s="1241" t="s">
        <v>3543</v>
      </c>
      <c r="AF514" s="1242">
        <v>1</v>
      </c>
      <c r="AG514" s="1243" t="s">
        <v>3505</v>
      </c>
      <c r="AH514" s="1244" t="s">
        <v>3508</v>
      </c>
    </row>
    <row r="515" spans="30:34" ht="14.5">
      <c r="AD515" s="1240">
        <v>8</v>
      </c>
      <c r="AE515" s="1241" t="s">
        <v>3544</v>
      </c>
      <c r="AF515" s="1242">
        <v>1</v>
      </c>
      <c r="AG515" s="1243" t="s">
        <v>3505</v>
      </c>
      <c r="AH515" s="1244" t="s">
        <v>3508</v>
      </c>
    </row>
    <row r="516" spans="30:34" ht="14.5">
      <c r="AD516" s="1240">
        <v>9</v>
      </c>
      <c r="AE516" s="1241" t="s">
        <v>3562</v>
      </c>
      <c r="AF516" s="1242">
        <v>1</v>
      </c>
      <c r="AG516" s="1243" t="s">
        <v>3505</v>
      </c>
      <c r="AH516" s="1244" t="s">
        <v>3563</v>
      </c>
    </row>
    <row r="517" spans="30:34" ht="14.5">
      <c r="AD517" s="1240"/>
      <c r="AE517" s="1241" t="s">
        <v>3587</v>
      </c>
      <c r="AF517" s="1242">
        <v>1</v>
      </c>
      <c r="AG517" s="1243" t="s">
        <v>3505</v>
      </c>
      <c r="AH517" s="1244" t="s">
        <v>3508</v>
      </c>
    </row>
    <row r="518" spans="30:34" ht="14.5">
      <c r="AD518" s="1240"/>
      <c r="AE518" s="1241" t="s">
        <v>3600</v>
      </c>
      <c r="AF518" s="1242">
        <v>2</v>
      </c>
      <c r="AG518" s="1243" t="s">
        <v>3487</v>
      </c>
      <c r="AH518" s="1244" t="s">
        <v>3508</v>
      </c>
    </row>
    <row r="519" spans="30:34" ht="14.5">
      <c r="AD519" s="1240"/>
      <c r="AE519" s="1241"/>
      <c r="AF519" s="1242"/>
      <c r="AG519" s="1243"/>
      <c r="AH519" s="1244"/>
    </row>
    <row r="520" spans="30:34" ht="14.5">
      <c r="AD520" s="1240"/>
      <c r="AE520" s="1241" t="s">
        <v>3566</v>
      </c>
      <c r="AF520" s="1242"/>
      <c r="AG520" s="1243"/>
      <c r="AH520" s="1244"/>
    </row>
    <row r="521" spans="30:34" ht="14.5">
      <c r="AD521" s="1240"/>
      <c r="AE521" s="1241"/>
      <c r="AF521" s="1242"/>
      <c r="AG521" s="1243"/>
      <c r="AH521" s="1244"/>
    </row>
    <row r="522" spans="30:34" ht="14.5">
      <c r="AD522" s="1240"/>
      <c r="AE522" s="1265" t="s">
        <v>3651</v>
      </c>
      <c r="AF522" s="1264"/>
      <c r="AG522" s="1243"/>
      <c r="AH522" s="1244"/>
    </row>
    <row r="523" spans="30:34" ht="14.5">
      <c r="AD523" s="1240">
        <v>1</v>
      </c>
      <c r="AE523" s="1287" t="s">
        <v>3677</v>
      </c>
      <c r="AF523" s="1264"/>
      <c r="AG523" s="1243"/>
      <c r="AH523" s="1244"/>
    </row>
    <row r="524" spans="30:34" ht="14.5">
      <c r="AD524" s="1240"/>
      <c r="AE524" s="1287"/>
      <c r="AF524" s="1264"/>
      <c r="AG524" s="1243"/>
      <c r="AH524" s="1244"/>
    </row>
    <row r="525" spans="30:34" ht="14.5">
      <c r="AD525" s="1240">
        <v>1</v>
      </c>
      <c r="AE525" s="1265" t="s">
        <v>3610</v>
      </c>
      <c r="AF525" s="1264">
        <v>1</v>
      </c>
      <c r="AG525" s="1243" t="s">
        <v>3487</v>
      </c>
      <c r="AH525" s="1244" t="s">
        <v>3506</v>
      </c>
    </row>
    <row r="526" spans="30:34" ht="14.5">
      <c r="AD526" s="1240">
        <v>2</v>
      </c>
      <c r="AE526" s="1241" t="s">
        <v>3611</v>
      </c>
      <c r="AF526" s="1242">
        <v>1</v>
      </c>
      <c r="AG526" s="1243" t="s">
        <v>3487</v>
      </c>
      <c r="AH526" s="1244" t="s">
        <v>3506</v>
      </c>
    </row>
    <row r="527" spans="30:34" ht="14.5">
      <c r="AD527" s="1240">
        <v>3</v>
      </c>
      <c r="AE527" s="1241" t="s">
        <v>3611</v>
      </c>
      <c r="AF527" s="1242">
        <v>2</v>
      </c>
      <c r="AG527" s="1243" t="s">
        <v>3487</v>
      </c>
      <c r="AH527" s="1244" t="s">
        <v>3506</v>
      </c>
    </row>
    <row r="528" spans="30:34" ht="14.5">
      <c r="AD528" s="1240">
        <v>4</v>
      </c>
      <c r="AE528" s="1241" t="s">
        <v>3572</v>
      </c>
      <c r="AF528" s="1242">
        <v>1</v>
      </c>
      <c r="AG528" s="1243" t="s">
        <v>3487</v>
      </c>
      <c r="AH528" s="1244" t="s">
        <v>3506</v>
      </c>
    </row>
    <row r="529" spans="30:34" ht="14.5">
      <c r="AD529" s="1240">
        <v>5</v>
      </c>
      <c r="AE529" s="1241" t="s">
        <v>3585</v>
      </c>
      <c r="AF529" s="1242">
        <v>1</v>
      </c>
      <c r="AG529" s="1243" t="s">
        <v>3487</v>
      </c>
      <c r="AH529" s="1244" t="s">
        <v>3546</v>
      </c>
    </row>
    <row r="530" spans="30:34" ht="14.5">
      <c r="AD530" s="1240">
        <v>6</v>
      </c>
      <c r="AE530" s="1241" t="s">
        <v>3612</v>
      </c>
      <c r="AF530" s="1242">
        <v>1</v>
      </c>
      <c r="AG530" s="1243" t="s">
        <v>3487</v>
      </c>
      <c r="AH530" s="1244" t="s">
        <v>3506</v>
      </c>
    </row>
    <row r="531" spans="30:34" ht="14.5">
      <c r="AD531" s="1240">
        <v>7</v>
      </c>
      <c r="AE531" s="1241" t="s">
        <v>3574</v>
      </c>
      <c r="AF531" s="1242">
        <v>2</v>
      </c>
      <c r="AG531" s="1243" t="s">
        <v>3487</v>
      </c>
      <c r="AH531" s="1244" t="s">
        <v>3536</v>
      </c>
    </row>
    <row r="532" spans="30:34" ht="14.5">
      <c r="AD532" s="1240">
        <v>8</v>
      </c>
      <c r="AE532" s="1241" t="s">
        <v>3575</v>
      </c>
      <c r="AF532" s="1242">
        <v>1</v>
      </c>
      <c r="AG532" s="1243" t="s">
        <v>3487</v>
      </c>
      <c r="AH532" s="1244" t="s">
        <v>3536</v>
      </c>
    </row>
    <row r="533" spans="30:34" ht="14.5">
      <c r="AD533" s="1240">
        <v>9</v>
      </c>
      <c r="AE533" s="1241" t="s">
        <v>3576</v>
      </c>
      <c r="AF533" s="1242">
        <v>1</v>
      </c>
      <c r="AG533" s="1243" t="s">
        <v>3487</v>
      </c>
      <c r="AH533" s="1244" t="s">
        <v>3536</v>
      </c>
    </row>
    <row r="534" spans="30:34" ht="14.5">
      <c r="AD534" s="1240">
        <v>10</v>
      </c>
      <c r="AE534" s="1241" t="s">
        <v>3577</v>
      </c>
      <c r="AF534" s="1242">
        <v>2</v>
      </c>
      <c r="AG534" s="1243" t="s">
        <v>3487</v>
      </c>
      <c r="AH534" s="1244" t="s">
        <v>3546</v>
      </c>
    </row>
    <row r="535" spans="30:34" ht="14.5">
      <c r="AD535" s="1240">
        <v>11</v>
      </c>
      <c r="AE535" s="1241" t="s">
        <v>3562</v>
      </c>
      <c r="AF535" s="1242">
        <v>1</v>
      </c>
      <c r="AG535" s="1243" t="s">
        <v>3487</v>
      </c>
      <c r="AH535" s="1244" t="s">
        <v>3563</v>
      </c>
    </row>
    <row r="536" spans="30:34" ht="14.5">
      <c r="AD536" s="1240">
        <v>12</v>
      </c>
      <c r="AE536" s="1241" t="s">
        <v>3578</v>
      </c>
      <c r="AF536" s="1242">
        <v>1</v>
      </c>
      <c r="AG536" s="1243" t="s">
        <v>2872</v>
      </c>
      <c r="AH536" s="1244" t="s">
        <v>3500</v>
      </c>
    </row>
    <row r="537" spans="30:34" ht="14.5">
      <c r="AD537" s="1240"/>
      <c r="AE537" s="1241" t="s">
        <v>3587</v>
      </c>
      <c r="AF537" s="1242">
        <v>2</v>
      </c>
      <c r="AG537" s="1243" t="s">
        <v>3487</v>
      </c>
      <c r="AH537" s="1244" t="s">
        <v>3508</v>
      </c>
    </row>
    <row r="538" spans="30:34" ht="14.5">
      <c r="AD538" s="1240"/>
      <c r="AE538" s="1265"/>
      <c r="AF538" s="1264"/>
      <c r="AG538" s="1243"/>
      <c r="AH538" s="1244"/>
    </row>
    <row r="539" spans="30:34" ht="14.5">
      <c r="AD539" s="1240"/>
      <c r="AE539" s="1265" t="s">
        <v>3678</v>
      </c>
      <c r="AF539" s="1264"/>
      <c r="AG539" s="1243"/>
      <c r="AH539" s="1244"/>
    </row>
    <row r="540" spans="30:34" ht="14.5">
      <c r="AD540" s="1240">
        <v>1</v>
      </c>
      <c r="AE540" s="1287" t="s">
        <v>3679</v>
      </c>
      <c r="AF540" s="1264"/>
      <c r="AG540" s="1243"/>
      <c r="AH540" s="1244"/>
    </row>
    <row r="541" spans="30:34" ht="14.5">
      <c r="AD541" s="1240">
        <v>2</v>
      </c>
      <c r="AE541" s="1287" t="s">
        <v>3680</v>
      </c>
      <c r="AF541" s="1264"/>
      <c r="AG541" s="1243"/>
      <c r="AH541" s="1244"/>
    </row>
    <row r="542" spans="30:34" ht="14.5">
      <c r="AD542" s="1240">
        <v>3</v>
      </c>
      <c r="AE542" s="1287" t="s">
        <v>3681</v>
      </c>
      <c r="AF542" s="1264"/>
      <c r="AG542" s="1243"/>
      <c r="AH542" s="1244"/>
    </row>
    <row r="543" spans="30:34" ht="14.5">
      <c r="AD543" s="1240">
        <v>4</v>
      </c>
      <c r="AE543" s="1287" t="s">
        <v>3682</v>
      </c>
      <c r="AF543" s="1264"/>
      <c r="AG543" s="1243"/>
      <c r="AH543" s="1244"/>
    </row>
    <row r="544" spans="30:34" ht="14.5">
      <c r="AD544" s="1240">
        <v>5</v>
      </c>
      <c r="AE544" s="1287" t="s">
        <v>3683</v>
      </c>
      <c r="AF544" s="1264"/>
      <c r="AG544" s="1243"/>
      <c r="AH544" s="1244"/>
    </row>
    <row r="545" spans="30:34" ht="14.5">
      <c r="AD545" s="1240">
        <v>6</v>
      </c>
      <c r="AE545" s="1287" t="s">
        <v>3684</v>
      </c>
      <c r="AF545" s="1264"/>
      <c r="AG545" s="1243"/>
      <c r="AH545" s="1244"/>
    </row>
    <row r="546" spans="30:34" ht="14.5">
      <c r="AD546" s="1240">
        <v>7</v>
      </c>
      <c r="AE546" s="1287" t="s">
        <v>3685</v>
      </c>
      <c r="AF546" s="1264"/>
      <c r="AG546" s="1243"/>
      <c r="AH546" s="1244"/>
    </row>
    <row r="547" spans="30:34" ht="14.5">
      <c r="AD547" s="1240"/>
      <c r="AE547" s="1287"/>
      <c r="AF547" s="1264"/>
      <c r="AG547" s="1243"/>
      <c r="AH547" s="1244"/>
    </row>
    <row r="548" spans="30:34" ht="14.5">
      <c r="AD548" s="1240">
        <v>1</v>
      </c>
      <c r="AE548" s="1265" t="s">
        <v>3570</v>
      </c>
      <c r="AF548" s="1264">
        <v>7</v>
      </c>
      <c r="AG548" s="1243" t="s">
        <v>3487</v>
      </c>
      <c r="AH548" s="1244" t="s">
        <v>3506</v>
      </c>
    </row>
    <row r="549" spans="30:34" ht="14.5">
      <c r="AD549" s="1240">
        <v>2</v>
      </c>
      <c r="AE549" s="1241" t="s">
        <v>3571</v>
      </c>
      <c r="AF549" s="1242">
        <v>7</v>
      </c>
      <c r="AG549" s="1243" t="s">
        <v>3487</v>
      </c>
      <c r="AH549" s="1244" t="s">
        <v>3506</v>
      </c>
    </row>
    <row r="550" spans="30:34" ht="14.5">
      <c r="AD550" s="1240">
        <v>3</v>
      </c>
      <c r="AE550" s="1241" t="s">
        <v>3572</v>
      </c>
      <c r="AF550" s="1242">
        <v>7</v>
      </c>
      <c r="AG550" s="1243" t="s">
        <v>3487</v>
      </c>
      <c r="AH550" s="1244" t="s">
        <v>3506</v>
      </c>
    </row>
    <row r="551" spans="30:34" ht="14.5">
      <c r="AD551" s="1240">
        <v>4</v>
      </c>
      <c r="AE551" s="1241" t="s">
        <v>3573</v>
      </c>
      <c r="AF551" s="1242">
        <v>7</v>
      </c>
      <c r="AG551" s="1243" t="s">
        <v>3487</v>
      </c>
      <c r="AH551" s="1244" t="s">
        <v>3506</v>
      </c>
    </row>
    <row r="552" spans="30:34" ht="14.5">
      <c r="AD552" s="1240">
        <v>5</v>
      </c>
      <c r="AE552" s="1241" t="s">
        <v>3574</v>
      </c>
      <c r="AF552" s="1242">
        <v>14</v>
      </c>
      <c r="AG552" s="1243" t="s">
        <v>3487</v>
      </c>
      <c r="AH552" s="1244" t="s">
        <v>3536</v>
      </c>
    </row>
    <row r="553" spans="30:34" ht="14.5">
      <c r="AD553" s="1240">
        <v>6</v>
      </c>
      <c r="AE553" s="1241" t="s">
        <v>3575</v>
      </c>
      <c r="AF553" s="1242">
        <v>7</v>
      </c>
      <c r="AG553" s="1243" t="s">
        <v>3487</v>
      </c>
      <c r="AH553" s="1244" t="s">
        <v>3536</v>
      </c>
    </row>
    <row r="554" spans="30:34" ht="14.5">
      <c r="AD554" s="1240">
        <v>7</v>
      </c>
      <c r="AE554" s="1241" t="s">
        <v>3576</v>
      </c>
      <c r="AF554" s="1242">
        <v>7</v>
      </c>
      <c r="AG554" s="1243" t="s">
        <v>3487</v>
      </c>
      <c r="AH554" s="1244" t="s">
        <v>3536</v>
      </c>
    </row>
    <row r="555" spans="30:34" ht="14.5">
      <c r="AD555" s="1240">
        <v>8</v>
      </c>
      <c r="AE555" s="1241" t="s">
        <v>3577</v>
      </c>
      <c r="AF555" s="1242">
        <v>14</v>
      </c>
      <c r="AG555" s="1243" t="s">
        <v>3487</v>
      </c>
      <c r="AH555" s="1244" t="s">
        <v>3546</v>
      </c>
    </row>
    <row r="556" spans="30:34" ht="14.5">
      <c r="AD556" s="1240">
        <v>9</v>
      </c>
      <c r="AE556" s="1241" t="s">
        <v>3562</v>
      </c>
      <c r="AF556" s="1242">
        <v>7</v>
      </c>
      <c r="AG556" s="1243" t="s">
        <v>3487</v>
      </c>
      <c r="AH556" s="1244" t="s">
        <v>3563</v>
      </c>
    </row>
    <row r="557" spans="30:34" ht="14.5">
      <c r="AD557" s="1240">
        <v>10</v>
      </c>
      <c r="AE557" s="1241" t="s">
        <v>3578</v>
      </c>
      <c r="AF557" s="1242">
        <v>1</v>
      </c>
      <c r="AG557" s="1243" t="s">
        <v>2872</v>
      </c>
      <c r="AH557" s="1244" t="s">
        <v>3500</v>
      </c>
    </row>
    <row r="558" spans="30:34" ht="14.5">
      <c r="AD558" s="1240"/>
      <c r="AE558" s="1241" t="s">
        <v>3579</v>
      </c>
      <c r="AF558" s="1242">
        <v>7</v>
      </c>
      <c r="AG558" s="1243" t="s">
        <v>3487</v>
      </c>
      <c r="AH558" s="1244" t="s">
        <v>3508</v>
      </c>
    </row>
    <row r="559" spans="30:34" ht="14.5">
      <c r="AD559" s="1240"/>
      <c r="AE559" s="1265"/>
      <c r="AF559" s="1264"/>
      <c r="AG559" s="1270"/>
      <c r="AH559" s="1244"/>
    </row>
    <row r="560" spans="30:34" ht="14.5">
      <c r="AD560" s="1240"/>
      <c r="AE560" s="1265" t="s">
        <v>3686</v>
      </c>
      <c r="AF560" s="1264"/>
      <c r="AG560" s="1270"/>
      <c r="AH560" s="1244"/>
    </row>
    <row r="561" spans="30:34" ht="14.5">
      <c r="AD561" s="1240">
        <v>1</v>
      </c>
      <c r="AE561" s="1287" t="s">
        <v>3687</v>
      </c>
      <c r="AF561" s="1264"/>
      <c r="AG561" s="1270"/>
      <c r="AH561" s="1244"/>
    </row>
    <row r="562" spans="30:34" ht="14.5">
      <c r="AD562" s="1240">
        <v>2</v>
      </c>
      <c r="AE562" s="1287" t="s">
        <v>3688</v>
      </c>
      <c r="AF562" s="1264"/>
      <c r="AG562" s="1270"/>
      <c r="AH562" s="1244"/>
    </row>
    <row r="563" spans="30:34" ht="14.5">
      <c r="AD563" s="1240">
        <v>3</v>
      </c>
      <c r="AE563" s="1287" t="s">
        <v>3689</v>
      </c>
      <c r="AF563" s="1264"/>
      <c r="AG563" s="1270"/>
      <c r="AH563" s="1244"/>
    </row>
    <row r="564" spans="30:34" ht="14.5">
      <c r="AD564" s="1240">
        <v>4</v>
      </c>
      <c r="AE564" s="1287" t="s">
        <v>3690</v>
      </c>
      <c r="AF564" s="1264"/>
      <c r="AG564" s="1270"/>
      <c r="AH564" s="1244"/>
    </row>
    <row r="565" spans="30:34" ht="14.5">
      <c r="AD565" s="1240">
        <v>5</v>
      </c>
      <c r="AE565" s="1287" t="s">
        <v>3691</v>
      </c>
      <c r="AF565" s="1264"/>
      <c r="AG565" s="1270"/>
      <c r="AH565" s="1244"/>
    </row>
    <row r="566" spans="30:34" ht="14.5">
      <c r="AD566" s="1240">
        <v>6</v>
      </c>
      <c r="AE566" s="1287" t="s">
        <v>3692</v>
      </c>
      <c r="AF566" s="1264"/>
      <c r="AG566" s="1270"/>
      <c r="AH566" s="1244"/>
    </row>
    <row r="567" spans="30:34" ht="14.5">
      <c r="AD567" s="1240">
        <v>7</v>
      </c>
      <c r="AE567" s="1287" t="s">
        <v>3693</v>
      </c>
      <c r="AF567" s="1264"/>
      <c r="AG567" s="1270"/>
      <c r="AH567" s="1244"/>
    </row>
    <row r="568" spans="30:34" ht="14.5">
      <c r="AD568" s="1240">
        <v>8</v>
      </c>
      <c r="AE568" s="1287" t="s">
        <v>3694</v>
      </c>
      <c r="AF568" s="1264"/>
      <c r="AG568" s="1270"/>
      <c r="AH568" s="1244"/>
    </row>
    <row r="569" spans="30:34" ht="14.5">
      <c r="AD569" s="1240">
        <v>9</v>
      </c>
      <c r="AE569" s="1287" t="s">
        <v>3695</v>
      </c>
      <c r="AF569" s="1264"/>
      <c r="AG569" s="1270"/>
      <c r="AH569" s="1244"/>
    </row>
    <row r="570" spans="30:34" ht="14.5">
      <c r="AD570" s="1240"/>
      <c r="AE570" s="1287"/>
      <c r="AF570" s="1264"/>
      <c r="AG570" s="1270"/>
      <c r="AH570" s="1244"/>
    </row>
    <row r="571" spans="30:34" ht="14.5">
      <c r="AD571" s="1240">
        <v>1</v>
      </c>
      <c r="AE571" s="1265" t="s">
        <v>3696</v>
      </c>
      <c r="AF571" s="1264">
        <v>9</v>
      </c>
      <c r="AG571" s="1270" t="s">
        <v>3487</v>
      </c>
      <c r="AH571" s="1244" t="s">
        <v>3506</v>
      </c>
    </row>
    <row r="572" spans="30:34" ht="14.5">
      <c r="AD572" s="1240">
        <v>2</v>
      </c>
      <c r="AE572" s="1241" t="s">
        <v>3623</v>
      </c>
      <c r="AF572" s="1242">
        <v>9</v>
      </c>
      <c r="AG572" s="1243" t="s">
        <v>3487</v>
      </c>
      <c r="AH572" s="1244" t="s">
        <v>3506</v>
      </c>
    </row>
    <row r="573" spans="30:34" ht="14.5">
      <c r="AD573" s="1240">
        <v>3</v>
      </c>
      <c r="AE573" s="1241" t="s">
        <v>3572</v>
      </c>
      <c r="AF573" s="1242">
        <v>9</v>
      </c>
      <c r="AG573" s="1243" t="s">
        <v>3487</v>
      </c>
      <c r="AH573" s="1244" t="s">
        <v>3506</v>
      </c>
    </row>
    <row r="574" spans="30:34" ht="14.5">
      <c r="AD574" s="1240">
        <v>4</v>
      </c>
      <c r="AE574" s="1241" t="s">
        <v>3697</v>
      </c>
      <c r="AF574" s="1242">
        <v>9</v>
      </c>
      <c r="AG574" s="1243" t="s">
        <v>3487</v>
      </c>
      <c r="AH574" s="1244" t="s">
        <v>3506</v>
      </c>
    </row>
    <row r="575" spans="30:34" ht="14.5">
      <c r="AD575" s="1240">
        <v>5</v>
      </c>
      <c r="AE575" s="1241" t="s">
        <v>3574</v>
      </c>
      <c r="AF575" s="1242">
        <v>18</v>
      </c>
      <c r="AG575" s="1243" t="s">
        <v>3487</v>
      </c>
      <c r="AH575" s="1244" t="s">
        <v>3536</v>
      </c>
    </row>
    <row r="576" spans="30:34" ht="14.5">
      <c r="AD576" s="1240">
        <v>6</v>
      </c>
      <c r="AE576" s="1241" t="s">
        <v>3575</v>
      </c>
      <c r="AF576" s="1242">
        <v>9</v>
      </c>
      <c r="AG576" s="1243" t="s">
        <v>3487</v>
      </c>
      <c r="AH576" s="1244" t="s">
        <v>3536</v>
      </c>
    </row>
    <row r="577" spans="30:34" ht="14.5">
      <c r="AD577" s="1240">
        <v>7</v>
      </c>
      <c r="AE577" s="1241" t="s">
        <v>3576</v>
      </c>
      <c r="AF577" s="1242">
        <v>9</v>
      </c>
      <c r="AG577" s="1243" t="s">
        <v>3487</v>
      </c>
      <c r="AH577" s="1244" t="s">
        <v>3536</v>
      </c>
    </row>
    <row r="578" spans="30:34" ht="14.5">
      <c r="AD578" s="1240">
        <v>8</v>
      </c>
      <c r="AE578" s="1241" t="s">
        <v>3577</v>
      </c>
      <c r="AF578" s="1242">
        <v>18</v>
      </c>
      <c r="AG578" s="1243" t="s">
        <v>3487</v>
      </c>
      <c r="AH578" s="1244" t="s">
        <v>3546</v>
      </c>
    </row>
    <row r="579" spans="30:34" ht="14.5">
      <c r="AD579" s="1240">
        <v>9</v>
      </c>
      <c r="AE579" s="1241" t="s">
        <v>3562</v>
      </c>
      <c r="AF579" s="1242">
        <v>9</v>
      </c>
      <c r="AG579" s="1243" t="s">
        <v>3487</v>
      </c>
      <c r="AH579" s="1244" t="s">
        <v>3563</v>
      </c>
    </row>
    <row r="580" spans="30:34" ht="14.5">
      <c r="AD580" s="1240">
        <v>10</v>
      </c>
      <c r="AE580" s="1241" t="s">
        <v>3578</v>
      </c>
      <c r="AF580" s="1242">
        <v>1</v>
      </c>
      <c r="AG580" s="1243" t="s">
        <v>2872</v>
      </c>
      <c r="AH580" s="1244" t="s">
        <v>3500</v>
      </c>
    </row>
    <row r="581" spans="30:34" ht="14.5">
      <c r="AD581" s="1240"/>
      <c r="AE581" s="1241" t="s">
        <v>3579</v>
      </c>
      <c r="AF581" s="1242">
        <v>9</v>
      </c>
      <c r="AG581" s="1243" t="s">
        <v>3487</v>
      </c>
      <c r="AH581" s="1244" t="s">
        <v>3508</v>
      </c>
    </row>
    <row r="582" spans="30:34" ht="14.5">
      <c r="AD582" s="1240"/>
      <c r="AE582" s="1241"/>
      <c r="AF582" s="1242"/>
      <c r="AG582" s="1243"/>
      <c r="AH582" s="1244"/>
    </row>
    <row r="583" spans="30:34" ht="14.5">
      <c r="AD583" s="1240"/>
      <c r="AE583" s="1241" t="s">
        <v>3698</v>
      </c>
      <c r="AF583" s="1242"/>
      <c r="AG583" s="1243"/>
      <c r="AH583" s="1244"/>
    </row>
    <row r="584" spans="30:34" ht="14.5">
      <c r="AD584" s="1240">
        <v>1</v>
      </c>
      <c r="AE584" s="1241" t="s">
        <v>3699</v>
      </c>
      <c r="AF584" s="1242"/>
      <c r="AG584" s="1243"/>
      <c r="AH584" s="1244"/>
    </row>
    <row r="585" spans="30:34" ht="14.5">
      <c r="AD585" s="1240"/>
      <c r="AE585" s="1241"/>
      <c r="AF585" s="1242"/>
      <c r="AG585" s="1243"/>
      <c r="AH585" s="1244"/>
    </row>
    <row r="586" spans="30:34" ht="14.5">
      <c r="AD586" s="1240">
        <v>1</v>
      </c>
      <c r="AE586" s="1241" t="s">
        <v>3656</v>
      </c>
      <c r="AF586" s="1242">
        <v>1</v>
      </c>
      <c r="AG586" s="1243" t="s">
        <v>3505</v>
      </c>
      <c r="AH586" s="1244" t="s">
        <v>3506</v>
      </c>
    </row>
    <row r="587" spans="30:34" ht="14.5">
      <c r="AD587" s="1240">
        <v>2</v>
      </c>
      <c r="AE587" s="1241" t="s">
        <v>3657</v>
      </c>
      <c r="AF587" s="1242">
        <v>2</v>
      </c>
      <c r="AG587" s="1243" t="s">
        <v>3487</v>
      </c>
      <c r="AH587" s="1244" t="s">
        <v>3506</v>
      </c>
    </row>
    <row r="588" spans="30:34" ht="14.5">
      <c r="AD588" s="1240">
        <v>3</v>
      </c>
      <c r="AE588" s="1241" t="s">
        <v>3572</v>
      </c>
      <c r="AF588" s="1242">
        <v>2</v>
      </c>
      <c r="AG588" s="1243" t="s">
        <v>3487</v>
      </c>
      <c r="AH588" s="1244" t="s">
        <v>3506</v>
      </c>
    </row>
    <row r="589" spans="30:34" ht="14.5">
      <c r="AD589" s="1240">
        <v>4</v>
      </c>
      <c r="AE589" s="1241" t="s">
        <v>3700</v>
      </c>
      <c r="AF589" s="1242">
        <v>1</v>
      </c>
      <c r="AG589" s="1243" t="s">
        <v>3505</v>
      </c>
      <c r="AH589" s="1244" t="s">
        <v>3506</v>
      </c>
    </row>
    <row r="590" spans="30:34" ht="14.5">
      <c r="AD590" s="1240">
        <v>5</v>
      </c>
      <c r="AE590" s="1241" t="s">
        <v>3574</v>
      </c>
      <c r="AF590" s="1242">
        <v>2</v>
      </c>
      <c r="AG590" s="1243" t="s">
        <v>3487</v>
      </c>
      <c r="AH590" s="1244" t="s">
        <v>3536</v>
      </c>
    </row>
    <row r="591" spans="30:34" ht="14.5">
      <c r="AD591" s="1240">
        <v>6</v>
      </c>
      <c r="AE591" s="1241" t="s">
        <v>3575</v>
      </c>
      <c r="AF591" s="1242">
        <v>1</v>
      </c>
      <c r="AG591" s="1243" t="s">
        <v>3505</v>
      </c>
      <c r="AH591" s="1244" t="s">
        <v>3536</v>
      </c>
    </row>
    <row r="592" spans="30:34" ht="14.5">
      <c r="AD592" s="1240">
        <v>7</v>
      </c>
      <c r="AE592" s="1241" t="s">
        <v>3576</v>
      </c>
      <c r="AF592" s="1242">
        <v>1</v>
      </c>
      <c r="AG592" s="1243" t="s">
        <v>3505</v>
      </c>
      <c r="AH592" s="1244" t="s">
        <v>3536</v>
      </c>
    </row>
    <row r="593" spans="30:34" ht="14.5">
      <c r="AD593" s="1240">
        <v>8</v>
      </c>
      <c r="AE593" s="1241" t="s">
        <v>3577</v>
      </c>
      <c r="AF593" s="1242">
        <v>2</v>
      </c>
      <c r="AG593" s="1243" t="s">
        <v>3487</v>
      </c>
      <c r="AH593" s="1244" t="s">
        <v>3546</v>
      </c>
    </row>
    <row r="594" spans="30:34" ht="14.5">
      <c r="AD594" s="1240">
        <v>9</v>
      </c>
      <c r="AE594" s="1241" t="s">
        <v>3562</v>
      </c>
      <c r="AF594" s="1242">
        <v>1</v>
      </c>
      <c r="AG594" s="1243" t="s">
        <v>3505</v>
      </c>
      <c r="AH594" s="1244" t="s">
        <v>3563</v>
      </c>
    </row>
    <row r="595" spans="30:34" ht="14.5">
      <c r="AD595" s="1240">
        <v>10</v>
      </c>
      <c r="AE595" s="1241" t="s">
        <v>3578</v>
      </c>
      <c r="AF595" s="1242">
        <v>1</v>
      </c>
      <c r="AG595" s="1243" t="s">
        <v>3505</v>
      </c>
      <c r="AH595" s="1244" t="s">
        <v>3500</v>
      </c>
    </row>
    <row r="596" spans="30:34" ht="14.5">
      <c r="AD596" s="1240"/>
      <c r="AE596" s="1241" t="s">
        <v>3565</v>
      </c>
      <c r="AF596" s="1242">
        <v>1</v>
      </c>
      <c r="AG596" s="1243" t="s">
        <v>3505</v>
      </c>
      <c r="AH596" s="1244" t="s">
        <v>3508</v>
      </c>
    </row>
    <row r="597" spans="30:34" ht="14.5">
      <c r="AD597" s="1240"/>
      <c r="AE597" s="1241"/>
      <c r="AF597" s="1242"/>
      <c r="AG597" s="1243"/>
      <c r="AH597" s="1244"/>
    </row>
    <row r="598" spans="30:34" ht="14.5">
      <c r="AD598" s="1240"/>
      <c r="AE598" s="1241" t="s">
        <v>3701</v>
      </c>
      <c r="AF598" s="1242"/>
      <c r="AG598" s="1243"/>
      <c r="AH598" s="1244"/>
    </row>
    <row r="599" spans="30:34" ht="14.5">
      <c r="AD599" s="1240">
        <v>1</v>
      </c>
      <c r="AE599" s="1241" t="s">
        <v>3702</v>
      </c>
      <c r="AF599" s="1242"/>
      <c r="AG599" s="1243"/>
      <c r="AH599" s="1244"/>
    </row>
    <row r="600" spans="30:34" ht="14.5">
      <c r="AD600" s="1240"/>
      <c r="AE600" s="1241"/>
      <c r="AF600" s="1242"/>
      <c r="AG600" s="1243"/>
      <c r="AH600" s="1244"/>
    </row>
    <row r="601" spans="30:34" ht="14.5">
      <c r="AD601" s="1240">
        <v>1</v>
      </c>
      <c r="AE601" s="1241" t="s">
        <v>3615</v>
      </c>
      <c r="AF601" s="1242">
        <v>1</v>
      </c>
      <c r="AG601" s="1243" t="s">
        <v>3505</v>
      </c>
      <c r="AH601" s="1244" t="s">
        <v>3506</v>
      </c>
    </row>
    <row r="602" spans="30:34" ht="14.5">
      <c r="AD602" s="1240">
        <v>2</v>
      </c>
      <c r="AE602" s="1241" t="s">
        <v>3703</v>
      </c>
      <c r="AF602" s="1242">
        <v>2</v>
      </c>
      <c r="AG602" s="1243" t="s">
        <v>3487</v>
      </c>
      <c r="AH602" s="1244" t="s">
        <v>3506</v>
      </c>
    </row>
    <row r="603" spans="30:34" ht="14.5">
      <c r="AD603" s="1240">
        <v>3</v>
      </c>
      <c r="AE603" s="1241" t="s">
        <v>3572</v>
      </c>
      <c r="AF603" s="1242">
        <v>2</v>
      </c>
      <c r="AG603" s="1243" t="s">
        <v>3487</v>
      </c>
      <c r="AH603" s="1244" t="s">
        <v>3506</v>
      </c>
    </row>
    <row r="604" spans="30:34" ht="14.5">
      <c r="AD604" s="1240">
        <v>4</v>
      </c>
      <c r="AE604" s="1241" t="s">
        <v>3704</v>
      </c>
      <c r="AF604" s="1242">
        <v>1</v>
      </c>
      <c r="AG604" s="1243" t="s">
        <v>3505</v>
      </c>
      <c r="AH604" s="1244" t="s">
        <v>3506</v>
      </c>
    </row>
    <row r="605" spans="30:34" ht="14.5">
      <c r="AD605" s="1240">
        <v>5</v>
      </c>
      <c r="AE605" s="1241" t="s">
        <v>3574</v>
      </c>
      <c r="AF605" s="1242">
        <v>2</v>
      </c>
      <c r="AG605" s="1243" t="s">
        <v>3487</v>
      </c>
      <c r="AH605" s="1244" t="s">
        <v>3536</v>
      </c>
    </row>
    <row r="606" spans="30:34" ht="14.5">
      <c r="AD606" s="1240">
        <v>6</v>
      </c>
      <c r="AE606" s="1241" t="s">
        <v>3575</v>
      </c>
      <c r="AF606" s="1242">
        <v>1</v>
      </c>
      <c r="AG606" s="1243" t="s">
        <v>3505</v>
      </c>
      <c r="AH606" s="1244" t="s">
        <v>3536</v>
      </c>
    </row>
    <row r="607" spans="30:34" ht="14.5">
      <c r="AD607" s="1240">
        <v>7</v>
      </c>
      <c r="AE607" s="1241" t="s">
        <v>3576</v>
      </c>
      <c r="AF607" s="1242">
        <v>1</v>
      </c>
      <c r="AG607" s="1243" t="s">
        <v>3505</v>
      </c>
      <c r="AH607" s="1244" t="s">
        <v>3536</v>
      </c>
    </row>
    <row r="608" spans="30:34" ht="14.5">
      <c r="AD608" s="1240">
        <v>8</v>
      </c>
      <c r="AE608" s="1241" t="s">
        <v>3577</v>
      </c>
      <c r="AF608" s="1242">
        <v>2</v>
      </c>
      <c r="AG608" s="1243" t="s">
        <v>3487</v>
      </c>
      <c r="AH608" s="1244" t="s">
        <v>3546</v>
      </c>
    </row>
    <row r="609" spans="30:34" ht="14.5">
      <c r="AD609" s="1240">
        <v>9</v>
      </c>
      <c r="AE609" s="1241" t="s">
        <v>3562</v>
      </c>
      <c r="AF609" s="1242">
        <v>1</v>
      </c>
      <c r="AG609" s="1243" t="s">
        <v>3505</v>
      </c>
      <c r="AH609" s="1244" t="s">
        <v>3563</v>
      </c>
    </row>
    <row r="610" spans="30:34" ht="14.5">
      <c r="AD610" s="1240">
        <v>10</v>
      </c>
      <c r="AE610" s="1241" t="s">
        <v>3578</v>
      </c>
      <c r="AF610" s="1242">
        <v>1</v>
      </c>
      <c r="AG610" s="1243" t="s">
        <v>3505</v>
      </c>
      <c r="AH610" s="1244" t="s">
        <v>3500</v>
      </c>
    </row>
    <row r="611" spans="30:34" ht="14.5">
      <c r="AD611" s="1240"/>
      <c r="AE611" s="1241" t="s">
        <v>3587</v>
      </c>
      <c r="AF611" s="1242">
        <v>2</v>
      </c>
      <c r="AG611" s="1243" t="s">
        <v>3487</v>
      </c>
      <c r="AH611" s="1244" t="s">
        <v>3508</v>
      </c>
    </row>
    <row r="612" spans="30:34" ht="14.5">
      <c r="AD612" s="1240"/>
      <c r="AE612" s="1241"/>
      <c r="AF612" s="1242"/>
      <c r="AG612" s="1243"/>
      <c r="AH612" s="1244"/>
    </row>
    <row r="613" spans="30:34" ht="14.5">
      <c r="AD613" s="1240"/>
      <c r="AE613" s="1265" t="s">
        <v>3705</v>
      </c>
      <c r="AF613" s="1271"/>
      <c r="AG613" s="1243"/>
      <c r="AH613" s="1244"/>
    </row>
    <row r="614" spans="30:34" ht="14.5">
      <c r="AD614" s="1240">
        <v>1</v>
      </c>
      <c r="AE614" s="1287" t="s">
        <v>3706</v>
      </c>
      <c r="AF614" s="1272"/>
      <c r="AG614" s="1273"/>
      <c r="AH614" s="1244"/>
    </row>
    <row r="615" spans="30:34" ht="14.5">
      <c r="AD615" s="1240">
        <v>2</v>
      </c>
      <c r="AE615" s="1287" t="s">
        <v>3707</v>
      </c>
      <c r="AF615" s="1272"/>
      <c r="AG615" s="1273"/>
      <c r="AH615" s="1244"/>
    </row>
    <row r="616" spans="30:34" ht="14.5">
      <c r="AD616" s="1240">
        <v>3</v>
      </c>
      <c r="AE616" s="1287" t="s">
        <v>3708</v>
      </c>
      <c r="AF616" s="1272"/>
      <c r="AG616" s="1273"/>
      <c r="AH616" s="1244"/>
    </row>
    <row r="617" spans="30:34" ht="14.5">
      <c r="AD617" s="1240">
        <v>4</v>
      </c>
      <c r="AE617" s="1287" t="s">
        <v>3709</v>
      </c>
      <c r="AF617" s="1272"/>
      <c r="AG617" s="1273"/>
      <c r="AH617" s="1244"/>
    </row>
    <row r="618" spans="30:34" ht="14.5">
      <c r="AD618" s="1240">
        <v>5</v>
      </c>
      <c r="AE618" s="1287" t="s">
        <v>3710</v>
      </c>
      <c r="AF618" s="1272"/>
      <c r="AG618" s="1273"/>
      <c r="AH618" s="1244"/>
    </row>
    <row r="619" spans="30:34" ht="14.5">
      <c r="AD619" s="1240">
        <v>6</v>
      </c>
      <c r="AE619" s="1287" t="s">
        <v>3711</v>
      </c>
      <c r="AF619" s="1272"/>
      <c r="AG619" s="1273"/>
      <c r="AH619" s="1244"/>
    </row>
    <row r="620" spans="30:34" ht="14.5">
      <c r="AD620" s="1240">
        <v>7</v>
      </c>
      <c r="AE620" s="1287" t="s">
        <v>3712</v>
      </c>
      <c r="AF620" s="1274"/>
      <c r="AG620" s="1273"/>
      <c r="AH620" s="1244"/>
    </row>
    <row r="621" spans="30:34" ht="14.5">
      <c r="AD621" s="1240"/>
      <c r="AE621" s="1287"/>
      <c r="AF621" s="1275"/>
      <c r="AG621" s="1273"/>
      <c r="AH621" s="1244"/>
    </row>
    <row r="622" spans="30:34" ht="14.5">
      <c r="AD622" s="1240">
        <v>1</v>
      </c>
      <c r="AE622" s="1241" t="s">
        <v>3622</v>
      </c>
      <c r="AF622" s="1242">
        <v>7</v>
      </c>
      <c r="AG622" s="1243" t="s">
        <v>3487</v>
      </c>
      <c r="AH622" s="1244" t="s">
        <v>3506</v>
      </c>
    </row>
    <row r="623" spans="30:34" ht="14.5">
      <c r="AD623" s="1240">
        <v>2</v>
      </c>
      <c r="AE623" s="1241" t="s">
        <v>3623</v>
      </c>
      <c r="AF623" s="1242">
        <v>7</v>
      </c>
      <c r="AG623" s="1243" t="s">
        <v>3487</v>
      </c>
      <c r="AH623" s="1244" t="s">
        <v>3506</v>
      </c>
    </row>
    <row r="624" spans="30:34" ht="14.5">
      <c r="AD624" s="1240">
        <v>3</v>
      </c>
      <c r="AE624" s="1241" t="s">
        <v>3572</v>
      </c>
      <c r="AF624" s="1242">
        <v>7</v>
      </c>
      <c r="AG624" s="1243" t="s">
        <v>3487</v>
      </c>
      <c r="AH624" s="1244" t="s">
        <v>3506</v>
      </c>
    </row>
    <row r="625" spans="30:34" ht="14.5">
      <c r="AD625" s="1240">
        <v>4</v>
      </c>
      <c r="AE625" s="1241" t="s">
        <v>3624</v>
      </c>
      <c r="AF625" s="1242">
        <v>7</v>
      </c>
      <c r="AG625" s="1243" t="s">
        <v>3487</v>
      </c>
      <c r="AH625" s="1244" t="s">
        <v>3506</v>
      </c>
    </row>
    <row r="626" spans="30:34" ht="14.5">
      <c r="AD626" s="1240">
        <v>5</v>
      </c>
      <c r="AE626" s="1241" t="s">
        <v>3574</v>
      </c>
      <c r="AF626" s="1242">
        <v>14</v>
      </c>
      <c r="AG626" s="1243" t="s">
        <v>3487</v>
      </c>
      <c r="AH626" s="1244" t="s">
        <v>3536</v>
      </c>
    </row>
    <row r="627" spans="30:34" ht="14.5">
      <c r="AD627" s="1240">
        <v>6</v>
      </c>
      <c r="AE627" s="1241" t="s">
        <v>3575</v>
      </c>
      <c r="AF627" s="1242">
        <v>7</v>
      </c>
      <c r="AG627" s="1243" t="s">
        <v>3487</v>
      </c>
      <c r="AH627" s="1244" t="s">
        <v>3536</v>
      </c>
    </row>
    <row r="628" spans="30:34" ht="14.5">
      <c r="AD628" s="1240">
        <v>7</v>
      </c>
      <c r="AE628" s="1241" t="s">
        <v>3576</v>
      </c>
      <c r="AF628" s="1242">
        <v>7</v>
      </c>
      <c r="AG628" s="1243" t="s">
        <v>3487</v>
      </c>
      <c r="AH628" s="1244" t="s">
        <v>3536</v>
      </c>
    </row>
    <row r="629" spans="30:34" ht="14.5">
      <c r="AD629" s="1240">
        <v>8</v>
      </c>
      <c r="AE629" s="1241" t="s">
        <v>3577</v>
      </c>
      <c r="AF629" s="1242">
        <v>14</v>
      </c>
      <c r="AG629" s="1243" t="s">
        <v>3487</v>
      </c>
      <c r="AH629" s="1244" t="s">
        <v>3546</v>
      </c>
    </row>
    <row r="630" spans="30:34" ht="14.5">
      <c r="AD630" s="1240">
        <v>9</v>
      </c>
      <c r="AE630" s="1241" t="s">
        <v>3562</v>
      </c>
      <c r="AF630" s="1242">
        <v>7</v>
      </c>
      <c r="AG630" s="1243" t="s">
        <v>3487</v>
      </c>
      <c r="AH630" s="1244" t="s">
        <v>3563</v>
      </c>
    </row>
    <row r="631" spans="30:34" ht="14.5">
      <c r="AD631" s="1240">
        <v>10</v>
      </c>
      <c r="AE631" s="1241" t="s">
        <v>3578</v>
      </c>
      <c r="AF631" s="1242">
        <v>1</v>
      </c>
      <c r="AG631" s="1243" t="s">
        <v>2872</v>
      </c>
      <c r="AH631" s="1244" t="s">
        <v>3500</v>
      </c>
    </row>
    <row r="632" spans="30:34" ht="14.5">
      <c r="AD632" s="1240"/>
      <c r="AE632" s="1241" t="s">
        <v>3579</v>
      </c>
      <c r="AF632" s="1242">
        <v>7</v>
      </c>
      <c r="AG632" s="1243" t="s">
        <v>3487</v>
      </c>
      <c r="AH632" s="1244" t="s">
        <v>3508</v>
      </c>
    </row>
    <row r="633" spans="30:34" ht="14.5">
      <c r="AD633" s="1240"/>
      <c r="AE633" s="1241"/>
      <c r="AF633" s="1242"/>
      <c r="AG633" s="1243"/>
      <c r="AH633" s="1244"/>
    </row>
    <row r="634" spans="30:34" ht="14.5">
      <c r="AD634" s="1240"/>
      <c r="AE634" s="1265" t="s">
        <v>3713</v>
      </c>
      <c r="AF634" s="1264"/>
      <c r="AG634" s="1243"/>
      <c r="AH634" s="1244"/>
    </row>
    <row r="635" spans="30:34" ht="14.5">
      <c r="AD635" s="1240">
        <v>1</v>
      </c>
      <c r="AE635" s="1287" t="s">
        <v>3714</v>
      </c>
      <c r="AF635" s="1264"/>
      <c r="AG635" s="1273"/>
      <c r="AH635" s="1244"/>
    </row>
    <row r="636" spans="30:34" ht="14.5">
      <c r="AD636" s="1240">
        <v>2</v>
      </c>
      <c r="AE636" s="1287" t="s">
        <v>3715</v>
      </c>
      <c r="AF636" s="1264"/>
      <c r="AG636" s="1273"/>
      <c r="AH636" s="1244"/>
    </row>
    <row r="637" spans="30:34" ht="14.5">
      <c r="AD637" s="1240"/>
      <c r="AE637" s="1287"/>
      <c r="AF637" s="1264"/>
      <c r="AG637" s="1273"/>
      <c r="AH637" s="1244"/>
    </row>
    <row r="638" spans="30:34" ht="14.5">
      <c r="AD638" s="1240">
        <v>1</v>
      </c>
      <c r="AE638" s="1265" t="s">
        <v>3583</v>
      </c>
      <c r="AF638" s="1264">
        <v>2</v>
      </c>
      <c r="AG638" s="1243" t="s">
        <v>3487</v>
      </c>
      <c r="AH638" s="1244" t="s">
        <v>3506</v>
      </c>
    </row>
    <row r="639" spans="30:34" ht="14.5">
      <c r="AD639" s="1240">
        <v>2</v>
      </c>
      <c r="AE639" s="1241" t="s">
        <v>3716</v>
      </c>
      <c r="AF639" s="1242">
        <v>4</v>
      </c>
      <c r="AG639" s="1243" t="s">
        <v>3487</v>
      </c>
      <c r="AH639" s="1244" t="s">
        <v>3506</v>
      </c>
    </row>
    <row r="640" spans="30:34" ht="14.5">
      <c r="AD640" s="1240">
        <v>3</v>
      </c>
      <c r="AE640" s="1241" t="s">
        <v>3572</v>
      </c>
      <c r="AF640" s="1242">
        <v>4</v>
      </c>
      <c r="AG640" s="1243" t="s">
        <v>3487</v>
      </c>
      <c r="AH640" s="1244" t="s">
        <v>3506</v>
      </c>
    </row>
    <row r="641" spans="30:34" ht="14.5">
      <c r="AD641" s="1240">
        <v>4</v>
      </c>
      <c r="AE641" s="1241" t="s">
        <v>3717</v>
      </c>
      <c r="AF641" s="1242">
        <v>2</v>
      </c>
      <c r="AG641" s="1243" t="s">
        <v>3487</v>
      </c>
      <c r="AH641" s="1244" t="s">
        <v>3506</v>
      </c>
    </row>
    <row r="642" spans="30:34" ht="14.5">
      <c r="AD642" s="1240">
        <v>5</v>
      </c>
      <c r="AE642" s="1241" t="s">
        <v>3574</v>
      </c>
      <c r="AF642" s="1242">
        <v>4</v>
      </c>
      <c r="AG642" s="1243" t="s">
        <v>3487</v>
      </c>
      <c r="AH642" s="1244" t="s">
        <v>3536</v>
      </c>
    </row>
    <row r="643" spans="30:34" ht="14.5">
      <c r="AD643" s="1240">
        <v>6</v>
      </c>
      <c r="AE643" s="1241" t="s">
        <v>3575</v>
      </c>
      <c r="AF643" s="1242">
        <v>2</v>
      </c>
      <c r="AG643" s="1243" t="s">
        <v>3487</v>
      </c>
      <c r="AH643" s="1244" t="s">
        <v>3536</v>
      </c>
    </row>
    <row r="644" spans="30:34" ht="14.5">
      <c r="AD644" s="1240">
        <v>7</v>
      </c>
      <c r="AE644" s="1241" t="s">
        <v>3576</v>
      </c>
      <c r="AF644" s="1242">
        <v>2</v>
      </c>
      <c r="AG644" s="1243" t="s">
        <v>3487</v>
      </c>
      <c r="AH644" s="1244" t="s">
        <v>3536</v>
      </c>
    </row>
    <row r="645" spans="30:34" ht="14.5">
      <c r="AD645" s="1240">
        <v>8</v>
      </c>
      <c r="AE645" s="1241" t="s">
        <v>3577</v>
      </c>
      <c r="AF645" s="1242">
        <v>4</v>
      </c>
      <c r="AG645" s="1243" t="s">
        <v>3487</v>
      </c>
      <c r="AH645" s="1244" t="s">
        <v>3546</v>
      </c>
    </row>
    <row r="646" spans="30:34" ht="14.5">
      <c r="AD646" s="1240">
        <v>9</v>
      </c>
      <c r="AE646" s="1241" t="s">
        <v>3562</v>
      </c>
      <c r="AF646" s="1242">
        <v>2</v>
      </c>
      <c r="AG646" s="1243" t="s">
        <v>3487</v>
      </c>
      <c r="AH646" s="1244" t="s">
        <v>3563</v>
      </c>
    </row>
    <row r="647" spans="30:34" ht="14.5">
      <c r="AD647" s="1240">
        <v>10</v>
      </c>
      <c r="AE647" s="1241" t="s">
        <v>3578</v>
      </c>
      <c r="AF647" s="1242">
        <v>1</v>
      </c>
      <c r="AG647" s="1243" t="s">
        <v>3505</v>
      </c>
      <c r="AH647" s="1244" t="s">
        <v>3500</v>
      </c>
    </row>
    <row r="648" spans="30:34" ht="14.5">
      <c r="AD648" s="1240"/>
      <c r="AE648" s="1241" t="s">
        <v>3587</v>
      </c>
      <c r="AF648" s="1242">
        <v>2</v>
      </c>
      <c r="AG648" s="1243" t="s">
        <v>3487</v>
      </c>
      <c r="AH648" s="1244" t="s">
        <v>3508</v>
      </c>
    </row>
    <row r="649" spans="30:34" ht="14.5">
      <c r="AD649" s="1240"/>
      <c r="AE649" s="1241"/>
      <c r="AF649" s="1242"/>
      <c r="AG649" s="1243"/>
      <c r="AH649" s="1244"/>
    </row>
    <row r="650" spans="30:34" ht="14.5">
      <c r="AD650" s="1240"/>
      <c r="AE650" s="1265" t="s">
        <v>3718</v>
      </c>
      <c r="AF650" s="1264"/>
      <c r="AG650" s="1243"/>
      <c r="AH650" s="1244"/>
    </row>
    <row r="651" spans="30:34" ht="14.5">
      <c r="AD651" s="1240">
        <v>1</v>
      </c>
      <c r="AE651" s="1287" t="s">
        <v>3719</v>
      </c>
      <c r="AF651" s="1264"/>
      <c r="AG651" s="1273"/>
      <c r="AH651" s="1244"/>
    </row>
    <row r="652" spans="30:34" ht="14.5">
      <c r="AD652" s="1240">
        <v>2</v>
      </c>
      <c r="AE652" s="1287" t="s">
        <v>3720</v>
      </c>
      <c r="AF652" s="1264"/>
      <c r="AG652" s="1273"/>
      <c r="AH652" s="1244"/>
    </row>
    <row r="653" spans="30:34" ht="14.5">
      <c r="AD653" s="1240">
        <v>3</v>
      </c>
      <c r="AE653" s="1287" t="s">
        <v>3721</v>
      </c>
      <c r="AF653" s="1264"/>
      <c r="AG653" s="1273"/>
      <c r="AH653" s="1244"/>
    </row>
    <row r="654" spans="30:34" ht="14.5">
      <c r="AD654" s="1240"/>
      <c r="AE654" s="1287"/>
      <c r="AF654" s="1264"/>
      <c r="AG654" s="1273"/>
      <c r="AH654" s="1244"/>
    </row>
    <row r="655" spans="30:34" ht="14.5">
      <c r="AD655" s="1240">
        <v>1</v>
      </c>
      <c r="AE655" s="1265" t="s">
        <v>3722</v>
      </c>
      <c r="AF655" s="1264">
        <v>3</v>
      </c>
      <c r="AG655" s="1243" t="s">
        <v>3487</v>
      </c>
      <c r="AH655" s="1244" t="s">
        <v>3506</v>
      </c>
    </row>
    <row r="656" spans="30:34" ht="14.5">
      <c r="AD656" s="1240">
        <v>2</v>
      </c>
      <c r="AE656" s="1241" t="s">
        <v>3616</v>
      </c>
      <c r="AF656" s="1242">
        <v>3</v>
      </c>
      <c r="AG656" s="1243" t="s">
        <v>3487</v>
      </c>
      <c r="AH656" s="1244" t="s">
        <v>3506</v>
      </c>
    </row>
    <row r="657" spans="30:34" ht="14.5">
      <c r="AD657" s="1240">
        <v>3</v>
      </c>
      <c r="AE657" s="1241" t="s">
        <v>3616</v>
      </c>
      <c r="AF657" s="1242">
        <v>6</v>
      </c>
      <c r="AG657" s="1243" t="s">
        <v>3487</v>
      </c>
      <c r="AH657" s="1244" t="s">
        <v>3506</v>
      </c>
    </row>
    <row r="658" spans="30:34" ht="14.5">
      <c r="AD658" s="1240">
        <v>4</v>
      </c>
      <c r="AE658" s="1241" t="s">
        <v>3572</v>
      </c>
      <c r="AF658" s="1242">
        <v>3</v>
      </c>
      <c r="AG658" s="1243" t="s">
        <v>3487</v>
      </c>
      <c r="AH658" s="1244" t="s">
        <v>3506</v>
      </c>
    </row>
    <row r="659" spans="30:34" ht="14.5">
      <c r="AD659" s="1240">
        <v>5</v>
      </c>
      <c r="AE659" s="1241" t="s">
        <v>3585</v>
      </c>
      <c r="AF659" s="1242">
        <v>3</v>
      </c>
      <c r="AG659" s="1243" t="s">
        <v>3487</v>
      </c>
      <c r="AH659" s="1244" t="s">
        <v>3546</v>
      </c>
    </row>
    <row r="660" spans="30:34" ht="14.5">
      <c r="AD660" s="1240">
        <v>6</v>
      </c>
      <c r="AE660" s="1241" t="s">
        <v>3723</v>
      </c>
      <c r="AF660" s="1242">
        <v>3</v>
      </c>
      <c r="AG660" s="1243" t="s">
        <v>3487</v>
      </c>
      <c r="AH660" s="1244" t="s">
        <v>3506</v>
      </c>
    </row>
    <row r="661" spans="30:34" ht="14.5">
      <c r="AD661" s="1240">
        <v>7</v>
      </c>
      <c r="AE661" s="1241" t="s">
        <v>3574</v>
      </c>
      <c r="AF661" s="1242">
        <v>6</v>
      </c>
      <c r="AG661" s="1243" t="s">
        <v>3487</v>
      </c>
      <c r="AH661" s="1244" t="s">
        <v>3536</v>
      </c>
    </row>
    <row r="662" spans="30:34" ht="14.5">
      <c r="AD662" s="1240">
        <v>8</v>
      </c>
      <c r="AE662" s="1241" t="s">
        <v>3575</v>
      </c>
      <c r="AF662" s="1242">
        <v>3</v>
      </c>
      <c r="AG662" s="1243" t="s">
        <v>3487</v>
      </c>
      <c r="AH662" s="1244" t="s">
        <v>3536</v>
      </c>
    </row>
    <row r="663" spans="30:34" ht="14.5">
      <c r="AD663" s="1240">
        <v>9</v>
      </c>
      <c r="AE663" s="1241" t="s">
        <v>3576</v>
      </c>
      <c r="AF663" s="1242">
        <v>3</v>
      </c>
      <c r="AG663" s="1243" t="s">
        <v>3487</v>
      </c>
      <c r="AH663" s="1244" t="s">
        <v>3536</v>
      </c>
    </row>
    <row r="664" spans="30:34" ht="14.5">
      <c r="AD664" s="1240">
        <v>10</v>
      </c>
      <c r="AE664" s="1241" t="s">
        <v>3577</v>
      </c>
      <c r="AF664" s="1242">
        <v>6</v>
      </c>
      <c r="AG664" s="1243" t="s">
        <v>3487</v>
      </c>
      <c r="AH664" s="1244" t="s">
        <v>3546</v>
      </c>
    </row>
    <row r="665" spans="30:34" ht="14.5">
      <c r="AD665" s="1240">
        <v>11</v>
      </c>
      <c r="AE665" s="1241" t="s">
        <v>3562</v>
      </c>
      <c r="AF665" s="1242">
        <v>3</v>
      </c>
      <c r="AG665" s="1243" t="s">
        <v>3487</v>
      </c>
      <c r="AH665" s="1244" t="s">
        <v>3563</v>
      </c>
    </row>
    <row r="666" spans="30:34" ht="14.5">
      <c r="AD666" s="1240">
        <v>12</v>
      </c>
      <c r="AE666" s="1241" t="s">
        <v>3578</v>
      </c>
      <c r="AF666" s="1242">
        <v>1</v>
      </c>
      <c r="AG666" s="1243" t="s">
        <v>2872</v>
      </c>
      <c r="AH666" s="1244" t="s">
        <v>3500</v>
      </c>
    </row>
    <row r="667" spans="30:34" ht="14.5">
      <c r="AD667" s="1240"/>
      <c r="AE667" s="1241" t="s">
        <v>3587</v>
      </c>
      <c r="AF667" s="1242">
        <v>6</v>
      </c>
      <c r="AG667" s="1243" t="s">
        <v>3487</v>
      </c>
      <c r="AH667" s="1244" t="s">
        <v>3508</v>
      </c>
    </row>
    <row r="668" spans="30:34" ht="14.5">
      <c r="AD668" s="1240"/>
      <c r="AE668" s="1241"/>
      <c r="AF668" s="1242"/>
      <c r="AG668" s="1243"/>
      <c r="AH668" s="1244"/>
    </row>
    <row r="669" spans="30:34" ht="14.5">
      <c r="AD669" s="1240"/>
      <c r="AE669" s="1241" t="s">
        <v>3724</v>
      </c>
      <c r="AF669" s="1242"/>
      <c r="AG669" s="1243"/>
      <c r="AH669" s="1244"/>
    </row>
    <row r="670" spans="30:34" ht="14.5">
      <c r="AD670" s="1240">
        <v>1</v>
      </c>
      <c r="AE670" s="1241" t="s">
        <v>3725</v>
      </c>
      <c r="AF670" s="1242"/>
      <c r="AG670" s="1243"/>
      <c r="AH670" s="1244"/>
    </row>
    <row r="671" spans="30:34" ht="14.5">
      <c r="AD671" s="1240"/>
      <c r="AE671" s="1241"/>
      <c r="AF671" s="1242"/>
      <c r="AG671" s="1243"/>
      <c r="AH671" s="1244"/>
    </row>
    <row r="672" spans="30:34" ht="14.5">
      <c r="AD672" s="1240">
        <v>1</v>
      </c>
      <c r="AE672" s="1241" t="s">
        <v>3726</v>
      </c>
      <c r="AF672" s="1242">
        <v>1</v>
      </c>
      <c r="AG672" s="1243" t="s">
        <v>3505</v>
      </c>
      <c r="AH672" s="1244" t="s">
        <v>3506</v>
      </c>
    </row>
    <row r="673" spans="30:34" ht="14.5">
      <c r="AD673" s="1240">
        <v>2</v>
      </c>
      <c r="AE673" s="1241" t="s">
        <v>3623</v>
      </c>
      <c r="AF673" s="1242">
        <v>1</v>
      </c>
      <c r="AG673" s="1243" t="s">
        <v>3505</v>
      </c>
      <c r="AH673" s="1244" t="s">
        <v>3506</v>
      </c>
    </row>
    <row r="674" spans="30:34" ht="14.5">
      <c r="AD674" s="1240">
        <v>3</v>
      </c>
      <c r="AE674" s="1241" t="s">
        <v>3572</v>
      </c>
      <c r="AF674" s="1242">
        <v>1</v>
      </c>
      <c r="AG674" s="1243" t="s">
        <v>3505</v>
      </c>
      <c r="AH674" s="1244" t="s">
        <v>3506</v>
      </c>
    </row>
    <row r="675" spans="30:34" ht="14.5">
      <c r="AD675" s="1240">
        <v>4</v>
      </c>
      <c r="AE675" s="1241" t="s">
        <v>3727</v>
      </c>
      <c r="AF675" s="1242">
        <v>1</v>
      </c>
      <c r="AG675" s="1243" t="s">
        <v>3505</v>
      </c>
      <c r="AH675" s="1244" t="s">
        <v>3506</v>
      </c>
    </row>
    <row r="676" spans="30:34" ht="14.5">
      <c r="AD676" s="1240">
        <v>5</v>
      </c>
      <c r="AE676" s="1241" t="s">
        <v>3574</v>
      </c>
      <c r="AF676" s="1242">
        <v>2</v>
      </c>
      <c r="AG676" s="1243" t="s">
        <v>3487</v>
      </c>
      <c r="AH676" s="1244" t="s">
        <v>3536</v>
      </c>
    </row>
    <row r="677" spans="30:34" ht="14.5">
      <c r="AD677" s="1240">
        <v>6</v>
      </c>
      <c r="AE677" s="1241" t="s">
        <v>3575</v>
      </c>
      <c r="AF677" s="1242">
        <v>1</v>
      </c>
      <c r="AG677" s="1243" t="s">
        <v>3505</v>
      </c>
      <c r="AH677" s="1244" t="s">
        <v>3536</v>
      </c>
    </row>
    <row r="678" spans="30:34" ht="14.5">
      <c r="AD678" s="1240">
        <v>7</v>
      </c>
      <c r="AE678" s="1241" t="s">
        <v>3576</v>
      </c>
      <c r="AF678" s="1242">
        <v>1</v>
      </c>
      <c r="AG678" s="1243" t="s">
        <v>3505</v>
      </c>
      <c r="AH678" s="1244" t="s">
        <v>3536</v>
      </c>
    </row>
    <row r="679" spans="30:34" ht="14.5">
      <c r="AD679" s="1240">
        <v>8</v>
      </c>
      <c r="AE679" s="1241" t="s">
        <v>3577</v>
      </c>
      <c r="AF679" s="1242">
        <v>2</v>
      </c>
      <c r="AG679" s="1243" t="s">
        <v>3487</v>
      </c>
      <c r="AH679" s="1244" t="s">
        <v>3546</v>
      </c>
    </row>
    <row r="680" spans="30:34" ht="14.5">
      <c r="AD680" s="1240">
        <v>9</v>
      </c>
      <c r="AE680" s="1241" t="s">
        <v>3562</v>
      </c>
      <c r="AF680" s="1242">
        <v>1</v>
      </c>
      <c r="AG680" s="1243" t="s">
        <v>3505</v>
      </c>
      <c r="AH680" s="1244" t="s">
        <v>3563</v>
      </c>
    </row>
    <row r="681" spans="30:34" ht="14.5">
      <c r="AD681" s="1240">
        <v>10</v>
      </c>
      <c r="AE681" s="1241" t="s">
        <v>3578</v>
      </c>
      <c r="AF681" s="1242">
        <v>1</v>
      </c>
      <c r="AG681" s="1243" t="s">
        <v>2872</v>
      </c>
      <c r="AH681" s="1244" t="s">
        <v>3500</v>
      </c>
    </row>
    <row r="682" spans="30:34" ht="14.5">
      <c r="AD682" s="1240"/>
      <c r="AE682" s="1241" t="s">
        <v>3579</v>
      </c>
      <c r="AF682" s="1242">
        <v>1</v>
      </c>
      <c r="AG682" s="1243" t="s">
        <v>3505</v>
      </c>
      <c r="AH682" s="1244" t="s">
        <v>3508</v>
      </c>
    </row>
    <row r="683" spans="30:34" ht="14.5">
      <c r="AD683" s="1240"/>
      <c r="AE683" s="1265"/>
      <c r="AF683" s="1264"/>
      <c r="AG683" s="1243"/>
      <c r="AH683" s="1244"/>
    </row>
    <row r="684" spans="30:34" ht="14.5">
      <c r="AD684" s="1240"/>
      <c r="AE684" s="1265" t="s">
        <v>3728</v>
      </c>
      <c r="AF684" s="1264"/>
      <c r="AG684" s="1243"/>
      <c r="AH684" s="1244"/>
    </row>
    <row r="685" spans="30:34" ht="14.5">
      <c r="AD685" s="1240">
        <v>1</v>
      </c>
      <c r="AE685" s="1287" t="s">
        <v>3729</v>
      </c>
      <c r="AF685" s="1264"/>
      <c r="AG685" s="1273"/>
      <c r="AH685" s="1244"/>
    </row>
    <row r="686" spans="30:34" ht="14.5">
      <c r="AD686" s="1240">
        <v>2</v>
      </c>
      <c r="AE686" s="1287" t="s">
        <v>3730</v>
      </c>
      <c r="AF686" s="1264"/>
      <c r="AG686" s="1273"/>
      <c r="AH686" s="1244"/>
    </row>
    <row r="687" spans="30:34" ht="14.5">
      <c r="AD687" s="1240">
        <v>3</v>
      </c>
      <c r="AE687" s="1287" t="s">
        <v>3731</v>
      </c>
      <c r="AF687" s="1264"/>
      <c r="AG687" s="1273"/>
      <c r="AH687" s="1244"/>
    </row>
    <row r="688" spans="30:34" ht="14.5">
      <c r="AD688" s="1240"/>
      <c r="AE688" s="1287"/>
      <c r="AF688" s="1264"/>
      <c r="AG688" s="1273"/>
      <c r="AH688" s="1244"/>
    </row>
    <row r="689" spans="30:34" ht="14.5">
      <c r="AD689" s="1240">
        <v>1</v>
      </c>
      <c r="AE689" s="1265" t="s">
        <v>3615</v>
      </c>
      <c r="AF689" s="1264">
        <v>3</v>
      </c>
      <c r="AG689" s="1243" t="s">
        <v>3487</v>
      </c>
      <c r="AH689" s="1244" t="s">
        <v>3506</v>
      </c>
    </row>
    <row r="690" spans="30:34" ht="14.5">
      <c r="AD690" s="1240">
        <v>2</v>
      </c>
      <c r="AE690" s="1241" t="s">
        <v>3616</v>
      </c>
      <c r="AF690" s="1242">
        <v>3</v>
      </c>
      <c r="AG690" s="1243" t="s">
        <v>3487</v>
      </c>
      <c r="AH690" s="1244" t="s">
        <v>3506</v>
      </c>
    </row>
    <row r="691" spans="30:34" ht="14.5">
      <c r="AD691" s="1240">
        <v>3</v>
      </c>
      <c r="AE691" s="1241" t="s">
        <v>3616</v>
      </c>
      <c r="AF691" s="1242">
        <v>6</v>
      </c>
      <c r="AG691" s="1243" t="s">
        <v>3487</v>
      </c>
      <c r="AH691" s="1244" t="s">
        <v>3506</v>
      </c>
    </row>
    <row r="692" spans="30:34" ht="14.5">
      <c r="AD692" s="1240">
        <v>4</v>
      </c>
      <c r="AE692" s="1241" t="s">
        <v>3572</v>
      </c>
      <c r="AF692" s="1242">
        <v>3</v>
      </c>
      <c r="AG692" s="1243" t="s">
        <v>3487</v>
      </c>
      <c r="AH692" s="1244" t="s">
        <v>3506</v>
      </c>
    </row>
    <row r="693" spans="30:34" ht="14.5">
      <c r="AD693" s="1240">
        <v>5</v>
      </c>
      <c r="AE693" s="1241" t="s">
        <v>3585</v>
      </c>
      <c r="AF693" s="1242">
        <v>3</v>
      </c>
      <c r="AG693" s="1243" t="s">
        <v>3487</v>
      </c>
      <c r="AH693" s="1244" t="s">
        <v>3546</v>
      </c>
    </row>
    <row r="694" spans="30:34" ht="14.5">
      <c r="AD694" s="1240">
        <v>6</v>
      </c>
      <c r="AE694" s="1241" t="s">
        <v>3641</v>
      </c>
      <c r="AF694" s="1242">
        <v>3</v>
      </c>
      <c r="AG694" s="1243" t="s">
        <v>3487</v>
      </c>
      <c r="AH694" s="1244" t="s">
        <v>3506</v>
      </c>
    </row>
    <row r="695" spans="30:34" ht="14.5">
      <c r="AD695" s="1240">
        <v>7</v>
      </c>
      <c r="AE695" s="1241" t="s">
        <v>3574</v>
      </c>
      <c r="AF695" s="1242">
        <v>6</v>
      </c>
      <c r="AG695" s="1243" t="s">
        <v>3487</v>
      </c>
      <c r="AH695" s="1244" t="s">
        <v>3536</v>
      </c>
    </row>
    <row r="696" spans="30:34" ht="14.5">
      <c r="AD696" s="1240">
        <v>8</v>
      </c>
      <c r="AE696" s="1241" t="s">
        <v>3575</v>
      </c>
      <c r="AF696" s="1242">
        <v>3</v>
      </c>
      <c r="AG696" s="1243" t="s">
        <v>3487</v>
      </c>
      <c r="AH696" s="1244" t="s">
        <v>3536</v>
      </c>
    </row>
    <row r="697" spans="30:34" ht="14.5">
      <c r="AD697" s="1240">
        <v>9</v>
      </c>
      <c r="AE697" s="1241" t="s">
        <v>3576</v>
      </c>
      <c r="AF697" s="1242">
        <v>3</v>
      </c>
      <c r="AG697" s="1243" t="s">
        <v>3487</v>
      </c>
      <c r="AH697" s="1244" t="s">
        <v>3536</v>
      </c>
    </row>
    <row r="698" spans="30:34" ht="14.5">
      <c r="AD698" s="1240">
        <v>10</v>
      </c>
      <c r="AE698" s="1241" t="s">
        <v>3577</v>
      </c>
      <c r="AF698" s="1242">
        <v>6</v>
      </c>
      <c r="AG698" s="1243" t="s">
        <v>3487</v>
      </c>
      <c r="AH698" s="1244" t="s">
        <v>3546</v>
      </c>
    </row>
    <row r="699" spans="30:34" ht="14.5">
      <c r="AD699" s="1240">
        <v>11</v>
      </c>
      <c r="AE699" s="1241" t="s">
        <v>3562</v>
      </c>
      <c r="AF699" s="1242">
        <v>3</v>
      </c>
      <c r="AG699" s="1243" t="s">
        <v>3487</v>
      </c>
      <c r="AH699" s="1244" t="s">
        <v>3563</v>
      </c>
    </row>
    <row r="700" spans="30:34" ht="14.5">
      <c r="AD700" s="1240">
        <v>12</v>
      </c>
      <c r="AE700" s="1241" t="s">
        <v>3578</v>
      </c>
      <c r="AF700" s="1242">
        <v>1</v>
      </c>
      <c r="AG700" s="1243" t="s">
        <v>2872</v>
      </c>
      <c r="AH700" s="1244" t="s">
        <v>3500</v>
      </c>
    </row>
    <row r="701" spans="30:34" ht="14.5">
      <c r="AD701" s="1240"/>
      <c r="AE701" s="1241" t="s">
        <v>3587</v>
      </c>
      <c r="AF701" s="1242">
        <v>6</v>
      </c>
      <c r="AG701" s="1243" t="s">
        <v>3487</v>
      </c>
      <c r="AH701" s="1244" t="s">
        <v>3508</v>
      </c>
    </row>
    <row r="702" spans="30:34" ht="14.5">
      <c r="AD702" s="1240"/>
      <c r="AE702" s="1241"/>
      <c r="AF702" s="1242"/>
      <c r="AG702" s="1243"/>
      <c r="AH702" s="1244"/>
    </row>
    <row r="703" spans="30:34" ht="15" thickBot="1">
      <c r="AD703" s="1285"/>
      <c r="AE703" s="1255" t="s">
        <v>2240</v>
      </c>
      <c r="AF703" s="1256">
        <v>1</v>
      </c>
      <c r="AG703" s="1286" t="s">
        <v>3499</v>
      </c>
      <c r="AH703" s="1255"/>
    </row>
    <row r="704" spans="30:34" ht="15" thickTop="1">
      <c r="AD704" s="1257"/>
      <c r="AE704" s="1258"/>
      <c r="AF704" s="1259"/>
      <c r="AG704" s="1257"/>
      <c r="AH704" s="1257"/>
    </row>
    <row r="705" spans="30:34" ht="15" thickBot="1">
      <c r="AD705" s="1266">
        <v>7</v>
      </c>
      <c r="AE705" s="1267" t="s">
        <v>3732</v>
      </c>
      <c r="AF705" s="1268"/>
      <c r="AG705" s="1269"/>
      <c r="AH705" s="1269"/>
    </row>
    <row r="706" spans="30:34" ht="15.5" thickTop="1" thickBot="1">
      <c r="AD706" s="1231" t="s">
        <v>2</v>
      </c>
      <c r="AE706" s="1231" t="s">
        <v>3161</v>
      </c>
      <c r="AF706" s="1623" t="s">
        <v>3496</v>
      </c>
      <c r="AG706" s="1624"/>
      <c r="AH706" s="1231" t="s">
        <v>3497</v>
      </c>
    </row>
    <row r="707" spans="30:34" ht="15" thickTop="1">
      <c r="AD707" s="1232">
        <v>1</v>
      </c>
      <c r="AE707" s="1284" t="s">
        <v>3733</v>
      </c>
      <c r="AF707" s="1233">
        <v>1</v>
      </c>
      <c r="AG707" s="1234" t="s">
        <v>3499</v>
      </c>
      <c r="AH707" s="1235" t="s">
        <v>3500</v>
      </c>
    </row>
    <row r="708" spans="30:34" ht="14.5">
      <c r="AD708" s="1236">
        <v>2</v>
      </c>
      <c r="AE708" s="1237" t="s">
        <v>3501</v>
      </c>
      <c r="AF708" s="1233">
        <v>1</v>
      </c>
      <c r="AG708" s="1238" t="s">
        <v>2839</v>
      </c>
      <c r="AH708" s="1239" t="s">
        <v>3502</v>
      </c>
    </row>
    <row r="709" spans="30:34" ht="14.5">
      <c r="AD709" s="1240"/>
      <c r="AE709" s="1241"/>
      <c r="AF709" s="1242"/>
      <c r="AG709" s="1243"/>
      <c r="AH709" s="1244"/>
    </row>
    <row r="710" spans="30:34" ht="14.5">
      <c r="AD710" s="1240"/>
      <c r="AE710" s="1241" t="s">
        <v>3551</v>
      </c>
      <c r="AF710" s="1242"/>
      <c r="AG710" s="1243"/>
      <c r="AH710" s="1244"/>
    </row>
    <row r="711" spans="30:34" ht="14.5">
      <c r="AD711" s="1240">
        <v>1</v>
      </c>
      <c r="AE711" s="1241" t="s">
        <v>3734</v>
      </c>
      <c r="AF711" s="1242">
        <v>1</v>
      </c>
      <c r="AG711" s="1243" t="s">
        <v>3505</v>
      </c>
      <c r="AH711" s="1244" t="s">
        <v>3506</v>
      </c>
    </row>
    <row r="712" spans="30:34" ht="14.5">
      <c r="AD712" s="1240">
        <v>2</v>
      </c>
      <c r="AE712" s="1241" t="s">
        <v>3533</v>
      </c>
      <c r="AF712" s="1242">
        <v>3</v>
      </c>
      <c r="AG712" s="1243" t="s">
        <v>3487</v>
      </c>
      <c r="AH712" s="1244" t="s">
        <v>3553</v>
      </c>
    </row>
    <row r="713" spans="30:34" ht="14.5">
      <c r="AD713" s="1240">
        <v>3</v>
      </c>
      <c r="AE713" s="1241" t="s">
        <v>3518</v>
      </c>
      <c r="AF713" s="1242">
        <v>1</v>
      </c>
      <c r="AG713" s="1243" t="s">
        <v>3505</v>
      </c>
      <c r="AH713" s="1244" t="s">
        <v>3508</v>
      </c>
    </row>
    <row r="714" spans="30:34" ht="14.5">
      <c r="AD714" s="1240">
        <v>4</v>
      </c>
      <c r="AE714" s="1241" t="s">
        <v>3555</v>
      </c>
      <c r="AF714" s="1242">
        <v>1</v>
      </c>
      <c r="AG714" s="1243" t="s">
        <v>3505</v>
      </c>
      <c r="AH714" s="1244" t="s">
        <v>3508</v>
      </c>
    </row>
    <row r="715" spans="30:34" ht="14.5">
      <c r="AD715" s="1240">
        <v>5</v>
      </c>
      <c r="AE715" s="1241" t="s">
        <v>3556</v>
      </c>
      <c r="AF715" s="1242">
        <v>1</v>
      </c>
      <c r="AG715" s="1243" t="s">
        <v>3505</v>
      </c>
      <c r="AH715" s="1244" t="s">
        <v>3508</v>
      </c>
    </row>
    <row r="716" spans="30:34" ht="14.5">
      <c r="AD716" s="1240">
        <v>6</v>
      </c>
      <c r="AE716" s="1241" t="s">
        <v>3557</v>
      </c>
      <c r="AF716" s="1242">
        <v>1</v>
      </c>
      <c r="AG716" s="1243" t="s">
        <v>3505</v>
      </c>
      <c r="AH716" s="1244" t="s">
        <v>3508</v>
      </c>
    </row>
    <row r="717" spans="30:34" ht="14.5">
      <c r="AD717" s="1240">
        <v>7</v>
      </c>
      <c r="AE717" s="1241" t="s">
        <v>3519</v>
      </c>
      <c r="AF717" s="1242">
        <v>3</v>
      </c>
      <c r="AG717" s="1243" t="s">
        <v>3487</v>
      </c>
      <c r="AH717" s="1244" t="s">
        <v>3508</v>
      </c>
    </row>
    <row r="718" spans="30:34" ht="14.5">
      <c r="AD718" s="1240">
        <v>8</v>
      </c>
      <c r="AE718" s="1241" t="s">
        <v>3591</v>
      </c>
      <c r="AF718" s="1242">
        <v>1</v>
      </c>
      <c r="AG718" s="1243" t="s">
        <v>3505</v>
      </c>
      <c r="AH718" s="1244" t="s">
        <v>3508</v>
      </c>
    </row>
    <row r="719" spans="30:34" ht="14.5">
      <c r="AD719" s="1240">
        <v>9</v>
      </c>
      <c r="AE719" s="1241" t="s">
        <v>3547</v>
      </c>
      <c r="AF719" s="1242">
        <v>4</v>
      </c>
      <c r="AG719" s="1243" t="s">
        <v>3487</v>
      </c>
      <c r="AH719" s="1244" t="s">
        <v>3506</v>
      </c>
    </row>
    <row r="720" spans="30:34" ht="14.5">
      <c r="AD720" s="1240">
        <v>10</v>
      </c>
      <c r="AE720" s="1241" t="s">
        <v>3559</v>
      </c>
      <c r="AF720" s="1242">
        <v>2</v>
      </c>
      <c r="AG720" s="1243" t="s">
        <v>3487</v>
      </c>
      <c r="AH720" s="1244" t="s">
        <v>3560</v>
      </c>
    </row>
    <row r="721" spans="30:34" ht="14.5">
      <c r="AD721" s="1240">
        <v>11</v>
      </c>
      <c r="AE721" s="1241" t="s">
        <v>3561</v>
      </c>
      <c r="AF721" s="1242">
        <v>2</v>
      </c>
      <c r="AG721" s="1243" t="s">
        <v>3487</v>
      </c>
      <c r="AH721" s="1244" t="s">
        <v>3560</v>
      </c>
    </row>
    <row r="722" spans="30:34" ht="14.5">
      <c r="AD722" s="1240">
        <v>12</v>
      </c>
      <c r="AE722" s="1241" t="s">
        <v>3548</v>
      </c>
      <c r="AF722" s="1242">
        <v>1</v>
      </c>
      <c r="AG722" s="1243" t="s">
        <v>2872</v>
      </c>
      <c r="AH722" s="1244" t="s">
        <v>3500</v>
      </c>
    </row>
    <row r="723" spans="30:34" ht="14.5">
      <c r="AD723" s="1240"/>
      <c r="AE723" s="1241" t="s">
        <v>3592</v>
      </c>
      <c r="AF723" s="1242">
        <v>7</v>
      </c>
      <c r="AG723" s="1243" t="s">
        <v>3487</v>
      </c>
      <c r="AH723" s="1244" t="s">
        <v>3508</v>
      </c>
    </row>
    <row r="724" spans="30:34" ht="14.5">
      <c r="AD724" s="1240"/>
      <c r="AE724" s="1241"/>
      <c r="AF724" s="1242"/>
      <c r="AG724" s="1243"/>
      <c r="AH724" s="1244"/>
    </row>
    <row r="725" spans="30:34" ht="14.5">
      <c r="AD725" s="1240"/>
      <c r="AE725" s="1241" t="s">
        <v>3593</v>
      </c>
      <c r="AF725" s="1242"/>
      <c r="AG725" s="1243"/>
      <c r="AH725" s="1244"/>
    </row>
    <row r="726" spans="30:34" ht="14.5">
      <c r="AD726" s="1240">
        <v>1</v>
      </c>
      <c r="AE726" s="1241" t="s">
        <v>3594</v>
      </c>
      <c r="AF726" s="1242">
        <v>1</v>
      </c>
      <c r="AG726" s="1243" t="s">
        <v>3505</v>
      </c>
      <c r="AH726" s="1244" t="s">
        <v>3506</v>
      </c>
    </row>
    <row r="727" spans="30:34" ht="14.5">
      <c r="AD727" s="1240">
        <v>2</v>
      </c>
      <c r="AE727" s="1241" t="s">
        <v>3595</v>
      </c>
      <c r="AF727" s="1242">
        <v>1</v>
      </c>
      <c r="AG727" s="1243" t="s">
        <v>3505</v>
      </c>
      <c r="AH727" s="1244" t="s">
        <v>3506</v>
      </c>
    </row>
    <row r="728" spans="30:34" ht="14.5">
      <c r="AD728" s="1240">
        <v>3</v>
      </c>
      <c r="AE728" s="1241" t="s">
        <v>3596</v>
      </c>
      <c r="AF728" s="1242">
        <v>1</v>
      </c>
      <c r="AG728" s="1243" t="s">
        <v>3505</v>
      </c>
      <c r="AH728" s="1244" t="s">
        <v>3508</v>
      </c>
    </row>
    <row r="729" spans="30:34" ht="14.5">
      <c r="AD729" s="1240">
        <v>4</v>
      </c>
      <c r="AE729" s="1241" t="s">
        <v>3597</v>
      </c>
      <c r="AF729" s="1242">
        <v>1</v>
      </c>
      <c r="AG729" s="1243" t="s">
        <v>3505</v>
      </c>
      <c r="AH729" s="1244" t="s">
        <v>3508</v>
      </c>
    </row>
    <row r="730" spans="30:34" ht="14.5">
      <c r="AD730" s="1240">
        <v>5</v>
      </c>
      <c r="AE730" s="1241" t="s">
        <v>3598</v>
      </c>
      <c r="AF730" s="1242">
        <v>1</v>
      </c>
      <c r="AG730" s="1243" t="s">
        <v>3505</v>
      </c>
      <c r="AH730" s="1244" t="s">
        <v>3508</v>
      </c>
    </row>
    <row r="731" spans="30:34" ht="14.5">
      <c r="AD731" s="1240">
        <v>6</v>
      </c>
      <c r="AE731" s="1241" t="s">
        <v>3599</v>
      </c>
      <c r="AF731" s="1242">
        <v>1</v>
      </c>
      <c r="AG731" s="1243" t="s">
        <v>3505</v>
      </c>
      <c r="AH731" s="1244" t="s">
        <v>3508</v>
      </c>
    </row>
    <row r="732" spans="30:34" ht="14.5">
      <c r="AD732" s="1240">
        <v>7</v>
      </c>
      <c r="AE732" s="1241" t="s">
        <v>3543</v>
      </c>
      <c r="AF732" s="1242">
        <v>1</v>
      </c>
      <c r="AG732" s="1243" t="s">
        <v>3505</v>
      </c>
      <c r="AH732" s="1244" t="s">
        <v>3508</v>
      </c>
    </row>
    <row r="733" spans="30:34" ht="14.5">
      <c r="AD733" s="1240">
        <v>8</v>
      </c>
      <c r="AE733" s="1241" t="s">
        <v>3544</v>
      </c>
      <c r="AF733" s="1242">
        <v>1</v>
      </c>
      <c r="AG733" s="1243" t="s">
        <v>3505</v>
      </c>
      <c r="AH733" s="1244" t="s">
        <v>3508</v>
      </c>
    </row>
    <row r="734" spans="30:34" ht="14.5">
      <c r="AD734" s="1240">
        <v>9</v>
      </c>
      <c r="AE734" s="1241" t="s">
        <v>3562</v>
      </c>
      <c r="AF734" s="1242">
        <v>1</v>
      </c>
      <c r="AG734" s="1243" t="s">
        <v>3505</v>
      </c>
      <c r="AH734" s="1244" t="s">
        <v>3563</v>
      </c>
    </row>
    <row r="735" spans="30:34" ht="14.5">
      <c r="AD735" s="1240"/>
      <c r="AE735" s="1241" t="s">
        <v>3587</v>
      </c>
      <c r="AF735" s="1242">
        <v>1</v>
      </c>
      <c r="AG735" s="1243" t="s">
        <v>3505</v>
      </c>
      <c r="AH735" s="1244" t="s">
        <v>3508</v>
      </c>
    </row>
    <row r="736" spans="30:34" ht="14.5">
      <c r="AD736" s="1240"/>
      <c r="AE736" s="1241" t="s">
        <v>3600</v>
      </c>
      <c r="AF736" s="1242">
        <v>2</v>
      </c>
      <c r="AG736" s="1243" t="s">
        <v>3487</v>
      </c>
      <c r="AH736" s="1244" t="s">
        <v>3508</v>
      </c>
    </row>
    <row r="737" spans="30:34" ht="14.5">
      <c r="AD737" s="1240"/>
      <c r="AE737" s="1241"/>
      <c r="AF737" s="1242"/>
      <c r="AG737" s="1243"/>
      <c r="AH737" s="1244"/>
    </row>
    <row r="738" spans="30:34" ht="14.5">
      <c r="AD738" s="1240"/>
      <c r="AE738" s="1241" t="s">
        <v>3566</v>
      </c>
      <c r="AF738" s="1242"/>
      <c r="AG738" s="1243"/>
      <c r="AH738" s="1244"/>
    </row>
    <row r="739" spans="30:34" ht="14.5">
      <c r="AD739" s="1240">
        <v>2</v>
      </c>
      <c r="AE739" s="1241" t="s">
        <v>3656</v>
      </c>
      <c r="AF739" s="1242">
        <v>2</v>
      </c>
      <c r="AG739" s="1243" t="s">
        <v>3487</v>
      </c>
      <c r="AH739" s="1244" t="s">
        <v>3506</v>
      </c>
    </row>
    <row r="740" spans="30:34" ht="14.5">
      <c r="AD740" s="1240">
        <v>4</v>
      </c>
      <c r="AE740" s="1241" t="s">
        <v>3735</v>
      </c>
      <c r="AF740" s="1242">
        <v>3</v>
      </c>
      <c r="AG740" s="1243" t="s">
        <v>3417</v>
      </c>
      <c r="AH740" s="1244" t="s">
        <v>2241</v>
      </c>
    </row>
    <row r="741" spans="30:34" ht="14.5">
      <c r="AD741" s="1240">
        <v>6</v>
      </c>
      <c r="AE741" s="1241" t="s">
        <v>3565</v>
      </c>
      <c r="AF741" s="1242">
        <v>5</v>
      </c>
      <c r="AG741" s="1243" t="s">
        <v>3487</v>
      </c>
      <c r="AH741" s="1244" t="s">
        <v>3508</v>
      </c>
    </row>
    <row r="742" spans="30:34" ht="14.5">
      <c r="AD742" s="1240"/>
      <c r="AE742" s="1241"/>
      <c r="AF742" s="1242"/>
      <c r="AG742" s="1243"/>
      <c r="AH742" s="1244"/>
    </row>
    <row r="743" spans="30:34" ht="14.5">
      <c r="AD743" s="1240"/>
      <c r="AE743" s="1265" t="s">
        <v>3736</v>
      </c>
      <c r="AF743" s="1264"/>
      <c r="AG743" s="1243"/>
      <c r="AH743" s="1244"/>
    </row>
    <row r="744" spans="30:34" ht="14.5">
      <c r="AD744" s="1240">
        <v>1</v>
      </c>
      <c r="AE744" s="1287" t="s">
        <v>3737</v>
      </c>
      <c r="AF744" s="1264"/>
      <c r="AG744" s="1243"/>
      <c r="AH744" s="1244"/>
    </row>
    <row r="745" spans="30:34" ht="14.5">
      <c r="AD745" s="1240">
        <v>2</v>
      </c>
      <c r="AE745" s="1287" t="s">
        <v>3738</v>
      </c>
      <c r="AF745" s="1264"/>
      <c r="AG745" s="1243"/>
      <c r="AH745" s="1244"/>
    </row>
    <row r="746" spans="30:34" ht="14.5">
      <c r="AD746" s="1240">
        <v>3</v>
      </c>
      <c r="AE746" s="1287" t="s">
        <v>3739</v>
      </c>
      <c r="AF746" s="1264"/>
      <c r="AG746" s="1243"/>
      <c r="AH746" s="1244"/>
    </row>
    <row r="747" spans="30:34" ht="14.5">
      <c r="AD747" s="1240"/>
      <c r="AE747" s="1287"/>
      <c r="AF747" s="1242"/>
      <c r="AG747" s="1243"/>
      <c r="AH747" s="1244"/>
    </row>
    <row r="748" spans="30:34" ht="14.5">
      <c r="AD748" s="1240">
        <v>1</v>
      </c>
      <c r="AE748" s="1241" t="s">
        <v>3696</v>
      </c>
      <c r="AF748" s="1242">
        <v>3</v>
      </c>
      <c r="AG748" s="1243" t="s">
        <v>3487</v>
      </c>
      <c r="AH748" s="1244" t="s">
        <v>3506</v>
      </c>
    </row>
    <row r="749" spans="30:34" ht="14.5">
      <c r="AD749" s="1240">
        <v>2</v>
      </c>
      <c r="AE749" s="1241" t="s">
        <v>3623</v>
      </c>
      <c r="AF749" s="1242">
        <v>3</v>
      </c>
      <c r="AG749" s="1243" t="s">
        <v>3487</v>
      </c>
      <c r="AH749" s="1244" t="s">
        <v>3506</v>
      </c>
    </row>
    <row r="750" spans="30:34" ht="14.5">
      <c r="AD750" s="1240">
        <v>3</v>
      </c>
      <c r="AE750" s="1241" t="s">
        <v>3572</v>
      </c>
      <c r="AF750" s="1242">
        <v>3</v>
      </c>
      <c r="AG750" s="1243" t="s">
        <v>3487</v>
      </c>
      <c r="AH750" s="1244" t="s">
        <v>3506</v>
      </c>
    </row>
    <row r="751" spans="30:34" ht="14.5">
      <c r="AD751" s="1240">
        <v>4</v>
      </c>
      <c r="AE751" s="1241" t="s">
        <v>3697</v>
      </c>
      <c r="AF751" s="1242">
        <v>3</v>
      </c>
      <c r="AG751" s="1243" t="s">
        <v>3487</v>
      </c>
      <c r="AH751" s="1244" t="s">
        <v>3506</v>
      </c>
    </row>
    <row r="752" spans="30:34" ht="14.5">
      <c r="AD752" s="1240">
        <v>5</v>
      </c>
      <c r="AE752" s="1241" t="s">
        <v>3574</v>
      </c>
      <c r="AF752" s="1242">
        <v>6</v>
      </c>
      <c r="AG752" s="1243" t="s">
        <v>3487</v>
      </c>
      <c r="AH752" s="1244" t="s">
        <v>3536</v>
      </c>
    </row>
    <row r="753" spans="30:34" ht="14.5">
      <c r="AD753" s="1240">
        <v>6</v>
      </c>
      <c r="AE753" s="1241" t="s">
        <v>3575</v>
      </c>
      <c r="AF753" s="1242">
        <v>3</v>
      </c>
      <c r="AG753" s="1243" t="s">
        <v>3487</v>
      </c>
      <c r="AH753" s="1244" t="s">
        <v>3536</v>
      </c>
    </row>
    <row r="754" spans="30:34" ht="14.5">
      <c r="AD754" s="1240">
        <v>7</v>
      </c>
      <c r="AE754" s="1241" t="s">
        <v>3576</v>
      </c>
      <c r="AF754" s="1242">
        <v>3</v>
      </c>
      <c r="AG754" s="1243" t="s">
        <v>3487</v>
      </c>
      <c r="AH754" s="1244" t="s">
        <v>3536</v>
      </c>
    </row>
    <row r="755" spans="30:34" ht="14.5">
      <c r="AD755" s="1240">
        <v>8</v>
      </c>
      <c r="AE755" s="1241" t="s">
        <v>3577</v>
      </c>
      <c r="AF755" s="1242">
        <v>6</v>
      </c>
      <c r="AG755" s="1243" t="s">
        <v>3487</v>
      </c>
      <c r="AH755" s="1244" t="s">
        <v>3546</v>
      </c>
    </row>
    <row r="756" spans="30:34" ht="14.5">
      <c r="AD756" s="1240">
        <v>9</v>
      </c>
      <c r="AE756" s="1241" t="s">
        <v>3562</v>
      </c>
      <c r="AF756" s="1242">
        <v>3</v>
      </c>
      <c r="AG756" s="1243" t="s">
        <v>3487</v>
      </c>
      <c r="AH756" s="1244" t="s">
        <v>3563</v>
      </c>
    </row>
    <row r="757" spans="30:34" ht="14.5">
      <c r="AD757" s="1240">
        <v>10</v>
      </c>
      <c r="AE757" s="1241" t="s">
        <v>3578</v>
      </c>
      <c r="AF757" s="1242">
        <v>1</v>
      </c>
      <c r="AG757" s="1243" t="s">
        <v>2872</v>
      </c>
      <c r="AH757" s="1244" t="s">
        <v>3500</v>
      </c>
    </row>
    <row r="758" spans="30:34" ht="14.5">
      <c r="AD758" s="1240"/>
      <c r="AE758" s="1265" t="s">
        <v>3579</v>
      </c>
      <c r="AF758" s="1264">
        <v>3</v>
      </c>
      <c r="AG758" s="1270" t="s">
        <v>3487</v>
      </c>
      <c r="AH758" s="1244" t="s">
        <v>3508</v>
      </c>
    </row>
    <row r="759" spans="30:34" ht="14.5">
      <c r="AD759" s="1240"/>
      <c r="AE759" s="1265"/>
      <c r="AF759" s="1264"/>
      <c r="AG759" s="1270"/>
      <c r="AH759" s="1244"/>
    </row>
    <row r="760" spans="30:34" ht="14.5">
      <c r="AD760" s="1240"/>
      <c r="AE760" s="1265" t="s">
        <v>3740</v>
      </c>
      <c r="AF760" s="1264"/>
      <c r="AG760" s="1270"/>
      <c r="AH760" s="1244"/>
    </row>
    <row r="761" spans="30:34" ht="14.5">
      <c r="AD761" s="1240">
        <v>1</v>
      </c>
      <c r="AE761" s="1287" t="s">
        <v>3741</v>
      </c>
      <c r="AF761" s="1264"/>
      <c r="AG761" s="1270"/>
      <c r="AH761" s="1244"/>
    </row>
    <row r="762" spans="30:34" ht="14.5">
      <c r="AD762" s="1240">
        <v>2</v>
      </c>
      <c r="AE762" s="1287" t="s">
        <v>3742</v>
      </c>
      <c r="AF762" s="1264"/>
      <c r="AG762" s="1270"/>
      <c r="AH762" s="1244"/>
    </row>
    <row r="763" spans="30:34" ht="14.5">
      <c r="AD763" s="1240">
        <v>3</v>
      </c>
      <c r="AE763" s="1287" t="s">
        <v>3743</v>
      </c>
      <c r="AF763" s="1264"/>
      <c r="AG763" s="1270"/>
      <c r="AH763" s="1244"/>
    </row>
    <row r="764" spans="30:34" ht="14.5">
      <c r="AD764" s="1240">
        <v>4</v>
      </c>
      <c r="AE764" s="1287" t="s">
        <v>3744</v>
      </c>
      <c r="AF764" s="1264"/>
      <c r="AG764" s="1270"/>
      <c r="AH764" s="1244"/>
    </row>
    <row r="765" spans="30:34" ht="14.5">
      <c r="AD765" s="1240">
        <v>5</v>
      </c>
      <c r="AE765" s="1287" t="s">
        <v>3745</v>
      </c>
      <c r="AF765" s="1264"/>
      <c r="AG765" s="1270"/>
      <c r="AH765" s="1244"/>
    </row>
    <row r="766" spans="30:34" ht="14.5">
      <c r="AD766" s="1240">
        <v>6</v>
      </c>
      <c r="AE766" s="1287" t="s">
        <v>3746</v>
      </c>
      <c r="AF766" s="1264"/>
      <c r="AG766" s="1270"/>
      <c r="AH766" s="1244"/>
    </row>
    <row r="767" spans="30:34" ht="14.5">
      <c r="AD767" s="1240">
        <v>7</v>
      </c>
      <c r="AE767" s="1287" t="s">
        <v>3747</v>
      </c>
      <c r="AF767" s="1264"/>
      <c r="AG767" s="1270"/>
      <c r="AH767" s="1244"/>
    </row>
    <row r="768" spans="30:34" ht="14.5">
      <c r="AD768" s="1240"/>
      <c r="AE768" s="1287"/>
      <c r="AF768" s="1264"/>
      <c r="AG768" s="1270"/>
      <c r="AH768" s="1244"/>
    </row>
    <row r="769" spans="30:34" ht="14.5">
      <c r="AD769" s="1240">
        <v>1</v>
      </c>
      <c r="AE769" s="1265" t="s">
        <v>3722</v>
      </c>
      <c r="AF769" s="1264">
        <v>7</v>
      </c>
      <c r="AG769" s="1270" t="s">
        <v>3487</v>
      </c>
      <c r="AH769" s="1244" t="s">
        <v>3506</v>
      </c>
    </row>
    <row r="770" spans="30:34" ht="14.5">
      <c r="AD770" s="1240">
        <v>2</v>
      </c>
      <c r="AE770" s="1241" t="s">
        <v>3616</v>
      </c>
      <c r="AF770" s="1242">
        <v>7</v>
      </c>
      <c r="AG770" s="1243" t="s">
        <v>3487</v>
      </c>
      <c r="AH770" s="1244" t="s">
        <v>3506</v>
      </c>
    </row>
    <row r="771" spans="30:34" ht="14.5">
      <c r="AD771" s="1240">
        <v>3</v>
      </c>
      <c r="AE771" s="1241" t="s">
        <v>3616</v>
      </c>
      <c r="AF771" s="1242">
        <v>14</v>
      </c>
      <c r="AG771" s="1243" t="s">
        <v>3487</v>
      </c>
      <c r="AH771" s="1244" t="s">
        <v>3506</v>
      </c>
    </row>
    <row r="772" spans="30:34" ht="14.5">
      <c r="AD772" s="1240">
        <v>4</v>
      </c>
      <c r="AE772" s="1241" t="s">
        <v>3572</v>
      </c>
      <c r="AF772" s="1242">
        <v>7</v>
      </c>
      <c r="AG772" s="1243" t="s">
        <v>3487</v>
      </c>
      <c r="AH772" s="1244" t="s">
        <v>3506</v>
      </c>
    </row>
    <row r="773" spans="30:34" ht="14.5">
      <c r="AD773" s="1240">
        <v>5</v>
      </c>
      <c r="AE773" s="1241" t="s">
        <v>3585</v>
      </c>
      <c r="AF773" s="1242">
        <v>7</v>
      </c>
      <c r="AG773" s="1243" t="s">
        <v>3487</v>
      </c>
      <c r="AH773" s="1244" t="s">
        <v>3546</v>
      </c>
    </row>
    <row r="774" spans="30:34" ht="14.5">
      <c r="AD774" s="1240">
        <v>6</v>
      </c>
      <c r="AE774" s="1241" t="s">
        <v>3723</v>
      </c>
      <c r="AF774" s="1242">
        <v>7</v>
      </c>
      <c r="AG774" s="1243" t="s">
        <v>3487</v>
      </c>
      <c r="AH774" s="1244" t="s">
        <v>3506</v>
      </c>
    </row>
    <row r="775" spans="30:34" ht="14.5">
      <c r="AD775" s="1240">
        <v>7</v>
      </c>
      <c r="AE775" s="1241" t="s">
        <v>3574</v>
      </c>
      <c r="AF775" s="1242">
        <v>14</v>
      </c>
      <c r="AG775" s="1243" t="s">
        <v>3487</v>
      </c>
      <c r="AH775" s="1244" t="s">
        <v>3536</v>
      </c>
    </row>
    <row r="776" spans="30:34" ht="14.5">
      <c r="AD776" s="1240">
        <v>8</v>
      </c>
      <c r="AE776" s="1241" t="s">
        <v>3575</v>
      </c>
      <c r="AF776" s="1242">
        <v>7</v>
      </c>
      <c r="AG776" s="1243" t="s">
        <v>3487</v>
      </c>
      <c r="AH776" s="1244" t="s">
        <v>3536</v>
      </c>
    </row>
    <row r="777" spans="30:34" ht="14.5">
      <c r="AD777" s="1240">
        <v>9</v>
      </c>
      <c r="AE777" s="1241" t="s">
        <v>3576</v>
      </c>
      <c r="AF777" s="1242">
        <v>7</v>
      </c>
      <c r="AG777" s="1243" t="s">
        <v>3487</v>
      </c>
      <c r="AH777" s="1244" t="s">
        <v>3536</v>
      </c>
    </row>
    <row r="778" spans="30:34" ht="14.5">
      <c r="AD778" s="1240">
        <v>10</v>
      </c>
      <c r="AE778" s="1241" t="s">
        <v>3577</v>
      </c>
      <c r="AF778" s="1242">
        <v>14</v>
      </c>
      <c r="AG778" s="1243" t="s">
        <v>3487</v>
      </c>
      <c r="AH778" s="1244" t="s">
        <v>3546</v>
      </c>
    </row>
    <row r="779" spans="30:34" ht="14.5">
      <c r="AD779" s="1240">
        <v>11</v>
      </c>
      <c r="AE779" s="1241" t="s">
        <v>3562</v>
      </c>
      <c r="AF779" s="1242">
        <v>7</v>
      </c>
      <c r="AG779" s="1243" t="s">
        <v>3487</v>
      </c>
      <c r="AH779" s="1244" t="s">
        <v>3563</v>
      </c>
    </row>
    <row r="780" spans="30:34" ht="14.5">
      <c r="AD780" s="1240">
        <v>12</v>
      </c>
      <c r="AE780" s="1241" t="s">
        <v>3578</v>
      </c>
      <c r="AF780" s="1242">
        <v>1</v>
      </c>
      <c r="AG780" s="1243" t="s">
        <v>2872</v>
      </c>
      <c r="AH780" s="1244" t="s">
        <v>3500</v>
      </c>
    </row>
    <row r="781" spans="30:34" ht="14.5">
      <c r="AD781" s="1240"/>
      <c r="AE781" s="1241" t="s">
        <v>3587</v>
      </c>
      <c r="AF781" s="1242">
        <v>14</v>
      </c>
      <c r="AG781" s="1243" t="s">
        <v>3487</v>
      </c>
      <c r="AH781" s="1244" t="s">
        <v>3508</v>
      </c>
    </row>
    <row r="782" spans="30:34" ht="14.5">
      <c r="AD782" s="1240"/>
      <c r="AE782" s="1241"/>
      <c r="AF782" s="1242"/>
      <c r="AG782" s="1243"/>
      <c r="AH782" s="1244"/>
    </row>
    <row r="783" spans="30:34" ht="14.5">
      <c r="AD783" s="1240"/>
      <c r="AE783" s="1241" t="s">
        <v>3748</v>
      </c>
      <c r="AF783" s="1242"/>
      <c r="AG783" s="1243"/>
      <c r="AH783" s="1244"/>
    </row>
    <row r="784" spans="30:34" ht="14.5">
      <c r="AD784" s="1240">
        <v>1</v>
      </c>
      <c r="AE784" s="1241" t="s">
        <v>3749</v>
      </c>
      <c r="AF784" s="1242"/>
      <c r="AG784" s="1243"/>
      <c r="AH784" s="1244"/>
    </row>
    <row r="785" spans="30:34" ht="14.5">
      <c r="AD785" s="1240"/>
      <c r="AE785" s="1241"/>
      <c r="AF785" s="1242"/>
      <c r="AG785" s="1243"/>
      <c r="AH785" s="1244"/>
    </row>
    <row r="786" spans="30:34" ht="14.5">
      <c r="AD786" s="1240">
        <v>1</v>
      </c>
      <c r="AE786" s="1241" t="s">
        <v>3696</v>
      </c>
      <c r="AF786" s="1242">
        <v>1</v>
      </c>
      <c r="AG786" s="1243" t="s">
        <v>3505</v>
      </c>
      <c r="AH786" s="1244" t="s">
        <v>3506</v>
      </c>
    </row>
    <row r="787" spans="30:34" ht="14.5">
      <c r="AD787" s="1240">
        <v>2</v>
      </c>
      <c r="AE787" s="1241" t="s">
        <v>3623</v>
      </c>
      <c r="AF787" s="1242">
        <v>1</v>
      </c>
      <c r="AG787" s="1243" t="s">
        <v>3505</v>
      </c>
      <c r="AH787" s="1244" t="s">
        <v>3506</v>
      </c>
    </row>
    <row r="788" spans="30:34" ht="14.5">
      <c r="AD788" s="1240">
        <v>3</v>
      </c>
      <c r="AE788" s="1241" t="s">
        <v>3572</v>
      </c>
      <c r="AF788" s="1242">
        <v>1</v>
      </c>
      <c r="AG788" s="1243" t="s">
        <v>3505</v>
      </c>
      <c r="AH788" s="1244" t="s">
        <v>3506</v>
      </c>
    </row>
    <row r="789" spans="30:34" ht="14.5">
      <c r="AD789" s="1240">
        <v>4</v>
      </c>
      <c r="AE789" s="1241" t="s">
        <v>3697</v>
      </c>
      <c r="AF789" s="1242">
        <v>1</v>
      </c>
      <c r="AG789" s="1243" t="s">
        <v>3505</v>
      </c>
      <c r="AH789" s="1244" t="s">
        <v>3506</v>
      </c>
    </row>
    <row r="790" spans="30:34" ht="14.5">
      <c r="AD790" s="1240">
        <v>5</v>
      </c>
      <c r="AE790" s="1241" t="s">
        <v>3574</v>
      </c>
      <c r="AF790" s="1242">
        <v>2</v>
      </c>
      <c r="AG790" s="1243" t="s">
        <v>3487</v>
      </c>
      <c r="AH790" s="1244" t="s">
        <v>3536</v>
      </c>
    </row>
    <row r="791" spans="30:34" ht="14.5">
      <c r="AD791" s="1240">
        <v>6</v>
      </c>
      <c r="AE791" s="1241" t="s">
        <v>3575</v>
      </c>
      <c r="AF791" s="1242">
        <v>1</v>
      </c>
      <c r="AG791" s="1243" t="s">
        <v>3505</v>
      </c>
      <c r="AH791" s="1244" t="s">
        <v>3536</v>
      </c>
    </row>
    <row r="792" spans="30:34" ht="14.5">
      <c r="AD792" s="1240">
        <v>7</v>
      </c>
      <c r="AE792" s="1241" t="s">
        <v>3576</v>
      </c>
      <c r="AF792" s="1242">
        <v>1</v>
      </c>
      <c r="AG792" s="1243" t="s">
        <v>3505</v>
      </c>
      <c r="AH792" s="1244" t="s">
        <v>3536</v>
      </c>
    </row>
    <row r="793" spans="30:34" ht="14.5">
      <c r="AD793" s="1240">
        <v>8</v>
      </c>
      <c r="AE793" s="1241" t="s">
        <v>3577</v>
      </c>
      <c r="AF793" s="1242">
        <v>2</v>
      </c>
      <c r="AG793" s="1243" t="s">
        <v>3487</v>
      </c>
      <c r="AH793" s="1244" t="s">
        <v>3546</v>
      </c>
    </row>
    <row r="794" spans="30:34" ht="14.5">
      <c r="AD794" s="1240">
        <v>9</v>
      </c>
      <c r="AE794" s="1241" t="s">
        <v>3562</v>
      </c>
      <c r="AF794" s="1242">
        <v>1</v>
      </c>
      <c r="AG794" s="1243" t="s">
        <v>3505</v>
      </c>
      <c r="AH794" s="1244" t="s">
        <v>3563</v>
      </c>
    </row>
    <row r="795" spans="30:34" ht="14.5">
      <c r="AD795" s="1240">
        <v>10</v>
      </c>
      <c r="AE795" s="1241" t="s">
        <v>3578</v>
      </c>
      <c r="AF795" s="1242">
        <v>1</v>
      </c>
      <c r="AG795" s="1243" t="s">
        <v>2872</v>
      </c>
      <c r="AH795" s="1244" t="s">
        <v>3500</v>
      </c>
    </row>
    <row r="796" spans="30:34" ht="14.5">
      <c r="AD796" s="1240"/>
      <c r="AE796" s="1241" t="s">
        <v>3579</v>
      </c>
      <c r="AF796" s="1242">
        <v>1</v>
      </c>
      <c r="AG796" s="1243" t="s">
        <v>3505</v>
      </c>
      <c r="AH796" s="1244" t="s">
        <v>3508</v>
      </c>
    </row>
    <row r="797" spans="30:34" ht="14.5">
      <c r="AD797" s="1240"/>
      <c r="AE797" s="1265"/>
      <c r="AF797" s="1264"/>
      <c r="AG797" s="1270"/>
      <c r="AH797" s="1244"/>
    </row>
    <row r="798" spans="30:34" ht="14.5">
      <c r="AD798" s="1240"/>
      <c r="AE798" s="1265" t="s">
        <v>3642</v>
      </c>
      <c r="AF798" s="1264"/>
      <c r="AG798" s="1270"/>
      <c r="AH798" s="1244"/>
    </row>
    <row r="799" spans="30:34" ht="14.5">
      <c r="AD799" s="1240">
        <v>1</v>
      </c>
      <c r="AE799" s="1287" t="s">
        <v>3750</v>
      </c>
      <c r="AF799" s="1264"/>
      <c r="AG799" s="1270"/>
      <c r="AH799" s="1244"/>
    </row>
    <row r="800" spans="30:34" ht="14.5">
      <c r="AD800" s="1240">
        <v>2</v>
      </c>
      <c r="AE800" s="1287" t="s">
        <v>3751</v>
      </c>
      <c r="AF800" s="1264"/>
      <c r="AG800" s="1270"/>
      <c r="AH800" s="1244"/>
    </row>
    <row r="801" spans="30:34" ht="14.5">
      <c r="AD801" s="1240">
        <v>3</v>
      </c>
      <c r="AE801" s="1287" t="s">
        <v>3752</v>
      </c>
      <c r="AF801" s="1264"/>
      <c r="AG801" s="1270"/>
      <c r="AH801" s="1244"/>
    </row>
    <row r="802" spans="30:34" ht="14.5">
      <c r="AD802" s="1240"/>
      <c r="AE802" s="1287"/>
      <c r="AF802" s="1264"/>
      <c r="AG802" s="1270"/>
      <c r="AH802" s="1244"/>
    </row>
    <row r="803" spans="30:34" ht="14.5">
      <c r="AD803" s="1240">
        <v>1</v>
      </c>
      <c r="AE803" s="1265" t="s">
        <v>3622</v>
      </c>
      <c r="AF803" s="1264">
        <v>3</v>
      </c>
      <c r="AG803" s="1270" t="s">
        <v>3487</v>
      </c>
      <c r="AH803" s="1244" t="s">
        <v>3506</v>
      </c>
    </row>
    <row r="804" spans="30:34" ht="14.5">
      <c r="AD804" s="1240">
        <v>2</v>
      </c>
      <c r="AE804" s="1241" t="s">
        <v>3623</v>
      </c>
      <c r="AF804" s="1242">
        <v>3</v>
      </c>
      <c r="AG804" s="1243" t="s">
        <v>3487</v>
      </c>
      <c r="AH804" s="1244" t="s">
        <v>3506</v>
      </c>
    </row>
    <row r="805" spans="30:34" ht="14.5">
      <c r="AD805" s="1240">
        <v>3</v>
      </c>
      <c r="AE805" s="1241" t="s">
        <v>3572</v>
      </c>
      <c r="AF805" s="1242">
        <v>3</v>
      </c>
      <c r="AG805" s="1243" t="s">
        <v>3487</v>
      </c>
      <c r="AH805" s="1244" t="s">
        <v>3506</v>
      </c>
    </row>
    <row r="806" spans="30:34" ht="14.5">
      <c r="AD806" s="1240">
        <v>4</v>
      </c>
      <c r="AE806" s="1241" t="s">
        <v>3624</v>
      </c>
      <c r="AF806" s="1242">
        <v>3</v>
      </c>
      <c r="AG806" s="1243" t="s">
        <v>3487</v>
      </c>
      <c r="AH806" s="1244" t="s">
        <v>3506</v>
      </c>
    </row>
    <row r="807" spans="30:34" ht="14.5">
      <c r="AD807" s="1240">
        <v>5</v>
      </c>
      <c r="AE807" s="1241" t="s">
        <v>3574</v>
      </c>
      <c r="AF807" s="1242">
        <v>6</v>
      </c>
      <c r="AG807" s="1243" t="s">
        <v>3487</v>
      </c>
      <c r="AH807" s="1244" t="s">
        <v>3536</v>
      </c>
    </row>
    <row r="808" spans="30:34" ht="14.5">
      <c r="AD808" s="1240">
        <v>6</v>
      </c>
      <c r="AE808" s="1241" t="s">
        <v>3575</v>
      </c>
      <c r="AF808" s="1242">
        <v>3</v>
      </c>
      <c r="AG808" s="1243" t="s">
        <v>3487</v>
      </c>
      <c r="AH808" s="1244" t="s">
        <v>3536</v>
      </c>
    </row>
    <row r="809" spans="30:34" ht="14.5">
      <c r="AD809" s="1240">
        <v>7</v>
      </c>
      <c r="AE809" s="1241" t="s">
        <v>3576</v>
      </c>
      <c r="AF809" s="1242">
        <v>3</v>
      </c>
      <c r="AG809" s="1243" t="s">
        <v>3487</v>
      </c>
      <c r="AH809" s="1244" t="s">
        <v>3536</v>
      </c>
    </row>
    <row r="810" spans="30:34" ht="14.5">
      <c r="AD810" s="1240">
        <v>8</v>
      </c>
      <c r="AE810" s="1241" t="s">
        <v>3577</v>
      </c>
      <c r="AF810" s="1242">
        <v>6</v>
      </c>
      <c r="AG810" s="1243" t="s">
        <v>3487</v>
      </c>
      <c r="AH810" s="1244" t="s">
        <v>3546</v>
      </c>
    </row>
    <row r="811" spans="30:34" ht="14.5">
      <c r="AD811" s="1240">
        <v>9</v>
      </c>
      <c r="AE811" s="1241" t="s">
        <v>3562</v>
      </c>
      <c r="AF811" s="1242">
        <v>3</v>
      </c>
      <c r="AG811" s="1243" t="s">
        <v>3487</v>
      </c>
      <c r="AH811" s="1244" t="s">
        <v>3563</v>
      </c>
    </row>
    <row r="812" spans="30:34" ht="14.5">
      <c r="AD812" s="1240">
        <v>10</v>
      </c>
      <c r="AE812" s="1241" t="s">
        <v>3578</v>
      </c>
      <c r="AF812" s="1242">
        <v>1</v>
      </c>
      <c r="AG812" s="1243" t="s">
        <v>2872</v>
      </c>
      <c r="AH812" s="1244" t="s">
        <v>3500</v>
      </c>
    </row>
    <row r="813" spans="30:34" ht="14.5">
      <c r="AD813" s="1240"/>
      <c r="AE813" s="1241" t="s">
        <v>3579</v>
      </c>
      <c r="AF813" s="1242">
        <v>3</v>
      </c>
      <c r="AG813" s="1243" t="s">
        <v>3487</v>
      </c>
      <c r="AH813" s="1244" t="s">
        <v>3508</v>
      </c>
    </row>
    <row r="814" spans="30:34" ht="14.5">
      <c r="AD814" s="1240"/>
      <c r="AE814" s="1241"/>
      <c r="AF814" s="1242"/>
      <c r="AG814" s="1243"/>
      <c r="AH814" s="1244"/>
    </row>
    <row r="815" spans="30:34" ht="14.5">
      <c r="AD815" s="1240"/>
      <c r="AE815" s="1265" t="s">
        <v>3753</v>
      </c>
      <c r="AF815" s="1264"/>
      <c r="AG815" s="1270"/>
      <c r="AH815" s="1244"/>
    </row>
    <row r="816" spans="30:34" ht="14.5">
      <c r="AD816" s="1240">
        <v>1</v>
      </c>
      <c r="AE816" s="1287" t="s">
        <v>3754</v>
      </c>
      <c r="AF816" s="1264"/>
      <c r="AG816" s="1270"/>
      <c r="AH816" s="1244"/>
    </row>
    <row r="817" spans="30:34" ht="14.5">
      <c r="AD817" s="1240">
        <v>2</v>
      </c>
      <c r="AE817" s="1287" t="s">
        <v>3755</v>
      </c>
      <c r="AF817" s="1264"/>
      <c r="AG817" s="1270"/>
      <c r="AH817" s="1244"/>
    </row>
    <row r="818" spans="30:34" ht="14.5">
      <c r="AD818" s="1240">
        <v>3</v>
      </c>
      <c r="AE818" s="1287" t="s">
        <v>3756</v>
      </c>
      <c r="AF818" s="1264"/>
      <c r="AG818" s="1270"/>
      <c r="AH818" s="1244"/>
    </row>
    <row r="819" spans="30:34" ht="14.5">
      <c r="AD819" s="1240">
        <v>4</v>
      </c>
      <c r="AE819" s="1287" t="s">
        <v>3757</v>
      </c>
      <c r="AF819" s="1264"/>
      <c r="AG819" s="1270"/>
      <c r="AH819" s="1244"/>
    </row>
    <row r="820" spans="30:34" ht="14.5">
      <c r="AD820" s="1240">
        <v>5</v>
      </c>
      <c r="AE820" s="1287" t="s">
        <v>3758</v>
      </c>
      <c r="AF820" s="1264"/>
      <c r="AG820" s="1270"/>
      <c r="AH820" s="1244"/>
    </row>
    <row r="821" spans="30:34" ht="14.5">
      <c r="AD821" s="1240">
        <v>6</v>
      </c>
      <c r="AE821" s="1287" t="s">
        <v>3759</v>
      </c>
      <c r="AF821" s="1264"/>
      <c r="AG821" s="1270"/>
      <c r="AH821" s="1244"/>
    </row>
    <row r="822" spans="30:34" ht="14.5">
      <c r="AD822" s="1240">
        <v>7</v>
      </c>
      <c r="AE822" s="1287" t="s">
        <v>3760</v>
      </c>
      <c r="AF822" s="1264"/>
      <c r="AG822" s="1270"/>
      <c r="AH822" s="1244"/>
    </row>
    <row r="823" spans="30:34" ht="14.5">
      <c r="AD823" s="1240">
        <v>8</v>
      </c>
      <c r="AE823" s="1287" t="s">
        <v>3760</v>
      </c>
      <c r="AF823" s="1264"/>
      <c r="AG823" s="1270"/>
      <c r="AH823" s="1244"/>
    </row>
    <row r="824" spans="30:34" ht="14.5">
      <c r="AD824" s="1240">
        <v>9</v>
      </c>
      <c r="AE824" s="1287" t="s">
        <v>3761</v>
      </c>
      <c r="AF824" s="1264"/>
      <c r="AG824" s="1270"/>
      <c r="AH824" s="1244"/>
    </row>
    <row r="825" spans="30:34" ht="14.5">
      <c r="AD825" s="1240"/>
      <c r="AE825" s="1287"/>
      <c r="AF825" s="1264"/>
      <c r="AG825" s="1270"/>
      <c r="AH825" s="1244"/>
    </row>
    <row r="826" spans="30:34" ht="14.5">
      <c r="AD826" s="1240">
        <v>1</v>
      </c>
      <c r="AE826" s="1241" t="s">
        <v>3570</v>
      </c>
      <c r="AF826" s="1242">
        <v>9</v>
      </c>
      <c r="AG826" s="1243" t="s">
        <v>3487</v>
      </c>
      <c r="AH826" s="1244" t="s">
        <v>3506</v>
      </c>
    </row>
    <row r="827" spans="30:34" ht="14.5">
      <c r="AD827" s="1240">
        <v>2</v>
      </c>
      <c r="AE827" s="1241" t="s">
        <v>3571</v>
      </c>
      <c r="AF827" s="1242">
        <v>9</v>
      </c>
      <c r="AG827" s="1243" t="s">
        <v>3487</v>
      </c>
      <c r="AH827" s="1244" t="s">
        <v>3506</v>
      </c>
    </row>
    <row r="828" spans="30:34" ht="14.5">
      <c r="AD828" s="1240">
        <v>3</v>
      </c>
      <c r="AE828" s="1241" t="s">
        <v>3572</v>
      </c>
      <c r="AF828" s="1242">
        <v>9</v>
      </c>
      <c r="AG828" s="1243" t="s">
        <v>3487</v>
      </c>
      <c r="AH828" s="1244" t="s">
        <v>3506</v>
      </c>
    </row>
    <row r="829" spans="30:34" ht="14.5">
      <c r="AD829" s="1240">
        <v>4</v>
      </c>
      <c r="AE829" s="1241" t="s">
        <v>3573</v>
      </c>
      <c r="AF829" s="1242">
        <v>9</v>
      </c>
      <c r="AG829" s="1243" t="s">
        <v>3487</v>
      </c>
      <c r="AH829" s="1244" t="s">
        <v>3506</v>
      </c>
    </row>
    <row r="830" spans="30:34" ht="14.5">
      <c r="AD830" s="1240">
        <v>5</v>
      </c>
      <c r="AE830" s="1241" t="s">
        <v>3574</v>
      </c>
      <c r="AF830" s="1242">
        <v>18</v>
      </c>
      <c r="AG830" s="1243" t="s">
        <v>3487</v>
      </c>
      <c r="AH830" s="1244" t="s">
        <v>3536</v>
      </c>
    </row>
    <row r="831" spans="30:34" ht="14.5">
      <c r="AD831" s="1240">
        <v>6</v>
      </c>
      <c r="AE831" s="1241" t="s">
        <v>3575</v>
      </c>
      <c r="AF831" s="1242">
        <v>9</v>
      </c>
      <c r="AG831" s="1243" t="s">
        <v>3487</v>
      </c>
      <c r="AH831" s="1244" t="s">
        <v>3536</v>
      </c>
    </row>
    <row r="832" spans="30:34" ht="14.5">
      <c r="AD832" s="1240">
        <v>7</v>
      </c>
      <c r="AE832" s="1241" t="s">
        <v>3576</v>
      </c>
      <c r="AF832" s="1242">
        <v>9</v>
      </c>
      <c r="AG832" s="1243" t="s">
        <v>3487</v>
      </c>
      <c r="AH832" s="1244" t="s">
        <v>3536</v>
      </c>
    </row>
    <row r="833" spans="30:34" ht="14.5">
      <c r="AD833" s="1240">
        <v>8</v>
      </c>
      <c r="AE833" s="1241" t="s">
        <v>3577</v>
      </c>
      <c r="AF833" s="1242">
        <v>18</v>
      </c>
      <c r="AG833" s="1243" t="s">
        <v>3487</v>
      </c>
      <c r="AH833" s="1244" t="s">
        <v>3546</v>
      </c>
    </row>
    <row r="834" spans="30:34" ht="14.5">
      <c r="AD834" s="1240">
        <v>9</v>
      </c>
      <c r="AE834" s="1241" t="s">
        <v>3562</v>
      </c>
      <c r="AF834" s="1242">
        <v>9</v>
      </c>
      <c r="AG834" s="1243" t="s">
        <v>3487</v>
      </c>
      <c r="AH834" s="1244" t="s">
        <v>3563</v>
      </c>
    </row>
    <row r="835" spans="30:34" ht="14.5">
      <c r="AD835" s="1240">
        <v>10</v>
      </c>
      <c r="AE835" s="1241" t="s">
        <v>3578</v>
      </c>
      <c r="AF835" s="1242">
        <v>1</v>
      </c>
      <c r="AG835" s="1243" t="s">
        <v>2872</v>
      </c>
      <c r="AH835" s="1244" t="s">
        <v>3500</v>
      </c>
    </row>
    <row r="836" spans="30:34" ht="14.5">
      <c r="AD836" s="1240"/>
      <c r="AE836" s="1241" t="s">
        <v>3579</v>
      </c>
      <c r="AF836" s="1242">
        <v>9</v>
      </c>
      <c r="AG836" s="1243" t="s">
        <v>3487</v>
      </c>
      <c r="AH836" s="1244" t="s">
        <v>3508</v>
      </c>
    </row>
    <row r="837" spans="30:34" ht="14.5">
      <c r="AD837" s="1240"/>
      <c r="AE837" s="1241"/>
      <c r="AF837" s="1242"/>
      <c r="AG837" s="1243"/>
      <c r="AH837" s="1244"/>
    </row>
    <row r="838" spans="30:34" ht="14.5">
      <c r="AD838" s="1240"/>
      <c r="AE838" s="1241" t="s">
        <v>3762</v>
      </c>
      <c r="AF838" s="1242"/>
      <c r="AG838" s="1243"/>
      <c r="AH838" s="1244"/>
    </row>
    <row r="839" spans="30:34" ht="14.5">
      <c r="AD839" s="1240">
        <v>1</v>
      </c>
      <c r="AE839" s="1287" t="s">
        <v>3763</v>
      </c>
      <c r="AF839" s="1264"/>
      <c r="AG839" s="1243"/>
      <c r="AH839" s="1244"/>
    </row>
    <row r="840" spans="30:34" ht="14.5">
      <c r="AD840" s="1240">
        <v>2</v>
      </c>
      <c r="AE840" s="1287" t="s">
        <v>3764</v>
      </c>
      <c r="AF840" s="1264"/>
      <c r="AG840" s="1243"/>
      <c r="AH840" s="1244"/>
    </row>
    <row r="841" spans="30:34" ht="14.5">
      <c r="AD841" s="1240">
        <v>3</v>
      </c>
      <c r="AE841" s="1287" t="s">
        <v>3765</v>
      </c>
      <c r="AF841" s="1264"/>
      <c r="AG841" s="1243"/>
      <c r="AH841" s="1244"/>
    </row>
    <row r="842" spans="30:34" ht="14.5">
      <c r="AD842" s="1240">
        <v>4</v>
      </c>
      <c r="AE842" s="1287" t="s">
        <v>3766</v>
      </c>
      <c r="AF842" s="1264"/>
      <c r="AG842" s="1243"/>
      <c r="AH842" s="1244"/>
    </row>
    <row r="843" spans="30:34" ht="14.5">
      <c r="AD843" s="1240"/>
      <c r="AE843" s="1287"/>
      <c r="AF843" s="1264"/>
      <c r="AG843" s="1243"/>
      <c r="AH843" s="1244"/>
    </row>
    <row r="844" spans="30:34" ht="14.5">
      <c r="AD844" s="1240">
        <v>1</v>
      </c>
      <c r="AE844" s="1241" t="s">
        <v>3610</v>
      </c>
      <c r="AF844" s="1242">
        <v>4</v>
      </c>
      <c r="AG844" s="1243" t="s">
        <v>3487</v>
      </c>
      <c r="AH844" s="1244" t="s">
        <v>3506</v>
      </c>
    </row>
    <row r="845" spans="30:34" ht="14.5">
      <c r="AD845" s="1240">
        <v>2</v>
      </c>
      <c r="AE845" s="1241" t="s">
        <v>3611</v>
      </c>
      <c r="AF845" s="1242">
        <v>4</v>
      </c>
      <c r="AG845" s="1243" t="s">
        <v>3487</v>
      </c>
      <c r="AH845" s="1244" t="s">
        <v>3506</v>
      </c>
    </row>
    <row r="846" spans="30:34" ht="14.5">
      <c r="AD846" s="1240">
        <v>3</v>
      </c>
      <c r="AE846" s="1241" t="s">
        <v>3611</v>
      </c>
      <c r="AF846" s="1242">
        <v>8</v>
      </c>
      <c r="AG846" s="1243" t="s">
        <v>3487</v>
      </c>
      <c r="AH846" s="1244" t="s">
        <v>3506</v>
      </c>
    </row>
    <row r="847" spans="30:34" ht="14.5">
      <c r="AD847" s="1240">
        <v>4</v>
      </c>
      <c r="AE847" s="1241" t="s">
        <v>3572</v>
      </c>
      <c r="AF847" s="1242">
        <v>4</v>
      </c>
      <c r="AG847" s="1243" t="s">
        <v>3487</v>
      </c>
      <c r="AH847" s="1244" t="s">
        <v>3506</v>
      </c>
    </row>
    <row r="848" spans="30:34" ht="14.5">
      <c r="AD848" s="1240">
        <v>5</v>
      </c>
      <c r="AE848" s="1241" t="s">
        <v>3585</v>
      </c>
      <c r="AF848" s="1242">
        <v>4</v>
      </c>
      <c r="AG848" s="1243" t="s">
        <v>3487</v>
      </c>
      <c r="AH848" s="1244" t="s">
        <v>3546</v>
      </c>
    </row>
    <row r="849" spans="30:34" ht="14.5">
      <c r="AD849" s="1240">
        <v>6</v>
      </c>
      <c r="AE849" s="1241" t="s">
        <v>3612</v>
      </c>
      <c r="AF849" s="1242">
        <v>4</v>
      </c>
      <c r="AG849" s="1243" t="s">
        <v>3487</v>
      </c>
      <c r="AH849" s="1244" t="s">
        <v>3506</v>
      </c>
    </row>
    <row r="850" spans="30:34" ht="14.5">
      <c r="AD850" s="1240">
        <v>7</v>
      </c>
      <c r="AE850" s="1241" t="s">
        <v>3574</v>
      </c>
      <c r="AF850" s="1242">
        <v>8</v>
      </c>
      <c r="AG850" s="1243" t="s">
        <v>3487</v>
      </c>
      <c r="AH850" s="1244" t="s">
        <v>3536</v>
      </c>
    </row>
    <row r="851" spans="30:34" ht="14.5">
      <c r="AD851" s="1240">
        <v>8</v>
      </c>
      <c r="AE851" s="1241" t="s">
        <v>3575</v>
      </c>
      <c r="AF851" s="1242">
        <v>4</v>
      </c>
      <c r="AG851" s="1243" t="s">
        <v>3487</v>
      </c>
      <c r="AH851" s="1244" t="s">
        <v>3536</v>
      </c>
    </row>
    <row r="852" spans="30:34" ht="14.5">
      <c r="AD852" s="1240">
        <v>9</v>
      </c>
      <c r="AE852" s="1241" t="s">
        <v>3576</v>
      </c>
      <c r="AF852" s="1242">
        <v>4</v>
      </c>
      <c r="AG852" s="1243" t="s">
        <v>3487</v>
      </c>
      <c r="AH852" s="1244" t="s">
        <v>3536</v>
      </c>
    </row>
    <row r="853" spans="30:34" ht="14.5">
      <c r="AD853" s="1240">
        <v>10</v>
      </c>
      <c r="AE853" s="1241" t="s">
        <v>3577</v>
      </c>
      <c r="AF853" s="1242">
        <v>8</v>
      </c>
      <c r="AG853" s="1243" t="s">
        <v>3487</v>
      </c>
      <c r="AH853" s="1244" t="s">
        <v>3546</v>
      </c>
    </row>
    <row r="854" spans="30:34" ht="14.5">
      <c r="AD854" s="1240">
        <v>11</v>
      </c>
      <c r="AE854" s="1241" t="s">
        <v>3562</v>
      </c>
      <c r="AF854" s="1242">
        <v>4</v>
      </c>
      <c r="AG854" s="1243" t="s">
        <v>3487</v>
      </c>
      <c r="AH854" s="1244" t="s">
        <v>3563</v>
      </c>
    </row>
    <row r="855" spans="30:34" ht="14.5">
      <c r="AD855" s="1240">
        <v>12</v>
      </c>
      <c r="AE855" s="1241" t="s">
        <v>3578</v>
      </c>
      <c r="AF855" s="1242">
        <v>1</v>
      </c>
      <c r="AG855" s="1243" t="s">
        <v>2872</v>
      </c>
      <c r="AH855" s="1244" t="s">
        <v>3500</v>
      </c>
    </row>
    <row r="856" spans="30:34" ht="14.5">
      <c r="AD856" s="1240"/>
      <c r="AE856" s="1265" t="s">
        <v>3587</v>
      </c>
      <c r="AF856" s="1264">
        <v>8</v>
      </c>
      <c r="AG856" s="1270" t="s">
        <v>3487</v>
      </c>
      <c r="AH856" s="1244" t="s">
        <v>3508</v>
      </c>
    </row>
    <row r="857" spans="30:34" ht="14.5">
      <c r="AD857" s="1240"/>
      <c r="AE857" s="1265"/>
      <c r="AF857" s="1264"/>
      <c r="AG857" s="1270"/>
      <c r="AH857" s="1244"/>
    </row>
    <row r="858" spans="30:34" ht="14.5">
      <c r="AD858" s="1240"/>
      <c r="AE858" s="1265" t="s">
        <v>3767</v>
      </c>
      <c r="AF858" s="1264"/>
      <c r="AG858" s="1270"/>
      <c r="AH858" s="1244"/>
    </row>
    <row r="859" spans="30:34" ht="14.5">
      <c r="AD859" s="1240">
        <v>1</v>
      </c>
      <c r="AE859" s="1287" t="s">
        <v>3768</v>
      </c>
      <c r="AF859" s="1264"/>
      <c r="AG859" s="1270"/>
      <c r="AH859" s="1244"/>
    </row>
    <row r="860" spans="30:34" ht="14.5">
      <c r="AD860" s="1240">
        <v>2</v>
      </c>
      <c r="AE860" s="1287" t="s">
        <v>3769</v>
      </c>
      <c r="AF860" s="1264"/>
      <c r="AG860" s="1270"/>
      <c r="AH860" s="1244"/>
    </row>
    <row r="861" spans="30:34" ht="14.5">
      <c r="AD861" s="1240">
        <v>3</v>
      </c>
      <c r="AE861" s="1287" t="s">
        <v>3770</v>
      </c>
      <c r="AF861" s="1264"/>
      <c r="AG861" s="1270"/>
      <c r="AH861" s="1244"/>
    </row>
    <row r="862" spans="30:34" ht="14.5">
      <c r="AD862" s="1240"/>
      <c r="AE862" s="1287"/>
      <c r="AF862" s="1264"/>
      <c r="AG862" s="1270"/>
      <c r="AH862" s="1244"/>
    </row>
    <row r="863" spans="30:34" ht="14.5">
      <c r="AD863" s="1240">
        <v>1</v>
      </c>
      <c r="AE863" s="1265" t="s">
        <v>3647</v>
      </c>
      <c r="AF863" s="1264">
        <v>3</v>
      </c>
      <c r="AG863" s="1270" t="s">
        <v>3487</v>
      </c>
      <c r="AH863" s="1244" t="s">
        <v>3506</v>
      </c>
    </row>
    <row r="864" spans="30:34" ht="14.5">
      <c r="AD864" s="1240">
        <v>2</v>
      </c>
      <c r="AE864" s="1265" t="s">
        <v>3648</v>
      </c>
      <c r="AF864" s="1264">
        <v>3</v>
      </c>
      <c r="AG864" s="1270" t="s">
        <v>3487</v>
      </c>
      <c r="AH864" s="1244" t="s">
        <v>3506</v>
      </c>
    </row>
    <row r="865" spans="30:34" ht="14.5">
      <c r="AD865" s="1240">
        <v>3</v>
      </c>
      <c r="AE865" s="1241" t="s">
        <v>3648</v>
      </c>
      <c r="AF865" s="1242">
        <v>6</v>
      </c>
      <c r="AG865" s="1243" t="s">
        <v>3487</v>
      </c>
      <c r="AH865" s="1244" t="s">
        <v>3506</v>
      </c>
    </row>
    <row r="866" spans="30:34" ht="14.5">
      <c r="AD866" s="1240">
        <v>4</v>
      </c>
      <c r="AE866" s="1241" t="s">
        <v>3572</v>
      </c>
      <c r="AF866" s="1242">
        <v>3</v>
      </c>
      <c r="AG866" s="1243" t="s">
        <v>3487</v>
      </c>
      <c r="AH866" s="1244" t="s">
        <v>3506</v>
      </c>
    </row>
    <row r="867" spans="30:34" ht="14.5">
      <c r="AD867" s="1240">
        <v>5</v>
      </c>
      <c r="AE867" s="1241" t="s">
        <v>3585</v>
      </c>
      <c r="AF867" s="1242">
        <v>3</v>
      </c>
      <c r="AG867" s="1243" t="s">
        <v>3487</v>
      </c>
      <c r="AH867" s="1244" t="s">
        <v>3546</v>
      </c>
    </row>
    <row r="868" spans="30:34" ht="14.5">
      <c r="AD868" s="1240">
        <v>6</v>
      </c>
      <c r="AE868" s="1241" t="s">
        <v>3573</v>
      </c>
      <c r="AF868" s="1242">
        <v>3</v>
      </c>
      <c r="AG868" s="1243" t="s">
        <v>3487</v>
      </c>
      <c r="AH868" s="1244" t="s">
        <v>3506</v>
      </c>
    </row>
    <row r="869" spans="30:34" ht="14.5">
      <c r="AD869" s="1240">
        <v>7</v>
      </c>
      <c r="AE869" s="1241" t="s">
        <v>3574</v>
      </c>
      <c r="AF869" s="1242">
        <v>6</v>
      </c>
      <c r="AG869" s="1243" t="s">
        <v>3487</v>
      </c>
      <c r="AH869" s="1244" t="s">
        <v>3536</v>
      </c>
    </row>
    <row r="870" spans="30:34" ht="14.5">
      <c r="AD870" s="1240">
        <v>8</v>
      </c>
      <c r="AE870" s="1241" t="s">
        <v>3575</v>
      </c>
      <c r="AF870" s="1242">
        <v>3</v>
      </c>
      <c r="AG870" s="1243" t="s">
        <v>3487</v>
      </c>
      <c r="AH870" s="1244" t="s">
        <v>3536</v>
      </c>
    </row>
    <row r="871" spans="30:34" ht="14.5">
      <c r="AD871" s="1240">
        <v>9</v>
      </c>
      <c r="AE871" s="1241" t="s">
        <v>3576</v>
      </c>
      <c r="AF871" s="1242">
        <v>3</v>
      </c>
      <c r="AG871" s="1243" t="s">
        <v>3487</v>
      </c>
      <c r="AH871" s="1244" t="s">
        <v>3536</v>
      </c>
    </row>
    <row r="872" spans="30:34" ht="14.5">
      <c r="AD872" s="1240">
        <v>10</v>
      </c>
      <c r="AE872" s="1241" t="s">
        <v>3577</v>
      </c>
      <c r="AF872" s="1242">
        <v>6</v>
      </c>
      <c r="AG872" s="1243" t="s">
        <v>3487</v>
      </c>
      <c r="AH872" s="1244" t="s">
        <v>3546</v>
      </c>
    </row>
    <row r="873" spans="30:34" ht="14.5">
      <c r="AD873" s="1240">
        <v>11</v>
      </c>
      <c r="AE873" s="1241" t="s">
        <v>3562</v>
      </c>
      <c r="AF873" s="1242">
        <v>3</v>
      </c>
      <c r="AG873" s="1243" t="s">
        <v>3487</v>
      </c>
      <c r="AH873" s="1244" t="s">
        <v>3563</v>
      </c>
    </row>
    <row r="874" spans="30:34" ht="14.5">
      <c r="AD874" s="1240">
        <v>12</v>
      </c>
      <c r="AE874" s="1241" t="s">
        <v>3578</v>
      </c>
      <c r="AF874" s="1242">
        <v>1</v>
      </c>
      <c r="AG874" s="1243" t="s">
        <v>2872</v>
      </c>
      <c r="AH874" s="1244" t="s">
        <v>3500</v>
      </c>
    </row>
    <row r="875" spans="30:34" ht="14.5">
      <c r="AD875" s="1240"/>
      <c r="AE875" s="1241" t="s">
        <v>3579</v>
      </c>
      <c r="AF875" s="1242">
        <v>6</v>
      </c>
      <c r="AG875" s="1243" t="s">
        <v>3487</v>
      </c>
      <c r="AH875" s="1244" t="s">
        <v>3508</v>
      </c>
    </row>
    <row r="876" spans="30:34" ht="14.5">
      <c r="AD876" s="1240"/>
      <c r="AE876" s="1241"/>
      <c r="AF876" s="1242"/>
      <c r="AG876" s="1243"/>
      <c r="AH876" s="1244"/>
    </row>
    <row r="877" spans="30:34" ht="14.5">
      <c r="AD877" s="1240"/>
      <c r="AE877" s="1241" t="s">
        <v>3631</v>
      </c>
      <c r="AF877" s="1242"/>
      <c r="AG877" s="1243"/>
      <c r="AH877" s="1244"/>
    </row>
    <row r="878" spans="30:34" ht="14.5">
      <c r="AD878" s="1240">
        <v>1</v>
      </c>
      <c r="AE878" s="1241" t="s">
        <v>3771</v>
      </c>
      <c r="AF878" s="1242">
        <v>3</v>
      </c>
      <c r="AG878" s="1243" t="s">
        <v>3417</v>
      </c>
      <c r="AH878" s="1244" t="s">
        <v>2241</v>
      </c>
    </row>
    <row r="879" spans="30:34" ht="14.5">
      <c r="AD879" s="1240"/>
      <c r="AE879" s="1241"/>
      <c r="AF879" s="1242"/>
      <c r="AG879" s="1243"/>
      <c r="AH879" s="1244"/>
    </row>
    <row r="880" spans="30:34" ht="15" thickBot="1">
      <c r="AD880" s="1285"/>
      <c r="AE880" s="1255" t="s">
        <v>2240</v>
      </c>
      <c r="AF880" s="1256">
        <v>1</v>
      </c>
      <c r="AG880" s="1286" t="s">
        <v>3499</v>
      </c>
      <c r="AH880" s="1255"/>
    </row>
    <row r="881" spans="30:34" ht="15" thickTop="1">
      <c r="AD881" s="1257"/>
      <c r="AE881" s="1258"/>
      <c r="AF881" s="1259"/>
      <c r="AG881" s="1257"/>
      <c r="AH881" s="1257"/>
    </row>
    <row r="882" spans="30:34" ht="14.5">
      <c r="AD882" s="1257"/>
      <c r="AE882" s="1258"/>
      <c r="AF882" s="1259"/>
      <c r="AG882" s="1257"/>
      <c r="AH882" s="1257"/>
    </row>
    <row r="883" spans="30:34" ht="15" thickBot="1">
      <c r="AD883" s="1266">
        <v>8</v>
      </c>
      <c r="AE883" s="1267" t="s">
        <v>3772</v>
      </c>
      <c r="AF883" s="1268"/>
      <c r="AG883" s="1269"/>
      <c r="AH883" s="1269"/>
    </row>
    <row r="884" spans="30:34" ht="15.5" thickTop="1" thickBot="1">
      <c r="AD884" s="1231" t="s">
        <v>2</v>
      </c>
      <c r="AE884" s="1231" t="s">
        <v>3161</v>
      </c>
      <c r="AF884" s="1623" t="s">
        <v>3496</v>
      </c>
      <c r="AG884" s="1624"/>
      <c r="AH884" s="1231" t="s">
        <v>3497</v>
      </c>
    </row>
    <row r="885" spans="30:34" ht="15" thickTop="1">
      <c r="AD885" s="1232">
        <v>1</v>
      </c>
      <c r="AE885" s="1284" t="s">
        <v>3773</v>
      </c>
      <c r="AF885" s="1233">
        <v>1</v>
      </c>
      <c r="AG885" s="1234" t="s">
        <v>3499</v>
      </c>
      <c r="AH885" s="1235" t="s">
        <v>3500</v>
      </c>
    </row>
    <row r="886" spans="30:34" ht="14.5">
      <c r="AD886" s="1236">
        <v>2</v>
      </c>
      <c r="AE886" s="1237" t="s">
        <v>3501</v>
      </c>
      <c r="AF886" s="1233">
        <v>1</v>
      </c>
      <c r="AG886" s="1238" t="s">
        <v>2839</v>
      </c>
      <c r="AH886" s="1239" t="s">
        <v>3502</v>
      </c>
    </row>
    <row r="887" spans="30:34" ht="14.5">
      <c r="AD887" s="1240"/>
      <c r="AE887" s="1241"/>
      <c r="AF887" s="1242"/>
      <c r="AG887" s="1243"/>
      <c r="AH887" s="1244"/>
    </row>
    <row r="888" spans="30:34" ht="14.5">
      <c r="AD888" s="1240"/>
      <c r="AE888" s="1241" t="s">
        <v>3551</v>
      </c>
      <c r="AF888" s="1242"/>
      <c r="AG888" s="1243"/>
      <c r="AH888" s="1244"/>
    </row>
    <row r="889" spans="30:34" ht="14.5">
      <c r="AD889" s="1240">
        <v>1</v>
      </c>
      <c r="AE889" s="1241" t="s">
        <v>3774</v>
      </c>
      <c r="AF889" s="1242">
        <v>1</v>
      </c>
      <c r="AG889" s="1243" t="s">
        <v>3505</v>
      </c>
      <c r="AH889" s="1244" t="s">
        <v>3506</v>
      </c>
    </row>
    <row r="890" spans="30:34" ht="14.5">
      <c r="AD890" s="1240">
        <v>2</v>
      </c>
      <c r="AE890" s="1241" t="s">
        <v>3533</v>
      </c>
      <c r="AF890" s="1242">
        <v>3</v>
      </c>
      <c r="AG890" s="1243" t="s">
        <v>3487</v>
      </c>
      <c r="AH890" s="1244" t="s">
        <v>3553</v>
      </c>
    </row>
    <row r="891" spans="30:34" ht="14.5">
      <c r="AD891" s="1240">
        <v>3</v>
      </c>
      <c r="AE891" s="1241" t="s">
        <v>3775</v>
      </c>
      <c r="AF891" s="1242">
        <v>1</v>
      </c>
      <c r="AG891" s="1243" t="s">
        <v>3505</v>
      </c>
      <c r="AH891" s="1244" t="s">
        <v>3508</v>
      </c>
    </row>
    <row r="892" spans="30:34" ht="14.5">
      <c r="AD892" s="1240">
        <v>4</v>
      </c>
      <c r="AE892" s="1241" t="s">
        <v>3555</v>
      </c>
      <c r="AF892" s="1242">
        <v>1</v>
      </c>
      <c r="AG892" s="1243" t="s">
        <v>3505</v>
      </c>
      <c r="AH892" s="1244" t="s">
        <v>3508</v>
      </c>
    </row>
    <row r="893" spans="30:34" ht="14.5">
      <c r="AD893" s="1240">
        <v>5</v>
      </c>
      <c r="AE893" s="1241" t="s">
        <v>3556</v>
      </c>
      <c r="AF893" s="1242">
        <v>1</v>
      </c>
      <c r="AG893" s="1243" t="s">
        <v>3505</v>
      </c>
      <c r="AH893" s="1244" t="s">
        <v>3508</v>
      </c>
    </row>
    <row r="894" spans="30:34" ht="14.5">
      <c r="AD894" s="1240">
        <v>6</v>
      </c>
      <c r="AE894" s="1241" t="s">
        <v>3557</v>
      </c>
      <c r="AF894" s="1242">
        <v>1</v>
      </c>
      <c r="AG894" s="1243" t="s">
        <v>3505</v>
      </c>
      <c r="AH894" s="1244" t="s">
        <v>3508</v>
      </c>
    </row>
    <row r="895" spans="30:34" ht="14.5">
      <c r="AD895" s="1240">
        <v>7</v>
      </c>
      <c r="AE895" s="1241" t="s">
        <v>3776</v>
      </c>
      <c r="AF895" s="1242">
        <v>3</v>
      </c>
      <c r="AG895" s="1243" t="s">
        <v>3487</v>
      </c>
      <c r="AH895" s="1244" t="s">
        <v>3508</v>
      </c>
    </row>
    <row r="896" spans="30:34" ht="14.5">
      <c r="AD896" s="1240">
        <v>8</v>
      </c>
      <c r="AE896" s="1241" t="s">
        <v>3777</v>
      </c>
      <c r="AF896" s="1242">
        <v>4</v>
      </c>
      <c r="AG896" s="1243" t="s">
        <v>3487</v>
      </c>
      <c r="AH896" s="1244" t="s">
        <v>3506</v>
      </c>
    </row>
    <row r="897" spans="30:34" ht="14.5">
      <c r="AD897" s="1240">
        <v>9</v>
      </c>
      <c r="AE897" s="1241" t="s">
        <v>3548</v>
      </c>
      <c r="AF897" s="1242">
        <v>1</v>
      </c>
      <c r="AG897" s="1243" t="s">
        <v>2872</v>
      </c>
      <c r="AH897" s="1244" t="s">
        <v>3500</v>
      </c>
    </row>
    <row r="898" spans="30:34" ht="14.5">
      <c r="AD898" s="1240"/>
      <c r="AE898" s="1241" t="s">
        <v>3565</v>
      </c>
      <c r="AF898" s="1242">
        <v>1</v>
      </c>
      <c r="AG898" s="1243" t="s">
        <v>3505</v>
      </c>
      <c r="AH898" s="1244" t="s">
        <v>3508</v>
      </c>
    </row>
    <row r="899" spans="30:34" ht="14.5">
      <c r="AD899" s="1240"/>
      <c r="AE899" s="1241"/>
      <c r="AF899" s="1242"/>
      <c r="AG899" s="1243"/>
      <c r="AH899" s="1244"/>
    </row>
    <row r="900" spans="30:34" ht="14.5">
      <c r="AD900" s="1240"/>
      <c r="AE900" s="1241" t="s">
        <v>3778</v>
      </c>
      <c r="AF900" s="1242"/>
      <c r="AG900" s="1243"/>
      <c r="AH900" s="1244"/>
    </row>
    <row r="901" spans="30:34" ht="14.5">
      <c r="AD901" s="1240">
        <v>1</v>
      </c>
      <c r="AE901" s="1241" t="s">
        <v>3779</v>
      </c>
      <c r="AF901" s="1242">
        <v>6</v>
      </c>
      <c r="AG901" s="1243" t="s">
        <v>3487</v>
      </c>
      <c r="AH901" s="1244" t="s">
        <v>3506</v>
      </c>
    </row>
    <row r="902" spans="30:34" ht="14.5">
      <c r="AD902" s="1240"/>
      <c r="AE902" s="1241" t="s">
        <v>3587</v>
      </c>
      <c r="AF902" s="1242">
        <v>7</v>
      </c>
      <c r="AG902" s="1243" t="s">
        <v>3487</v>
      </c>
      <c r="AH902" s="1244" t="s">
        <v>3508</v>
      </c>
    </row>
    <row r="903" spans="30:34" ht="15" thickBot="1">
      <c r="AD903" s="1285"/>
      <c r="AE903" s="1255" t="s">
        <v>2240</v>
      </c>
      <c r="AF903" s="1256">
        <v>1</v>
      </c>
      <c r="AG903" s="1286" t="s">
        <v>3499</v>
      </c>
      <c r="AH903" s="1255"/>
    </row>
    <row r="904" spans="30:34" ht="15" thickTop="1">
      <c r="AD904" s="1257"/>
      <c r="AE904" s="1258"/>
      <c r="AF904" s="1259"/>
      <c r="AG904" s="1257"/>
      <c r="AH904" s="1257"/>
    </row>
    <row r="905" spans="30:34" ht="14.5">
      <c r="AD905" s="1276">
        <v>9</v>
      </c>
      <c r="AE905" s="1277" t="s">
        <v>3780</v>
      </c>
      <c r="AF905" s="1259"/>
      <c r="AG905" s="1257"/>
      <c r="AH905" s="1257"/>
    </row>
    <row r="906" spans="30:34" ht="15" thickBot="1">
      <c r="AD906" s="1266"/>
      <c r="AE906" s="1267" t="s">
        <v>3781</v>
      </c>
      <c r="AF906" s="1268"/>
      <c r="AG906" s="1269"/>
      <c r="AH906" s="1269"/>
    </row>
    <row r="907" spans="30:34" ht="15.5" thickTop="1" thickBot="1">
      <c r="AD907" s="1231" t="s">
        <v>2</v>
      </c>
      <c r="AE907" s="1231" t="s">
        <v>3161</v>
      </c>
      <c r="AF907" s="1623" t="s">
        <v>3496</v>
      </c>
      <c r="AG907" s="1624"/>
      <c r="AH907" s="1231" t="s">
        <v>3497</v>
      </c>
    </row>
    <row r="908" spans="30:34" ht="15" thickTop="1">
      <c r="AD908" s="1232">
        <v>1</v>
      </c>
      <c r="AE908" s="1284" t="s">
        <v>3782</v>
      </c>
      <c r="AF908" s="1233">
        <v>6</v>
      </c>
      <c r="AG908" s="1234" t="s">
        <v>3499</v>
      </c>
      <c r="AH908" s="1235" t="s">
        <v>3500</v>
      </c>
    </row>
    <row r="909" spans="30:34" ht="14.5">
      <c r="AD909" s="1236">
        <v>2</v>
      </c>
      <c r="AE909" s="1237" t="s">
        <v>3783</v>
      </c>
      <c r="AF909" s="1233">
        <v>1</v>
      </c>
      <c r="AG909" s="1238" t="s">
        <v>2839</v>
      </c>
      <c r="AH909" s="1239" t="s">
        <v>3502</v>
      </c>
    </row>
    <row r="910" spans="30:34" ht="14.5">
      <c r="AD910" s="1240"/>
      <c r="AE910" s="1241"/>
      <c r="AF910" s="1242"/>
      <c r="AG910" s="1243"/>
      <c r="AH910" s="1244"/>
    </row>
    <row r="911" spans="30:34" ht="14.5">
      <c r="AD911" s="1240"/>
      <c r="AE911" s="1241" t="s">
        <v>3551</v>
      </c>
      <c r="AF911" s="1242"/>
      <c r="AG911" s="1243"/>
      <c r="AH911" s="1244"/>
    </row>
    <row r="912" spans="30:34" ht="14.5">
      <c r="AD912" s="1240">
        <v>1</v>
      </c>
      <c r="AE912" s="1241" t="s">
        <v>3784</v>
      </c>
      <c r="AF912" s="1242">
        <v>1</v>
      </c>
      <c r="AG912" s="1243" t="s">
        <v>3505</v>
      </c>
      <c r="AH912" s="1244" t="s">
        <v>3506</v>
      </c>
    </row>
    <row r="913" spans="30:34" ht="14.5">
      <c r="AD913" s="1240">
        <v>2</v>
      </c>
      <c r="AE913" s="1241" t="s">
        <v>3533</v>
      </c>
      <c r="AF913" s="1242">
        <v>3</v>
      </c>
      <c r="AG913" s="1243" t="s">
        <v>3487</v>
      </c>
      <c r="AH913" s="1244" t="s">
        <v>3553</v>
      </c>
    </row>
    <row r="914" spans="30:34" ht="14.5">
      <c r="AD914" s="1240">
        <v>3</v>
      </c>
      <c r="AE914" s="1241" t="s">
        <v>3777</v>
      </c>
      <c r="AF914" s="1242">
        <v>3</v>
      </c>
      <c r="AG914" s="1243" t="s">
        <v>3487</v>
      </c>
      <c r="AH914" s="1244" t="s">
        <v>3506</v>
      </c>
    </row>
    <row r="915" spans="30:34" ht="14.5">
      <c r="AD915" s="1240">
        <v>4</v>
      </c>
      <c r="AE915" s="1241" t="s">
        <v>3548</v>
      </c>
      <c r="AF915" s="1242">
        <v>1</v>
      </c>
      <c r="AG915" s="1243" t="s">
        <v>2872</v>
      </c>
      <c r="AH915" s="1244" t="s">
        <v>3500</v>
      </c>
    </row>
    <row r="916" spans="30:34" ht="14.5">
      <c r="AD916" s="1240"/>
      <c r="AE916" s="1241" t="s">
        <v>3587</v>
      </c>
      <c r="AF916" s="1242">
        <v>1</v>
      </c>
      <c r="AG916" s="1243" t="s">
        <v>3505</v>
      </c>
      <c r="AH916" s="1244" t="s">
        <v>3508</v>
      </c>
    </row>
    <row r="917" spans="30:34" ht="14.5">
      <c r="AD917" s="1240"/>
      <c r="AE917" s="1241"/>
      <c r="AF917" s="1242"/>
      <c r="AG917" s="1243"/>
      <c r="AH917" s="1244"/>
    </row>
    <row r="918" spans="30:34" ht="14.5">
      <c r="AD918" s="1240"/>
      <c r="AE918" s="1241" t="s">
        <v>3778</v>
      </c>
      <c r="AF918" s="1242"/>
      <c r="AG918" s="1243"/>
      <c r="AH918" s="1244"/>
    </row>
    <row r="919" spans="30:34" ht="14.5">
      <c r="AD919" s="1240">
        <v>1</v>
      </c>
      <c r="AE919" s="1241" t="s">
        <v>3594</v>
      </c>
      <c r="AF919" s="1242">
        <v>3</v>
      </c>
      <c r="AG919" s="1243" t="s">
        <v>3487</v>
      </c>
      <c r="AH919" s="1244" t="s">
        <v>3506</v>
      </c>
    </row>
    <row r="920" spans="30:34" ht="14.5">
      <c r="AD920" s="1240">
        <v>2</v>
      </c>
      <c r="AE920" s="1241" t="s">
        <v>3785</v>
      </c>
      <c r="AF920" s="1242">
        <v>12</v>
      </c>
      <c r="AG920" s="1243" t="s">
        <v>3487</v>
      </c>
      <c r="AH920" s="1244" t="s">
        <v>3506</v>
      </c>
    </row>
    <row r="921" spans="30:34" ht="14.5">
      <c r="AD921" s="1240">
        <v>3</v>
      </c>
      <c r="AE921" s="1241" t="s">
        <v>3786</v>
      </c>
      <c r="AF921" s="1242">
        <v>2</v>
      </c>
      <c r="AG921" s="1243" t="s">
        <v>3487</v>
      </c>
      <c r="AH921" s="1244" t="s">
        <v>3542</v>
      </c>
    </row>
    <row r="922" spans="30:34" ht="14.5">
      <c r="AD922" s="1240"/>
      <c r="AE922" s="1241" t="s">
        <v>3587</v>
      </c>
      <c r="AF922" s="1242">
        <v>3</v>
      </c>
      <c r="AG922" s="1243" t="s">
        <v>3487</v>
      </c>
      <c r="AH922" s="1244" t="s">
        <v>3508</v>
      </c>
    </row>
    <row r="923" spans="30:34" ht="14.5">
      <c r="AD923" s="1240"/>
      <c r="AE923" s="1241" t="s">
        <v>3600</v>
      </c>
      <c r="AF923" s="1242">
        <v>13</v>
      </c>
      <c r="AG923" s="1243" t="s">
        <v>3487</v>
      </c>
      <c r="AH923" s="1244" t="s">
        <v>3508</v>
      </c>
    </row>
    <row r="924" spans="30:34" ht="15" thickBot="1">
      <c r="AD924" s="1285"/>
      <c r="AE924" s="1255" t="s">
        <v>2240</v>
      </c>
      <c r="AF924" s="1256">
        <v>1</v>
      </c>
      <c r="AG924" s="1286" t="s">
        <v>3499</v>
      </c>
      <c r="AH924" s="1255"/>
    </row>
    <row r="925" spans="30:34" ht="15" thickTop="1">
      <c r="AD925" s="1257"/>
      <c r="AE925" s="1258"/>
      <c r="AF925" s="1259"/>
      <c r="AG925" s="1257"/>
      <c r="AH925" s="1257"/>
    </row>
    <row r="926" spans="30:34" ht="15" thickBot="1">
      <c r="AD926" s="1266">
        <v>10</v>
      </c>
      <c r="AE926" s="1267" t="s">
        <v>3787</v>
      </c>
      <c r="AF926" s="1268"/>
      <c r="AG926" s="1269"/>
      <c r="AH926" s="1269"/>
    </row>
    <row r="927" spans="30:34" ht="15.5" thickTop="1" thickBot="1">
      <c r="AD927" s="1231" t="s">
        <v>2</v>
      </c>
      <c r="AE927" s="1231" t="s">
        <v>3161</v>
      </c>
      <c r="AF927" s="1623" t="s">
        <v>3496</v>
      </c>
      <c r="AG927" s="1624"/>
      <c r="AH927" s="1231" t="s">
        <v>3497</v>
      </c>
    </row>
    <row r="928" spans="30:34" ht="15" thickTop="1">
      <c r="AD928" s="1232">
        <v>1</v>
      </c>
      <c r="AE928" s="1284" t="s">
        <v>3788</v>
      </c>
      <c r="AF928" s="1233">
        <v>50</v>
      </c>
      <c r="AG928" s="1234" t="s">
        <v>3499</v>
      </c>
      <c r="AH928" s="1235" t="s">
        <v>3500</v>
      </c>
    </row>
    <row r="929" spans="30:34" ht="14.5">
      <c r="AD929" s="1236">
        <v>2</v>
      </c>
      <c r="AE929" s="1237" t="s">
        <v>3789</v>
      </c>
      <c r="AF929" s="1233">
        <v>1</v>
      </c>
      <c r="AG929" s="1238" t="s">
        <v>2839</v>
      </c>
      <c r="AH929" s="1239" t="s">
        <v>3502</v>
      </c>
    </row>
    <row r="930" spans="30:34" ht="14.5">
      <c r="AD930" s="1240"/>
      <c r="AE930" s="1241"/>
      <c r="AF930" s="1242"/>
      <c r="AG930" s="1243"/>
      <c r="AH930" s="1244"/>
    </row>
    <row r="931" spans="30:34" ht="14.5">
      <c r="AD931" s="1240"/>
      <c r="AE931" s="1241" t="s">
        <v>3790</v>
      </c>
      <c r="AF931" s="1242"/>
      <c r="AG931" s="1243"/>
      <c r="AH931" s="1244"/>
    </row>
    <row r="932" spans="30:34" ht="14.5">
      <c r="AD932" s="1240">
        <v>1</v>
      </c>
      <c r="AE932" s="1241" t="s">
        <v>3791</v>
      </c>
      <c r="AF932" s="1242">
        <v>1</v>
      </c>
      <c r="AG932" s="1243" t="s">
        <v>3505</v>
      </c>
      <c r="AH932" s="1244" t="s">
        <v>3508</v>
      </c>
    </row>
    <row r="933" spans="30:34" ht="14.5">
      <c r="AD933" s="1240">
        <v>2</v>
      </c>
      <c r="AE933" s="1241" t="s">
        <v>3792</v>
      </c>
      <c r="AF933" s="1242">
        <v>1</v>
      </c>
      <c r="AG933" s="1243" t="s">
        <v>3505</v>
      </c>
      <c r="AH933" s="1244" t="s">
        <v>3508</v>
      </c>
    </row>
    <row r="934" spans="30:34" ht="14.5">
      <c r="AD934" s="1240">
        <v>3</v>
      </c>
      <c r="AE934" s="1241" t="s">
        <v>3793</v>
      </c>
      <c r="AF934" s="1242">
        <v>1</v>
      </c>
      <c r="AG934" s="1243" t="s">
        <v>3505</v>
      </c>
      <c r="AH934" s="1244" t="s">
        <v>3506</v>
      </c>
    </row>
    <row r="935" spans="30:34" ht="14.5">
      <c r="AD935" s="1240"/>
      <c r="AE935" s="1241" t="s">
        <v>3548</v>
      </c>
      <c r="AF935" s="1242">
        <v>1</v>
      </c>
      <c r="AG935" s="1243" t="s">
        <v>2872</v>
      </c>
      <c r="AH935" s="1244" t="s">
        <v>3500</v>
      </c>
    </row>
    <row r="936" spans="30:34" ht="14.5">
      <c r="AD936" s="1240"/>
      <c r="AE936" s="1241"/>
      <c r="AF936" s="1242"/>
      <c r="AG936" s="1243"/>
      <c r="AH936" s="1244"/>
    </row>
    <row r="937" spans="30:34" ht="14.5">
      <c r="AD937" s="1278"/>
      <c r="AE937" s="1279"/>
      <c r="AF937" s="1280"/>
      <c r="AG937" s="1281"/>
      <c r="AH937" s="1282"/>
    </row>
    <row r="938" spans="30:34" ht="15" thickBot="1">
      <c r="AD938" s="1285"/>
      <c r="AE938" s="1255" t="s">
        <v>2240</v>
      </c>
      <c r="AF938" s="1256">
        <v>1</v>
      </c>
      <c r="AG938" s="1286" t="s">
        <v>3499</v>
      </c>
      <c r="AH938" s="1255"/>
    </row>
    <row r="939" spans="30:34" ht="13" thickTop="1"/>
  </sheetData>
  <mergeCells count="331">
    <mergeCell ref="L6:M6"/>
    <mergeCell ref="L7:L8"/>
    <mergeCell ref="M7:M8"/>
    <mergeCell ref="N7:N8"/>
    <mergeCell ref="O7:O8"/>
    <mergeCell ref="P7:P8"/>
    <mergeCell ref="B33:G33"/>
    <mergeCell ref="I7:I8"/>
    <mergeCell ref="C1:D1"/>
    <mergeCell ref="C2:D2"/>
    <mergeCell ref="B5:I5"/>
    <mergeCell ref="C6:I6"/>
    <mergeCell ref="B7:B8"/>
    <mergeCell ref="C7:C8"/>
    <mergeCell ref="D7:E8"/>
    <mergeCell ref="F7:F8"/>
    <mergeCell ref="G7:G8"/>
    <mergeCell ref="H7:H8"/>
    <mergeCell ref="L33:M33"/>
    <mergeCell ref="Z7:Z8"/>
    <mergeCell ref="AA7:AA8"/>
    <mergeCell ref="AB7:AB8"/>
    <mergeCell ref="L30:Z30"/>
    <mergeCell ref="AA30:AB30"/>
    <mergeCell ref="L31:Z31"/>
    <mergeCell ref="AA31:AB31"/>
    <mergeCell ref="Q7:Q8"/>
    <mergeCell ref="R7:S8"/>
    <mergeCell ref="T7:V8"/>
    <mergeCell ref="W7:W8"/>
    <mergeCell ref="X7:X8"/>
    <mergeCell ref="Y7:Y8"/>
    <mergeCell ref="AA213:AB213"/>
    <mergeCell ref="L214:Z214"/>
    <mergeCell ref="AA214:AB214"/>
    <mergeCell ref="Z34:Z35"/>
    <mergeCell ref="AA34:AA35"/>
    <mergeCell ref="AB34:AB35"/>
    <mergeCell ref="L46:M46"/>
    <mergeCell ref="L71:M71"/>
    <mergeCell ref="L97:M97"/>
    <mergeCell ref="Q34:Q35"/>
    <mergeCell ref="R34:S35"/>
    <mergeCell ref="T34:V35"/>
    <mergeCell ref="W34:W35"/>
    <mergeCell ref="X34:X35"/>
    <mergeCell ref="Y34:Y35"/>
    <mergeCell ref="L34:L35"/>
    <mergeCell ref="M34:M35"/>
    <mergeCell ref="N34:N35"/>
    <mergeCell ref="O34:O35"/>
    <mergeCell ref="P34:P35"/>
    <mergeCell ref="L216:M216"/>
    <mergeCell ref="L217:L218"/>
    <mergeCell ref="M217:M218"/>
    <mergeCell ref="N217:O218"/>
    <mergeCell ref="P217:Q218"/>
    <mergeCell ref="R217:U218"/>
    <mergeCell ref="L112:M112"/>
    <mergeCell ref="L165:M165"/>
    <mergeCell ref="L210:M210"/>
    <mergeCell ref="P223:Q223"/>
    <mergeCell ref="R223:U223"/>
    <mergeCell ref="P224:Q224"/>
    <mergeCell ref="R224:U224"/>
    <mergeCell ref="P221:Q221"/>
    <mergeCell ref="R221:U221"/>
    <mergeCell ref="P222:Q222"/>
    <mergeCell ref="R222:U222"/>
    <mergeCell ref="V217:V218"/>
    <mergeCell ref="P219:Q219"/>
    <mergeCell ref="R219:U219"/>
    <mergeCell ref="P220:Q220"/>
    <mergeCell ref="R220:U220"/>
    <mergeCell ref="L231:M231"/>
    <mergeCell ref="L232:L233"/>
    <mergeCell ref="M232:M233"/>
    <mergeCell ref="N232:O233"/>
    <mergeCell ref="P232:Q233"/>
    <mergeCell ref="R232:U233"/>
    <mergeCell ref="P227:Q227"/>
    <mergeCell ref="R227:U227"/>
    <mergeCell ref="P225:Q225"/>
    <mergeCell ref="R225:U225"/>
    <mergeCell ref="P226:Q226"/>
    <mergeCell ref="R226:U226"/>
    <mergeCell ref="P238:Q238"/>
    <mergeCell ref="R238:U238"/>
    <mergeCell ref="P239:Q239"/>
    <mergeCell ref="R239:U239"/>
    <mergeCell ref="P236:Q236"/>
    <mergeCell ref="R236:U236"/>
    <mergeCell ref="P237:Q237"/>
    <mergeCell ref="R237:U237"/>
    <mergeCell ref="V232:V233"/>
    <mergeCell ref="P234:Q234"/>
    <mergeCell ref="R234:U234"/>
    <mergeCell ref="P235:Q235"/>
    <mergeCell ref="R235:U235"/>
    <mergeCell ref="L247:L248"/>
    <mergeCell ref="M247:M248"/>
    <mergeCell ref="N247:O248"/>
    <mergeCell ref="P247:Q248"/>
    <mergeCell ref="R247:U248"/>
    <mergeCell ref="V247:V248"/>
    <mergeCell ref="P240:Q240"/>
    <mergeCell ref="R240:U240"/>
    <mergeCell ref="P241:Q241"/>
    <mergeCell ref="P242:Q242"/>
    <mergeCell ref="R242:U242"/>
    <mergeCell ref="P251:Q251"/>
    <mergeCell ref="R251:U251"/>
    <mergeCell ref="P252:Q252"/>
    <mergeCell ref="R252:U252"/>
    <mergeCell ref="W247:X248"/>
    <mergeCell ref="P249:Q249"/>
    <mergeCell ref="R249:U249"/>
    <mergeCell ref="W249:X249"/>
    <mergeCell ref="P250:Q250"/>
    <mergeCell ref="R250:U250"/>
    <mergeCell ref="W250:X250"/>
    <mergeCell ref="P255:Q255"/>
    <mergeCell ref="R255:U255"/>
    <mergeCell ref="P256:Q256"/>
    <mergeCell ref="P257:Q257"/>
    <mergeCell ref="R257:U257"/>
    <mergeCell ref="P253:Q253"/>
    <mergeCell ref="R253:U253"/>
    <mergeCell ref="P254:Q254"/>
    <mergeCell ref="R254:U254"/>
    <mergeCell ref="P262:Q262"/>
    <mergeCell ref="R262:U262"/>
    <mergeCell ref="P263:Q263"/>
    <mergeCell ref="R263:U263"/>
    <mergeCell ref="P260:Q260"/>
    <mergeCell ref="R260:U260"/>
    <mergeCell ref="P261:Q261"/>
    <mergeCell ref="R261:U261"/>
    <mergeCell ref="P258:Q258"/>
    <mergeCell ref="R258:U258"/>
    <mergeCell ref="P259:Q259"/>
    <mergeCell ref="R259:U259"/>
    <mergeCell ref="P267:Q267"/>
    <mergeCell ref="R267:U267"/>
    <mergeCell ref="P268:Q268"/>
    <mergeCell ref="R268:U268"/>
    <mergeCell ref="P264:Q264"/>
    <mergeCell ref="P265:Q265"/>
    <mergeCell ref="R265:U265"/>
    <mergeCell ref="P266:Q266"/>
    <mergeCell ref="R266:U266"/>
    <mergeCell ref="P273:Q273"/>
    <mergeCell ref="R273:U273"/>
    <mergeCell ref="P274:Q274"/>
    <mergeCell ref="R274:U274"/>
    <mergeCell ref="P271:Q271"/>
    <mergeCell ref="R271:U271"/>
    <mergeCell ref="P272:Q272"/>
    <mergeCell ref="R272:U272"/>
    <mergeCell ref="P269:Q269"/>
    <mergeCell ref="R269:U269"/>
    <mergeCell ref="P270:Q270"/>
    <mergeCell ref="R270:U270"/>
    <mergeCell ref="P278:Q278"/>
    <mergeCell ref="R278:U278"/>
    <mergeCell ref="P279:Q279"/>
    <mergeCell ref="R279:U279"/>
    <mergeCell ref="P275:Q275"/>
    <mergeCell ref="R275:U275"/>
    <mergeCell ref="P276:Q276"/>
    <mergeCell ref="P277:Q277"/>
    <mergeCell ref="R277:U277"/>
    <mergeCell ref="P284:Q284"/>
    <mergeCell ref="R284:U284"/>
    <mergeCell ref="P285:Q285"/>
    <mergeCell ref="R285:U285"/>
    <mergeCell ref="P282:Q282"/>
    <mergeCell ref="R282:U282"/>
    <mergeCell ref="P283:Q283"/>
    <mergeCell ref="R283:U283"/>
    <mergeCell ref="P280:Q280"/>
    <mergeCell ref="R280:U280"/>
    <mergeCell ref="P281:Q281"/>
    <mergeCell ref="R281:U281"/>
    <mergeCell ref="R288:U288"/>
    <mergeCell ref="R289:U289"/>
    <mergeCell ref="R290:U290"/>
    <mergeCell ref="P286:Q286"/>
    <mergeCell ref="R286:U286"/>
    <mergeCell ref="L287:L290"/>
    <mergeCell ref="M287:M290"/>
    <mergeCell ref="N287:N290"/>
    <mergeCell ref="O287:O290"/>
    <mergeCell ref="P287:Q290"/>
    <mergeCell ref="R287:U287"/>
    <mergeCell ref="P300:Q300"/>
    <mergeCell ref="R300:U300"/>
    <mergeCell ref="V295:V296"/>
    <mergeCell ref="P297:Q297"/>
    <mergeCell ref="R297:U297"/>
    <mergeCell ref="P298:Q298"/>
    <mergeCell ref="R298:U298"/>
    <mergeCell ref="L294:M294"/>
    <mergeCell ref="L295:L296"/>
    <mergeCell ref="M295:M296"/>
    <mergeCell ref="N295:O296"/>
    <mergeCell ref="P295:Q296"/>
    <mergeCell ref="R295:U296"/>
    <mergeCell ref="L307:M307"/>
    <mergeCell ref="L308:L309"/>
    <mergeCell ref="M308:M309"/>
    <mergeCell ref="N308:O309"/>
    <mergeCell ref="P308:Q309"/>
    <mergeCell ref="R308:U309"/>
    <mergeCell ref="P303:Q303"/>
    <mergeCell ref="R303:U303"/>
    <mergeCell ref="P301:Q301"/>
    <mergeCell ref="R301:U301"/>
    <mergeCell ref="P302:Q302"/>
    <mergeCell ref="R302:U302"/>
    <mergeCell ref="W220:X220"/>
    <mergeCell ref="W219:X219"/>
    <mergeCell ref="W217:X218"/>
    <mergeCell ref="W222:X222"/>
    <mergeCell ref="W221:X221"/>
    <mergeCell ref="W224:X224"/>
    <mergeCell ref="W223:X223"/>
    <mergeCell ref="P316:Q316"/>
    <mergeCell ref="R316:U316"/>
    <mergeCell ref="P314:Q314"/>
    <mergeCell ref="R314:U314"/>
    <mergeCell ref="P315:Q315"/>
    <mergeCell ref="R315:U315"/>
    <mergeCell ref="P312:Q312"/>
    <mergeCell ref="R312:U312"/>
    <mergeCell ref="P313:Q313"/>
    <mergeCell ref="R313:U313"/>
    <mergeCell ref="V308:V309"/>
    <mergeCell ref="P310:Q310"/>
    <mergeCell ref="R310:U310"/>
    <mergeCell ref="P311:Q311"/>
    <mergeCell ref="R311:U311"/>
    <mergeCell ref="P299:Q299"/>
    <mergeCell ref="R299:U299"/>
    <mergeCell ref="W237:X237"/>
    <mergeCell ref="W236:X236"/>
    <mergeCell ref="W239:X239"/>
    <mergeCell ref="W238:X238"/>
    <mergeCell ref="W242:X242"/>
    <mergeCell ref="W241:X241"/>
    <mergeCell ref="W240:X240"/>
    <mergeCell ref="W226:X226"/>
    <mergeCell ref="W225:X225"/>
    <mergeCell ref="W227:X227"/>
    <mergeCell ref="W235:X235"/>
    <mergeCell ref="W234:X234"/>
    <mergeCell ref="W232:X233"/>
    <mergeCell ref="W259:X259"/>
    <mergeCell ref="W258:X258"/>
    <mergeCell ref="W261:X261"/>
    <mergeCell ref="W260:X260"/>
    <mergeCell ref="W263:X263"/>
    <mergeCell ref="W262:X262"/>
    <mergeCell ref="W252:X252"/>
    <mergeCell ref="W251:X251"/>
    <mergeCell ref="W254:X254"/>
    <mergeCell ref="W253:X253"/>
    <mergeCell ref="W257:X257"/>
    <mergeCell ref="W256:X256"/>
    <mergeCell ref="W255:X255"/>
    <mergeCell ref="W271:X271"/>
    <mergeCell ref="W274:X274"/>
    <mergeCell ref="W273:X273"/>
    <mergeCell ref="W277:X277"/>
    <mergeCell ref="W276:X276"/>
    <mergeCell ref="W275:X275"/>
    <mergeCell ref="W266:X266"/>
    <mergeCell ref="W265:X265"/>
    <mergeCell ref="W264:X264"/>
    <mergeCell ref="W268:X268"/>
    <mergeCell ref="W267:X267"/>
    <mergeCell ref="W270:X270"/>
    <mergeCell ref="W269:X269"/>
    <mergeCell ref="AH10:AH11"/>
    <mergeCell ref="AF63:AG63"/>
    <mergeCell ref="AF122:AG122"/>
    <mergeCell ref="AF252:AG252"/>
    <mergeCell ref="W313:X313"/>
    <mergeCell ref="W312:X312"/>
    <mergeCell ref="W315:X315"/>
    <mergeCell ref="W314:X314"/>
    <mergeCell ref="W316:X316"/>
    <mergeCell ref="V228:X228"/>
    <mergeCell ref="V229:X229"/>
    <mergeCell ref="V243:X243"/>
    <mergeCell ref="V244:X244"/>
    <mergeCell ref="V291:X291"/>
    <mergeCell ref="W300:X300"/>
    <mergeCell ref="W299:X299"/>
    <mergeCell ref="W302:X302"/>
    <mergeCell ref="W301:X301"/>
    <mergeCell ref="W303:X303"/>
    <mergeCell ref="W311:X311"/>
    <mergeCell ref="W310:X310"/>
    <mergeCell ref="W308:X309"/>
    <mergeCell ref="V304:X304"/>
    <mergeCell ref="V305:X305"/>
    <mergeCell ref="AF411:AG411"/>
    <mergeCell ref="AF488:AG488"/>
    <mergeCell ref="AF706:AG706"/>
    <mergeCell ref="AF884:AG884"/>
    <mergeCell ref="AF907:AG907"/>
    <mergeCell ref="AF927:AG927"/>
    <mergeCell ref="V317:X317"/>
    <mergeCell ref="V318:X318"/>
    <mergeCell ref="AF8:AG8"/>
    <mergeCell ref="W285:X285"/>
    <mergeCell ref="W284:X284"/>
    <mergeCell ref="W287:X290"/>
    <mergeCell ref="W286:X286"/>
    <mergeCell ref="W298:X298"/>
    <mergeCell ref="W297:X297"/>
    <mergeCell ref="W295:X296"/>
    <mergeCell ref="V292:X292"/>
    <mergeCell ref="W279:X279"/>
    <mergeCell ref="W278:X278"/>
    <mergeCell ref="W281:X281"/>
    <mergeCell ref="W280:X280"/>
    <mergeCell ref="W283:X283"/>
    <mergeCell ref="W282:X282"/>
    <mergeCell ref="W272:X272"/>
  </mergeCells>
  <conditionalFormatting sqref="AH60">
    <cfRule type="expression" dxfId="15" priority="9" stopIfTrue="1">
      <formula>AH60:AH1514=0</formula>
    </cfRule>
  </conditionalFormatting>
  <conditionalFormatting sqref="AH119">
    <cfRule type="expression" dxfId="14" priority="8" stopIfTrue="1">
      <formula>AH119:AH1571=0</formula>
    </cfRule>
  </conditionalFormatting>
  <conditionalFormatting sqref="AH249">
    <cfRule type="expression" dxfId="13" priority="7" stopIfTrue="1">
      <formula>AH249:AH1700=0</formula>
    </cfRule>
  </conditionalFormatting>
  <conditionalFormatting sqref="AH408">
    <cfRule type="expression" dxfId="12" priority="6" stopIfTrue="1">
      <formula>AH408:AH1858=0</formula>
    </cfRule>
  </conditionalFormatting>
  <conditionalFormatting sqref="AH485">
    <cfRule type="expression" dxfId="11" priority="5" stopIfTrue="1">
      <formula>AH485:AH1935=0</formula>
    </cfRule>
  </conditionalFormatting>
  <conditionalFormatting sqref="AH703">
    <cfRule type="expression" dxfId="10" priority="4" stopIfTrue="1">
      <formula>AH703:AH2154=0</formula>
    </cfRule>
  </conditionalFormatting>
  <conditionalFormatting sqref="AH880">
    <cfRule type="expression" dxfId="9" priority="3" stopIfTrue="1">
      <formula>AH880:AH2334=0</formula>
    </cfRule>
  </conditionalFormatting>
  <conditionalFormatting sqref="AH903">
    <cfRule type="expression" dxfId="8" priority="10" stopIfTrue="1">
      <formula>AH903:AH2745=0</formula>
    </cfRule>
  </conditionalFormatting>
  <conditionalFormatting sqref="AH924">
    <cfRule type="expression" dxfId="7" priority="1" stopIfTrue="1">
      <formula>AH924:AH2917=0</formula>
    </cfRule>
  </conditionalFormatting>
  <conditionalFormatting sqref="AH938">
    <cfRule type="expression" dxfId="6" priority="2" stopIfTrue="1">
      <formula>AH938:AH2931=0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28A4-BE5E-4648-915B-A4A342D137D7}">
  <sheetPr>
    <pageSetUpPr fitToPage="1"/>
  </sheetPr>
  <dimension ref="A3:CC217"/>
  <sheetViews>
    <sheetView showGridLines="0" view="pageBreakPreview" zoomScale="70" zoomScaleNormal="70" zoomScaleSheetLayoutView="70" workbookViewId="0">
      <pane xSplit="4" ySplit="8" topLeftCell="E9" activePane="bottomRight" state="frozen"/>
      <selection pane="topRight" activeCell="E1" sqref="E1"/>
      <selection pane="bottomLeft" activeCell="A8" sqref="A8"/>
      <selection pane="bottomRight" activeCell="C133" sqref="C133"/>
    </sheetView>
  </sheetViews>
  <sheetFormatPr defaultColWidth="9.1796875" defaultRowHeight="14" outlineLevelCol="1"/>
  <cols>
    <col min="1" max="1" width="5.81640625" style="13" customWidth="1"/>
    <col min="2" max="2" width="7.81640625" style="2" bestFit="1" customWidth="1"/>
    <col min="3" max="3" width="36.90625" style="2" customWidth="1"/>
    <col min="4" max="4" width="22.1796875" style="2" customWidth="1"/>
    <col min="5" max="5" width="19.81640625" style="2" customWidth="1"/>
    <col min="6" max="6" width="38.81640625" style="2" hidden="1" customWidth="1"/>
    <col min="7" max="7" width="33.453125" style="2" hidden="1" customWidth="1"/>
    <col min="8" max="8" width="18.81640625" style="9" hidden="1" customWidth="1"/>
    <col min="9" max="9" width="18.81640625" style="9" customWidth="1"/>
    <col min="10" max="10" width="18" style="2" customWidth="1"/>
    <col min="11" max="11" width="19.453125" style="8" bestFit="1" customWidth="1"/>
    <col min="12" max="13" width="19.453125" style="8" customWidth="1"/>
    <col min="14" max="14" width="55.453125" style="9" customWidth="1"/>
    <col min="15" max="15" width="18.453125" style="9" hidden="1" customWidth="1"/>
    <col min="16" max="16" width="20.54296875" style="9" customWidth="1"/>
    <col min="17" max="19" width="18.453125" style="9" customWidth="1"/>
    <col min="20" max="20" width="12.81640625" style="7" customWidth="1" outlineLevel="1"/>
    <col min="21" max="21" width="14.1796875" style="7" customWidth="1" outlineLevel="1"/>
    <col min="22" max="22" width="11.54296875" style="7" customWidth="1" outlineLevel="1"/>
    <col min="23" max="23" width="9.54296875" style="7" customWidth="1" outlineLevel="1"/>
    <col min="24" max="24" width="13.1796875" style="7" customWidth="1" outlineLevel="1"/>
    <col min="25" max="25" width="12.81640625" style="7" customWidth="1" outlineLevel="1"/>
    <col min="26" max="26" width="14.1796875" style="7" customWidth="1" outlineLevel="1"/>
    <col min="27" max="27" width="13.54296875" style="7" customWidth="1" outlineLevel="1"/>
    <col min="28" max="28" width="16.1796875" style="7" customWidth="1" outlineLevel="1"/>
    <col min="29" max="29" width="14.1796875" style="7" customWidth="1" outlineLevel="1"/>
    <col min="30" max="30" width="16" style="7" customWidth="1" outlineLevel="1"/>
    <col min="31" max="31" width="16.1796875" style="7" customWidth="1" outlineLevel="1"/>
    <col min="32" max="32" width="16.1796875" style="7" customWidth="1"/>
    <col min="33" max="33" width="16.1796875" style="7" customWidth="1" outlineLevel="1"/>
    <col min="34" max="34" width="15.81640625" style="7" customWidth="1" outlineLevel="1"/>
    <col min="35" max="36" width="16.1796875" style="7" customWidth="1" outlineLevel="1"/>
    <col min="37" max="37" width="17.54296875" style="7" customWidth="1" outlineLevel="1"/>
    <col min="38" max="38" width="16" style="7" customWidth="1" outlineLevel="1"/>
    <col min="39" max="41" width="17.1796875" style="7" customWidth="1" outlineLevel="1"/>
    <col min="42" max="42" width="17.453125" style="7" customWidth="1" outlineLevel="1"/>
    <col min="43" max="43" width="17" style="7" customWidth="1" outlineLevel="1"/>
    <col min="44" max="44" width="17.1796875" style="7" customWidth="1" outlineLevel="1"/>
    <col min="45" max="45" width="18.81640625" style="7" customWidth="1"/>
    <col min="46" max="47" width="17.1796875" style="7" customWidth="1" outlineLevel="1"/>
    <col min="48" max="48" width="18.453125" style="7" customWidth="1" outlineLevel="1"/>
    <col min="49" max="50" width="17.1796875" style="7" customWidth="1" outlineLevel="1"/>
    <col min="51" max="51" width="16.1796875" style="7" customWidth="1" outlineLevel="1"/>
    <col min="52" max="52" width="17" style="7" customWidth="1" outlineLevel="1"/>
    <col min="53" max="53" width="16.81640625" style="7" customWidth="1" outlineLevel="1"/>
    <col min="54" max="54" width="17.81640625" style="7" customWidth="1" outlineLevel="1"/>
    <col min="55" max="56" width="17.1796875" style="7" customWidth="1" outlineLevel="1"/>
    <col min="57" max="57" width="17.453125" style="7" customWidth="1" outlineLevel="1"/>
    <col min="58" max="71" width="19.1796875" style="2" customWidth="1"/>
    <col min="72" max="72" width="21" style="2" customWidth="1" collapsed="1"/>
    <col min="73" max="81" width="16" style="2" bestFit="1" customWidth="1"/>
    <col min="82" max="82" width="9.1796875" style="2"/>
    <col min="83" max="83" width="16" style="2" bestFit="1" customWidth="1"/>
    <col min="84" max="16384" width="9.1796875" style="2"/>
  </cols>
  <sheetData>
    <row r="3" spans="1:81">
      <c r="B3" s="24" t="s">
        <v>1</v>
      </c>
      <c r="C3" s="24"/>
      <c r="D3" s="24"/>
      <c r="E3" s="24"/>
      <c r="F3" s="24"/>
      <c r="G3" s="24"/>
      <c r="H3" s="24"/>
      <c r="I3" s="24"/>
      <c r="J3" s="24"/>
      <c r="K3" s="74"/>
      <c r="L3" s="74"/>
      <c r="M3" s="74"/>
      <c r="N3" s="24"/>
      <c r="O3" s="24"/>
      <c r="P3" s="76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</row>
    <row r="4" spans="1:81">
      <c r="B4" s="24" t="s">
        <v>2493</v>
      </c>
      <c r="H4" s="5"/>
      <c r="I4" s="5"/>
      <c r="K4" s="4"/>
      <c r="L4" s="258" t="s">
        <v>2505</v>
      </c>
      <c r="M4" s="259"/>
      <c r="N4" s="261" t="s">
        <v>2506</v>
      </c>
      <c r="O4" s="5"/>
      <c r="P4" s="5"/>
      <c r="Q4" s="5"/>
      <c r="R4" s="5"/>
      <c r="S4" s="5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</row>
    <row r="5" spans="1:81">
      <c r="B5" s="24"/>
      <c r="H5" s="5"/>
      <c r="I5" s="5"/>
      <c r="K5" s="4"/>
      <c r="L5" s="4"/>
      <c r="M5" s="260"/>
      <c r="N5" s="261" t="s">
        <v>2507</v>
      </c>
      <c r="O5" s="5"/>
      <c r="P5" s="5"/>
      <c r="Q5" s="5"/>
      <c r="R5" s="5"/>
      <c r="S5" s="5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</row>
    <row r="6" spans="1:81" s="21" customFormat="1">
      <c r="A6" s="13"/>
      <c r="H6" s="14"/>
      <c r="I6" s="14"/>
      <c r="K6" s="22"/>
      <c r="L6" s="22"/>
      <c r="M6" s="22"/>
      <c r="N6" s="14"/>
      <c r="O6" s="23">
        <v>2017</v>
      </c>
      <c r="P6" s="23"/>
      <c r="Q6" s="23" t="s">
        <v>539</v>
      </c>
      <c r="R6" s="23" t="s">
        <v>540</v>
      </c>
      <c r="S6" s="23" t="s">
        <v>541</v>
      </c>
      <c r="T6" s="13" t="s">
        <v>542</v>
      </c>
      <c r="U6" s="13" t="s">
        <v>544</v>
      </c>
      <c r="V6" s="13" t="s">
        <v>545</v>
      </c>
      <c r="W6" s="13" t="s">
        <v>546</v>
      </c>
      <c r="X6" s="13" t="s">
        <v>547</v>
      </c>
      <c r="Y6" s="13" t="s">
        <v>548</v>
      </c>
      <c r="Z6" s="13" t="s">
        <v>549</v>
      </c>
      <c r="AA6" s="13" t="s">
        <v>550</v>
      </c>
      <c r="AB6" s="13" t="s">
        <v>551</v>
      </c>
      <c r="AC6" s="13" t="s">
        <v>552</v>
      </c>
      <c r="AD6" s="13" t="s">
        <v>553</v>
      </c>
      <c r="AE6" s="13" t="s">
        <v>554</v>
      </c>
      <c r="AF6" s="13"/>
      <c r="AG6" s="13" t="s">
        <v>543</v>
      </c>
      <c r="AH6" s="13" t="s">
        <v>555</v>
      </c>
      <c r="AI6" s="13" t="s">
        <v>556</v>
      </c>
      <c r="AJ6" s="13" t="s">
        <v>557</v>
      </c>
      <c r="AK6" s="13" t="s">
        <v>558</v>
      </c>
      <c r="AL6" s="13" t="s">
        <v>559</v>
      </c>
      <c r="AM6" s="13" t="s">
        <v>560</v>
      </c>
      <c r="AN6" s="13" t="s">
        <v>561</v>
      </c>
      <c r="AO6" s="13" t="s">
        <v>562</v>
      </c>
      <c r="AP6" s="13" t="s">
        <v>563</v>
      </c>
      <c r="AQ6" s="13" t="s">
        <v>564</v>
      </c>
      <c r="AR6" s="13" t="s">
        <v>565</v>
      </c>
      <c r="AS6" s="13"/>
      <c r="AT6" s="13" t="s">
        <v>566</v>
      </c>
      <c r="AU6" s="13" t="s">
        <v>567</v>
      </c>
      <c r="AV6" s="13" t="s">
        <v>568</v>
      </c>
      <c r="AW6" s="13" t="s">
        <v>569</v>
      </c>
      <c r="AX6" s="13" t="s">
        <v>570</v>
      </c>
      <c r="AY6" s="13" t="s">
        <v>571</v>
      </c>
      <c r="AZ6" s="13" t="s">
        <v>572</v>
      </c>
      <c r="BA6" s="13" t="s">
        <v>573</v>
      </c>
      <c r="BB6" s="13" t="s">
        <v>574</v>
      </c>
      <c r="BC6" s="13" t="s">
        <v>575</v>
      </c>
      <c r="BD6" s="13" t="s">
        <v>576</v>
      </c>
      <c r="BE6" s="13" t="s">
        <v>577</v>
      </c>
      <c r="BG6" s="13" t="s">
        <v>1929</v>
      </c>
      <c r="BH6" s="13" t="s">
        <v>1931</v>
      </c>
      <c r="BI6" s="13" t="s">
        <v>1932</v>
      </c>
      <c r="BJ6" s="13" t="s">
        <v>1933</v>
      </c>
      <c r="BK6" s="13" t="s">
        <v>1934</v>
      </c>
      <c r="BL6" s="13" t="s">
        <v>1935</v>
      </c>
      <c r="BM6" s="13" t="s">
        <v>1936</v>
      </c>
      <c r="BN6" s="13" t="s">
        <v>1937</v>
      </c>
      <c r="BO6" s="13" t="s">
        <v>1938</v>
      </c>
      <c r="BP6" s="13" t="s">
        <v>1939</v>
      </c>
      <c r="BQ6" s="13" t="s">
        <v>1940</v>
      </c>
      <c r="BR6" s="13" t="s">
        <v>1941</v>
      </c>
    </row>
    <row r="7" spans="1:81" s="13" customFormat="1">
      <c r="B7" s="1765" t="s">
        <v>2</v>
      </c>
      <c r="C7" s="1765" t="s">
        <v>3</v>
      </c>
      <c r="D7" s="1766" t="s">
        <v>38</v>
      </c>
      <c r="E7" s="1765" t="s">
        <v>952</v>
      </c>
      <c r="F7" s="1765" t="s">
        <v>37</v>
      </c>
      <c r="G7" s="1765" t="s">
        <v>38</v>
      </c>
      <c r="H7" s="1765" t="s">
        <v>2248</v>
      </c>
      <c r="I7" s="1768" t="s">
        <v>2276</v>
      </c>
      <c r="J7" s="1768" t="s">
        <v>2245</v>
      </c>
      <c r="K7" s="1770" t="s">
        <v>2246</v>
      </c>
      <c r="L7" s="1771" t="s">
        <v>2277</v>
      </c>
      <c r="M7" s="1773" t="s">
        <v>2247</v>
      </c>
      <c r="N7" s="1768" t="s">
        <v>2237</v>
      </c>
      <c r="O7" s="46">
        <v>2017</v>
      </c>
      <c r="P7" s="1775" t="s">
        <v>2240</v>
      </c>
      <c r="Q7" s="19">
        <v>2018</v>
      </c>
      <c r="R7" s="19">
        <v>2019</v>
      </c>
      <c r="S7" s="19">
        <v>2020</v>
      </c>
      <c r="T7" s="1767" t="s">
        <v>121</v>
      </c>
      <c r="U7" s="1767"/>
      <c r="V7" s="1767"/>
      <c r="W7" s="1767"/>
      <c r="X7" s="1767"/>
      <c r="Y7" s="1767"/>
      <c r="Z7" s="1767"/>
      <c r="AA7" s="1767"/>
      <c r="AB7" s="1767"/>
      <c r="AC7" s="1767"/>
      <c r="AD7" s="1767"/>
      <c r="AE7" s="1767"/>
      <c r="AF7" s="18" t="s">
        <v>518</v>
      </c>
      <c r="AG7" s="1767" t="s">
        <v>34</v>
      </c>
      <c r="AH7" s="1767"/>
      <c r="AI7" s="1767"/>
      <c r="AJ7" s="1767"/>
      <c r="AK7" s="1767"/>
      <c r="AL7" s="1767"/>
      <c r="AM7" s="1767"/>
      <c r="AN7" s="1767"/>
      <c r="AO7" s="1767"/>
      <c r="AP7" s="1767"/>
      <c r="AQ7" s="1767"/>
      <c r="AR7" s="1767"/>
      <c r="AS7" s="18" t="s">
        <v>519</v>
      </c>
      <c r="AT7" s="1767" t="s">
        <v>1099</v>
      </c>
      <c r="AU7" s="1767"/>
      <c r="AV7" s="1767"/>
      <c r="AW7" s="1767"/>
      <c r="AX7" s="1767"/>
      <c r="AY7" s="1767"/>
      <c r="AZ7" s="1767"/>
      <c r="BA7" s="1767"/>
      <c r="BB7" s="1767"/>
      <c r="BC7" s="1767"/>
      <c r="BD7" s="1767"/>
      <c r="BE7" s="1767"/>
      <c r="BF7" s="1767"/>
      <c r="BG7" s="1767" t="s">
        <v>1930</v>
      </c>
      <c r="BH7" s="1767"/>
      <c r="BI7" s="1767"/>
      <c r="BJ7" s="1767"/>
      <c r="BK7" s="1767"/>
      <c r="BL7" s="1767"/>
      <c r="BM7" s="1767"/>
      <c r="BN7" s="1767"/>
      <c r="BO7" s="1767"/>
      <c r="BP7" s="1767"/>
      <c r="BQ7" s="1767"/>
      <c r="BR7" s="1767"/>
      <c r="BS7" s="1767"/>
      <c r="BT7" s="18" t="s">
        <v>587</v>
      </c>
      <c r="BU7" s="27" t="s">
        <v>588</v>
      </c>
      <c r="BV7" s="15"/>
      <c r="BW7" s="15"/>
      <c r="BX7" s="15"/>
      <c r="BY7" s="15"/>
      <c r="BZ7" s="15"/>
      <c r="CA7" s="15"/>
      <c r="CB7" s="15"/>
      <c r="CC7" s="15"/>
    </row>
    <row r="8" spans="1:81" s="13" customFormat="1">
      <c r="B8" s="1765"/>
      <c r="C8" s="1765"/>
      <c r="D8" s="1766"/>
      <c r="E8" s="1765"/>
      <c r="F8" s="1765"/>
      <c r="G8" s="1765"/>
      <c r="H8" s="1765"/>
      <c r="I8" s="1769"/>
      <c r="J8" s="1769"/>
      <c r="K8" s="1770"/>
      <c r="L8" s="1772"/>
      <c r="M8" s="1774"/>
      <c r="N8" s="1769"/>
      <c r="O8" s="47"/>
      <c r="P8" s="1775"/>
      <c r="Q8" s="16" t="s">
        <v>517</v>
      </c>
      <c r="R8" s="16" t="s">
        <v>517</v>
      </c>
      <c r="S8" s="16" t="s">
        <v>517</v>
      </c>
      <c r="T8" s="16" t="s">
        <v>35</v>
      </c>
      <c r="U8" s="16" t="s">
        <v>36</v>
      </c>
      <c r="V8" s="16" t="s">
        <v>24</v>
      </c>
      <c r="W8" s="16" t="s">
        <v>25</v>
      </c>
      <c r="X8" s="16" t="s">
        <v>27</v>
      </c>
      <c r="Y8" s="16" t="s">
        <v>26</v>
      </c>
      <c r="Z8" s="16" t="s">
        <v>28</v>
      </c>
      <c r="AA8" s="16" t="s">
        <v>29</v>
      </c>
      <c r="AB8" s="16" t="s">
        <v>30</v>
      </c>
      <c r="AC8" s="16" t="s">
        <v>31</v>
      </c>
      <c r="AD8" s="16" t="s">
        <v>32</v>
      </c>
      <c r="AE8" s="16" t="s">
        <v>33</v>
      </c>
      <c r="AF8" s="16" t="s">
        <v>517</v>
      </c>
      <c r="AG8" s="16" t="s">
        <v>35</v>
      </c>
      <c r="AH8" s="16" t="s">
        <v>36</v>
      </c>
      <c r="AI8" s="16" t="s">
        <v>24</v>
      </c>
      <c r="AJ8" s="16" t="s">
        <v>25</v>
      </c>
      <c r="AK8" s="16" t="s">
        <v>27</v>
      </c>
      <c r="AL8" s="16" t="s">
        <v>26</v>
      </c>
      <c r="AM8" s="16" t="s">
        <v>28</v>
      </c>
      <c r="AN8" s="16" t="s">
        <v>29</v>
      </c>
      <c r="AO8" s="16" t="s">
        <v>30</v>
      </c>
      <c r="AP8" s="16" t="s">
        <v>31</v>
      </c>
      <c r="AQ8" s="16" t="s">
        <v>32</v>
      </c>
      <c r="AR8" s="16" t="s">
        <v>33</v>
      </c>
      <c r="AS8" s="16" t="s">
        <v>517</v>
      </c>
      <c r="AT8" s="16" t="s">
        <v>35</v>
      </c>
      <c r="AU8" s="16" t="s">
        <v>36</v>
      </c>
      <c r="AV8" s="16" t="s">
        <v>24</v>
      </c>
      <c r="AW8" s="16" t="s">
        <v>25</v>
      </c>
      <c r="AX8" s="16" t="s">
        <v>27</v>
      </c>
      <c r="AY8" s="16" t="s">
        <v>26</v>
      </c>
      <c r="AZ8" s="17" t="s">
        <v>28</v>
      </c>
      <c r="BA8" s="17" t="s">
        <v>29</v>
      </c>
      <c r="BB8" s="16" t="s">
        <v>30</v>
      </c>
      <c r="BC8" s="16" t="s">
        <v>31</v>
      </c>
      <c r="BD8" s="16" t="s">
        <v>32</v>
      </c>
      <c r="BE8" s="16" t="s">
        <v>33</v>
      </c>
      <c r="BF8" s="16" t="s">
        <v>517</v>
      </c>
      <c r="BG8" s="16" t="s">
        <v>35</v>
      </c>
      <c r="BH8" s="16" t="s">
        <v>36</v>
      </c>
      <c r="BI8" s="16" t="s">
        <v>24</v>
      </c>
      <c r="BJ8" s="16" t="s">
        <v>25</v>
      </c>
      <c r="BK8" s="16" t="s">
        <v>27</v>
      </c>
      <c r="BL8" s="16" t="s">
        <v>26</v>
      </c>
      <c r="BM8" s="17" t="s">
        <v>28</v>
      </c>
      <c r="BN8" s="17" t="s">
        <v>29</v>
      </c>
      <c r="BO8" s="16" t="s">
        <v>30</v>
      </c>
      <c r="BP8" s="16" t="s">
        <v>31</v>
      </c>
      <c r="BQ8" s="16" t="s">
        <v>32</v>
      </c>
      <c r="BR8" s="16" t="s">
        <v>33</v>
      </c>
      <c r="BS8" s="16" t="s">
        <v>517</v>
      </c>
      <c r="BT8" s="16" t="s">
        <v>517</v>
      </c>
      <c r="BU8" s="25"/>
    </row>
    <row r="9" spans="1:81">
      <c r="B9" s="357" t="s">
        <v>98</v>
      </c>
      <c r="C9" s="358" t="s">
        <v>94</v>
      </c>
      <c r="D9" s="357"/>
      <c r="E9" s="143"/>
      <c r="F9" s="357"/>
      <c r="G9" s="357"/>
      <c r="H9" s="78"/>
      <c r="I9" s="78"/>
      <c r="J9" s="357"/>
      <c r="K9" s="146"/>
      <c r="L9" s="146"/>
      <c r="M9" s="146"/>
      <c r="N9" s="78"/>
      <c r="O9" s="50"/>
      <c r="P9" s="49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26"/>
      <c r="BV9" s="3"/>
      <c r="BW9" s="3"/>
      <c r="BX9" s="3"/>
      <c r="BY9" s="3"/>
      <c r="BZ9" s="3"/>
      <c r="CA9" s="3"/>
      <c r="CB9" s="3"/>
      <c r="CC9" s="3"/>
    </row>
    <row r="10" spans="1:81">
      <c r="B10" s="367" t="s">
        <v>93</v>
      </c>
      <c r="C10" s="358" t="s">
        <v>101</v>
      </c>
      <c r="D10" s="357"/>
      <c r="E10" s="368"/>
      <c r="F10" s="357"/>
      <c r="G10" s="357"/>
      <c r="H10" s="78"/>
      <c r="I10" s="78"/>
      <c r="J10" s="357"/>
      <c r="K10" s="146"/>
      <c r="L10" s="146"/>
      <c r="M10" s="146"/>
      <c r="N10" s="78"/>
      <c r="O10" s="50"/>
      <c r="P10" s="49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26"/>
      <c r="BV10" s="3"/>
      <c r="BW10" s="3"/>
      <c r="BX10" s="3"/>
      <c r="BY10" s="3"/>
      <c r="BZ10" s="3"/>
      <c r="CA10" s="3"/>
      <c r="CB10" s="3"/>
      <c r="CC10" s="3"/>
    </row>
    <row r="11" spans="1:81" s="158" customFormat="1">
      <c r="A11" s="153" t="s">
        <v>520</v>
      </c>
      <c r="B11" s="359">
        <v>1</v>
      </c>
      <c r="C11" s="360" t="s">
        <v>73</v>
      </c>
      <c r="D11" s="360" t="s">
        <v>74</v>
      </c>
      <c r="E11" s="361">
        <v>749250000</v>
      </c>
      <c r="F11" s="362" t="s">
        <v>120</v>
      </c>
      <c r="G11" s="360" t="s">
        <v>74</v>
      </c>
      <c r="H11" s="363">
        <f>+IF(E11&gt;K11,E11-K11,0)</f>
        <v>4159000</v>
      </c>
      <c r="I11" s="363">
        <v>745091000</v>
      </c>
      <c r="J11" s="364">
        <v>745091000</v>
      </c>
      <c r="K11" s="365">
        <f>+O11+Q11+R11+S11+AF11+AS11+BF11+BS11</f>
        <v>745091000</v>
      </c>
      <c r="L11" s="365">
        <v>0</v>
      </c>
      <c r="M11" s="365">
        <f>J11-K11</f>
        <v>0</v>
      </c>
      <c r="N11" s="366" t="s">
        <v>2238</v>
      </c>
      <c r="O11" s="154">
        <f>+SUMIFS(db_Sum,db_Bln,O$6,db_Kode,$A11)</f>
        <v>0</v>
      </c>
      <c r="P11" s="155">
        <f>+IF(H11=0,E11-K11,0)</f>
        <v>0</v>
      </c>
      <c r="Q11" s="156">
        <f>+SUMIFS(db_Sum,db_Bln,Q$6,db_Kode,$A11)</f>
        <v>0</v>
      </c>
      <c r="R11" s="156">
        <f t="shared" ref="R11:AH13" si="0">+SUMIFS(db_Sum,db_Bln,R$6,db_Kode,$A11)</f>
        <v>0</v>
      </c>
      <c r="S11" s="156">
        <f t="shared" si="0"/>
        <v>0</v>
      </c>
      <c r="T11" s="156">
        <f t="shared" si="0"/>
        <v>0</v>
      </c>
      <c r="U11" s="156">
        <f t="shared" si="0"/>
        <v>0</v>
      </c>
      <c r="V11" s="156">
        <f t="shared" si="0"/>
        <v>0</v>
      </c>
      <c r="W11" s="156">
        <f t="shared" si="0"/>
        <v>0</v>
      </c>
      <c r="X11" s="156">
        <f t="shared" si="0"/>
        <v>0</v>
      </c>
      <c r="Y11" s="156">
        <f>+SUMIFS(db_Sum,db_Bln,Y$6,db_Kode,$A11)</f>
        <v>76010000</v>
      </c>
      <c r="Z11" s="156">
        <f t="shared" si="0"/>
        <v>152020000</v>
      </c>
      <c r="AA11" s="156">
        <f t="shared" si="0"/>
        <v>0</v>
      </c>
      <c r="AB11" s="156">
        <f t="shared" si="0"/>
        <v>0</v>
      </c>
      <c r="AC11" s="156">
        <f t="shared" si="0"/>
        <v>0</v>
      </c>
      <c r="AD11" s="156">
        <f t="shared" si="0"/>
        <v>0</v>
      </c>
      <c r="AE11" s="156">
        <f t="shared" si="0"/>
        <v>76010000</v>
      </c>
      <c r="AF11" s="156">
        <f t="shared" ref="AF11:AF17" si="1">+SUM(T11:AE11)</f>
        <v>304040000</v>
      </c>
      <c r="AG11" s="156">
        <f t="shared" si="0"/>
        <v>153450000</v>
      </c>
      <c r="AH11" s="156">
        <f t="shared" si="0"/>
        <v>0</v>
      </c>
      <c r="AI11" s="156"/>
      <c r="AJ11" s="156">
        <f t="shared" ref="AJ11:BH11" si="2">+SUMIFS(db_Sum,db_Bln,AJ$6,db_Kode,$A11)</f>
        <v>0</v>
      </c>
      <c r="AK11" s="156">
        <f t="shared" si="2"/>
        <v>0</v>
      </c>
      <c r="AL11" s="156">
        <f t="shared" si="2"/>
        <v>0</v>
      </c>
      <c r="AM11" s="156">
        <f>+SUMIFS(db_Sum,db_Bln,AM$6,db_Kode,$A11)</f>
        <v>287601000</v>
      </c>
      <c r="AN11" s="156">
        <f t="shared" si="2"/>
        <v>0</v>
      </c>
      <c r="AO11" s="156">
        <f t="shared" si="2"/>
        <v>0</v>
      </c>
      <c r="AP11" s="156">
        <f t="shared" si="2"/>
        <v>0</v>
      </c>
      <c r="AQ11" s="156">
        <f t="shared" si="2"/>
        <v>0</v>
      </c>
      <c r="AR11" s="156">
        <f t="shared" si="2"/>
        <v>0</v>
      </c>
      <c r="AS11" s="156">
        <f>+SUM(AG11:AR11)</f>
        <v>441051000</v>
      </c>
      <c r="AT11" s="156">
        <f t="shared" si="2"/>
        <v>0</v>
      </c>
      <c r="AU11" s="156">
        <f t="shared" si="2"/>
        <v>0</v>
      </c>
      <c r="AV11" s="156">
        <f t="shared" si="2"/>
        <v>0</v>
      </c>
      <c r="AW11" s="156">
        <f t="shared" si="2"/>
        <v>0</v>
      </c>
      <c r="AX11" s="156">
        <f t="shared" si="2"/>
        <v>0</v>
      </c>
      <c r="AY11" s="156">
        <f t="shared" si="2"/>
        <v>0</v>
      </c>
      <c r="AZ11" s="156">
        <f t="shared" si="2"/>
        <v>0</v>
      </c>
      <c r="BA11" s="156">
        <f t="shared" si="2"/>
        <v>0</v>
      </c>
      <c r="BB11" s="156">
        <f t="shared" si="2"/>
        <v>0</v>
      </c>
      <c r="BC11" s="156">
        <f t="shared" si="2"/>
        <v>0</v>
      </c>
      <c r="BD11" s="156">
        <f t="shared" si="2"/>
        <v>0</v>
      </c>
      <c r="BE11" s="156">
        <f t="shared" si="2"/>
        <v>0</v>
      </c>
      <c r="BF11" s="156">
        <f t="shared" ref="BF11:BF65" si="3">+SUM(AT11:BE11)</f>
        <v>0</v>
      </c>
      <c r="BG11" s="156">
        <f t="shared" si="2"/>
        <v>0</v>
      </c>
      <c r="BH11" s="156">
        <f t="shared" si="2"/>
        <v>0</v>
      </c>
      <c r="BI11" s="156">
        <f>+SUMIFS(db_Sum,db_Bln,BI$6,db_Kode,$A11)</f>
        <v>0</v>
      </c>
      <c r="BJ11" s="156">
        <f>+SUMIFS(db_Sum,db_Bln,BJ$6,db_Kode,$A11)</f>
        <v>0</v>
      </c>
      <c r="BK11" s="156">
        <f>+SUMIFS(db_Sum,db_Bln,BK$6,db_Kode,$A11)</f>
        <v>0</v>
      </c>
      <c r="BL11" s="156">
        <f>+SUMIFS(db_Sum,db_Bln,BL$6,db_Kode,$A11)</f>
        <v>0</v>
      </c>
      <c r="BM11" s="156"/>
      <c r="BN11" s="156"/>
      <c r="BO11" s="156"/>
      <c r="BP11" s="156"/>
      <c r="BQ11" s="156"/>
      <c r="BR11" s="156"/>
      <c r="BS11" s="156">
        <f t="shared" ref="BS11:BS66" si="4">+SUM(BG11:BR11)</f>
        <v>0</v>
      </c>
      <c r="BT11" s="156">
        <f>+SUM(O11,Q11,R11,S11,AF11,AS11,BF11+BS11)</f>
        <v>745091000</v>
      </c>
      <c r="BU11" s="157" t="str">
        <f>+IF(K11-BT11=0,"OK","ERROR")</f>
        <v>OK</v>
      </c>
      <c r="BV11" s="157"/>
      <c r="BW11" s="157"/>
      <c r="BX11" s="157"/>
      <c r="BY11" s="157"/>
      <c r="BZ11" s="157"/>
      <c r="CA11" s="157"/>
      <c r="CB11" s="157"/>
      <c r="CC11" s="157"/>
    </row>
    <row r="12" spans="1:81" s="158" customFormat="1">
      <c r="A12" s="153" t="s">
        <v>521</v>
      </c>
      <c r="B12" s="272">
        <v>2</v>
      </c>
      <c r="C12" s="273" t="s">
        <v>78</v>
      </c>
      <c r="D12" s="273" t="s">
        <v>80</v>
      </c>
      <c r="E12" s="274">
        <v>50505000</v>
      </c>
      <c r="F12" s="275" t="s">
        <v>79</v>
      </c>
      <c r="G12" s="273" t="s">
        <v>80</v>
      </c>
      <c r="H12" s="276">
        <f>+IF(E12&gt;K12,E12-K12,0)</f>
        <v>2775000</v>
      </c>
      <c r="I12" s="276">
        <v>47730000.000000007</v>
      </c>
      <c r="J12" s="280">
        <v>47730000.000000007</v>
      </c>
      <c r="K12" s="278">
        <f>+O12+Q12+R12+S12+AF12+AS12+BF12+BS12</f>
        <v>47730000</v>
      </c>
      <c r="L12" s="278">
        <v>0</v>
      </c>
      <c r="M12" s="278">
        <f>J12-K12</f>
        <v>0</v>
      </c>
      <c r="N12" s="279" t="s">
        <v>2238</v>
      </c>
      <c r="O12" s="154">
        <f>+SUMIFS(db_Sum,db_Bln,O$6,db_Kode,$A12)</f>
        <v>0</v>
      </c>
      <c r="P12" s="155">
        <f>H12</f>
        <v>2775000</v>
      </c>
      <c r="Q12" s="156">
        <f t="shared" ref="Q12:AE28" si="5">+SUMIFS(db_Sum,db_Bln,Q$6,db_Kode,$A12)</f>
        <v>0</v>
      </c>
      <c r="R12" s="156">
        <f t="shared" si="5"/>
        <v>0</v>
      </c>
      <c r="S12" s="156">
        <f t="shared" si="5"/>
        <v>0</v>
      </c>
      <c r="T12" s="156">
        <f t="shared" si="5"/>
        <v>0</v>
      </c>
      <c r="U12" s="156">
        <f t="shared" si="5"/>
        <v>0</v>
      </c>
      <c r="V12" s="156">
        <f t="shared" si="5"/>
        <v>0</v>
      </c>
      <c r="W12" s="156">
        <f t="shared" si="5"/>
        <v>0</v>
      </c>
      <c r="X12" s="156">
        <f t="shared" si="5"/>
        <v>0</v>
      </c>
      <c r="Y12" s="156">
        <f t="shared" si="5"/>
        <v>0</v>
      </c>
      <c r="Z12" s="156">
        <f t="shared" si="5"/>
        <v>0</v>
      </c>
      <c r="AA12" s="156">
        <f t="shared" si="5"/>
        <v>0</v>
      </c>
      <c r="AB12" s="156">
        <f t="shared" si="5"/>
        <v>0</v>
      </c>
      <c r="AC12" s="156">
        <f t="shared" si="5"/>
        <v>0</v>
      </c>
      <c r="AD12" s="156">
        <f t="shared" si="5"/>
        <v>0</v>
      </c>
      <c r="AE12" s="156">
        <f t="shared" si="5"/>
        <v>0</v>
      </c>
      <c r="AF12" s="156">
        <f t="shared" si="1"/>
        <v>0</v>
      </c>
      <c r="AG12" s="156">
        <f t="shared" si="0"/>
        <v>0</v>
      </c>
      <c r="AH12" s="156">
        <f t="shared" si="0"/>
        <v>0</v>
      </c>
      <c r="AI12" s="156">
        <f t="shared" ref="AI12:BK26" si="6">+SUMIFS(db_Sum,db_Bln,AI$6,db_Kode,$A12)</f>
        <v>0</v>
      </c>
      <c r="AJ12" s="156">
        <f t="shared" si="6"/>
        <v>0</v>
      </c>
      <c r="AK12" s="156">
        <f t="shared" si="6"/>
        <v>47730000</v>
      </c>
      <c r="AL12" s="156">
        <f t="shared" si="6"/>
        <v>0</v>
      </c>
      <c r="AM12" s="156">
        <f t="shared" si="6"/>
        <v>0</v>
      </c>
      <c r="AN12" s="156">
        <f t="shared" si="6"/>
        <v>0</v>
      </c>
      <c r="AO12" s="156">
        <f t="shared" si="6"/>
        <v>0</v>
      </c>
      <c r="AP12" s="156">
        <f t="shared" si="6"/>
        <v>0</v>
      </c>
      <c r="AQ12" s="156">
        <f t="shared" si="6"/>
        <v>0</v>
      </c>
      <c r="AR12" s="156">
        <f t="shared" si="6"/>
        <v>0</v>
      </c>
      <c r="AS12" s="156">
        <f t="shared" ref="AS12:AS17" si="7">+SUM(AG12:AR12)</f>
        <v>47730000</v>
      </c>
      <c r="AT12" s="156">
        <f t="shared" si="6"/>
        <v>0</v>
      </c>
      <c r="AU12" s="156">
        <f t="shared" si="6"/>
        <v>0</v>
      </c>
      <c r="AV12" s="156">
        <f t="shared" si="6"/>
        <v>0</v>
      </c>
      <c r="AW12" s="156">
        <f t="shared" si="6"/>
        <v>0</v>
      </c>
      <c r="AX12" s="156">
        <f t="shared" si="6"/>
        <v>0</v>
      </c>
      <c r="AY12" s="156">
        <f t="shared" si="6"/>
        <v>0</v>
      </c>
      <c r="AZ12" s="156">
        <f t="shared" si="6"/>
        <v>0</v>
      </c>
      <c r="BA12" s="156">
        <f t="shared" si="6"/>
        <v>0</v>
      </c>
      <c r="BB12" s="156">
        <f t="shared" si="6"/>
        <v>0</v>
      </c>
      <c r="BC12" s="156">
        <f t="shared" si="6"/>
        <v>0</v>
      </c>
      <c r="BD12" s="156">
        <f t="shared" si="6"/>
        <v>0</v>
      </c>
      <c r="BE12" s="156">
        <f t="shared" si="6"/>
        <v>0</v>
      </c>
      <c r="BF12" s="156">
        <f t="shared" si="3"/>
        <v>0</v>
      </c>
      <c r="BG12" s="156">
        <f t="shared" si="6"/>
        <v>0</v>
      </c>
      <c r="BH12" s="156">
        <f t="shared" si="6"/>
        <v>0</v>
      </c>
      <c r="BI12" s="156">
        <f t="shared" si="6"/>
        <v>0</v>
      </c>
      <c r="BJ12" s="156">
        <f t="shared" si="6"/>
        <v>0</v>
      </c>
      <c r="BK12" s="156">
        <f t="shared" si="6"/>
        <v>0</v>
      </c>
      <c r="BL12" s="156"/>
      <c r="BM12" s="156"/>
      <c r="BN12" s="156"/>
      <c r="BO12" s="156"/>
      <c r="BP12" s="156"/>
      <c r="BQ12" s="156"/>
      <c r="BR12" s="156"/>
      <c r="BS12" s="156">
        <f t="shared" si="4"/>
        <v>0</v>
      </c>
      <c r="BT12" s="156">
        <f>+SUM(O12,Q12,R12,S12,AF12,AS12,BF12+BS12)</f>
        <v>47730000</v>
      </c>
      <c r="BU12" s="157" t="str">
        <f>+IF(K12-BT12=0,"OK","ERROR")</f>
        <v>OK</v>
      </c>
      <c r="BV12" s="157"/>
      <c r="BW12" s="157"/>
      <c r="BX12" s="157"/>
      <c r="BY12" s="157"/>
      <c r="BZ12" s="157"/>
      <c r="CA12" s="157"/>
      <c r="CB12" s="157"/>
      <c r="CC12" s="157"/>
    </row>
    <row r="13" spans="1:81" s="158" customFormat="1">
      <c r="A13" s="153" t="s">
        <v>522</v>
      </c>
      <c r="B13" s="272">
        <v>3</v>
      </c>
      <c r="C13" s="273" t="s">
        <v>71</v>
      </c>
      <c r="D13" s="273" t="s">
        <v>72</v>
      </c>
      <c r="E13" s="274">
        <v>295548600</v>
      </c>
      <c r="F13" s="275" t="s">
        <v>81</v>
      </c>
      <c r="G13" s="273" t="s">
        <v>72</v>
      </c>
      <c r="H13" s="276">
        <f>E13-K13</f>
        <v>39638100</v>
      </c>
      <c r="I13" s="276">
        <v>295548600</v>
      </c>
      <c r="J13" s="280">
        <v>295548600</v>
      </c>
      <c r="K13" s="278">
        <v>255910500</v>
      </c>
      <c r="L13" s="278">
        <v>0</v>
      </c>
      <c r="M13" s="278">
        <v>0</v>
      </c>
      <c r="N13" s="281" t="s">
        <v>2286</v>
      </c>
      <c r="O13" s="154">
        <f>+SUMIFS(db_Sum,db_Bln,O$6,db_Kode,$A13)</f>
        <v>0</v>
      </c>
      <c r="P13" s="155">
        <f>+IF(H13=0,E13-K13,0)</f>
        <v>0</v>
      </c>
      <c r="Q13" s="156">
        <f t="shared" si="5"/>
        <v>0</v>
      </c>
      <c r="R13" s="156">
        <f t="shared" si="5"/>
        <v>0</v>
      </c>
      <c r="S13" s="156">
        <f t="shared" si="5"/>
        <v>0</v>
      </c>
      <c r="T13" s="156">
        <f t="shared" si="5"/>
        <v>0</v>
      </c>
      <c r="U13" s="156">
        <f t="shared" si="5"/>
        <v>0</v>
      </c>
      <c r="V13" s="156">
        <f t="shared" si="5"/>
        <v>0</v>
      </c>
      <c r="W13" s="156">
        <f t="shared" si="5"/>
        <v>0</v>
      </c>
      <c r="X13" s="156">
        <f t="shared" si="5"/>
        <v>0</v>
      </c>
      <c r="Y13" s="156">
        <f t="shared" si="5"/>
        <v>0</v>
      </c>
      <c r="Z13" s="156">
        <f t="shared" si="5"/>
        <v>0</v>
      </c>
      <c r="AA13" s="156">
        <f t="shared" si="5"/>
        <v>0</v>
      </c>
      <c r="AB13" s="156">
        <f t="shared" si="5"/>
        <v>0</v>
      </c>
      <c r="AC13" s="156">
        <f t="shared" si="5"/>
        <v>0</v>
      </c>
      <c r="AD13" s="156">
        <f t="shared" si="5"/>
        <v>0</v>
      </c>
      <c r="AE13" s="156">
        <f t="shared" si="5"/>
        <v>0</v>
      </c>
      <c r="AF13" s="156">
        <f t="shared" si="1"/>
        <v>0</v>
      </c>
      <c r="AG13" s="156">
        <f t="shared" si="0"/>
        <v>0</v>
      </c>
      <c r="AH13" s="156">
        <f t="shared" si="0"/>
        <v>0</v>
      </c>
      <c r="AI13" s="156">
        <f t="shared" si="6"/>
        <v>0</v>
      </c>
      <c r="AJ13" s="156">
        <f t="shared" si="6"/>
        <v>0</v>
      </c>
      <c r="AK13" s="156">
        <f t="shared" si="6"/>
        <v>0</v>
      </c>
      <c r="AL13" s="156">
        <f t="shared" si="6"/>
        <v>0</v>
      </c>
      <c r="AM13" s="156">
        <f t="shared" si="6"/>
        <v>147774300</v>
      </c>
      <c r="AN13" s="156">
        <f t="shared" si="6"/>
        <v>0</v>
      </c>
      <c r="AO13" s="156">
        <f t="shared" si="6"/>
        <v>114696200</v>
      </c>
      <c r="AP13" s="156">
        <f t="shared" si="6"/>
        <v>0</v>
      </c>
      <c r="AQ13" s="156">
        <f t="shared" si="6"/>
        <v>0</v>
      </c>
      <c r="AR13" s="156">
        <f t="shared" si="6"/>
        <v>0</v>
      </c>
      <c r="AS13" s="156">
        <f t="shared" si="7"/>
        <v>262470500</v>
      </c>
      <c r="AT13" s="156">
        <f t="shared" si="6"/>
        <v>0</v>
      </c>
      <c r="AU13" s="156">
        <f t="shared" si="6"/>
        <v>0</v>
      </c>
      <c r="AV13" s="156">
        <f t="shared" si="6"/>
        <v>0</v>
      </c>
      <c r="AW13" s="156">
        <f t="shared" si="6"/>
        <v>0</v>
      </c>
      <c r="AX13" s="156">
        <f t="shared" si="6"/>
        <v>0</v>
      </c>
      <c r="AY13" s="156">
        <f t="shared" si="6"/>
        <v>0</v>
      </c>
      <c r="AZ13" s="156">
        <f t="shared" si="6"/>
        <v>0</v>
      </c>
      <c r="BA13" s="156">
        <f t="shared" si="6"/>
        <v>0</v>
      </c>
      <c r="BB13" s="156">
        <f t="shared" si="6"/>
        <v>0</v>
      </c>
      <c r="BC13" s="156">
        <f t="shared" si="6"/>
        <v>0</v>
      </c>
      <c r="BD13" s="156">
        <f t="shared" si="6"/>
        <v>0</v>
      </c>
      <c r="BE13" s="156">
        <f t="shared" si="6"/>
        <v>0</v>
      </c>
      <c r="BF13" s="156">
        <f t="shared" si="3"/>
        <v>0</v>
      </c>
      <c r="BG13" s="156">
        <f t="shared" si="6"/>
        <v>0</v>
      </c>
      <c r="BH13" s="156">
        <f t="shared" si="6"/>
        <v>0</v>
      </c>
      <c r="BI13" s="156">
        <f t="shared" si="6"/>
        <v>0</v>
      </c>
      <c r="BJ13" s="156">
        <f t="shared" si="6"/>
        <v>0</v>
      </c>
      <c r="BK13" s="156">
        <f t="shared" si="6"/>
        <v>0</v>
      </c>
      <c r="BL13" s="156"/>
      <c r="BM13" s="156"/>
      <c r="BN13" s="156"/>
      <c r="BO13" s="156"/>
      <c r="BP13" s="156"/>
      <c r="BQ13" s="156"/>
      <c r="BR13" s="156"/>
      <c r="BS13" s="156">
        <f t="shared" si="4"/>
        <v>0</v>
      </c>
      <c r="BT13" s="156">
        <f>+SUM(O13,Q13,R13,S13,AF13,AS13,BF13+BS13)</f>
        <v>262470500</v>
      </c>
      <c r="BU13" s="157" t="str">
        <f>+IF(K13-BT13=0,"OK","ERROR")</f>
        <v>ERROR</v>
      </c>
      <c r="BV13" s="157"/>
      <c r="BW13" s="157"/>
      <c r="BX13" s="157"/>
      <c r="BY13" s="157"/>
      <c r="BZ13" s="157"/>
      <c r="CA13" s="157"/>
      <c r="CB13" s="157"/>
      <c r="CC13" s="157"/>
    </row>
    <row r="14" spans="1:81" s="158" customFormat="1">
      <c r="A14" s="153"/>
      <c r="B14" s="272"/>
      <c r="C14" s="282" t="s">
        <v>2264</v>
      </c>
      <c r="D14" s="273"/>
      <c r="E14" s="274">
        <v>0</v>
      </c>
      <c r="F14" s="275"/>
      <c r="G14" s="273"/>
      <c r="H14" s="276">
        <f>E14-K14</f>
        <v>-6560000</v>
      </c>
      <c r="I14" s="276">
        <v>0</v>
      </c>
      <c r="J14" s="276">
        <v>6560000</v>
      </c>
      <c r="K14" s="278">
        <v>6560000</v>
      </c>
      <c r="L14" s="278">
        <v>0</v>
      </c>
      <c r="M14" s="278"/>
      <c r="N14" s="281"/>
      <c r="O14" s="154"/>
      <c r="P14" s="155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6"/>
      <c r="AH14" s="156"/>
      <c r="AI14" s="156"/>
      <c r="AJ14" s="156"/>
      <c r="AK14" s="156"/>
      <c r="AL14" s="156"/>
      <c r="AM14" s="156"/>
      <c r="AN14" s="156"/>
      <c r="AO14" s="156"/>
      <c r="AP14" s="156"/>
      <c r="AQ14" s="156"/>
      <c r="AR14" s="156"/>
      <c r="AS14" s="156"/>
      <c r="AT14" s="156"/>
      <c r="AU14" s="156"/>
      <c r="AV14" s="156"/>
      <c r="AW14" s="156"/>
      <c r="AX14" s="156"/>
      <c r="AY14" s="156"/>
      <c r="AZ14" s="156"/>
      <c r="BA14" s="156"/>
      <c r="BB14" s="156"/>
      <c r="BC14" s="156"/>
      <c r="BD14" s="156"/>
      <c r="BE14" s="156"/>
      <c r="BF14" s="156"/>
      <c r="BG14" s="156"/>
      <c r="BH14" s="156"/>
      <c r="BI14" s="156"/>
      <c r="BJ14" s="156"/>
      <c r="BK14" s="156"/>
      <c r="BL14" s="156"/>
      <c r="BM14" s="156"/>
      <c r="BN14" s="156"/>
      <c r="BO14" s="156"/>
      <c r="BP14" s="156"/>
      <c r="BQ14" s="156"/>
      <c r="BR14" s="156"/>
      <c r="BS14" s="156"/>
      <c r="BT14" s="156"/>
      <c r="BU14" s="157"/>
      <c r="BV14" s="157"/>
      <c r="BW14" s="157"/>
      <c r="BX14" s="157"/>
      <c r="BY14" s="157"/>
      <c r="BZ14" s="157"/>
      <c r="CA14" s="157"/>
      <c r="CB14" s="157"/>
      <c r="CC14" s="157"/>
    </row>
    <row r="15" spans="1:81" s="158" customFormat="1">
      <c r="A15" s="153" t="s">
        <v>523</v>
      </c>
      <c r="B15" s="272">
        <v>4</v>
      </c>
      <c r="C15" s="273" t="s">
        <v>117</v>
      </c>
      <c r="D15" s="273" t="s">
        <v>83</v>
      </c>
      <c r="E15" s="274">
        <v>13875000</v>
      </c>
      <c r="F15" s="275" t="s">
        <v>82</v>
      </c>
      <c r="G15" s="273" t="s">
        <v>83</v>
      </c>
      <c r="H15" s="276">
        <f>E15-K15</f>
        <v>-11453750</v>
      </c>
      <c r="I15" s="276">
        <v>25328750</v>
      </c>
      <c r="J15" s="283">
        <v>25328750</v>
      </c>
      <c r="K15" s="278">
        <f>+O15+Q15+R15+S15+AF15+AS15+BF15+BS15</f>
        <v>25328750</v>
      </c>
      <c r="L15" s="278">
        <v>0</v>
      </c>
      <c r="M15" s="278">
        <f>J15-K15</f>
        <v>0</v>
      </c>
      <c r="N15" s="279" t="s">
        <v>2238</v>
      </c>
      <c r="O15" s="154">
        <f>+SUMIFS(db_Sum,db_Bln,O$6,db_Kode,$A15)</f>
        <v>0</v>
      </c>
      <c r="P15" s="155">
        <f>+IF(H15=0,E15-K15,0)</f>
        <v>0</v>
      </c>
      <c r="Q15" s="156">
        <f t="shared" si="5"/>
        <v>0</v>
      </c>
      <c r="R15" s="156">
        <f t="shared" si="5"/>
        <v>0</v>
      </c>
      <c r="S15" s="156">
        <f t="shared" si="5"/>
        <v>0</v>
      </c>
      <c r="T15" s="156">
        <f t="shared" si="5"/>
        <v>0</v>
      </c>
      <c r="U15" s="156">
        <f t="shared" si="5"/>
        <v>0</v>
      </c>
      <c r="V15" s="156">
        <f t="shared" si="5"/>
        <v>0</v>
      </c>
      <c r="W15" s="156">
        <f t="shared" si="5"/>
        <v>0</v>
      </c>
      <c r="X15" s="156">
        <f t="shared" si="5"/>
        <v>0</v>
      </c>
      <c r="Y15" s="156">
        <f t="shared" si="5"/>
        <v>0</v>
      </c>
      <c r="Z15" s="156">
        <f t="shared" si="5"/>
        <v>0</v>
      </c>
      <c r="AA15" s="156">
        <f t="shared" si="5"/>
        <v>0</v>
      </c>
      <c r="AB15" s="156">
        <f t="shared" si="5"/>
        <v>0</v>
      </c>
      <c r="AC15" s="156">
        <f t="shared" si="5"/>
        <v>0</v>
      </c>
      <c r="AD15" s="156">
        <f t="shared" si="5"/>
        <v>0</v>
      </c>
      <c r="AE15" s="156">
        <f t="shared" si="5"/>
        <v>0</v>
      </c>
      <c r="AF15" s="156">
        <f t="shared" si="1"/>
        <v>0</v>
      </c>
      <c r="AG15" s="156">
        <f t="shared" ref="AG15:BI28" si="8">+SUMIFS(db_Sum,db_Bln,AG$6,db_Kode,$A15)</f>
        <v>0</v>
      </c>
      <c r="AH15" s="156">
        <f t="shared" si="8"/>
        <v>0</v>
      </c>
      <c r="AI15" s="156">
        <f t="shared" si="8"/>
        <v>0</v>
      </c>
      <c r="AJ15" s="156">
        <f t="shared" si="8"/>
        <v>0</v>
      </c>
      <c r="AK15" s="156">
        <f t="shared" si="8"/>
        <v>0</v>
      </c>
      <c r="AL15" s="156">
        <f t="shared" si="8"/>
        <v>0</v>
      </c>
      <c r="AM15" s="156">
        <f t="shared" si="8"/>
        <v>0</v>
      </c>
      <c r="AN15" s="156">
        <f t="shared" si="8"/>
        <v>6937500</v>
      </c>
      <c r="AO15" s="156">
        <f t="shared" si="8"/>
        <v>18391250</v>
      </c>
      <c r="AP15" s="156">
        <f t="shared" si="8"/>
        <v>0</v>
      </c>
      <c r="AQ15" s="156">
        <f t="shared" si="8"/>
        <v>0</v>
      </c>
      <c r="AR15" s="156">
        <f t="shared" si="8"/>
        <v>0</v>
      </c>
      <c r="AS15" s="156">
        <f t="shared" si="7"/>
        <v>25328750</v>
      </c>
      <c r="AT15" s="156">
        <f t="shared" si="8"/>
        <v>0</v>
      </c>
      <c r="AU15" s="156">
        <f t="shared" si="8"/>
        <v>0</v>
      </c>
      <c r="AV15" s="156">
        <f t="shared" si="8"/>
        <v>0</v>
      </c>
      <c r="AW15" s="156">
        <f t="shared" si="8"/>
        <v>0</v>
      </c>
      <c r="AX15" s="156">
        <f t="shared" si="8"/>
        <v>0</v>
      </c>
      <c r="AY15" s="156">
        <f t="shared" si="8"/>
        <v>0</v>
      </c>
      <c r="AZ15" s="156">
        <f t="shared" si="8"/>
        <v>0</v>
      </c>
      <c r="BA15" s="156">
        <f t="shared" si="8"/>
        <v>0</v>
      </c>
      <c r="BB15" s="156">
        <f t="shared" si="8"/>
        <v>0</v>
      </c>
      <c r="BC15" s="156">
        <f t="shared" si="8"/>
        <v>0</v>
      </c>
      <c r="BD15" s="156">
        <f t="shared" si="8"/>
        <v>0</v>
      </c>
      <c r="BE15" s="156">
        <f t="shared" si="8"/>
        <v>0</v>
      </c>
      <c r="BF15" s="156">
        <f t="shared" si="3"/>
        <v>0</v>
      </c>
      <c r="BG15" s="156">
        <f t="shared" si="8"/>
        <v>0</v>
      </c>
      <c r="BH15" s="156">
        <f t="shared" si="8"/>
        <v>0</v>
      </c>
      <c r="BI15" s="156">
        <f t="shared" si="8"/>
        <v>0</v>
      </c>
      <c r="BJ15" s="156">
        <f t="shared" si="6"/>
        <v>0</v>
      </c>
      <c r="BK15" s="156">
        <f t="shared" si="6"/>
        <v>0</v>
      </c>
      <c r="BL15" s="156"/>
      <c r="BM15" s="156"/>
      <c r="BN15" s="156"/>
      <c r="BO15" s="156"/>
      <c r="BP15" s="156"/>
      <c r="BQ15" s="156"/>
      <c r="BR15" s="156"/>
      <c r="BS15" s="156">
        <f t="shared" si="4"/>
        <v>0</v>
      </c>
      <c r="BT15" s="156">
        <f>+SUM(O15,Q15,R15,S15,AF15,AS15,BF15+BS15)</f>
        <v>25328750</v>
      </c>
      <c r="BU15" s="157" t="str">
        <f>+IF(K15-BT15=0,"OK","ERROR")</f>
        <v>OK</v>
      </c>
      <c r="BV15" s="157"/>
      <c r="BW15" s="157"/>
      <c r="BX15" s="157"/>
      <c r="BY15" s="157"/>
      <c r="BZ15" s="157"/>
      <c r="CA15" s="157"/>
      <c r="CB15" s="157"/>
      <c r="CC15" s="157"/>
    </row>
    <row r="16" spans="1:81" s="158" customFormat="1">
      <c r="A16" s="153" t="s">
        <v>524</v>
      </c>
      <c r="B16" s="272">
        <v>5</v>
      </c>
      <c r="C16" s="273" t="s">
        <v>78</v>
      </c>
      <c r="D16" s="273" t="s">
        <v>86</v>
      </c>
      <c r="E16" s="274">
        <v>39960000</v>
      </c>
      <c r="F16" s="275" t="s">
        <v>85</v>
      </c>
      <c r="G16" s="273" t="s">
        <v>86</v>
      </c>
      <c r="H16" s="276">
        <f>E16-K16</f>
        <v>0</v>
      </c>
      <c r="I16" s="276">
        <v>39960000</v>
      </c>
      <c r="J16" s="283">
        <v>39960000</v>
      </c>
      <c r="K16" s="278">
        <f>+O16+Q16+R16+S16+AF16+AS16+BF16+BS16</f>
        <v>39960000</v>
      </c>
      <c r="L16" s="278">
        <v>0</v>
      </c>
      <c r="M16" s="278">
        <f>J16-K16</f>
        <v>0</v>
      </c>
      <c r="N16" s="279" t="s">
        <v>2238</v>
      </c>
      <c r="O16" s="154">
        <f>+SUMIFS(db_Sum,db_Bln,O$6,db_Kode,$A16)</f>
        <v>0</v>
      </c>
      <c r="P16" s="155">
        <f>+IF(H16=0,E16-K16,0)</f>
        <v>0</v>
      </c>
      <c r="Q16" s="156">
        <f t="shared" si="5"/>
        <v>0</v>
      </c>
      <c r="R16" s="156">
        <f t="shared" si="5"/>
        <v>0</v>
      </c>
      <c r="S16" s="156">
        <f t="shared" si="5"/>
        <v>0</v>
      </c>
      <c r="T16" s="156">
        <f t="shared" si="5"/>
        <v>0</v>
      </c>
      <c r="U16" s="156">
        <f t="shared" si="5"/>
        <v>0</v>
      </c>
      <c r="V16" s="156">
        <f t="shared" si="5"/>
        <v>0</v>
      </c>
      <c r="W16" s="156">
        <f t="shared" si="5"/>
        <v>0</v>
      </c>
      <c r="X16" s="156">
        <f t="shared" si="5"/>
        <v>0</v>
      </c>
      <c r="Y16" s="156">
        <f t="shared" si="5"/>
        <v>0</v>
      </c>
      <c r="Z16" s="156">
        <f t="shared" si="5"/>
        <v>0</v>
      </c>
      <c r="AA16" s="156">
        <f t="shared" si="5"/>
        <v>0</v>
      </c>
      <c r="AB16" s="156">
        <f t="shared" si="5"/>
        <v>0</v>
      </c>
      <c r="AC16" s="156">
        <f t="shared" si="5"/>
        <v>0</v>
      </c>
      <c r="AD16" s="156">
        <f t="shared" si="5"/>
        <v>0</v>
      </c>
      <c r="AE16" s="156">
        <f t="shared" si="5"/>
        <v>0</v>
      </c>
      <c r="AF16" s="156">
        <f t="shared" si="1"/>
        <v>0</v>
      </c>
      <c r="AG16" s="156">
        <f t="shared" si="8"/>
        <v>0</v>
      </c>
      <c r="AH16" s="156">
        <f t="shared" si="8"/>
        <v>0</v>
      </c>
      <c r="AI16" s="156">
        <f t="shared" si="8"/>
        <v>0</v>
      </c>
      <c r="AJ16" s="156">
        <f t="shared" si="8"/>
        <v>0</v>
      </c>
      <c r="AK16" s="156">
        <f t="shared" si="8"/>
        <v>0</v>
      </c>
      <c r="AL16" s="156">
        <f t="shared" si="8"/>
        <v>0</v>
      </c>
      <c r="AM16" s="156">
        <f t="shared" si="8"/>
        <v>0</v>
      </c>
      <c r="AN16" s="156">
        <f t="shared" si="8"/>
        <v>39960000</v>
      </c>
      <c r="AO16" s="156">
        <f t="shared" si="8"/>
        <v>0</v>
      </c>
      <c r="AP16" s="156">
        <f t="shared" si="8"/>
        <v>0</v>
      </c>
      <c r="AQ16" s="156">
        <f t="shared" si="8"/>
        <v>0</v>
      </c>
      <c r="AR16" s="156">
        <f t="shared" si="8"/>
        <v>0</v>
      </c>
      <c r="AS16" s="156">
        <f t="shared" si="7"/>
        <v>39960000</v>
      </c>
      <c r="AT16" s="156">
        <f t="shared" si="8"/>
        <v>0</v>
      </c>
      <c r="AU16" s="156">
        <f t="shared" si="8"/>
        <v>0</v>
      </c>
      <c r="AV16" s="156">
        <f t="shared" si="8"/>
        <v>0</v>
      </c>
      <c r="AW16" s="156">
        <f t="shared" si="8"/>
        <v>0</v>
      </c>
      <c r="AX16" s="156">
        <f t="shared" si="8"/>
        <v>0</v>
      </c>
      <c r="AY16" s="156">
        <f t="shared" si="8"/>
        <v>0</v>
      </c>
      <c r="AZ16" s="156">
        <f t="shared" si="8"/>
        <v>0</v>
      </c>
      <c r="BA16" s="156">
        <f t="shared" si="8"/>
        <v>0</v>
      </c>
      <c r="BB16" s="156">
        <f t="shared" si="8"/>
        <v>0</v>
      </c>
      <c r="BC16" s="156">
        <f t="shared" si="8"/>
        <v>0</v>
      </c>
      <c r="BD16" s="156">
        <f t="shared" si="8"/>
        <v>0</v>
      </c>
      <c r="BE16" s="156">
        <f t="shared" si="8"/>
        <v>0</v>
      </c>
      <c r="BF16" s="156">
        <f t="shared" si="3"/>
        <v>0</v>
      </c>
      <c r="BG16" s="156">
        <f t="shared" si="8"/>
        <v>0</v>
      </c>
      <c r="BH16" s="156">
        <f t="shared" si="8"/>
        <v>0</v>
      </c>
      <c r="BI16" s="156">
        <f t="shared" si="8"/>
        <v>0</v>
      </c>
      <c r="BJ16" s="156">
        <f t="shared" si="6"/>
        <v>0</v>
      </c>
      <c r="BK16" s="156">
        <f t="shared" si="6"/>
        <v>0</v>
      </c>
      <c r="BL16" s="156"/>
      <c r="BM16" s="156"/>
      <c r="BN16" s="156"/>
      <c r="BO16" s="156"/>
      <c r="BP16" s="156"/>
      <c r="BQ16" s="156"/>
      <c r="BR16" s="156"/>
      <c r="BS16" s="156">
        <f t="shared" si="4"/>
        <v>0</v>
      </c>
      <c r="BT16" s="156">
        <f>+SUM(O16,Q16,R16,S16,AF16,AS16,BF16+BS16)</f>
        <v>39960000</v>
      </c>
      <c r="BU16" s="157" t="str">
        <f>+IF(K16-BT16=0,"OK","ERROR")</f>
        <v>OK</v>
      </c>
      <c r="BV16" s="157"/>
      <c r="BW16" s="157"/>
      <c r="BX16" s="157"/>
      <c r="BY16" s="157"/>
      <c r="BZ16" s="157"/>
      <c r="CA16" s="157"/>
      <c r="CB16" s="157"/>
      <c r="CC16" s="157"/>
    </row>
    <row r="17" spans="1:81" s="158" customFormat="1">
      <c r="A17" s="153" t="s">
        <v>525</v>
      </c>
      <c r="B17" s="272">
        <v>6</v>
      </c>
      <c r="C17" s="273" t="s">
        <v>122</v>
      </c>
      <c r="D17" s="273" t="s">
        <v>590</v>
      </c>
      <c r="E17" s="274">
        <v>111000000</v>
      </c>
      <c r="F17" s="275"/>
      <c r="G17" s="273" t="s">
        <v>590</v>
      </c>
      <c r="H17" s="276">
        <f>E17-K17</f>
        <v>-37740000</v>
      </c>
      <c r="I17" s="276">
        <v>148740000</v>
      </c>
      <c r="J17" s="280">
        <v>148740000</v>
      </c>
      <c r="K17" s="278">
        <f>+O17+Q17+R17+S17+AF17+AS17+BF17+BS17</f>
        <v>148740000</v>
      </c>
      <c r="L17" s="278">
        <v>0</v>
      </c>
      <c r="M17" s="278">
        <f>J17-K17</f>
        <v>0</v>
      </c>
      <c r="N17" s="281" t="s">
        <v>2281</v>
      </c>
      <c r="O17" s="154">
        <f>+SUMIFS(db_Sum,db_Bln,O$6,db_Kode,$A17)</f>
        <v>0</v>
      </c>
      <c r="P17" s="155">
        <f>+IF(H17=0,E17-K17,0)</f>
        <v>0</v>
      </c>
      <c r="Q17" s="156">
        <f t="shared" si="5"/>
        <v>0</v>
      </c>
      <c r="R17" s="156">
        <f t="shared" si="5"/>
        <v>0</v>
      </c>
      <c r="S17" s="156">
        <f t="shared" si="5"/>
        <v>0</v>
      </c>
      <c r="T17" s="156">
        <f t="shared" si="5"/>
        <v>0</v>
      </c>
      <c r="U17" s="156">
        <f t="shared" si="5"/>
        <v>0</v>
      </c>
      <c r="V17" s="156">
        <f t="shared" si="5"/>
        <v>0</v>
      </c>
      <c r="W17" s="156">
        <f t="shared" si="5"/>
        <v>0</v>
      </c>
      <c r="X17" s="156">
        <f t="shared" si="5"/>
        <v>0</v>
      </c>
      <c r="Y17" s="156">
        <f t="shared" si="5"/>
        <v>0</v>
      </c>
      <c r="Z17" s="156">
        <f t="shared" si="5"/>
        <v>0</v>
      </c>
      <c r="AA17" s="156">
        <f t="shared" si="5"/>
        <v>0</v>
      </c>
      <c r="AB17" s="156">
        <f t="shared" si="5"/>
        <v>0</v>
      </c>
      <c r="AC17" s="156">
        <f t="shared" si="5"/>
        <v>0</v>
      </c>
      <c r="AD17" s="156">
        <f t="shared" si="5"/>
        <v>0</v>
      </c>
      <c r="AE17" s="156">
        <f t="shared" si="5"/>
        <v>0</v>
      </c>
      <c r="AF17" s="156">
        <f t="shared" si="1"/>
        <v>0</v>
      </c>
      <c r="AG17" s="156">
        <f t="shared" si="8"/>
        <v>0</v>
      </c>
      <c r="AH17" s="156">
        <f t="shared" si="8"/>
        <v>0</v>
      </c>
      <c r="AI17" s="156">
        <f t="shared" si="8"/>
        <v>0</v>
      </c>
      <c r="AJ17" s="156">
        <f t="shared" si="8"/>
        <v>0</v>
      </c>
      <c r="AK17" s="156">
        <f t="shared" si="8"/>
        <v>0</v>
      </c>
      <c r="AL17" s="156">
        <f t="shared" si="8"/>
        <v>0</v>
      </c>
      <c r="AM17" s="156">
        <f t="shared" si="8"/>
        <v>0</v>
      </c>
      <c r="AN17" s="156">
        <f t="shared" si="8"/>
        <v>36075000</v>
      </c>
      <c r="AO17" s="156">
        <f t="shared" si="8"/>
        <v>0</v>
      </c>
      <c r="AP17" s="156">
        <f t="shared" si="8"/>
        <v>69375000</v>
      </c>
      <c r="AQ17" s="156">
        <f t="shared" si="8"/>
        <v>43290000</v>
      </c>
      <c r="AR17" s="156">
        <f t="shared" si="8"/>
        <v>0</v>
      </c>
      <c r="AS17" s="156">
        <f t="shared" si="7"/>
        <v>148740000</v>
      </c>
      <c r="AT17" s="156">
        <f t="shared" si="8"/>
        <v>0</v>
      </c>
      <c r="AU17" s="156">
        <f t="shared" si="8"/>
        <v>0</v>
      </c>
      <c r="AV17" s="156">
        <f t="shared" si="8"/>
        <v>0</v>
      </c>
      <c r="AW17" s="156">
        <f t="shared" si="8"/>
        <v>0</v>
      </c>
      <c r="AX17" s="156">
        <f t="shared" si="8"/>
        <v>0</v>
      </c>
      <c r="AY17" s="156">
        <f t="shared" si="8"/>
        <v>0</v>
      </c>
      <c r="AZ17" s="156">
        <f t="shared" si="8"/>
        <v>0</v>
      </c>
      <c r="BA17" s="156">
        <f t="shared" si="8"/>
        <v>0</v>
      </c>
      <c r="BB17" s="156">
        <f t="shared" si="8"/>
        <v>0</v>
      </c>
      <c r="BC17" s="156">
        <f t="shared" si="8"/>
        <v>0</v>
      </c>
      <c r="BD17" s="156">
        <f t="shared" si="8"/>
        <v>0</v>
      </c>
      <c r="BE17" s="156">
        <f t="shared" si="8"/>
        <v>0</v>
      </c>
      <c r="BF17" s="156">
        <f t="shared" si="3"/>
        <v>0</v>
      </c>
      <c r="BG17" s="156">
        <f t="shared" si="8"/>
        <v>0</v>
      </c>
      <c r="BH17" s="156">
        <f t="shared" si="8"/>
        <v>0</v>
      </c>
      <c r="BI17" s="156">
        <f t="shared" si="8"/>
        <v>0</v>
      </c>
      <c r="BJ17" s="156">
        <f t="shared" si="6"/>
        <v>0</v>
      </c>
      <c r="BK17" s="156">
        <f t="shared" si="6"/>
        <v>0</v>
      </c>
      <c r="BL17" s="156"/>
      <c r="BM17" s="156"/>
      <c r="BN17" s="156"/>
      <c r="BO17" s="156"/>
      <c r="BP17" s="156"/>
      <c r="BQ17" s="156"/>
      <c r="BR17" s="156"/>
      <c r="BS17" s="156">
        <f t="shared" si="4"/>
        <v>0</v>
      </c>
      <c r="BT17" s="156">
        <f>+SUM(O17,Q17,R17,S17,AF17,AS17,BF17+BS17)</f>
        <v>148740000</v>
      </c>
      <c r="BU17" s="157" t="str">
        <f>+IF(K17-BT17=0,"OK","ERROR")</f>
        <v>OK</v>
      </c>
      <c r="BV17" s="157"/>
      <c r="BW17" s="157"/>
      <c r="BX17" s="157"/>
      <c r="BY17" s="157"/>
      <c r="BZ17" s="157"/>
      <c r="CA17" s="157"/>
      <c r="CB17" s="157"/>
      <c r="CC17" s="157"/>
    </row>
    <row r="18" spans="1:81" s="158" customFormat="1">
      <c r="A18" s="153" t="s">
        <v>582</v>
      </c>
      <c r="B18" s="272">
        <v>7</v>
      </c>
      <c r="C18" s="273" t="s">
        <v>583</v>
      </c>
      <c r="D18" s="273"/>
      <c r="E18" s="274"/>
      <c r="F18" s="275"/>
      <c r="G18" s="273"/>
      <c r="H18" s="276"/>
      <c r="I18" s="276"/>
      <c r="J18" s="273"/>
      <c r="K18" s="278"/>
      <c r="L18" s="278"/>
      <c r="M18" s="278"/>
      <c r="N18" s="281"/>
      <c r="O18" s="154">
        <f>+SUMIFS(db_Sum,db_Bln,O$6,db_Kode,$A18)</f>
        <v>0</v>
      </c>
      <c r="P18" s="155">
        <f>+IF(H18=0,E18-K18,0)</f>
        <v>0</v>
      </c>
      <c r="Q18" s="156">
        <f t="shared" si="5"/>
        <v>0</v>
      </c>
      <c r="R18" s="156">
        <f t="shared" si="5"/>
        <v>0</v>
      </c>
      <c r="S18" s="156">
        <f t="shared" si="5"/>
        <v>50000000</v>
      </c>
      <c r="T18" s="156">
        <f t="shared" si="5"/>
        <v>0</v>
      </c>
      <c r="U18" s="156">
        <f t="shared" si="5"/>
        <v>23650000</v>
      </c>
      <c r="V18" s="156">
        <f t="shared" si="5"/>
        <v>0</v>
      </c>
      <c r="W18" s="156">
        <f t="shared" si="5"/>
        <v>23650000</v>
      </c>
      <c r="X18" s="156">
        <f t="shared" si="5"/>
        <v>0</v>
      </c>
      <c r="Y18" s="156">
        <f t="shared" si="5"/>
        <v>0</v>
      </c>
      <c r="Z18" s="156">
        <f t="shared" si="5"/>
        <v>0</v>
      </c>
      <c r="AA18" s="156">
        <f t="shared" si="5"/>
        <v>0</v>
      </c>
      <c r="AB18" s="156">
        <f t="shared" si="5"/>
        <v>0</v>
      </c>
      <c r="AC18" s="156">
        <f t="shared" si="5"/>
        <v>0</v>
      </c>
      <c r="AD18" s="156">
        <f t="shared" si="5"/>
        <v>30000000</v>
      </c>
      <c r="AE18" s="156">
        <f t="shared" si="5"/>
        <v>10000000</v>
      </c>
      <c r="AF18" s="156">
        <f t="shared" ref="AF18" si="9">+SUM(T18:AE18)</f>
        <v>87300000</v>
      </c>
      <c r="AG18" s="156">
        <f t="shared" si="8"/>
        <v>0</v>
      </c>
      <c r="AH18" s="156">
        <f t="shared" si="8"/>
        <v>0</v>
      </c>
      <c r="AI18" s="156">
        <f t="shared" si="8"/>
        <v>0</v>
      </c>
      <c r="AJ18" s="156">
        <f t="shared" si="8"/>
        <v>0</v>
      </c>
      <c r="AK18" s="156">
        <f t="shared" si="8"/>
        <v>10000000</v>
      </c>
      <c r="AL18" s="156">
        <f t="shared" si="8"/>
        <v>0</v>
      </c>
      <c r="AM18" s="156">
        <f t="shared" si="8"/>
        <v>0</v>
      </c>
      <c r="AN18" s="156">
        <f t="shared" si="8"/>
        <v>11100000</v>
      </c>
      <c r="AO18" s="156">
        <f t="shared" si="8"/>
        <v>0</v>
      </c>
      <c r="AP18" s="156">
        <f t="shared" si="8"/>
        <v>11100000</v>
      </c>
      <c r="AQ18" s="156">
        <f t="shared" si="8"/>
        <v>0</v>
      </c>
      <c r="AR18" s="156">
        <f t="shared" si="8"/>
        <v>0</v>
      </c>
      <c r="AS18" s="156">
        <f t="shared" ref="AS18" si="10">+SUM(AG18:AR18)</f>
        <v>32200000</v>
      </c>
      <c r="AT18" s="156">
        <f t="shared" si="8"/>
        <v>0</v>
      </c>
      <c r="AU18" s="156">
        <f t="shared" si="8"/>
        <v>15000000</v>
      </c>
      <c r="AV18" s="156">
        <f t="shared" si="8"/>
        <v>0</v>
      </c>
      <c r="AW18" s="156">
        <f t="shared" si="8"/>
        <v>15000000</v>
      </c>
      <c r="AX18" s="156">
        <f t="shared" si="8"/>
        <v>0</v>
      </c>
      <c r="AY18" s="156">
        <f t="shared" si="8"/>
        <v>0</v>
      </c>
      <c r="AZ18" s="156">
        <f t="shared" si="8"/>
        <v>0</v>
      </c>
      <c r="BA18" s="156">
        <f t="shared" si="8"/>
        <v>0</v>
      </c>
      <c r="BB18" s="156">
        <f t="shared" si="8"/>
        <v>0</v>
      </c>
      <c r="BC18" s="156">
        <f t="shared" si="8"/>
        <v>0</v>
      </c>
      <c r="BD18" s="156">
        <f t="shared" si="8"/>
        <v>0</v>
      </c>
      <c r="BE18" s="156">
        <f t="shared" si="8"/>
        <v>0</v>
      </c>
      <c r="BF18" s="156">
        <f t="shared" si="3"/>
        <v>30000000</v>
      </c>
      <c r="BG18" s="156">
        <f t="shared" si="8"/>
        <v>0</v>
      </c>
      <c r="BH18" s="156">
        <f t="shared" si="8"/>
        <v>0</v>
      </c>
      <c r="BI18" s="156">
        <f t="shared" si="8"/>
        <v>0</v>
      </c>
      <c r="BJ18" s="156">
        <f t="shared" si="6"/>
        <v>0</v>
      </c>
      <c r="BK18" s="156">
        <f t="shared" si="6"/>
        <v>0</v>
      </c>
      <c r="BL18" s="156"/>
      <c r="BM18" s="156"/>
      <c r="BN18" s="156"/>
      <c r="BO18" s="156"/>
      <c r="BP18" s="156"/>
      <c r="BQ18" s="156"/>
      <c r="BR18" s="156"/>
      <c r="BS18" s="156">
        <f t="shared" si="4"/>
        <v>0</v>
      </c>
      <c r="BT18" s="156">
        <f>+SUM(O18,Q18,R18,S18,AF18,AS18,BF18+BS18)</f>
        <v>199500000</v>
      </c>
      <c r="BU18" s="157" t="str">
        <f>+IF(K18-BT18=0,"OK","ERROR")</f>
        <v>ERROR</v>
      </c>
      <c r="BV18" s="157"/>
      <c r="BW18" s="157"/>
      <c r="BX18" s="157"/>
      <c r="BY18" s="157"/>
      <c r="BZ18" s="157"/>
      <c r="CA18" s="157"/>
      <c r="CB18" s="157"/>
      <c r="CC18" s="157"/>
    </row>
    <row r="19" spans="1:81" s="132" customFormat="1">
      <c r="A19" s="13"/>
      <c r="B19" s="284"/>
      <c r="C19" s="285" t="s">
        <v>2267</v>
      </c>
      <c r="D19" s="286"/>
      <c r="E19" s="287"/>
      <c r="F19" s="288"/>
      <c r="G19" s="286"/>
      <c r="H19" s="289">
        <f t="shared" ref="H19:H28" si="11">E19-K19</f>
        <v>-55000000</v>
      </c>
      <c r="I19" s="289">
        <v>55000000</v>
      </c>
      <c r="J19" s="290">
        <v>55000000</v>
      </c>
      <c r="K19" s="291">
        <v>55000000</v>
      </c>
      <c r="L19" s="291"/>
      <c r="M19" s="291">
        <v>0</v>
      </c>
      <c r="N19" s="292" t="s">
        <v>2238</v>
      </c>
      <c r="O19" s="128"/>
      <c r="P19" s="129"/>
      <c r="Q19" s="130"/>
      <c r="R19" s="130"/>
      <c r="S19" s="130"/>
      <c r="T19" s="130"/>
      <c r="U19" s="130"/>
      <c r="V19" s="130"/>
      <c r="W19" s="130"/>
      <c r="X19" s="13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30"/>
      <c r="AJ19" s="130"/>
      <c r="AK19" s="130"/>
      <c r="AL19" s="130"/>
      <c r="AM19" s="130"/>
      <c r="AN19" s="130"/>
      <c r="AO19" s="130"/>
      <c r="AP19" s="130"/>
      <c r="AQ19" s="130"/>
      <c r="AR19" s="130"/>
      <c r="AS19" s="130"/>
      <c r="AT19" s="130"/>
      <c r="AU19" s="130"/>
      <c r="AV19" s="130"/>
      <c r="AW19" s="130"/>
      <c r="AX19" s="130"/>
      <c r="AY19" s="130"/>
      <c r="AZ19" s="130"/>
      <c r="BA19" s="130"/>
      <c r="BB19" s="130"/>
      <c r="BC19" s="130"/>
      <c r="BD19" s="130"/>
      <c r="BE19" s="130"/>
      <c r="BF19" s="130"/>
      <c r="BG19" s="130"/>
      <c r="BH19" s="130"/>
      <c r="BI19" s="130"/>
      <c r="BJ19" s="130"/>
      <c r="BK19" s="130"/>
      <c r="BL19" s="130"/>
      <c r="BM19" s="130"/>
      <c r="BN19" s="130"/>
      <c r="BO19" s="130"/>
      <c r="BP19" s="130"/>
      <c r="BQ19" s="130"/>
      <c r="BR19" s="130"/>
      <c r="BS19" s="130"/>
      <c r="BT19" s="130"/>
      <c r="BU19" s="131"/>
      <c r="BV19" s="131"/>
      <c r="BW19" s="131"/>
      <c r="BX19" s="131"/>
      <c r="BY19" s="131"/>
      <c r="BZ19" s="131"/>
      <c r="CA19" s="131"/>
      <c r="CB19" s="131"/>
      <c r="CC19" s="131"/>
    </row>
    <row r="20" spans="1:81" s="132" customFormat="1">
      <c r="A20" s="13"/>
      <c r="B20" s="284"/>
      <c r="C20" s="285" t="s">
        <v>2268</v>
      </c>
      <c r="D20" s="286"/>
      <c r="E20" s="287"/>
      <c r="F20" s="288"/>
      <c r="G20" s="286"/>
      <c r="H20" s="289">
        <f t="shared" si="11"/>
        <v>-25000000</v>
      </c>
      <c r="I20" s="289">
        <v>25000000</v>
      </c>
      <c r="J20" s="293">
        <v>25000000</v>
      </c>
      <c r="K20" s="291">
        <v>25000000</v>
      </c>
      <c r="L20" s="291"/>
      <c r="M20" s="291">
        <v>0</v>
      </c>
      <c r="N20" s="292" t="s">
        <v>2238</v>
      </c>
      <c r="O20" s="128"/>
      <c r="P20" s="129"/>
      <c r="Q20" s="130"/>
      <c r="R20" s="130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0"/>
      <c r="AZ20" s="130"/>
      <c r="BA20" s="130"/>
      <c r="BB20" s="130"/>
      <c r="BC20" s="130"/>
      <c r="BD20" s="130"/>
      <c r="BE20" s="130"/>
      <c r="BF20" s="130"/>
      <c r="BG20" s="130"/>
      <c r="BH20" s="130"/>
      <c r="BI20" s="130"/>
      <c r="BJ20" s="130"/>
      <c r="BK20" s="130"/>
      <c r="BL20" s="130"/>
      <c r="BM20" s="130"/>
      <c r="BN20" s="130"/>
      <c r="BO20" s="130"/>
      <c r="BP20" s="130"/>
      <c r="BQ20" s="130"/>
      <c r="BR20" s="130"/>
      <c r="BS20" s="130"/>
      <c r="BT20" s="130"/>
      <c r="BU20" s="131"/>
      <c r="BV20" s="131"/>
      <c r="BW20" s="131"/>
      <c r="BX20" s="131"/>
      <c r="BY20" s="131"/>
      <c r="BZ20" s="131"/>
      <c r="CA20" s="131"/>
      <c r="CB20" s="131"/>
      <c r="CC20" s="131"/>
    </row>
    <row r="21" spans="1:81" s="132" customFormat="1">
      <c r="A21" s="13"/>
      <c r="B21" s="284"/>
      <c r="C21" s="285" t="s">
        <v>2269</v>
      </c>
      <c r="D21" s="286"/>
      <c r="E21" s="287"/>
      <c r="F21" s="288"/>
      <c r="G21" s="286"/>
      <c r="H21" s="289">
        <f t="shared" si="11"/>
        <v>-50000000</v>
      </c>
      <c r="I21" s="289">
        <v>50000000</v>
      </c>
      <c r="J21" s="293">
        <v>50000000</v>
      </c>
      <c r="K21" s="291">
        <v>50000000</v>
      </c>
      <c r="L21" s="291"/>
      <c r="M21" s="291">
        <v>0</v>
      </c>
      <c r="N21" s="292" t="s">
        <v>2238</v>
      </c>
      <c r="O21" s="128"/>
      <c r="P21" s="129"/>
      <c r="Q21" s="130"/>
      <c r="R21" s="130"/>
      <c r="S21" s="130"/>
      <c r="T21" s="130"/>
      <c r="U21" s="130"/>
      <c r="V21" s="130"/>
      <c r="W21" s="130"/>
      <c r="X21" s="130"/>
      <c r="Y21" s="130"/>
      <c r="Z21" s="130"/>
      <c r="AA21" s="130"/>
      <c r="AB21" s="130"/>
      <c r="AC21" s="130"/>
      <c r="AD21" s="130"/>
      <c r="AE21" s="130"/>
      <c r="AF21" s="130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130"/>
      <c r="AT21" s="130"/>
      <c r="AU21" s="130"/>
      <c r="AV21" s="130"/>
      <c r="AW21" s="130"/>
      <c r="AX21" s="130"/>
      <c r="AY21" s="130"/>
      <c r="AZ21" s="130"/>
      <c r="BA21" s="130"/>
      <c r="BB21" s="130"/>
      <c r="BC21" s="130"/>
      <c r="BD21" s="130"/>
      <c r="BE21" s="130"/>
      <c r="BF21" s="130"/>
      <c r="BG21" s="130"/>
      <c r="BH21" s="130"/>
      <c r="BI21" s="130"/>
      <c r="BJ21" s="130"/>
      <c r="BK21" s="130"/>
      <c r="BL21" s="130"/>
      <c r="BM21" s="130"/>
      <c r="BN21" s="130"/>
      <c r="BO21" s="130"/>
      <c r="BP21" s="130"/>
      <c r="BQ21" s="130"/>
      <c r="BR21" s="130"/>
      <c r="BS21" s="130"/>
      <c r="BT21" s="130"/>
      <c r="BU21" s="131"/>
      <c r="BV21" s="131"/>
      <c r="BW21" s="131"/>
      <c r="BX21" s="131"/>
      <c r="BY21" s="131"/>
      <c r="BZ21" s="131"/>
      <c r="CA21" s="131"/>
      <c r="CB21" s="131"/>
      <c r="CC21" s="131"/>
    </row>
    <row r="22" spans="1:81" s="132" customFormat="1">
      <c r="A22" s="13"/>
      <c r="B22" s="284"/>
      <c r="C22" s="285" t="s">
        <v>2270</v>
      </c>
      <c r="D22" s="286"/>
      <c r="E22" s="287"/>
      <c r="F22" s="288"/>
      <c r="G22" s="286"/>
      <c r="H22" s="289">
        <f t="shared" si="11"/>
        <v>-69500000</v>
      </c>
      <c r="I22" s="289">
        <v>69500000</v>
      </c>
      <c r="J22" s="293">
        <f>69500000</f>
        <v>69500000</v>
      </c>
      <c r="K22" s="291">
        <v>69500000</v>
      </c>
      <c r="L22" s="291"/>
      <c r="M22" s="291">
        <v>0</v>
      </c>
      <c r="N22" s="292" t="s">
        <v>2238</v>
      </c>
      <c r="O22" s="128"/>
      <c r="P22" s="129"/>
      <c r="Q22" s="130"/>
      <c r="R22" s="130"/>
      <c r="S22" s="130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0"/>
      <c r="AX22" s="130"/>
      <c r="AY22" s="130"/>
      <c r="AZ22" s="130"/>
      <c r="BA22" s="130"/>
      <c r="BB22" s="130"/>
      <c r="BC22" s="130"/>
      <c r="BD22" s="130"/>
      <c r="BE22" s="130"/>
      <c r="BF22" s="130"/>
      <c r="BG22" s="130"/>
      <c r="BH22" s="130"/>
      <c r="BI22" s="130"/>
      <c r="BJ22" s="130"/>
      <c r="BK22" s="130"/>
      <c r="BL22" s="130"/>
      <c r="BM22" s="130"/>
      <c r="BN22" s="130"/>
      <c r="BO22" s="130"/>
      <c r="BP22" s="130"/>
      <c r="BQ22" s="130"/>
      <c r="BR22" s="130"/>
      <c r="BS22" s="130"/>
      <c r="BT22" s="130"/>
      <c r="BU22" s="131"/>
      <c r="BV22" s="131"/>
      <c r="BW22" s="131"/>
      <c r="BX22" s="131"/>
      <c r="BY22" s="131"/>
      <c r="BZ22" s="131"/>
      <c r="CA22" s="131"/>
      <c r="CB22" s="131"/>
      <c r="CC22" s="131"/>
    </row>
    <row r="23" spans="1:81" s="158" customFormat="1">
      <c r="A23" s="153" t="s">
        <v>584</v>
      </c>
      <c r="B23" s="272">
        <v>8</v>
      </c>
      <c r="C23" s="273" t="s">
        <v>585</v>
      </c>
      <c r="D23" s="273"/>
      <c r="E23" s="274"/>
      <c r="F23" s="275"/>
      <c r="G23" s="273"/>
      <c r="H23" s="276">
        <f t="shared" si="11"/>
        <v>-61580600</v>
      </c>
      <c r="I23" s="276"/>
      <c r="J23" s="283">
        <v>61580600</v>
      </c>
      <c r="K23" s="278">
        <f>+O23+Q23+R23+S23+AF23+AS23+BF23+BS23</f>
        <v>61580600</v>
      </c>
      <c r="L23" s="278">
        <v>0</v>
      </c>
      <c r="M23" s="278">
        <f>J23-K23</f>
        <v>0</v>
      </c>
      <c r="N23" s="279" t="s">
        <v>2238</v>
      </c>
      <c r="O23" s="154">
        <f>+SUMIFS(db_Sum,db_Bln,O$6,db_Kode,$A23)</f>
        <v>0</v>
      </c>
      <c r="P23" s="155">
        <f>+IF(H23=0,E23-K23,0)</f>
        <v>0</v>
      </c>
      <c r="Q23" s="156">
        <f t="shared" si="5"/>
        <v>0</v>
      </c>
      <c r="R23" s="156">
        <f t="shared" si="5"/>
        <v>61580600</v>
      </c>
      <c r="S23" s="156">
        <f t="shared" si="5"/>
        <v>0</v>
      </c>
      <c r="T23" s="156">
        <f t="shared" si="5"/>
        <v>0</v>
      </c>
      <c r="U23" s="156">
        <f t="shared" si="5"/>
        <v>0</v>
      </c>
      <c r="V23" s="156">
        <f t="shared" si="5"/>
        <v>0</v>
      </c>
      <c r="W23" s="156">
        <f t="shared" si="5"/>
        <v>0</v>
      </c>
      <c r="X23" s="156">
        <f t="shared" si="5"/>
        <v>0</v>
      </c>
      <c r="Y23" s="156">
        <f t="shared" si="5"/>
        <v>0</v>
      </c>
      <c r="Z23" s="156">
        <f t="shared" si="5"/>
        <v>0</v>
      </c>
      <c r="AA23" s="156">
        <f t="shared" si="5"/>
        <v>0</v>
      </c>
      <c r="AB23" s="156">
        <f t="shared" si="5"/>
        <v>0</v>
      </c>
      <c r="AC23" s="156">
        <f t="shared" si="5"/>
        <v>0</v>
      </c>
      <c r="AD23" s="156">
        <f t="shared" si="5"/>
        <v>0</v>
      </c>
      <c r="AE23" s="156">
        <f t="shared" si="5"/>
        <v>0</v>
      </c>
      <c r="AF23" s="156">
        <f t="shared" ref="AF23" si="12">+SUM(T23:AE23)</f>
        <v>0</v>
      </c>
      <c r="AG23" s="156">
        <f t="shared" si="8"/>
        <v>0</v>
      </c>
      <c r="AH23" s="156">
        <f t="shared" si="8"/>
        <v>0</v>
      </c>
      <c r="AI23" s="156">
        <f t="shared" si="8"/>
        <v>0</v>
      </c>
      <c r="AJ23" s="156">
        <f t="shared" si="8"/>
        <v>0</v>
      </c>
      <c r="AK23" s="156">
        <f t="shared" si="8"/>
        <v>0</v>
      </c>
      <c r="AL23" s="156">
        <f t="shared" si="8"/>
        <v>0</v>
      </c>
      <c r="AM23" s="156">
        <f t="shared" si="8"/>
        <v>0</v>
      </c>
      <c r="AN23" s="156">
        <f t="shared" si="8"/>
        <v>0</v>
      </c>
      <c r="AO23" s="156">
        <f t="shared" si="8"/>
        <v>0</v>
      </c>
      <c r="AP23" s="156">
        <f t="shared" si="8"/>
        <v>0</v>
      </c>
      <c r="AQ23" s="156">
        <f t="shared" si="8"/>
        <v>0</v>
      </c>
      <c r="AR23" s="156">
        <f t="shared" si="8"/>
        <v>0</v>
      </c>
      <c r="AS23" s="156">
        <f t="shared" ref="AS23" si="13">+SUM(AG23:AR23)</f>
        <v>0</v>
      </c>
      <c r="AT23" s="156">
        <f t="shared" si="8"/>
        <v>0</v>
      </c>
      <c r="AU23" s="156">
        <f t="shared" si="8"/>
        <v>0</v>
      </c>
      <c r="AV23" s="156">
        <f t="shared" si="8"/>
        <v>0</v>
      </c>
      <c r="AW23" s="156">
        <f t="shared" si="8"/>
        <v>0</v>
      </c>
      <c r="AX23" s="156">
        <f t="shared" si="8"/>
        <v>0</v>
      </c>
      <c r="AY23" s="156">
        <f t="shared" si="8"/>
        <v>0</v>
      </c>
      <c r="AZ23" s="156">
        <f t="shared" si="8"/>
        <v>0</v>
      </c>
      <c r="BA23" s="156">
        <f t="shared" si="8"/>
        <v>0</v>
      </c>
      <c r="BB23" s="156">
        <f t="shared" si="8"/>
        <v>0</v>
      </c>
      <c r="BC23" s="156">
        <f t="shared" si="8"/>
        <v>0</v>
      </c>
      <c r="BD23" s="156">
        <f t="shared" si="8"/>
        <v>0</v>
      </c>
      <c r="BE23" s="156">
        <f t="shared" si="8"/>
        <v>0</v>
      </c>
      <c r="BF23" s="156">
        <f t="shared" ref="BF23:BF24" si="14">+SUM(AT23:BE23)</f>
        <v>0</v>
      </c>
      <c r="BG23" s="156">
        <f t="shared" si="8"/>
        <v>0</v>
      </c>
      <c r="BH23" s="156">
        <f t="shared" si="8"/>
        <v>0</v>
      </c>
      <c r="BI23" s="156">
        <f t="shared" si="8"/>
        <v>0</v>
      </c>
      <c r="BJ23" s="156">
        <f t="shared" si="6"/>
        <v>0</v>
      </c>
      <c r="BK23" s="156">
        <f t="shared" si="6"/>
        <v>0</v>
      </c>
      <c r="BL23" s="156"/>
      <c r="BM23" s="156"/>
      <c r="BN23" s="156"/>
      <c r="BO23" s="156"/>
      <c r="BP23" s="156"/>
      <c r="BQ23" s="156"/>
      <c r="BR23" s="156"/>
      <c r="BS23" s="156">
        <f t="shared" ref="BS23:BS24" si="15">+SUM(BG23:BR23)</f>
        <v>0</v>
      </c>
      <c r="BT23" s="156">
        <f>+SUM(O23,Q23,R23,S23,AF23,AS23,BF23+BS23)</f>
        <v>61580600</v>
      </c>
      <c r="BU23" s="157" t="str">
        <f>+IF(K23-BT23=0,"OK","ERROR")</f>
        <v>OK</v>
      </c>
      <c r="BV23" s="157"/>
      <c r="BW23" s="157"/>
      <c r="BX23" s="157"/>
      <c r="BY23" s="157"/>
      <c r="BZ23" s="157"/>
      <c r="CA23" s="157"/>
      <c r="CB23" s="157"/>
      <c r="CC23" s="157"/>
    </row>
    <row r="24" spans="1:81" s="158" customFormat="1">
      <c r="A24" s="153" t="s">
        <v>2278</v>
      </c>
      <c r="B24" s="272">
        <v>9</v>
      </c>
      <c r="C24" s="273" t="s">
        <v>2251</v>
      </c>
      <c r="D24" s="273" t="s">
        <v>2252</v>
      </c>
      <c r="E24" s="294">
        <v>0</v>
      </c>
      <c r="F24" s="275"/>
      <c r="G24" s="273"/>
      <c r="H24" s="276">
        <f t="shared" si="11"/>
        <v>-187000000</v>
      </c>
      <c r="I24" s="294">
        <v>187000000.00000003</v>
      </c>
      <c r="J24" s="277">
        <v>187000000.00000003</v>
      </c>
      <c r="K24" s="278">
        <f>+O24+Q24+R24+S24+AF24+AS24+BF24+BS24</f>
        <v>187000000</v>
      </c>
      <c r="L24" s="278">
        <v>0</v>
      </c>
      <c r="M24" s="278">
        <f>J24-K24</f>
        <v>0</v>
      </c>
      <c r="N24" s="279" t="s">
        <v>2238</v>
      </c>
      <c r="O24" s="154"/>
      <c r="P24" s="155"/>
      <c r="Q24" s="156">
        <f t="shared" si="5"/>
        <v>0</v>
      </c>
      <c r="R24" s="156">
        <f t="shared" si="5"/>
        <v>0</v>
      </c>
      <c r="S24" s="156">
        <f t="shared" si="5"/>
        <v>0</v>
      </c>
      <c r="T24" s="156">
        <f t="shared" si="5"/>
        <v>0</v>
      </c>
      <c r="U24" s="156">
        <f t="shared" si="5"/>
        <v>0</v>
      </c>
      <c r="V24" s="156">
        <f t="shared" si="5"/>
        <v>0</v>
      </c>
      <c r="W24" s="156">
        <f t="shared" si="5"/>
        <v>0</v>
      </c>
      <c r="X24" s="156">
        <f t="shared" si="5"/>
        <v>0</v>
      </c>
      <c r="Y24" s="156">
        <f t="shared" si="5"/>
        <v>0</v>
      </c>
      <c r="Z24" s="156">
        <f t="shared" si="5"/>
        <v>0</v>
      </c>
      <c r="AA24" s="156">
        <f t="shared" si="5"/>
        <v>0</v>
      </c>
      <c r="AB24" s="156">
        <f t="shared" si="5"/>
        <v>0</v>
      </c>
      <c r="AC24" s="156">
        <f t="shared" si="5"/>
        <v>0</v>
      </c>
      <c r="AD24" s="156">
        <f t="shared" si="5"/>
        <v>0</v>
      </c>
      <c r="AE24" s="156">
        <f t="shared" si="5"/>
        <v>0</v>
      </c>
      <c r="AF24" s="156">
        <f t="shared" ref="AF24" si="16">+SUM(T24:AE24)</f>
        <v>0</v>
      </c>
      <c r="AG24" s="156">
        <f t="shared" si="8"/>
        <v>0</v>
      </c>
      <c r="AH24" s="156">
        <f t="shared" si="8"/>
        <v>0</v>
      </c>
      <c r="AI24" s="156">
        <f t="shared" si="8"/>
        <v>187000000</v>
      </c>
      <c r="AJ24" s="156">
        <f t="shared" si="8"/>
        <v>0</v>
      </c>
      <c r="AK24" s="156">
        <f t="shared" si="8"/>
        <v>0</v>
      </c>
      <c r="AL24" s="156">
        <f t="shared" si="8"/>
        <v>0</v>
      </c>
      <c r="AM24" s="156">
        <f t="shared" si="8"/>
        <v>0</v>
      </c>
      <c r="AN24" s="156">
        <f t="shared" si="8"/>
        <v>0</v>
      </c>
      <c r="AO24" s="156">
        <f t="shared" si="8"/>
        <v>0</v>
      </c>
      <c r="AP24" s="156">
        <f t="shared" si="8"/>
        <v>0</v>
      </c>
      <c r="AQ24" s="156">
        <f t="shared" si="8"/>
        <v>0</v>
      </c>
      <c r="AR24" s="156">
        <f t="shared" si="8"/>
        <v>0</v>
      </c>
      <c r="AS24" s="156">
        <f t="shared" ref="AS24" si="17">+SUM(AG24:AR24)</f>
        <v>187000000</v>
      </c>
      <c r="AT24" s="156">
        <f t="shared" si="8"/>
        <v>0</v>
      </c>
      <c r="AU24" s="156">
        <f t="shared" si="8"/>
        <v>0</v>
      </c>
      <c r="AV24" s="156">
        <f t="shared" si="8"/>
        <v>0</v>
      </c>
      <c r="AW24" s="156">
        <f t="shared" si="8"/>
        <v>0</v>
      </c>
      <c r="AX24" s="156">
        <f t="shared" si="8"/>
        <v>0</v>
      </c>
      <c r="AY24" s="156">
        <f t="shared" si="8"/>
        <v>0</v>
      </c>
      <c r="AZ24" s="156">
        <f t="shared" si="8"/>
        <v>0</v>
      </c>
      <c r="BA24" s="156">
        <f t="shared" si="8"/>
        <v>0</v>
      </c>
      <c r="BB24" s="156">
        <f t="shared" si="8"/>
        <v>0</v>
      </c>
      <c r="BC24" s="156">
        <f t="shared" si="8"/>
        <v>0</v>
      </c>
      <c r="BD24" s="156">
        <f t="shared" si="8"/>
        <v>0</v>
      </c>
      <c r="BE24" s="156">
        <f t="shared" si="8"/>
        <v>0</v>
      </c>
      <c r="BF24" s="156">
        <f t="shared" si="14"/>
        <v>0</v>
      </c>
      <c r="BG24" s="156">
        <f t="shared" si="8"/>
        <v>0</v>
      </c>
      <c r="BH24" s="156">
        <f t="shared" si="8"/>
        <v>0</v>
      </c>
      <c r="BI24" s="156">
        <f t="shared" si="8"/>
        <v>0</v>
      </c>
      <c r="BJ24" s="156">
        <f t="shared" si="6"/>
        <v>0</v>
      </c>
      <c r="BK24" s="156">
        <f t="shared" si="6"/>
        <v>0</v>
      </c>
      <c r="BL24" s="156"/>
      <c r="BM24" s="156"/>
      <c r="BN24" s="156"/>
      <c r="BO24" s="156"/>
      <c r="BP24" s="156"/>
      <c r="BQ24" s="156"/>
      <c r="BR24" s="156"/>
      <c r="BS24" s="156">
        <f t="shared" si="15"/>
        <v>0</v>
      </c>
      <c r="BT24" s="156"/>
      <c r="BU24" s="157"/>
      <c r="BV24" s="157"/>
      <c r="BW24" s="157"/>
      <c r="BX24" s="157"/>
      <c r="BY24" s="157"/>
      <c r="BZ24" s="157"/>
      <c r="CA24" s="157"/>
      <c r="CB24" s="157"/>
      <c r="CC24" s="157"/>
    </row>
    <row r="25" spans="1:81" s="158" customFormat="1">
      <c r="A25" s="153" t="s">
        <v>2279</v>
      </c>
      <c r="B25" s="272">
        <v>10</v>
      </c>
      <c r="C25" s="273" t="s">
        <v>71</v>
      </c>
      <c r="D25" s="273" t="s">
        <v>72</v>
      </c>
      <c r="E25" s="274">
        <v>0</v>
      </c>
      <c r="F25" s="275"/>
      <c r="G25" s="273"/>
      <c r="H25" s="276">
        <f t="shared" si="11"/>
        <v>-77880000</v>
      </c>
      <c r="I25" s="276">
        <v>77880000</v>
      </c>
      <c r="J25" s="295">
        <v>77880000</v>
      </c>
      <c r="K25" s="278">
        <f>+O25+Q25+R25+S25+AF25+AS25+BF25+BS25</f>
        <v>77880000</v>
      </c>
      <c r="L25" s="278">
        <v>0</v>
      </c>
      <c r="M25" s="278">
        <v>0</v>
      </c>
      <c r="N25" s="279" t="s">
        <v>2238</v>
      </c>
      <c r="O25" s="154"/>
      <c r="P25" s="155"/>
      <c r="Q25" s="156">
        <f t="shared" si="5"/>
        <v>0</v>
      </c>
      <c r="R25" s="156">
        <f t="shared" si="5"/>
        <v>0</v>
      </c>
      <c r="S25" s="156">
        <f t="shared" si="5"/>
        <v>0</v>
      </c>
      <c r="T25" s="156">
        <f t="shared" si="5"/>
        <v>0</v>
      </c>
      <c r="U25" s="156">
        <f t="shared" si="5"/>
        <v>0</v>
      </c>
      <c r="V25" s="156">
        <f t="shared" si="5"/>
        <v>0</v>
      </c>
      <c r="W25" s="156">
        <f t="shared" si="5"/>
        <v>38940000</v>
      </c>
      <c r="X25" s="156">
        <f t="shared" si="5"/>
        <v>0</v>
      </c>
      <c r="Y25" s="156">
        <f t="shared" si="5"/>
        <v>38940000</v>
      </c>
      <c r="Z25" s="156">
        <f t="shared" si="5"/>
        <v>0</v>
      </c>
      <c r="AA25" s="156">
        <f t="shared" si="5"/>
        <v>0</v>
      </c>
      <c r="AB25" s="156">
        <f t="shared" si="5"/>
        <v>0</v>
      </c>
      <c r="AC25" s="156">
        <f t="shared" si="5"/>
        <v>0</v>
      </c>
      <c r="AD25" s="156">
        <f t="shared" si="5"/>
        <v>0</v>
      </c>
      <c r="AE25" s="156">
        <f t="shared" si="5"/>
        <v>0</v>
      </c>
      <c r="AF25" s="156">
        <f t="shared" ref="AF25:AF26" si="18">+SUM(T25:AE25)</f>
        <v>77880000</v>
      </c>
      <c r="AG25" s="156">
        <f t="shared" si="8"/>
        <v>0</v>
      </c>
      <c r="AH25" s="156">
        <f t="shared" si="8"/>
        <v>0</v>
      </c>
      <c r="AI25" s="156">
        <f t="shared" si="8"/>
        <v>0</v>
      </c>
      <c r="AJ25" s="156">
        <f t="shared" si="8"/>
        <v>0</v>
      </c>
      <c r="AK25" s="156">
        <f t="shared" si="8"/>
        <v>0</v>
      </c>
      <c r="AL25" s="156">
        <f t="shared" si="8"/>
        <v>0</v>
      </c>
      <c r="AM25" s="156">
        <f t="shared" si="8"/>
        <v>0</v>
      </c>
      <c r="AN25" s="156">
        <f t="shared" si="8"/>
        <v>0</v>
      </c>
      <c r="AO25" s="156">
        <f t="shared" si="8"/>
        <v>0</v>
      </c>
      <c r="AP25" s="156">
        <f t="shared" si="8"/>
        <v>0</v>
      </c>
      <c r="AQ25" s="156">
        <f t="shared" si="8"/>
        <v>0</v>
      </c>
      <c r="AR25" s="156">
        <f t="shared" si="8"/>
        <v>0</v>
      </c>
      <c r="AS25" s="156">
        <f t="shared" ref="AS25:AS26" si="19">+SUM(AG25:AR25)</f>
        <v>0</v>
      </c>
      <c r="AT25" s="156">
        <f t="shared" si="8"/>
        <v>0</v>
      </c>
      <c r="AU25" s="156">
        <f t="shared" si="8"/>
        <v>0</v>
      </c>
      <c r="AV25" s="156">
        <f t="shared" si="8"/>
        <v>0</v>
      </c>
      <c r="AW25" s="156">
        <f t="shared" si="8"/>
        <v>0</v>
      </c>
      <c r="AX25" s="156">
        <f t="shared" si="8"/>
        <v>0</v>
      </c>
      <c r="AY25" s="156">
        <f t="shared" si="8"/>
        <v>0</v>
      </c>
      <c r="AZ25" s="156">
        <f t="shared" si="8"/>
        <v>0</v>
      </c>
      <c r="BA25" s="156">
        <f t="shared" si="8"/>
        <v>0</v>
      </c>
      <c r="BB25" s="156">
        <f t="shared" si="8"/>
        <v>0</v>
      </c>
      <c r="BC25" s="156">
        <f t="shared" si="8"/>
        <v>0</v>
      </c>
      <c r="BD25" s="156">
        <f t="shared" si="8"/>
        <v>0</v>
      </c>
      <c r="BE25" s="156">
        <f t="shared" si="8"/>
        <v>0</v>
      </c>
      <c r="BF25" s="156">
        <f t="shared" ref="BF25:BF26" si="20">+SUM(AT25:BE25)</f>
        <v>0</v>
      </c>
      <c r="BG25" s="156">
        <f t="shared" si="8"/>
        <v>0</v>
      </c>
      <c r="BH25" s="156">
        <f t="shared" si="8"/>
        <v>0</v>
      </c>
      <c r="BI25" s="156">
        <f t="shared" si="8"/>
        <v>0</v>
      </c>
      <c r="BJ25" s="156">
        <f t="shared" si="6"/>
        <v>0</v>
      </c>
      <c r="BK25" s="156">
        <f t="shared" si="6"/>
        <v>0</v>
      </c>
      <c r="BL25" s="156"/>
      <c r="BM25" s="156"/>
      <c r="BN25" s="156"/>
      <c r="BO25" s="156"/>
      <c r="BP25" s="156"/>
      <c r="BQ25" s="156"/>
      <c r="BR25" s="156"/>
      <c r="BS25" s="156"/>
      <c r="BT25" s="156"/>
      <c r="BU25" s="157"/>
      <c r="BV25" s="157"/>
      <c r="BW25" s="157"/>
      <c r="BX25" s="157"/>
      <c r="BY25" s="157"/>
      <c r="BZ25" s="157"/>
      <c r="CA25" s="157"/>
      <c r="CB25" s="157"/>
      <c r="CC25" s="157"/>
    </row>
    <row r="26" spans="1:81" s="158" customFormat="1">
      <c r="A26" s="153" t="s">
        <v>2280</v>
      </c>
      <c r="B26" s="272">
        <v>11</v>
      </c>
      <c r="C26" s="282" t="s">
        <v>2265</v>
      </c>
      <c r="D26" s="273" t="s">
        <v>2266</v>
      </c>
      <c r="E26" s="274">
        <v>0</v>
      </c>
      <c r="F26" s="275"/>
      <c r="G26" s="273"/>
      <c r="H26" s="276">
        <f t="shared" si="11"/>
        <v>-385000000</v>
      </c>
      <c r="I26" s="276">
        <v>385000000</v>
      </c>
      <c r="J26" s="295">
        <v>385000000</v>
      </c>
      <c r="K26" s="278">
        <f>+O26+Q26+R26+S26+AF26+AS26+BF26+BS26</f>
        <v>385000000</v>
      </c>
      <c r="L26" s="278">
        <v>0</v>
      </c>
      <c r="M26" s="278">
        <v>0</v>
      </c>
      <c r="N26" s="279" t="s">
        <v>2238</v>
      </c>
      <c r="O26" s="154"/>
      <c r="P26" s="155"/>
      <c r="Q26" s="156">
        <f t="shared" si="5"/>
        <v>0</v>
      </c>
      <c r="R26" s="156">
        <f t="shared" si="5"/>
        <v>385000000</v>
      </c>
      <c r="S26" s="156">
        <f t="shared" si="5"/>
        <v>0</v>
      </c>
      <c r="T26" s="156">
        <f t="shared" si="5"/>
        <v>0</v>
      </c>
      <c r="U26" s="156">
        <f t="shared" si="5"/>
        <v>0</v>
      </c>
      <c r="V26" s="156">
        <f t="shared" si="5"/>
        <v>0</v>
      </c>
      <c r="W26" s="156">
        <f t="shared" si="5"/>
        <v>0</v>
      </c>
      <c r="X26" s="156">
        <f t="shared" si="5"/>
        <v>0</v>
      </c>
      <c r="Y26" s="156">
        <f t="shared" si="5"/>
        <v>0</v>
      </c>
      <c r="Z26" s="156">
        <f t="shared" si="5"/>
        <v>0</v>
      </c>
      <c r="AA26" s="156">
        <f t="shared" si="5"/>
        <v>0</v>
      </c>
      <c r="AB26" s="156">
        <f t="shared" si="5"/>
        <v>0</v>
      </c>
      <c r="AC26" s="156">
        <f t="shared" si="5"/>
        <v>0</v>
      </c>
      <c r="AD26" s="156">
        <f t="shared" si="5"/>
        <v>0</v>
      </c>
      <c r="AE26" s="156">
        <f t="shared" si="5"/>
        <v>0</v>
      </c>
      <c r="AF26" s="156">
        <f t="shared" si="18"/>
        <v>0</v>
      </c>
      <c r="AG26" s="156">
        <f t="shared" si="8"/>
        <v>0</v>
      </c>
      <c r="AH26" s="156">
        <f t="shared" si="8"/>
        <v>0</v>
      </c>
      <c r="AI26" s="156">
        <f t="shared" si="8"/>
        <v>0</v>
      </c>
      <c r="AJ26" s="156">
        <f t="shared" si="8"/>
        <v>0</v>
      </c>
      <c r="AK26" s="156">
        <f t="shared" si="8"/>
        <v>0</v>
      </c>
      <c r="AL26" s="156">
        <f t="shared" si="8"/>
        <v>0</v>
      </c>
      <c r="AM26" s="156">
        <f t="shared" si="8"/>
        <v>0</v>
      </c>
      <c r="AN26" s="156">
        <f t="shared" si="8"/>
        <v>0</v>
      </c>
      <c r="AO26" s="156">
        <f t="shared" si="8"/>
        <v>0</v>
      </c>
      <c r="AP26" s="156">
        <f t="shared" si="8"/>
        <v>0</v>
      </c>
      <c r="AQ26" s="156">
        <f t="shared" si="8"/>
        <v>0</v>
      </c>
      <c r="AR26" s="156">
        <f t="shared" si="8"/>
        <v>0</v>
      </c>
      <c r="AS26" s="156">
        <f t="shared" si="19"/>
        <v>0</v>
      </c>
      <c r="AT26" s="156">
        <f t="shared" si="8"/>
        <v>0</v>
      </c>
      <c r="AU26" s="156">
        <f t="shared" si="8"/>
        <v>0</v>
      </c>
      <c r="AV26" s="156">
        <f t="shared" si="8"/>
        <v>0</v>
      </c>
      <c r="AW26" s="156">
        <f t="shared" si="8"/>
        <v>0</v>
      </c>
      <c r="AX26" s="156">
        <f t="shared" si="8"/>
        <v>0</v>
      </c>
      <c r="AY26" s="156">
        <f t="shared" si="8"/>
        <v>0</v>
      </c>
      <c r="AZ26" s="156">
        <f t="shared" si="8"/>
        <v>0</v>
      </c>
      <c r="BA26" s="156">
        <f t="shared" si="8"/>
        <v>0</v>
      </c>
      <c r="BB26" s="156">
        <f t="shared" si="8"/>
        <v>0</v>
      </c>
      <c r="BC26" s="156">
        <f t="shared" si="8"/>
        <v>0</v>
      </c>
      <c r="BD26" s="156">
        <f t="shared" si="8"/>
        <v>0</v>
      </c>
      <c r="BE26" s="156">
        <f t="shared" si="8"/>
        <v>0</v>
      </c>
      <c r="BF26" s="156">
        <f t="shared" si="20"/>
        <v>0</v>
      </c>
      <c r="BG26" s="156">
        <f t="shared" si="8"/>
        <v>0</v>
      </c>
      <c r="BH26" s="156">
        <f t="shared" si="8"/>
        <v>0</v>
      </c>
      <c r="BI26" s="156">
        <f t="shared" si="8"/>
        <v>0</v>
      </c>
      <c r="BJ26" s="156">
        <f t="shared" si="6"/>
        <v>0</v>
      </c>
      <c r="BK26" s="156">
        <f t="shared" si="6"/>
        <v>0</v>
      </c>
      <c r="BL26" s="156"/>
      <c r="BM26" s="156"/>
      <c r="BN26" s="156"/>
      <c r="BO26" s="156"/>
      <c r="BP26" s="156"/>
      <c r="BQ26" s="156"/>
      <c r="BR26" s="156"/>
      <c r="BS26" s="156"/>
      <c r="BT26" s="156"/>
      <c r="BU26" s="157"/>
      <c r="BV26" s="157"/>
      <c r="BW26" s="157"/>
      <c r="BX26" s="157"/>
      <c r="BY26" s="157"/>
      <c r="BZ26" s="157"/>
      <c r="CA26" s="157"/>
      <c r="CB26" s="157"/>
      <c r="CC26" s="157"/>
    </row>
    <row r="27" spans="1:81" s="158" customFormat="1">
      <c r="A27" s="153" t="s">
        <v>2284</v>
      </c>
      <c r="B27" s="272">
        <v>12</v>
      </c>
      <c r="C27" s="296" t="s">
        <v>2285</v>
      </c>
      <c r="D27" s="297" t="s">
        <v>40</v>
      </c>
      <c r="E27" s="274">
        <v>0</v>
      </c>
      <c r="F27" s="275"/>
      <c r="G27" s="297"/>
      <c r="H27" s="276">
        <f t="shared" si="11"/>
        <v>-164755855</v>
      </c>
      <c r="I27" s="276">
        <v>164755855</v>
      </c>
      <c r="J27" s="297">
        <v>164755855</v>
      </c>
      <c r="K27" s="278">
        <f>+O27+Q27+R27+S27+AF27+AS27+BF27+BS27-1</f>
        <v>164755855</v>
      </c>
      <c r="L27" s="278">
        <v>0</v>
      </c>
      <c r="M27" s="278">
        <f>J27-K27</f>
        <v>0</v>
      </c>
      <c r="N27" s="281" t="s">
        <v>2238</v>
      </c>
      <c r="O27" s="154"/>
      <c r="P27" s="155"/>
      <c r="Q27" s="156">
        <f t="shared" ref="Q27:AE27" si="21">+SUMIFS(db_Sum,db_Bln,Q$6,db_Kode,$A27)</f>
        <v>0</v>
      </c>
      <c r="R27" s="156">
        <f t="shared" si="21"/>
        <v>0</v>
      </c>
      <c r="S27" s="156">
        <f t="shared" si="21"/>
        <v>0</v>
      </c>
      <c r="T27" s="156">
        <f t="shared" si="21"/>
        <v>0</v>
      </c>
      <c r="U27" s="156">
        <f t="shared" si="21"/>
        <v>0</v>
      </c>
      <c r="V27" s="156">
        <f t="shared" si="21"/>
        <v>0</v>
      </c>
      <c r="W27" s="156">
        <f t="shared" si="21"/>
        <v>0</v>
      </c>
      <c r="X27" s="156">
        <f t="shared" si="21"/>
        <v>0</v>
      </c>
      <c r="Y27" s="156">
        <f t="shared" si="21"/>
        <v>0</v>
      </c>
      <c r="Z27" s="156">
        <f t="shared" si="21"/>
        <v>0</v>
      </c>
      <c r="AA27" s="156">
        <f t="shared" si="21"/>
        <v>0</v>
      </c>
      <c r="AB27" s="156">
        <f t="shared" si="21"/>
        <v>0</v>
      </c>
      <c r="AC27" s="156">
        <f t="shared" si="21"/>
        <v>0</v>
      </c>
      <c r="AD27" s="156">
        <f t="shared" si="21"/>
        <v>0</v>
      </c>
      <c r="AE27" s="156">
        <f t="shared" si="21"/>
        <v>156446950</v>
      </c>
      <c r="AF27" s="156">
        <f t="shared" ref="AF27" si="22">+SUM(T27:AE27)</f>
        <v>156446950</v>
      </c>
      <c r="AG27" s="156">
        <f t="shared" ref="AG27:AR27" si="23">+SUMIFS(db_Sum,db_Bln,AG$6,db_Kode,$A27)</f>
        <v>0</v>
      </c>
      <c r="AH27" s="156">
        <f t="shared" si="23"/>
        <v>0</v>
      </c>
      <c r="AI27" s="156">
        <f t="shared" si="23"/>
        <v>0</v>
      </c>
      <c r="AJ27" s="156">
        <f t="shared" si="23"/>
        <v>0</v>
      </c>
      <c r="AK27" s="156">
        <f t="shared" si="23"/>
        <v>0</v>
      </c>
      <c r="AL27" s="156">
        <f t="shared" si="23"/>
        <v>0</v>
      </c>
      <c r="AM27" s="156">
        <f t="shared" si="23"/>
        <v>0</v>
      </c>
      <c r="AN27" s="156">
        <f t="shared" si="23"/>
        <v>0</v>
      </c>
      <c r="AO27" s="156">
        <f t="shared" si="23"/>
        <v>0</v>
      </c>
      <c r="AP27" s="156">
        <f t="shared" si="23"/>
        <v>0</v>
      </c>
      <c r="AQ27" s="156">
        <f t="shared" si="23"/>
        <v>0</v>
      </c>
      <c r="AR27" s="156">
        <f t="shared" si="23"/>
        <v>0</v>
      </c>
      <c r="AS27" s="156">
        <f t="shared" ref="AS27" si="24">+SUM(AG27:AR27)</f>
        <v>0</v>
      </c>
      <c r="AT27" s="156">
        <f t="shared" ref="AT27:BE27" si="25">+SUMIFS(db_Sum,db_Bln,AT$6,db_Kode,$A27)</f>
        <v>0</v>
      </c>
      <c r="AU27" s="156">
        <f t="shared" si="25"/>
        <v>0</v>
      </c>
      <c r="AV27" s="156">
        <f t="shared" si="25"/>
        <v>8308906</v>
      </c>
      <c r="AW27" s="156">
        <f t="shared" si="25"/>
        <v>0</v>
      </c>
      <c r="AX27" s="156">
        <f t="shared" si="25"/>
        <v>0</v>
      </c>
      <c r="AY27" s="156">
        <f t="shared" si="25"/>
        <v>0</v>
      </c>
      <c r="AZ27" s="156">
        <f t="shared" si="25"/>
        <v>0</v>
      </c>
      <c r="BA27" s="156">
        <f t="shared" si="25"/>
        <v>0</v>
      </c>
      <c r="BB27" s="156">
        <f t="shared" si="25"/>
        <v>0</v>
      </c>
      <c r="BC27" s="156">
        <f t="shared" si="25"/>
        <v>0</v>
      </c>
      <c r="BD27" s="156">
        <f t="shared" si="25"/>
        <v>0</v>
      </c>
      <c r="BE27" s="156">
        <f t="shared" si="25"/>
        <v>0</v>
      </c>
      <c r="BF27" s="156">
        <f t="shared" ref="BF27" si="26">+SUM(AT27:BE27)</f>
        <v>8308906</v>
      </c>
      <c r="BG27" s="156">
        <f>+SUMIFS(db_Sum,db_Bln,BG$6,db_Kode,$A27)</f>
        <v>0</v>
      </c>
      <c r="BH27" s="156">
        <f>+SUMIFS(db_Sum,db_Bln,BH$6,db_Kode,$A27)</f>
        <v>0</v>
      </c>
      <c r="BI27" s="156">
        <f>+SUMIFS(db_Sum,db_Bln,BI$6,db_Kode,$A27)</f>
        <v>0</v>
      </c>
      <c r="BJ27" s="156">
        <f>+SUMIFS(db_Sum,db_Bln,BJ$6,db_Kode,$A27)</f>
        <v>0</v>
      </c>
      <c r="BK27" s="156">
        <f>+SUMIFS(db_Sum,db_Bln,BK$6,db_Kode,$A27)</f>
        <v>0</v>
      </c>
      <c r="BL27" s="156"/>
      <c r="BM27" s="156"/>
      <c r="BN27" s="156"/>
      <c r="BO27" s="156"/>
      <c r="BP27" s="156"/>
      <c r="BQ27" s="156"/>
      <c r="BR27" s="156"/>
      <c r="BS27" s="156"/>
      <c r="BT27" s="156"/>
      <c r="BU27" s="157"/>
      <c r="BV27" s="161"/>
      <c r="BW27" s="161"/>
      <c r="BX27" s="161"/>
      <c r="BY27" s="161"/>
      <c r="BZ27" s="161"/>
      <c r="CA27" s="161"/>
      <c r="CB27" s="161"/>
      <c r="CC27" s="161"/>
    </row>
    <row r="28" spans="1:81" s="158" customFormat="1">
      <c r="A28" s="153" t="s">
        <v>2282</v>
      </c>
      <c r="B28" s="372">
        <v>13</v>
      </c>
      <c r="C28" s="373" t="s">
        <v>2271</v>
      </c>
      <c r="D28" s="374"/>
      <c r="E28" s="375"/>
      <c r="F28" s="376"/>
      <c r="G28" s="374"/>
      <c r="H28" s="377">
        <f t="shared" si="11"/>
        <v>-216283200</v>
      </c>
      <c r="I28" s="377"/>
      <c r="J28" s="378">
        <v>216283200</v>
      </c>
      <c r="K28" s="356">
        <f>+O28+Q28+R28+S28+AF28+AS28+BF28+BS28</f>
        <v>216283200</v>
      </c>
      <c r="L28" s="356">
        <v>0</v>
      </c>
      <c r="M28" s="356">
        <f>J28-K28</f>
        <v>0</v>
      </c>
      <c r="N28" s="379" t="s">
        <v>2283</v>
      </c>
      <c r="O28" s="154">
        <f>+SUMIFS(db_Sum,db_Bln,O$6,db_Kode,$A28)</f>
        <v>0</v>
      </c>
      <c r="P28" s="155">
        <f>+IF(H28=0,E28-K28,0)</f>
        <v>0</v>
      </c>
      <c r="Q28" s="156">
        <f t="shared" si="5"/>
        <v>0</v>
      </c>
      <c r="R28" s="156">
        <f t="shared" si="5"/>
        <v>0</v>
      </c>
      <c r="S28" s="156">
        <f t="shared" si="5"/>
        <v>0</v>
      </c>
      <c r="T28" s="156">
        <f t="shared" si="5"/>
        <v>0</v>
      </c>
      <c r="U28" s="156">
        <f t="shared" si="5"/>
        <v>0</v>
      </c>
      <c r="V28" s="156">
        <f t="shared" si="5"/>
        <v>0</v>
      </c>
      <c r="W28" s="156">
        <f t="shared" si="5"/>
        <v>2156000</v>
      </c>
      <c r="X28" s="156">
        <f t="shared" si="5"/>
        <v>0</v>
      </c>
      <c r="Y28" s="156">
        <f t="shared" si="5"/>
        <v>0</v>
      </c>
      <c r="Z28" s="156">
        <f t="shared" si="5"/>
        <v>0</v>
      </c>
      <c r="AA28" s="156">
        <f t="shared" si="5"/>
        <v>0</v>
      </c>
      <c r="AB28" s="156">
        <f t="shared" si="5"/>
        <v>0</v>
      </c>
      <c r="AC28" s="156">
        <f t="shared" si="5"/>
        <v>0</v>
      </c>
      <c r="AD28" s="156">
        <f t="shared" si="5"/>
        <v>2227000</v>
      </c>
      <c r="AE28" s="156">
        <f t="shared" si="5"/>
        <v>13924296</v>
      </c>
      <c r="AF28" s="156">
        <f t="shared" ref="AF28" si="27">+SUM(T28:AE28)</f>
        <v>18307296</v>
      </c>
      <c r="AG28" s="156">
        <f t="shared" si="8"/>
        <v>15537219</v>
      </c>
      <c r="AH28" s="156">
        <f t="shared" si="8"/>
        <v>17462250</v>
      </c>
      <c r="AI28" s="156">
        <f t="shared" si="8"/>
        <v>19760259</v>
      </c>
      <c r="AJ28" s="156">
        <f t="shared" si="8"/>
        <v>4680900</v>
      </c>
      <c r="AK28" s="156">
        <f t="shared" si="8"/>
        <v>28198800</v>
      </c>
      <c r="AL28" s="156">
        <f t="shared" si="8"/>
        <v>14919400</v>
      </c>
      <c r="AM28" s="156">
        <f t="shared" si="8"/>
        <v>11143700</v>
      </c>
      <c r="AN28" s="156">
        <f t="shared" si="8"/>
        <v>14314850</v>
      </c>
      <c r="AO28" s="156">
        <f t="shared" si="8"/>
        <v>24402698</v>
      </c>
      <c r="AP28" s="156">
        <f t="shared" si="8"/>
        <v>2958709</v>
      </c>
      <c r="AQ28" s="156">
        <f t="shared" si="8"/>
        <v>3580649</v>
      </c>
      <c r="AR28" s="156">
        <f t="shared" si="8"/>
        <v>2673100</v>
      </c>
      <c r="AS28" s="156">
        <f t="shared" ref="AS28" si="28">+SUM(AG28:AR28)</f>
        <v>159632534</v>
      </c>
      <c r="AT28" s="156">
        <f t="shared" si="8"/>
        <v>7969099</v>
      </c>
      <c r="AU28" s="156">
        <f t="shared" si="8"/>
        <v>941100</v>
      </c>
      <c r="AV28" s="156">
        <f t="shared" si="8"/>
        <v>0</v>
      </c>
      <c r="AW28" s="156">
        <f t="shared" si="8"/>
        <v>0</v>
      </c>
      <c r="AX28" s="156">
        <f t="shared" si="8"/>
        <v>0</v>
      </c>
      <c r="AY28" s="156">
        <f t="shared" si="8"/>
        <v>5240000</v>
      </c>
      <c r="AZ28" s="156">
        <f t="shared" si="8"/>
        <v>13026800</v>
      </c>
      <c r="BA28" s="156">
        <f t="shared" si="8"/>
        <v>5326371</v>
      </c>
      <c r="BB28" s="156">
        <f t="shared" si="8"/>
        <v>2820000</v>
      </c>
      <c r="BC28" s="156">
        <f t="shared" si="8"/>
        <v>3020000</v>
      </c>
      <c r="BD28" s="156">
        <f t="shared" si="8"/>
        <v>0</v>
      </c>
      <c r="BE28" s="156">
        <f t="shared" si="8"/>
        <v>0</v>
      </c>
      <c r="BF28" s="156">
        <f t="shared" ref="BF28" si="29">+SUM(AT28:BE28)</f>
        <v>38343370</v>
      </c>
      <c r="BG28" s="156">
        <f t="shared" si="8"/>
        <v>0</v>
      </c>
      <c r="BH28" s="156">
        <f t="shared" si="8"/>
        <v>0</v>
      </c>
      <c r="BI28" s="156">
        <f t="shared" si="8"/>
        <v>0</v>
      </c>
      <c r="BJ28" s="156">
        <f t="shared" ref="BJ28:BK28" si="30">+SUMIFS(db_Sum,db_Bln,BJ$6,db_Kode,$A28)</f>
        <v>0</v>
      </c>
      <c r="BK28" s="156">
        <f t="shared" si="30"/>
        <v>0</v>
      </c>
      <c r="BL28" s="156"/>
      <c r="BM28" s="156"/>
      <c r="BN28" s="156"/>
      <c r="BO28" s="156"/>
      <c r="BP28" s="156"/>
      <c r="BQ28" s="156"/>
      <c r="BR28" s="156"/>
      <c r="BS28" s="156">
        <f t="shared" ref="BS28" si="31">+SUM(BG28:BR28)</f>
        <v>0</v>
      </c>
      <c r="BT28" s="156">
        <f>+SUM(O28,Q28,R28,S28,AF28,AS28,BF28+BS28)</f>
        <v>216283200</v>
      </c>
      <c r="BU28" s="157" t="str">
        <f>+IF(K28-BT28=0,"OK","ERROR")</f>
        <v>OK</v>
      </c>
      <c r="BV28" s="157"/>
      <c r="BW28" s="157"/>
      <c r="BX28" s="157"/>
      <c r="BY28" s="157"/>
      <c r="BZ28" s="157"/>
      <c r="CA28" s="157"/>
      <c r="CB28" s="157"/>
      <c r="CC28" s="157"/>
    </row>
    <row r="29" spans="1:81">
      <c r="B29" s="142"/>
      <c r="C29" s="143" t="s">
        <v>99</v>
      </c>
      <c r="D29" s="144"/>
      <c r="E29" s="57">
        <f>SUM(E11:E26)</f>
        <v>1260138600</v>
      </c>
      <c r="F29" s="144"/>
      <c r="G29" s="144"/>
      <c r="H29" s="145">
        <f>SUM(H11:H23)</f>
        <v>-270262250</v>
      </c>
      <c r="I29" s="146">
        <f>SUM(I11:I28)</f>
        <v>2316534205</v>
      </c>
      <c r="J29" s="146">
        <f>SUM(J11:J28)</f>
        <v>2600958005</v>
      </c>
      <c r="K29" s="146">
        <f>SUM(K11:K28)</f>
        <v>2561319905</v>
      </c>
      <c r="L29" s="146">
        <f>SUM(L11:L28)</f>
        <v>0</v>
      </c>
      <c r="M29" s="146">
        <f>SUM(M11:M26)</f>
        <v>0</v>
      </c>
      <c r="N29" s="463">
        <f>K29+L29+M29</f>
        <v>2561319905</v>
      </c>
      <c r="O29" s="57">
        <f t="shared" ref="O29:AT29" si="32">SUM(O11:O23)</f>
        <v>0</v>
      </c>
      <c r="P29" s="78">
        <f t="shared" si="32"/>
        <v>2775000</v>
      </c>
      <c r="Q29" s="11">
        <f t="shared" si="32"/>
        <v>0</v>
      </c>
      <c r="R29" s="11">
        <f t="shared" si="32"/>
        <v>61580600</v>
      </c>
      <c r="S29" s="11">
        <f t="shared" si="32"/>
        <v>50000000</v>
      </c>
      <c r="T29" s="11">
        <f t="shared" si="32"/>
        <v>0</v>
      </c>
      <c r="U29" s="11">
        <f t="shared" si="32"/>
        <v>23650000</v>
      </c>
      <c r="V29" s="11">
        <f t="shared" si="32"/>
        <v>0</v>
      </c>
      <c r="W29" s="11">
        <f t="shared" si="32"/>
        <v>23650000</v>
      </c>
      <c r="X29" s="11">
        <f t="shared" si="32"/>
        <v>0</v>
      </c>
      <c r="Y29" s="11">
        <f t="shared" si="32"/>
        <v>76010000</v>
      </c>
      <c r="Z29" s="11">
        <f t="shared" si="32"/>
        <v>152020000</v>
      </c>
      <c r="AA29" s="11">
        <f t="shared" si="32"/>
        <v>0</v>
      </c>
      <c r="AB29" s="11">
        <f t="shared" si="32"/>
        <v>0</v>
      </c>
      <c r="AC29" s="11">
        <f t="shared" si="32"/>
        <v>0</v>
      </c>
      <c r="AD29" s="11">
        <f t="shared" si="32"/>
        <v>30000000</v>
      </c>
      <c r="AE29" s="11">
        <f t="shared" si="32"/>
        <v>86010000</v>
      </c>
      <c r="AF29" s="11">
        <f t="shared" si="32"/>
        <v>391340000</v>
      </c>
      <c r="AG29" s="11">
        <f t="shared" si="32"/>
        <v>153450000</v>
      </c>
      <c r="AH29" s="11">
        <f t="shared" si="32"/>
        <v>0</v>
      </c>
      <c r="AI29" s="11">
        <f t="shared" si="32"/>
        <v>0</v>
      </c>
      <c r="AJ29" s="11">
        <f t="shared" si="32"/>
        <v>0</v>
      </c>
      <c r="AK29" s="11">
        <f t="shared" si="32"/>
        <v>57730000</v>
      </c>
      <c r="AL29" s="11">
        <f t="shared" si="32"/>
        <v>0</v>
      </c>
      <c r="AM29" s="11">
        <f t="shared" si="32"/>
        <v>435375300</v>
      </c>
      <c r="AN29" s="11">
        <f t="shared" si="32"/>
        <v>94072500</v>
      </c>
      <c r="AO29" s="11">
        <f t="shared" si="32"/>
        <v>133087450</v>
      </c>
      <c r="AP29" s="11">
        <f t="shared" si="32"/>
        <v>80475000</v>
      </c>
      <c r="AQ29" s="11">
        <f t="shared" si="32"/>
        <v>43290000</v>
      </c>
      <c r="AR29" s="11">
        <f t="shared" si="32"/>
        <v>0</v>
      </c>
      <c r="AS29" s="11">
        <f t="shared" si="32"/>
        <v>997480250</v>
      </c>
      <c r="AT29" s="11">
        <f t="shared" si="32"/>
        <v>0</v>
      </c>
      <c r="AU29" s="11">
        <f t="shared" ref="AU29:BT29" si="33">SUM(AU11:AU23)</f>
        <v>15000000</v>
      </c>
      <c r="AV29" s="11">
        <f t="shared" si="33"/>
        <v>0</v>
      </c>
      <c r="AW29" s="11">
        <f t="shared" si="33"/>
        <v>15000000</v>
      </c>
      <c r="AX29" s="11">
        <f t="shared" si="33"/>
        <v>0</v>
      </c>
      <c r="AY29" s="11">
        <f t="shared" si="33"/>
        <v>0</v>
      </c>
      <c r="AZ29" s="11">
        <f t="shared" si="33"/>
        <v>0</v>
      </c>
      <c r="BA29" s="11">
        <f t="shared" si="33"/>
        <v>0</v>
      </c>
      <c r="BB29" s="11">
        <f t="shared" si="33"/>
        <v>0</v>
      </c>
      <c r="BC29" s="11">
        <f t="shared" si="33"/>
        <v>0</v>
      </c>
      <c r="BD29" s="11">
        <f t="shared" si="33"/>
        <v>0</v>
      </c>
      <c r="BE29" s="11">
        <f t="shared" si="33"/>
        <v>0</v>
      </c>
      <c r="BF29" s="11">
        <f t="shared" si="33"/>
        <v>30000000</v>
      </c>
      <c r="BG29" s="11">
        <f t="shared" si="33"/>
        <v>0</v>
      </c>
      <c r="BH29" s="11">
        <f t="shared" si="33"/>
        <v>0</v>
      </c>
      <c r="BI29" s="11">
        <f t="shared" si="33"/>
        <v>0</v>
      </c>
      <c r="BJ29" s="11">
        <f t="shared" si="33"/>
        <v>0</v>
      </c>
      <c r="BK29" s="11">
        <f t="shared" si="33"/>
        <v>0</v>
      </c>
      <c r="BL29" s="11">
        <f t="shared" si="33"/>
        <v>0</v>
      </c>
      <c r="BM29" s="11">
        <f t="shared" si="33"/>
        <v>0</v>
      </c>
      <c r="BN29" s="11">
        <f t="shared" si="33"/>
        <v>0</v>
      </c>
      <c r="BO29" s="11">
        <f t="shared" si="33"/>
        <v>0</v>
      </c>
      <c r="BP29" s="11">
        <f t="shared" si="33"/>
        <v>0</v>
      </c>
      <c r="BQ29" s="11">
        <f t="shared" si="33"/>
        <v>0</v>
      </c>
      <c r="BR29" s="11">
        <f t="shared" si="33"/>
        <v>0</v>
      </c>
      <c r="BS29" s="11">
        <f t="shared" si="33"/>
        <v>0</v>
      </c>
      <c r="BT29" s="11">
        <f t="shared" si="33"/>
        <v>1530400850</v>
      </c>
      <c r="BU29" s="26" t="str">
        <f>+IF(K29-BT29=0,"OK","ERROR")</f>
        <v>ERROR</v>
      </c>
      <c r="BV29" s="73">
        <f>BT29-K29</f>
        <v>-1030919055</v>
      </c>
      <c r="BW29" s="3"/>
      <c r="BX29" s="3"/>
      <c r="BY29" s="3"/>
      <c r="BZ29" s="3"/>
      <c r="CA29" s="3"/>
      <c r="CB29" s="3"/>
      <c r="CC29" s="3"/>
    </row>
    <row r="30" spans="1:81">
      <c r="B30" s="367" t="s">
        <v>96</v>
      </c>
      <c r="C30" s="358" t="s">
        <v>100</v>
      </c>
      <c r="D30" s="144"/>
      <c r="E30" s="383"/>
      <c r="F30" s="144"/>
      <c r="G30" s="144"/>
      <c r="H30" s="145"/>
      <c r="I30" s="145"/>
      <c r="J30" s="144"/>
      <c r="K30" s="146"/>
      <c r="L30" s="146"/>
      <c r="M30" s="146"/>
      <c r="N30" s="465"/>
      <c r="O30" s="50"/>
      <c r="P30" s="49"/>
      <c r="Q30" s="6"/>
      <c r="R30" s="6"/>
      <c r="S30" s="6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6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6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6"/>
      <c r="BG30" s="10"/>
      <c r="BH30" s="10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26"/>
      <c r="BV30" s="3"/>
      <c r="BW30" s="3"/>
      <c r="BX30" s="3"/>
      <c r="BY30" s="3"/>
      <c r="BZ30" s="3"/>
      <c r="CA30" s="3"/>
      <c r="CB30" s="3"/>
      <c r="CC30" s="3"/>
    </row>
    <row r="31" spans="1:81" s="158" customFormat="1">
      <c r="A31" s="153" t="s">
        <v>526</v>
      </c>
      <c r="B31" s="359">
        <v>1</v>
      </c>
      <c r="C31" s="380" t="s">
        <v>4</v>
      </c>
      <c r="D31" s="381" t="s">
        <v>39</v>
      </c>
      <c r="E31" s="361">
        <v>5907096800</v>
      </c>
      <c r="F31" s="382" t="s">
        <v>62</v>
      </c>
      <c r="G31" s="381" t="s">
        <v>39</v>
      </c>
      <c r="H31" s="363">
        <f>+IF(E31&gt;K31,E31-K31,0)</f>
        <v>0</v>
      </c>
      <c r="I31" s="363">
        <v>5907096800</v>
      </c>
      <c r="J31" s="381">
        <v>5907096800</v>
      </c>
      <c r="K31" s="365">
        <f t="shared" ref="K31:K37" si="34">+O31+Q31+R31+S31+AF31+AS31+BF31+BS31</f>
        <v>5907096800</v>
      </c>
      <c r="L31" s="365">
        <v>0</v>
      </c>
      <c r="M31" s="365">
        <f>J31-K31</f>
        <v>0</v>
      </c>
      <c r="N31" s="466" t="s">
        <v>2238</v>
      </c>
      <c r="O31" s="154">
        <f t="shared" ref="O31:O37" si="35">+SUMIFS(db_Sum,db_Bln,O$6,db_Kode,$A31)</f>
        <v>0</v>
      </c>
      <c r="P31" s="155">
        <f>+IF(H31=0,E31-K31,0)</f>
        <v>0</v>
      </c>
      <c r="Q31" s="156">
        <f t="shared" ref="Q31:AG37" si="36">+SUMIFS(db_Sum,db_Bln,Q$6,db_Kode,$A31)</f>
        <v>0</v>
      </c>
      <c r="R31" s="156">
        <f t="shared" si="36"/>
        <v>0</v>
      </c>
      <c r="S31" s="156">
        <f t="shared" si="36"/>
        <v>0</v>
      </c>
      <c r="T31" s="156">
        <f t="shared" si="36"/>
        <v>0</v>
      </c>
      <c r="U31" s="156">
        <f t="shared" si="36"/>
        <v>0</v>
      </c>
      <c r="V31" s="156">
        <f t="shared" si="36"/>
        <v>0</v>
      </c>
      <c r="W31" s="156">
        <f t="shared" si="36"/>
        <v>0</v>
      </c>
      <c r="X31" s="156">
        <f t="shared" si="36"/>
        <v>0</v>
      </c>
      <c r="Y31" s="156">
        <f t="shared" si="36"/>
        <v>0</v>
      </c>
      <c r="Z31" s="156">
        <f t="shared" si="36"/>
        <v>0</v>
      </c>
      <c r="AA31" s="156">
        <f t="shared" si="36"/>
        <v>0</v>
      </c>
      <c r="AB31" s="156">
        <f t="shared" si="36"/>
        <v>0</v>
      </c>
      <c r="AC31" s="156">
        <f t="shared" si="36"/>
        <v>0</v>
      </c>
      <c r="AD31" s="156">
        <f t="shared" si="36"/>
        <v>0</v>
      </c>
      <c r="AE31" s="156">
        <f t="shared" si="36"/>
        <v>0</v>
      </c>
      <c r="AF31" s="156">
        <f t="shared" ref="AF31:AF35" si="37">+SUM(T31:AE31)</f>
        <v>0</v>
      </c>
      <c r="AG31" s="156">
        <f t="shared" si="36"/>
        <v>0</v>
      </c>
      <c r="AH31" s="156">
        <f t="shared" ref="AG31:AR37" si="38">+SUMIFS(db_Sum,db_Bln,AH$6,db_Kode,$A31)</f>
        <v>0</v>
      </c>
      <c r="AI31" s="156">
        <f t="shared" si="38"/>
        <v>0</v>
      </c>
      <c r="AJ31" s="156">
        <f t="shared" si="38"/>
        <v>0</v>
      </c>
      <c r="AK31" s="156">
        <f t="shared" si="38"/>
        <v>5907096800</v>
      </c>
      <c r="AL31" s="156">
        <f t="shared" si="38"/>
        <v>0</v>
      </c>
      <c r="AM31" s="156">
        <f t="shared" si="38"/>
        <v>0</v>
      </c>
      <c r="AN31" s="156">
        <f t="shared" si="38"/>
        <v>0</v>
      </c>
      <c r="AO31" s="156">
        <f t="shared" si="38"/>
        <v>0</v>
      </c>
      <c r="AP31" s="156">
        <f t="shared" si="38"/>
        <v>0</v>
      </c>
      <c r="AQ31" s="156">
        <f t="shared" si="38"/>
        <v>0</v>
      </c>
      <c r="AR31" s="156">
        <f t="shared" si="38"/>
        <v>0</v>
      </c>
      <c r="AS31" s="156">
        <f t="shared" ref="AS31:AS35" si="39">+SUM(AG31:AR31)</f>
        <v>5907096800</v>
      </c>
      <c r="AT31" s="156">
        <f t="shared" ref="AT31:BI37" si="40">+SUMIFS(db_Sum,db_Bln,AT$6,db_Kode,$A31)</f>
        <v>0</v>
      </c>
      <c r="AU31" s="156">
        <f t="shared" si="40"/>
        <v>0</v>
      </c>
      <c r="AV31" s="156">
        <f t="shared" si="40"/>
        <v>0</v>
      </c>
      <c r="AW31" s="156">
        <f t="shared" si="40"/>
        <v>0</v>
      </c>
      <c r="AX31" s="156">
        <f t="shared" si="40"/>
        <v>0</v>
      </c>
      <c r="AY31" s="156">
        <f t="shared" si="40"/>
        <v>0</v>
      </c>
      <c r="AZ31" s="156">
        <f t="shared" si="40"/>
        <v>0</v>
      </c>
      <c r="BA31" s="156">
        <f t="shared" si="40"/>
        <v>0</v>
      </c>
      <c r="BB31" s="156">
        <f t="shared" si="40"/>
        <v>0</v>
      </c>
      <c r="BC31" s="156">
        <f t="shared" si="40"/>
        <v>0</v>
      </c>
      <c r="BD31" s="156">
        <f t="shared" si="40"/>
        <v>0</v>
      </c>
      <c r="BE31" s="156">
        <f t="shared" si="40"/>
        <v>0</v>
      </c>
      <c r="BF31" s="156">
        <f t="shared" si="3"/>
        <v>0</v>
      </c>
      <c r="BG31" s="156">
        <f t="shared" si="40"/>
        <v>0</v>
      </c>
      <c r="BH31" s="156">
        <f t="shared" si="40"/>
        <v>0</v>
      </c>
      <c r="BI31" s="156">
        <f>+SUMIFS(db_Sum,db_Bln,BI$6,db_Kode,$A31)</f>
        <v>0</v>
      </c>
      <c r="BJ31" s="156">
        <f>+SUMIFS(db_Sum,db_Bln,BJ$6,db_Kode,$A31)</f>
        <v>0</v>
      </c>
      <c r="BK31" s="156">
        <f>+SUMIFS(db_Sum,db_Bln,BK$6,db_Kode,$A31)</f>
        <v>0</v>
      </c>
      <c r="BL31" s="156"/>
      <c r="BM31" s="156"/>
      <c r="BN31" s="156"/>
      <c r="BO31" s="156"/>
      <c r="BP31" s="156"/>
      <c r="BQ31" s="156"/>
      <c r="BR31" s="156"/>
      <c r="BS31" s="156">
        <f t="shared" si="4"/>
        <v>0</v>
      </c>
      <c r="BT31" s="156">
        <f t="shared" ref="BT31:BT37" si="41">+SUM(O31,Q31,R31,S31,AF31,AS31,BF31+BS31)</f>
        <v>5907096800</v>
      </c>
      <c r="BU31" s="157" t="str">
        <f t="shared" ref="BU31:BU38" si="42">+IF(K31-BT31=0,"OK","ERROR")</f>
        <v>OK</v>
      </c>
      <c r="BV31" s="161"/>
      <c r="BW31" s="161"/>
      <c r="BX31" s="161"/>
      <c r="BY31" s="161"/>
      <c r="BZ31" s="161"/>
      <c r="CA31" s="161"/>
      <c r="CB31" s="161"/>
      <c r="CC31" s="161"/>
    </row>
    <row r="32" spans="1:81" s="158" customFormat="1">
      <c r="A32" s="153" t="s">
        <v>527</v>
      </c>
      <c r="B32" s="272">
        <v>2</v>
      </c>
      <c r="C32" s="300" t="s">
        <v>5</v>
      </c>
      <c r="D32" s="297" t="s">
        <v>39</v>
      </c>
      <c r="E32" s="274">
        <v>5973836000</v>
      </c>
      <c r="F32" s="301" t="s">
        <v>63</v>
      </c>
      <c r="G32" s="297" t="s">
        <v>39</v>
      </c>
      <c r="H32" s="276">
        <f>E32-K32</f>
        <v>-38015320</v>
      </c>
      <c r="I32" s="276">
        <v>6011851320</v>
      </c>
      <c r="J32" s="297">
        <v>6011851320</v>
      </c>
      <c r="K32" s="278">
        <f t="shared" si="34"/>
        <v>6011851320</v>
      </c>
      <c r="L32" s="278">
        <v>0</v>
      </c>
      <c r="M32" s="278">
        <f>J32-K32</f>
        <v>0</v>
      </c>
      <c r="N32" s="467" t="s">
        <v>2238</v>
      </c>
      <c r="O32" s="154">
        <f t="shared" si="35"/>
        <v>0</v>
      </c>
      <c r="P32" s="155">
        <f>+IF(H32=0,E32-K32,0)</f>
        <v>0</v>
      </c>
      <c r="Q32" s="156">
        <f t="shared" si="36"/>
        <v>0</v>
      </c>
      <c r="R32" s="156">
        <f t="shared" si="36"/>
        <v>0</v>
      </c>
      <c r="S32" s="156">
        <f t="shared" si="36"/>
        <v>0</v>
      </c>
      <c r="T32" s="156">
        <f t="shared" si="36"/>
        <v>0</v>
      </c>
      <c r="U32" s="156">
        <f t="shared" si="36"/>
        <v>0</v>
      </c>
      <c r="V32" s="156">
        <f t="shared" si="36"/>
        <v>0</v>
      </c>
      <c r="W32" s="156">
        <f t="shared" si="36"/>
        <v>0</v>
      </c>
      <c r="X32" s="156">
        <f t="shared" si="36"/>
        <v>0</v>
      </c>
      <c r="Y32" s="156">
        <f t="shared" si="36"/>
        <v>0</v>
      </c>
      <c r="Z32" s="156">
        <f t="shared" si="36"/>
        <v>0</v>
      </c>
      <c r="AA32" s="156">
        <f t="shared" si="36"/>
        <v>0</v>
      </c>
      <c r="AB32" s="156">
        <f t="shared" si="36"/>
        <v>0</v>
      </c>
      <c r="AC32" s="156">
        <f t="shared" si="36"/>
        <v>0</v>
      </c>
      <c r="AD32" s="156">
        <f t="shared" si="36"/>
        <v>0</v>
      </c>
      <c r="AE32" s="156">
        <f t="shared" si="36"/>
        <v>0</v>
      </c>
      <c r="AF32" s="156">
        <f t="shared" si="37"/>
        <v>0</v>
      </c>
      <c r="AG32" s="156">
        <f t="shared" si="38"/>
        <v>0</v>
      </c>
      <c r="AH32" s="156">
        <f t="shared" si="38"/>
        <v>0</v>
      </c>
      <c r="AI32" s="156">
        <f t="shared" si="38"/>
        <v>0</v>
      </c>
      <c r="AJ32" s="156">
        <f t="shared" si="38"/>
        <v>0</v>
      </c>
      <c r="AK32" s="156">
        <f t="shared" si="38"/>
        <v>6011851320</v>
      </c>
      <c r="AL32" s="156">
        <f t="shared" si="38"/>
        <v>0</v>
      </c>
      <c r="AM32" s="156">
        <f t="shared" si="38"/>
        <v>0</v>
      </c>
      <c r="AN32" s="156">
        <f t="shared" si="38"/>
        <v>0</v>
      </c>
      <c r="AO32" s="156">
        <f t="shared" si="38"/>
        <v>0</v>
      </c>
      <c r="AP32" s="156">
        <f t="shared" si="38"/>
        <v>0</v>
      </c>
      <c r="AQ32" s="156">
        <f t="shared" si="38"/>
        <v>0</v>
      </c>
      <c r="AR32" s="156">
        <f t="shared" si="38"/>
        <v>0</v>
      </c>
      <c r="AS32" s="156">
        <f t="shared" si="39"/>
        <v>6011851320</v>
      </c>
      <c r="AT32" s="156">
        <f t="shared" si="40"/>
        <v>0</v>
      </c>
      <c r="AU32" s="156">
        <f t="shared" si="40"/>
        <v>0</v>
      </c>
      <c r="AV32" s="156">
        <f t="shared" si="40"/>
        <v>0</v>
      </c>
      <c r="AW32" s="156">
        <f t="shared" si="40"/>
        <v>0</v>
      </c>
      <c r="AX32" s="156">
        <f t="shared" si="40"/>
        <v>0</v>
      </c>
      <c r="AY32" s="156">
        <f t="shared" si="40"/>
        <v>0</v>
      </c>
      <c r="AZ32" s="156">
        <f t="shared" si="40"/>
        <v>0</v>
      </c>
      <c r="BA32" s="156">
        <f t="shared" si="40"/>
        <v>0</v>
      </c>
      <c r="BB32" s="156">
        <f t="shared" si="40"/>
        <v>0</v>
      </c>
      <c r="BC32" s="156">
        <f t="shared" si="40"/>
        <v>0</v>
      </c>
      <c r="BD32" s="156">
        <f t="shared" si="40"/>
        <v>0</v>
      </c>
      <c r="BE32" s="156">
        <f t="shared" si="40"/>
        <v>0</v>
      </c>
      <c r="BF32" s="156">
        <f t="shared" si="3"/>
        <v>0</v>
      </c>
      <c r="BG32" s="156">
        <f t="shared" si="40"/>
        <v>0</v>
      </c>
      <c r="BH32" s="156">
        <f t="shared" si="40"/>
        <v>0</v>
      </c>
      <c r="BI32" s="156">
        <f t="shared" si="40"/>
        <v>0</v>
      </c>
      <c r="BJ32" s="156">
        <f t="shared" ref="BJ32:BK37" si="43">+SUMIFS(db_Sum,db_Bln,BJ$6,db_Kode,$A32)</f>
        <v>0</v>
      </c>
      <c r="BK32" s="156">
        <f t="shared" si="43"/>
        <v>0</v>
      </c>
      <c r="BL32" s="156"/>
      <c r="BM32" s="156"/>
      <c r="BN32" s="156"/>
      <c r="BO32" s="156"/>
      <c r="BP32" s="156"/>
      <c r="BQ32" s="156"/>
      <c r="BR32" s="156"/>
      <c r="BS32" s="156">
        <f t="shared" si="4"/>
        <v>0</v>
      </c>
      <c r="BT32" s="156">
        <f t="shared" si="41"/>
        <v>6011851320</v>
      </c>
      <c r="BU32" s="157" t="str">
        <f t="shared" si="42"/>
        <v>OK</v>
      </c>
      <c r="BV32" s="161"/>
      <c r="BW32" s="161"/>
      <c r="BX32" s="161"/>
      <c r="BY32" s="161"/>
      <c r="BZ32" s="161"/>
      <c r="CA32" s="161"/>
      <c r="CB32" s="161"/>
      <c r="CC32" s="161"/>
    </row>
    <row r="33" spans="1:81" s="158" customFormat="1">
      <c r="A33" s="153" t="s">
        <v>528</v>
      </c>
      <c r="B33" s="272">
        <v>3</v>
      </c>
      <c r="C33" s="300" t="s">
        <v>6</v>
      </c>
      <c r="D33" s="297" t="s">
        <v>39</v>
      </c>
      <c r="E33" s="274">
        <v>366930480</v>
      </c>
      <c r="F33" s="301" t="s">
        <v>64</v>
      </c>
      <c r="G33" s="297" t="s">
        <v>39</v>
      </c>
      <c r="H33" s="276">
        <f>+IF(E33&gt;K33,E33-K33,0)</f>
        <v>0</v>
      </c>
      <c r="I33" s="276">
        <v>366930480</v>
      </c>
      <c r="J33" s="297">
        <v>366930480</v>
      </c>
      <c r="K33" s="278">
        <f t="shared" si="34"/>
        <v>366930480</v>
      </c>
      <c r="L33" s="278">
        <v>0</v>
      </c>
      <c r="M33" s="278">
        <f>J33-K33</f>
        <v>0</v>
      </c>
      <c r="N33" s="467" t="s">
        <v>2238</v>
      </c>
      <c r="O33" s="154">
        <f t="shared" si="35"/>
        <v>0</v>
      </c>
      <c r="P33" s="155">
        <f>+IF(H33=0,E33-K33,0)</f>
        <v>0</v>
      </c>
      <c r="Q33" s="156">
        <f t="shared" si="36"/>
        <v>0</v>
      </c>
      <c r="R33" s="156">
        <f t="shared" si="36"/>
        <v>0</v>
      </c>
      <c r="S33" s="156">
        <f t="shared" si="36"/>
        <v>0</v>
      </c>
      <c r="T33" s="156">
        <f t="shared" si="36"/>
        <v>0</v>
      </c>
      <c r="U33" s="156">
        <f t="shared" si="36"/>
        <v>0</v>
      </c>
      <c r="V33" s="156">
        <f t="shared" si="36"/>
        <v>0</v>
      </c>
      <c r="W33" s="156">
        <f t="shared" si="36"/>
        <v>0</v>
      </c>
      <c r="X33" s="156">
        <f t="shared" si="36"/>
        <v>0</v>
      </c>
      <c r="Y33" s="156">
        <f t="shared" si="36"/>
        <v>0</v>
      </c>
      <c r="Z33" s="156">
        <f t="shared" si="36"/>
        <v>0</v>
      </c>
      <c r="AA33" s="156">
        <f t="shared" si="36"/>
        <v>0</v>
      </c>
      <c r="AB33" s="156">
        <f t="shared" si="36"/>
        <v>0</v>
      </c>
      <c r="AC33" s="156">
        <f t="shared" si="36"/>
        <v>0</v>
      </c>
      <c r="AD33" s="156">
        <f t="shared" si="36"/>
        <v>0</v>
      </c>
      <c r="AE33" s="156">
        <f t="shared" si="36"/>
        <v>0</v>
      </c>
      <c r="AF33" s="156">
        <f t="shared" si="37"/>
        <v>0</v>
      </c>
      <c r="AG33" s="156">
        <f t="shared" si="38"/>
        <v>0</v>
      </c>
      <c r="AH33" s="156">
        <f t="shared" si="38"/>
        <v>0</v>
      </c>
      <c r="AI33" s="156">
        <f t="shared" si="38"/>
        <v>0</v>
      </c>
      <c r="AJ33" s="156">
        <f t="shared" si="38"/>
        <v>0</v>
      </c>
      <c r="AK33" s="156">
        <f t="shared" si="38"/>
        <v>366930480</v>
      </c>
      <c r="AL33" s="156">
        <f t="shared" si="38"/>
        <v>0</v>
      </c>
      <c r="AM33" s="156">
        <f t="shared" si="38"/>
        <v>0</v>
      </c>
      <c r="AN33" s="156">
        <f t="shared" si="38"/>
        <v>0</v>
      </c>
      <c r="AO33" s="156">
        <f t="shared" si="38"/>
        <v>0</v>
      </c>
      <c r="AP33" s="156">
        <f t="shared" si="38"/>
        <v>0</v>
      </c>
      <c r="AQ33" s="156">
        <f t="shared" si="38"/>
        <v>0</v>
      </c>
      <c r="AR33" s="156">
        <f t="shared" si="38"/>
        <v>0</v>
      </c>
      <c r="AS33" s="156">
        <f t="shared" si="39"/>
        <v>366930480</v>
      </c>
      <c r="AT33" s="156">
        <f t="shared" si="40"/>
        <v>0</v>
      </c>
      <c r="AU33" s="156">
        <f t="shared" si="40"/>
        <v>0</v>
      </c>
      <c r="AV33" s="156">
        <f t="shared" si="40"/>
        <v>0</v>
      </c>
      <c r="AW33" s="156">
        <f t="shared" si="40"/>
        <v>0</v>
      </c>
      <c r="AX33" s="156">
        <f t="shared" si="40"/>
        <v>0</v>
      </c>
      <c r="AY33" s="156">
        <f t="shared" si="40"/>
        <v>0</v>
      </c>
      <c r="AZ33" s="156">
        <f t="shared" si="40"/>
        <v>0</v>
      </c>
      <c r="BA33" s="156">
        <f t="shared" si="40"/>
        <v>0</v>
      </c>
      <c r="BB33" s="156">
        <f t="shared" si="40"/>
        <v>0</v>
      </c>
      <c r="BC33" s="156">
        <f t="shared" si="40"/>
        <v>0</v>
      </c>
      <c r="BD33" s="156">
        <f t="shared" si="40"/>
        <v>0</v>
      </c>
      <c r="BE33" s="156">
        <f t="shared" si="40"/>
        <v>0</v>
      </c>
      <c r="BF33" s="156">
        <f t="shared" si="3"/>
        <v>0</v>
      </c>
      <c r="BG33" s="156">
        <f t="shared" si="40"/>
        <v>0</v>
      </c>
      <c r="BH33" s="156">
        <f t="shared" si="40"/>
        <v>0</v>
      </c>
      <c r="BI33" s="156">
        <f t="shared" si="40"/>
        <v>0</v>
      </c>
      <c r="BJ33" s="156">
        <f t="shared" si="43"/>
        <v>0</v>
      </c>
      <c r="BK33" s="156">
        <f t="shared" si="43"/>
        <v>0</v>
      </c>
      <c r="BL33" s="156"/>
      <c r="BM33" s="156"/>
      <c r="BN33" s="156"/>
      <c r="BO33" s="156"/>
      <c r="BP33" s="156"/>
      <c r="BQ33" s="156"/>
      <c r="BR33" s="156"/>
      <c r="BS33" s="156">
        <f t="shared" si="4"/>
        <v>0</v>
      </c>
      <c r="BT33" s="156">
        <f t="shared" si="41"/>
        <v>366930480</v>
      </c>
      <c r="BU33" s="157" t="str">
        <f t="shared" si="42"/>
        <v>OK</v>
      </c>
      <c r="BV33" s="161"/>
      <c r="BW33" s="161"/>
      <c r="BX33" s="161"/>
      <c r="BY33" s="161"/>
      <c r="BZ33" s="161"/>
      <c r="CA33" s="161"/>
      <c r="CB33" s="161"/>
      <c r="CC33" s="161"/>
    </row>
    <row r="34" spans="1:81" s="158" customFormat="1">
      <c r="A34" s="153" t="s">
        <v>529</v>
      </c>
      <c r="B34" s="272">
        <v>4</v>
      </c>
      <c r="C34" s="300" t="s">
        <v>91</v>
      </c>
      <c r="D34" s="297" t="s">
        <v>39</v>
      </c>
      <c r="E34" s="274">
        <v>6548560440</v>
      </c>
      <c r="F34" s="301" t="s">
        <v>65</v>
      </c>
      <c r="G34" s="297" t="s">
        <v>39</v>
      </c>
      <c r="H34" s="276">
        <f>+IF(E34&gt;K34,E34-K34,0)</f>
        <v>0</v>
      </c>
      <c r="I34" s="276">
        <v>6548560440</v>
      </c>
      <c r="J34" s="297">
        <v>6548560440</v>
      </c>
      <c r="K34" s="278">
        <f t="shared" si="34"/>
        <v>6548560440</v>
      </c>
      <c r="L34" s="278">
        <v>0</v>
      </c>
      <c r="M34" s="278">
        <f>J34-K34</f>
        <v>0</v>
      </c>
      <c r="N34" s="467" t="s">
        <v>2238</v>
      </c>
      <c r="O34" s="154">
        <f t="shared" si="35"/>
        <v>0</v>
      </c>
      <c r="P34" s="155">
        <f>+IF(H34=0,E34-K34,0)</f>
        <v>0</v>
      </c>
      <c r="Q34" s="156">
        <f t="shared" si="36"/>
        <v>0</v>
      </c>
      <c r="R34" s="156">
        <f t="shared" si="36"/>
        <v>0</v>
      </c>
      <c r="S34" s="156">
        <f t="shared" si="36"/>
        <v>0</v>
      </c>
      <c r="T34" s="156">
        <f t="shared" si="36"/>
        <v>0</v>
      </c>
      <c r="U34" s="156">
        <f t="shared" si="36"/>
        <v>0</v>
      </c>
      <c r="V34" s="156">
        <f t="shared" si="36"/>
        <v>0</v>
      </c>
      <c r="W34" s="156">
        <f t="shared" si="36"/>
        <v>0</v>
      </c>
      <c r="X34" s="156">
        <f t="shared" si="36"/>
        <v>0</v>
      </c>
      <c r="Y34" s="156">
        <f t="shared" si="36"/>
        <v>0</v>
      </c>
      <c r="Z34" s="156">
        <f t="shared" si="36"/>
        <v>0</v>
      </c>
      <c r="AA34" s="156">
        <f t="shared" si="36"/>
        <v>0</v>
      </c>
      <c r="AB34" s="156">
        <f t="shared" si="36"/>
        <v>0</v>
      </c>
      <c r="AC34" s="156">
        <f t="shared" si="36"/>
        <v>0</v>
      </c>
      <c r="AD34" s="156">
        <f t="shared" si="36"/>
        <v>0</v>
      </c>
      <c r="AE34" s="156">
        <f t="shared" si="36"/>
        <v>0</v>
      </c>
      <c r="AF34" s="156">
        <f t="shared" si="37"/>
        <v>0</v>
      </c>
      <c r="AG34" s="156">
        <f t="shared" si="38"/>
        <v>0</v>
      </c>
      <c r="AH34" s="156">
        <f t="shared" si="38"/>
        <v>0</v>
      </c>
      <c r="AI34" s="156">
        <f t="shared" si="38"/>
        <v>0</v>
      </c>
      <c r="AJ34" s="156">
        <f t="shared" si="38"/>
        <v>0</v>
      </c>
      <c r="AK34" s="156">
        <f t="shared" si="38"/>
        <v>1964568132</v>
      </c>
      <c r="AL34" s="156">
        <f t="shared" si="38"/>
        <v>0</v>
      </c>
      <c r="AM34" s="156">
        <f t="shared" si="38"/>
        <v>4853992308</v>
      </c>
      <c r="AN34" s="156">
        <f t="shared" si="38"/>
        <v>0</v>
      </c>
      <c r="AO34" s="156">
        <f t="shared" si="38"/>
        <v>-270000000</v>
      </c>
      <c r="AP34" s="156">
        <f t="shared" si="38"/>
        <v>0</v>
      </c>
      <c r="AQ34" s="156">
        <f t="shared" si="38"/>
        <v>0</v>
      </c>
      <c r="AR34" s="156">
        <f t="shared" si="38"/>
        <v>0</v>
      </c>
      <c r="AS34" s="156">
        <f t="shared" si="39"/>
        <v>6548560440</v>
      </c>
      <c r="AT34" s="156">
        <f t="shared" si="40"/>
        <v>0</v>
      </c>
      <c r="AU34" s="156">
        <f t="shared" si="40"/>
        <v>0</v>
      </c>
      <c r="AV34" s="156">
        <f t="shared" si="40"/>
        <v>0</v>
      </c>
      <c r="AW34" s="156">
        <f t="shared" si="40"/>
        <v>0</v>
      </c>
      <c r="AX34" s="156">
        <f t="shared" si="40"/>
        <v>0</v>
      </c>
      <c r="AY34" s="156">
        <f t="shared" si="40"/>
        <v>0</v>
      </c>
      <c r="AZ34" s="156">
        <f t="shared" si="40"/>
        <v>0</v>
      </c>
      <c r="BA34" s="156">
        <f t="shared" si="40"/>
        <v>0</v>
      </c>
      <c r="BB34" s="156">
        <f t="shared" si="40"/>
        <v>0</v>
      </c>
      <c r="BC34" s="156">
        <f t="shared" si="40"/>
        <v>0</v>
      </c>
      <c r="BD34" s="156">
        <f t="shared" si="40"/>
        <v>0</v>
      </c>
      <c r="BE34" s="156">
        <f t="shared" si="40"/>
        <v>0</v>
      </c>
      <c r="BF34" s="156">
        <f t="shared" si="3"/>
        <v>0</v>
      </c>
      <c r="BG34" s="156">
        <f t="shared" si="40"/>
        <v>0</v>
      </c>
      <c r="BH34" s="156">
        <f t="shared" si="40"/>
        <v>0</v>
      </c>
      <c r="BI34" s="156">
        <f t="shared" si="40"/>
        <v>0</v>
      </c>
      <c r="BJ34" s="156">
        <f t="shared" si="43"/>
        <v>0</v>
      </c>
      <c r="BK34" s="156">
        <f t="shared" si="43"/>
        <v>0</v>
      </c>
      <c r="BL34" s="156"/>
      <c r="BM34" s="156"/>
      <c r="BN34" s="156"/>
      <c r="BO34" s="156"/>
      <c r="BP34" s="156"/>
      <c r="BQ34" s="156"/>
      <c r="BR34" s="156"/>
      <c r="BS34" s="156">
        <f t="shared" si="4"/>
        <v>0</v>
      </c>
      <c r="BT34" s="156">
        <f t="shared" si="41"/>
        <v>6548560440</v>
      </c>
      <c r="BU34" s="157" t="str">
        <f t="shared" si="42"/>
        <v>OK</v>
      </c>
      <c r="BV34" s="161"/>
      <c r="BW34" s="161"/>
      <c r="BX34" s="161"/>
      <c r="BY34" s="161"/>
      <c r="BZ34" s="161"/>
      <c r="CA34" s="161"/>
      <c r="CB34" s="161"/>
      <c r="CC34" s="161"/>
    </row>
    <row r="35" spans="1:81" s="158" customFormat="1">
      <c r="A35" s="153" t="s">
        <v>530</v>
      </c>
      <c r="B35" s="272">
        <v>5</v>
      </c>
      <c r="C35" s="300" t="s">
        <v>123</v>
      </c>
      <c r="D35" s="297" t="s">
        <v>39</v>
      </c>
      <c r="E35" s="274">
        <v>1500000000</v>
      </c>
      <c r="F35" s="275"/>
      <c r="G35" s="297"/>
      <c r="H35" s="276">
        <f>+IF(E35&gt;K35,E35-K35,0)</f>
        <v>105926580</v>
      </c>
      <c r="I35" s="276">
        <v>1394073420.0000002</v>
      </c>
      <c r="J35" s="297">
        <v>1394073420.0000002</v>
      </c>
      <c r="K35" s="278">
        <f t="shared" si="34"/>
        <v>1394073420</v>
      </c>
      <c r="L35" s="278">
        <v>0</v>
      </c>
      <c r="M35" s="278">
        <f>J35-K35</f>
        <v>0</v>
      </c>
      <c r="N35" s="467" t="s">
        <v>2238</v>
      </c>
      <c r="O35" s="154">
        <f t="shared" si="35"/>
        <v>0</v>
      </c>
      <c r="P35" s="155">
        <f>H35</f>
        <v>105926580</v>
      </c>
      <c r="Q35" s="156">
        <f t="shared" si="36"/>
        <v>0</v>
      </c>
      <c r="R35" s="156">
        <f t="shared" si="36"/>
        <v>0</v>
      </c>
      <c r="S35" s="156">
        <f t="shared" si="36"/>
        <v>0</v>
      </c>
      <c r="T35" s="156">
        <f t="shared" si="36"/>
        <v>0</v>
      </c>
      <c r="U35" s="156">
        <f t="shared" si="36"/>
        <v>0</v>
      </c>
      <c r="V35" s="156">
        <f t="shared" si="36"/>
        <v>0</v>
      </c>
      <c r="W35" s="156">
        <f t="shared" si="36"/>
        <v>0</v>
      </c>
      <c r="X35" s="156">
        <f t="shared" si="36"/>
        <v>0</v>
      </c>
      <c r="Y35" s="156">
        <f t="shared" si="36"/>
        <v>0</v>
      </c>
      <c r="Z35" s="156">
        <f t="shared" si="36"/>
        <v>0</v>
      </c>
      <c r="AA35" s="156">
        <f t="shared" si="36"/>
        <v>0</v>
      </c>
      <c r="AB35" s="156">
        <f t="shared" si="36"/>
        <v>0</v>
      </c>
      <c r="AC35" s="156">
        <f t="shared" si="36"/>
        <v>0</v>
      </c>
      <c r="AD35" s="156">
        <f t="shared" si="36"/>
        <v>0</v>
      </c>
      <c r="AE35" s="156">
        <f t="shared" si="36"/>
        <v>0</v>
      </c>
      <c r="AF35" s="156">
        <f t="shared" si="37"/>
        <v>0</v>
      </c>
      <c r="AG35" s="156">
        <f t="shared" si="38"/>
        <v>0</v>
      </c>
      <c r="AH35" s="156">
        <f t="shared" si="38"/>
        <v>0</v>
      </c>
      <c r="AI35" s="156">
        <f t="shared" si="38"/>
        <v>0</v>
      </c>
      <c r="AJ35" s="156">
        <f t="shared" si="38"/>
        <v>0</v>
      </c>
      <c r="AK35" s="156">
        <f t="shared" si="38"/>
        <v>0</v>
      </c>
      <c r="AL35" s="156">
        <f t="shared" si="38"/>
        <v>0</v>
      </c>
      <c r="AM35" s="156">
        <f t="shared" si="38"/>
        <v>0</v>
      </c>
      <c r="AN35" s="156">
        <f t="shared" si="38"/>
        <v>0</v>
      </c>
      <c r="AO35" s="156">
        <f t="shared" si="38"/>
        <v>0</v>
      </c>
      <c r="AP35" s="156">
        <f t="shared" si="38"/>
        <v>319010004</v>
      </c>
      <c r="AQ35" s="156">
        <f t="shared" si="38"/>
        <v>1075063416</v>
      </c>
      <c r="AR35" s="156">
        <f t="shared" si="38"/>
        <v>0</v>
      </c>
      <c r="AS35" s="156">
        <f t="shared" si="39"/>
        <v>1394073420</v>
      </c>
      <c r="AT35" s="156">
        <f t="shared" si="40"/>
        <v>0</v>
      </c>
      <c r="AU35" s="156">
        <f t="shared" si="40"/>
        <v>0</v>
      </c>
      <c r="AV35" s="156">
        <f t="shared" si="40"/>
        <v>0</v>
      </c>
      <c r="AW35" s="156">
        <f t="shared" si="40"/>
        <v>0</v>
      </c>
      <c r="AX35" s="156">
        <f t="shared" si="40"/>
        <v>0</v>
      </c>
      <c r="AY35" s="156">
        <f t="shared" si="40"/>
        <v>0</v>
      </c>
      <c r="AZ35" s="156">
        <f t="shared" si="40"/>
        <v>0</v>
      </c>
      <c r="BA35" s="156">
        <f t="shared" si="40"/>
        <v>0</v>
      </c>
      <c r="BB35" s="156">
        <f t="shared" si="40"/>
        <v>0</v>
      </c>
      <c r="BC35" s="156">
        <f t="shared" si="40"/>
        <v>0</v>
      </c>
      <c r="BD35" s="156">
        <f t="shared" si="40"/>
        <v>0</v>
      </c>
      <c r="BE35" s="156">
        <f t="shared" si="40"/>
        <v>0</v>
      </c>
      <c r="BF35" s="156">
        <f t="shared" si="3"/>
        <v>0</v>
      </c>
      <c r="BG35" s="156">
        <f t="shared" si="40"/>
        <v>0</v>
      </c>
      <c r="BH35" s="156">
        <f t="shared" si="40"/>
        <v>0</v>
      </c>
      <c r="BI35" s="156">
        <f t="shared" si="40"/>
        <v>0</v>
      </c>
      <c r="BJ35" s="156">
        <f t="shared" si="43"/>
        <v>0</v>
      </c>
      <c r="BK35" s="156">
        <f t="shared" si="43"/>
        <v>0</v>
      </c>
      <c r="BL35" s="156"/>
      <c r="BM35" s="156"/>
      <c r="BN35" s="156"/>
      <c r="BO35" s="156"/>
      <c r="BP35" s="156"/>
      <c r="BQ35" s="156"/>
      <c r="BR35" s="156"/>
      <c r="BS35" s="156">
        <f t="shared" si="4"/>
        <v>0</v>
      </c>
      <c r="BT35" s="156">
        <f t="shared" si="41"/>
        <v>1394073420</v>
      </c>
      <c r="BU35" s="157" t="str">
        <f t="shared" si="42"/>
        <v>OK</v>
      </c>
      <c r="BV35" s="161"/>
      <c r="BW35" s="161"/>
      <c r="BX35" s="161"/>
      <c r="BY35" s="161"/>
      <c r="BZ35" s="161"/>
      <c r="CA35" s="161"/>
      <c r="CB35" s="161"/>
      <c r="CC35" s="161"/>
    </row>
    <row r="36" spans="1:81" s="158" customFormat="1">
      <c r="A36" s="153" t="s">
        <v>579</v>
      </c>
      <c r="B36" s="272">
        <v>6</v>
      </c>
      <c r="C36" s="300" t="s">
        <v>578</v>
      </c>
      <c r="D36" s="297"/>
      <c r="E36" s="274">
        <v>0</v>
      </c>
      <c r="F36" s="275"/>
      <c r="G36" s="297"/>
      <c r="H36" s="276">
        <f>E36-K36</f>
        <v>-82803853</v>
      </c>
      <c r="I36" s="302">
        <v>0</v>
      </c>
      <c r="J36" s="297">
        <v>82803853</v>
      </c>
      <c r="K36" s="278">
        <f t="shared" si="34"/>
        <v>82803853</v>
      </c>
      <c r="L36" s="278">
        <v>0</v>
      </c>
      <c r="M36" s="278"/>
      <c r="N36" s="467" t="s">
        <v>2239</v>
      </c>
      <c r="O36" s="154">
        <f t="shared" si="35"/>
        <v>0</v>
      </c>
      <c r="P36" s="155">
        <f>+IF(H36=0,E36-K36,0)</f>
        <v>0</v>
      </c>
      <c r="Q36" s="156">
        <f t="shared" si="36"/>
        <v>0</v>
      </c>
      <c r="R36" s="156">
        <f t="shared" si="36"/>
        <v>0</v>
      </c>
      <c r="S36" s="156">
        <f t="shared" si="36"/>
        <v>0</v>
      </c>
      <c r="T36" s="156">
        <f t="shared" si="36"/>
        <v>0</v>
      </c>
      <c r="U36" s="156">
        <f t="shared" si="36"/>
        <v>0</v>
      </c>
      <c r="V36" s="156">
        <f t="shared" si="36"/>
        <v>0</v>
      </c>
      <c r="W36" s="156">
        <f t="shared" si="36"/>
        <v>0</v>
      </c>
      <c r="X36" s="156">
        <f t="shared" si="36"/>
        <v>0</v>
      </c>
      <c r="Y36" s="156">
        <f t="shared" si="36"/>
        <v>0</v>
      </c>
      <c r="Z36" s="156">
        <f t="shared" si="36"/>
        <v>5426700</v>
      </c>
      <c r="AA36" s="156">
        <f t="shared" si="36"/>
        <v>0</v>
      </c>
      <c r="AB36" s="156">
        <f t="shared" si="36"/>
        <v>0</v>
      </c>
      <c r="AC36" s="156">
        <f t="shared" si="36"/>
        <v>0</v>
      </c>
      <c r="AD36" s="156">
        <f t="shared" si="36"/>
        <v>33856654</v>
      </c>
      <c r="AE36" s="156">
        <f t="shared" si="36"/>
        <v>0</v>
      </c>
      <c r="AF36" s="156">
        <f t="shared" ref="AF36" si="44">+SUM(T36:AE36)</f>
        <v>39283354</v>
      </c>
      <c r="AG36" s="156">
        <f t="shared" si="38"/>
        <v>0</v>
      </c>
      <c r="AH36" s="156">
        <f t="shared" si="38"/>
        <v>0</v>
      </c>
      <c r="AI36" s="156">
        <f t="shared" si="38"/>
        <v>0</v>
      </c>
      <c r="AJ36" s="156">
        <f t="shared" si="38"/>
        <v>0</v>
      </c>
      <c r="AK36" s="156">
        <f t="shared" si="38"/>
        <v>0</v>
      </c>
      <c r="AL36" s="156">
        <f t="shared" si="38"/>
        <v>0</v>
      </c>
      <c r="AM36" s="156">
        <f t="shared" si="38"/>
        <v>1364640</v>
      </c>
      <c r="AN36" s="156">
        <f t="shared" si="38"/>
        <v>588000</v>
      </c>
      <c r="AO36" s="156">
        <f t="shared" si="38"/>
        <v>2812000</v>
      </c>
      <c r="AP36" s="156">
        <f t="shared" si="38"/>
        <v>12195819</v>
      </c>
      <c r="AQ36" s="156">
        <f t="shared" si="38"/>
        <v>13075100</v>
      </c>
      <c r="AR36" s="156">
        <f t="shared" si="38"/>
        <v>13184940</v>
      </c>
      <c r="AS36" s="156">
        <f t="shared" ref="AS36:AS37" si="45">+SUM(AG36:AR36)</f>
        <v>43220499</v>
      </c>
      <c r="AT36" s="156">
        <f t="shared" si="40"/>
        <v>0</v>
      </c>
      <c r="AU36" s="156">
        <f t="shared" si="40"/>
        <v>0</v>
      </c>
      <c r="AV36" s="156">
        <f t="shared" si="40"/>
        <v>0</v>
      </c>
      <c r="AW36" s="156">
        <f t="shared" si="40"/>
        <v>0</v>
      </c>
      <c r="AX36" s="156">
        <f t="shared" si="40"/>
        <v>0</v>
      </c>
      <c r="AY36" s="156">
        <f t="shared" si="40"/>
        <v>300000</v>
      </c>
      <c r="AZ36" s="156">
        <f t="shared" si="40"/>
        <v>0</v>
      </c>
      <c r="BA36" s="156">
        <f t="shared" si="40"/>
        <v>0</v>
      </c>
      <c r="BB36" s="156">
        <f t="shared" si="40"/>
        <v>0</v>
      </c>
      <c r="BC36" s="156">
        <f t="shared" si="40"/>
        <v>0</v>
      </c>
      <c r="BD36" s="156">
        <f t="shared" si="40"/>
        <v>0</v>
      </c>
      <c r="BE36" s="156">
        <f t="shared" si="40"/>
        <v>0</v>
      </c>
      <c r="BF36" s="156">
        <f t="shared" si="3"/>
        <v>300000</v>
      </c>
      <c r="BG36" s="156">
        <f t="shared" si="40"/>
        <v>0</v>
      </c>
      <c r="BH36" s="156">
        <f t="shared" si="40"/>
        <v>0</v>
      </c>
      <c r="BI36" s="156">
        <f t="shared" si="40"/>
        <v>0</v>
      </c>
      <c r="BJ36" s="156">
        <f t="shared" si="43"/>
        <v>0</v>
      </c>
      <c r="BK36" s="156">
        <f t="shared" si="43"/>
        <v>0</v>
      </c>
      <c r="BL36" s="156"/>
      <c r="BM36" s="156"/>
      <c r="BN36" s="156"/>
      <c r="BO36" s="156"/>
      <c r="BP36" s="156"/>
      <c r="BQ36" s="156"/>
      <c r="BR36" s="156"/>
      <c r="BS36" s="156">
        <f t="shared" si="4"/>
        <v>0</v>
      </c>
      <c r="BT36" s="156">
        <f t="shared" si="41"/>
        <v>82803853</v>
      </c>
      <c r="BU36" s="157" t="str">
        <f t="shared" si="42"/>
        <v>OK</v>
      </c>
      <c r="BV36" s="161"/>
      <c r="BW36" s="161"/>
      <c r="BX36" s="161"/>
      <c r="BY36" s="161"/>
      <c r="BZ36" s="161"/>
      <c r="CA36" s="161"/>
      <c r="CB36" s="161"/>
      <c r="CC36" s="161"/>
    </row>
    <row r="37" spans="1:81" s="268" customFormat="1" hidden="1">
      <c r="A37" s="262" t="s">
        <v>2346</v>
      </c>
      <c r="B37" s="384">
        <v>7</v>
      </c>
      <c r="C37" s="385" t="s">
        <v>2515</v>
      </c>
      <c r="D37" s="386" t="s">
        <v>2460</v>
      </c>
      <c r="E37" s="387">
        <v>0</v>
      </c>
      <c r="F37" s="388"/>
      <c r="G37" s="386"/>
      <c r="H37" s="389">
        <f>E37-K37</f>
        <v>-1237650000</v>
      </c>
      <c r="I37" s="390">
        <v>1237650000</v>
      </c>
      <c r="J37" s="386">
        <v>1237650000</v>
      </c>
      <c r="K37" s="391">
        <f t="shared" si="34"/>
        <v>1237650000</v>
      </c>
      <c r="L37" s="391"/>
      <c r="M37" s="391">
        <v>0</v>
      </c>
      <c r="N37" s="468" t="s">
        <v>2353</v>
      </c>
      <c r="O37" s="263">
        <f t="shared" si="35"/>
        <v>0</v>
      </c>
      <c r="P37" s="264">
        <f>+IF(H37=0,E37-K37,0)</f>
        <v>0</v>
      </c>
      <c r="Q37" s="265">
        <f t="shared" si="36"/>
        <v>0</v>
      </c>
      <c r="R37" s="265">
        <f t="shared" si="36"/>
        <v>0</v>
      </c>
      <c r="S37" s="265">
        <f t="shared" si="36"/>
        <v>0</v>
      </c>
      <c r="T37" s="265">
        <f t="shared" si="36"/>
        <v>0</v>
      </c>
      <c r="U37" s="265">
        <f t="shared" si="36"/>
        <v>0</v>
      </c>
      <c r="V37" s="265">
        <f t="shared" si="36"/>
        <v>0</v>
      </c>
      <c r="W37" s="265">
        <f t="shared" si="36"/>
        <v>0</v>
      </c>
      <c r="X37" s="265">
        <f t="shared" si="36"/>
        <v>0</v>
      </c>
      <c r="Y37" s="265">
        <f t="shared" si="36"/>
        <v>0</v>
      </c>
      <c r="Z37" s="265">
        <f t="shared" si="36"/>
        <v>0</v>
      </c>
      <c r="AA37" s="265">
        <f t="shared" si="36"/>
        <v>0</v>
      </c>
      <c r="AB37" s="265">
        <f t="shared" si="36"/>
        <v>0</v>
      </c>
      <c r="AC37" s="265">
        <f t="shared" si="36"/>
        <v>0</v>
      </c>
      <c r="AD37" s="265">
        <f t="shared" si="36"/>
        <v>0</v>
      </c>
      <c r="AE37" s="265">
        <f t="shared" si="36"/>
        <v>0</v>
      </c>
      <c r="AF37" s="265">
        <f t="shared" ref="AF37" si="46">+SUM(T37:AE37)</f>
        <v>0</v>
      </c>
      <c r="AG37" s="265">
        <f t="shared" si="38"/>
        <v>0</v>
      </c>
      <c r="AH37" s="265">
        <f t="shared" si="38"/>
        <v>0</v>
      </c>
      <c r="AI37" s="265">
        <f t="shared" si="38"/>
        <v>0</v>
      </c>
      <c r="AJ37" s="265">
        <f t="shared" si="38"/>
        <v>0</v>
      </c>
      <c r="AK37" s="265">
        <f t="shared" si="38"/>
        <v>0</v>
      </c>
      <c r="AL37" s="265">
        <f t="shared" si="38"/>
        <v>0</v>
      </c>
      <c r="AM37" s="265">
        <f t="shared" si="38"/>
        <v>0</v>
      </c>
      <c r="AN37" s="265">
        <f t="shared" si="38"/>
        <v>0</v>
      </c>
      <c r="AO37" s="265">
        <f t="shared" si="38"/>
        <v>0</v>
      </c>
      <c r="AP37" s="265">
        <f t="shared" si="38"/>
        <v>0</v>
      </c>
      <c r="AQ37" s="265">
        <f t="shared" si="38"/>
        <v>0</v>
      </c>
      <c r="AR37" s="265">
        <f t="shared" si="38"/>
        <v>0</v>
      </c>
      <c r="AS37" s="265">
        <f t="shared" si="45"/>
        <v>0</v>
      </c>
      <c r="AT37" s="265">
        <f t="shared" si="40"/>
        <v>0</v>
      </c>
      <c r="AU37" s="265">
        <f t="shared" si="40"/>
        <v>0</v>
      </c>
      <c r="AV37" s="265">
        <f t="shared" si="40"/>
        <v>618825000</v>
      </c>
      <c r="AW37" s="265">
        <f t="shared" si="40"/>
        <v>618825000</v>
      </c>
      <c r="AX37" s="265">
        <f t="shared" si="40"/>
        <v>0</v>
      </c>
      <c r="AY37" s="265">
        <f t="shared" si="40"/>
        <v>0</v>
      </c>
      <c r="AZ37" s="265">
        <f t="shared" si="40"/>
        <v>0</v>
      </c>
      <c r="BA37" s="265">
        <f t="shared" si="40"/>
        <v>0</v>
      </c>
      <c r="BB37" s="265">
        <f t="shared" si="40"/>
        <v>0</v>
      </c>
      <c r="BC37" s="265">
        <f t="shared" si="40"/>
        <v>0</v>
      </c>
      <c r="BD37" s="265">
        <f t="shared" si="40"/>
        <v>0</v>
      </c>
      <c r="BE37" s="265">
        <f t="shared" si="40"/>
        <v>0</v>
      </c>
      <c r="BF37" s="265">
        <f t="shared" ref="BF37" si="47">+SUM(AT37:BE37)</f>
        <v>1237650000</v>
      </c>
      <c r="BG37" s="265">
        <f t="shared" si="40"/>
        <v>0</v>
      </c>
      <c r="BH37" s="265">
        <f t="shared" si="40"/>
        <v>0</v>
      </c>
      <c r="BI37" s="265">
        <f t="shared" si="40"/>
        <v>0</v>
      </c>
      <c r="BJ37" s="265">
        <f t="shared" si="43"/>
        <v>0</v>
      </c>
      <c r="BK37" s="265">
        <f t="shared" si="43"/>
        <v>0</v>
      </c>
      <c r="BL37" s="265"/>
      <c r="BM37" s="265"/>
      <c r="BN37" s="265"/>
      <c r="BO37" s="265"/>
      <c r="BP37" s="265"/>
      <c r="BQ37" s="265"/>
      <c r="BR37" s="265"/>
      <c r="BS37" s="265">
        <f t="shared" ref="BS37" si="48">+SUM(BG37:BR37)</f>
        <v>0</v>
      </c>
      <c r="BT37" s="265">
        <f t="shared" si="41"/>
        <v>1237650000</v>
      </c>
      <c r="BU37" s="266" t="str">
        <f t="shared" si="42"/>
        <v>OK</v>
      </c>
      <c r="BV37" s="267"/>
      <c r="BW37" s="267"/>
      <c r="BX37" s="267"/>
      <c r="BY37" s="267"/>
      <c r="BZ37" s="267"/>
      <c r="CA37" s="267"/>
      <c r="CB37" s="267"/>
      <c r="CC37" s="267"/>
    </row>
    <row r="38" spans="1:81">
      <c r="B38" s="142"/>
      <c r="C38" s="143" t="s">
        <v>66</v>
      </c>
      <c r="D38" s="147"/>
      <c r="E38" s="58">
        <f>SUM(E31:E36)</f>
        <v>20296423720</v>
      </c>
      <c r="F38" s="144"/>
      <c r="G38" s="147"/>
      <c r="H38" s="58">
        <f>SUM(H31:H36)</f>
        <v>-14892593</v>
      </c>
      <c r="I38" s="148">
        <f>SUM(I31:I36)</f>
        <v>20228512460</v>
      </c>
      <c r="J38" s="148">
        <f>SUM(J31:J36)</f>
        <v>20311316313</v>
      </c>
      <c r="K38" s="148">
        <f>SUM(K31:K36)</f>
        <v>20311316313</v>
      </c>
      <c r="L38" s="148">
        <f>SUM(L31:L36)</f>
        <v>0</v>
      </c>
      <c r="M38" s="146">
        <f>SUM(M20:M36)</f>
        <v>0</v>
      </c>
      <c r="N38" s="463">
        <f>K38+L38+M38</f>
        <v>20311316313</v>
      </c>
      <c r="O38" s="58">
        <f>SUM(O31:O36)</f>
        <v>0</v>
      </c>
      <c r="P38" s="67">
        <f>SUM(P31:P36)</f>
        <v>105926580</v>
      </c>
      <c r="Q38" s="12">
        <f t="shared" ref="Q38:BS38" si="49">SUM(Q31:Q36)</f>
        <v>0</v>
      </c>
      <c r="R38" s="12">
        <f t="shared" si="49"/>
        <v>0</v>
      </c>
      <c r="S38" s="12">
        <f t="shared" si="49"/>
        <v>0</v>
      </c>
      <c r="T38" s="12">
        <f t="shared" si="49"/>
        <v>0</v>
      </c>
      <c r="U38" s="12">
        <f t="shared" si="49"/>
        <v>0</v>
      </c>
      <c r="V38" s="12">
        <f t="shared" si="49"/>
        <v>0</v>
      </c>
      <c r="W38" s="12">
        <f t="shared" si="49"/>
        <v>0</v>
      </c>
      <c r="X38" s="12">
        <f t="shared" si="49"/>
        <v>0</v>
      </c>
      <c r="Y38" s="12">
        <f t="shared" si="49"/>
        <v>0</v>
      </c>
      <c r="Z38" s="12">
        <f t="shared" si="49"/>
        <v>5426700</v>
      </c>
      <c r="AA38" s="12">
        <f t="shared" si="49"/>
        <v>0</v>
      </c>
      <c r="AB38" s="12">
        <f t="shared" si="49"/>
        <v>0</v>
      </c>
      <c r="AC38" s="12">
        <f t="shared" si="49"/>
        <v>0</v>
      </c>
      <c r="AD38" s="12">
        <f t="shared" si="49"/>
        <v>33856654</v>
      </c>
      <c r="AE38" s="12">
        <f t="shared" si="49"/>
        <v>0</v>
      </c>
      <c r="AF38" s="12">
        <f t="shared" si="49"/>
        <v>39283354</v>
      </c>
      <c r="AG38" s="12">
        <f t="shared" si="49"/>
        <v>0</v>
      </c>
      <c r="AH38" s="12">
        <f t="shared" si="49"/>
        <v>0</v>
      </c>
      <c r="AI38" s="12">
        <f t="shared" si="49"/>
        <v>0</v>
      </c>
      <c r="AJ38" s="12">
        <f t="shared" si="49"/>
        <v>0</v>
      </c>
      <c r="AK38" s="12">
        <f t="shared" si="49"/>
        <v>14250446732</v>
      </c>
      <c r="AL38" s="12">
        <f t="shared" si="49"/>
        <v>0</v>
      </c>
      <c r="AM38" s="12">
        <f t="shared" si="49"/>
        <v>4855356948</v>
      </c>
      <c r="AN38" s="12">
        <f t="shared" si="49"/>
        <v>588000</v>
      </c>
      <c r="AO38" s="12">
        <f t="shared" si="49"/>
        <v>-267188000</v>
      </c>
      <c r="AP38" s="12">
        <f t="shared" si="49"/>
        <v>331205823</v>
      </c>
      <c r="AQ38" s="12">
        <f t="shared" si="49"/>
        <v>1088138516</v>
      </c>
      <c r="AR38" s="12">
        <f t="shared" si="49"/>
        <v>13184940</v>
      </c>
      <c r="AS38" s="12">
        <f t="shared" si="49"/>
        <v>20271732959</v>
      </c>
      <c r="AT38" s="12">
        <f t="shared" si="49"/>
        <v>0</v>
      </c>
      <c r="AU38" s="12">
        <f t="shared" si="49"/>
        <v>0</v>
      </c>
      <c r="AV38" s="12">
        <f t="shared" si="49"/>
        <v>0</v>
      </c>
      <c r="AW38" s="12">
        <f t="shared" si="49"/>
        <v>0</v>
      </c>
      <c r="AX38" s="12">
        <f t="shared" si="49"/>
        <v>0</v>
      </c>
      <c r="AY38" s="12">
        <f t="shared" si="49"/>
        <v>300000</v>
      </c>
      <c r="AZ38" s="12">
        <f t="shared" si="49"/>
        <v>0</v>
      </c>
      <c r="BA38" s="12">
        <f t="shared" si="49"/>
        <v>0</v>
      </c>
      <c r="BB38" s="12">
        <f t="shared" si="49"/>
        <v>0</v>
      </c>
      <c r="BC38" s="12">
        <f t="shared" si="49"/>
        <v>0</v>
      </c>
      <c r="BD38" s="12">
        <f t="shared" si="49"/>
        <v>0</v>
      </c>
      <c r="BE38" s="12">
        <f t="shared" si="49"/>
        <v>0</v>
      </c>
      <c r="BF38" s="12">
        <f t="shared" si="49"/>
        <v>300000</v>
      </c>
      <c r="BG38" s="12">
        <f t="shared" si="49"/>
        <v>0</v>
      </c>
      <c r="BH38" s="12">
        <f t="shared" si="49"/>
        <v>0</v>
      </c>
      <c r="BI38" s="12">
        <f t="shared" si="49"/>
        <v>0</v>
      </c>
      <c r="BJ38" s="12">
        <f t="shared" si="49"/>
        <v>0</v>
      </c>
      <c r="BK38" s="12">
        <f t="shared" si="49"/>
        <v>0</v>
      </c>
      <c r="BL38" s="12">
        <f t="shared" si="49"/>
        <v>0</v>
      </c>
      <c r="BM38" s="12">
        <f t="shared" si="49"/>
        <v>0</v>
      </c>
      <c r="BN38" s="12">
        <f t="shared" si="49"/>
        <v>0</v>
      </c>
      <c r="BO38" s="12">
        <f t="shared" si="49"/>
        <v>0</v>
      </c>
      <c r="BP38" s="12">
        <f t="shared" si="49"/>
        <v>0</v>
      </c>
      <c r="BQ38" s="12">
        <f t="shared" si="49"/>
        <v>0</v>
      </c>
      <c r="BR38" s="12">
        <f t="shared" si="49"/>
        <v>0</v>
      </c>
      <c r="BS38" s="12">
        <f t="shared" si="49"/>
        <v>0</v>
      </c>
      <c r="BT38" s="12">
        <f>SUM(BT31:BT36)</f>
        <v>20311316313</v>
      </c>
      <c r="BU38" s="26" t="str">
        <f t="shared" si="42"/>
        <v>OK</v>
      </c>
      <c r="BV38" s="73">
        <f>BT38-K38</f>
        <v>0</v>
      </c>
      <c r="BW38" s="7"/>
      <c r="BX38" s="7"/>
      <c r="BY38" s="7"/>
      <c r="BZ38" s="7"/>
      <c r="CA38" s="7"/>
      <c r="CB38" s="7"/>
      <c r="CC38" s="7"/>
    </row>
    <row r="39" spans="1:81">
      <c r="B39" s="367" t="s">
        <v>97</v>
      </c>
      <c r="C39" s="358" t="s">
        <v>102</v>
      </c>
      <c r="D39" s="147"/>
      <c r="E39" s="383"/>
      <c r="F39" s="144"/>
      <c r="G39" s="147"/>
      <c r="H39" s="145"/>
      <c r="I39" s="145"/>
      <c r="J39" s="147"/>
      <c r="K39" s="146"/>
      <c r="L39" s="146"/>
      <c r="M39" s="146"/>
      <c r="N39" s="465"/>
      <c r="O39" s="55"/>
      <c r="P39" s="79"/>
      <c r="Q39" s="12"/>
      <c r="R39" s="12"/>
      <c r="S39" s="12"/>
      <c r="AF39" s="6"/>
      <c r="AS39" s="6"/>
      <c r="BF39" s="6"/>
      <c r="BG39" s="7"/>
      <c r="BH39" s="7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26"/>
      <c r="BV39" s="7"/>
      <c r="BW39" s="7"/>
      <c r="BX39" s="7"/>
      <c r="BY39" s="7"/>
      <c r="BZ39" s="7"/>
      <c r="CA39" s="7"/>
      <c r="CB39" s="7"/>
      <c r="CC39" s="7"/>
    </row>
    <row r="40" spans="1:81" s="158" customFormat="1" ht="28">
      <c r="A40" s="153" t="s">
        <v>531</v>
      </c>
      <c r="B40" s="359">
        <v>1</v>
      </c>
      <c r="C40" s="380" t="s">
        <v>7</v>
      </c>
      <c r="D40" s="381" t="s">
        <v>40</v>
      </c>
      <c r="E40" s="361">
        <v>10832222379</v>
      </c>
      <c r="F40" s="362" t="s">
        <v>52</v>
      </c>
      <c r="G40" s="381" t="s">
        <v>40</v>
      </c>
      <c r="H40" s="363">
        <f>E40-K40</f>
        <v>115001800</v>
      </c>
      <c r="I40" s="363">
        <v>10802002379</v>
      </c>
      <c r="J40" s="381">
        <v>10802002379</v>
      </c>
      <c r="K40" s="365">
        <f t="shared" ref="K40:K43" si="50">+O40+Q40+R40+S40+AF40+AS40+BF40+BS40</f>
        <v>10717220579</v>
      </c>
      <c r="L40" s="365">
        <v>0</v>
      </c>
      <c r="M40" s="365">
        <v>0</v>
      </c>
      <c r="N40" s="466" t="s">
        <v>2287</v>
      </c>
      <c r="O40" s="154">
        <f>+SUMIFS(db_Sum,db_Bln,O$6,db_Kode,$A40)</f>
        <v>0</v>
      </c>
      <c r="P40" s="155">
        <f>+IF(H40=0,E40-K40,0)</f>
        <v>0</v>
      </c>
      <c r="Q40" s="156">
        <f t="shared" ref="Q40:AG43" si="51">+SUMIFS(db_Sum,db_Bln,Q$6,db_Kode,$A40)</f>
        <v>0</v>
      </c>
      <c r="R40" s="156">
        <f t="shared" si="51"/>
        <v>0</v>
      </c>
      <c r="S40" s="156">
        <f t="shared" si="51"/>
        <v>0</v>
      </c>
      <c r="T40" s="156">
        <f t="shared" si="51"/>
        <v>0</v>
      </c>
      <c r="U40" s="156">
        <f t="shared" si="51"/>
        <v>0</v>
      </c>
      <c r="V40" s="156">
        <f t="shared" si="51"/>
        <v>0</v>
      </c>
      <c r="W40" s="156">
        <f t="shared" si="51"/>
        <v>0</v>
      </c>
      <c r="X40" s="156">
        <f t="shared" si="51"/>
        <v>0</v>
      </c>
      <c r="Y40" s="156">
        <f t="shared" si="51"/>
        <v>0</v>
      </c>
      <c r="Z40" s="156">
        <f t="shared" si="51"/>
        <v>0</v>
      </c>
      <c r="AA40" s="156">
        <f t="shared" si="51"/>
        <v>0</v>
      </c>
      <c r="AB40" s="156">
        <f t="shared" si="51"/>
        <v>0</v>
      </c>
      <c r="AC40" s="156">
        <f t="shared" si="51"/>
        <v>0</v>
      </c>
      <c r="AD40" s="156">
        <f t="shared" si="51"/>
        <v>0</v>
      </c>
      <c r="AE40" s="156">
        <f t="shared" si="51"/>
        <v>0</v>
      </c>
      <c r="AF40" s="156">
        <f t="shared" ref="AF40:AF43" si="52">+SUM(T40:AE40)</f>
        <v>0</v>
      </c>
      <c r="AG40" s="156">
        <f t="shared" si="51"/>
        <v>0</v>
      </c>
      <c r="AH40" s="156">
        <f t="shared" ref="AG40:AR43" si="53">+SUMIFS(db_Sum,db_Bln,AH$6,db_Kode,$A40)</f>
        <v>0</v>
      </c>
      <c r="AI40" s="156">
        <f t="shared" si="53"/>
        <v>3324200000</v>
      </c>
      <c r="AJ40" s="156">
        <f t="shared" si="53"/>
        <v>1728636300</v>
      </c>
      <c r="AK40" s="156">
        <f t="shared" si="53"/>
        <v>2359618686</v>
      </c>
      <c r="AL40" s="156">
        <f t="shared" si="53"/>
        <v>2165146353</v>
      </c>
      <c r="AM40" s="156">
        <f t="shared" si="53"/>
        <v>1139619240</v>
      </c>
      <c r="AN40" s="156">
        <f t="shared" si="53"/>
        <v>0</v>
      </c>
      <c r="AO40" s="156">
        <f t="shared" si="53"/>
        <v>0</v>
      </c>
      <c r="AP40" s="156">
        <f t="shared" si="53"/>
        <v>0</v>
      </c>
      <c r="AQ40" s="156">
        <f t="shared" si="53"/>
        <v>0</v>
      </c>
      <c r="AR40" s="156">
        <f t="shared" si="53"/>
        <v>0</v>
      </c>
      <c r="AS40" s="156">
        <f t="shared" ref="AS40:AS43" si="54">+SUM(AG40:AR40)</f>
        <v>10717220579</v>
      </c>
      <c r="AT40" s="156">
        <f t="shared" ref="AT40:BI43" si="55">+SUMIFS(db_Sum,db_Bln,AT$6,db_Kode,$A40)</f>
        <v>0</v>
      </c>
      <c r="AU40" s="156">
        <f t="shared" si="55"/>
        <v>0</v>
      </c>
      <c r="AV40" s="156">
        <f t="shared" si="55"/>
        <v>0</v>
      </c>
      <c r="AW40" s="156">
        <f t="shared" si="55"/>
        <v>0</v>
      </c>
      <c r="AX40" s="156">
        <f t="shared" si="55"/>
        <v>0</v>
      </c>
      <c r="AY40" s="156">
        <f t="shared" si="55"/>
        <v>0</v>
      </c>
      <c r="AZ40" s="156">
        <f t="shared" si="55"/>
        <v>0</v>
      </c>
      <c r="BA40" s="156">
        <f t="shared" si="55"/>
        <v>0</v>
      </c>
      <c r="BB40" s="156">
        <f t="shared" si="55"/>
        <v>0</v>
      </c>
      <c r="BC40" s="156">
        <f t="shared" si="55"/>
        <v>0</v>
      </c>
      <c r="BD40" s="156">
        <f t="shared" si="55"/>
        <v>0</v>
      </c>
      <c r="BE40" s="156">
        <f t="shared" si="55"/>
        <v>0</v>
      </c>
      <c r="BF40" s="156">
        <f t="shared" si="3"/>
        <v>0</v>
      </c>
      <c r="BG40" s="156">
        <f t="shared" si="55"/>
        <v>0</v>
      </c>
      <c r="BH40" s="156">
        <f t="shared" si="55"/>
        <v>0</v>
      </c>
      <c r="BI40" s="156">
        <f t="shared" si="55"/>
        <v>0</v>
      </c>
      <c r="BJ40" s="156">
        <f t="shared" ref="BJ40:BK43" si="56">+SUMIFS(db_Sum,db_Bln,BJ$6,db_Kode,$A40)</f>
        <v>0</v>
      </c>
      <c r="BK40" s="156">
        <f t="shared" si="56"/>
        <v>0</v>
      </c>
      <c r="BL40" s="156"/>
      <c r="BM40" s="156"/>
      <c r="BN40" s="156"/>
      <c r="BO40" s="156"/>
      <c r="BP40" s="156"/>
      <c r="BQ40" s="156"/>
      <c r="BR40" s="156"/>
      <c r="BS40" s="156">
        <f t="shared" si="4"/>
        <v>0</v>
      </c>
      <c r="BT40" s="156">
        <f>+SUM(O40,Q40,R40,S40,AF40,AS40,BF40+BS40)</f>
        <v>10717220579</v>
      </c>
      <c r="BU40" s="157" t="str">
        <f>+IF(K40-BT40=0,"OK","ERROR")</f>
        <v>OK</v>
      </c>
      <c r="BV40" s="161"/>
      <c r="BW40" s="161"/>
      <c r="BX40" s="161"/>
      <c r="BY40" s="161"/>
      <c r="BZ40" s="161"/>
      <c r="CA40" s="161"/>
      <c r="CB40" s="161"/>
      <c r="CC40" s="161"/>
    </row>
    <row r="41" spans="1:81" s="158" customFormat="1">
      <c r="A41" s="153" t="s">
        <v>532</v>
      </c>
      <c r="B41" s="272">
        <v>2</v>
      </c>
      <c r="C41" s="300" t="s">
        <v>8</v>
      </c>
      <c r="D41" s="297" t="s">
        <v>41</v>
      </c>
      <c r="E41" s="274">
        <v>9755312611.2000008</v>
      </c>
      <c r="F41" s="275" t="s">
        <v>57</v>
      </c>
      <c r="G41" s="297" t="s">
        <v>41</v>
      </c>
      <c r="H41" s="276">
        <f>E41-K41</f>
        <v>206842949.20000076</v>
      </c>
      <c r="I41" s="276">
        <v>9755312611.2000008</v>
      </c>
      <c r="J41" s="297">
        <v>9755312611.2000008</v>
      </c>
      <c r="K41" s="278">
        <f t="shared" si="50"/>
        <v>9548469662</v>
      </c>
      <c r="L41" s="278">
        <v>0</v>
      </c>
      <c r="M41" s="278">
        <v>0</v>
      </c>
      <c r="N41" s="469" t="s">
        <v>2288</v>
      </c>
      <c r="O41" s="154">
        <f>+SUMIFS(db_Sum,db_Bln,O$6,db_Kode,$A41)</f>
        <v>0</v>
      </c>
      <c r="P41" s="155">
        <f>H41</f>
        <v>206842949.20000076</v>
      </c>
      <c r="Q41" s="156">
        <f t="shared" si="51"/>
        <v>0</v>
      </c>
      <c r="R41" s="156">
        <f t="shared" si="51"/>
        <v>0</v>
      </c>
      <c r="S41" s="156">
        <f t="shared" si="51"/>
        <v>0</v>
      </c>
      <c r="T41" s="156">
        <f t="shared" si="51"/>
        <v>0</v>
      </c>
      <c r="U41" s="156">
        <f t="shared" si="51"/>
        <v>0</v>
      </c>
      <c r="V41" s="156">
        <f t="shared" si="51"/>
        <v>0</v>
      </c>
      <c r="W41" s="156">
        <f t="shared" si="51"/>
        <v>0</v>
      </c>
      <c r="X41" s="156">
        <f t="shared" si="51"/>
        <v>0</v>
      </c>
      <c r="Y41" s="156">
        <f t="shared" si="51"/>
        <v>0</v>
      </c>
      <c r="Z41" s="156">
        <f t="shared" si="51"/>
        <v>0</v>
      </c>
      <c r="AA41" s="156">
        <f t="shared" si="51"/>
        <v>0</v>
      </c>
      <c r="AB41" s="156">
        <f t="shared" si="51"/>
        <v>0</v>
      </c>
      <c r="AC41" s="156">
        <f t="shared" si="51"/>
        <v>0</v>
      </c>
      <c r="AD41" s="156">
        <f t="shared" si="51"/>
        <v>0</v>
      </c>
      <c r="AE41" s="156">
        <f t="shared" si="51"/>
        <v>0</v>
      </c>
      <c r="AF41" s="156">
        <f t="shared" si="52"/>
        <v>0</v>
      </c>
      <c r="AG41" s="156">
        <f t="shared" si="53"/>
        <v>0</v>
      </c>
      <c r="AH41" s="156">
        <f t="shared" si="53"/>
        <v>0</v>
      </c>
      <c r="AI41" s="156">
        <f t="shared" si="53"/>
        <v>0</v>
      </c>
      <c r="AJ41" s="156">
        <f t="shared" si="53"/>
        <v>3145334805</v>
      </c>
      <c r="AK41" s="156">
        <f t="shared" si="53"/>
        <v>0</v>
      </c>
      <c r="AL41" s="156">
        <f t="shared" si="53"/>
        <v>0</v>
      </c>
      <c r="AM41" s="156">
        <f t="shared" si="53"/>
        <v>3027379822</v>
      </c>
      <c r="AN41" s="156">
        <f t="shared" si="53"/>
        <v>0</v>
      </c>
      <c r="AO41" s="156">
        <f t="shared" si="53"/>
        <v>0</v>
      </c>
      <c r="AP41" s="156">
        <f t="shared" si="53"/>
        <v>3328442798</v>
      </c>
      <c r="AQ41" s="156">
        <f t="shared" si="53"/>
        <v>0</v>
      </c>
      <c r="AR41" s="156">
        <f t="shared" si="53"/>
        <v>0</v>
      </c>
      <c r="AS41" s="156">
        <f t="shared" si="54"/>
        <v>9501157425</v>
      </c>
      <c r="AT41" s="156">
        <f t="shared" si="55"/>
        <v>0</v>
      </c>
      <c r="AU41" s="156">
        <f t="shared" si="55"/>
        <v>47312237</v>
      </c>
      <c r="AV41" s="156">
        <f t="shared" si="55"/>
        <v>0</v>
      </c>
      <c r="AW41" s="156">
        <f t="shared" si="55"/>
        <v>0</v>
      </c>
      <c r="AX41" s="156">
        <f t="shared" si="55"/>
        <v>0</v>
      </c>
      <c r="AY41" s="156">
        <f t="shared" si="55"/>
        <v>0</v>
      </c>
      <c r="AZ41" s="156">
        <f t="shared" si="55"/>
        <v>0</v>
      </c>
      <c r="BA41" s="156">
        <f t="shared" si="55"/>
        <v>0</v>
      </c>
      <c r="BB41" s="156">
        <f t="shared" si="55"/>
        <v>0</v>
      </c>
      <c r="BC41" s="156">
        <f t="shared" si="55"/>
        <v>0</v>
      </c>
      <c r="BD41" s="156">
        <f t="shared" si="55"/>
        <v>0</v>
      </c>
      <c r="BE41" s="156">
        <f t="shared" si="55"/>
        <v>0</v>
      </c>
      <c r="BF41" s="156">
        <f t="shared" si="3"/>
        <v>47312237</v>
      </c>
      <c r="BG41" s="156">
        <f t="shared" si="55"/>
        <v>0</v>
      </c>
      <c r="BH41" s="156">
        <f t="shared" si="55"/>
        <v>0</v>
      </c>
      <c r="BI41" s="156">
        <f t="shared" si="55"/>
        <v>0</v>
      </c>
      <c r="BJ41" s="156">
        <f t="shared" si="56"/>
        <v>0</v>
      </c>
      <c r="BK41" s="156">
        <f t="shared" si="56"/>
        <v>0</v>
      </c>
      <c r="BL41" s="156"/>
      <c r="BM41" s="156"/>
      <c r="BN41" s="156"/>
      <c r="BO41" s="156"/>
      <c r="BP41" s="156"/>
      <c r="BQ41" s="156"/>
      <c r="BR41" s="156"/>
      <c r="BS41" s="156">
        <f t="shared" si="4"/>
        <v>0</v>
      </c>
      <c r="BT41" s="156">
        <f>+SUM(O41,Q41,R41,S41,AF41,AS41,BF41+BS41)</f>
        <v>9548469662</v>
      </c>
      <c r="BU41" s="157" t="str">
        <f>+IF(K41-BT41=0,"OK","ERROR")</f>
        <v>OK</v>
      </c>
      <c r="BV41" s="161"/>
      <c r="BW41" s="161"/>
      <c r="BX41" s="161"/>
      <c r="BY41" s="161"/>
      <c r="BZ41" s="161"/>
      <c r="CA41" s="161"/>
      <c r="CB41" s="161"/>
      <c r="CC41" s="161"/>
    </row>
    <row r="42" spans="1:81" s="158" customFormat="1">
      <c r="A42" s="153" t="s">
        <v>533</v>
      </c>
      <c r="B42" s="272">
        <v>3</v>
      </c>
      <c r="C42" s="300" t="s">
        <v>9</v>
      </c>
      <c r="D42" s="297" t="s">
        <v>40</v>
      </c>
      <c r="E42" s="274">
        <v>10984847554.380001</v>
      </c>
      <c r="F42" s="275" t="s">
        <v>58</v>
      </c>
      <c r="G42" s="297" t="s">
        <v>40</v>
      </c>
      <c r="H42" s="276">
        <f>E42-K42</f>
        <v>56786490.380001068</v>
      </c>
      <c r="I42" s="276">
        <v>10984847554.380001</v>
      </c>
      <c r="J42" s="297">
        <v>10984847554.380001</v>
      </c>
      <c r="K42" s="278">
        <f t="shared" si="50"/>
        <v>10928061064</v>
      </c>
      <c r="L42" s="278">
        <v>0</v>
      </c>
      <c r="M42" s="278">
        <v>0</v>
      </c>
      <c r="N42" s="467" t="s">
        <v>2289</v>
      </c>
      <c r="O42" s="154">
        <f>+SUMIFS(db_Sum,db_Bln,O$6,db_Kode,$A42)</f>
        <v>0</v>
      </c>
      <c r="P42" s="155">
        <f>+IF(H42=0,E42-K42,0)</f>
        <v>0</v>
      </c>
      <c r="Q42" s="156">
        <f t="shared" si="51"/>
        <v>0</v>
      </c>
      <c r="R42" s="156">
        <f t="shared" si="51"/>
        <v>0</v>
      </c>
      <c r="S42" s="156">
        <f t="shared" si="51"/>
        <v>0</v>
      </c>
      <c r="T42" s="156">
        <f t="shared" si="51"/>
        <v>0</v>
      </c>
      <c r="U42" s="156">
        <f t="shared" si="51"/>
        <v>0</v>
      </c>
      <c r="V42" s="156">
        <f t="shared" si="51"/>
        <v>0</v>
      </c>
      <c r="W42" s="156">
        <f t="shared" si="51"/>
        <v>0</v>
      </c>
      <c r="X42" s="156">
        <f t="shared" si="51"/>
        <v>0</v>
      </c>
      <c r="Y42" s="156">
        <f t="shared" si="51"/>
        <v>0</v>
      </c>
      <c r="Z42" s="156">
        <f t="shared" si="51"/>
        <v>0</v>
      </c>
      <c r="AA42" s="156">
        <f t="shared" si="51"/>
        <v>0</v>
      </c>
      <c r="AB42" s="156">
        <f t="shared" si="51"/>
        <v>0</v>
      </c>
      <c r="AC42" s="156">
        <f t="shared" si="51"/>
        <v>0</v>
      </c>
      <c r="AD42" s="156">
        <f t="shared" si="51"/>
        <v>0</v>
      </c>
      <c r="AE42" s="156">
        <f t="shared" si="51"/>
        <v>0</v>
      </c>
      <c r="AF42" s="156">
        <f t="shared" si="52"/>
        <v>0</v>
      </c>
      <c r="AG42" s="156">
        <f t="shared" si="53"/>
        <v>0</v>
      </c>
      <c r="AH42" s="156">
        <f t="shared" si="53"/>
        <v>0</v>
      </c>
      <c r="AI42" s="156">
        <f t="shared" si="53"/>
        <v>0</v>
      </c>
      <c r="AJ42" s="156">
        <f t="shared" si="53"/>
        <v>0</v>
      </c>
      <c r="AK42" s="156">
        <f t="shared" si="53"/>
        <v>0</v>
      </c>
      <c r="AL42" s="156">
        <f t="shared" si="53"/>
        <v>3583133146</v>
      </c>
      <c r="AM42" s="156">
        <f t="shared" si="53"/>
        <v>0</v>
      </c>
      <c r="AN42" s="156">
        <f t="shared" si="53"/>
        <v>1772606009</v>
      </c>
      <c r="AO42" s="156">
        <f t="shared" si="53"/>
        <v>4148619371</v>
      </c>
      <c r="AP42" s="156">
        <f t="shared" si="53"/>
        <v>1279324839</v>
      </c>
      <c r="AQ42" s="156">
        <f t="shared" si="53"/>
        <v>0</v>
      </c>
      <c r="AR42" s="156">
        <f t="shared" si="53"/>
        <v>144377700</v>
      </c>
      <c r="AS42" s="156">
        <f t="shared" si="54"/>
        <v>10928061065</v>
      </c>
      <c r="AT42" s="156">
        <f t="shared" si="55"/>
        <v>0</v>
      </c>
      <c r="AU42" s="156">
        <f t="shared" si="55"/>
        <v>-1</v>
      </c>
      <c r="AV42" s="156">
        <f t="shared" si="55"/>
        <v>0</v>
      </c>
      <c r="AW42" s="156">
        <f t="shared" si="55"/>
        <v>0</v>
      </c>
      <c r="AX42" s="156">
        <f t="shared" si="55"/>
        <v>0</v>
      </c>
      <c r="AY42" s="156">
        <f t="shared" si="55"/>
        <v>0</v>
      </c>
      <c r="AZ42" s="156">
        <f t="shared" si="55"/>
        <v>0</v>
      </c>
      <c r="BA42" s="156">
        <f t="shared" si="55"/>
        <v>0</v>
      </c>
      <c r="BB42" s="156">
        <f t="shared" si="55"/>
        <v>0</v>
      </c>
      <c r="BC42" s="156">
        <f t="shared" si="55"/>
        <v>0</v>
      </c>
      <c r="BD42" s="156">
        <f t="shared" si="55"/>
        <v>0</v>
      </c>
      <c r="BE42" s="156">
        <f t="shared" si="55"/>
        <v>0</v>
      </c>
      <c r="BF42" s="156">
        <f t="shared" si="3"/>
        <v>-1</v>
      </c>
      <c r="BG42" s="156">
        <f t="shared" si="55"/>
        <v>0</v>
      </c>
      <c r="BH42" s="156">
        <f t="shared" si="55"/>
        <v>0</v>
      </c>
      <c r="BI42" s="156">
        <f t="shared" si="55"/>
        <v>0</v>
      </c>
      <c r="BJ42" s="156">
        <f t="shared" si="56"/>
        <v>0</v>
      </c>
      <c r="BK42" s="156">
        <f t="shared" si="56"/>
        <v>0</v>
      </c>
      <c r="BL42" s="156"/>
      <c r="BM42" s="156"/>
      <c r="BN42" s="156"/>
      <c r="BO42" s="156"/>
      <c r="BP42" s="156"/>
      <c r="BQ42" s="156"/>
      <c r="BR42" s="156"/>
      <c r="BS42" s="156">
        <f t="shared" si="4"/>
        <v>0</v>
      </c>
      <c r="BT42" s="156">
        <f>+SUM(O42,Q42,R42,S42,AF42,AS42,BF42+BS42)</f>
        <v>10928061064</v>
      </c>
      <c r="BU42" s="157" t="str">
        <f>+IF(K42-BT42=0,"OK","ERROR")</f>
        <v>OK</v>
      </c>
      <c r="BV42" s="161"/>
      <c r="BW42" s="161"/>
      <c r="BX42" s="161"/>
      <c r="BY42" s="161"/>
      <c r="BZ42" s="161"/>
      <c r="CA42" s="161"/>
      <c r="CB42" s="161"/>
      <c r="CC42" s="161"/>
    </row>
    <row r="43" spans="1:81" s="158" customFormat="1" ht="42">
      <c r="A43" s="153" t="s">
        <v>534</v>
      </c>
      <c r="B43" s="392">
        <v>4</v>
      </c>
      <c r="C43" s="393" t="s">
        <v>124</v>
      </c>
      <c r="D43" s="394" t="s">
        <v>40</v>
      </c>
      <c r="E43" s="395">
        <v>2500000000</v>
      </c>
      <c r="F43" s="396"/>
      <c r="G43" s="394"/>
      <c r="H43" s="397">
        <f>E43-K43</f>
        <v>-38748028</v>
      </c>
      <c r="I43" s="397">
        <v>2623220804.46</v>
      </c>
      <c r="J43" s="394">
        <v>2623220804.46</v>
      </c>
      <c r="K43" s="398">
        <f t="shared" si="50"/>
        <v>2538748028</v>
      </c>
      <c r="L43" s="398">
        <v>0</v>
      </c>
      <c r="M43" s="398">
        <v>0</v>
      </c>
      <c r="N43" s="470" t="s">
        <v>2354</v>
      </c>
      <c r="O43" s="154">
        <f>+SUMIFS(db_Sum,db_Bln,O$6,db_Kode,$A43)</f>
        <v>0</v>
      </c>
      <c r="P43" s="155">
        <f>+IF(H43=0,E43-K43,0)</f>
        <v>0</v>
      </c>
      <c r="Q43" s="156">
        <f t="shared" si="51"/>
        <v>0</v>
      </c>
      <c r="R43" s="156">
        <f t="shared" si="51"/>
        <v>0</v>
      </c>
      <c r="S43" s="156">
        <f t="shared" si="51"/>
        <v>0</v>
      </c>
      <c r="T43" s="156">
        <f t="shared" si="51"/>
        <v>0</v>
      </c>
      <c r="U43" s="156">
        <f t="shared" si="51"/>
        <v>0</v>
      </c>
      <c r="V43" s="156">
        <f t="shared" si="51"/>
        <v>0</v>
      </c>
      <c r="W43" s="156">
        <f t="shared" si="51"/>
        <v>0</v>
      </c>
      <c r="X43" s="156">
        <f t="shared" si="51"/>
        <v>0</v>
      </c>
      <c r="Y43" s="156">
        <f t="shared" si="51"/>
        <v>0</v>
      </c>
      <c r="Z43" s="156">
        <f t="shared" si="51"/>
        <v>0</v>
      </c>
      <c r="AA43" s="156">
        <f t="shared" si="51"/>
        <v>0</v>
      </c>
      <c r="AB43" s="156">
        <f t="shared" si="51"/>
        <v>0</v>
      </c>
      <c r="AC43" s="156">
        <f t="shared" si="51"/>
        <v>0</v>
      </c>
      <c r="AD43" s="156">
        <f t="shared" si="51"/>
        <v>0</v>
      </c>
      <c r="AE43" s="156">
        <f t="shared" si="51"/>
        <v>0</v>
      </c>
      <c r="AF43" s="156">
        <f t="shared" si="52"/>
        <v>0</v>
      </c>
      <c r="AG43" s="156">
        <f t="shared" si="53"/>
        <v>0</v>
      </c>
      <c r="AH43" s="156">
        <f t="shared" si="53"/>
        <v>0</v>
      </c>
      <c r="AI43" s="156">
        <f t="shared" si="53"/>
        <v>0</v>
      </c>
      <c r="AJ43" s="156">
        <f t="shared" si="53"/>
        <v>0</v>
      </c>
      <c r="AK43" s="156">
        <f t="shared" si="53"/>
        <v>0</v>
      </c>
      <c r="AL43" s="156">
        <f t="shared" si="53"/>
        <v>0</v>
      </c>
      <c r="AM43" s="156">
        <f t="shared" si="53"/>
        <v>0</v>
      </c>
      <c r="AN43" s="156">
        <f t="shared" si="53"/>
        <v>0</v>
      </c>
      <c r="AO43" s="156">
        <f t="shared" si="53"/>
        <v>0</v>
      </c>
      <c r="AP43" s="156">
        <f t="shared" si="53"/>
        <v>0</v>
      </c>
      <c r="AQ43" s="156">
        <f t="shared" si="53"/>
        <v>1367739764</v>
      </c>
      <c r="AR43" s="156">
        <f t="shared" si="53"/>
        <v>793616589</v>
      </c>
      <c r="AS43" s="156">
        <f t="shared" si="54"/>
        <v>2161356353</v>
      </c>
      <c r="AT43" s="156">
        <f t="shared" si="55"/>
        <v>377391675</v>
      </c>
      <c r="AU43" s="156">
        <f t="shared" si="55"/>
        <v>0</v>
      </c>
      <c r="AV43" s="156">
        <f t="shared" si="55"/>
        <v>0</v>
      </c>
      <c r="AW43" s="156">
        <f t="shared" si="55"/>
        <v>0</v>
      </c>
      <c r="AX43" s="156">
        <f t="shared" si="55"/>
        <v>0</v>
      </c>
      <c r="AY43" s="156">
        <f t="shared" si="55"/>
        <v>0</v>
      </c>
      <c r="AZ43" s="156">
        <f t="shared" si="55"/>
        <v>0</v>
      </c>
      <c r="BA43" s="156">
        <f t="shared" si="55"/>
        <v>0</v>
      </c>
      <c r="BB43" s="156">
        <f t="shared" si="55"/>
        <v>0</v>
      </c>
      <c r="BC43" s="156">
        <f t="shared" si="55"/>
        <v>0</v>
      </c>
      <c r="BD43" s="156">
        <f t="shared" si="55"/>
        <v>0</v>
      </c>
      <c r="BE43" s="156">
        <f t="shared" si="55"/>
        <v>0</v>
      </c>
      <c r="BF43" s="156">
        <f t="shared" si="3"/>
        <v>377391675</v>
      </c>
      <c r="BG43" s="156">
        <f t="shared" si="55"/>
        <v>0</v>
      </c>
      <c r="BH43" s="156">
        <f t="shared" si="55"/>
        <v>0</v>
      </c>
      <c r="BI43" s="156">
        <f t="shared" si="55"/>
        <v>0</v>
      </c>
      <c r="BJ43" s="156">
        <f t="shared" si="56"/>
        <v>0</v>
      </c>
      <c r="BK43" s="156">
        <f t="shared" si="56"/>
        <v>0</v>
      </c>
      <c r="BL43" s="156"/>
      <c r="BM43" s="156"/>
      <c r="BN43" s="156"/>
      <c r="BO43" s="156"/>
      <c r="BP43" s="156"/>
      <c r="BQ43" s="156"/>
      <c r="BR43" s="156"/>
      <c r="BS43" s="156">
        <f t="shared" si="4"/>
        <v>0</v>
      </c>
      <c r="BT43" s="156">
        <f>+SUM(O43,Q43,R43,S43,AF43,AS43,BF43+BS43)</f>
        <v>2538748028</v>
      </c>
      <c r="BU43" s="157" t="str">
        <f>+IF(K43-BT43=0,"OK","ERROR")</f>
        <v>OK</v>
      </c>
      <c r="BV43" s="161"/>
      <c r="BW43" s="161"/>
      <c r="BX43" s="161"/>
      <c r="BY43" s="161"/>
      <c r="BZ43" s="161"/>
      <c r="CA43" s="161"/>
      <c r="CB43" s="161"/>
      <c r="CC43" s="161"/>
    </row>
    <row r="44" spans="1:81">
      <c r="B44" s="142"/>
      <c r="C44" s="143" t="s">
        <v>23</v>
      </c>
      <c r="D44" s="147"/>
      <c r="E44" s="58">
        <f>SUM(E40:E43)</f>
        <v>34072382544.580002</v>
      </c>
      <c r="F44" s="144"/>
      <c r="G44" s="147"/>
      <c r="H44" s="58">
        <f>SUM(H40:H43)</f>
        <v>339883211.58000183</v>
      </c>
      <c r="I44" s="148">
        <f>SUM(I40:I43)</f>
        <v>34165383349.040001</v>
      </c>
      <c r="J44" s="148">
        <f>SUM(J40:J43)</f>
        <v>34165383349.040001</v>
      </c>
      <c r="K44" s="148">
        <f>SUM(K40:K43)</f>
        <v>33732499333</v>
      </c>
      <c r="L44" s="148">
        <f>SUM(L40:L43)</f>
        <v>0</v>
      </c>
      <c r="M44" s="146">
        <f>SUM(M26:M43)</f>
        <v>0</v>
      </c>
      <c r="N44" s="463">
        <f>K44+L44+M44</f>
        <v>33732499333</v>
      </c>
      <c r="O44" s="58">
        <f t="shared" ref="O44:AT44" si="57">SUM(O40:O43)</f>
        <v>0</v>
      </c>
      <c r="P44" s="67">
        <f t="shared" si="57"/>
        <v>206842949.20000076</v>
      </c>
      <c r="Q44" s="12">
        <f t="shared" si="57"/>
        <v>0</v>
      </c>
      <c r="R44" s="12">
        <f t="shared" si="57"/>
        <v>0</v>
      </c>
      <c r="S44" s="12">
        <f t="shared" si="57"/>
        <v>0</v>
      </c>
      <c r="T44" s="12">
        <f t="shared" si="57"/>
        <v>0</v>
      </c>
      <c r="U44" s="12">
        <f t="shared" si="57"/>
        <v>0</v>
      </c>
      <c r="V44" s="12">
        <f t="shared" si="57"/>
        <v>0</v>
      </c>
      <c r="W44" s="12">
        <f t="shared" si="57"/>
        <v>0</v>
      </c>
      <c r="X44" s="12">
        <f t="shared" si="57"/>
        <v>0</v>
      </c>
      <c r="Y44" s="12">
        <f t="shared" si="57"/>
        <v>0</v>
      </c>
      <c r="Z44" s="12">
        <f t="shared" si="57"/>
        <v>0</v>
      </c>
      <c r="AA44" s="12">
        <f t="shared" si="57"/>
        <v>0</v>
      </c>
      <c r="AB44" s="12">
        <f t="shared" si="57"/>
        <v>0</v>
      </c>
      <c r="AC44" s="12">
        <f t="shared" si="57"/>
        <v>0</v>
      </c>
      <c r="AD44" s="12">
        <f t="shared" si="57"/>
        <v>0</v>
      </c>
      <c r="AE44" s="12">
        <f t="shared" si="57"/>
        <v>0</v>
      </c>
      <c r="AF44" s="12">
        <f t="shared" si="57"/>
        <v>0</v>
      </c>
      <c r="AG44" s="12">
        <f t="shared" si="57"/>
        <v>0</v>
      </c>
      <c r="AH44" s="12">
        <f t="shared" si="57"/>
        <v>0</v>
      </c>
      <c r="AI44" s="12">
        <f t="shared" si="57"/>
        <v>3324200000</v>
      </c>
      <c r="AJ44" s="12">
        <f t="shared" si="57"/>
        <v>4873971105</v>
      </c>
      <c r="AK44" s="12">
        <f t="shared" si="57"/>
        <v>2359618686</v>
      </c>
      <c r="AL44" s="12">
        <f t="shared" si="57"/>
        <v>5748279499</v>
      </c>
      <c r="AM44" s="12">
        <f t="shared" si="57"/>
        <v>4166999062</v>
      </c>
      <c r="AN44" s="12">
        <f t="shared" si="57"/>
        <v>1772606009</v>
      </c>
      <c r="AO44" s="12">
        <f t="shared" si="57"/>
        <v>4148619371</v>
      </c>
      <c r="AP44" s="12">
        <f t="shared" si="57"/>
        <v>4607767637</v>
      </c>
      <c r="AQ44" s="12">
        <f t="shared" si="57"/>
        <v>1367739764</v>
      </c>
      <c r="AR44" s="12">
        <f t="shared" si="57"/>
        <v>937994289</v>
      </c>
      <c r="AS44" s="12">
        <f t="shared" si="57"/>
        <v>33307795422</v>
      </c>
      <c r="AT44" s="12">
        <f t="shared" si="57"/>
        <v>377391675</v>
      </c>
      <c r="AU44" s="12">
        <f t="shared" ref="AU44:BT44" si="58">SUM(AU40:AU43)</f>
        <v>47312236</v>
      </c>
      <c r="AV44" s="12">
        <f t="shared" si="58"/>
        <v>0</v>
      </c>
      <c r="AW44" s="12">
        <f t="shared" si="58"/>
        <v>0</v>
      </c>
      <c r="AX44" s="12">
        <f t="shared" si="58"/>
        <v>0</v>
      </c>
      <c r="AY44" s="12">
        <f t="shared" si="58"/>
        <v>0</v>
      </c>
      <c r="AZ44" s="12">
        <f t="shared" si="58"/>
        <v>0</v>
      </c>
      <c r="BA44" s="12">
        <f t="shared" si="58"/>
        <v>0</v>
      </c>
      <c r="BB44" s="12">
        <f t="shared" si="58"/>
        <v>0</v>
      </c>
      <c r="BC44" s="12">
        <f t="shared" si="58"/>
        <v>0</v>
      </c>
      <c r="BD44" s="12">
        <f t="shared" si="58"/>
        <v>0</v>
      </c>
      <c r="BE44" s="12">
        <f t="shared" si="58"/>
        <v>0</v>
      </c>
      <c r="BF44" s="12">
        <f t="shared" si="58"/>
        <v>424703911</v>
      </c>
      <c r="BG44" s="12">
        <f t="shared" si="58"/>
        <v>0</v>
      </c>
      <c r="BH44" s="12">
        <f t="shared" si="58"/>
        <v>0</v>
      </c>
      <c r="BI44" s="12">
        <f t="shared" si="58"/>
        <v>0</v>
      </c>
      <c r="BJ44" s="12">
        <f t="shared" si="58"/>
        <v>0</v>
      </c>
      <c r="BK44" s="12">
        <f t="shared" si="58"/>
        <v>0</v>
      </c>
      <c r="BL44" s="12">
        <f t="shared" si="58"/>
        <v>0</v>
      </c>
      <c r="BM44" s="12">
        <f t="shared" si="58"/>
        <v>0</v>
      </c>
      <c r="BN44" s="12">
        <f t="shared" si="58"/>
        <v>0</v>
      </c>
      <c r="BO44" s="12">
        <f t="shared" si="58"/>
        <v>0</v>
      </c>
      <c r="BP44" s="12">
        <f t="shared" si="58"/>
        <v>0</v>
      </c>
      <c r="BQ44" s="12">
        <f t="shared" si="58"/>
        <v>0</v>
      </c>
      <c r="BR44" s="12">
        <f t="shared" si="58"/>
        <v>0</v>
      </c>
      <c r="BS44" s="12">
        <f t="shared" si="58"/>
        <v>0</v>
      </c>
      <c r="BT44" s="12">
        <f t="shared" si="58"/>
        <v>33732499333</v>
      </c>
      <c r="BU44" s="26" t="str">
        <f>+IF(K44-BT44=0,"OK","ERROR")</f>
        <v>OK</v>
      </c>
      <c r="BV44" s="73">
        <f>BT44-K44</f>
        <v>0</v>
      </c>
      <c r="BW44" s="7"/>
      <c r="BX44" s="7"/>
      <c r="BY44" s="7"/>
      <c r="BZ44" s="7"/>
      <c r="CA44" s="7"/>
      <c r="CB44" s="7"/>
      <c r="CC44" s="7"/>
    </row>
    <row r="45" spans="1:81">
      <c r="B45" s="367" t="s">
        <v>104</v>
      </c>
      <c r="C45" s="143" t="s">
        <v>103</v>
      </c>
      <c r="D45" s="147"/>
      <c r="E45" s="383"/>
      <c r="F45" s="144"/>
      <c r="G45" s="147"/>
      <c r="H45" s="145"/>
      <c r="I45" s="145"/>
      <c r="J45" s="147"/>
      <c r="K45" s="146"/>
      <c r="L45" s="146"/>
      <c r="M45" s="146"/>
      <c r="N45" s="465"/>
      <c r="O45" s="55"/>
      <c r="P45" s="79"/>
      <c r="Q45" s="12"/>
      <c r="R45" s="12"/>
      <c r="S45" s="12"/>
      <c r="AF45" s="6"/>
      <c r="AS45" s="6"/>
      <c r="BF45" s="6"/>
      <c r="BG45" s="7"/>
      <c r="BH45" s="7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26"/>
      <c r="BV45" s="7"/>
      <c r="BW45" s="7"/>
      <c r="BX45" s="7"/>
      <c r="BY45" s="7"/>
      <c r="BZ45" s="7"/>
      <c r="CA45" s="7"/>
      <c r="CB45" s="7"/>
      <c r="CC45" s="7"/>
    </row>
    <row r="46" spans="1:81" s="180" customFormat="1">
      <c r="A46" s="174" t="s">
        <v>535</v>
      </c>
      <c r="B46" s="399">
        <v>1</v>
      </c>
      <c r="C46" s="400" t="s">
        <v>22</v>
      </c>
      <c r="D46" s="401" t="s">
        <v>40</v>
      </c>
      <c r="E46" s="402"/>
      <c r="F46" s="403" t="s">
        <v>118</v>
      </c>
      <c r="G46" s="401" t="s">
        <v>40</v>
      </c>
      <c r="H46" s="404" t="e">
        <f>E46-K47-K49-K51-K48-K50-K52-#REF!</f>
        <v>#REF!</v>
      </c>
      <c r="I46" s="404"/>
      <c r="J46" s="401"/>
      <c r="K46" s="405"/>
      <c r="L46" s="405"/>
      <c r="M46" s="405"/>
      <c r="N46" s="471"/>
      <c r="O46" s="175">
        <f>+SUMIFS(db_Sum,db_Bln,O$6,db_Kode,$A46)</f>
        <v>0</v>
      </c>
      <c r="P46" s="176" t="e">
        <f>+IF(H46=0,E46-K46,0)</f>
        <v>#REF!</v>
      </c>
      <c r="Q46" s="177">
        <f t="shared" ref="Q46:AR46" si="59">+SUMIFS(db_Sum,db_Bln,Q$6,db_Kode,$A46)</f>
        <v>0</v>
      </c>
      <c r="R46" s="177">
        <f t="shared" si="59"/>
        <v>0</v>
      </c>
      <c r="S46" s="177">
        <f t="shared" si="59"/>
        <v>0</v>
      </c>
      <c r="T46" s="177">
        <f t="shared" si="59"/>
        <v>0</v>
      </c>
      <c r="U46" s="177">
        <f t="shared" si="59"/>
        <v>0</v>
      </c>
      <c r="V46" s="177">
        <f t="shared" si="59"/>
        <v>0</v>
      </c>
      <c r="W46" s="177">
        <f t="shared" si="59"/>
        <v>0</v>
      </c>
      <c r="X46" s="177">
        <f t="shared" si="59"/>
        <v>0</v>
      </c>
      <c r="Y46" s="177">
        <f t="shared" si="59"/>
        <v>0</v>
      </c>
      <c r="Z46" s="177">
        <f t="shared" si="59"/>
        <v>0</v>
      </c>
      <c r="AA46" s="177">
        <f t="shared" si="59"/>
        <v>0</v>
      </c>
      <c r="AB46" s="177">
        <f t="shared" si="59"/>
        <v>0</v>
      </c>
      <c r="AC46" s="177">
        <f t="shared" si="59"/>
        <v>0</v>
      </c>
      <c r="AD46" s="177">
        <f t="shared" si="59"/>
        <v>0</v>
      </c>
      <c r="AE46" s="177">
        <f t="shared" si="59"/>
        <v>0</v>
      </c>
      <c r="AF46" s="177">
        <f t="shared" ref="AF46" si="60">+SUM(T46:AE46)</f>
        <v>0</v>
      </c>
      <c r="AG46" s="177">
        <f t="shared" si="59"/>
        <v>0</v>
      </c>
      <c r="AH46" s="177">
        <f t="shared" si="59"/>
        <v>0</v>
      </c>
      <c r="AI46" s="177">
        <f t="shared" si="59"/>
        <v>0</v>
      </c>
      <c r="AJ46" s="177">
        <f t="shared" si="59"/>
        <v>0</v>
      </c>
      <c r="AK46" s="177">
        <f t="shared" si="59"/>
        <v>0</v>
      </c>
      <c r="AL46" s="177">
        <f t="shared" si="59"/>
        <v>0</v>
      </c>
      <c r="AM46" s="177">
        <f t="shared" si="59"/>
        <v>0</v>
      </c>
      <c r="AN46" s="177">
        <f t="shared" si="59"/>
        <v>0</v>
      </c>
      <c r="AO46" s="177">
        <f t="shared" si="59"/>
        <v>0</v>
      </c>
      <c r="AP46" s="177">
        <f t="shared" si="59"/>
        <v>0</v>
      </c>
      <c r="AQ46" s="177">
        <f t="shared" si="59"/>
        <v>0</v>
      </c>
      <c r="AR46" s="177">
        <f t="shared" si="59"/>
        <v>6406172002</v>
      </c>
      <c r="AS46" s="177">
        <f t="shared" ref="AS46" si="61">+SUM(AG46:AR46)</f>
        <v>6406172002</v>
      </c>
      <c r="AT46" s="177">
        <f t="shared" ref="AT46:BI46" si="62">+SUMIFS(db_Sum,db_Bln,AT$6,db_Kode,$A46)</f>
        <v>9337716061</v>
      </c>
      <c r="AU46" s="177">
        <f t="shared" si="62"/>
        <v>5532086828</v>
      </c>
      <c r="AV46" s="177">
        <f t="shared" si="62"/>
        <v>8082904961</v>
      </c>
      <c r="AW46" s="177">
        <f t="shared" si="62"/>
        <v>0</v>
      </c>
      <c r="AX46" s="177">
        <f t="shared" si="62"/>
        <v>6004159618</v>
      </c>
      <c r="AY46" s="177">
        <f t="shared" si="62"/>
        <v>6600672802</v>
      </c>
      <c r="AZ46" s="177">
        <f t="shared" si="62"/>
        <v>2016525146</v>
      </c>
      <c r="BA46" s="177">
        <f t="shared" si="62"/>
        <v>5195999303</v>
      </c>
      <c r="BB46" s="177">
        <f t="shared" si="62"/>
        <v>5891735068</v>
      </c>
      <c r="BC46" s="177">
        <f t="shared" si="62"/>
        <v>1605159114</v>
      </c>
      <c r="BD46" s="177">
        <f t="shared" si="62"/>
        <v>887242650</v>
      </c>
      <c r="BE46" s="177">
        <f t="shared" si="62"/>
        <v>277056767</v>
      </c>
      <c r="BF46" s="177">
        <f t="shared" ref="BF46" si="63">+SUM(AT46:BE46)</f>
        <v>51431258318</v>
      </c>
      <c r="BG46" s="177">
        <f t="shared" si="62"/>
        <v>20900750</v>
      </c>
      <c r="BH46" s="177">
        <f t="shared" si="62"/>
        <v>3544924890</v>
      </c>
      <c r="BI46" s="177">
        <f t="shared" si="62"/>
        <v>1637892081</v>
      </c>
      <c r="BJ46" s="177">
        <f>+SUMIFS(db_Sum,db_Bln,BJ$6,db_Kode,$A46)</f>
        <v>309152882</v>
      </c>
      <c r="BK46" s="177">
        <f>+SUMIFS(db_Sum,db_Bln,BK$6,db_Kode,$A46)</f>
        <v>0</v>
      </c>
      <c r="BL46" s="177"/>
      <c r="BM46" s="177"/>
      <c r="BN46" s="177"/>
      <c r="BO46" s="177"/>
      <c r="BP46" s="177"/>
      <c r="BQ46" s="177"/>
      <c r="BR46" s="177"/>
      <c r="BS46" s="177">
        <f t="shared" ref="BS46" si="64">+SUM(BG46:BR46)</f>
        <v>5512870603</v>
      </c>
      <c r="BT46" s="177">
        <f>+SUM(O46,Q46,R46,S46,AF46,AS46,BF46+BS46)</f>
        <v>63350300923</v>
      </c>
      <c r="BU46" s="178" t="str">
        <f>+IF(K46-BT46=0,"OK","ERROR")</f>
        <v>ERROR</v>
      </c>
      <c r="BV46" s="179"/>
      <c r="BW46" s="179"/>
      <c r="BX46" s="179"/>
      <c r="BY46" s="179"/>
      <c r="BZ46" s="179"/>
      <c r="CA46" s="179"/>
      <c r="CB46" s="179"/>
      <c r="CC46" s="179"/>
    </row>
    <row r="47" spans="1:81" s="180" customFormat="1">
      <c r="A47" s="174"/>
      <c r="B47" s="313" t="s">
        <v>2241</v>
      </c>
      <c r="C47" s="307" t="s">
        <v>2242</v>
      </c>
      <c r="D47" s="314" t="s">
        <v>40</v>
      </c>
      <c r="E47" s="315">
        <v>59815680000</v>
      </c>
      <c r="F47" s="316"/>
      <c r="G47" s="314"/>
      <c r="H47" s="317"/>
      <c r="I47" s="317">
        <v>59815680000</v>
      </c>
      <c r="J47" s="314">
        <v>59815680000</v>
      </c>
      <c r="K47" s="318">
        <v>54679270613.735779</v>
      </c>
      <c r="L47" s="318">
        <v>0</v>
      </c>
      <c r="M47" s="318">
        <f>J47-K47</f>
        <v>5136409386.2642212</v>
      </c>
      <c r="N47" s="472"/>
      <c r="O47" s="175"/>
      <c r="P47" s="176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177"/>
      <c r="BS47" s="177"/>
      <c r="BT47" s="177"/>
      <c r="BU47" s="178"/>
      <c r="BV47" s="179"/>
      <c r="BW47" s="179"/>
      <c r="BX47" s="179"/>
      <c r="BY47" s="179"/>
      <c r="BZ47" s="179"/>
      <c r="CA47" s="179"/>
      <c r="CB47" s="179"/>
      <c r="CC47" s="179"/>
    </row>
    <row r="48" spans="1:81" hidden="1">
      <c r="B48" s="319"/>
      <c r="C48" s="320" t="s">
        <v>2273</v>
      </c>
      <c r="D48" s="321"/>
      <c r="E48" s="322">
        <v>0</v>
      </c>
      <c r="F48" s="323"/>
      <c r="G48" s="321"/>
      <c r="H48" s="324"/>
      <c r="I48" s="324">
        <v>0</v>
      </c>
      <c r="J48" s="321">
        <v>0</v>
      </c>
      <c r="K48" s="325">
        <v>864532052.26422119</v>
      </c>
      <c r="L48" s="325">
        <v>0</v>
      </c>
      <c r="M48" s="325">
        <v>0</v>
      </c>
      <c r="N48" s="473"/>
      <c r="O48" s="52"/>
      <c r="P48" s="77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3"/>
      <c r="BV48" s="7"/>
      <c r="BW48" s="7"/>
      <c r="BX48" s="7"/>
      <c r="BY48" s="7"/>
      <c r="BZ48" s="7"/>
      <c r="CA48" s="7"/>
      <c r="CB48" s="7"/>
      <c r="CC48" s="7"/>
    </row>
    <row r="49" spans="1:81" s="180" customFormat="1" ht="107.5" customHeight="1">
      <c r="A49" s="174"/>
      <c r="B49" s="313" t="s">
        <v>2241</v>
      </c>
      <c r="C49" s="326" t="s">
        <v>2243</v>
      </c>
      <c r="D49" s="314" t="s">
        <v>40</v>
      </c>
      <c r="E49" s="315">
        <v>0</v>
      </c>
      <c r="F49" s="316"/>
      <c r="G49" s="314"/>
      <c r="H49" s="317"/>
      <c r="I49" s="317">
        <v>2779729670</v>
      </c>
      <c r="J49" s="314">
        <v>2779729670</v>
      </c>
      <c r="K49" s="318">
        <v>0</v>
      </c>
      <c r="L49" s="318">
        <v>2628146841.5382137</v>
      </c>
      <c r="M49" s="318">
        <f>J49-L49</f>
        <v>151582828.46178627</v>
      </c>
      <c r="N49" s="474" t="s">
        <v>2249</v>
      </c>
      <c r="O49" s="175"/>
      <c r="P49" s="176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177"/>
      <c r="AY49" s="177"/>
      <c r="AZ49" s="177"/>
      <c r="BA49" s="177"/>
      <c r="BB49" s="177"/>
      <c r="BC49" s="177"/>
      <c r="BD49" s="177"/>
      <c r="BE49" s="177"/>
      <c r="BF49" s="177"/>
      <c r="BG49" s="177"/>
      <c r="BH49" s="177"/>
      <c r="BI49" s="177"/>
      <c r="BJ49" s="177"/>
      <c r="BK49" s="177"/>
      <c r="BL49" s="177"/>
      <c r="BM49" s="177"/>
      <c r="BN49" s="177"/>
      <c r="BO49" s="177"/>
      <c r="BP49" s="177"/>
      <c r="BQ49" s="177"/>
      <c r="BR49" s="177"/>
      <c r="BS49" s="177"/>
      <c r="BT49" s="177"/>
      <c r="BU49" s="178"/>
      <c r="BV49" s="179"/>
      <c r="BW49" s="179"/>
      <c r="BX49" s="179"/>
      <c r="BY49" s="179"/>
      <c r="BZ49" s="179"/>
      <c r="CA49" s="179"/>
      <c r="CB49" s="179"/>
      <c r="CC49" s="179"/>
    </row>
    <row r="50" spans="1:81" hidden="1">
      <c r="B50" s="319"/>
      <c r="C50" s="327" t="s">
        <v>2273</v>
      </c>
      <c r="D50" s="321"/>
      <c r="E50" s="322">
        <v>0</v>
      </c>
      <c r="F50" s="323"/>
      <c r="G50" s="321"/>
      <c r="H50" s="324"/>
      <c r="I50" s="324">
        <v>0</v>
      </c>
      <c r="J50" s="321">
        <v>0</v>
      </c>
      <c r="K50" s="325">
        <v>0</v>
      </c>
      <c r="L50" s="325">
        <v>69522039.46178627</v>
      </c>
      <c r="M50" s="325">
        <v>0</v>
      </c>
      <c r="N50" s="475"/>
      <c r="O50" s="52"/>
      <c r="P50" s="77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3"/>
      <c r="BV50" s="7"/>
      <c r="BW50" s="7"/>
      <c r="BX50" s="7"/>
      <c r="BY50" s="7"/>
      <c r="BZ50" s="7"/>
      <c r="CA50" s="7"/>
      <c r="CB50" s="7"/>
      <c r="CC50" s="7"/>
    </row>
    <row r="51" spans="1:81" s="180" customFormat="1" ht="84">
      <c r="A51" s="174"/>
      <c r="B51" s="313" t="s">
        <v>2241</v>
      </c>
      <c r="C51" s="326" t="s">
        <v>2244</v>
      </c>
      <c r="D51" s="314" t="s">
        <v>40</v>
      </c>
      <c r="E51" s="315">
        <v>0</v>
      </c>
      <c r="F51" s="316"/>
      <c r="G51" s="314"/>
      <c r="H51" s="317"/>
      <c r="I51" s="317">
        <v>7062213879</v>
      </c>
      <c r="J51" s="314">
        <v>7062213879</v>
      </c>
      <c r="K51" s="318">
        <v>0</v>
      </c>
      <c r="L51" s="318">
        <v>4255160418.5947347</v>
      </c>
      <c r="M51" s="318">
        <f>J51-L51</f>
        <v>2807053460.4052653</v>
      </c>
      <c r="N51" s="474" t="s">
        <v>2250</v>
      </c>
      <c r="O51" s="175"/>
      <c r="P51" s="176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  <c r="AH51" s="177"/>
      <c r="AI51" s="177"/>
      <c r="AJ51" s="177"/>
      <c r="AK51" s="177"/>
      <c r="AL51" s="177"/>
      <c r="AM51" s="177"/>
      <c r="AN51" s="177"/>
      <c r="AO51" s="177"/>
      <c r="AP51" s="177"/>
      <c r="AQ51" s="177"/>
      <c r="AR51" s="177"/>
      <c r="AS51" s="177"/>
      <c r="AT51" s="177"/>
      <c r="AU51" s="177"/>
      <c r="AV51" s="177"/>
      <c r="AW51" s="177"/>
      <c r="AX51" s="177"/>
      <c r="AY51" s="177"/>
      <c r="AZ51" s="177"/>
      <c r="BA51" s="177"/>
      <c r="BB51" s="177"/>
      <c r="BC51" s="177"/>
      <c r="BD51" s="177"/>
      <c r="BE51" s="177"/>
      <c r="BF51" s="177"/>
      <c r="BG51" s="177"/>
      <c r="BH51" s="177"/>
      <c r="BI51" s="177"/>
      <c r="BJ51" s="177"/>
      <c r="BK51" s="177"/>
      <c r="BL51" s="177"/>
      <c r="BM51" s="177"/>
      <c r="BN51" s="177"/>
      <c r="BO51" s="177"/>
      <c r="BP51" s="177"/>
      <c r="BQ51" s="177"/>
      <c r="BR51" s="177"/>
      <c r="BS51" s="177"/>
      <c r="BT51" s="177"/>
      <c r="BU51" s="178"/>
      <c r="BV51" s="179"/>
      <c r="BW51" s="179"/>
      <c r="BX51" s="179"/>
      <c r="BY51" s="179"/>
      <c r="BZ51" s="179"/>
      <c r="CA51" s="179"/>
      <c r="CB51" s="179"/>
      <c r="CC51" s="179"/>
    </row>
    <row r="52" spans="1:81" hidden="1">
      <c r="B52" s="406"/>
      <c r="C52" s="407" t="s">
        <v>2274</v>
      </c>
      <c r="D52" s="408"/>
      <c r="E52" s="409"/>
      <c r="F52" s="410"/>
      <c r="G52" s="408"/>
      <c r="H52" s="411"/>
      <c r="I52" s="411">
        <v>0</v>
      </c>
      <c r="J52" s="408">
        <v>0</v>
      </c>
      <c r="K52" s="412">
        <v>0</v>
      </c>
      <c r="L52" s="412">
        <v>853668960.40526533</v>
      </c>
      <c r="M52" s="412">
        <v>0</v>
      </c>
      <c r="N52" s="476"/>
      <c r="O52" s="52"/>
      <c r="P52" s="77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3"/>
      <c r="BV52" s="7"/>
      <c r="BW52" s="7"/>
      <c r="BX52" s="7"/>
      <c r="BY52" s="7"/>
      <c r="BZ52" s="7"/>
      <c r="CA52" s="7"/>
      <c r="CB52" s="7"/>
      <c r="CC52" s="7"/>
    </row>
    <row r="53" spans="1:81">
      <c r="B53" s="142"/>
      <c r="C53" s="143" t="s">
        <v>67</v>
      </c>
      <c r="D53" s="149"/>
      <c r="E53" s="150">
        <f>SUM(E46:E52)</f>
        <v>59815680000</v>
      </c>
      <c r="F53" s="151"/>
      <c r="G53" s="149"/>
      <c r="H53" s="150" t="e">
        <f>SUM(H46)</f>
        <v>#REF!</v>
      </c>
      <c r="I53" s="152">
        <f>SUM(I47:I52)</f>
        <v>69657623549</v>
      </c>
      <c r="J53" s="152">
        <f>SUM(J47:J52)</f>
        <v>69657623549</v>
      </c>
      <c r="K53" s="152">
        <f>SUM(K47:K52)-K48</f>
        <v>54679270613.735779</v>
      </c>
      <c r="L53" s="152">
        <f>SUM(L47:L52)-L52-L50</f>
        <v>6883307260.1329479</v>
      </c>
      <c r="M53" s="146">
        <f>SUM(M46:M51)</f>
        <v>8095045675.1312733</v>
      </c>
      <c r="N53" s="463">
        <f>K53+L53+M53</f>
        <v>69657623549</v>
      </c>
      <c r="O53" s="58">
        <f t="shared" ref="O53:AT53" si="65">SUM(O46)</f>
        <v>0</v>
      </c>
      <c r="P53" s="67" t="e">
        <f t="shared" si="65"/>
        <v>#REF!</v>
      </c>
      <c r="Q53" s="12">
        <f t="shared" si="65"/>
        <v>0</v>
      </c>
      <c r="R53" s="12">
        <f t="shared" si="65"/>
        <v>0</v>
      </c>
      <c r="S53" s="12">
        <f t="shared" si="65"/>
        <v>0</v>
      </c>
      <c r="T53" s="12">
        <f t="shared" si="65"/>
        <v>0</v>
      </c>
      <c r="U53" s="12">
        <f t="shared" si="65"/>
        <v>0</v>
      </c>
      <c r="V53" s="12">
        <f t="shared" si="65"/>
        <v>0</v>
      </c>
      <c r="W53" s="12">
        <f t="shared" si="65"/>
        <v>0</v>
      </c>
      <c r="X53" s="12">
        <f t="shared" si="65"/>
        <v>0</v>
      </c>
      <c r="Y53" s="12">
        <f t="shared" si="65"/>
        <v>0</v>
      </c>
      <c r="Z53" s="12">
        <f t="shared" si="65"/>
        <v>0</v>
      </c>
      <c r="AA53" s="12">
        <f t="shared" si="65"/>
        <v>0</v>
      </c>
      <c r="AB53" s="12">
        <f t="shared" si="65"/>
        <v>0</v>
      </c>
      <c r="AC53" s="12">
        <f t="shared" si="65"/>
        <v>0</v>
      </c>
      <c r="AD53" s="12">
        <f t="shared" si="65"/>
        <v>0</v>
      </c>
      <c r="AE53" s="12">
        <f t="shared" si="65"/>
        <v>0</v>
      </c>
      <c r="AF53" s="12">
        <f t="shared" si="65"/>
        <v>0</v>
      </c>
      <c r="AG53" s="12">
        <f t="shared" si="65"/>
        <v>0</v>
      </c>
      <c r="AH53" s="12">
        <f t="shared" si="65"/>
        <v>0</v>
      </c>
      <c r="AI53" s="12">
        <f t="shared" si="65"/>
        <v>0</v>
      </c>
      <c r="AJ53" s="12">
        <f t="shared" si="65"/>
        <v>0</v>
      </c>
      <c r="AK53" s="12">
        <f t="shared" si="65"/>
        <v>0</v>
      </c>
      <c r="AL53" s="12">
        <f t="shared" si="65"/>
        <v>0</v>
      </c>
      <c r="AM53" s="12">
        <f t="shared" si="65"/>
        <v>0</v>
      </c>
      <c r="AN53" s="12">
        <f t="shared" si="65"/>
        <v>0</v>
      </c>
      <c r="AO53" s="12">
        <f t="shared" si="65"/>
        <v>0</v>
      </c>
      <c r="AP53" s="12">
        <f t="shared" si="65"/>
        <v>0</v>
      </c>
      <c r="AQ53" s="12">
        <f t="shared" si="65"/>
        <v>0</v>
      </c>
      <c r="AR53" s="12">
        <f t="shared" si="65"/>
        <v>6406172002</v>
      </c>
      <c r="AS53" s="12">
        <f t="shared" si="65"/>
        <v>6406172002</v>
      </c>
      <c r="AT53" s="12">
        <f t="shared" si="65"/>
        <v>9337716061</v>
      </c>
      <c r="AU53" s="12">
        <f t="shared" ref="AU53:BT53" si="66">SUM(AU46)</f>
        <v>5532086828</v>
      </c>
      <c r="AV53" s="12">
        <f t="shared" si="66"/>
        <v>8082904961</v>
      </c>
      <c r="AW53" s="12">
        <f t="shared" si="66"/>
        <v>0</v>
      </c>
      <c r="AX53" s="12">
        <f t="shared" si="66"/>
        <v>6004159618</v>
      </c>
      <c r="AY53" s="12">
        <f t="shared" si="66"/>
        <v>6600672802</v>
      </c>
      <c r="AZ53" s="12">
        <f t="shared" si="66"/>
        <v>2016525146</v>
      </c>
      <c r="BA53" s="12">
        <f t="shared" si="66"/>
        <v>5195999303</v>
      </c>
      <c r="BB53" s="12">
        <f t="shared" si="66"/>
        <v>5891735068</v>
      </c>
      <c r="BC53" s="12">
        <f t="shared" si="66"/>
        <v>1605159114</v>
      </c>
      <c r="BD53" s="12">
        <f t="shared" si="66"/>
        <v>887242650</v>
      </c>
      <c r="BE53" s="12">
        <f t="shared" si="66"/>
        <v>277056767</v>
      </c>
      <c r="BF53" s="12">
        <f t="shared" si="66"/>
        <v>51431258318</v>
      </c>
      <c r="BG53" s="12">
        <f t="shared" si="66"/>
        <v>20900750</v>
      </c>
      <c r="BH53" s="12">
        <f t="shared" si="66"/>
        <v>3544924890</v>
      </c>
      <c r="BI53" s="12">
        <f t="shared" si="66"/>
        <v>1637892081</v>
      </c>
      <c r="BJ53" s="12">
        <f t="shared" si="66"/>
        <v>309152882</v>
      </c>
      <c r="BK53" s="12">
        <f t="shared" si="66"/>
        <v>0</v>
      </c>
      <c r="BL53" s="12">
        <f t="shared" si="66"/>
        <v>0</v>
      </c>
      <c r="BM53" s="12">
        <f t="shared" si="66"/>
        <v>0</v>
      </c>
      <c r="BN53" s="12">
        <f t="shared" si="66"/>
        <v>0</v>
      </c>
      <c r="BO53" s="12">
        <f t="shared" si="66"/>
        <v>0</v>
      </c>
      <c r="BP53" s="12">
        <f t="shared" si="66"/>
        <v>0</v>
      </c>
      <c r="BQ53" s="12">
        <f t="shared" si="66"/>
        <v>0</v>
      </c>
      <c r="BR53" s="12">
        <f t="shared" si="66"/>
        <v>0</v>
      </c>
      <c r="BS53" s="12">
        <f t="shared" si="66"/>
        <v>5512870603</v>
      </c>
      <c r="BT53" s="12">
        <f t="shared" si="66"/>
        <v>63350300923</v>
      </c>
      <c r="BU53" s="26" t="str">
        <f>+IF(K53-BT53=0,"OK","ERROR")</f>
        <v>ERROR</v>
      </c>
      <c r="BV53" s="73">
        <f>BT53-K53</f>
        <v>8671030309.2642212</v>
      </c>
      <c r="BW53" s="7"/>
      <c r="BX53" s="7"/>
      <c r="BY53" s="7"/>
      <c r="BZ53" s="7"/>
      <c r="CA53" s="7"/>
      <c r="CB53" s="7"/>
      <c r="CC53" s="7"/>
    </row>
    <row r="54" spans="1:81">
      <c r="B54" s="367" t="s">
        <v>105</v>
      </c>
      <c r="C54" s="143" t="s">
        <v>108</v>
      </c>
      <c r="D54" s="149"/>
      <c r="E54" s="417"/>
      <c r="F54" s="151"/>
      <c r="G54" s="149"/>
      <c r="H54" s="418"/>
      <c r="I54" s="418"/>
      <c r="J54" s="149"/>
      <c r="K54" s="419"/>
      <c r="L54" s="419"/>
      <c r="M54" s="419"/>
      <c r="N54" s="465"/>
      <c r="O54" s="55"/>
      <c r="P54" s="79"/>
      <c r="Q54" s="12"/>
      <c r="R54" s="12"/>
      <c r="S54" s="12"/>
      <c r="AF54" s="6"/>
      <c r="AS54" s="6"/>
      <c r="BF54" s="6"/>
      <c r="BG54" s="7"/>
      <c r="BH54" s="7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26"/>
      <c r="BV54" s="7"/>
      <c r="BW54" s="7"/>
      <c r="BX54" s="7"/>
      <c r="BY54" s="7"/>
      <c r="BZ54" s="7"/>
      <c r="CA54" s="7"/>
      <c r="CB54" s="7"/>
      <c r="CC54" s="7"/>
    </row>
    <row r="55" spans="1:81" s="180" customFormat="1">
      <c r="A55" s="174" t="s">
        <v>536</v>
      </c>
      <c r="B55" s="399">
        <v>1</v>
      </c>
      <c r="C55" s="400" t="s">
        <v>21</v>
      </c>
      <c r="D55" s="413" t="s">
        <v>2529</v>
      </c>
      <c r="E55" s="414">
        <v>16525680000</v>
      </c>
      <c r="F55" s="415" t="s">
        <v>84</v>
      </c>
      <c r="G55" s="413" t="s">
        <v>50</v>
      </c>
      <c r="H55" s="404">
        <f>E55-K55-K56</f>
        <v>409419999</v>
      </c>
      <c r="I55" s="404">
        <v>16525680000.000002</v>
      </c>
      <c r="J55" s="413">
        <v>16525680000.000002</v>
      </c>
      <c r="K55" s="416">
        <v>15699396000.5</v>
      </c>
      <c r="L55" s="416"/>
      <c r="M55" s="416">
        <f>J55-K55</f>
        <v>826283999.50000191</v>
      </c>
      <c r="N55" s="471" t="s">
        <v>2254</v>
      </c>
      <c r="O55" s="175">
        <f>+SUMIFS(db_Sum,db_Bln,O$6,db_Kode,$A55)</f>
        <v>0</v>
      </c>
      <c r="P55" s="176">
        <f>+IF(H55=0,E55-K55,0)</f>
        <v>0</v>
      </c>
      <c r="Q55" s="177">
        <f t="shared" ref="Q55:AG59" si="67">+SUMIFS(db_Sum,db_Bln,Q$6,db_Kode,$A55)</f>
        <v>0</v>
      </c>
      <c r="R55" s="177">
        <f t="shared" si="67"/>
        <v>0</v>
      </c>
      <c r="S55" s="177">
        <f t="shared" si="67"/>
        <v>0</v>
      </c>
      <c r="T55" s="177">
        <f t="shared" si="67"/>
        <v>0</v>
      </c>
      <c r="U55" s="177">
        <f t="shared" si="67"/>
        <v>0</v>
      </c>
      <c r="V55" s="177">
        <f t="shared" si="67"/>
        <v>0</v>
      </c>
      <c r="W55" s="177">
        <f t="shared" si="67"/>
        <v>0</v>
      </c>
      <c r="X55" s="177">
        <f t="shared" si="67"/>
        <v>0</v>
      </c>
      <c r="Y55" s="177">
        <f t="shared" si="67"/>
        <v>0</v>
      </c>
      <c r="Z55" s="177">
        <f t="shared" si="67"/>
        <v>0</v>
      </c>
      <c r="AA55" s="177">
        <f t="shared" si="67"/>
        <v>0</v>
      </c>
      <c r="AB55" s="177">
        <f t="shared" si="67"/>
        <v>0</v>
      </c>
      <c r="AC55" s="177">
        <f t="shared" si="67"/>
        <v>0</v>
      </c>
      <c r="AD55" s="177">
        <f t="shared" si="67"/>
        <v>0</v>
      </c>
      <c r="AE55" s="177">
        <f t="shared" si="67"/>
        <v>0</v>
      </c>
      <c r="AF55" s="177">
        <f t="shared" ref="AF55:AF59" si="68">+SUM(T55:AE55)</f>
        <v>0</v>
      </c>
      <c r="AG55" s="177">
        <f t="shared" si="67"/>
        <v>0</v>
      </c>
      <c r="AH55" s="177">
        <f t="shared" ref="AG55:AR59" si="69">+SUMIFS(db_Sum,db_Bln,AH$6,db_Kode,$A55)</f>
        <v>0</v>
      </c>
      <c r="AI55" s="177">
        <f t="shared" si="69"/>
        <v>0</v>
      </c>
      <c r="AJ55" s="177">
        <f t="shared" si="69"/>
        <v>0</v>
      </c>
      <c r="AK55" s="177">
        <f t="shared" si="69"/>
        <v>0</v>
      </c>
      <c r="AL55" s="177">
        <f t="shared" si="69"/>
        <v>0</v>
      </c>
      <c r="AM55" s="177">
        <f t="shared" si="69"/>
        <v>0</v>
      </c>
      <c r="AN55" s="177">
        <f t="shared" si="69"/>
        <v>0</v>
      </c>
      <c r="AO55" s="177">
        <f t="shared" si="69"/>
        <v>0</v>
      </c>
      <c r="AP55" s="177">
        <f t="shared" si="69"/>
        <v>0</v>
      </c>
      <c r="AQ55" s="177">
        <f t="shared" si="69"/>
        <v>4844304709</v>
      </c>
      <c r="AR55" s="177">
        <f t="shared" si="69"/>
        <v>3598599695</v>
      </c>
      <c r="AS55" s="177">
        <f t="shared" ref="AS55:AS59" si="70">+SUM(AG55:AR55)</f>
        <v>8442904404</v>
      </c>
      <c r="AT55" s="177">
        <f t="shared" ref="AT55:BI66" si="71">+SUMIFS(db_Sum,db_Bln,AT$6,db_Kode,$A55)</f>
        <v>933453779</v>
      </c>
      <c r="AU55" s="177">
        <f t="shared" si="71"/>
        <v>986476275</v>
      </c>
      <c r="AV55" s="177">
        <f t="shared" si="71"/>
        <v>3286105414</v>
      </c>
      <c r="AW55" s="177">
        <f t="shared" si="71"/>
        <v>0</v>
      </c>
      <c r="AX55" s="177">
        <f t="shared" si="71"/>
        <v>620959498</v>
      </c>
      <c r="AY55" s="177">
        <f t="shared" si="71"/>
        <v>592594880</v>
      </c>
      <c r="AZ55" s="177">
        <f t="shared" si="71"/>
        <v>2162640950</v>
      </c>
      <c r="BA55" s="177">
        <f t="shared" si="71"/>
        <v>-846268627</v>
      </c>
      <c r="BB55" s="177">
        <f t="shared" si="71"/>
        <v>248875149</v>
      </c>
      <c r="BC55" s="177">
        <f t="shared" si="71"/>
        <v>0</v>
      </c>
      <c r="BD55" s="177">
        <f t="shared" si="71"/>
        <v>0</v>
      </c>
      <c r="BE55" s="177">
        <f t="shared" si="71"/>
        <v>0</v>
      </c>
      <c r="BF55" s="177">
        <f t="shared" si="3"/>
        <v>7984837318</v>
      </c>
      <c r="BG55" s="177">
        <f t="shared" si="71"/>
        <v>0</v>
      </c>
      <c r="BH55" s="177">
        <f t="shared" si="71"/>
        <v>0</v>
      </c>
      <c r="BI55" s="177">
        <f t="shared" si="71"/>
        <v>0</v>
      </c>
      <c r="BJ55" s="177">
        <f t="shared" ref="BJ55:BK62" si="72">+SUMIFS(db_Sum,db_Bln,BJ$6,db_Kode,$A55)</f>
        <v>0</v>
      </c>
      <c r="BK55" s="177">
        <f t="shared" si="72"/>
        <v>0</v>
      </c>
      <c r="BL55" s="177"/>
      <c r="BM55" s="177"/>
      <c r="BN55" s="177"/>
      <c r="BO55" s="177"/>
      <c r="BP55" s="177"/>
      <c r="BQ55" s="177"/>
      <c r="BR55" s="177"/>
      <c r="BS55" s="177">
        <f t="shared" si="4"/>
        <v>0</v>
      </c>
      <c r="BT55" s="177">
        <f>+SUM(O55,Q55,R55,S55,AF55,AS55,BF55+BS55)</f>
        <v>16427741722</v>
      </c>
      <c r="BU55" s="178" t="str">
        <f>+IF(K55-BT55=0,"OK","ERROR")</f>
        <v>ERROR</v>
      </c>
      <c r="BV55" s="179"/>
      <c r="BW55" s="179"/>
      <c r="BX55" s="179"/>
      <c r="BY55" s="179"/>
      <c r="BZ55" s="179"/>
      <c r="CA55" s="179"/>
      <c r="CB55" s="179"/>
      <c r="CC55" s="179"/>
    </row>
    <row r="56" spans="1:81" hidden="1">
      <c r="B56" s="284"/>
      <c r="C56" s="320" t="s">
        <v>2273</v>
      </c>
      <c r="D56" s="321"/>
      <c r="E56" s="322"/>
      <c r="F56" s="323"/>
      <c r="G56" s="321"/>
      <c r="H56" s="289"/>
      <c r="I56" s="289"/>
      <c r="J56" s="321"/>
      <c r="K56" s="325">
        <v>416864000.5</v>
      </c>
      <c r="L56" s="325"/>
      <c r="M56" s="325"/>
      <c r="N56" s="473"/>
      <c r="O56" s="52"/>
      <c r="P56" s="77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3"/>
      <c r="BV56" s="7"/>
      <c r="BW56" s="7"/>
      <c r="BX56" s="7"/>
      <c r="BY56" s="7"/>
      <c r="BZ56" s="7"/>
      <c r="CA56" s="7"/>
      <c r="CB56" s="7"/>
      <c r="CC56" s="7"/>
    </row>
    <row r="57" spans="1:81" s="180" customFormat="1">
      <c r="A57" s="174"/>
      <c r="B57" s="306"/>
      <c r="C57" s="328" t="s">
        <v>2253</v>
      </c>
      <c r="D57" s="413" t="s">
        <v>2529</v>
      </c>
      <c r="E57" s="315">
        <v>0</v>
      </c>
      <c r="F57" s="316"/>
      <c r="G57" s="314"/>
      <c r="H57" s="311">
        <f>E57-K57-K58</f>
        <v>0</v>
      </c>
      <c r="I57" s="311">
        <v>313032765</v>
      </c>
      <c r="J57" s="314">
        <v>313032765</v>
      </c>
      <c r="K57" s="318"/>
      <c r="L57" s="318">
        <v>297381126.75</v>
      </c>
      <c r="M57" s="318">
        <f>J57-L57</f>
        <v>15651638.25</v>
      </c>
      <c r="N57" s="472" t="s">
        <v>2254</v>
      </c>
      <c r="O57" s="175"/>
      <c r="P57" s="176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  <c r="AK57" s="177"/>
      <c r="AL57" s="177"/>
      <c r="AM57" s="177"/>
      <c r="AN57" s="177"/>
      <c r="AO57" s="177"/>
      <c r="AP57" s="177"/>
      <c r="AQ57" s="177"/>
      <c r="AR57" s="177"/>
      <c r="AS57" s="177"/>
      <c r="AT57" s="177"/>
      <c r="AU57" s="177"/>
      <c r="AV57" s="177"/>
      <c r="AW57" s="177"/>
      <c r="AX57" s="177"/>
      <c r="AY57" s="177"/>
      <c r="AZ57" s="177"/>
      <c r="BA57" s="177"/>
      <c r="BB57" s="177"/>
      <c r="BC57" s="177"/>
      <c r="BD57" s="177"/>
      <c r="BE57" s="177"/>
      <c r="BF57" s="177"/>
      <c r="BG57" s="177"/>
      <c r="BH57" s="177"/>
      <c r="BI57" s="177"/>
      <c r="BJ57" s="177"/>
      <c r="BK57" s="177"/>
      <c r="BL57" s="177"/>
      <c r="BM57" s="177"/>
      <c r="BN57" s="177"/>
      <c r="BO57" s="177"/>
      <c r="BP57" s="177"/>
      <c r="BQ57" s="177"/>
      <c r="BR57" s="177"/>
      <c r="BS57" s="177"/>
      <c r="BT57" s="177"/>
      <c r="BU57" s="178"/>
      <c r="BV57" s="179"/>
      <c r="BW57" s="179"/>
      <c r="BX57" s="179"/>
      <c r="BY57" s="179"/>
      <c r="BZ57" s="179"/>
      <c r="CA57" s="179"/>
      <c r="CB57" s="179"/>
      <c r="CC57" s="179"/>
    </row>
    <row r="58" spans="1:81" s="132" customFormat="1" hidden="1">
      <c r="A58" s="13"/>
      <c r="B58" s="284"/>
      <c r="C58" s="320" t="s">
        <v>2272</v>
      </c>
      <c r="D58" s="321"/>
      <c r="E58" s="322"/>
      <c r="F58" s="323"/>
      <c r="G58" s="321"/>
      <c r="H58" s="289"/>
      <c r="I58" s="289"/>
      <c r="J58" s="321"/>
      <c r="K58" s="325">
        <v>0</v>
      </c>
      <c r="L58" s="325">
        <v>14100575</v>
      </c>
      <c r="M58" s="325"/>
      <c r="N58" s="473"/>
      <c r="O58" s="128"/>
      <c r="P58" s="129"/>
      <c r="Q58" s="130"/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130"/>
      <c r="AH58" s="130"/>
      <c r="AI58" s="130"/>
      <c r="AJ58" s="130"/>
      <c r="AK58" s="130"/>
      <c r="AL58" s="130"/>
      <c r="AM58" s="130"/>
      <c r="AN58" s="130"/>
      <c r="AO58" s="130"/>
      <c r="AP58" s="130"/>
      <c r="AQ58" s="130"/>
      <c r="AR58" s="130"/>
      <c r="AS58" s="130"/>
      <c r="AT58" s="130"/>
      <c r="AU58" s="130"/>
      <c r="AV58" s="130"/>
      <c r="AW58" s="130"/>
      <c r="AX58" s="130"/>
      <c r="AY58" s="130"/>
      <c r="AZ58" s="130"/>
      <c r="BA58" s="130"/>
      <c r="BB58" s="130"/>
      <c r="BC58" s="130"/>
      <c r="BD58" s="130"/>
      <c r="BE58" s="130"/>
      <c r="BF58" s="130"/>
      <c r="BG58" s="130"/>
      <c r="BH58" s="130"/>
      <c r="BI58" s="130"/>
      <c r="BJ58" s="130"/>
      <c r="BK58" s="130"/>
      <c r="BL58" s="130"/>
      <c r="BM58" s="130"/>
      <c r="BN58" s="130"/>
      <c r="BO58" s="130"/>
      <c r="BP58" s="130"/>
      <c r="BQ58" s="130"/>
      <c r="BR58" s="130"/>
      <c r="BS58" s="130"/>
      <c r="BT58" s="130"/>
      <c r="BU58" s="131"/>
      <c r="BV58" s="133"/>
      <c r="BW58" s="133"/>
      <c r="BX58" s="133"/>
      <c r="BY58" s="133"/>
      <c r="BZ58" s="133"/>
      <c r="CA58" s="133"/>
      <c r="CB58" s="133"/>
      <c r="CC58" s="133"/>
    </row>
    <row r="59" spans="1:81" s="158" customFormat="1">
      <c r="A59" s="153" t="s">
        <v>537</v>
      </c>
      <c r="B59" s="272">
        <v>2</v>
      </c>
      <c r="C59" s="300" t="s">
        <v>125</v>
      </c>
      <c r="D59" s="329" t="s">
        <v>1105</v>
      </c>
      <c r="E59" s="330">
        <v>1887000000</v>
      </c>
      <c r="F59" s="331"/>
      <c r="G59" s="329"/>
      <c r="H59" s="276" t="e">
        <f>E59-#REF!</f>
        <v>#REF!</v>
      </c>
      <c r="I59" s="276">
        <v>1697879640</v>
      </c>
      <c r="J59" s="329">
        <v>1697879639.9999998</v>
      </c>
      <c r="K59" s="332">
        <v>1697879640</v>
      </c>
      <c r="L59" s="332">
        <v>0</v>
      </c>
      <c r="M59" s="332">
        <f>J59-K59</f>
        <v>0</v>
      </c>
      <c r="N59" s="467" t="s">
        <v>2441</v>
      </c>
      <c r="O59" s="154">
        <f>+SUMIFS(db_Sum,db_Bln,O$6,db_Kode,$A59)</f>
        <v>0</v>
      </c>
      <c r="P59" s="155" t="e">
        <f>+IF(H59=0,E59-K59,0)</f>
        <v>#REF!</v>
      </c>
      <c r="Q59" s="156">
        <f t="shared" si="67"/>
        <v>0</v>
      </c>
      <c r="R59" s="156">
        <f t="shared" si="67"/>
        <v>0</v>
      </c>
      <c r="S59" s="156">
        <f t="shared" si="67"/>
        <v>0</v>
      </c>
      <c r="T59" s="156">
        <f t="shared" si="67"/>
        <v>0</v>
      </c>
      <c r="U59" s="156">
        <f t="shared" si="67"/>
        <v>0</v>
      </c>
      <c r="V59" s="156">
        <f t="shared" si="67"/>
        <v>0</v>
      </c>
      <c r="W59" s="156">
        <f t="shared" si="67"/>
        <v>0</v>
      </c>
      <c r="X59" s="156">
        <f t="shared" si="67"/>
        <v>0</v>
      </c>
      <c r="Y59" s="156">
        <f t="shared" si="67"/>
        <v>0</v>
      </c>
      <c r="Z59" s="156">
        <f t="shared" si="67"/>
        <v>0</v>
      </c>
      <c r="AA59" s="156">
        <f t="shared" si="67"/>
        <v>0</v>
      </c>
      <c r="AB59" s="156">
        <f t="shared" si="67"/>
        <v>0</v>
      </c>
      <c r="AC59" s="156">
        <f t="shared" si="67"/>
        <v>0</v>
      </c>
      <c r="AD59" s="156">
        <f t="shared" si="67"/>
        <v>0</v>
      </c>
      <c r="AE59" s="156">
        <f t="shared" si="67"/>
        <v>0</v>
      </c>
      <c r="AF59" s="156">
        <f t="shared" si="68"/>
        <v>0</v>
      </c>
      <c r="AG59" s="156">
        <f t="shared" si="69"/>
        <v>0</v>
      </c>
      <c r="AH59" s="156">
        <f t="shared" si="69"/>
        <v>0</v>
      </c>
      <c r="AI59" s="156">
        <f t="shared" si="69"/>
        <v>0</v>
      </c>
      <c r="AJ59" s="156">
        <f t="shared" si="69"/>
        <v>0</v>
      </c>
      <c r="AK59" s="156">
        <f t="shared" si="69"/>
        <v>0</v>
      </c>
      <c r="AL59" s="156">
        <f t="shared" si="69"/>
        <v>0</v>
      </c>
      <c r="AM59" s="156">
        <f t="shared" si="69"/>
        <v>0</v>
      </c>
      <c r="AN59" s="156">
        <f t="shared" si="69"/>
        <v>0</v>
      </c>
      <c r="AO59" s="156">
        <f t="shared" si="69"/>
        <v>0</v>
      </c>
      <c r="AP59" s="156">
        <f t="shared" si="69"/>
        <v>0</v>
      </c>
      <c r="AQ59" s="156">
        <f t="shared" si="69"/>
        <v>0</v>
      </c>
      <c r="AR59" s="156">
        <f t="shared" si="69"/>
        <v>0</v>
      </c>
      <c r="AS59" s="156">
        <f t="shared" si="70"/>
        <v>0</v>
      </c>
      <c r="AT59" s="156">
        <f t="shared" si="71"/>
        <v>0</v>
      </c>
      <c r="AU59" s="156">
        <f t="shared" si="71"/>
        <v>5000000</v>
      </c>
      <c r="AV59" s="156">
        <f t="shared" si="71"/>
        <v>0</v>
      </c>
      <c r="AW59" s="156">
        <f t="shared" si="71"/>
        <v>498795700</v>
      </c>
      <c r="AX59" s="156">
        <f t="shared" si="71"/>
        <v>567914940</v>
      </c>
      <c r="AY59" s="156">
        <f t="shared" si="71"/>
        <v>127569950</v>
      </c>
      <c r="AZ59" s="156">
        <f t="shared" si="71"/>
        <v>1520000</v>
      </c>
      <c r="BA59" s="156">
        <f t="shared" si="71"/>
        <v>0</v>
      </c>
      <c r="BB59" s="156">
        <f t="shared" si="71"/>
        <v>0</v>
      </c>
      <c r="BC59" s="156">
        <f t="shared" si="71"/>
        <v>0</v>
      </c>
      <c r="BD59" s="156">
        <f t="shared" si="71"/>
        <v>0</v>
      </c>
      <c r="BE59" s="156">
        <f t="shared" si="71"/>
        <v>502079050</v>
      </c>
      <c r="BF59" s="156">
        <f t="shared" si="3"/>
        <v>1702879640</v>
      </c>
      <c r="BG59" s="156">
        <f t="shared" si="71"/>
        <v>0</v>
      </c>
      <c r="BH59" s="156">
        <f t="shared" si="71"/>
        <v>0</v>
      </c>
      <c r="BI59" s="156">
        <f t="shared" si="71"/>
        <v>0</v>
      </c>
      <c r="BJ59" s="156">
        <f t="shared" si="72"/>
        <v>0</v>
      </c>
      <c r="BK59" s="156">
        <f t="shared" si="72"/>
        <v>0</v>
      </c>
      <c r="BL59" s="156"/>
      <c r="BM59" s="156"/>
      <c r="BN59" s="156"/>
      <c r="BO59" s="156"/>
      <c r="BP59" s="156"/>
      <c r="BQ59" s="156"/>
      <c r="BR59" s="156"/>
      <c r="BS59" s="156">
        <f t="shared" si="4"/>
        <v>0</v>
      </c>
      <c r="BT59" s="156">
        <f>+SUM(O59,Q59,R59,S59,AF59,AS59,BF59+BS59)</f>
        <v>1702879640</v>
      </c>
      <c r="BU59" s="157" t="str">
        <f>+IF(K59-BT59=0,"OK","ERROR")</f>
        <v>ERROR</v>
      </c>
      <c r="BV59" s="161"/>
      <c r="BW59" s="161"/>
      <c r="BX59" s="161"/>
      <c r="BY59" s="161"/>
      <c r="BZ59" s="161"/>
      <c r="CA59" s="161"/>
      <c r="CB59" s="161"/>
      <c r="CC59" s="161"/>
    </row>
    <row r="60" spans="1:81" s="158" customFormat="1">
      <c r="A60" s="153"/>
      <c r="B60" s="272"/>
      <c r="C60" s="296" t="s">
        <v>2290</v>
      </c>
      <c r="D60" s="329"/>
      <c r="E60" s="330">
        <v>0</v>
      </c>
      <c r="F60" s="331"/>
      <c r="G60" s="329"/>
      <c r="H60" s="276"/>
      <c r="I60" s="276">
        <v>0</v>
      </c>
      <c r="J60" s="329">
        <v>5000000</v>
      </c>
      <c r="K60" s="332">
        <v>5000000</v>
      </c>
      <c r="L60" s="332">
        <v>0</v>
      </c>
      <c r="M60" s="332">
        <v>0</v>
      </c>
      <c r="N60" s="467" t="s">
        <v>2483</v>
      </c>
      <c r="O60" s="154"/>
      <c r="P60" s="155"/>
      <c r="Q60" s="156"/>
      <c r="R60" s="156"/>
      <c r="S60" s="156"/>
      <c r="T60" s="156"/>
      <c r="U60" s="156"/>
      <c r="V60" s="156"/>
      <c r="W60" s="156"/>
      <c r="X60" s="156"/>
      <c r="Y60" s="156"/>
      <c r="Z60" s="156"/>
      <c r="AA60" s="156"/>
      <c r="AB60" s="156"/>
      <c r="AC60" s="156"/>
      <c r="AD60" s="156"/>
      <c r="AE60" s="156"/>
      <c r="AF60" s="156"/>
      <c r="AG60" s="156"/>
      <c r="AH60" s="156"/>
      <c r="AI60" s="156"/>
      <c r="AJ60" s="156"/>
      <c r="AK60" s="156"/>
      <c r="AL60" s="156"/>
      <c r="AM60" s="156"/>
      <c r="AN60" s="156"/>
      <c r="AO60" s="156"/>
      <c r="AP60" s="156"/>
      <c r="AQ60" s="156"/>
      <c r="AR60" s="156"/>
      <c r="AS60" s="156"/>
      <c r="AT60" s="156"/>
      <c r="AU60" s="156"/>
      <c r="AV60" s="156"/>
      <c r="AW60" s="156"/>
      <c r="AX60" s="156"/>
      <c r="AY60" s="156"/>
      <c r="AZ60" s="156"/>
      <c r="BA60" s="156"/>
      <c r="BB60" s="156"/>
      <c r="BC60" s="156"/>
      <c r="BD60" s="156"/>
      <c r="BE60" s="156"/>
      <c r="BF60" s="156"/>
      <c r="BG60" s="156"/>
      <c r="BH60" s="156"/>
      <c r="BI60" s="156"/>
      <c r="BJ60" s="156"/>
      <c r="BK60" s="156"/>
      <c r="BL60" s="156"/>
      <c r="BM60" s="156"/>
      <c r="BN60" s="156"/>
      <c r="BO60" s="156"/>
      <c r="BP60" s="156"/>
      <c r="BQ60" s="156"/>
      <c r="BR60" s="156"/>
      <c r="BS60" s="156"/>
      <c r="BT60" s="156"/>
      <c r="BU60" s="157"/>
      <c r="BV60" s="161"/>
      <c r="BW60" s="161"/>
      <c r="BX60" s="161"/>
      <c r="BY60" s="161"/>
      <c r="BZ60" s="161"/>
      <c r="CA60" s="161"/>
      <c r="CB60" s="161"/>
      <c r="CC60" s="161"/>
    </row>
    <row r="61" spans="1:81" s="158" customFormat="1">
      <c r="A61" s="153" t="s">
        <v>1168</v>
      </c>
      <c r="B61" s="272">
        <v>3</v>
      </c>
      <c r="C61" s="300" t="s">
        <v>578</v>
      </c>
      <c r="D61" s="329"/>
      <c r="E61" s="330">
        <v>0</v>
      </c>
      <c r="F61" s="331"/>
      <c r="G61" s="329"/>
      <c r="H61" s="276">
        <f>E61-K61</f>
        <v>-92696581.799999997</v>
      </c>
      <c r="I61" s="276">
        <v>0</v>
      </c>
      <c r="J61" s="276">
        <v>92696581.799999997</v>
      </c>
      <c r="K61" s="332">
        <f>+O61+Q61+R61+S61+AF61+AS61+BF61+BS61</f>
        <v>92696581.799999997</v>
      </c>
      <c r="L61" s="332">
        <v>0</v>
      </c>
      <c r="M61" s="332">
        <v>0</v>
      </c>
      <c r="N61" s="467" t="s">
        <v>2484</v>
      </c>
      <c r="O61" s="154"/>
      <c r="P61" s="155">
        <f>+IF(H61=0,E61-K61,0)</f>
        <v>0</v>
      </c>
      <c r="Q61" s="156"/>
      <c r="R61" s="156"/>
      <c r="S61" s="156"/>
      <c r="T61" s="156"/>
      <c r="U61" s="156"/>
      <c r="V61" s="156"/>
      <c r="W61" s="156"/>
      <c r="X61" s="156"/>
      <c r="Y61" s="156"/>
      <c r="Z61" s="156"/>
      <c r="AA61" s="156"/>
      <c r="AB61" s="156"/>
      <c r="AC61" s="156"/>
      <c r="AD61" s="156"/>
      <c r="AE61" s="156"/>
      <c r="AF61" s="156"/>
      <c r="AG61" s="156"/>
      <c r="AH61" s="156"/>
      <c r="AI61" s="156"/>
      <c r="AJ61" s="156"/>
      <c r="AK61" s="156"/>
      <c r="AL61" s="156"/>
      <c r="AM61" s="156"/>
      <c r="AN61" s="156"/>
      <c r="AO61" s="156"/>
      <c r="AP61" s="156"/>
      <c r="AQ61" s="156"/>
      <c r="AR61" s="156"/>
      <c r="AS61" s="156"/>
      <c r="AT61" s="156"/>
      <c r="AU61" s="156">
        <f t="shared" si="71"/>
        <v>0</v>
      </c>
      <c r="AV61" s="156">
        <f t="shared" si="71"/>
        <v>0</v>
      </c>
      <c r="AW61" s="156">
        <f t="shared" si="71"/>
        <v>89991</v>
      </c>
      <c r="AX61" s="156">
        <f t="shared" si="71"/>
        <v>2005000</v>
      </c>
      <c r="AY61" s="156">
        <f t="shared" si="71"/>
        <v>13399995</v>
      </c>
      <c r="AZ61" s="156">
        <f t="shared" si="71"/>
        <v>12376658</v>
      </c>
      <c r="BA61" s="156">
        <f t="shared" si="71"/>
        <v>-7490000</v>
      </c>
      <c r="BB61" s="156">
        <f t="shared" si="71"/>
        <v>2112272</v>
      </c>
      <c r="BC61" s="156">
        <f t="shared" si="71"/>
        <v>28403791.32</v>
      </c>
      <c r="BD61" s="156">
        <f t="shared" si="71"/>
        <v>18398837.48</v>
      </c>
      <c r="BE61" s="156">
        <f t="shared" si="71"/>
        <v>5042100</v>
      </c>
      <c r="BF61" s="156">
        <f t="shared" si="3"/>
        <v>74338644.799999997</v>
      </c>
      <c r="BG61" s="156">
        <f t="shared" si="71"/>
        <v>17772290</v>
      </c>
      <c r="BH61" s="156">
        <f t="shared" si="71"/>
        <v>253000</v>
      </c>
      <c r="BI61" s="156">
        <f t="shared" si="71"/>
        <v>332647</v>
      </c>
      <c r="BJ61" s="156">
        <f t="shared" si="72"/>
        <v>0</v>
      </c>
      <c r="BK61" s="156">
        <f t="shared" si="72"/>
        <v>0</v>
      </c>
      <c r="BL61" s="156"/>
      <c r="BM61" s="156"/>
      <c r="BN61" s="156"/>
      <c r="BO61" s="156"/>
      <c r="BP61" s="156"/>
      <c r="BQ61" s="156"/>
      <c r="BR61" s="156"/>
      <c r="BS61" s="156">
        <f t="shared" si="4"/>
        <v>18357937</v>
      </c>
      <c r="BT61" s="156">
        <f>+SUM(O61,Q61,R61,S61,AF61,AS61,BF61+BS61)</f>
        <v>92696581.799999997</v>
      </c>
      <c r="BU61" s="157" t="str">
        <f>+IF(K61-BT61=0,"OK","ERROR")</f>
        <v>OK</v>
      </c>
      <c r="BV61" s="161"/>
      <c r="BW61" s="161"/>
      <c r="BX61" s="161"/>
      <c r="BY61" s="161"/>
      <c r="BZ61" s="161"/>
      <c r="CA61" s="161"/>
      <c r="CB61" s="161"/>
      <c r="CC61" s="161"/>
    </row>
    <row r="62" spans="1:81" s="158" customFormat="1">
      <c r="A62" s="153" t="s">
        <v>2480</v>
      </c>
      <c r="B62" s="392"/>
      <c r="C62" s="393" t="s">
        <v>2481</v>
      </c>
      <c r="D62" s="420"/>
      <c r="E62" s="421">
        <v>0</v>
      </c>
      <c r="F62" s="422"/>
      <c r="G62" s="420"/>
      <c r="H62" s="397">
        <f>E62-K62</f>
        <v>-73211558</v>
      </c>
      <c r="I62" s="397">
        <v>0</v>
      </c>
      <c r="J62" s="397">
        <v>73211558</v>
      </c>
      <c r="K62" s="423">
        <f>+O62+Q62+R62+S62+AF62+AS62+BF62+BS62</f>
        <v>73211558</v>
      </c>
      <c r="L62" s="423">
        <v>0</v>
      </c>
      <c r="M62" s="423">
        <v>0</v>
      </c>
      <c r="N62" s="470" t="s">
        <v>2482</v>
      </c>
      <c r="O62" s="154"/>
      <c r="P62" s="155">
        <f>+IF(H62=0,E62-K62,0)</f>
        <v>0</v>
      </c>
      <c r="Q62" s="156"/>
      <c r="R62" s="156"/>
      <c r="S62" s="156"/>
      <c r="T62" s="156"/>
      <c r="U62" s="156"/>
      <c r="V62" s="156"/>
      <c r="W62" s="156"/>
      <c r="X62" s="156"/>
      <c r="Y62" s="156"/>
      <c r="Z62" s="156"/>
      <c r="AA62" s="156"/>
      <c r="AB62" s="156"/>
      <c r="AC62" s="156"/>
      <c r="AD62" s="156"/>
      <c r="AE62" s="156"/>
      <c r="AF62" s="156"/>
      <c r="AG62" s="156"/>
      <c r="AH62" s="156"/>
      <c r="AI62" s="156"/>
      <c r="AJ62" s="156"/>
      <c r="AK62" s="156"/>
      <c r="AL62" s="156"/>
      <c r="AM62" s="156"/>
      <c r="AN62" s="156"/>
      <c r="AO62" s="156"/>
      <c r="AP62" s="156"/>
      <c r="AQ62" s="156"/>
      <c r="AR62" s="156"/>
      <c r="AS62" s="156"/>
      <c r="AT62" s="156"/>
      <c r="AU62" s="156">
        <f t="shared" si="71"/>
        <v>0</v>
      </c>
      <c r="AV62" s="156">
        <f t="shared" si="71"/>
        <v>0</v>
      </c>
      <c r="AW62" s="156">
        <f t="shared" si="71"/>
        <v>0</v>
      </c>
      <c r="AX62" s="156">
        <f t="shared" si="71"/>
        <v>0</v>
      </c>
      <c r="AY62" s="156">
        <f t="shared" si="71"/>
        <v>0</v>
      </c>
      <c r="AZ62" s="156">
        <f t="shared" si="71"/>
        <v>0</v>
      </c>
      <c r="BA62" s="156">
        <f t="shared" si="71"/>
        <v>0</v>
      </c>
      <c r="BB62" s="156">
        <f t="shared" si="71"/>
        <v>0</v>
      </c>
      <c r="BC62" s="156">
        <f t="shared" si="71"/>
        <v>0</v>
      </c>
      <c r="BD62" s="156">
        <f t="shared" si="71"/>
        <v>0</v>
      </c>
      <c r="BE62" s="156">
        <f t="shared" si="71"/>
        <v>73211558</v>
      </c>
      <c r="BF62" s="156">
        <f t="shared" ref="BF62" si="73">+SUM(AT62:BE62)</f>
        <v>73211558</v>
      </c>
      <c r="BG62" s="156">
        <f t="shared" si="71"/>
        <v>0</v>
      </c>
      <c r="BH62" s="156">
        <f t="shared" si="71"/>
        <v>0</v>
      </c>
      <c r="BI62" s="156">
        <f t="shared" si="71"/>
        <v>0</v>
      </c>
      <c r="BJ62" s="156">
        <f t="shared" si="72"/>
        <v>0</v>
      </c>
      <c r="BK62" s="156">
        <f t="shared" si="72"/>
        <v>0</v>
      </c>
      <c r="BL62" s="156"/>
      <c r="BM62" s="156"/>
      <c r="BN62" s="156"/>
      <c r="BO62" s="156"/>
      <c r="BP62" s="156"/>
      <c r="BQ62" s="156"/>
      <c r="BR62" s="156"/>
      <c r="BS62" s="156">
        <f t="shared" ref="BS62" si="74">+SUM(BG62:BR62)</f>
        <v>0</v>
      </c>
      <c r="BT62" s="156">
        <f>+SUM(O62,Q62,R62,S62,AF62,AS62,BF62+BS62)</f>
        <v>73211558</v>
      </c>
      <c r="BU62" s="157" t="str">
        <f>+IF(K62-BT62=0,"OK","ERROR")</f>
        <v>OK</v>
      </c>
      <c r="BV62" s="161"/>
      <c r="BW62" s="161"/>
      <c r="BX62" s="161"/>
      <c r="BY62" s="161"/>
      <c r="BZ62" s="161"/>
      <c r="CA62" s="161"/>
      <c r="CB62" s="161"/>
      <c r="CC62" s="161"/>
    </row>
    <row r="63" spans="1:81">
      <c r="B63" s="142"/>
      <c r="C63" s="143" t="s">
        <v>68</v>
      </c>
      <c r="D63" s="147"/>
      <c r="E63" s="58">
        <f>SUM(E55:E61)</f>
        <v>18412680000</v>
      </c>
      <c r="F63" s="144"/>
      <c r="G63" s="147"/>
      <c r="H63" s="58" t="e">
        <f t="shared" ref="H63:M63" si="75">SUM(H55:H61)</f>
        <v>#REF!</v>
      </c>
      <c r="I63" s="148">
        <f t="shared" si="75"/>
        <v>18536592405</v>
      </c>
      <c r="J63" s="148">
        <f t="shared" si="75"/>
        <v>18634288986.799999</v>
      </c>
      <c r="K63" s="148">
        <f>SUM(K55:K62)-K56</f>
        <v>17568183780.299999</v>
      </c>
      <c r="L63" s="148">
        <f>SUM(L55:L61)-L58</f>
        <v>297381126.75</v>
      </c>
      <c r="M63" s="146">
        <f t="shared" si="75"/>
        <v>841935637.75000191</v>
      </c>
      <c r="N63" s="463">
        <f>K63+L63+M63</f>
        <v>18707500544.800003</v>
      </c>
      <c r="O63" s="58">
        <f>SUM(O55:O61)</f>
        <v>0</v>
      </c>
      <c r="P63" s="67" t="e">
        <f>SUM(P55:P61)</f>
        <v>#REF!</v>
      </c>
      <c r="Q63" s="12">
        <f t="shared" ref="Q63:AS63" si="76">SUM(Q55:Q59)</f>
        <v>0</v>
      </c>
      <c r="R63" s="12">
        <f t="shared" si="76"/>
        <v>0</v>
      </c>
      <c r="S63" s="12">
        <f t="shared" si="76"/>
        <v>0</v>
      </c>
      <c r="T63" s="12">
        <f t="shared" si="76"/>
        <v>0</v>
      </c>
      <c r="U63" s="12">
        <f t="shared" si="76"/>
        <v>0</v>
      </c>
      <c r="V63" s="12">
        <f t="shared" si="76"/>
        <v>0</v>
      </c>
      <c r="W63" s="12">
        <f t="shared" si="76"/>
        <v>0</v>
      </c>
      <c r="X63" s="12">
        <f t="shared" si="76"/>
        <v>0</v>
      </c>
      <c r="Y63" s="12">
        <f t="shared" si="76"/>
        <v>0</v>
      </c>
      <c r="Z63" s="12">
        <f t="shared" si="76"/>
        <v>0</v>
      </c>
      <c r="AA63" s="12">
        <f t="shared" si="76"/>
        <v>0</v>
      </c>
      <c r="AB63" s="12">
        <f t="shared" si="76"/>
        <v>0</v>
      </c>
      <c r="AC63" s="12">
        <f t="shared" si="76"/>
        <v>0</v>
      </c>
      <c r="AD63" s="12">
        <f t="shared" si="76"/>
        <v>0</v>
      </c>
      <c r="AE63" s="12">
        <f t="shared" si="76"/>
        <v>0</v>
      </c>
      <c r="AF63" s="12">
        <f t="shared" si="76"/>
        <v>0</v>
      </c>
      <c r="AG63" s="12">
        <f t="shared" si="76"/>
        <v>0</v>
      </c>
      <c r="AH63" s="12">
        <f t="shared" si="76"/>
        <v>0</v>
      </c>
      <c r="AI63" s="12">
        <f t="shared" si="76"/>
        <v>0</v>
      </c>
      <c r="AJ63" s="12">
        <f t="shared" si="76"/>
        <v>0</v>
      </c>
      <c r="AK63" s="12">
        <f t="shared" si="76"/>
        <v>0</v>
      </c>
      <c r="AL63" s="12">
        <f t="shared" si="76"/>
        <v>0</v>
      </c>
      <c r="AM63" s="12">
        <f t="shared" si="76"/>
        <v>0</v>
      </c>
      <c r="AN63" s="12">
        <f t="shared" si="76"/>
        <v>0</v>
      </c>
      <c r="AO63" s="12">
        <f t="shared" si="76"/>
        <v>0</v>
      </c>
      <c r="AP63" s="12">
        <f t="shared" si="76"/>
        <v>0</v>
      </c>
      <c r="AQ63" s="12">
        <f t="shared" si="76"/>
        <v>4844304709</v>
      </c>
      <c r="AR63" s="12">
        <f t="shared" si="76"/>
        <v>3598599695</v>
      </c>
      <c r="AS63" s="12">
        <f t="shared" si="76"/>
        <v>8442904404</v>
      </c>
      <c r="AT63" s="12">
        <f t="shared" ref="AT63:BT63" si="77">SUM(AT55:AT61)</f>
        <v>933453779</v>
      </c>
      <c r="AU63" s="12">
        <f t="shared" si="77"/>
        <v>991476275</v>
      </c>
      <c r="AV63" s="12">
        <f t="shared" si="77"/>
        <v>3286105414</v>
      </c>
      <c r="AW63" s="12">
        <f t="shared" si="77"/>
        <v>498885691</v>
      </c>
      <c r="AX63" s="12">
        <f t="shared" si="77"/>
        <v>1190879438</v>
      </c>
      <c r="AY63" s="12">
        <f t="shared" si="77"/>
        <v>733564825</v>
      </c>
      <c r="AZ63" s="12">
        <f t="shared" si="77"/>
        <v>2176537608</v>
      </c>
      <c r="BA63" s="12">
        <f t="shared" si="77"/>
        <v>-853758627</v>
      </c>
      <c r="BB63" s="12">
        <f t="shared" si="77"/>
        <v>250987421</v>
      </c>
      <c r="BC63" s="12">
        <f t="shared" si="77"/>
        <v>28403791.32</v>
      </c>
      <c r="BD63" s="12">
        <f t="shared" si="77"/>
        <v>18398837.48</v>
      </c>
      <c r="BE63" s="12">
        <f t="shared" si="77"/>
        <v>507121150</v>
      </c>
      <c r="BF63" s="12">
        <f t="shared" si="77"/>
        <v>9762055602.7999992</v>
      </c>
      <c r="BG63" s="12">
        <f t="shared" si="77"/>
        <v>17772290</v>
      </c>
      <c r="BH63" s="12">
        <f t="shared" si="77"/>
        <v>253000</v>
      </c>
      <c r="BI63" s="12">
        <f t="shared" si="77"/>
        <v>332647</v>
      </c>
      <c r="BJ63" s="12">
        <f t="shared" si="77"/>
        <v>0</v>
      </c>
      <c r="BK63" s="12">
        <f t="shared" si="77"/>
        <v>0</v>
      </c>
      <c r="BL63" s="12">
        <f t="shared" si="77"/>
        <v>0</v>
      </c>
      <c r="BM63" s="12">
        <f t="shared" si="77"/>
        <v>0</v>
      </c>
      <c r="BN63" s="12">
        <f t="shared" si="77"/>
        <v>0</v>
      </c>
      <c r="BO63" s="12">
        <f t="shared" si="77"/>
        <v>0</v>
      </c>
      <c r="BP63" s="12">
        <f t="shared" si="77"/>
        <v>0</v>
      </c>
      <c r="BQ63" s="12">
        <f t="shared" si="77"/>
        <v>0</v>
      </c>
      <c r="BR63" s="12">
        <f t="shared" si="77"/>
        <v>0</v>
      </c>
      <c r="BS63" s="12">
        <f t="shared" si="77"/>
        <v>18357937</v>
      </c>
      <c r="BT63" s="12">
        <f t="shared" si="77"/>
        <v>18223317943.799999</v>
      </c>
      <c r="BU63" s="26" t="str">
        <f>+IF(K63-BT63=0,"OK","ERROR")</f>
        <v>ERROR</v>
      </c>
      <c r="BV63" s="73">
        <f>BT63-K63</f>
        <v>655134163.5</v>
      </c>
      <c r="BW63" s="7"/>
      <c r="BX63" s="7"/>
      <c r="BY63" s="7"/>
      <c r="BZ63" s="7"/>
      <c r="CA63" s="7"/>
      <c r="CB63" s="7"/>
      <c r="CC63" s="7"/>
    </row>
    <row r="64" spans="1:81">
      <c r="B64" s="367" t="s">
        <v>109</v>
      </c>
      <c r="C64" s="143" t="s">
        <v>110</v>
      </c>
      <c r="D64" s="147"/>
      <c r="E64" s="383"/>
      <c r="F64" s="144"/>
      <c r="G64" s="147"/>
      <c r="H64" s="145"/>
      <c r="I64" s="145"/>
      <c r="J64" s="147"/>
      <c r="K64" s="146"/>
      <c r="L64" s="146"/>
      <c r="M64" s="146"/>
      <c r="N64" s="465"/>
      <c r="O64" s="55"/>
      <c r="P64" s="79"/>
      <c r="Q64" s="12"/>
      <c r="R64" s="12"/>
      <c r="S64" s="12"/>
      <c r="AF64" s="6"/>
      <c r="AS64" s="6"/>
      <c r="AY64" s="10">
        <f t="shared" si="71"/>
        <v>0</v>
      </c>
      <c r="AZ64" s="10">
        <f t="shared" si="71"/>
        <v>0</v>
      </c>
      <c r="BA64" s="10">
        <f t="shared" si="71"/>
        <v>0</v>
      </c>
      <c r="BF64" s="6"/>
      <c r="BG64" s="7"/>
      <c r="BH64" s="7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26"/>
      <c r="BV64" s="7"/>
      <c r="BW64" s="7"/>
      <c r="BX64" s="7"/>
      <c r="BY64" s="7"/>
      <c r="BZ64" s="7"/>
      <c r="CA64" s="7"/>
      <c r="CB64" s="7"/>
      <c r="CC64" s="7"/>
    </row>
    <row r="65" spans="1:81" s="158" customFormat="1">
      <c r="A65" s="153" t="s">
        <v>538</v>
      </c>
      <c r="B65" s="359">
        <v>1</v>
      </c>
      <c r="C65" s="380" t="s">
        <v>126</v>
      </c>
      <c r="D65" s="381"/>
      <c r="E65" s="361">
        <v>8880000000</v>
      </c>
      <c r="F65" s="382"/>
      <c r="G65" s="381"/>
      <c r="H65" s="363">
        <f>+IF(E65&gt;K65,E65-K65,0)</f>
        <v>8081446500</v>
      </c>
      <c r="I65" s="363">
        <v>798553500</v>
      </c>
      <c r="J65" s="381">
        <v>798553500</v>
      </c>
      <c r="K65" s="365">
        <f>+O65+Q65+R65+S65+AF65+AS65+BF65+BS65</f>
        <v>798553500</v>
      </c>
      <c r="L65" s="365"/>
      <c r="M65" s="365">
        <v>0</v>
      </c>
      <c r="N65" s="477" t="s">
        <v>2444</v>
      </c>
      <c r="O65" s="154">
        <f>+SUMIFS(db_Sum,db_Bln,O$6,db_Kode,$A65)</f>
        <v>0</v>
      </c>
      <c r="P65" s="155">
        <f>+IF(H65=0,E65-K65,0)</f>
        <v>0</v>
      </c>
      <c r="Q65" s="156">
        <f t="shared" ref="Q65:AR66" si="78">+SUMIFS(db_Sum,db_Bln,Q$6,db_Kode,$A65)</f>
        <v>0</v>
      </c>
      <c r="R65" s="156">
        <f t="shared" si="78"/>
        <v>0</v>
      </c>
      <c r="S65" s="156">
        <f t="shared" si="78"/>
        <v>0</v>
      </c>
      <c r="T65" s="156">
        <f t="shared" si="78"/>
        <v>0</v>
      </c>
      <c r="U65" s="156">
        <f t="shared" si="78"/>
        <v>0</v>
      </c>
      <c r="V65" s="156">
        <f t="shared" si="78"/>
        <v>0</v>
      </c>
      <c r="W65" s="156">
        <f t="shared" si="78"/>
        <v>0</v>
      </c>
      <c r="X65" s="156">
        <f t="shared" si="78"/>
        <v>0</v>
      </c>
      <c r="Y65" s="156">
        <f t="shared" si="78"/>
        <v>0</v>
      </c>
      <c r="Z65" s="156">
        <f t="shared" si="78"/>
        <v>0</v>
      </c>
      <c r="AA65" s="156">
        <f t="shared" si="78"/>
        <v>0</v>
      </c>
      <c r="AB65" s="156">
        <f t="shared" si="78"/>
        <v>0</v>
      </c>
      <c r="AC65" s="156">
        <f t="shared" si="78"/>
        <v>0</v>
      </c>
      <c r="AD65" s="156">
        <f t="shared" si="78"/>
        <v>0</v>
      </c>
      <c r="AE65" s="156">
        <f t="shared" si="78"/>
        <v>0</v>
      </c>
      <c r="AF65" s="156">
        <f t="shared" ref="AF65" si="79">+SUM(T65:AE65)</f>
        <v>0</v>
      </c>
      <c r="AG65" s="156">
        <f t="shared" si="78"/>
        <v>0</v>
      </c>
      <c r="AH65" s="156">
        <f t="shared" si="78"/>
        <v>0</v>
      </c>
      <c r="AI65" s="156">
        <f t="shared" si="78"/>
        <v>0</v>
      </c>
      <c r="AJ65" s="156">
        <f t="shared" si="78"/>
        <v>0</v>
      </c>
      <c r="AK65" s="156">
        <f t="shared" si="78"/>
        <v>0</v>
      </c>
      <c r="AL65" s="156">
        <f t="shared" si="78"/>
        <v>0</v>
      </c>
      <c r="AM65" s="156">
        <f t="shared" si="78"/>
        <v>0</v>
      </c>
      <c r="AN65" s="156">
        <f t="shared" si="78"/>
        <v>0</v>
      </c>
      <c r="AO65" s="156">
        <f t="shared" si="78"/>
        <v>0</v>
      </c>
      <c r="AP65" s="156">
        <f t="shared" si="78"/>
        <v>0</v>
      </c>
      <c r="AQ65" s="156">
        <f t="shared" si="78"/>
        <v>0</v>
      </c>
      <c r="AR65" s="156">
        <f t="shared" si="78"/>
        <v>0</v>
      </c>
      <c r="AS65" s="156">
        <f t="shared" ref="AS65:AS66" si="80">+SUM(AG65:AR65)</f>
        <v>0</v>
      </c>
      <c r="AT65" s="156">
        <f t="shared" ref="AT65:AX66" si="81">+SUMIFS(db_Sum,db_Bln,AT$6,db_Kode,$A65)</f>
        <v>0</v>
      </c>
      <c r="AU65" s="156">
        <f t="shared" si="81"/>
        <v>0</v>
      </c>
      <c r="AV65" s="156">
        <f t="shared" si="81"/>
        <v>0</v>
      </c>
      <c r="AW65" s="156">
        <f t="shared" si="81"/>
        <v>0</v>
      </c>
      <c r="AX65" s="156">
        <f t="shared" si="81"/>
        <v>0</v>
      </c>
      <c r="AY65" s="156">
        <f t="shared" si="71"/>
        <v>0</v>
      </c>
      <c r="AZ65" s="156">
        <f t="shared" si="71"/>
        <v>0</v>
      </c>
      <c r="BA65" s="156">
        <f t="shared" si="71"/>
        <v>0</v>
      </c>
      <c r="BB65" s="156">
        <f t="shared" si="71"/>
        <v>0</v>
      </c>
      <c r="BC65" s="156">
        <f t="shared" si="71"/>
        <v>0</v>
      </c>
      <c r="BD65" s="156">
        <f t="shared" si="71"/>
        <v>0</v>
      </c>
      <c r="BE65" s="156">
        <f t="shared" si="71"/>
        <v>601897500</v>
      </c>
      <c r="BF65" s="156">
        <f t="shared" si="3"/>
        <v>601897500</v>
      </c>
      <c r="BG65" s="156">
        <f t="shared" si="71"/>
        <v>0</v>
      </c>
      <c r="BH65" s="156">
        <f t="shared" si="71"/>
        <v>0</v>
      </c>
      <c r="BI65" s="156">
        <f t="shared" si="71"/>
        <v>196656000</v>
      </c>
      <c r="BJ65" s="156">
        <f>+SUMIFS(db_Sum,db_Bln,BJ$6,db_Kode,$A65)</f>
        <v>0</v>
      </c>
      <c r="BK65" s="156">
        <f>+SUMIFS(db_Sum,db_Bln,BK$6,db_Kode,$A65)</f>
        <v>0</v>
      </c>
      <c r="BL65" s="156"/>
      <c r="BM65" s="156"/>
      <c r="BN65" s="156"/>
      <c r="BO65" s="156"/>
      <c r="BP65" s="156"/>
      <c r="BQ65" s="156"/>
      <c r="BR65" s="156"/>
      <c r="BS65" s="156">
        <f t="shared" si="4"/>
        <v>196656000</v>
      </c>
      <c r="BT65" s="156">
        <f>+SUM(O65,Q65,R65,S65,AF65,AS65,BF65+BS65)</f>
        <v>798553500</v>
      </c>
      <c r="BU65" s="157" t="str">
        <f>+IF(K65-BT65=0,"OK","ERROR")</f>
        <v>OK</v>
      </c>
      <c r="BV65" s="161"/>
      <c r="BW65" s="161"/>
      <c r="BX65" s="161"/>
      <c r="BY65" s="161"/>
      <c r="BZ65" s="161"/>
      <c r="CA65" s="161"/>
      <c r="CB65" s="161"/>
      <c r="CC65" s="161"/>
    </row>
    <row r="66" spans="1:81" s="158" customFormat="1">
      <c r="A66" s="153" t="s">
        <v>580</v>
      </c>
      <c r="B66" s="392">
        <v>2</v>
      </c>
      <c r="C66" s="393" t="s">
        <v>581</v>
      </c>
      <c r="D66" s="394" t="s">
        <v>834</v>
      </c>
      <c r="E66" s="395"/>
      <c r="F66" s="424"/>
      <c r="G66" s="394" t="s">
        <v>834</v>
      </c>
      <c r="H66" s="397">
        <f>+IF(E66&gt;K66,E66-K66,0)</f>
        <v>0</v>
      </c>
      <c r="I66" s="397">
        <v>78100000</v>
      </c>
      <c r="J66" s="394">
        <v>78100000</v>
      </c>
      <c r="K66" s="398">
        <f>+O66+Q66+R66+S66+AF66+AS66+BF66+BS66</f>
        <v>78100000</v>
      </c>
      <c r="L66" s="398"/>
      <c r="M66" s="398">
        <v>0</v>
      </c>
      <c r="N66" s="478"/>
      <c r="O66" s="154">
        <f>+SUMIFS(db_Sum,db_Bln,O$6,db_Kode,$A66)</f>
        <v>0</v>
      </c>
      <c r="P66" s="155">
        <f>+IF(H66=0,E66-K66,0)</f>
        <v>-78100000</v>
      </c>
      <c r="Q66" s="156">
        <f t="shared" si="78"/>
        <v>0</v>
      </c>
      <c r="R66" s="156">
        <f t="shared" si="78"/>
        <v>0</v>
      </c>
      <c r="S66" s="156">
        <f t="shared" si="78"/>
        <v>0</v>
      </c>
      <c r="T66" s="156">
        <f t="shared" si="78"/>
        <v>0</v>
      </c>
      <c r="U66" s="156">
        <f t="shared" si="78"/>
        <v>0</v>
      </c>
      <c r="V66" s="156">
        <f t="shared" si="78"/>
        <v>0</v>
      </c>
      <c r="W66" s="156">
        <f t="shared" si="78"/>
        <v>0</v>
      </c>
      <c r="X66" s="156">
        <f t="shared" si="78"/>
        <v>0</v>
      </c>
      <c r="Y66" s="156">
        <f t="shared" si="78"/>
        <v>0</v>
      </c>
      <c r="Z66" s="156">
        <f t="shared" si="78"/>
        <v>0</v>
      </c>
      <c r="AA66" s="156">
        <f t="shared" si="78"/>
        <v>0</v>
      </c>
      <c r="AB66" s="156">
        <f t="shared" si="78"/>
        <v>0</v>
      </c>
      <c r="AC66" s="156">
        <f t="shared" si="78"/>
        <v>0</v>
      </c>
      <c r="AD66" s="156">
        <f t="shared" si="78"/>
        <v>0</v>
      </c>
      <c r="AE66" s="156">
        <f t="shared" si="78"/>
        <v>0</v>
      </c>
      <c r="AF66" s="156">
        <f t="shared" ref="AF66" si="82">+SUM(T66:AE66)</f>
        <v>0</v>
      </c>
      <c r="AG66" s="156">
        <f t="shared" si="78"/>
        <v>0</v>
      </c>
      <c r="AH66" s="156">
        <f t="shared" si="78"/>
        <v>0</v>
      </c>
      <c r="AI66" s="156">
        <f t="shared" si="78"/>
        <v>0</v>
      </c>
      <c r="AJ66" s="156">
        <f t="shared" si="78"/>
        <v>0</v>
      </c>
      <c r="AK66" s="156">
        <f t="shared" si="78"/>
        <v>78100000</v>
      </c>
      <c r="AL66" s="156">
        <f t="shared" si="78"/>
        <v>0</v>
      </c>
      <c r="AM66" s="156">
        <f t="shared" si="78"/>
        <v>0</v>
      </c>
      <c r="AN66" s="156">
        <f t="shared" si="78"/>
        <v>0</v>
      </c>
      <c r="AO66" s="156">
        <f t="shared" si="78"/>
        <v>0</v>
      </c>
      <c r="AP66" s="156">
        <f t="shared" si="78"/>
        <v>0</v>
      </c>
      <c r="AQ66" s="156">
        <f t="shared" si="78"/>
        <v>0</v>
      </c>
      <c r="AR66" s="156">
        <f t="shared" si="78"/>
        <v>0</v>
      </c>
      <c r="AS66" s="156">
        <f t="shared" si="80"/>
        <v>78100000</v>
      </c>
      <c r="AT66" s="156">
        <f t="shared" si="81"/>
        <v>0</v>
      </c>
      <c r="AU66" s="156">
        <f t="shared" si="81"/>
        <v>0</v>
      </c>
      <c r="AV66" s="156">
        <f t="shared" si="81"/>
        <v>0</v>
      </c>
      <c r="AW66" s="156">
        <f t="shared" si="81"/>
        <v>0</v>
      </c>
      <c r="AX66" s="156">
        <f t="shared" si="81"/>
        <v>0</v>
      </c>
      <c r="AY66" s="156">
        <f t="shared" si="71"/>
        <v>0</v>
      </c>
      <c r="AZ66" s="156">
        <f t="shared" si="71"/>
        <v>0</v>
      </c>
      <c r="BA66" s="156">
        <f t="shared" si="71"/>
        <v>0</v>
      </c>
      <c r="BB66" s="156">
        <f t="shared" si="71"/>
        <v>0</v>
      </c>
      <c r="BC66" s="156">
        <f t="shared" si="71"/>
        <v>0</v>
      </c>
      <c r="BD66" s="156">
        <f t="shared" si="71"/>
        <v>0</v>
      </c>
      <c r="BE66" s="156">
        <f t="shared" si="71"/>
        <v>0</v>
      </c>
      <c r="BF66" s="156">
        <f t="shared" ref="BF66" si="83">+SUM(AT66:BE66)</f>
        <v>0</v>
      </c>
      <c r="BG66" s="156">
        <f t="shared" si="71"/>
        <v>0</v>
      </c>
      <c r="BH66" s="156">
        <f t="shared" si="71"/>
        <v>0</v>
      </c>
      <c r="BI66" s="156">
        <f t="shared" si="71"/>
        <v>0</v>
      </c>
      <c r="BJ66" s="156">
        <f>+SUMIFS(db_Sum,db_Bln,BJ$6,db_Kode,$A66)</f>
        <v>0</v>
      </c>
      <c r="BK66" s="156">
        <f>+SUMIFS(db_Sum,db_Bln,BK$6,db_Kode,$A66)</f>
        <v>0</v>
      </c>
      <c r="BL66" s="156"/>
      <c r="BM66" s="156"/>
      <c r="BN66" s="156"/>
      <c r="BO66" s="156"/>
      <c r="BP66" s="156"/>
      <c r="BQ66" s="156"/>
      <c r="BR66" s="156"/>
      <c r="BS66" s="156">
        <f t="shared" si="4"/>
        <v>0</v>
      </c>
      <c r="BT66" s="156">
        <f>+SUM(O66,Q66,R66,S66,AF66,AS66,BF66+BS66)</f>
        <v>78100000</v>
      </c>
      <c r="BU66" s="157" t="str">
        <f>+IF(K66-BT66=0,"OK","ERROR")</f>
        <v>OK</v>
      </c>
      <c r="BV66" s="161"/>
      <c r="BW66" s="161"/>
      <c r="BX66" s="161"/>
      <c r="BY66" s="161"/>
      <c r="BZ66" s="161"/>
      <c r="CA66" s="161"/>
      <c r="CB66" s="161"/>
      <c r="CC66" s="161"/>
    </row>
    <row r="67" spans="1:81">
      <c r="B67" s="142"/>
      <c r="C67" s="143" t="s">
        <v>112</v>
      </c>
      <c r="D67" s="147"/>
      <c r="E67" s="58">
        <f>SUM(E65:E66)</f>
        <v>8880000000</v>
      </c>
      <c r="F67" s="144"/>
      <c r="G67" s="147"/>
      <c r="H67" s="58">
        <f t="shared" ref="H67:M67" si="84">SUM(H65:H66)</f>
        <v>8081446500</v>
      </c>
      <c r="I67" s="148">
        <f t="shared" si="84"/>
        <v>876653500</v>
      </c>
      <c r="J67" s="148">
        <f t="shared" si="84"/>
        <v>876653500</v>
      </c>
      <c r="K67" s="148">
        <f t="shared" si="84"/>
        <v>876653500</v>
      </c>
      <c r="L67" s="148">
        <f t="shared" si="84"/>
        <v>0</v>
      </c>
      <c r="M67" s="146">
        <f t="shared" si="84"/>
        <v>0</v>
      </c>
      <c r="N67" s="463">
        <f>K67+L67+M67</f>
        <v>876653500</v>
      </c>
      <c r="O67" s="58">
        <f>SUM(O65:O66)</f>
        <v>0</v>
      </c>
      <c r="P67" s="67">
        <f>SUM(P65:P66)</f>
        <v>-78100000</v>
      </c>
      <c r="Q67" s="12">
        <f t="shared" ref="Q67:BG67" si="85">SUM(Q65:Q66)</f>
        <v>0</v>
      </c>
      <c r="R67" s="12">
        <f t="shared" si="85"/>
        <v>0</v>
      </c>
      <c r="S67" s="12">
        <f t="shared" si="85"/>
        <v>0</v>
      </c>
      <c r="T67" s="12">
        <f t="shared" si="85"/>
        <v>0</v>
      </c>
      <c r="U67" s="12">
        <f t="shared" si="85"/>
        <v>0</v>
      </c>
      <c r="V67" s="12">
        <f t="shared" si="85"/>
        <v>0</v>
      </c>
      <c r="W67" s="12">
        <f t="shared" si="85"/>
        <v>0</v>
      </c>
      <c r="X67" s="12">
        <f t="shared" si="85"/>
        <v>0</v>
      </c>
      <c r="Y67" s="12">
        <f t="shared" si="85"/>
        <v>0</v>
      </c>
      <c r="Z67" s="12">
        <f t="shared" si="85"/>
        <v>0</v>
      </c>
      <c r="AA67" s="12">
        <f t="shared" si="85"/>
        <v>0</v>
      </c>
      <c r="AB67" s="12">
        <f t="shared" si="85"/>
        <v>0</v>
      </c>
      <c r="AC67" s="12">
        <f t="shared" si="85"/>
        <v>0</v>
      </c>
      <c r="AD67" s="12">
        <f t="shared" si="85"/>
        <v>0</v>
      </c>
      <c r="AE67" s="12">
        <f t="shared" si="85"/>
        <v>0</v>
      </c>
      <c r="AF67" s="12">
        <f t="shared" si="85"/>
        <v>0</v>
      </c>
      <c r="AG67" s="12">
        <f t="shared" si="85"/>
        <v>0</v>
      </c>
      <c r="AH67" s="12">
        <f t="shared" si="85"/>
        <v>0</v>
      </c>
      <c r="AI67" s="12">
        <f t="shared" si="85"/>
        <v>0</v>
      </c>
      <c r="AJ67" s="12">
        <f t="shared" si="85"/>
        <v>0</v>
      </c>
      <c r="AK67" s="12">
        <f t="shared" si="85"/>
        <v>78100000</v>
      </c>
      <c r="AL67" s="12">
        <f t="shared" si="85"/>
        <v>0</v>
      </c>
      <c r="AM67" s="12">
        <f t="shared" si="85"/>
        <v>0</v>
      </c>
      <c r="AN67" s="12">
        <f t="shared" si="85"/>
        <v>0</v>
      </c>
      <c r="AO67" s="12">
        <f t="shared" si="85"/>
        <v>0</v>
      </c>
      <c r="AP67" s="12">
        <f t="shared" si="85"/>
        <v>0</v>
      </c>
      <c r="AQ67" s="12">
        <f t="shared" si="85"/>
        <v>0</v>
      </c>
      <c r="AR67" s="12">
        <f t="shared" si="85"/>
        <v>0</v>
      </c>
      <c r="AS67" s="12">
        <f t="shared" si="85"/>
        <v>78100000</v>
      </c>
      <c r="AT67" s="12">
        <f t="shared" si="85"/>
        <v>0</v>
      </c>
      <c r="AU67" s="12">
        <f t="shared" si="85"/>
        <v>0</v>
      </c>
      <c r="AV67" s="12">
        <f t="shared" si="85"/>
        <v>0</v>
      </c>
      <c r="AW67" s="12">
        <f t="shared" si="85"/>
        <v>0</v>
      </c>
      <c r="AX67" s="12">
        <f t="shared" si="85"/>
        <v>0</v>
      </c>
      <c r="AY67" s="12">
        <f t="shared" si="85"/>
        <v>0</v>
      </c>
      <c r="AZ67" s="12">
        <f t="shared" si="85"/>
        <v>0</v>
      </c>
      <c r="BA67" s="12">
        <f t="shared" si="85"/>
        <v>0</v>
      </c>
      <c r="BB67" s="12">
        <f t="shared" si="85"/>
        <v>0</v>
      </c>
      <c r="BC67" s="12">
        <f t="shared" si="85"/>
        <v>0</v>
      </c>
      <c r="BD67" s="12">
        <f t="shared" si="85"/>
        <v>0</v>
      </c>
      <c r="BE67" s="12">
        <f t="shared" si="85"/>
        <v>601897500</v>
      </c>
      <c r="BF67" s="12">
        <f t="shared" si="85"/>
        <v>601897500</v>
      </c>
      <c r="BG67" s="12">
        <f t="shared" si="85"/>
        <v>0</v>
      </c>
      <c r="BH67" s="12">
        <f>SUM(BH65:BH66)</f>
        <v>0</v>
      </c>
      <c r="BI67" s="12">
        <f>SUM(BI65:BI66)</f>
        <v>196656000</v>
      </c>
      <c r="BJ67" s="12">
        <f t="shared" ref="BJ67:BS67" si="86">SUM(BJ65:BJ66)</f>
        <v>0</v>
      </c>
      <c r="BK67" s="12">
        <f t="shared" si="86"/>
        <v>0</v>
      </c>
      <c r="BL67" s="12">
        <f t="shared" si="86"/>
        <v>0</v>
      </c>
      <c r="BM67" s="12">
        <f t="shared" si="86"/>
        <v>0</v>
      </c>
      <c r="BN67" s="12">
        <f t="shared" si="86"/>
        <v>0</v>
      </c>
      <c r="BO67" s="12">
        <f t="shared" si="86"/>
        <v>0</v>
      </c>
      <c r="BP67" s="12">
        <f t="shared" si="86"/>
        <v>0</v>
      </c>
      <c r="BQ67" s="12">
        <f t="shared" si="86"/>
        <v>0</v>
      </c>
      <c r="BR67" s="12">
        <f t="shared" si="86"/>
        <v>0</v>
      </c>
      <c r="BS67" s="12">
        <f t="shared" si="86"/>
        <v>196656000</v>
      </c>
      <c r="BT67" s="6">
        <f>SUM(BT65:BT66)</f>
        <v>876653500</v>
      </c>
      <c r="BU67" s="26" t="str">
        <f>+IF(K67-BT67=0,"OK","ERROR")</f>
        <v>OK</v>
      </c>
      <c r="BV67" s="73">
        <f>BT67-K67</f>
        <v>0</v>
      </c>
      <c r="BW67" s="7"/>
      <c r="BX67" s="7"/>
      <c r="BY67" s="7"/>
      <c r="BZ67" s="7"/>
      <c r="CA67" s="7"/>
      <c r="CB67" s="7"/>
      <c r="CC67" s="7"/>
    </row>
    <row r="68" spans="1:81" s="243" customFormat="1" ht="15.5">
      <c r="A68" s="231"/>
      <c r="B68" s="232"/>
      <c r="C68" s="233" t="s">
        <v>116</v>
      </c>
      <c r="D68" s="234"/>
      <c r="E68" s="235">
        <f>+E29+E38+E44+E53+E63+E67</f>
        <v>142737304864.58002</v>
      </c>
      <c r="F68" s="236"/>
      <c r="G68" s="234"/>
      <c r="H68" s="235" t="e">
        <f t="shared" ref="H68:M68" si="87">+H29+H38+H44+H53+H63+H67</f>
        <v>#REF!</v>
      </c>
      <c r="I68" s="237">
        <f t="shared" si="87"/>
        <v>145781299468.04001</v>
      </c>
      <c r="J68" s="237">
        <f>+J29+J38+J44+J53+J63+J67</f>
        <v>146246223702.84</v>
      </c>
      <c r="K68" s="237">
        <f t="shared" si="87"/>
        <v>129729243445.03578</v>
      </c>
      <c r="L68" s="237">
        <f t="shared" si="87"/>
        <v>7180688386.8829479</v>
      </c>
      <c r="M68" s="237">
        <f t="shared" si="87"/>
        <v>8936981312.8812752</v>
      </c>
      <c r="N68" s="463">
        <f>K68+L68+M68</f>
        <v>145846913144.80002</v>
      </c>
      <c r="O68" s="235">
        <f t="shared" ref="O68:AT68" si="88">+O29+O38+O44+O53+O63+O67</f>
        <v>0</v>
      </c>
      <c r="P68" s="238" t="e">
        <f t="shared" si="88"/>
        <v>#REF!</v>
      </c>
      <c r="Q68" s="239">
        <f t="shared" si="88"/>
        <v>0</v>
      </c>
      <c r="R68" s="239">
        <f t="shared" si="88"/>
        <v>61580600</v>
      </c>
      <c r="S68" s="239">
        <f t="shared" si="88"/>
        <v>50000000</v>
      </c>
      <c r="T68" s="239">
        <f t="shared" si="88"/>
        <v>0</v>
      </c>
      <c r="U68" s="239">
        <f t="shared" si="88"/>
        <v>23650000</v>
      </c>
      <c r="V68" s="239">
        <f t="shared" si="88"/>
        <v>0</v>
      </c>
      <c r="W68" s="239">
        <f t="shared" si="88"/>
        <v>23650000</v>
      </c>
      <c r="X68" s="239">
        <f t="shared" si="88"/>
        <v>0</v>
      </c>
      <c r="Y68" s="239">
        <f t="shared" si="88"/>
        <v>76010000</v>
      </c>
      <c r="Z68" s="239">
        <f t="shared" si="88"/>
        <v>157446700</v>
      </c>
      <c r="AA68" s="239">
        <f t="shared" si="88"/>
        <v>0</v>
      </c>
      <c r="AB68" s="239">
        <f t="shared" si="88"/>
        <v>0</v>
      </c>
      <c r="AC68" s="239">
        <f t="shared" si="88"/>
        <v>0</v>
      </c>
      <c r="AD68" s="239">
        <f t="shared" si="88"/>
        <v>63856654</v>
      </c>
      <c r="AE68" s="239">
        <f t="shared" si="88"/>
        <v>86010000</v>
      </c>
      <c r="AF68" s="239">
        <f t="shared" si="88"/>
        <v>430623354</v>
      </c>
      <c r="AG68" s="239">
        <f t="shared" si="88"/>
        <v>153450000</v>
      </c>
      <c r="AH68" s="239">
        <f t="shared" si="88"/>
        <v>0</v>
      </c>
      <c r="AI68" s="239">
        <f t="shared" si="88"/>
        <v>3324200000</v>
      </c>
      <c r="AJ68" s="239">
        <f t="shared" si="88"/>
        <v>4873971105</v>
      </c>
      <c r="AK68" s="239">
        <f t="shared" si="88"/>
        <v>16745895418</v>
      </c>
      <c r="AL68" s="239">
        <f t="shared" si="88"/>
        <v>5748279499</v>
      </c>
      <c r="AM68" s="239">
        <f t="shared" si="88"/>
        <v>9457731310</v>
      </c>
      <c r="AN68" s="239">
        <f t="shared" si="88"/>
        <v>1867266509</v>
      </c>
      <c r="AO68" s="239">
        <f t="shared" si="88"/>
        <v>4014518821</v>
      </c>
      <c r="AP68" s="239">
        <f t="shared" si="88"/>
        <v>5019448460</v>
      </c>
      <c r="AQ68" s="239">
        <f t="shared" si="88"/>
        <v>7343472989</v>
      </c>
      <c r="AR68" s="239">
        <f t="shared" si="88"/>
        <v>10955950926</v>
      </c>
      <c r="AS68" s="239">
        <f t="shared" si="88"/>
        <v>69504185037</v>
      </c>
      <c r="AT68" s="239">
        <f t="shared" si="88"/>
        <v>10648561515</v>
      </c>
      <c r="AU68" s="239">
        <f t="shared" ref="AU68:BT68" si="89">+AU29+AU38+AU44+AU53+AU63+AU67</f>
        <v>6585875339</v>
      </c>
      <c r="AV68" s="239">
        <f t="shared" si="89"/>
        <v>11369010375</v>
      </c>
      <c r="AW68" s="239">
        <f t="shared" si="89"/>
        <v>513885691</v>
      </c>
      <c r="AX68" s="239">
        <f t="shared" si="89"/>
        <v>7195039056</v>
      </c>
      <c r="AY68" s="239">
        <f t="shared" si="89"/>
        <v>7334537627</v>
      </c>
      <c r="AZ68" s="239">
        <f t="shared" si="89"/>
        <v>4193062754</v>
      </c>
      <c r="BA68" s="239">
        <f t="shared" si="89"/>
        <v>4342240676</v>
      </c>
      <c r="BB68" s="239">
        <f t="shared" si="89"/>
        <v>6142722489</v>
      </c>
      <c r="BC68" s="239">
        <f t="shared" si="89"/>
        <v>1633562905.3199999</v>
      </c>
      <c r="BD68" s="239">
        <f t="shared" si="89"/>
        <v>905641487.48000002</v>
      </c>
      <c r="BE68" s="239">
        <f t="shared" si="89"/>
        <v>1386075417</v>
      </c>
      <c r="BF68" s="239">
        <f t="shared" si="89"/>
        <v>62250215331.800003</v>
      </c>
      <c r="BG68" s="239">
        <f t="shared" si="89"/>
        <v>38673040</v>
      </c>
      <c r="BH68" s="239">
        <f t="shared" si="89"/>
        <v>3545177890</v>
      </c>
      <c r="BI68" s="239">
        <f t="shared" si="89"/>
        <v>1834880728</v>
      </c>
      <c r="BJ68" s="239">
        <f t="shared" si="89"/>
        <v>309152882</v>
      </c>
      <c r="BK68" s="239">
        <f t="shared" si="89"/>
        <v>0</v>
      </c>
      <c r="BL68" s="239">
        <f t="shared" si="89"/>
        <v>0</v>
      </c>
      <c r="BM68" s="239">
        <f t="shared" si="89"/>
        <v>0</v>
      </c>
      <c r="BN68" s="239">
        <f t="shared" si="89"/>
        <v>0</v>
      </c>
      <c r="BO68" s="239">
        <f t="shared" si="89"/>
        <v>0</v>
      </c>
      <c r="BP68" s="239">
        <f t="shared" si="89"/>
        <v>0</v>
      </c>
      <c r="BQ68" s="239">
        <f t="shared" si="89"/>
        <v>0</v>
      </c>
      <c r="BR68" s="239">
        <f t="shared" si="89"/>
        <v>0</v>
      </c>
      <c r="BS68" s="239">
        <f t="shared" si="89"/>
        <v>5727884540</v>
      </c>
      <c r="BT68" s="239">
        <f t="shared" si="89"/>
        <v>138024488862.79999</v>
      </c>
      <c r="BU68" s="240" t="str">
        <f>+IF(K68-BT68=0,"OK","ERROR")</f>
        <v>ERROR</v>
      </c>
      <c r="BV68" s="241">
        <f>BT68-K68</f>
        <v>8295245417.7642059</v>
      </c>
      <c r="BW68" s="242"/>
      <c r="BX68" s="242"/>
      <c r="BY68" s="242"/>
      <c r="BZ68" s="242"/>
      <c r="CA68" s="242"/>
      <c r="CB68" s="242"/>
      <c r="CC68" s="242"/>
    </row>
    <row r="69" spans="1:81">
      <c r="B69" s="142"/>
      <c r="C69" s="143"/>
      <c r="D69" s="147"/>
      <c r="E69" s="58"/>
      <c r="F69" s="144"/>
      <c r="G69" s="147"/>
      <c r="H69" s="58"/>
      <c r="I69" s="58"/>
      <c r="J69" s="147"/>
      <c r="K69" s="148"/>
      <c r="L69" s="148"/>
      <c r="M69" s="148"/>
      <c r="N69" s="479"/>
      <c r="O69" s="55"/>
      <c r="P69" s="79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6"/>
      <c r="BV69" s="7"/>
      <c r="BW69" s="7"/>
      <c r="BX69" s="7"/>
      <c r="BY69" s="7"/>
      <c r="BZ69" s="7"/>
      <c r="CA69" s="7"/>
      <c r="CB69" s="7"/>
      <c r="CC69" s="7"/>
    </row>
    <row r="70" spans="1:81">
      <c r="B70" s="357" t="s">
        <v>106</v>
      </c>
      <c r="C70" s="143" t="s">
        <v>95</v>
      </c>
      <c r="D70" s="147"/>
      <c r="E70" s="383"/>
      <c r="F70" s="144"/>
      <c r="G70" s="147"/>
      <c r="H70" s="145"/>
      <c r="I70" s="145"/>
      <c r="J70" s="147"/>
      <c r="K70" s="146"/>
      <c r="L70" s="146"/>
      <c r="M70" s="146"/>
      <c r="N70" s="465"/>
      <c r="O70" s="55"/>
      <c r="P70" s="79"/>
      <c r="Q70" s="12"/>
      <c r="R70" s="12"/>
      <c r="S70" s="12"/>
      <c r="AF70" s="6"/>
      <c r="AS70" s="6"/>
      <c r="BF70" s="6"/>
      <c r="BG70" s="7"/>
      <c r="BH70" s="7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26"/>
      <c r="BV70" s="7"/>
      <c r="BW70" s="7"/>
      <c r="BX70" s="7"/>
      <c r="BY70" s="7"/>
      <c r="BZ70" s="7"/>
      <c r="CA70" s="7"/>
      <c r="CB70" s="7"/>
      <c r="CC70" s="7"/>
    </row>
    <row r="71" spans="1:81" s="180" customFormat="1">
      <c r="A71" s="174">
        <v>21</v>
      </c>
      <c r="B71" s="428">
        <v>1</v>
      </c>
      <c r="C71" s="428" t="s">
        <v>20</v>
      </c>
      <c r="D71" s="413" t="s">
        <v>44</v>
      </c>
      <c r="E71" s="414"/>
      <c r="F71" s="415" t="s">
        <v>55</v>
      </c>
      <c r="G71" s="413" t="s">
        <v>44</v>
      </c>
      <c r="H71" s="429" t="e">
        <f>E71-K72-K74-K76-K73-#REF!-K75-#REF!-#REF!</f>
        <v>#REF!</v>
      </c>
      <c r="I71" s="429"/>
      <c r="J71" s="413"/>
      <c r="K71" s="416"/>
      <c r="L71" s="416"/>
      <c r="M71" s="416"/>
      <c r="N71" s="471"/>
      <c r="O71" s="175">
        <f>+SUMIFS(db_Sum,db_Bln,O$6,db_Kode,$A71)</f>
        <v>0</v>
      </c>
      <c r="P71" s="176" t="e">
        <f>+IF(H71=0,E71-K71,0)</f>
        <v>#REF!</v>
      </c>
      <c r="Q71" s="177">
        <f t="shared" ref="Q71:AG77" si="90">+SUMIFS(db_Sum,db_Bln,Q$6,db_Kode,$A71)</f>
        <v>0</v>
      </c>
      <c r="R71" s="177">
        <f t="shared" si="90"/>
        <v>0</v>
      </c>
      <c r="S71" s="177">
        <f t="shared" si="90"/>
        <v>0</v>
      </c>
      <c r="T71" s="177">
        <f t="shared" si="90"/>
        <v>0</v>
      </c>
      <c r="U71" s="177">
        <f t="shared" si="90"/>
        <v>0</v>
      </c>
      <c r="V71" s="177">
        <f t="shared" si="90"/>
        <v>0</v>
      </c>
      <c r="W71" s="177">
        <f t="shared" si="90"/>
        <v>0</v>
      </c>
      <c r="X71" s="177">
        <f t="shared" si="90"/>
        <v>0</v>
      </c>
      <c r="Y71" s="177">
        <f t="shared" si="90"/>
        <v>0</v>
      </c>
      <c r="Z71" s="177">
        <f t="shared" si="90"/>
        <v>0</v>
      </c>
      <c r="AA71" s="177">
        <f t="shared" si="90"/>
        <v>0</v>
      </c>
      <c r="AB71" s="177">
        <f t="shared" si="90"/>
        <v>0</v>
      </c>
      <c r="AC71" s="177">
        <f t="shared" si="90"/>
        <v>0</v>
      </c>
      <c r="AD71" s="177">
        <f t="shared" si="90"/>
        <v>0</v>
      </c>
      <c r="AE71" s="177">
        <f t="shared" si="90"/>
        <v>0</v>
      </c>
      <c r="AF71" s="177">
        <f t="shared" ref="AF71:AF77" si="91">+SUM(T71:AE71)</f>
        <v>0</v>
      </c>
      <c r="AG71" s="177">
        <f t="shared" si="90"/>
        <v>0</v>
      </c>
      <c r="AH71" s="177">
        <f t="shared" ref="AG71:AR77" si="92">+SUMIFS(db_Sum,db_Bln,AH$6,db_Kode,$A71)</f>
        <v>0</v>
      </c>
      <c r="AI71" s="177">
        <f t="shared" si="92"/>
        <v>0</v>
      </c>
      <c r="AJ71" s="177">
        <f t="shared" si="92"/>
        <v>0</v>
      </c>
      <c r="AK71" s="177">
        <f t="shared" si="92"/>
        <v>0</v>
      </c>
      <c r="AL71" s="177">
        <f t="shared" si="92"/>
        <v>0</v>
      </c>
      <c r="AM71" s="177">
        <f t="shared" si="92"/>
        <v>0</v>
      </c>
      <c r="AN71" s="177">
        <f t="shared" si="92"/>
        <v>0</v>
      </c>
      <c r="AO71" s="177">
        <f t="shared" si="92"/>
        <v>13949564220</v>
      </c>
      <c r="AP71" s="177">
        <f t="shared" si="92"/>
        <v>6023806845</v>
      </c>
      <c r="AQ71" s="177">
        <f t="shared" si="92"/>
        <v>3867492111</v>
      </c>
      <c r="AR71" s="177">
        <f t="shared" si="92"/>
        <v>3890616129</v>
      </c>
      <c r="AS71" s="177">
        <f t="shared" ref="AS71:AS77" si="93">+SUM(AG71:AR71)</f>
        <v>27731479305</v>
      </c>
      <c r="AT71" s="177">
        <f t="shared" ref="AT71:BI83" si="94">+SUMIFS(db_Sum,db_Bln,AT$6,db_Kode,$A71)</f>
        <v>5833033692</v>
      </c>
      <c r="AU71" s="177">
        <f t="shared" si="94"/>
        <v>0</v>
      </c>
      <c r="AV71" s="177">
        <f t="shared" si="94"/>
        <v>0</v>
      </c>
      <c r="AW71" s="177">
        <f t="shared" si="94"/>
        <v>2069599665</v>
      </c>
      <c r="AX71" s="177">
        <f t="shared" si="94"/>
        <v>0</v>
      </c>
      <c r="AY71" s="177">
        <f t="shared" si="94"/>
        <v>953865767</v>
      </c>
      <c r="AZ71" s="177">
        <f t="shared" si="94"/>
        <v>1618681302</v>
      </c>
      <c r="BA71" s="177">
        <f t="shared" si="94"/>
        <v>2000227608.0000002</v>
      </c>
      <c r="BB71" s="177">
        <f t="shared" si="94"/>
        <v>3167990548</v>
      </c>
      <c r="BC71" s="177">
        <f t="shared" si="94"/>
        <v>0</v>
      </c>
      <c r="BD71" s="177">
        <f t="shared" si="94"/>
        <v>3509069820.9999995</v>
      </c>
      <c r="BE71" s="177">
        <f t="shared" si="94"/>
        <v>0</v>
      </c>
      <c r="BF71" s="177">
        <f t="shared" ref="BF71:BF77" si="95">+SUM(AT71:BE71)</f>
        <v>19152468403</v>
      </c>
      <c r="BG71" s="177">
        <f t="shared" si="94"/>
        <v>1202448967</v>
      </c>
      <c r="BH71" s="177">
        <f t="shared" si="94"/>
        <v>1705396370.9999998</v>
      </c>
      <c r="BI71" s="177">
        <f t="shared" si="94"/>
        <v>1653367329</v>
      </c>
      <c r="BJ71" s="177">
        <f t="shared" ref="BJ71:BK83" si="96">+SUMIFS(db_Sum,db_Bln,BJ$6,db_Kode,$A71)</f>
        <v>3282334078.0099998</v>
      </c>
      <c r="BK71" s="177">
        <f t="shared" si="96"/>
        <v>606304320</v>
      </c>
      <c r="BL71" s="177"/>
      <c r="BM71" s="177"/>
      <c r="BN71" s="177"/>
      <c r="BO71" s="177"/>
      <c r="BP71" s="177"/>
      <c r="BQ71" s="177"/>
      <c r="BR71" s="177"/>
      <c r="BS71" s="177">
        <f t="shared" ref="BS71:BS77" si="97">+SUM(BG71:BR71)</f>
        <v>8449851065.0100002</v>
      </c>
      <c r="BT71" s="177">
        <f>+SUM(O71,Q71,R71,S71,AF71,AS71,BF71+BS71)</f>
        <v>55333798773.010002</v>
      </c>
      <c r="BU71" s="178" t="str">
        <f>+IF(K71-BT71=0,"OK","ERROR")</f>
        <v>ERROR</v>
      </c>
      <c r="BV71" s="179"/>
      <c r="BW71" s="179"/>
      <c r="BX71" s="179"/>
      <c r="BY71" s="179"/>
      <c r="BZ71" s="179"/>
      <c r="CA71" s="179"/>
      <c r="CB71" s="179"/>
      <c r="CC71" s="179"/>
    </row>
    <row r="72" spans="1:81" s="180" customFormat="1">
      <c r="A72" s="174"/>
      <c r="B72" s="313" t="s">
        <v>2241</v>
      </c>
      <c r="C72" s="326" t="s">
        <v>2242</v>
      </c>
      <c r="D72" s="314"/>
      <c r="E72" s="315">
        <v>65865180000</v>
      </c>
      <c r="F72" s="316"/>
      <c r="G72" s="314"/>
      <c r="H72" s="317"/>
      <c r="I72" s="317">
        <v>65865180000</v>
      </c>
      <c r="J72" s="314">
        <v>65865180000</v>
      </c>
      <c r="K72" s="318">
        <v>54528794539.699989</v>
      </c>
      <c r="L72" s="318">
        <v>0</v>
      </c>
      <c r="M72" s="318">
        <f>J72-K72</f>
        <v>11336385460.300011</v>
      </c>
      <c r="N72" s="473"/>
      <c r="O72" s="175"/>
      <c r="P72" s="176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7"/>
      <c r="AM72" s="177"/>
      <c r="AN72" s="177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177"/>
      <c r="AZ72" s="177"/>
      <c r="BA72" s="177"/>
      <c r="BB72" s="177"/>
      <c r="BC72" s="177"/>
      <c r="BD72" s="177"/>
      <c r="BE72" s="177"/>
      <c r="BF72" s="177"/>
      <c r="BG72" s="177"/>
      <c r="BH72" s="177"/>
      <c r="BI72" s="177"/>
      <c r="BJ72" s="177"/>
      <c r="BK72" s="177"/>
      <c r="BL72" s="177"/>
      <c r="BM72" s="177"/>
      <c r="BN72" s="177"/>
      <c r="BO72" s="177"/>
      <c r="BP72" s="177"/>
      <c r="BQ72" s="177"/>
      <c r="BR72" s="177"/>
      <c r="BS72" s="177"/>
      <c r="BT72" s="177"/>
      <c r="BU72" s="178"/>
      <c r="BV72" s="179"/>
      <c r="BW72" s="179"/>
      <c r="BX72" s="179"/>
      <c r="BY72" s="179"/>
      <c r="BZ72" s="179"/>
      <c r="CA72" s="179"/>
      <c r="CB72" s="179"/>
      <c r="CC72" s="179"/>
    </row>
    <row r="73" spans="1:81" s="132" customFormat="1" ht="28" hidden="1">
      <c r="A73" s="13"/>
      <c r="B73" s="319"/>
      <c r="C73" s="320" t="s">
        <v>2273</v>
      </c>
      <c r="D73" s="321"/>
      <c r="E73" s="322">
        <v>0</v>
      </c>
      <c r="F73" s="323"/>
      <c r="G73" s="321"/>
      <c r="H73" s="324"/>
      <c r="I73" s="324">
        <v>0</v>
      </c>
      <c r="J73" s="321">
        <v>0</v>
      </c>
      <c r="K73" s="325">
        <v>-1488076880</v>
      </c>
      <c r="L73" s="325">
        <v>0</v>
      </c>
      <c r="M73" s="325">
        <v>0</v>
      </c>
      <c r="N73" s="473" t="s">
        <v>2485</v>
      </c>
      <c r="O73" s="128"/>
      <c r="P73" s="129"/>
      <c r="Q73" s="130"/>
      <c r="R73" s="130"/>
      <c r="S73" s="130"/>
      <c r="T73" s="130"/>
      <c r="U73" s="130"/>
      <c r="V73" s="130"/>
      <c r="W73" s="130"/>
      <c r="X73" s="130"/>
      <c r="Y73" s="130"/>
      <c r="Z73" s="130"/>
      <c r="AA73" s="130"/>
      <c r="AB73" s="130"/>
      <c r="AC73" s="130"/>
      <c r="AD73" s="130"/>
      <c r="AE73" s="130"/>
      <c r="AF73" s="130"/>
      <c r="AG73" s="130"/>
      <c r="AH73" s="130"/>
      <c r="AI73" s="130"/>
      <c r="AJ73" s="130"/>
      <c r="AK73" s="130"/>
      <c r="AL73" s="130"/>
      <c r="AM73" s="130"/>
      <c r="AN73" s="130"/>
      <c r="AO73" s="130"/>
      <c r="AP73" s="130"/>
      <c r="AQ73" s="130"/>
      <c r="AR73" s="130"/>
      <c r="AS73" s="130"/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30"/>
      <c r="BM73" s="130"/>
      <c r="BN73" s="130"/>
      <c r="BO73" s="130"/>
      <c r="BP73" s="130"/>
      <c r="BQ73" s="130"/>
      <c r="BR73" s="130"/>
      <c r="BS73" s="130"/>
      <c r="BT73" s="130"/>
      <c r="BU73" s="131"/>
      <c r="BV73" s="133"/>
      <c r="BW73" s="133"/>
      <c r="BX73" s="133"/>
      <c r="BY73" s="133"/>
      <c r="BZ73" s="133"/>
      <c r="CA73" s="133"/>
      <c r="CB73" s="133"/>
      <c r="CC73" s="133"/>
    </row>
    <row r="74" spans="1:81" s="180" customFormat="1" ht="78" customHeight="1">
      <c r="A74" s="174"/>
      <c r="B74" s="313" t="s">
        <v>2241</v>
      </c>
      <c r="C74" s="326" t="s">
        <v>2243</v>
      </c>
      <c r="D74" s="314"/>
      <c r="E74" s="315">
        <v>0</v>
      </c>
      <c r="F74" s="316"/>
      <c r="G74" s="314"/>
      <c r="H74" s="317"/>
      <c r="I74" s="317">
        <v>2331000000</v>
      </c>
      <c r="J74" s="314">
        <v>2331000000</v>
      </c>
      <c r="K74" s="318">
        <v>0</v>
      </c>
      <c r="L74" s="318">
        <v>1771356038</v>
      </c>
      <c r="M74" s="318">
        <f>J74-L74</f>
        <v>559643962</v>
      </c>
      <c r="N74" s="474" t="s">
        <v>2255</v>
      </c>
      <c r="O74" s="175"/>
      <c r="P74" s="176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  <c r="AH74" s="177"/>
      <c r="AI74" s="177"/>
      <c r="AJ74" s="177"/>
      <c r="AK74" s="177"/>
      <c r="AL74" s="177"/>
      <c r="AM74" s="177"/>
      <c r="AN74" s="177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77"/>
      <c r="BA74" s="177"/>
      <c r="BB74" s="177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177"/>
      <c r="BQ74" s="177"/>
      <c r="BR74" s="177"/>
      <c r="BS74" s="177"/>
      <c r="BT74" s="177"/>
      <c r="BU74" s="178"/>
      <c r="BV74" s="179"/>
      <c r="BW74" s="179"/>
      <c r="BX74" s="179"/>
      <c r="BY74" s="179"/>
      <c r="BZ74" s="179"/>
      <c r="CA74" s="179"/>
      <c r="CB74" s="179"/>
      <c r="CC74" s="179"/>
    </row>
    <row r="75" spans="1:81" s="132" customFormat="1" hidden="1">
      <c r="A75" s="13"/>
      <c r="B75" s="319"/>
      <c r="C75" s="327" t="s">
        <v>2273</v>
      </c>
      <c r="D75" s="321"/>
      <c r="E75" s="322">
        <v>0</v>
      </c>
      <c r="F75" s="323"/>
      <c r="G75" s="321"/>
      <c r="H75" s="324"/>
      <c r="I75" s="324">
        <v>0</v>
      </c>
      <c r="J75" s="321">
        <v>0</v>
      </c>
      <c r="K75" s="325">
        <v>0</v>
      </c>
      <c r="L75" s="325">
        <v>-74261250</v>
      </c>
      <c r="M75" s="325">
        <v>0</v>
      </c>
      <c r="N75" s="475"/>
      <c r="O75" s="128"/>
      <c r="P75" s="129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30"/>
      <c r="BM75" s="130"/>
      <c r="BN75" s="130"/>
      <c r="BO75" s="130"/>
      <c r="BP75" s="130"/>
      <c r="BQ75" s="130"/>
      <c r="BR75" s="130"/>
      <c r="BS75" s="130"/>
      <c r="BT75" s="130"/>
      <c r="BU75" s="131"/>
      <c r="BV75" s="133"/>
      <c r="BW75" s="133"/>
      <c r="BX75" s="133"/>
      <c r="BY75" s="133"/>
      <c r="BZ75" s="133"/>
      <c r="CA75" s="133"/>
      <c r="CB75" s="133"/>
      <c r="CC75" s="133"/>
    </row>
    <row r="76" spans="1:81" s="180" customFormat="1" ht="70">
      <c r="A76" s="174"/>
      <c r="B76" s="313" t="s">
        <v>2241</v>
      </c>
      <c r="C76" s="326" t="s">
        <v>2244</v>
      </c>
      <c r="D76" s="314"/>
      <c r="E76" s="315">
        <v>0</v>
      </c>
      <c r="F76" s="316"/>
      <c r="G76" s="314"/>
      <c r="H76" s="317"/>
      <c r="I76" s="317">
        <v>1132200000</v>
      </c>
      <c r="J76" s="314">
        <v>1132200000</v>
      </c>
      <c r="K76" s="318">
        <v>0</v>
      </c>
      <c r="L76" s="318">
        <v>923761980</v>
      </c>
      <c r="M76" s="318">
        <f>J76-L76</f>
        <v>208438020</v>
      </c>
      <c r="N76" s="472" t="s">
        <v>2256</v>
      </c>
      <c r="O76" s="175"/>
      <c r="P76" s="176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177"/>
      <c r="AZ76" s="177"/>
      <c r="BA76" s="177"/>
      <c r="BB76" s="177"/>
      <c r="BC76" s="177"/>
      <c r="BD76" s="177"/>
      <c r="BE76" s="177"/>
      <c r="BF76" s="177"/>
      <c r="BG76" s="177"/>
      <c r="BH76" s="177"/>
      <c r="BI76" s="177"/>
      <c r="BJ76" s="177"/>
      <c r="BK76" s="177"/>
      <c r="BL76" s="177"/>
      <c r="BM76" s="177"/>
      <c r="BN76" s="177"/>
      <c r="BO76" s="177"/>
      <c r="BP76" s="177"/>
      <c r="BQ76" s="177"/>
      <c r="BR76" s="177"/>
      <c r="BS76" s="177"/>
      <c r="BT76" s="177"/>
      <c r="BU76" s="178"/>
      <c r="BV76" s="179"/>
      <c r="BW76" s="179"/>
      <c r="BX76" s="179"/>
      <c r="BY76" s="179"/>
      <c r="BZ76" s="179"/>
      <c r="CA76" s="179"/>
      <c r="CB76" s="179"/>
      <c r="CC76" s="179"/>
    </row>
    <row r="77" spans="1:81" s="180" customFormat="1">
      <c r="A77" s="174">
        <v>22</v>
      </c>
      <c r="B77" s="326">
        <v>2</v>
      </c>
      <c r="C77" s="333" t="s">
        <v>19</v>
      </c>
      <c r="D77" s="334" t="s">
        <v>51</v>
      </c>
      <c r="E77" s="335"/>
      <c r="F77" s="336" t="s">
        <v>56</v>
      </c>
      <c r="G77" s="334" t="s">
        <v>51</v>
      </c>
      <c r="H77" s="334">
        <f>E78-K78-K80-K82-K79-K81</f>
        <v>465309336.00004959</v>
      </c>
      <c r="I77" s="334"/>
      <c r="J77" s="334"/>
      <c r="K77" s="337"/>
      <c r="L77" s="337"/>
      <c r="M77" s="312"/>
      <c r="N77" s="472"/>
      <c r="O77" s="175">
        <f>+SUMIFS(db_Sum,db_Bln,O$6,db_Kode,$A77)</f>
        <v>0</v>
      </c>
      <c r="P77" s="176">
        <f>+IF(H77=0,E78-K77,0)</f>
        <v>0</v>
      </c>
      <c r="Q77" s="177">
        <f t="shared" si="90"/>
        <v>0</v>
      </c>
      <c r="R77" s="177">
        <f t="shared" si="90"/>
        <v>0</v>
      </c>
      <c r="S77" s="177">
        <f t="shared" si="90"/>
        <v>0</v>
      </c>
      <c r="T77" s="177">
        <f t="shared" si="90"/>
        <v>0</v>
      </c>
      <c r="U77" s="177">
        <f t="shared" si="90"/>
        <v>0</v>
      </c>
      <c r="V77" s="177">
        <f t="shared" si="90"/>
        <v>0</v>
      </c>
      <c r="W77" s="177">
        <f t="shared" si="90"/>
        <v>0</v>
      </c>
      <c r="X77" s="177">
        <f t="shared" si="90"/>
        <v>0</v>
      </c>
      <c r="Y77" s="177">
        <f t="shared" si="90"/>
        <v>0</v>
      </c>
      <c r="Z77" s="177">
        <f t="shared" si="90"/>
        <v>0</v>
      </c>
      <c r="AA77" s="177">
        <f t="shared" si="90"/>
        <v>0</v>
      </c>
      <c r="AB77" s="177">
        <f t="shared" si="90"/>
        <v>0</v>
      </c>
      <c r="AC77" s="177">
        <f t="shared" si="90"/>
        <v>0</v>
      </c>
      <c r="AD77" s="177">
        <f t="shared" si="90"/>
        <v>0</v>
      </c>
      <c r="AE77" s="177">
        <f t="shared" si="90"/>
        <v>0</v>
      </c>
      <c r="AF77" s="177">
        <f t="shared" si="91"/>
        <v>0</v>
      </c>
      <c r="AG77" s="177">
        <f t="shared" si="92"/>
        <v>0</v>
      </c>
      <c r="AH77" s="177">
        <f t="shared" si="92"/>
        <v>0</v>
      </c>
      <c r="AI77" s="177">
        <f t="shared" si="92"/>
        <v>0</v>
      </c>
      <c r="AJ77" s="177">
        <f t="shared" si="92"/>
        <v>0</v>
      </c>
      <c r="AK77" s="177">
        <f t="shared" si="92"/>
        <v>0</v>
      </c>
      <c r="AL77" s="177">
        <f t="shared" si="92"/>
        <v>0</v>
      </c>
      <c r="AM77" s="177">
        <f t="shared" si="92"/>
        <v>0</v>
      </c>
      <c r="AN77" s="177">
        <f t="shared" si="92"/>
        <v>0</v>
      </c>
      <c r="AO77" s="177">
        <f t="shared" si="92"/>
        <v>0</v>
      </c>
      <c r="AP77" s="177">
        <f t="shared" si="92"/>
        <v>4433996941</v>
      </c>
      <c r="AQ77" s="177">
        <f t="shared" si="92"/>
        <v>0</v>
      </c>
      <c r="AR77" s="177">
        <f t="shared" si="92"/>
        <v>0</v>
      </c>
      <c r="AS77" s="177">
        <f t="shared" si="93"/>
        <v>4433996941</v>
      </c>
      <c r="AT77" s="177">
        <f t="shared" si="94"/>
        <v>0</v>
      </c>
      <c r="AU77" s="177">
        <f t="shared" si="94"/>
        <v>877244012</v>
      </c>
      <c r="AV77" s="177">
        <f t="shared" si="94"/>
        <v>0</v>
      </c>
      <c r="AW77" s="177">
        <f t="shared" si="94"/>
        <v>0</v>
      </c>
      <c r="AX77" s="177">
        <f t="shared" si="94"/>
        <v>0</v>
      </c>
      <c r="AY77" s="177">
        <f t="shared" si="94"/>
        <v>197877025</v>
      </c>
      <c r="AZ77" s="177">
        <f t="shared" si="94"/>
        <v>0</v>
      </c>
      <c r="BA77" s="177">
        <f t="shared" si="94"/>
        <v>3030909329</v>
      </c>
      <c r="BB77" s="177">
        <f t="shared" si="94"/>
        <v>142698996</v>
      </c>
      <c r="BC77" s="177">
        <f t="shared" si="94"/>
        <v>4176216269</v>
      </c>
      <c r="BD77" s="177">
        <f t="shared" si="94"/>
        <v>751900547</v>
      </c>
      <c r="BE77" s="177">
        <f t="shared" si="94"/>
        <v>1063745889</v>
      </c>
      <c r="BF77" s="177">
        <f t="shared" si="95"/>
        <v>10240592067</v>
      </c>
      <c r="BG77" s="177">
        <f t="shared" si="94"/>
        <v>985264569</v>
      </c>
      <c r="BH77" s="177">
        <f t="shared" si="94"/>
        <v>0</v>
      </c>
      <c r="BI77" s="177">
        <f t="shared" si="94"/>
        <v>301151189</v>
      </c>
      <c r="BJ77" s="177">
        <f t="shared" si="96"/>
        <v>0</v>
      </c>
      <c r="BK77" s="177">
        <f t="shared" si="96"/>
        <v>0</v>
      </c>
      <c r="BL77" s="177"/>
      <c r="BM77" s="177"/>
      <c r="BN77" s="177"/>
      <c r="BO77" s="177"/>
      <c r="BP77" s="177"/>
      <c r="BQ77" s="177"/>
      <c r="BR77" s="177"/>
      <c r="BS77" s="177">
        <f t="shared" si="97"/>
        <v>1286415758</v>
      </c>
      <c r="BT77" s="177">
        <f>+SUM(O77,Q77,R77,S77,AF77,AS77,BF77+BS77)</f>
        <v>15961004766</v>
      </c>
      <c r="BU77" s="178" t="str">
        <f>+IF(K77-BT77=0,"OK","ERROR")</f>
        <v>ERROR</v>
      </c>
      <c r="BV77" s="179"/>
      <c r="BW77" s="179"/>
      <c r="BX77" s="179"/>
      <c r="BY77" s="179"/>
      <c r="BZ77" s="179"/>
      <c r="CA77" s="179"/>
      <c r="CB77" s="179"/>
      <c r="CC77" s="179"/>
    </row>
    <row r="78" spans="1:81" s="180" customFormat="1" ht="28">
      <c r="A78" s="174"/>
      <c r="B78" s="313" t="s">
        <v>2241</v>
      </c>
      <c r="C78" s="333" t="s">
        <v>2242</v>
      </c>
      <c r="D78" s="334"/>
      <c r="E78" s="338">
        <v>13264500000</v>
      </c>
      <c r="F78" s="336"/>
      <c r="G78" s="334"/>
      <c r="H78" s="334"/>
      <c r="I78" s="334">
        <v>13264500000.212069</v>
      </c>
      <c r="J78" s="334">
        <v>13264500000.212069</v>
      </c>
      <c r="K78" s="337">
        <v>12472490524.3881</v>
      </c>
      <c r="L78" s="337">
        <v>481740000.00000006</v>
      </c>
      <c r="M78" s="318">
        <f>J78-K78</f>
        <v>792009475.82396889</v>
      </c>
      <c r="N78" s="472" t="s">
        <v>2257</v>
      </c>
      <c r="O78" s="175"/>
      <c r="P78" s="176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  <c r="AH78" s="177"/>
      <c r="AI78" s="177"/>
      <c r="AJ78" s="177"/>
      <c r="AK78" s="177"/>
      <c r="AL78" s="177"/>
      <c r="AM78" s="177"/>
      <c r="AN78" s="177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177"/>
      <c r="AZ78" s="177"/>
      <c r="BA78" s="177"/>
      <c r="BB78" s="177"/>
      <c r="BC78" s="177"/>
      <c r="BD78" s="177"/>
      <c r="BE78" s="177"/>
      <c r="BF78" s="177"/>
      <c r="BG78" s="177"/>
      <c r="BH78" s="177"/>
      <c r="BI78" s="177"/>
      <c r="BJ78" s="177"/>
      <c r="BK78" s="177"/>
      <c r="BL78" s="177"/>
      <c r="BM78" s="177"/>
      <c r="BN78" s="177"/>
      <c r="BO78" s="177"/>
      <c r="BP78" s="177"/>
      <c r="BQ78" s="177"/>
      <c r="BR78" s="177"/>
      <c r="BS78" s="177"/>
      <c r="BT78" s="177"/>
      <c r="BU78" s="178"/>
      <c r="BV78" s="179"/>
      <c r="BW78" s="179"/>
      <c r="BX78" s="179"/>
      <c r="BY78" s="179"/>
      <c r="BZ78" s="179"/>
      <c r="CA78" s="179"/>
      <c r="CB78" s="179"/>
      <c r="CC78" s="179"/>
    </row>
    <row r="79" spans="1:81" hidden="1">
      <c r="B79" s="319"/>
      <c r="C79" s="339" t="s">
        <v>2273</v>
      </c>
      <c r="D79" s="340"/>
      <c r="E79" s="341">
        <v>0</v>
      </c>
      <c r="F79" s="339"/>
      <c r="G79" s="340"/>
      <c r="H79" s="340"/>
      <c r="I79" s="340">
        <v>0</v>
      </c>
      <c r="J79" s="340">
        <v>0</v>
      </c>
      <c r="K79" s="342">
        <v>326700139.61185074</v>
      </c>
      <c r="L79" s="342">
        <v>0</v>
      </c>
      <c r="M79" s="325">
        <v>0</v>
      </c>
      <c r="N79" s="473"/>
      <c r="O79" s="52"/>
      <c r="P79" s="77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26"/>
      <c r="BV79" s="7"/>
      <c r="BW79" s="7"/>
      <c r="BX79" s="7"/>
      <c r="BY79" s="7"/>
      <c r="BZ79" s="7"/>
      <c r="CA79" s="7"/>
      <c r="CB79" s="7"/>
      <c r="CC79" s="7"/>
    </row>
    <row r="80" spans="1:81" s="180" customFormat="1" ht="83.5" customHeight="1">
      <c r="A80" s="174"/>
      <c r="B80" s="313" t="s">
        <v>2241</v>
      </c>
      <c r="C80" s="333" t="s">
        <v>2243</v>
      </c>
      <c r="D80" s="334"/>
      <c r="E80" s="338">
        <v>0</v>
      </c>
      <c r="F80" s="336"/>
      <c r="G80" s="334"/>
      <c r="H80" s="334"/>
      <c r="I80" s="334">
        <v>586870625.25</v>
      </c>
      <c r="J80" s="334">
        <v>586870625.25</v>
      </c>
      <c r="K80" s="337"/>
      <c r="L80" s="337">
        <v>557527093.98749995</v>
      </c>
      <c r="M80" s="318">
        <f>J80-L80</f>
        <v>29343531.262500048</v>
      </c>
      <c r="N80" s="472" t="s">
        <v>2258</v>
      </c>
      <c r="O80" s="175"/>
      <c r="P80" s="176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  <c r="AH80" s="177"/>
      <c r="AI80" s="177"/>
      <c r="AJ80" s="177"/>
      <c r="AK80" s="177"/>
      <c r="AL80" s="177"/>
      <c r="AM80" s="177"/>
      <c r="AN80" s="177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77"/>
      <c r="BB80" s="177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177"/>
      <c r="BQ80" s="177"/>
      <c r="BR80" s="177"/>
      <c r="BS80" s="177"/>
      <c r="BT80" s="177"/>
      <c r="BU80" s="178"/>
      <c r="BV80" s="179"/>
      <c r="BW80" s="179"/>
      <c r="BX80" s="179"/>
      <c r="BY80" s="179"/>
      <c r="BZ80" s="179"/>
      <c r="CA80" s="179"/>
      <c r="CB80" s="179"/>
      <c r="CC80" s="179"/>
    </row>
    <row r="81" spans="1:81" hidden="1">
      <c r="B81" s="319"/>
      <c r="C81" s="339" t="s">
        <v>2273</v>
      </c>
      <c r="D81" s="340"/>
      <c r="E81" s="341">
        <v>0</v>
      </c>
      <c r="F81" s="339"/>
      <c r="G81" s="340"/>
      <c r="H81" s="340"/>
      <c r="I81" s="340">
        <v>0</v>
      </c>
      <c r="J81" s="340">
        <v>0</v>
      </c>
      <c r="K81" s="342">
        <v>0</v>
      </c>
      <c r="L81" s="342">
        <v>14803944.012500048</v>
      </c>
      <c r="M81" s="325">
        <v>0</v>
      </c>
      <c r="N81" s="473"/>
      <c r="O81" s="52"/>
      <c r="P81" s="7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26"/>
      <c r="BV81" s="7"/>
      <c r="BW81" s="7"/>
      <c r="BX81" s="7"/>
      <c r="BY81" s="7"/>
      <c r="BZ81" s="7"/>
      <c r="CA81" s="7"/>
      <c r="CB81" s="7"/>
      <c r="CC81" s="7"/>
    </row>
    <row r="82" spans="1:81" s="180" customFormat="1" ht="78" customHeight="1">
      <c r="A82" s="174"/>
      <c r="B82" s="313" t="s">
        <v>2241</v>
      </c>
      <c r="C82" s="333" t="s">
        <v>2244</v>
      </c>
      <c r="D82" s="334"/>
      <c r="E82" s="338">
        <v>0</v>
      </c>
      <c r="F82" s="336"/>
      <c r="G82" s="334"/>
      <c r="H82" s="334"/>
      <c r="I82" s="334">
        <v>244990374.23460001</v>
      </c>
      <c r="J82" s="334">
        <v>244990374.23460001</v>
      </c>
      <c r="K82" s="337">
        <v>0</v>
      </c>
      <c r="L82" s="337">
        <v>0</v>
      </c>
      <c r="M82" s="318">
        <f>J82-L82</f>
        <v>244990374.23460001</v>
      </c>
      <c r="N82" s="472" t="s">
        <v>2259</v>
      </c>
      <c r="O82" s="175"/>
      <c r="P82" s="176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  <c r="AH82" s="177"/>
      <c r="AI82" s="177"/>
      <c r="AJ82" s="177"/>
      <c r="AK82" s="177"/>
      <c r="AL82" s="177"/>
      <c r="AM82" s="177"/>
      <c r="AN82" s="177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177"/>
      <c r="AZ82" s="177"/>
      <c r="BA82" s="177"/>
      <c r="BB82" s="177"/>
      <c r="BC82" s="177"/>
      <c r="BD82" s="177"/>
      <c r="BE82" s="177"/>
      <c r="BF82" s="177"/>
      <c r="BG82" s="177"/>
      <c r="BH82" s="177"/>
      <c r="BI82" s="177"/>
      <c r="BJ82" s="177"/>
      <c r="BK82" s="177"/>
      <c r="BL82" s="177"/>
      <c r="BM82" s="177"/>
      <c r="BN82" s="177"/>
      <c r="BO82" s="177"/>
      <c r="BP82" s="177"/>
      <c r="BQ82" s="177"/>
      <c r="BR82" s="177"/>
      <c r="BS82" s="177"/>
      <c r="BT82" s="177"/>
      <c r="BU82" s="178"/>
      <c r="BV82" s="179"/>
      <c r="BW82" s="179"/>
      <c r="BX82" s="179"/>
      <c r="BY82" s="179"/>
      <c r="BZ82" s="179"/>
      <c r="CA82" s="179"/>
      <c r="CB82" s="179"/>
      <c r="CC82" s="179"/>
    </row>
    <row r="83" spans="1:81" s="158" customFormat="1" ht="66" customHeight="1">
      <c r="A83" s="153" t="s">
        <v>1098</v>
      </c>
      <c r="B83" s="393">
        <v>3</v>
      </c>
      <c r="C83" s="393" t="s">
        <v>578</v>
      </c>
      <c r="D83" s="430"/>
      <c r="E83" s="395">
        <v>0</v>
      </c>
      <c r="F83" s="396"/>
      <c r="G83" s="394"/>
      <c r="H83" s="397">
        <f>E83-K83</f>
        <v>-119776424.32999998</v>
      </c>
      <c r="I83" s="397">
        <v>0</v>
      </c>
      <c r="J83" s="394">
        <v>119776424.32999998</v>
      </c>
      <c r="K83" s="398">
        <f>+O83+Q83+R83+S83+AF83+AS83+BF83+BS83</f>
        <v>119776424.32999998</v>
      </c>
      <c r="L83" s="398">
        <v>0</v>
      </c>
      <c r="M83" s="423">
        <v>0</v>
      </c>
      <c r="N83" s="470" t="s">
        <v>2474</v>
      </c>
      <c r="O83" s="154"/>
      <c r="P83" s="155">
        <f>+IF(H83=0,E83-K83,0)</f>
        <v>0</v>
      </c>
      <c r="Q83" s="156"/>
      <c r="R83" s="156"/>
      <c r="S83" s="156"/>
      <c r="T83" s="156"/>
      <c r="U83" s="156"/>
      <c r="V83" s="156"/>
      <c r="W83" s="156"/>
      <c r="X83" s="156"/>
      <c r="Y83" s="156"/>
      <c r="Z83" s="156"/>
      <c r="AA83" s="156"/>
      <c r="AB83" s="156"/>
      <c r="AC83" s="156"/>
      <c r="AD83" s="156"/>
      <c r="AE83" s="156"/>
      <c r="AF83" s="156"/>
      <c r="AG83" s="156"/>
      <c r="AH83" s="156"/>
      <c r="AI83" s="156"/>
      <c r="AJ83" s="156"/>
      <c r="AK83" s="156"/>
      <c r="AL83" s="156"/>
      <c r="AM83" s="156"/>
      <c r="AN83" s="156"/>
      <c r="AO83" s="156"/>
      <c r="AP83" s="156"/>
      <c r="AQ83" s="156"/>
      <c r="AR83" s="156"/>
      <c r="AS83" s="156"/>
      <c r="AT83" s="156">
        <f t="shared" si="94"/>
        <v>196000</v>
      </c>
      <c r="AU83" s="156">
        <f t="shared" si="94"/>
        <v>1109043.69</v>
      </c>
      <c r="AV83" s="156">
        <f t="shared" si="94"/>
        <v>0</v>
      </c>
      <c r="AW83" s="156">
        <f t="shared" si="94"/>
        <v>0</v>
      </c>
      <c r="AX83" s="156">
        <f t="shared" si="94"/>
        <v>0</v>
      </c>
      <c r="AY83" s="156">
        <f t="shared" si="94"/>
        <v>0</v>
      </c>
      <c r="AZ83" s="156">
        <f t="shared" si="94"/>
        <v>0</v>
      </c>
      <c r="BA83" s="156">
        <f t="shared" si="94"/>
        <v>0</v>
      </c>
      <c r="BB83" s="156">
        <f t="shared" si="94"/>
        <v>324848</v>
      </c>
      <c r="BC83" s="156">
        <f t="shared" si="94"/>
        <v>3940500</v>
      </c>
      <c r="BD83" s="156">
        <f t="shared" si="94"/>
        <v>5008000</v>
      </c>
      <c r="BE83" s="156">
        <f t="shared" si="94"/>
        <v>0</v>
      </c>
      <c r="BF83" s="156">
        <f t="shared" ref="BF83" si="98">+SUM(AT83:BE83)</f>
        <v>10578391.689999999</v>
      </c>
      <c r="BG83" s="156">
        <f t="shared" si="94"/>
        <v>7316568</v>
      </c>
      <c r="BH83" s="156">
        <f t="shared" si="94"/>
        <v>4071332</v>
      </c>
      <c r="BI83" s="156">
        <f t="shared" si="94"/>
        <v>69503.039999999994</v>
      </c>
      <c r="BJ83" s="156">
        <f t="shared" si="96"/>
        <v>4219267.84</v>
      </c>
      <c r="BK83" s="156">
        <f t="shared" si="96"/>
        <v>93521361.75999999</v>
      </c>
      <c r="BL83" s="156"/>
      <c r="BM83" s="156"/>
      <c r="BN83" s="156"/>
      <c r="BO83" s="156"/>
      <c r="BP83" s="156"/>
      <c r="BQ83" s="156"/>
      <c r="BR83" s="156"/>
      <c r="BS83" s="156">
        <f t="shared" ref="BS83" si="99">+SUM(BG83:BR83)</f>
        <v>109198032.63999999</v>
      </c>
      <c r="BT83" s="156">
        <f>+SUM(O83,Q83,R83,S83,AF83,AS83,BF83+BS83)</f>
        <v>119776424.32999998</v>
      </c>
      <c r="BU83" s="157" t="str">
        <f>+IF(K83-BT83=0,"OK","ERROR")</f>
        <v>OK</v>
      </c>
      <c r="BV83" s="161"/>
      <c r="BW83" s="161"/>
      <c r="BX83" s="161"/>
      <c r="BY83" s="161"/>
      <c r="BZ83" s="161"/>
      <c r="CA83" s="161"/>
      <c r="CB83" s="161"/>
      <c r="CC83" s="161"/>
    </row>
    <row r="84" spans="1:81" s="243" customFormat="1" ht="15.5">
      <c r="A84" s="231"/>
      <c r="B84" s="232"/>
      <c r="C84" s="233" t="s">
        <v>92</v>
      </c>
      <c r="D84" s="234"/>
      <c r="E84" s="235">
        <f>SUM(E71:E83)</f>
        <v>79129680000</v>
      </c>
      <c r="F84" s="236"/>
      <c r="G84" s="234"/>
      <c r="H84" s="235" t="e">
        <f>SUM(H71:H83)</f>
        <v>#REF!</v>
      </c>
      <c r="I84" s="237">
        <f>SUM(I71:I83)</f>
        <v>83424740999.696671</v>
      </c>
      <c r="J84" s="237">
        <f>SUM(J71:J83)</f>
        <v>83544517424.026672</v>
      </c>
      <c r="K84" s="237">
        <f>SUM(K71:K83)-K73-K79</f>
        <v>67121061488.418091</v>
      </c>
      <c r="L84" s="237">
        <f>SUM(L71:L83)-L81-L75</f>
        <v>3734385111.9875002</v>
      </c>
      <c r="M84" s="244">
        <f>SUM(M71:M83)</f>
        <v>13170810823.62108</v>
      </c>
      <c r="N84" s="463">
        <f>K84+L84+M84</f>
        <v>84026257424.026672</v>
      </c>
      <c r="O84" s="235">
        <f>SUM(O71:O83)</f>
        <v>0</v>
      </c>
      <c r="P84" s="238" t="e">
        <f>SUM(P71:P83)</f>
        <v>#REF!</v>
      </c>
      <c r="Q84" s="245">
        <f t="shared" ref="Q84:AS84" si="100">SUM(Q71:Q82)</f>
        <v>0</v>
      </c>
      <c r="R84" s="245">
        <f t="shared" si="100"/>
        <v>0</v>
      </c>
      <c r="S84" s="245">
        <f t="shared" si="100"/>
        <v>0</v>
      </c>
      <c r="T84" s="245">
        <f t="shared" si="100"/>
        <v>0</v>
      </c>
      <c r="U84" s="245">
        <f t="shared" si="100"/>
        <v>0</v>
      </c>
      <c r="V84" s="245">
        <f t="shared" si="100"/>
        <v>0</v>
      </c>
      <c r="W84" s="245">
        <f t="shared" si="100"/>
        <v>0</v>
      </c>
      <c r="X84" s="245">
        <f t="shared" si="100"/>
        <v>0</v>
      </c>
      <c r="Y84" s="245">
        <f t="shared" si="100"/>
        <v>0</v>
      </c>
      <c r="Z84" s="245">
        <f t="shared" si="100"/>
        <v>0</v>
      </c>
      <c r="AA84" s="245">
        <f t="shared" si="100"/>
        <v>0</v>
      </c>
      <c r="AB84" s="245">
        <f t="shared" si="100"/>
        <v>0</v>
      </c>
      <c r="AC84" s="245">
        <f t="shared" si="100"/>
        <v>0</v>
      </c>
      <c r="AD84" s="245">
        <f t="shared" si="100"/>
        <v>0</v>
      </c>
      <c r="AE84" s="245">
        <f t="shared" si="100"/>
        <v>0</v>
      </c>
      <c r="AF84" s="245">
        <f t="shared" si="100"/>
        <v>0</v>
      </c>
      <c r="AG84" s="245">
        <f t="shared" si="100"/>
        <v>0</v>
      </c>
      <c r="AH84" s="245">
        <f t="shared" si="100"/>
        <v>0</v>
      </c>
      <c r="AI84" s="245">
        <f t="shared" si="100"/>
        <v>0</v>
      </c>
      <c r="AJ84" s="245">
        <f t="shared" si="100"/>
        <v>0</v>
      </c>
      <c r="AK84" s="245">
        <f t="shared" si="100"/>
        <v>0</v>
      </c>
      <c r="AL84" s="245">
        <f t="shared" si="100"/>
        <v>0</v>
      </c>
      <c r="AM84" s="245">
        <f t="shared" si="100"/>
        <v>0</v>
      </c>
      <c r="AN84" s="245">
        <f t="shared" si="100"/>
        <v>0</v>
      </c>
      <c r="AO84" s="245">
        <f t="shared" si="100"/>
        <v>13949564220</v>
      </c>
      <c r="AP84" s="245">
        <f t="shared" si="100"/>
        <v>10457803786</v>
      </c>
      <c r="AQ84" s="245">
        <f t="shared" si="100"/>
        <v>3867492111</v>
      </c>
      <c r="AR84" s="245">
        <f t="shared" si="100"/>
        <v>3890616129</v>
      </c>
      <c r="AS84" s="245">
        <f t="shared" si="100"/>
        <v>32165476246</v>
      </c>
      <c r="AT84" s="245">
        <f t="shared" ref="AT84:BT84" si="101">SUM(AT71:AT83)</f>
        <v>5833229692</v>
      </c>
      <c r="AU84" s="245">
        <f t="shared" si="101"/>
        <v>878353055.69000006</v>
      </c>
      <c r="AV84" s="245">
        <f t="shared" si="101"/>
        <v>0</v>
      </c>
      <c r="AW84" s="245">
        <f t="shared" si="101"/>
        <v>2069599665</v>
      </c>
      <c r="AX84" s="245">
        <f t="shared" si="101"/>
        <v>0</v>
      </c>
      <c r="AY84" s="245">
        <f t="shared" si="101"/>
        <v>1151742792</v>
      </c>
      <c r="AZ84" s="245">
        <f t="shared" si="101"/>
        <v>1618681302</v>
      </c>
      <c r="BA84" s="245">
        <f t="shared" si="101"/>
        <v>5031136937</v>
      </c>
      <c r="BB84" s="245">
        <f t="shared" si="101"/>
        <v>3311014392</v>
      </c>
      <c r="BC84" s="245">
        <f t="shared" si="101"/>
        <v>4180156769</v>
      </c>
      <c r="BD84" s="245">
        <f t="shared" si="101"/>
        <v>4265978367.9999995</v>
      </c>
      <c r="BE84" s="245">
        <f t="shared" si="101"/>
        <v>1063745889</v>
      </c>
      <c r="BF84" s="245">
        <f t="shared" si="101"/>
        <v>29403638861.689999</v>
      </c>
      <c r="BG84" s="245">
        <f t="shared" si="101"/>
        <v>2195030104</v>
      </c>
      <c r="BH84" s="245">
        <f t="shared" si="101"/>
        <v>1709467702.9999998</v>
      </c>
      <c r="BI84" s="245">
        <f t="shared" si="101"/>
        <v>1954588021.04</v>
      </c>
      <c r="BJ84" s="245">
        <f t="shared" si="101"/>
        <v>3286553345.8499999</v>
      </c>
      <c r="BK84" s="245">
        <f t="shared" si="101"/>
        <v>699825681.75999999</v>
      </c>
      <c r="BL84" s="245">
        <f t="shared" si="101"/>
        <v>0</v>
      </c>
      <c r="BM84" s="245">
        <f t="shared" si="101"/>
        <v>0</v>
      </c>
      <c r="BN84" s="245">
        <f t="shared" si="101"/>
        <v>0</v>
      </c>
      <c r="BO84" s="245">
        <f t="shared" si="101"/>
        <v>0</v>
      </c>
      <c r="BP84" s="245">
        <f t="shared" si="101"/>
        <v>0</v>
      </c>
      <c r="BQ84" s="245">
        <f t="shared" si="101"/>
        <v>0</v>
      </c>
      <c r="BR84" s="245">
        <f t="shared" si="101"/>
        <v>0</v>
      </c>
      <c r="BS84" s="245">
        <f t="shared" si="101"/>
        <v>9845464855.6499996</v>
      </c>
      <c r="BT84" s="245">
        <f t="shared" si="101"/>
        <v>71414579963.340012</v>
      </c>
      <c r="BU84" s="240" t="str">
        <f>+IF(K84-BT84=0,"OK","ERROR")</f>
        <v>ERROR</v>
      </c>
      <c r="BV84" s="241">
        <f>BT84-K84</f>
        <v>4293518474.9219208</v>
      </c>
      <c r="BW84" s="242"/>
      <c r="BX84" s="242"/>
      <c r="BY84" s="242"/>
      <c r="BZ84" s="242"/>
      <c r="CA84" s="242"/>
      <c r="CB84" s="242"/>
      <c r="CC84" s="242"/>
    </row>
    <row r="85" spans="1:81">
      <c r="B85" s="142"/>
      <c r="C85" s="143"/>
      <c r="D85" s="147"/>
      <c r="E85" s="58"/>
      <c r="F85" s="144"/>
      <c r="G85" s="147"/>
      <c r="H85" s="58"/>
      <c r="I85" s="58"/>
      <c r="J85" s="147"/>
      <c r="K85" s="148"/>
      <c r="L85" s="148"/>
      <c r="M85" s="148"/>
      <c r="N85" s="479"/>
      <c r="O85" s="55"/>
      <c r="P85" s="79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26"/>
      <c r="BV85" s="7"/>
      <c r="BW85" s="7"/>
      <c r="BX85" s="7"/>
      <c r="BY85" s="7"/>
      <c r="BZ85" s="7"/>
      <c r="CA85" s="7"/>
      <c r="CB85" s="7"/>
      <c r="CC85" s="7"/>
    </row>
    <row r="86" spans="1:81">
      <c r="B86" s="357" t="s">
        <v>107</v>
      </c>
      <c r="C86" s="143" t="s">
        <v>70</v>
      </c>
      <c r="D86" s="431"/>
      <c r="E86" s="383"/>
      <c r="F86" s="431"/>
      <c r="G86" s="431"/>
      <c r="H86" s="145"/>
      <c r="I86" s="145"/>
      <c r="J86" s="431"/>
      <c r="K86" s="146"/>
      <c r="L86" s="146"/>
      <c r="M86" s="146"/>
      <c r="N86" s="465"/>
      <c r="O86" s="55"/>
      <c r="P86" s="79"/>
      <c r="Q86" s="12"/>
      <c r="R86" s="12"/>
      <c r="S86" s="12"/>
      <c r="AF86" s="6"/>
      <c r="AS86" s="6"/>
      <c r="BF86" s="6"/>
      <c r="BG86" s="7"/>
      <c r="BH86" s="7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26"/>
      <c r="BV86" s="7"/>
      <c r="BW86" s="7"/>
      <c r="BX86" s="7"/>
      <c r="BY86" s="7"/>
      <c r="BZ86" s="7"/>
      <c r="CA86" s="7"/>
      <c r="CB86" s="7"/>
      <c r="CC86" s="7"/>
    </row>
    <row r="87" spans="1:81" s="180" customFormat="1">
      <c r="A87" s="174">
        <v>31</v>
      </c>
      <c r="B87" s="400">
        <v>1</v>
      </c>
      <c r="C87" s="400" t="s">
        <v>10</v>
      </c>
      <c r="D87" s="401" t="s">
        <v>43</v>
      </c>
      <c r="E87" s="402">
        <v>2886000000</v>
      </c>
      <c r="F87" s="403" t="s">
        <v>75</v>
      </c>
      <c r="G87" s="401" t="s">
        <v>43</v>
      </c>
      <c r="H87" s="404">
        <f>E87-K87</f>
        <v>144300000</v>
      </c>
      <c r="I87" s="404">
        <v>2886000000</v>
      </c>
      <c r="J87" s="401">
        <v>2886000000</v>
      </c>
      <c r="K87" s="405">
        <f>+O87+Q87+R87+S87+AF87+AS87+BF87+BS87-K88</f>
        <v>2741700000</v>
      </c>
      <c r="L87" s="405">
        <v>0</v>
      </c>
      <c r="M87" s="405">
        <f>J87-K87</f>
        <v>144300000</v>
      </c>
      <c r="N87" s="471" t="s">
        <v>2441</v>
      </c>
      <c r="O87" s="175">
        <f>+SUMIFS(db_Sum,db_Bln,O$6,db_Kode,$A87)</f>
        <v>0</v>
      </c>
      <c r="P87" s="176">
        <f>+IF(H87=0,E87-K87,0)</f>
        <v>0</v>
      </c>
      <c r="Q87" s="177">
        <f t="shared" ref="Q87:AE114" si="102">+SUMIFS(db_Sum,db_Bln,Q$6,db_Kode,$A87)</f>
        <v>0</v>
      </c>
      <c r="R87" s="177">
        <f t="shared" si="102"/>
        <v>0</v>
      </c>
      <c r="S87" s="177">
        <f t="shared" si="102"/>
        <v>0</v>
      </c>
      <c r="T87" s="177">
        <f t="shared" si="102"/>
        <v>0</v>
      </c>
      <c r="U87" s="177">
        <f t="shared" si="102"/>
        <v>0</v>
      </c>
      <c r="V87" s="177">
        <f t="shared" si="102"/>
        <v>0</v>
      </c>
      <c r="W87" s="177">
        <f t="shared" si="102"/>
        <v>0</v>
      </c>
      <c r="X87" s="177">
        <f t="shared" si="102"/>
        <v>0</v>
      </c>
      <c r="Y87" s="177">
        <f t="shared" si="102"/>
        <v>0</v>
      </c>
      <c r="Z87" s="177">
        <f t="shared" si="102"/>
        <v>0</v>
      </c>
      <c r="AA87" s="177">
        <f t="shared" si="102"/>
        <v>0</v>
      </c>
      <c r="AB87" s="177">
        <f t="shared" si="102"/>
        <v>0</v>
      </c>
      <c r="AC87" s="177">
        <f t="shared" si="102"/>
        <v>0</v>
      </c>
      <c r="AD87" s="177">
        <f t="shared" si="102"/>
        <v>0</v>
      </c>
      <c r="AE87" s="177">
        <f t="shared" si="102"/>
        <v>0</v>
      </c>
      <c r="AF87" s="177">
        <f t="shared" ref="AF87:AF119" si="103">+SUM(T87:AE87)</f>
        <v>0</v>
      </c>
      <c r="AG87" s="177">
        <f t="shared" ref="AG87:AR87" si="104">+SUMIFS(db_Sum,db_Bln,AG$6,db_Kode,$A87)</f>
        <v>0</v>
      </c>
      <c r="AH87" s="177">
        <f t="shared" si="104"/>
        <v>0</v>
      </c>
      <c r="AI87" s="177">
        <f t="shared" si="104"/>
        <v>0</v>
      </c>
      <c r="AJ87" s="177">
        <f t="shared" si="104"/>
        <v>0</v>
      </c>
      <c r="AK87" s="177">
        <f t="shared" si="104"/>
        <v>0</v>
      </c>
      <c r="AL87" s="177">
        <f t="shared" si="104"/>
        <v>0</v>
      </c>
      <c r="AM87" s="177">
        <f t="shared" si="104"/>
        <v>0</v>
      </c>
      <c r="AN87" s="177">
        <f t="shared" si="104"/>
        <v>0</v>
      </c>
      <c r="AO87" s="177">
        <f t="shared" si="104"/>
        <v>0</v>
      </c>
      <c r="AP87" s="177">
        <f t="shared" si="104"/>
        <v>0</v>
      </c>
      <c r="AQ87" s="177">
        <f t="shared" si="104"/>
        <v>0</v>
      </c>
      <c r="AR87" s="177">
        <f t="shared" si="104"/>
        <v>0</v>
      </c>
      <c r="AS87" s="177">
        <f t="shared" ref="AS87:AS120" si="105">+SUM(AG87:AR87)</f>
        <v>0</v>
      </c>
      <c r="AT87" s="177">
        <f t="shared" ref="AT87:BI118" si="106">+SUMIFS(db_Sum,db_Bln,AT$6,db_Kode,$A87)</f>
        <v>0</v>
      </c>
      <c r="AU87" s="177">
        <f t="shared" si="106"/>
        <v>0</v>
      </c>
      <c r="AV87" s="177">
        <f t="shared" si="106"/>
        <v>0</v>
      </c>
      <c r="AW87" s="177">
        <f t="shared" si="106"/>
        <v>0</v>
      </c>
      <c r="AX87" s="177">
        <f t="shared" si="106"/>
        <v>0</v>
      </c>
      <c r="AY87" s="177">
        <f t="shared" si="106"/>
        <v>0</v>
      </c>
      <c r="AZ87" s="177">
        <f t="shared" si="106"/>
        <v>0</v>
      </c>
      <c r="BA87" s="177">
        <f t="shared" si="106"/>
        <v>0</v>
      </c>
      <c r="BB87" s="177">
        <f t="shared" si="106"/>
        <v>0</v>
      </c>
      <c r="BC87" s="177">
        <f t="shared" si="106"/>
        <v>0</v>
      </c>
      <c r="BD87" s="177">
        <f t="shared" si="106"/>
        <v>0</v>
      </c>
      <c r="BE87" s="177">
        <f t="shared" si="106"/>
        <v>2886000000</v>
      </c>
      <c r="BF87" s="177">
        <f t="shared" ref="BF87:BF136" si="107">+SUM(AT87:BE87)</f>
        <v>2886000000</v>
      </c>
      <c r="BG87" s="177">
        <f t="shared" si="106"/>
        <v>0</v>
      </c>
      <c r="BH87" s="177">
        <f t="shared" si="106"/>
        <v>0</v>
      </c>
      <c r="BI87" s="177">
        <f t="shared" si="106"/>
        <v>0</v>
      </c>
      <c r="BJ87" s="177">
        <f t="shared" ref="BI87:BK91" si="108">+SUMIFS(db_Sum,db_Bln,BJ$6,db_Kode,$A87)</f>
        <v>0</v>
      </c>
      <c r="BK87" s="177">
        <f t="shared" si="108"/>
        <v>0</v>
      </c>
      <c r="BL87" s="177"/>
      <c r="BM87" s="177"/>
      <c r="BN87" s="177"/>
      <c r="BO87" s="177"/>
      <c r="BP87" s="177"/>
      <c r="BQ87" s="177"/>
      <c r="BR87" s="177"/>
      <c r="BS87" s="177">
        <f t="shared" ref="BS87:BS136" si="109">+SUM(BG87:BR87)</f>
        <v>0</v>
      </c>
      <c r="BT87" s="177">
        <f>+SUM(O87,Q87,R87,S87,AF87,AS87,BF87+BS87)</f>
        <v>2886000000</v>
      </c>
      <c r="BU87" s="178" t="str">
        <f>+IF(K87-BT87=0,"OK","ERROR")</f>
        <v>ERROR</v>
      </c>
      <c r="BV87" s="179"/>
      <c r="BW87" s="179"/>
      <c r="BX87" s="179"/>
      <c r="BY87" s="179"/>
      <c r="BZ87" s="179"/>
      <c r="CA87" s="179"/>
      <c r="CB87" s="179"/>
      <c r="CC87" s="179"/>
    </row>
    <row r="88" spans="1:81">
      <c r="B88" s="343"/>
      <c r="C88" s="320" t="s">
        <v>2343</v>
      </c>
      <c r="D88" s="303"/>
      <c r="E88" s="287"/>
      <c r="F88" s="288"/>
      <c r="G88" s="303"/>
      <c r="H88" s="289"/>
      <c r="I88" s="289"/>
      <c r="J88" s="303"/>
      <c r="K88" s="291">
        <v>144300000</v>
      </c>
      <c r="L88" s="291"/>
      <c r="M88" s="291"/>
      <c r="N88" s="473" t="s">
        <v>2446</v>
      </c>
      <c r="O88" s="52"/>
      <c r="P88" s="77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3"/>
      <c r="BV88" s="7"/>
      <c r="BW88" s="7"/>
      <c r="BX88" s="7"/>
      <c r="BY88" s="7"/>
      <c r="BZ88" s="7"/>
      <c r="CA88" s="7"/>
      <c r="CB88" s="7"/>
      <c r="CC88" s="7"/>
    </row>
    <row r="89" spans="1:81" s="158" customFormat="1">
      <c r="A89" s="153" t="s">
        <v>2409</v>
      </c>
      <c r="B89" s="300"/>
      <c r="C89" s="300" t="s">
        <v>2410</v>
      </c>
      <c r="D89" s="297" t="s">
        <v>2411</v>
      </c>
      <c r="E89" s="274">
        <v>0</v>
      </c>
      <c r="F89" s="275" t="s">
        <v>75</v>
      </c>
      <c r="G89" s="297" t="s">
        <v>43</v>
      </c>
      <c r="H89" s="276">
        <f>E89-K89</f>
        <v>-1869345000</v>
      </c>
      <c r="I89" s="276">
        <v>1869345000</v>
      </c>
      <c r="J89" s="297">
        <v>1869345000</v>
      </c>
      <c r="K89" s="278">
        <f>+O89+Q89+R89+S89+AF89+AS89+BF89+BS89</f>
        <v>1869345000</v>
      </c>
      <c r="L89" s="278">
        <v>0</v>
      </c>
      <c r="M89" s="278">
        <f>J89-K89</f>
        <v>0</v>
      </c>
      <c r="N89" s="467" t="s">
        <v>2441</v>
      </c>
      <c r="O89" s="154">
        <f>+SUMIFS(db_Sum,db_Bln,O$6,db_Kode,$A89)</f>
        <v>0</v>
      </c>
      <c r="P89" s="155">
        <f>+IF(H89=0,E89-K89,0)</f>
        <v>0</v>
      </c>
      <c r="Q89" s="156">
        <f t="shared" si="102"/>
        <v>0</v>
      </c>
      <c r="R89" s="156">
        <f t="shared" si="102"/>
        <v>0</v>
      </c>
      <c r="S89" s="156">
        <f t="shared" si="102"/>
        <v>0</v>
      </c>
      <c r="T89" s="156">
        <f t="shared" si="102"/>
        <v>0</v>
      </c>
      <c r="U89" s="156">
        <f t="shared" si="102"/>
        <v>0</v>
      </c>
      <c r="V89" s="156">
        <f t="shared" si="102"/>
        <v>0</v>
      </c>
      <c r="W89" s="156">
        <f t="shared" si="102"/>
        <v>0</v>
      </c>
      <c r="X89" s="156">
        <f t="shared" si="102"/>
        <v>0</v>
      </c>
      <c r="Y89" s="156">
        <f t="shared" si="102"/>
        <v>0</v>
      </c>
      <c r="Z89" s="156">
        <f t="shared" si="102"/>
        <v>0</v>
      </c>
      <c r="AA89" s="156">
        <f t="shared" si="102"/>
        <v>0</v>
      </c>
      <c r="AB89" s="156">
        <f t="shared" si="102"/>
        <v>0</v>
      </c>
      <c r="AC89" s="156">
        <f t="shared" si="102"/>
        <v>0</v>
      </c>
      <c r="AD89" s="156">
        <f t="shared" si="102"/>
        <v>0</v>
      </c>
      <c r="AE89" s="156">
        <f t="shared" si="102"/>
        <v>0</v>
      </c>
      <c r="AF89" s="156">
        <f t="shared" ref="AF89" si="110">+SUM(T89:AE89)</f>
        <v>0</v>
      </c>
      <c r="AG89" s="156">
        <f t="shared" ref="AG89:AR89" si="111">+SUMIFS(db_Sum,db_Bln,AG$6,db_Kode,$A89)</f>
        <v>0</v>
      </c>
      <c r="AH89" s="156">
        <f t="shared" si="111"/>
        <v>0</v>
      </c>
      <c r="AI89" s="156">
        <f t="shared" si="111"/>
        <v>0</v>
      </c>
      <c r="AJ89" s="156">
        <f t="shared" si="111"/>
        <v>0</v>
      </c>
      <c r="AK89" s="156">
        <f t="shared" si="111"/>
        <v>0</v>
      </c>
      <c r="AL89" s="156">
        <f t="shared" si="111"/>
        <v>0</v>
      </c>
      <c r="AM89" s="156">
        <f t="shared" si="111"/>
        <v>0</v>
      </c>
      <c r="AN89" s="156">
        <f t="shared" si="111"/>
        <v>0</v>
      </c>
      <c r="AO89" s="156">
        <f t="shared" si="111"/>
        <v>0</v>
      </c>
      <c r="AP89" s="156">
        <f t="shared" si="111"/>
        <v>0</v>
      </c>
      <c r="AQ89" s="156">
        <f t="shared" si="111"/>
        <v>0</v>
      </c>
      <c r="AR89" s="156">
        <f t="shared" si="111"/>
        <v>0</v>
      </c>
      <c r="AS89" s="156">
        <f t="shared" ref="AS89" si="112">+SUM(AG89:AR89)</f>
        <v>0</v>
      </c>
      <c r="AT89" s="156">
        <f t="shared" ref="AT89:BH89" si="113">+SUMIFS(db_Sum,db_Bln,AT$6,db_Kode,$A89)</f>
        <v>0</v>
      </c>
      <c r="AU89" s="156">
        <f t="shared" si="113"/>
        <v>0</v>
      </c>
      <c r="AV89" s="156">
        <f t="shared" si="113"/>
        <v>0</v>
      </c>
      <c r="AW89" s="156">
        <f t="shared" si="113"/>
        <v>0</v>
      </c>
      <c r="AX89" s="156">
        <f t="shared" si="113"/>
        <v>0</v>
      </c>
      <c r="AY89" s="156">
        <f t="shared" si="113"/>
        <v>0</v>
      </c>
      <c r="AZ89" s="156">
        <f t="shared" si="113"/>
        <v>0</v>
      </c>
      <c r="BA89" s="156">
        <f t="shared" si="113"/>
        <v>0</v>
      </c>
      <c r="BB89" s="156">
        <f t="shared" si="113"/>
        <v>0</v>
      </c>
      <c r="BC89" s="156">
        <f t="shared" si="113"/>
        <v>0</v>
      </c>
      <c r="BD89" s="156">
        <f t="shared" si="113"/>
        <v>0</v>
      </c>
      <c r="BE89" s="156">
        <f t="shared" si="113"/>
        <v>1869345000</v>
      </c>
      <c r="BF89" s="156">
        <f t="shared" ref="BF89" si="114">+SUM(AT89:BE89)</f>
        <v>1869345000</v>
      </c>
      <c r="BG89" s="156">
        <f t="shared" si="113"/>
        <v>0</v>
      </c>
      <c r="BH89" s="156">
        <f t="shared" si="113"/>
        <v>0</v>
      </c>
      <c r="BI89" s="156">
        <f t="shared" si="108"/>
        <v>0</v>
      </c>
      <c r="BJ89" s="156">
        <f t="shared" si="108"/>
        <v>0</v>
      </c>
      <c r="BK89" s="156">
        <f t="shared" si="108"/>
        <v>0</v>
      </c>
      <c r="BL89" s="156"/>
      <c r="BM89" s="156"/>
      <c r="BN89" s="156"/>
      <c r="BO89" s="156"/>
      <c r="BP89" s="156"/>
      <c r="BQ89" s="156"/>
      <c r="BR89" s="156"/>
      <c r="BS89" s="156">
        <f t="shared" ref="BS89" si="115">+SUM(BG89:BR89)</f>
        <v>0</v>
      </c>
      <c r="BT89" s="156">
        <f>+SUM(O89,Q89,R89,S89,AF89,AS89,BF89+BS89)</f>
        <v>1869345000</v>
      </c>
      <c r="BU89" s="157" t="str">
        <f>+IF(K89-BT89=0,"OK","ERROR")</f>
        <v>OK</v>
      </c>
      <c r="BV89" s="161"/>
      <c r="BW89" s="161"/>
      <c r="BX89" s="161"/>
      <c r="BY89" s="161"/>
      <c r="BZ89" s="161"/>
      <c r="CA89" s="161"/>
      <c r="CB89" s="161"/>
      <c r="CC89" s="161"/>
    </row>
    <row r="90" spans="1:81" s="158" customFormat="1">
      <c r="A90" s="153"/>
      <c r="B90" s="300"/>
      <c r="C90" s="296" t="s">
        <v>2275</v>
      </c>
      <c r="D90" s="297"/>
      <c r="E90" s="274">
        <v>0</v>
      </c>
      <c r="F90" s="275"/>
      <c r="G90" s="297"/>
      <c r="H90" s="276"/>
      <c r="I90" s="276">
        <v>0</v>
      </c>
      <c r="J90" s="297">
        <v>244943000</v>
      </c>
      <c r="K90" s="344">
        <v>244943000</v>
      </c>
      <c r="L90" s="278">
        <v>0</v>
      </c>
      <c r="M90" s="278">
        <v>0</v>
      </c>
      <c r="N90" s="467"/>
      <c r="O90" s="154"/>
      <c r="P90" s="155"/>
      <c r="Q90" s="156"/>
      <c r="R90" s="156"/>
      <c r="S90" s="156"/>
      <c r="T90" s="156"/>
      <c r="U90" s="156"/>
      <c r="V90" s="156"/>
      <c r="W90" s="156"/>
      <c r="X90" s="156"/>
      <c r="Y90" s="156"/>
      <c r="Z90" s="156"/>
      <c r="AA90" s="156"/>
      <c r="AB90" s="156"/>
      <c r="AC90" s="156"/>
      <c r="AD90" s="156"/>
      <c r="AE90" s="156"/>
      <c r="AF90" s="156"/>
      <c r="AG90" s="156"/>
      <c r="AH90" s="156"/>
      <c r="AI90" s="156"/>
      <c r="AJ90" s="156"/>
      <c r="AK90" s="156"/>
      <c r="AL90" s="156"/>
      <c r="AM90" s="156"/>
      <c r="AN90" s="156"/>
      <c r="AO90" s="156"/>
      <c r="AP90" s="156"/>
      <c r="AQ90" s="156"/>
      <c r="AR90" s="156"/>
      <c r="AS90" s="156"/>
      <c r="AT90" s="156"/>
      <c r="AU90" s="156"/>
      <c r="AV90" s="156"/>
      <c r="AW90" s="156"/>
      <c r="AX90" s="156"/>
      <c r="AY90" s="156"/>
      <c r="AZ90" s="156"/>
      <c r="BA90" s="156"/>
      <c r="BB90" s="156"/>
      <c r="BC90" s="156"/>
      <c r="BD90" s="156"/>
      <c r="BE90" s="156"/>
      <c r="BF90" s="156"/>
      <c r="BG90" s="156"/>
      <c r="BH90" s="156"/>
      <c r="BI90" s="156"/>
      <c r="BJ90" s="156"/>
      <c r="BK90" s="156"/>
      <c r="BL90" s="156"/>
      <c r="BM90" s="156"/>
      <c r="BN90" s="156"/>
      <c r="BO90" s="156"/>
      <c r="BP90" s="156"/>
      <c r="BQ90" s="156"/>
      <c r="BR90" s="156"/>
      <c r="BS90" s="156"/>
      <c r="BT90" s="156"/>
      <c r="BU90" s="157"/>
      <c r="BV90" s="161"/>
      <c r="BW90" s="161"/>
      <c r="BX90" s="161"/>
      <c r="BY90" s="161"/>
      <c r="BZ90" s="161"/>
      <c r="CA90" s="161"/>
      <c r="CB90" s="161"/>
      <c r="CC90" s="161"/>
    </row>
    <row r="91" spans="1:81" s="180" customFormat="1">
      <c r="A91" s="174">
        <v>32</v>
      </c>
      <c r="B91" s="307">
        <v>2</v>
      </c>
      <c r="C91" s="307" t="s">
        <v>11</v>
      </c>
      <c r="D91" s="308" t="s">
        <v>119</v>
      </c>
      <c r="E91" s="309">
        <v>2042400000</v>
      </c>
      <c r="F91" s="310" t="s">
        <v>76</v>
      </c>
      <c r="G91" s="308" t="s">
        <v>119</v>
      </c>
      <c r="H91" s="311">
        <f>E91-K91</f>
        <v>104340000</v>
      </c>
      <c r="I91" s="311">
        <v>2153400000</v>
      </c>
      <c r="J91" s="308">
        <v>2153400000</v>
      </c>
      <c r="K91" s="312">
        <f>+O91+Q91+R91+S91+AF91+AS91+BF91+BS91-K93-K92</f>
        <v>1938060000</v>
      </c>
      <c r="L91" s="312"/>
      <c r="M91" s="312">
        <f>J91-K91</f>
        <v>215340000</v>
      </c>
      <c r="N91" s="472" t="s">
        <v>2441</v>
      </c>
      <c r="O91" s="175">
        <f>+SUMIFS(db_Sum,db_Bln,O$6,db_Kode,$A91)</f>
        <v>0</v>
      </c>
      <c r="P91" s="176">
        <f>+IF(H91=0,E91-K91,0)</f>
        <v>0</v>
      </c>
      <c r="Q91" s="177">
        <f t="shared" si="102"/>
        <v>0</v>
      </c>
      <c r="R91" s="177">
        <f t="shared" si="102"/>
        <v>0</v>
      </c>
      <c r="S91" s="177">
        <f t="shared" si="102"/>
        <v>0</v>
      </c>
      <c r="T91" s="177">
        <f t="shared" si="102"/>
        <v>0</v>
      </c>
      <c r="U91" s="177">
        <f t="shared" si="102"/>
        <v>0</v>
      </c>
      <c r="V91" s="177">
        <f t="shared" si="102"/>
        <v>0</v>
      </c>
      <c r="W91" s="177">
        <f t="shared" si="102"/>
        <v>0</v>
      </c>
      <c r="X91" s="177">
        <f t="shared" si="102"/>
        <v>0</v>
      </c>
      <c r="Y91" s="177">
        <f t="shared" si="102"/>
        <v>0</v>
      </c>
      <c r="Z91" s="177">
        <f t="shared" si="102"/>
        <v>0</v>
      </c>
      <c r="AA91" s="177">
        <f t="shared" si="102"/>
        <v>0</v>
      </c>
      <c r="AB91" s="177">
        <f t="shared" si="102"/>
        <v>0</v>
      </c>
      <c r="AC91" s="177">
        <f t="shared" si="102"/>
        <v>0</v>
      </c>
      <c r="AD91" s="177">
        <f t="shared" si="102"/>
        <v>0</v>
      </c>
      <c r="AE91" s="177">
        <f t="shared" si="102"/>
        <v>0</v>
      </c>
      <c r="AF91" s="177">
        <f t="shared" si="103"/>
        <v>0</v>
      </c>
      <c r="AG91" s="177">
        <f t="shared" ref="AG91:AR91" si="116">+SUMIFS(db_Sum,db_Bln,AG$6,db_Kode,$A91)</f>
        <v>0</v>
      </c>
      <c r="AH91" s="177">
        <f t="shared" si="116"/>
        <v>0</v>
      </c>
      <c r="AI91" s="177">
        <f t="shared" si="116"/>
        <v>0</v>
      </c>
      <c r="AJ91" s="177">
        <f t="shared" si="116"/>
        <v>0</v>
      </c>
      <c r="AK91" s="177">
        <f t="shared" si="116"/>
        <v>0</v>
      </c>
      <c r="AL91" s="177">
        <f t="shared" si="116"/>
        <v>0</v>
      </c>
      <c r="AM91" s="177">
        <f t="shared" si="116"/>
        <v>0</v>
      </c>
      <c r="AN91" s="177">
        <f t="shared" si="116"/>
        <v>0</v>
      </c>
      <c r="AO91" s="177">
        <f t="shared" si="116"/>
        <v>0</v>
      </c>
      <c r="AP91" s="177">
        <f t="shared" si="116"/>
        <v>0</v>
      </c>
      <c r="AQ91" s="177">
        <f t="shared" si="116"/>
        <v>0</v>
      </c>
      <c r="AR91" s="177">
        <f t="shared" si="116"/>
        <v>0</v>
      </c>
      <c r="AS91" s="177">
        <f t="shared" si="105"/>
        <v>0</v>
      </c>
      <c r="AT91" s="177">
        <f t="shared" si="106"/>
        <v>0</v>
      </c>
      <c r="AU91" s="177">
        <f t="shared" si="106"/>
        <v>0</v>
      </c>
      <c r="AV91" s="177">
        <f t="shared" si="106"/>
        <v>0</v>
      </c>
      <c r="AW91" s="177">
        <f t="shared" si="106"/>
        <v>0</v>
      </c>
      <c r="AX91" s="177">
        <f t="shared" si="106"/>
        <v>0</v>
      </c>
      <c r="AY91" s="177">
        <f t="shared" si="106"/>
        <v>0</v>
      </c>
      <c r="AZ91" s="177">
        <f t="shared" si="106"/>
        <v>0</v>
      </c>
      <c r="BA91" s="177">
        <f t="shared" si="106"/>
        <v>0</v>
      </c>
      <c r="BB91" s="177">
        <f t="shared" si="106"/>
        <v>0</v>
      </c>
      <c r="BC91" s="177">
        <f t="shared" si="106"/>
        <v>0</v>
      </c>
      <c r="BD91" s="177">
        <f t="shared" si="106"/>
        <v>0</v>
      </c>
      <c r="BE91" s="177">
        <f t="shared" si="106"/>
        <v>0</v>
      </c>
      <c r="BF91" s="177">
        <f t="shared" si="107"/>
        <v>0</v>
      </c>
      <c r="BG91" s="177">
        <f t="shared" si="106"/>
        <v>0</v>
      </c>
      <c r="BH91" s="177">
        <f t="shared" si="106"/>
        <v>0</v>
      </c>
      <c r="BI91" s="177">
        <f t="shared" si="108"/>
        <v>0</v>
      </c>
      <c r="BJ91" s="177">
        <f t="shared" si="108"/>
        <v>0</v>
      </c>
      <c r="BK91" s="177">
        <f t="shared" si="108"/>
        <v>2154321855</v>
      </c>
      <c r="BL91" s="177"/>
      <c r="BM91" s="177"/>
      <c r="BN91" s="177"/>
      <c r="BO91" s="177"/>
      <c r="BP91" s="177"/>
      <c r="BQ91" s="177"/>
      <c r="BR91" s="177"/>
      <c r="BS91" s="177">
        <f t="shared" si="109"/>
        <v>2154321855</v>
      </c>
      <c r="BT91" s="177">
        <f>+SUM(O91,Q91,R91,S91,AF91,AS91,BF91+BS91)</f>
        <v>2154321855</v>
      </c>
      <c r="BU91" s="178" t="str">
        <f>+IF(K91-BT91=0,"OK","ERROR")</f>
        <v>ERROR</v>
      </c>
      <c r="BV91" s="179"/>
      <c r="BW91" s="179"/>
      <c r="BX91" s="179"/>
      <c r="BY91" s="179"/>
      <c r="BZ91" s="179"/>
      <c r="CA91" s="179"/>
      <c r="CB91" s="179"/>
      <c r="CC91" s="179"/>
    </row>
    <row r="92" spans="1:81">
      <c r="B92" s="343"/>
      <c r="C92" s="320" t="s">
        <v>2343</v>
      </c>
      <c r="D92" s="303"/>
      <c r="E92" s="287"/>
      <c r="F92" s="288"/>
      <c r="G92" s="303"/>
      <c r="H92" s="289"/>
      <c r="I92" s="289"/>
      <c r="J92" s="303"/>
      <c r="K92" s="291">
        <v>215340000</v>
      </c>
      <c r="L92" s="291"/>
      <c r="M92" s="291"/>
      <c r="N92" s="473" t="s">
        <v>2446</v>
      </c>
      <c r="O92" s="52"/>
      <c r="P92" s="77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3"/>
      <c r="BV92" s="7"/>
      <c r="BW92" s="7"/>
      <c r="BX92" s="7"/>
      <c r="BY92" s="7"/>
      <c r="BZ92" s="7"/>
      <c r="CA92" s="7"/>
      <c r="CB92" s="7"/>
      <c r="CC92" s="7"/>
    </row>
    <row r="93" spans="1:81" s="158" customFormat="1">
      <c r="A93" s="153"/>
      <c r="B93" s="300"/>
      <c r="C93" s="296" t="s">
        <v>2442</v>
      </c>
      <c r="D93" s="297"/>
      <c r="E93" s="274">
        <v>0</v>
      </c>
      <c r="F93" s="275"/>
      <c r="G93" s="297"/>
      <c r="H93" s="276"/>
      <c r="I93" s="276">
        <v>0</v>
      </c>
      <c r="J93" s="297">
        <v>921855</v>
      </c>
      <c r="K93" s="278">
        <v>921855</v>
      </c>
      <c r="L93" s="278">
        <v>0</v>
      </c>
      <c r="M93" s="278">
        <v>0</v>
      </c>
      <c r="N93" s="467" t="s">
        <v>2443</v>
      </c>
      <c r="O93" s="154"/>
      <c r="P93" s="155"/>
      <c r="Q93" s="156"/>
      <c r="R93" s="156"/>
      <c r="S93" s="156"/>
      <c r="T93" s="156"/>
      <c r="U93" s="156"/>
      <c r="V93" s="156"/>
      <c r="W93" s="156"/>
      <c r="X93" s="156"/>
      <c r="Y93" s="156"/>
      <c r="Z93" s="156"/>
      <c r="AA93" s="156"/>
      <c r="AB93" s="156"/>
      <c r="AC93" s="156"/>
      <c r="AD93" s="156"/>
      <c r="AE93" s="156"/>
      <c r="AF93" s="156"/>
      <c r="AG93" s="156"/>
      <c r="AH93" s="156"/>
      <c r="AI93" s="156"/>
      <c r="AJ93" s="156"/>
      <c r="AK93" s="156"/>
      <c r="AL93" s="156"/>
      <c r="AM93" s="156"/>
      <c r="AN93" s="156"/>
      <c r="AO93" s="156"/>
      <c r="AP93" s="156"/>
      <c r="AQ93" s="156"/>
      <c r="AR93" s="156"/>
      <c r="AS93" s="156"/>
      <c r="AT93" s="156"/>
      <c r="AU93" s="156"/>
      <c r="AV93" s="156"/>
      <c r="AW93" s="156"/>
      <c r="AX93" s="156"/>
      <c r="AY93" s="156"/>
      <c r="AZ93" s="156"/>
      <c r="BA93" s="156"/>
      <c r="BB93" s="156"/>
      <c r="BC93" s="156"/>
      <c r="BD93" s="156"/>
      <c r="BE93" s="156"/>
      <c r="BF93" s="156"/>
      <c r="BG93" s="156"/>
      <c r="BH93" s="156"/>
      <c r="BI93" s="156"/>
      <c r="BJ93" s="156"/>
      <c r="BK93" s="156"/>
      <c r="BL93" s="156"/>
      <c r="BM93" s="156"/>
      <c r="BN93" s="156"/>
      <c r="BO93" s="156"/>
      <c r="BP93" s="156"/>
      <c r="BQ93" s="156"/>
      <c r="BR93" s="156"/>
      <c r="BS93" s="156"/>
      <c r="BT93" s="156"/>
      <c r="BU93" s="157"/>
      <c r="BV93" s="161"/>
      <c r="BW93" s="161"/>
      <c r="BX93" s="161"/>
      <c r="BY93" s="161"/>
      <c r="BZ93" s="161"/>
      <c r="CA93" s="161"/>
      <c r="CB93" s="161"/>
      <c r="CC93" s="161"/>
    </row>
    <row r="94" spans="1:81" s="180" customFormat="1">
      <c r="A94" s="174">
        <v>33</v>
      </c>
      <c r="B94" s="307">
        <f>B91+1</f>
        <v>3</v>
      </c>
      <c r="C94" s="307" t="s">
        <v>12</v>
      </c>
      <c r="D94" s="308" t="s">
        <v>42</v>
      </c>
      <c r="E94" s="309">
        <v>20535000000</v>
      </c>
      <c r="F94" s="310" t="s">
        <v>77</v>
      </c>
      <c r="G94" s="308" t="s">
        <v>42</v>
      </c>
      <c r="H94" s="311">
        <f>E94-K94</f>
        <v>7187250000</v>
      </c>
      <c r="I94" s="311">
        <v>20535000000</v>
      </c>
      <c r="J94" s="308">
        <v>20535000000</v>
      </c>
      <c r="K94" s="312">
        <f>+O94+Q94+R94+S94+AF94+AS94+BF94+BS94</f>
        <v>13347750000</v>
      </c>
      <c r="L94" s="312">
        <v>0</v>
      </c>
      <c r="M94" s="312">
        <f>J94-K94</f>
        <v>7187250000</v>
      </c>
      <c r="N94" s="480" t="s">
        <v>2445</v>
      </c>
      <c r="O94" s="175">
        <f>+SUMIFS(db_Sum,db_Bln,O$6,db_Kode,$A94)</f>
        <v>0</v>
      </c>
      <c r="P94" s="176">
        <f>+IF(H94=0,E94-K94,0)</f>
        <v>0</v>
      </c>
      <c r="Q94" s="177">
        <f t="shared" si="102"/>
        <v>0</v>
      </c>
      <c r="R94" s="177">
        <f t="shared" si="102"/>
        <v>0</v>
      </c>
      <c r="S94" s="177">
        <f t="shared" si="102"/>
        <v>0</v>
      </c>
      <c r="T94" s="177">
        <f t="shared" si="102"/>
        <v>0</v>
      </c>
      <c r="U94" s="177">
        <f t="shared" si="102"/>
        <v>0</v>
      </c>
      <c r="V94" s="177">
        <f t="shared" si="102"/>
        <v>0</v>
      </c>
      <c r="W94" s="177">
        <f t="shared" si="102"/>
        <v>0</v>
      </c>
      <c r="X94" s="177">
        <f t="shared" si="102"/>
        <v>0</v>
      </c>
      <c r="Y94" s="177">
        <f t="shared" si="102"/>
        <v>0</v>
      </c>
      <c r="Z94" s="177">
        <f t="shared" si="102"/>
        <v>0</v>
      </c>
      <c r="AA94" s="177">
        <f t="shared" si="102"/>
        <v>0</v>
      </c>
      <c r="AB94" s="177">
        <f t="shared" si="102"/>
        <v>0</v>
      </c>
      <c r="AC94" s="177">
        <f t="shared" si="102"/>
        <v>0</v>
      </c>
      <c r="AD94" s="177">
        <f t="shared" si="102"/>
        <v>0</v>
      </c>
      <c r="AE94" s="177">
        <f t="shared" si="102"/>
        <v>0</v>
      </c>
      <c r="AF94" s="177">
        <f t="shared" si="103"/>
        <v>0</v>
      </c>
      <c r="AG94" s="177">
        <f t="shared" ref="AG94:AR95" si="117">+SUMIFS(db_Sum,db_Bln,AG$6,db_Kode,$A94)</f>
        <v>0</v>
      </c>
      <c r="AH94" s="177">
        <f t="shared" si="117"/>
        <v>0</v>
      </c>
      <c r="AI94" s="177">
        <f t="shared" si="117"/>
        <v>0</v>
      </c>
      <c r="AJ94" s="177">
        <f t="shared" si="117"/>
        <v>0</v>
      </c>
      <c r="AK94" s="177">
        <f t="shared" si="117"/>
        <v>0</v>
      </c>
      <c r="AL94" s="177">
        <f t="shared" si="117"/>
        <v>0</v>
      </c>
      <c r="AM94" s="177">
        <f t="shared" si="117"/>
        <v>0</v>
      </c>
      <c r="AN94" s="177">
        <f t="shared" si="117"/>
        <v>0</v>
      </c>
      <c r="AO94" s="177">
        <f t="shared" si="117"/>
        <v>0</v>
      </c>
      <c r="AP94" s="177">
        <f t="shared" si="117"/>
        <v>5133750000</v>
      </c>
      <c r="AQ94" s="177">
        <f t="shared" si="117"/>
        <v>0</v>
      </c>
      <c r="AR94" s="177">
        <f t="shared" si="117"/>
        <v>2053500000</v>
      </c>
      <c r="AS94" s="177">
        <f>+SUM(AG94:AR94)</f>
        <v>7187250000</v>
      </c>
      <c r="AT94" s="177">
        <f t="shared" si="106"/>
        <v>0</v>
      </c>
      <c r="AU94" s="177">
        <f t="shared" si="106"/>
        <v>0</v>
      </c>
      <c r="AV94" s="177">
        <f t="shared" si="106"/>
        <v>6160500000</v>
      </c>
      <c r="AW94" s="177">
        <f t="shared" si="106"/>
        <v>0</v>
      </c>
      <c r="AX94" s="177">
        <f t="shared" si="106"/>
        <v>0</v>
      </c>
      <c r="AY94" s="177">
        <f t="shared" si="106"/>
        <v>0</v>
      </c>
      <c r="AZ94" s="177">
        <f t="shared" si="106"/>
        <v>0</v>
      </c>
      <c r="BA94" s="177">
        <f t="shared" si="106"/>
        <v>0</v>
      </c>
      <c r="BB94" s="177">
        <f t="shared" si="106"/>
        <v>0</v>
      </c>
      <c r="BC94" s="177">
        <f t="shared" si="106"/>
        <v>0</v>
      </c>
      <c r="BD94" s="177">
        <f t="shared" si="106"/>
        <v>0</v>
      </c>
      <c r="BE94" s="177">
        <f t="shared" si="106"/>
        <v>0</v>
      </c>
      <c r="BF94" s="177">
        <f t="shared" si="107"/>
        <v>6160500000</v>
      </c>
      <c r="BG94" s="177">
        <f t="shared" si="106"/>
        <v>0</v>
      </c>
      <c r="BH94" s="177">
        <f t="shared" si="106"/>
        <v>0</v>
      </c>
      <c r="BI94" s="177">
        <f t="shared" si="106"/>
        <v>0</v>
      </c>
      <c r="BJ94" s="177">
        <f t="shared" ref="BH94:BK95" si="118">+SUMIFS(db_Sum,db_Bln,BJ$6,db_Kode,$A94)</f>
        <v>0</v>
      </c>
      <c r="BK94" s="177">
        <f t="shared" si="118"/>
        <v>0</v>
      </c>
      <c r="BL94" s="177"/>
      <c r="BM94" s="177"/>
      <c r="BN94" s="177"/>
      <c r="BO94" s="177"/>
      <c r="BP94" s="177"/>
      <c r="BQ94" s="177"/>
      <c r="BR94" s="177"/>
      <c r="BS94" s="177">
        <f t="shared" si="109"/>
        <v>0</v>
      </c>
      <c r="BT94" s="177">
        <f>+SUM(O94,Q94,R94,S94,AF94,AS94,BF94+BS94)</f>
        <v>13347750000</v>
      </c>
      <c r="BU94" s="178" t="str">
        <f>+IF(K94-BT94=0,"OK","ERROR")</f>
        <v>OK</v>
      </c>
      <c r="BV94" s="179"/>
      <c r="BW94" s="179"/>
      <c r="BX94" s="179"/>
      <c r="BY94" s="179"/>
      <c r="BZ94" s="179"/>
      <c r="CA94" s="179"/>
      <c r="CB94" s="179"/>
      <c r="CC94" s="179"/>
    </row>
    <row r="95" spans="1:81" s="180" customFormat="1">
      <c r="A95" s="174">
        <v>34</v>
      </c>
      <c r="B95" s="307">
        <f>B94+1</f>
        <v>4</v>
      </c>
      <c r="C95" s="307" t="s">
        <v>13</v>
      </c>
      <c r="D95" s="308" t="s">
        <v>61</v>
      </c>
      <c r="E95" s="309">
        <v>2186799900</v>
      </c>
      <c r="F95" s="310" t="s">
        <v>59</v>
      </c>
      <c r="G95" s="308" t="s">
        <v>61</v>
      </c>
      <c r="H95" s="311">
        <f>E95-K95</f>
        <v>218679990</v>
      </c>
      <c r="I95" s="311">
        <v>2186799900</v>
      </c>
      <c r="J95" s="308">
        <v>2186799900</v>
      </c>
      <c r="K95" s="312">
        <f>2186799900-K96</f>
        <v>1968119910</v>
      </c>
      <c r="L95" s="312">
        <v>0</v>
      </c>
      <c r="M95" s="312">
        <f>J95-K95</f>
        <v>218679990</v>
      </c>
      <c r="N95" s="472" t="s">
        <v>2441</v>
      </c>
      <c r="O95" s="175">
        <f>+SUMIFS(db_Sum,db_Bln,O$6,db_Kode,$A95)</f>
        <v>0</v>
      </c>
      <c r="P95" s="176">
        <f>+IF(H95=0,E95-K95,0)</f>
        <v>0</v>
      </c>
      <c r="Q95" s="177">
        <f t="shared" si="102"/>
        <v>0</v>
      </c>
      <c r="R95" s="177">
        <f t="shared" si="102"/>
        <v>0</v>
      </c>
      <c r="S95" s="177">
        <f t="shared" si="102"/>
        <v>0</v>
      </c>
      <c r="T95" s="177">
        <f t="shared" si="102"/>
        <v>0</v>
      </c>
      <c r="U95" s="177">
        <f t="shared" si="102"/>
        <v>0</v>
      </c>
      <c r="V95" s="177">
        <f t="shared" si="102"/>
        <v>0</v>
      </c>
      <c r="W95" s="177">
        <f t="shared" si="102"/>
        <v>0</v>
      </c>
      <c r="X95" s="177">
        <f t="shared" si="102"/>
        <v>0</v>
      </c>
      <c r="Y95" s="177">
        <f t="shared" si="102"/>
        <v>0</v>
      </c>
      <c r="Z95" s="177">
        <f t="shared" si="102"/>
        <v>0</v>
      </c>
      <c r="AA95" s="177">
        <f t="shared" si="102"/>
        <v>0</v>
      </c>
      <c r="AB95" s="177">
        <f t="shared" si="102"/>
        <v>0</v>
      </c>
      <c r="AC95" s="177">
        <f t="shared" si="102"/>
        <v>0</v>
      </c>
      <c r="AD95" s="177">
        <f t="shared" si="102"/>
        <v>0</v>
      </c>
      <c r="AE95" s="177">
        <f t="shared" si="102"/>
        <v>0</v>
      </c>
      <c r="AF95" s="177">
        <f t="shared" si="103"/>
        <v>0</v>
      </c>
      <c r="AG95" s="177">
        <f t="shared" si="117"/>
        <v>0</v>
      </c>
      <c r="AH95" s="177">
        <f t="shared" si="117"/>
        <v>0</v>
      </c>
      <c r="AI95" s="177">
        <f t="shared" si="117"/>
        <v>0</v>
      </c>
      <c r="AJ95" s="177">
        <f t="shared" si="117"/>
        <v>0</v>
      </c>
      <c r="AK95" s="177">
        <f t="shared" si="117"/>
        <v>0</v>
      </c>
      <c r="AL95" s="177">
        <f t="shared" si="117"/>
        <v>0</v>
      </c>
      <c r="AM95" s="177">
        <f t="shared" si="117"/>
        <v>0</v>
      </c>
      <c r="AN95" s="177">
        <f t="shared" si="117"/>
        <v>0</v>
      </c>
      <c r="AO95" s="177">
        <f t="shared" si="117"/>
        <v>0</v>
      </c>
      <c r="AP95" s="177">
        <f t="shared" si="117"/>
        <v>0</v>
      </c>
      <c r="AQ95" s="177">
        <f t="shared" si="117"/>
        <v>0</v>
      </c>
      <c r="AR95" s="177">
        <f t="shared" si="117"/>
        <v>0</v>
      </c>
      <c r="AS95" s="177">
        <f t="shared" si="105"/>
        <v>0</v>
      </c>
      <c r="AT95" s="177">
        <f t="shared" si="106"/>
        <v>0</v>
      </c>
      <c r="AU95" s="177">
        <f t="shared" si="106"/>
        <v>0</v>
      </c>
      <c r="AV95" s="177">
        <f t="shared" si="106"/>
        <v>0</v>
      </c>
      <c r="AW95" s="177">
        <f t="shared" si="106"/>
        <v>0</v>
      </c>
      <c r="AX95" s="177">
        <f t="shared" si="106"/>
        <v>0</v>
      </c>
      <c r="AY95" s="177">
        <f t="shared" si="106"/>
        <v>94986196.5</v>
      </c>
      <c r="AZ95" s="177">
        <f t="shared" si="106"/>
        <v>0</v>
      </c>
      <c r="BA95" s="177">
        <f t="shared" si="106"/>
        <v>0</v>
      </c>
      <c r="BB95" s="177">
        <f t="shared" si="106"/>
        <v>91741.5</v>
      </c>
      <c r="BC95" s="177">
        <f t="shared" si="106"/>
        <v>83843295.5</v>
      </c>
      <c r="BD95" s="177">
        <f t="shared" si="106"/>
        <v>82825702.450000003</v>
      </c>
      <c r="BE95" s="177">
        <f t="shared" si="106"/>
        <v>1828978580.3</v>
      </c>
      <c r="BF95" s="177">
        <f t="shared" si="107"/>
        <v>2090725516.25</v>
      </c>
      <c r="BG95" s="177">
        <f t="shared" si="106"/>
        <v>0</v>
      </c>
      <c r="BH95" s="177">
        <f t="shared" si="118"/>
        <v>0</v>
      </c>
      <c r="BI95" s="177">
        <f t="shared" si="118"/>
        <v>0</v>
      </c>
      <c r="BJ95" s="177">
        <f t="shared" si="118"/>
        <v>0</v>
      </c>
      <c r="BK95" s="177">
        <f t="shared" si="118"/>
        <v>0</v>
      </c>
      <c r="BL95" s="177"/>
      <c r="BM95" s="177"/>
      <c r="BN95" s="177"/>
      <c r="BO95" s="177"/>
      <c r="BP95" s="177"/>
      <c r="BQ95" s="177"/>
      <c r="BR95" s="177"/>
      <c r="BS95" s="177">
        <f t="shared" si="109"/>
        <v>0</v>
      </c>
      <c r="BT95" s="177">
        <f>+SUM(O95,Q95,R95,S95,AF95,AS95,BF95+BS95)</f>
        <v>2090725516.25</v>
      </c>
      <c r="BU95" s="178" t="str">
        <f>+IF(K95-BT95=0,"OK","ERROR")</f>
        <v>ERROR</v>
      </c>
      <c r="BV95" s="179"/>
      <c r="BW95" s="179"/>
      <c r="BX95" s="179"/>
      <c r="BY95" s="179"/>
      <c r="BZ95" s="179"/>
      <c r="CA95" s="179"/>
      <c r="CB95" s="179"/>
      <c r="CC95" s="179"/>
    </row>
    <row r="96" spans="1:81">
      <c r="B96" s="343"/>
      <c r="C96" s="320" t="s">
        <v>2343</v>
      </c>
      <c r="D96" s="303"/>
      <c r="E96" s="287"/>
      <c r="F96" s="288"/>
      <c r="G96" s="303"/>
      <c r="H96" s="289"/>
      <c r="I96" s="289"/>
      <c r="J96" s="303"/>
      <c r="K96" s="291">
        <v>218679990</v>
      </c>
      <c r="L96" s="291"/>
      <c r="M96" s="291"/>
      <c r="N96" s="473" t="s">
        <v>2447</v>
      </c>
      <c r="O96" s="52"/>
      <c r="P96" s="77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3"/>
      <c r="BV96" s="7"/>
      <c r="BW96" s="7"/>
      <c r="BX96" s="7"/>
      <c r="BY96" s="7"/>
      <c r="BZ96" s="7"/>
      <c r="CA96" s="7"/>
      <c r="CB96" s="7"/>
      <c r="CC96" s="7"/>
    </row>
    <row r="97" spans="1:81" s="158" customFormat="1">
      <c r="A97" s="153" t="s">
        <v>2518</v>
      </c>
      <c r="B97" s="300"/>
      <c r="C97" s="296" t="s">
        <v>2519</v>
      </c>
      <c r="D97" s="297" t="s">
        <v>119</v>
      </c>
      <c r="E97" s="274"/>
      <c r="F97" s="275" t="s">
        <v>60</v>
      </c>
      <c r="G97" s="297" t="s">
        <v>119</v>
      </c>
      <c r="H97" s="276">
        <f>E97-K97</f>
        <v>-170182563.80000001</v>
      </c>
      <c r="I97" s="276">
        <v>170182563.80000001</v>
      </c>
      <c r="J97" s="297">
        <v>170182563.80000001</v>
      </c>
      <c r="K97" s="278">
        <f>+O97+Q97+R97+S97+AF97+AS97+BF97+BS97</f>
        <v>170182563.80000001</v>
      </c>
      <c r="L97" s="278">
        <v>0</v>
      </c>
      <c r="M97" s="278">
        <f>J97-K97</f>
        <v>0</v>
      </c>
      <c r="N97" s="467" t="s">
        <v>2441</v>
      </c>
      <c r="O97" s="154">
        <f>+SUMIFS(db_Sum,db_Bln,O$6,db_Kode,$A97)</f>
        <v>0</v>
      </c>
      <c r="P97" s="155">
        <f>+IF(H97=0,E97-K97,0)</f>
        <v>0</v>
      </c>
      <c r="Q97" s="156">
        <f t="shared" ref="Q97:AE97" si="119">+SUMIFS(db_Sum,db_Bln,Q$6,db_Kode,$A97)</f>
        <v>0</v>
      </c>
      <c r="R97" s="156">
        <f t="shared" si="119"/>
        <v>0</v>
      </c>
      <c r="S97" s="156">
        <f t="shared" si="119"/>
        <v>0</v>
      </c>
      <c r="T97" s="156">
        <f t="shared" si="119"/>
        <v>0</v>
      </c>
      <c r="U97" s="156">
        <f t="shared" si="119"/>
        <v>0</v>
      </c>
      <c r="V97" s="156">
        <f t="shared" si="119"/>
        <v>0</v>
      </c>
      <c r="W97" s="156">
        <f t="shared" si="119"/>
        <v>0</v>
      </c>
      <c r="X97" s="156">
        <f t="shared" si="119"/>
        <v>0</v>
      </c>
      <c r="Y97" s="156">
        <f t="shared" si="119"/>
        <v>0</v>
      </c>
      <c r="Z97" s="156">
        <f t="shared" si="119"/>
        <v>0</v>
      </c>
      <c r="AA97" s="156">
        <f t="shared" si="119"/>
        <v>0</v>
      </c>
      <c r="AB97" s="156">
        <f t="shared" si="119"/>
        <v>0</v>
      </c>
      <c r="AC97" s="156">
        <f t="shared" si="119"/>
        <v>0</v>
      </c>
      <c r="AD97" s="156">
        <f t="shared" si="119"/>
        <v>0</v>
      </c>
      <c r="AE97" s="156">
        <f t="shared" si="119"/>
        <v>0</v>
      </c>
      <c r="AF97" s="156">
        <f t="shared" ref="AF97" si="120">+SUM(T97:AE97)</f>
        <v>0</v>
      </c>
      <c r="AG97" s="156">
        <f t="shared" ref="AG97:AR98" si="121">+SUMIFS(db_Sum,db_Bln,AG$6,db_Kode,$A97)</f>
        <v>0</v>
      </c>
      <c r="AH97" s="156">
        <f t="shared" si="121"/>
        <v>0</v>
      </c>
      <c r="AI97" s="156">
        <f t="shared" si="121"/>
        <v>0</v>
      </c>
      <c r="AJ97" s="156">
        <f t="shared" si="121"/>
        <v>0</v>
      </c>
      <c r="AK97" s="156">
        <f t="shared" si="121"/>
        <v>0</v>
      </c>
      <c r="AL97" s="156">
        <f t="shared" si="121"/>
        <v>0</v>
      </c>
      <c r="AM97" s="156">
        <f t="shared" si="121"/>
        <v>0</v>
      </c>
      <c r="AN97" s="156">
        <f t="shared" si="121"/>
        <v>0</v>
      </c>
      <c r="AO97" s="156">
        <f t="shared" si="121"/>
        <v>0</v>
      </c>
      <c r="AP97" s="156">
        <f t="shared" si="121"/>
        <v>0</v>
      </c>
      <c r="AQ97" s="156">
        <f t="shared" si="121"/>
        <v>0</v>
      </c>
      <c r="AR97" s="156">
        <f t="shared" si="121"/>
        <v>0</v>
      </c>
      <c r="AS97" s="156">
        <f t="shared" ref="AS97" si="122">+SUM(AG97:AR97)</f>
        <v>0</v>
      </c>
      <c r="AT97" s="156">
        <f t="shared" ref="AT97:BG97" si="123">+SUMIFS(db_Sum,db_Bln,AT$6,db_Kode,$A97)</f>
        <v>0</v>
      </c>
      <c r="AU97" s="156">
        <f t="shared" si="123"/>
        <v>0</v>
      </c>
      <c r="AV97" s="156">
        <f t="shared" si="123"/>
        <v>0</v>
      </c>
      <c r="AW97" s="156">
        <f t="shared" si="123"/>
        <v>0</v>
      </c>
      <c r="AX97" s="156">
        <f t="shared" si="123"/>
        <v>0</v>
      </c>
      <c r="AY97" s="156">
        <f t="shared" si="123"/>
        <v>0</v>
      </c>
      <c r="AZ97" s="156">
        <f t="shared" si="123"/>
        <v>0</v>
      </c>
      <c r="BA97" s="156">
        <f t="shared" si="123"/>
        <v>0</v>
      </c>
      <c r="BB97" s="156">
        <f t="shared" si="123"/>
        <v>0</v>
      </c>
      <c r="BC97" s="156">
        <f t="shared" si="123"/>
        <v>0</v>
      </c>
      <c r="BD97" s="156">
        <f t="shared" si="123"/>
        <v>170182563.80000001</v>
      </c>
      <c r="BE97" s="156">
        <f t="shared" si="123"/>
        <v>0</v>
      </c>
      <c r="BF97" s="156">
        <f t="shared" ref="BF97" si="124">+SUM(AT97:BE97)</f>
        <v>170182563.80000001</v>
      </c>
      <c r="BG97" s="156">
        <f t="shared" si="123"/>
        <v>0</v>
      </c>
      <c r="BH97" s="156">
        <f t="shared" ref="BH97:BK98" si="125">+SUMIFS(db_Sum,db_Bln,BH$6,db_Kode,$A97)</f>
        <v>0</v>
      </c>
      <c r="BI97" s="156">
        <f t="shared" si="125"/>
        <v>0</v>
      </c>
      <c r="BJ97" s="156">
        <f t="shared" si="125"/>
        <v>0</v>
      </c>
      <c r="BK97" s="156">
        <f t="shared" si="125"/>
        <v>0</v>
      </c>
      <c r="BL97" s="156"/>
      <c r="BM97" s="156"/>
      <c r="BN97" s="156"/>
      <c r="BO97" s="156"/>
      <c r="BP97" s="156"/>
      <c r="BQ97" s="156"/>
      <c r="BR97" s="156"/>
      <c r="BS97" s="156">
        <f t="shared" ref="BS97" si="126">+SUM(BG97:BR97)</f>
        <v>0</v>
      </c>
      <c r="BT97" s="156">
        <f>+SUM(O97,Q97,R97,S97,AF97,AS97,BF97+BS97)</f>
        <v>170182563.80000001</v>
      </c>
      <c r="BU97" s="157" t="str">
        <f>+IF(K97-BT97=0,"OK","ERROR")</f>
        <v>OK</v>
      </c>
      <c r="BV97" s="161"/>
      <c r="BW97" s="161"/>
      <c r="BX97" s="161"/>
      <c r="BY97" s="161"/>
      <c r="BZ97" s="161"/>
      <c r="CA97" s="161"/>
      <c r="CB97" s="161"/>
      <c r="CC97" s="161"/>
    </row>
    <row r="98" spans="1:81" s="180" customFormat="1">
      <c r="A98" s="174">
        <v>35</v>
      </c>
      <c r="B98" s="307">
        <f>B95+1</f>
        <v>5</v>
      </c>
      <c r="C98" s="307" t="s">
        <v>2525</v>
      </c>
      <c r="D98" s="308" t="s">
        <v>119</v>
      </c>
      <c r="E98" s="309">
        <v>588200100</v>
      </c>
      <c r="F98" s="310" t="s">
        <v>60</v>
      </c>
      <c r="G98" s="308" t="s">
        <v>119</v>
      </c>
      <c r="H98" s="311">
        <f>E98-K98</f>
        <v>58820010</v>
      </c>
      <c r="I98" s="311">
        <v>588200100</v>
      </c>
      <c r="J98" s="308">
        <v>588200100</v>
      </c>
      <c r="K98" s="312">
        <f>+O98+Q98+R98+S98+AF98+AS98+BF98+BS98-K99</f>
        <v>529380090</v>
      </c>
      <c r="L98" s="312">
        <v>0</v>
      </c>
      <c r="M98" s="312">
        <f>J98-K98</f>
        <v>58820010</v>
      </c>
      <c r="N98" s="472" t="s">
        <v>2441</v>
      </c>
      <c r="O98" s="175">
        <f>+SUMIFS(db_Sum,db_Bln,O$6,db_Kode,$A98)</f>
        <v>0</v>
      </c>
      <c r="P98" s="176">
        <f>+IF(H98=0,E98-K98,0)</f>
        <v>0</v>
      </c>
      <c r="Q98" s="177">
        <f t="shared" si="102"/>
        <v>0</v>
      </c>
      <c r="R98" s="177">
        <f t="shared" si="102"/>
        <v>0</v>
      </c>
      <c r="S98" s="177">
        <f t="shared" si="102"/>
        <v>0</v>
      </c>
      <c r="T98" s="177">
        <f t="shared" si="102"/>
        <v>0</v>
      </c>
      <c r="U98" s="177">
        <f t="shared" si="102"/>
        <v>0</v>
      </c>
      <c r="V98" s="177">
        <f t="shared" si="102"/>
        <v>0</v>
      </c>
      <c r="W98" s="177">
        <f t="shared" si="102"/>
        <v>0</v>
      </c>
      <c r="X98" s="177">
        <f t="shared" si="102"/>
        <v>0</v>
      </c>
      <c r="Y98" s="177">
        <f t="shared" si="102"/>
        <v>0</v>
      </c>
      <c r="Z98" s="177">
        <f t="shared" si="102"/>
        <v>0</v>
      </c>
      <c r="AA98" s="177">
        <f t="shared" si="102"/>
        <v>0</v>
      </c>
      <c r="AB98" s="177">
        <f t="shared" si="102"/>
        <v>0</v>
      </c>
      <c r="AC98" s="177">
        <f t="shared" si="102"/>
        <v>0</v>
      </c>
      <c r="AD98" s="177">
        <f t="shared" si="102"/>
        <v>0</v>
      </c>
      <c r="AE98" s="177">
        <f t="shared" si="102"/>
        <v>0</v>
      </c>
      <c r="AF98" s="177">
        <f t="shared" si="103"/>
        <v>0</v>
      </c>
      <c r="AG98" s="177">
        <f t="shared" si="121"/>
        <v>0</v>
      </c>
      <c r="AH98" s="177">
        <f t="shared" si="121"/>
        <v>0</v>
      </c>
      <c r="AI98" s="177">
        <f t="shared" si="121"/>
        <v>0</v>
      </c>
      <c r="AJ98" s="177">
        <f t="shared" si="121"/>
        <v>0</v>
      </c>
      <c r="AK98" s="177">
        <f t="shared" si="121"/>
        <v>0</v>
      </c>
      <c r="AL98" s="177">
        <f t="shared" si="121"/>
        <v>0</v>
      </c>
      <c r="AM98" s="177">
        <f t="shared" si="121"/>
        <v>0</v>
      </c>
      <c r="AN98" s="177">
        <f t="shared" si="121"/>
        <v>0</v>
      </c>
      <c r="AO98" s="177">
        <f t="shared" si="121"/>
        <v>0</v>
      </c>
      <c r="AP98" s="177">
        <f t="shared" si="121"/>
        <v>0</v>
      </c>
      <c r="AQ98" s="177">
        <f t="shared" si="121"/>
        <v>0</v>
      </c>
      <c r="AR98" s="177">
        <f t="shared" si="121"/>
        <v>0</v>
      </c>
      <c r="AS98" s="177">
        <f t="shared" si="105"/>
        <v>0</v>
      </c>
      <c r="AT98" s="177">
        <f t="shared" si="106"/>
        <v>0</v>
      </c>
      <c r="AU98" s="177">
        <f t="shared" si="106"/>
        <v>0</v>
      </c>
      <c r="AV98" s="177">
        <f t="shared" si="106"/>
        <v>0</v>
      </c>
      <c r="AW98" s="177">
        <f t="shared" si="106"/>
        <v>0</v>
      </c>
      <c r="AX98" s="177">
        <f t="shared" si="106"/>
        <v>0</v>
      </c>
      <c r="AY98" s="177">
        <f t="shared" si="106"/>
        <v>0</v>
      </c>
      <c r="AZ98" s="177">
        <f t="shared" si="106"/>
        <v>0</v>
      </c>
      <c r="BA98" s="177">
        <f t="shared" si="106"/>
        <v>0</v>
      </c>
      <c r="BB98" s="177">
        <f t="shared" si="106"/>
        <v>0</v>
      </c>
      <c r="BC98" s="177">
        <f t="shared" si="106"/>
        <v>0</v>
      </c>
      <c r="BD98" s="177">
        <f t="shared" si="106"/>
        <v>0</v>
      </c>
      <c r="BE98" s="177">
        <f t="shared" si="106"/>
        <v>0</v>
      </c>
      <c r="BF98" s="177">
        <f t="shared" si="107"/>
        <v>0</v>
      </c>
      <c r="BG98" s="177">
        <f t="shared" si="106"/>
        <v>0</v>
      </c>
      <c r="BH98" s="177">
        <f t="shared" si="125"/>
        <v>0</v>
      </c>
      <c r="BI98" s="177">
        <f t="shared" si="125"/>
        <v>0</v>
      </c>
      <c r="BJ98" s="177">
        <f t="shared" si="125"/>
        <v>0</v>
      </c>
      <c r="BK98" s="177">
        <f t="shared" si="125"/>
        <v>588200100</v>
      </c>
      <c r="BL98" s="177"/>
      <c r="BM98" s="177"/>
      <c r="BN98" s="177"/>
      <c r="BO98" s="177"/>
      <c r="BP98" s="177"/>
      <c r="BQ98" s="177"/>
      <c r="BR98" s="177"/>
      <c r="BS98" s="177">
        <f t="shared" si="109"/>
        <v>588200100</v>
      </c>
      <c r="BT98" s="177">
        <f>+SUM(O98,Q98,R98,S98,AF98,AS98,BF98+BS98)</f>
        <v>588200100</v>
      </c>
      <c r="BU98" s="178" t="str">
        <f>+IF(K98-BT98=0,"OK","ERROR")</f>
        <v>ERROR</v>
      </c>
      <c r="BV98" s="179"/>
      <c r="BW98" s="179"/>
      <c r="BX98" s="179"/>
      <c r="BY98" s="179"/>
      <c r="BZ98" s="179"/>
      <c r="CA98" s="179"/>
      <c r="CB98" s="179"/>
      <c r="CC98" s="179"/>
    </row>
    <row r="99" spans="1:81">
      <c r="B99" s="343"/>
      <c r="C99" s="320" t="s">
        <v>2343</v>
      </c>
      <c r="D99" s="303"/>
      <c r="E99" s="287"/>
      <c r="F99" s="288"/>
      <c r="G99" s="303"/>
      <c r="H99" s="289"/>
      <c r="I99" s="289"/>
      <c r="J99" s="303"/>
      <c r="K99" s="291">
        <v>58820010</v>
      </c>
      <c r="L99" s="291"/>
      <c r="M99" s="291"/>
      <c r="N99" s="473" t="s">
        <v>2447</v>
      </c>
      <c r="O99" s="52"/>
      <c r="P99" s="77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3"/>
      <c r="BV99" s="7"/>
      <c r="BW99" s="7"/>
      <c r="BX99" s="7"/>
      <c r="BY99" s="7"/>
      <c r="BZ99" s="7"/>
      <c r="CA99" s="7"/>
      <c r="CB99" s="7"/>
      <c r="CC99" s="7"/>
    </row>
    <row r="100" spans="1:81" s="180" customFormat="1">
      <c r="A100" s="174">
        <v>36</v>
      </c>
      <c r="B100" s="307">
        <f>B98+1</f>
        <v>6</v>
      </c>
      <c r="C100" s="307" t="s">
        <v>14</v>
      </c>
      <c r="D100" s="308" t="s">
        <v>44</v>
      </c>
      <c r="E100" s="309">
        <v>8769000000</v>
      </c>
      <c r="F100" s="310" t="s">
        <v>54</v>
      </c>
      <c r="G100" s="308" t="s">
        <v>44</v>
      </c>
      <c r="H100" s="311">
        <f t="shared" ref="H100:H110" si="127">E100-K100</f>
        <v>876900000</v>
      </c>
      <c r="I100" s="311">
        <v>8769000000</v>
      </c>
      <c r="J100" s="308">
        <v>8769000000</v>
      </c>
      <c r="K100" s="312">
        <v>7892100000</v>
      </c>
      <c r="L100" s="312">
        <v>0</v>
      </c>
      <c r="M100" s="312">
        <f>J100-K100</f>
        <v>876900000</v>
      </c>
      <c r="N100" s="472" t="s">
        <v>2459</v>
      </c>
      <c r="O100" s="175">
        <f>+SUMIFS(db_Sum,db_Bln,O$6,db_Kode,$A100)</f>
        <v>0</v>
      </c>
      <c r="P100" s="176">
        <f t="shared" ref="P100:P110" si="128">+IF(H100=0,E100-K100,0)</f>
        <v>0</v>
      </c>
      <c r="Q100" s="177">
        <f t="shared" si="102"/>
        <v>0</v>
      </c>
      <c r="R100" s="177">
        <f t="shared" si="102"/>
        <v>0</v>
      </c>
      <c r="S100" s="177">
        <f t="shared" si="102"/>
        <v>0</v>
      </c>
      <c r="T100" s="177">
        <f t="shared" si="102"/>
        <v>0</v>
      </c>
      <c r="U100" s="177">
        <f t="shared" si="102"/>
        <v>0</v>
      </c>
      <c r="V100" s="177">
        <f t="shared" si="102"/>
        <v>0</v>
      </c>
      <c r="W100" s="177">
        <f t="shared" si="102"/>
        <v>0</v>
      </c>
      <c r="X100" s="177">
        <f t="shared" si="102"/>
        <v>0</v>
      </c>
      <c r="Y100" s="177">
        <f t="shared" si="102"/>
        <v>0</v>
      </c>
      <c r="Z100" s="177">
        <f t="shared" si="102"/>
        <v>0</v>
      </c>
      <c r="AA100" s="177">
        <f t="shared" si="102"/>
        <v>0</v>
      </c>
      <c r="AB100" s="177">
        <f t="shared" si="102"/>
        <v>0</v>
      </c>
      <c r="AC100" s="177">
        <f t="shared" si="102"/>
        <v>0</v>
      </c>
      <c r="AD100" s="177">
        <f t="shared" si="102"/>
        <v>0</v>
      </c>
      <c r="AE100" s="177">
        <f t="shared" si="102"/>
        <v>0</v>
      </c>
      <c r="AF100" s="177">
        <f t="shared" si="103"/>
        <v>0</v>
      </c>
      <c r="AG100" s="177">
        <f t="shared" ref="AG100:AR101" si="129">+SUMIFS(db_Sum,db_Bln,AG$6,db_Kode,$A100)</f>
        <v>0</v>
      </c>
      <c r="AH100" s="177">
        <f t="shared" si="129"/>
        <v>0</v>
      </c>
      <c r="AI100" s="177">
        <f t="shared" si="129"/>
        <v>0</v>
      </c>
      <c r="AJ100" s="177">
        <f t="shared" si="129"/>
        <v>0</v>
      </c>
      <c r="AK100" s="177">
        <f t="shared" si="129"/>
        <v>0</v>
      </c>
      <c r="AL100" s="177">
        <f t="shared" si="129"/>
        <v>0</v>
      </c>
      <c r="AM100" s="177">
        <f t="shared" si="129"/>
        <v>0</v>
      </c>
      <c r="AN100" s="177">
        <f t="shared" si="129"/>
        <v>0</v>
      </c>
      <c r="AO100" s="177">
        <f t="shared" si="129"/>
        <v>0</v>
      </c>
      <c r="AP100" s="177">
        <f t="shared" si="129"/>
        <v>0</v>
      </c>
      <c r="AQ100" s="177">
        <f t="shared" si="129"/>
        <v>0</v>
      </c>
      <c r="AR100" s="177">
        <f t="shared" si="129"/>
        <v>0</v>
      </c>
      <c r="AS100" s="177">
        <f t="shared" si="105"/>
        <v>0</v>
      </c>
      <c r="AT100" s="177">
        <f t="shared" si="106"/>
        <v>0</v>
      </c>
      <c r="AU100" s="177">
        <f t="shared" si="106"/>
        <v>0</v>
      </c>
      <c r="AV100" s="177">
        <f t="shared" si="106"/>
        <v>0</v>
      </c>
      <c r="AW100" s="177">
        <f t="shared" si="106"/>
        <v>0</v>
      </c>
      <c r="AX100" s="177">
        <f t="shared" si="106"/>
        <v>0</v>
      </c>
      <c r="AY100" s="177">
        <f t="shared" si="106"/>
        <v>0</v>
      </c>
      <c r="AZ100" s="177">
        <f t="shared" si="106"/>
        <v>0</v>
      </c>
      <c r="BA100" s="177">
        <f t="shared" si="106"/>
        <v>0</v>
      </c>
      <c r="BB100" s="177">
        <f t="shared" si="106"/>
        <v>0</v>
      </c>
      <c r="BC100" s="177">
        <f t="shared" si="106"/>
        <v>0</v>
      </c>
      <c r="BD100" s="177">
        <f t="shared" si="106"/>
        <v>0</v>
      </c>
      <c r="BE100" s="177">
        <f t="shared" si="106"/>
        <v>0</v>
      </c>
      <c r="BF100" s="177">
        <f t="shared" si="107"/>
        <v>0</v>
      </c>
      <c r="BG100" s="177">
        <f t="shared" si="106"/>
        <v>0</v>
      </c>
      <c r="BH100" s="177">
        <f t="shared" si="106"/>
        <v>0</v>
      </c>
      <c r="BI100" s="177">
        <f t="shared" si="106"/>
        <v>0</v>
      </c>
      <c r="BJ100" s="177">
        <f t="shared" ref="BH100:BK101" si="130">+SUMIFS(db_Sum,db_Bln,BJ$6,db_Kode,$A100)</f>
        <v>0</v>
      </c>
      <c r="BK100" s="177">
        <f t="shared" si="130"/>
        <v>0</v>
      </c>
      <c r="BL100" s="177"/>
      <c r="BM100" s="177"/>
      <c r="BN100" s="177"/>
      <c r="BO100" s="177"/>
      <c r="BP100" s="177"/>
      <c r="BQ100" s="177"/>
      <c r="BR100" s="177"/>
      <c r="BS100" s="177">
        <f t="shared" si="109"/>
        <v>0</v>
      </c>
      <c r="BT100" s="177">
        <f>+SUM(O100,Q100,R100,S100,AF100,AS100,BF100+BS100)</f>
        <v>0</v>
      </c>
      <c r="BU100" s="178" t="str">
        <f>+IF(K100-BT100=0,"OK","ERROR")</f>
        <v>ERROR</v>
      </c>
      <c r="BV100" s="179"/>
      <c r="BW100" s="179"/>
      <c r="BX100" s="179"/>
      <c r="BY100" s="179"/>
      <c r="BZ100" s="179"/>
      <c r="CA100" s="179"/>
      <c r="CB100" s="179"/>
      <c r="CC100" s="179"/>
    </row>
    <row r="101" spans="1:81" s="180" customFormat="1">
      <c r="A101" s="174">
        <v>37</v>
      </c>
      <c r="B101" s="307">
        <f>B100+1</f>
        <v>7</v>
      </c>
      <c r="C101" s="307" t="s">
        <v>0</v>
      </c>
      <c r="D101" s="308" t="s">
        <v>45</v>
      </c>
      <c r="E101" s="309">
        <v>2469750000</v>
      </c>
      <c r="F101" s="310" t="s">
        <v>53</v>
      </c>
      <c r="G101" s="308" t="s">
        <v>45</v>
      </c>
      <c r="H101" s="311">
        <f t="shared" si="127"/>
        <v>493950000.43999958</v>
      </c>
      <c r="I101" s="311">
        <v>2469750000</v>
      </c>
      <c r="J101" s="308">
        <v>2469750000</v>
      </c>
      <c r="K101" s="312">
        <f>+O101+Q101+R101+S101+AF101+AS101+BF101+BS101-K102-1</f>
        <v>1975799999.5600004</v>
      </c>
      <c r="L101" s="312">
        <v>0</v>
      </c>
      <c r="M101" s="312">
        <f>J101-K101</f>
        <v>493950000.43999958</v>
      </c>
      <c r="N101" s="472" t="s">
        <v>2441</v>
      </c>
      <c r="O101" s="175">
        <f>+SUMIFS(db_Sum,db_Bln,O$6,db_Kode,$A101)</f>
        <v>0</v>
      </c>
      <c r="P101" s="176">
        <f t="shared" si="128"/>
        <v>0</v>
      </c>
      <c r="Q101" s="177">
        <f t="shared" si="102"/>
        <v>0</v>
      </c>
      <c r="R101" s="177">
        <f t="shared" si="102"/>
        <v>0</v>
      </c>
      <c r="S101" s="177">
        <f t="shared" si="102"/>
        <v>0</v>
      </c>
      <c r="T101" s="177">
        <f t="shared" si="102"/>
        <v>0</v>
      </c>
      <c r="U101" s="177">
        <f t="shared" si="102"/>
        <v>0</v>
      </c>
      <c r="V101" s="177">
        <f t="shared" si="102"/>
        <v>0</v>
      </c>
      <c r="W101" s="177">
        <f t="shared" si="102"/>
        <v>0</v>
      </c>
      <c r="X101" s="177">
        <f t="shared" si="102"/>
        <v>0</v>
      </c>
      <c r="Y101" s="177">
        <f t="shared" si="102"/>
        <v>0</v>
      </c>
      <c r="Z101" s="177">
        <f t="shared" si="102"/>
        <v>0</v>
      </c>
      <c r="AA101" s="177">
        <f t="shared" si="102"/>
        <v>0</v>
      </c>
      <c r="AB101" s="177">
        <f t="shared" si="102"/>
        <v>0</v>
      </c>
      <c r="AC101" s="177">
        <f t="shared" si="102"/>
        <v>0</v>
      </c>
      <c r="AD101" s="177">
        <f t="shared" si="102"/>
        <v>0</v>
      </c>
      <c r="AE101" s="177">
        <f t="shared" si="102"/>
        <v>0</v>
      </c>
      <c r="AF101" s="177">
        <f t="shared" si="103"/>
        <v>0</v>
      </c>
      <c r="AG101" s="177">
        <f t="shared" si="129"/>
        <v>0</v>
      </c>
      <c r="AH101" s="177">
        <f t="shared" si="129"/>
        <v>0</v>
      </c>
      <c r="AI101" s="177">
        <f t="shared" si="129"/>
        <v>0</v>
      </c>
      <c r="AJ101" s="177">
        <f t="shared" si="129"/>
        <v>0</v>
      </c>
      <c r="AK101" s="177">
        <f t="shared" si="129"/>
        <v>0</v>
      </c>
      <c r="AL101" s="177">
        <f t="shared" si="129"/>
        <v>0</v>
      </c>
      <c r="AM101" s="177">
        <f t="shared" si="129"/>
        <v>0</v>
      </c>
      <c r="AN101" s="177">
        <f t="shared" si="129"/>
        <v>0</v>
      </c>
      <c r="AO101" s="177">
        <f t="shared" si="129"/>
        <v>0</v>
      </c>
      <c r="AP101" s="177">
        <f t="shared" si="129"/>
        <v>0</v>
      </c>
      <c r="AQ101" s="177">
        <f t="shared" si="129"/>
        <v>0</v>
      </c>
      <c r="AR101" s="177">
        <f t="shared" si="129"/>
        <v>0</v>
      </c>
      <c r="AS101" s="177">
        <f t="shared" si="105"/>
        <v>0</v>
      </c>
      <c r="AT101" s="177">
        <f t="shared" si="106"/>
        <v>0</v>
      </c>
      <c r="AU101" s="177">
        <f t="shared" si="106"/>
        <v>0</v>
      </c>
      <c r="AV101" s="177">
        <f t="shared" si="106"/>
        <v>0</v>
      </c>
      <c r="AW101" s="177">
        <f t="shared" si="106"/>
        <v>0</v>
      </c>
      <c r="AX101" s="177">
        <f t="shared" si="106"/>
        <v>0</v>
      </c>
      <c r="AY101" s="177">
        <f t="shared" si="106"/>
        <v>0</v>
      </c>
      <c r="AZ101" s="177">
        <f t="shared" si="106"/>
        <v>0</v>
      </c>
      <c r="BA101" s="177">
        <f t="shared" si="106"/>
        <v>0</v>
      </c>
      <c r="BB101" s="177">
        <f t="shared" si="106"/>
        <v>601705755.02000034</v>
      </c>
      <c r="BC101" s="177">
        <f t="shared" si="106"/>
        <v>955595155.21000004</v>
      </c>
      <c r="BD101" s="177">
        <f t="shared" si="106"/>
        <v>0</v>
      </c>
      <c r="BE101" s="177">
        <f t="shared" si="106"/>
        <v>912449090.33000016</v>
      </c>
      <c r="BF101" s="177">
        <f t="shared" si="107"/>
        <v>2469750000.5600004</v>
      </c>
      <c r="BG101" s="177">
        <f t="shared" si="106"/>
        <v>0</v>
      </c>
      <c r="BH101" s="177">
        <f t="shared" si="130"/>
        <v>0</v>
      </c>
      <c r="BI101" s="177">
        <f t="shared" si="130"/>
        <v>0</v>
      </c>
      <c r="BJ101" s="177">
        <f t="shared" si="130"/>
        <v>0</v>
      </c>
      <c r="BK101" s="177">
        <f t="shared" si="130"/>
        <v>0</v>
      </c>
      <c r="BL101" s="177"/>
      <c r="BM101" s="177"/>
      <c r="BN101" s="177"/>
      <c r="BO101" s="177"/>
      <c r="BP101" s="177"/>
      <c r="BQ101" s="177"/>
      <c r="BR101" s="177"/>
      <c r="BS101" s="177">
        <f t="shared" si="109"/>
        <v>0</v>
      </c>
      <c r="BT101" s="177">
        <f>+SUM(O101,Q101,R101,S101,AF101,AS101,BF101+BS101)</f>
        <v>2469750000.5600004</v>
      </c>
      <c r="BU101" s="178" t="str">
        <f>+IF(K101-BT101=0,"OK","ERROR")</f>
        <v>ERROR</v>
      </c>
      <c r="BV101" s="179"/>
      <c r="BW101" s="179"/>
      <c r="BX101" s="179"/>
      <c r="BY101" s="179"/>
      <c r="BZ101" s="179"/>
      <c r="CA101" s="179"/>
      <c r="CB101" s="179"/>
      <c r="CC101" s="179"/>
    </row>
    <row r="102" spans="1:81">
      <c r="B102" s="343"/>
      <c r="C102" s="320" t="s">
        <v>2453</v>
      </c>
      <c r="D102" s="303"/>
      <c r="E102" s="287"/>
      <c r="F102" s="288"/>
      <c r="G102" s="303"/>
      <c r="H102" s="289"/>
      <c r="I102" s="289"/>
      <c r="J102" s="303"/>
      <c r="K102" s="291">
        <v>493950000</v>
      </c>
      <c r="L102" s="291"/>
      <c r="M102" s="291"/>
      <c r="N102" s="473" t="s">
        <v>2454</v>
      </c>
      <c r="O102" s="52"/>
      <c r="P102" s="77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3"/>
      <c r="BV102" s="7"/>
      <c r="BW102" s="7"/>
      <c r="BX102" s="7"/>
      <c r="BY102" s="7"/>
      <c r="BZ102" s="7"/>
      <c r="CA102" s="7"/>
      <c r="CB102" s="7"/>
      <c r="CC102" s="7"/>
    </row>
    <row r="103" spans="1:81" s="158" customFormat="1">
      <c r="A103" s="153">
        <v>38</v>
      </c>
      <c r="B103" s="300">
        <f>B101+1</f>
        <v>8</v>
      </c>
      <c r="C103" s="300" t="s">
        <v>90</v>
      </c>
      <c r="D103" s="297" t="s">
        <v>47</v>
      </c>
      <c r="E103" s="274">
        <v>4351200000</v>
      </c>
      <c r="F103" s="301" t="s">
        <v>87</v>
      </c>
      <c r="G103" s="297" t="s">
        <v>47</v>
      </c>
      <c r="H103" s="276">
        <f t="shared" si="127"/>
        <v>207926513.53487968</v>
      </c>
      <c r="I103" s="276">
        <v>4143273486.4651203</v>
      </c>
      <c r="J103" s="297">
        <v>4143273486.4651203</v>
      </c>
      <c r="K103" s="278">
        <v>4143273486.4651203</v>
      </c>
      <c r="L103" s="278">
        <v>0</v>
      </c>
      <c r="M103" s="278">
        <f>J103-K103</f>
        <v>0</v>
      </c>
      <c r="N103" s="467" t="s">
        <v>2441</v>
      </c>
      <c r="O103" s="154">
        <f>+SUMIFS(db_Sum,db_Bln,O$6,db_Kode,$A103)</f>
        <v>0</v>
      </c>
      <c r="P103" s="155">
        <f t="shared" si="128"/>
        <v>0</v>
      </c>
      <c r="Q103" s="156">
        <f t="shared" si="102"/>
        <v>0</v>
      </c>
      <c r="R103" s="156">
        <f t="shared" si="102"/>
        <v>0</v>
      </c>
      <c r="S103" s="156">
        <f t="shared" si="102"/>
        <v>0</v>
      </c>
      <c r="T103" s="156">
        <f t="shared" si="102"/>
        <v>0</v>
      </c>
      <c r="U103" s="156">
        <f t="shared" si="102"/>
        <v>0</v>
      </c>
      <c r="V103" s="156">
        <f t="shared" si="102"/>
        <v>0</v>
      </c>
      <c r="W103" s="156">
        <f t="shared" si="102"/>
        <v>0</v>
      </c>
      <c r="X103" s="156">
        <f t="shared" si="102"/>
        <v>0</v>
      </c>
      <c r="Y103" s="156">
        <f t="shared" si="102"/>
        <v>0</v>
      </c>
      <c r="Z103" s="156">
        <f t="shared" si="102"/>
        <v>0</v>
      </c>
      <c r="AA103" s="156">
        <f t="shared" si="102"/>
        <v>0</v>
      </c>
      <c r="AB103" s="156">
        <f t="shared" si="102"/>
        <v>0</v>
      </c>
      <c r="AC103" s="156">
        <f t="shared" si="102"/>
        <v>0</v>
      </c>
      <c r="AD103" s="156">
        <f t="shared" si="102"/>
        <v>0</v>
      </c>
      <c r="AE103" s="156">
        <f t="shared" si="102"/>
        <v>0</v>
      </c>
      <c r="AF103" s="156">
        <f t="shared" si="103"/>
        <v>0</v>
      </c>
      <c r="AG103" s="156">
        <f t="shared" ref="AG103:AR103" si="131">+SUMIFS(db_Sum,db_Bln,AG$6,db_Kode,$A103)</f>
        <v>0</v>
      </c>
      <c r="AH103" s="156">
        <f t="shared" si="131"/>
        <v>0</v>
      </c>
      <c r="AI103" s="156">
        <f t="shared" si="131"/>
        <v>0</v>
      </c>
      <c r="AJ103" s="156">
        <f t="shared" si="131"/>
        <v>0</v>
      </c>
      <c r="AK103" s="156">
        <f t="shared" si="131"/>
        <v>0</v>
      </c>
      <c r="AL103" s="156">
        <f t="shared" si="131"/>
        <v>0</v>
      </c>
      <c r="AM103" s="156">
        <f t="shared" si="131"/>
        <v>0</v>
      </c>
      <c r="AN103" s="156">
        <f t="shared" si="131"/>
        <v>0</v>
      </c>
      <c r="AO103" s="156">
        <f t="shared" si="131"/>
        <v>0</v>
      </c>
      <c r="AP103" s="156">
        <f t="shared" si="131"/>
        <v>0</v>
      </c>
      <c r="AQ103" s="156">
        <f t="shared" si="131"/>
        <v>0</v>
      </c>
      <c r="AR103" s="156">
        <f t="shared" si="131"/>
        <v>0</v>
      </c>
      <c r="AS103" s="156">
        <f t="shared" si="105"/>
        <v>0</v>
      </c>
      <c r="AT103" s="156">
        <f t="shared" si="106"/>
        <v>0</v>
      </c>
      <c r="AU103" s="156">
        <f t="shared" si="106"/>
        <v>0</v>
      </c>
      <c r="AV103" s="156">
        <f t="shared" si="106"/>
        <v>0</v>
      </c>
      <c r="AW103" s="156">
        <f t="shared" si="106"/>
        <v>0</v>
      </c>
      <c r="AX103" s="156">
        <f t="shared" si="106"/>
        <v>0</v>
      </c>
      <c r="AY103" s="156">
        <f t="shared" si="106"/>
        <v>0</v>
      </c>
      <c r="AZ103" s="156">
        <f t="shared" si="106"/>
        <v>0</v>
      </c>
      <c r="BA103" s="156">
        <f t="shared" si="106"/>
        <v>0</v>
      </c>
      <c r="BB103" s="156">
        <f t="shared" si="106"/>
        <v>4143276420</v>
      </c>
      <c r="BC103" s="156">
        <f t="shared" si="106"/>
        <v>0</v>
      </c>
      <c r="BD103" s="156">
        <f t="shared" si="106"/>
        <v>1206000</v>
      </c>
      <c r="BE103" s="156">
        <f t="shared" si="106"/>
        <v>0</v>
      </c>
      <c r="BF103" s="156">
        <f t="shared" si="107"/>
        <v>4144482420</v>
      </c>
      <c r="BG103" s="156">
        <f t="shared" si="106"/>
        <v>0</v>
      </c>
      <c r="BH103" s="156">
        <f>+SUMIFS(db_Sum,db_Bln,BH$6,db_Kode,$A103)</f>
        <v>0</v>
      </c>
      <c r="BI103" s="156">
        <f>+SUMIFS(db_Sum,db_Bln,BI$6,db_Kode,$A103)</f>
        <v>0</v>
      </c>
      <c r="BJ103" s="156">
        <f>+SUMIFS(db_Sum,db_Bln,BJ$6,db_Kode,$A103)</f>
        <v>0</v>
      </c>
      <c r="BK103" s="156">
        <f>+SUMIFS(db_Sum,db_Bln,BK$6,db_Kode,$A103)</f>
        <v>0</v>
      </c>
      <c r="BL103" s="156"/>
      <c r="BM103" s="156"/>
      <c r="BN103" s="156"/>
      <c r="BO103" s="156"/>
      <c r="BP103" s="156"/>
      <c r="BQ103" s="156"/>
      <c r="BR103" s="156"/>
      <c r="BS103" s="156">
        <f t="shared" si="109"/>
        <v>0</v>
      </c>
      <c r="BT103" s="156">
        <f>+SUM(O103,Q103,R103,S103,AF103,AS103,BF103+BS103)</f>
        <v>4144482420</v>
      </c>
      <c r="BU103" s="157" t="str">
        <f>+IF(K103-BT103=0,"OK","ERROR")</f>
        <v>ERROR</v>
      </c>
      <c r="BV103" s="161"/>
      <c r="BW103" s="161"/>
      <c r="BX103" s="161"/>
      <c r="BY103" s="161"/>
      <c r="BZ103" s="161"/>
      <c r="CA103" s="161"/>
      <c r="CB103" s="161"/>
      <c r="CC103" s="161"/>
    </row>
    <row r="104" spans="1:81" s="158" customFormat="1">
      <c r="A104" s="153"/>
      <c r="B104" s="300"/>
      <c r="C104" s="296" t="s">
        <v>2455</v>
      </c>
      <c r="D104" s="297"/>
      <c r="E104" s="274">
        <v>0</v>
      </c>
      <c r="F104" s="301"/>
      <c r="G104" s="297"/>
      <c r="H104" s="276">
        <f t="shared" si="127"/>
        <v>-1206000</v>
      </c>
      <c r="I104" s="276">
        <v>0</v>
      </c>
      <c r="J104" s="297">
        <v>1206000</v>
      </c>
      <c r="K104" s="278">
        <v>1206000</v>
      </c>
      <c r="L104" s="278">
        <v>0</v>
      </c>
      <c r="M104" s="278">
        <v>0</v>
      </c>
      <c r="N104" s="469"/>
      <c r="O104" s="154"/>
      <c r="P104" s="155">
        <f t="shared" si="128"/>
        <v>0</v>
      </c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  <c r="AA104" s="156"/>
      <c r="AB104" s="156"/>
      <c r="AC104" s="156"/>
      <c r="AD104" s="156"/>
      <c r="AE104" s="156"/>
      <c r="AF104" s="156"/>
      <c r="AG104" s="156"/>
      <c r="AH104" s="156"/>
      <c r="AI104" s="156"/>
      <c r="AJ104" s="156"/>
      <c r="AK104" s="156"/>
      <c r="AL104" s="156"/>
      <c r="AM104" s="156"/>
      <c r="AN104" s="156"/>
      <c r="AO104" s="156"/>
      <c r="AP104" s="156"/>
      <c r="AQ104" s="156"/>
      <c r="AR104" s="156"/>
      <c r="AS104" s="156"/>
      <c r="AT104" s="156"/>
      <c r="AU104" s="156"/>
      <c r="AV104" s="156"/>
      <c r="AW104" s="156"/>
      <c r="AX104" s="156"/>
      <c r="AY104" s="156"/>
      <c r="AZ104" s="156"/>
      <c r="BA104" s="156"/>
      <c r="BB104" s="156"/>
      <c r="BC104" s="156"/>
      <c r="BD104" s="156"/>
      <c r="BE104" s="156"/>
      <c r="BF104" s="156"/>
      <c r="BG104" s="156"/>
      <c r="BH104" s="156"/>
      <c r="BI104" s="156"/>
      <c r="BJ104" s="156"/>
      <c r="BK104" s="156"/>
      <c r="BL104" s="156"/>
      <c r="BM104" s="156"/>
      <c r="BN104" s="156"/>
      <c r="BO104" s="156"/>
      <c r="BP104" s="156"/>
      <c r="BQ104" s="156"/>
      <c r="BR104" s="156"/>
      <c r="BS104" s="156"/>
      <c r="BT104" s="156"/>
      <c r="BU104" s="157"/>
      <c r="BV104" s="161"/>
      <c r="BW104" s="161"/>
      <c r="BX104" s="161"/>
      <c r="BY104" s="161"/>
      <c r="BZ104" s="161"/>
      <c r="CA104" s="161"/>
      <c r="CB104" s="161"/>
      <c r="CC104" s="161"/>
    </row>
    <row r="105" spans="1:81" s="180" customFormat="1">
      <c r="A105" s="174">
        <v>39</v>
      </c>
      <c r="B105" s="307">
        <f>B103+1</f>
        <v>9</v>
      </c>
      <c r="C105" s="307" t="s">
        <v>15</v>
      </c>
      <c r="D105" s="308" t="s">
        <v>48</v>
      </c>
      <c r="E105" s="309">
        <v>12063480000</v>
      </c>
      <c r="F105" s="345" t="s">
        <v>87</v>
      </c>
      <c r="G105" s="308" t="s">
        <v>48</v>
      </c>
      <c r="H105" s="311">
        <f t="shared" si="127"/>
        <v>2343079950</v>
      </c>
      <c r="I105" s="311">
        <v>11544400050</v>
      </c>
      <c r="J105" s="308">
        <v>11544400050</v>
      </c>
      <c r="K105" s="312">
        <v>9720400050</v>
      </c>
      <c r="L105" s="312">
        <v>0</v>
      </c>
      <c r="M105" s="312">
        <f>J105-K105</f>
        <v>1824000000</v>
      </c>
      <c r="N105" s="472" t="s">
        <v>2441</v>
      </c>
      <c r="O105" s="175">
        <f>+SUMIFS(db_Sum,db_Bln,O$6,db_Kode,$A105)</f>
        <v>0</v>
      </c>
      <c r="P105" s="176">
        <f t="shared" si="128"/>
        <v>0</v>
      </c>
      <c r="Q105" s="177">
        <f t="shared" si="102"/>
        <v>0</v>
      </c>
      <c r="R105" s="177">
        <f t="shared" si="102"/>
        <v>0</v>
      </c>
      <c r="S105" s="177">
        <f t="shared" si="102"/>
        <v>0</v>
      </c>
      <c r="T105" s="177">
        <f t="shared" si="102"/>
        <v>0</v>
      </c>
      <c r="U105" s="177">
        <f t="shared" si="102"/>
        <v>0</v>
      </c>
      <c r="V105" s="177">
        <f t="shared" si="102"/>
        <v>0</v>
      </c>
      <c r="W105" s="177">
        <f t="shared" si="102"/>
        <v>0</v>
      </c>
      <c r="X105" s="177">
        <f t="shared" si="102"/>
        <v>0</v>
      </c>
      <c r="Y105" s="177">
        <f t="shared" si="102"/>
        <v>0</v>
      </c>
      <c r="Z105" s="177">
        <f t="shared" si="102"/>
        <v>0</v>
      </c>
      <c r="AA105" s="177">
        <f t="shared" si="102"/>
        <v>0</v>
      </c>
      <c r="AB105" s="177">
        <f t="shared" si="102"/>
        <v>0</v>
      </c>
      <c r="AC105" s="177">
        <f t="shared" si="102"/>
        <v>0</v>
      </c>
      <c r="AD105" s="177">
        <f t="shared" si="102"/>
        <v>0</v>
      </c>
      <c r="AE105" s="177">
        <f t="shared" si="102"/>
        <v>0</v>
      </c>
      <c r="AF105" s="177">
        <f t="shared" si="103"/>
        <v>0</v>
      </c>
      <c r="AG105" s="177">
        <f t="shared" ref="AG105:AR105" si="132">+SUMIFS(db_Sum,db_Bln,AG$6,db_Kode,$A105)</f>
        <v>0</v>
      </c>
      <c r="AH105" s="177">
        <f t="shared" si="132"/>
        <v>0</v>
      </c>
      <c r="AI105" s="177">
        <f t="shared" si="132"/>
        <v>0</v>
      </c>
      <c r="AJ105" s="177">
        <f t="shared" si="132"/>
        <v>0</v>
      </c>
      <c r="AK105" s="177">
        <f t="shared" si="132"/>
        <v>0</v>
      </c>
      <c r="AL105" s="177">
        <f t="shared" si="132"/>
        <v>0</v>
      </c>
      <c r="AM105" s="177">
        <f t="shared" si="132"/>
        <v>0</v>
      </c>
      <c r="AN105" s="177">
        <f t="shared" si="132"/>
        <v>0</v>
      </c>
      <c r="AO105" s="177">
        <f t="shared" si="132"/>
        <v>0</v>
      </c>
      <c r="AP105" s="177">
        <f t="shared" si="132"/>
        <v>0</v>
      </c>
      <c r="AQ105" s="177">
        <f t="shared" si="132"/>
        <v>0</v>
      </c>
      <c r="AR105" s="177">
        <f t="shared" si="132"/>
        <v>0</v>
      </c>
      <c r="AS105" s="177">
        <f t="shared" si="105"/>
        <v>0</v>
      </c>
      <c r="AT105" s="177">
        <f t="shared" si="106"/>
        <v>0</v>
      </c>
      <c r="AU105" s="177">
        <f t="shared" si="106"/>
        <v>0</v>
      </c>
      <c r="AV105" s="177">
        <f t="shared" si="106"/>
        <v>0</v>
      </c>
      <c r="AW105" s="177">
        <f t="shared" si="106"/>
        <v>5359000</v>
      </c>
      <c r="AX105" s="177">
        <f t="shared" si="106"/>
        <v>293826000</v>
      </c>
      <c r="AY105" s="177">
        <f t="shared" si="106"/>
        <v>39425000</v>
      </c>
      <c r="AZ105" s="177">
        <f t="shared" si="106"/>
        <v>4545000</v>
      </c>
      <c r="BA105" s="177">
        <f t="shared" si="106"/>
        <v>0</v>
      </c>
      <c r="BB105" s="177">
        <f t="shared" si="106"/>
        <v>0</v>
      </c>
      <c r="BC105" s="177">
        <f t="shared" si="106"/>
        <v>0</v>
      </c>
      <c r="BD105" s="177">
        <f t="shared" si="106"/>
        <v>12165656578.68</v>
      </c>
      <c r="BE105" s="177">
        <f t="shared" si="106"/>
        <v>0</v>
      </c>
      <c r="BF105" s="177">
        <f t="shared" si="107"/>
        <v>12508811578.68</v>
      </c>
      <c r="BG105" s="177">
        <f t="shared" si="106"/>
        <v>0</v>
      </c>
      <c r="BH105" s="177">
        <f>+SUMIFS(db_Sum,db_Bln,BH$6,db_Kode,$A105)</f>
        <v>0</v>
      </c>
      <c r="BI105" s="177">
        <f>+SUMIFS(db_Sum,db_Bln,BI$6,db_Kode,$A105)</f>
        <v>0</v>
      </c>
      <c r="BJ105" s="177">
        <f>+SUMIFS(db_Sum,db_Bln,BJ$6,db_Kode,$A105)</f>
        <v>0</v>
      </c>
      <c r="BK105" s="177">
        <f>+SUMIFS(db_Sum,db_Bln,BK$6,db_Kode,$A105)</f>
        <v>0</v>
      </c>
      <c r="BL105" s="177"/>
      <c r="BM105" s="177"/>
      <c r="BN105" s="177"/>
      <c r="BO105" s="177"/>
      <c r="BP105" s="177"/>
      <c r="BQ105" s="177"/>
      <c r="BR105" s="177"/>
      <c r="BS105" s="177">
        <f t="shared" si="109"/>
        <v>0</v>
      </c>
      <c r="BT105" s="177">
        <f>+SUM(O105,Q105,R105,S105,AF105,AS105,BF105+BS105)</f>
        <v>12508811578.68</v>
      </c>
      <c r="BU105" s="178" t="str">
        <f>+IF(K105-BT105=0,"OK","ERROR")</f>
        <v>ERROR</v>
      </c>
      <c r="BV105" s="179"/>
      <c r="BW105" s="179"/>
      <c r="BX105" s="179"/>
      <c r="BY105" s="179"/>
      <c r="BZ105" s="179"/>
      <c r="CA105" s="179"/>
      <c r="CB105" s="179"/>
      <c r="CC105" s="179"/>
    </row>
    <row r="106" spans="1:81" s="158" customFormat="1">
      <c r="A106" s="230" t="s">
        <v>2470</v>
      </c>
      <c r="B106" s="300"/>
      <c r="C106" s="296" t="s">
        <v>2469</v>
      </c>
      <c r="D106" s="297"/>
      <c r="E106" s="274">
        <v>0</v>
      </c>
      <c r="F106" s="301"/>
      <c r="G106" s="297"/>
      <c r="H106" s="276">
        <f t="shared" si="127"/>
        <v>-81640000</v>
      </c>
      <c r="I106" s="276">
        <v>0</v>
      </c>
      <c r="J106" s="297">
        <v>81640000</v>
      </c>
      <c r="K106" s="278">
        <f>+O106+Q106+R106+S106+AF106+AS106+BF106+BS106</f>
        <v>81640000</v>
      </c>
      <c r="L106" s="278">
        <v>0</v>
      </c>
      <c r="M106" s="278">
        <v>0</v>
      </c>
      <c r="N106" s="481"/>
      <c r="O106" s="154"/>
      <c r="P106" s="155">
        <f t="shared" si="128"/>
        <v>0</v>
      </c>
      <c r="Q106" s="156">
        <f t="shared" si="102"/>
        <v>0</v>
      </c>
      <c r="R106" s="156">
        <f t="shared" si="102"/>
        <v>0</v>
      </c>
      <c r="S106" s="156">
        <f t="shared" si="102"/>
        <v>0</v>
      </c>
      <c r="T106" s="156">
        <f t="shared" si="102"/>
        <v>0</v>
      </c>
      <c r="U106" s="156">
        <f t="shared" si="102"/>
        <v>0</v>
      </c>
      <c r="V106" s="156">
        <f t="shared" si="102"/>
        <v>0</v>
      </c>
      <c r="W106" s="156">
        <f t="shared" si="102"/>
        <v>0</v>
      </c>
      <c r="X106" s="156">
        <f t="shared" si="102"/>
        <v>0</v>
      </c>
      <c r="Y106" s="156">
        <f t="shared" si="102"/>
        <v>0</v>
      </c>
      <c r="Z106" s="156">
        <f t="shared" si="102"/>
        <v>0</v>
      </c>
      <c r="AA106" s="156">
        <f t="shared" si="102"/>
        <v>0</v>
      </c>
      <c r="AB106" s="156">
        <f t="shared" si="102"/>
        <v>0</v>
      </c>
      <c r="AC106" s="156">
        <f t="shared" si="102"/>
        <v>0</v>
      </c>
      <c r="AD106" s="156">
        <f t="shared" si="102"/>
        <v>0</v>
      </c>
      <c r="AE106" s="156">
        <f t="shared" si="102"/>
        <v>0</v>
      </c>
      <c r="AF106" s="156">
        <f t="shared" ref="AF106:AF107" si="133">+SUM(T106:AE106)</f>
        <v>0</v>
      </c>
      <c r="AG106" s="156">
        <f t="shared" ref="AG106:AR107" si="134">+SUMIFS(db_Sum,db_Bln,AG$6,db_Kode,$A106)</f>
        <v>0</v>
      </c>
      <c r="AH106" s="156">
        <f t="shared" si="134"/>
        <v>0</v>
      </c>
      <c r="AI106" s="156">
        <f t="shared" si="134"/>
        <v>0</v>
      </c>
      <c r="AJ106" s="156">
        <f t="shared" si="134"/>
        <v>0</v>
      </c>
      <c r="AK106" s="156">
        <f t="shared" si="134"/>
        <v>0</v>
      </c>
      <c r="AL106" s="156">
        <f t="shared" si="134"/>
        <v>0</v>
      </c>
      <c r="AM106" s="156">
        <f t="shared" si="134"/>
        <v>0</v>
      </c>
      <c r="AN106" s="156">
        <f t="shared" si="134"/>
        <v>0</v>
      </c>
      <c r="AO106" s="156">
        <f t="shared" si="134"/>
        <v>0</v>
      </c>
      <c r="AP106" s="156">
        <f t="shared" si="134"/>
        <v>0</v>
      </c>
      <c r="AQ106" s="156">
        <f t="shared" si="134"/>
        <v>0</v>
      </c>
      <c r="AR106" s="156">
        <f t="shared" si="134"/>
        <v>0</v>
      </c>
      <c r="AS106" s="156">
        <f t="shared" ref="AS106:AS107" si="135">+SUM(AG106:AR106)</f>
        <v>0</v>
      </c>
      <c r="AT106" s="156">
        <f t="shared" si="106"/>
        <v>0</v>
      </c>
      <c r="AU106" s="156">
        <f t="shared" si="106"/>
        <v>0</v>
      </c>
      <c r="AV106" s="156">
        <f t="shared" si="106"/>
        <v>0</v>
      </c>
      <c r="AW106" s="156">
        <f t="shared" si="106"/>
        <v>0</v>
      </c>
      <c r="AX106" s="156">
        <f t="shared" si="106"/>
        <v>0</v>
      </c>
      <c r="AY106" s="156">
        <f t="shared" si="106"/>
        <v>0</v>
      </c>
      <c r="AZ106" s="156">
        <f t="shared" si="106"/>
        <v>0</v>
      </c>
      <c r="BA106" s="156">
        <f t="shared" si="106"/>
        <v>0</v>
      </c>
      <c r="BB106" s="156">
        <f t="shared" si="106"/>
        <v>0</v>
      </c>
      <c r="BC106" s="156">
        <f t="shared" si="106"/>
        <v>0</v>
      </c>
      <c r="BD106" s="156">
        <f t="shared" si="106"/>
        <v>0</v>
      </c>
      <c r="BE106" s="156">
        <f t="shared" si="106"/>
        <v>0</v>
      </c>
      <c r="BF106" s="156">
        <f t="shared" ref="BF106:BF107" si="136">+SUM(AT106:BE106)</f>
        <v>0</v>
      </c>
      <c r="BG106" s="156">
        <f t="shared" si="106"/>
        <v>0</v>
      </c>
      <c r="BH106" s="156">
        <f t="shared" si="106"/>
        <v>0</v>
      </c>
      <c r="BI106" s="156">
        <f t="shared" si="106"/>
        <v>81640000</v>
      </c>
      <c r="BJ106" s="156">
        <f t="shared" ref="BH106:BK107" si="137">+SUMIFS(db_Sum,db_Bln,BJ$6,db_Kode,$A106)</f>
        <v>0</v>
      </c>
      <c r="BK106" s="156">
        <f t="shared" si="137"/>
        <v>0</v>
      </c>
      <c r="BL106" s="156"/>
      <c r="BM106" s="156"/>
      <c r="BN106" s="156"/>
      <c r="BO106" s="156"/>
      <c r="BP106" s="156"/>
      <c r="BQ106" s="156"/>
      <c r="BR106" s="156"/>
      <c r="BS106" s="156">
        <f t="shared" si="109"/>
        <v>81640000</v>
      </c>
      <c r="BT106" s="156">
        <f>+SUM(O106,Q106,R106,S106,AF106,AS106,BF106+BS106)</f>
        <v>81640000</v>
      </c>
      <c r="BU106" s="157"/>
      <c r="BV106" s="161"/>
      <c r="BW106" s="161"/>
      <c r="BX106" s="161"/>
      <c r="BY106" s="161"/>
      <c r="BZ106" s="161"/>
      <c r="CA106" s="161"/>
      <c r="CB106" s="161"/>
      <c r="CC106" s="161"/>
    </row>
    <row r="107" spans="1:81" s="158" customFormat="1">
      <c r="A107" s="230" t="s">
        <v>2471</v>
      </c>
      <c r="B107" s="300"/>
      <c r="C107" s="296" t="s">
        <v>2472</v>
      </c>
      <c r="D107" s="297"/>
      <c r="E107" s="274">
        <v>0</v>
      </c>
      <c r="F107" s="301"/>
      <c r="G107" s="297"/>
      <c r="H107" s="276">
        <f t="shared" si="127"/>
        <v>-74208495</v>
      </c>
      <c r="I107" s="276">
        <v>0</v>
      </c>
      <c r="J107" s="297">
        <v>74208495</v>
      </c>
      <c r="K107" s="278">
        <f>+O107+Q107+R107+S107+AF107+AS107+BF107+BS107</f>
        <v>74208495</v>
      </c>
      <c r="L107" s="278">
        <v>0</v>
      </c>
      <c r="M107" s="278">
        <v>0</v>
      </c>
      <c r="N107" s="481"/>
      <c r="O107" s="154"/>
      <c r="P107" s="155">
        <f t="shared" si="128"/>
        <v>0</v>
      </c>
      <c r="Q107" s="156">
        <f t="shared" si="102"/>
        <v>0</v>
      </c>
      <c r="R107" s="156">
        <f t="shared" si="102"/>
        <v>0</v>
      </c>
      <c r="S107" s="156">
        <f t="shared" si="102"/>
        <v>0</v>
      </c>
      <c r="T107" s="156">
        <f t="shared" si="102"/>
        <v>0</v>
      </c>
      <c r="U107" s="156">
        <f t="shared" si="102"/>
        <v>0</v>
      </c>
      <c r="V107" s="156">
        <f t="shared" si="102"/>
        <v>0</v>
      </c>
      <c r="W107" s="156">
        <f t="shared" si="102"/>
        <v>0</v>
      </c>
      <c r="X107" s="156">
        <f t="shared" si="102"/>
        <v>0</v>
      </c>
      <c r="Y107" s="156">
        <f t="shared" si="102"/>
        <v>0</v>
      </c>
      <c r="Z107" s="156">
        <f t="shared" si="102"/>
        <v>0</v>
      </c>
      <c r="AA107" s="156">
        <f t="shared" si="102"/>
        <v>0</v>
      </c>
      <c r="AB107" s="156">
        <f t="shared" si="102"/>
        <v>0</v>
      </c>
      <c r="AC107" s="156">
        <f t="shared" si="102"/>
        <v>0</v>
      </c>
      <c r="AD107" s="156">
        <f t="shared" si="102"/>
        <v>0</v>
      </c>
      <c r="AE107" s="156">
        <f t="shared" si="102"/>
        <v>0</v>
      </c>
      <c r="AF107" s="156">
        <f t="shared" si="133"/>
        <v>0</v>
      </c>
      <c r="AG107" s="156">
        <f t="shared" si="134"/>
        <v>0</v>
      </c>
      <c r="AH107" s="156">
        <f t="shared" si="134"/>
        <v>0</v>
      </c>
      <c r="AI107" s="156">
        <f t="shared" si="134"/>
        <v>0</v>
      </c>
      <c r="AJ107" s="156">
        <f t="shared" si="134"/>
        <v>0</v>
      </c>
      <c r="AK107" s="156">
        <f t="shared" si="134"/>
        <v>0</v>
      </c>
      <c r="AL107" s="156">
        <f t="shared" si="134"/>
        <v>0</v>
      </c>
      <c r="AM107" s="156">
        <f t="shared" si="134"/>
        <v>0</v>
      </c>
      <c r="AN107" s="156">
        <f t="shared" si="134"/>
        <v>0</v>
      </c>
      <c r="AO107" s="156">
        <f t="shared" si="134"/>
        <v>0</v>
      </c>
      <c r="AP107" s="156">
        <f t="shared" si="134"/>
        <v>0</v>
      </c>
      <c r="AQ107" s="156">
        <f t="shared" si="134"/>
        <v>0</v>
      </c>
      <c r="AR107" s="156">
        <f t="shared" si="134"/>
        <v>0</v>
      </c>
      <c r="AS107" s="156">
        <f t="shared" si="135"/>
        <v>0</v>
      </c>
      <c r="AT107" s="156">
        <f t="shared" si="106"/>
        <v>0</v>
      </c>
      <c r="AU107" s="156">
        <f t="shared" si="106"/>
        <v>0</v>
      </c>
      <c r="AV107" s="156">
        <f t="shared" si="106"/>
        <v>0</v>
      </c>
      <c r="AW107" s="156">
        <f t="shared" si="106"/>
        <v>0</v>
      </c>
      <c r="AX107" s="156">
        <f t="shared" si="106"/>
        <v>0</v>
      </c>
      <c r="AY107" s="156">
        <f t="shared" si="106"/>
        <v>0</v>
      </c>
      <c r="AZ107" s="156">
        <f t="shared" si="106"/>
        <v>0</v>
      </c>
      <c r="BA107" s="156">
        <f t="shared" si="106"/>
        <v>0</v>
      </c>
      <c r="BB107" s="156">
        <f t="shared" si="106"/>
        <v>0</v>
      </c>
      <c r="BC107" s="156">
        <f t="shared" si="106"/>
        <v>0</v>
      </c>
      <c r="BD107" s="156">
        <f t="shared" si="106"/>
        <v>0</v>
      </c>
      <c r="BE107" s="156">
        <f t="shared" si="106"/>
        <v>0</v>
      </c>
      <c r="BF107" s="156">
        <f t="shared" si="136"/>
        <v>0</v>
      </c>
      <c r="BG107" s="156">
        <f>+SUMIFS(db_Sum,db_Bln,BG$6,db_Kode,$A107)</f>
        <v>0</v>
      </c>
      <c r="BH107" s="156">
        <f t="shared" si="137"/>
        <v>0</v>
      </c>
      <c r="BI107" s="156">
        <f t="shared" si="137"/>
        <v>0</v>
      </c>
      <c r="BJ107" s="156">
        <f t="shared" si="137"/>
        <v>74208495</v>
      </c>
      <c r="BK107" s="156">
        <f t="shared" si="137"/>
        <v>0</v>
      </c>
      <c r="BL107" s="156"/>
      <c r="BM107" s="156"/>
      <c r="BN107" s="156"/>
      <c r="BO107" s="156"/>
      <c r="BP107" s="156"/>
      <c r="BQ107" s="156"/>
      <c r="BR107" s="156"/>
      <c r="BS107" s="156">
        <f t="shared" si="109"/>
        <v>74208495</v>
      </c>
      <c r="BT107" s="156">
        <f>+SUM(O107,Q107,R107,S107,AF107,AS107,BF107+BS107)</f>
        <v>74208495</v>
      </c>
      <c r="BU107" s="157"/>
      <c r="BV107" s="161"/>
      <c r="BW107" s="161"/>
      <c r="BX107" s="161"/>
      <c r="BY107" s="161"/>
      <c r="BZ107" s="161"/>
      <c r="CA107" s="161"/>
      <c r="CB107" s="161"/>
      <c r="CC107" s="161"/>
    </row>
    <row r="108" spans="1:81" s="158" customFormat="1">
      <c r="A108" s="153"/>
      <c r="B108" s="300"/>
      <c r="C108" s="296" t="s">
        <v>2293</v>
      </c>
      <c r="D108" s="297"/>
      <c r="E108" s="274">
        <v>0</v>
      </c>
      <c r="F108" s="301"/>
      <c r="G108" s="297"/>
      <c r="H108" s="276">
        <f t="shared" si="127"/>
        <v>-69636578.680000007</v>
      </c>
      <c r="I108" s="276">
        <v>0</v>
      </c>
      <c r="J108" s="297">
        <v>69636578.680000007</v>
      </c>
      <c r="K108" s="278">
        <v>69636578.680000007</v>
      </c>
      <c r="L108" s="278">
        <v>0</v>
      </c>
      <c r="M108" s="278">
        <v>0</v>
      </c>
      <c r="N108" s="481"/>
      <c r="O108" s="154"/>
      <c r="P108" s="155">
        <f t="shared" si="128"/>
        <v>0</v>
      </c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  <c r="AA108" s="156"/>
      <c r="AB108" s="156"/>
      <c r="AC108" s="156"/>
      <c r="AD108" s="156"/>
      <c r="AE108" s="156"/>
      <c r="AF108" s="156"/>
      <c r="AG108" s="156"/>
      <c r="AH108" s="156"/>
      <c r="AI108" s="156"/>
      <c r="AJ108" s="156"/>
      <c r="AK108" s="156"/>
      <c r="AL108" s="156"/>
      <c r="AM108" s="156"/>
      <c r="AN108" s="156"/>
      <c r="AO108" s="156"/>
      <c r="AP108" s="156"/>
      <c r="AQ108" s="156"/>
      <c r="AR108" s="156"/>
      <c r="AS108" s="156"/>
      <c r="AT108" s="156"/>
      <c r="AU108" s="156"/>
      <c r="AV108" s="156"/>
      <c r="AW108" s="156"/>
      <c r="AX108" s="156"/>
      <c r="AY108" s="156"/>
      <c r="AZ108" s="156"/>
      <c r="BA108" s="156"/>
      <c r="BB108" s="156"/>
      <c r="BC108" s="156"/>
      <c r="BD108" s="156"/>
      <c r="BE108" s="156"/>
      <c r="BF108" s="156"/>
      <c r="BG108" s="156"/>
      <c r="BH108" s="156"/>
      <c r="BI108" s="156"/>
      <c r="BJ108" s="156"/>
      <c r="BK108" s="156"/>
      <c r="BL108" s="156"/>
      <c r="BM108" s="156"/>
      <c r="BN108" s="156"/>
      <c r="BO108" s="156"/>
      <c r="BP108" s="156"/>
      <c r="BQ108" s="156"/>
      <c r="BR108" s="156"/>
      <c r="BS108" s="156"/>
      <c r="BT108" s="156"/>
      <c r="BU108" s="157"/>
      <c r="BV108" s="161"/>
      <c r="BW108" s="161"/>
      <c r="BX108" s="161"/>
      <c r="BY108" s="161"/>
      <c r="BZ108" s="161"/>
      <c r="CA108" s="161"/>
      <c r="CB108" s="161"/>
      <c r="CC108" s="161"/>
    </row>
    <row r="109" spans="1:81" s="180" customFormat="1">
      <c r="A109" s="174">
        <v>310</v>
      </c>
      <c r="B109" s="307">
        <f>B105+1</f>
        <v>10</v>
      </c>
      <c r="C109" s="307" t="s">
        <v>16</v>
      </c>
      <c r="D109" s="308" t="s">
        <v>48</v>
      </c>
      <c r="E109" s="309">
        <v>999000000</v>
      </c>
      <c r="F109" s="345" t="s">
        <v>87</v>
      </c>
      <c r="G109" s="308" t="s">
        <v>46</v>
      </c>
      <c r="H109" s="311">
        <f t="shared" si="127"/>
        <v>99900000</v>
      </c>
      <c r="I109" s="311">
        <v>999000000</v>
      </c>
      <c r="J109" s="308">
        <v>999000000</v>
      </c>
      <c r="K109" s="312">
        <f>499500000+399600000</f>
        <v>899100000</v>
      </c>
      <c r="L109" s="312">
        <v>0</v>
      </c>
      <c r="M109" s="312">
        <f>J109-K109</f>
        <v>99900000</v>
      </c>
      <c r="N109" s="482"/>
      <c r="O109" s="175">
        <f>+SUMIFS(db_Sum,db_Bln,O$6,db_Kode,$A109)</f>
        <v>0</v>
      </c>
      <c r="P109" s="176">
        <f t="shared" si="128"/>
        <v>0</v>
      </c>
      <c r="Q109" s="177">
        <f t="shared" si="102"/>
        <v>0</v>
      </c>
      <c r="R109" s="177">
        <f t="shared" si="102"/>
        <v>0</v>
      </c>
      <c r="S109" s="177">
        <f t="shared" si="102"/>
        <v>0</v>
      </c>
      <c r="T109" s="177">
        <f t="shared" si="102"/>
        <v>0</v>
      </c>
      <c r="U109" s="177">
        <f t="shared" si="102"/>
        <v>0</v>
      </c>
      <c r="V109" s="177">
        <f t="shared" si="102"/>
        <v>0</v>
      </c>
      <c r="W109" s="177">
        <f t="shared" si="102"/>
        <v>0</v>
      </c>
      <c r="X109" s="177">
        <f t="shared" si="102"/>
        <v>0</v>
      </c>
      <c r="Y109" s="177">
        <f t="shared" si="102"/>
        <v>0</v>
      </c>
      <c r="Z109" s="177">
        <f t="shared" si="102"/>
        <v>0</v>
      </c>
      <c r="AA109" s="177">
        <f t="shared" si="102"/>
        <v>0</v>
      </c>
      <c r="AB109" s="177">
        <f t="shared" si="102"/>
        <v>0</v>
      </c>
      <c r="AC109" s="177">
        <f t="shared" si="102"/>
        <v>0</v>
      </c>
      <c r="AD109" s="177">
        <f t="shared" si="102"/>
        <v>0</v>
      </c>
      <c r="AE109" s="177">
        <f t="shared" si="102"/>
        <v>0</v>
      </c>
      <c r="AF109" s="177">
        <f t="shared" si="103"/>
        <v>0</v>
      </c>
      <c r="AG109" s="177">
        <f t="shared" ref="AG109:AR110" si="138">+SUMIFS(db_Sum,db_Bln,AG$6,db_Kode,$A109)</f>
        <v>0</v>
      </c>
      <c r="AH109" s="177">
        <f t="shared" si="138"/>
        <v>0</v>
      </c>
      <c r="AI109" s="177">
        <f t="shared" si="138"/>
        <v>0</v>
      </c>
      <c r="AJ109" s="177">
        <f t="shared" si="138"/>
        <v>0</v>
      </c>
      <c r="AK109" s="177">
        <f t="shared" si="138"/>
        <v>0</v>
      </c>
      <c r="AL109" s="177">
        <f t="shared" si="138"/>
        <v>0</v>
      </c>
      <c r="AM109" s="177">
        <f t="shared" si="138"/>
        <v>0</v>
      </c>
      <c r="AN109" s="177">
        <f t="shared" si="138"/>
        <v>0</v>
      </c>
      <c r="AO109" s="177">
        <f t="shared" si="138"/>
        <v>0</v>
      </c>
      <c r="AP109" s="177">
        <f t="shared" si="138"/>
        <v>0</v>
      </c>
      <c r="AQ109" s="177">
        <f t="shared" si="138"/>
        <v>0</v>
      </c>
      <c r="AR109" s="177">
        <f t="shared" si="138"/>
        <v>0</v>
      </c>
      <c r="AS109" s="177">
        <f t="shared" si="105"/>
        <v>0</v>
      </c>
      <c r="AT109" s="177">
        <f t="shared" si="106"/>
        <v>0</v>
      </c>
      <c r="AU109" s="177">
        <f t="shared" si="106"/>
        <v>0</v>
      </c>
      <c r="AV109" s="177">
        <f t="shared" si="106"/>
        <v>0</v>
      </c>
      <c r="AW109" s="177">
        <f t="shared" si="106"/>
        <v>0</v>
      </c>
      <c r="AX109" s="177">
        <f t="shared" si="106"/>
        <v>0</v>
      </c>
      <c r="AY109" s="177">
        <f t="shared" si="106"/>
        <v>0</v>
      </c>
      <c r="AZ109" s="177">
        <f t="shared" si="106"/>
        <v>0</v>
      </c>
      <c r="BA109" s="177">
        <f t="shared" si="106"/>
        <v>0</v>
      </c>
      <c r="BB109" s="177">
        <f t="shared" si="106"/>
        <v>0</v>
      </c>
      <c r="BC109" s="177">
        <f t="shared" si="106"/>
        <v>0</v>
      </c>
      <c r="BD109" s="177">
        <f t="shared" si="106"/>
        <v>0</v>
      </c>
      <c r="BE109" s="177">
        <f t="shared" si="106"/>
        <v>0</v>
      </c>
      <c r="BF109" s="177">
        <f t="shared" si="107"/>
        <v>0</v>
      </c>
      <c r="BG109" s="177">
        <f t="shared" si="106"/>
        <v>0</v>
      </c>
      <c r="BH109" s="177">
        <f t="shared" si="106"/>
        <v>0</v>
      </c>
      <c r="BI109" s="177">
        <f t="shared" si="106"/>
        <v>0</v>
      </c>
      <c r="BJ109" s="177">
        <f t="shared" ref="BH109:BK110" si="139">+SUMIFS(db_Sum,db_Bln,BJ$6,db_Kode,$A109)</f>
        <v>0</v>
      </c>
      <c r="BK109" s="177">
        <f t="shared" si="139"/>
        <v>0</v>
      </c>
      <c r="BL109" s="177"/>
      <c r="BM109" s="177"/>
      <c r="BN109" s="177"/>
      <c r="BO109" s="177"/>
      <c r="BP109" s="177"/>
      <c r="BQ109" s="177"/>
      <c r="BR109" s="177"/>
      <c r="BS109" s="177">
        <f t="shared" si="109"/>
        <v>0</v>
      </c>
      <c r="BT109" s="177">
        <f>+SUM(O109,Q109,R109,S109,AF109,AS109,BF109+BS109)</f>
        <v>0</v>
      </c>
      <c r="BU109" s="178" t="str">
        <f>+IF(K109-BT109=0,"OK","ERROR")</f>
        <v>ERROR</v>
      </c>
      <c r="BV109" s="179"/>
      <c r="BW109" s="179"/>
      <c r="BX109" s="179"/>
      <c r="BY109" s="179"/>
      <c r="BZ109" s="179"/>
      <c r="CA109" s="179"/>
      <c r="CB109" s="179"/>
      <c r="CC109" s="179"/>
    </row>
    <row r="110" spans="1:81" s="180" customFormat="1">
      <c r="A110" s="174">
        <v>311</v>
      </c>
      <c r="B110" s="307">
        <v>11</v>
      </c>
      <c r="C110" s="307" t="s">
        <v>127</v>
      </c>
      <c r="D110" s="308" t="s">
        <v>1104</v>
      </c>
      <c r="E110" s="309">
        <v>1942500000</v>
      </c>
      <c r="F110" s="345"/>
      <c r="G110" s="308"/>
      <c r="H110" s="311">
        <f t="shared" si="127"/>
        <v>269949225</v>
      </c>
      <c r="I110" s="311">
        <v>1858389750</v>
      </c>
      <c r="J110" s="308">
        <v>1858389750</v>
      </c>
      <c r="K110" s="312">
        <f>+O110+Q110+R110+S110+AF110+AS110+BF110+BS110-K111</f>
        <v>1672550775</v>
      </c>
      <c r="L110" s="312">
        <v>0</v>
      </c>
      <c r="M110" s="312">
        <f>J110-K110</f>
        <v>185838975</v>
      </c>
      <c r="N110" s="472" t="s">
        <v>2441</v>
      </c>
      <c r="O110" s="175">
        <f>+SUMIFS(db_Sum,db_Bln,O$6,db_Kode,$A110)</f>
        <v>0</v>
      </c>
      <c r="P110" s="176">
        <f t="shared" si="128"/>
        <v>0</v>
      </c>
      <c r="Q110" s="177">
        <f t="shared" si="102"/>
        <v>0</v>
      </c>
      <c r="R110" s="177">
        <f t="shared" si="102"/>
        <v>0</v>
      </c>
      <c r="S110" s="177">
        <f t="shared" si="102"/>
        <v>0</v>
      </c>
      <c r="T110" s="177">
        <f t="shared" si="102"/>
        <v>0</v>
      </c>
      <c r="U110" s="177">
        <f t="shared" si="102"/>
        <v>0</v>
      </c>
      <c r="V110" s="177">
        <f t="shared" si="102"/>
        <v>0</v>
      </c>
      <c r="W110" s="177">
        <f t="shared" si="102"/>
        <v>0</v>
      </c>
      <c r="X110" s="177">
        <f t="shared" si="102"/>
        <v>0</v>
      </c>
      <c r="Y110" s="177">
        <f t="shared" si="102"/>
        <v>0</v>
      </c>
      <c r="Z110" s="177">
        <f t="shared" si="102"/>
        <v>0</v>
      </c>
      <c r="AA110" s="177">
        <f t="shared" si="102"/>
        <v>0</v>
      </c>
      <c r="AB110" s="177">
        <f t="shared" si="102"/>
        <v>0</v>
      </c>
      <c r="AC110" s="177">
        <f t="shared" si="102"/>
        <v>0</v>
      </c>
      <c r="AD110" s="177">
        <f t="shared" si="102"/>
        <v>0</v>
      </c>
      <c r="AE110" s="177">
        <f t="shared" si="102"/>
        <v>0</v>
      </c>
      <c r="AF110" s="177">
        <f t="shared" si="103"/>
        <v>0</v>
      </c>
      <c r="AG110" s="177">
        <f t="shared" si="138"/>
        <v>0</v>
      </c>
      <c r="AH110" s="177">
        <f t="shared" si="138"/>
        <v>0</v>
      </c>
      <c r="AI110" s="177">
        <f t="shared" si="138"/>
        <v>0</v>
      </c>
      <c r="AJ110" s="177">
        <f t="shared" si="138"/>
        <v>0</v>
      </c>
      <c r="AK110" s="177">
        <f t="shared" si="138"/>
        <v>0</v>
      </c>
      <c r="AL110" s="177">
        <f t="shared" si="138"/>
        <v>0</v>
      </c>
      <c r="AM110" s="177">
        <f t="shared" si="138"/>
        <v>0</v>
      </c>
      <c r="AN110" s="177">
        <f t="shared" si="138"/>
        <v>0</v>
      </c>
      <c r="AO110" s="177">
        <f t="shared" si="138"/>
        <v>0</v>
      </c>
      <c r="AP110" s="177">
        <f t="shared" si="138"/>
        <v>0</v>
      </c>
      <c r="AQ110" s="177">
        <f t="shared" si="138"/>
        <v>0</v>
      </c>
      <c r="AR110" s="177">
        <f t="shared" si="138"/>
        <v>0</v>
      </c>
      <c r="AS110" s="177">
        <f t="shared" si="105"/>
        <v>0</v>
      </c>
      <c r="AT110" s="177">
        <f t="shared" si="106"/>
        <v>0</v>
      </c>
      <c r="AU110" s="177">
        <f t="shared" si="106"/>
        <v>0</v>
      </c>
      <c r="AV110" s="177">
        <f t="shared" si="106"/>
        <v>0</v>
      </c>
      <c r="AW110" s="177">
        <f t="shared" si="106"/>
        <v>0</v>
      </c>
      <c r="AX110" s="177">
        <f t="shared" si="106"/>
        <v>0</v>
      </c>
      <c r="AY110" s="177">
        <f t="shared" si="106"/>
        <v>0</v>
      </c>
      <c r="AZ110" s="177">
        <f t="shared" si="106"/>
        <v>0</v>
      </c>
      <c r="BA110" s="177">
        <f t="shared" si="106"/>
        <v>0</v>
      </c>
      <c r="BB110" s="177">
        <f t="shared" si="106"/>
        <v>0</v>
      </c>
      <c r="BC110" s="177">
        <f t="shared" si="106"/>
        <v>0</v>
      </c>
      <c r="BD110" s="177">
        <f t="shared" si="106"/>
        <v>0</v>
      </c>
      <c r="BE110" s="177">
        <f t="shared" si="106"/>
        <v>1858389750</v>
      </c>
      <c r="BF110" s="177">
        <f t="shared" si="107"/>
        <v>1858389750</v>
      </c>
      <c r="BG110" s="177">
        <f t="shared" si="106"/>
        <v>0</v>
      </c>
      <c r="BH110" s="177">
        <f t="shared" si="139"/>
        <v>0</v>
      </c>
      <c r="BI110" s="177">
        <f t="shared" si="139"/>
        <v>0</v>
      </c>
      <c r="BJ110" s="177">
        <f t="shared" si="139"/>
        <v>0</v>
      </c>
      <c r="BK110" s="177">
        <f t="shared" si="139"/>
        <v>0</v>
      </c>
      <c r="BL110" s="177"/>
      <c r="BM110" s="177"/>
      <c r="BN110" s="177"/>
      <c r="BO110" s="177"/>
      <c r="BP110" s="177"/>
      <c r="BQ110" s="177"/>
      <c r="BR110" s="177"/>
      <c r="BS110" s="177">
        <f t="shared" si="109"/>
        <v>0</v>
      </c>
      <c r="BT110" s="177">
        <f>+SUM(O110,Q110,R110,S110,AF110,AS110,BF110+BS110)</f>
        <v>1858389750</v>
      </c>
      <c r="BU110" s="178" t="str">
        <f>+IF(K110-BT110=0,"OK","ERROR")</f>
        <v>ERROR</v>
      </c>
      <c r="BV110" s="179"/>
      <c r="BW110" s="179"/>
      <c r="BX110" s="179"/>
      <c r="BY110" s="179"/>
      <c r="BZ110" s="179"/>
      <c r="CA110" s="179"/>
      <c r="CB110" s="179"/>
      <c r="CC110" s="179"/>
    </row>
    <row r="111" spans="1:81">
      <c r="B111" s="343"/>
      <c r="C111" s="320" t="s">
        <v>2450</v>
      </c>
      <c r="D111" s="303"/>
      <c r="E111" s="287"/>
      <c r="F111" s="299"/>
      <c r="G111" s="303"/>
      <c r="H111" s="289"/>
      <c r="I111" s="289"/>
      <c r="J111" s="303"/>
      <c r="K111" s="291">
        <v>185838975</v>
      </c>
      <c r="L111" s="291"/>
      <c r="M111" s="291"/>
      <c r="N111" s="483" t="s">
        <v>2451</v>
      </c>
      <c r="O111" s="52"/>
      <c r="P111" s="77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3"/>
      <c r="BV111" s="7"/>
      <c r="BW111" s="7"/>
      <c r="BX111" s="7"/>
      <c r="BY111" s="7"/>
      <c r="BZ111" s="7"/>
      <c r="CA111" s="7"/>
      <c r="CB111" s="7"/>
      <c r="CC111" s="7"/>
    </row>
    <row r="112" spans="1:81" s="158" customFormat="1">
      <c r="A112" s="153">
        <v>312</v>
      </c>
      <c r="B112" s="300">
        <v>12</v>
      </c>
      <c r="C112" s="300" t="s">
        <v>128</v>
      </c>
      <c r="D112" s="297" t="s">
        <v>2260</v>
      </c>
      <c r="E112" s="274">
        <v>388500000</v>
      </c>
      <c r="F112" s="301"/>
      <c r="G112" s="297"/>
      <c r="H112" s="276">
        <f>E112-K112</f>
        <v>-111000000</v>
      </c>
      <c r="I112" s="276">
        <v>499500000.00000006</v>
      </c>
      <c r="J112" s="297">
        <v>499500000.00000006</v>
      </c>
      <c r="K112" s="278">
        <f>+O112+Q112+R112+S112+AF112+AS112+BF112+BS112</f>
        <v>499500000</v>
      </c>
      <c r="L112" s="278">
        <v>0</v>
      </c>
      <c r="M112" s="278">
        <f>J112-K112</f>
        <v>0</v>
      </c>
      <c r="N112" s="467" t="s">
        <v>2441</v>
      </c>
      <c r="O112" s="154">
        <f>+SUMIFS(db_Sum,db_Bln,O$6,db_Kode,$A112)</f>
        <v>0</v>
      </c>
      <c r="P112" s="155">
        <f>+IF(H112=0,E112-K112,0)</f>
        <v>0</v>
      </c>
      <c r="Q112" s="156">
        <f t="shared" si="102"/>
        <v>0</v>
      </c>
      <c r="R112" s="156">
        <f t="shared" si="102"/>
        <v>0</v>
      </c>
      <c r="S112" s="156">
        <f t="shared" si="102"/>
        <v>0</v>
      </c>
      <c r="T112" s="156">
        <f t="shared" si="102"/>
        <v>0</v>
      </c>
      <c r="U112" s="156">
        <f t="shared" si="102"/>
        <v>0</v>
      </c>
      <c r="V112" s="156">
        <f t="shared" si="102"/>
        <v>0</v>
      </c>
      <c r="W112" s="156">
        <f t="shared" si="102"/>
        <v>0</v>
      </c>
      <c r="X112" s="156">
        <f t="shared" si="102"/>
        <v>0</v>
      </c>
      <c r="Y112" s="156">
        <f t="shared" si="102"/>
        <v>0</v>
      </c>
      <c r="Z112" s="156">
        <f t="shared" si="102"/>
        <v>0</v>
      </c>
      <c r="AA112" s="156">
        <f t="shared" si="102"/>
        <v>0</v>
      </c>
      <c r="AB112" s="156">
        <f t="shared" si="102"/>
        <v>0</v>
      </c>
      <c r="AC112" s="156">
        <f t="shared" si="102"/>
        <v>0</v>
      </c>
      <c r="AD112" s="156">
        <f t="shared" si="102"/>
        <v>0</v>
      </c>
      <c r="AE112" s="156">
        <f t="shared" si="102"/>
        <v>0</v>
      </c>
      <c r="AF112" s="156">
        <f t="shared" si="103"/>
        <v>0</v>
      </c>
      <c r="AG112" s="156">
        <f t="shared" ref="AG112:AR114" si="140">+SUMIFS(db_Sum,db_Bln,AG$6,db_Kode,$A112)</f>
        <v>0</v>
      </c>
      <c r="AH112" s="156">
        <f t="shared" si="140"/>
        <v>0</v>
      </c>
      <c r="AI112" s="156">
        <f t="shared" si="140"/>
        <v>0</v>
      </c>
      <c r="AJ112" s="156">
        <f t="shared" si="140"/>
        <v>0</v>
      </c>
      <c r="AK112" s="156">
        <f t="shared" si="140"/>
        <v>0</v>
      </c>
      <c r="AL112" s="156">
        <f t="shared" si="140"/>
        <v>0</v>
      </c>
      <c r="AM112" s="156">
        <f t="shared" si="140"/>
        <v>0</v>
      </c>
      <c r="AN112" s="156">
        <f t="shared" si="140"/>
        <v>0</v>
      </c>
      <c r="AO112" s="156">
        <f t="shared" si="140"/>
        <v>0</v>
      </c>
      <c r="AP112" s="156">
        <f t="shared" si="140"/>
        <v>0</v>
      </c>
      <c r="AQ112" s="156">
        <f t="shared" si="140"/>
        <v>0</v>
      </c>
      <c r="AR112" s="156">
        <f t="shared" si="140"/>
        <v>0</v>
      </c>
      <c r="AS112" s="156">
        <f t="shared" si="105"/>
        <v>0</v>
      </c>
      <c r="AT112" s="156">
        <f t="shared" si="106"/>
        <v>0</v>
      </c>
      <c r="AU112" s="156">
        <f t="shared" si="106"/>
        <v>0</v>
      </c>
      <c r="AV112" s="156">
        <f t="shared" si="106"/>
        <v>0</v>
      </c>
      <c r="AW112" s="156">
        <f t="shared" si="106"/>
        <v>0</v>
      </c>
      <c r="AX112" s="156">
        <f t="shared" si="106"/>
        <v>0</v>
      </c>
      <c r="AY112" s="156">
        <f t="shared" si="106"/>
        <v>0</v>
      </c>
      <c r="AZ112" s="156">
        <f t="shared" si="106"/>
        <v>0</v>
      </c>
      <c r="BA112" s="156">
        <f t="shared" si="106"/>
        <v>0</v>
      </c>
      <c r="BB112" s="156">
        <f t="shared" si="106"/>
        <v>0</v>
      </c>
      <c r="BC112" s="156">
        <f t="shared" si="106"/>
        <v>0</v>
      </c>
      <c r="BD112" s="156">
        <f t="shared" si="106"/>
        <v>0</v>
      </c>
      <c r="BE112" s="156">
        <f t="shared" si="106"/>
        <v>499500000</v>
      </c>
      <c r="BF112" s="156">
        <f t="shared" si="107"/>
        <v>499500000</v>
      </c>
      <c r="BG112" s="156">
        <f t="shared" si="106"/>
        <v>0</v>
      </c>
      <c r="BH112" s="156">
        <f t="shared" si="106"/>
        <v>0</v>
      </c>
      <c r="BI112" s="156">
        <f t="shared" si="106"/>
        <v>0</v>
      </c>
      <c r="BJ112" s="156">
        <f t="shared" ref="BH112:BK114" si="141">+SUMIFS(db_Sum,db_Bln,BJ$6,db_Kode,$A112)</f>
        <v>0</v>
      </c>
      <c r="BK112" s="156">
        <f t="shared" si="141"/>
        <v>0</v>
      </c>
      <c r="BL112" s="156"/>
      <c r="BM112" s="156"/>
      <c r="BN112" s="156"/>
      <c r="BO112" s="156"/>
      <c r="BP112" s="156"/>
      <c r="BQ112" s="156"/>
      <c r="BR112" s="156"/>
      <c r="BS112" s="156">
        <f t="shared" si="109"/>
        <v>0</v>
      </c>
      <c r="BT112" s="156">
        <f>+SUM(O112,Q112,R112,S112,AF112,AS112,BF112+BS112)</f>
        <v>499500000</v>
      </c>
      <c r="BU112" s="157" t="str">
        <f>+IF(K112-BT112=0,"OK","ERROR")</f>
        <v>OK</v>
      </c>
      <c r="BV112" s="161"/>
      <c r="BW112" s="161"/>
      <c r="BX112" s="161"/>
      <c r="BY112" s="161"/>
      <c r="BZ112" s="161"/>
      <c r="CA112" s="161"/>
      <c r="CB112" s="161"/>
      <c r="CC112" s="161"/>
    </row>
    <row r="113" spans="1:81" s="158" customFormat="1">
      <c r="A113" s="153">
        <v>313</v>
      </c>
      <c r="B113" s="300">
        <v>13</v>
      </c>
      <c r="C113" s="300" t="s">
        <v>129</v>
      </c>
      <c r="D113" s="297" t="s">
        <v>1109</v>
      </c>
      <c r="E113" s="274">
        <v>555000000</v>
      </c>
      <c r="F113" s="301"/>
      <c r="G113" s="297"/>
      <c r="H113" s="276">
        <f>E113-K113</f>
        <v>-41070000</v>
      </c>
      <c r="I113" s="276">
        <v>596070000</v>
      </c>
      <c r="J113" s="297">
        <v>596070000</v>
      </c>
      <c r="K113" s="278">
        <f>+O113+Q113+R113+S113+AF113+AS113+BF113+BS113</f>
        <v>596070000</v>
      </c>
      <c r="L113" s="278">
        <v>0</v>
      </c>
      <c r="M113" s="278">
        <f>J113-K113</f>
        <v>0</v>
      </c>
      <c r="N113" s="467" t="s">
        <v>2441</v>
      </c>
      <c r="O113" s="154">
        <f>+SUMIFS(db_Sum,db_Bln,O$6,db_Kode,$A113)</f>
        <v>0</v>
      </c>
      <c r="P113" s="155">
        <f>+IF(H113=0,E113-K113,0)</f>
        <v>0</v>
      </c>
      <c r="Q113" s="156">
        <f t="shared" si="102"/>
        <v>0</v>
      </c>
      <c r="R113" s="156">
        <f t="shared" si="102"/>
        <v>0</v>
      </c>
      <c r="S113" s="156">
        <f t="shared" si="102"/>
        <v>0</v>
      </c>
      <c r="T113" s="156">
        <f t="shared" si="102"/>
        <v>0</v>
      </c>
      <c r="U113" s="156">
        <f t="shared" si="102"/>
        <v>0</v>
      </c>
      <c r="V113" s="156">
        <f t="shared" si="102"/>
        <v>0</v>
      </c>
      <c r="W113" s="156">
        <f t="shared" si="102"/>
        <v>0</v>
      </c>
      <c r="X113" s="156">
        <f t="shared" si="102"/>
        <v>0</v>
      </c>
      <c r="Y113" s="156">
        <f t="shared" si="102"/>
        <v>0</v>
      </c>
      <c r="Z113" s="156">
        <f t="shared" si="102"/>
        <v>0</v>
      </c>
      <c r="AA113" s="156">
        <f t="shared" si="102"/>
        <v>0</v>
      </c>
      <c r="AB113" s="156">
        <f t="shared" si="102"/>
        <v>0</v>
      </c>
      <c r="AC113" s="156">
        <f t="shared" si="102"/>
        <v>0</v>
      </c>
      <c r="AD113" s="156">
        <f t="shared" si="102"/>
        <v>0</v>
      </c>
      <c r="AE113" s="156">
        <f t="shared" si="102"/>
        <v>0</v>
      </c>
      <c r="AF113" s="156">
        <f t="shared" si="103"/>
        <v>0</v>
      </c>
      <c r="AG113" s="156">
        <f t="shared" si="140"/>
        <v>0</v>
      </c>
      <c r="AH113" s="156">
        <f t="shared" si="140"/>
        <v>0</v>
      </c>
      <c r="AI113" s="156">
        <f t="shared" si="140"/>
        <v>0</v>
      </c>
      <c r="AJ113" s="156">
        <f t="shared" si="140"/>
        <v>0</v>
      </c>
      <c r="AK113" s="156">
        <f t="shared" si="140"/>
        <v>0</v>
      </c>
      <c r="AL113" s="156">
        <f t="shared" si="140"/>
        <v>0</v>
      </c>
      <c r="AM113" s="156">
        <f t="shared" si="140"/>
        <v>0</v>
      </c>
      <c r="AN113" s="156">
        <f t="shared" si="140"/>
        <v>0</v>
      </c>
      <c r="AO113" s="156">
        <f t="shared" si="140"/>
        <v>0</v>
      </c>
      <c r="AP113" s="156">
        <f t="shared" si="140"/>
        <v>0</v>
      </c>
      <c r="AQ113" s="156">
        <f t="shared" si="140"/>
        <v>0</v>
      </c>
      <c r="AR113" s="156">
        <f t="shared" si="140"/>
        <v>0</v>
      </c>
      <c r="AS113" s="156">
        <f t="shared" si="105"/>
        <v>0</v>
      </c>
      <c r="AT113" s="156">
        <f t="shared" si="106"/>
        <v>0</v>
      </c>
      <c r="AU113" s="156">
        <f t="shared" si="106"/>
        <v>0</v>
      </c>
      <c r="AV113" s="156">
        <f t="shared" si="106"/>
        <v>0</v>
      </c>
      <c r="AW113" s="156">
        <f t="shared" si="106"/>
        <v>0</v>
      </c>
      <c r="AX113" s="156">
        <f t="shared" si="106"/>
        <v>0</v>
      </c>
      <c r="AY113" s="156">
        <f t="shared" si="106"/>
        <v>0</v>
      </c>
      <c r="AZ113" s="156">
        <f t="shared" si="106"/>
        <v>0</v>
      </c>
      <c r="BA113" s="156">
        <f t="shared" si="106"/>
        <v>0</v>
      </c>
      <c r="BB113" s="156">
        <f t="shared" si="106"/>
        <v>0</v>
      </c>
      <c r="BC113" s="156">
        <f t="shared" si="106"/>
        <v>0</v>
      </c>
      <c r="BD113" s="156">
        <f t="shared" si="106"/>
        <v>0</v>
      </c>
      <c r="BE113" s="156">
        <f t="shared" si="106"/>
        <v>0</v>
      </c>
      <c r="BF113" s="156">
        <f t="shared" si="107"/>
        <v>0</v>
      </c>
      <c r="BG113" s="156">
        <f t="shared" si="106"/>
        <v>0</v>
      </c>
      <c r="BH113" s="156">
        <f t="shared" si="141"/>
        <v>0</v>
      </c>
      <c r="BI113" s="156">
        <f t="shared" si="141"/>
        <v>0</v>
      </c>
      <c r="BJ113" s="156">
        <f t="shared" si="141"/>
        <v>0</v>
      </c>
      <c r="BK113" s="156">
        <f t="shared" si="141"/>
        <v>596070000</v>
      </c>
      <c r="BL113" s="156"/>
      <c r="BM113" s="156"/>
      <c r="BN113" s="156"/>
      <c r="BO113" s="156"/>
      <c r="BP113" s="156"/>
      <c r="BQ113" s="156"/>
      <c r="BR113" s="156"/>
      <c r="BS113" s="156">
        <f t="shared" si="109"/>
        <v>596070000</v>
      </c>
      <c r="BT113" s="156">
        <f>+SUM(O113,Q113,R113,S113,AF113,AS113,BF113+BS113)</f>
        <v>596070000</v>
      </c>
      <c r="BU113" s="157" t="str">
        <f>+IF(K113-BT113=0,"OK","ERROR")</f>
        <v>OK</v>
      </c>
      <c r="BV113" s="161"/>
      <c r="BW113" s="161"/>
      <c r="BX113" s="161"/>
      <c r="BY113" s="161"/>
      <c r="BZ113" s="161"/>
      <c r="CA113" s="161"/>
      <c r="CB113" s="161"/>
      <c r="CC113" s="161"/>
    </row>
    <row r="114" spans="1:81" s="180" customFormat="1">
      <c r="A114" s="174">
        <v>314</v>
      </c>
      <c r="B114" s="307">
        <v>14</v>
      </c>
      <c r="C114" s="307" t="s">
        <v>130</v>
      </c>
      <c r="D114" s="308" t="s">
        <v>632</v>
      </c>
      <c r="E114" s="309">
        <v>2553000000</v>
      </c>
      <c r="F114" s="345"/>
      <c r="G114" s="308" t="s">
        <v>632</v>
      </c>
      <c r="H114" s="311">
        <f>E114-K114</f>
        <v>399600000</v>
      </c>
      <c r="I114" s="311">
        <v>2691750000</v>
      </c>
      <c r="J114" s="308">
        <v>2691750000</v>
      </c>
      <c r="K114" s="312">
        <f>+O114+Q114+R114+S114+AF114+AS114+BF114+BS114-K115-121250000</f>
        <v>2153400000</v>
      </c>
      <c r="L114" s="312">
        <v>0</v>
      </c>
      <c r="M114" s="312">
        <f>J114-K114</f>
        <v>538350000</v>
      </c>
      <c r="N114" s="482"/>
      <c r="O114" s="175">
        <f>+SUMIFS(db_Sum,db_Bln,O$6,db_Kode,$A114)</f>
        <v>0</v>
      </c>
      <c r="P114" s="176">
        <f>+IF(H114=0,E114-K114,0)</f>
        <v>0</v>
      </c>
      <c r="Q114" s="177">
        <f t="shared" si="102"/>
        <v>0</v>
      </c>
      <c r="R114" s="177">
        <f t="shared" si="102"/>
        <v>0</v>
      </c>
      <c r="S114" s="177">
        <f t="shared" si="102"/>
        <v>0</v>
      </c>
      <c r="T114" s="177">
        <f t="shared" si="102"/>
        <v>0</v>
      </c>
      <c r="U114" s="177">
        <f t="shared" si="102"/>
        <v>0</v>
      </c>
      <c r="V114" s="177">
        <f t="shared" si="102"/>
        <v>0</v>
      </c>
      <c r="W114" s="177">
        <f t="shared" si="102"/>
        <v>0</v>
      </c>
      <c r="X114" s="177">
        <f t="shared" si="102"/>
        <v>0</v>
      </c>
      <c r="Y114" s="177">
        <f t="shared" si="102"/>
        <v>0</v>
      </c>
      <c r="Z114" s="177">
        <f t="shared" si="102"/>
        <v>0</v>
      </c>
      <c r="AA114" s="177">
        <f t="shared" si="102"/>
        <v>0</v>
      </c>
      <c r="AB114" s="177">
        <f t="shared" si="102"/>
        <v>0</v>
      </c>
      <c r="AC114" s="177">
        <f t="shared" si="102"/>
        <v>0</v>
      </c>
      <c r="AD114" s="177">
        <f t="shared" si="102"/>
        <v>0</v>
      </c>
      <c r="AE114" s="177">
        <f t="shared" si="102"/>
        <v>0</v>
      </c>
      <c r="AF114" s="177">
        <f t="shared" si="103"/>
        <v>0</v>
      </c>
      <c r="AG114" s="177">
        <f t="shared" si="140"/>
        <v>0</v>
      </c>
      <c r="AH114" s="177">
        <f t="shared" si="140"/>
        <v>0</v>
      </c>
      <c r="AI114" s="177">
        <f t="shared" si="140"/>
        <v>0</v>
      </c>
      <c r="AJ114" s="177">
        <f t="shared" si="140"/>
        <v>0</v>
      </c>
      <c r="AK114" s="177">
        <f t="shared" si="140"/>
        <v>0</v>
      </c>
      <c r="AL114" s="177">
        <f t="shared" si="140"/>
        <v>0</v>
      </c>
      <c r="AM114" s="177">
        <f t="shared" si="140"/>
        <v>0</v>
      </c>
      <c r="AN114" s="177">
        <f t="shared" si="140"/>
        <v>0</v>
      </c>
      <c r="AO114" s="177">
        <f t="shared" si="140"/>
        <v>807525000</v>
      </c>
      <c r="AP114" s="177">
        <f t="shared" si="140"/>
        <v>0</v>
      </c>
      <c r="AQ114" s="177">
        <f t="shared" si="140"/>
        <v>0</v>
      </c>
      <c r="AR114" s="177">
        <f t="shared" si="140"/>
        <v>0</v>
      </c>
      <c r="AS114" s="177">
        <f t="shared" si="105"/>
        <v>807525000</v>
      </c>
      <c r="AT114" s="177">
        <f t="shared" si="106"/>
        <v>0</v>
      </c>
      <c r="AU114" s="177">
        <f t="shared" si="106"/>
        <v>0</v>
      </c>
      <c r="AV114" s="177">
        <f t="shared" si="106"/>
        <v>0</v>
      </c>
      <c r="AW114" s="177">
        <f t="shared" si="106"/>
        <v>0</v>
      </c>
      <c r="AX114" s="177">
        <f t="shared" si="106"/>
        <v>0</v>
      </c>
      <c r="AY114" s="177">
        <f t="shared" si="106"/>
        <v>0</v>
      </c>
      <c r="AZ114" s="177">
        <f t="shared" si="106"/>
        <v>0</v>
      </c>
      <c r="BA114" s="177">
        <f t="shared" si="106"/>
        <v>0</v>
      </c>
      <c r="BB114" s="177">
        <f t="shared" si="106"/>
        <v>0</v>
      </c>
      <c r="BC114" s="177">
        <f t="shared" si="106"/>
        <v>1345875000</v>
      </c>
      <c r="BD114" s="177">
        <f t="shared" si="106"/>
        <v>0</v>
      </c>
      <c r="BE114" s="177">
        <f t="shared" si="106"/>
        <v>0</v>
      </c>
      <c r="BF114" s="177">
        <f t="shared" si="107"/>
        <v>1345875000</v>
      </c>
      <c r="BG114" s="177">
        <f t="shared" si="106"/>
        <v>0</v>
      </c>
      <c r="BH114" s="177">
        <f t="shared" si="141"/>
        <v>0</v>
      </c>
      <c r="BI114" s="177">
        <f t="shared" si="141"/>
        <v>0</v>
      </c>
      <c r="BJ114" s="177">
        <f t="shared" si="141"/>
        <v>0</v>
      </c>
      <c r="BK114" s="177">
        <f t="shared" si="141"/>
        <v>0</v>
      </c>
      <c r="BL114" s="177">
        <f>+SUMIFS(db_Sum,db_Bln,BL$6,db_Kode,$A114)</f>
        <v>659600000</v>
      </c>
      <c r="BM114" s="177"/>
      <c r="BN114" s="177"/>
      <c r="BO114" s="177"/>
      <c r="BP114" s="177"/>
      <c r="BQ114" s="177"/>
      <c r="BR114" s="177"/>
      <c r="BS114" s="177">
        <f t="shared" si="109"/>
        <v>659600000</v>
      </c>
      <c r="BT114" s="177">
        <f>+SUM(O114,Q114,R114,S114,AF114,AS114,BF114+BS114)</f>
        <v>2813000000</v>
      </c>
      <c r="BU114" s="178" t="str">
        <f>+IF(K114-BT114=0,"OK","ERROR")</f>
        <v>ERROR</v>
      </c>
      <c r="BV114" s="179"/>
      <c r="BW114" s="179"/>
      <c r="BX114" s="179"/>
      <c r="BY114" s="179"/>
      <c r="BZ114" s="179"/>
      <c r="CA114" s="179"/>
      <c r="CB114" s="179"/>
      <c r="CC114" s="179"/>
    </row>
    <row r="115" spans="1:81">
      <c r="B115" s="343"/>
      <c r="C115" s="320" t="s">
        <v>2453</v>
      </c>
      <c r="D115" s="303"/>
      <c r="E115" s="287"/>
      <c r="F115" s="299"/>
      <c r="G115" s="303"/>
      <c r="H115" s="289"/>
      <c r="I115" s="303"/>
      <c r="J115" s="303"/>
      <c r="K115" s="291">
        <v>538350000</v>
      </c>
      <c r="L115" s="291"/>
      <c r="M115" s="291"/>
      <c r="N115" s="484" t="s">
        <v>2454</v>
      </c>
      <c r="O115" s="52"/>
      <c r="P115" s="77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3"/>
      <c r="BV115" s="7"/>
      <c r="BW115" s="7"/>
      <c r="BX115" s="7"/>
      <c r="BY115" s="7"/>
      <c r="BZ115" s="7"/>
      <c r="CA115" s="7"/>
      <c r="CB115" s="7"/>
      <c r="CC115" s="7"/>
    </row>
    <row r="116" spans="1:81" s="158" customFormat="1">
      <c r="A116" s="153">
        <v>315</v>
      </c>
      <c r="B116" s="300">
        <v>15</v>
      </c>
      <c r="C116" s="300" t="s">
        <v>131</v>
      </c>
      <c r="D116" s="297" t="s">
        <v>2261</v>
      </c>
      <c r="E116" s="274">
        <v>99900000</v>
      </c>
      <c r="F116" s="301"/>
      <c r="G116" s="297"/>
      <c r="H116" s="276">
        <f t="shared" ref="H116:H121" si="142">E116-K116</f>
        <v>-4995000</v>
      </c>
      <c r="I116" s="276">
        <v>104895000</v>
      </c>
      <c r="J116" s="297">
        <v>104895000</v>
      </c>
      <c r="K116" s="278">
        <f>+O116+Q116+R116+S116+AF116+AS116+BF116+BS116</f>
        <v>104895000</v>
      </c>
      <c r="L116" s="278">
        <v>0</v>
      </c>
      <c r="M116" s="278">
        <f>J116-K116</f>
        <v>0</v>
      </c>
      <c r="N116" s="467" t="s">
        <v>2441</v>
      </c>
      <c r="O116" s="154">
        <f>+SUMIFS(db_Sum,db_Bln,O$6,db_Kode,$A116)</f>
        <v>0</v>
      </c>
      <c r="P116" s="155">
        <f t="shared" ref="P116:P121" si="143">+IF(H116=0,E116-K116,0)</f>
        <v>0</v>
      </c>
      <c r="Q116" s="156">
        <f t="shared" ref="Q116:AE119" si="144">+SUMIFS(db_Sum,db_Bln,Q$6,db_Kode,$A116)</f>
        <v>0</v>
      </c>
      <c r="R116" s="156">
        <f t="shared" si="144"/>
        <v>0</v>
      </c>
      <c r="S116" s="156">
        <f t="shared" si="144"/>
        <v>0</v>
      </c>
      <c r="T116" s="156">
        <f t="shared" si="144"/>
        <v>0</v>
      </c>
      <c r="U116" s="156">
        <f t="shared" si="144"/>
        <v>0</v>
      </c>
      <c r="V116" s="156">
        <f t="shared" si="144"/>
        <v>0</v>
      </c>
      <c r="W116" s="156">
        <f t="shared" si="144"/>
        <v>0</v>
      </c>
      <c r="X116" s="156">
        <f t="shared" si="144"/>
        <v>0</v>
      </c>
      <c r="Y116" s="156">
        <f t="shared" si="144"/>
        <v>0</v>
      </c>
      <c r="Z116" s="156">
        <f t="shared" si="144"/>
        <v>0</v>
      </c>
      <c r="AA116" s="156">
        <f t="shared" si="144"/>
        <v>0</v>
      </c>
      <c r="AB116" s="156">
        <f t="shared" si="144"/>
        <v>0</v>
      </c>
      <c r="AC116" s="156">
        <f t="shared" si="144"/>
        <v>0</v>
      </c>
      <c r="AD116" s="156">
        <f t="shared" si="144"/>
        <v>0</v>
      </c>
      <c r="AE116" s="156">
        <f t="shared" si="144"/>
        <v>0</v>
      </c>
      <c r="AF116" s="156">
        <f t="shared" si="103"/>
        <v>0</v>
      </c>
      <c r="AG116" s="156">
        <f t="shared" ref="AG116:AV121" si="145">+SUMIFS(db_Sum,db_Bln,AG$6,db_Kode,$A116)</f>
        <v>0</v>
      </c>
      <c r="AH116" s="156">
        <f t="shared" si="145"/>
        <v>0</v>
      </c>
      <c r="AI116" s="156">
        <f t="shared" si="145"/>
        <v>0</v>
      </c>
      <c r="AJ116" s="156">
        <f t="shared" si="145"/>
        <v>0</v>
      </c>
      <c r="AK116" s="156">
        <f t="shared" si="145"/>
        <v>0</v>
      </c>
      <c r="AL116" s="156">
        <f t="shared" si="145"/>
        <v>0</v>
      </c>
      <c r="AM116" s="156">
        <f t="shared" si="145"/>
        <v>0</v>
      </c>
      <c r="AN116" s="156">
        <f t="shared" si="145"/>
        <v>0</v>
      </c>
      <c r="AO116" s="156">
        <f t="shared" si="145"/>
        <v>0</v>
      </c>
      <c r="AP116" s="156">
        <f t="shared" si="145"/>
        <v>0</v>
      </c>
      <c r="AQ116" s="156">
        <f t="shared" si="145"/>
        <v>0</v>
      </c>
      <c r="AR116" s="156">
        <f t="shared" si="145"/>
        <v>0</v>
      </c>
      <c r="AS116" s="156">
        <f t="shared" si="105"/>
        <v>0</v>
      </c>
      <c r="AT116" s="156">
        <f t="shared" si="106"/>
        <v>0</v>
      </c>
      <c r="AU116" s="156">
        <f t="shared" si="106"/>
        <v>0</v>
      </c>
      <c r="AV116" s="156">
        <f t="shared" si="106"/>
        <v>0</v>
      </c>
      <c r="AW116" s="156">
        <f t="shared" si="106"/>
        <v>0</v>
      </c>
      <c r="AX116" s="156">
        <f t="shared" si="106"/>
        <v>0</v>
      </c>
      <c r="AY116" s="156">
        <f t="shared" si="106"/>
        <v>0</v>
      </c>
      <c r="AZ116" s="156">
        <f t="shared" si="106"/>
        <v>0</v>
      </c>
      <c r="BA116" s="156">
        <f t="shared" si="106"/>
        <v>0</v>
      </c>
      <c r="BB116" s="156">
        <f t="shared" si="106"/>
        <v>0</v>
      </c>
      <c r="BC116" s="156">
        <f t="shared" si="106"/>
        <v>0</v>
      </c>
      <c r="BD116" s="156">
        <f t="shared" si="106"/>
        <v>0</v>
      </c>
      <c r="BE116" s="156">
        <f t="shared" si="106"/>
        <v>52447500</v>
      </c>
      <c r="BF116" s="156">
        <f t="shared" si="107"/>
        <v>52447500</v>
      </c>
      <c r="BG116" s="156">
        <f t="shared" si="106"/>
        <v>0</v>
      </c>
      <c r="BH116" s="156">
        <f t="shared" si="106"/>
        <v>0</v>
      </c>
      <c r="BI116" s="156">
        <f t="shared" si="106"/>
        <v>0</v>
      </c>
      <c r="BJ116" s="156">
        <f t="shared" ref="BH116:BK121" si="146">+SUMIFS(db_Sum,db_Bln,BJ$6,db_Kode,$A116)</f>
        <v>0</v>
      </c>
      <c r="BK116" s="156">
        <f t="shared" si="146"/>
        <v>52447500</v>
      </c>
      <c r="BL116" s="156"/>
      <c r="BM116" s="156"/>
      <c r="BN116" s="156"/>
      <c r="BO116" s="156"/>
      <c r="BP116" s="156"/>
      <c r="BQ116" s="156"/>
      <c r="BR116" s="156"/>
      <c r="BS116" s="156">
        <f t="shared" si="109"/>
        <v>52447500</v>
      </c>
      <c r="BT116" s="156">
        <f t="shared" ref="BT116:BT121" si="147">+SUM(O116,Q116,R116,S116,AF116,AS116,BF116+BS116)</f>
        <v>104895000</v>
      </c>
      <c r="BU116" s="157" t="str">
        <f t="shared" ref="BU116:BU121" si="148">+IF(K116-BT116=0,"OK","ERROR")</f>
        <v>OK</v>
      </c>
      <c r="BV116" s="161"/>
      <c r="BW116" s="161"/>
      <c r="BX116" s="161"/>
      <c r="BY116" s="161"/>
      <c r="BZ116" s="161"/>
      <c r="CA116" s="161"/>
      <c r="CB116" s="161"/>
      <c r="CC116" s="161"/>
    </row>
    <row r="117" spans="1:81" s="158" customFormat="1">
      <c r="A117" s="153">
        <v>316</v>
      </c>
      <c r="B117" s="300">
        <v>16</v>
      </c>
      <c r="C117" s="300" t="s">
        <v>132</v>
      </c>
      <c r="D117" s="297" t="s">
        <v>2263</v>
      </c>
      <c r="E117" s="274">
        <v>799200000</v>
      </c>
      <c r="F117" s="301"/>
      <c r="G117" s="297"/>
      <c r="H117" s="276">
        <f t="shared" si="142"/>
        <v>410700000</v>
      </c>
      <c r="I117" s="276">
        <v>388500000</v>
      </c>
      <c r="J117" s="297">
        <v>388500000</v>
      </c>
      <c r="K117" s="278">
        <f>+O117+Q117+R117+S117+AF117+AS117+BF117+BS117</f>
        <v>388500000</v>
      </c>
      <c r="L117" s="278">
        <v>0</v>
      </c>
      <c r="M117" s="278">
        <f>J117-K117</f>
        <v>0</v>
      </c>
      <c r="N117" s="467" t="s">
        <v>2441</v>
      </c>
      <c r="O117" s="154">
        <f>+SUMIFS(db_Sum,db_Bln,O$6,db_Kode,$A117)</f>
        <v>0</v>
      </c>
      <c r="P117" s="155">
        <f t="shared" si="143"/>
        <v>0</v>
      </c>
      <c r="Q117" s="156">
        <f t="shared" si="144"/>
        <v>0</v>
      </c>
      <c r="R117" s="156">
        <f t="shared" si="144"/>
        <v>0</v>
      </c>
      <c r="S117" s="156">
        <f t="shared" si="144"/>
        <v>0</v>
      </c>
      <c r="T117" s="156">
        <f t="shared" si="144"/>
        <v>0</v>
      </c>
      <c r="U117" s="156">
        <f t="shared" si="144"/>
        <v>0</v>
      </c>
      <c r="V117" s="156">
        <f t="shared" si="144"/>
        <v>0</v>
      </c>
      <c r="W117" s="156">
        <f t="shared" si="144"/>
        <v>0</v>
      </c>
      <c r="X117" s="156">
        <f t="shared" si="144"/>
        <v>0</v>
      </c>
      <c r="Y117" s="156">
        <f t="shared" si="144"/>
        <v>0</v>
      </c>
      <c r="Z117" s="156">
        <f t="shared" si="144"/>
        <v>0</v>
      </c>
      <c r="AA117" s="156">
        <f t="shared" si="144"/>
        <v>0</v>
      </c>
      <c r="AB117" s="156">
        <f t="shared" si="144"/>
        <v>0</v>
      </c>
      <c r="AC117" s="156">
        <f t="shared" si="144"/>
        <v>0</v>
      </c>
      <c r="AD117" s="156">
        <f t="shared" si="144"/>
        <v>0</v>
      </c>
      <c r="AE117" s="156">
        <f t="shared" si="144"/>
        <v>0</v>
      </c>
      <c r="AF117" s="156">
        <f t="shared" si="103"/>
        <v>0</v>
      </c>
      <c r="AG117" s="156">
        <f t="shared" si="145"/>
        <v>0</v>
      </c>
      <c r="AH117" s="156">
        <f t="shared" si="145"/>
        <v>0</v>
      </c>
      <c r="AI117" s="156">
        <f t="shared" si="145"/>
        <v>0</v>
      </c>
      <c r="AJ117" s="156">
        <f t="shared" si="145"/>
        <v>0</v>
      </c>
      <c r="AK117" s="156">
        <f t="shared" si="145"/>
        <v>0</v>
      </c>
      <c r="AL117" s="156">
        <f t="shared" si="145"/>
        <v>0</v>
      </c>
      <c r="AM117" s="156">
        <f t="shared" si="145"/>
        <v>0</v>
      </c>
      <c r="AN117" s="156">
        <f t="shared" si="145"/>
        <v>0</v>
      </c>
      <c r="AO117" s="156">
        <f t="shared" si="145"/>
        <v>0</v>
      </c>
      <c r="AP117" s="156">
        <f t="shared" si="145"/>
        <v>0</v>
      </c>
      <c r="AQ117" s="156">
        <f t="shared" si="145"/>
        <v>0</v>
      </c>
      <c r="AR117" s="156">
        <f t="shared" si="145"/>
        <v>0</v>
      </c>
      <c r="AS117" s="156">
        <f t="shared" si="105"/>
        <v>0</v>
      </c>
      <c r="AT117" s="156">
        <f t="shared" si="106"/>
        <v>0</v>
      </c>
      <c r="AU117" s="156">
        <f t="shared" si="106"/>
        <v>0</v>
      </c>
      <c r="AV117" s="156">
        <f t="shared" si="106"/>
        <v>0</v>
      </c>
      <c r="AW117" s="156">
        <f t="shared" si="106"/>
        <v>0</v>
      </c>
      <c r="AX117" s="156">
        <f t="shared" si="106"/>
        <v>0</v>
      </c>
      <c r="AY117" s="156">
        <f t="shared" si="106"/>
        <v>0</v>
      </c>
      <c r="AZ117" s="156">
        <f t="shared" si="106"/>
        <v>0</v>
      </c>
      <c r="BA117" s="156">
        <f t="shared" si="106"/>
        <v>0</v>
      </c>
      <c r="BB117" s="156">
        <f t="shared" si="106"/>
        <v>0</v>
      </c>
      <c r="BC117" s="156">
        <f t="shared" si="106"/>
        <v>0</v>
      </c>
      <c r="BD117" s="156">
        <f t="shared" si="106"/>
        <v>0</v>
      </c>
      <c r="BE117" s="156">
        <f t="shared" si="106"/>
        <v>388500000</v>
      </c>
      <c r="BF117" s="156">
        <f t="shared" si="107"/>
        <v>388500000</v>
      </c>
      <c r="BG117" s="156">
        <f t="shared" si="106"/>
        <v>0</v>
      </c>
      <c r="BH117" s="156">
        <f t="shared" si="146"/>
        <v>0</v>
      </c>
      <c r="BI117" s="156">
        <f t="shared" si="146"/>
        <v>0</v>
      </c>
      <c r="BJ117" s="156">
        <f t="shared" si="146"/>
        <v>0</v>
      </c>
      <c r="BK117" s="156">
        <f t="shared" si="146"/>
        <v>0</v>
      </c>
      <c r="BL117" s="156"/>
      <c r="BM117" s="156"/>
      <c r="BN117" s="156"/>
      <c r="BO117" s="156"/>
      <c r="BP117" s="156"/>
      <c r="BQ117" s="156"/>
      <c r="BR117" s="156"/>
      <c r="BS117" s="156">
        <f t="shared" si="109"/>
        <v>0</v>
      </c>
      <c r="BT117" s="156">
        <f t="shared" si="147"/>
        <v>388500000</v>
      </c>
      <c r="BU117" s="157" t="str">
        <f t="shared" si="148"/>
        <v>OK</v>
      </c>
      <c r="BV117" s="161"/>
      <c r="BW117" s="161"/>
      <c r="BX117" s="161"/>
      <c r="BY117" s="161"/>
      <c r="BZ117" s="161"/>
      <c r="CA117" s="161"/>
      <c r="CB117" s="161"/>
      <c r="CC117" s="161"/>
    </row>
    <row r="118" spans="1:81" s="158" customFormat="1">
      <c r="A118" s="153">
        <v>317</v>
      </c>
      <c r="B118" s="300">
        <v>17</v>
      </c>
      <c r="C118" s="300" t="s">
        <v>133</v>
      </c>
      <c r="D118" s="297" t="s">
        <v>2262</v>
      </c>
      <c r="E118" s="274">
        <v>1221000000</v>
      </c>
      <c r="F118" s="301"/>
      <c r="G118" s="297"/>
      <c r="H118" s="276">
        <f t="shared" si="142"/>
        <v>385359693</v>
      </c>
      <c r="I118" s="276">
        <v>835640307</v>
      </c>
      <c r="J118" s="297">
        <v>835640307</v>
      </c>
      <c r="K118" s="278">
        <v>835640307</v>
      </c>
      <c r="L118" s="278">
        <v>0</v>
      </c>
      <c r="M118" s="278">
        <f>J118-K118</f>
        <v>0</v>
      </c>
      <c r="N118" s="467" t="s">
        <v>2441</v>
      </c>
      <c r="O118" s="154">
        <f>+SUMIFS(db_Sum,db_Bln,O$6,db_Kode,$A118)</f>
        <v>0</v>
      </c>
      <c r="P118" s="155">
        <f t="shared" si="143"/>
        <v>0</v>
      </c>
      <c r="Q118" s="156">
        <f t="shared" si="144"/>
        <v>0</v>
      </c>
      <c r="R118" s="156">
        <f t="shared" si="144"/>
        <v>0</v>
      </c>
      <c r="S118" s="156">
        <f t="shared" si="144"/>
        <v>0</v>
      </c>
      <c r="T118" s="156">
        <f t="shared" si="144"/>
        <v>0</v>
      </c>
      <c r="U118" s="156">
        <f t="shared" si="144"/>
        <v>0</v>
      </c>
      <c r="V118" s="156">
        <f t="shared" si="144"/>
        <v>0</v>
      </c>
      <c r="W118" s="156">
        <f t="shared" si="144"/>
        <v>0</v>
      </c>
      <c r="X118" s="156">
        <f t="shared" si="144"/>
        <v>0</v>
      </c>
      <c r="Y118" s="156">
        <f t="shared" si="144"/>
        <v>0</v>
      </c>
      <c r="Z118" s="156">
        <f t="shared" si="144"/>
        <v>0</v>
      </c>
      <c r="AA118" s="156">
        <f t="shared" si="144"/>
        <v>0</v>
      </c>
      <c r="AB118" s="156">
        <f t="shared" si="144"/>
        <v>0</v>
      </c>
      <c r="AC118" s="156">
        <f t="shared" si="144"/>
        <v>0</v>
      </c>
      <c r="AD118" s="156">
        <f t="shared" si="144"/>
        <v>0</v>
      </c>
      <c r="AE118" s="156">
        <f t="shared" si="144"/>
        <v>0</v>
      </c>
      <c r="AF118" s="156">
        <f t="shared" si="103"/>
        <v>0</v>
      </c>
      <c r="AG118" s="156">
        <f t="shared" si="145"/>
        <v>0</v>
      </c>
      <c r="AH118" s="156">
        <f t="shared" si="145"/>
        <v>0</v>
      </c>
      <c r="AI118" s="156">
        <f t="shared" si="145"/>
        <v>0</v>
      </c>
      <c r="AJ118" s="156">
        <f t="shared" si="145"/>
        <v>0</v>
      </c>
      <c r="AK118" s="156">
        <f t="shared" si="145"/>
        <v>0</v>
      </c>
      <c r="AL118" s="156">
        <f t="shared" si="145"/>
        <v>0</v>
      </c>
      <c r="AM118" s="156">
        <f t="shared" si="145"/>
        <v>0</v>
      </c>
      <c r="AN118" s="156">
        <f t="shared" si="145"/>
        <v>0</v>
      </c>
      <c r="AO118" s="156">
        <f t="shared" si="145"/>
        <v>0</v>
      </c>
      <c r="AP118" s="156">
        <f t="shared" si="145"/>
        <v>0</v>
      </c>
      <c r="AQ118" s="156">
        <f t="shared" si="145"/>
        <v>0</v>
      </c>
      <c r="AR118" s="156">
        <f t="shared" si="145"/>
        <v>0</v>
      </c>
      <c r="AS118" s="156">
        <f t="shared" si="105"/>
        <v>0</v>
      </c>
      <c r="AT118" s="156">
        <f t="shared" si="106"/>
        <v>0</v>
      </c>
      <c r="AU118" s="156">
        <f t="shared" si="106"/>
        <v>0</v>
      </c>
      <c r="AV118" s="156">
        <f t="shared" si="106"/>
        <v>0</v>
      </c>
      <c r="AW118" s="156">
        <f t="shared" si="106"/>
        <v>0</v>
      </c>
      <c r="AX118" s="156">
        <f t="shared" si="106"/>
        <v>0</v>
      </c>
      <c r="AY118" s="156">
        <f t="shared" si="106"/>
        <v>0</v>
      </c>
      <c r="AZ118" s="156">
        <f t="shared" si="106"/>
        <v>39945000</v>
      </c>
      <c r="BA118" s="156">
        <f t="shared" ref="BA118:BG118" si="149">+SUMIFS(db_Sum,db_Bln,BA$6,db_Kode,$A118)</f>
        <v>-39625000</v>
      </c>
      <c r="BB118" s="156">
        <f t="shared" si="149"/>
        <v>0</v>
      </c>
      <c r="BC118" s="156">
        <f t="shared" si="149"/>
        <v>318126000</v>
      </c>
      <c r="BD118" s="156">
        <f t="shared" si="149"/>
        <v>0</v>
      </c>
      <c r="BE118" s="156">
        <f t="shared" si="149"/>
        <v>503524675</v>
      </c>
      <c r="BF118" s="156">
        <f t="shared" si="107"/>
        <v>821970675</v>
      </c>
      <c r="BG118" s="156">
        <f t="shared" si="149"/>
        <v>0</v>
      </c>
      <c r="BH118" s="156">
        <f t="shared" si="146"/>
        <v>0</v>
      </c>
      <c r="BI118" s="156">
        <f t="shared" si="146"/>
        <v>0</v>
      </c>
      <c r="BJ118" s="156">
        <f t="shared" si="146"/>
        <v>0</v>
      </c>
      <c r="BK118" s="156">
        <f t="shared" si="146"/>
        <v>0</v>
      </c>
      <c r="BL118" s="156"/>
      <c r="BM118" s="156"/>
      <c r="BN118" s="156"/>
      <c r="BO118" s="156"/>
      <c r="BP118" s="156"/>
      <c r="BQ118" s="156"/>
      <c r="BR118" s="156"/>
      <c r="BS118" s="156">
        <f t="shared" si="109"/>
        <v>0</v>
      </c>
      <c r="BT118" s="156">
        <f t="shared" si="147"/>
        <v>821970675</v>
      </c>
      <c r="BU118" s="157" t="str">
        <f t="shared" si="148"/>
        <v>ERROR</v>
      </c>
      <c r="BV118" s="161"/>
      <c r="BW118" s="161"/>
      <c r="BX118" s="161"/>
      <c r="BY118" s="161"/>
      <c r="BZ118" s="161"/>
      <c r="CA118" s="161"/>
      <c r="CB118" s="161"/>
      <c r="CC118" s="161"/>
    </row>
    <row r="119" spans="1:81" s="158" customFormat="1">
      <c r="A119" s="153">
        <v>318</v>
      </c>
      <c r="B119" s="300">
        <v>18</v>
      </c>
      <c r="C119" s="300" t="s">
        <v>17</v>
      </c>
      <c r="D119" s="297" t="s">
        <v>49</v>
      </c>
      <c r="E119" s="297">
        <v>6104000000</v>
      </c>
      <c r="F119" s="301" t="s">
        <v>89</v>
      </c>
      <c r="G119" s="297" t="s">
        <v>49</v>
      </c>
      <c r="H119" s="276">
        <f t="shared" si="142"/>
        <v>661894320.25</v>
      </c>
      <c r="I119" s="276">
        <v>5442105679.75</v>
      </c>
      <c r="J119" s="297">
        <v>5442105679.75</v>
      </c>
      <c r="K119" s="278">
        <f>+O119+Q119+R119+S119+AF119+AS119+BF119+BS119</f>
        <v>5442105679.75</v>
      </c>
      <c r="L119" s="278">
        <v>0</v>
      </c>
      <c r="M119" s="278">
        <f>J119-K119</f>
        <v>0</v>
      </c>
      <c r="N119" s="469" t="s">
        <v>2461</v>
      </c>
      <c r="O119" s="154">
        <f>+SUMIFS(db_Sum,db_Bln,O$6,db_Kode,$A119)</f>
        <v>0</v>
      </c>
      <c r="P119" s="155">
        <f t="shared" si="143"/>
        <v>0</v>
      </c>
      <c r="Q119" s="156">
        <f t="shared" si="144"/>
        <v>0</v>
      </c>
      <c r="R119" s="156">
        <f t="shared" si="144"/>
        <v>0</v>
      </c>
      <c r="S119" s="156">
        <f t="shared" si="144"/>
        <v>0</v>
      </c>
      <c r="T119" s="156">
        <f t="shared" si="144"/>
        <v>0</v>
      </c>
      <c r="U119" s="156">
        <f t="shared" si="144"/>
        <v>0</v>
      </c>
      <c r="V119" s="156">
        <f t="shared" si="144"/>
        <v>0</v>
      </c>
      <c r="W119" s="156">
        <f t="shared" si="144"/>
        <v>0</v>
      </c>
      <c r="X119" s="156">
        <f t="shared" si="144"/>
        <v>0</v>
      </c>
      <c r="Y119" s="156">
        <f t="shared" si="144"/>
        <v>0</v>
      </c>
      <c r="Z119" s="156">
        <f t="shared" si="144"/>
        <v>0</v>
      </c>
      <c r="AA119" s="156">
        <f t="shared" si="144"/>
        <v>0</v>
      </c>
      <c r="AB119" s="156">
        <f t="shared" si="144"/>
        <v>0</v>
      </c>
      <c r="AC119" s="156">
        <f t="shared" si="144"/>
        <v>0</v>
      </c>
      <c r="AD119" s="156">
        <f t="shared" si="144"/>
        <v>0</v>
      </c>
      <c r="AE119" s="156">
        <f t="shared" si="144"/>
        <v>0</v>
      </c>
      <c r="AF119" s="156">
        <f t="shared" si="103"/>
        <v>0</v>
      </c>
      <c r="AG119" s="156">
        <f t="shared" si="145"/>
        <v>0</v>
      </c>
      <c r="AH119" s="156">
        <f t="shared" si="145"/>
        <v>0</v>
      </c>
      <c r="AI119" s="156">
        <f t="shared" si="145"/>
        <v>0</v>
      </c>
      <c r="AJ119" s="156">
        <f t="shared" si="145"/>
        <v>0</v>
      </c>
      <c r="AK119" s="156">
        <f t="shared" si="145"/>
        <v>0</v>
      </c>
      <c r="AL119" s="156">
        <f t="shared" si="145"/>
        <v>0</v>
      </c>
      <c r="AM119" s="156">
        <f t="shared" si="145"/>
        <v>0</v>
      </c>
      <c r="AN119" s="156">
        <f t="shared" si="145"/>
        <v>0</v>
      </c>
      <c r="AO119" s="156">
        <f t="shared" si="145"/>
        <v>0</v>
      </c>
      <c r="AP119" s="156">
        <f t="shared" si="145"/>
        <v>5442000000</v>
      </c>
      <c r="AQ119" s="156">
        <f t="shared" si="145"/>
        <v>0</v>
      </c>
      <c r="AR119" s="156">
        <f t="shared" si="145"/>
        <v>0</v>
      </c>
      <c r="AS119" s="156">
        <f t="shared" si="105"/>
        <v>5442000000</v>
      </c>
      <c r="AT119" s="156">
        <f t="shared" ref="AT119:BI121" si="150">+SUMIFS(db_Sum,db_Bln,AT$6,db_Kode,$A119)</f>
        <v>0</v>
      </c>
      <c r="AU119" s="156">
        <f t="shared" si="150"/>
        <v>0</v>
      </c>
      <c r="AV119" s="156">
        <f t="shared" si="150"/>
        <v>0</v>
      </c>
      <c r="AW119" s="156">
        <f t="shared" si="150"/>
        <v>0</v>
      </c>
      <c r="AX119" s="156">
        <f t="shared" si="150"/>
        <v>0</v>
      </c>
      <c r="AY119" s="156">
        <f t="shared" si="150"/>
        <v>0</v>
      </c>
      <c r="AZ119" s="156">
        <f t="shared" si="150"/>
        <v>0</v>
      </c>
      <c r="BA119" s="156">
        <f t="shared" si="150"/>
        <v>0</v>
      </c>
      <c r="BB119" s="156">
        <f t="shared" si="150"/>
        <v>0</v>
      </c>
      <c r="BC119" s="156">
        <f t="shared" si="150"/>
        <v>0</v>
      </c>
      <c r="BD119" s="156">
        <f t="shared" si="150"/>
        <v>0</v>
      </c>
      <c r="BE119" s="156">
        <f t="shared" si="150"/>
        <v>105679.75</v>
      </c>
      <c r="BF119" s="156">
        <f t="shared" si="107"/>
        <v>105679.75</v>
      </c>
      <c r="BG119" s="156">
        <f t="shared" si="150"/>
        <v>0</v>
      </c>
      <c r="BH119" s="156">
        <f t="shared" si="146"/>
        <v>0</v>
      </c>
      <c r="BI119" s="156">
        <f t="shared" si="146"/>
        <v>0</v>
      </c>
      <c r="BJ119" s="156">
        <f t="shared" si="146"/>
        <v>0</v>
      </c>
      <c r="BK119" s="156">
        <f t="shared" si="146"/>
        <v>0</v>
      </c>
      <c r="BL119" s="156"/>
      <c r="BM119" s="156"/>
      <c r="BN119" s="156"/>
      <c r="BO119" s="156"/>
      <c r="BP119" s="156"/>
      <c r="BQ119" s="156"/>
      <c r="BR119" s="156"/>
      <c r="BS119" s="156">
        <f t="shared" si="109"/>
        <v>0</v>
      </c>
      <c r="BT119" s="156">
        <f t="shared" si="147"/>
        <v>5442105679.75</v>
      </c>
      <c r="BU119" s="157" t="str">
        <f t="shared" si="148"/>
        <v>OK</v>
      </c>
      <c r="BV119" s="161"/>
      <c r="BW119" s="161"/>
      <c r="BX119" s="161"/>
      <c r="BY119" s="161"/>
      <c r="BZ119" s="161"/>
      <c r="CA119" s="161"/>
      <c r="CB119" s="161"/>
      <c r="CC119" s="161"/>
    </row>
    <row r="120" spans="1:81" s="158" customFormat="1">
      <c r="A120" s="153" t="s">
        <v>2365</v>
      </c>
      <c r="B120" s="300">
        <v>19</v>
      </c>
      <c r="C120" s="300" t="s">
        <v>2366</v>
      </c>
      <c r="D120" s="297"/>
      <c r="E120" s="274">
        <v>0</v>
      </c>
      <c r="F120" s="275"/>
      <c r="G120" s="297"/>
      <c r="H120" s="276">
        <f t="shared" si="142"/>
        <v>-514484982</v>
      </c>
      <c r="I120" s="276">
        <v>514484982</v>
      </c>
      <c r="J120" s="297">
        <v>514484982</v>
      </c>
      <c r="K120" s="278">
        <f>+O120+Q120+R120+S120+AF120+AS120+BF120+BS120</f>
        <v>514484982</v>
      </c>
      <c r="L120" s="278">
        <v>0</v>
      </c>
      <c r="M120" s="278">
        <v>0</v>
      </c>
      <c r="N120" s="467" t="s">
        <v>2441</v>
      </c>
      <c r="O120" s="154"/>
      <c r="P120" s="155">
        <f t="shared" si="143"/>
        <v>0</v>
      </c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56"/>
      <c r="AC120" s="156"/>
      <c r="AD120" s="156"/>
      <c r="AE120" s="156"/>
      <c r="AF120" s="156"/>
      <c r="AG120" s="156">
        <f t="shared" si="145"/>
        <v>0</v>
      </c>
      <c r="AH120" s="156">
        <f t="shared" si="145"/>
        <v>0</v>
      </c>
      <c r="AI120" s="156">
        <f t="shared" si="145"/>
        <v>0</v>
      </c>
      <c r="AJ120" s="156">
        <f t="shared" si="145"/>
        <v>0</v>
      </c>
      <c r="AK120" s="156">
        <f t="shared" si="145"/>
        <v>0</v>
      </c>
      <c r="AL120" s="156">
        <f t="shared" si="145"/>
        <v>0</v>
      </c>
      <c r="AM120" s="156">
        <f t="shared" si="145"/>
        <v>0</v>
      </c>
      <c r="AN120" s="156">
        <f t="shared" si="145"/>
        <v>0</v>
      </c>
      <c r="AO120" s="156">
        <f t="shared" si="145"/>
        <v>0</v>
      </c>
      <c r="AP120" s="156">
        <f t="shared" si="145"/>
        <v>0</v>
      </c>
      <c r="AQ120" s="156">
        <f t="shared" si="145"/>
        <v>0</v>
      </c>
      <c r="AR120" s="156">
        <f t="shared" si="145"/>
        <v>0</v>
      </c>
      <c r="AS120" s="156">
        <f t="shared" si="105"/>
        <v>0</v>
      </c>
      <c r="AT120" s="156">
        <f t="shared" si="145"/>
        <v>507084982</v>
      </c>
      <c r="AU120" s="156">
        <f t="shared" si="145"/>
        <v>7400000</v>
      </c>
      <c r="AV120" s="156">
        <f t="shared" si="145"/>
        <v>0</v>
      </c>
      <c r="AW120" s="156">
        <f t="shared" si="150"/>
        <v>0</v>
      </c>
      <c r="AX120" s="156">
        <f t="shared" si="150"/>
        <v>0</v>
      </c>
      <c r="AY120" s="156">
        <f t="shared" si="150"/>
        <v>0</v>
      </c>
      <c r="AZ120" s="156">
        <f t="shared" si="150"/>
        <v>0</v>
      </c>
      <c r="BA120" s="156">
        <f t="shared" si="150"/>
        <v>0</v>
      </c>
      <c r="BB120" s="156">
        <f t="shared" si="150"/>
        <v>0</v>
      </c>
      <c r="BC120" s="156">
        <f t="shared" si="150"/>
        <v>0</v>
      </c>
      <c r="BD120" s="156">
        <f t="shared" si="150"/>
        <v>0</v>
      </c>
      <c r="BE120" s="156">
        <f t="shared" si="150"/>
        <v>0</v>
      </c>
      <c r="BF120" s="156">
        <f t="shared" ref="BF120" si="151">+SUM(AT120:BE120)</f>
        <v>514484982</v>
      </c>
      <c r="BG120" s="156">
        <f t="shared" si="150"/>
        <v>0</v>
      </c>
      <c r="BH120" s="156">
        <f t="shared" si="150"/>
        <v>0</v>
      </c>
      <c r="BI120" s="156">
        <f t="shared" si="150"/>
        <v>0</v>
      </c>
      <c r="BJ120" s="156">
        <f t="shared" si="146"/>
        <v>0</v>
      </c>
      <c r="BK120" s="156">
        <f t="shared" si="146"/>
        <v>0</v>
      </c>
      <c r="BL120" s="156"/>
      <c r="BM120" s="156"/>
      <c r="BN120" s="156"/>
      <c r="BO120" s="156"/>
      <c r="BP120" s="156"/>
      <c r="BQ120" s="156"/>
      <c r="BR120" s="156"/>
      <c r="BS120" s="156">
        <f>+SUM(BG120:BR120)</f>
        <v>0</v>
      </c>
      <c r="BT120" s="156">
        <f t="shared" si="147"/>
        <v>514484982</v>
      </c>
      <c r="BU120" s="157" t="str">
        <f t="shared" si="148"/>
        <v>OK</v>
      </c>
      <c r="BV120" s="161"/>
      <c r="BW120" s="161"/>
      <c r="BX120" s="161"/>
      <c r="BY120" s="161"/>
      <c r="BZ120" s="161"/>
      <c r="CA120" s="161"/>
      <c r="CB120" s="161"/>
      <c r="CC120" s="161"/>
    </row>
    <row r="121" spans="1:81" s="180" customFormat="1">
      <c r="A121" s="174" t="s">
        <v>2367</v>
      </c>
      <c r="B121" s="307">
        <v>20</v>
      </c>
      <c r="C121" s="307" t="s">
        <v>2351</v>
      </c>
      <c r="D121" s="308" t="s">
        <v>1104</v>
      </c>
      <c r="E121" s="309">
        <v>0</v>
      </c>
      <c r="F121" s="310"/>
      <c r="G121" s="308"/>
      <c r="H121" s="311">
        <f t="shared" si="142"/>
        <v>-572878104</v>
      </c>
      <c r="I121" s="311">
        <v>631474560</v>
      </c>
      <c r="J121" s="308">
        <v>631474560</v>
      </c>
      <c r="K121" s="312">
        <f>+O121+Q121+R121+S121+AF121+AS121+BF121+BS121-K122</f>
        <v>572878104</v>
      </c>
      <c r="L121" s="312">
        <v>0</v>
      </c>
      <c r="M121" s="312">
        <f>J121-K121</f>
        <v>58596456</v>
      </c>
      <c r="N121" s="472" t="s">
        <v>2441</v>
      </c>
      <c r="O121" s="175"/>
      <c r="P121" s="176">
        <f t="shared" si="143"/>
        <v>0</v>
      </c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  <c r="AE121" s="177"/>
      <c r="AF121" s="177"/>
      <c r="AG121" s="177">
        <f t="shared" si="145"/>
        <v>0</v>
      </c>
      <c r="AH121" s="177">
        <f t="shared" si="145"/>
        <v>0</v>
      </c>
      <c r="AI121" s="177">
        <f t="shared" si="145"/>
        <v>0</v>
      </c>
      <c r="AJ121" s="177">
        <f t="shared" si="145"/>
        <v>0</v>
      </c>
      <c r="AK121" s="177">
        <f t="shared" si="145"/>
        <v>0</v>
      </c>
      <c r="AL121" s="177">
        <f t="shared" si="145"/>
        <v>0</v>
      </c>
      <c r="AM121" s="177">
        <f t="shared" si="145"/>
        <v>0</v>
      </c>
      <c r="AN121" s="177">
        <f t="shared" si="145"/>
        <v>0</v>
      </c>
      <c r="AO121" s="177">
        <f t="shared" si="145"/>
        <v>0</v>
      </c>
      <c r="AP121" s="177">
        <f t="shared" si="145"/>
        <v>0</v>
      </c>
      <c r="AQ121" s="177">
        <f t="shared" si="145"/>
        <v>0</v>
      </c>
      <c r="AR121" s="177">
        <f t="shared" si="145"/>
        <v>0</v>
      </c>
      <c r="AS121" s="177">
        <f t="shared" ref="AS121:AS123" si="152">+SUM(AG121:AR121)</f>
        <v>0</v>
      </c>
      <c r="AT121" s="177">
        <f t="shared" si="145"/>
        <v>0</v>
      </c>
      <c r="AU121" s="177">
        <f t="shared" si="145"/>
        <v>0</v>
      </c>
      <c r="AV121" s="177">
        <f t="shared" si="145"/>
        <v>0</v>
      </c>
      <c r="AW121" s="177">
        <f t="shared" si="150"/>
        <v>0</v>
      </c>
      <c r="AX121" s="177">
        <f t="shared" si="150"/>
        <v>0</v>
      </c>
      <c r="AY121" s="177">
        <f t="shared" si="150"/>
        <v>0</v>
      </c>
      <c r="AZ121" s="177">
        <f t="shared" si="150"/>
        <v>0</v>
      </c>
      <c r="BA121" s="177">
        <f t="shared" si="150"/>
        <v>0</v>
      </c>
      <c r="BB121" s="177">
        <f t="shared" si="150"/>
        <v>82188840</v>
      </c>
      <c r="BC121" s="177">
        <f t="shared" si="150"/>
        <v>0</v>
      </c>
      <c r="BD121" s="177">
        <f t="shared" si="150"/>
        <v>0</v>
      </c>
      <c r="BE121" s="177">
        <f t="shared" si="150"/>
        <v>549285720</v>
      </c>
      <c r="BF121" s="177">
        <f t="shared" ref="BF121:BF123" si="153">+SUM(AT121:BE121)</f>
        <v>631474560</v>
      </c>
      <c r="BG121" s="177">
        <f t="shared" si="150"/>
        <v>0</v>
      </c>
      <c r="BH121" s="177">
        <f t="shared" si="150"/>
        <v>0</v>
      </c>
      <c r="BI121" s="177">
        <f t="shared" si="150"/>
        <v>0</v>
      </c>
      <c r="BJ121" s="177">
        <f t="shared" si="146"/>
        <v>0</v>
      </c>
      <c r="BK121" s="177">
        <f t="shared" si="146"/>
        <v>0</v>
      </c>
      <c r="BL121" s="177"/>
      <c r="BM121" s="177"/>
      <c r="BN121" s="177"/>
      <c r="BO121" s="177"/>
      <c r="BP121" s="177"/>
      <c r="BQ121" s="177"/>
      <c r="BR121" s="177"/>
      <c r="BS121" s="177">
        <f>+SUM(BG121:BR121)</f>
        <v>0</v>
      </c>
      <c r="BT121" s="177">
        <f t="shared" si="147"/>
        <v>631474560</v>
      </c>
      <c r="BU121" s="178" t="str">
        <f t="shared" si="148"/>
        <v>ERROR</v>
      </c>
      <c r="BV121" s="179"/>
      <c r="BW121" s="179"/>
      <c r="BX121" s="179"/>
      <c r="BY121" s="179"/>
      <c r="BZ121" s="179"/>
      <c r="CA121" s="179"/>
      <c r="CB121" s="179"/>
      <c r="CC121" s="179"/>
    </row>
    <row r="122" spans="1:81">
      <c r="B122" s="343"/>
      <c r="C122" s="320" t="s">
        <v>2343</v>
      </c>
      <c r="D122" s="303"/>
      <c r="E122" s="287"/>
      <c r="F122" s="288"/>
      <c r="G122" s="303"/>
      <c r="H122" s="289"/>
      <c r="I122" s="289"/>
      <c r="J122" s="303"/>
      <c r="K122" s="291">
        <v>58596456</v>
      </c>
      <c r="L122" s="291"/>
      <c r="M122" s="291"/>
      <c r="N122" s="473" t="s">
        <v>2447</v>
      </c>
      <c r="O122" s="52"/>
      <c r="P122" s="77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3"/>
      <c r="BV122" s="7"/>
      <c r="BW122" s="7"/>
      <c r="BX122" s="7"/>
      <c r="BY122" s="7"/>
      <c r="BZ122" s="7"/>
      <c r="CA122" s="7"/>
      <c r="CB122" s="7"/>
      <c r="CC122" s="7"/>
    </row>
    <row r="123" spans="1:81" s="158" customFormat="1">
      <c r="A123" s="153" t="s">
        <v>2372</v>
      </c>
      <c r="B123" s="300">
        <v>21</v>
      </c>
      <c r="C123" s="300" t="s">
        <v>2406</v>
      </c>
      <c r="D123" s="297"/>
      <c r="E123" s="274">
        <v>0</v>
      </c>
      <c r="F123" s="275"/>
      <c r="G123" s="297"/>
      <c r="H123" s="276">
        <f t="shared" ref="H123:H132" si="154">E123-K123</f>
        <v>-1204350000</v>
      </c>
      <c r="I123" s="276">
        <v>1204350000</v>
      </c>
      <c r="J123" s="297">
        <v>1204350000</v>
      </c>
      <c r="K123" s="278">
        <f t="shared" ref="K123:K131" si="155">+O123+Q123+R123+S123+AF123+AS123+BF123+BS123</f>
        <v>1204350000</v>
      </c>
      <c r="L123" s="278">
        <v>0</v>
      </c>
      <c r="M123" s="278">
        <f>J123-K123</f>
        <v>0</v>
      </c>
      <c r="N123" s="467" t="s">
        <v>2441</v>
      </c>
      <c r="O123" s="154"/>
      <c r="P123" s="155">
        <f t="shared" ref="P123:P132" si="156">+IF(H123=0,E123-K123,0)</f>
        <v>0</v>
      </c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  <c r="AA123" s="156"/>
      <c r="AB123" s="156"/>
      <c r="AC123" s="156"/>
      <c r="AD123" s="156"/>
      <c r="AE123" s="156"/>
      <c r="AF123" s="156"/>
      <c r="AG123" s="156">
        <f t="shared" ref="AG123:BK131" si="157">+SUMIFS(db_Sum,db_Bln,AG$6,db_Kode,$A123)</f>
        <v>0</v>
      </c>
      <c r="AH123" s="156">
        <f t="shared" si="157"/>
        <v>0</v>
      </c>
      <c r="AI123" s="156">
        <f t="shared" si="157"/>
        <v>0</v>
      </c>
      <c r="AJ123" s="156">
        <f t="shared" si="157"/>
        <v>0</v>
      </c>
      <c r="AK123" s="156">
        <f t="shared" si="157"/>
        <v>0</v>
      </c>
      <c r="AL123" s="156">
        <f t="shared" si="157"/>
        <v>0</v>
      </c>
      <c r="AM123" s="156">
        <f t="shared" si="157"/>
        <v>0</v>
      </c>
      <c r="AN123" s="156">
        <f t="shared" si="157"/>
        <v>0</v>
      </c>
      <c r="AO123" s="156">
        <f t="shared" si="157"/>
        <v>0</v>
      </c>
      <c r="AP123" s="156">
        <f t="shared" si="157"/>
        <v>0</v>
      </c>
      <c r="AQ123" s="156">
        <f t="shared" si="157"/>
        <v>0</v>
      </c>
      <c r="AR123" s="156">
        <f t="shared" si="157"/>
        <v>0</v>
      </c>
      <c r="AS123" s="156">
        <f t="shared" si="152"/>
        <v>0</v>
      </c>
      <c r="AT123" s="156">
        <f t="shared" si="157"/>
        <v>0</v>
      </c>
      <c r="AU123" s="156">
        <f t="shared" si="157"/>
        <v>0</v>
      </c>
      <c r="AV123" s="156">
        <f t="shared" si="157"/>
        <v>1204350000</v>
      </c>
      <c r="AW123" s="156">
        <f t="shared" si="157"/>
        <v>0</v>
      </c>
      <c r="AX123" s="156">
        <f t="shared" si="157"/>
        <v>0</v>
      </c>
      <c r="AY123" s="156">
        <f t="shared" si="157"/>
        <v>0</v>
      </c>
      <c r="AZ123" s="156">
        <f t="shared" si="157"/>
        <v>0</v>
      </c>
      <c r="BA123" s="156">
        <f t="shared" si="157"/>
        <v>0</v>
      </c>
      <c r="BB123" s="156">
        <f t="shared" si="157"/>
        <v>0</v>
      </c>
      <c r="BC123" s="156">
        <f t="shared" si="157"/>
        <v>0</v>
      </c>
      <c r="BD123" s="156">
        <f t="shared" si="157"/>
        <v>0</v>
      </c>
      <c r="BE123" s="156">
        <f t="shared" si="157"/>
        <v>0</v>
      </c>
      <c r="BF123" s="156">
        <f t="shared" si="153"/>
        <v>1204350000</v>
      </c>
      <c r="BG123" s="156">
        <f t="shared" si="157"/>
        <v>0</v>
      </c>
      <c r="BH123" s="156">
        <f t="shared" si="157"/>
        <v>0</v>
      </c>
      <c r="BI123" s="156">
        <f t="shared" si="157"/>
        <v>0</v>
      </c>
      <c r="BJ123" s="156">
        <f t="shared" si="157"/>
        <v>0</v>
      </c>
      <c r="BK123" s="156">
        <f t="shared" si="157"/>
        <v>0</v>
      </c>
      <c r="BL123" s="156"/>
      <c r="BM123" s="156"/>
      <c r="BN123" s="156"/>
      <c r="BO123" s="156"/>
      <c r="BP123" s="156"/>
      <c r="BQ123" s="156"/>
      <c r="BR123" s="156"/>
      <c r="BS123" s="156">
        <f t="shared" ref="BS123:BS128" si="158">+SUM(BG123:BR123)</f>
        <v>0</v>
      </c>
      <c r="BT123" s="156">
        <f t="shared" ref="BT123:BT132" si="159">+SUM(O123,Q123,R123,S123,AF123,AS123,BF123+BS123)</f>
        <v>1204350000</v>
      </c>
      <c r="BU123" s="157" t="str">
        <f t="shared" ref="BU123:BU132" si="160">+IF(K123-BT123=0,"OK","ERROR")</f>
        <v>OK</v>
      </c>
      <c r="BV123" s="161"/>
      <c r="BW123" s="161"/>
      <c r="BX123" s="161"/>
      <c r="BY123" s="161"/>
      <c r="BZ123" s="161"/>
      <c r="CA123" s="161"/>
      <c r="CB123" s="161"/>
      <c r="CC123" s="161"/>
    </row>
    <row r="124" spans="1:81" s="180" customFormat="1">
      <c r="A124" s="174" t="s">
        <v>2378</v>
      </c>
      <c r="B124" s="307">
        <v>22</v>
      </c>
      <c r="C124" s="307" t="s">
        <v>2379</v>
      </c>
      <c r="D124" s="308" t="s">
        <v>44</v>
      </c>
      <c r="E124" s="309">
        <v>0</v>
      </c>
      <c r="F124" s="310"/>
      <c r="G124" s="308"/>
      <c r="H124" s="311">
        <f t="shared" si="154"/>
        <v>-555864579</v>
      </c>
      <c r="I124" s="311">
        <v>1637250000</v>
      </c>
      <c r="J124" s="308">
        <v>1637250000</v>
      </c>
      <c r="K124" s="312">
        <f t="shared" si="155"/>
        <v>555864579</v>
      </c>
      <c r="L124" s="312">
        <v>0</v>
      </c>
      <c r="M124" s="312">
        <f>J124-K124</f>
        <v>1081385421</v>
      </c>
      <c r="N124" s="472" t="s">
        <v>2441</v>
      </c>
      <c r="O124" s="175"/>
      <c r="P124" s="176">
        <f t="shared" si="156"/>
        <v>0</v>
      </c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  <c r="AE124" s="177"/>
      <c r="AF124" s="177"/>
      <c r="AG124" s="177">
        <f t="shared" si="157"/>
        <v>0</v>
      </c>
      <c r="AH124" s="177">
        <f t="shared" si="157"/>
        <v>0</v>
      </c>
      <c r="AI124" s="177">
        <f t="shared" si="157"/>
        <v>0</v>
      </c>
      <c r="AJ124" s="177">
        <f t="shared" si="157"/>
        <v>0</v>
      </c>
      <c r="AK124" s="177">
        <f t="shared" si="157"/>
        <v>0</v>
      </c>
      <c r="AL124" s="177">
        <f t="shared" si="157"/>
        <v>0</v>
      </c>
      <c r="AM124" s="177">
        <f t="shared" si="157"/>
        <v>0</v>
      </c>
      <c r="AN124" s="177">
        <f t="shared" si="157"/>
        <v>0</v>
      </c>
      <c r="AO124" s="177">
        <f t="shared" si="157"/>
        <v>0</v>
      </c>
      <c r="AP124" s="177">
        <f t="shared" si="157"/>
        <v>0</v>
      </c>
      <c r="AQ124" s="177">
        <f t="shared" si="157"/>
        <v>0</v>
      </c>
      <c r="AR124" s="177">
        <f t="shared" si="157"/>
        <v>0</v>
      </c>
      <c r="AS124" s="177">
        <f t="shared" ref="AS124:AS126" si="161">+SUM(AG124:AR124)</f>
        <v>0</v>
      </c>
      <c r="AT124" s="177">
        <f t="shared" si="157"/>
        <v>0</v>
      </c>
      <c r="AU124" s="177">
        <f t="shared" si="157"/>
        <v>0</v>
      </c>
      <c r="AV124" s="177">
        <f t="shared" si="157"/>
        <v>491175000</v>
      </c>
      <c r="AW124" s="177">
        <f t="shared" si="157"/>
        <v>0</v>
      </c>
      <c r="AX124" s="177">
        <f t="shared" si="157"/>
        <v>0</v>
      </c>
      <c r="AY124" s="177">
        <f t="shared" si="157"/>
        <v>0</v>
      </c>
      <c r="AZ124" s="177">
        <f t="shared" si="157"/>
        <v>0</v>
      </c>
      <c r="BA124" s="177">
        <f t="shared" si="157"/>
        <v>0</v>
      </c>
      <c r="BB124" s="177">
        <f t="shared" si="157"/>
        <v>0</v>
      </c>
      <c r="BC124" s="177">
        <f t="shared" si="157"/>
        <v>0</v>
      </c>
      <c r="BD124" s="177">
        <f t="shared" si="157"/>
        <v>0</v>
      </c>
      <c r="BE124" s="177">
        <f t="shared" si="157"/>
        <v>0</v>
      </c>
      <c r="BF124" s="177">
        <f t="shared" ref="BF124" si="162">+SUM(AT124:BE124)</f>
        <v>491175000</v>
      </c>
      <c r="BG124" s="177">
        <f t="shared" si="157"/>
        <v>0</v>
      </c>
      <c r="BH124" s="177">
        <f t="shared" si="157"/>
        <v>40824579</v>
      </c>
      <c r="BI124" s="177">
        <f t="shared" si="157"/>
        <v>0</v>
      </c>
      <c r="BJ124" s="177">
        <f t="shared" si="157"/>
        <v>0</v>
      </c>
      <c r="BK124" s="177">
        <f t="shared" si="157"/>
        <v>23865000</v>
      </c>
      <c r="BL124" s="177"/>
      <c r="BM124" s="177"/>
      <c r="BN124" s="177"/>
      <c r="BO124" s="177"/>
      <c r="BP124" s="177"/>
      <c r="BQ124" s="177"/>
      <c r="BR124" s="177"/>
      <c r="BS124" s="177">
        <f t="shared" si="158"/>
        <v>64689579</v>
      </c>
      <c r="BT124" s="177">
        <f t="shared" si="159"/>
        <v>555864579</v>
      </c>
      <c r="BU124" s="178" t="str">
        <f t="shared" si="160"/>
        <v>OK</v>
      </c>
      <c r="BV124" s="179"/>
      <c r="BW124" s="179"/>
      <c r="BX124" s="179"/>
      <c r="BY124" s="179"/>
      <c r="BZ124" s="179"/>
      <c r="CA124" s="179"/>
      <c r="CB124" s="179"/>
      <c r="CC124" s="179"/>
    </row>
    <row r="125" spans="1:81" s="158" customFormat="1">
      <c r="A125" s="153" t="s">
        <v>2464</v>
      </c>
      <c r="B125" s="300">
        <v>23</v>
      </c>
      <c r="C125" s="300" t="s">
        <v>2526</v>
      </c>
      <c r="D125" s="297"/>
      <c r="E125" s="274">
        <v>0</v>
      </c>
      <c r="F125" s="275"/>
      <c r="G125" s="297"/>
      <c r="H125" s="276">
        <f t="shared" si="154"/>
        <v>-112595659.47</v>
      </c>
      <c r="I125" s="276">
        <v>0</v>
      </c>
      <c r="J125" s="297">
        <v>112595659.47</v>
      </c>
      <c r="K125" s="278">
        <f t="shared" si="155"/>
        <v>112595659.47</v>
      </c>
      <c r="L125" s="278">
        <v>0</v>
      </c>
      <c r="M125" s="278">
        <v>0</v>
      </c>
      <c r="N125" s="467" t="s">
        <v>2498</v>
      </c>
      <c r="O125" s="154"/>
      <c r="P125" s="155">
        <f t="shared" si="156"/>
        <v>0</v>
      </c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  <c r="AA125" s="156"/>
      <c r="AB125" s="156"/>
      <c r="AC125" s="156"/>
      <c r="AD125" s="156"/>
      <c r="AE125" s="156"/>
      <c r="AF125" s="156"/>
      <c r="AG125" s="156">
        <f t="shared" si="157"/>
        <v>0</v>
      </c>
      <c r="AH125" s="156">
        <f t="shared" si="157"/>
        <v>0</v>
      </c>
      <c r="AI125" s="156">
        <f t="shared" si="157"/>
        <v>0</v>
      </c>
      <c r="AJ125" s="156">
        <f t="shared" si="157"/>
        <v>0</v>
      </c>
      <c r="AK125" s="156">
        <f t="shared" si="157"/>
        <v>0</v>
      </c>
      <c r="AL125" s="156">
        <f t="shared" si="157"/>
        <v>0</v>
      </c>
      <c r="AM125" s="156">
        <f t="shared" si="157"/>
        <v>0</v>
      </c>
      <c r="AN125" s="156">
        <f t="shared" si="157"/>
        <v>0</v>
      </c>
      <c r="AO125" s="156">
        <f t="shared" si="157"/>
        <v>0</v>
      </c>
      <c r="AP125" s="156">
        <f t="shared" si="157"/>
        <v>0</v>
      </c>
      <c r="AQ125" s="156">
        <f t="shared" si="157"/>
        <v>0</v>
      </c>
      <c r="AR125" s="156">
        <f t="shared" si="157"/>
        <v>0</v>
      </c>
      <c r="AS125" s="156">
        <f t="shared" si="161"/>
        <v>0</v>
      </c>
      <c r="AT125" s="156">
        <f t="shared" si="157"/>
        <v>0</v>
      </c>
      <c r="AU125" s="156">
        <f t="shared" si="157"/>
        <v>0</v>
      </c>
      <c r="AV125" s="156">
        <f t="shared" si="157"/>
        <v>0</v>
      </c>
      <c r="AW125" s="156">
        <f t="shared" si="157"/>
        <v>0</v>
      </c>
      <c r="AX125" s="156">
        <f t="shared" si="157"/>
        <v>0</v>
      </c>
      <c r="AY125" s="156">
        <f t="shared" si="157"/>
        <v>0</v>
      </c>
      <c r="AZ125" s="156">
        <f t="shared" si="157"/>
        <v>0</v>
      </c>
      <c r="BA125" s="156">
        <f t="shared" si="157"/>
        <v>0</v>
      </c>
      <c r="BB125" s="156">
        <f t="shared" si="157"/>
        <v>0</v>
      </c>
      <c r="BC125" s="156">
        <f t="shared" si="157"/>
        <v>0</v>
      </c>
      <c r="BD125" s="156">
        <f t="shared" si="157"/>
        <v>0</v>
      </c>
      <c r="BE125" s="156">
        <f t="shared" si="157"/>
        <v>47730000</v>
      </c>
      <c r="BF125" s="156">
        <f t="shared" ref="BF125" si="163">+SUM(AT125:BE125)</f>
        <v>47730000</v>
      </c>
      <c r="BG125" s="156">
        <f t="shared" si="157"/>
        <v>0</v>
      </c>
      <c r="BH125" s="156">
        <f t="shared" si="157"/>
        <v>0</v>
      </c>
      <c r="BI125" s="156">
        <f t="shared" si="157"/>
        <v>29853484.469999999</v>
      </c>
      <c r="BJ125" s="156">
        <f t="shared" si="157"/>
        <v>35012175</v>
      </c>
      <c r="BK125" s="156">
        <f t="shared" si="157"/>
        <v>0</v>
      </c>
      <c r="BL125" s="156"/>
      <c r="BM125" s="156"/>
      <c r="BN125" s="156"/>
      <c r="BO125" s="156"/>
      <c r="BP125" s="156"/>
      <c r="BQ125" s="156"/>
      <c r="BR125" s="156"/>
      <c r="BS125" s="156">
        <f t="shared" si="158"/>
        <v>64865659.469999999</v>
      </c>
      <c r="BT125" s="156">
        <f t="shared" si="159"/>
        <v>112595659.47</v>
      </c>
      <c r="BU125" s="157" t="str">
        <f t="shared" si="160"/>
        <v>OK</v>
      </c>
      <c r="BV125" s="161"/>
      <c r="BW125" s="161"/>
      <c r="BX125" s="161"/>
      <c r="BY125" s="161"/>
      <c r="BZ125" s="161"/>
      <c r="CA125" s="161"/>
      <c r="CB125" s="161"/>
      <c r="CC125" s="161"/>
    </row>
    <row r="126" spans="1:81" s="158" customFormat="1">
      <c r="A126" s="153" t="s">
        <v>2465</v>
      </c>
      <c r="B126" s="300">
        <v>24</v>
      </c>
      <c r="C126" s="300" t="s">
        <v>2468</v>
      </c>
      <c r="D126" s="297"/>
      <c r="E126" s="274">
        <v>0</v>
      </c>
      <c r="F126" s="275"/>
      <c r="G126" s="297"/>
      <c r="H126" s="276">
        <f t="shared" si="154"/>
        <v>-225774000</v>
      </c>
      <c r="I126" s="276">
        <v>0</v>
      </c>
      <c r="J126" s="297">
        <v>225774000</v>
      </c>
      <c r="K126" s="278">
        <f t="shared" si="155"/>
        <v>225774000</v>
      </c>
      <c r="L126" s="278">
        <v>0</v>
      </c>
      <c r="M126" s="278">
        <v>0</v>
      </c>
      <c r="N126" s="467" t="s">
        <v>2441</v>
      </c>
      <c r="O126" s="154"/>
      <c r="P126" s="155">
        <f t="shared" si="156"/>
        <v>0</v>
      </c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  <c r="AA126" s="156"/>
      <c r="AB126" s="156"/>
      <c r="AC126" s="156"/>
      <c r="AD126" s="156"/>
      <c r="AE126" s="156"/>
      <c r="AF126" s="156"/>
      <c r="AG126" s="156">
        <f t="shared" si="157"/>
        <v>0</v>
      </c>
      <c r="AH126" s="156">
        <f t="shared" si="157"/>
        <v>0</v>
      </c>
      <c r="AI126" s="156">
        <f t="shared" si="157"/>
        <v>0</v>
      </c>
      <c r="AJ126" s="156">
        <f t="shared" si="157"/>
        <v>0</v>
      </c>
      <c r="AK126" s="156">
        <f t="shared" si="157"/>
        <v>0</v>
      </c>
      <c r="AL126" s="156">
        <f t="shared" si="157"/>
        <v>0</v>
      </c>
      <c r="AM126" s="156">
        <f t="shared" si="157"/>
        <v>0</v>
      </c>
      <c r="AN126" s="156">
        <f t="shared" si="157"/>
        <v>0</v>
      </c>
      <c r="AO126" s="156">
        <f t="shared" si="157"/>
        <v>0</v>
      </c>
      <c r="AP126" s="156">
        <f t="shared" si="157"/>
        <v>0</v>
      </c>
      <c r="AQ126" s="156">
        <f t="shared" si="157"/>
        <v>0</v>
      </c>
      <c r="AR126" s="156">
        <f t="shared" si="157"/>
        <v>0</v>
      </c>
      <c r="AS126" s="156">
        <f t="shared" si="161"/>
        <v>0</v>
      </c>
      <c r="AT126" s="156">
        <f t="shared" si="157"/>
        <v>0</v>
      </c>
      <c r="AU126" s="156">
        <f t="shared" si="157"/>
        <v>0</v>
      </c>
      <c r="AV126" s="156">
        <f t="shared" si="157"/>
        <v>0</v>
      </c>
      <c r="AW126" s="156">
        <f t="shared" si="157"/>
        <v>0</v>
      </c>
      <c r="AX126" s="156">
        <f t="shared" si="157"/>
        <v>0</v>
      </c>
      <c r="AY126" s="156">
        <f t="shared" si="157"/>
        <v>0</v>
      </c>
      <c r="AZ126" s="156">
        <f t="shared" si="157"/>
        <v>0</v>
      </c>
      <c r="BA126" s="156">
        <f t="shared" si="157"/>
        <v>0</v>
      </c>
      <c r="BB126" s="156">
        <f t="shared" si="157"/>
        <v>0</v>
      </c>
      <c r="BC126" s="156">
        <f t="shared" si="157"/>
        <v>0</v>
      </c>
      <c r="BD126" s="156">
        <f t="shared" si="157"/>
        <v>0</v>
      </c>
      <c r="BE126" s="156">
        <f t="shared" si="157"/>
        <v>0</v>
      </c>
      <c r="BF126" s="156">
        <f t="shared" ref="BF126" si="164">+SUM(AT126:BE126)</f>
        <v>0</v>
      </c>
      <c r="BG126" s="156">
        <f t="shared" si="157"/>
        <v>225774000</v>
      </c>
      <c r="BH126" s="156">
        <f t="shared" si="157"/>
        <v>0</v>
      </c>
      <c r="BI126" s="156">
        <f t="shared" si="157"/>
        <v>0</v>
      </c>
      <c r="BJ126" s="156">
        <f t="shared" si="157"/>
        <v>0</v>
      </c>
      <c r="BK126" s="156">
        <f t="shared" si="157"/>
        <v>0</v>
      </c>
      <c r="BL126" s="156"/>
      <c r="BM126" s="156"/>
      <c r="BN126" s="156"/>
      <c r="BO126" s="156"/>
      <c r="BP126" s="156"/>
      <c r="BQ126" s="156"/>
      <c r="BR126" s="156"/>
      <c r="BS126" s="156">
        <f t="shared" si="158"/>
        <v>225774000</v>
      </c>
      <c r="BT126" s="156">
        <f t="shared" si="159"/>
        <v>225774000</v>
      </c>
      <c r="BU126" s="157" t="str">
        <f t="shared" si="160"/>
        <v>OK</v>
      </c>
      <c r="BV126" s="161"/>
      <c r="BW126" s="161"/>
      <c r="BX126" s="161"/>
      <c r="BY126" s="161"/>
      <c r="BZ126" s="161"/>
      <c r="CA126" s="161"/>
      <c r="CB126" s="161"/>
      <c r="CC126" s="161"/>
    </row>
    <row r="127" spans="1:81" s="158" customFormat="1">
      <c r="A127" s="153" t="s">
        <v>2466</v>
      </c>
      <c r="B127" s="300">
        <v>25</v>
      </c>
      <c r="C127" s="300" t="s">
        <v>2383</v>
      </c>
      <c r="D127" s="297"/>
      <c r="E127" s="274">
        <v>0</v>
      </c>
      <c r="F127" s="275"/>
      <c r="G127" s="297"/>
      <c r="H127" s="276">
        <f t="shared" si="154"/>
        <v>-119648750</v>
      </c>
      <c r="I127" s="276">
        <v>0</v>
      </c>
      <c r="J127" s="297">
        <v>119648750</v>
      </c>
      <c r="K127" s="278">
        <f t="shared" si="155"/>
        <v>119648750</v>
      </c>
      <c r="L127" s="278">
        <v>0</v>
      </c>
      <c r="M127" s="278">
        <v>0</v>
      </c>
      <c r="N127" s="467" t="s">
        <v>2441</v>
      </c>
      <c r="O127" s="154"/>
      <c r="P127" s="155">
        <f t="shared" si="156"/>
        <v>0</v>
      </c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  <c r="AA127" s="156"/>
      <c r="AB127" s="156"/>
      <c r="AC127" s="156"/>
      <c r="AD127" s="156"/>
      <c r="AE127" s="156"/>
      <c r="AF127" s="156"/>
      <c r="AG127" s="156">
        <f t="shared" si="157"/>
        <v>0</v>
      </c>
      <c r="AH127" s="156">
        <f t="shared" si="157"/>
        <v>0</v>
      </c>
      <c r="AI127" s="156">
        <f t="shared" si="157"/>
        <v>0</v>
      </c>
      <c r="AJ127" s="156">
        <f t="shared" si="157"/>
        <v>0</v>
      </c>
      <c r="AK127" s="156">
        <f t="shared" si="157"/>
        <v>0</v>
      </c>
      <c r="AL127" s="156">
        <f t="shared" si="157"/>
        <v>0</v>
      </c>
      <c r="AM127" s="156">
        <f t="shared" si="157"/>
        <v>0</v>
      </c>
      <c r="AN127" s="156">
        <f t="shared" si="157"/>
        <v>0</v>
      </c>
      <c r="AO127" s="156">
        <f t="shared" si="157"/>
        <v>0</v>
      </c>
      <c r="AP127" s="156">
        <f t="shared" si="157"/>
        <v>0</v>
      </c>
      <c r="AQ127" s="156">
        <f t="shared" si="157"/>
        <v>0</v>
      </c>
      <c r="AR127" s="156">
        <f t="shared" si="157"/>
        <v>0</v>
      </c>
      <c r="AS127" s="156">
        <f t="shared" ref="AS127:AS128" si="165">+SUM(AG127:AR127)</f>
        <v>0</v>
      </c>
      <c r="AT127" s="156">
        <f t="shared" si="157"/>
        <v>0</v>
      </c>
      <c r="AU127" s="156">
        <f t="shared" si="157"/>
        <v>0</v>
      </c>
      <c r="AV127" s="156">
        <f t="shared" si="157"/>
        <v>0</v>
      </c>
      <c r="AW127" s="156">
        <f t="shared" si="157"/>
        <v>0</v>
      </c>
      <c r="AX127" s="156">
        <f t="shared" si="157"/>
        <v>0</v>
      </c>
      <c r="AY127" s="156">
        <f t="shared" si="157"/>
        <v>0</v>
      </c>
      <c r="AZ127" s="156">
        <f t="shared" si="157"/>
        <v>0</v>
      </c>
      <c r="BA127" s="156">
        <f t="shared" si="157"/>
        <v>0</v>
      </c>
      <c r="BB127" s="156">
        <f t="shared" si="157"/>
        <v>0</v>
      </c>
      <c r="BC127" s="156">
        <f t="shared" si="157"/>
        <v>0</v>
      </c>
      <c r="BD127" s="156">
        <f t="shared" si="157"/>
        <v>0</v>
      </c>
      <c r="BE127" s="156">
        <f t="shared" si="157"/>
        <v>0</v>
      </c>
      <c r="BF127" s="156">
        <f t="shared" ref="BF127:BF135" si="166">+SUM(AT127:BE127)</f>
        <v>0</v>
      </c>
      <c r="BG127" s="156">
        <f t="shared" si="157"/>
        <v>0</v>
      </c>
      <c r="BH127" s="156">
        <f t="shared" si="157"/>
        <v>44141000</v>
      </c>
      <c r="BI127" s="156">
        <f t="shared" si="157"/>
        <v>0</v>
      </c>
      <c r="BJ127" s="156">
        <f t="shared" si="157"/>
        <v>75507750</v>
      </c>
      <c r="BK127" s="156">
        <f t="shared" si="157"/>
        <v>0</v>
      </c>
      <c r="BL127" s="156"/>
      <c r="BM127" s="156"/>
      <c r="BN127" s="156"/>
      <c r="BO127" s="156"/>
      <c r="BP127" s="156"/>
      <c r="BQ127" s="156"/>
      <c r="BR127" s="156"/>
      <c r="BS127" s="156">
        <f t="shared" si="158"/>
        <v>119648750</v>
      </c>
      <c r="BT127" s="156">
        <f t="shared" si="159"/>
        <v>119648750</v>
      </c>
      <c r="BU127" s="157" t="str">
        <f t="shared" si="160"/>
        <v>OK</v>
      </c>
      <c r="BV127" s="161"/>
      <c r="BW127" s="161"/>
      <c r="BX127" s="161"/>
      <c r="BY127" s="161"/>
      <c r="BZ127" s="161"/>
      <c r="CA127" s="161"/>
      <c r="CB127" s="161"/>
      <c r="CC127" s="161"/>
    </row>
    <row r="128" spans="1:81" s="158" customFormat="1">
      <c r="A128" s="153" t="s">
        <v>2467</v>
      </c>
      <c r="B128" s="300">
        <v>26</v>
      </c>
      <c r="C128" s="300" t="s">
        <v>2473</v>
      </c>
      <c r="D128" s="297"/>
      <c r="E128" s="274">
        <v>0</v>
      </c>
      <c r="F128" s="275"/>
      <c r="G128" s="297"/>
      <c r="H128" s="276">
        <f t="shared" si="154"/>
        <v>-152307146.28999999</v>
      </c>
      <c r="I128" s="276">
        <v>0</v>
      </c>
      <c r="J128" s="297">
        <v>152307146.28999999</v>
      </c>
      <c r="K128" s="278">
        <f t="shared" si="155"/>
        <v>152307146.28999999</v>
      </c>
      <c r="L128" s="278">
        <v>0</v>
      </c>
      <c r="M128" s="278">
        <v>0</v>
      </c>
      <c r="N128" s="467" t="s">
        <v>2441</v>
      </c>
      <c r="O128" s="154"/>
      <c r="P128" s="155">
        <f t="shared" si="156"/>
        <v>0</v>
      </c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  <c r="AA128" s="156"/>
      <c r="AB128" s="156"/>
      <c r="AC128" s="156"/>
      <c r="AD128" s="156"/>
      <c r="AE128" s="156"/>
      <c r="AF128" s="156"/>
      <c r="AG128" s="156">
        <f t="shared" si="157"/>
        <v>0</v>
      </c>
      <c r="AH128" s="156">
        <f t="shared" si="157"/>
        <v>0</v>
      </c>
      <c r="AI128" s="156">
        <f t="shared" si="157"/>
        <v>0</v>
      </c>
      <c r="AJ128" s="156">
        <f t="shared" si="157"/>
        <v>0</v>
      </c>
      <c r="AK128" s="156">
        <f t="shared" si="157"/>
        <v>0</v>
      </c>
      <c r="AL128" s="156">
        <f t="shared" si="157"/>
        <v>0</v>
      </c>
      <c r="AM128" s="156">
        <f t="shared" si="157"/>
        <v>0</v>
      </c>
      <c r="AN128" s="156">
        <f t="shared" si="157"/>
        <v>0</v>
      </c>
      <c r="AO128" s="156">
        <f t="shared" si="157"/>
        <v>0</v>
      </c>
      <c r="AP128" s="156">
        <f t="shared" si="157"/>
        <v>0</v>
      </c>
      <c r="AQ128" s="156">
        <f t="shared" si="157"/>
        <v>0</v>
      </c>
      <c r="AR128" s="156">
        <f t="shared" si="157"/>
        <v>0</v>
      </c>
      <c r="AS128" s="156">
        <f t="shared" si="165"/>
        <v>0</v>
      </c>
      <c r="AT128" s="156">
        <f t="shared" si="157"/>
        <v>0</v>
      </c>
      <c r="AU128" s="156">
        <f t="shared" si="157"/>
        <v>49900648</v>
      </c>
      <c r="AV128" s="156">
        <f t="shared" si="157"/>
        <v>0</v>
      </c>
      <c r="AW128" s="156">
        <f t="shared" si="157"/>
        <v>0</v>
      </c>
      <c r="AX128" s="156">
        <f t="shared" si="157"/>
        <v>0</v>
      </c>
      <c r="AY128" s="156">
        <f t="shared" si="157"/>
        <v>0</v>
      </c>
      <c r="AZ128" s="156">
        <f t="shared" si="157"/>
        <v>0</v>
      </c>
      <c r="BA128" s="156">
        <f t="shared" si="157"/>
        <v>0</v>
      </c>
      <c r="BB128" s="156">
        <f t="shared" si="157"/>
        <v>0</v>
      </c>
      <c r="BC128" s="156">
        <f t="shared" si="157"/>
        <v>8693896</v>
      </c>
      <c r="BD128" s="156">
        <f t="shared" si="157"/>
        <v>0</v>
      </c>
      <c r="BE128" s="156">
        <f t="shared" si="157"/>
        <v>29865948.75</v>
      </c>
      <c r="BF128" s="156">
        <f t="shared" si="166"/>
        <v>88460492.75</v>
      </c>
      <c r="BG128" s="156">
        <f t="shared" si="157"/>
        <v>0</v>
      </c>
      <c r="BH128" s="156">
        <f t="shared" si="157"/>
        <v>0</v>
      </c>
      <c r="BI128" s="156">
        <f t="shared" si="157"/>
        <v>0</v>
      </c>
      <c r="BJ128" s="156">
        <f t="shared" si="157"/>
        <v>0</v>
      </c>
      <c r="BK128" s="156">
        <f t="shared" si="157"/>
        <v>63846653.539999999</v>
      </c>
      <c r="BL128" s="156"/>
      <c r="BM128" s="156"/>
      <c r="BN128" s="156"/>
      <c r="BO128" s="156"/>
      <c r="BP128" s="156"/>
      <c r="BQ128" s="156"/>
      <c r="BR128" s="156"/>
      <c r="BS128" s="156">
        <f t="shared" si="158"/>
        <v>63846653.539999999</v>
      </c>
      <c r="BT128" s="156">
        <f t="shared" si="159"/>
        <v>152307146.28999999</v>
      </c>
      <c r="BU128" s="157" t="str">
        <f t="shared" si="160"/>
        <v>OK</v>
      </c>
      <c r="BV128" s="161"/>
      <c r="BW128" s="161"/>
      <c r="BX128" s="161"/>
      <c r="BY128" s="161"/>
      <c r="BZ128" s="161"/>
      <c r="CA128" s="161"/>
      <c r="CB128" s="161"/>
      <c r="CC128" s="161"/>
    </row>
    <row r="129" spans="1:81" s="158" customFormat="1">
      <c r="A129" s="153" t="s">
        <v>1246</v>
      </c>
      <c r="B129" s="300">
        <v>30</v>
      </c>
      <c r="C129" s="300" t="s">
        <v>1245</v>
      </c>
      <c r="D129" s="297"/>
      <c r="E129" s="297">
        <v>0</v>
      </c>
      <c r="F129" s="301"/>
      <c r="G129" s="297"/>
      <c r="H129" s="276">
        <f t="shared" si="154"/>
        <v>-414073423.98000002</v>
      </c>
      <c r="I129" s="276">
        <v>0</v>
      </c>
      <c r="J129" s="297">
        <v>414073423.98000002</v>
      </c>
      <c r="K129" s="278">
        <f t="shared" si="155"/>
        <v>414073423.98000002</v>
      </c>
      <c r="L129" s="278">
        <v>0</v>
      </c>
      <c r="M129" s="278">
        <v>0</v>
      </c>
      <c r="N129" s="467" t="s">
        <v>2520</v>
      </c>
      <c r="O129" s="154"/>
      <c r="P129" s="155">
        <f t="shared" si="156"/>
        <v>0</v>
      </c>
      <c r="Q129" s="156">
        <f t="shared" ref="Q129:AE135" si="167">+SUMIFS(db_Sum,db_Bln,Q$6,db_Kode,$A129)</f>
        <v>0</v>
      </c>
      <c r="R129" s="156">
        <f t="shared" si="167"/>
        <v>0</v>
      </c>
      <c r="S129" s="156">
        <f t="shared" si="167"/>
        <v>0</v>
      </c>
      <c r="T129" s="156">
        <f t="shared" si="167"/>
        <v>0</v>
      </c>
      <c r="U129" s="156">
        <f t="shared" si="167"/>
        <v>0</v>
      </c>
      <c r="V129" s="156">
        <f t="shared" si="167"/>
        <v>0</v>
      </c>
      <c r="W129" s="156">
        <f t="shared" si="167"/>
        <v>0</v>
      </c>
      <c r="X129" s="156">
        <f t="shared" si="167"/>
        <v>0</v>
      </c>
      <c r="Y129" s="156">
        <f t="shared" si="167"/>
        <v>0</v>
      </c>
      <c r="Z129" s="156">
        <f t="shared" si="167"/>
        <v>0</v>
      </c>
      <c r="AA129" s="156">
        <f t="shared" si="167"/>
        <v>0</v>
      </c>
      <c r="AB129" s="156">
        <f t="shared" si="167"/>
        <v>0</v>
      </c>
      <c r="AC129" s="156">
        <f t="shared" si="167"/>
        <v>0</v>
      </c>
      <c r="AD129" s="156">
        <f t="shared" si="167"/>
        <v>0</v>
      </c>
      <c r="AE129" s="156">
        <f t="shared" si="167"/>
        <v>0</v>
      </c>
      <c r="AF129" s="156">
        <f t="shared" ref="AF129:AF135" si="168">+SUM(T129:AE129)</f>
        <v>0</v>
      </c>
      <c r="AG129" s="156">
        <f t="shared" si="157"/>
        <v>0</v>
      </c>
      <c r="AH129" s="156">
        <f t="shared" si="157"/>
        <v>0</v>
      </c>
      <c r="AI129" s="156">
        <f t="shared" si="157"/>
        <v>0</v>
      </c>
      <c r="AJ129" s="156">
        <f t="shared" si="157"/>
        <v>0</v>
      </c>
      <c r="AK129" s="156">
        <f t="shared" si="157"/>
        <v>0</v>
      </c>
      <c r="AL129" s="156">
        <f t="shared" si="157"/>
        <v>0</v>
      </c>
      <c r="AM129" s="156">
        <f t="shared" si="157"/>
        <v>1605453.34</v>
      </c>
      <c r="AN129" s="156">
        <f t="shared" si="157"/>
        <v>0</v>
      </c>
      <c r="AO129" s="156">
        <f t="shared" si="157"/>
        <v>0</v>
      </c>
      <c r="AP129" s="156">
        <f t="shared" si="157"/>
        <v>0</v>
      </c>
      <c r="AQ129" s="156">
        <f t="shared" si="157"/>
        <v>0</v>
      </c>
      <c r="AR129" s="156">
        <f t="shared" si="157"/>
        <v>0</v>
      </c>
      <c r="AS129" s="156">
        <f t="shared" ref="AS129:AS135" si="169">+SUM(AG129:AR129)</f>
        <v>1605453.34</v>
      </c>
      <c r="AT129" s="156">
        <f t="shared" si="157"/>
        <v>0</v>
      </c>
      <c r="AU129" s="156">
        <f t="shared" si="157"/>
        <v>0</v>
      </c>
      <c r="AV129" s="156">
        <f t="shared" si="157"/>
        <v>0</v>
      </c>
      <c r="AW129" s="156">
        <f t="shared" si="157"/>
        <v>0</v>
      </c>
      <c r="AX129" s="156">
        <f t="shared" si="157"/>
        <v>0</v>
      </c>
      <c r="AY129" s="156">
        <f t="shared" si="157"/>
        <v>0</v>
      </c>
      <c r="AZ129" s="156">
        <f t="shared" si="157"/>
        <v>0</v>
      </c>
      <c r="BA129" s="156">
        <f t="shared" si="157"/>
        <v>0</v>
      </c>
      <c r="BB129" s="156">
        <f t="shared" si="157"/>
        <v>12216300</v>
      </c>
      <c r="BC129" s="156">
        <f t="shared" si="157"/>
        <v>0</v>
      </c>
      <c r="BD129" s="156">
        <f t="shared" si="157"/>
        <v>20852737.450000003</v>
      </c>
      <c r="BE129" s="156">
        <f t="shared" si="157"/>
        <v>46984694.299999997</v>
      </c>
      <c r="BF129" s="156">
        <f t="shared" si="166"/>
        <v>80053731.75</v>
      </c>
      <c r="BG129" s="156">
        <f t="shared" si="157"/>
        <v>8397942.1799999997</v>
      </c>
      <c r="BH129" s="156">
        <f t="shared" si="157"/>
        <v>6246126.5199999996</v>
      </c>
      <c r="BI129" s="156">
        <f t="shared" si="157"/>
        <v>5876955.2400000002</v>
      </c>
      <c r="BJ129" s="156">
        <f t="shared" si="157"/>
        <v>151005220.81999999</v>
      </c>
      <c r="BK129" s="156">
        <f t="shared" si="157"/>
        <v>160887994.13000003</v>
      </c>
      <c r="BL129" s="156"/>
      <c r="BM129" s="156"/>
      <c r="BN129" s="156"/>
      <c r="BO129" s="156"/>
      <c r="BP129" s="156"/>
      <c r="BQ129" s="156"/>
      <c r="BR129" s="156"/>
      <c r="BS129" s="156">
        <f t="shared" si="109"/>
        <v>332414238.88999999</v>
      </c>
      <c r="BT129" s="156">
        <f t="shared" si="159"/>
        <v>414073423.97999996</v>
      </c>
      <c r="BU129" s="157" t="str">
        <f t="shared" si="160"/>
        <v>ERROR</v>
      </c>
      <c r="BV129" s="161"/>
      <c r="BW129" s="161"/>
      <c r="BX129" s="161"/>
      <c r="BY129" s="161"/>
      <c r="BZ129" s="161"/>
      <c r="CA129" s="161"/>
      <c r="CB129" s="161"/>
      <c r="CC129" s="161"/>
    </row>
    <row r="130" spans="1:81" s="158" customFormat="1">
      <c r="A130" s="153" t="s">
        <v>2438</v>
      </c>
      <c r="B130" s="300"/>
      <c r="C130" s="296" t="s">
        <v>2439</v>
      </c>
      <c r="D130" s="297"/>
      <c r="E130" s="297">
        <v>0</v>
      </c>
      <c r="F130" s="301"/>
      <c r="G130" s="297"/>
      <c r="H130" s="276">
        <f t="shared" si="154"/>
        <v>-240569603.44000003</v>
      </c>
      <c r="I130" s="276">
        <v>0</v>
      </c>
      <c r="J130" s="297">
        <v>240569603.44000003</v>
      </c>
      <c r="K130" s="278">
        <f t="shared" si="155"/>
        <v>240569603.44000003</v>
      </c>
      <c r="L130" s="278">
        <v>0</v>
      </c>
      <c r="M130" s="278">
        <v>0</v>
      </c>
      <c r="N130" s="485"/>
      <c r="O130" s="154"/>
      <c r="P130" s="155">
        <f t="shared" si="156"/>
        <v>0</v>
      </c>
      <c r="Q130" s="156">
        <f t="shared" si="167"/>
        <v>0</v>
      </c>
      <c r="R130" s="156">
        <f t="shared" si="167"/>
        <v>0</v>
      </c>
      <c r="S130" s="156">
        <f t="shared" si="167"/>
        <v>0</v>
      </c>
      <c r="T130" s="156">
        <f t="shared" si="167"/>
        <v>0</v>
      </c>
      <c r="U130" s="156">
        <f t="shared" si="167"/>
        <v>0</v>
      </c>
      <c r="V130" s="156">
        <f t="shared" si="167"/>
        <v>0</v>
      </c>
      <c r="W130" s="156">
        <f t="shared" si="167"/>
        <v>0</v>
      </c>
      <c r="X130" s="156">
        <f t="shared" si="167"/>
        <v>0</v>
      </c>
      <c r="Y130" s="156">
        <f t="shared" si="167"/>
        <v>0</v>
      </c>
      <c r="Z130" s="156">
        <f t="shared" si="167"/>
        <v>0</v>
      </c>
      <c r="AA130" s="156">
        <f t="shared" si="167"/>
        <v>0</v>
      </c>
      <c r="AB130" s="156">
        <f t="shared" si="167"/>
        <v>0</v>
      </c>
      <c r="AC130" s="156">
        <f t="shared" si="167"/>
        <v>0</v>
      </c>
      <c r="AD130" s="156">
        <f t="shared" si="167"/>
        <v>0</v>
      </c>
      <c r="AE130" s="156">
        <f t="shared" si="167"/>
        <v>0</v>
      </c>
      <c r="AF130" s="156">
        <f t="shared" si="168"/>
        <v>0</v>
      </c>
      <c r="AG130" s="156">
        <f t="shared" si="157"/>
        <v>0</v>
      </c>
      <c r="AH130" s="156">
        <f t="shared" si="157"/>
        <v>0</v>
      </c>
      <c r="AI130" s="156">
        <f t="shared" si="157"/>
        <v>0</v>
      </c>
      <c r="AJ130" s="156">
        <f t="shared" si="157"/>
        <v>0</v>
      </c>
      <c r="AK130" s="156">
        <f t="shared" si="157"/>
        <v>0</v>
      </c>
      <c r="AL130" s="156">
        <f t="shared" si="157"/>
        <v>0</v>
      </c>
      <c r="AM130" s="156">
        <f t="shared" si="157"/>
        <v>0</v>
      </c>
      <c r="AN130" s="156">
        <f t="shared" si="157"/>
        <v>0</v>
      </c>
      <c r="AO130" s="156">
        <f t="shared" si="157"/>
        <v>0</v>
      </c>
      <c r="AP130" s="156">
        <f t="shared" si="157"/>
        <v>0</v>
      </c>
      <c r="AQ130" s="156">
        <f t="shared" si="157"/>
        <v>0</v>
      </c>
      <c r="AR130" s="156">
        <f t="shared" si="157"/>
        <v>0</v>
      </c>
      <c r="AS130" s="156">
        <f t="shared" ref="AS130" si="170">+SUM(AG130:AR130)</f>
        <v>0</v>
      </c>
      <c r="AT130" s="156">
        <f t="shared" si="157"/>
        <v>0</v>
      </c>
      <c r="AU130" s="156">
        <f t="shared" si="157"/>
        <v>0</v>
      </c>
      <c r="AV130" s="156">
        <f t="shared" si="157"/>
        <v>4367294</v>
      </c>
      <c r="AW130" s="156">
        <f t="shared" si="157"/>
        <v>90592276</v>
      </c>
      <c r="AX130" s="156">
        <f t="shared" si="157"/>
        <v>6668642</v>
      </c>
      <c r="AY130" s="156">
        <f t="shared" si="157"/>
        <v>18013258.649999999</v>
      </c>
      <c r="AZ130" s="156">
        <f t="shared" si="157"/>
        <v>16069990</v>
      </c>
      <c r="BA130" s="156">
        <f t="shared" si="157"/>
        <v>3441509</v>
      </c>
      <c r="BB130" s="156">
        <f t="shared" si="157"/>
        <v>16808685.100000001</v>
      </c>
      <c r="BC130" s="156">
        <f t="shared" si="157"/>
        <v>9429112.5199999996</v>
      </c>
      <c r="BD130" s="156">
        <f t="shared" si="157"/>
        <v>17322332.579999998</v>
      </c>
      <c r="BE130" s="156">
        <f t="shared" si="157"/>
        <v>6790980.25</v>
      </c>
      <c r="BF130" s="156">
        <f t="shared" ref="BF130" si="171">+SUM(AT130:BE130)</f>
        <v>189504080.10000002</v>
      </c>
      <c r="BG130" s="156">
        <f t="shared" si="157"/>
        <v>8795827</v>
      </c>
      <c r="BH130" s="156">
        <f t="shared" si="157"/>
        <v>4692487.5599999996</v>
      </c>
      <c r="BI130" s="156">
        <f t="shared" si="157"/>
        <v>30005410.109999999</v>
      </c>
      <c r="BJ130" s="156">
        <f t="shared" si="157"/>
        <v>7571798.6699999999</v>
      </c>
      <c r="BK130" s="156">
        <f t="shared" si="157"/>
        <v>0</v>
      </c>
      <c r="BL130" s="156"/>
      <c r="BM130" s="156"/>
      <c r="BN130" s="156"/>
      <c r="BO130" s="156"/>
      <c r="BP130" s="156"/>
      <c r="BQ130" s="156"/>
      <c r="BR130" s="156"/>
      <c r="BS130" s="156">
        <f t="shared" ref="BS130" si="172">+SUM(BG130:BR130)</f>
        <v>51065523.340000004</v>
      </c>
      <c r="BT130" s="156">
        <f t="shared" si="159"/>
        <v>240569603.44000003</v>
      </c>
      <c r="BU130" s="157" t="str">
        <f t="shared" si="160"/>
        <v>OK</v>
      </c>
      <c r="BV130" s="161"/>
      <c r="BW130" s="161"/>
      <c r="BX130" s="161"/>
      <c r="BY130" s="161"/>
      <c r="BZ130" s="161"/>
      <c r="CA130" s="161"/>
      <c r="CB130" s="161"/>
      <c r="CC130" s="161"/>
    </row>
    <row r="131" spans="1:81" s="158" customFormat="1">
      <c r="A131" s="153" t="s">
        <v>1555</v>
      </c>
      <c r="B131" s="300">
        <v>31</v>
      </c>
      <c r="C131" s="300" t="s">
        <v>2452</v>
      </c>
      <c r="D131" s="297"/>
      <c r="E131" s="297">
        <v>0</v>
      </c>
      <c r="F131" s="301"/>
      <c r="G131" s="297"/>
      <c r="H131" s="276">
        <f t="shared" si="154"/>
        <v>-286747254.44999999</v>
      </c>
      <c r="I131" s="297">
        <v>0</v>
      </c>
      <c r="J131" s="297">
        <v>286747254.44999999</v>
      </c>
      <c r="K131" s="278">
        <f t="shared" si="155"/>
        <v>286747254.44999999</v>
      </c>
      <c r="L131" s="297">
        <v>0</v>
      </c>
      <c r="M131" s="278">
        <v>0</v>
      </c>
      <c r="N131" s="467" t="s">
        <v>2462</v>
      </c>
      <c r="O131" s="154"/>
      <c r="P131" s="155">
        <f t="shared" si="156"/>
        <v>0</v>
      </c>
      <c r="Q131" s="156">
        <f t="shared" si="167"/>
        <v>0</v>
      </c>
      <c r="R131" s="156">
        <f t="shared" si="167"/>
        <v>0</v>
      </c>
      <c r="S131" s="156">
        <f t="shared" si="167"/>
        <v>0</v>
      </c>
      <c r="T131" s="156">
        <f t="shared" si="167"/>
        <v>0</v>
      </c>
      <c r="U131" s="156">
        <f t="shared" si="167"/>
        <v>0</v>
      </c>
      <c r="V131" s="156">
        <f t="shared" si="167"/>
        <v>0</v>
      </c>
      <c r="W131" s="156">
        <f t="shared" si="167"/>
        <v>0</v>
      </c>
      <c r="X131" s="156">
        <f t="shared" si="167"/>
        <v>0</v>
      </c>
      <c r="Y131" s="156">
        <f t="shared" si="167"/>
        <v>0</v>
      </c>
      <c r="Z131" s="156">
        <f t="shared" si="167"/>
        <v>0</v>
      </c>
      <c r="AA131" s="156">
        <f t="shared" si="167"/>
        <v>0</v>
      </c>
      <c r="AB131" s="156">
        <f t="shared" si="167"/>
        <v>0</v>
      </c>
      <c r="AC131" s="156">
        <f t="shared" si="167"/>
        <v>0</v>
      </c>
      <c r="AD131" s="156">
        <f t="shared" si="167"/>
        <v>0</v>
      </c>
      <c r="AE131" s="156">
        <f t="shared" si="167"/>
        <v>0</v>
      </c>
      <c r="AF131" s="156">
        <f t="shared" si="168"/>
        <v>0</v>
      </c>
      <c r="AG131" s="156">
        <f t="shared" si="157"/>
        <v>0</v>
      </c>
      <c r="AH131" s="156">
        <f t="shared" si="157"/>
        <v>0</v>
      </c>
      <c r="AI131" s="156">
        <f t="shared" si="157"/>
        <v>0</v>
      </c>
      <c r="AJ131" s="156">
        <f t="shared" si="157"/>
        <v>0</v>
      </c>
      <c r="AK131" s="156">
        <f t="shared" si="157"/>
        <v>0</v>
      </c>
      <c r="AL131" s="156">
        <f t="shared" si="157"/>
        <v>0</v>
      </c>
      <c r="AM131" s="156">
        <f t="shared" si="157"/>
        <v>0</v>
      </c>
      <c r="AN131" s="156">
        <f t="shared" si="157"/>
        <v>0</v>
      </c>
      <c r="AO131" s="156">
        <f t="shared" si="157"/>
        <v>0</v>
      </c>
      <c r="AP131" s="156">
        <f t="shared" si="157"/>
        <v>0</v>
      </c>
      <c r="AQ131" s="156">
        <f t="shared" si="157"/>
        <v>0</v>
      </c>
      <c r="AR131" s="156">
        <f t="shared" si="157"/>
        <v>0</v>
      </c>
      <c r="AS131" s="156">
        <f t="shared" si="169"/>
        <v>0</v>
      </c>
      <c r="AT131" s="156">
        <f t="shared" si="157"/>
        <v>0</v>
      </c>
      <c r="AU131" s="156">
        <f t="shared" si="157"/>
        <v>0</v>
      </c>
      <c r="AV131" s="156">
        <f t="shared" si="157"/>
        <v>0</v>
      </c>
      <c r="AW131" s="156">
        <f t="shared" si="157"/>
        <v>0</v>
      </c>
      <c r="AX131" s="156">
        <f t="shared" si="157"/>
        <v>0</v>
      </c>
      <c r="AY131" s="156">
        <f t="shared" si="157"/>
        <v>0</v>
      </c>
      <c r="AZ131" s="156">
        <f t="shared" si="157"/>
        <v>0</v>
      </c>
      <c r="BA131" s="156">
        <f t="shared" si="157"/>
        <v>0</v>
      </c>
      <c r="BB131" s="156">
        <f t="shared" si="157"/>
        <v>0</v>
      </c>
      <c r="BC131" s="156">
        <f t="shared" si="157"/>
        <v>0</v>
      </c>
      <c r="BD131" s="156">
        <f t="shared" si="157"/>
        <v>114524870.44</v>
      </c>
      <c r="BE131" s="156">
        <f t="shared" ref="BE131:BK132" si="173">+SUMIFS(db_Sum,db_Bln,BE$6,db_Kode,$A131)</f>
        <v>93735613.25</v>
      </c>
      <c r="BF131" s="156">
        <f t="shared" si="166"/>
        <v>208260483.69</v>
      </c>
      <c r="BG131" s="156">
        <f t="shared" si="173"/>
        <v>3500000</v>
      </c>
      <c r="BH131" s="156">
        <f t="shared" si="173"/>
        <v>0</v>
      </c>
      <c r="BI131" s="156">
        <f t="shared" si="173"/>
        <v>67561610.760000005</v>
      </c>
      <c r="BJ131" s="156">
        <f t="shared" si="173"/>
        <v>7425160</v>
      </c>
      <c r="BK131" s="156">
        <f t="shared" si="173"/>
        <v>0</v>
      </c>
      <c r="BL131" s="156"/>
      <c r="BM131" s="156"/>
      <c r="BN131" s="156"/>
      <c r="BO131" s="156"/>
      <c r="BP131" s="156"/>
      <c r="BQ131" s="156"/>
      <c r="BR131" s="156"/>
      <c r="BS131" s="156">
        <f t="shared" si="109"/>
        <v>78486770.760000005</v>
      </c>
      <c r="BT131" s="156">
        <f t="shared" si="159"/>
        <v>286747254.44999999</v>
      </c>
      <c r="BU131" s="157" t="str">
        <f t="shared" si="160"/>
        <v>OK</v>
      </c>
      <c r="BV131" s="161"/>
      <c r="BW131" s="161"/>
      <c r="BX131" s="161"/>
      <c r="BY131" s="161"/>
      <c r="BZ131" s="161"/>
      <c r="CA131" s="161"/>
      <c r="CB131" s="161"/>
      <c r="CC131" s="161"/>
    </row>
    <row r="132" spans="1:81" s="158" customFormat="1">
      <c r="A132" s="153" t="s">
        <v>2456</v>
      </c>
      <c r="B132" s="300">
        <v>32</v>
      </c>
      <c r="C132" s="296" t="s">
        <v>2521</v>
      </c>
      <c r="D132" s="297"/>
      <c r="E132" s="297">
        <v>0</v>
      </c>
      <c r="F132" s="301"/>
      <c r="G132" s="297"/>
      <c r="H132" s="276">
        <f t="shared" si="154"/>
        <v>-332068319</v>
      </c>
      <c r="I132" s="297"/>
      <c r="J132" s="297">
        <v>332068319</v>
      </c>
      <c r="K132" s="278">
        <f>+O132+Q132+R132+S132+AF132+AS132+BF132+BS132</f>
        <v>332068319</v>
      </c>
      <c r="L132" s="297">
        <v>0</v>
      </c>
      <c r="M132" s="278">
        <v>0</v>
      </c>
      <c r="N132" s="469"/>
      <c r="O132" s="154"/>
      <c r="P132" s="155">
        <f t="shared" si="156"/>
        <v>0</v>
      </c>
      <c r="Q132" s="156">
        <f t="shared" si="167"/>
        <v>0</v>
      </c>
      <c r="R132" s="156">
        <f t="shared" si="167"/>
        <v>0</v>
      </c>
      <c r="S132" s="156">
        <f t="shared" si="167"/>
        <v>0</v>
      </c>
      <c r="T132" s="156">
        <f t="shared" si="167"/>
        <v>0</v>
      </c>
      <c r="U132" s="156">
        <f t="shared" si="167"/>
        <v>0</v>
      </c>
      <c r="V132" s="156">
        <f t="shared" si="167"/>
        <v>0</v>
      </c>
      <c r="W132" s="156">
        <f t="shared" si="167"/>
        <v>0</v>
      </c>
      <c r="X132" s="156">
        <f t="shared" si="167"/>
        <v>0</v>
      </c>
      <c r="Y132" s="156">
        <f t="shared" si="167"/>
        <v>0</v>
      </c>
      <c r="Z132" s="156">
        <f t="shared" si="167"/>
        <v>0</v>
      </c>
      <c r="AA132" s="156">
        <f t="shared" si="167"/>
        <v>0</v>
      </c>
      <c r="AB132" s="156">
        <f t="shared" si="167"/>
        <v>0</v>
      </c>
      <c r="AC132" s="156">
        <f t="shared" si="167"/>
        <v>0</v>
      </c>
      <c r="AD132" s="156">
        <f t="shared" si="167"/>
        <v>0</v>
      </c>
      <c r="AE132" s="156">
        <f t="shared" si="167"/>
        <v>0</v>
      </c>
      <c r="AF132" s="156">
        <f t="shared" ref="AF132" si="174">+SUM(T132:AE132)</f>
        <v>0</v>
      </c>
      <c r="AG132" s="156">
        <f t="shared" ref="AG132:BG141" si="175">+SUMIFS(db_Sum,db_Bln,AG$6,db_Kode,$A132)</f>
        <v>0</v>
      </c>
      <c r="AH132" s="156">
        <f t="shared" si="175"/>
        <v>0</v>
      </c>
      <c r="AI132" s="156">
        <f t="shared" si="175"/>
        <v>0</v>
      </c>
      <c r="AJ132" s="156">
        <f t="shared" si="175"/>
        <v>0</v>
      </c>
      <c r="AK132" s="156">
        <f t="shared" si="175"/>
        <v>0</v>
      </c>
      <c r="AL132" s="156">
        <f t="shared" si="175"/>
        <v>0</v>
      </c>
      <c r="AM132" s="156">
        <f t="shared" si="175"/>
        <v>0</v>
      </c>
      <c r="AN132" s="156">
        <f t="shared" si="175"/>
        <v>0</v>
      </c>
      <c r="AO132" s="156">
        <f t="shared" si="175"/>
        <v>0</v>
      </c>
      <c r="AP132" s="156">
        <f t="shared" si="175"/>
        <v>0</v>
      </c>
      <c r="AQ132" s="156">
        <f t="shared" si="175"/>
        <v>0</v>
      </c>
      <c r="AR132" s="156">
        <f t="shared" si="175"/>
        <v>0</v>
      </c>
      <c r="AS132" s="156">
        <f t="shared" ref="AS132" si="176">+SUM(AG132:AR132)</f>
        <v>0</v>
      </c>
      <c r="AT132" s="156">
        <f t="shared" si="175"/>
        <v>0</v>
      </c>
      <c r="AU132" s="156">
        <f t="shared" si="175"/>
        <v>0</v>
      </c>
      <c r="AV132" s="156">
        <f t="shared" si="175"/>
        <v>0</v>
      </c>
      <c r="AW132" s="156">
        <f t="shared" si="175"/>
        <v>0</v>
      </c>
      <c r="AX132" s="156">
        <f t="shared" si="175"/>
        <v>0</v>
      </c>
      <c r="AY132" s="156">
        <f t="shared" si="175"/>
        <v>0</v>
      </c>
      <c r="AZ132" s="156">
        <f t="shared" si="175"/>
        <v>0</v>
      </c>
      <c r="BA132" s="156">
        <f t="shared" si="175"/>
        <v>0</v>
      </c>
      <c r="BB132" s="156">
        <f t="shared" si="175"/>
        <v>332068319</v>
      </c>
      <c r="BC132" s="156">
        <f t="shared" si="175"/>
        <v>0</v>
      </c>
      <c r="BD132" s="156">
        <f t="shared" si="175"/>
        <v>0</v>
      </c>
      <c r="BE132" s="156">
        <f t="shared" si="175"/>
        <v>0</v>
      </c>
      <c r="BF132" s="156">
        <f t="shared" ref="BF132" si="177">+SUM(AT132:BE132)</f>
        <v>332068319</v>
      </c>
      <c r="BG132" s="156">
        <f t="shared" si="175"/>
        <v>0</v>
      </c>
      <c r="BH132" s="156">
        <f t="shared" si="173"/>
        <v>0</v>
      </c>
      <c r="BI132" s="156">
        <f t="shared" si="173"/>
        <v>0</v>
      </c>
      <c r="BJ132" s="156">
        <f t="shared" si="173"/>
        <v>0</v>
      </c>
      <c r="BK132" s="156">
        <f t="shared" si="173"/>
        <v>0</v>
      </c>
      <c r="BL132" s="156"/>
      <c r="BM132" s="156"/>
      <c r="BN132" s="156"/>
      <c r="BO132" s="156"/>
      <c r="BP132" s="156"/>
      <c r="BQ132" s="156"/>
      <c r="BR132" s="156"/>
      <c r="BS132" s="156">
        <f t="shared" ref="BS132" si="178">+SUM(BG132:BR132)</f>
        <v>0</v>
      </c>
      <c r="BT132" s="156">
        <f t="shared" si="159"/>
        <v>332068319</v>
      </c>
      <c r="BU132" s="157" t="str">
        <f t="shared" si="160"/>
        <v>OK</v>
      </c>
      <c r="BV132" s="161"/>
      <c r="BW132" s="161"/>
      <c r="BX132" s="161"/>
      <c r="BY132" s="161"/>
      <c r="BZ132" s="161"/>
      <c r="CA132" s="161"/>
      <c r="CB132" s="161"/>
      <c r="CC132" s="161"/>
    </row>
    <row r="133" spans="1:81" s="158" customFormat="1">
      <c r="A133" s="153" t="s">
        <v>2200</v>
      </c>
      <c r="B133" s="300">
        <v>33</v>
      </c>
      <c r="C133" s="300" t="s">
        <v>2524</v>
      </c>
      <c r="D133" s="297"/>
      <c r="E133" s="297">
        <v>0</v>
      </c>
      <c r="F133" s="301"/>
      <c r="G133" s="297"/>
      <c r="H133" s="276">
        <f t="shared" ref="H133:H141" si="179">E133-K133</f>
        <v>-295131713</v>
      </c>
      <c r="I133" s="297"/>
      <c r="J133" s="297">
        <v>295131713</v>
      </c>
      <c r="K133" s="278">
        <f>+O133+Q133+R133+S133+AF133+AS133+BF133+BS133</f>
        <v>295131713</v>
      </c>
      <c r="L133" s="297">
        <v>0</v>
      </c>
      <c r="M133" s="278">
        <v>0</v>
      </c>
      <c r="N133" s="469" t="s">
        <v>2486</v>
      </c>
      <c r="O133" s="154"/>
      <c r="P133" s="155">
        <f t="shared" ref="P133:P141" si="180">+IF(H133=0,E133-K133,0)</f>
        <v>0</v>
      </c>
      <c r="Q133" s="156">
        <f t="shared" si="167"/>
        <v>0</v>
      </c>
      <c r="R133" s="156">
        <f t="shared" si="167"/>
        <v>0</v>
      </c>
      <c r="S133" s="156">
        <f t="shared" si="167"/>
        <v>0</v>
      </c>
      <c r="T133" s="156">
        <f t="shared" si="167"/>
        <v>0</v>
      </c>
      <c r="U133" s="156">
        <f t="shared" si="167"/>
        <v>0</v>
      </c>
      <c r="V133" s="156">
        <f t="shared" si="167"/>
        <v>0</v>
      </c>
      <c r="W133" s="156">
        <f t="shared" si="167"/>
        <v>0</v>
      </c>
      <c r="X133" s="156">
        <f t="shared" si="167"/>
        <v>0</v>
      </c>
      <c r="Y133" s="156">
        <f t="shared" si="167"/>
        <v>0</v>
      </c>
      <c r="Z133" s="156">
        <f t="shared" si="167"/>
        <v>0</v>
      </c>
      <c r="AA133" s="156">
        <f t="shared" si="167"/>
        <v>0</v>
      </c>
      <c r="AB133" s="156">
        <f t="shared" si="167"/>
        <v>0</v>
      </c>
      <c r="AC133" s="156">
        <f t="shared" si="167"/>
        <v>0</v>
      </c>
      <c r="AD133" s="156">
        <f t="shared" si="167"/>
        <v>0</v>
      </c>
      <c r="AE133" s="156">
        <f t="shared" si="167"/>
        <v>0</v>
      </c>
      <c r="AF133" s="156">
        <f t="shared" si="168"/>
        <v>0</v>
      </c>
      <c r="AG133" s="156">
        <f t="shared" si="175"/>
        <v>0</v>
      </c>
      <c r="AH133" s="156">
        <f t="shared" si="175"/>
        <v>0</v>
      </c>
      <c r="AI133" s="156">
        <f t="shared" si="175"/>
        <v>0</v>
      </c>
      <c r="AJ133" s="156">
        <f t="shared" si="175"/>
        <v>0</v>
      </c>
      <c r="AK133" s="156">
        <f t="shared" si="175"/>
        <v>0</v>
      </c>
      <c r="AL133" s="156">
        <f t="shared" si="175"/>
        <v>0</v>
      </c>
      <c r="AM133" s="156">
        <f t="shared" si="175"/>
        <v>0</v>
      </c>
      <c r="AN133" s="156">
        <f t="shared" si="175"/>
        <v>0</v>
      </c>
      <c r="AO133" s="156">
        <f t="shared" si="175"/>
        <v>0</v>
      </c>
      <c r="AP133" s="156">
        <f t="shared" si="175"/>
        <v>0</v>
      </c>
      <c r="AQ133" s="156">
        <f t="shared" si="175"/>
        <v>0</v>
      </c>
      <c r="AR133" s="156">
        <f t="shared" si="175"/>
        <v>0</v>
      </c>
      <c r="AS133" s="156">
        <f t="shared" si="169"/>
        <v>0</v>
      </c>
      <c r="AT133" s="156">
        <f t="shared" si="175"/>
        <v>0</v>
      </c>
      <c r="AU133" s="156">
        <f t="shared" si="175"/>
        <v>0</v>
      </c>
      <c r="AV133" s="156">
        <f t="shared" si="175"/>
        <v>0</v>
      </c>
      <c r="AW133" s="156">
        <f t="shared" si="175"/>
        <v>0</v>
      </c>
      <c r="AX133" s="156">
        <f t="shared" si="175"/>
        <v>0</v>
      </c>
      <c r="AY133" s="156">
        <f t="shared" si="175"/>
        <v>0</v>
      </c>
      <c r="AZ133" s="156">
        <f t="shared" si="175"/>
        <v>0</v>
      </c>
      <c r="BA133" s="156">
        <f t="shared" si="175"/>
        <v>0</v>
      </c>
      <c r="BB133" s="156">
        <f t="shared" si="175"/>
        <v>0</v>
      </c>
      <c r="BC133" s="156">
        <f t="shared" si="175"/>
        <v>0</v>
      </c>
      <c r="BD133" s="156">
        <f t="shared" si="175"/>
        <v>0</v>
      </c>
      <c r="BE133" s="156">
        <f t="shared" si="175"/>
        <v>0</v>
      </c>
      <c r="BF133" s="156">
        <f t="shared" si="166"/>
        <v>0</v>
      </c>
      <c r="BG133" s="156">
        <f t="shared" si="175"/>
        <v>0</v>
      </c>
      <c r="BH133" s="156">
        <f t="shared" ref="BH133:BK143" si="181">+SUMIFS(db_Sum,db_Bln,BH$6,db_Kode,$A133)</f>
        <v>0</v>
      </c>
      <c r="BI133" s="156">
        <f t="shared" si="181"/>
        <v>295131713</v>
      </c>
      <c r="BJ133" s="156">
        <f t="shared" si="181"/>
        <v>0</v>
      </c>
      <c r="BK133" s="156">
        <f t="shared" si="181"/>
        <v>0</v>
      </c>
      <c r="BL133" s="156"/>
      <c r="BM133" s="156"/>
      <c r="BN133" s="156"/>
      <c r="BO133" s="156"/>
      <c r="BP133" s="156"/>
      <c r="BQ133" s="156"/>
      <c r="BR133" s="156"/>
      <c r="BS133" s="156">
        <f t="shared" si="109"/>
        <v>295131713</v>
      </c>
      <c r="BT133" s="156"/>
      <c r="BU133" s="157"/>
      <c r="BV133" s="161"/>
      <c r="BW133" s="161"/>
      <c r="BX133" s="161"/>
      <c r="BY133" s="161"/>
      <c r="BZ133" s="161"/>
      <c r="CA133" s="161"/>
      <c r="CB133" s="161"/>
      <c r="CC133" s="161"/>
    </row>
    <row r="134" spans="1:81" s="158" customFormat="1">
      <c r="A134" s="153" t="s">
        <v>2522</v>
      </c>
      <c r="B134" s="300">
        <v>34</v>
      </c>
      <c r="C134" s="300" t="s">
        <v>2523</v>
      </c>
      <c r="D134" s="297"/>
      <c r="E134" s="297">
        <v>0</v>
      </c>
      <c r="F134" s="301"/>
      <c r="G134" s="297"/>
      <c r="H134" s="276">
        <f t="shared" ref="H134" si="182">E134-K134</f>
        <v>-798027400</v>
      </c>
      <c r="I134" s="297"/>
      <c r="J134" s="297">
        <v>798027400</v>
      </c>
      <c r="K134" s="278">
        <f>+O134+Q134+R134+S134+AF134+AS134+BF134+BS134</f>
        <v>798027400</v>
      </c>
      <c r="L134" s="297">
        <v>0</v>
      </c>
      <c r="M134" s="278">
        <v>0</v>
      </c>
      <c r="N134" s="469" t="s">
        <v>2486</v>
      </c>
      <c r="O134" s="154"/>
      <c r="P134" s="155">
        <f t="shared" ref="P134" si="183">+IF(H134=0,E134-K134,0)</f>
        <v>0</v>
      </c>
      <c r="Q134" s="156">
        <f t="shared" si="167"/>
        <v>0</v>
      </c>
      <c r="R134" s="156">
        <f t="shared" si="167"/>
        <v>0</v>
      </c>
      <c r="S134" s="156">
        <f t="shared" si="167"/>
        <v>0</v>
      </c>
      <c r="T134" s="156">
        <f t="shared" si="167"/>
        <v>0</v>
      </c>
      <c r="U134" s="156">
        <f t="shared" si="167"/>
        <v>0</v>
      </c>
      <c r="V134" s="156">
        <f t="shared" si="167"/>
        <v>0</v>
      </c>
      <c r="W134" s="156">
        <f t="shared" si="167"/>
        <v>0</v>
      </c>
      <c r="X134" s="156">
        <f t="shared" si="167"/>
        <v>0</v>
      </c>
      <c r="Y134" s="156">
        <f t="shared" si="167"/>
        <v>0</v>
      </c>
      <c r="Z134" s="156">
        <f t="shared" si="167"/>
        <v>0</v>
      </c>
      <c r="AA134" s="156">
        <f t="shared" si="167"/>
        <v>0</v>
      </c>
      <c r="AB134" s="156">
        <f t="shared" si="167"/>
        <v>0</v>
      </c>
      <c r="AC134" s="156">
        <f t="shared" si="167"/>
        <v>0</v>
      </c>
      <c r="AD134" s="156">
        <f t="shared" si="167"/>
        <v>0</v>
      </c>
      <c r="AE134" s="156">
        <f t="shared" si="167"/>
        <v>0</v>
      </c>
      <c r="AF134" s="156">
        <f t="shared" ref="AF134" si="184">+SUM(T134:AE134)</f>
        <v>0</v>
      </c>
      <c r="AG134" s="156">
        <f t="shared" si="175"/>
        <v>0</v>
      </c>
      <c r="AH134" s="156">
        <f t="shared" si="175"/>
        <v>0</v>
      </c>
      <c r="AI134" s="156">
        <f t="shared" si="175"/>
        <v>0</v>
      </c>
      <c r="AJ134" s="156">
        <f t="shared" si="175"/>
        <v>0</v>
      </c>
      <c r="AK134" s="156">
        <f t="shared" si="175"/>
        <v>0</v>
      </c>
      <c r="AL134" s="156">
        <f t="shared" si="175"/>
        <v>0</v>
      </c>
      <c r="AM134" s="156">
        <f t="shared" si="175"/>
        <v>0</v>
      </c>
      <c r="AN134" s="156">
        <f t="shared" si="175"/>
        <v>0</v>
      </c>
      <c r="AO134" s="156">
        <f t="shared" si="175"/>
        <v>0</v>
      </c>
      <c r="AP134" s="156">
        <f t="shared" si="175"/>
        <v>0</v>
      </c>
      <c r="AQ134" s="156">
        <f t="shared" si="175"/>
        <v>0</v>
      </c>
      <c r="AR134" s="156">
        <f t="shared" si="175"/>
        <v>0</v>
      </c>
      <c r="AS134" s="156">
        <f t="shared" ref="AS134" si="185">+SUM(AG134:AR134)</f>
        <v>0</v>
      </c>
      <c r="AT134" s="156">
        <f t="shared" si="175"/>
        <v>0</v>
      </c>
      <c r="AU134" s="156">
        <f t="shared" si="175"/>
        <v>0</v>
      </c>
      <c r="AV134" s="156">
        <f t="shared" si="175"/>
        <v>0</v>
      </c>
      <c r="AW134" s="156">
        <f t="shared" si="175"/>
        <v>0</v>
      </c>
      <c r="AX134" s="156">
        <f t="shared" si="175"/>
        <v>0</v>
      </c>
      <c r="AY134" s="156">
        <f t="shared" si="175"/>
        <v>0</v>
      </c>
      <c r="AZ134" s="156">
        <f t="shared" si="175"/>
        <v>0</v>
      </c>
      <c r="BA134" s="156">
        <f t="shared" si="175"/>
        <v>0</v>
      </c>
      <c r="BB134" s="156">
        <f t="shared" si="175"/>
        <v>0</v>
      </c>
      <c r="BC134" s="156">
        <f t="shared" si="175"/>
        <v>0</v>
      </c>
      <c r="BD134" s="156">
        <f t="shared" si="175"/>
        <v>0</v>
      </c>
      <c r="BE134" s="156">
        <f t="shared" si="175"/>
        <v>0</v>
      </c>
      <c r="BF134" s="156">
        <f t="shared" ref="BF134" si="186">+SUM(AT134:BE134)</f>
        <v>0</v>
      </c>
      <c r="BG134" s="156">
        <f t="shared" si="175"/>
        <v>0</v>
      </c>
      <c r="BH134" s="156">
        <f t="shared" si="181"/>
        <v>0</v>
      </c>
      <c r="BI134" s="156">
        <f t="shared" si="181"/>
        <v>0</v>
      </c>
      <c r="BJ134" s="156">
        <f t="shared" si="181"/>
        <v>0</v>
      </c>
      <c r="BK134" s="156">
        <f t="shared" si="181"/>
        <v>798027400</v>
      </c>
      <c r="BL134" s="156"/>
      <c r="BM134" s="156"/>
      <c r="BN134" s="156"/>
      <c r="BO134" s="156"/>
      <c r="BP134" s="156"/>
      <c r="BQ134" s="156"/>
      <c r="BR134" s="156"/>
      <c r="BS134" s="156">
        <f t="shared" ref="BS134" si="187">+SUM(BG134:BR134)</f>
        <v>798027400</v>
      </c>
      <c r="BT134" s="156"/>
      <c r="BU134" s="157"/>
      <c r="BV134" s="161"/>
      <c r="BW134" s="161"/>
      <c r="BX134" s="161"/>
      <c r="BY134" s="161"/>
      <c r="BZ134" s="161"/>
      <c r="CA134" s="161"/>
      <c r="CB134" s="161"/>
      <c r="CC134" s="161"/>
    </row>
    <row r="135" spans="1:81" s="158" customFormat="1" ht="42">
      <c r="A135" s="153" t="s">
        <v>2201</v>
      </c>
      <c r="B135" s="300">
        <v>35</v>
      </c>
      <c r="C135" s="300" t="s">
        <v>2202</v>
      </c>
      <c r="D135" s="297"/>
      <c r="E135" s="297">
        <v>0</v>
      </c>
      <c r="F135" s="301"/>
      <c r="G135" s="297"/>
      <c r="H135" s="276">
        <f t="shared" si="179"/>
        <v>-641538359.25</v>
      </c>
      <c r="I135" s="297">
        <v>0</v>
      </c>
      <c r="J135" s="297">
        <v>641538359.25</v>
      </c>
      <c r="K135" s="278">
        <f>+O135+Q135+R135+S135+AF135+AS135+BF135+BS135</f>
        <v>641538359.25</v>
      </c>
      <c r="L135" s="297">
        <v>0</v>
      </c>
      <c r="M135" s="278">
        <v>0</v>
      </c>
      <c r="N135" s="467" t="s">
        <v>2458</v>
      </c>
      <c r="O135" s="154"/>
      <c r="P135" s="155">
        <f t="shared" si="180"/>
        <v>0</v>
      </c>
      <c r="Q135" s="156">
        <f t="shared" si="167"/>
        <v>0</v>
      </c>
      <c r="R135" s="156">
        <f t="shared" si="167"/>
        <v>0</v>
      </c>
      <c r="S135" s="156">
        <f t="shared" si="167"/>
        <v>0</v>
      </c>
      <c r="T135" s="156">
        <f t="shared" si="167"/>
        <v>0</v>
      </c>
      <c r="U135" s="156">
        <f t="shared" si="167"/>
        <v>0</v>
      </c>
      <c r="V135" s="156">
        <f t="shared" si="167"/>
        <v>0</v>
      </c>
      <c r="W135" s="156">
        <f t="shared" si="167"/>
        <v>0</v>
      </c>
      <c r="X135" s="156">
        <f t="shared" si="167"/>
        <v>0</v>
      </c>
      <c r="Y135" s="156">
        <f t="shared" si="167"/>
        <v>0</v>
      </c>
      <c r="Z135" s="156">
        <f t="shared" si="167"/>
        <v>0</v>
      </c>
      <c r="AA135" s="156">
        <f t="shared" si="167"/>
        <v>0</v>
      </c>
      <c r="AB135" s="156">
        <f t="shared" si="167"/>
        <v>0</v>
      </c>
      <c r="AC135" s="156">
        <f t="shared" si="167"/>
        <v>0</v>
      </c>
      <c r="AD135" s="156">
        <f t="shared" si="167"/>
        <v>0</v>
      </c>
      <c r="AE135" s="156">
        <f t="shared" si="167"/>
        <v>0</v>
      </c>
      <c r="AF135" s="156">
        <f t="shared" si="168"/>
        <v>0</v>
      </c>
      <c r="AG135" s="156">
        <f t="shared" si="175"/>
        <v>0</v>
      </c>
      <c r="AH135" s="156">
        <f t="shared" si="175"/>
        <v>0</v>
      </c>
      <c r="AI135" s="156">
        <f t="shared" si="175"/>
        <v>0</v>
      </c>
      <c r="AJ135" s="156">
        <f t="shared" si="175"/>
        <v>0</v>
      </c>
      <c r="AK135" s="156">
        <f t="shared" si="175"/>
        <v>0</v>
      </c>
      <c r="AL135" s="156">
        <f t="shared" si="175"/>
        <v>0</v>
      </c>
      <c r="AM135" s="156">
        <f t="shared" si="175"/>
        <v>0</v>
      </c>
      <c r="AN135" s="156">
        <f t="shared" si="175"/>
        <v>0</v>
      </c>
      <c r="AO135" s="156">
        <f t="shared" si="175"/>
        <v>0</v>
      </c>
      <c r="AP135" s="156">
        <f t="shared" si="175"/>
        <v>0</v>
      </c>
      <c r="AQ135" s="156">
        <f t="shared" si="175"/>
        <v>0</v>
      </c>
      <c r="AR135" s="156">
        <f t="shared" si="175"/>
        <v>0</v>
      </c>
      <c r="AS135" s="156">
        <f t="shared" si="169"/>
        <v>0</v>
      </c>
      <c r="AT135" s="156">
        <f t="shared" si="175"/>
        <v>0</v>
      </c>
      <c r="AU135" s="156">
        <f t="shared" si="175"/>
        <v>0</v>
      </c>
      <c r="AV135" s="156">
        <f t="shared" si="175"/>
        <v>0</v>
      </c>
      <c r="AW135" s="156">
        <f t="shared" si="175"/>
        <v>0</v>
      </c>
      <c r="AX135" s="156">
        <f t="shared" si="175"/>
        <v>0</v>
      </c>
      <c r="AY135" s="156">
        <f t="shared" si="175"/>
        <v>0</v>
      </c>
      <c r="AZ135" s="156">
        <f t="shared" si="175"/>
        <v>0</v>
      </c>
      <c r="BA135" s="156">
        <f t="shared" si="175"/>
        <v>0</v>
      </c>
      <c r="BB135" s="156">
        <f t="shared" si="175"/>
        <v>0</v>
      </c>
      <c r="BC135" s="156">
        <f t="shared" si="175"/>
        <v>0</v>
      </c>
      <c r="BD135" s="156">
        <f t="shared" si="175"/>
        <v>0</v>
      </c>
      <c r="BE135" s="156">
        <f t="shared" si="175"/>
        <v>9000000</v>
      </c>
      <c r="BF135" s="156">
        <f t="shared" si="166"/>
        <v>9000000</v>
      </c>
      <c r="BG135" s="156">
        <f t="shared" si="175"/>
        <v>0</v>
      </c>
      <c r="BH135" s="156">
        <f t="shared" si="181"/>
        <v>0</v>
      </c>
      <c r="BI135" s="156">
        <f t="shared" si="181"/>
        <v>0</v>
      </c>
      <c r="BJ135" s="156">
        <f t="shared" si="181"/>
        <v>720000</v>
      </c>
      <c r="BK135" s="156">
        <f t="shared" si="181"/>
        <v>572192359.25</v>
      </c>
      <c r="BL135" s="156">
        <f>+SUMIFS(db_Sum,db_Bln,BL$6,db_Kode,$A135)</f>
        <v>59626000</v>
      </c>
      <c r="BM135" s="156"/>
      <c r="BN135" s="156"/>
      <c r="BO135" s="156"/>
      <c r="BP135" s="156"/>
      <c r="BQ135" s="156"/>
      <c r="BR135" s="156"/>
      <c r="BS135" s="156">
        <f t="shared" si="109"/>
        <v>632538359.25</v>
      </c>
      <c r="BT135" s="156"/>
      <c r="BU135" s="157"/>
      <c r="BV135" s="161"/>
      <c r="BW135" s="161"/>
      <c r="BX135" s="161"/>
      <c r="BY135" s="161"/>
      <c r="BZ135" s="161"/>
      <c r="CA135" s="161"/>
      <c r="CB135" s="161"/>
      <c r="CC135" s="161"/>
    </row>
    <row r="136" spans="1:81" s="158" customFormat="1">
      <c r="A136" s="153" t="s">
        <v>1303</v>
      </c>
      <c r="B136" s="300">
        <v>36</v>
      </c>
      <c r="C136" s="300" t="s">
        <v>2291</v>
      </c>
      <c r="D136" s="297"/>
      <c r="E136" s="297">
        <v>0</v>
      </c>
      <c r="F136" s="301"/>
      <c r="G136" s="297"/>
      <c r="H136" s="276">
        <f t="shared" si="179"/>
        <v>-799200000</v>
      </c>
      <c r="I136" s="297">
        <v>799200000</v>
      </c>
      <c r="J136" s="297">
        <v>799200000</v>
      </c>
      <c r="K136" s="278">
        <v>799200000</v>
      </c>
      <c r="L136" s="297">
        <v>0</v>
      </c>
      <c r="M136" s="278">
        <f>J136-K136</f>
        <v>0</v>
      </c>
      <c r="N136" s="469"/>
      <c r="O136" s="154"/>
      <c r="P136" s="155">
        <f t="shared" si="180"/>
        <v>0</v>
      </c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  <c r="AA136" s="156"/>
      <c r="AB136" s="156"/>
      <c r="AC136" s="156"/>
      <c r="AD136" s="156"/>
      <c r="AE136" s="156"/>
      <c r="AF136" s="156"/>
      <c r="AG136" s="156"/>
      <c r="AH136" s="156"/>
      <c r="AI136" s="156"/>
      <c r="AJ136" s="156"/>
      <c r="AK136" s="156"/>
      <c r="AL136" s="156"/>
      <c r="AM136" s="156"/>
      <c r="AN136" s="156"/>
      <c r="AO136" s="156"/>
      <c r="AP136" s="156"/>
      <c r="AQ136" s="156"/>
      <c r="AR136" s="156"/>
      <c r="AS136" s="156"/>
      <c r="AT136" s="156"/>
      <c r="AU136" s="156"/>
      <c r="AV136" s="156"/>
      <c r="AW136" s="156">
        <f t="shared" si="175"/>
        <v>0</v>
      </c>
      <c r="AX136" s="156">
        <f t="shared" si="175"/>
        <v>0</v>
      </c>
      <c r="AY136" s="156">
        <f t="shared" si="175"/>
        <v>0</v>
      </c>
      <c r="AZ136" s="156">
        <f t="shared" si="175"/>
        <v>0</v>
      </c>
      <c r="BA136" s="156">
        <f t="shared" si="175"/>
        <v>0</v>
      </c>
      <c r="BB136" s="156">
        <f t="shared" si="175"/>
        <v>0</v>
      </c>
      <c r="BC136" s="156">
        <f t="shared" si="175"/>
        <v>0</v>
      </c>
      <c r="BD136" s="156">
        <f t="shared" si="175"/>
        <v>0</v>
      </c>
      <c r="BE136" s="156">
        <f t="shared" si="175"/>
        <v>0</v>
      </c>
      <c r="BF136" s="156">
        <f t="shared" si="107"/>
        <v>0</v>
      </c>
      <c r="BG136" s="156">
        <f t="shared" si="175"/>
        <v>0</v>
      </c>
      <c r="BH136" s="156">
        <f t="shared" si="181"/>
        <v>0</v>
      </c>
      <c r="BI136" s="156">
        <f t="shared" si="181"/>
        <v>0</v>
      </c>
      <c r="BJ136" s="156">
        <f t="shared" si="181"/>
        <v>0</v>
      </c>
      <c r="BK136" s="156">
        <f t="shared" si="181"/>
        <v>0</v>
      </c>
      <c r="BL136" s="156"/>
      <c r="BM136" s="156"/>
      <c r="BN136" s="156"/>
      <c r="BO136" s="156"/>
      <c r="BP136" s="156"/>
      <c r="BQ136" s="156"/>
      <c r="BR136" s="156"/>
      <c r="BS136" s="156">
        <f t="shared" si="109"/>
        <v>0</v>
      </c>
      <c r="BT136" s="156">
        <f>+SUM(O136,Q136,R136,S136,AF136,AS136,BF136+BS136)</f>
        <v>0</v>
      </c>
      <c r="BU136" s="157" t="str">
        <f>+IF(K136-BT136=0,"OK","ERROR")</f>
        <v>ERROR</v>
      </c>
      <c r="BV136" s="161"/>
      <c r="BW136" s="161"/>
      <c r="BX136" s="161"/>
      <c r="BY136" s="161"/>
      <c r="BZ136" s="161"/>
      <c r="CA136" s="161"/>
      <c r="CB136" s="161"/>
      <c r="CC136" s="161"/>
    </row>
    <row r="137" spans="1:81" s="158" customFormat="1">
      <c r="A137" s="153" t="s">
        <v>2355</v>
      </c>
      <c r="B137" s="300">
        <v>37</v>
      </c>
      <c r="C137" s="300" t="s">
        <v>2357</v>
      </c>
      <c r="D137" s="297"/>
      <c r="E137" s="274">
        <v>0</v>
      </c>
      <c r="F137" s="275"/>
      <c r="G137" s="297"/>
      <c r="H137" s="276">
        <f t="shared" si="179"/>
        <v>-4249338203.5700006</v>
      </c>
      <c r="I137" s="274">
        <v>0</v>
      </c>
      <c r="J137" s="297">
        <v>4249338203.5700006</v>
      </c>
      <c r="K137" s="278">
        <f>+O137+Q137+R137+S137+AF137+AS137+BF137+BS137</f>
        <v>4249338203.5700006</v>
      </c>
      <c r="L137" s="274">
        <v>0</v>
      </c>
      <c r="M137" s="332">
        <v>0</v>
      </c>
      <c r="N137" s="467" t="s">
        <v>2487</v>
      </c>
      <c r="O137" s="154"/>
      <c r="P137" s="155">
        <f t="shared" si="180"/>
        <v>0</v>
      </c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  <c r="AA137" s="156"/>
      <c r="AB137" s="156"/>
      <c r="AC137" s="156"/>
      <c r="AD137" s="156"/>
      <c r="AE137" s="156"/>
      <c r="AF137" s="156"/>
      <c r="AG137" s="156">
        <f t="shared" ref="AG137:AV143" si="188">+SUMIFS(db_Sum,db_Bln,AG$6,db_Kode,$A137)</f>
        <v>0</v>
      </c>
      <c r="AH137" s="156">
        <f t="shared" si="188"/>
        <v>0</v>
      </c>
      <c r="AI137" s="156">
        <f t="shared" si="188"/>
        <v>0</v>
      </c>
      <c r="AJ137" s="156">
        <f t="shared" si="188"/>
        <v>2099626.2400000002</v>
      </c>
      <c r="AK137" s="156">
        <f t="shared" si="188"/>
        <v>0</v>
      </c>
      <c r="AL137" s="156">
        <f t="shared" si="188"/>
        <v>5011890.6900000004</v>
      </c>
      <c r="AM137" s="156">
        <f t="shared" si="188"/>
        <v>0</v>
      </c>
      <c r="AN137" s="156">
        <f t="shared" si="188"/>
        <v>323227852.63</v>
      </c>
      <c r="AO137" s="156">
        <f t="shared" si="188"/>
        <v>95691564.920000002</v>
      </c>
      <c r="AP137" s="156">
        <f t="shared" si="188"/>
        <v>190239996</v>
      </c>
      <c r="AQ137" s="156">
        <f t="shared" si="188"/>
        <v>0</v>
      </c>
      <c r="AR137" s="156">
        <f t="shared" si="188"/>
        <v>299455756.09999996</v>
      </c>
      <c r="AS137" s="156">
        <f t="shared" ref="AS137" si="189">+SUM(AG137:AR137)</f>
        <v>915726686.57999992</v>
      </c>
      <c r="AT137" s="156">
        <f t="shared" si="188"/>
        <v>29865154.68</v>
      </c>
      <c r="AU137" s="156">
        <f t="shared" si="188"/>
        <v>919873443.42000008</v>
      </c>
      <c r="AV137" s="156">
        <f t="shared" si="188"/>
        <v>792189695.99000001</v>
      </c>
      <c r="AW137" s="156">
        <f t="shared" si="175"/>
        <v>10011415.66</v>
      </c>
      <c r="AX137" s="156">
        <f t="shared" si="175"/>
        <v>90585258.480000004</v>
      </c>
      <c r="AY137" s="156">
        <f t="shared" si="175"/>
        <v>81247887</v>
      </c>
      <c r="AZ137" s="156">
        <f t="shared" si="175"/>
        <v>436002266.28999996</v>
      </c>
      <c r="BA137" s="156">
        <f t="shared" si="175"/>
        <v>23138822.170000002</v>
      </c>
      <c r="BB137" s="156">
        <f t="shared" si="175"/>
        <v>41013000</v>
      </c>
      <c r="BC137" s="156">
        <f t="shared" si="175"/>
        <v>140675526.03000003</v>
      </c>
      <c r="BD137" s="156">
        <f t="shared" si="175"/>
        <v>266567905.03</v>
      </c>
      <c r="BE137" s="156">
        <f t="shared" si="175"/>
        <v>-164767022.03999993</v>
      </c>
      <c r="BF137" s="156">
        <f t="shared" ref="BF137" si="190">+SUM(AT137:BE137)</f>
        <v>2666403352.710001</v>
      </c>
      <c r="BG137" s="156">
        <f t="shared" si="175"/>
        <v>17287232.859999999</v>
      </c>
      <c r="BH137" s="156">
        <f t="shared" si="181"/>
        <v>7373730</v>
      </c>
      <c r="BI137" s="156">
        <f t="shared" si="181"/>
        <v>211795259</v>
      </c>
      <c r="BJ137" s="156">
        <f t="shared" si="181"/>
        <v>40690458.160000004</v>
      </c>
      <c r="BK137" s="156">
        <f t="shared" si="181"/>
        <v>390061484.25999999</v>
      </c>
      <c r="BL137" s="156"/>
      <c r="BM137" s="156"/>
      <c r="BN137" s="156"/>
      <c r="BO137" s="156"/>
      <c r="BP137" s="156"/>
      <c r="BQ137" s="156"/>
      <c r="BR137" s="156"/>
      <c r="BS137" s="156">
        <f>+SUM(BG137:BR137)</f>
        <v>667208164.27999997</v>
      </c>
      <c r="BT137" s="156">
        <f>+SUM(O137,Q137,R137,S137,AF137,AS137,BF137+BS137)</f>
        <v>4249338203.5700006</v>
      </c>
      <c r="BU137" s="157" t="str">
        <f>+IF(K137-BT137=0,"OK","ERROR")</f>
        <v>OK</v>
      </c>
      <c r="BV137" s="161"/>
      <c r="BW137" s="161"/>
      <c r="BX137" s="161"/>
      <c r="BY137" s="161"/>
      <c r="BZ137" s="161"/>
      <c r="CA137" s="161"/>
      <c r="CB137" s="161"/>
      <c r="CC137" s="161"/>
    </row>
    <row r="138" spans="1:81" s="158" customFormat="1" ht="28">
      <c r="A138" s="153" t="s">
        <v>2356</v>
      </c>
      <c r="B138" s="300">
        <v>38</v>
      </c>
      <c r="C138" s="300" t="s">
        <v>2358</v>
      </c>
      <c r="D138" s="297"/>
      <c r="E138" s="274">
        <v>0</v>
      </c>
      <c r="F138" s="275"/>
      <c r="G138" s="297"/>
      <c r="H138" s="276">
        <f t="shared" si="179"/>
        <v>-296169237.31</v>
      </c>
      <c r="I138" s="274">
        <v>0</v>
      </c>
      <c r="J138" s="297">
        <v>296169237.31</v>
      </c>
      <c r="K138" s="278">
        <f>+O138+Q138+R138+S138+AF138+AS138+BF138+BS138</f>
        <v>296169237.31</v>
      </c>
      <c r="L138" s="274">
        <v>0</v>
      </c>
      <c r="M138" s="332">
        <v>0</v>
      </c>
      <c r="N138" s="467" t="s">
        <v>2488</v>
      </c>
      <c r="O138" s="154"/>
      <c r="P138" s="155">
        <f t="shared" si="180"/>
        <v>0</v>
      </c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  <c r="AA138" s="156"/>
      <c r="AB138" s="156"/>
      <c r="AC138" s="156"/>
      <c r="AD138" s="156"/>
      <c r="AE138" s="156"/>
      <c r="AF138" s="156"/>
      <c r="AG138" s="156">
        <f t="shared" si="188"/>
        <v>0</v>
      </c>
      <c r="AH138" s="156">
        <f t="shared" si="188"/>
        <v>0</v>
      </c>
      <c r="AI138" s="156">
        <f t="shared" si="188"/>
        <v>0</v>
      </c>
      <c r="AJ138" s="156">
        <f t="shared" si="188"/>
        <v>0</v>
      </c>
      <c r="AK138" s="156">
        <f t="shared" si="188"/>
        <v>0</v>
      </c>
      <c r="AL138" s="156">
        <f t="shared" si="188"/>
        <v>0</v>
      </c>
      <c r="AM138" s="156">
        <f t="shared" si="188"/>
        <v>0</v>
      </c>
      <c r="AN138" s="156">
        <f t="shared" si="188"/>
        <v>3367609.99</v>
      </c>
      <c r="AO138" s="156">
        <f t="shared" si="188"/>
        <v>0</v>
      </c>
      <c r="AP138" s="156">
        <f t="shared" si="188"/>
        <v>0</v>
      </c>
      <c r="AQ138" s="156">
        <f t="shared" si="188"/>
        <v>0</v>
      </c>
      <c r="AR138" s="156">
        <f t="shared" si="188"/>
        <v>8147756.2899999991</v>
      </c>
      <c r="AS138" s="156">
        <f t="shared" ref="AS138:AS140" si="191">+SUM(AG138:AR138)</f>
        <v>11515366.279999999</v>
      </c>
      <c r="AT138" s="156">
        <f t="shared" si="188"/>
        <v>42877792.100000001</v>
      </c>
      <c r="AU138" s="156">
        <f t="shared" si="188"/>
        <v>0</v>
      </c>
      <c r="AV138" s="156">
        <f t="shared" si="188"/>
        <v>12042010.959999999</v>
      </c>
      <c r="AW138" s="156">
        <f t="shared" si="175"/>
        <v>14232675.120000001</v>
      </c>
      <c r="AX138" s="156">
        <f t="shared" si="175"/>
        <v>11790264.630000001</v>
      </c>
      <c r="AY138" s="156">
        <f t="shared" si="175"/>
        <v>12809046.77</v>
      </c>
      <c r="AZ138" s="156">
        <f t="shared" si="175"/>
        <v>12778690.939999999</v>
      </c>
      <c r="BA138" s="156">
        <f t="shared" si="175"/>
        <v>9693149.4399999995</v>
      </c>
      <c r="BB138" s="156">
        <f t="shared" si="175"/>
        <v>0</v>
      </c>
      <c r="BC138" s="156">
        <f t="shared" si="175"/>
        <v>98436597.640000001</v>
      </c>
      <c r="BD138" s="156">
        <f t="shared" si="175"/>
        <v>13840071.27</v>
      </c>
      <c r="BE138" s="156">
        <f t="shared" si="175"/>
        <v>10279543.25</v>
      </c>
      <c r="BF138" s="156">
        <f t="shared" ref="BF138" si="192">+SUM(AT138:BE138)</f>
        <v>238779842.12</v>
      </c>
      <c r="BG138" s="156">
        <f t="shared" si="175"/>
        <v>0</v>
      </c>
      <c r="BH138" s="156">
        <f t="shared" si="181"/>
        <v>0</v>
      </c>
      <c r="BI138" s="156">
        <f t="shared" si="181"/>
        <v>12219639.669999998</v>
      </c>
      <c r="BJ138" s="156">
        <f t="shared" si="181"/>
        <v>11706856.15</v>
      </c>
      <c r="BK138" s="156">
        <f t="shared" si="181"/>
        <v>21947533.09</v>
      </c>
      <c r="BL138" s="156"/>
      <c r="BM138" s="156"/>
      <c r="BN138" s="156"/>
      <c r="BO138" s="156"/>
      <c r="BP138" s="156"/>
      <c r="BQ138" s="156"/>
      <c r="BR138" s="156"/>
      <c r="BS138" s="156">
        <f t="shared" ref="BS138" si="193">+SUM(BG138:BR138)</f>
        <v>45874028.909999996</v>
      </c>
      <c r="BT138" s="156">
        <f>+SUM(O138,Q138,R138,S138,AF138,AS138,BF138+BS138)</f>
        <v>296169237.30999994</v>
      </c>
      <c r="BU138" s="157" t="str">
        <f>+IF(K138-BT138=0,"OK","ERROR")</f>
        <v>ERROR</v>
      </c>
      <c r="BV138" s="161"/>
      <c r="BW138" s="161"/>
      <c r="BX138" s="161"/>
      <c r="BY138" s="161"/>
      <c r="BZ138" s="161"/>
      <c r="CA138" s="161"/>
      <c r="CB138" s="161"/>
      <c r="CC138" s="161"/>
    </row>
    <row r="139" spans="1:81" s="158" customFormat="1">
      <c r="A139" s="153" t="s">
        <v>2359</v>
      </c>
      <c r="B139" s="300">
        <v>39</v>
      </c>
      <c r="C139" s="300" t="s">
        <v>2360</v>
      </c>
      <c r="D139" s="297"/>
      <c r="E139" s="274">
        <v>0</v>
      </c>
      <c r="F139" s="275"/>
      <c r="G139" s="297"/>
      <c r="H139" s="276">
        <f t="shared" si="179"/>
        <v>-256486361</v>
      </c>
      <c r="I139" s="274">
        <v>0</v>
      </c>
      <c r="J139" s="297">
        <v>256486361</v>
      </c>
      <c r="K139" s="278">
        <f>+O139+Q139+R139+S139+AF139+AS139+BF139+BS139</f>
        <v>256486361</v>
      </c>
      <c r="L139" s="274">
        <v>0</v>
      </c>
      <c r="M139" s="332">
        <v>0</v>
      </c>
      <c r="N139" s="467" t="s">
        <v>2489</v>
      </c>
      <c r="O139" s="154"/>
      <c r="P139" s="155">
        <f t="shared" si="180"/>
        <v>0</v>
      </c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>
        <f t="shared" si="188"/>
        <v>190000</v>
      </c>
      <c r="AH139" s="156">
        <f t="shared" si="188"/>
        <v>1566900</v>
      </c>
      <c r="AI139" s="156">
        <f t="shared" si="188"/>
        <v>710000</v>
      </c>
      <c r="AJ139" s="156">
        <f t="shared" si="188"/>
        <v>1850000</v>
      </c>
      <c r="AK139" s="156">
        <f t="shared" si="188"/>
        <v>3070623</v>
      </c>
      <c r="AL139" s="156">
        <f t="shared" si="188"/>
        <v>1304780</v>
      </c>
      <c r="AM139" s="156">
        <f t="shared" si="188"/>
        <v>320040</v>
      </c>
      <c r="AN139" s="156">
        <f t="shared" si="188"/>
        <v>246184</v>
      </c>
      <c r="AO139" s="156">
        <f t="shared" si="188"/>
        <v>4500000</v>
      </c>
      <c r="AP139" s="156">
        <f t="shared" si="188"/>
        <v>0</v>
      </c>
      <c r="AQ139" s="156">
        <f t="shared" si="188"/>
        <v>0</v>
      </c>
      <c r="AR139" s="156">
        <f t="shared" si="188"/>
        <v>2184892</v>
      </c>
      <c r="AS139" s="156">
        <f t="shared" si="191"/>
        <v>15943419</v>
      </c>
      <c r="AT139" s="156">
        <f t="shared" si="188"/>
        <v>563304</v>
      </c>
      <c r="AU139" s="156">
        <f t="shared" si="188"/>
        <v>0</v>
      </c>
      <c r="AV139" s="156">
        <f t="shared" si="188"/>
        <v>0</v>
      </c>
      <c r="AW139" s="156">
        <f t="shared" si="175"/>
        <v>2825040</v>
      </c>
      <c r="AX139" s="156">
        <f t="shared" si="175"/>
        <v>0</v>
      </c>
      <c r="AY139" s="156">
        <f t="shared" si="175"/>
        <v>0</v>
      </c>
      <c r="AZ139" s="156">
        <f t="shared" si="175"/>
        <v>0</v>
      </c>
      <c r="BA139" s="156">
        <f t="shared" si="175"/>
        <v>0</v>
      </c>
      <c r="BB139" s="156">
        <f t="shared" si="175"/>
        <v>0</v>
      </c>
      <c r="BC139" s="156">
        <f t="shared" si="175"/>
        <v>9642544</v>
      </c>
      <c r="BD139" s="156">
        <f t="shared" si="175"/>
        <v>7248868</v>
      </c>
      <c r="BE139" s="156">
        <f t="shared" si="175"/>
        <v>25889374</v>
      </c>
      <c r="BF139" s="156">
        <f t="shared" ref="BF139" si="194">+SUM(AT139:BE139)</f>
        <v>46169130</v>
      </c>
      <c r="BG139" s="156">
        <f t="shared" si="175"/>
        <v>2837147</v>
      </c>
      <c r="BH139" s="156">
        <f t="shared" si="181"/>
        <v>5905283</v>
      </c>
      <c r="BI139" s="156">
        <f t="shared" si="181"/>
        <v>18658146</v>
      </c>
      <c r="BJ139" s="156">
        <f t="shared" si="181"/>
        <v>30868538</v>
      </c>
      <c r="BK139" s="156">
        <f t="shared" si="181"/>
        <v>136104698</v>
      </c>
      <c r="BL139" s="156"/>
      <c r="BM139" s="156"/>
      <c r="BN139" s="156"/>
      <c r="BO139" s="156"/>
      <c r="BP139" s="156"/>
      <c r="BQ139" s="156"/>
      <c r="BR139" s="156"/>
      <c r="BS139" s="156">
        <f t="shared" ref="BS139" si="195">+SUM(BG139:BR139)</f>
        <v>194373812</v>
      </c>
      <c r="BT139" s="156">
        <f>+SUM(O139,Q139,R139,S139,AF139,AS139,BF139+BS139)</f>
        <v>256486361</v>
      </c>
      <c r="BU139" s="157" t="str">
        <f>+IF(K139-BT139=0,"OK","ERROR")</f>
        <v>OK</v>
      </c>
      <c r="BV139" s="161"/>
      <c r="BW139" s="161"/>
      <c r="BX139" s="161"/>
      <c r="BY139" s="161"/>
      <c r="BZ139" s="161"/>
      <c r="CA139" s="161"/>
      <c r="CB139" s="161"/>
      <c r="CC139" s="161"/>
    </row>
    <row r="140" spans="1:81" s="158" customFormat="1">
      <c r="A140" s="153" t="s">
        <v>2361</v>
      </c>
      <c r="B140" s="300">
        <v>40</v>
      </c>
      <c r="C140" s="300" t="s">
        <v>2362</v>
      </c>
      <c r="D140" s="297"/>
      <c r="E140" s="274">
        <v>0</v>
      </c>
      <c r="F140" s="275"/>
      <c r="G140" s="297"/>
      <c r="H140" s="276">
        <f t="shared" si="179"/>
        <v>-87329056.359999999</v>
      </c>
      <c r="I140" s="274">
        <v>0</v>
      </c>
      <c r="J140" s="297">
        <v>87329056.359999999</v>
      </c>
      <c r="K140" s="278">
        <f>+O140+Q140+R140+S140+AF140+AS140+BF140+BS140</f>
        <v>87329056.359999999</v>
      </c>
      <c r="L140" s="274">
        <v>0</v>
      </c>
      <c r="M140" s="332">
        <v>0</v>
      </c>
      <c r="N140" s="467" t="s">
        <v>2490</v>
      </c>
      <c r="O140" s="154"/>
      <c r="P140" s="155">
        <f t="shared" si="180"/>
        <v>0</v>
      </c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  <c r="AA140" s="156"/>
      <c r="AB140" s="156"/>
      <c r="AC140" s="156"/>
      <c r="AD140" s="156"/>
      <c r="AE140" s="156"/>
      <c r="AF140" s="156"/>
      <c r="AG140" s="156">
        <f t="shared" si="188"/>
        <v>0</v>
      </c>
      <c r="AH140" s="156">
        <f t="shared" si="188"/>
        <v>0</v>
      </c>
      <c r="AI140" s="156">
        <f t="shared" si="188"/>
        <v>0</v>
      </c>
      <c r="AJ140" s="156">
        <f t="shared" si="188"/>
        <v>0</v>
      </c>
      <c r="AK140" s="156">
        <f t="shared" si="188"/>
        <v>0</v>
      </c>
      <c r="AL140" s="156">
        <f t="shared" si="188"/>
        <v>11980000</v>
      </c>
      <c r="AM140" s="156">
        <f t="shared" si="188"/>
        <v>0</v>
      </c>
      <c r="AN140" s="156">
        <f t="shared" si="188"/>
        <v>1664000</v>
      </c>
      <c r="AO140" s="156">
        <f t="shared" si="188"/>
        <v>3326780</v>
      </c>
      <c r="AP140" s="156">
        <f t="shared" si="188"/>
        <v>7198400</v>
      </c>
      <c r="AQ140" s="156">
        <f t="shared" si="188"/>
        <v>0</v>
      </c>
      <c r="AR140" s="156">
        <f t="shared" si="188"/>
        <v>3080000</v>
      </c>
      <c r="AS140" s="156">
        <f t="shared" si="191"/>
        <v>27249180</v>
      </c>
      <c r="AT140" s="156">
        <f t="shared" si="188"/>
        <v>5681515.9800000004</v>
      </c>
      <c r="AU140" s="156">
        <f t="shared" si="188"/>
        <v>17365618.890000001</v>
      </c>
      <c r="AV140" s="156">
        <f t="shared" si="188"/>
        <v>7166191</v>
      </c>
      <c r="AW140" s="156">
        <f t="shared" si="175"/>
        <v>8249550.4900000002</v>
      </c>
      <c r="AX140" s="156">
        <f t="shared" si="175"/>
        <v>8368000</v>
      </c>
      <c r="AY140" s="156">
        <f t="shared" si="175"/>
        <v>0</v>
      </c>
      <c r="AZ140" s="156">
        <f t="shared" si="175"/>
        <v>0</v>
      </c>
      <c r="BA140" s="156">
        <f t="shared" si="175"/>
        <v>-105000</v>
      </c>
      <c r="BB140" s="156">
        <f t="shared" si="175"/>
        <v>271000</v>
      </c>
      <c r="BC140" s="156">
        <f t="shared" si="175"/>
        <v>809000</v>
      </c>
      <c r="BD140" s="156">
        <f t="shared" si="175"/>
        <v>48000</v>
      </c>
      <c r="BE140" s="156">
        <f t="shared" si="175"/>
        <v>85000</v>
      </c>
      <c r="BF140" s="156">
        <f t="shared" ref="BF140" si="196">+SUM(AT140:BE140)</f>
        <v>47938876.359999999</v>
      </c>
      <c r="BG140" s="156">
        <f t="shared" si="175"/>
        <v>95000</v>
      </c>
      <c r="BH140" s="156">
        <f t="shared" si="181"/>
        <v>0</v>
      </c>
      <c r="BI140" s="156">
        <f t="shared" si="181"/>
        <v>1256000</v>
      </c>
      <c r="BJ140" s="156">
        <f t="shared" si="181"/>
        <v>1045000</v>
      </c>
      <c r="BK140" s="156">
        <f t="shared" si="181"/>
        <v>9745000</v>
      </c>
      <c r="BL140" s="156"/>
      <c r="BM140" s="156"/>
      <c r="BN140" s="156"/>
      <c r="BO140" s="156"/>
      <c r="BP140" s="156"/>
      <c r="BQ140" s="156"/>
      <c r="BR140" s="156"/>
      <c r="BS140" s="156">
        <f t="shared" ref="BS140" si="197">+SUM(BG140:BR140)</f>
        <v>12141000</v>
      </c>
      <c r="BT140" s="156">
        <f>+SUM(O140,Q140,R140,S140,AF140,AS140,BF140+BS140)</f>
        <v>87329056.359999999</v>
      </c>
      <c r="BU140" s="157" t="str">
        <f>+IF(K140-BT140=0,"OK","ERROR")</f>
        <v>OK</v>
      </c>
      <c r="BV140" s="161"/>
      <c r="BW140" s="161"/>
      <c r="BX140" s="161"/>
      <c r="BY140" s="161"/>
      <c r="BZ140" s="161"/>
      <c r="CA140" s="161"/>
      <c r="CB140" s="161"/>
      <c r="CC140" s="161"/>
    </row>
    <row r="141" spans="1:81" s="158" customFormat="1">
      <c r="A141" s="153"/>
      <c r="B141" s="300">
        <v>41</v>
      </c>
      <c r="C141" s="300" t="s">
        <v>2449</v>
      </c>
      <c r="D141" s="297"/>
      <c r="E141" s="274">
        <v>0</v>
      </c>
      <c r="F141" s="275"/>
      <c r="G141" s="297"/>
      <c r="H141" s="276">
        <f t="shared" si="179"/>
        <v>0</v>
      </c>
      <c r="I141" s="274"/>
      <c r="J141" s="297"/>
      <c r="K141" s="278"/>
      <c r="L141" s="274">
        <v>0</v>
      </c>
      <c r="M141" s="332">
        <v>0</v>
      </c>
      <c r="N141" s="467"/>
      <c r="O141" s="154"/>
      <c r="P141" s="155">
        <f t="shared" si="180"/>
        <v>0</v>
      </c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  <c r="AA141" s="156"/>
      <c r="AB141" s="156"/>
      <c r="AC141" s="156"/>
      <c r="AD141" s="156"/>
      <c r="AE141" s="156"/>
      <c r="AF141" s="156"/>
      <c r="AG141" s="156">
        <f t="shared" si="188"/>
        <v>0</v>
      </c>
      <c r="AH141" s="156">
        <f t="shared" si="188"/>
        <v>0</v>
      </c>
      <c r="AI141" s="156">
        <f t="shared" si="188"/>
        <v>0</v>
      </c>
      <c r="AJ141" s="156">
        <f t="shared" si="188"/>
        <v>0</v>
      </c>
      <c r="AK141" s="156">
        <f t="shared" si="188"/>
        <v>0</v>
      </c>
      <c r="AL141" s="156">
        <f t="shared" si="188"/>
        <v>0</v>
      </c>
      <c r="AM141" s="156">
        <f t="shared" si="188"/>
        <v>0</v>
      </c>
      <c r="AN141" s="156">
        <f t="shared" si="188"/>
        <v>0</v>
      </c>
      <c r="AO141" s="156">
        <f t="shared" si="188"/>
        <v>0</v>
      </c>
      <c r="AP141" s="156">
        <f t="shared" si="188"/>
        <v>0</v>
      </c>
      <c r="AQ141" s="156">
        <f t="shared" si="188"/>
        <v>0</v>
      </c>
      <c r="AR141" s="156">
        <f t="shared" si="188"/>
        <v>0</v>
      </c>
      <c r="AS141" s="156">
        <f t="shared" ref="AS141" si="198">+SUM(AG141:AR141)</f>
        <v>0</v>
      </c>
      <c r="AT141" s="156">
        <f t="shared" si="188"/>
        <v>0</v>
      </c>
      <c r="AU141" s="156">
        <f t="shared" si="188"/>
        <v>0</v>
      </c>
      <c r="AV141" s="156">
        <f t="shared" si="188"/>
        <v>0</v>
      </c>
      <c r="AW141" s="156">
        <f t="shared" si="175"/>
        <v>0</v>
      </c>
      <c r="AX141" s="156">
        <f t="shared" si="175"/>
        <v>0</v>
      </c>
      <c r="AY141" s="156">
        <f t="shared" si="175"/>
        <v>0</v>
      </c>
      <c r="AZ141" s="156">
        <f t="shared" si="175"/>
        <v>0</v>
      </c>
      <c r="BA141" s="156">
        <f t="shared" si="175"/>
        <v>0</v>
      </c>
      <c r="BB141" s="156">
        <f t="shared" ref="BB141:BI143" si="199">+SUMIFS(db_Sum,db_Bln,BB$6,db_Kode,$A141)</f>
        <v>0</v>
      </c>
      <c r="BC141" s="156">
        <f t="shared" si="199"/>
        <v>0</v>
      </c>
      <c r="BD141" s="156">
        <f t="shared" si="199"/>
        <v>0</v>
      </c>
      <c r="BE141" s="156">
        <f t="shared" si="199"/>
        <v>0</v>
      </c>
      <c r="BF141" s="156">
        <f t="shared" ref="BF141" si="200">+SUM(AT141:BE141)</f>
        <v>0</v>
      </c>
      <c r="BG141" s="156">
        <f t="shared" si="199"/>
        <v>0</v>
      </c>
      <c r="BH141" s="156">
        <f t="shared" si="199"/>
        <v>0</v>
      </c>
      <c r="BI141" s="156">
        <f t="shared" si="199"/>
        <v>0</v>
      </c>
      <c r="BJ141" s="156">
        <f t="shared" si="181"/>
        <v>0</v>
      </c>
      <c r="BK141" s="156">
        <f t="shared" si="181"/>
        <v>0</v>
      </c>
      <c r="BL141" s="156"/>
      <c r="BM141" s="156"/>
      <c r="BN141" s="156"/>
      <c r="BO141" s="156"/>
      <c r="BP141" s="156"/>
      <c r="BQ141" s="156"/>
      <c r="BR141" s="156"/>
      <c r="BS141" s="156">
        <f t="shared" ref="BS141" si="201">+SUM(BG141:BR141)</f>
        <v>0</v>
      </c>
      <c r="BT141" s="156"/>
      <c r="BU141" s="157"/>
      <c r="BV141" s="161"/>
      <c r="BW141" s="161"/>
      <c r="BX141" s="161"/>
      <c r="BY141" s="161"/>
      <c r="BZ141" s="161"/>
      <c r="CA141" s="161"/>
      <c r="CB141" s="161"/>
      <c r="CC141" s="161"/>
    </row>
    <row r="142" spans="1:81" s="158" customFormat="1">
      <c r="A142" s="153" t="s">
        <v>2511</v>
      </c>
      <c r="B142" s="300"/>
      <c r="C142" s="296" t="s">
        <v>2513</v>
      </c>
      <c r="D142" s="297"/>
      <c r="E142" s="274">
        <v>0</v>
      </c>
      <c r="F142" s="275"/>
      <c r="G142" s="297"/>
      <c r="H142" s="276">
        <f>E142-K142</f>
        <v>-1406256000</v>
      </c>
      <c r="I142" s="274"/>
      <c r="J142" s="297">
        <v>1406256000</v>
      </c>
      <c r="K142" s="278">
        <f>+O142+Q142+R142+S142+AF142+AS142+BF142+BS142</f>
        <v>1406256000</v>
      </c>
      <c r="L142" s="274">
        <v>0</v>
      </c>
      <c r="M142" s="332">
        <v>0</v>
      </c>
      <c r="N142" s="467" t="s">
        <v>2491</v>
      </c>
      <c r="O142" s="154"/>
      <c r="P142" s="155">
        <f>+IF(H142=0,E142-K142,0)</f>
        <v>0</v>
      </c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  <c r="AA142" s="156"/>
      <c r="AB142" s="156"/>
      <c r="AC142" s="156"/>
      <c r="AD142" s="156"/>
      <c r="AE142" s="156"/>
      <c r="AF142" s="156"/>
      <c r="AG142" s="156">
        <f t="shared" ref="AG142:AR142" si="202">+SUMIFS(db_Sum,db_Bln,AG$6,db_Kode,$A142)</f>
        <v>0</v>
      </c>
      <c r="AH142" s="156">
        <f t="shared" si="202"/>
        <v>0</v>
      </c>
      <c r="AI142" s="156">
        <f t="shared" si="202"/>
        <v>0</v>
      </c>
      <c r="AJ142" s="156">
        <f t="shared" si="202"/>
        <v>0</v>
      </c>
      <c r="AK142" s="156">
        <f t="shared" si="202"/>
        <v>0</v>
      </c>
      <c r="AL142" s="156">
        <f t="shared" si="202"/>
        <v>0</v>
      </c>
      <c r="AM142" s="156">
        <f t="shared" si="202"/>
        <v>0</v>
      </c>
      <c r="AN142" s="156">
        <f t="shared" si="202"/>
        <v>0</v>
      </c>
      <c r="AO142" s="156">
        <f t="shared" si="202"/>
        <v>0</v>
      </c>
      <c r="AP142" s="156">
        <f t="shared" si="202"/>
        <v>0</v>
      </c>
      <c r="AQ142" s="156">
        <f t="shared" si="202"/>
        <v>0</v>
      </c>
      <c r="AR142" s="156">
        <f t="shared" si="202"/>
        <v>0</v>
      </c>
      <c r="AS142" s="156">
        <f t="shared" ref="AS142" si="203">+SUM(AG142:AR142)</f>
        <v>0</v>
      </c>
      <c r="AT142" s="156">
        <f t="shared" ref="AT142:BE142" si="204">+SUMIFS(db_Sum,db_Bln,AT$6,db_Kode,$A142)</f>
        <v>0</v>
      </c>
      <c r="AU142" s="156">
        <f t="shared" si="204"/>
        <v>0</v>
      </c>
      <c r="AV142" s="156">
        <f t="shared" si="204"/>
        <v>0</v>
      </c>
      <c r="AW142" s="156">
        <f t="shared" si="204"/>
        <v>0</v>
      </c>
      <c r="AX142" s="156">
        <f t="shared" si="204"/>
        <v>1406256000</v>
      </c>
      <c r="AY142" s="156">
        <f t="shared" si="204"/>
        <v>0</v>
      </c>
      <c r="AZ142" s="156">
        <f t="shared" si="204"/>
        <v>0</v>
      </c>
      <c r="BA142" s="156">
        <f t="shared" si="204"/>
        <v>0</v>
      </c>
      <c r="BB142" s="156">
        <f t="shared" si="204"/>
        <v>0</v>
      </c>
      <c r="BC142" s="156">
        <f t="shared" si="204"/>
        <v>0</v>
      </c>
      <c r="BD142" s="156">
        <f t="shared" si="204"/>
        <v>0</v>
      </c>
      <c r="BE142" s="156">
        <f t="shared" si="204"/>
        <v>0</v>
      </c>
      <c r="BF142" s="156">
        <f t="shared" ref="BF142" si="205">+SUM(AT142:BE142)</f>
        <v>1406256000</v>
      </c>
      <c r="BG142" s="156">
        <f>+SUMIFS(db_Sum,db_Bln,BG$6,db_Kode,$A142)</f>
        <v>0</v>
      </c>
      <c r="BH142" s="156">
        <f>+SUMIFS(db_Sum,db_Bln,BH$6,db_Kode,$A142)</f>
        <v>0</v>
      </c>
      <c r="BI142" s="156">
        <f>+SUMIFS(db_Sum,db_Bln,BI$6,db_Kode,$A142)</f>
        <v>0</v>
      </c>
      <c r="BJ142" s="156">
        <f>+SUMIFS(db_Sum,db_Bln,BJ$6,db_Kode,$A142)</f>
        <v>0</v>
      </c>
      <c r="BK142" s="156">
        <f>+SUMIFS(db_Sum,db_Bln,BK$6,db_Kode,$A142)</f>
        <v>0</v>
      </c>
      <c r="BL142" s="156"/>
      <c r="BM142" s="156"/>
      <c r="BN142" s="156"/>
      <c r="BO142" s="156"/>
      <c r="BP142" s="156"/>
      <c r="BQ142" s="156"/>
      <c r="BR142" s="156"/>
      <c r="BS142" s="156">
        <f t="shared" ref="BS142" si="206">+SUM(BG142:BR142)</f>
        <v>0</v>
      </c>
      <c r="BT142" s="156"/>
      <c r="BU142" s="157"/>
      <c r="BV142" s="161"/>
      <c r="BW142" s="161"/>
      <c r="BX142" s="161"/>
      <c r="BY142" s="161"/>
      <c r="BZ142" s="161"/>
      <c r="CA142" s="161"/>
      <c r="CB142" s="161"/>
      <c r="CC142" s="161"/>
    </row>
    <row r="143" spans="1:81" s="158" customFormat="1">
      <c r="A143" s="153" t="s">
        <v>2512</v>
      </c>
      <c r="B143" s="300"/>
      <c r="C143" s="296" t="s">
        <v>2514</v>
      </c>
      <c r="D143" s="297"/>
      <c r="E143" s="274">
        <v>0</v>
      </c>
      <c r="F143" s="275"/>
      <c r="G143" s="297"/>
      <c r="H143" s="276">
        <f>E143-K143</f>
        <v>-515046000</v>
      </c>
      <c r="I143" s="274"/>
      <c r="J143" s="297">
        <v>515046000</v>
      </c>
      <c r="K143" s="278">
        <f>+O143+Q143+R143+S143+AF143+AS143+BF143+BS143</f>
        <v>515046000</v>
      </c>
      <c r="L143" s="274">
        <v>0</v>
      </c>
      <c r="M143" s="332">
        <v>0</v>
      </c>
      <c r="N143" s="467" t="s">
        <v>2491</v>
      </c>
      <c r="O143" s="154"/>
      <c r="P143" s="155">
        <f>+IF(H143=0,E143-K143,0)</f>
        <v>0</v>
      </c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  <c r="AA143" s="156"/>
      <c r="AB143" s="156"/>
      <c r="AC143" s="156"/>
      <c r="AD143" s="156"/>
      <c r="AE143" s="156"/>
      <c r="AF143" s="156"/>
      <c r="AG143" s="156">
        <f t="shared" si="188"/>
        <v>0</v>
      </c>
      <c r="AH143" s="156">
        <f t="shared" si="188"/>
        <v>0</v>
      </c>
      <c r="AI143" s="156">
        <f t="shared" si="188"/>
        <v>0</v>
      </c>
      <c r="AJ143" s="156">
        <f t="shared" si="188"/>
        <v>0</v>
      </c>
      <c r="AK143" s="156">
        <f t="shared" si="188"/>
        <v>0</v>
      </c>
      <c r="AL143" s="156">
        <f t="shared" si="188"/>
        <v>0</v>
      </c>
      <c r="AM143" s="156">
        <f t="shared" si="188"/>
        <v>0</v>
      </c>
      <c r="AN143" s="156">
        <f t="shared" si="188"/>
        <v>0</v>
      </c>
      <c r="AO143" s="156">
        <f t="shared" si="188"/>
        <v>0</v>
      </c>
      <c r="AP143" s="156">
        <f t="shared" si="188"/>
        <v>0</v>
      </c>
      <c r="AQ143" s="156">
        <f t="shared" si="188"/>
        <v>0</v>
      </c>
      <c r="AR143" s="156">
        <f t="shared" si="188"/>
        <v>0</v>
      </c>
      <c r="AS143" s="156">
        <f t="shared" ref="AS143" si="207">+SUM(AG143:AR143)</f>
        <v>0</v>
      </c>
      <c r="AT143" s="156">
        <f t="shared" si="188"/>
        <v>0</v>
      </c>
      <c r="AU143" s="156">
        <f t="shared" si="188"/>
        <v>0</v>
      </c>
      <c r="AV143" s="156">
        <f t="shared" si="188"/>
        <v>0</v>
      </c>
      <c r="AW143" s="156">
        <f t="shared" ref="AW143:BA143" si="208">+SUMIFS(db_Sum,db_Bln,AW$6,db_Kode,$A143)</f>
        <v>0</v>
      </c>
      <c r="AX143" s="156">
        <f t="shared" si="208"/>
        <v>515046000</v>
      </c>
      <c r="AY143" s="156">
        <f t="shared" si="208"/>
        <v>0</v>
      </c>
      <c r="AZ143" s="156">
        <f t="shared" si="208"/>
        <v>0</v>
      </c>
      <c r="BA143" s="156">
        <f t="shared" si="208"/>
        <v>0</v>
      </c>
      <c r="BB143" s="156">
        <f t="shared" si="199"/>
        <v>0</v>
      </c>
      <c r="BC143" s="156">
        <f t="shared" si="199"/>
        <v>0</v>
      </c>
      <c r="BD143" s="156">
        <f t="shared" si="199"/>
        <v>0</v>
      </c>
      <c r="BE143" s="156">
        <f t="shared" si="199"/>
        <v>0</v>
      </c>
      <c r="BF143" s="156">
        <f t="shared" ref="BF143" si="209">+SUM(AT143:BE143)</f>
        <v>515046000</v>
      </c>
      <c r="BG143" s="156">
        <f t="shared" si="199"/>
        <v>0</v>
      </c>
      <c r="BH143" s="156">
        <f t="shared" si="199"/>
        <v>0</v>
      </c>
      <c r="BI143" s="156">
        <f t="shared" si="199"/>
        <v>0</v>
      </c>
      <c r="BJ143" s="156">
        <f t="shared" si="181"/>
        <v>0</v>
      </c>
      <c r="BK143" s="156">
        <f t="shared" si="181"/>
        <v>0</v>
      </c>
      <c r="BL143" s="156"/>
      <c r="BM143" s="156"/>
      <c r="BN143" s="156"/>
      <c r="BO143" s="156"/>
      <c r="BP143" s="156"/>
      <c r="BQ143" s="156"/>
      <c r="BR143" s="156"/>
      <c r="BS143" s="156">
        <f t="shared" ref="BS143" si="210">+SUM(BG143:BR143)</f>
        <v>0</v>
      </c>
      <c r="BT143" s="156"/>
      <c r="BU143" s="157"/>
      <c r="BV143" s="161"/>
      <c r="BW143" s="161"/>
      <c r="BX143" s="161"/>
      <c r="BY143" s="161"/>
      <c r="BZ143" s="161"/>
      <c r="CA143" s="161"/>
      <c r="CB143" s="161"/>
      <c r="CC143" s="161"/>
    </row>
    <row r="144" spans="1:81" s="158" customFormat="1">
      <c r="A144" s="153"/>
      <c r="B144" s="393">
        <v>42</v>
      </c>
      <c r="C144" s="432" t="s">
        <v>2527</v>
      </c>
      <c r="D144" s="394"/>
      <c r="E144" s="395">
        <v>0</v>
      </c>
      <c r="F144" s="424"/>
      <c r="G144" s="394"/>
      <c r="H144" s="397">
        <f>E144-K144</f>
        <v>-328593000</v>
      </c>
      <c r="I144" s="397">
        <v>0</v>
      </c>
      <c r="J144" s="394">
        <v>328593000</v>
      </c>
      <c r="K144" s="398">
        <v>328593000</v>
      </c>
      <c r="L144" s="398">
        <v>0</v>
      </c>
      <c r="M144" s="398">
        <v>0</v>
      </c>
      <c r="N144" s="486"/>
      <c r="O144" s="154"/>
      <c r="P144" s="155">
        <f>+IF(H144=0,E144-K144,0)</f>
        <v>0</v>
      </c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  <c r="AA144" s="156"/>
      <c r="AB144" s="156"/>
      <c r="AC144" s="156"/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6"/>
      <c r="AU144" s="156"/>
      <c r="AV144" s="156"/>
      <c r="AW144" s="156"/>
      <c r="AX144" s="156"/>
      <c r="AY144" s="156"/>
      <c r="AZ144" s="156"/>
      <c r="BA144" s="156"/>
      <c r="BB144" s="156"/>
      <c r="BC144" s="156"/>
      <c r="BD144" s="156"/>
      <c r="BE144" s="156"/>
      <c r="BF144" s="156"/>
      <c r="BG144" s="156"/>
      <c r="BH144" s="156"/>
      <c r="BI144" s="156"/>
      <c r="BJ144" s="156"/>
      <c r="BK144" s="156"/>
      <c r="BL144" s="156"/>
      <c r="BM144" s="156"/>
      <c r="BN144" s="156"/>
      <c r="BO144" s="156"/>
      <c r="BP144" s="156"/>
      <c r="BQ144" s="156"/>
      <c r="BR144" s="156"/>
      <c r="BS144" s="156"/>
      <c r="BT144" s="156"/>
      <c r="BU144" s="157"/>
      <c r="BV144" s="161"/>
      <c r="BW144" s="161"/>
      <c r="BX144" s="161"/>
      <c r="BY144" s="161"/>
      <c r="BZ144" s="161"/>
      <c r="CA144" s="161"/>
      <c r="CB144" s="161"/>
      <c r="CC144" s="161"/>
    </row>
    <row r="145" spans="1:81" s="243" customFormat="1" ht="15.5">
      <c r="A145" s="231"/>
      <c r="B145" s="232"/>
      <c r="C145" s="233" t="s">
        <v>2292</v>
      </c>
      <c r="D145" s="234"/>
      <c r="E145" s="235">
        <f>SUM(E87:E138)</f>
        <v>70553930000</v>
      </c>
      <c r="F145" s="236"/>
      <c r="G145" s="234"/>
      <c r="H145" s="235">
        <f>SUM(H136:H136)</f>
        <v>-799200000</v>
      </c>
      <c r="I145" s="237">
        <f>SUM(I87,I89,I91,I93,I94:I95,I98,I100:I101,I103:I105,I106:I108,I109:I110,I112:I114,I116:I118,I119:I130,I131:I141)</f>
        <v>75347778815.215118</v>
      </c>
      <c r="J145" s="237">
        <f>SUM(J87:J144)</f>
        <v>86748216794.815125</v>
      </c>
      <c r="K145" s="237">
        <f>SUM(K87,K89,K91,K93,K94:K95,K98,K100:K101,K103:K105,K106:K108,K109:K110,K112:K114,K116:K118,K119:K130,K131:K144,K90)-K122</f>
        <v>73594723378.575134</v>
      </c>
      <c r="L145" s="237">
        <f>SUM(L87,L89,L91,L93,L94:L95,L98,L100:L101,L103:L105,L106:L108,L109:L110,L112:L114,L116:L118,L119:L130,L131:L141)</f>
        <v>0</v>
      </c>
      <c r="M145" s="244">
        <f>SUM(M87:M141)</f>
        <v>12983310852.439999</v>
      </c>
      <c r="N145" s="464">
        <f>K145+L145+M145</f>
        <v>86578034231.015137</v>
      </c>
      <c r="O145" s="235">
        <f t="shared" ref="O145:AT145" si="211">SUM(O136:O136)</f>
        <v>0</v>
      </c>
      <c r="P145" s="238">
        <f t="shared" si="211"/>
        <v>0</v>
      </c>
      <c r="Q145" s="245">
        <f t="shared" si="211"/>
        <v>0</v>
      </c>
      <c r="R145" s="245">
        <f t="shared" si="211"/>
        <v>0</v>
      </c>
      <c r="S145" s="245">
        <f t="shared" si="211"/>
        <v>0</v>
      </c>
      <c r="T145" s="245">
        <f t="shared" si="211"/>
        <v>0</v>
      </c>
      <c r="U145" s="245">
        <f t="shared" si="211"/>
        <v>0</v>
      </c>
      <c r="V145" s="245">
        <f t="shared" si="211"/>
        <v>0</v>
      </c>
      <c r="W145" s="245">
        <f t="shared" si="211"/>
        <v>0</v>
      </c>
      <c r="X145" s="245">
        <f t="shared" si="211"/>
        <v>0</v>
      </c>
      <c r="Y145" s="245">
        <f t="shared" si="211"/>
        <v>0</v>
      </c>
      <c r="Z145" s="245">
        <f t="shared" si="211"/>
        <v>0</v>
      </c>
      <c r="AA145" s="245">
        <f t="shared" si="211"/>
        <v>0</v>
      </c>
      <c r="AB145" s="245">
        <f t="shared" si="211"/>
        <v>0</v>
      </c>
      <c r="AC145" s="245">
        <f t="shared" si="211"/>
        <v>0</v>
      </c>
      <c r="AD145" s="245">
        <f t="shared" si="211"/>
        <v>0</v>
      </c>
      <c r="AE145" s="245">
        <f t="shared" si="211"/>
        <v>0</v>
      </c>
      <c r="AF145" s="245">
        <f t="shared" si="211"/>
        <v>0</v>
      </c>
      <c r="AG145" s="245">
        <f t="shared" si="211"/>
        <v>0</v>
      </c>
      <c r="AH145" s="245">
        <f t="shared" si="211"/>
        <v>0</v>
      </c>
      <c r="AI145" s="245">
        <f t="shared" si="211"/>
        <v>0</v>
      </c>
      <c r="AJ145" s="245">
        <f t="shared" si="211"/>
        <v>0</v>
      </c>
      <c r="AK145" s="245">
        <f t="shared" si="211"/>
        <v>0</v>
      </c>
      <c r="AL145" s="245">
        <f t="shared" si="211"/>
        <v>0</v>
      </c>
      <c r="AM145" s="245">
        <f t="shared" si="211"/>
        <v>0</v>
      </c>
      <c r="AN145" s="245">
        <f t="shared" si="211"/>
        <v>0</v>
      </c>
      <c r="AO145" s="245">
        <f t="shared" si="211"/>
        <v>0</v>
      </c>
      <c r="AP145" s="245">
        <f t="shared" si="211"/>
        <v>0</v>
      </c>
      <c r="AQ145" s="245">
        <f t="shared" si="211"/>
        <v>0</v>
      </c>
      <c r="AR145" s="245">
        <f t="shared" si="211"/>
        <v>0</v>
      </c>
      <c r="AS145" s="245">
        <f t="shared" si="211"/>
        <v>0</v>
      </c>
      <c r="AT145" s="245">
        <f t="shared" si="211"/>
        <v>0</v>
      </c>
      <c r="AU145" s="245">
        <f t="shared" ref="AU145:BT145" si="212">SUM(AU136:AU136)</f>
        <v>0</v>
      </c>
      <c r="AV145" s="245">
        <f t="shared" si="212"/>
        <v>0</v>
      </c>
      <c r="AW145" s="245">
        <f t="shared" si="212"/>
        <v>0</v>
      </c>
      <c r="AX145" s="245">
        <f t="shared" si="212"/>
        <v>0</v>
      </c>
      <c r="AY145" s="245">
        <f t="shared" si="212"/>
        <v>0</v>
      </c>
      <c r="AZ145" s="245">
        <f t="shared" si="212"/>
        <v>0</v>
      </c>
      <c r="BA145" s="245">
        <f t="shared" si="212"/>
        <v>0</v>
      </c>
      <c r="BB145" s="245">
        <f t="shared" si="212"/>
        <v>0</v>
      </c>
      <c r="BC145" s="245">
        <f t="shared" si="212"/>
        <v>0</v>
      </c>
      <c r="BD145" s="245">
        <f t="shared" si="212"/>
        <v>0</v>
      </c>
      <c r="BE145" s="245">
        <f t="shared" si="212"/>
        <v>0</v>
      </c>
      <c r="BF145" s="245">
        <f t="shared" si="212"/>
        <v>0</v>
      </c>
      <c r="BG145" s="245">
        <f t="shared" si="212"/>
        <v>0</v>
      </c>
      <c r="BH145" s="245">
        <f t="shared" si="212"/>
        <v>0</v>
      </c>
      <c r="BI145" s="245">
        <f t="shared" si="212"/>
        <v>0</v>
      </c>
      <c r="BJ145" s="245">
        <f t="shared" si="212"/>
        <v>0</v>
      </c>
      <c r="BK145" s="245">
        <f t="shared" si="212"/>
        <v>0</v>
      </c>
      <c r="BL145" s="245">
        <f t="shared" si="212"/>
        <v>0</v>
      </c>
      <c r="BM145" s="245">
        <f t="shared" si="212"/>
        <v>0</v>
      </c>
      <c r="BN145" s="245">
        <f t="shared" si="212"/>
        <v>0</v>
      </c>
      <c r="BO145" s="245">
        <f t="shared" si="212"/>
        <v>0</v>
      </c>
      <c r="BP145" s="245">
        <f t="shared" si="212"/>
        <v>0</v>
      </c>
      <c r="BQ145" s="245">
        <f t="shared" si="212"/>
        <v>0</v>
      </c>
      <c r="BR145" s="245">
        <f t="shared" si="212"/>
        <v>0</v>
      </c>
      <c r="BS145" s="245">
        <f t="shared" si="212"/>
        <v>0</v>
      </c>
      <c r="BT145" s="245">
        <f t="shared" si="212"/>
        <v>0</v>
      </c>
      <c r="BU145" s="240" t="str">
        <f>+IF(K145-BT145=0,"OK","ERROR")</f>
        <v>ERROR</v>
      </c>
      <c r="BV145" s="241">
        <f>BT145-K145</f>
        <v>-73594723378.575134</v>
      </c>
      <c r="BW145" s="242"/>
      <c r="BX145" s="242"/>
      <c r="BY145" s="242"/>
      <c r="BZ145" s="242"/>
      <c r="CA145" s="242"/>
      <c r="CB145" s="242"/>
      <c r="CC145" s="242"/>
    </row>
    <row r="146" spans="1:81">
      <c r="B146" s="357" t="s">
        <v>111</v>
      </c>
      <c r="C146" s="143" t="s">
        <v>69</v>
      </c>
      <c r="D146" s="147"/>
      <c r="E146" s="383"/>
      <c r="F146" s="144"/>
      <c r="G146" s="147"/>
      <c r="H146" s="145"/>
      <c r="I146" s="145"/>
      <c r="J146" s="147"/>
      <c r="K146" s="146"/>
      <c r="L146" s="146"/>
      <c r="M146" s="146"/>
      <c r="N146" s="465"/>
      <c r="O146" s="55"/>
      <c r="P146" s="79"/>
      <c r="Q146" s="12"/>
      <c r="R146" s="12"/>
      <c r="S146" s="12"/>
      <c r="AF146" s="6"/>
      <c r="AS146" s="6"/>
      <c r="BF146" s="6"/>
      <c r="BG146" s="7"/>
      <c r="BH146" s="7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26"/>
      <c r="BV146" s="7"/>
      <c r="BW146" s="7"/>
      <c r="BX146" s="7"/>
      <c r="BY146" s="7"/>
      <c r="BZ146" s="7"/>
      <c r="CA146" s="7"/>
      <c r="CB146" s="7"/>
      <c r="CC146" s="7"/>
    </row>
    <row r="147" spans="1:81" s="158" customFormat="1">
      <c r="A147" s="153">
        <v>41</v>
      </c>
      <c r="B147" s="380">
        <v>1</v>
      </c>
      <c r="C147" s="380" t="s">
        <v>134</v>
      </c>
      <c r="D147" s="381" t="s">
        <v>1027</v>
      </c>
      <c r="E147" s="361">
        <v>13320000000</v>
      </c>
      <c r="F147" s="382"/>
      <c r="G147" s="381"/>
      <c r="H147" s="363">
        <f t="shared" ref="H147:H159" si="213">+IF(E147&gt;K147,E147-K147,0)</f>
        <v>12796694059.67</v>
      </c>
      <c r="I147" s="363">
        <v>0</v>
      </c>
      <c r="J147" s="381">
        <v>523305940.32999998</v>
      </c>
      <c r="K147" s="365">
        <f>+O147+Q147+R147+S147+AF147+AS147+BF147+BS147</f>
        <v>523305940.32999998</v>
      </c>
      <c r="L147" s="365">
        <v>0</v>
      </c>
      <c r="M147" s="433">
        <v>0</v>
      </c>
      <c r="N147" s="477" t="s">
        <v>2492</v>
      </c>
      <c r="O147" s="154">
        <f t="shared" ref="O147:O160" si="214">+SUMIFS(db_Sum,db_Bln,O$6,db_Kode,$A147)</f>
        <v>0</v>
      </c>
      <c r="P147" s="155">
        <f t="shared" ref="P147:P160" si="215">+IF(H147=0,E147-K147,0)</f>
        <v>0</v>
      </c>
      <c r="Q147" s="156">
        <f t="shared" ref="Q147:AG160" si="216">+SUMIFS(db_Sum,db_Bln,Q$6,db_Kode,$A147)</f>
        <v>0</v>
      </c>
      <c r="R147" s="156">
        <f t="shared" si="216"/>
        <v>0</v>
      </c>
      <c r="S147" s="156">
        <f t="shared" si="216"/>
        <v>0</v>
      </c>
      <c r="T147" s="156">
        <f t="shared" si="216"/>
        <v>0</v>
      </c>
      <c r="U147" s="156">
        <f t="shared" si="216"/>
        <v>0</v>
      </c>
      <c r="V147" s="156">
        <f t="shared" si="216"/>
        <v>0</v>
      </c>
      <c r="W147" s="156">
        <f t="shared" si="216"/>
        <v>0</v>
      </c>
      <c r="X147" s="156">
        <f t="shared" si="216"/>
        <v>0</v>
      </c>
      <c r="Y147" s="156">
        <f t="shared" si="216"/>
        <v>0</v>
      </c>
      <c r="Z147" s="156">
        <f t="shared" si="216"/>
        <v>0</v>
      </c>
      <c r="AA147" s="156">
        <f t="shared" si="216"/>
        <v>0</v>
      </c>
      <c r="AB147" s="156">
        <f t="shared" si="216"/>
        <v>0</v>
      </c>
      <c r="AC147" s="156">
        <f t="shared" si="216"/>
        <v>0</v>
      </c>
      <c r="AD147" s="156">
        <f t="shared" si="216"/>
        <v>0</v>
      </c>
      <c r="AE147" s="156">
        <f t="shared" si="216"/>
        <v>0</v>
      </c>
      <c r="AF147" s="156">
        <f t="shared" ref="AF147:AF148" si="217">+SUM(T147:AE147)</f>
        <v>0</v>
      </c>
      <c r="AG147" s="156">
        <f t="shared" si="216"/>
        <v>0</v>
      </c>
      <c r="AH147" s="156">
        <f t="shared" ref="AG147:AR160" si="218">+SUMIFS(db_Sum,db_Bln,AH$6,db_Kode,$A147)</f>
        <v>0</v>
      </c>
      <c r="AI147" s="156">
        <f t="shared" si="218"/>
        <v>0</v>
      </c>
      <c r="AJ147" s="156">
        <f t="shared" si="218"/>
        <v>0</v>
      </c>
      <c r="AK147" s="156">
        <f t="shared" si="218"/>
        <v>0</v>
      </c>
      <c r="AL147" s="156">
        <f t="shared" si="218"/>
        <v>0</v>
      </c>
      <c r="AM147" s="156">
        <f t="shared" si="218"/>
        <v>0</v>
      </c>
      <c r="AN147" s="156">
        <f t="shared" si="218"/>
        <v>0</v>
      </c>
      <c r="AO147" s="156">
        <f t="shared" si="218"/>
        <v>0</v>
      </c>
      <c r="AP147" s="156">
        <f t="shared" si="218"/>
        <v>0</v>
      </c>
      <c r="AQ147" s="156">
        <f t="shared" si="218"/>
        <v>0</v>
      </c>
      <c r="AR147" s="156">
        <f t="shared" si="218"/>
        <v>0</v>
      </c>
      <c r="AS147" s="156">
        <f t="shared" ref="AS147" si="219">+SUM(AG147:AR147)</f>
        <v>0</v>
      </c>
      <c r="AT147" s="156">
        <f t="shared" ref="AT147:BI160" si="220">+SUMIFS(db_Sum,db_Bln,AT$6,db_Kode,$A147)</f>
        <v>540707165.52999997</v>
      </c>
      <c r="AU147" s="156">
        <f t="shared" si="220"/>
        <v>0</v>
      </c>
      <c r="AV147" s="156">
        <f t="shared" si="220"/>
        <v>0</v>
      </c>
      <c r="AW147" s="156">
        <f t="shared" si="220"/>
        <v>0</v>
      </c>
      <c r="AX147" s="156">
        <f t="shared" si="220"/>
        <v>0</v>
      </c>
      <c r="AY147" s="156">
        <f t="shared" si="220"/>
        <v>1208749.5900000001</v>
      </c>
      <c r="AZ147" s="156">
        <f t="shared" si="220"/>
        <v>0</v>
      </c>
      <c r="BA147" s="156">
        <f t="shared" si="220"/>
        <v>0</v>
      </c>
      <c r="BB147" s="156">
        <f t="shared" si="220"/>
        <v>0</v>
      </c>
      <c r="BC147" s="156">
        <f t="shared" si="220"/>
        <v>0</v>
      </c>
      <c r="BD147" s="156">
        <f t="shared" si="220"/>
        <v>0</v>
      </c>
      <c r="BE147" s="156">
        <f t="shared" si="220"/>
        <v>-18609974.790000003</v>
      </c>
      <c r="BF147" s="156">
        <f t="shared" ref="BF147" si="221">+SUM(AT147:BE147)</f>
        <v>523305940.32999998</v>
      </c>
      <c r="BG147" s="156">
        <f t="shared" si="220"/>
        <v>0</v>
      </c>
      <c r="BH147" s="156">
        <f t="shared" si="220"/>
        <v>0</v>
      </c>
      <c r="BI147" s="156">
        <f t="shared" si="220"/>
        <v>0</v>
      </c>
      <c r="BJ147" s="156">
        <f t="shared" ref="BJ147:BL160" si="222">+SUMIFS(db_Sum,db_Bln,BJ$6,db_Kode,$A147)</f>
        <v>0</v>
      </c>
      <c r="BK147" s="156">
        <f t="shared" si="222"/>
        <v>0</v>
      </c>
      <c r="BL147" s="156"/>
      <c r="BM147" s="156"/>
      <c r="BN147" s="156"/>
      <c r="BO147" s="156"/>
      <c r="BP147" s="156"/>
      <c r="BQ147" s="156"/>
      <c r="BR147" s="156"/>
      <c r="BS147" s="156">
        <f t="shared" ref="BS147" si="223">+SUM(BG147:BR147)</f>
        <v>0</v>
      </c>
      <c r="BT147" s="156">
        <f t="shared" ref="BT147:BT160" si="224">+SUM(O147,Q147,R147,S147,AF147,AS147,BF147+BS147)</f>
        <v>523305940.32999998</v>
      </c>
      <c r="BU147" s="157" t="str">
        <f t="shared" ref="BU147:BU161" si="225">+IF(K147-BT147=0,"OK","ERROR")</f>
        <v>OK</v>
      </c>
      <c r="BV147" s="161"/>
      <c r="BW147" s="161"/>
      <c r="BX147" s="161"/>
      <c r="BY147" s="161"/>
      <c r="BZ147" s="161"/>
      <c r="CA147" s="161"/>
      <c r="CB147" s="161"/>
      <c r="CC147" s="161"/>
    </row>
    <row r="148" spans="1:81" s="158" customFormat="1">
      <c r="A148" s="153" t="s">
        <v>2419</v>
      </c>
      <c r="B148" s="300"/>
      <c r="C148" s="296" t="s">
        <v>2425</v>
      </c>
      <c r="D148" s="297" t="s">
        <v>1027</v>
      </c>
      <c r="E148" s="274"/>
      <c r="F148" s="301"/>
      <c r="G148" s="297"/>
      <c r="H148" s="276">
        <f t="shared" si="213"/>
        <v>0</v>
      </c>
      <c r="I148" s="276">
        <v>1203240000</v>
      </c>
      <c r="J148" s="297">
        <v>1203240000</v>
      </c>
      <c r="K148" s="278">
        <f t="shared" ref="K148:K159" si="226">+O148+Q148+R148+S148+AF148+AS148+BF148+BS148</f>
        <v>1203240000</v>
      </c>
      <c r="L148" s="278">
        <v>0</v>
      </c>
      <c r="M148" s="278">
        <f t="shared" ref="M148:M156" si="227">J148-K148</f>
        <v>0</v>
      </c>
      <c r="N148" s="485"/>
      <c r="O148" s="154">
        <f t="shared" si="214"/>
        <v>0</v>
      </c>
      <c r="P148" s="155">
        <f t="shared" si="215"/>
        <v>-1203240000</v>
      </c>
      <c r="Q148" s="156">
        <f t="shared" si="216"/>
        <v>0</v>
      </c>
      <c r="R148" s="156">
        <f t="shared" si="216"/>
        <v>0</v>
      </c>
      <c r="S148" s="156">
        <f t="shared" si="216"/>
        <v>0</v>
      </c>
      <c r="T148" s="156">
        <f t="shared" si="216"/>
        <v>0</v>
      </c>
      <c r="U148" s="156">
        <f t="shared" si="216"/>
        <v>0</v>
      </c>
      <c r="V148" s="156">
        <f t="shared" si="216"/>
        <v>0</v>
      </c>
      <c r="W148" s="156">
        <f t="shared" si="216"/>
        <v>0</v>
      </c>
      <c r="X148" s="156">
        <f t="shared" si="216"/>
        <v>0</v>
      </c>
      <c r="Y148" s="156">
        <f t="shared" si="216"/>
        <v>0</v>
      </c>
      <c r="Z148" s="156">
        <f t="shared" si="216"/>
        <v>0</v>
      </c>
      <c r="AA148" s="156">
        <f t="shared" si="216"/>
        <v>0</v>
      </c>
      <c r="AB148" s="156">
        <f t="shared" si="216"/>
        <v>0</v>
      </c>
      <c r="AC148" s="156">
        <f t="shared" si="216"/>
        <v>0</v>
      </c>
      <c r="AD148" s="156">
        <f t="shared" si="216"/>
        <v>0</v>
      </c>
      <c r="AE148" s="156">
        <f t="shared" si="216"/>
        <v>0</v>
      </c>
      <c r="AF148" s="156">
        <f t="shared" si="217"/>
        <v>0</v>
      </c>
      <c r="AG148" s="156">
        <f t="shared" si="216"/>
        <v>0</v>
      </c>
      <c r="AH148" s="156">
        <f t="shared" si="218"/>
        <v>0</v>
      </c>
      <c r="AI148" s="156">
        <f t="shared" si="218"/>
        <v>0</v>
      </c>
      <c r="AJ148" s="156">
        <f t="shared" si="218"/>
        <v>0</v>
      </c>
      <c r="AK148" s="156">
        <f t="shared" si="218"/>
        <v>0</v>
      </c>
      <c r="AL148" s="156">
        <f t="shared" si="218"/>
        <v>0</v>
      </c>
      <c r="AM148" s="156">
        <f t="shared" si="218"/>
        <v>0</v>
      </c>
      <c r="AN148" s="156">
        <f t="shared" si="218"/>
        <v>0</v>
      </c>
      <c r="AO148" s="156">
        <f t="shared" si="218"/>
        <v>0</v>
      </c>
      <c r="AP148" s="156">
        <f t="shared" si="218"/>
        <v>0</v>
      </c>
      <c r="AQ148" s="156">
        <f t="shared" si="218"/>
        <v>0</v>
      </c>
      <c r="AR148" s="156">
        <f t="shared" si="218"/>
        <v>300810000</v>
      </c>
      <c r="AS148" s="156">
        <f t="shared" ref="AS148" si="228">+SUM(AG148:AR148)</f>
        <v>300810000</v>
      </c>
      <c r="AT148" s="156">
        <f t="shared" si="220"/>
        <v>0</v>
      </c>
      <c r="AU148" s="156">
        <f t="shared" si="220"/>
        <v>601620000</v>
      </c>
      <c r="AV148" s="156">
        <f t="shared" si="220"/>
        <v>0</v>
      </c>
      <c r="AW148" s="156">
        <f t="shared" si="220"/>
        <v>0</v>
      </c>
      <c r="AX148" s="156">
        <f t="shared" si="220"/>
        <v>0</v>
      </c>
      <c r="AY148" s="156">
        <f t="shared" si="220"/>
        <v>300810000</v>
      </c>
      <c r="AZ148" s="156">
        <f t="shared" si="220"/>
        <v>0</v>
      </c>
      <c r="BA148" s="156">
        <f t="shared" si="220"/>
        <v>0</v>
      </c>
      <c r="BB148" s="156">
        <f t="shared" si="220"/>
        <v>0</v>
      </c>
      <c r="BC148" s="156">
        <f t="shared" si="220"/>
        <v>0</v>
      </c>
      <c r="BD148" s="156">
        <f t="shared" si="220"/>
        <v>0</v>
      </c>
      <c r="BE148" s="156">
        <f t="shared" si="220"/>
        <v>0</v>
      </c>
      <c r="BF148" s="156">
        <f t="shared" ref="BF148:BF164" si="229">+SUM(AT148:BE148)</f>
        <v>902430000</v>
      </c>
      <c r="BG148" s="156">
        <f t="shared" si="220"/>
        <v>0</v>
      </c>
      <c r="BH148" s="156">
        <f t="shared" si="220"/>
        <v>0</v>
      </c>
      <c r="BI148" s="156">
        <f t="shared" si="220"/>
        <v>0</v>
      </c>
      <c r="BJ148" s="156">
        <f t="shared" si="222"/>
        <v>0</v>
      </c>
      <c r="BK148" s="156">
        <f t="shared" si="222"/>
        <v>0</v>
      </c>
      <c r="BL148" s="156"/>
      <c r="BM148" s="156"/>
      <c r="BN148" s="156"/>
      <c r="BO148" s="156"/>
      <c r="BP148" s="156"/>
      <c r="BQ148" s="156"/>
      <c r="BR148" s="156"/>
      <c r="BS148" s="156">
        <f t="shared" ref="BS148:BS164" si="230">+SUM(BG148:BR148)</f>
        <v>0</v>
      </c>
      <c r="BT148" s="156">
        <f t="shared" si="224"/>
        <v>1203240000</v>
      </c>
      <c r="BU148" s="157" t="str">
        <f t="shared" si="225"/>
        <v>OK</v>
      </c>
      <c r="BV148" s="161"/>
      <c r="BW148" s="161"/>
      <c r="BX148" s="161"/>
      <c r="BY148" s="161"/>
      <c r="BZ148" s="161"/>
      <c r="CA148" s="161"/>
      <c r="CB148" s="161"/>
      <c r="CC148" s="161"/>
    </row>
    <row r="149" spans="1:81" s="158" customFormat="1">
      <c r="A149" s="153" t="s">
        <v>2420</v>
      </c>
      <c r="B149" s="300"/>
      <c r="C149" s="296" t="s">
        <v>2426</v>
      </c>
      <c r="D149" s="297" t="s">
        <v>1027</v>
      </c>
      <c r="E149" s="274"/>
      <c r="F149" s="301"/>
      <c r="G149" s="297"/>
      <c r="H149" s="276">
        <f t="shared" si="213"/>
        <v>0</v>
      </c>
      <c r="I149" s="276">
        <v>1400506000</v>
      </c>
      <c r="J149" s="297">
        <v>1400506000</v>
      </c>
      <c r="K149" s="278">
        <f t="shared" si="226"/>
        <v>1400506000</v>
      </c>
      <c r="L149" s="278">
        <v>0</v>
      </c>
      <c r="M149" s="278">
        <f t="shared" si="227"/>
        <v>0</v>
      </c>
      <c r="N149" s="485"/>
      <c r="O149" s="154">
        <f t="shared" si="214"/>
        <v>0</v>
      </c>
      <c r="P149" s="155">
        <f t="shared" si="215"/>
        <v>-1400506000</v>
      </c>
      <c r="Q149" s="156">
        <f t="shared" si="216"/>
        <v>0</v>
      </c>
      <c r="R149" s="156">
        <f t="shared" si="216"/>
        <v>0</v>
      </c>
      <c r="S149" s="156">
        <f t="shared" si="216"/>
        <v>0</v>
      </c>
      <c r="T149" s="156">
        <f t="shared" si="216"/>
        <v>0</v>
      </c>
      <c r="U149" s="156">
        <f t="shared" si="216"/>
        <v>0</v>
      </c>
      <c r="V149" s="156">
        <f t="shared" si="216"/>
        <v>0</v>
      </c>
      <c r="W149" s="156">
        <f t="shared" si="216"/>
        <v>0</v>
      </c>
      <c r="X149" s="156">
        <f t="shared" si="216"/>
        <v>0</v>
      </c>
      <c r="Y149" s="156">
        <f t="shared" si="216"/>
        <v>0</v>
      </c>
      <c r="Z149" s="156">
        <f t="shared" si="216"/>
        <v>0</v>
      </c>
      <c r="AA149" s="156">
        <f t="shared" si="216"/>
        <v>0</v>
      </c>
      <c r="AB149" s="156">
        <f t="shared" si="216"/>
        <v>0</v>
      </c>
      <c r="AC149" s="156">
        <f t="shared" si="216"/>
        <v>0</v>
      </c>
      <c r="AD149" s="156">
        <f t="shared" si="216"/>
        <v>0</v>
      </c>
      <c r="AE149" s="156">
        <f t="shared" si="216"/>
        <v>0</v>
      </c>
      <c r="AF149" s="156">
        <f t="shared" ref="AF149:AF160" si="231">+SUM(T149:AE149)</f>
        <v>0</v>
      </c>
      <c r="AG149" s="156">
        <f t="shared" si="216"/>
        <v>0</v>
      </c>
      <c r="AH149" s="156">
        <f t="shared" si="218"/>
        <v>0</v>
      </c>
      <c r="AI149" s="156">
        <f t="shared" si="218"/>
        <v>0</v>
      </c>
      <c r="AJ149" s="156">
        <f t="shared" si="218"/>
        <v>0</v>
      </c>
      <c r="AK149" s="156">
        <f t="shared" si="218"/>
        <v>0</v>
      </c>
      <c r="AL149" s="156">
        <f t="shared" si="218"/>
        <v>0</v>
      </c>
      <c r="AM149" s="156">
        <f t="shared" si="218"/>
        <v>0</v>
      </c>
      <c r="AN149" s="156">
        <f t="shared" si="218"/>
        <v>0</v>
      </c>
      <c r="AO149" s="156">
        <f t="shared" si="218"/>
        <v>0</v>
      </c>
      <c r="AP149" s="156">
        <f t="shared" si="218"/>
        <v>0</v>
      </c>
      <c r="AQ149" s="156">
        <f t="shared" si="218"/>
        <v>0</v>
      </c>
      <c r="AR149" s="156">
        <f t="shared" si="218"/>
        <v>0</v>
      </c>
      <c r="AS149" s="156">
        <f t="shared" ref="AS149:AS160" si="232">+SUM(AG149:AR149)</f>
        <v>0</v>
      </c>
      <c r="AT149" s="156">
        <f t="shared" si="220"/>
        <v>0</v>
      </c>
      <c r="AU149" s="156">
        <f t="shared" si="220"/>
        <v>0</v>
      </c>
      <c r="AV149" s="156">
        <f t="shared" si="220"/>
        <v>0</v>
      </c>
      <c r="AW149" s="156">
        <f t="shared" si="220"/>
        <v>0</v>
      </c>
      <c r="AX149" s="156">
        <f t="shared" si="220"/>
        <v>351870000</v>
      </c>
      <c r="AY149" s="156">
        <f t="shared" si="220"/>
        <v>0</v>
      </c>
      <c r="AZ149" s="156">
        <f t="shared" si="220"/>
        <v>0</v>
      </c>
      <c r="BA149" s="156">
        <f t="shared" si="220"/>
        <v>0</v>
      </c>
      <c r="BB149" s="156">
        <f t="shared" si="220"/>
        <v>0</v>
      </c>
      <c r="BC149" s="156">
        <f t="shared" si="220"/>
        <v>0</v>
      </c>
      <c r="BD149" s="156">
        <f t="shared" si="220"/>
        <v>0</v>
      </c>
      <c r="BE149" s="156">
        <f t="shared" si="220"/>
        <v>0</v>
      </c>
      <c r="BF149" s="156">
        <f t="shared" si="229"/>
        <v>351870000</v>
      </c>
      <c r="BG149" s="156">
        <f t="shared" si="220"/>
        <v>0</v>
      </c>
      <c r="BH149" s="156">
        <f t="shared" si="220"/>
        <v>703740000</v>
      </c>
      <c r="BI149" s="156">
        <f t="shared" si="220"/>
        <v>344896000</v>
      </c>
      <c r="BJ149" s="156">
        <f t="shared" si="222"/>
        <v>0</v>
      </c>
      <c r="BK149" s="156">
        <f t="shared" si="222"/>
        <v>0</v>
      </c>
      <c r="BL149" s="156"/>
      <c r="BM149" s="156"/>
      <c r="BN149" s="156"/>
      <c r="BO149" s="156"/>
      <c r="BP149" s="156"/>
      <c r="BQ149" s="156"/>
      <c r="BR149" s="156"/>
      <c r="BS149" s="156">
        <f t="shared" si="230"/>
        <v>1048636000</v>
      </c>
      <c r="BT149" s="156">
        <f t="shared" si="224"/>
        <v>1400506000</v>
      </c>
      <c r="BU149" s="157" t="str">
        <f t="shared" si="225"/>
        <v>OK</v>
      </c>
      <c r="BV149" s="161"/>
      <c r="BW149" s="161"/>
      <c r="BX149" s="161"/>
      <c r="BY149" s="161"/>
      <c r="BZ149" s="161"/>
      <c r="CA149" s="161"/>
      <c r="CB149" s="161"/>
      <c r="CC149" s="161"/>
    </row>
    <row r="150" spans="1:81" s="158" customFormat="1">
      <c r="A150" s="153" t="s">
        <v>2421</v>
      </c>
      <c r="B150" s="300"/>
      <c r="C150" s="296" t="s">
        <v>2427</v>
      </c>
      <c r="D150" s="297" t="s">
        <v>1027</v>
      </c>
      <c r="E150" s="274"/>
      <c r="F150" s="301"/>
      <c r="G150" s="297"/>
      <c r="H150" s="276">
        <f t="shared" si="213"/>
        <v>0</v>
      </c>
      <c r="I150" s="276">
        <v>1407480000</v>
      </c>
      <c r="J150" s="297">
        <v>1407480000</v>
      </c>
      <c r="K150" s="278">
        <f t="shared" si="226"/>
        <v>1407480000</v>
      </c>
      <c r="L150" s="278">
        <v>0</v>
      </c>
      <c r="M150" s="278">
        <f t="shared" si="227"/>
        <v>0</v>
      </c>
      <c r="N150" s="485"/>
      <c r="O150" s="154">
        <f t="shared" si="214"/>
        <v>0</v>
      </c>
      <c r="P150" s="155">
        <f t="shared" si="215"/>
        <v>-1407480000</v>
      </c>
      <c r="Q150" s="156">
        <f t="shared" si="216"/>
        <v>0</v>
      </c>
      <c r="R150" s="156">
        <f t="shared" si="216"/>
        <v>0</v>
      </c>
      <c r="S150" s="156">
        <f t="shared" si="216"/>
        <v>0</v>
      </c>
      <c r="T150" s="156">
        <f t="shared" si="216"/>
        <v>0</v>
      </c>
      <c r="U150" s="156">
        <f t="shared" si="216"/>
        <v>0</v>
      </c>
      <c r="V150" s="156">
        <f t="shared" si="216"/>
        <v>0</v>
      </c>
      <c r="W150" s="156">
        <f t="shared" si="216"/>
        <v>0</v>
      </c>
      <c r="X150" s="156">
        <f t="shared" si="216"/>
        <v>0</v>
      </c>
      <c r="Y150" s="156">
        <f t="shared" si="216"/>
        <v>0</v>
      </c>
      <c r="Z150" s="156">
        <f t="shared" si="216"/>
        <v>0</v>
      </c>
      <c r="AA150" s="156">
        <f t="shared" si="216"/>
        <v>0</v>
      </c>
      <c r="AB150" s="156">
        <f t="shared" si="216"/>
        <v>0</v>
      </c>
      <c r="AC150" s="156">
        <f t="shared" si="216"/>
        <v>0</v>
      </c>
      <c r="AD150" s="156">
        <f t="shared" si="216"/>
        <v>0</v>
      </c>
      <c r="AE150" s="156">
        <f t="shared" si="216"/>
        <v>0</v>
      </c>
      <c r="AF150" s="156">
        <f t="shared" si="231"/>
        <v>0</v>
      </c>
      <c r="AG150" s="156">
        <f t="shared" si="216"/>
        <v>0</v>
      </c>
      <c r="AH150" s="156">
        <f t="shared" si="218"/>
        <v>0</v>
      </c>
      <c r="AI150" s="156">
        <f t="shared" si="218"/>
        <v>0</v>
      </c>
      <c r="AJ150" s="156">
        <f t="shared" si="218"/>
        <v>0</v>
      </c>
      <c r="AK150" s="156">
        <f t="shared" si="218"/>
        <v>0</v>
      </c>
      <c r="AL150" s="156">
        <f t="shared" si="218"/>
        <v>0</v>
      </c>
      <c r="AM150" s="156">
        <f t="shared" si="218"/>
        <v>0</v>
      </c>
      <c r="AN150" s="156">
        <f t="shared" si="218"/>
        <v>0</v>
      </c>
      <c r="AO150" s="156">
        <f t="shared" si="218"/>
        <v>0</v>
      </c>
      <c r="AP150" s="156">
        <f t="shared" si="218"/>
        <v>0</v>
      </c>
      <c r="AQ150" s="156">
        <f t="shared" si="218"/>
        <v>0</v>
      </c>
      <c r="AR150" s="156">
        <f t="shared" si="218"/>
        <v>0</v>
      </c>
      <c r="AS150" s="156">
        <f t="shared" si="232"/>
        <v>0</v>
      </c>
      <c r="AT150" s="156">
        <f t="shared" si="220"/>
        <v>0</v>
      </c>
      <c r="AU150" s="156">
        <f t="shared" si="220"/>
        <v>0</v>
      </c>
      <c r="AV150" s="156">
        <f t="shared" si="220"/>
        <v>0</v>
      </c>
      <c r="AW150" s="156">
        <f t="shared" si="220"/>
        <v>0</v>
      </c>
      <c r="AX150" s="156">
        <f t="shared" si="220"/>
        <v>351870000</v>
      </c>
      <c r="AY150" s="156">
        <f t="shared" si="220"/>
        <v>0</v>
      </c>
      <c r="AZ150" s="156">
        <f t="shared" si="220"/>
        <v>0</v>
      </c>
      <c r="BA150" s="156">
        <f t="shared" si="220"/>
        <v>0</v>
      </c>
      <c r="BB150" s="156">
        <f t="shared" si="220"/>
        <v>0</v>
      </c>
      <c r="BC150" s="156">
        <f t="shared" si="220"/>
        <v>0</v>
      </c>
      <c r="BD150" s="156">
        <f t="shared" si="220"/>
        <v>0</v>
      </c>
      <c r="BE150" s="156">
        <f t="shared" si="220"/>
        <v>703740000</v>
      </c>
      <c r="BF150" s="156">
        <f t="shared" si="229"/>
        <v>1055610000</v>
      </c>
      <c r="BG150" s="156">
        <f t="shared" si="220"/>
        <v>351870000</v>
      </c>
      <c r="BH150" s="156">
        <f t="shared" si="220"/>
        <v>0</v>
      </c>
      <c r="BI150" s="156">
        <f t="shared" si="220"/>
        <v>0</v>
      </c>
      <c r="BJ150" s="156">
        <f t="shared" si="222"/>
        <v>0</v>
      </c>
      <c r="BK150" s="156">
        <f t="shared" si="222"/>
        <v>0</v>
      </c>
      <c r="BL150" s="156"/>
      <c r="BM150" s="156"/>
      <c r="BN150" s="156"/>
      <c r="BO150" s="156"/>
      <c r="BP150" s="156"/>
      <c r="BQ150" s="156"/>
      <c r="BR150" s="156"/>
      <c r="BS150" s="156">
        <f t="shared" si="230"/>
        <v>351870000</v>
      </c>
      <c r="BT150" s="156">
        <f t="shared" si="224"/>
        <v>1407480000</v>
      </c>
      <c r="BU150" s="157" t="str">
        <f t="shared" si="225"/>
        <v>OK</v>
      </c>
      <c r="BV150" s="161"/>
      <c r="BW150" s="161"/>
      <c r="BX150" s="161"/>
      <c r="BY150" s="161"/>
      <c r="BZ150" s="161"/>
      <c r="CA150" s="161"/>
      <c r="CB150" s="161"/>
      <c r="CC150" s="161"/>
    </row>
    <row r="151" spans="1:81" s="158" customFormat="1">
      <c r="A151" s="153" t="s">
        <v>2422</v>
      </c>
      <c r="B151" s="300"/>
      <c r="C151" s="296" t="s">
        <v>2428</v>
      </c>
      <c r="D151" s="297" t="s">
        <v>1027</v>
      </c>
      <c r="E151" s="274"/>
      <c r="F151" s="301"/>
      <c r="G151" s="297"/>
      <c r="H151" s="276">
        <f t="shared" si="213"/>
        <v>0</v>
      </c>
      <c r="I151" s="276">
        <v>1481850000</v>
      </c>
      <c r="J151" s="297">
        <v>1481850000</v>
      </c>
      <c r="K151" s="278">
        <f t="shared" si="226"/>
        <v>1481850000</v>
      </c>
      <c r="L151" s="278">
        <v>0</v>
      </c>
      <c r="M151" s="278">
        <f t="shared" si="227"/>
        <v>0</v>
      </c>
      <c r="N151" s="485"/>
      <c r="O151" s="154">
        <f t="shared" si="214"/>
        <v>0</v>
      </c>
      <c r="P151" s="155">
        <f t="shared" si="215"/>
        <v>-1481850000</v>
      </c>
      <c r="Q151" s="156">
        <f t="shared" si="216"/>
        <v>0</v>
      </c>
      <c r="R151" s="156">
        <f t="shared" si="216"/>
        <v>0</v>
      </c>
      <c r="S151" s="156">
        <f t="shared" si="216"/>
        <v>0</v>
      </c>
      <c r="T151" s="156">
        <f t="shared" si="216"/>
        <v>0</v>
      </c>
      <c r="U151" s="156">
        <f t="shared" si="216"/>
        <v>0</v>
      </c>
      <c r="V151" s="156">
        <f t="shared" si="216"/>
        <v>0</v>
      </c>
      <c r="W151" s="156">
        <f t="shared" si="216"/>
        <v>0</v>
      </c>
      <c r="X151" s="156">
        <f t="shared" si="216"/>
        <v>0</v>
      </c>
      <c r="Y151" s="156">
        <f t="shared" si="216"/>
        <v>0</v>
      </c>
      <c r="Z151" s="156">
        <f t="shared" si="216"/>
        <v>0</v>
      </c>
      <c r="AA151" s="156">
        <f t="shared" si="216"/>
        <v>0</v>
      </c>
      <c r="AB151" s="156">
        <f t="shared" si="216"/>
        <v>0</v>
      </c>
      <c r="AC151" s="156">
        <f t="shared" si="216"/>
        <v>0</v>
      </c>
      <c r="AD151" s="156">
        <f t="shared" si="216"/>
        <v>0</v>
      </c>
      <c r="AE151" s="156">
        <f t="shared" si="216"/>
        <v>0</v>
      </c>
      <c r="AF151" s="156">
        <f t="shared" si="231"/>
        <v>0</v>
      </c>
      <c r="AG151" s="156">
        <f t="shared" si="216"/>
        <v>0</v>
      </c>
      <c r="AH151" s="156">
        <f t="shared" si="218"/>
        <v>0</v>
      </c>
      <c r="AI151" s="156">
        <f t="shared" si="218"/>
        <v>0</v>
      </c>
      <c r="AJ151" s="156">
        <f t="shared" si="218"/>
        <v>0</v>
      </c>
      <c r="AK151" s="156">
        <f t="shared" si="218"/>
        <v>0</v>
      </c>
      <c r="AL151" s="156">
        <f t="shared" si="218"/>
        <v>0</v>
      </c>
      <c r="AM151" s="156">
        <f t="shared" si="218"/>
        <v>0</v>
      </c>
      <c r="AN151" s="156">
        <f t="shared" si="218"/>
        <v>0</v>
      </c>
      <c r="AO151" s="156">
        <f t="shared" si="218"/>
        <v>0</v>
      </c>
      <c r="AP151" s="156">
        <f t="shared" si="218"/>
        <v>0</v>
      </c>
      <c r="AQ151" s="156">
        <f t="shared" si="218"/>
        <v>0</v>
      </c>
      <c r="AR151" s="156">
        <f t="shared" si="218"/>
        <v>0</v>
      </c>
      <c r="AS151" s="156">
        <f t="shared" si="232"/>
        <v>0</v>
      </c>
      <c r="AT151" s="156">
        <f t="shared" si="220"/>
        <v>0</v>
      </c>
      <c r="AU151" s="156">
        <f t="shared" si="220"/>
        <v>0</v>
      </c>
      <c r="AV151" s="156">
        <f t="shared" si="220"/>
        <v>0</v>
      </c>
      <c r="AW151" s="156">
        <f t="shared" si="220"/>
        <v>0</v>
      </c>
      <c r="AX151" s="156">
        <f t="shared" si="220"/>
        <v>0</v>
      </c>
      <c r="AY151" s="156">
        <f t="shared" si="220"/>
        <v>0</v>
      </c>
      <c r="AZ151" s="156">
        <f t="shared" si="220"/>
        <v>370462500</v>
      </c>
      <c r="BA151" s="156">
        <f t="shared" si="220"/>
        <v>740925000</v>
      </c>
      <c r="BB151" s="156">
        <f t="shared" si="220"/>
        <v>0</v>
      </c>
      <c r="BC151" s="156">
        <f t="shared" si="220"/>
        <v>0</v>
      </c>
      <c r="BD151" s="156">
        <f t="shared" si="220"/>
        <v>0</v>
      </c>
      <c r="BE151" s="156">
        <f t="shared" si="220"/>
        <v>296370000</v>
      </c>
      <c r="BF151" s="156">
        <f t="shared" si="229"/>
        <v>1407757500</v>
      </c>
      <c r="BG151" s="156">
        <f t="shared" si="220"/>
        <v>0</v>
      </c>
      <c r="BH151" s="156">
        <f t="shared" si="220"/>
        <v>0</v>
      </c>
      <c r="BI151" s="156">
        <f t="shared" si="220"/>
        <v>74092500</v>
      </c>
      <c r="BJ151" s="156">
        <f t="shared" si="222"/>
        <v>0</v>
      </c>
      <c r="BK151" s="156">
        <f t="shared" si="222"/>
        <v>0</v>
      </c>
      <c r="BL151" s="156"/>
      <c r="BM151" s="156"/>
      <c r="BN151" s="156"/>
      <c r="BO151" s="156"/>
      <c r="BP151" s="156"/>
      <c r="BQ151" s="156"/>
      <c r="BR151" s="156"/>
      <c r="BS151" s="156">
        <f t="shared" si="230"/>
        <v>74092500</v>
      </c>
      <c r="BT151" s="156">
        <f t="shared" si="224"/>
        <v>1481850000</v>
      </c>
      <c r="BU151" s="157" t="str">
        <f t="shared" si="225"/>
        <v>OK</v>
      </c>
      <c r="BV151" s="161"/>
      <c r="BW151" s="161"/>
      <c r="BX151" s="161"/>
      <c r="BY151" s="161"/>
      <c r="BZ151" s="161"/>
      <c r="CA151" s="161"/>
      <c r="CB151" s="161"/>
      <c r="CC151" s="161"/>
    </row>
    <row r="152" spans="1:81" s="158" customFormat="1">
      <c r="A152" s="153" t="s">
        <v>2423</v>
      </c>
      <c r="B152" s="300"/>
      <c r="C152" s="296" t="s">
        <v>2429</v>
      </c>
      <c r="D152" s="297" t="s">
        <v>1027</v>
      </c>
      <c r="E152" s="274"/>
      <c r="F152" s="301"/>
      <c r="G152" s="297"/>
      <c r="H152" s="276">
        <f t="shared" si="213"/>
        <v>0</v>
      </c>
      <c r="I152" s="276">
        <v>1407480000</v>
      </c>
      <c r="J152" s="297">
        <v>1407480000</v>
      </c>
      <c r="K152" s="278">
        <f t="shared" si="226"/>
        <v>1407480000</v>
      </c>
      <c r="L152" s="278">
        <v>0</v>
      </c>
      <c r="M152" s="278">
        <f t="shared" si="227"/>
        <v>0</v>
      </c>
      <c r="N152" s="485"/>
      <c r="O152" s="154">
        <f t="shared" si="214"/>
        <v>0</v>
      </c>
      <c r="P152" s="155">
        <f t="shared" si="215"/>
        <v>-1407480000</v>
      </c>
      <c r="Q152" s="156">
        <f t="shared" si="216"/>
        <v>0</v>
      </c>
      <c r="R152" s="156">
        <f t="shared" si="216"/>
        <v>0</v>
      </c>
      <c r="S152" s="156">
        <f t="shared" si="216"/>
        <v>0</v>
      </c>
      <c r="T152" s="156">
        <f t="shared" si="216"/>
        <v>0</v>
      </c>
      <c r="U152" s="156">
        <f t="shared" si="216"/>
        <v>0</v>
      </c>
      <c r="V152" s="156">
        <f t="shared" si="216"/>
        <v>0</v>
      </c>
      <c r="W152" s="156">
        <f t="shared" si="216"/>
        <v>0</v>
      </c>
      <c r="X152" s="156">
        <f t="shared" si="216"/>
        <v>0</v>
      </c>
      <c r="Y152" s="156">
        <f t="shared" si="216"/>
        <v>0</v>
      </c>
      <c r="Z152" s="156">
        <f t="shared" si="216"/>
        <v>0</v>
      </c>
      <c r="AA152" s="156">
        <f t="shared" si="216"/>
        <v>0</v>
      </c>
      <c r="AB152" s="156">
        <f t="shared" si="216"/>
        <v>0</v>
      </c>
      <c r="AC152" s="156">
        <f t="shared" si="216"/>
        <v>0</v>
      </c>
      <c r="AD152" s="156">
        <f t="shared" si="216"/>
        <v>0</v>
      </c>
      <c r="AE152" s="156">
        <f t="shared" si="216"/>
        <v>0</v>
      </c>
      <c r="AF152" s="156">
        <f t="shared" si="231"/>
        <v>0</v>
      </c>
      <c r="AG152" s="156">
        <f t="shared" si="216"/>
        <v>0</v>
      </c>
      <c r="AH152" s="156">
        <f t="shared" si="218"/>
        <v>0</v>
      </c>
      <c r="AI152" s="156">
        <f t="shared" si="218"/>
        <v>0</v>
      </c>
      <c r="AJ152" s="156">
        <f t="shared" si="218"/>
        <v>0</v>
      </c>
      <c r="AK152" s="156">
        <f t="shared" si="218"/>
        <v>0</v>
      </c>
      <c r="AL152" s="156">
        <f t="shared" si="218"/>
        <v>0</v>
      </c>
      <c r="AM152" s="156">
        <f t="shared" si="218"/>
        <v>0</v>
      </c>
      <c r="AN152" s="156">
        <f t="shared" si="218"/>
        <v>0</v>
      </c>
      <c r="AO152" s="156">
        <f t="shared" si="218"/>
        <v>0</v>
      </c>
      <c r="AP152" s="156">
        <f t="shared" si="218"/>
        <v>0</v>
      </c>
      <c r="AQ152" s="156">
        <f t="shared" si="218"/>
        <v>0</v>
      </c>
      <c r="AR152" s="156">
        <f t="shared" si="218"/>
        <v>0</v>
      </c>
      <c r="AS152" s="156">
        <f t="shared" si="232"/>
        <v>0</v>
      </c>
      <c r="AT152" s="156">
        <f t="shared" si="220"/>
        <v>0</v>
      </c>
      <c r="AU152" s="156">
        <f t="shared" si="220"/>
        <v>0</v>
      </c>
      <c r="AV152" s="156">
        <f t="shared" si="220"/>
        <v>0</v>
      </c>
      <c r="AW152" s="156">
        <f t="shared" si="220"/>
        <v>0</v>
      </c>
      <c r="AX152" s="156">
        <f t="shared" si="220"/>
        <v>0</v>
      </c>
      <c r="AY152" s="156">
        <f t="shared" si="220"/>
        <v>0</v>
      </c>
      <c r="AZ152" s="156">
        <f t="shared" si="220"/>
        <v>0</v>
      </c>
      <c r="BA152" s="156">
        <f t="shared" si="220"/>
        <v>351870000</v>
      </c>
      <c r="BB152" s="156">
        <f t="shared" si="220"/>
        <v>0</v>
      </c>
      <c r="BC152" s="156">
        <f t="shared" si="220"/>
        <v>703740000</v>
      </c>
      <c r="BD152" s="156">
        <f t="shared" si="220"/>
        <v>0</v>
      </c>
      <c r="BE152" s="156">
        <f t="shared" si="220"/>
        <v>351870000</v>
      </c>
      <c r="BF152" s="156">
        <f t="shared" si="229"/>
        <v>1407480000</v>
      </c>
      <c r="BG152" s="156">
        <f t="shared" si="220"/>
        <v>0</v>
      </c>
      <c r="BH152" s="156">
        <f t="shared" si="220"/>
        <v>70374000</v>
      </c>
      <c r="BI152" s="156">
        <f t="shared" si="220"/>
        <v>-70374000</v>
      </c>
      <c r="BJ152" s="156">
        <f t="shared" si="222"/>
        <v>0</v>
      </c>
      <c r="BK152" s="156">
        <f t="shared" si="222"/>
        <v>0</v>
      </c>
      <c r="BL152" s="156"/>
      <c r="BM152" s="156"/>
      <c r="BN152" s="156"/>
      <c r="BO152" s="156"/>
      <c r="BP152" s="156"/>
      <c r="BQ152" s="156"/>
      <c r="BR152" s="156"/>
      <c r="BS152" s="156">
        <f t="shared" si="230"/>
        <v>0</v>
      </c>
      <c r="BT152" s="156">
        <f t="shared" si="224"/>
        <v>1407480000</v>
      </c>
      <c r="BU152" s="157" t="str">
        <f t="shared" si="225"/>
        <v>OK</v>
      </c>
      <c r="BV152" s="161"/>
      <c r="BW152" s="161"/>
      <c r="BX152" s="161"/>
      <c r="BY152" s="161"/>
      <c r="BZ152" s="161"/>
      <c r="CA152" s="161"/>
      <c r="CB152" s="161"/>
      <c r="CC152" s="161"/>
    </row>
    <row r="153" spans="1:81" s="180" customFormat="1">
      <c r="A153" s="174"/>
      <c r="B153" s="307"/>
      <c r="C153" s="328" t="s">
        <v>2463</v>
      </c>
      <c r="D153" s="308" t="s">
        <v>1027</v>
      </c>
      <c r="E153" s="309"/>
      <c r="F153" s="345"/>
      <c r="G153" s="308"/>
      <c r="H153" s="311">
        <f t="shared" si="213"/>
        <v>0</v>
      </c>
      <c r="I153" s="311">
        <v>1407480000</v>
      </c>
      <c r="J153" s="308">
        <v>1407480000</v>
      </c>
      <c r="K153" s="312">
        <f t="shared" si="226"/>
        <v>0</v>
      </c>
      <c r="L153" s="312">
        <v>0</v>
      </c>
      <c r="M153" s="312">
        <f t="shared" si="227"/>
        <v>1407480000</v>
      </c>
      <c r="N153" s="482"/>
      <c r="O153" s="175">
        <f t="shared" si="214"/>
        <v>0</v>
      </c>
      <c r="P153" s="176">
        <f t="shared" si="215"/>
        <v>0</v>
      </c>
      <c r="Q153" s="177">
        <f t="shared" si="216"/>
        <v>0</v>
      </c>
      <c r="R153" s="177">
        <f t="shared" si="216"/>
        <v>0</v>
      </c>
      <c r="S153" s="177">
        <f t="shared" si="216"/>
        <v>0</v>
      </c>
      <c r="T153" s="177">
        <f t="shared" si="216"/>
        <v>0</v>
      </c>
      <c r="U153" s="177">
        <f t="shared" si="216"/>
        <v>0</v>
      </c>
      <c r="V153" s="177">
        <f t="shared" si="216"/>
        <v>0</v>
      </c>
      <c r="W153" s="177">
        <f t="shared" si="216"/>
        <v>0</v>
      </c>
      <c r="X153" s="177">
        <f t="shared" si="216"/>
        <v>0</v>
      </c>
      <c r="Y153" s="177">
        <f t="shared" si="216"/>
        <v>0</v>
      </c>
      <c r="Z153" s="177">
        <f t="shared" si="216"/>
        <v>0</v>
      </c>
      <c r="AA153" s="177">
        <f t="shared" si="216"/>
        <v>0</v>
      </c>
      <c r="AB153" s="177">
        <f t="shared" si="216"/>
        <v>0</v>
      </c>
      <c r="AC153" s="177">
        <f t="shared" si="216"/>
        <v>0</v>
      </c>
      <c r="AD153" s="177">
        <f t="shared" si="216"/>
        <v>0</v>
      </c>
      <c r="AE153" s="177">
        <f t="shared" si="216"/>
        <v>0</v>
      </c>
      <c r="AF153" s="177">
        <f t="shared" si="231"/>
        <v>0</v>
      </c>
      <c r="AG153" s="177">
        <f t="shared" si="216"/>
        <v>0</v>
      </c>
      <c r="AH153" s="177">
        <f t="shared" si="218"/>
        <v>0</v>
      </c>
      <c r="AI153" s="177">
        <f t="shared" si="218"/>
        <v>0</v>
      </c>
      <c r="AJ153" s="177">
        <f t="shared" si="218"/>
        <v>0</v>
      </c>
      <c r="AK153" s="177">
        <f t="shared" si="218"/>
        <v>0</v>
      </c>
      <c r="AL153" s="177">
        <f t="shared" si="218"/>
        <v>0</v>
      </c>
      <c r="AM153" s="177">
        <f t="shared" si="218"/>
        <v>0</v>
      </c>
      <c r="AN153" s="177">
        <f t="shared" si="218"/>
        <v>0</v>
      </c>
      <c r="AO153" s="177">
        <f t="shared" si="218"/>
        <v>0</v>
      </c>
      <c r="AP153" s="177">
        <f t="shared" si="218"/>
        <v>0</v>
      </c>
      <c r="AQ153" s="177">
        <f t="shared" si="218"/>
        <v>0</v>
      </c>
      <c r="AR153" s="177">
        <f t="shared" si="218"/>
        <v>0</v>
      </c>
      <c r="AS153" s="177">
        <f t="shared" si="232"/>
        <v>0</v>
      </c>
      <c r="AT153" s="177">
        <f t="shared" si="220"/>
        <v>0</v>
      </c>
      <c r="AU153" s="177">
        <f t="shared" si="220"/>
        <v>0</v>
      </c>
      <c r="AV153" s="177">
        <f t="shared" si="220"/>
        <v>0</v>
      </c>
      <c r="AW153" s="177">
        <f t="shared" si="220"/>
        <v>0</v>
      </c>
      <c r="AX153" s="177">
        <f t="shared" si="220"/>
        <v>0</v>
      </c>
      <c r="AY153" s="177">
        <f t="shared" si="220"/>
        <v>0</v>
      </c>
      <c r="AZ153" s="177">
        <f t="shared" si="220"/>
        <v>0</v>
      </c>
      <c r="BA153" s="177">
        <f t="shared" si="220"/>
        <v>0</v>
      </c>
      <c r="BB153" s="177">
        <f t="shared" si="220"/>
        <v>0</v>
      </c>
      <c r="BC153" s="177">
        <f t="shared" si="220"/>
        <v>0</v>
      </c>
      <c r="BD153" s="177">
        <f t="shared" si="220"/>
        <v>0</v>
      </c>
      <c r="BE153" s="177">
        <f t="shared" si="220"/>
        <v>0</v>
      </c>
      <c r="BF153" s="177">
        <f t="shared" si="229"/>
        <v>0</v>
      </c>
      <c r="BG153" s="177">
        <f t="shared" si="220"/>
        <v>0</v>
      </c>
      <c r="BH153" s="177">
        <f t="shared" si="220"/>
        <v>0</v>
      </c>
      <c r="BI153" s="177">
        <f t="shared" si="220"/>
        <v>0</v>
      </c>
      <c r="BJ153" s="177">
        <f t="shared" si="222"/>
        <v>0</v>
      </c>
      <c r="BK153" s="177">
        <f t="shared" si="222"/>
        <v>0</v>
      </c>
      <c r="BL153" s="177"/>
      <c r="BM153" s="177"/>
      <c r="BN153" s="177"/>
      <c r="BO153" s="177"/>
      <c r="BP153" s="177"/>
      <c r="BQ153" s="177"/>
      <c r="BR153" s="177"/>
      <c r="BS153" s="177">
        <f t="shared" si="230"/>
        <v>0</v>
      </c>
      <c r="BT153" s="177">
        <f t="shared" si="224"/>
        <v>0</v>
      </c>
      <c r="BU153" s="178" t="str">
        <f t="shared" si="225"/>
        <v>OK</v>
      </c>
      <c r="BV153" s="179"/>
      <c r="BW153" s="179"/>
      <c r="BX153" s="179"/>
      <c r="BY153" s="179"/>
      <c r="BZ153" s="179"/>
      <c r="CA153" s="179"/>
      <c r="CB153" s="179"/>
      <c r="CC153" s="179"/>
    </row>
    <row r="154" spans="1:81" s="180" customFormat="1">
      <c r="A154" s="174"/>
      <c r="B154" s="307"/>
      <c r="C154" s="328" t="s">
        <v>2463</v>
      </c>
      <c r="D154" s="308" t="s">
        <v>1027</v>
      </c>
      <c r="E154" s="309"/>
      <c r="F154" s="345"/>
      <c r="G154" s="308"/>
      <c r="H154" s="311">
        <f t="shared" si="213"/>
        <v>0</v>
      </c>
      <c r="I154" s="311">
        <v>1407480000</v>
      </c>
      <c r="J154" s="308">
        <v>1407480000</v>
      </c>
      <c r="K154" s="312">
        <f t="shared" si="226"/>
        <v>0</v>
      </c>
      <c r="L154" s="312">
        <v>0</v>
      </c>
      <c r="M154" s="312">
        <f t="shared" si="227"/>
        <v>1407480000</v>
      </c>
      <c r="N154" s="482"/>
      <c r="O154" s="175">
        <f t="shared" si="214"/>
        <v>0</v>
      </c>
      <c r="P154" s="176">
        <f t="shared" si="215"/>
        <v>0</v>
      </c>
      <c r="Q154" s="177">
        <f t="shared" si="216"/>
        <v>0</v>
      </c>
      <c r="R154" s="177">
        <f t="shared" si="216"/>
        <v>0</v>
      </c>
      <c r="S154" s="177">
        <f t="shared" si="216"/>
        <v>0</v>
      </c>
      <c r="T154" s="177">
        <f t="shared" si="216"/>
        <v>0</v>
      </c>
      <c r="U154" s="177">
        <f t="shared" si="216"/>
        <v>0</v>
      </c>
      <c r="V154" s="177">
        <f t="shared" si="216"/>
        <v>0</v>
      </c>
      <c r="W154" s="177">
        <f t="shared" si="216"/>
        <v>0</v>
      </c>
      <c r="X154" s="177">
        <f t="shared" si="216"/>
        <v>0</v>
      </c>
      <c r="Y154" s="177">
        <f t="shared" si="216"/>
        <v>0</v>
      </c>
      <c r="Z154" s="177">
        <f t="shared" si="216"/>
        <v>0</v>
      </c>
      <c r="AA154" s="177">
        <f t="shared" si="216"/>
        <v>0</v>
      </c>
      <c r="AB154" s="177">
        <f t="shared" si="216"/>
        <v>0</v>
      </c>
      <c r="AC154" s="177">
        <f t="shared" si="216"/>
        <v>0</v>
      </c>
      <c r="AD154" s="177">
        <f t="shared" si="216"/>
        <v>0</v>
      </c>
      <c r="AE154" s="177">
        <f t="shared" si="216"/>
        <v>0</v>
      </c>
      <c r="AF154" s="177">
        <f t="shared" si="231"/>
        <v>0</v>
      </c>
      <c r="AG154" s="177">
        <f t="shared" si="216"/>
        <v>0</v>
      </c>
      <c r="AH154" s="177">
        <f t="shared" si="218"/>
        <v>0</v>
      </c>
      <c r="AI154" s="177">
        <f t="shared" si="218"/>
        <v>0</v>
      </c>
      <c r="AJ154" s="177">
        <f t="shared" si="218"/>
        <v>0</v>
      </c>
      <c r="AK154" s="177">
        <f t="shared" si="218"/>
        <v>0</v>
      </c>
      <c r="AL154" s="177">
        <f t="shared" si="218"/>
        <v>0</v>
      </c>
      <c r="AM154" s="177">
        <f t="shared" si="218"/>
        <v>0</v>
      </c>
      <c r="AN154" s="177">
        <f t="shared" si="218"/>
        <v>0</v>
      </c>
      <c r="AO154" s="177">
        <f t="shared" si="218"/>
        <v>0</v>
      </c>
      <c r="AP154" s="177">
        <f t="shared" si="218"/>
        <v>0</v>
      </c>
      <c r="AQ154" s="177">
        <f t="shared" si="218"/>
        <v>0</v>
      </c>
      <c r="AR154" s="177">
        <f t="shared" si="218"/>
        <v>0</v>
      </c>
      <c r="AS154" s="177">
        <f t="shared" si="232"/>
        <v>0</v>
      </c>
      <c r="AT154" s="177">
        <f t="shared" si="220"/>
        <v>0</v>
      </c>
      <c r="AU154" s="177">
        <f t="shared" si="220"/>
        <v>0</v>
      </c>
      <c r="AV154" s="177">
        <f t="shared" si="220"/>
        <v>0</v>
      </c>
      <c r="AW154" s="177">
        <f t="shared" si="220"/>
        <v>0</v>
      </c>
      <c r="AX154" s="177">
        <f t="shared" si="220"/>
        <v>0</v>
      </c>
      <c r="AY154" s="177">
        <f t="shared" si="220"/>
        <v>0</v>
      </c>
      <c r="AZ154" s="177">
        <f t="shared" si="220"/>
        <v>0</v>
      </c>
      <c r="BA154" s="177">
        <f t="shared" si="220"/>
        <v>0</v>
      </c>
      <c r="BB154" s="177">
        <f t="shared" si="220"/>
        <v>0</v>
      </c>
      <c r="BC154" s="177">
        <f t="shared" si="220"/>
        <v>0</v>
      </c>
      <c r="BD154" s="177">
        <f t="shared" si="220"/>
        <v>0</v>
      </c>
      <c r="BE154" s="177">
        <f t="shared" si="220"/>
        <v>0</v>
      </c>
      <c r="BF154" s="177">
        <f t="shared" si="229"/>
        <v>0</v>
      </c>
      <c r="BG154" s="177">
        <f t="shared" si="220"/>
        <v>0</v>
      </c>
      <c r="BH154" s="177">
        <f t="shared" si="220"/>
        <v>0</v>
      </c>
      <c r="BI154" s="177">
        <f t="shared" si="220"/>
        <v>0</v>
      </c>
      <c r="BJ154" s="177">
        <f t="shared" si="222"/>
        <v>0</v>
      </c>
      <c r="BK154" s="177">
        <f t="shared" si="222"/>
        <v>0</v>
      </c>
      <c r="BL154" s="177"/>
      <c r="BM154" s="177"/>
      <c r="BN154" s="177"/>
      <c r="BO154" s="177"/>
      <c r="BP154" s="177"/>
      <c r="BQ154" s="177"/>
      <c r="BR154" s="177"/>
      <c r="BS154" s="177">
        <f t="shared" si="230"/>
        <v>0</v>
      </c>
      <c r="BT154" s="177">
        <f t="shared" si="224"/>
        <v>0</v>
      </c>
      <c r="BU154" s="178" t="str">
        <f t="shared" si="225"/>
        <v>OK</v>
      </c>
      <c r="BV154" s="179"/>
      <c r="BW154" s="179"/>
      <c r="BX154" s="179"/>
      <c r="BY154" s="179"/>
      <c r="BZ154" s="179"/>
      <c r="CA154" s="179"/>
      <c r="CB154" s="179"/>
      <c r="CC154" s="179"/>
    </row>
    <row r="155" spans="1:81" s="180" customFormat="1">
      <c r="A155" s="174"/>
      <c r="B155" s="307"/>
      <c r="C155" s="328" t="s">
        <v>2463</v>
      </c>
      <c r="D155" s="308" t="s">
        <v>1027</v>
      </c>
      <c r="E155" s="309"/>
      <c r="F155" s="345"/>
      <c r="G155" s="308"/>
      <c r="H155" s="311">
        <f t="shared" si="213"/>
        <v>0</v>
      </c>
      <c r="I155" s="311">
        <v>1407480000</v>
      </c>
      <c r="J155" s="308">
        <v>1407480000</v>
      </c>
      <c r="K155" s="312">
        <f t="shared" si="226"/>
        <v>0</v>
      </c>
      <c r="L155" s="312">
        <v>0</v>
      </c>
      <c r="M155" s="312">
        <f t="shared" si="227"/>
        <v>1407480000</v>
      </c>
      <c r="N155" s="482"/>
      <c r="O155" s="175">
        <f t="shared" si="214"/>
        <v>0</v>
      </c>
      <c r="P155" s="176">
        <f t="shared" si="215"/>
        <v>0</v>
      </c>
      <c r="Q155" s="177">
        <f t="shared" si="216"/>
        <v>0</v>
      </c>
      <c r="R155" s="177">
        <f t="shared" si="216"/>
        <v>0</v>
      </c>
      <c r="S155" s="177">
        <f t="shared" si="216"/>
        <v>0</v>
      </c>
      <c r="T155" s="177">
        <f t="shared" si="216"/>
        <v>0</v>
      </c>
      <c r="U155" s="177">
        <f t="shared" si="216"/>
        <v>0</v>
      </c>
      <c r="V155" s="177">
        <f t="shared" si="216"/>
        <v>0</v>
      </c>
      <c r="W155" s="177">
        <f t="shared" si="216"/>
        <v>0</v>
      </c>
      <c r="X155" s="177">
        <f t="shared" si="216"/>
        <v>0</v>
      </c>
      <c r="Y155" s="177">
        <f t="shared" si="216"/>
        <v>0</v>
      </c>
      <c r="Z155" s="177">
        <f t="shared" si="216"/>
        <v>0</v>
      </c>
      <c r="AA155" s="177">
        <f t="shared" si="216"/>
        <v>0</v>
      </c>
      <c r="AB155" s="177">
        <f t="shared" si="216"/>
        <v>0</v>
      </c>
      <c r="AC155" s="177">
        <f t="shared" si="216"/>
        <v>0</v>
      </c>
      <c r="AD155" s="177">
        <f t="shared" si="216"/>
        <v>0</v>
      </c>
      <c r="AE155" s="177">
        <f t="shared" si="216"/>
        <v>0</v>
      </c>
      <c r="AF155" s="177">
        <f t="shared" si="231"/>
        <v>0</v>
      </c>
      <c r="AG155" s="177">
        <f t="shared" si="216"/>
        <v>0</v>
      </c>
      <c r="AH155" s="177">
        <f t="shared" si="218"/>
        <v>0</v>
      </c>
      <c r="AI155" s="177">
        <f t="shared" si="218"/>
        <v>0</v>
      </c>
      <c r="AJ155" s="177">
        <f t="shared" si="218"/>
        <v>0</v>
      </c>
      <c r="AK155" s="177">
        <f t="shared" si="218"/>
        <v>0</v>
      </c>
      <c r="AL155" s="177">
        <f t="shared" si="218"/>
        <v>0</v>
      </c>
      <c r="AM155" s="177">
        <f t="shared" si="218"/>
        <v>0</v>
      </c>
      <c r="AN155" s="177">
        <f t="shared" si="218"/>
        <v>0</v>
      </c>
      <c r="AO155" s="177">
        <f t="shared" si="218"/>
        <v>0</v>
      </c>
      <c r="AP155" s="177">
        <f t="shared" si="218"/>
        <v>0</v>
      </c>
      <c r="AQ155" s="177">
        <f t="shared" si="218"/>
        <v>0</v>
      </c>
      <c r="AR155" s="177">
        <f t="shared" si="218"/>
        <v>0</v>
      </c>
      <c r="AS155" s="177">
        <f t="shared" si="232"/>
        <v>0</v>
      </c>
      <c r="AT155" s="177">
        <f t="shared" si="220"/>
        <v>0</v>
      </c>
      <c r="AU155" s="177">
        <f t="shared" si="220"/>
        <v>0</v>
      </c>
      <c r="AV155" s="177">
        <f t="shared" si="220"/>
        <v>0</v>
      </c>
      <c r="AW155" s="177">
        <f t="shared" si="220"/>
        <v>0</v>
      </c>
      <c r="AX155" s="177">
        <f t="shared" si="220"/>
        <v>0</v>
      </c>
      <c r="AY155" s="177">
        <f t="shared" si="220"/>
        <v>0</v>
      </c>
      <c r="AZ155" s="177">
        <f t="shared" si="220"/>
        <v>0</v>
      </c>
      <c r="BA155" s="177">
        <f t="shared" si="220"/>
        <v>0</v>
      </c>
      <c r="BB155" s="177">
        <f t="shared" si="220"/>
        <v>0</v>
      </c>
      <c r="BC155" s="177">
        <f t="shared" si="220"/>
        <v>0</v>
      </c>
      <c r="BD155" s="177">
        <f t="shared" si="220"/>
        <v>0</v>
      </c>
      <c r="BE155" s="177">
        <f t="shared" si="220"/>
        <v>0</v>
      </c>
      <c r="BF155" s="177">
        <f t="shared" si="229"/>
        <v>0</v>
      </c>
      <c r="BG155" s="177">
        <f t="shared" si="220"/>
        <v>0</v>
      </c>
      <c r="BH155" s="177">
        <f t="shared" si="220"/>
        <v>0</v>
      </c>
      <c r="BI155" s="177">
        <f t="shared" si="220"/>
        <v>0</v>
      </c>
      <c r="BJ155" s="177">
        <f t="shared" si="222"/>
        <v>0</v>
      </c>
      <c r="BK155" s="177">
        <f t="shared" si="222"/>
        <v>0</v>
      </c>
      <c r="BL155" s="177"/>
      <c r="BM155" s="177"/>
      <c r="BN155" s="177"/>
      <c r="BO155" s="177"/>
      <c r="BP155" s="177"/>
      <c r="BQ155" s="177"/>
      <c r="BR155" s="177"/>
      <c r="BS155" s="177">
        <f t="shared" si="230"/>
        <v>0</v>
      </c>
      <c r="BT155" s="177">
        <f t="shared" si="224"/>
        <v>0</v>
      </c>
      <c r="BU155" s="178" t="str">
        <f t="shared" si="225"/>
        <v>OK</v>
      </c>
      <c r="BV155" s="179"/>
      <c r="BW155" s="179"/>
      <c r="BX155" s="179"/>
      <c r="BY155" s="179"/>
      <c r="BZ155" s="179"/>
      <c r="CA155" s="179"/>
      <c r="CB155" s="179"/>
      <c r="CC155" s="179"/>
    </row>
    <row r="156" spans="1:81" s="180" customFormat="1">
      <c r="A156" s="174"/>
      <c r="B156" s="307"/>
      <c r="C156" s="328" t="s">
        <v>2463</v>
      </c>
      <c r="D156" s="308" t="s">
        <v>1027</v>
      </c>
      <c r="E156" s="309"/>
      <c r="F156" s="345"/>
      <c r="G156" s="308"/>
      <c r="H156" s="311">
        <f t="shared" si="213"/>
        <v>0</v>
      </c>
      <c r="I156" s="311">
        <v>1407480000</v>
      </c>
      <c r="J156" s="308">
        <v>1407480000</v>
      </c>
      <c r="K156" s="312">
        <f t="shared" si="226"/>
        <v>0</v>
      </c>
      <c r="L156" s="312">
        <v>0</v>
      </c>
      <c r="M156" s="312">
        <f t="shared" si="227"/>
        <v>1407480000</v>
      </c>
      <c r="N156" s="482"/>
      <c r="O156" s="175">
        <f t="shared" si="214"/>
        <v>0</v>
      </c>
      <c r="P156" s="176">
        <f t="shared" si="215"/>
        <v>0</v>
      </c>
      <c r="Q156" s="177">
        <f t="shared" si="216"/>
        <v>0</v>
      </c>
      <c r="R156" s="177">
        <f t="shared" si="216"/>
        <v>0</v>
      </c>
      <c r="S156" s="177">
        <f t="shared" si="216"/>
        <v>0</v>
      </c>
      <c r="T156" s="177">
        <f t="shared" si="216"/>
        <v>0</v>
      </c>
      <c r="U156" s="177">
        <f t="shared" si="216"/>
        <v>0</v>
      </c>
      <c r="V156" s="177">
        <f t="shared" si="216"/>
        <v>0</v>
      </c>
      <c r="W156" s="177">
        <f t="shared" si="216"/>
        <v>0</v>
      </c>
      <c r="X156" s="177">
        <f t="shared" si="216"/>
        <v>0</v>
      </c>
      <c r="Y156" s="177">
        <f t="shared" si="216"/>
        <v>0</v>
      </c>
      <c r="Z156" s="177">
        <f t="shared" si="216"/>
        <v>0</v>
      </c>
      <c r="AA156" s="177">
        <f t="shared" si="216"/>
        <v>0</v>
      </c>
      <c r="AB156" s="177">
        <f t="shared" si="216"/>
        <v>0</v>
      </c>
      <c r="AC156" s="177">
        <f t="shared" si="216"/>
        <v>0</v>
      </c>
      <c r="AD156" s="177">
        <f t="shared" si="216"/>
        <v>0</v>
      </c>
      <c r="AE156" s="177">
        <f t="shared" si="216"/>
        <v>0</v>
      </c>
      <c r="AF156" s="177">
        <f t="shared" si="231"/>
        <v>0</v>
      </c>
      <c r="AG156" s="177">
        <f t="shared" si="216"/>
        <v>0</v>
      </c>
      <c r="AH156" s="177">
        <f t="shared" si="218"/>
        <v>0</v>
      </c>
      <c r="AI156" s="177">
        <f t="shared" si="218"/>
        <v>0</v>
      </c>
      <c r="AJ156" s="177">
        <f t="shared" si="218"/>
        <v>0</v>
      </c>
      <c r="AK156" s="177">
        <f t="shared" si="218"/>
        <v>0</v>
      </c>
      <c r="AL156" s="177">
        <f t="shared" si="218"/>
        <v>0</v>
      </c>
      <c r="AM156" s="177">
        <f t="shared" si="218"/>
        <v>0</v>
      </c>
      <c r="AN156" s="177">
        <f t="shared" si="218"/>
        <v>0</v>
      </c>
      <c r="AO156" s="177">
        <f t="shared" si="218"/>
        <v>0</v>
      </c>
      <c r="AP156" s="177">
        <f t="shared" si="218"/>
        <v>0</v>
      </c>
      <c r="AQ156" s="177">
        <f t="shared" si="218"/>
        <v>0</v>
      </c>
      <c r="AR156" s="177">
        <f t="shared" si="218"/>
        <v>0</v>
      </c>
      <c r="AS156" s="177">
        <f t="shared" si="232"/>
        <v>0</v>
      </c>
      <c r="AT156" s="177">
        <f t="shared" si="220"/>
        <v>0</v>
      </c>
      <c r="AU156" s="177">
        <f t="shared" si="220"/>
        <v>0</v>
      </c>
      <c r="AV156" s="177">
        <f t="shared" si="220"/>
        <v>0</v>
      </c>
      <c r="AW156" s="177">
        <f t="shared" si="220"/>
        <v>0</v>
      </c>
      <c r="AX156" s="177">
        <f t="shared" si="220"/>
        <v>0</v>
      </c>
      <c r="AY156" s="177">
        <f t="shared" si="220"/>
        <v>0</v>
      </c>
      <c r="AZ156" s="177">
        <f t="shared" si="220"/>
        <v>0</v>
      </c>
      <c r="BA156" s="177">
        <f t="shared" si="220"/>
        <v>0</v>
      </c>
      <c r="BB156" s="177">
        <f t="shared" si="220"/>
        <v>0</v>
      </c>
      <c r="BC156" s="177">
        <f t="shared" si="220"/>
        <v>0</v>
      </c>
      <c r="BD156" s="177">
        <f t="shared" si="220"/>
        <v>0</v>
      </c>
      <c r="BE156" s="177">
        <f t="shared" si="220"/>
        <v>0</v>
      </c>
      <c r="BF156" s="177">
        <f t="shared" si="229"/>
        <v>0</v>
      </c>
      <c r="BG156" s="177">
        <f t="shared" si="220"/>
        <v>0</v>
      </c>
      <c r="BH156" s="177">
        <f t="shared" si="220"/>
        <v>0</v>
      </c>
      <c r="BI156" s="177">
        <f t="shared" si="220"/>
        <v>0</v>
      </c>
      <c r="BJ156" s="177">
        <f t="shared" si="222"/>
        <v>0</v>
      </c>
      <c r="BK156" s="177">
        <f t="shared" si="222"/>
        <v>0</v>
      </c>
      <c r="BL156" s="177"/>
      <c r="BM156" s="177"/>
      <c r="BN156" s="177"/>
      <c r="BO156" s="177"/>
      <c r="BP156" s="177"/>
      <c r="BQ156" s="177"/>
      <c r="BR156" s="177"/>
      <c r="BS156" s="177">
        <f t="shared" si="230"/>
        <v>0</v>
      </c>
      <c r="BT156" s="177">
        <f t="shared" si="224"/>
        <v>0</v>
      </c>
      <c r="BU156" s="178" t="str">
        <f t="shared" si="225"/>
        <v>OK</v>
      </c>
      <c r="BV156" s="179"/>
      <c r="BW156" s="179"/>
      <c r="BX156" s="179"/>
      <c r="BY156" s="179"/>
      <c r="BZ156" s="179"/>
      <c r="CA156" s="179"/>
      <c r="CB156" s="179"/>
      <c r="CC156" s="179"/>
    </row>
    <row r="157" spans="1:81" s="158" customFormat="1">
      <c r="A157" s="153" t="s">
        <v>2424</v>
      </c>
      <c r="B157" s="300"/>
      <c r="C157" s="296" t="s">
        <v>2430</v>
      </c>
      <c r="D157" s="297" t="s">
        <v>1027</v>
      </c>
      <c r="E157" s="274"/>
      <c r="F157" s="301"/>
      <c r="G157" s="297"/>
      <c r="H157" s="276">
        <f t="shared" si="213"/>
        <v>0</v>
      </c>
      <c r="I157" s="276">
        <v>0</v>
      </c>
      <c r="J157" s="297">
        <v>62160000</v>
      </c>
      <c r="K157" s="278">
        <f t="shared" si="226"/>
        <v>62160000</v>
      </c>
      <c r="L157" s="278">
        <v>0</v>
      </c>
      <c r="M157" s="332">
        <v>0</v>
      </c>
      <c r="N157" s="485"/>
      <c r="O157" s="154">
        <f t="shared" si="214"/>
        <v>0</v>
      </c>
      <c r="P157" s="155">
        <f t="shared" si="215"/>
        <v>-62160000</v>
      </c>
      <c r="Q157" s="156">
        <f t="shared" si="216"/>
        <v>0</v>
      </c>
      <c r="R157" s="156">
        <f t="shared" si="216"/>
        <v>0</v>
      </c>
      <c r="S157" s="156">
        <f t="shared" si="216"/>
        <v>0</v>
      </c>
      <c r="T157" s="156">
        <f t="shared" si="216"/>
        <v>0</v>
      </c>
      <c r="U157" s="156">
        <f t="shared" si="216"/>
        <v>0</v>
      </c>
      <c r="V157" s="156">
        <f t="shared" si="216"/>
        <v>0</v>
      </c>
      <c r="W157" s="156">
        <f t="shared" si="216"/>
        <v>0</v>
      </c>
      <c r="X157" s="156">
        <f t="shared" si="216"/>
        <v>0</v>
      </c>
      <c r="Y157" s="156">
        <f t="shared" si="216"/>
        <v>0</v>
      </c>
      <c r="Z157" s="156">
        <f t="shared" si="216"/>
        <v>0</v>
      </c>
      <c r="AA157" s="156">
        <f t="shared" si="216"/>
        <v>0</v>
      </c>
      <c r="AB157" s="156">
        <f t="shared" si="216"/>
        <v>0</v>
      </c>
      <c r="AC157" s="156">
        <f t="shared" si="216"/>
        <v>0</v>
      </c>
      <c r="AD157" s="156">
        <f t="shared" si="216"/>
        <v>0</v>
      </c>
      <c r="AE157" s="156">
        <f t="shared" si="216"/>
        <v>0</v>
      </c>
      <c r="AF157" s="156">
        <f t="shared" si="231"/>
        <v>0</v>
      </c>
      <c r="AG157" s="156">
        <f t="shared" si="216"/>
        <v>0</v>
      </c>
      <c r="AH157" s="156">
        <f t="shared" si="218"/>
        <v>0</v>
      </c>
      <c r="AI157" s="156">
        <f t="shared" si="218"/>
        <v>0</v>
      </c>
      <c r="AJ157" s="156">
        <f t="shared" si="218"/>
        <v>0</v>
      </c>
      <c r="AK157" s="156">
        <f t="shared" si="218"/>
        <v>0</v>
      </c>
      <c r="AL157" s="156">
        <f t="shared" si="218"/>
        <v>0</v>
      </c>
      <c r="AM157" s="156">
        <f t="shared" si="218"/>
        <v>0</v>
      </c>
      <c r="AN157" s="156">
        <f t="shared" si="218"/>
        <v>0</v>
      </c>
      <c r="AO157" s="156">
        <f t="shared" si="218"/>
        <v>0</v>
      </c>
      <c r="AP157" s="156">
        <f t="shared" si="218"/>
        <v>0</v>
      </c>
      <c r="AQ157" s="156">
        <f t="shared" si="218"/>
        <v>0</v>
      </c>
      <c r="AR157" s="156">
        <f t="shared" si="218"/>
        <v>0</v>
      </c>
      <c r="AS157" s="156">
        <f t="shared" si="232"/>
        <v>0</v>
      </c>
      <c r="AT157" s="156">
        <f t="shared" si="220"/>
        <v>0</v>
      </c>
      <c r="AU157" s="156">
        <f t="shared" si="220"/>
        <v>0</v>
      </c>
      <c r="AV157" s="156">
        <f t="shared" si="220"/>
        <v>0</v>
      </c>
      <c r="AW157" s="156">
        <f t="shared" si="220"/>
        <v>0</v>
      </c>
      <c r="AX157" s="156">
        <f t="shared" si="220"/>
        <v>0</v>
      </c>
      <c r="AY157" s="156">
        <f t="shared" si="220"/>
        <v>0</v>
      </c>
      <c r="AZ157" s="156">
        <f t="shared" si="220"/>
        <v>0</v>
      </c>
      <c r="BA157" s="156">
        <f t="shared" si="220"/>
        <v>0</v>
      </c>
      <c r="BB157" s="156">
        <f t="shared" si="220"/>
        <v>0</v>
      </c>
      <c r="BC157" s="156">
        <f t="shared" si="220"/>
        <v>0</v>
      </c>
      <c r="BD157" s="156">
        <f t="shared" si="220"/>
        <v>0</v>
      </c>
      <c r="BE157" s="156">
        <f t="shared" si="220"/>
        <v>0</v>
      </c>
      <c r="BF157" s="156">
        <f t="shared" si="229"/>
        <v>0</v>
      </c>
      <c r="BG157" s="156">
        <f t="shared" si="220"/>
        <v>0</v>
      </c>
      <c r="BH157" s="156">
        <f t="shared" si="220"/>
        <v>0</v>
      </c>
      <c r="BI157" s="156">
        <f t="shared" si="220"/>
        <v>0</v>
      </c>
      <c r="BJ157" s="156">
        <f t="shared" si="222"/>
        <v>0</v>
      </c>
      <c r="BK157" s="156">
        <f t="shared" si="222"/>
        <v>0</v>
      </c>
      <c r="BL157" s="156">
        <f t="shared" si="222"/>
        <v>62160000</v>
      </c>
      <c r="BM157" s="156"/>
      <c r="BN157" s="156"/>
      <c r="BO157" s="156"/>
      <c r="BP157" s="156"/>
      <c r="BQ157" s="156"/>
      <c r="BR157" s="156"/>
      <c r="BS157" s="156">
        <f t="shared" si="230"/>
        <v>62160000</v>
      </c>
      <c r="BT157" s="156">
        <f t="shared" si="224"/>
        <v>62160000</v>
      </c>
      <c r="BU157" s="157" t="str">
        <f t="shared" si="225"/>
        <v>OK</v>
      </c>
      <c r="BV157" s="161"/>
      <c r="BW157" s="161"/>
      <c r="BX157" s="161"/>
      <c r="BY157" s="161"/>
      <c r="BZ157" s="161"/>
      <c r="CA157" s="161"/>
      <c r="CB157" s="161"/>
      <c r="CC157" s="161"/>
    </row>
    <row r="158" spans="1:81" s="158" customFormat="1">
      <c r="A158" s="153" t="s">
        <v>2431</v>
      </c>
      <c r="B158" s="300"/>
      <c r="C158" s="296" t="s">
        <v>2433</v>
      </c>
      <c r="D158" s="297" t="s">
        <v>1027</v>
      </c>
      <c r="E158" s="274"/>
      <c r="F158" s="301"/>
      <c r="G158" s="297"/>
      <c r="H158" s="276">
        <f t="shared" si="213"/>
        <v>0</v>
      </c>
      <c r="I158" s="276">
        <v>0</v>
      </c>
      <c r="J158" s="297">
        <v>61176000</v>
      </c>
      <c r="K158" s="278">
        <f t="shared" si="226"/>
        <v>61176000</v>
      </c>
      <c r="L158" s="278">
        <v>0</v>
      </c>
      <c r="M158" s="332">
        <v>0</v>
      </c>
      <c r="N158" s="485"/>
      <c r="O158" s="154">
        <f t="shared" si="214"/>
        <v>0</v>
      </c>
      <c r="P158" s="155">
        <f t="shared" si="215"/>
        <v>-61176000</v>
      </c>
      <c r="Q158" s="156">
        <f t="shared" si="216"/>
        <v>0</v>
      </c>
      <c r="R158" s="156">
        <f t="shared" si="216"/>
        <v>0</v>
      </c>
      <c r="S158" s="156">
        <f t="shared" si="216"/>
        <v>0</v>
      </c>
      <c r="T158" s="156">
        <f t="shared" si="216"/>
        <v>0</v>
      </c>
      <c r="U158" s="156">
        <f t="shared" si="216"/>
        <v>0</v>
      </c>
      <c r="V158" s="156">
        <f t="shared" si="216"/>
        <v>0</v>
      </c>
      <c r="W158" s="156">
        <f t="shared" si="216"/>
        <v>0</v>
      </c>
      <c r="X158" s="156">
        <f t="shared" si="216"/>
        <v>0</v>
      </c>
      <c r="Y158" s="156">
        <f t="shared" si="216"/>
        <v>0</v>
      </c>
      <c r="Z158" s="156">
        <f t="shared" si="216"/>
        <v>0</v>
      </c>
      <c r="AA158" s="156">
        <f t="shared" si="216"/>
        <v>0</v>
      </c>
      <c r="AB158" s="156">
        <f t="shared" si="216"/>
        <v>0</v>
      </c>
      <c r="AC158" s="156">
        <f t="shared" si="216"/>
        <v>0</v>
      </c>
      <c r="AD158" s="156">
        <f t="shared" si="216"/>
        <v>0</v>
      </c>
      <c r="AE158" s="156">
        <f t="shared" si="216"/>
        <v>0</v>
      </c>
      <c r="AF158" s="156">
        <f t="shared" si="231"/>
        <v>0</v>
      </c>
      <c r="AG158" s="156">
        <f t="shared" si="216"/>
        <v>0</v>
      </c>
      <c r="AH158" s="156">
        <f t="shared" si="218"/>
        <v>0</v>
      </c>
      <c r="AI158" s="156">
        <f t="shared" si="218"/>
        <v>0</v>
      </c>
      <c r="AJ158" s="156">
        <f t="shared" si="218"/>
        <v>0</v>
      </c>
      <c r="AK158" s="156">
        <f t="shared" si="218"/>
        <v>0</v>
      </c>
      <c r="AL158" s="156">
        <f t="shared" si="218"/>
        <v>0</v>
      </c>
      <c r="AM158" s="156">
        <f t="shared" si="218"/>
        <v>0</v>
      </c>
      <c r="AN158" s="156">
        <f t="shared" si="218"/>
        <v>0</v>
      </c>
      <c r="AO158" s="156">
        <f t="shared" si="218"/>
        <v>0</v>
      </c>
      <c r="AP158" s="156">
        <f t="shared" si="218"/>
        <v>0</v>
      </c>
      <c r="AQ158" s="156">
        <f t="shared" si="218"/>
        <v>0</v>
      </c>
      <c r="AR158" s="156">
        <f t="shared" si="218"/>
        <v>0</v>
      </c>
      <c r="AS158" s="156">
        <f t="shared" si="232"/>
        <v>0</v>
      </c>
      <c r="AT158" s="156">
        <f t="shared" si="220"/>
        <v>30000000</v>
      </c>
      <c r="AU158" s="156">
        <f t="shared" si="220"/>
        <v>576000</v>
      </c>
      <c r="AV158" s="156">
        <f t="shared" si="220"/>
        <v>30000000</v>
      </c>
      <c r="AW158" s="156">
        <f t="shared" si="220"/>
        <v>600000</v>
      </c>
      <c r="AX158" s="156">
        <f t="shared" si="220"/>
        <v>0</v>
      </c>
      <c r="AY158" s="156">
        <f t="shared" si="220"/>
        <v>0</v>
      </c>
      <c r="AZ158" s="156">
        <f t="shared" si="220"/>
        <v>0</v>
      </c>
      <c r="BA158" s="156">
        <f t="shared" si="220"/>
        <v>0</v>
      </c>
      <c r="BB158" s="156">
        <f t="shared" si="220"/>
        <v>0</v>
      </c>
      <c r="BC158" s="156">
        <f t="shared" si="220"/>
        <v>0</v>
      </c>
      <c r="BD158" s="156">
        <f t="shared" si="220"/>
        <v>0</v>
      </c>
      <c r="BE158" s="156">
        <f t="shared" si="220"/>
        <v>0</v>
      </c>
      <c r="BF158" s="156">
        <f t="shared" si="229"/>
        <v>61176000</v>
      </c>
      <c r="BG158" s="156">
        <f t="shared" si="220"/>
        <v>0</v>
      </c>
      <c r="BH158" s="156">
        <f t="shared" si="220"/>
        <v>0</v>
      </c>
      <c r="BI158" s="156">
        <f t="shared" si="220"/>
        <v>0</v>
      </c>
      <c r="BJ158" s="156">
        <f t="shared" si="222"/>
        <v>0</v>
      </c>
      <c r="BK158" s="156">
        <f t="shared" si="222"/>
        <v>0</v>
      </c>
      <c r="BL158" s="156"/>
      <c r="BM158" s="156"/>
      <c r="BN158" s="156"/>
      <c r="BO158" s="156"/>
      <c r="BP158" s="156"/>
      <c r="BQ158" s="156"/>
      <c r="BR158" s="156"/>
      <c r="BS158" s="156">
        <f t="shared" si="230"/>
        <v>0</v>
      </c>
      <c r="BT158" s="156">
        <f t="shared" si="224"/>
        <v>61176000</v>
      </c>
      <c r="BU158" s="157" t="str">
        <f t="shared" si="225"/>
        <v>OK</v>
      </c>
      <c r="BV158" s="161"/>
      <c r="BW158" s="161"/>
      <c r="BX158" s="161"/>
      <c r="BY158" s="161"/>
      <c r="BZ158" s="161"/>
      <c r="CA158" s="161"/>
      <c r="CB158" s="161"/>
      <c r="CC158" s="161"/>
    </row>
    <row r="159" spans="1:81" s="158" customFormat="1">
      <c r="A159" s="153" t="s">
        <v>2432</v>
      </c>
      <c r="B159" s="300"/>
      <c r="C159" s="296" t="s">
        <v>2510</v>
      </c>
      <c r="D159" s="297" t="s">
        <v>1027</v>
      </c>
      <c r="E159" s="274"/>
      <c r="F159" s="301"/>
      <c r="G159" s="297"/>
      <c r="H159" s="276">
        <f t="shared" si="213"/>
        <v>0</v>
      </c>
      <c r="I159" s="276">
        <v>0</v>
      </c>
      <c r="J159" s="297">
        <v>1687238027.6599998</v>
      </c>
      <c r="K159" s="278">
        <f t="shared" si="226"/>
        <v>1687238027.6599998</v>
      </c>
      <c r="L159" s="278">
        <v>0</v>
      </c>
      <c r="M159" s="332">
        <v>0</v>
      </c>
      <c r="N159" s="485"/>
      <c r="O159" s="154">
        <f t="shared" si="214"/>
        <v>0</v>
      </c>
      <c r="P159" s="155">
        <f t="shared" si="215"/>
        <v>-1687238027.6599998</v>
      </c>
      <c r="Q159" s="156">
        <f t="shared" si="216"/>
        <v>0</v>
      </c>
      <c r="R159" s="156">
        <f t="shared" si="216"/>
        <v>0</v>
      </c>
      <c r="S159" s="156">
        <f t="shared" si="216"/>
        <v>0</v>
      </c>
      <c r="T159" s="156">
        <f t="shared" si="216"/>
        <v>0</v>
      </c>
      <c r="U159" s="156">
        <f t="shared" si="216"/>
        <v>0</v>
      </c>
      <c r="V159" s="156">
        <f t="shared" si="216"/>
        <v>0</v>
      </c>
      <c r="W159" s="156">
        <f t="shared" si="216"/>
        <v>0</v>
      </c>
      <c r="X159" s="156">
        <f t="shared" si="216"/>
        <v>0</v>
      </c>
      <c r="Y159" s="156">
        <f t="shared" si="216"/>
        <v>0</v>
      </c>
      <c r="Z159" s="156">
        <f t="shared" si="216"/>
        <v>0</v>
      </c>
      <c r="AA159" s="156">
        <f t="shared" si="216"/>
        <v>0</v>
      </c>
      <c r="AB159" s="156">
        <f t="shared" si="216"/>
        <v>0</v>
      </c>
      <c r="AC159" s="156">
        <f t="shared" si="216"/>
        <v>0</v>
      </c>
      <c r="AD159" s="156">
        <f t="shared" si="216"/>
        <v>0</v>
      </c>
      <c r="AE159" s="156">
        <f t="shared" si="216"/>
        <v>0</v>
      </c>
      <c r="AF159" s="156">
        <f t="shared" si="231"/>
        <v>0</v>
      </c>
      <c r="AG159" s="156">
        <f t="shared" si="216"/>
        <v>0</v>
      </c>
      <c r="AH159" s="156">
        <f t="shared" si="218"/>
        <v>0</v>
      </c>
      <c r="AI159" s="156">
        <f t="shared" si="218"/>
        <v>0</v>
      </c>
      <c r="AJ159" s="156">
        <f t="shared" si="218"/>
        <v>0</v>
      </c>
      <c r="AK159" s="156">
        <f t="shared" si="218"/>
        <v>0</v>
      </c>
      <c r="AL159" s="156">
        <f t="shared" si="218"/>
        <v>0</v>
      </c>
      <c r="AM159" s="156">
        <f t="shared" si="218"/>
        <v>915444981.32999992</v>
      </c>
      <c r="AN159" s="156">
        <f t="shared" si="218"/>
        <v>18934325.329999998</v>
      </c>
      <c r="AO159" s="156">
        <f t="shared" si="218"/>
        <v>125008977</v>
      </c>
      <c r="AP159" s="156">
        <f t="shared" si="218"/>
        <v>103102350</v>
      </c>
      <c r="AQ159" s="156">
        <f t="shared" si="218"/>
        <v>524747394</v>
      </c>
      <c r="AR159" s="156">
        <f t="shared" si="218"/>
        <v>0</v>
      </c>
      <c r="AS159" s="156">
        <f t="shared" si="232"/>
        <v>1687238027.6599998</v>
      </c>
      <c r="AT159" s="156">
        <f t="shared" si="220"/>
        <v>0</v>
      </c>
      <c r="AU159" s="156">
        <f t="shared" si="220"/>
        <v>0</v>
      </c>
      <c r="AV159" s="156">
        <f t="shared" si="220"/>
        <v>0</v>
      </c>
      <c r="AW159" s="156">
        <f t="shared" si="220"/>
        <v>0</v>
      </c>
      <c r="AX159" s="156">
        <f t="shared" si="220"/>
        <v>0</v>
      </c>
      <c r="AY159" s="156">
        <f t="shared" si="220"/>
        <v>0</v>
      </c>
      <c r="AZ159" s="156">
        <f t="shared" si="220"/>
        <v>0</v>
      </c>
      <c r="BA159" s="156">
        <f t="shared" si="220"/>
        <v>0</v>
      </c>
      <c r="BB159" s="156">
        <f t="shared" si="220"/>
        <v>0</v>
      </c>
      <c r="BC159" s="156">
        <f t="shared" si="220"/>
        <v>0</v>
      </c>
      <c r="BD159" s="156">
        <f t="shared" si="220"/>
        <v>0</v>
      </c>
      <c r="BE159" s="156">
        <f t="shared" si="220"/>
        <v>0</v>
      </c>
      <c r="BF159" s="156">
        <f t="shared" si="229"/>
        <v>0</v>
      </c>
      <c r="BG159" s="156">
        <f t="shared" si="220"/>
        <v>0</v>
      </c>
      <c r="BH159" s="156">
        <f t="shared" si="220"/>
        <v>0</v>
      </c>
      <c r="BI159" s="156">
        <f t="shared" si="220"/>
        <v>0</v>
      </c>
      <c r="BJ159" s="156">
        <f t="shared" si="222"/>
        <v>0</v>
      </c>
      <c r="BK159" s="156">
        <f t="shared" si="222"/>
        <v>0</v>
      </c>
      <c r="BL159" s="156"/>
      <c r="BM159" s="156"/>
      <c r="BN159" s="156"/>
      <c r="BO159" s="156"/>
      <c r="BP159" s="156"/>
      <c r="BQ159" s="156"/>
      <c r="BR159" s="156"/>
      <c r="BS159" s="156">
        <f t="shared" si="230"/>
        <v>0</v>
      </c>
      <c r="BT159" s="156">
        <f t="shared" si="224"/>
        <v>1687238027.6599998</v>
      </c>
      <c r="BU159" s="157" t="str">
        <f t="shared" si="225"/>
        <v>OK</v>
      </c>
      <c r="BV159" s="161"/>
      <c r="BW159" s="161"/>
      <c r="BX159" s="161"/>
      <c r="BY159" s="161"/>
      <c r="BZ159" s="161"/>
      <c r="CA159" s="161"/>
      <c r="CB159" s="161"/>
      <c r="CC159" s="161"/>
    </row>
    <row r="160" spans="1:81" s="158" customFormat="1">
      <c r="A160" s="153">
        <v>42</v>
      </c>
      <c r="B160" s="393">
        <v>2</v>
      </c>
      <c r="C160" s="393" t="s">
        <v>18</v>
      </c>
      <c r="D160" s="394" t="s">
        <v>40</v>
      </c>
      <c r="E160" s="394">
        <v>7090875000</v>
      </c>
      <c r="F160" s="424" t="s">
        <v>88</v>
      </c>
      <c r="G160" s="394" t="s">
        <v>40</v>
      </c>
      <c r="H160" s="397">
        <f>E160-K160</f>
        <v>-569638079.09000015</v>
      </c>
      <c r="I160" s="397"/>
      <c r="J160" s="394">
        <v>7660513079.0900002</v>
      </c>
      <c r="K160" s="398">
        <f>+O160+Q160+R160+S160+AF160+AS160+BF160+BS160</f>
        <v>7660513079.0900002</v>
      </c>
      <c r="L160" s="398">
        <v>0</v>
      </c>
      <c r="M160" s="398"/>
      <c r="N160" s="478"/>
      <c r="O160" s="154">
        <f t="shared" si="214"/>
        <v>0</v>
      </c>
      <c r="P160" s="155">
        <f t="shared" si="215"/>
        <v>0</v>
      </c>
      <c r="Q160" s="156">
        <f t="shared" si="216"/>
        <v>74137012.459999993</v>
      </c>
      <c r="R160" s="156">
        <f t="shared" si="216"/>
        <v>2683791479.7400002</v>
      </c>
      <c r="S160" s="156">
        <f t="shared" si="216"/>
        <v>1669372545.49</v>
      </c>
      <c r="T160" s="156">
        <f t="shared" si="216"/>
        <v>308000000</v>
      </c>
      <c r="U160" s="156">
        <f t="shared" si="216"/>
        <v>602667245</v>
      </c>
      <c r="V160" s="156">
        <f t="shared" si="216"/>
        <v>394240000</v>
      </c>
      <c r="W160" s="156">
        <f t="shared" si="216"/>
        <v>113746724.89</v>
      </c>
      <c r="X160" s="156">
        <f t="shared" si="216"/>
        <v>132000000</v>
      </c>
      <c r="Y160" s="156">
        <f t="shared" si="216"/>
        <v>308000000</v>
      </c>
      <c r="Z160" s="156">
        <f t="shared" si="216"/>
        <v>352000000</v>
      </c>
      <c r="AA160" s="156">
        <f t="shared" si="216"/>
        <v>308000000</v>
      </c>
      <c r="AB160" s="156">
        <f t="shared" si="216"/>
        <v>390380283.11000001</v>
      </c>
      <c r="AC160" s="156">
        <f t="shared" si="216"/>
        <v>308000000</v>
      </c>
      <c r="AD160" s="156">
        <f t="shared" si="216"/>
        <v>0</v>
      </c>
      <c r="AE160" s="156">
        <f t="shared" si="216"/>
        <v>0</v>
      </c>
      <c r="AF160" s="156">
        <f t="shared" si="231"/>
        <v>3217034253.0000005</v>
      </c>
      <c r="AG160" s="156">
        <f t="shared" si="218"/>
        <v>0</v>
      </c>
      <c r="AH160" s="156">
        <f t="shared" si="218"/>
        <v>0</v>
      </c>
      <c r="AI160" s="156">
        <f t="shared" si="218"/>
        <v>0</v>
      </c>
      <c r="AJ160" s="156">
        <f t="shared" si="218"/>
        <v>0</v>
      </c>
      <c r="AK160" s="156">
        <f t="shared" si="218"/>
        <v>0</v>
      </c>
      <c r="AL160" s="156">
        <f t="shared" si="218"/>
        <v>0</v>
      </c>
      <c r="AM160" s="156">
        <f t="shared" si="218"/>
        <v>0</v>
      </c>
      <c r="AN160" s="156">
        <f t="shared" si="218"/>
        <v>0</v>
      </c>
      <c r="AO160" s="156">
        <f t="shared" si="218"/>
        <v>16177788.4</v>
      </c>
      <c r="AP160" s="156">
        <f t="shared" si="218"/>
        <v>0</v>
      </c>
      <c r="AQ160" s="156">
        <f t="shared" si="218"/>
        <v>0</v>
      </c>
      <c r="AR160" s="156">
        <f t="shared" si="218"/>
        <v>0</v>
      </c>
      <c r="AS160" s="156">
        <f t="shared" si="232"/>
        <v>16177788.4</v>
      </c>
      <c r="AT160" s="156">
        <f t="shared" si="220"/>
        <v>0</v>
      </c>
      <c r="AU160" s="156">
        <f t="shared" si="220"/>
        <v>0</v>
      </c>
      <c r="AV160" s="156">
        <f t="shared" si="220"/>
        <v>0</v>
      </c>
      <c r="AW160" s="156">
        <f t="shared" si="220"/>
        <v>0</v>
      </c>
      <c r="AX160" s="156">
        <f t="shared" si="220"/>
        <v>0</v>
      </c>
      <c r="AY160" s="156">
        <f t="shared" si="220"/>
        <v>0</v>
      </c>
      <c r="AZ160" s="156">
        <f t="shared" si="220"/>
        <v>0</v>
      </c>
      <c r="BA160" s="156">
        <f t="shared" si="220"/>
        <v>0</v>
      </c>
      <c r="BB160" s="156">
        <f t="shared" si="220"/>
        <v>0</v>
      </c>
      <c r="BC160" s="156">
        <f t="shared" si="220"/>
        <v>0</v>
      </c>
      <c r="BD160" s="156">
        <f t="shared" si="220"/>
        <v>0</v>
      </c>
      <c r="BE160" s="156">
        <f t="shared" si="220"/>
        <v>0</v>
      </c>
      <c r="BF160" s="156">
        <f t="shared" si="229"/>
        <v>0</v>
      </c>
      <c r="BG160" s="156">
        <f t="shared" si="220"/>
        <v>0</v>
      </c>
      <c r="BH160" s="156">
        <f t="shared" si="220"/>
        <v>0</v>
      </c>
      <c r="BI160" s="156">
        <f t="shared" si="220"/>
        <v>0</v>
      </c>
      <c r="BJ160" s="156">
        <f t="shared" si="222"/>
        <v>0</v>
      </c>
      <c r="BK160" s="156">
        <f t="shared" si="222"/>
        <v>0</v>
      </c>
      <c r="BL160" s="156"/>
      <c r="BM160" s="156"/>
      <c r="BN160" s="156"/>
      <c r="BO160" s="156"/>
      <c r="BP160" s="156"/>
      <c r="BQ160" s="156"/>
      <c r="BR160" s="156"/>
      <c r="BS160" s="156">
        <f t="shared" si="230"/>
        <v>0</v>
      </c>
      <c r="BT160" s="156">
        <f t="shared" si="224"/>
        <v>7660513079.0900002</v>
      </c>
      <c r="BU160" s="157" t="str">
        <f t="shared" si="225"/>
        <v>OK</v>
      </c>
      <c r="BV160" s="161"/>
      <c r="BW160" s="161"/>
      <c r="BX160" s="161"/>
      <c r="BY160" s="161"/>
      <c r="BZ160" s="161"/>
      <c r="CA160" s="161"/>
      <c r="CB160" s="161"/>
      <c r="CC160" s="161"/>
    </row>
    <row r="161" spans="1:81" s="243" customFormat="1" ht="15.5">
      <c r="A161" s="231"/>
      <c r="B161" s="232"/>
      <c r="C161" s="462" t="s">
        <v>2494</v>
      </c>
      <c r="D161" s="234"/>
      <c r="E161" s="235">
        <f>SUM(E147:E160)</f>
        <v>20410875000</v>
      </c>
      <c r="F161" s="236"/>
      <c r="G161" s="234"/>
      <c r="H161" s="235">
        <f>SUM(H149:H160)</f>
        <v>-569638079.09000015</v>
      </c>
      <c r="I161" s="237">
        <f>SUM(I148:I160)</f>
        <v>12530476000</v>
      </c>
      <c r="J161" s="237">
        <f>SUM(J147:J160)</f>
        <v>22524869047.080002</v>
      </c>
      <c r="K161" s="237">
        <f>SUM(K147:K160)</f>
        <v>16894949047.08</v>
      </c>
      <c r="L161" s="237">
        <f>SUM(L149:L160)</f>
        <v>0</v>
      </c>
      <c r="M161" s="237">
        <f>SUM(M147:M160)</f>
        <v>5629920000</v>
      </c>
      <c r="N161" s="463">
        <f>K161+L161+M161</f>
        <v>22524869047.080002</v>
      </c>
      <c r="O161" s="235">
        <f t="shared" ref="O161:AT161" si="233">SUM(O149:O160)</f>
        <v>0</v>
      </c>
      <c r="P161" s="238">
        <f t="shared" si="233"/>
        <v>-7507890027.6599998</v>
      </c>
      <c r="Q161" s="245">
        <f t="shared" si="233"/>
        <v>74137012.459999993</v>
      </c>
      <c r="R161" s="245">
        <f t="shared" si="233"/>
        <v>2683791479.7400002</v>
      </c>
      <c r="S161" s="245">
        <f t="shared" si="233"/>
        <v>1669372545.49</v>
      </c>
      <c r="T161" s="245">
        <f t="shared" si="233"/>
        <v>308000000</v>
      </c>
      <c r="U161" s="245">
        <f t="shared" si="233"/>
        <v>602667245</v>
      </c>
      <c r="V161" s="245">
        <f t="shared" si="233"/>
        <v>394240000</v>
      </c>
      <c r="W161" s="245">
        <f t="shared" si="233"/>
        <v>113746724.89</v>
      </c>
      <c r="X161" s="245">
        <f t="shared" si="233"/>
        <v>132000000</v>
      </c>
      <c r="Y161" s="245">
        <f t="shared" si="233"/>
        <v>308000000</v>
      </c>
      <c r="Z161" s="245">
        <f t="shared" si="233"/>
        <v>352000000</v>
      </c>
      <c r="AA161" s="245">
        <f t="shared" si="233"/>
        <v>308000000</v>
      </c>
      <c r="AB161" s="245">
        <f t="shared" si="233"/>
        <v>390380283.11000001</v>
      </c>
      <c r="AC161" s="245">
        <f t="shared" si="233"/>
        <v>308000000</v>
      </c>
      <c r="AD161" s="245">
        <f t="shared" si="233"/>
        <v>0</v>
      </c>
      <c r="AE161" s="245">
        <f t="shared" si="233"/>
        <v>0</v>
      </c>
      <c r="AF161" s="245">
        <f t="shared" si="233"/>
        <v>3217034253.0000005</v>
      </c>
      <c r="AG161" s="245">
        <f t="shared" si="233"/>
        <v>0</v>
      </c>
      <c r="AH161" s="245">
        <f t="shared" si="233"/>
        <v>0</v>
      </c>
      <c r="AI161" s="245">
        <f t="shared" si="233"/>
        <v>0</v>
      </c>
      <c r="AJ161" s="245">
        <f t="shared" si="233"/>
        <v>0</v>
      </c>
      <c r="AK161" s="245">
        <f t="shared" si="233"/>
        <v>0</v>
      </c>
      <c r="AL161" s="245">
        <f t="shared" si="233"/>
        <v>0</v>
      </c>
      <c r="AM161" s="245">
        <f t="shared" si="233"/>
        <v>915444981.32999992</v>
      </c>
      <c r="AN161" s="245">
        <f t="shared" si="233"/>
        <v>18934325.329999998</v>
      </c>
      <c r="AO161" s="245">
        <f t="shared" si="233"/>
        <v>141186765.40000001</v>
      </c>
      <c r="AP161" s="245">
        <f t="shared" si="233"/>
        <v>103102350</v>
      </c>
      <c r="AQ161" s="245">
        <f t="shared" si="233"/>
        <v>524747394</v>
      </c>
      <c r="AR161" s="245">
        <f t="shared" si="233"/>
        <v>0</v>
      </c>
      <c r="AS161" s="245">
        <f t="shared" si="233"/>
        <v>1703415816.0599999</v>
      </c>
      <c r="AT161" s="245">
        <f t="shared" si="233"/>
        <v>30000000</v>
      </c>
      <c r="AU161" s="245">
        <f t="shared" ref="AU161:BT161" si="234">SUM(AU149:AU160)</f>
        <v>576000</v>
      </c>
      <c r="AV161" s="245">
        <f t="shared" si="234"/>
        <v>30000000</v>
      </c>
      <c r="AW161" s="245">
        <f t="shared" si="234"/>
        <v>600000</v>
      </c>
      <c r="AX161" s="245">
        <f t="shared" si="234"/>
        <v>703740000</v>
      </c>
      <c r="AY161" s="245">
        <f t="shared" si="234"/>
        <v>0</v>
      </c>
      <c r="AZ161" s="245">
        <f t="shared" si="234"/>
        <v>370462500</v>
      </c>
      <c r="BA161" s="245">
        <f t="shared" si="234"/>
        <v>1092795000</v>
      </c>
      <c r="BB161" s="245">
        <f t="shared" si="234"/>
        <v>0</v>
      </c>
      <c r="BC161" s="245">
        <f t="shared" si="234"/>
        <v>703740000</v>
      </c>
      <c r="BD161" s="245">
        <f t="shared" si="234"/>
        <v>0</v>
      </c>
      <c r="BE161" s="245">
        <f t="shared" si="234"/>
        <v>1351980000</v>
      </c>
      <c r="BF161" s="245">
        <f t="shared" si="234"/>
        <v>4283893500</v>
      </c>
      <c r="BG161" s="245">
        <f t="shared" si="234"/>
        <v>351870000</v>
      </c>
      <c r="BH161" s="245">
        <f t="shared" si="234"/>
        <v>774114000</v>
      </c>
      <c r="BI161" s="245">
        <f t="shared" si="234"/>
        <v>348614500</v>
      </c>
      <c r="BJ161" s="245">
        <f t="shared" si="234"/>
        <v>0</v>
      </c>
      <c r="BK161" s="245">
        <f t="shared" si="234"/>
        <v>0</v>
      </c>
      <c r="BL161" s="245">
        <f t="shared" si="234"/>
        <v>62160000</v>
      </c>
      <c r="BM161" s="245">
        <f t="shared" si="234"/>
        <v>0</v>
      </c>
      <c r="BN161" s="245">
        <f t="shared" si="234"/>
        <v>0</v>
      </c>
      <c r="BO161" s="245">
        <f t="shared" si="234"/>
        <v>0</v>
      </c>
      <c r="BP161" s="245">
        <f t="shared" si="234"/>
        <v>0</v>
      </c>
      <c r="BQ161" s="245">
        <f t="shared" si="234"/>
        <v>0</v>
      </c>
      <c r="BR161" s="245">
        <f t="shared" si="234"/>
        <v>0</v>
      </c>
      <c r="BS161" s="245">
        <f t="shared" si="234"/>
        <v>1536758500</v>
      </c>
      <c r="BT161" s="245">
        <f t="shared" si="234"/>
        <v>15168403106.75</v>
      </c>
      <c r="BU161" s="240" t="str">
        <f t="shared" si="225"/>
        <v>ERROR</v>
      </c>
      <c r="BV161" s="241">
        <f>BT161-K161</f>
        <v>-1726545940.3299999</v>
      </c>
      <c r="BW161" s="242"/>
      <c r="BX161" s="242"/>
      <c r="BY161" s="242"/>
      <c r="BZ161" s="242"/>
      <c r="CA161" s="242"/>
      <c r="CB161" s="242"/>
      <c r="CC161" s="242"/>
    </row>
    <row r="162" spans="1:81">
      <c r="B162" s="142"/>
      <c r="C162" s="143"/>
      <c r="D162" s="147"/>
      <c r="E162" s="58"/>
      <c r="F162" s="144"/>
      <c r="G162" s="147"/>
      <c r="H162" s="58"/>
      <c r="I162" s="58"/>
      <c r="J162" s="147"/>
      <c r="K162" s="148"/>
      <c r="L162" s="148"/>
      <c r="M162" s="148"/>
      <c r="N162" s="479"/>
      <c r="O162" s="55"/>
      <c r="P162" s="79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26"/>
      <c r="BV162" s="7"/>
      <c r="BW162" s="7"/>
      <c r="BX162" s="7"/>
      <c r="BY162" s="7"/>
      <c r="BZ162" s="7"/>
      <c r="CA162" s="7"/>
      <c r="CB162" s="7"/>
      <c r="CC162" s="7"/>
    </row>
    <row r="163" spans="1:81">
      <c r="B163" s="357" t="s">
        <v>113</v>
      </c>
      <c r="C163" s="143" t="s">
        <v>114</v>
      </c>
      <c r="D163" s="147"/>
      <c r="E163" s="383"/>
      <c r="F163" s="144"/>
      <c r="G163" s="147"/>
      <c r="H163" s="145"/>
      <c r="I163" s="145"/>
      <c r="J163" s="147"/>
      <c r="K163" s="146"/>
      <c r="L163" s="146"/>
      <c r="M163" s="146"/>
      <c r="N163" s="465"/>
      <c r="O163" s="55"/>
      <c r="P163" s="79"/>
      <c r="Q163" s="12"/>
      <c r="R163" s="12"/>
      <c r="S163" s="12"/>
      <c r="AF163" s="6"/>
      <c r="AS163" s="6"/>
      <c r="BF163" s="6"/>
      <c r="BG163" s="7"/>
      <c r="BH163" s="7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26"/>
      <c r="BV163" s="7"/>
      <c r="BW163" s="7"/>
      <c r="BX163" s="7"/>
      <c r="BY163" s="7"/>
      <c r="BZ163" s="7"/>
      <c r="CA163" s="7"/>
      <c r="CB163" s="7"/>
      <c r="CC163" s="7"/>
    </row>
    <row r="164" spans="1:81" s="158" customFormat="1">
      <c r="A164" s="153">
        <v>51</v>
      </c>
      <c r="B164" s="434">
        <v>1</v>
      </c>
      <c r="C164" s="434" t="s">
        <v>135</v>
      </c>
      <c r="D164" s="435"/>
      <c r="E164" s="436">
        <v>4000000000</v>
      </c>
      <c r="F164" s="437"/>
      <c r="G164" s="435"/>
      <c r="H164" s="438">
        <f>+IF(E164&gt;K164,E164-K164,0)</f>
        <v>2729904447.27</v>
      </c>
      <c r="I164" s="438">
        <v>1270095552.73</v>
      </c>
      <c r="J164" s="435">
        <v>1270095552.73</v>
      </c>
      <c r="K164" s="439">
        <f>+O164+Q164+R164+S164+AF164+AS164+BF164+BS164</f>
        <v>1270095552.73</v>
      </c>
      <c r="L164" s="439"/>
      <c r="M164" s="439"/>
      <c r="N164" s="487"/>
      <c r="O164" s="154">
        <f>+SUMIFS(db_Sum,db_Bln,O$6,db_Kode,$A164)</f>
        <v>0</v>
      </c>
      <c r="P164" s="155">
        <f>+IF(H164=0,E164-K164,0)</f>
        <v>0</v>
      </c>
      <c r="Q164" s="156">
        <f t="shared" ref="Q164:AR164" si="235">+SUMIFS(db_Sum,db_Bln,Q$6,db_Kode,$A164)</f>
        <v>0</v>
      </c>
      <c r="R164" s="156">
        <f t="shared" si="235"/>
        <v>0</v>
      </c>
      <c r="S164" s="156">
        <f t="shared" si="235"/>
        <v>0</v>
      </c>
      <c r="T164" s="156">
        <f t="shared" si="235"/>
        <v>0</v>
      </c>
      <c r="U164" s="156">
        <f t="shared" si="235"/>
        <v>0</v>
      </c>
      <c r="V164" s="156">
        <f t="shared" si="235"/>
        <v>0</v>
      </c>
      <c r="W164" s="156">
        <f t="shared" si="235"/>
        <v>0</v>
      </c>
      <c r="X164" s="156">
        <f t="shared" si="235"/>
        <v>0</v>
      </c>
      <c r="Y164" s="156">
        <f t="shared" si="235"/>
        <v>0</v>
      </c>
      <c r="Z164" s="156">
        <f t="shared" si="235"/>
        <v>0</v>
      </c>
      <c r="AA164" s="156">
        <f t="shared" si="235"/>
        <v>0</v>
      </c>
      <c r="AB164" s="156">
        <f t="shared" si="235"/>
        <v>0</v>
      </c>
      <c r="AC164" s="156">
        <f t="shared" si="235"/>
        <v>0</v>
      </c>
      <c r="AD164" s="156">
        <f t="shared" si="235"/>
        <v>0</v>
      </c>
      <c r="AE164" s="156">
        <f t="shared" si="235"/>
        <v>0</v>
      </c>
      <c r="AF164" s="156">
        <f t="shared" ref="AF164" si="236">+SUM(T164:AE164)</f>
        <v>0</v>
      </c>
      <c r="AG164" s="156">
        <f t="shared" si="235"/>
        <v>0</v>
      </c>
      <c r="AH164" s="156">
        <f t="shared" si="235"/>
        <v>0</v>
      </c>
      <c r="AI164" s="156">
        <f t="shared" si="235"/>
        <v>0</v>
      </c>
      <c r="AJ164" s="156">
        <f t="shared" si="235"/>
        <v>0</v>
      </c>
      <c r="AK164" s="156">
        <f t="shared" si="235"/>
        <v>0</v>
      </c>
      <c r="AL164" s="156">
        <f t="shared" si="235"/>
        <v>0</v>
      </c>
      <c r="AM164" s="156">
        <f t="shared" si="235"/>
        <v>0</v>
      </c>
      <c r="AN164" s="156">
        <f t="shared" si="235"/>
        <v>0</v>
      </c>
      <c r="AO164" s="156">
        <f t="shared" si="235"/>
        <v>0</v>
      </c>
      <c r="AP164" s="156">
        <f t="shared" si="235"/>
        <v>0</v>
      </c>
      <c r="AQ164" s="156">
        <f t="shared" si="235"/>
        <v>0</v>
      </c>
      <c r="AR164" s="156">
        <f t="shared" si="235"/>
        <v>90973824</v>
      </c>
      <c r="AS164" s="156">
        <f t="shared" ref="AS164" si="237">+SUM(AG164:AR164)</f>
        <v>90973824</v>
      </c>
      <c r="AT164" s="156">
        <f t="shared" ref="AT164:BK164" si="238">+SUMIFS(db_Sum,db_Bln,AT$6,db_Kode,$A164)</f>
        <v>0</v>
      </c>
      <c r="AU164" s="156">
        <f t="shared" si="238"/>
        <v>0</v>
      </c>
      <c r="AV164" s="156">
        <f t="shared" si="238"/>
        <v>0</v>
      </c>
      <c r="AW164" s="156">
        <f t="shared" si="238"/>
        <v>488412654</v>
      </c>
      <c r="AX164" s="156">
        <f t="shared" si="238"/>
        <v>390749751.97000003</v>
      </c>
      <c r="AY164" s="156">
        <f t="shared" si="238"/>
        <v>286676072.75999999</v>
      </c>
      <c r="AZ164" s="156">
        <f t="shared" si="238"/>
        <v>0</v>
      </c>
      <c r="BA164" s="156">
        <f t="shared" si="238"/>
        <v>13283250</v>
      </c>
      <c r="BB164" s="156">
        <f t="shared" si="238"/>
        <v>0</v>
      </c>
      <c r="BC164" s="156">
        <f t="shared" si="238"/>
        <v>0</v>
      </c>
      <c r="BD164" s="156">
        <f t="shared" si="238"/>
        <v>0</v>
      </c>
      <c r="BE164" s="156">
        <f t="shared" si="238"/>
        <v>0</v>
      </c>
      <c r="BF164" s="156">
        <f t="shared" si="229"/>
        <v>1179121728.73</v>
      </c>
      <c r="BG164" s="156">
        <f t="shared" si="238"/>
        <v>0</v>
      </c>
      <c r="BH164" s="156">
        <f t="shared" si="238"/>
        <v>0</v>
      </c>
      <c r="BI164" s="156">
        <f t="shared" si="238"/>
        <v>0</v>
      </c>
      <c r="BJ164" s="156">
        <f t="shared" si="238"/>
        <v>0</v>
      </c>
      <c r="BK164" s="156">
        <f t="shared" si="238"/>
        <v>0</v>
      </c>
      <c r="BL164" s="156"/>
      <c r="BM164" s="156"/>
      <c r="BN164" s="156"/>
      <c r="BO164" s="156"/>
      <c r="BP164" s="156"/>
      <c r="BQ164" s="156"/>
      <c r="BR164" s="156"/>
      <c r="BS164" s="156">
        <f t="shared" si="230"/>
        <v>0</v>
      </c>
      <c r="BT164" s="156">
        <f>+SUM(O164,Q164,R164,S164,AF164,AS164,BF164+BS164)</f>
        <v>1270095552.73</v>
      </c>
      <c r="BU164" s="157" t="str">
        <f>+IF(K164-BT164=0,"OK","ERROR")</f>
        <v>OK</v>
      </c>
      <c r="BV164" s="161"/>
      <c r="BW164" s="161"/>
      <c r="BX164" s="161"/>
      <c r="BY164" s="161"/>
      <c r="BZ164" s="161"/>
      <c r="CA164" s="161"/>
      <c r="CB164" s="161"/>
      <c r="CC164" s="161"/>
    </row>
    <row r="165" spans="1:81" s="243" customFormat="1" ht="15.5">
      <c r="A165" s="231"/>
      <c r="B165" s="232"/>
      <c r="C165" s="233" t="s">
        <v>115</v>
      </c>
      <c r="D165" s="234"/>
      <c r="E165" s="235">
        <f>SUM(E164)</f>
        <v>4000000000</v>
      </c>
      <c r="F165" s="236"/>
      <c r="G165" s="234"/>
      <c r="H165" s="235">
        <f t="shared" ref="H165:M165" si="239">SUM(H164)</f>
        <v>2729904447.27</v>
      </c>
      <c r="I165" s="237">
        <f t="shared" si="239"/>
        <v>1270095552.73</v>
      </c>
      <c r="J165" s="237">
        <f t="shared" si="239"/>
        <v>1270095552.73</v>
      </c>
      <c r="K165" s="237">
        <f t="shared" si="239"/>
        <v>1270095552.73</v>
      </c>
      <c r="L165" s="237">
        <f t="shared" si="239"/>
        <v>0</v>
      </c>
      <c r="M165" s="237">
        <f t="shared" si="239"/>
        <v>0</v>
      </c>
      <c r="N165" s="463">
        <f>K165+L165+M165</f>
        <v>1270095552.73</v>
      </c>
      <c r="O165" s="235">
        <f>SUM(O164)</f>
        <v>0</v>
      </c>
      <c r="P165" s="238">
        <f>SUM(P164)</f>
        <v>0</v>
      </c>
      <c r="Q165" s="245">
        <f t="shared" ref="Q165:BT165" si="240">SUM(Q164)</f>
        <v>0</v>
      </c>
      <c r="R165" s="245">
        <f t="shared" si="240"/>
        <v>0</v>
      </c>
      <c r="S165" s="245">
        <f t="shared" si="240"/>
        <v>0</v>
      </c>
      <c r="T165" s="245">
        <f t="shared" si="240"/>
        <v>0</v>
      </c>
      <c r="U165" s="245">
        <f t="shared" si="240"/>
        <v>0</v>
      </c>
      <c r="V165" s="245">
        <f t="shared" si="240"/>
        <v>0</v>
      </c>
      <c r="W165" s="245">
        <f t="shared" si="240"/>
        <v>0</v>
      </c>
      <c r="X165" s="245">
        <f t="shared" si="240"/>
        <v>0</v>
      </c>
      <c r="Y165" s="245">
        <f t="shared" si="240"/>
        <v>0</v>
      </c>
      <c r="Z165" s="245">
        <f t="shared" si="240"/>
        <v>0</v>
      </c>
      <c r="AA165" s="245">
        <f t="shared" si="240"/>
        <v>0</v>
      </c>
      <c r="AB165" s="245">
        <f t="shared" si="240"/>
        <v>0</v>
      </c>
      <c r="AC165" s="245">
        <f t="shared" si="240"/>
        <v>0</v>
      </c>
      <c r="AD165" s="245">
        <f t="shared" si="240"/>
        <v>0</v>
      </c>
      <c r="AE165" s="245">
        <f t="shared" si="240"/>
        <v>0</v>
      </c>
      <c r="AF165" s="245">
        <f t="shared" si="240"/>
        <v>0</v>
      </c>
      <c r="AG165" s="245">
        <f t="shared" si="240"/>
        <v>0</v>
      </c>
      <c r="AH165" s="245">
        <f t="shared" si="240"/>
        <v>0</v>
      </c>
      <c r="AI165" s="245">
        <f t="shared" si="240"/>
        <v>0</v>
      </c>
      <c r="AJ165" s="245">
        <f t="shared" si="240"/>
        <v>0</v>
      </c>
      <c r="AK165" s="245">
        <f t="shared" si="240"/>
        <v>0</v>
      </c>
      <c r="AL165" s="245">
        <f t="shared" si="240"/>
        <v>0</v>
      </c>
      <c r="AM165" s="245">
        <f t="shared" si="240"/>
        <v>0</v>
      </c>
      <c r="AN165" s="245">
        <f t="shared" si="240"/>
        <v>0</v>
      </c>
      <c r="AO165" s="245">
        <f t="shared" si="240"/>
        <v>0</v>
      </c>
      <c r="AP165" s="245">
        <f t="shared" si="240"/>
        <v>0</v>
      </c>
      <c r="AQ165" s="245">
        <f t="shared" si="240"/>
        <v>0</v>
      </c>
      <c r="AR165" s="245">
        <f t="shared" si="240"/>
        <v>90973824</v>
      </c>
      <c r="AS165" s="245">
        <f t="shared" si="240"/>
        <v>90973824</v>
      </c>
      <c r="AT165" s="245">
        <f t="shared" si="240"/>
        <v>0</v>
      </c>
      <c r="AU165" s="245">
        <f t="shared" si="240"/>
        <v>0</v>
      </c>
      <c r="AV165" s="245">
        <f t="shared" si="240"/>
        <v>0</v>
      </c>
      <c r="AW165" s="245">
        <f t="shared" si="240"/>
        <v>488412654</v>
      </c>
      <c r="AX165" s="245">
        <f t="shared" si="240"/>
        <v>390749751.97000003</v>
      </c>
      <c r="AY165" s="245">
        <f t="shared" si="240"/>
        <v>286676072.75999999</v>
      </c>
      <c r="AZ165" s="245">
        <f t="shared" si="240"/>
        <v>0</v>
      </c>
      <c r="BA165" s="245">
        <f t="shared" si="240"/>
        <v>13283250</v>
      </c>
      <c r="BB165" s="245">
        <f t="shared" si="240"/>
        <v>0</v>
      </c>
      <c r="BC165" s="245">
        <f t="shared" si="240"/>
        <v>0</v>
      </c>
      <c r="BD165" s="245">
        <f t="shared" si="240"/>
        <v>0</v>
      </c>
      <c r="BE165" s="245">
        <f t="shared" si="240"/>
        <v>0</v>
      </c>
      <c r="BF165" s="245">
        <f t="shared" si="240"/>
        <v>1179121728.73</v>
      </c>
      <c r="BG165" s="245">
        <f t="shared" si="240"/>
        <v>0</v>
      </c>
      <c r="BH165" s="245">
        <f t="shared" si="240"/>
        <v>0</v>
      </c>
      <c r="BI165" s="245">
        <f t="shared" si="240"/>
        <v>0</v>
      </c>
      <c r="BJ165" s="245">
        <f t="shared" si="240"/>
        <v>0</v>
      </c>
      <c r="BK165" s="245">
        <f t="shared" si="240"/>
        <v>0</v>
      </c>
      <c r="BL165" s="245">
        <f t="shared" si="240"/>
        <v>0</v>
      </c>
      <c r="BM165" s="245">
        <f t="shared" si="240"/>
        <v>0</v>
      </c>
      <c r="BN165" s="245">
        <f t="shared" si="240"/>
        <v>0</v>
      </c>
      <c r="BO165" s="245">
        <f t="shared" si="240"/>
        <v>0</v>
      </c>
      <c r="BP165" s="245">
        <f t="shared" si="240"/>
        <v>0</v>
      </c>
      <c r="BQ165" s="245">
        <f t="shared" si="240"/>
        <v>0</v>
      </c>
      <c r="BR165" s="245">
        <f t="shared" si="240"/>
        <v>0</v>
      </c>
      <c r="BS165" s="245">
        <f t="shared" si="240"/>
        <v>0</v>
      </c>
      <c r="BT165" s="245">
        <f t="shared" si="240"/>
        <v>1270095552.73</v>
      </c>
      <c r="BU165" s="240" t="str">
        <f>+IF(K165-BT165=0,"OK","ERROR")</f>
        <v>OK</v>
      </c>
      <c r="BV165" s="241">
        <f>BT165-K165</f>
        <v>0</v>
      </c>
      <c r="BW165" s="242"/>
      <c r="BX165" s="242"/>
      <c r="BY165" s="242"/>
      <c r="BZ165" s="242"/>
      <c r="CA165" s="242"/>
      <c r="CB165" s="242"/>
      <c r="CC165" s="242"/>
    </row>
    <row r="166" spans="1:81" ht="8" customHeight="1">
      <c r="B166" s="51"/>
      <c r="C166" s="48"/>
      <c r="D166" s="54"/>
      <c r="E166" s="55"/>
      <c r="F166" s="53"/>
      <c r="G166" s="54"/>
      <c r="H166" s="55"/>
      <c r="I166" s="55"/>
      <c r="J166" s="54"/>
      <c r="K166" s="56"/>
      <c r="L166" s="56"/>
      <c r="M166" s="56"/>
      <c r="N166" s="488"/>
      <c r="O166" s="55"/>
      <c r="P166" s="79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26"/>
      <c r="BV166" s="7"/>
      <c r="BW166" s="7"/>
      <c r="BX166" s="7"/>
      <c r="BY166" s="7"/>
      <c r="BZ166" s="7"/>
      <c r="CA166" s="7"/>
      <c r="CB166" s="7"/>
      <c r="CC166" s="7"/>
    </row>
    <row r="167" spans="1:81" s="257" customFormat="1" ht="19.5" customHeight="1" thickBot="1">
      <c r="A167" s="252"/>
      <c r="B167" s="456"/>
      <c r="C167" s="457" t="s">
        <v>2528</v>
      </c>
      <c r="D167" s="458"/>
      <c r="E167" s="459">
        <f>E165+E161+E145+E84+E68+E203</f>
        <v>316831789864.58002</v>
      </c>
      <c r="F167" s="460"/>
      <c r="G167" s="458"/>
      <c r="H167" s="461"/>
      <c r="I167" s="459">
        <f>I165+I161+I84+I68+I145</f>
        <v>318354390835.68176</v>
      </c>
      <c r="J167" s="459">
        <f>J165+J161+J84+J68+J145</f>
        <v>340333922521.49182</v>
      </c>
      <c r="K167" s="459">
        <f>K165+K161+K84+K68+K145</f>
        <v>288610072911.83899</v>
      </c>
      <c r="L167" s="459">
        <f>L165+L161+L84+L68+L145</f>
        <v>10915073498.870449</v>
      </c>
      <c r="M167" s="459">
        <f>M165+M161+M84+M68+M203+M145</f>
        <v>40721022988.942352</v>
      </c>
      <c r="N167" s="463">
        <f>K167+L167+M167</f>
        <v>340246169399.65173</v>
      </c>
      <c r="O167" s="253"/>
      <c r="P167" s="253"/>
      <c r="Q167" s="254"/>
      <c r="R167" s="254"/>
      <c r="S167" s="254"/>
      <c r="T167" s="254"/>
      <c r="U167" s="254"/>
      <c r="V167" s="254"/>
      <c r="W167" s="254"/>
      <c r="X167" s="254"/>
      <c r="Y167" s="254"/>
      <c r="Z167" s="254"/>
      <c r="AA167" s="254"/>
      <c r="AB167" s="254"/>
      <c r="AC167" s="254"/>
      <c r="AD167" s="254"/>
      <c r="AE167" s="254"/>
      <c r="AF167" s="254"/>
      <c r="AG167" s="254"/>
      <c r="AH167" s="254"/>
      <c r="AI167" s="254"/>
      <c r="AJ167" s="254"/>
      <c r="AK167" s="254"/>
      <c r="AL167" s="254"/>
      <c r="AM167" s="254"/>
      <c r="AN167" s="254"/>
      <c r="AO167" s="254"/>
      <c r="AP167" s="254"/>
      <c r="AQ167" s="254"/>
      <c r="AR167" s="254"/>
      <c r="AS167" s="254"/>
      <c r="AT167" s="254"/>
      <c r="AU167" s="254"/>
      <c r="AV167" s="254"/>
      <c r="AW167" s="254"/>
      <c r="AX167" s="254"/>
      <c r="AY167" s="254"/>
      <c r="AZ167" s="254"/>
      <c r="BA167" s="254"/>
      <c r="BB167" s="254"/>
      <c r="BC167" s="254"/>
      <c r="BD167" s="254"/>
      <c r="BE167" s="254"/>
      <c r="BF167" s="254"/>
      <c r="BG167" s="254"/>
      <c r="BH167" s="254"/>
      <c r="BI167" s="254"/>
      <c r="BJ167" s="254"/>
      <c r="BK167" s="254"/>
      <c r="BL167" s="254"/>
      <c r="BM167" s="254"/>
      <c r="BN167" s="254"/>
      <c r="BO167" s="254"/>
      <c r="BP167" s="254"/>
      <c r="BQ167" s="254"/>
      <c r="BR167" s="254"/>
      <c r="BS167" s="254"/>
      <c r="BT167" s="254"/>
      <c r="BU167" s="255"/>
      <c r="BV167" s="256"/>
      <c r="BW167" s="256"/>
      <c r="BX167" s="256"/>
      <c r="BY167" s="256"/>
      <c r="BZ167" s="256"/>
      <c r="CA167" s="256"/>
      <c r="CB167" s="256"/>
      <c r="CC167" s="256"/>
    </row>
    <row r="168" spans="1:81" ht="19.5" customHeight="1" thickTop="1">
      <c r="B168" s="369"/>
      <c r="C168" s="370"/>
      <c r="D168" s="425"/>
      <c r="E168" s="426"/>
      <c r="F168" s="371"/>
      <c r="G168" s="425"/>
      <c r="H168" s="426"/>
      <c r="I168" s="426"/>
      <c r="J168" s="425"/>
      <c r="K168" s="427"/>
      <c r="L168" s="427"/>
      <c r="M168" s="427"/>
      <c r="N168" s="489"/>
      <c r="O168" s="55"/>
      <c r="P168" s="79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26"/>
      <c r="BV168" s="7"/>
      <c r="BW168" s="7"/>
      <c r="BX168" s="7"/>
      <c r="BY168" s="7"/>
      <c r="BZ168" s="7"/>
      <c r="CA168" s="7"/>
      <c r="CB168" s="7"/>
      <c r="CC168" s="7"/>
    </row>
    <row r="169" spans="1:81" hidden="1">
      <c r="B169" s="270" t="s">
        <v>953</v>
      </c>
      <c r="C169" s="298" t="s">
        <v>1100</v>
      </c>
      <c r="D169" s="303"/>
      <c r="E169" s="304"/>
      <c r="F169" s="299"/>
      <c r="G169" s="303"/>
      <c r="H169" s="304"/>
      <c r="I169" s="304"/>
      <c r="J169" s="303"/>
      <c r="K169" s="271"/>
      <c r="L169" s="271"/>
      <c r="M169" s="305"/>
      <c r="N169" s="490"/>
      <c r="O169" s="55"/>
      <c r="P169" s="79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26"/>
      <c r="BV169" s="7"/>
      <c r="BW169" s="7"/>
      <c r="BX169" s="7"/>
      <c r="BY169" s="7"/>
      <c r="BZ169" s="7"/>
      <c r="CA169" s="7"/>
      <c r="CB169" s="7"/>
      <c r="CC169" s="7"/>
    </row>
    <row r="170" spans="1:81" s="158" customFormat="1" hidden="1">
      <c r="A170" s="153" t="s">
        <v>1173</v>
      </c>
      <c r="B170" s="272">
        <v>1</v>
      </c>
      <c r="C170" s="300" t="s">
        <v>1620</v>
      </c>
      <c r="D170" s="297" t="s">
        <v>1101</v>
      </c>
      <c r="E170" s="346"/>
      <c r="F170" s="301"/>
      <c r="G170" s="297"/>
      <c r="H170" s="346"/>
      <c r="I170" s="346"/>
      <c r="J170" s="297"/>
      <c r="K170" s="347"/>
      <c r="L170" s="347"/>
      <c r="M170" s="348"/>
      <c r="N170" s="491"/>
      <c r="O170" s="168"/>
      <c r="P170" s="169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  <c r="AF170" s="170"/>
      <c r="AG170" s="170"/>
      <c r="AH170" s="170"/>
      <c r="AI170" s="170"/>
      <c r="AJ170" s="170"/>
      <c r="AK170" s="170"/>
      <c r="AL170" s="170"/>
      <c r="AM170" s="170"/>
      <c r="AN170" s="170"/>
      <c r="AO170" s="170"/>
      <c r="AP170" s="170"/>
      <c r="AQ170" s="170"/>
      <c r="AR170" s="170"/>
      <c r="AS170" s="161"/>
      <c r="AT170" s="161">
        <v>865800000</v>
      </c>
      <c r="AU170" s="161">
        <v>1731600000</v>
      </c>
      <c r="AV170" s="170"/>
      <c r="AW170" s="161"/>
      <c r="AX170" s="161"/>
      <c r="AY170" s="161">
        <f>144300000+244943000</f>
        <v>389243000</v>
      </c>
      <c r="AZ170" s="170"/>
      <c r="BA170" s="161"/>
      <c r="BB170" s="161"/>
      <c r="BC170" s="170"/>
      <c r="BD170" s="170"/>
      <c r="BE170" s="161"/>
      <c r="BF170" s="156">
        <f>+SUM(AT170:BE170)</f>
        <v>2986643000</v>
      </c>
      <c r="BG170" s="161"/>
      <c r="BH170" s="156"/>
      <c r="BI170" s="156"/>
      <c r="BJ170" s="156"/>
      <c r="BK170" s="156"/>
      <c r="BL170" s="156"/>
      <c r="BM170" s="156"/>
      <c r="BN170" s="156"/>
      <c r="BO170" s="156"/>
      <c r="BP170" s="156"/>
      <c r="BQ170" s="156"/>
      <c r="BR170" s="156"/>
      <c r="BS170" s="156">
        <f t="shared" ref="BS170:BS197" si="241">+SUM(BG170:BR170)</f>
        <v>0</v>
      </c>
      <c r="BT170" s="156">
        <f>+SUM(O170,Q170,R170,S170,AF170,AS170,BF170+BS170)</f>
        <v>2986643000</v>
      </c>
      <c r="BU170" s="157"/>
      <c r="BV170" s="161"/>
      <c r="BW170" s="161"/>
      <c r="BX170" s="161"/>
      <c r="BY170" s="161"/>
      <c r="BZ170" s="161"/>
      <c r="CA170" s="161"/>
      <c r="CB170" s="161"/>
      <c r="CC170" s="161"/>
    </row>
    <row r="171" spans="1:81" hidden="1">
      <c r="B171" s="284"/>
      <c r="C171" s="320" t="s">
        <v>2275</v>
      </c>
      <c r="D171" s="303"/>
      <c r="E171" s="304"/>
      <c r="F171" s="299"/>
      <c r="G171" s="303"/>
      <c r="H171" s="304"/>
      <c r="I171" s="304"/>
      <c r="J171" s="303"/>
      <c r="K171" s="349"/>
      <c r="L171" s="349"/>
      <c r="M171" s="271"/>
      <c r="N171" s="492"/>
      <c r="O171" s="55"/>
      <c r="P171" s="79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V171" s="12"/>
      <c r="AZ171" s="12"/>
      <c r="BC171" s="12"/>
      <c r="BD171" s="12"/>
      <c r="BF171" s="10"/>
      <c r="BG171" s="7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26"/>
      <c r="BV171" s="7"/>
      <c r="BW171" s="7"/>
      <c r="BX171" s="7"/>
      <c r="BY171" s="7"/>
      <c r="BZ171" s="7"/>
      <c r="CA171" s="7"/>
      <c r="CB171" s="7"/>
      <c r="CC171" s="7"/>
    </row>
    <row r="172" spans="1:81" hidden="1">
      <c r="A172" s="13" t="s">
        <v>1173</v>
      </c>
      <c r="B172" s="284">
        <v>2</v>
      </c>
      <c r="C172" s="343" t="s">
        <v>1621</v>
      </c>
      <c r="D172" s="303" t="s">
        <v>1102</v>
      </c>
      <c r="E172" s="304"/>
      <c r="F172" s="299"/>
      <c r="G172" s="303"/>
      <c r="H172" s="304"/>
      <c r="I172" s="304"/>
      <c r="J172" s="303"/>
      <c r="K172" s="271"/>
      <c r="L172" s="271"/>
      <c r="M172" s="271"/>
      <c r="N172" s="492"/>
      <c r="O172" s="55"/>
      <c r="P172" s="79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T172" s="7">
        <v>646020000</v>
      </c>
      <c r="AV172" s="12"/>
      <c r="AY172" s="7">
        <v>1292040000</v>
      </c>
      <c r="AZ172" s="12"/>
      <c r="BC172" s="12"/>
      <c r="BD172" s="12"/>
      <c r="BF172" s="10">
        <f t="shared" ref="BF172:BF197" si="242">+SUM(AT172:BE172)</f>
        <v>1938060000</v>
      </c>
      <c r="BG172" s="7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>
        <f t="shared" si="241"/>
        <v>0</v>
      </c>
      <c r="BT172" s="10">
        <f t="shared" ref="BT172:BT197" si="243">+SUM(O172,Q172,R172,S172,AF172,AS172,BF172+BS172)</f>
        <v>1938060000</v>
      </c>
      <c r="BU172" s="26"/>
      <c r="BV172" s="7"/>
      <c r="BW172" s="7"/>
      <c r="BX172" s="7"/>
      <c r="BY172" s="7"/>
      <c r="BZ172" s="7"/>
      <c r="CA172" s="7"/>
      <c r="CB172" s="7"/>
      <c r="CC172" s="7"/>
    </row>
    <row r="173" spans="1:81" s="158" customFormat="1" hidden="1">
      <c r="A173" s="153" t="s">
        <v>1173</v>
      </c>
      <c r="B173" s="272">
        <v>3</v>
      </c>
      <c r="C173" s="300" t="s">
        <v>1622</v>
      </c>
      <c r="D173" s="297" t="s">
        <v>1103</v>
      </c>
      <c r="E173" s="346"/>
      <c r="F173" s="301"/>
      <c r="G173" s="297"/>
      <c r="H173" s="346"/>
      <c r="I173" s="346"/>
      <c r="J173" s="297"/>
      <c r="K173" s="348"/>
      <c r="L173" s="348"/>
      <c r="M173" s="348"/>
      <c r="N173" s="493"/>
      <c r="O173" s="168"/>
      <c r="P173" s="169"/>
      <c r="Q173" s="170"/>
      <c r="R173" s="170"/>
      <c r="S173" s="170"/>
      <c r="T173" s="170"/>
      <c r="U173" s="170"/>
      <c r="V173" s="170"/>
      <c r="W173" s="170"/>
      <c r="X173" s="170"/>
      <c r="Y173" s="170"/>
      <c r="Z173" s="170"/>
      <c r="AA173" s="170"/>
      <c r="AB173" s="170"/>
      <c r="AC173" s="170"/>
      <c r="AD173" s="170"/>
      <c r="AE173" s="170"/>
      <c r="AF173" s="170"/>
      <c r="AG173" s="170"/>
      <c r="AH173" s="170"/>
      <c r="AI173" s="170"/>
      <c r="AJ173" s="170"/>
      <c r="AK173" s="170"/>
      <c r="AL173" s="170"/>
      <c r="AM173" s="170"/>
      <c r="AN173" s="170"/>
      <c r="AO173" s="170"/>
      <c r="AP173" s="170"/>
      <c r="AQ173" s="170"/>
      <c r="AR173" s="170"/>
      <c r="AS173" s="161"/>
      <c r="AT173" s="161">
        <v>1204350000</v>
      </c>
      <c r="AU173" s="161"/>
      <c r="AV173" s="170"/>
      <c r="AW173" s="161"/>
      <c r="AX173" s="161"/>
      <c r="AY173" s="161"/>
      <c r="AZ173" s="170"/>
      <c r="BA173" s="161"/>
      <c r="BB173" s="161"/>
      <c r="BC173" s="170"/>
      <c r="BD173" s="170"/>
      <c r="BE173" s="161"/>
      <c r="BF173" s="156">
        <f t="shared" si="242"/>
        <v>1204350000</v>
      </c>
      <c r="BG173" s="161"/>
      <c r="BH173" s="156"/>
      <c r="BI173" s="156"/>
      <c r="BJ173" s="156"/>
      <c r="BK173" s="156"/>
      <c r="BL173" s="156"/>
      <c r="BM173" s="156"/>
      <c r="BN173" s="156"/>
      <c r="BO173" s="156"/>
      <c r="BP173" s="156"/>
      <c r="BQ173" s="156"/>
      <c r="BR173" s="156"/>
      <c r="BS173" s="156">
        <f t="shared" si="241"/>
        <v>0</v>
      </c>
      <c r="BT173" s="156">
        <f t="shared" si="243"/>
        <v>1204350000</v>
      </c>
      <c r="BU173" s="157"/>
      <c r="BV173" s="161"/>
      <c r="BW173" s="161"/>
      <c r="BX173" s="161"/>
      <c r="BY173" s="161"/>
      <c r="BZ173" s="161"/>
      <c r="CA173" s="161"/>
      <c r="CB173" s="161"/>
      <c r="CC173" s="161"/>
    </row>
    <row r="174" spans="1:81" hidden="1">
      <c r="A174" s="13" t="s">
        <v>1173</v>
      </c>
      <c r="B174" s="284">
        <v>4</v>
      </c>
      <c r="C174" s="343" t="s">
        <v>1623</v>
      </c>
      <c r="D174" s="303" t="s">
        <v>1104</v>
      </c>
      <c r="E174" s="304"/>
      <c r="F174" s="299"/>
      <c r="G174" s="303"/>
      <c r="H174" s="304"/>
      <c r="I174" s="304"/>
      <c r="J174" s="303"/>
      <c r="K174" s="271"/>
      <c r="L174" s="271"/>
      <c r="M174" s="271"/>
      <c r="N174" s="492"/>
      <c r="O174" s="55"/>
      <c r="P174" s="79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T174" s="7">
        <v>557516925</v>
      </c>
      <c r="AV174" s="12"/>
      <c r="AY174" s="7">
        <v>1115033850</v>
      </c>
      <c r="AZ174" s="12"/>
      <c r="BC174" s="12"/>
      <c r="BD174" s="12"/>
      <c r="BF174" s="10">
        <f t="shared" si="242"/>
        <v>1672550775</v>
      </c>
      <c r="BG174" s="7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>
        <f t="shared" si="241"/>
        <v>0</v>
      </c>
      <c r="BT174" s="10">
        <f t="shared" si="243"/>
        <v>1672550775</v>
      </c>
      <c r="BU174" s="26"/>
      <c r="BV174" s="7"/>
      <c r="BW174" s="7"/>
      <c r="BX174" s="7"/>
      <c r="BY174" s="7"/>
      <c r="BZ174" s="7"/>
      <c r="CA174" s="7"/>
      <c r="CB174" s="7"/>
      <c r="CC174" s="7"/>
    </row>
    <row r="175" spans="1:81" s="158" customFormat="1" hidden="1">
      <c r="A175" s="153" t="s">
        <v>1173</v>
      </c>
      <c r="B175" s="272">
        <v>5</v>
      </c>
      <c r="C175" s="300" t="s">
        <v>1624</v>
      </c>
      <c r="D175" s="297" t="s">
        <v>1104</v>
      </c>
      <c r="E175" s="346"/>
      <c r="F175" s="301"/>
      <c r="G175" s="297"/>
      <c r="H175" s="346"/>
      <c r="I175" s="346"/>
      <c r="J175" s="297"/>
      <c r="K175" s="348"/>
      <c r="L175" s="348"/>
      <c r="M175" s="348"/>
      <c r="N175" s="491"/>
      <c r="O175" s="168"/>
      <c r="P175" s="169"/>
      <c r="Q175" s="170"/>
      <c r="R175" s="170"/>
      <c r="S175" s="170"/>
      <c r="T175" s="170"/>
      <c r="U175" s="170"/>
      <c r="V175" s="170"/>
      <c r="W175" s="170"/>
      <c r="X175" s="170"/>
      <c r="Y175" s="170"/>
      <c r="Z175" s="170"/>
      <c r="AA175" s="170"/>
      <c r="AB175" s="170"/>
      <c r="AC175" s="170"/>
      <c r="AD175" s="170"/>
      <c r="AE175" s="170"/>
      <c r="AF175" s="170"/>
      <c r="AG175" s="170"/>
      <c r="AH175" s="170"/>
      <c r="AI175" s="170"/>
      <c r="AJ175" s="170"/>
      <c r="AK175" s="170"/>
      <c r="AL175" s="170"/>
      <c r="AM175" s="170"/>
      <c r="AN175" s="170"/>
      <c r="AO175" s="170"/>
      <c r="AP175" s="170"/>
      <c r="AQ175" s="170"/>
      <c r="AR175" s="170"/>
      <c r="AS175" s="161"/>
      <c r="AT175" s="161">
        <v>175789368</v>
      </c>
      <c r="AU175" s="161"/>
      <c r="AV175" s="170"/>
      <c r="AW175" s="161">
        <v>351578736</v>
      </c>
      <c r="AX175" s="161"/>
      <c r="AY175" s="161"/>
      <c r="AZ175" s="170"/>
      <c r="BA175" s="161"/>
      <c r="BB175" s="161"/>
      <c r="BC175" s="170"/>
      <c r="BD175" s="170"/>
      <c r="BE175" s="161"/>
      <c r="BF175" s="156">
        <f t="shared" si="242"/>
        <v>527368104</v>
      </c>
      <c r="BG175" s="161"/>
      <c r="BH175" s="156"/>
      <c r="BI175" s="156"/>
      <c r="BJ175" s="156"/>
      <c r="BK175" s="156"/>
      <c r="BL175" s="156"/>
      <c r="BM175" s="156"/>
      <c r="BN175" s="156"/>
      <c r="BO175" s="156"/>
      <c r="BP175" s="156"/>
      <c r="BQ175" s="156"/>
      <c r="BR175" s="156"/>
      <c r="BS175" s="156">
        <f t="shared" si="241"/>
        <v>0</v>
      </c>
      <c r="BT175" s="156">
        <f t="shared" si="243"/>
        <v>527368104</v>
      </c>
      <c r="BU175" s="157"/>
      <c r="BV175" s="161"/>
      <c r="BW175" s="161"/>
      <c r="BX175" s="161"/>
      <c r="BY175" s="161"/>
      <c r="BZ175" s="161"/>
      <c r="CA175" s="161"/>
      <c r="CB175" s="161"/>
      <c r="CC175" s="161"/>
    </row>
    <row r="176" spans="1:81" hidden="1">
      <c r="A176" s="13" t="s">
        <v>1173</v>
      </c>
      <c r="B176" s="284">
        <v>6</v>
      </c>
      <c r="C176" s="343" t="s">
        <v>1625</v>
      </c>
      <c r="D176" s="303" t="s">
        <v>1105</v>
      </c>
      <c r="E176" s="304"/>
      <c r="F176" s="299"/>
      <c r="G176" s="303"/>
      <c r="H176" s="304"/>
      <c r="I176" s="304"/>
      <c r="J176" s="303"/>
      <c r="K176" s="271"/>
      <c r="L176" s="271"/>
      <c r="M176" s="271"/>
      <c r="N176" s="490"/>
      <c r="O176" s="55"/>
      <c r="P176" s="79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T176" s="7">
        <v>1697879640</v>
      </c>
      <c r="AV176" s="12"/>
      <c r="AZ176" s="12"/>
      <c r="BC176" s="12"/>
      <c r="BD176" s="12"/>
      <c r="BF176" s="10">
        <f>+SUM(AT176:BE176)</f>
        <v>1697879640</v>
      </c>
      <c r="BG176" s="7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>
        <f t="shared" si="241"/>
        <v>0</v>
      </c>
      <c r="BT176" s="10">
        <f t="shared" si="243"/>
        <v>1697879640</v>
      </c>
      <c r="BU176" s="26"/>
      <c r="BV176" s="7"/>
      <c r="BW176" s="7"/>
      <c r="BX176" s="7"/>
      <c r="BY176" s="7"/>
      <c r="BZ176" s="7"/>
      <c r="CA176" s="7"/>
      <c r="CB176" s="7"/>
      <c r="CC176" s="7"/>
    </row>
    <row r="177" spans="1:81" s="158" customFormat="1" hidden="1">
      <c r="A177" s="153" t="s">
        <v>1173</v>
      </c>
      <c r="B177" s="272">
        <v>7</v>
      </c>
      <c r="C177" s="300" t="s">
        <v>1106</v>
      </c>
      <c r="D177" s="297" t="s">
        <v>1107</v>
      </c>
      <c r="E177" s="346"/>
      <c r="F177" s="301"/>
      <c r="G177" s="297"/>
      <c r="H177" s="346"/>
      <c r="I177" s="346"/>
      <c r="J177" s="297"/>
      <c r="K177" s="348">
        <v>5250000</v>
      </c>
      <c r="L177" s="348"/>
      <c r="M177" s="348"/>
      <c r="N177" s="493"/>
      <c r="O177" s="168"/>
      <c r="P177" s="169"/>
      <c r="Q177" s="170"/>
      <c r="R177" s="170"/>
      <c r="S177" s="170"/>
      <c r="T177" s="170"/>
      <c r="U177" s="170"/>
      <c r="V177" s="170"/>
      <c r="W177" s="170"/>
      <c r="X177" s="170"/>
      <c r="Y177" s="170"/>
      <c r="Z177" s="170"/>
      <c r="AA177" s="170"/>
      <c r="AB177" s="170"/>
      <c r="AC177" s="170"/>
      <c r="AD177" s="170"/>
      <c r="AE177" s="170"/>
      <c r="AF177" s="170"/>
      <c r="AG177" s="170"/>
      <c r="AH177" s="170"/>
      <c r="AI177" s="170"/>
      <c r="AJ177" s="170"/>
      <c r="AK177" s="170"/>
      <c r="AL177" s="170"/>
      <c r="AM177" s="170"/>
      <c r="AN177" s="170"/>
      <c r="AO177" s="170"/>
      <c r="AP177" s="170"/>
      <c r="AQ177" s="170"/>
      <c r="AR177" s="170"/>
      <c r="AS177" s="161"/>
      <c r="AT177" s="161">
        <v>5250000</v>
      </c>
      <c r="AU177" s="161"/>
      <c r="AV177" s="170"/>
      <c r="AW177" s="161"/>
      <c r="AX177" s="161"/>
      <c r="AY177" s="161"/>
      <c r="AZ177" s="170"/>
      <c r="BA177" s="161"/>
      <c r="BB177" s="161"/>
      <c r="BC177" s="170"/>
      <c r="BD177" s="170"/>
      <c r="BE177" s="161"/>
      <c r="BF177" s="156">
        <f t="shared" si="242"/>
        <v>5250000</v>
      </c>
      <c r="BG177" s="161"/>
      <c r="BH177" s="156"/>
      <c r="BI177" s="156"/>
      <c r="BJ177" s="156"/>
      <c r="BK177" s="156"/>
      <c r="BL177" s="156"/>
      <c r="BM177" s="156"/>
      <c r="BN177" s="156"/>
      <c r="BO177" s="156"/>
      <c r="BP177" s="156"/>
      <c r="BQ177" s="156"/>
      <c r="BR177" s="156"/>
      <c r="BS177" s="156">
        <f t="shared" si="241"/>
        <v>0</v>
      </c>
      <c r="BT177" s="156">
        <f t="shared" si="243"/>
        <v>5250000</v>
      </c>
      <c r="BU177" s="157"/>
      <c r="BV177" s="161"/>
      <c r="BW177" s="161"/>
      <c r="BX177" s="161"/>
      <c r="BY177" s="161"/>
      <c r="BZ177" s="161"/>
      <c r="CA177" s="161"/>
      <c r="CB177" s="161"/>
      <c r="CC177" s="161"/>
    </row>
    <row r="178" spans="1:81" hidden="1">
      <c r="A178" s="13" t="s">
        <v>1173</v>
      </c>
      <c r="B178" s="284">
        <v>8</v>
      </c>
      <c r="C178" s="343" t="s">
        <v>1626</v>
      </c>
      <c r="D178" s="303" t="s">
        <v>44</v>
      </c>
      <c r="E178" s="304"/>
      <c r="F178" s="299"/>
      <c r="G178" s="303"/>
      <c r="H178" s="304"/>
      <c r="I178" s="304"/>
      <c r="J178" s="303"/>
      <c r="K178" s="271"/>
      <c r="L178" s="271"/>
      <c r="M178" s="271"/>
      <c r="N178" s="492"/>
      <c r="O178" s="55"/>
      <c r="P178" s="79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T178" s="7">
        <v>5261400000</v>
      </c>
      <c r="AU178" s="7">
        <v>1315350000</v>
      </c>
      <c r="AV178" s="12"/>
      <c r="AX178" s="7">
        <v>1315350000</v>
      </c>
      <c r="AZ178" s="12"/>
      <c r="BC178" s="12"/>
      <c r="BD178" s="12"/>
      <c r="BF178" s="10">
        <f t="shared" si="242"/>
        <v>7892100000</v>
      </c>
      <c r="BG178" s="7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>
        <f t="shared" si="241"/>
        <v>0</v>
      </c>
      <c r="BT178" s="10">
        <f t="shared" si="243"/>
        <v>7892100000</v>
      </c>
      <c r="BU178" s="26"/>
      <c r="BV178" s="7"/>
      <c r="BW178" s="7"/>
      <c r="BX178" s="7"/>
      <c r="BY178" s="7"/>
      <c r="BZ178" s="7"/>
      <c r="CA178" s="7"/>
      <c r="CB178" s="7"/>
      <c r="CC178" s="7"/>
    </row>
    <row r="179" spans="1:81" s="158" customFormat="1" hidden="1">
      <c r="A179" s="153" t="s">
        <v>1173</v>
      </c>
      <c r="B179" s="272">
        <v>9</v>
      </c>
      <c r="C179" s="300" t="s">
        <v>1627</v>
      </c>
      <c r="D179" s="297" t="s">
        <v>45</v>
      </c>
      <c r="E179" s="346"/>
      <c r="F179" s="301"/>
      <c r="G179" s="297"/>
      <c r="H179" s="346"/>
      <c r="I179" s="346"/>
      <c r="J179" s="297"/>
      <c r="K179" s="348"/>
      <c r="L179" s="348"/>
      <c r="M179" s="348"/>
      <c r="N179" s="493"/>
      <c r="O179" s="168"/>
      <c r="P179" s="169"/>
      <c r="Q179" s="170"/>
      <c r="R179" s="170"/>
      <c r="S179" s="170"/>
      <c r="T179" s="170"/>
      <c r="U179" s="170"/>
      <c r="V179" s="170"/>
      <c r="W179" s="170"/>
      <c r="X179" s="170"/>
      <c r="Y179" s="170"/>
      <c r="Z179" s="170"/>
      <c r="AA179" s="170"/>
      <c r="AB179" s="170"/>
      <c r="AC179" s="170"/>
      <c r="AD179" s="170"/>
      <c r="AE179" s="170"/>
      <c r="AF179" s="170"/>
      <c r="AG179" s="170"/>
      <c r="AH179" s="170"/>
      <c r="AI179" s="170"/>
      <c r="AJ179" s="170"/>
      <c r="AK179" s="170"/>
      <c r="AL179" s="170"/>
      <c r="AM179" s="170"/>
      <c r="AN179" s="170"/>
      <c r="AO179" s="170"/>
      <c r="AP179" s="170"/>
      <c r="AQ179" s="170"/>
      <c r="AR179" s="170"/>
      <c r="AS179" s="161"/>
      <c r="AT179" s="161">
        <v>740925000</v>
      </c>
      <c r="AU179" s="161"/>
      <c r="AV179" s="170"/>
      <c r="AW179" s="161"/>
      <c r="AX179" s="161"/>
      <c r="AY179" s="161"/>
      <c r="AZ179" s="170"/>
      <c r="BA179" s="161">
        <v>1234875000</v>
      </c>
      <c r="BB179" s="161"/>
      <c r="BC179" s="170"/>
      <c r="BD179" s="170"/>
      <c r="BE179" s="161"/>
      <c r="BF179" s="156">
        <f t="shared" si="242"/>
        <v>1975800000</v>
      </c>
      <c r="BG179" s="161"/>
      <c r="BH179" s="156"/>
      <c r="BI179" s="156"/>
      <c r="BJ179" s="156"/>
      <c r="BK179" s="156"/>
      <c r="BL179" s="156"/>
      <c r="BM179" s="156"/>
      <c r="BN179" s="156"/>
      <c r="BO179" s="156"/>
      <c r="BP179" s="156"/>
      <c r="BQ179" s="156"/>
      <c r="BR179" s="156"/>
      <c r="BS179" s="156">
        <f t="shared" si="241"/>
        <v>0</v>
      </c>
      <c r="BT179" s="156">
        <f t="shared" si="243"/>
        <v>1975800000</v>
      </c>
      <c r="BU179" s="157"/>
      <c r="BV179" s="161"/>
      <c r="BW179" s="161"/>
      <c r="BX179" s="161"/>
      <c r="BY179" s="161"/>
      <c r="BZ179" s="161"/>
      <c r="CA179" s="161"/>
      <c r="CB179" s="161"/>
      <c r="CC179" s="161"/>
    </row>
    <row r="180" spans="1:81" hidden="1">
      <c r="A180" s="13" t="s">
        <v>1173</v>
      </c>
      <c r="B180" s="284">
        <v>10</v>
      </c>
      <c r="C180" s="343" t="s">
        <v>1628</v>
      </c>
      <c r="D180" s="303" t="s">
        <v>1102</v>
      </c>
      <c r="E180" s="304"/>
      <c r="F180" s="299"/>
      <c r="G180" s="303"/>
      <c r="H180" s="304"/>
      <c r="I180" s="304"/>
      <c r="J180" s="303"/>
      <c r="K180" s="271"/>
      <c r="L180" s="271"/>
      <c r="M180" s="271"/>
      <c r="N180" s="492"/>
      <c r="O180" s="55"/>
      <c r="P180" s="79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T180" s="7">
        <v>176460030</v>
      </c>
      <c r="AU180" s="7">
        <v>352920060</v>
      </c>
      <c r="AV180" s="12"/>
      <c r="AZ180" s="12"/>
      <c r="BC180" s="12"/>
      <c r="BD180" s="12"/>
      <c r="BF180" s="10">
        <f t="shared" si="242"/>
        <v>529380090</v>
      </c>
      <c r="BG180" s="7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>
        <f t="shared" si="241"/>
        <v>0</v>
      </c>
      <c r="BT180" s="10">
        <f t="shared" si="243"/>
        <v>529380090</v>
      </c>
      <c r="BU180" s="26"/>
      <c r="BV180" s="7"/>
      <c r="BW180" s="7"/>
      <c r="BX180" s="7"/>
      <c r="BY180" s="7"/>
      <c r="BZ180" s="7"/>
      <c r="CA180" s="7"/>
      <c r="CB180" s="7"/>
      <c r="CC180" s="7"/>
    </row>
    <row r="181" spans="1:81" s="158" customFormat="1" hidden="1">
      <c r="A181" s="153" t="s">
        <v>1173</v>
      </c>
      <c r="B181" s="272">
        <v>11</v>
      </c>
      <c r="C181" s="300" t="s">
        <v>1628</v>
      </c>
      <c r="D181" s="297" t="s">
        <v>61</v>
      </c>
      <c r="E181" s="346"/>
      <c r="F181" s="301"/>
      <c r="G181" s="297"/>
      <c r="H181" s="346"/>
      <c r="I181" s="346"/>
      <c r="J181" s="297"/>
      <c r="K181" s="348"/>
      <c r="L181" s="348"/>
      <c r="M181" s="348"/>
      <c r="N181" s="491"/>
      <c r="O181" s="168"/>
      <c r="P181" s="169"/>
      <c r="Q181" s="170"/>
      <c r="R181" s="170"/>
      <c r="S181" s="170"/>
      <c r="T181" s="170"/>
      <c r="U181" s="170"/>
      <c r="V181" s="170"/>
      <c r="W181" s="170"/>
      <c r="X181" s="170"/>
      <c r="Y181" s="170"/>
      <c r="Z181" s="170"/>
      <c r="AA181" s="170"/>
      <c r="AB181" s="170"/>
      <c r="AC181" s="170"/>
      <c r="AD181" s="170"/>
      <c r="AE181" s="170"/>
      <c r="AF181" s="170"/>
      <c r="AG181" s="170"/>
      <c r="AH181" s="170"/>
      <c r="AI181" s="170"/>
      <c r="AJ181" s="170"/>
      <c r="AK181" s="170"/>
      <c r="AL181" s="170"/>
      <c r="AM181" s="170"/>
      <c r="AN181" s="170"/>
      <c r="AO181" s="170"/>
      <c r="AP181" s="170"/>
      <c r="AQ181" s="170"/>
      <c r="AR181" s="170"/>
      <c r="AS181" s="161"/>
      <c r="AT181" s="161">
        <v>656039970</v>
      </c>
      <c r="AU181" s="161">
        <v>1312079940</v>
      </c>
      <c r="AV181" s="170"/>
      <c r="AW181" s="161"/>
      <c r="AX181" s="161"/>
      <c r="AY181" s="161"/>
      <c r="AZ181" s="170"/>
      <c r="BA181" s="161"/>
      <c r="BB181" s="161"/>
      <c r="BC181" s="161">
        <v>30000000</v>
      </c>
      <c r="BD181" s="170"/>
      <c r="BE181" s="161"/>
      <c r="BF181" s="156">
        <f t="shared" si="242"/>
        <v>1998119910</v>
      </c>
      <c r="BG181" s="161"/>
      <c r="BH181" s="156"/>
      <c r="BI181" s="156"/>
      <c r="BJ181" s="156"/>
      <c r="BK181" s="156"/>
      <c r="BL181" s="156"/>
      <c r="BM181" s="156"/>
      <c r="BN181" s="156"/>
      <c r="BO181" s="156"/>
      <c r="BP181" s="156"/>
      <c r="BQ181" s="156"/>
      <c r="BR181" s="156"/>
      <c r="BS181" s="156">
        <f t="shared" si="241"/>
        <v>0</v>
      </c>
      <c r="BT181" s="156">
        <f t="shared" si="243"/>
        <v>1998119910</v>
      </c>
      <c r="BU181" s="157"/>
      <c r="BV181" s="161"/>
      <c r="BW181" s="161"/>
      <c r="BX181" s="161"/>
      <c r="BY181" s="161"/>
      <c r="BZ181" s="161"/>
      <c r="CA181" s="161"/>
      <c r="CB181" s="161"/>
      <c r="CC181" s="161"/>
    </row>
    <row r="182" spans="1:81" hidden="1">
      <c r="A182" s="13" t="s">
        <v>1173</v>
      </c>
      <c r="B182" s="284">
        <v>12</v>
      </c>
      <c r="C182" s="343" t="s">
        <v>1619</v>
      </c>
      <c r="D182" s="303" t="s">
        <v>44</v>
      </c>
      <c r="E182" s="304"/>
      <c r="F182" s="299"/>
      <c r="G182" s="303"/>
      <c r="H182" s="304"/>
      <c r="I182" s="304"/>
      <c r="J182" s="303"/>
      <c r="K182" s="271"/>
      <c r="L182" s="271"/>
      <c r="M182" s="271"/>
      <c r="N182" s="490"/>
      <c r="O182" s="55"/>
      <c r="P182" s="79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T182" s="7">
        <v>8049437052</v>
      </c>
      <c r="AU182" s="7">
        <v>-1077696756</v>
      </c>
      <c r="AV182" s="12"/>
      <c r="AW182" s="7">
        <v>-382374072</v>
      </c>
      <c r="AY182" s="7">
        <v>-176233860</v>
      </c>
      <c r="AZ182" s="12"/>
      <c r="BA182" s="7">
        <f>-135646668+-299063520</f>
        <v>-434710188</v>
      </c>
      <c r="BB182" s="7">
        <v>-369557064</v>
      </c>
      <c r="BC182" s="7">
        <v>-585310032</v>
      </c>
      <c r="BD182" s="7">
        <f>466200000+-443254860</f>
        <v>22945140</v>
      </c>
      <c r="BE182" s="7">
        <v>-205072128</v>
      </c>
      <c r="BF182" s="10">
        <f t="shared" si="242"/>
        <v>4841428092</v>
      </c>
      <c r="BG182" s="7">
        <v>-222161472</v>
      </c>
      <c r="BH182" s="10">
        <v>-315084780</v>
      </c>
      <c r="BI182" s="10">
        <f>-305472024</f>
        <v>-305472024</v>
      </c>
      <c r="BJ182" s="10"/>
      <c r="BK182" s="10">
        <v>-460008144</v>
      </c>
      <c r="BL182" s="10"/>
      <c r="BM182" s="10"/>
      <c r="BN182" s="10"/>
      <c r="BO182" s="10"/>
      <c r="BP182" s="10"/>
      <c r="BQ182" s="10"/>
      <c r="BR182" s="10"/>
      <c r="BS182" s="10">
        <f t="shared" si="241"/>
        <v>-1302726420</v>
      </c>
      <c r="BT182" s="10">
        <f t="shared" si="243"/>
        <v>3538701672</v>
      </c>
      <c r="BU182" s="26"/>
      <c r="BV182" s="7"/>
      <c r="BW182" s="7"/>
      <c r="BX182" s="7"/>
      <c r="BY182" s="7"/>
      <c r="BZ182" s="7"/>
      <c r="CA182" s="7"/>
      <c r="CB182" s="7"/>
      <c r="CC182" s="7"/>
    </row>
    <row r="183" spans="1:81" s="158" customFormat="1" hidden="1">
      <c r="A183" s="153" t="s">
        <v>1173</v>
      </c>
      <c r="B183" s="272">
        <v>13</v>
      </c>
      <c r="C183" s="300" t="s">
        <v>1618</v>
      </c>
      <c r="D183" s="297" t="s">
        <v>634</v>
      </c>
      <c r="E183" s="346"/>
      <c r="F183" s="301"/>
      <c r="G183" s="297"/>
      <c r="H183" s="346"/>
      <c r="I183" s="346"/>
      <c r="J183" s="297"/>
      <c r="K183" s="348"/>
      <c r="L183" s="348"/>
      <c r="M183" s="348"/>
      <c r="N183" s="493"/>
      <c r="O183" s="168"/>
      <c r="P183" s="169"/>
      <c r="Q183" s="170"/>
      <c r="R183" s="170"/>
      <c r="S183" s="170"/>
      <c r="T183" s="170"/>
      <c r="U183" s="170"/>
      <c r="V183" s="170"/>
      <c r="W183" s="170"/>
      <c r="X183" s="170"/>
      <c r="Y183" s="170"/>
      <c r="Z183" s="170"/>
      <c r="AA183" s="170"/>
      <c r="AB183" s="170"/>
      <c r="AC183" s="170"/>
      <c r="AD183" s="170"/>
      <c r="AE183" s="170"/>
      <c r="AF183" s="170"/>
      <c r="AG183" s="170"/>
      <c r="AH183" s="170"/>
      <c r="AI183" s="170"/>
      <c r="AJ183" s="170"/>
      <c r="AK183" s="170"/>
      <c r="AL183" s="170"/>
      <c r="AM183" s="170"/>
      <c r="AN183" s="170"/>
      <c r="AO183" s="170"/>
      <c r="AP183" s="170"/>
      <c r="AQ183" s="170"/>
      <c r="AR183" s="170"/>
      <c r="AS183" s="161"/>
      <c r="AT183" s="161">
        <v>1833685785</v>
      </c>
      <c r="AU183" s="161">
        <v>-99377416</v>
      </c>
      <c r="AV183" s="170"/>
      <c r="AW183" s="161"/>
      <c r="AX183" s="161"/>
      <c r="AY183" s="161"/>
      <c r="AZ183" s="170"/>
      <c r="BA183" s="161">
        <v>-528191409</v>
      </c>
      <c r="BB183" s="161">
        <v>117374125</v>
      </c>
      <c r="BC183" s="170"/>
      <c r="BD183" s="161">
        <v>-738544413</v>
      </c>
      <c r="BE183" s="161">
        <v>-131032428</v>
      </c>
      <c r="BF183" s="156">
        <f t="shared" si="242"/>
        <v>453914244</v>
      </c>
      <c r="BG183" s="161"/>
      <c r="BH183" s="156">
        <v>-165582555</v>
      </c>
      <c r="BI183" s="156">
        <v>-11000000</v>
      </c>
      <c r="BJ183" s="156">
        <v>-121570685</v>
      </c>
      <c r="BK183" s="156"/>
      <c r="BL183" s="156"/>
      <c r="BM183" s="156"/>
      <c r="BN183" s="156"/>
      <c r="BO183" s="156"/>
      <c r="BP183" s="156"/>
      <c r="BQ183" s="156"/>
      <c r="BR183" s="156"/>
      <c r="BS183" s="156">
        <f t="shared" si="241"/>
        <v>-298153240</v>
      </c>
      <c r="BT183" s="156">
        <f t="shared" si="243"/>
        <v>155761004</v>
      </c>
      <c r="BU183" s="157"/>
      <c r="BV183" s="161"/>
      <c r="BW183" s="161"/>
      <c r="BX183" s="161"/>
      <c r="BY183" s="161"/>
      <c r="BZ183" s="161"/>
      <c r="CA183" s="161"/>
      <c r="CB183" s="161"/>
      <c r="CC183" s="161"/>
    </row>
    <row r="184" spans="1:81" hidden="1">
      <c r="A184" s="13" t="s">
        <v>1173</v>
      </c>
      <c r="B184" s="284">
        <v>14</v>
      </c>
      <c r="C184" s="343" t="s">
        <v>1617</v>
      </c>
      <c r="D184" s="303" t="s">
        <v>1109</v>
      </c>
      <c r="E184" s="304"/>
      <c r="F184" s="299"/>
      <c r="G184" s="303"/>
      <c r="H184" s="304"/>
      <c r="I184" s="304"/>
      <c r="J184" s="303"/>
      <c r="K184" s="271"/>
      <c r="L184" s="271"/>
      <c r="M184" s="271"/>
      <c r="N184" s="492"/>
      <c r="O184" s="55"/>
      <c r="P184" s="79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T184" s="7">
        <v>178821000</v>
      </c>
      <c r="AU184" s="7">
        <v>387445500</v>
      </c>
      <c r="AV184" s="12"/>
      <c r="AZ184" s="12"/>
      <c r="BC184" s="12"/>
      <c r="BD184" s="12"/>
      <c r="BF184" s="10">
        <f t="shared" si="242"/>
        <v>566266500</v>
      </c>
      <c r="BG184" s="7"/>
      <c r="BH184" s="10"/>
      <c r="BI184" s="10">
        <v>29803500</v>
      </c>
      <c r="BJ184" s="10"/>
      <c r="BK184" s="10"/>
      <c r="BL184" s="10"/>
      <c r="BM184" s="10"/>
      <c r="BN184" s="10"/>
      <c r="BO184" s="10"/>
      <c r="BP184" s="10"/>
      <c r="BQ184" s="10"/>
      <c r="BR184" s="10"/>
      <c r="BS184" s="10">
        <f t="shared" si="241"/>
        <v>29803500</v>
      </c>
      <c r="BT184" s="10">
        <f t="shared" si="243"/>
        <v>596070000</v>
      </c>
      <c r="BU184" s="26"/>
      <c r="BV184" s="7"/>
      <c r="BW184" s="7"/>
      <c r="BX184" s="7"/>
      <c r="BY184" s="7"/>
      <c r="BZ184" s="7"/>
      <c r="CA184" s="7"/>
      <c r="CB184" s="7"/>
      <c r="CC184" s="7"/>
    </row>
    <row r="185" spans="1:81" s="158" customFormat="1" hidden="1">
      <c r="A185" s="153" t="s">
        <v>1173</v>
      </c>
      <c r="B185" s="272">
        <v>15</v>
      </c>
      <c r="C185" s="300" t="s">
        <v>1615</v>
      </c>
      <c r="D185" s="297" t="s">
        <v>634</v>
      </c>
      <c r="E185" s="346"/>
      <c r="F185" s="301"/>
      <c r="G185" s="297"/>
      <c r="H185" s="346"/>
      <c r="I185" s="346"/>
      <c r="J185" s="297"/>
      <c r="K185" s="348"/>
      <c r="L185" s="348"/>
      <c r="M185" s="348"/>
      <c r="N185" s="493"/>
      <c r="O185" s="168"/>
      <c r="P185" s="169"/>
      <c r="Q185" s="170"/>
      <c r="R185" s="170"/>
      <c r="S185" s="170"/>
      <c r="T185" s="170"/>
      <c r="U185" s="170"/>
      <c r="V185" s="170"/>
      <c r="W185" s="170"/>
      <c r="X185" s="170"/>
      <c r="Y185" s="170"/>
      <c r="Z185" s="170"/>
      <c r="AA185" s="170"/>
      <c r="AB185" s="170"/>
      <c r="AC185" s="170"/>
      <c r="AD185" s="170"/>
      <c r="AE185" s="170"/>
      <c r="AF185" s="170"/>
      <c r="AG185" s="170"/>
      <c r="AH185" s="170"/>
      <c r="AI185" s="170"/>
      <c r="AJ185" s="170"/>
      <c r="AK185" s="170"/>
      <c r="AL185" s="170"/>
      <c r="AM185" s="170"/>
      <c r="AN185" s="170"/>
      <c r="AO185" s="170"/>
      <c r="AP185" s="170"/>
      <c r="AQ185" s="170"/>
      <c r="AR185" s="170"/>
      <c r="AS185" s="161"/>
      <c r="AT185" s="161">
        <v>308136000</v>
      </c>
      <c r="AU185" s="161"/>
      <c r="AV185" s="161">
        <v>-62700000</v>
      </c>
      <c r="AW185" s="161"/>
      <c r="AX185" s="161"/>
      <c r="AY185" s="161">
        <v>-34838981</v>
      </c>
      <c r="AZ185" s="170"/>
      <c r="BA185" s="161"/>
      <c r="BB185" s="161">
        <f>151476949+-25124128</f>
        <v>126352821</v>
      </c>
      <c r="BC185" s="170"/>
      <c r="BD185" s="170"/>
      <c r="BE185" s="161"/>
      <c r="BF185" s="156">
        <f t="shared" si="242"/>
        <v>336949840</v>
      </c>
      <c r="BG185" s="161"/>
      <c r="BH185" s="156">
        <v>-19998577</v>
      </c>
      <c r="BI185" s="156">
        <f>-5062500-37084500</f>
        <v>-42147000</v>
      </c>
      <c r="BJ185" s="156"/>
      <c r="BK185" s="156"/>
      <c r="BL185" s="156"/>
      <c r="BM185" s="156"/>
      <c r="BN185" s="156"/>
      <c r="BO185" s="156"/>
      <c r="BP185" s="156"/>
      <c r="BQ185" s="156"/>
      <c r="BR185" s="156"/>
      <c r="BS185" s="156">
        <f t="shared" si="241"/>
        <v>-62145577</v>
      </c>
      <c r="BT185" s="156">
        <f t="shared" si="243"/>
        <v>274804263</v>
      </c>
      <c r="BU185" s="157"/>
      <c r="BV185" s="161"/>
      <c r="BW185" s="161"/>
      <c r="BX185" s="161"/>
      <c r="BY185" s="161"/>
      <c r="BZ185" s="161"/>
      <c r="CA185" s="161"/>
      <c r="CB185" s="161"/>
      <c r="CC185" s="161"/>
    </row>
    <row r="186" spans="1:81" hidden="1">
      <c r="A186" s="13" t="s">
        <v>1173</v>
      </c>
      <c r="B186" s="284">
        <v>16</v>
      </c>
      <c r="C186" s="343" t="s">
        <v>1616</v>
      </c>
      <c r="D186" s="303" t="s">
        <v>478</v>
      </c>
      <c r="E186" s="304"/>
      <c r="F186" s="299"/>
      <c r="G186" s="303"/>
      <c r="H186" s="304"/>
      <c r="I186" s="304"/>
      <c r="J186" s="303"/>
      <c r="K186" s="271"/>
      <c r="L186" s="271"/>
      <c r="M186" s="271"/>
      <c r="N186" s="490"/>
      <c r="O186" s="55"/>
      <c r="P186" s="79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T186" s="7">
        <v>10779547639</v>
      </c>
      <c r="AU186" s="7">
        <v>-1725213130</v>
      </c>
      <c r="AV186" s="7">
        <v>-1022094564</v>
      </c>
      <c r="AW186" s="7">
        <f>8308906+-888670583+-604706777</f>
        <v>-1485068454</v>
      </c>
      <c r="AY186" s="7">
        <v>-405128066</v>
      </c>
      <c r="AZ186" s="12"/>
      <c r="BB186" s="7">
        <v>-959999871</v>
      </c>
      <c r="BC186" s="7">
        <v>-673966882</v>
      </c>
      <c r="BD186" s="12"/>
      <c r="BF186" s="10">
        <f>+SUM(AT186:BE186)</f>
        <v>4508076672</v>
      </c>
      <c r="BG186" s="7">
        <v>-218974626</v>
      </c>
      <c r="BH186" s="10">
        <v>1412442776</v>
      </c>
      <c r="BI186" s="10">
        <f>-23643748-5399187</f>
        <v>-29042935</v>
      </c>
      <c r="BJ186" s="10">
        <v>-628346165</v>
      </c>
      <c r="BK186" s="10"/>
      <c r="BL186" s="10"/>
      <c r="BM186" s="10"/>
      <c r="BN186" s="10"/>
      <c r="BO186" s="10"/>
      <c r="BP186" s="10"/>
      <c r="BQ186" s="10"/>
      <c r="BR186" s="10"/>
      <c r="BS186" s="10">
        <f>+SUM(BG186:BR186)</f>
        <v>536079050</v>
      </c>
      <c r="BT186" s="10">
        <f t="shared" si="243"/>
        <v>5044155722</v>
      </c>
      <c r="BU186" s="26"/>
      <c r="BV186" s="7"/>
      <c r="BW186" s="7"/>
      <c r="BX186" s="7"/>
      <c r="BY186" s="7"/>
      <c r="BZ186" s="7"/>
      <c r="CA186" s="7"/>
      <c r="CB186" s="7"/>
      <c r="CC186" s="7"/>
    </row>
    <row r="187" spans="1:81" s="158" customFormat="1" hidden="1">
      <c r="A187" s="153" t="s">
        <v>1172</v>
      </c>
      <c r="B187" s="272">
        <v>17</v>
      </c>
      <c r="C187" s="300" t="s">
        <v>1110</v>
      </c>
      <c r="D187" s="297" t="s">
        <v>1111</v>
      </c>
      <c r="E187" s="346"/>
      <c r="F187" s="301"/>
      <c r="G187" s="297"/>
      <c r="H187" s="346"/>
      <c r="I187" s="346"/>
      <c r="J187" s="297"/>
      <c r="K187" s="348">
        <v>104555000</v>
      </c>
      <c r="L187" s="348"/>
      <c r="M187" s="348"/>
      <c r="N187" s="493"/>
      <c r="O187" s="168"/>
      <c r="P187" s="169"/>
      <c r="Q187" s="170"/>
      <c r="R187" s="170"/>
      <c r="S187" s="170"/>
      <c r="T187" s="170"/>
      <c r="U187" s="170"/>
      <c r="V187" s="170"/>
      <c r="W187" s="170"/>
      <c r="X187" s="170"/>
      <c r="Y187" s="170"/>
      <c r="Z187" s="170"/>
      <c r="AA187" s="170"/>
      <c r="AB187" s="170"/>
      <c r="AC187" s="170"/>
      <c r="AD187" s="170"/>
      <c r="AE187" s="170"/>
      <c r="AF187" s="170"/>
      <c r="AG187" s="170"/>
      <c r="AH187" s="170"/>
      <c r="AI187" s="170"/>
      <c r="AJ187" s="170"/>
      <c r="AK187" s="170"/>
      <c r="AL187" s="170"/>
      <c r="AM187" s="170"/>
      <c r="AN187" s="170"/>
      <c r="AO187" s="170"/>
      <c r="AP187" s="170"/>
      <c r="AQ187" s="170"/>
      <c r="AR187" s="170"/>
      <c r="AS187" s="161"/>
      <c r="AT187" s="161">
        <v>104555000</v>
      </c>
      <c r="AU187" s="161"/>
      <c r="AV187" s="170"/>
      <c r="AW187" s="161"/>
      <c r="AX187" s="161"/>
      <c r="AY187" s="161"/>
      <c r="AZ187" s="170"/>
      <c r="BA187" s="161"/>
      <c r="BB187" s="161"/>
      <c r="BC187" s="170"/>
      <c r="BD187" s="170"/>
      <c r="BE187" s="161"/>
      <c r="BF187" s="156">
        <f t="shared" si="242"/>
        <v>104555000</v>
      </c>
      <c r="BG187" s="161"/>
      <c r="BH187" s="156"/>
      <c r="BI187" s="156"/>
      <c r="BJ187" s="156"/>
      <c r="BK187" s="156"/>
      <c r="BL187" s="156"/>
      <c r="BM187" s="156"/>
      <c r="BN187" s="156"/>
      <c r="BO187" s="156"/>
      <c r="BP187" s="156"/>
      <c r="BQ187" s="156"/>
      <c r="BR187" s="156"/>
      <c r="BS187" s="156">
        <f t="shared" si="241"/>
        <v>0</v>
      </c>
      <c r="BT187" s="156">
        <f t="shared" si="243"/>
        <v>104555000</v>
      </c>
      <c r="BU187" s="157"/>
      <c r="BV187" s="161"/>
      <c r="BW187" s="161"/>
      <c r="BX187" s="161"/>
      <c r="BY187" s="161"/>
      <c r="BZ187" s="161"/>
      <c r="CA187" s="161"/>
      <c r="CB187" s="161"/>
      <c r="CC187" s="161"/>
    </row>
    <row r="188" spans="1:81" hidden="1">
      <c r="A188" s="13" t="s">
        <v>1172</v>
      </c>
      <c r="B188" s="284">
        <v>18</v>
      </c>
      <c r="C188" s="343" t="s">
        <v>1112</v>
      </c>
      <c r="D188" s="303" t="s">
        <v>1113</v>
      </c>
      <c r="E188" s="304"/>
      <c r="F188" s="299"/>
      <c r="G188" s="303"/>
      <c r="H188" s="304"/>
      <c r="I188" s="304"/>
      <c r="J188" s="303"/>
      <c r="K188" s="271">
        <v>87412500</v>
      </c>
      <c r="L188" s="271"/>
      <c r="M188" s="271"/>
      <c r="N188" s="490"/>
      <c r="O188" s="55"/>
      <c r="P188" s="79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T188" s="7">
        <v>87412500</v>
      </c>
      <c r="AV188" s="12"/>
      <c r="AZ188" s="12"/>
      <c r="BC188" s="12"/>
      <c r="BD188" s="12"/>
      <c r="BF188" s="10">
        <f t="shared" si="242"/>
        <v>87412500</v>
      </c>
      <c r="BG188" s="7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>
        <f t="shared" si="241"/>
        <v>0</v>
      </c>
      <c r="BT188" s="10">
        <f t="shared" si="243"/>
        <v>87412500</v>
      </c>
      <c r="BU188" s="26"/>
      <c r="BV188" s="7"/>
      <c r="BW188" s="7"/>
      <c r="BX188" s="7"/>
      <c r="BY188" s="7"/>
      <c r="BZ188" s="7"/>
      <c r="CA188" s="7"/>
      <c r="CB188" s="7"/>
      <c r="CC188" s="7"/>
    </row>
    <row r="189" spans="1:81" s="158" customFormat="1" hidden="1">
      <c r="A189" s="153" t="s">
        <v>1172</v>
      </c>
      <c r="B189" s="272">
        <v>19</v>
      </c>
      <c r="C189" s="300" t="s">
        <v>1116</v>
      </c>
      <c r="D189" s="297" t="s">
        <v>1114</v>
      </c>
      <c r="E189" s="346"/>
      <c r="F189" s="301"/>
      <c r="G189" s="297"/>
      <c r="H189" s="346"/>
      <c r="I189" s="346"/>
      <c r="J189" s="297"/>
      <c r="K189" s="348">
        <v>100000000</v>
      </c>
      <c r="L189" s="348"/>
      <c r="M189" s="348"/>
      <c r="N189" s="493"/>
      <c r="O189" s="168"/>
      <c r="P189" s="169"/>
      <c r="Q189" s="170"/>
      <c r="R189" s="170"/>
      <c r="S189" s="170"/>
      <c r="T189" s="170"/>
      <c r="U189" s="170"/>
      <c r="V189" s="170"/>
      <c r="W189" s="170"/>
      <c r="X189" s="170"/>
      <c r="Y189" s="170"/>
      <c r="Z189" s="170"/>
      <c r="AA189" s="170"/>
      <c r="AB189" s="170"/>
      <c r="AC189" s="170"/>
      <c r="AD189" s="170"/>
      <c r="AE189" s="170"/>
      <c r="AF189" s="170"/>
      <c r="AG189" s="170"/>
      <c r="AH189" s="170"/>
      <c r="AI189" s="170"/>
      <c r="AJ189" s="170"/>
      <c r="AK189" s="170"/>
      <c r="AL189" s="170"/>
      <c r="AM189" s="170"/>
      <c r="AN189" s="170"/>
      <c r="AO189" s="170"/>
      <c r="AP189" s="170"/>
      <c r="AQ189" s="170"/>
      <c r="AR189" s="170"/>
      <c r="AS189" s="161"/>
      <c r="AT189" s="161">
        <v>100000000</v>
      </c>
      <c r="AU189" s="161"/>
      <c r="AV189" s="170"/>
      <c r="AW189" s="161"/>
      <c r="AX189" s="161"/>
      <c r="AY189" s="161"/>
      <c r="AZ189" s="170"/>
      <c r="BA189" s="161"/>
      <c r="BB189" s="161"/>
      <c r="BC189" s="170"/>
      <c r="BD189" s="170"/>
      <c r="BE189" s="161"/>
      <c r="BF189" s="156">
        <f t="shared" si="242"/>
        <v>100000000</v>
      </c>
      <c r="BG189" s="161"/>
      <c r="BH189" s="156"/>
      <c r="BI189" s="156"/>
      <c r="BJ189" s="156"/>
      <c r="BK189" s="156"/>
      <c r="BL189" s="156"/>
      <c r="BM189" s="156"/>
      <c r="BN189" s="156"/>
      <c r="BO189" s="156"/>
      <c r="BP189" s="156"/>
      <c r="BQ189" s="156"/>
      <c r="BR189" s="156"/>
      <c r="BS189" s="156">
        <f t="shared" si="241"/>
        <v>0</v>
      </c>
      <c r="BT189" s="156">
        <f t="shared" si="243"/>
        <v>100000000</v>
      </c>
      <c r="BU189" s="157"/>
      <c r="BV189" s="161"/>
      <c r="BW189" s="161"/>
      <c r="BX189" s="161"/>
      <c r="BY189" s="161"/>
      <c r="BZ189" s="161"/>
      <c r="CA189" s="161"/>
      <c r="CB189" s="161"/>
      <c r="CC189" s="161"/>
    </row>
    <row r="190" spans="1:81" hidden="1">
      <c r="A190" s="13" t="s">
        <v>1172</v>
      </c>
      <c r="B190" s="284">
        <v>20</v>
      </c>
      <c r="C190" s="343" t="s">
        <v>1117</v>
      </c>
      <c r="D190" s="303" t="s">
        <v>1115</v>
      </c>
      <c r="E190" s="304"/>
      <c r="F190" s="299"/>
      <c r="G190" s="303"/>
      <c r="H190" s="304"/>
      <c r="I190" s="304"/>
      <c r="J190" s="303"/>
      <c r="K190" s="271"/>
      <c r="L190" s="271"/>
      <c r="M190" s="271"/>
      <c r="N190" s="490"/>
      <c r="O190" s="55"/>
      <c r="P190" s="79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T190" s="7">
        <v>2082583500</v>
      </c>
      <c r="AV190" s="12"/>
      <c r="AZ190" s="12"/>
      <c r="BC190" s="12"/>
      <c r="BD190" s="12"/>
      <c r="BF190" s="10">
        <f t="shared" si="242"/>
        <v>2082583500</v>
      </c>
      <c r="BG190" s="7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>
        <f t="shared" si="241"/>
        <v>0</v>
      </c>
      <c r="BT190" s="10">
        <f t="shared" si="243"/>
        <v>2082583500</v>
      </c>
      <c r="BU190" s="26"/>
      <c r="BV190" s="7"/>
      <c r="BW190" s="7"/>
      <c r="BX190" s="7"/>
      <c r="BY190" s="7"/>
      <c r="BZ190" s="7"/>
      <c r="CA190" s="7"/>
      <c r="CB190" s="7"/>
      <c r="CC190" s="7"/>
    </row>
    <row r="191" spans="1:81" s="158" customFormat="1" hidden="1">
      <c r="A191" s="153" t="s">
        <v>1172</v>
      </c>
      <c r="B191" s="272">
        <v>21</v>
      </c>
      <c r="C191" s="300" t="s">
        <v>1118</v>
      </c>
      <c r="D191" s="297" t="s">
        <v>1115</v>
      </c>
      <c r="E191" s="346"/>
      <c r="F191" s="301"/>
      <c r="G191" s="297"/>
      <c r="H191" s="346"/>
      <c r="I191" s="346"/>
      <c r="J191" s="297"/>
      <c r="K191" s="348"/>
      <c r="L191" s="348"/>
      <c r="M191" s="348"/>
      <c r="N191" s="493"/>
      <c r="O191" s="168"/>
      <c r="P191" s="169"/>
      <c r="Q191" s="170"/>
      <c r="R191" s="170"/>
      <c r="S191" s="170"/>
      <c r="T191" s="170"/>
      <c r="U191" s="170"/>
      <c r="V191" s="170"/>
      <c r="W191" s="170"/>
      <c r="X191" s="170"/>
      <c r="Y191" s="170"/>
      <c r="Z191" s="170"/>
      <c r="AA191" s="170"/>
      <c r="AB191" s="170"/>
      <c r="AC191" s="170"/>
      <c r="AD191" s="170"/>
      <c r="AE191" s="170"/>
      <c r="AF191" s="170"/>
      <c r="AG191" s="170"/>
      <c r="AH191" s="170"/>
      <c r="AI191" s="170"/>
      <c r="AJ191" s="170"/>
      <c r="AK191" s="170"/>
      <c r="AL191" s="170"/>
      <c r="AM191" s="170"/>
      <c r="AN191" s="170"/>
      <c r="AO191" s="170"/>
      <c r="AP191" s="170"/>
      <c r="AQ191" s="170"/>
      <c r="AR191" s="170"/>
      <c r="AS191" s="161"/>
      <c r="AT191" s="161">
        <v>157941000</v>
      </c>
      <c r="AU191" s="161"/>
      <c r="AV191" s="170"/>
      <c r="AW191" s="161"/>
      <c r="AX191" s="161"/>
      <c r="AY191" s="161"/>
      <c r="AZ191" s="170"/>
      <c r="BA191" s="161"/>
      <c r="BB191" s="161"/>
      <c r="BC191" s="170"/>
      <c r="BD191" s="170"/>
      <c r="BE191" s="161"/>
      <c r="BF191" s="156">
        <f t="shared" si="242"/>
        <v>157941000</v>
      </c>
      <c r="BG191" s="161"/>
      <c r="BH191" s="156"/>
      <c r="BI191" s="156"/>
      <c r="BJ191" s="156"/>
      <c r="BK191" s="156"/>
      <c r="BL191" s="156"/>
      <c r="BM191" s="156"/>
      <c r="BN191" s="156"/>
      <c r="BO191" s="156"/>
      <c r="BP191" s="156"/>
      <c r="BQ191" s="156"/>
      <c r="BR191" s="156"/>
      <c r="BS191" s="156">
        <f t="shared" si="241"/>
        <v>0</v>
      </c>
      <c r="BT191" s="156">
        <f t="shared" si="243"/>
        <v>157941000</v>
      </c>
      <c r="BU191" s="157"/>
      <c r="BV191" s="161"/>
      <c r="BW191" s="161"/>
      <c r="BX191" s="161"/>
      <c r="BY191" s="161"/>
      <c r="BZ191" s="161"/>
      <c r="CA191" s="161"/>
      <c r="CB191" s="161"/>
      <c r="CC191" s="161"/>
    </row>
    <row r="192" spans="1:81" hidden="1">
      <c r="A192" s="13" t="s">
        <v>1172</v>
      </c>
      <c r="B192" s="284">
        <v>22</v>
      </c>
      <c r="C192" s="343" t="s">
        <v>1119</v>
      </c>
      <c r="D192" s="303" t="s">
        <v>1120</v>
      </c>
      <c r="E192" s="304"/>
      <c r="F192" s="299"/>
      <c r="G192" s="303"/>
      <c r="H192" s="304"/>
      <c r="I192" s="304"/>
      <c r="J192" s="303"/>
      <c r="K192" s="271"/>
      <c r="L192" s="271"/>
      <c r="M192" s="271"/>
      <c r="N192" s="490"/>
      <c r="O192" s="55"/>
      <c r="P192" s="79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T192" s="7">
        <v>817944000</v>
      </c>
      <c r="AU192" s="7">
        <v>3325329486.4000001</v>
      </c>
      <c r="AV192" s="12"/>
      <c r="AZ192" s="12"/>
      <c r="BC192" s="12"/>
      <c r="BD192" s="12"/>
      <c r="BF192" s="10">
        <f t="shared" si="242"/>
        <v>4143273486.4000001</v>
      </c>
      <c r="BG192" s="7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>
        <f t="shared" si="241"/>
        <v>0</v>
      </c>
      <c r="BT192" s="10">
        <f t="shared" si="243"/>
        <v>4143273486.4000001</v>
      </c>
      <c r="BU192" s="26"/>
      <c r="BV192" s="7"/>
      <c r="BW192" s="7"/>
      <c r="BX192" s="7"/>
      <c r="BY192" s="7"/>
      <c r="BZ192" s="7"/>
      <c r="CA192" s="7"/>
      <c r="CB192" s="7"/>
      <c r="CC192" s="7"/>
    </row>
    <row r="193" spans="1:81" s="158" customFormat="1" hidden="1">
      <c r="A193" s="153" t="s">
        <v>1172</v>
      </c>
      <c r="B193" s="272">
        <v>23</v>
      </c>
      <c r="C193" s="300" t="s">
        <v>1118</v>
      </c>
      <c r="D193" s="297" t="s">
        <v>1115</v>
      </c>
      <c r="E193" s="346"/>
      <c r="F193" s="301"/>
      <c r="G193" s="297"/>
      <c r="H193" s="346"/>
      <c r="I193" s="346"/>
      <c r="J193" s="297"/>
      <c r="K193" s="348"/>
      <c r="L193" s="348"/>
      <c r="M193" s="348"/>
      <c r="N193" s="493"/>
      <c r="O193" s="168"/>
      <c r="P193" s="169"/>
      <c r="Q193" s="170"/>
      <c r="R193" s="170"/>
      <c r="S193" s="170"/>
      <c r="T193" s="170"/>
      <c r="U193" s="170"/>
      <c r="V193" s="170"/>
      <c r="W193" s="170"/>
      <c r="X193" s="170"/>
      <c r="Y193" s="170"/>
      <c r="Z193" s="170"/>
      <c r="AA193" s="170"/>
      <c r="AB193" s="170"/>
      <c r="AC193" s="170"/>
      <c r="AD193" s="170"/>
      <c r="AE193" s="170"/>
      <c r="AF193" s="170"/>
      <c r="AG193" s="170"/>
      <c r="AH193" s="170"/>
      <c r="AI193" s="170"/>
      <c r="AJ193" s="170"/>
      <c r="AK193" s="170"/>
      <c r="AL193" s="170"/>
      <c r="AM193" s="170"/>
      <c r="AN193" s="170"/>
      <c r="AO193" s="170"/>
      <c r="AP193" s="170"/>
      <c r="AQ193" s="170"/>
      <c r="AR193" s="170"/>
      <c r="AS193" s="161"/>
      <c r="AT193" s="161">
        <v>2774940000</v>
      </c>
      <c r="AU193" s="161">
        <v>5203530000</v>
      </c>
      <c r="AV193" s="170"/>
      <c r="AW193" s="161"/>
      <c r="AX193" s="161"/>
      <c r="AY193" s="161"/>
      <c r="AZ193" s="170"/>
      <c r="BA193" s="161"/>
      <c r="BB193" s="161"/>
      <c r="BC193" s="170"/>
      <c r="BD193" s="170"/>
      <c r="BE193" s="161"/>
      <c r="BF193" s="156">
        <f t="shared" si="242"/>
        <v>7978470000</v>
      </c>
      <c r="BG193" s="161"/>
      <c r="BH193" s="156"/>
      <c r="BI193" s="156"/>
      <c r="BJ193" s="156"/>
      <c r="BK193" s="156"/>
      <c r="BL193" s="156"/>
      <c r="BM193" s="156"/>
      <c r="BN193" s="156"/>
      <c r="BO193" s="156"/>
      <c r="BP193" s="156"/>
      <c r="BQ193" s="156"/>
      <c r="BR193" s="156"/>
      <c r="BS193" s="156">
        <f t="shared" si="241"/>
        <v>0</v>
      </c>
      <c r="BT193" s="156">
        <f t="shared" si="243"/>
        <v>7978470000</v>
      </c>
      <c r="BU193" s="157"/>
      <c r="BV193" s="161"/>
      <c r="BW193" s="161"/>
      <c r="BX193" s="161"/>
      <c r="BY193" s="161"/>
      <c r="BZ193" s="161"/>
      <c r="CA193" s="161"/>
      <c r="CB193" s="161"/>
      <c r="CC193" s="161"/>
    </row>
    <row r="194" spans="1:81" hidden="1">
      <c r="A194" s="13" t="s">
        <v>1172</v>
      </c>
      <c r="B194" s="284">
        <v>24</v>
      </c>
      <c r="C194" s="343" t="s">
        <v>1122</v>
      </c>
      <c r="D194" s="303" t="s">
        <v>1121</v>
      </c>
      <c r="E194" s="304"/>
      <c r="F194" s="299"/>
      <c r="G194" s="303"/>
      <c r="H194" s="304"/>
      <c r="I194" s="304"/>
      <c r="J194" s="303"/>
      <c r="K194" s="271"/>
      <c r="L194" s="271"/>
      <c r="M194" s="271"/>
      <c r="N194" s="490"/>
      <c r="O194" s="55"/>
      <c r="P194" s="79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T194" s="7">
        <v>548634000</v>
      </c>
      <c r="AV194" s="7">
        <v>1320711000</v>
      </c>
      <c r="AZ194" s="12"/>
      <c r="BC194" s="12"/>
      <c r="BD194" s="12"/>
      <c r="BF194" s="10">
        <f t="shared" si="242"/>
        <v>1869345000</v>
      </c>
      <c r="BG194" s="7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>
        <f t="shared" si="241"/>
        <v>0</v>
      </c>
      <c r="BT194" s="10">
        <f t="shared" si="243"/>
        <v>1869345000</v>
      </c>
      <c r="BU194" s="26"/>
      <c r="BV194" s="7"/>
      <c r="BW194" s="7"/>
      <c r="BX194" s="7"/>
      <c r="BY194" s="7"/>
      <c r="BZ194" s="7"/>
      <c r="CA194" s="7"/>
      <c r="CB194" s="7"/>
      <c r="CC194" s="7"/>
    </row>
    <row r="195" spans="1:81" s="158" customFormat="1" hidden="1">
      <c r="A195" s="153" t="s">
        <v>1173</v>
      </c>
      <c r="B195" s="272">
        <v>25</v>
      </c>
      <c r="C195" s="300" t="s">
        <v>1169</v>
      </c>
      <c r="D195" s="297" t="s">
        <v>1170</v>
      </c>
      <c r="E195" s="346"/>
      <c r="F195" s="301"/>
      <c r="G195" s="297"/>
      <c r="H195" s="346"/>
      <c r="I195" s="346"/>
      <c r="J195" s="297"/>
      <c r="K195" s="348">
        <v>77700000</v>
      </c>
      <c r="L195" s="348"/>
      <c r="M195" s="348"/>
      <c r="N195" s="493"/>
      <c r="O195" s="168"/>
      <c r="P195" s="169"/>
      <c r="Q195" s="170"/>
      <c r="R195" s="170"/>
      <c r="S195" s="170"/>
      <c r="T195" s="170"/>
      <c r="U195" s="170"/>
      <c r="V195" s="170"/>
      <c r="W195" s="170"/>
      <c r="X195" s="170"/>
      <c r="Y195" s="170"/>
      <c r="Z195" s="170"/>
      <c r="AA195" s="170"/>
      <c r="AB195" s="170"/>
      <c r="AC195" s="170"/>
      <c r="AD195" s="170"/>
      <c r="AE195" s="170"/>
      <c r="AF195" s="170"/>
      <c r="AG195" s="170"/>
      <c r="AH195" s="170"/>
      <c r="AI195" s="170"/>
      <c r="AJ195" s="170"/>
      <c r="AK195" s="170"/>
      <c r="AL195" s="170"/>
      <c r="AM195" s="170"/>
      <c r="AN195" s="170"/>
      <c r="AO195" s="170"/>
      <c r="AP195" s="170"/>
      <c r="AQ195" s="170"/>
      <c r="AR195" s="170"/>
      <c r="AS195" s="161"/>
      <c r="AT195" s="161">
        <v>0</v>
      </c>
      <c r="AU195" s="161">
        <v>77700000</v>
      </c>
      <c r="AV195" s="170"/>
      <c r="AW195" s="161"/>
      <c r="AX195" s="161"/>
      <c r="AY195" s="161"/>
      <c r="AZ195" s="170"/>
      <c r="BA195" s="161"/>
      <c r="BB195" s="161"/>
      <c r="BC195" s="170"/>
      <c r="BD195" s="170"/>
      <c r="BE195" s="161"/>
      <c r="BF195" s="156">
        <f t="shared" si="242"/>
        <v>77700000</v>
      </c>
      <c r="BG195" s="161"/>
      <c r="BH195" s="156"/>
      <c r="BI195" s="156"/>
      <c r="BJ195" s="156"/>
      <c r="BK195" s="156"/>
      <c r="BL195" s="156"/>
      <c r="BM195" s="156"/>
      <c r="BN195" s="156"/>
      <c r="BO195" s="156"/>
      <c r="BP195" s="156"/>
      <c r="BQ195" s="156"/>
      <c r="BR195" s="156"/>
      <c r="BS195" s="156">
        <f t="shared" si="241"/>
        <v>0</v>
      </c>
      <c r="BT195" s="156">
        <f t="shared" si="243"/>
        <v>77700000</v>
      </c>
      <c r="BU195" s="157"/>
      <c r="BV195" s="161"/>
      <c r="BW195" s="161"/>
      <c r="BX195" s="161"/>
      <c r="BY195" s="161"/>
      <c r="BZ195" s="161"/>
      <c r="CA195" s="161"/>
      <c r="CB195" s="161"/>
      <c r="CC195" s="161"/>
    </row>
    <row r="196" spans="1:81" hidden="1">
      <c r="A196" s="13" t="s">
        <v>1173</v>
      </c>
      <c r="B196" s="284">
        <v>26</v>
      </c>
      <c r="C196" s="343" t="s">
        <v>1247</v>
      </c>
      <c r="D196" s="303" t="s">
        <v>1248</v>
      </c>
      <c r="E196" s="304"/>
      <c r="F196" s="299"/>
      <c r="G196" s="303"/>
      <c r="H196" s="304"/>
      <c r="I196" s="304"/>
      <c r="J196" s="303"/>
      <c r="K196" s="271"/>
      <c r="L196" s="271"/>
      <c r="M196" s="271"/>
      <c r="N196" s="490"/>
      <c r="O196" s="55"/>
      <c r="P196" s="79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T196" s="7">
        <v>1913167552</v>
      </c>
      <c r="AU196" s="7">
        <v>-172462592</v>
      </c>
      <c r="AV196" s="7">
        <v>-182258896</v>
      </c>
      <c r="AW196" s="7">
        <v>-607132640</v>
      </c>
      <c r="AZ196" s="12"/>
      <c r="BA196" s="7">
        <v>-399564144</v>
      </c>
      <c r="BC196" s="12"/>
      <c r="BD196" s="12"/>
      <c r="BF196" s="10">
        <f t="shared" si="242"/>
        <v>551749280</v>
      </c>
      <c r="BG196" s="7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>
        <f t="shared" si="241"/>
        <v>0</v>
      </c>
      <c r="BT196" s="10">
        <f t="shared" si="243"/>
        <v>551749280</v>
      </c>
      <c r="BU196" s="26"/>
      <c r="BV196" s="7"/>
      <c r="BW196" s="7"/>
      <c r="BX196" s="7"/>
      <c r="BY196" s="7"/>
      <c r="BZ196" s="7"/>
      <c r="CA196" s="7"/>
      <c r="CB196" s="7"/>
      <c r="CC196" s="7"/>
    </row>
    <row r="197" spans="1:81" s="158" customFormat="1" hidden="1">
      <c r="A197" s="153" t="s">
        <v>1173</v>
      </c>
      <c r="B197" s="272">
        <v>27</v>
      </c>
      <c r="C197" s="300" t="s">
        <v>1427</v>
      </c>
      <c r="D197" s="297" t="s">
        <v>1101</v>
      </c>
      <c r="E197" s="346"/>
      <c r="F197" s="301"/>
      <c r="G197" s="297"/>
      <c r="H197" s="346"/>
      <c r="I197" s="346"/>
      <c r="J197" s="297"/>
      <c r="K197" s="348"/>
      <c r="L197" s="348"/>
      <c r="M197" s="348"/>
      <c r="N197" s="493"/>
      <c r="O197" s="168"/>
      <c r="P197" s="169"/>
      <c r="Q197" s="170"/>
      <c r="R197" s="170"/>
      <c r="S197" s="170"/>
      <c r="T197" s="170"/>
      <c r="U197" s="170"/>
      <c r="V197" s="170"/>
      <c r="W197" s="170"/>
      <c r="X197" s="170"/>
      <c r="Y197" s="170"/>
      <c r="Z197" s="170"/>
      <c r="AA197" s="170"/>
      <c r="AB197" s="170"/>
      <c r="AC197" s="170"/>
      <c r="AD197" s="170"/>
      <c r="AE197" s="170"/>
      <c r="AF197" s="170"/>
      <c r="AG197" s="170"/>
      <c r="AH197" s="170"/>
      <c r="AI197" s="170"/>
      <c r="AJ197" s="170"/>
      <c r="AK197" s="170"/>
      <c r="AL197" s="170"/>
      <c r="AM197" s="170"/>
      <c r="AN197" s="170"/>
      <c r="AO197" s="170"/>
      <c r="AP197" s="170"/>
      <c r="AQ197" s="170"/>
      <c r="AR197" s="170"/>
      <c r="AS197" s="161"/>
      <c r="AT197" s="161"/>
      <c r="AU197" s="161"/>
      <c r="AV197" s="161"/>
      <c r="AW197" s="161"/>
      <c r="AX197" s="161"/>
      <c r="AY197" s="161">
        <v>228105000</v>
      </c>
      <c r="AZ197" s="170"/>
      <c r="BA197" s="161"/>
      <c r="BB197" s="161"/>
      <c r="BC197" s="170"/>
      <c r="BD197" s="170"/>
      <c r="BE197" s="161"/>
      <c r="BF197" s="156">
        <f t="shared" si="242"/>
        <v>228105000</v>
      </c>
      <c r="BG197" s="161"/>
      <c r="BH197" s="156"/>
      <c r="BI197" s="156"/>
      <c r="BJ197" s="156"/>
      <c r="BK197" s="156"/>
      <c r="BL197" s="156"/>
      <c r="BM197" s="156"/>
      <c r="BN197" s="156"/>
      <c r="BO197" s="156"/>
      <c r="BP197" s="156"/>
      <c r="BQ197" s="156"/>
      <c r="BR197" s="156"/>
      <c r="BS197" s="156">
        <f t="shared" si="241"/>
        <v>0</v>
      </c>
      <c r="BT197" s="156">
        <f t="shared" si="243"/>
        <v>228105000</v>
      </c>
      <c r="BU197" s="157"/>
      <c r="BV197" s="161"/>
      <c r="BW197" s="161"/>
      <c r="BX197" s="161"/>
      <c r="BY197" s="161"/>
      <c r="BZ197" s="161"/>
      <c r="CA197" s="161"/>
      <c r="CB197" s="161"/>
      <c r="CC197" s="161"/>
    </row>
    <row r="198" spans="1:81" hidden="1">
      <c r="B198" s="284"/>
      <c r="C198" s="343"/>
      <c r="D198" s="303"/>
      <c r="E198" s="304"/>
      <c r="F198" s="299"/>
      <c r="G198" s="303"/>
      <c r="H198" s="304"/>
      <c r="I198" s="304"/>
      <c r="J198" s="303"/>
      <c r="K198" s="271"/>
      <c r="L198" s="271"/>
      <c r="M198" s="271"/>
      <c r="N198" s="490"/>
      <c r="O198" s="55"/>
      <c r="P198" s="79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V198" s="12"/>
      <c r="AX198" s="12"/>
      <c r="AZ198" s="12"/>
      <c r="BC198" s="12"/>
      <c r="BD198" s="12"/>
      <c r="BE198" s="12"/>
      <c r="BF198" s="10"/>
      <c r="BG198" s="12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26"/>
      <c r="BV198" s="7"/>
      <c r="BW198" s="7"/>
      <c r="BX198" s="7"/>
      <c r="BY198" s="7"/>
      <c r="BZ198" s="7"/>
      <c r="CA198" s="7"/>
      <c r="CB198" s="7"/>
      <c r="CC198" s="7"/>
    </row>
    <row r="199" spans="1:81" hidden="1">
      <c r="B199" s="284"/>
      <c r="C199" s="343"/>
      <c r="D199" s="303"/>
      <c r="E199" s="304"/>
      <c r="F199" s="299"/>
      <c r="G199" s="303"/>
      <c r="H199" s="304"/>
      <c r="I199" s="304"/>
      <c r="J199" s="303"/>
      <c r="K199" s="305"/>
      <c r="L199" s="305"/>
      <c r="M199" s="305"/>
      <c r="N199" s="490"/>
      <c r="O199" s="55"/>
      <c r="P199" s="79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X199" s="12"/>
      <c r="AZ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26"/>
      <c r="BV199" s="7"/>
      <c r="BW199" s="7"/>
      <c r="BX199" s="7"/>
      <c r="BY199" s="7"/>
      <c r="BZ199" s="7"/>
      <c r="CA199" s="7"/>
      <c r="CB199" s="7"/>
      <c r="CC199" s="7"/>
    </row>
    <row r="200" spans="1:81" s="82" customFormat="1" ht="17" hidden="1">
      <c r="A200" s="159"/>
      <c r="B200" s="350"/>
      <c r="C200" s="351" t="s">
        <v>1108</v>
      </c>
      <c r="D200" s="352"/>
      <c r="E200" s="353">
        <f>SUM(E199)</f>
        <v>0</v>
      </c>
      <c r="F200" s="354"/>
      <c r="G200" s="352"/>
      <c r="H200" s="353">
        <f>SUM(H199)</f>
        <v>0</v>
      </c>
      <c r="I200" s="353"/>
      <c r="J200" s="352"/>
      <c r="K200" s="355">
        <f>SUM(K169:K199)</f>
        <v>374917500</v>
      </c>
      <c r="L200" s="355"/>
      <c r="M200" s="355"/>
      <c r="N200" s="494"/>
      <c r="O200" s="88">
        <f>SUM(O199)</f>
        <v>0</v>
      </c>
      <c r="P200" s="88">
        <f>SUM(P199)</f>
        <v>0</v>
      </c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75"/>
      <c r="AK200" s="75"/>
      <c r="AL200" s="75"/>
      <c r="AM200" s="75"/>
      <c r="AN200" s="75"/>
      <c r="AO200" s="75"/>
      <c r="AP200" s="75"/>
      <c r="AQ200" s="75"/>
      <c r="AR200" s="75"/>
      <c r="AS200" s="75">
        <f>SUM(AS170:AS199)</f>
        <v>0</v>
      </c>
      <c r="AT200" s="75">
        <f>SUM(AT170:AT199)</f>
        <v>41724235961</v>
      </c>
      <c r="AU200" s="75">
        <f t="shared" ref="AU200:BS200" si="244">SUM(AU170:AU199)</f>
        <v>10631205092.4</v>
      </c>
      <c r="AV200" s="75">
        <f t="shared" si="244"/>
        <v>53657540</v>
      </c>
      <c r="AW200" s="75">
        <f t="shared" si="244"/>
        <v>-2122996430</v>
      </c>
      <c r="AX200" s="75">
        <f t="shared" si="244"/>
        <v>1315350000</v>
      </c>
      <c r="AY200" s="75">
        <f>SUM(AY170:AY199)</f>
        <v>2408220943</v>
      </c>
      <c r="AZ200" s="75">
        <f t="shared" si="244"/>
        <v>0</v>
      </c>
      <c r="BA200" s="75">
        <f t="shared" si="244"/>
        <v>-127590741</v>
      </c>
      <c r="BB200" s="75">
        <f t="shared" si="244"/>
        <v>-1085829989</v>
      </c>
      <c r="BC200" s="75">
        <f t="shared" si="244"/>
        <v>-1229276914</v>
      </c>
      <c r="BD200" s="75">
        <f t="shared" si="244"/>
        <v>-715599273</v>
      </c>
      <c r="BE200" s="75">
        <f t="shared" si="244"/>
        <v>-336104556</v>
      </c>
      <c r="BF200" s="75">
        <f t="shared" si="244"/>
        <v>50515271633.400002</v>
      </c>
      <c r="BG200" s="75">
        <f t="shared" si="244"/>
        <v>-441136098</v>
      </c>
      <c r="BH200" s="75">
        <f t="shared" si="244"/>
        <v>911776864</v>
      </c>
      <c r="BI200" s="75">
        <f t="shared" si="244"/>
        <v>-357858459</v>
      </c>
      <c r="BJ200" s="75">
        <f t="shared" si="244"/>
        <v>-749916850</v>
      </c>
      <c r="BK200" s="75">
        <f t="shared" si="244"/>
        <v>-460008144</v>
      </c>
      <c r="BL200" s="75">
        <f t="shared" si="244"/>
        <v>0</v>
      </c>
      <c r="BM200" s="75">
        <f t="shared" si="244"/>
        <v>0</v>
      </c>
      <c r="BN200" s="75">
        <f t="shared" si="244"/>
        <v>0</v>
      </c>
      <c r="BO200" s="75">
        <f t="shared" si="244"/>
        <v>0</v>
      </c>
      <c r="BP200" s="75">
        <f t="shared" si="244"/>
        <v>0</v>
      </c>
      <c r="BQ200" s="75">
        <f t="shared" si="244"/>
        <v>0</v>
      </c>
      <c r="BR200" s="75">
        <f t="shared" si="244"/>
        <v>0</v>
      </c>
      <c r="BS200" s="75">
        <f t="shared" si="244"/>
        <v>-1097142687</v>
      </c>
      <c r="BT200" s="75">
        <f>SUM(BT170:BT199)</f>
        <v>49418128946.400002</v>
      </c>
      <c r="BU200" s="87"/>
      <c r="BV200" s="89">
        <f>BT200-K200</f>
        <v>49043211446.400002</v>
      </c>
      <c r="BW200" s="84"/>
      <c r="BX200" s="84"/>
      <c r="BY200" s="84"/>
      <c r="BZ200" s="84"/>
      <c r="CA200" s="84"/>
      <c r="CB200" s="84"/>
      <c r="CC200" s="84"/>
    </row>
    <row r="201" spans="1:81" hidden="1">
      <c r="B201" s="284"/>
      <c r="C201" s="343"/>
      <c r="D201" s="303"/>
      <c r="E201" s="304"/>
      <c r="F201" s="299"/>
      <c r="G201" s="303"/>
      <c r="H201" s="304"/>
      <c r="I201" s="304"/>
      <c r="J201" s="303"/>
      <c r="K201" s="305"/>
      <c r="L201" s="305"/>
      <c r="M201" s="305"/>
      <c r="N201" s="490"/>
      <c r="O201" s="55"/>
      <c r="P201" s="79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26"/>
      <c r="BV201" s="7"/>
      <c r="BW201" s="7"/>
      <c r="BX201" s="7"/>
      <c r="BY201" s="7"/>
      <c r="BZ201" s="7"/>
      <c r="CA201" s="7"/>
      <c r="CB201" s="7"/>
      <c r="CC201" s="7"/>
    </row>
    <row r="202" spans="1:81">
      <c r="B202" s="440"/>
      <c r="C202" s="441"/>
      <c r="D202" s="442"/>
      <c r="E202" s="443"/>
      <c r="F202" s="444"/>
      <c r="G202" s="442"/>
      <c r="H202" s="443"/>
      <c r="I202" s="443"/>
      <c r="J202" s="442"/>
      <c r="K202" s="445"/>
      <c r="L202" s="445"/>
      <c r="M202" s="445"/>
      <c r="N202" s="495"/>
      <c r="O202" s="68"/>
      <c r="P202" s="80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26"/>
      <c r="BV202" s="7"/>
      <c r="BW202" s="7"/>
      <c r="BX202" s="7"/>
      <c r="BY202" s="7"/>
      <c r="BZ202" s="7"/>
      <c r="CA202" s="7"/>
      <c r="CB202" s="7"/>
      <c r="CC202" s="7"/>
    </row>
    <row r="203" spans="1:81" s="158" customFormat="1">
      <c r="A203" s="153" t="s">
        <v>870</v>
      </c>
      <c r="B203" s="452" t="s">
        <v>953</v>
      </c>
      <c r="C203" s="453" t="s">
        <v>871</v>
      </c>
      <c r="D203" s="435"/>
      <c r="E203" s="435"/>
      <c r="F203" s="437" t="s">
        <v>88</v>
      </c>
      <c r="G203" s="435" t="s">
        <v>40</v>
      </c>
      <c r="H203" s="454">
        <f>+IF(E203&gt;K203,E203-K203,0)</f>
        <v>0</v>
      </c>
      <c r="I203" s="454"/>
      <c r="J203" s="435"/>
      <c r="K203" s="439">
        <f>+O203+Q203+R203+S203+AF203+AS203+BF203+BS203</f>
        <v>8567107546.1400013</v>
      </c>
      <c r="L203" s="439"/>
      <c r="M203" s="439"/>
      <c r="N203" s="496"/>
      <c r="O203" s="227">
        <f>+SUMIFS(db_Sum,db_Bln,O$6,db_Kode,$A203)</f>
        <v>0</v>
      </c>
      <c r="P203" s="228">
        <f>+IF(H203=0,E203-K203,0)</f>
        <v>-8567107546.1400013</v>
      </c>
      <c r="Q203" s="156">
        <f t="shared" ref="Q203:AE204" si="245">+SUMIFS(db_Sum,db_Bln,Q$6,db_Kode,$A203)</f>
        <v>0</v>
      </c>
      <c r="R203" s="156">
        <f t="shared" si="245"/>
        <v>0</v>
      </c>
      <c r="S203" s="156">
        <f t="shared" si="245"/>
        <v>0</v>
      </c>
      <c r="T203" s="156">
        <f t="shared" si="245"/>
        <v>0</v>
      </c>
      <c r="U203" s="156">
        <f t="shared" si="245"/>
        <v>0</v>
      </c>
      <c r="V203" s="156">
        <f t="shared" si="245"/>
        <v>0</v>
      </c>
      <c r="W203" s="156">
        <f t="shared" si="245"/>
        <v>0</v>
      </c>
      <c r="X203" s="156">
        <f t="shared" si="245"/>
        <v>0</v>
      </c>
      <c r="Y203" s="156">
        <f t="shared" si="245"/>
        <v>0</v>
      </c>
      <c r="Z203" s="156">
        <f t="shared" si="245"/>
        <v>0</v>
      </c>
      <c r="AA203" s="156">
        <f t="shared" si="245"/>
        <v>0</v>
      </c>
      <c r="AB203" s="156">
        <f t="shared" si="245"/>
        <v>0</v>
      </c>
      <c r="AC203" s="156">
        <f t="shared" si="245"/>
        <v>0</v>
      </c>
      <c r="AD203" s="156">
        <f t="shared" si="245"/>
        <v>0</v>
      </c>
      <c r="AE203" s="156">
        <f t="shared" si="245"/>
        <v>0</v>
      </c>
      <c r="AF203" s="156">
        <f t="shared" ref="AF203" si="246">+SUM(T203:AE203)</f>
        <v>0</v>
      </c>
      <c r="AG203" s="156">
        <f t="shared" ref="AG203:AR204" si="247">+SUMIFS(db_Sum,db_Bln,AG$6,db_Kode,$A203)</f>
        <v>0</v>
      </c>
      <c r="AH203" s="156">
        <f t="shared" si="247"/>
        <v>0</v>
      </c>
      <c r="AI203" s="156">
        <f t="shared" si="247"/>
        <v>0</v>
      </c>
      <c r="AJ203" s="156">
        <f t="shared" si="247"/>
        <v>0</v>
      </c>
      <c r="AK203" s="156">
        <f t="shared" si="247"/>
        <v>19550483.979999997</v>
      </c>
      <c r="AL203" s="156">
        <f t="shared" si="247"/>
        <v>60917120.530000001</v>
      </c>
      <c r="AM203" s="156">
        <f t="shared" si="247"/>
        <v>104116009.25</v>
      </c>
      <c r="AN203" s="156">
        <f t="shared" si="247"/>
        <v>49214533.670000002</v>
      </c>
      <c r="AO203" s="156">
        <f t="shared" si="247"/>
        <v>57848455.670000002</v>
      </c>
      <c r="AP203" s="156">
        <f t="shared" si="247"/>
        <v>64376475.670000002</v>
      </c>
      <c r="AQ203" s="156">
        <f t="shared" si="247"/>
        <v>88711047.760000005</v>
      </c>
      <c r="AR203" s="156">
        <f t="shared" si="247"/>
        <v>104456910.87</v>
      </c>
      <c r="AS203" s="156">
        <f t="shared" ref="AS203" si="248">+SUM(AG203:AR203)</f>
        <v>549191037.4000001</v>
      </c>
      <c r="AT203" s="156">
        <f t="shared" ref="AT203:BI204" si="249">+SUMIFS(db_Sum,db_Bln,AT$6,db_Kode,$A203)</f>
        <v>55236232.670000002</v>
      </c>
      <c r="AU203" s="156">
        <f t="shared" si="249"/>
        <v>57941169.869999997</v>
      </c>
      <c r="AV203" s="156">
        <f t="shared" si="249"/>
        <v>80019292.670000002</v>
      </c>
      <c r="AW203" s="156">
        <f t="shared" si="249"/>
        <v>95168671.670000002</v>
      </c>
      <c r="AX203" s="156">
        <f t="shared" si="249"/>
        <v>233834336.66999999</v>
      </c>
      <c r="AY203" s="156">
        <f t="shared" si="249"/>
        <v>217181080.11000001</v>
      </c>
      <c r="AZ203" s="156">
        <f t="shared" si="249"/>
        <v>282426609.99000001</v>
      </c>
      <c r="BA203" s="156">
        <f t="shared" si="249"/>
        <v>479119853.24000001</v>
      </c>
      <c r="BB203" s="156">
        <f t="shared" si="249"/>
        <v>195331763.98000002</v>
      </c>
      <c r="BC203" s="156">
        <f t="shared" si="249"/>
        <v>2111042989.29</v>
      </c>
      <c r="BD203" s="156">
        <f t="shared" si="249"/>
        <v>391509576.81999999</v>
      </c>
      <c r="BE203" s="156">
        <f t="shared" si="249"/>
        <v>1414000090.74</v>
      </c>
      <c r="BF203" s="156">
        <f t="shared" ref="BF203" si="250">+SUM(AT203:BE203)</f>
        <v>5612811667.7200003</v>
      </c>
      <c r="BG203" s="156">
        <f t="shared" si="249"/>
        <v>552390506.63</v>
      </c>
      <c r="BH203" s="156">
        <f t="shared" si="249"/>
        <v>501297186.64999998</v>
      </c>
      <c r="BI203" s="156">
        <f t="shared" si="249"/>
        <v>344556125.31</v>
      </c>
      <c r="BJ203" s="156">
        <f t="shared" ref="BI203:BR204" si="251">+SUMIFS(db_Sum,db_Bln,BJ$6,db_Kode,$A203)</f>
        <v>559862268.00999999</v>
      </c>
      <c r="BK203" s="156">
        <f t="shared" si="251"/>
        <v>446998754.42000002</v>
      </c>
      <c r="BL203" s="156">
        <f t="shared" si="251"/>
        <v>0</v>
      </c>
      <c r="BM203" s="156">
        <f t="shared" si="251"/>
        <v>0</v>
      </c>
      <c r="BN203" s="156">
        <f t="shared" si="251"/>
        <v>0</v>
      </c>
      <c r="BO203" s="156">
        <f t="shared" si="251"/>
        <v>0</v>
      </c>
      <c r="BP203" s="156">
        <f t="shared" si="251"/>
        <v>0</v>
      </c>
      <c r="BQ203" s="156">
        <f t="shared" si="251"/>
        <v>0</v>
      </c>
      <c r="BR203" s="156">
        <f t="shared" si="251"/>
        <v>0</v>
      </c>
      <c r="BS203" s="156">
        <f t="shared" ref="BS203" si="252">+SUM(BG203:BR203)</f>
        <v>2405104841.02</v>
      </c>
      <c r="BT203" s="156">
        <f>+SUM(O203,Q203,R203,S203,AF203,AS203,BF203+BS203)</f>
        <v>8567107546.1399994</v>
      </c>
      <c r="BU203" s="157" t="str">
        <f>+IF(K203-BT203=0,"OK","ERROR")</f>
        <v>ERROR</v>
      </c>
      <c r="BV203" s="229">
        <f>BT203-K203</f>
        <v>0</v>
      </c>
      <c r="BW203" s="161"/>
      <c r="BX203" s="161"/>
      <c r="BY203" s="161"/>
      <c r="BZ203" s="161"/>
      <c r="CA203" s="161"/>
      <c r="CB203" s="161"/>
      <c r="CC203" s="161"/>
    </row>
    <row r="204" spans="1:81" s="158" customFormat="1">
      <c r="A204" s="153" t="s">
        <v>2344</v>
      </c>
      <c r="B204" s="452"/>
      <c r="C204" s="455" t="s">
        <v>2345</v>
      </c>
      <c r="D204" s="435"/>
      <c r="E204" s="435"/>
      <c r="F204" s="437" t="s">
        <v>88</v>
      </c>
      <c r="G204" s="435" t="s">
        <v>40</v>
      </c>
      <c r="H204" s="454">
        <f>+IF(E204&gt;K204,E204-K204,0)</f>
        <v>0</v>
      </c>
      <c r="I204" s="454"/>
      <c r="J204" s="435"/>
      <c r="K204" s="439">
        <f>+O204+Q204+R204+S204+AF204+AS204+BF204+BS204</f>
        <v>2247043206.6900001</v>
      </c>
      <c r="L204" s="439"/>
      <c r="M204" s="439"/>
      <c r="N204" s="496"/>
      <c r="O204" s="227">
        <f>+SUMIFS(db_Sum,db_Bln,O$6,db_Kode,$A204)</f>
        <v>0</v>
      </c>
      <c r="P204" s="228">
        <f>+IF(H204=0,E204-K204,0)</f>
        <v>-2247043206.6900001</v>
      </c>
      <c r="Q204" s="156">
        <f t="shared" si="245"/>
        <v>0</v>
      </c>
      <c r="R204" s="156">
        <f t="shared" si="245"/>
        <v>0</v>
      </c>
      <c r="S204" s="156">
        <f t="shared" si="245"/>
        <v>0</v>
      </c>
      <c r="T204" s="156">
        <f t="shared" si="245"/>
        <v>0</v>
      </c>
      <c r="U204" s="156">
        <f t="shared" si="245"/>
        <v>0</v>
      </c>
      <c r="V204" s="156">
        <f t="shared" si="245"/>
        <v>0</v>
      </c>
      <c r="W204" s="156">
        <f t="shared" si="245"/>
        <v>0</v>
      </c>
      <c r="X204" s="156">
        <f t="shared" si="245"/>
        <v>0</v>
      </c>
      <c r="Y204" s="156">
        <f t="shared" si="245"/>
        <v>0</v>
      </c>
      <c r="Z204" s="156">
        <f t="shared" si="245"/>
        <v>0</v>
      </c>
      <c r="AA204" s="156">
        <f t="shared" si="245"/>
        <v>0</v>
      </c>
      <c r="AB204" s="156">
        <f t="shared" si="245"/>
        <v>0</v>
      </c>
      <c r="AC204" s="156">
        <f t="shared" si="245"/>
        <v>0</v>
      </c>
      <c r="AD204" s="156">
        <f t="shared" si="245"/>
        <v>0</v>
      </c>
      <c r="AE204" s="156">
        <f t="shared" si="245"/>
        <v>0</v>
      </c>
      <c r="AF204" s="156">
        <f t="shared" ref="AF204" si="253">+SUM(T204:AE204)</f>
        <v>0</v>
      </c>
      <c r="AG204" s="156">
        <f t="shared" si="247"/>
        <v>0</v>
      </c>
      <c r="AH204" s="156">
        <f t="shared" si="247"/>
        <v>0</v>
      </c>
      <c r="AI204" s="156">
        <f t="shared" si="247"/>
        <v>0</v>
      </c>
      <c r="AJ204" s="156">
        <f t="shared" si="247"/>
        <v>0</v>
      </c>
      <c r="AK204" s="156">
        <f t="shared" si="247"/>
        <v>0</v>
      </c>
      <c r="AL204" s="156">
        <f t="shared" si="247"/>
        <v>0</v>
      </c>
      <c r="AM204" s="156">
        <f t="shared" si="247"/>
        <v>0</v>
      </c>
      <c r="AN204" s="156">
        <f t="shared" si="247"/>
        <v>0</v>
      </c>
      <c r="AO204" s="156">
        <f t="shared" si="247"/>
        <v>0</v>
      </c>
      <c r="AP204" s="156">
        <f t="shared" si="247"/>
        <v>0</v>
      </c>
      <c r="AQ204" s="156">
        <f t="shared" si="247"/>
        <v>0</v>
      </c>
      <c r="AR204" s="156">
        <f t="shared" si="247"/>
        <v>0</v>
      </c>
      <c r="AS204" s="156">
        <f t="shared" ref="AS204" si="254">+SUM(AG204:AR204)</f>
        <v>0</v>
      </c>
      <c r="AT204" s="156">
        <f t="shared" si="249"/>
        <v>1339055.68</v>
      </c>
      <c r="AU204" s="156">
        <f t="shared" si="249"/>
        <v>0</v>
      </c>
      <c r="AV204" s="156">
        <f t="shared" si="249"/>
        <v>3823558.99</v>
      </c>
      <c r="AW204" s="156">
        <f t="shared" si="249"/>
        <v>0</v>
      </c>
      <c r="AX204" s="156">
        <f t="shared" si="249"/>
        <v>0</v>
      </c>
      <c r="AY204" s="156">
        <f t="shared" si="249"/>
        <v>105297747.61999999</v>
      </c>
      <c r="AZ204" s="156">
        <f t="shared" si="249"/>
        <v>146068484.49000001</v>
      </c>
      <c r="BA204" s="156">
        <f t="shared" si="249"/>
        <v>194229935.94</v>
      </c>
      <c r="BB204" s="156">
        <f t="shared" si="249"/>
        <v>0</v>
      </c>
      <c r="BC204" s="156">
        <f t="shared" si="249"/>
        <v>1021402322.59</v>
      </c>
      <c r="BD204" s="156">
        <f t="shared" si="249"/>
        <v>230504696.75</v>
      </c>
      <c r="BE204" s="156">
        <f t="shared" si="249"/>
        <v>115143349.54999997</v>
      </c>
      <c r="BF204" s="156">
        <f t="shared" ref="BF204" si="255">+SUM(AT204:BE204)</f>
        <v>1817809151.6099999</v>
      </c>
      <c r="BG204" s="156">
        <f t="shared" si="249"/>
        <v>0</v>
      </c>
      <c r="BH204" s="156">
        <f t="shared" si="249"/>
        <v>0</v>
      </c>
      <c r="BI204" s="156">
        <f t="shared" si="251"/>
        <v>167365558.56999999</v>
      </c>
      <c r="BJ204" s="156">
        <f t="shared" si="251"/>
        <v>26384977.419999994</v>
      </c>
      <c r="BK204" s="156">
        <f t="shared" si="251"/>
        <v>235483519.09</v>
      </c>
      <c r="BL204" s="156">
        <f t="shared" si="251"/>
        <v>0</v>
      </c>
      <c r="BM204" s="156">
        <f t="shared" si="251"/>
        <v>0</v>
      </c>
      <c r="BN204" s="156">
        <f t="shared" si="251"/>
        <v>0</v>
      </c>
      <c r="BO204" s="156">
        <f t="shared" si="251"/>
        <v>0</v>
      </c>
      <c r="BP204" s="156">
        <f t="shared" si="251"/>
        <v>0</v>
      </c>
      <c r="BQ204" s="156">
        <f t="shared" si="251"/>
        <v>0</v>
      </c>
      <c r="BR204" s="156">
        <f t="shared" si="251"/>
        <v>0</v>
      </c>
      <c r="BS204" s="156">
        <f t="shared" ref="BS204" si="256">+SUM(BG204:BR204)</f>
        <v>429234055.07999998</v>
      </c>
      <c r="BT204" s="156">
        <f>+SUM(O204,Q204,R204,S204,AF204,AS204,BF204+BS204)</f>
        <v>2247043206.6900001</v>
      </c>
      <c r="BU204" s="157" t="str">
        <f>+IF(K204-BT204=0,"OK","ERROR")</f>
        <v>OK</v>
      </c>
      <c r="BV204" s="229">
        <f>BT204-K204</f>
        <v>0</v>
      </c>
      <c r="BW204" s="161"/>
      <c r="BX204" s="161"/>
      <c r="BY204" s="161"/>
      <c r="BZ204" s="161"/>
      <c r="CA204" s="161"/>
      <c r="CB204" s="161"/>
      <c r="CC204" s="161"/>
    </row>
    <row r="205" spans="1:81" s="158" customFormat="1">
      <c r="A205" s="153"/>
      <c r="B205" s="446"/>
      <c r="C205" s="447"/>
      <c r="D205" s="448"/>
      <c r="E205" s="448"/>
      <c r="F205" s="449"/>
      <c r="G205" s="448"/>
      <c r="H205" s="450"/>
      <c r="I205" s="450"/>
      <c r="J205" s="448"/>
      <c r="K205" s="451"/>
      <c r="L205" s="451"/>
      <c r="M205" s="451"/>
      <c r="N205" s="497"/>
      <c r="O205" s="227"/>
      <c r="P205" s="228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  <c r="AA205" s="156"/>
      <c r="AB205" s="156"/>
      <c r="AC205" s="156"/>
      <c r="AD205" s="156"/>
      <c r="AE205" s="156"/>
      <c r="AF205" s="156"/>
      <c r="AG205" s="156"/>
      <c r="AH205" s="156"/>
      <c r="AI205" s="156"/>
      <c r="AJ205" s="156"/>
      <c r="AK205" s="156"/>
      <c r="AL205" s="156"/>
      <c r="AM205" s="156"/>
      <c r="AN205" s="156"/>
      <c r="AO205" s="156"/>
      <c r="AP205" s="156"/>
      <c r="AQ205" s="156"/>
      <c r="AR205" s="156"/>
      <c r="AS205" s="156"/>
      <c r="AT205" s="156"/>
      <c r="AU205" s="156"/>
      <c r="AV205" s="156"/>
      <c r="AW205" s="156"/>
      <c r="AX205" s="156"/>
      <c r="AY205" s="156"/>
      <c r="AZ205" s="156"/>
      <c r="BA205" s="156"/>
      <c r="BB205" s="156"/>
      <c r="BC205" s="156"/>
      <c r="BD205" s="156"/>
      <c r="BE205" s="156"/>
      <c r="BF205" s="156"/>
      <c r="BG205" s="156"/>
      <c r="BH205" s="156"/>
      <c r="BI205" s="156"/>
      <c r="BJ205" s="156"/>
      <c r="BK205" s="156"/>
      <c r="BL205" s="156"/>
      <c r="BM205" s="156"/>
      <c r="BN205" s="156"/>
      <c r="BO205" s="156"/>
      <c r="BP205" s="156"/>
      <c r="BQ205" s="156"/>
      <c r="BR205" s="156"/>
      <c r="BS205" s="156"/>
      <c r="BT205" s="156"/>
      <c r="BU205" s="157"/>
      <c r="BV205" s="229"/>
      <c r="BW205" s="161"/>
      <c r="BX205" s="161"/>
      <c r="BY205" s="161"/>
      <c r="BZ205" s="161"/>
      <c r="CA205" s="161"/>
      <c r="CB205" s="161"/>
      <c r="CC205" s="161"/>
    </row>
    <row r="206" spans="1:81" s="243" customFormat="1" ht="17.5" thickBot="1">
      <c r="A206" s="231"/>
      <c r="B206" s="246"/>
      <c r="C206" s="247" t="s">
        <v>2495</v>
      </c>
      <c r="D206" s="248"/>
      <c r="E206" s="248">
        <f>+E165+E161+E145+E84+E68</f>
        <v>316831789864.58002</v>
      </c>
      <c r="F206" s="247"/>
      <c r="G206" s="248"/>
      <c r="H206" s="248" t="e">
        <f>+H165+H161+#REF!+H84+H68+H203</f>
        <v>#REF!</v>
      </c>
      <c r="I206" s="248"/>
      <c r="J206" s="248"/>
      <c r="K206" s="249">
        <f>K165+K161+K84+K68+K203+K145+K204+K205</f>
        <v>299424223664.66901</v>
      </c>
      <c r="L206" s="249">
        <f>L165+L161+L84+L68+L203+L145</f>
        <v>10915073498.870449</v>
      </c>
      <c r="M206" s="249">
        <f>M165+M161+M84+M68+M203+M145</f>
        <v>40721022988.942352</v>
      </c>
      <c r="N206" s="463">
        <f>K206+L206+M206</f>
        <v>351060320152.48181</v>
      </c>
      <c r="O206" s="250" t="e">
        <f>+O165+O161+#REF!+O84+O68+O203</f>
        <v>#REF!</v>
      </c>
      <c r="P206" s="251" t="e">
        <f>+P165+P161+#REF!+P84+P68+P203</f>
        <v>#REF!</v>
      </c>
      <c r="Q206" s="245" t="e">
        <f>+Q165+Q161+#REF!+Q84+Q68+Q203</f>
        <v>#REF!</v>
      </c>
      <c r="R206" s="245" t="e">
        <f>+R165+R161+#REF!+R84+R68+R203</f>
        <v>#REF!</v>
      </c>
      <c r="S206" s="245" t="e">
        <f>+S165+S161+#REF!+S84+S68+S203</f>
        <v>#REF!</v>
      </c>
      <c r="T206" s="245" t="e">
        <f>+T165+T161+#REF!+T84+T68+T203</f>
        <v>#REF!</v>
      </c>
      <c r="U206" s="245" t="e">
        <f>+U165+U161+#REF!+U84+U68+U203</f>
        <v>#REF!</v>
      </c>
      <c r="V206" s="245" t="e">
        <f>+V165+V161+#REF!+V84+V68+V203</f>
        <v>#REF!</v>
      </c>
      <c r="W206" s="245" t="e">
        <f>+W165+W161+#REF!+W84+W68+W203</f>
        <v>#REF!</v>
      </c>
      <c r="X206" s="245" t="e">
        <f>+X165+X161+#REF!+X84+X68+X203</f>
        <v>#REF!</v>
      </c>
      <c r="Y206" s="245" t="e">
        <f>+Y165+Y161+#REF!+Y84+Y68+Y203</f>
        <v>#REF!</v>
      </c>
      <c r="Z206" s="245" t="e">
        <f>+Z165+Z161+#REF!+Z84+Z68+Z203</f>
        <v>#REF!</v>
      </c>
      <c r="AA206" s="245" t="e">
        <f>+AA165+AA161+#REF!+AA84+AA68+AA203</f>
        <v>#REF!</v>
      </c>
      <c r="AB206" s="245" t="e">
        <f>+AB165+AB161+#REF!+AB84+AB68+AB203</f>
        <v>#REF!</v>
      </c>
      <c r="AC206" s="245" t="e">
        <f>+AC165+AC161+#REF!+AC84+AC68+AC203</f>
        <v>#REF!</v>
      </c>
      <c r="AD206" s="245" t="e">
        <f>+AD165+AD161+#REF!+AD84+AD68+AD203</f>
        <v>#REF!</v>
      </c>
      <c r="AE206" s="245" t="e">
        <f>+AE165+AE161+#REF!+AE84+AE68+AE203</f>
        <v>#REF!</v>
      </c>
      <c r="AF206" s="245" t="e">
        <f>+AF165+AF161+#REF!+AF84+AF68+AF203</f>
        <v>#REF!</v>
      </c>
      <c r="AG206" s="245" t="e">
        <f>+AG165+AG161+#REF!+AG84+AG68+AG203</f>
        <v>#REF!</v>
      </c>
      <c r="AH206" s="245" t="e">
        <f>+AH165+AH161+#REF!+AH84+AH68+AH203</f>
        <v>#REF!</v>
      </c>
      <c r="AI206" s="245" t="e">
        <f>+AI165+AI161+#REF!+AI84+AI68+AI203</f>
        <v>#REF!</v>
      </c>
      <c r="AJ206" s="245" t="e">
        <f>+AJ165+AJ161+#REF!+AJ84+AJ68+AJ203</f>
        <v>#REF!</v>
      </c>
      <c r="AK206" s="245" t="e">
        <f>+AK165+AK161+#REF!+AK84+AK68+AK203</f>
        <v>#REF!</v>
      </c>
      <c r="AL206" s="245" t="e">
        <f>+AL165+AL161+#REF!+AL84+AL68+AL203</f>
        <v>#REF!</v>
      </c>
      <c r="AM206" s="245" t="e">
        <f>+AM165+AM161+#REF!+AM84+AM68+AM203</f>
        <v>#REF!</v>
      </c>
      <c r="AN206" s="245" t="e">
        <f>+AN165+AN161+#REF!+AN84+AN68+AN203</f>
        <v>#REF!</v>
      </c>
      <c r="AO206" s="245" t="e">
        <f>+AO165+AO161+#REF!+AO84+AO68+AO203</f>
        <v>#REF!</v>
      </c>
      <c r="AP206" s="245" t="e">
        <f>+AP165+AP161+#REF!+AP84+AP68+AP203</f>
        <v>#REF!</v>
      </c>
      <c r="AQ206" s="245" t="e">
        <f>+AQ165+AQ161+#REF!+AQ84+AQ68+AQ203</f>
        <v>#REF!</v>
      </c>
      <c r="AR206" s="245" t="e">
        <f>+AR165+AR161+#REF!+AR84+AR68+AR203</f>
        <v>#REF!</v>
      </c>
      <c r="AS206" s="245" t="e">
        <f>+AS165+AS161+#REF!+AS84+AS68+AS203+AS200</f>
        <v>#REF!</v>
      </c>
      <c r="AT206" s="245" t="e">
        <f>+AT165+AT161+#REF!+AT84+AT68+AT203+AT200</f>
        <v>#REF!</v>
      </c>
      <c r="AU206" s="245" t="e">
        <f>+AU165+AU161+#REF!+AU84+AU68+AU203+AU200</f>
        <v>#REF!</v>
      </c>
      <c r="AV206" s="245" t="e">
        <f>+AV165+AV161+#REF!+AV84+AV68+AV203+AV200</f>
        <v>#REF!</v>
      </c>
      <c r="AW206" s="245" t="e">
        <f>+AW165+AW161+#REF!+AW84+AW68+AW203+AW200</f>
        <v>#REF!</v>
      </c>
      <c r="AX206" s="245" t="e">
        <f>+AX165+AX161+#REF!+AX84+AX68+AX203+AX200</f>
        <v>#REF!</v>
      </c>
      <c r="AY206" s="245" t="e">
        <f>+AY165+AY161+#REF!+AY84+AY68+AY203+AY200</f>
        <v>#REF!</v>
      </c>
      <c r="AZ206" s="245" t="e">
        <f>+AZ165+AZ161+#REF!+AZ84+AZ68+AZ203+AZ200</f>
        <v>#REF!</v>
      </c>
      <c r="BA206" s="245" t="e">
        <f>+BA165+BA161+#REF!+BA84+BA68+BA203+BA200</f>
        <v>#REF!</v>
      </c>
      <c r="BB206" s="245" t="e">
        <f>+BB165+BB161+#REF!+BB84+BB68+BB203+BB200</f>
        <v>#REF!</v>
      </c>
      <c r="BC206" s="245" t="e">
        <f>+BC165+BC161+#REF!+BC84+BC68+BC203+BC200</f>
        <v>#REF!</v>
      </c>
      <c r="BD206" s="245" t="e">
        <f>+BD165+BD161+#REF!+BD84+BD68+BD203+BD200</f>
        <v>#REF!</v>
      </c>
      <c r="BE206" s="245" t="e">
        <f>+BE165+BE161+#REF!+BE84+BE68+BE203+BE200</f>
        <v>#REF!</v>
      </c>
      <c r="BF206" s="245" t="e">
        <f>+BF165+BF161+#REF!+BF84+BF68+BF203+BF200</f>
        <v>#REF!</v>
      </c>
      <c r="BG206" s="245" t="e">
        <f>+BG165+BG161+#REF!+BG84+BG68+BG203+BG200</f>
        <v>#REF!</v>
      </c>
      <c r="BH206" s="245" t="e">
        <f>+BH165+BH161+#REF!+BH84+BH68+BH203+BH200</f>
        <v>#REF!</v>
      </c>
      <c r="BI206" s="245" t="e">
        <f>+BI165+BI161+#REF!+BI84+BI68+BI203+BI200</f>
        <v>#REF!</v>
      </c>
      <c r="BJ206" s="245" t="e">
        <f>+BJ165+BJ161+#REF!+BJ84+BJ68+BJ203+BJ200</f>
        <v>#REF!</v>
      </c>
      <c r="BK206" s="245" t="e">
        <f>+BK165+BK161+#REF!+BK84+BK68+BK203+BK200</f>
        <v>#REF!</v>
      </c>
      <c r="BL206" s="245" t="e">
        <f>+BL165+BL161+#REF!+BL84+BL68+BL203+BL200</f>
        <v>#REF!</v>
      </c>
      <c r="BM206" s="245" t="e">
        <f>+BM165+BM161+#REF!+BM84+BM68+BM203+BM200</f>
        <v>#REF!</v>
      </c>
      <c r="BN206" s="245" t="e">
        <f>+BN165+BN161+#REF!+BN84+BN68+BN203+BN200</f>
        <v>#REF!</v>
      </c>
      <c r="BO206" s="245" t="e">
        <f>+BO165+BO161+#REF!+BO84+BO68+BO203+BO200</f>
        <v>#REF!</v>
      </c>
      <c r="BP206" s="245" t="e">
        <f>+BP165+BP161+#REF!+BP84+BP68+BP203+BP200</f>
        <v>#REF!</v>
      </c>
      <c r="BQ206" s="245" t="e">
        <f>+BQ165+BQ161+#REF!+BQ84+BQ68+BQ203+BQ200</f>
        <v>#REF!</v>
      </c>
      <c r="BR206" s="245" t="e">
        <f>+BR165+BR161+#REF!+BR84+BR68+BR203+BR200</f>
        <v>#REF!</v>
      </c>
      <c r="BS206" s="245" t="e">
        <f>+BS165+BS161+#REF!+BS84+BS68+BS203+BS200</f>
        <v>#REF!</v>
      </c>
      <c r="BT206" s="245" t="e">
        <f>+BT165+BT161+#REF!+BT84+BT68+BT203+BT200</f>
        <v>#REF!</v>
      </c>
      <c r="BU206" s="240" t="e">
        <f>+IF(K206-BT206=0,"OK","ERROR")</f>
        <v>#REF!</v>
      </c>
      <c r="BV206" s="241" t="e">
        <f>BT206-K206</f>
        <v>#REF!</v>
      </c>
    </row>
    <row r="207" spans="1:81" ht="17.5" thickTop="1">
      <c r="C207" s="28" t="s">
        <v>589</v>
      </c>
      <c r="D207" s="7"/>
      <c r="E207" s="29">
        <f>K206/E206</f>
        <v>0.94505738768400938</v>
      </c>
      <c r="F207" s="24"/>
      <c r="G207" s="12"/>
      <c r="H207" s="12"/>
      <c r="I207" s="12"/>
      <c r="J207" s="12"/>
      <c r="K207" s="81"/>
      <c r="L207" s="81"/>
      <c r="M207" s="81"/>
      <c r="N207" s="12"/>
      <c r="O207" s="8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26"/>
      <c r="BV207" s="73"/>
    </row>
    <row r="208" spans="1:81" ht="17">
      <c r="C208" s="24"/>
      <c r="D208" s="12"/>
      <c r="E208" s="12"/>
      <c r="F208" s="24"/>
      <c r="G208" s="12"/>
      <c r="H208" s="12"/>
      <c r="I208" s="12"/>
      <c r="J208" s="12"/>
      <c r="K208" s="81"/>
      <c r="L208" s="81"/>
      <c r="M208" s="81"/>
      <c r="N208" s="12"/>
      <c r="O208" s="8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26"/>
      <c r="BV208" s="73"/>
    </row>
    <row r="209" spans="1:73" s="82" customFormat="1" ht="14.5">
      <c r="A209" s="160"/>
      <c r="E209" s="83"/>
      <c r="H209" s="75">
        <v>316015701523.38</v>
      </c>
      <c r="I209" s="75"/>
      <c r="K209" s="171">
        <f>K203+K204+K205+K165+K161+K145+K84+K68</f>
        <v>299424223664.66901</v>
      </c>
      <c r="L209" s="171"/>
      <c r="M209" s="171">
        <f>K206+M206+L206</f>
        <v>351060320152.48175</v>
      </c>
      <c r="N209" s="75"/>
      <c r="O209" s="75"/>
      <c r="P209" s="75" t="s">
        <v>1171</v>
      </c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75"/>
      <c r="AK209" s="75"/>
      <c r="AL209" s="75"/>
      <c r="AM209" s="75"/>
      <c r="AN209" s="75"/>
      <c r="AO209" s="75"/>
      <c r="AP209" s="75"/>
      <c r="AQ209" s="75"/>
      <c r="AR209" s="75"/>
      <c r="AS209" s="75"/>
      <c r="AT209" s="75"/>
      <c r="AU209" s="75"/>
      <c r="AV209" s="75"/>
      <c r="AW209" s="75"/>
      <c r="AX209" s="75"/>
      <c r="AY209" s="75"/>
      <c r="AZ209" s="75"/>
      <c r="BA209" s="75"/>
      <c r="BB209" s="75"/>
      <c r="BC209" s="75"/>
      <c r="BD209" s="75"/>
      <c r="BE209" s="75"/>
      <c r="BF209" s="75"/>
      <c r="BG209" s="75"/>
      <c r="BH209" s="75"/>
      <c r="BI209" s="75"/>
      <c r="BJ209" s="75"/>
      <c r="BK209" s="75"/>
      <c r="BL209" s="75"/>
      <c r="BM209" s="75"/>
      <c r="BN209" s="75"/>
      <c r="BO209" s="75"/>
      <c r="BP209" s="75"/>
      <c r="BQ209" s="75"/>
      <c r="BR209" s="75"/>
      <c r="BS209" s="75"/>
      <c r="BT209" s="75"/>
      <c r="BU209" s="84"/>
    </row>
    <row r="210" spans="1:73" s="82" customFormat="1" ht="15.5">
      <c r="A210" s="159"/>
      <c r="D210" s="85"/>
      <c r="E210" s="86"/>
      <c r="H210" s="75">
        <f>H209-K209</f>
        <v>16591477858.710999</v>
      </c>
      <c r="I210" s="75"/>
      <c r="K210" s="75"/>
      <c r="L210" s="75"/>
      <c r="M210" s="75"/>
      <c r="N210" s="75"/>
      <c r="O210" s="75"/>
      <c r="P210" s="75"/>
      <c r="Q210" s="75"/>
      <c r="R210" s="75"/>
      <c r="S210" s="75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</row>
    <row r="211" spans="1:73">
      <c r="N211" s="498">
        <f>N167/E206</f>
        <v>1.0739016105204577</v>
      </c>
    </row>
    <row r="212" spans="1:73" s="8" customFormat="1" ht="14.5">
      <c r="A212" s="13"/>
      <c r="B212" s="2"/>
      <c r="C212" s="28"/>
      <c r="D212" s="7"/>
      <c r="E212" s="29"/>
      <c r="F212" s="7"/>
      <c r="G212" s="7"/>
      <c r="H212" s="9"/>
      <c r="I212" s="9"/>
      <c r="J212" s="7"/>
      <c r="M212" s="499">
        <f>N68/N206</f>
        <v>0.41544687557241422</v>
      </c>
      <c r="N212" s="9"/>
      <c r="O212" s="9"/>
      <c r="P212" s="9"/>
      <c r="Q212" s="9"/>
      <c r="R212" s="9"/>
      <c r="S212" s="9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</row>
    <row r="213" spans="1:73" s="8" customFormat="1">
      <c r="A213" s="13"/>
      <c r="B213" s="2"/>
      <c r="C213" s="2"/>
      <c r="D213" s="7"/>
      <c r="E213" s="7"/>
      <c r="F213" s="7"/>
      <c r="G213" s="7"/>
      <c r="H213" s="9"/>
      <c r="I213" s="9"/>
      <c r="J213" s="7"/>
      <c r="M213" s="499">
        <f>N84/N206</f>
        <v>0.23934991396216515</v>
      </c>
      <c r="N213" s="9"/>
      <c r="O213" s="9"/>
      <c r="P213" s="9"/>
      <c r="Q213" s="9"/>
      <c r="R213" s="9"/>
      <c r="S213" s="9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</row>
    <row r="214" spans="1:73">
      <c r="M214" s="499">
        <f>N145/N206</f>
        <v>0.24661868420051083</v>
      </c>
    </row>
    <row r="215" spans="1:73">
      <c r="M215" s="499">
        <f>N161/N206</f>
        <v>6.4162389635195466E-2</v>
      </c>
    </row>
    <row r="216" spans="1:73">
      <c r="M216" s="499">
        <f>N165/N206</f>
        <v>3.6178841065784323E-3</v>
      </c>
    </row>
    <row r="217" spans="1:73">
      <c r="M217" s="499">
        <f>(K203+K204)/N206</f>
        <v>3.0804252523135948E-2</v>
      </c>
    </row>
  </sheetData>
  <sheetProtection formatCells="0" formatColumns="0" formatRows="0" insertColumns="0" insertRows="0" insertHyperlinks="0" deleteColumns="0" deleteRows="0" autoFilter="0"/>
  <mergeCells count="18">
    <mergeCell ref="BG7:BS7"/>
    <mergeCell ref="H7:H8"/>
    <mergeCell ref="I7:I8"/>
    <mergeCell ref="J7:J8"/>
    <mergeCell ref="K7:K8"/>
    <mergeCell ref="L7:L8"/>
    <mergeCell ref="M7:M8"/>
    <mergeCell ref="N7:N8"/>
    <mergeCell ref="P7:P8"/>
    <mergeCell ref="T7:AE7"/>
    <mergeCell ref="AG7:AR7"/>
    <mergeCell ref="AT7:BF7"/>
    <mergeCell ref="G7:G8"/>
    <mergeCell ref="B7:B8"/>
    <mergeCell ref="C7:C8"/>
    <mergeCell ref="D7:D8"/>
    <mergeCell ref="E7:E8"/>
    <mergeCell ref="F7:F8"/>
  </mergeCells>
  <conditionalFormatting sqref="H11:I23 P11:P29 N11:N105 H24 H25:I28 H29 H30:I35 H36:H38 H39:I43 P40:P44 H44 H45:I52 P46:P53 H53 H54:I61 P55:P62 H62:J62 H64:I66 H67:H68 H69:I83 P71:P83 H85:I114 P87:P145 N109:N110 N112:N209 H115 H116:I130 H131:H145 H144:I144 H146:I160 P147:P162 H161 H162:I164 P164:P208 H165 H166:I166 H167 H168:I209">
    <cfRule type="cellIs" dxfId="5" priority="3" operator="lessThan">
      <formula>0</formula>
    </cfRule>
  </conditionalFormatting>
  <conditionalFormatting sqref="J14">
    <cfRule type="cellIs" dxfId="4" priority="2" operator="lessThan">
      <formula>0</formula>
    </cfRule>
  </conditionalFormatting>
  <conditionalFormatting sqref="J61">
    <cfRule type="cellIs" dxfId="3" priority="1" operator="lessThan">
      <formula>0</formula>
    </cfRule>
  </conditionalFormatting>
  <conditionalFormatting sqref="P31:P38">
    <cfRule type="cellIs" dxfId="2" priority="7" operator="lessThan">
      <formula>0</formula>
    </cfRule>
  </conditionalFormatting>
  <conditionalFormatting sqref="P65:P69">
    <cfRule type="cellIs" dxfId="1" priority="6" operator="lessThan">
      <formula>0</formula>
    </cfRule>
  </conditionalFormatting>
  <conditionalFormatting sqref="P85">
    <cfRule type="cellIs" dxfId="0" priority="5" operator="lessThan">
      <formula>0</formula>
    </cfRule>
  </conditionalFormatting>
  <printOptions horizontalCentered="1"/>
  <pageMargins left="0" right="0" top="0.56999999999999995" bottom="0" header="0.22" footer="0.31496062992125984"/>
  <pageSetup scale="58" fitToHeight="0" orientation="landscape" r:id="rId1"/>
  <rowBreaks count="3" manualBreakCount="3">
    <brk id="53" max="16383" man="1"/>
    <brk id="84" max="16383" man="1"/>
    <brk id="145" max="16383" man="1"/>
  </rowBreaks>
  <ignoredErrors>
    <ignoredError sqref="N84" formula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0"/>
  <sheetViews>
    <sheetView workbookViewId="0">
      <selection activeCell="E65" sqref="E65"/>
    </sheetView>
  </sheetViews>
  <sheetFormatPr defaultRowHeight="12.5" outlineLevelRow="1"/>
  <cols>
    <col min="2" max="2" width="54.81640625" customWidth="1"/>
    <col min="3" max="3" width="3" customWidth="1"/>
    <col min="4" max="4" width="16.453125" bestFit="1" customWidth="1"/>
    <col min="5" max="5" width="16.453125" customWidth="1"/>
    <col min="6" max="6" width="29.81640625" customWidth="1"/>
    <col min="7" max="7" width="12.1796875" bestFit="1" customWidth="1"/>
  </cols>
  <sheetData>
    <row r="1" spans="1:4" ht="13">
      <c r="A1" s="116" t="s">
        <v>2203</v>
      </c>
      <c r="D1" s="108">
        <v>84300934</v>
      </c>
    </row>
    <row r="2" spans="1:4" ht="6.75" customHeight="1"/>
    <row r="3" spans="1:4" s="106" customFormat="1">
      <c r="B3" s="107" t="s">
        <v>493</v>
      </c>
      <c r="D3" s="120">
        <f>db!H84</f>
        <v>5426700</v>
      </c>
    </row>
    <row r="4" spans="1:4" s="105" customFormat="1">
      <c r="B4" s="111" t="s">
        <v>2204</v>
      </c>
      <c r="D4" s="121">
        <f>db!H95+db!H96+db!H97</f>
        <v>33838654</v>
      </c>
    </row>
    <row r="5" spans="1:4">
      <c r="B5" s="110" t="s">
        <v>2205</v>
      </c>
      <c r="D5" s="118">
        <f>db!H94+db!H237+db!H410+db!H443+db!H444</f>
        <v>22594680</v>
      </c>
    </row>
    <row r="6" spans="1:4">
      <c r="B6" s="110" t="s">
        <v>2206</v>
      </c>
      <c r="D6" s="118">
        <f>db!H283</f>
        <v>200000</v>
      </c>
    </row>
    <row r="7" spans="1:4" s="106" customFormat="1" ht="25.5" customHeight="1">
      <c r="B7" s="107" t="s">
        <v>2207</v>
      </c>
      <c r="D7" s="120">
        <f>db!H700</f>
        <v>300000</v>
      </c>
    </row>
    <row r="8" spans="1:4" s="106" customFormat="1" ht="25">
      <c r="B8" s="114" t="s">
        <v>2209</v>
      </c>
      <c r="C8" s="115"/>
      <c r="D8" s="119">
        <v>11100000</v>
      </c>
    </row>
    <row r="9" spans="1:4">
      <c r="B9" s="110" t="s">
        <v>2208</v>
      </c>
      <c r="D9" s="118">
        <f>SUM(D10:D32)</f>
        <v>10840900</v>
      </c>
    </row>
    <row r="10" spans="1:4" hidden="1" outlineLevel="1">
      <c r="B10" s="112" t="s">
        <v>687</v>
      </c>
      <c r="C10" s="112" t="s">
        <v>688</v>
      </c>
      <c r="D10" s="112">
        <v>70000</v>
      </c>
    </row>
    <row r="11" spans="1:4" hidden="1" outlineLevel="1">
      <c r="B11" s="112" t="s">
        <v>687</v>
      </c>
      <c r="C11" s="112" t="s">
        <v>690</v>
      </c>
      <c r="D11" s="112">
        <v>75000</v>
      </c>
    </row>
    <row r="12" spans="1:4" hidden="1" outlineLevel="1">
      <c r="B12" s="112" t="s">
        <v>612</v>
      </c>
      <c r="C12" s="112" t="s">
        <v>692</v>
      </c>
      <c r="D12" s="112">
        <v>75000</v>
      </c>
    </row>
    <row r="13" spans="1:4" hidden="1" outlineLevel="1">
      <c r="B13" s="112" t="s">
        <v>694</v>
      </c>
      <c r="C13" s="112" t="s">
        <v>695</v>
      </c>
      <c r="D13" s="112">
        <v>275000</v>
      </c>
    </row>
    <row r="14" spans="1:4" hidden="1" outlineLevel="1">
      <c r="B14" s="112" t="s">
        <v>612</v>
      </c>
      <c r="C14" s="112" t="s">
        <v>749</v>
      </c>
      <c r="D14" s="112">
        <v>944900</v>
      </c>
    </row>
    <row r="15" spans="1:4" hidden="1" outlineLevel="1">
      <c r="B15" s="112" t="s">
        <v>612</v>
      </c>
      <c r="C15" s="112" t="s">
        <v>751</v>
      </c>
      <c r="D15" s="112">
        <v>559000</v>
      </c>
    </row>
    <row r="16" spans="1:4" hidden="1" outlineLevel="1">
      <c r="B16" s="112" t="s">
        <v>641</v>
      </c>
      <c r="C16" s="112" t="s">
        <v>753</v>
      </c>
      <c r="D16" s="112">
        <v>152000</v>
      </c>
    </row>
    <row r="17" spans="2:4" hidden="1" outlineLevel="1">
      <c r="B17" s="112" t="s">
        <v>612</v>
      </c>
      <c r="C17" s="112" t="s">
        <v>757</v>
      </c>
      <c r="D17" s="112">
        <v>102000</v>
      </c>
    </row>
    <row r="18" spans="2:4" hidden="1" outlineLevel="1">
      <c r="B18" s="112" t="s">
        <v>612</v>
      </c>
      <c r="C18" s="112" t="s">
        <v>759</v>
      </c>
      <c r="D18" s="112">
        <v>600000</v>
      </c>
    </row>
    <row r="19" spans="2:4" hidden="1" outlineLevel="1">
      <c r="B19" s="112" t="s">
        <v>612</v>
      </c>
      <c r="C19" s="112" t="s">
        <v>761</v>
      </c>
      <c r="D19" s="112">
        <v>436000</v>
      </c>
    </row>
    <row r="20" spans="2:4" hidden="1" outlineLevel="1">
      <c r="B20" s="112" t="s">
        <v>612</v>
      </c>
      <c r="C20" s="112" t="s">
        <v>873</v>
      </c>
      <c r="D20" s="112">
        <v>25000</v>
      </c>
    </row>
    <row r="21" spans="2:4" hidden="1" outlineLevel="1">
      <c r="B21" s="112" t="s">
        <v>612</v>
      </c>
      <c r="C21" s="112" t="s">
        <v>875</v>
      </c>
      <c r="D21" s="112">
        <v>275000</v>
      </c>
    </row>
    <row r="22" spans="2:4" hidden="1" outlineLevel="1">
      <c r="B22" s="112" t="s">
        <v>612</v>
      </c>
      <c r="C22" s="112" t="s">
        <v>880</v>
      </c>
      <c r="D22" s="112">
        <v>748000</v>
      </c>
    </row>
    <row r="23" spans="2:4" hidden="1" outlineLevel="1">
      <c r="B23" s="112" t="s">
        <v>612</v>
      </c>
      <c r="C23" s="112" t="s">
        <v>885</v>
      </c>
      <c r="D23" s="112">
        <v>1750000</v>
      </c>
    </row>
    <row r="24" spans="2:4" hidden="1" outlineLevel="1">
      <c r="B24" s="112" t="s">
        <v>887</v>
      </c>
      <c r="C24" s="112" t="s">
        <v>888</v>
      </c>
      <c r="D24" s="112">
        <v>268000</v>
      </c>
    </row>
    <row r="25" spans="2:4" hidden="1" outlineLevel="1">
      <c r="B25" s="112" t="s">
        <v>887</v>
      </c>
      <c r="C25" s="112" t="s">
        <v>890</v>
      </c>
      <c r="D25" s="112">
        <v>160000</v>
      </c>
    </row>
    <row r="26" spans="2:4" hidden="1" outlineLevel="1">
      <c r="B26" s="112" t="s">
        <v>887</v>
      </c>
      <c r="C26" s="112" t="s">
        <v>880</v>
      </c>
      <c r="D26" s="112">
        <v>90000</v>
      </c>
    </row>
    <row r="27" spans="2:4" hidden="1" outlineLevel="1">
      <c r="B27" s="112" t="s">
        <v>887</v>
      </c>
      <c r="C27" s="112" t="s">
        <v>893</v>
      </c>
      <c r="D27" s="112">
        <v>21000</v>
      </c>
    </row>
    <row r="28" spans="2:4" hidden="1" outlineLevel="1">
      <c r="B28" s="112" t="s">
        <v>908</v>
      </c>
      <c r="C28" s="112" t="s">
        <v>909</v>
      </c>
      <c r="D28" s="112">
        <v>250000</v>
      </c>
    </row>
    <row r="29" spans="2:4" hidden="1" outlineLevel="1">
      <c r="B29" s="112" t="s">
        <v>908</v>
      </c>
      <c r="C29" s="112" t="s">
        <v>911</v>
      </c>
      <c r="D29" s="112">
        <v>80000</v>
      </c>
    </row>
    <row r="30" spans="2:4" hidden="1" outlineLevel="1">
      <c r="B30" s="112" t="s">
        <v>908</v>
      </c>
      <c r="C30" s="112" t="s">
        <v>913</v>
      </c>
      <c r="D30" s="112">
        <v>805000</v>
      </c>
    </row>
    <row r="31" spans="2:4" hidden="1" outlineLevel="1">
      <c r="B31" s="112" t="s">
        <v>612</v>
      </c>
      <c r="C31" s="112" t="s">
        <v>957</v>
      </c>
      <c r="D31" s="112">
        <v>160000</v>
      </c>
    </row>
    <row r="32" spans="2:4" hidden="1" outlineLevel="1">
      <c r="B32" s="112" t="s">
        <v>612</v>
      </c>
      <c r="C32" s="112" t="s">
        <v>959</v>
      </c>
      <c r="D32" s="112">
        <v>2920000</v>
      </c>
    </row>
    <row r="33" spans="1:4" collapsed="1"/>
    <row r="35" spans="1:4" ht="13">
      <c r="A35" s="116" t="s">
        <v>2210</v>
      </c>
      <c r="D35" s="108">
        <v>3101932347.8699999</v>
      </c>
    </row>
    <row r="36" spans="1:4" ht="6" customHeight="1"/>
    <row r="37" spans="1:4" ht="25">
      <c r="B37" s="111" t="s">
        <v>2211</v>
      </c>
      <c r="D37" s="112">
        <f>db!H564+db!H567+db!H618</f>
        <v>1237650000</v>
      </c>
    </row>
    <row r="38" spans="1:4">
      <c r="B38" s="110" t="s">
        <v>2208</v>
      </c>
      <c r="D38" s="112">
        <f>SUM(D39:D52)</f>
        <v>4509500</v>
      </c>
    </row>
    <row r="39" spans="1:4" s="106" customFormat="1" hidden="1" outlineLevel="1">
      <c r="B39" s="107" t="s">
        <v>1305</v>
      </c>
      <c r="D39" s="115">
        <v>223000</v>
      </c>
    </row>
    <row r="40" spans="1:4" s="106" customFormat="1" ht="25" hidden="1" outlineLevel="1">
      <c r="B40" s="107" t="s">
        <v>1307</v>
      </c>
      <c r="D40" s="115">
        <v>1164000</v>
      </c>
    </row>
    <row r="41" spans="1:4" s="106" customFormat="1" hidden="1" outlineLevel="1">
      <c r="B41" s="107" t="s">
        <v>1310</v>
      </c>
      <c r="D41" s="115">
        <v>515000</v>
      </c>
    </row>
    <row r="42" spans="1:4" s="106" customFormat="1" hidden="1" outlineLevel="1">
      <c r="B42" s="107" t="s">
        <v>1320</v>
      </c>
      <c r="D42" s="115">
        <v>375000</v>
      </c>
    </row>
    <row r="43" spans="1:4" s="106" customFormat="1" hidden="1" outlineLevel="1">
      <c r="B43" s="107" t="s">
        <v>1545</v>
      </c>
      <c r="D43" s="115">
        <v>15500</v>
      </c>
    </row>
    <row r="44" spans="1:4" s="106" customFormat="1" hidden="1" outlineLevel="1">
      <c r="B44" s="107" t="s">
        <v>1562</v>
      </c>
      <c r="D44" s="115">
        <v>196000</v>
      </c>
    </row>
    <row r="45" spans="1:4" s="106" customFormat="1" ht="25" hidden="1" outlineLevel="1">
      <c r="B45" s="107" t="s">
        <v>1990</v>
      </c>
      <c r="D45" s="115">
        <v>560000</v>
      </c>
    </row>
    <row r="46" spans="1:4" s="106" customFormat="1" ht="25" hidden="1" outlineLevel="1">
      <c r="B46" s="107" t="s">
        <v>1995</v>
      </c>
      <c r="D46" s="115">
        <v>96000</v>
      </c>
    </row>
    <row r="47" spans="1:4" s="106" customFormat="1" ht="25" hidden="1" outlineLevel="1">
      <c r="B47" s="107" t="s">
        <v>2057</v>
      </c>
      <c r="D47" s="115">
        <v>200000</v>
      </c>
    </row>
    <row r="48" spans="1:4" s="106" customFormat="1" ht="37.5" hidden="1" outlineLevel="1">
      <c r="B48" s="107" t="s">
        <v>2058</v>
      </c>
      <c r="D48" s="115">
        <v>450000</v>
      </c>
    </row>
    <row r="49" spans="2:7" s="106" customFormat="1" ht="50" hidden="1" outlineLevel="1">
      <c r="B49" s="107" t="s">
        <v>2059</v>
      </c>
      <c r="D49" s="115">
        <v>60000</v>
      </c>
    </row>
    <row r="50" spans="2:7" s="106" customFormat="1" ht="37.5" hidden="1" outlineLevel="1">
      <c r="B50" s="107" t="s">
        <v>2061</v>
      </c>
      <c r="D50" s="115">
        <v>275000</v>
      </c>
    </row>
    <row r="51" spans="2:7" s="106" customFormat="1" ht="50" hidden="1" outlineLevel="1">
      <c r="B51" s="107" t="s">
        <v>2063</v>
      </c>
      <c r="D51" s="115">
        <v>320000</v>
      </c>
    </row>
    <row r="52" spans="2:7" s="106" customFormat="1" ht="25" hidden="1" outlineLevel="1">
      <c r="B52" s="107" t="s">
        <v>2065</v>
      </c>
      <c r="D52" s="115">
        <v>60000</v>
      </c>
    </row>
    <row r="53" spans="2:7" collapsed="1">
      <c r="B53" t="s">
        <v>1340</v>
      </c>
      <c r="D53" s="113">
        <f>db!H676+db!H679</f>
        <v>2005000</v>
      </c>
    </row>
    <row r="54" spans="2:7">
      <c r="B54" s="110" t="s">
        <v>2205</v>
      </c>
      <c r="D54" s="112">
        <f>SUM(D55:D61)</f>
        <v>1844673047.8699999</v>
      </c>
    </row>
    <row r="55" spans="2:7" s="106" customFormat="1" ht="25" hidden="1" outlineLevel="1">
      <c r="B55" s="122" t="s">
        <v>2212</v>
      </c>
      <c r="D55" s="115">
        <f>3696300+db!H1184-db!H825-db!H827+db!H962+db!H992</f>
        <v>15162869.32</v>
      </c>
    </row>
    <row r="56" spans="2:7" s="106" customFormat="1" ht="25" hidden="1" outlineLevel="1">
      <c r="B56" s="122" t="s">
        <v>2213</v>
      </c>
      <c r="D56" s="115">
        <v>91741.5</v>
      </c>
      <c r="G56" s="120"/>
    </row>
    <row r="57" spans="2:7" s="106" customFormat="1" ht="25" hidden="1" outlineLevel="1">
      <c r="B57" s="107" t="s">
        <v>2214</v>
      </c>
      <c r="D57" s="115">
        <f>1361263663.81+db!H667+db!H818+db!H905+db!H976</f>
        <v>1368073511.8099999</v>
      </c>
      <c r="G57" s="120"/>
    </row>
    <row r="58" spans="2:7" s="106" customFormat="1" ht="25" hidden="1" outlineLevel="1">
      <c r="B58" s="107" t="s">
        <v>2215</v>
      </c>
      <c r="D58" s="115">
        <f>49905527.48+db!H975+db!H977+db!H978+db!H1037+db!H1347+db!H1038</f>
        <v>87050779.479999989</v>
      </c>
      <c r="G58" s="115"/>
    </row>
    <row r="59" spans="2:7" s="106" customFormat="1" ht="25" hidden="1" outlineLevel="1">
      <c r="B59" s="107" t="s">
        <v>2216</v>
      </c>
      <c r="D59" s="115">
        <f>12336662-db!H869</f>
        <v>19826662</v>
      </c>
    </row>
    <row r="60" spans="2:7" s="106" customFormat="1" ht="25" hidden="1" outlineLevel="1">
      <c r="B60" s="107" t="s">
        <v>2219</v>
      </c>
      <c r="D60" s="115">
        <v>74986770.760000005</v>
      </c>
    </row>
    <row r="61" spans="2:7" s="106" customFormat="1" ht="25" hidden="1" outlineLevel="1">
      <c r="B61" s="122" t="s">
        <v>2218</v>
      </c>
      <c r="D61" s="115">
        <v>279480713</v>
      </c>
    </row>
    <row r="62" spans="2:7" s="106" customFormat="1" collapsed="1">
      <c r="B62" s="122" t="s">
        <v>2220</v>
      </c>
      <c r="D62" s="115">
        <f>db!H1445+db!H1446+db!H1542</f>
        <v>12784000</v>
      </c>
    </row>
    <row r="63" spans="2:7" s="106" customFormat="1">
      <c r="B63" s="123" t="s">
        <v>2221</v>
      </c>
      <c r="D63" s="115">
        <f>db!H715</f>
        <v>310800</v>
      </c>
    </row>
    <row r="64" spans="2:7" s="106" customFormat="1">
      <c r="D64" s="115"/>
    </row>
    <row r="65" spans="1:6" s="106" customFormat="1" ht="13">
      <c r="A65" s="116" t="s">
        <v>2222</v>
      </c>
      <c r="B65"/>
      <c r="C65"/>
      <c r="D65" s="108">
        <f>SUM(D67:D83)</f>
        <v>4797470132.4700003</v>
      </c>
      <c r="E65" s="115">
        <v>2469750000</v>
      </c>
      <c r="F65" s="127">
        <f>D65-E65</f>
        <v>2327720132.4700003</v>
      </c>
    </row>
    <row r="66" spans="1:6" s="106" customFormat="1" ht="6.75" customHeight="1">
      <c r="D66" s="115"/>
    </row>
    <row r="67" spans="1:6" s="106" customFormat="1" ht="27" customHeight="1">
      <c r="B67" s="107" t="s">
        <v>2212</v>
      </c>
      <c r="D67" s="115">
        <v>73418220.830000013</v>
      </c>
    </row>
    <row r="68" spans="1:6" s="106" customFormat="1" ht="25">
      <c r="B68" s="107" t="s">
        <v>2223</v>
      </c>
      <c r="D68" s="115">
        <v>17304345</v>
      </c>
    </row>
    <row r="69" spans="1:6" s="106" customFormat="1" ht="25">
      <c r="B69" s="107" t="s">
        <v>2224</v>
      </c>
      <c r="D69" s="115">
        <v>1474746</v>
      </c>
    </row>
    <row r="70" spans="1:6" s="106" customFormat="1" ht="25">
      <c r="B70" s="107" t="s">
        <v>2225</v>
      </c>
      <c r="D70" s="115">
        <v>975653145.57999992</v>
      </c>
    </row>
    <row r="71" spans="1:6" s="106" customFormat="1" ht="25">
      <c r="B71" s="107" t="s">
        <v>2226</v>
      </c>
      <c r="D71" s="115">
        <v>6280186.7999999998</v>
      </c>
    </row>
    <row r="72" spans="1:6" s="106" customFormat="1" ht="25">
      <c r="B72" s="107" t="s">
        <v>2227</v>
      </c>
      <c r="D72" s="115">
        <v>608087119.10000002</v>
      </c>
    </row>
    <row r="73" spans="1:6" s="106" customFormat="1" ht="25">
      <c r="B73" s="107" t="s">
        <v>2228</v>
      </c>
      <c r="D73" s="115">
        <f>1313670761.75+363750-db!H1241</f>
        <v>1261587011.75</v>
      </c>
    </row>
    <row r="74" spans="1:6" s="106" customFormat="1" ht="25">
      <c r="B74" s="107" t="s">
        <v>2229</v>
      </c>
      <c r="D74" s="115">
        <v>350148450.74000001</v>
      </c>
    </row>
    <row r="75" spans="1:6" s="106" customFormat="1" ht="25">
      <c r="B75" s="107" t="s">
        <v>2230</v>
      </c>
      <c r="D75" s="115">
        <f>94986196.5+db!H1636</f>
        <v>150838247.25999999</v>
      </c>
    </row>
    <row r="76" spans="1:6" s="106" customFormat="1" ht="25">
      <c r="B76" s="107" t="s">
        <v>2216</v>
      </c>
      <c r="D76" s="115">
        <v>353398434</v>
      </c>
    </row>
    <row r="77" spans="1:6" s="106" customFormat="1" ht="25">
      <c r="B77" s="107" t="s">
        <v>2217</v>
      </c>
      <c r="D77" s="115">
        <v>63691074.549999997</v>
      </c>
    </row>
    <row r="78" spans="1:6" s="106" customFormat="1" ht="25">
      <c r="B78" s="107" t="s">
        <v>2231</v>
      </c>
      <c r="D78" s="115">
        <v>338242</v>
      </c>
    </row>
    <row r="79" spans="1:6" s="106" customFormat="1" ht="25">
      <c r="B79" s="107" t="s">
        <v>2232</v>
      </c>
      <c r="D79" s="115">
        <f>4485217669.86+3454320-db!H933</f>
        <v>345395569.85999966</v>
      </c>
    </row>
    <row r="80" spans="1:6" s="106" customFormat="1" ht="25">
      <c r="B80" s="107" t="s">
        <v>2233</v>
      </c>
      <c r="D80" s="115">
        <v>43630651</v>
      </c>
    </row>
    <row r="81" spans="2:4" s="106" customFormat="1" ht="25">
      <c r="B81" s="107" t="s">
        <v>2235</v>
      </c>
      <c r="D81" s="115">
        <v>7874706</v>
      </c>
    </row>
    <row r="82" spans="2:4" s="106" customFormat="1" ht="25">
      <c r="B82" s="107" t="s">
        <v>2234</v>
      </c>
      <c r="D82" s="115">
        <v>514484982</v>
      </c>
    </row>
    <row r="83" spans="2:4" s="106" customFormat="1" ht="25">
      <c r="B83" s="107" t="s">
        <v>2236</v>
      </c>
      <c r="D83" s="115">
        <v>23865000</v>
      </c>
    </row>
    <row r="84" spans="2:4" s="106" customFormat="1">
      <c r="B84" s="107"/>
      <c r="D84" s="126"/>
    </row>
    <row r="85" spans="2:4" s="106" customFormat="1">
      <c r="B85" s="107"/>
      <c r="D85" s="115"/>
    </row>
    <row r="86" spans="2:4">
      <c r="D86" s="112"/>
    </row>
    <row r="87" spans="2:4">
      <c r="D87" s="112"/>
    </row>
    <row r="88" spans="2:4">
      <c r="D88" s="112"/>
    </row>
    <row r="89" spans="2:4">
      <c r="D89" s="112"/>
    </row>
    <row r="90" spans="2:4">
      <c r="D90" s="112"/>
    </row>
    <row r="91" spans="2:4">
      <c r="D91" s="112"/>
    </row>
    <row r="92" spans="2:4">
      <c r="D92" s="112"/>
    </row>
    <row r="93" spans="2:4">
      <c r="D93" s="112"/>
    </row>
    <row r="94" spans="2:4">
      <c r="D94" s="112"/>
    </row>
    <row r="95" spans="2:4">
      <c r="D95" s="112"/>
    </row>
    <row r="96" spans="2:4">
      <c r="D96" s="112"/>
    </row>
    <row r="97" spans="4:4">
      <c r="D97" s="112"/>
    </row>
    <row r="98" spans="4:4">
      <c r="D98" s="112"/>
    </row>
    <row r="99" spans="4:4">
      <c r="D99" s="112"/>
    </row>
    <row r="100" spans="4:4">
      <c r="D100" s="112"/>
    </row>
    <row r="101" spans="4:4">
      <c r="D101" s="112"/>
    </row>
    <row r="102" spans="4:4">
      <c r="D102" s="112"/>
    </row>
    <row r="103" spans="4:4">
      <c r="D103" s="112"/>
    </row>
    <row r="104" spans="4:4">
      <c r="D104" s="112"/>
    </row>
    <row r="105" spans="4:4">
      <c r="D105" s="112"/>
    </row>
    <row r="106" spans="4:4">
      <c r="D106" s="112"/>
    </row>
    <row r="107" spans="4:4">
      <c r="D107" s="112"/>
    </row>
    <row r="108" spans="4:4">
      <c r="D108" s="112"/>
    </row>
    <row r="109" spans="4:4">
      <c r="D109" s="112"/>
    </row>
    <row r="110" spans="4:4">
      <c r="D110" s="112"/>
    </row>
    <row r="111" spans="4:4">
      <c r="D111" s="112"/>
    </row>
    <row r="112" spans="4:4">
      <c r="D112" s="112"/>
    </row>
    <row r="113" spans="4:4">
      <c r="D113" s="112"/>
    </row>
    <row r="114" spans="4:4">
      <c r="D114" s="112"/>
    </row>
    <row r="115" spans="4:4">
      <c r="D115" s="112"/>
    </row>
    <row r="116" spans="4:4">
      <c r="D116" s="112"/>
    </row>
    <row r="117" spans="4:4">
      <c r="D117" s="112"/>
    </row>
    <row r="118" spans="4:4">
      <c r="D118" s="112"/>
    </row>
    <row r="119" spans="4:4">
      <c r="D119" s="112"/>
    </row>
    <row r="120" spans="4:4">
      <c r="D120" s="112"/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742"/>
  <sheetViews>
    <sheetView showGridLines="0" topLeftCell="B1" zoomScale="99" zoomScaleNormal="95" workbookViewId="0">
      <selection activeCell="D695" sqref="D695"/>
    </sheetView>
  </sheetViews>
  <sheetFormatPr defaultColWidth="9.1796875" defaultRowHeight="12.5"/>
  <cols>
    <col min="1" max="1" width="4.1796875" style="1" customWidth="1"/>
    <col min="2" max="2" width="9.1796875" style="1"/>
    <col min="3" max="3" width="14.453125" style="1" bestFit="1" customWidth="1"/>
    <col min="4" max="4" width="14.1796875" style="102" customWidth="1"/>
    <col min="5" max="5" width="4.453125" style="1" bestFit="1" customWidth="1"/>
    <col min="6" max="6" width="29.1796875" style="1" customWidth="1"/>
    <col min="7" max="7" width="61" style="1" customWidth="1"/>
    <col min="8" max="8" width="14.54296875" style="65" customWidth="1"/>
    <col min="9" max="10" width="13.54296875" style="30" customWidth="1"/>
    <col min="11" max="16384" width="9.1796875" style="1"/>
  </cols>
  <sheetData>
    <row r="1" spans="2:10">
      <c r="F1" s="62"/>
      <c r="H1" s="172">
        <v>112426309109.94</v>
      </c>
    </row>
    <row r="2" spans="2:10">
      <c r="G2" s="36">
        <f>+H2-H1</f>
        <v>205853279297.20972</v>
      </c>
      <c r="H2" s="172">
        <f>+SUBTOTAL(9,H$4:H$1048576)</f>
        <v>318279588407.14972</v>
      </c>
      <c r="I2" s="30">
        <v>-32591772049.779999</v>
      </c>
    </row>
    <row r="3" spans="2:10">
      <c r="B3" s="37" t="s">
        <v>635</v>
      </c>
      <c r="C3" s="37" t="s">
        <v>586</v>
      </c>
      <c r="D3" s="103" t="s">
        <v>636</v>
      </c>
      <c r="E3" s="37" t="s">
        <v>136</v>
      </c>
      <c r="F3" s="37" t="s">
        <v>637</v>
      </c>
      <c r="G3" s="37" t="s">
        <v>137</v>
      </c>
      <c r="H3" s="125" t="s">
        <v>638</v>
      </c>
      <c r="I3" s="44" t="s">
        <v>951</v>
      </c>
      <c r="J3" s="44" t="s">
        <v>586</v>
      </c>
    </row>
    <row r="4" spans="2:10">
      <c r="B4" s="31">
        <v>43465</v>
      </c>
      <c r="C4" s="32" t="s">
        <v>164</v>
      </c>
      <c r="D4" s="32" t="s">
        <v>139</v>
      </c>
      <c r="E4" s="32" t="s">
        <v>140</v>
      </c>
      <c r="F4" s="32" t="s">
        <v>141</v>
      </c>
      <c r="G4" s="32" t="s">
        <v>165</v>
      </c>
      <c r="H4" s="91">
        <v>74137012.459999993</v>
      </c>
      <c r="I4" s="33">
        <v>2018</v>
      </c>
      <c r="J4" s="34">
        <v>42</v>
      </c>
    </row>
    <row r="5" spans="2:10">
      <c r="B5" s="31">
        <v>43496</v>
      </c>
      <c r="C5" s="32" t="s">
        <v>157</v>
      </c>
      <c r="D5" s="32" t="s">
        <v>139</v>
      </c>
      <c r="E5" s="32" t="s">
        <v>140</v>
      </c>
      <c r="F5" s="32" t="s">
        <v>158</v>
      </c>
      <c r="G5" s="32" t="s">
        <v>159</v>
      </c>
      <c r="H5" s="91">
        <v>49500000</v>
      </c>
      <c r="I5" s="33">
        <v>2019</v>
      </c>
      <c r="J5" s="34">
        <v>42</v>
      </c>
    </row>
    <row r="6" spans="2:10">
      <c r="B6" s="31">
        <v>43496</v>
      </c>
      <c r="C6" s="32" t="s">
        <v>160</v>
      </c>
      <c r="D6" s="32" t="s">
        <v>139</v>
      </c>
      <c r="E6" s="32" t="s">
        <v>140</v>
      </c>
      <c r="F6" s="32" t="s">
        <v>161</v>
      </c>
      <c r="G6" s="32" t="s">
        <v>162</v>
      </c>
      <c r="H6" s="91">
        <v>16500000</v>
      </c>
      <c r="I6" s="33">
        <v>2019</v>
      </c>
      <c r="J6" s="34">
        <v>42</v>
      </c>
    </row>
    <row r="7" spans="2:10">
      <c r="B7" s="31">
        <v>43496</v>
      </c>
      <c r="C7" s="32" t="s">
        <v>160</v>
      </c>
      <c r="D7" s="32" t="s">
        <v>139</v>
      </c>
      <c r="E7" s="32" t="s">
        <v>140</v>
      </c>
      <c r="F7" s="32" t="s">
        <v>161</v>
      </c>
      <c r="G7" s="32" t="s">
        <v>162</v>
      </c>
      <c r="H7" s="91">
        <v>16500000</v>
      </c>
      <c r="I7" s="33">
        <v>2019</v>
      </c>
      <c r="J7" s="34">
        <v>42</v>
      </c>
    </row>
    <row r="8" spans="2:10">
      <c r="B8" s="31">
        <v>43496</v>
      </c>
      <c r="C8" s="32" t="s">
        <v>157</v>
      </c>
      <c r="D8" s="32" t="s">
        <v>139</v>
      </c>
      <c r="E8" s="32" t="s">
        <v>140</v>
      </c>
      <c r="F8" s="32" t="s">
        <v>158</v>
      </c>
      <c r="G8" s="32" t="s">
        <v>163</v>
      </c>
      <c r="H8" s="91">
        <v>16500000</v>
      </c>
      <c r="I8" s="33">
        <v>2019</v>
      </c>
      <c r="J8" s="34">
        <v>42</v>
      </c>
    </row>
    <row r="9" spans="2:10">
      <c r="B9" s="31">
        <v>43496</v>
      </c>
      <c r="C9" s="32" t="s">
        <v>166</v>
      </c>
      <c r="D9" s="32" t="s">
        <v>139</v>
      </c>
      <c r="E9" s="32" t="s">
        <v>140</v>
      </c>
      <c r="F9" s="32" t="s">
        <v>141</v>
      </c>
      <c r="G9" s="32" t="s">
        <v>165</v>
      </c>
      <c r="H9" s="91">
        <v>144226500</v>
      </c>
      <c r="I9" s="33">
        <v>2019</v>
      </c>
      <c r="J9" s="34">
        <v>42</v>
      </c>
    </row>
    <row r="10" spans="2:10">
      <c r="B10" s="31">
        <v>43524</v>
      </c>
      <c r="C10" s="32" t="s">
        <v>167</v>
      </c>
      <c r="D10" s="32" t="s">
        <v>139</v>
      </c>
      <c r="E10" s="32" t="s">
        <v>140</v>
      </c>
      <c r="F10" s="32" t="s">
        <v>141</v>
      </c>
      <c r="G10" s="32" t="s">
        <v>165</v>
      </c>
      <c r="H10" s="91">
        <v>542591454</v>
      </c>
      <c r="I10" s="33">
        <v>2019</v>
      </c>
      <c r="J10" s="34">
        <v>42</v>
      </c>
    </row>
    <row r="11" spans="2:10">
      <c r="B11" s="31">
        <v>43555</v>
      </c>
      <c r="C11" s="32" t="s">
        <v>168</v>
      </c>
      <c r="D11" s="32" t="s">
        <v>139</v>
      </c>
      <c r="E11" s="32" t="s">
        <v>140</v>
      </c>
      <c r="F11" s="32" t="s">
        <v>141</v>
      </c>
      <c r="G11" s="32" t="s">
        <v>165</v>
      </c>
      <c r="H11" s="91">
        <v>121464200</v>
      </c>
      <c r="I11" s="33">
        <v>2019</v>
      </c>
      <c r="J11" s="34">
        <v>42</v>
      </c>
    </row>
    <row r="12" spans="2:10" ht="14">
      <c r="B12" s="31">
        <v>43555</v>
      </c>
      <c r="C12" s="32" t="s">
        <v>240</v>
      </c>
      <c r="D12" s="32" t="s">
        <v>139</v>
      </c>
      <c r="E12" s="32" t="s">
        <v>140</v>
      </c>
      <c r="F12" s="32" t="s">
        <v>241</v>
      </c>
      <c r="G12" s="32"/>
      <c r="H12" s="91">
        <v>118620</v>
      </c>
      <c r="I12" s="33">
        <v>2019</v>
      </c>
      <c r="J12" s="35">
        <v>329</v>
      </c>
    </row>
    <row r="13" spans="2:10">
      <c r="B13" s="31">
        <v>43585</v>
      </c>
      <c r="C13" s="32" t="s">
        <v>169</v>
      </c>
      <c r="D13" s="32" t="s">
        <v>139</v>
      </c>
      <c r="E13" s="32" t="s">
        <v>140</v>
      </c>
      <c r="F13" s="32" t="s">
        <v>170</v>
      </c>
      <c r="G13" s="32" t="s">
        <v>171</v>
      </c>
      <c r="H13" s="91">
        <v>-10725000</v>
      </c>
      <c r="I13" s="33">
        <v>2019</v>
      </c>
      <c r="J13" s="34">
        <v>42</v>
      </c>
    </row>
    <row r="14" spans="2:10">
      <c r="B14" s="31">
        <v>43585</v>
      </c>
      <c r="C14" s="32" t="s">
        <v>172</v>
      </c>
      <c r="D14" s="32" t="s">
        <v>139</v>
      </c>
      <c r="E14" s="32" t="s">
        <v>140</v>
      </c>
      <c r="F14" s="32" t="s">
        <v>141</v>
      </c>
      <c r="G14" s="32" t="s">
        <v>165</v>
      </c>
      <c r="H14" s="91">
        <v>385505711.79000002</v>
      </c>
      <c r="I14" s="33">
        <v>2019</v>
      </c>
      <c r="J14" s="34">
        <v>42</v>
      </c>
    </row>
    <row r="15" spans="2:10" ht="14">
      <c r="B15" s="31">
        <v>43585</v>
      </c>
      <c r="C15" s="32" t="s">
        <v>252</v>
      </c>
      <c r="D15" s="32" t="s">
        <v>139</v>
      </c>
      <c r="E15" s="32" t="s">
        <v>140</v>
      </c>
      <c r="F15" s="32" t="s">
        <v>253</v>
      </c>
      <c r="G15" s="32"/>
      <c r="H15" s="91">
        <v>237240</v>
      </c>
      <c r="I15" s="33">
        <v>2019</v>
      </c>
      <c r="J15" s="35">
        <v>329</v>
      </c>
    </row>
    <row r="16" spans="2:10" ht="14">
      <c r="B16" s="31">
        <v>43585</v>
      </c>
      <c r="C16" s="32" t="s">
        <v>252</v>
      </c>
      <c r="D16" s="32" t="s">
        <v>139</v>
      </c>
      <c r="E16" s="32" t="s">
        <v>140</v>
      </c>
      <c r="F16" s="32" t="s">
        <v>253</v>
      </c>
      <c r="G16" s="32"/>
      <c r="H16" s="91">
        <v>237240</v>
      </c>
      <c r="I16" s="33">
        <v>2019</v>
      </c>
      <c r="J16" s="35">
        <v>329</v>
      </c>
    </row>
    <row r="17" spans="2:10" ht="14">
      <c r="B17" s="31">
        <v>43585</v>
      </c>
      <c r="C17" s="32" t="s">
        <v>252</v>
      </c>
      <c r="D17" s="32" t="s">
        <v>139</v>
      </c>
      <c r="E17" s="32" t="s">
        <v>140</v>
      </c>
      <c r="F17" s="32" t="s">
        <v>253</v>
      </c>
      <c r="G17" s="32"/>
      <c r="H17" s="91">
        <v>106758</v>
      </c>
      <c r="I17" s="33">
        <v>2019</v>
      </c>
      <c r="J17" s="35">
        <v>329</v>
      </c>
    </row>
    <row r="18" spans="2:10" ht="14">
      <c r="B18" s="31">
        <v>43587</v>
      </c>
      <c r="C18" s="32" t="s">
        <v>334</v>
      </c>
      <c r="D18" s="32" t="s">
        <v>139</v>
      </c>
      <c r="E18" s="32" t="s">
        <v>140</v>
      </c>
      <c r="F18" s="32" t="s">
        <v>335</v>
      </c>
      <c r="G18" s="32" t="s">
        <v>336</v>
      </c>
      <c r="H18" s="91">
        <v>192500000</v>
      </c>
      <c r="I18" s="33">
        <v>2019</v>
      </c>
      <c r="J18" s="35" t="s">
        <v>2280</v>
      </c>
    </row>
    <row r="19" spans="2:10" ht="14">
      <c r="B19" s="31">
        <v>43587</v>
      </c>
      <c r="C19" s="32" t="s">
        <v>337</v>
      </c>
      <c r="D19" s="32" t="s">
        <v>139</v>
      </c>
      <c r="E19" s="32" t="s">
        <v>140</v>
      </c>
      <c r="F19" s="32" t="s">
        <v>335</v>
      </c>
      <c r="G19" s="32" t="s">
        <v>338</v>
      </c>
      <c r="H19" s="91">
        <v>27500000</v>
      </c>
      <c r="I19" s="33">
        <v>2019</v>
      </c>
      <c r="J19" s="35" t="s">
        <v>2280</v>
      </c>
    </row>
    <row r="20" spans="2:10" ht="14">
      <c r="B20" s="31">
        <v>43587</v>
      </c>
      <c r="C20" s="32" t="s">
        <v>339</v>
      </c>
      <c r="D20" s="32" t="s">
        <v>139</v>
      </c>
      <c r="E20" s="32" t="s">
        <v>140</v>
      </c>
      <c r="F20" s="32" t="s">
        <v>340</v>
      </c>
      <c r="G20" s="32" t="s">
        <v>341</v>
      </c>
      <c r="H20" s="91">
        <v>165000000</v>
      </c>
      <c r="I20" s="33">
        <v>2019</v>
      </c>
      <c r="J20" s="35" t="s">
        <v>2280</v>
      </c>
    </row>
    <row r="21" spans="2:10">
      <c r="B21" s="31">
        <v>43616</v>
      </c>
      <c r="C21" s="32" t="s">
        <v>138</v>
      </c>
      <c r="D21" s="32" t="s">
        <v>139</v>
      </c>
      <c r="E21" s="32" t="s">
        <v>140</v>
      </c>
      <c r="F21" s="32" t="s">
        <v>141</v>
      </c>
      <c r="G21" s="32" t="s">
        <v>142</v>
      </c>
      <c r="H21" s="91">
        <v>6723816</v>
      </c>
      <c r="I21" s="33">
        <v>2019</v>
      </c>
      <c r="J21" s="34">
        <v>327</v>
      </c>
    </row>
    <row r="22" spans="2:10">
      <c r="B22" s="31">
        <v>43616</v>
      </c>
      <c r="C22" s="32" t="s">
        <v>138</v>
      </c>
      <c r="D22" s="32" t="s">
        <v>139</v>
      </c>
      <c r="E22" s="32" t="s">
        <v>140</v>
      </c>
      <c r="F22" s="32" t="s">
        <v>141</v>
      </c>
      <c r="G22" s="32" t="s">
        <v>143</v>
      </c>
      <c r="H22" s="91">
        <v>6723816</v>
      </c>
      <c r="I22" s="33">
        <v>2019</v>
      </c>
      <c r="J22" s="34">
        <v>327</v>
      </c>
    </row>
    <row r="23" spans="2:10" ht="14">
      <c r="B23" s="31">
        <v>43616</v>
      </c>
      <c r="C23" s="32" t="s">
        <v>244</v>
      </c>
      <c r="D23" s="32" t="s">
        <v>139</v>
      </c>
      <c r="E23" s="32" t="s">
        <v>140</v>
      </c>
      <c r="F23" s="32" t="s">
        <v>245</v>
      </c>
      <c r="G23" s="32"/>
      <c r="H23" s="91">
        <v>118620</v>
      </c>
      <c r="I23" s="33">
        <v>2019</v>
      </c>
      <c r="J23" s="35">
        <v>329</v>
      </c>
    </row>
    <row r="24" spans="2:10" ht="14">
      <c r="B24" s="31">
        <v>43616</v>
      </c>
      <c r="C24" s="32" t="s">
        <v>248</v>
      </c>
      <c r="D24" s="32" t="s">
        <v>139</v>
      </c>
      <c r="E24" s="32" t="s">
        <v>140</v>
      </c>
      <c r="F24" s="32" t="s">
        <v>249</v>
      </c>
      <c r="G24" s="32"/>
      <c r="H24" s="91">
        <v>237240</v>
      </c>
      <c r="I24" s="33">
        <v>2019</v>
      </c>
      <c r="J24" s="35">
        <v>329</v>
      </c>
    </row>
    <row r="25" spans="2:10">
      <c r="B25" s="31">
        <v>43646</v>
      </c>
      <c r="C25" s="32" t="s">
        <v>144</v>
      </c>
      <c r="D25" s="32" t="s">
        <v>139</v>
      </c>
      <c r="E25" s="32" t="s">
        <v>140</v>
      </c>
      <c r="F25" s="32" t="s">
        <v>141</v>
      </c>
      <c r="G25" s="32" t="s">
        <v>142</v>
      </c>
      <c r="H25" s="91">
        <v>22289424.629999999</v>
      </c>
      <c r="I25" s="33">
        <v>2019</v>
      </c>
      <c r="J25" s="34">
        <v>327</v>
      </c>
    </row>
    <row r="26" spans="2:10">
      <c r="B26" s="31">
        <v>43646</v>
      </c>
      <c r="C26" s="32" t="s">
        <v>144</v>
      </c>
      <c r="D26" s="32" t="s">
        <v>139</v>
      </c>
      <c r="E26" s="32" t="s">
        <v>140</v>
      </c>
      <c r="F26" s="32" t="s">
        <v>141</v>
      </c>
      <c r="G26" s="32" t="s">
        <v>145</v>
      </c>
      <c r="H26" s="91">
        <v>124719847.66</v>
      </c>
      <c r="I26" s="33">
        <v>2019</v>
      </c>
      <c r="J26" s="34">
        <v>327</v>
      </c>
    </row>
    <row r="27" spans="2:10">
      <c r="B27" s="31">
        <v>43646</v>
      </c>
      <c r="C27" s="32" t="s">
        <v>144</v>
      </c>
      <c r="D27" s="32" t="s">
        <v>139</v>
      </c>
      <c r="E27" s="32" t="s">
        <v>140</v>
      </c>
      <c r="F27" s="32" t="s">
        <v>141</v>
      </c>
      <c r="G27" s="32" t="s">
        <v>143</v>
      </c>
      <c r="H27" s="91">
        <v>92223142.040000007</v>
      </c>
      <c r="I27" s="33">
        <v>2019</v>
      </c>
      <c r="J27" s="34">
        <v>327</v>
      </c>
    </row>
    <row r="28" spans="2:10">
      <c r="B28" s="31">
        <v>43646</v>
      </c>
      <c r="C28" s="32" t="s">
        <v>144</v>
      </c>
      <c r="D28" s="32" t="s">
        <v>139</v>
      </c>
      <c r="E28" s="32" t="s">
        <v>140</v>
      </c>
      <c r="F28" s="32" t="s">
        <v>141</v>
      </c>
      <c r="G28" s="32" t="s">
        <v>146</v>
      </c>
      <c r="H28" s="91">
        <v>82252496.569999993</v>
      </c>
      <c r="I28" s="33">
        <v>2019</v>
      </c>
      <c r="J28" s="34">
        <v>327</v>
      </c>
    </row>
    <row r="29" spans="2:10">
      <c r="B29" s="31">
        <v>43646</v>
      </c>
      <c r="C29" s="32" t="s">
        <v>144</v>
      </c>
      <c r="D29" s="32" t="s">
        <v>139</v>
      </c>
      <c r="E29" s="32" t="s">
        <v>140</v>
      </c>
      <c r="F29" s="32" t="s">
        <v>141</v>
      </c>
      <c r="G29" s="32" t="s">
        <v>165</v>
      </c>
      <c r="H29" s="91">
        <v>5423000</v>
      </c>
      <c r="I29" s="33">
        <v>2019</v>
      </c>
      <c r="J29" s="34">
        <v>42</v>
      </c>
    </row>
    <row r="30" spans="2:10" ht="14">
      <c r="B30" s="31">
        <v>43646</v>
      </c>
      <c r="C30" s="32" t="s">
        <v>242</v>
      </c>
      <c r="D30" s="32" t="s">
        <v>139</v>
      </c>
      <c r="E30" s="32" t="s">
        <v>140</v>
      </c>
      <c r="F30" s="32" t="s">
        <v>243</v>
      </c>
      <c r="G30" s="32"/>
      <c r="H30" s="91">
        <v>118620</v>
      </c>
      <c r="I30" s="33">
        <v>2019</v>
      </c>
      <c r="J30" s="35">
        <v>329</v>
      </c>
    </row>
    <row r="31" spans="2:10" ht="14">
      <c r="B31" s="31">
        <v>43646</v>
      </c>
      <c r="C31" s="32" t="s">
        <v>242</v>
      </c>
      <c r="D31" s="32" t="s">
        <v>139</v>
      </c>
      <c r="E31" s="32" t="s">
        <v>140</v>
      </c>
      <c r="F31" s="32" t="s">
        <v>243</v>
      </c>
      <c r="G31" s="32"/>
      <c r="H31" s="91">
        <v>474480</v>
      </c>
      <c r="I31" s="33">
        <v>2019</v>
      </c>
      <c r="J31" s="35">
        <v>329</v>
      </c>
    </row>
    <row r="32" spans="2:10" ht="14">
      <c r="B32" s="31">
        <v>43646</v>
      </c>
      <c r="C32" s="32" t="s">
        <v>246</v>
      </c>
      <c r="D32" s="32" t="s">
        <v>139</v>
      </c>
      <c r="E32" s="32" t="s">
        <v>140</v>
      </c>
      <c r="F32" s="32" t="s">
        <v>247</v>
      </c>
      <c r="G32" s="32"/>
      <c r="H32" s="91">
        <v>474480</v>
      </c>
      <c r="I32" s="33">
        <v>2019</v>
      </c>
      <c r="J32" s="35">
        <v>329</v>
      </c>
    </row>
    <row r="33" spans="2:10" ht="14">
      <c r="B33" s="31">
        <v>43650</v>
      </c>
      <c r="C33" s="32" t="s">
        <v>250</v>
      </c>
      <c r="D33" s="32" t="s">
        <v>139</v>
      </c>
      <c r="E33" s="32" t="s">
        <v>140</v>
      </c>
      <c r="F33" s="32" t="s">
        <v>251</v>
      </c>
      <c r="G33" s="32"/>
      <c r="H33" s="91">
        <v>711720</v>
      </c>
      <c r="I33" s="33">
        <v>2019</v>
      </c>
      <c r="J33" s="35">
        <v>329</v>
      </c>
    </row>
    <row r="34" spans="2:10" ht="14">
      <c r="B34" s="31">
        <v>43650</v>
      </c>
      <c r="C34" s="32" t="s">
        <v>250</v>
      </c>
      <c r="D34" s="32" t="s">
        <v>139</v>
      </c>
      <c r="E34" s="32" t="s">
        <v>140</v>
      </c>
      <c r="F34" s="32" t="s">
        <v>251</v>
      </c>
      <c r="G34" s="32"/>
      <c r="H34" s="91">
        <v>474480</v>
      </c>
      <c r="I34" s="33">
        <v>2019</v>
      </c>
      <c r="J34" s="35">
        <v>329</v>
      </c>
    </row>
    <row r="35" spans="2:10">
      <c r="B35" s="31">
        <v>43677</v>
      </c>
      <c r="C35" s="32" t="s">
        <v>173</v>
      </c>
      <c r="D35" s="32" t="s">
        <v>139</v>
      </c>
      <c r="E35" s="32" t="s">
        <v>140</v>
      </c>
      <c r="F35" s="32" t="s">
        <v>141</v>
      </c>
      <c r="G35" s="32" t="s">
        <v>165</v>
      </c>
      <c r="H35" s="91">
        <v>54994500</v>
      </c>
      <c r="I35" s="33">
        <v>2019</v>
      </c>
      <c r="J35" s="34">
        <v>42</v>
      </c>
    </row>
    <row r="36" spans="2:10">
      <c r="B36" s="31">
        <v>43677</v>
      </c>
      <c r="C36" s="32" t="s">
        <v>173</v>
      </c>
      <c r="D36" s="32" t="s">
        <v>139</v>
      </c>
      <c r="E36" s="32" t="s">
        <v>140</v>
      </c>
      <c r="F36" s="32" t="s">
        <v>141</v>
      </c>
      <c r="G36" s="32" t="s">
        <v>174</v>
      </c>
      <c r="H36" s="91">
        <v>42523502.039999999</v>
      </c>
      <c r="I36" s="33">
        <v>2019</v>
      </c>
      <c r="J36" s="34">
        <v>42</v>
      </c>
    </row>
    <row r="37" spans="2:10">
      <c r="B37" s="31">
        <v>43677</v>
      </c>
      <c r="C37" s="32" t="s">
        <v>173</v>
      </c>
      <c r="D37" s="32" t="s">
        <v>139</v>
      </c>
      <c r="E37" s="32" t="s">
        <v>140</v>
      </c>
      <c r="F37" s="32" t="s">
        <v>141</v>
      </c>
      <c r="G37" s="32" t="s">
        <v>175</v>
      </c>
      <c r="H37" s="91">
        <v>32636863.02</v>
      </c>
      <c r="I37" s="33">
        <v>2019</v>
      </c>
      <c r="J37" s="34">
        <v>42</v>
      </c>
    </row>
    <row r="38" spans="2:10">
      <c r="B38" s="31">
        <v>43708</v>
      </c>
      <c r="C38" s="32" t="s">
        <v>176</v>
      </c>
      <c r="D38" s="32" t="s">
        <v>139</v>
      </c>
      <c r="E38" s="32" t="s">
        <v>140</v>
      </c>
      <c r="F38" s="32" t="s">
        <v>141</v>
      </c>
      <c r="G38" s="32" t="s">
        <v>174</v>
      </c>
      <c r="H38" s="91">
        <v>121440000</v>
      </c>
      <c r="I38" s="33">
        <v>2019</v>
      </c>
      <c r="J38" s="34">
        <v>42</v>
      </c>
    </row>
    <row r="39" spans="2:10">
      <c r="B39" s="31">
        <v>43708</v>
      </c>
      <c r="C39" s="32" t="s">
        <v>176</v>
      </c>
      <c r="D39" s="32" t="s">
        <v>139</v>
      </c>
      <c r="E39" s="32" t="s">
        <v>140</v>
      </c>
      <c r="F39" s="32" t="s">
        <v>141</v>
      </c>
      <c r="G39" s="32" t="s">
        <v>175</v>
      </c>
      <c r="H39" s="91">
        <v>128920000</v>
      </c>
      <c r="I39" s="33">
        <v>2019</v>
      </c>
      <c r="J39" s="34">
        <v>42</v>
      </c>
    </row>
    <row r="40" spans="2:10">
      <c r="B40" s="31">
        <v>43708</v>
      </c>
      <c r="C40" s="32" t="s">
        <v>176</v>
      </c>
      <c r="D40" s="32" t="s">
        <v>139</v>
      </c>
      <c r="E40" s="32" t="s">
        <v>140</v>
      </c>
      <c r="F40" s="32" t="s">
        <v>141</v>
      </c>
      <c r="G40" s="32" t="s">
        <v>165</v>
      </c>
      <c r="H40" s="91">
        <v>145640000</v>
      </c>
      <c r="I40" s="33">
        <v>2019</v>
      </c>
      <c r="J40" s="34">
        <v>42</v>
      </c>
    </row>
    <row r="41" spans="2:10">
      <c r="B41" s="31">
        <v>43708</v>
      </c>
      <c r="C41" s="32" t="s">
        <v>201</v>
      </c>
      <c r="D41" s="32" t="s">
        <v>139</v>
      </c>
      <c r="E41" s="32" t="s">
        <v>140</v>
      </c>
      <c r="F41" s="32" t="s">
        <v>202</v>
      </c>
      <c r="G41" s="32" t="s">
        <v>203</v>
      </c>
      <c r="H41" s="91">
        <v>22000</v>
      </c>
      <c r="I41" s="33">
        <v>2019</v>
      </c>
      <c r="J41" s="34">
        <v>42</v>
      </c>
    </row>
    <row r="42" spans="2:10" ht="14">
      <c r="B42" s="31">
        <v>43708</v>
      </c>
      <c r="C42" s="32" t="s">
        <v>204</v>
      </c>
      <c r="D42" s="32" t="s">
        <v>139</v>
      </c>
      <c r="E42" s="32" t="s">
        <v>140</v>
      </c>
      <c r="F42" s="32" t="s">
        <v>205</v>
      </c>
      <c r="G42" s="32" t="s">
        <v>206</v>
      </c>
      <c r="H42" s="91">
        <v>673000</v>
      </c>
      <c r="I42" s="33">
        <v>2019</v>
      </c>
      <c r="J42" s="35" t="s">
        <v>584</v>
      </c>
    </row>
    <row r="43" spans="2:10" ht="14">
      <c r="B43" s="31">
        <v>43726</v>
      </c>
      <c r="C43" s="32" t="s">
        <v>213</v>
      </c>
      <c r="D43" s="32" t="s">
        <v>139</v>
      </c>
      <c r="E43" s="32" t="s">
        <v>140</v>
      </c>
      <c r="F43" s="32" t="s">
        <v>214</v>
      </c>
      <c r="G43" s="32" t="s">
        <v>215</v>
      </c>
      <c r="H43" s="91">
        <v>25000000</v>
      </c>
      <c r="I43" s="33">
        <v>2019</v>
      </c>
      <c r="J43" s="35" t="s">
        <v>584</v>
      </c>
    </row>
    <row r="44" spans="2:10" ht="14">
      <c r="B44" s="31">
        <v>43726</v>
      </c>
      <c r="C44" s="32" t="s">
        <v>216</v>
      </c>
      <c r="D44" s="32" t="s">
        <v>139</v>
      </c>
      <c r="E44" s="32" t="s">
        <v>140</v>
      </c>
      <c r="F44" s="32" t="s">
        <v>214</v>
      </c>
      <c r="G44" s="32" t="s">
        <v>217</v>
      </c>
      <c r="H44" s="91">
        <v>12300000</v>
      </c>
      <c r="I44" s="33">
        <v>2019</v>
      </c>
      <c r="J44" s="35" t="s">
        <v>584</v>
      </c>
    </row>
    <row r="45" spans="2:10" ht="14">
      <c r="B45" s="31">
        <v>43742</v>
      </c>
      <c r="C45" s="32" t="s">
        <v>207</v>
      </c>
      <c r="D45" s="32" t="s">
        <v>139</v>
      </c>
      <c r="E45" s="32" t="s">
        <v>140</v>
      </c>
      <c r="F45" s="32" t="s">
        <v>208</v>
      </c>
      <c r="G45" s="32" t="s">
        <v>209</v>
      </c>
      <c r="H45" s="91">
        <v>25000000</v>
      </c>
      <c r="I45" s="33">
        <v>2019</v>
      </c>
      <c r="J45" s="35" t="s">
        <v>584</v>
      </c>
    </row>
    <row r="46" spans="2:10" ht="14">
      <c r="B46" s="31">
        <v>43753</v>
      </c>
      <c r="C46" s="32" t="s">
        <v>218</v>
      </c>
      <c r="D46" s="32" t="s">
        <v>139</v>
      </c>
      <c r="E46" s="32" t="s">
        <v>140</v>
      </c>
      <c r="F46" s="32" t="s">
        <v>214</v>
      </c>
      <c r="G46" s="32" t="s">
        <v>219</v>
      </c>
      <c r="H46" s="91">
        <v>2257600</v>
      </c>
      <c r="I46" s="33">
        <v>2019</v>
      </c>
      <c r="J46" s="35" t="s">
        <v>584</v>
      </c>
    </row>
    <row r="47" spans="2:10" ht="14">
      <c r="B47" s="31">
        <v>43761</v>
      </c>
      <c r="C47" s="32" t="s">
        <v>210</v>
      </c>
      <c r="D47" s="32" t="s">
        <v>139</v>
      </c>
      <c r="E47" s="32" t="s">
        <v>140</v>
      </c>
      <c r="F47" s="32" t="s">
        <v>211</v>
      </c>
      <c r="G47" s="32" t="s">
        <v>212</v>
      </c>
      <c r="H47" s="91">
        <v>-7500000</v>
      </c>
      <c r="I47" s="33">
        <v>2019</v>
      </c>
      <c r="J47" s="35" t="s">
        <v>584</v>
      </c>
    </row>
    <row r="48" spans="2:10" ht="14">
      <c r="B48" s="31">
        <v>43766</v>
      </c>
      <c r="C48" s="32" t="s">
        <v>220</v>
      </c>
      <c r="D48" s="32" t="s">
        <v>139</v>
      </c>
      <c r="E48" s="32" t="s">
        <v>140</v>
      </c>
      <c r="F48" s="32" t="s">
        <v>214</v>
      </c>
      <c r="G48" s="32" t="s">
        <v>221</v>
      </c>
      <c r="H48" s="91">
        <v>3850000</v>
      </c>
      <c r="I48" s="33">
        <v>2019</v>
      </c>
      <c r="J48" s="35" t="s">
        <v>584</v>
      </c>
    </row>
    <row r="49" spans="2:10">
      <c r="B49" s="31">
        <v>43769</v>
      </c>
      <c r="C49" s="32" t="s">
        <v>177</v>
      </c>
      <c r="D49" s="32" t="s">
        <v>139</v>
      </c>
      <c r="E49" s="32" t="s">
        <v>140</v>
      </c>
      <c r="F49" s="32" t="s">
        <v>141</v>
      </c>
      <c r="G49" s="32" t="s">
        <v>165</v>
      </c>
      <c r="H49" s="91">
        <v>446730674.24000001</v>
      </c>
      <c r="I49" s="33">
        <v>2019</v>
      </c>
      <c r="J49" s="34">
        <v>42</v>
      </c>
    </row>
    <row r="50" spans="2:10">
      <c r="B50" s="31">
        <v>43799</v>
      </c>
      <c r="C50" s="32" t="s">
        <v>178</v>
      </c>
      <c r="D50" s="32" t="s">
        <v>139</v>
      </c>
      <c r="E50" s="32" t="s">
        <v>140</v>
      </c>
      <c r="F50" s="32" t="s">
        <v>141</v>
      </c>
      <c r="G50" s="32" t="s">
        <v>165</v>
      </c>
      <c r="H50" s="91">
        <v>342100630</v>
      </c>
      <c r="I50" s="33">
        <v>2019</v>
      </c>
      <c r="J50" s="34">
        <v>42</v>
      </c>
    </row>
    <row r="51" spans="2:10">
      <c r="B51" s="31">
        <v>43830</v>
      </c>
      <c r="C51" s="32" t="s">
        <v>179</v>
      </c>
      <c r="D51" s="32" t="s">
        <v>139</v>
      </c>
      <c r="E51" s="32" t="s">
        <v>140</v>
      </c>
      <c r="F51" s="32" t="s">
        <v>141</v>
      </c>
      <c r="G51" s="32" t="s">
        <v>165</v>
      </c>
      <c r="H51" s="91">
        <v>81297444.650000006</v>
      </c>
      <c r="I51" s="33">
        <v>2019</v>
      </c>
      <c r="J51" s="34">
        <v>42</v>
      </c>
    </row>
    <row r="52" spans="2:10">
      <c r="B52" s="31">
        <v>43890</v>
      </c>
      <c r="C52" s="32" t="s">
        <v>180</v>
      </c>
      <c r="D52" s="32" t="s">
        <v>139</v>
      </c>
      <c r="E52" s="32" t="s">
        <v>140</v>
      </c>
      <c r="F52" s="32" t="s">
        <v>141</v>
      </c>
      <c r="G52" s="32" t="s">
        <v>165</v>
      </c>
      <c r="H52" s="91">
        <v>0</v>
      </c>
      <c r="I52" s="33">
        <v>2020</v>
      </c>
      <c r="J52" s="34">
        <v>42</v>
      </c>
    </row>
    <row r="53" spans="2:10">
      <c r="B53" s="31">
        <v>43921</v>
      </c>
      <c r="C53" s="32" t="s">
        <v>181</v>
      </c>
      <c r="D53" s="32" t="s">
        <v>139</v>
      </c>
      <c r="E53" s="32" t="s">
        <v>140</v>
      </c>
      <c r="F53" s="32" t="s">
        <v>141</v>
      </c>
      <c r="G53" s="32" t="s">
        <v>165</v>
      </c>
      <c r="H53" s="91">
        <v>308000000</v>
      </c>
      <c r="I53" s="33">
        <v>2020</v>
      </c>
      <c r="J53" s="34">
        <v>42</v>
      </c>
    </row>
    <row r="54" spans="2:10">
      <c r="B54" s="31">
        <v>43951</v>
      </c>
      <c r="C54" s="32" t="s">
        <v>182</v>
      </c>
      <c r="D54" s="32" t="s">
        <v>139</v>
      </c>
      <c r="E54" s="32" t="s">
        <v>140</v>
      </c>
      <c r="F54" s="32" t="s">
        <v>141</v>
      </c>
      <c r="G54" s="32" t="s">
        <v>165</v>
      </c>
      <c r="H54" s="91">
        <v>220000000</v>
      </c>
      <c r="I54" s="33">
        <v>2020</v>
      </c>
      <c r="J54" s="34">
        <v>42</v>
      </c>
    </row>
    <row r="55" spans="2:10">
      <c r="B55" s="31">
        <v>43982</v>
      </c>
      <c r="C55" s="32" t="s">
        <v>183</v>
      </c>
      <c r="D55" s="32" t="s">
        <v>139</v>
      </c>
      <c r="E55" s="32" t="s">
        <v>140</v>
      </c>
      <c r="F55" s="32" t="s">
        <v>141</v>
      </c>
      <c r="G55" s="32" t="s">
        <v>165</v>
      </c>
      <c r="H55" s="91">
        <v>176000000</v>
      </c>
      <c r="I55" s="33">
        <v>2020</v>
      </c>
      <c r="J55" s="34">
        <v>42</v>
      </c>
    </row>
    <row r="56" spans="2:10">
      <c r="B56" s="31">
        <v>44012</v>
      </c>
      <c r="C56" s="32" t="s">
        <v>184</v>
      </c>
      <c r="D56" s="32" t="s">
        <v>139</v>
      </c>
      <c r="E56" s="32" t="s">
        <v>140</v>
      </c>
      <c r="F56" s="32" t="s">
        <v>141</v>
      </c>
      <c r="G56" s="32" t="s">
        <v>165</v>
      </c>
      <c r="H56" s="91">
        <v>56312801.649999999</v>
      </c>
      <c r="I56" s="33">
        <v>2020</v>
      </c>
      <c r="J56" s="34">
        <v>42</v>
      </c>
    </row>
    <row r="57" spans="2:10">
      <c r="B57" s="31">
        <v>44043</v>
      </c>
      <c r="C57" s="32" t="s">
        <v>185</v>
      </c>
      <c r="D57" s="32" t="s">
        <v>139</v>
      </c>
      <c r="E57" s="32" t="s">
        <v>140</v>
      </c>
      <c r="F57" s="32" t="s">
        <v>141</v>
      </c>
      <c r="G57" s="32" t="s">
        <v>165</v>
      </c>
      <c r="H57" s="91">
        <v>44000000</v>
      </c>
      <c r="I57" s="33">
        <v>2020</v>
      </c>
      <c r="J57" s="34">
        <v>42</v>
      </c>
    </row>
    <row r="58" spans="2:10" ht="14">
      <c r="B58" s="31">
        <v>44056</v>
      </c>
      <c r="C58" s="32" t="s">
        <v>342</v>
      </c>
      <c r="D58" s="32" t="s">
        <v>139</v>
      </c>
      <c r="E58" s="32" t="s">
        <v>140</v>
      </c>
      <c r="F58" s="32" t="s">
        <v>343</v>
      </c>
      <c r="G58" s="32" t="s">
        <v>344</v>
      </c>
      <c r="H58" s="91">
        <v>10000000</v>
      </c>
      <c r="I58" s="33">
        <v>2020</v>
      </c>
      <c r="J58" s="35" t="s">
        <v>582</v>
      </c>
    </row>
    <row r="59" spans="2:10">
      <c r="B59" s="31">
        <v>44074</v>
      </c>
      <c r="C59" s="32" t="s">
        <v>186</v>
      </c>
      <c r="D59" s="32" t="s">
        <v>139</v>
      </c>
      <c r="E59" s="32" t="s">
        <v>140</v>
      </c>
      <c r="F59" s="32" t="s">
        <v>141</v>
      </c>
      <c r="G59" s="32" t="s">
        <v>165</v>
      </c>
      <c r="H59" s="91">
        <v>176000000</v>
      </c>
      <c r="I59" s="33">
        <v>2020</v>
      </c>
      <c r="J59" s="34">
        <v>42</v>
      </c>
    </row>
    <row r="60" spans="2:10" ht="14">
      <c r="B60" s="31">
        <v>44077</v>
      </c>
      <c r="C60" s="32" t="s">
        <v>345</v>
      </c>
      <c r="D60" s="32" t="s">
        <v>139</v>
      </c>
      <c r="E60" s="32" t="s">
        <v>140</v>
      </c>
      <c r="F60" s="32" t="s">
        <v>343</v>
      </c>
      <c r="G60" s="32" t="s">
        <v>346</v>
      </c>
      <c r="H60" s="91">
        <v>40000000</v>
      </c>
      <c r="I60" s="33">
        <v>2020</v>
      </c>
      <c r="J60" s="35" t="s">
        <v>582</v>
      </c>
    </row>
    <row r="61" spans="2:10">
      <c r="B61" s="31">
        <v>44104</v>
      </c>
      <c r="C61" s="32" t="s">
        <v>147</v>
      </c>
      <c r="D61" s="32" t="s">
        <v>139</v>
      </c>
      <c r="E61" s="32" t="s">
        <v>140</v>
      </c>
      <c r="F61" s="32" t="s">
        <v>141</v>
      </c>
      <c r="G61" s="32" t="s">
        <v>148</v>
      </c>
      <c r="H61" s="91">
        <v>3321305.74</v>
      </c>
      <c r="I61" s="33">
        <v>2020</v>
      </c>
      <c r="J61" s="34">
        <v>327</v>
      </c>
    </row>
    <row r="62" spans="2:10">
      <c r="B62" s="31">
        <v>44104</v>
      </c>
      <c r="C62" s="32" t="s">
        <v>147</v>
      </c>
      <c r="D62" s="32" t="s">
        <v>139</v>
      </c>
      <c r="E62" s="32" t="s">
        <v>140</v>
      </c>
      <c r="F62" s="32" t="s">
        <v>141</v>
      </c>
      <c r="G62" s="32" t="s">
        <v>165</v>
      </c>
      <c r="H62" s="91">
        <v>170762166.66999999</v>
      </c>
      <c r="I62" s="33">
        <v>2020</v>
      </c>
      <c r="J62" s="34">
        <v>327</v>
      </c>
    </row>
    <row r="63" spans="2:10">
      <c r="B63" s="31">
        <v>44135</v>
      </c>
      <c r="C63" s="32" t="s">
        <v>149</v>
      </c>
      <c r="D63" s="32" t="s">
        <v>139</v>
      </c>
      <c r="E63" s="32" t="s">
        <v>140</v>
      </c>
      <c r="F63" s="32" t="s">
        <v>141</v>
      </c>
      <c r="G63" s="32" t="s">
        <v>150</v>
      </c>
      <c r="H63" s="91">
        <v>490939.83</v>
      </c>
      <c r="I63" s="33">
        <v>2020</v>
      </c>
      <c r="J63" s="34">
        <v>327</v>
      </c>
    </row>
    <row r="64" spans="2:10">
      <c r="B64" s="31">
        <v>44135</v>
      </c>
      <c r="C64" s="32" t="s">
        <v>149</v>
      </c>
      <c r="D64" s="32" t="s">
        <v>139</v>
      </c>
      <c r="E64" s="32" t="s">
        <v>140</v>
      </c>
      <c r="F64" s="32" t="s">
        <v>141</v>
      </c>
      <c r="G64" s="32" t="s">
        <v>151</v>
      </c>
      <c r="H64" s="91">
        <v>3309.64</v>
      </c>
      <c r="I64" s="33">
        <v>2020</v>
      </c>
      <c r="J64" s="34">
        <v>327</v>
      </c>
    </row>
    <row r="65" spans="2:10">
      <c r="B65" s="31">
        <v>44135</v>
      </c>
      <c r="C65" s="32" t="s">
        <v>149</v>
      </c>
      <c r="D65" s="32" t="s">
        <v>139</v>
      </c>
      <c r="E65" s="32" t="s">
        <v>140</v>
      </c>
      <c r="F65" s="32" t="s">
        <v>141</v>
      </c>
      <c r="G65" s="32" t="s">
        <v>152</v>
      </c>
      <c r="H65" s="91">
        <v>4331.57</v>
      </c>
      <c r="I65" s="33">
        <v>2020</v>
      </c>
      <c r="J65" s="34">
        <v>327</v>
      </c>
    </row>
    <row r="66" spans="2:10">
      <c r="B66" s="31">
        <v>44135</v>
      </c>
      <c r="C66" s="32" t="s">
        <v>149</v>
      </c>
      <c r="D66" s="32" t="s">
        <v>139</v>
      </c>
      <c r="E66" s="32" t="s">
        <v>140</v>
      </c>
      <c r="F66" s="32" t="s">
        <v>141</v>
      </c>
      <c r="G66" s="32" t="s">
        <v>165</v>
      </c>
      <c r="H66" s="91">
        <v>152921417.30000001</v>
      </c>
      <c r="I66" s="33">
        <v>2020</v>
      </c>
      <c r="J66" s="34">
        <v>42</v>
      </c>
    </row>
    <row r="67" spans="2:10">
      <c r="B67" s="31">
        <v>44165</v>
      </c>
      <c r="C67" s="32" t="s">
        <v>187</v>
      </c>
      <c r="D67" s="32" t="s">
        <v>139</v>
      </c>
      <c r="E67" s="32" t="s">
        <v>140</v>
      </c>
      <c r="F67" s="32" t="s">
        <v>141</v>
      </c>
      <c r="G67" s="32" t="s">
        <v>165</v>
      </c>
      <c r="H67" s="91">
        <v>241529795.28999999</v>
      </c>
      <c r="I67" s="33">
        <v>2020</v>
      </c>
      <c r="J67" s="34">
        <v>42</v>
      </c>
    </row>
    <row r="68" spans="2:10">
      <c r="B68" s="31">
        <v>44196</v>
      </c>
      <c r="C68" s="32" t="s">
        <v>188</v>
      </c>
      <c r="D68" s="32" t="s">
        <v>139</v>
      </c>
      <c r="E68" s="32" t="s">
        <v>140</v>
      </c>
      <c r="F68" s="32" t="s">
        <v>141</v>
      </c>
      <c r="G68" s="32" t="s">
        <v>165</v>
      </c>
      <c r="H68" s="91">
        <v>294608531.25</v>
      </c>
      <c r="I68" s="33">
        <v>2020</v>
      </c>
      <c r="J68" s="34">
        <v>42</v>
      </c>
    </row>
    <row r="69" spans="2:10">
      <c r="B69" s="31">
        <v>44227</v>
      </c>
      <c r="C69" s="32" t="s">
        <v>189</v>
      </c>
      <c r="D69" s="32" t="s">
        <v>139</v>
      </c>
      <c r="E69" s="32" t="s">
        <v>140</v>
      </c>
      <c r="F69" s="32" t="s">
        <v>141</v>
      </c>
      <c r="G69" s="32" t="s">
        <v>165</v>
      </c>
      <c r="H69" s="91">
        <v>308000000</v>
      </c>
      <c r="I69" s="33" t="s">
        <v>542</v>
      </c>
      <c r="J69" s="34">
        <v>42</v>
      </c>
    </row>
    <row r="70" spans="2:10" ht="14">
      <c r="B70" s="31">
        <v>44230</v>
      </c>
      <c r="C70" s="32" t="s">
        <v>329</v>
      </c>
      <c r="D70" s="32" t="s">
        <v>139</v>
      </c>
      <c r="E70" s="32" t="s">
        <v>140</v>
      </c>
      <c r="F70" s="32" t="s">
        <v>330</v>
      </c>
      <c r="G70" s="32" t="s">
        <v>331</v>
      </c>
      <c r="H70" s="91">
        <v>23650000</v>
      </c>
      <c r="I70" s="33" t="s">
        <v>544</v>
      </c>
      <c r="J70" s="35" t="s">
        <v>582</v>
      </c>
    </row>
    <row r="71" spans="2:10">
      <c r="B71" s="31">
        <v>44255</v>
      </c>
      <c r="C71" s="32" t="s">
        <v>153</v>
      </c>
      <c r="D71" s="32" t="s">
        <v>139</v>
      </c>
      <c r="E71" s="32" t="s">
        <v>140</v>
      </c>
      <c r="F71" s="32" t="s">
        <v>154</v>
      </c>
      <c r="G71" s="32"/>
      <c r="H71" s="91">
        <v>294667245</v>
      </c>
      <c r="I71" s="33" t="s">
        <v>544</v>
      </c>
      <c r="J71" s="34">
        <v>42</v>
      </c>
    </row>
    <row r="72" spans="2:10">
      <c r="B72" s="31">
        <v>44255</v>
      </c>
      <c r="C72" s="32" t="s">
        <v>190</v>
      </c>
      <c r="D72" s="32" t="s">
        <v>139</v>
      </c>
      <c r="E72" s="32" t="s">
        <v>140</v>
      </c>
      <c r="F72" s="32" t="s">
        <v>141</v>
      </c>
      <c r="G72" s="32" t="s">
        <v>165</v>
      </c>
      <c r="H72" s="91">
        <v>308000000</v>
      </c>
      <c r="I72" s="33" t="s">
        <v>544</v>
      </c>
      <c r="J72" s="34">
        <v>42</v>
      </c>
    </row>
    <row r="73" spans="2:10">
      <c r="B73" s="31">
        <v>44286</v>
      </c>
      <c r="C73" s="32" t="s">
        <v>191</v>
      </c>
      <c r="D73" s="32" t="s">
        <v>139</v>
      </c>
      <c r="E73" s="32" t="s">
        <v>140</v>
      </c>
      <c r="F73" s="32" t="s">
        <v>141</v>
      </c>
      <c r="G73" s="32" t="s">
        <v>165</v>
      </c>
      <c r="H73" s="91">
        <v>394240000</v>
      </c>
      <c r="I73" s="33" t="s">
        <v>545</v>
      </c>
      <c r="J73" s="34">
        <v>42</v>
      </c>
    </row>
    <row r="74" spans="2:10" ht="14">
      <c r="B74" s="31">
        <v>44313</v>
      </c>
      <c r="C74" s="32" t="s">
        <v>332</v>
      </c>
      <c r="D74" s="32" t="s">
        <v>139</v>
      </c>
      <c r="E74" s="32" t="s">
        <v>140</v>
      </c>
      <c r="F74" s="32" t="s">
        <v>330</v>
      </c>
      <c r="G74" s="32" t="s">
        <v>333</v>
      </c>
      <c r="H74" s="91">
        <v>23650000</v>
      </c>
      <c r="I74" s="33" t="s">
        <v>546</v>
      </c>
      <c r="J74" s="35" t="s">
        <v>582</v>
      </c>
    </row>
    <row r="75" spans="2:10">
      <c r="B75" s="31">
        <v>44316</v>
      </c>
      <c r="C75" s="32" t="s">
        <v>192</v>
      </c>
      <c r="D75" s="32" t="s">
        <v>139</v>
      </c>
      <c r="E75" s="32" t="s">
        <v>140</v>
      </c>
      <c r="F75" s="32" t="s">
        <v>141</v>
      </c>
      <c r="G75" s="32" t="s">
        <v>165</v>
      </c>
      <c r="H75" s="91">
        <v>113746724.89</v>
      </c>
      <c r="I75" s="33" t="s">
        <v>546</v>
      </c>
      <c r="J75" s="34">
        <v>42</v>
      </c>
    </row>
    <row r="76" spans="2:10" ht="14">
      <c r="B76" s="31">
        <v>44316</v>
      </c>
      <c r="C76" s="32" t="s">
        <v>291</v>
      </c>
      <c r="D76" s="32" t="s">
        <v>139</v>
      </c>
      <c r="E76" s="32" t="s">
        <v>140</v>
      </c>
      <c r="F76" s="32" t="s">
        <v>292</v>
      </c>
      <c r="G76" s="32" t="s">
        <v>293</v>
      </c>
      <c r="H76" s="91">
        <v>38940000</v>
      </c>
      <c r="I76" s="33" t="s">
        <v>546</v>
      </c>
      <c r="J76" s="35" t="s">
        <v>2279</v>
      </c>
    </row>
    <row r="77" spans="2:10" ht="14">
      <c r="B77" s="31">
        <v>44316</v>
      </c>
      <c r="C77" s="32" t="s">
        <v>383</v>
      </c>
      <c r="D77" s="32" t="s">
        <v>139</v>
      </c>
      <c r="E77" s="32" t="s">
        <v>140</v>
      </c>
      <c r="F77" s="32" t="s">
        <v>384</v>
      </c>
      <c r="G77" s="32" t="s">
        <v>385</v>
      </c>
      <c r="H77" s="91">
        <v>2156000</v>
      </c>
      <c r="I77" s="33" t="s">
        <v>546</v>
      </c>
      <c r="J77" s="35" t="s">
        <v>2282</v>
      </c>
    </row>
    <row r="78" spans="2:10">
      <c r="B78" s="31">
        <v>44347</v>
      </c>
      <c r="C78" s="32" t="s">
        <v>193</v>
      </c>
      <c r="D78" s="32" t="s">
        <v>139</v>
      </c>
      <c r="E78" s="32" t="s">
        <v>140</v>
      </c>
      <c r="F78" s="32" t="s">
        <v>141</v>
      </c>
      <c r="G78" s="32" t="s">
        <v>165</v>
      </c>
      <c r="H78" s="91">
        <v>132000000</v>
      </c>
      <c r="I78" s="33" t="s">
        <v>547</v>
      </c>
      <c r="J78" s="34">
        <v>42</v>
      </c>
    </row>
    <row r="79" spans="2:10" ht="14">
      <c r="B79" s="31">
        <v>44363</v>
      </c>
      <c r="C79" s="32" t="s">
        <v>296</v>
      </c>
      <c r="D79" s="32" t="s">
        <v>139</v>
      </c>
      <c r="E79" s="32" t="s">
        <v>140</v>
      </c>
      <c r="F79" s="32" t="s">
        <v>297</v>
      </c>
      <c r="G79" s="32" t="s">
        <v>298</v>
      </c>
      <c r="H79" s="91">
        <v>76010000</v>
      </c>
      <c r="I79" s="33" t="s">
        <v>548</v>
      </c>
      <c r="J79" s="35" t="s">
        <v>520</v>
      </c>
    </row>
    <row r="80" spans="2:10">
      <c r="B80" s="31">
        <v>44377</v>
      </c>
      <c r="C80" s="32" t="s">
        <v>194</v>
      </c>
      <c r="D80" s="32" t="s">
        <v>139</v>
      </c>
      <c r="E80" s="32" t="s">
        <v>140</v>
      </c>
      <c r="F80" s="32" t="s">
        <v>141</v>
      </c>
      <c r="G80" s="32" t="s">
        <v>165</v>
      </c>
      <c r="H80" s="91">
        <v>308000000</v>
      </c>
      <c r="I80" s="33" t="s">
        <v>548</v>
      </c>
      <c r="J80" s="34">
        <v>42</v>
      </c>
    </row>
    <row r="81" spans="2:10" ht="14">
      <c r="B81" s="31">
        <v>44377</v>
      </c>
      <c r="C81" s="32" t="s">
        <v>294</v>
      </c>
      <c r="D81" s="32" t="s">
        <v>139</v>
      </c>
      <c r="E81" s="32" t="s">
        <v>140</v>
      </c>
      <c r="F81" s="32" t="s">
        <v>292</v>
      </c>
      <c r="G81" s="32" t="s">
        <v>295</v>
      </c>
      <c r="H81" s="91">
        <v>38940000</v>
      </c>
      <c r="I81" s="33" t="s">
        <v>548</v>
      </c>
      <c r="J81" s="35" t="s">
        <v>2279</v>
      </c>
    </row>
    <row r="82" spans="2:10">
      <c r="B82" s="31">
        <v>44408</v>
      </c>
      <c r="C82" s="32" t="s">
        <v>195</v>
      </c>
      <c r="D82" s="32" t="s">
        <v>139</v>
      </c>
      <c r="E82" s="32" t="s">
        <v>140</v>
      </c>
      <c r="F82" s="32" t="s">
        <v>141</v>
      </c>
      <c r="G82" s="32" t="s">
        <v>165</v>
      </c>
      <c r="H82" s="91">
        <v>352000000</v>
      </c>
      <c r="I82" s="33" t="s">
        <v>549</v>
      </c>
      <c r="J82" s="34">
        <v>42</v>
      </c>
    </row>
    <row r="83" spans="2:10" ht="14">
      <c r="B83" s="31">
        <v>44408</v>
      </c>
      <c r="C83" s="32" t="s">
        <v>299</v>
      </c>
      <c r="D83" s="32" t="s">
        <v>139</v>
      </c>
      <c r="E83" s="32" t="s">
        <v>140</v>
      </c>
      <c r="F83" s="32" t="s">
        <v>300</v>
      </c>
      <c r="G83" s="32" t="s">
        <v>301</v>
      </c>
      <c r="H83" s="91">
        <v>152020000</v>
      </c>
      <c r="I83" s="33" t="s">
        <v>549</v>
      </c>
      <c r="J83" s="35" t="s">
        <v>520</v>
      </c>
    </row>
    <row r="84" spans="2:10" ht="14">
      <c r="B84" s="31">
        <v>44408</v>
      </c>
      <c r="C84" s="32" t="s">
        <v>491</v>
      </c>
      <c r="D84" s="32" t="s">
        <v>139</v>
      </c>
      <c r="E84" s="32" t="s">
        <v>140</v>
      </c>
      <c r="F84" s="32" t="s">
        <v>492</v>
      </c>
      <c r="G84" s="32" t="s">
        <v>493</v>
      </c>
      <c r="H84" s="91">
        <v>5426700</v>
      </c>
      <c r="I84" s="33" t="s">
        <v>549</v>
      </c>
      <c r="J84" s="35" t="s">
        <v>579</v>
      </c>
    </row>
    <row r="85" spans="2:10">
      <c r="B85" s="31">
        <v>44439</v>
      </c>
      <c r="C85" s="32" t="s">
        <v>196</v>
      </c>
      <c r="D85" s="32" t="s">
        <v>139</v>
      </c>
      <c r="E85" s="32" t="s">
        <v>140</v>
      </c>
      <c r="F85" s="32" t="s">
        <v>141</v>
      </c>
      <c r="G85" s="32" t="s">
        <v>165</v>
      </c>
      <c r="H85" s="91">
        <v>308000000</v>
      </c>
      <c r="I85" s="33" t="s">
        <v>550</v>
      </c>
      <c r="J85" s="34">
        <v>42</v>
      </c>
    </row>
    <row r="86" spans="2:10">
      <c r="B86" s="31">
        <v>44469</v>
      </c>
      <c r="C86" s="32" t="s">
        <v>197</v>
      </c>
      <c r="D86" s="32" t="s">
        <v>139</v>
      </c>
      <c r="E86" s="32" t="s">
        <v>140</v>
      </c>
      <c r="F86" s="32" t="s">
        <v>141</v>
      </c>
      <c r="G86" s="32" t="s">
        <v>165</v>
      </c>
      <c r="H86" s="91">
        <v>152127008</v>
      </c>
      <c r="I86" s="33" t="s">
        <v>551</v>
      </c>
      <c r="J86" s="34">
        <v>42</v>
      </c>
    </row>
    <row r="87" spans="2:10">
      <c r="B87" s="31">
        <v>44469</v>
      </c>
      <c r="C87" s="32" t="s">
        <v>199</v>
      </c>
      <c r="D87" s="32" t="s">
        <v>139</v>
      </c>
      <c r="E87" s="32" t="s">
        <v>140</v>
      </c>
      <c r="F87" s="32" t="s">
        <v>200</v>
      </c>
      <c r="G87" s="32"/>
      <c r="H87" s="91">
        <v>238253275.11000001</v>
      </c>
      <c r="I87" s="33" t="s">
        <v>551</v>
      </c>
      <c r="J87" s="34">
        <v>42</v>
      </c>
    </row>
    <row r="88" spans="2:10">
      <c r="B88" s="31">
        <v>44500</v>
      </c>
      <c r="C88" s="32" t="s">
        <v>198</v>
      </c>
      <c r="D88" s="32" t="s">
        <v>139</v>
      </c>
      <c r="E88" s="32" t="s">
        <v>140</v>
      </c>
      <c r="F88" s="32" t="s">
        <v>141</v>
      </c>
      <c r="G88" s="32" t="s">
        <v>165</v>
      </c>
      <c r="H88" s="91">
        <v>308000000</v>
      </c>
      <c r="I88" s="33" t="s">
        <v>552</v>
      </c>
      <c r="J88" s="34">
        <v>42</v>
      </c>
    </row>
    <row r="89" spans="2:10" ht="14">
      <c r="B89" s="31">
        <v>44529</v>
      </c>
      <c r="C89" s="32" t="s">
        <v>313</v>
      </c>
      <c r="D89" s="32" t="s">
        <v>139</v>
      </c>
      <c r="E89" s="32" t="s">
        <v>140</v>
      </c>
      <c r="F89" s="32" t="s">
        <v>314</v>
      </c>
      <c r="G89" s="32" t="s">
        <v>315</v>
      </c>
      <c r="H89" s="91">
        <v>7500000</v>
      </c>
      <c r="I89" s="33" t="s">
        <v>553</v>
      </c>
      <c r="J89" s="35" t="s">
        <v>582</v>
      </c>
    </row>
    <row r="90" spans="2:10" ht="14">
      <c r="B90" s="31">
        <v>44529</v>
      </c>
      <c r="C90" s="32" t="s">
        <v>322</v>
      </c>
      <c r="D90" s="32" t="s">
        <v>139</v>
      </c>
      <c r="E90" s="32" t="s">
        <v>140</v>
      </c>
      <c r="F90" s="32" t="s">
        <v>323</v>
      </c>
      <c r="G90" s="32" t="s">
        <v>315</v>
      </c>
      <c r="H90" s="91">
        <v>7500000</v>
      </c>
      <c r="I90" s="33" t="s">
        <v>553</v>
      </c>
      <c r="J90" s="35" t="s">
        <v>582</v>
      </c>
    </row>
    <row r="91" spans="2:10" ht="14">
      <c r="B91" s="31">
        <v>44530</v>
      </c>
      <c r="C91" s="32" t="s">
        <v>310</v>
      </c>
      <c r="D91" s="32" t="s">
        <v>139</v>
      </c>
      <c r="E91" s="32" t="s">
        <v>140</v>
      </c>
      <c r="F91" s="32" t="s">
        <v>311</v>
      </c>
      <c r="G91" s="32" t="s">
        <v>312</v>
      </c>
      <c r="H91" s="91">
        <v>7500000</v>
      </c>
      <c r="I91" s="33" t="s">
        <v>553</v>
      </c>
      <c r="J91" s="35" t="s">
        <v>582</v>
      </c>
    </row>
    <row r="92" spans="2:10" ht="14">
      <c r="B92" s="31">
        <v>44530</v>
      </c>
      <c r="C92" s="32" t="s">
        <v>310</v>
      </c>
      <c r="D92" s="32" t="s">
        <v>139</v>
      </c>
      <c r="E92" s="32" t="s">
        <v>140</v>
      </c>
      <c r="F92" s="32" t="s">
        <v>321</v>
      </c>
      <c r="G92" s="32" t="s">
        <v>312</v>
      </c>
      <c r="H92" s="91">
        <v>7500000</v>
      </c>
      <c r="I92" s="33" t="s">
        <v>553</v>
      </c>
      <c r="J92" s="35" t="s">
        <v>582</v>
      </c>
    </row>
    <row r="93" spans="2:10" ht="14">
      <c r="B93" s="31">
        <v>44530</v>
      </c>
      <c r="C93" s="32" t="s">
        <v>362</v>
      </c>
      <c r="D93" s="32" t="s">
        <v>139</v>
      </c>
      <c r="E93" s="32" t="s">
        <v>140</v>
      </c>
      <c r="F93" s="32" t="s">
        <v>363</v>
      </c>
      <c r="G93" s="32" t="s">
        <v>364</v>
      </c>
      <c r="H93" s="91">
        <v>2227000</v>
      </c>
      <c r="I93" s="33" t="s">
        <v>553</v>
      </c>
      <c r="J93" s="35" t="s">
        <v>2282</v>
      </c>
    </row>
    <row r="94" spans="2:10" ht="14">
      <c r="B94" s="31">
        <v>44530</v>
      </c>
      <c r="C94" s="32" t="s">
        <v>484</v>
      </c>
      <c r="D94" s="32" t="s">
        <v>139</v>
      </c>
      <c r="E94" s="32" t="s">
        <v>140</v>
      </c>
      <c r="F94" s="32" t="s">
        <v>485</v>
      </c>
      <c r="G94" s="32"/>
      <c r="H94" s="91">
        <v>18000</v>
      </c>
      <c r="I94" s="33" t="s">
        <v>553</v>
      </c>
      <c r="J94" s="35" t="s">
        <v>579</v>
      </c>
    </row>
    <row r="95" spans="2:10" ht="34.5">
      <c r="B95" s="31">
        <v>44530</v>
      </c>
      <c r="C95" s="32" t="s">
        <v>486</v>
      </c>
      <c r="D95" s="32" t="s">
        <v>139</v>
      </c>
      <c r="E95" s="32" t="s">
        <v>140</v>
      </c>
      <c r="F95" s="32" t="s">
        <v>487</v>
      </c>
      <c r="G95" s="109" t="s">
        <v>488</v>
      </c>
      <c r="H95" s="91">
        <v>13013244</v>
      </c>
      <c r="I95" s="33" t="s">
        <v>553</v>
      </c>
      <c r="J95" s="35" t="s">
        <v>579</v>
      </c>
    </row>
    <row r="96" spans="2:10" ht="14">
      <c r="B96" s="31">
        <v>44530</v>
      </c>
      <c r="C96" s="32" t="s">
        <v>486</v>
      </c>
      <c r="D96" s="32" t="s">
        <v>139</v>
      </c>
      <c r="E96" s="32" t="s">
        <v>140</v>
      </c>
      <c r="F96" s="32" t="s">
        <v>487</v>
      </c>
      <c r="G96" s="32" t="s">
        <v>489</v>
      </c>
      <c r="H96" s="91">
        <v>16935040</v>
      </c>
      <c r="I96" s="33" t="s">
        <v>553</v>
      </c>
      <c r="J96" s="35" t="s">
        <v>579</v>
      </c>
    </row>
    <row r="97" spans="2:10" ht="14">
      <c r="B97" s="31">
        <v>44530</v>
      </c>
      <c r="C97" s="32" t="s">
        <v>486</v>
      </c>
      <c r="D97" s="32" t="s">
        <v>139</v>
      </c>
      <c r="E97" s="32" t="s">
        <v>140</v>
      </c>
      <c r="F97" s="32" t="s">
        <v>487</v>
      </c>
      <c r="G97" s="32" t="s">
        <v>490</v>
      </c>
      <c r="H97" s="91">
        <v>3890370</v>
      </c>
      <c r="I97" s="33" t="s">
        <v>553</v>
      </c>
      <c r="J97" s="35" t="s">
        <v>579</v>
      </c>
    </row>
    <row r="98" spans="2:10" ht="14">
      <c r="B98" s="31">
        <v>44544</v>
      </c>
      <c r="C98" s="32" t="s">
        <v>398</v>
      </c>
      <c r="D98" s="32" t="s">
        <v>139</v>
      </c>
      <c r="E98" s="32" t="s">
        <v>140</v>
      </c>
      <c r="F98" s="32" t="s">
        <v>399</v>
      </c>
      <c r="G98" s="32" t="s">
        <v>400</v>
      </c>
      <c r="H98" s="91">
        <v>902100</v>
      </c>
      <c r="I98" s="33" t="s">
        <v>554</v>
      </c>
      <c r="J98" s="35" t="s">
        <v>2282</v>
      </c>
    </row>
    <row r="99" spans="2:10" ht="14">
      <c r="B99" s="31">
        <v>44545</v>
      </c>
      <c r="C99" s="32" t="s">
        <v>316</v>
      </c>
      <c r="D99" s="32" t="s">
        <v>139</v>
      </c>
      <c r="E99" s="32" t="s">
        <v>140</v>
      </c>
      <c r="F99" s="32" t="s">
        <v>314</v>
      </c>
      <c r="G99" s="32" t="s">
        <v>317</v>
      </c>
      <c r="H99" s="91">
        <v>5000000</v>
      </c>
      <c r="I99" s="33" t="s">
        <v>554</v>
      </c>
      <c r="J99" s="35" t="s">
        <v>582</v>
      </c>
    </row>
    <row r="100" spans="2:10" ht="14">
      <c r="B100" s="31">
        <v>44545</v>
      </c>
      <c r="C100" s="32" t="s">
        <v>324</v>
      </c>
      <c r="D100" s="32" t="s">
        <v>139</v>
      </c>
      <c r="E100" s="32" t="s">
        <v>140</v>
      </c>
      <c r="F100" s="32" t="s">
        <v>325</v>
      </c>
      <c r="G100" s="32" t="s">
        <v>317</v>
      </c>
      <c r="H100" s="91">
        <v>5000000</v>
      </c>
      <c r="I100" s="33" t="s">
        <v>554</v>
      </c>
      <c r="J100" s="35" t="s">
        <v>582</v>
      </c>
    </row>
    <row r="101" spans="2:10" ht="14">
      <c r="B101" s="31">
        <v>44545</v>
      </c>
      <c r="C101" s="32" t="s">
        <v>365</v>
      </c>
      <c r="D101" s="32" t="s">
        <v>139</v>
      </c>
      <c r="E101" s="32" t="s">
        <v>140</v>
      </c>
      <c r="F101" s="32" t="s">
        <v>366</v>
      </c>
      <c r="G101" s="32" t="s">
        <v>367</v>
      </c>
      <c r="H101" s="91">
        <v>11756096</v>
      </c>
      <c r="I101" s="33" t="s">
        <v>554</v>
      </c>
      <c r="J101" s="35" t="s">
        <v>2282</v>
      </c>
    </row>
    <row r="102" spans="2:10" ht="14">
      <c r="B102" s="31">
        <v>44561</v>
      </c>
      <c r="C102" s="32" t="s">
        <v>222</v>
      </c>
      <c r="D102" s="32" t="s">
        <v>139</v>
      </c>
      <c r="E102" s="32" t="s">
        <v>140</v>
      </c>
      <c r="F102" s="32" t="s">
        <v>223</v>
      </c>
      <c r="G102" s="32" t="s">
        <v>224</v>
      </c>
      <c r="H102" s="91">
        <v>61219.5</v>
      </c>
      <c r="I102" s="33" t="s">
        <v>554</v>
      </c>
      <c r="J102" s="35">
        <v>329</v>
      </c>
    </row>
    <row r="103" spans="2:10" ht="14">
      <c r="B103" s="31">
        <v>44561</v>
      </c>
      <c r="C103" s="32" t="s">
        <v>302</v>
      </c>
      <c r="D103" s="32" t="s">
        <v>139</v>
      </c>
      <c r="E103" s="32" t="s">
        <v>140</v>
      </c>
      <c r="F103" s="32" t="s">
        <v>303</v>
      </c>
      <c r="G103" s="32" t="s">
        <v>304</v>
      </c>
      <c r="H103" s="91">
        <v>76010000</v>
      </c>
      <c r="I103" s="33" t="s">
        <v>554</v>
      </c>
      <c r="J103" s="35" t="s">
        <v>520</v>
      </c>
    </row>
    <row r="104" spans="2:10" ht="14">
      <c r="B104" s="31">
        <v>44561</v>
      </c>
      <c r="C104" s="32" t="s">
        <v>391</v>
      </c>
      <c r="D104" s="32" t="s">
        <v>139</v>
      </c>
      <c r="E104" s="32" t="s">
        <v>140</v>
      </c>
      <c r="F104" s="32" t="s">
        <v>392</v>
      </c>
      <c r="G104" s="32" t="s">
        <v>393</v>
      </c>
      <c r="H104" s="91">
        <v>1266100</v>
      </c>
      <c r="I104" s="33" t="s">
        <v>554</v>
      </c>
      <c r="J104" s="35" t="s">
        <v>2282</v>
      </c>
    </row>
    <row r="105" spans="2:10" ht="14">
      <c r="B105" s="31">
        <v>44561</v>
      </c>
      <c r="C105" s="32" t="s">
        <v>465</v>
      </c>
      <c r="D105" s="32" t="s">
        <v>139</v>
      </c>
      <c r="E105" s="32" t="s">
        <v>140</v>
      </c>
      <c r="F105" s="32" t="s">
        <v>455</v>
      </c>
      <c r="G105" s="32" t="s">
        <v>466</v>
      </c>
      <c r="H105" s="91">
        <v>156446950</v>
      </c>
      <c r="I105" s="33" t="s">
        <v>554</v>
      </c>
      <c r="J105" s="35" t="s">
        <v>2284</v>
      </c>
    </row>
    <row r="106" spans="2:10" ht="14">
      <c r="B106" s="31">
        <v>44573</v>
      </c>
      <c r="C106" s="32" t="s">
        <v>401</v>
      </c>
      <c r="D106" s="32" t="s">
        <v>139</v>
      </c>
      <c r="E106" s="32" t="s">
        <v>140</v>
      </c>
      <c r="F106" s="32" t="s">
        <v>402</v>
      </c>
      <c r="G106" s="32" t="s">
        <v>403</v>
      </c>
      <c r="H106" s="91">
        <v>6557000</v>
      </c>
      <c r="I106" s="33" t="s">
        <v>543</v>
      </c>
      <c r="J106" s="35" t="s">
        <v>2282</v>
      </c>
    </row>
    <row r="107" spans="2:10" ht="14">
      <c r="B107" s="31">
        <v>44581</v>
      </c>
      <c r="C107" s="32" t="s">
        <v>234</v>
      </c>
      <c r="D107" s="32" t="s">
        <v>139</v>
      </c>
      <c r="E107" s="32" t="s">
        <v>140</v>
      </c>
      <c r="F107" s="32" t="s">
        <v>235</v>
      </c>
      <c r="G107" s="32" t="s">
        <v>236</v>
      </c>
      <c r="H107" s="91">
        <v>150000</v>
      </c>
      <c r="I107" s="33" t="s">
        <v>543</v>
      </c>
      <c r="J107" s="35">
        <v>329</v>
      </c>
    </row>
    <row r="108" spans="2:10" ht="14">
      <c r="B108" s="31">
        <v>44581</v>
      </c>
      <c r="C108" s="32" t="s">
        <v>380</v>
      </c>
      <c r="D108" s="32" t="s">
        <v>139</v>
      </c>
      <c r="E108" s="32" t="s">
        <v>140</v>
      </c>
      <c r="F108" s="32" t="s">
        <v>381</v>
      </c>
      <c r="G108" s="32" t="s">
        <v>382</v>
      </c>
      <c r="H108" s="91">
        <v>4376319</v>
      </c>
      <c r="I108" s="33" t="s">
        <v>543</v>
      </c>
      <c r="J108" s="35" t="s">
        <v>2282</v>
      </c>
    </row>
    <row r="109" spans="2:10" ht="14">
      <c r="B109" s="31">
        <v>44592</v>
      </c>
      <c r="C109" s="32" t="s">
        <v>228</v>
      </c>
      <c r="D109" s="32" t="s">
        <v>139</v>
      </c>
      <c r="E109" s="32" t="s">
        <v>140</v>
      </c>
      <c r="F109" s="32" t="s">
        <v>229</v>
      </c>
      <c r="G109" s="32" t="s">
        <v>230</v>
      </c>
      <c r="H109" s="91">
        <v>40000</v>
      </c>
      <c r="I109" s="33" t="s">
        <v>543</v>
      </c>
      <c r="J109" s="35">
        <v>329</v>
      </c>
    </row>
    <row r="110" spans="2:10" ht="14">
      <c r="B110" s="31">
        <v>44592</v>
      </c>
      <c r="C110" s="32" t="s">
        <v>305</v>
      </c>
      <c r="D110" s="32" t="s">
        <v>139</v>
      </c>
      <c r="E110" s="32" t="s">
        <v>140</v>
      </c>
      <c r="F110" s="32" t="s">
        <v>300</v>
      </c>
      <c r="G110" s="32" t="s">
        <v>306</v>
      </c>
      <c r="H110" s="91">
        <v>153450000</v>
      </c>
      <c r="I110" s="33" t="s">
        <v>543</v>
      </c>
      <c r="J110" s="35" t="s">
        <v>520</v>
      </c>
    </row>
    <row r="111" spans="2:10" ht="14">
      <c r="B111" s="31">
        <v>44592</v>
      </c>
      <c r="C111" s="32" t="s">
        <v>388</v>
      </c>
      <c r="D111" s="32" t="s">
        <v>139</v>
      </c>
      <c r="E111" s="32" t="s">
        <v>140</v>
      </c>
      <c r="F111" s="32" t="s">
        <v>389</v>
      </c>
      <c r="G111" s="32" t="s">
        <v>390</v>
      </c>
      <c r="H111" s="91">
        <v>1056700</v>
      </c>
      <c r="I111" s="33" t="s">
        <v>543</v>
      </c>
      <c r="J111" s="35" t="s">
        <v>2282</v>
      </c>
    </row>
    <row r="112" spans="2:10" ht="14">
      <c r="B112" s="31">
        <v>44592</v>
      </c>
      <c r="C112" s="32" t="s">
        <v>388</v>
      </c>
      <c r="D112" s="32" t="s">
        <v>139</v>
      </c>
      <c r="E112" s="32" t="s">
        <v>140</v>
      </c>
      <c r="F112" s="32" t="s">
        <v>389</v>
      </c>
      <c r="G112" s="32" t="s">
        <v>390</v>
      </c>
      <c r="H112" s="91">
        <v>1773600</v>
      </c>
      <c r="I112" s="33" t="s">
        <v>543</v>
      </c>
      <c r="J112" s="35" t="s">
        <v>2282</v>
      </c>
    </row>
    <row r="113" spans="2:10" ht="14">
      <c r="B113" s="31">
        <v>44592</v>
      </c>
      <c r="C113" s="32" t="s">
        <v>388</v>
      </c>
      <c r="D113" s="32" t="s">
        <v>139</v>
      </c>
      <c r="E113" s="32" t="s">
        <v>140</v>
      </c>
      <c r="F113" s="32" t="s">
        <v>394</v>
      </c>
      <c r="G113" s="32" t="s">
        <v>390</v>
      </c>
      <c r="H113" s="91">
        <v>1773600</v>
      </c>
      <c r="I113" s="33" t="s">
        <v>543</v>
      </c>
      <c r="J113" s="35" t="s">
        <v>2282</v>
      </c>
    </row>
    <row r="114" spans="2:10" ht="14">
      <c r="B114" s="31">
        <v>44595</v>
      </c>
      <c r="C114" s="32" t="s">
        <v>374</v>
      </c>
      <c r="D114" s="32" t="s">
        <v>139</v>
      </c>
      <c r="E114" s="32" t="s">
        <v>140</v>
      </c>
      <c r="F114" s="32" t="s">
        <v>375</v>
      </c>
      <c r="G114" s="32" t="s">
        <v>376</v>
      </c>
      <c r="H114" s="91">
        <v>180000</v>
      </c>
      <c r="I114" s="33" t="s">
        <v>555</v>
      </c>
      <c r="J114" s="35" t="s">
        <v>2282</v>
      </c>
    </row>
    <row r="115" spans="2:10" ht="14">
      <c r="B115" s="31">
        <v>44610</v>
      </c>
      <c r="C115" s="32" t="s">
        <v>404</v>
      </c>
      <c r="D115" s="32" t="s">
        <v>139</v>
      </c>
      <c r="E115" s="32" t="s">
        <v>140</v>
      </c>
      <c r="F115" s="32" t="s">
        <v>402</v>
      </c>
      <c r="G115" s="32" t="s">
        <v>405</v>
      </c>
      <c r="H115" s="91">
        <v>6197309</v>
      </c>
      <c r="I115" s="33" t="s">
        <v>555</v>
      </c>
      <c r="J115" s="35" t="s">
        <v>2282</v>
      </c>
    </row>
    <row r="116" spans="2:10" ht="14">
      <c r="B116" s="31">
        <v>44613</v>
      </c>
      <c r="C116" s="32" t="s">
        <v>231</v>
      </c>
      <c r="D116" s="32" t="s">
        <v>139</v>
      </c>
      <c r="E116" s="32" t="s">
        <v>140</v>
      </c>
      <c r="F116" s="32" t="s">
        <v>232</v>
      </c>
      <c r="G116" s="32" t="s">
        <v>233</v>
      </c>
      <c r="H116" s="91">
        <v>1246900</v>
      </c>
      <c r="I116" s="33" t="s">
        <v>555</v>
      </c>
      <c r="J116" s="35">
        <v>329</v>
      </c>
    </row>
    <row r="117" spans="2:10" ht="14">
      <c r="B117" s="31">
        <v>44616</v>
      </c>
      <c r="C117" s="32" t="s">
        <v>371</v>
      </c>
      <c r="D117" s="32" t="s">
        <v>139</v>
      </c>
      <c r="E117" s="32" t="s">
        <v>140</v>
      </c>
      <c r="F117" s="32" t="s">
        <v>372</v>
      </c>
      <c r="G117" s="32" t="s">
        <v>373</v>
      </c>
      <c r="H117" s="91">
        <v>4708801</v>
      </c>
      <c r="I117" s="33" t="s">
        <v>555</v>
      </c>
      <c r="J117" s="35" t="s">
        <v>2282</v>
      </c>
    </row>
    <row r="118" spans="2:10" ht="14">
      <c r="B118" s="31">
        <v>44620</v>
      </c>
      <c r="C118" s="32" t="s">
        <v>225</v>
      </c>
      <c r="D118" s="32" t="s">
        <v>139</v>
      </c>
      <c r="E118" s="32" t="s">
        <v>140</v>
      </c>
      <c r="F118" s="32" t="s">
        <v>226</v>
      </c>
      <c r="G118" s="32" t="s">
        <v>227</v>
      </c>
      <c r="H118" s="91">
        <v>320000</v>
      </c>
      <c r="I118" s="33" t="s">
        <v>555</v>
      </c>
      <c r="J118" s="35">
        <v>329</v>
      </c>
    </row>
    <row r="119" spans="2:10" ht="14">
      <c r="B119" s="31">
        <v>44620</v>
      </c>
      <c r="C119" s="32" t="s">
        <v>359</v>
      </c>
      <c r="D119" s="32" t="s">
        <v>139</v>
      </c>
      <c r="E119" s="32" t="s">
        <v>140</v>
      </c>
      <c r="F119" s="32" t="s">
        <v>360</v>
      </c>
      <c r="G119" s="32" t="s">
        <v>361</v>
      </c>
      <c r="H119" s="91">
        <v>3967840</v>
      </c>
      <c r="I119" s="33" t="s">
        <v>555</v>
      </c>
      <c r="J119" s="35" t="s">
        <v>2282</v>
      </c>
    </row>
    <row r="120" spans="2:10" ht="14">
      <c r="B120" s="31">
        <v>44620</v>
      </c>
      <c r="C120" s="32" t="s">
        <v>359</v>
      </c>
      <c r="D120" s="32" t="s">
        <v>139</v>
      </c>
      <c r="E120" s="32" t="s">
        <v>140</v>
      </c>
      <c r="F120" s="32" t="s">
        <v>386</v>
      </c>
      <c r="G120" s="32" t="s">
        <v>387</v>
      </c>
      <c r="H120" s="91">
        <v>2408300</v>
      </c>
      <c r="I120" s="33" t="s">
        <v>555</v>
      </c>
      <c r="J120" s="35" t="s">
        <v>2282</v>
      </c>
    </row>
    <row r="121" spans="2:10" ht="14">
      <c r="B121" s="31">
        <v>44636</v>
      </c>
      <c r="C121" s="32" t="s">
        <v>395</v>
      </c>
      <c r="D121" s="32" t="s">
        <v>139</v>
      </c>
      <c r="E121" s="32" t="s">
        <v>140</v>
      </c>
      <c r="F121" s="32" t="s">
        <v>396</v>
      </c>
      <c r="G121" s="32" t="s">
        <v>397</v>
      </c>
      <c r="H121" s="91">
        <v>1389400</v>
      </c>
      <c r="I121" s="33" t="s">
        <v>556</v>
      </c>
      <c r="J121" s="35" t="s">
        <v>2282</v>
      </c>
    </row>
    <row r="122" spans="2:10" ht="14">
      <c r="B122" s="31">
        <v>44636</v>
      </c>
      <c r="C122" s="32" t="s">
        <v>395</v>
      </c>
      <c r="D122" s="32" t="s">
        <v>139</v>
      </c>
      <c r="E122" s="32" t="s">
        <v>140</v>
      </c>
      <c r="F122" s="32" t="s">
        <v>396</v>
      </c>
      <c r="G122" s="32" t="s">
        <v>397</v>
      </c>
      <c r="H122" s="91">
        <v>1096200</v>
      </c>
      <c r="I122" s="33" t="s">
        <v>556</v>
      </c>
      <c r="J122" s="35" t="s">
        <v>2282</v>
      </c>
    </row>
    <row r="123" spans="2:10" ht="14">
      <c r="B123" s="31">
        <v>44641</v>
      </c>
      <c r="C123" s="32" t="s">
        <v>237</v>
      </c>
      <c r="D123" s="32" t="s">
        <v>139</v>
      </c>
      <c r="E123" s="32" t="s">
        <v>140</v>
      </c>
      <c r="F123" s="32" t="s">
        <v>238</v>
      </c>
      <c r="G123" s="32" t="s">
        <v>239</v>
      </c>
      <c r="H123" s="91">
        <v>270000</v>
      </c>
      <c r="I123" s="33" t="s">
        <v>556</v>
      </c>
      <c r="J123" s="35">
        <v>329</v>
      </c>
    </row>
    <row r="124" spans="2:10" ht="14">
      <c r="B124" s="31">
        <v>44641</v>
      </c>
      <c r="C124" s="32" t="s">
        <v>356</v>
      </c>
      <c r="D124" s="32" t="s">
        <v>139</v>
      </c>
      <c r="E124" s="32" t="s">
        <v>140</v>
      </c>
      <c r="F124" s="32" t="s">
        <v>357</v>
      </c>
      <c r="G124" s="32" t="s">
        <v>358</v>
      </c>
      <c r="H124" s="91">
        <v>2268000</v>
      </c>
      <c r="I124" s="33" t="s">
        <v>556</v>
      </c>
      <c r="J124" s="35" t="s">
        <v>2282</v>
      </c>
    </row>
    <row r="125" spans="2:10" ht="14">
      <c r="B125" s="31">
        <v>44643</v>
      </c>
      <c r="C125" s="32" t="s">
        <v>254</v>
      </c>
      <c r="D125" s="32" t="s">
        <v>139</v>
      </c>
      <c r="E125" s="32" t="s">
        <v>140</v>
      </c>
      <c r="F125" s="32" t="s">
        <v>255</v>
      </c>
      <c r="G125" s="32" t="s">
        <v>256</v>
      </c>
      <c r="H125" s="91">
        <v>160000</v>
      </c>
      <c r="I125" s="33" t="s">
        <v>556</v>
      </c>
      <c r="J125" s="35" t="s">
        <v>2282</v>
      </c>
    </row>
    <row r="126" spans="2:10" ht="14">
      <c r="B126" s="31">
        <v>44644</v>
      </c>
      <c r="C126" s="32" t="s">
        <v>368</v>
      </c>
      <c r="D126" s="32" t="s">
        <v>139</v>
      </c>
      <c r="E126" s="32" t="s">
        <v>140</v>
      </c>
      <c r="F126" s="32" t="s">
        <v>369</v>
      </c>
      <c r="G126" s="32" t="s">
        <v>370</v>
      </c>
      <c r="H126" s="91">
        <v>3055159</v>
      </c>
      <c r="I126" s="33" t="s">
        <v>556</v>
      </c>
      <c r="J126" s="35" t="s">
        <v>2282</v>
      </c>
    </row>
    <row r="127" spans="2:10" ht="14">
      <c r="B127" s="31">
        <v>44644</v>
      </c>
      <c r="C127" s="32" t="s">
        <v>377</v>
      </c>
      <c r="D127" s="32" t="s">
        <v>139</v>
      </c>
      <c r="E127" s="32" t="s">
        <v>140</v>
      </c>
      <c r="F127" s="32" t="s">
        <v>378</v>
      </c>
      <c r="G127" s="32" t="s">
        <v>379</v>
      </c>
      <c r="H127" s="91">
        <v>920000</v>
      </c>
      <c r="I127" s="33" t="s">
        <v>556</v>
      </c>
      <c r="J127" s="35" t="s">
        <v>2282</v>
      </c>
    </row>
    <row r="128" spans="2:10" ht="14">
      <c r="B128" s="31">
        <v>44644</v>
      </c>
      <c r="C128" s="32" t="s">
        <v>406</v>
      </c>
      <c r="D128" s="32" t="s">
        <v>139</v>
      </c>
      <c r="E128" s="32" t="s">
        <v>140</v>
      </c>
      <c r="F128" s="32" t="s">
        <v>407</v>
      </c>
      <c r="G128" s="32" t="s">
        <v>408</v>
      </c>
      <c r="H128" s="91">
        <v>50000</v>
      </c>
      <c r="I128" s="33" t="s">
        <v>556</v>
      </c>
      <c r="J128" s="35" t="s">
        <v>2282</v>
      </c>
    </row>
    <row r="129" spans="2:10" ht="14">
      <c r="B129" s="31">
        <v>44644</v>
      </c>
      <c r="C129" s="32" t="s">
        <v>447</v>
      </c>
      <c r="D129" s="32" t="s">
        <v>139</v>
      </c>
      <c r="E129" s="32" t="s">
        <v>140</v>
      </c>
      <c r="F129" s="32" t="s">
        <v>448</v>
      </c>
      <c r="G129" s="32" t="s">
        <v>449</v>
      </c>
      <c r="H129" s="91">
        <v>3324200000</v>
      </c>
      <c r="I129" s="33" t="s">
        <v>556</v>
      </c>
      <c r="J129" s="35" t="s">
        <v>531</v>
      </c>
    </row>
    <row r="130" spans="2:10" ht="14">
      <c r="B130" s="31">
        <v>44650</v>
      </c>
      <c r="C130" s="32" t="s">
        <v>409</v>
      </c>
      <c r="D130" s="32" t="s">
        <v>139</v>
      </c>
      <c r="E130" s="32" t="s">
        <v>140</v>
      </c>
      <c r="F130" s="32" t="s">
        <v>410</v>
      </c>
      <c r="G130" s="32" t="s">
        <v>411</v>
      </c>
      <c r="H130" s="91">
        <v>1674000</v>
      </c>
      <c r="I130" s="33" t="s">
        <v>556</v>
      </c>
      <c r="J130" s="35" t="s">
        <v>2282</v>
      </c>
    </row>
    <row r="131" spans="2:10" ht="14">
      <c r="B131" s="31">
        <v>44651</v>
      </c>
      <c r="C131" s="32" t="s">
        <v>257</v>
      </c>
      <c r="D131" s="32" t="s">
        <v>139</v>
      </c>
      <c r="E131" s="32" t="s">
        <v>140</v>
      </c>
      <c r="F131" s="32" t="s">
        <v>258</v>
      </c>
      <c r="G131" s="32" t="s">
        <v>259</v>
      </c>
      <c r="H131" s="91">
        <v>240000</v>
      </c>
      <c r="I131" s="33" t="s">
        <v>556</v>
      </c>
      <c r="J131" s="35">
        <v>329</v>
      </c>
    </row>
    <row r="132" spans="2:10" ht="14">
      <c r="B132" s="31">
        <v>44651</v>
      </c>
      <c r="C132" s="32" t="s">
        <v>257</v>
      </c>
      <c r="D132" s="32" t="s">
        <v>139</v>
      </c>
      <c r="E132" s="32" t="s">
        <v>140</v>
      </c>
      <c r="F132" s="32" t="s">
        <v>260</v>
      </c>
      <c r="G132" s="32" t="s">
        <v>259</v>
      </c>
      <c r="H132" s="91">
        <v>200000</v>
      </c>
      <c r="I132" s="33" t="s">
        <v>556</v>
      </c>
      <c r="J132" s="35">
        <v>329</v>
      </c>
    </row>
    <row r="133" spans="2:10" ht="23">
      <c r="B133" s="31">
        <v>44651</v>
      </c>
      <c r="C133" s="32" t="s">
        <v>347</v>
      </c>
      <c r="D133" s="32" t="s">
        <v>139</v>
      </c>
      <c r="E133" s="32" t="s">
        <v>140</v>
      </c>
      <c r="F133" s="32" t="s">
        <v>348</v>
      </c>
      <c r="G133" s="109" t="s">
        <v>349</v>
      </c>
      <c r="H133" s="91">
        <v>187000000</v>
      </c>
      <c r="I133" s="33" t="s">
        <v>556</v>
      </c>
      <c r="J133" s="34" t="s">
        <v>2278</v>
      </c>
    </row>
    <row r="134" spans="2:10" ht="14">
      <c r="B134" s="31">
        <v>44651</v>
      </c>
      <c r="C134" s="32" t="s">
        <v>412</v>
      </c>
      <c r="D134" s="32" t="s">
        <v>139</v>
      </c>
      <c r="E134" s="32" t="s">
        <v>140</v>
      </c>
      <c r="F134" s="32" t="s">
        <v>386</v>
      </c>
      <c r="G134" s="32" t="s">
        <v>413</v>
      </c>
      <c r="H134" s="91">
        <v>809600</v>
      </c>
      <c r="I134" s="33" t="s">
        <v>556</v>
      </c>
      <c r="J134" s="35" t="s">
        <v>2282</v>
      </c>
    </row>
    <row r="135" spans="2:10" ht="14">
      <c r="B135" s="31">
        <v>44651</v>
      </c>
      <c r="C135" s="32" t="s">
        <v>412</v>
      </c>
      <c r="D135" s="32" t="s">
        <v>139</v>
      </c>
      <c r="E135" s="32" t="s">
        <v>140</v>
      </c>
      <c r="F135" s="32" t="s">
        <v>386</v>
      </c>
      <c r="G135" s="32" t="s">
        <v>413</v>
      </c>
      <c r="H135" s="91">
        <v>799800</v>
      </c>
      <c r="I135" s="33" t="s">
        <v>556</v>
      </c>
      <c r="J135" s="35" t="s">
        <v>2282</v>
      </c>
    </row>
    <row r="136" spans="2:10" ht="14">
      <c r="B136" s="31">
        <v>44651</v>
      </c>
      <c r="C136" s="32" t="s">
        <v>412</v>
      </c>
      <c r="D136" s="32" t="s">
        <v>139</v>
      </c>
      <c r="E136" s="32" t="s">
        <v>140</v>
      </c>
      <c r="F136" s="32" t="s">
        <v>389</v>
      </c>
      <c r="G136" s="32" t="s">
        <v>413</v>
      </c>
      <c r="H136" s="91">
        <v>1090700</v>
      </c>
      <c r="I136" s="33" t="s">
        <v>556</v>
      </c>
      <c r="J136" s="35" t="s">
        <v>2282</v>
      </c>
    </row>
    <row r="137" spans="2:10" ht="14">
      <c r="B137" s="31">
        <v>44651</v>
      </c>
      <c r="C137" s="32" t="s">
        <v>412</v>
      </c>
      <c r="D137" s="32" t="s">
        <v>139</v>
      </c>
      <c r="E137" s="32" t="s">
        <v>140</v>
      </c>
      <c r="F137" s="32" t="s">
        <v>389</v>
      </c>
      <c r="G137" s="32" t="s">
        <v>413</v>
      </c>
      <c r="H137" s="91">
        <v>1617100</v>
      </c>
      <c r="I137" s="33" t="s">
        <v>556</v>
      </c>
      <c r="J137" s="35" t="s">
        <v>2282</v>
      </c>
    </row>
    <row r="138" spans="2:10" ht="14">
      <c r="B138" s="31">
        <v>44651</v>
      </c>
      <c r="C138" s="32" t="s">
        <v>412</v>
      </c>
      <c r="D138" s="32" t="s">
        <v>139</v>
      </c>
      <c r="E138" s="32" t="s">
        <v>140</v>
      </c>
      <c r="F138" s="32" t="s">
        <v>386</v>
      </c>
      <c r="G138" s="32" t="s">
        <v>413</v>
      </c>
      <c r="H138" s="91">
        <v>1090700</v>
      </c>
      <c r="I138" s="33" t="s">
        <v>556</v>
      </c>
      <c r="J138" s="35" t="s">
        <v>2282</v>
      </c>
    </row>
    <row r="139" spans="2:10" ht="14">
      <c r="B139" s="31">
        <v>44651</v>
      </c>
      <c r="C139" s="32" t="s">
        <v>412</v>
      </c>
      <c r="D139" s="32" t="s">
        <v>139</v>
      </c>
      <c r="E139" s="32" t="s">
        <v>140</v>
      </c>
      <c r="F139" s="32" t="s">
        <v>386</v>
      </c>
      <c r="G139" s="32" t="s">
        <v>413</v>
      </c>
      <c r="H139" s="91">
        <v>1617100</v>
      </c>
      <c r="I139" s="33" t="s">
        <v>556</v>
      </c>
      <c r="J139" s="35" t="s">
        <v>2282</v>
      </c>
    </row>
    <row r="140" spans="2:10" ht="14">
      <c r="B140" s="31">
        <v>44651</v>
      </c>
      <c r="C140" s="32" t="s">
        <v>412</v>
      </c>
      <c r="D140" s="32" t="s">
        <v>139</v>
      </c>
      <c r="E140" s="32" t="s">
        <v>140</v>
      </c>
      <c r="F140" s="32" t="s">
        <v>414</v>
      </c>
      <c r="G140" s="32" t="s">
        <v>415</v>
      </c>
      <c r="H140" s="91">
        <v>15000</v>
      </c>
      <c r="I140" s="33" t="s">
        <v>556</v>
      </c>
      <c r="J140" s="35" t="s">
        <v>2282</v>
      </c>
    </row>
    <row r="141" spans="2:10" ht="14">
      <c r="B141" s="31">
        <v>44651</v>
      </c>
      <c r="C141" s="32" t="s">
        <v>416</v>
      </c>
      <c r="D141" s="32" t="s">
        <v>139</v>
      </c>
      <c r="E141" s="32" t="s">
        <v>140</v>
      </c>
      <c r="F141" s="32" t="s">
        <v>417</v>
      </c>
      <c r="G141" s="32" t="s">
        <v>418</v>
      </c>
      <c r="H141" s="91">
        <v>2107500</v>
      </c>
      <c r="I141" s="33" t="s">
        <v>556</v>
      </c>
      <c r="J141" s="35" t="s">
        <v>2282</v>
      </c>
    </row>
    <row r="142" spans="2:10" ht="14">
      <c r="B142" s="31">
        <v>44671</v>
      </c>
      <c r="C142" s="32" t="s">
        <v>424</v>
      </c>
      <c r="D142" s="32" t="s">
        <v>139</v>
      </c>
      <c r="E142" s="32" t="s">
        <v>140</v>
      </c>
      <c r="F142" s="32" t="s">
        <v>425</v>
      </c>
      <c r="G142" s="32" t="s">
        <v>426</v>
      </c>
      <c r="H142" s="91">
        <v>937300</v>
      </c>
      <c r="I142" s="33" t="s">
        <v>557</v>
      </c>
      <c r="J142" s="35" t="s">
        <v>2282</v>
      </c>
    </row>
    <row r="143" spans="2:10" ht="14">
      <c r="B143" s="31">
        <v>44671</v>
      </c>
      <c r="C143" s="32" t="s">
        <v>424</v>
      </c>
      <c r="D143" s="32" t="s">
        <v>139</v>
      </c>
      <c r="E143" s="32" t="s">
        <v>140</v>
      </c>
      <c r="F143" s="32" t="s">
        <v>425</v>
      </c>
      <c r="G143" s="32" t="s">
        <v>426</v>
      </c>
      <c r="H143" s="91">
        <v>1544600</v>
      </c>
      <c r="I143" s="33" t="s">
        <v>557</v>
      </c>
      <c r="J143" s="35" t="s">
        <v>2282</v>
      </c>
    </row>
    <row r="144" spans="2:10" ht="14">
      <c r="B144" s="31">
        <v>44672</v>
      </c>
      <c r="C144" s="32" t="s">
        <v>419</v>
      </c>
      <c r="D144" s="32" t="s">
        <v>139</v>
      </c>
      <c r="E144" s="32" t="s">
        <v>140</v>
      </c>
      <c r="F144" s="32" t="s">
        <v>420</v>
      </c>
      <c r="G144" s="32" t="s">
        <v>421</v>
      </c>
      <c r="H144" s="91">
        <v>1443000</v>
      </c>
      <c r="I144" s="33" t="s">
        <v>557</v>
      </c>
      <c r="J144" s="35" t="s">
        <v>2282</v>
      </c>
    </row>
    <row r="145" spans="2:10" ht="14">
      <c r="B145" s="31">
        <v>44673</v>
      </c>
      <c r="C145" s="32" t="s">
        <v>422</v>
      </c>
      <c r="D145" s="32" t="s">
        <v>139</v>
      </c>
      <c r="E145" s="32" t="s">
        <v>140</v>
      </c>
      <c r="F145" s="32" t="s">
        <v>357</v>
      </c>
      <c r="G145" s="32" t="s">
        <v>423</v>
      </c>
      <c r="H145" s="91">
        <v>756000</v>
      </c>
      <c r="I145" s="33" t="s">
        <v>557</v>
      </c>
      <c r="J145" s="35" t="s">
        <v>2282</v>
      </c>
    </row>
    <row r="146" spans="2:10" ht="14">
      <c r="B146" s="31">
        <v>44678</v>
      </c>
      <c r="C146" s="32" t="s">
        <v>450</v>
      </c>
      <c r="D146" s="32" t="s">
        <v>139</v>
      </c>
      <c r="E146" s="32" t="s">
        <v>140</v>
      </c>
      <c r="F146" s="32" t="s">
        <v>448</v>
      </c>
      <c r="G146" s="32" t="s">
        <v>451</v>
      </c>
      <c r="H146" s="91">
        <v>1668330000</v>
      </c>
      <c r="I146" s="33" t="s">
        <v>557</v>
      </c>
      <c r="J146" s="35" t="s">
        <v>531</v>
      </c>
    </row>
    <row r="147" spans="2:10" ht="14">
      <c r="B147" s="31">
        <v>44678</v>
      </c>
      <c r="C147" s="32" t="s">
        <v>452</v>
      </c>
      <c r="D147" s="32" t="s">
        <v>139</v>
      </c>
      <c r="E147" s="32" t="s">
        <v>140</v>
      </c>
      <c r="F147" s="32" t="s">
        <v>448</v>
      </c>
      <c r="G147" s="32" t="s">
        <v>453</v>
      </c>
      <c r="H147" s="91">
        <v>60306300</v>
      </c>
      <c r="I147" s="33" t="s">
        <v>557</v>
      </c>
      <c r="J147" s="35" t="s">
        <v>531</v>
      </c>
    </row>
    <row r="148" spans="2:10">
      <c r="B148" s="31">
        <v>44681</v>
      </c>
      <c r="C148" s="32" t="s">
        <v>155</v>
      </c>
      <c r="D148" s="32" t="s">
        <v>139</v>
      </c>
      <c r="E148" s="32" t="s">
        <v>140</v>
      </c>
      <c r="F148" s="32" t="s">
        <v>141</v>
      </c>
      <c r="G148" s="32" t="s">
        <v>150</v>
      </c>
      <c r="H148" s="91">
        <v>2077920</v>
      </c>
      <c r="I148" s="33" t="s">
        <v>557</v>
      </c>
      <c r="J148" s="34">
        <v>327</v>
      </c>
    </row>
    <row r="149" spans="2:10">
      <c r="B149" s="31">
        <v>44681</v>
      </c>
      <c r="C149" s="32" t="s">
        <v>155</v>
      </c>
      <c r="D149" s="32" t="s">
        <v>139</v>
      </c>
      <c r="E149" s="32" t="s">
        <v>140</v>
      </c>
      <c r="F149" s="32" t="s">
        <v>141</v>
      </c>
      <c r="G149" s="32" t="s">
        <v>156</v>
      </c>
      <c r="H149" s="91">
        <v>21706.240000000002</v>
      </c>
      <c r="I149" s="33" t="s">
        <v>557</v>
      </c>
      <c r="J149" s="34">
        <v>327</v>
      </c>
    </row>
    <row r="150" spans="2:10" ht="14">
      <c r="B150" s="31">
        <v>44681</v>
      </c>
      <c r="C150" s="32" t="s">
        <v>261</v>
      </c>
      <c r="D150" s="32" t="s">
        <v>139</v>
      </c>
      <c r="E150" s="32" t="s">
        <v>140</v>
      </c>
      <c r="F150" s="32" t="s">
        <v>262</v>
      </c>
      <c r="G150" s="32" t="s">
        <v>263</v>
      </c>
      <c r="H150" s="91">
        <v>1200000</v>
      </c>
      <c r="I150" s="33" t="s">
        <v>557</v>
      </c>
      <c r="J150" s="35">
        <v>329</v>
      </c>
    </row>
    <row r="151" spans="2:10" ht="14">
      <c r="B151" s="31">
        <v>44681</v>
      </c>
      <c r="C151" s="32" t="s">
        <v>261</v>
      </c>
      <c r="D151" s="32" t="s">
        <v>139</v>
      </c>
      <c r="E151" s="32" t="s">
        <v>140</v>
      </c>
      <c r="F151" s="32" t="s">
        <v>229</v>
      </c>
      <c r="G151" s="32" t="s">
        <v>263</v>
      </c>
      <c r="H151" s="91">
        <v>180000</v>
      </c>
      <c r="I151" s="33" t="s">
        <v>557</v>
      </c>
      <c r="J151" s="35">
        <v>329</v>
      </c>
    </row>
    <row r="152" spans="2:10" ht="14">
      <c r="B152" s="31">
        <v>44681</v>
      </c>
      <c r="C152" s="32" t="s">
        <v>261</v>
      </c>
      <c r="D152" s="32" t="s">
        <v>139</v>
      </c>
      <c r="E152" s="32" t="s">
        <v>140</v>
      </c>
      <c r="F152" s="32" t="s">
        <v>229</v>
      </c>
      <c r="G152" s="32" t="s">
        <v>264</v>
      </c>
      <c r="H152" s="91">
        <v>190000</v>
      </c>
      <c r="I152" s="33" t="s">
        <v>557</v>
      </c>
      <c r="J152" s="35">
        <v>329</v>
      </c>
    </row>
    <row r="153" spans="2:10" ht="14">
      <c r="B153" s="31">
        <v>44681</v>
      </c>
      <c r="C153" s="32" t="s">
        <v>261</v>
      </c>
      <c r="D153" s="32" t="s">
        <v>139</v>
      </c>
      <c r="E153" s="32" t="s">
        <v>140</v>
      </c>
      <c r="F153" s="32" t="s">
        <v>265</v>
      </c>
      <c r="G153" s="32" t="s">
        <v>263</v>
      </c>
      <c r="H153" s="91">
        <v>160000</v>
      </c>
      <c r="I153" s="33" t="s">
        <v>557</v>
      </c>
      <c r="J153" s="35">
        <v>329</v>
      </c>
    </row>
    <row r="154" spans="2:10" ht="14">
      <c r="B154" s="31">
        <v>44681</v>
      </c>
      <c r="C154" s="32" t="s">
        <v>261</v>
      </c>
      <c r="D154" s="32" t="s">
        <v>139</v>
      </c>
      <c r="E154" s="32" t="s">
        <v>140</v>
      </c>
      <c r="F154" s="32" t="s">
        <v>265</v>
      </c>
      <c r="G154" s="32" t="s">
        <v>264</v>
      </c>
      <c r="H154" s="91">
        <v>120000</v>
      </c>
      <c r="I154" s="33" t="s">
        <v>557</v>
      </c>
      <c r="J154" s="35">
        <v>329</v>
      </c>
    </row>
    <row r="155" spans="2:10" ht="46">
      <c r="B155" s="31">
        <v>44681</v>
      </c>
      <c r="C155" s="32" t="s">
        <v>467</v>
      </c>
      <c r="D155" s="32" t="s">
        <v>139</v>
      </c>
      <c r="E155" s="32" t="s">
        <v>140</v>
      </c>
      <c r="F155" s="32" t="s">
        <v>468</v>
      </c>
      <c r="G155" s="109" t="s">
        <v>469</v>
      </c>
      <c r="H155" s="91">
        <v>3145334805</v>
      </c>
      <c r="I155" s="33" t="s">
        <v>557</v>
      </c>
      <c r="J155" s="35" t="s">
        <v>532</v>
      </c>
    </row>
    <row r="156" spans="2:10" ht="14">
      <c r="B156" s="31">
        <v>44693</v>
      </c>
      <c r="C156" s="32" t="s">
        <v>429</v>
      </c>
      <c r="D156" s="32" t="s">
        <v>139</v>
      </c>
      <c r="E156" s="32" t="s">
        <v>140</v>
      </c>
      <c r="F156" s="32" t="s">
        <v>357</v>
      </c>
      <c r="G156" s="32" t="s">
        <v>430</v>
      </c>
      <c r="H156" s="91">
        <v>861000</v>
      </c>
      <c r="I156" s="33" t="s">
        <v>558</v>
      </c>
      <c r="J156" s="35" t="s">
        <v>2282</v>
      </c>
    </row>
    <row r="157" spans="2:10" ht="14">
      <c r="B157" s="31">
        <v>44699</v>
      </c>
      <c r="C157" s="32" t="s">
        <v>427</v>
      </c>
      <c r="D157" s="32" t="s">
        <v>139</v>
      </c>
      <c r="E157" s="32" t="s">
        <v>140</v>
      </c>
      <c r="F157" s="32" t="s">
        <v>396</v>
      </c>
      <c r="G157" s="32" t="s">
        <v>428</v>
      </c>
      <c r="H157" s="91">
        <v>4820700</v>
      </c>
      <c r="I157" s="33" t="s">
        <v>558</v>
      </c>
      <c r="J157" s="35" t="s">
        <v>2282</v>
      </c>
    </row>
    <row r="158" spans="2:10" ht="14">
      <c r="B158" s="31">
        <v>44704</v>
      </c>
      <c r="C158" s="32" t="s">
        <v>266</v>
      </c>
      <c r="D158" s="32" t="s">
        <v>139</v>
      </c>
      <c r="E158" s="32" t="s">
        <v>140</v>
      </c>
      <c r="F158" s="32" t="s">
        <v>267</v>
      </c>
      <c r="G158" s="32" t="s">
        <v>268</v>
      </c>
      <c r="H158" s="91">
        <v>300000</v>
      </c>
      <c r="I158" s="33" t="s">
        <v>558</v>
      </c>
      <c r="J158" s="35">
        <v>329</v>
      </c>
    </row>
    <row r="159" spans="2:10" ht="14">
      <c r="B159" s="31">
        <v>44704</v>
      </c>
      <c r="C159" s="32" t="s">
        <v>431</v>
      </c>
      <c r="D159" s="32" t="s">
        <v>139</v>
      </c>
      <c r="E159" s="32" t="s">
        <v>140</v>
      </c>
      <c r="F159" s="32" t="s">
        <v>357</v>
      </c>
      <c r="G159" s="32" t="s">
        <v>432</v>
      </c>
      <c r="H159" s="91">
        <v>756000</v>
      </c>
      <c r="I159" s="33" t="s">
        <v>558</v>
      </c>
      <c r="J159" s="35" t="s">
        <v>2282</v>
      </c>
    </row>
    <row r="160" spans="2:10" ht="14">
      <c r="B160" s="31">
        <v>44708</v>
      </c>
      <c r="C160" s="32" t="s">
        <v>454</v>
      </c>
      <c r="D160" s="32" t="s">
        <v>139</v>
      </c>
      <c r="E160" s="32" t="s">
        <v>140</v>
      </c>
      <c r="F160" s="32" t="s">
        <v>455</v>
      </c>
      <c r="G160" s="32" t="s">
        <v>456</v>
      </c>
      <c r="H160" s="91">
        <v>1746396300</v>
      </c>
      <c r="I160" s="33" t="s">
        <v>558</v>
      </c>
      <c r="J160" s="35" t="s">
        <v>531</v>
      </c>
    </row>
    <row r="161" spans="2:10" ht="14">
      <c r="B161" s="31">
        <v>44708</v>
      </c>
      <c r="C161" s="32" t="s">
        <v>457</v>
      </c>
      <c r="D161" s="32" t="s">
        <v>139</v>
      </c>
      <c r="E161" s="32" t="s">
        <v>140</v>
      </c>
      <c r="F161" s="32" t="s">
        <v>455</v>
      </c>
      <c r="G161" s="32" t="s">
        <v>458</v>
      </c>
      <c r="H161" s="91">
        <v>613222386</v>
      </c>
      <c r="I161" s="33" t="s">
        <v>558</v>
      </c>
      <c r="J161" s="35" t="s">
        <v>531</v>
      </c>
    </row>
    <row r="162" spans="2:10" ht="14">
      <c r="B162" s="31">
        <v>44712</v>
      </c>
      <c r="C162" s="32" t="s">
        <v>497</v>
      </c>
      <c r="D162" s="32" t="s">
        <v>139</v>
      </c>
      <c r="E162" s="32" t="s">
        <v>140</v>
      </c>
      <c r="F162" s="32" t="s">
        <v>498</v>
      </c>
      <c r="G162" s="32" t="s">
        <v>499</v>
      </c>
      <c r="H162" s="91">
        <v>1772129040</v>
      </c>
      <c r="I162" s="33" t="s">
        <v>558</v>
      </c>
      <c r="J162" s="35" t="s">
        <v>526</v>
      </c>
    </row>
    <row r="163" spans="2:10" ht="14">
      <c r="B163" s="31">
        <v>44712</v>
      </c>
      <c r="C163" s="32" t="s">
        <v>497</v>
      </c>
      <c r="D163" s="32" t="s">
        <v>139</v>
      </c>
      <c r="E163" s="32" t="s">
        <v>140</v>
      </c>
      <c r="F163" s="32" t="s">
        <v>500</v>
      </c>
      <c r="G163" s="32" t="s">
        <v>501</v>
      </c>
      <c r="H163" s="91">
        <v>4134967760</v>
      </c>
      <c r="I163" s="33" t="s">
        <v>558</v>
      </c>
      <c r="J163" s="35" t="s">
        <v>526</v>
      </c>
    </row>
    <row r="164" spans="2:10" ht="14">
      <c r="B164" s="31">
        <v>44712</v>
      </c>
      <c r="C164" s="32" t="s">
        <v>502</v>
      </c>
      <c r="D164" s="32" t="s">
        <v>139</v>
      </c>
      <c r="E164" s="32" t="s">
        <v>140</v>
      </c>
      <c r="F164" s="32" t="s">
        <v>503</v>
      </c>
      <c r="G164" s="32" t="s">
        <v>504</v>
      </c>
      <c r="H164" s="91">
        <v>1792150800</v>
      </c>
      <c r="I164" s="33" t="s">
        <v>558</v>
      </c>
      <c r="J164" s="35" t="s">
        <v>527</v>
      </c>
    </row>
    <row r="165" spans="2:10" ht="14">
      <c r="B165" s="31">
        <v>44712</v>
      </c>
      <c r="C165" s="32" t="s">
        <v>502</v>
      </c>
      <c r="D165" s="32" t="s">
        <v>139</v>
      </c>
      <c r="E165" s="32" t="s">
        <v>140</v>
      </c>
      <c r="F165" s="32" t="s">
        <v>503</v>
      </c>
      <c r="G165" s="32" t="s">
        <v>505</v>
      </c>
      <c r="H165" s="91">
        <v>4219700520</v>
      </c>
      <c r="I165" s="33" t="s">
        <v>558</v>
      </c>
      <c r="J165" s="35" t="s">
        <v>527</v>
      </c>
    </row>
    <row r="166" spans="2:10" ht="14">
      <c r="B166" s="31">
        <v>44712</v>
      </c>
      <c r="C166" s="32" t="s">
        <v>506</v>
      </c>
      <c r="D166" s="32" t="s">
        <v>139</v>
      </c>
      <c r="E166" s="32" t="s">
        <v>140</v>
      </c>
      <c r="F166" s="32" t="s">
        <v>503</v>
      </c>
      <c r="G166" s="32" t="s">
        <v>507</v>
      </c>
      <c r="H166" s="91">
        <v>366930480</v>
      </c>
      <c r="I166" s="33" t="s">
        <v>558</v>
      </c>
      <c r="J166" s="35" t="s">
        <v>528</v>
      </c>
    </row>
    <row r="167" spans="2:10" ht="14">
      <c r="B167" s="31">
        <v>44712</v>
      </c>
      <c r="C167" s="32" t="s">
        <v>269</v>
      </c>
      <c r="D167" s="32" t="s">
        <v>270</v>
      </c>
      <c r="E167" s="32" t="s">
        <v>271</v>
      </c>
      <c r="F167" s="32" t="s">
        <v>272</v>
      </c>
      <c r="G167" s="32" t="s">
        <v>273</v>
      </c>
      <c r="H167" s="91">
        <v>2770623</v>
      </c>
      <c r="I167" s="33" t="s">
        <v>558</v>
      </c>
      <c r="J167" s="35">
        <v>329</v>
      </c>
    </row>
    <row r="168" spans="2:10" ht="14">
      <c r="B168" s="31">
        <v>44712</v>
      </c>
      <c r="C168" s="32" t="s">
        <v>269</v>
      </c>
      <c r="D168" s="32" t="s">
        <v>270</v>
      </c>
      <c r="E168" s="32" t="s">
        <v>271</v>
      </c>
      <c r="F168" s="32" t="s">
        <v>274</v>
      </c>
      <c r="G168" s="32" t="s">
        <v>275</v>
      </c>
      <c r="H168" s="91">
        <v>2382000</v>
      </c>
      <c r="I168" s="33" t="s">
        <v>558</v>
      </c>
      <c r="J168" s="35" t="s">
        <v>2282</v>
      </c>
    </row>
    <row r="169" spans="2:10" ht="14">
      <c r="B169" s="31">
        <v>44712</v>
      </c>
      <c r="C169" s="32" t="s">
        <v>269</v>
      </c>
      <c r="D169" s="32" t="s">
        <v>270</v>
      </c>
      <c r="E169" s="32" t="s">
        <v>271</v>
      </c>
      <c r="F169" s="32" t="s">
        <v>276</v>
      </c>
      <c r="G169" s="32" t="s">
        <v>277</v>
      </c>
      <c r="H169" s="91">
        <v>1729500</v>
      </c>
      <c r="I169" s="33" t="s">
        <v>558</v>
      </c>
      <c r="J169" s="35" t="s">
        <v>2282</v>
      </c>
    </row>
    <row r="170" spans="2:10" ht="14">
      <c r="B170" s="31">
        <v>44712</v>
      </c>
      <c r="C170" s="32" t="s">
        <v>269</v>
      </c>
      <c r="D170" s="32" t="s">
        <v>270</v>
      </c>
      <c r="E170" s="32" t="s">
        <v>271</v>
      </c>
      <c r="F170" s="32" t="s">
        <v>278</v>
      </c>
      <c r="G170" s="32" t="s">
        <v>279</v>
      </c>
      <c r="H170" s="91">
        <v>1360000</v>
      </c>
      <c r="I170" s="33" t="s">
        <v>558</v>
      </c>
      <c r="J170" s="35" t="s">
        <v>2282</v>
      </c>
    </row>
    <row r="171" spans="2:10" ht="14">
      <c r="B171" s="31">
        <v>44712</v>
      </c>
      <c r="C171" s="32" t="s">
        <v>269</v>
      </c>
      <c r="D171" s="32" t="s">
        <v>270</v>
      </c>
      <c r="E171" s="32" t="s">
        <v>271</v>
      </c>
      <c r="F171" s="32" t="s">
        <v>276</v>
      </c>
      <c r="G171" s="32" t="s">
        <v>277</v>
      </c>
      <c r="H171" s="91">
        <v>1214300</v>
      </c>
      <c r="I171" s="33" t="s">
        <v>558</v>
      </c>
      <c r="J171" s="35" t="s">
        <v>2282</v>
      </c>
    </row>
    <row r="172" spans="2:10" ht="14">
      <c r="B172" s="31">
        <v>44712</v>
      </c>
      <c r="C172" s="32" t="s">
        <v>318</v>
      </c>
      <c r="D172" s="32" t="s">
        <v>270</v>
      </c>
      <c r="E172" s="32" t="s">
        <v>140</v>
      </c>
      <c r="F172" s="32" t="s">
        <v>319</v>
      </c>
      <c r="G172" s="32" t="s">
        <v>320</v>
      </c>
      <c r="H172" s="91">
        <v>5000000</v>
      </c>
      <c r="I172" s="33" t="s">
        <v>558</v>
      </c>
      <c r="J172" s="35" t="s">
        <v>582</v>
      </c>
    </row>
    <row r="173" spans="2:10" ht="14">
      <c r="B173" s="31">
        <v>44712</v>
      </c>
      <c r="C173" s="32" t="s">
        <v>326</v>
      </c>
      <c r="D173" s="32" t="s">
        <v>270</v>
      </c>
      <c r="E173" s="32" t="s">
        <v>140</v>
      </c>
      <c r="F173" s="32" t="s">
        <v>327</v>
      </c>
      <c r="G173" s="32" t="s">
        <v>328</v>
      </c>
      <c r="H173" s="91">
        <v>5000000</v>
      </c>
      <c r="I173" s="33" t="s">
        <v>558</v>
      </c>
      <c r="J173" s="35" t="s">
        <v>582</v>
      </c>
    </row>
    <row r="174" spans="2:10" ht="14">
      <c r="B174" s="31">
        <v>44712</v>
      </c>
      <c r="C174" s="32" t="s">
        <v>350</v>
      </c>
      <c r="D174" s="32" t="s">
        <v>270</v>
      </c>
      <c r="E174" s="32" t="s">
        <v>140</v>
      </c>
      <c r="F174" s="32" t="s">
        <v>351</v>
      </c>
      <c r="G174" s="32" t="s">
        <v>352</v>
      </c>
      <c r="H174" s="91">
        <v>25252500</v>
      </c>
      <c r="I174" s="33" t="s">
        <v>558</v>
      </c>
      <c r="J174" s="35" t="s">
        <v>521</v>
      </c>
    </row>
    <row r="175" spans="2:10" ht="14">
      <c r="B175" s="31">
        <v>44712</v>
      </c>
      <c r="C175" s="32" t="s">
        <v>350</v>
      </c>
      <c r="D175" s="32" t="s">
        <v>270</v>
      </c>
      <c r="E175" s="32" t="s">
        <v>140</v>
      </c>
      <c r="F175" s="32" t="s">
        <v>351</v>
      </c>
      <c r="G175" s="32" t="s">
        <v>353</v>
      </c>
      <c r="H175" s="91">
        <v>22477500</v>
      </c>
      <c r="I175" s="33" t="s">
        <v>558</v>
      </c>
      <c r="J175" s="35" t="s">
        <v>521</v>
      </c>
    </row>
    <row r="176" spans="2:10" ht="14">
      <c r="B176" s="31">
        <v>44712</v>
      </c>
      <c r="C176" s="32" t="s">
        <v>269</v>
      </c>
      <c r="D176" s="32" t="s">
        <v>270</v>
      </c>
      <c r="E176" s="32" t="s">
        <v>140</v>
      </c>
      <c r="F176" s="32" t="s">
        <v>433</v>
      </c>
      <c r="G176" s="32" t="s">
        <v>434</v>
      </c>
      <c r="H176" s="91">
        <v>7849300</v>
      </c>
      <c r="I176" s="33" t="s">
        <v>558</v>
      </c>
      <c r="J176" s="35" t="s">
        <v>2282</v>
      </c>
    </row>
    <row r="177" spans="2:10" ht="14">
      <c r="B177" s="31">
        <v>44712</v>
      </c>
      <c r="C177" s="32" t="s">
        <v>269</v>
      </c>
      <c r="D177" s="32" t="s">
        <v>270</v>
      </c>
      <c r="E177" s="32" t="s">
        <v>140</v>
      </c>
      <c r="F177" s="32" t="s">
        <v>435</v>
      </c>
      <c r="G177" s="32" t="s">
        <v>434</v>
      </c>
      <c r="H177" s="91">
        <v>7226000</v>
      </c>
      <c r="I177" s="33" t="s">
        <v>558</v>
      </c>
      <c r="J177" s="35" t="s">
        <v>2282</v>
      </c>
    </row>
    <row r="178" spans="2:10">
      <c r="B178" s="31">
        <v>44712</v>
      </c>
      <c r="C178" s="32" t="s">
        <v>480</v>
      </c>
      <c r="D178" s="32" t="s">
        <v>270</v>
      </c>
      <c r="E178" s="32" t="s">
        <v>308</v>
      </c>
      <c r="F178" s="32" t="s">
        <v>481</v>
      </c>
      <c r="G178" s="32" t="s">
        <v>482</v>
      </c>
      <c r="H178" s="91">
        <v>39275000</v>
      </c>
      <c r="I178" s="33" t="s">
        <v>558</v>
      </c>
      <c r="J178" s="34" t="s">
        <v>580</v>
      </c>
    </row>
    <row r="179" spans="2:10">
      <c r="B179" s="31">
        <v>44712</v>
      </c>
      <c r="C179" s="32" t="s">
        <v>480</v>
      </c>
      <c r="D179" s="32" t="s">
        <v>270</v>
      </c>
      <c r="E179" s="32" t="s">
        <v>308</v>
      </c>
      <c r="F179" s="32" t="s">
        <v>481</v>
      </c>
      <c r="G179" s="32" t="s">
        <v>483</v>
      </c>
      <c r="H179" s="91">
        <v>38825000</v>
      </c>
      <c r="I179" s="33" t="s">
        <v>558</v>
      </c>
      <c r="J179" s="34" t="s">
        <v>580</v>
      </c>
    </row>
    <row r="180" spans="2:10" ht="14">
      <c r="B180" s="31">
        <v>44712</v>
      </c>
      <c r="C180" s="32" t="s">
        <v>508</v>
      </c>
      <c r="D180" s="32" t="s">
        <v>270</v>
      </c>
      <c r="E180" s="61" t="s">
        <v>495</v>
      </c>
      <c r="F180" s="32" t="s">
        <v>503</v>
      </c>
      <c r="G180" s="32" t="s">
        <v>509</v>
      </c>
      <c r="H180" s="91">
        <v>1964568132</v>
      </c>
      <c r="I180" s="33" t="s">
        <v>558</v>
      </c>
      <c r="J180" s="35" t="s">
        <v>529</v>
      </c>
    </row>
    <row r="181" spans="2:10">
      <c r="B181" s="38">
        <v>44712</v>
      </c>
      <c r="C181" s="39" t="s">
        <v>513</v>
      </c>
      <c r="D181" s="39" t="s">
        <v>740</v>
      </c>
      <c r="E181" s="39" t="s">
        <v>633</v>
      </c>
      <c r="F181" s="39" t="s">
        <v>515</v>
      </c>
      <c r="G181" s="39" t="s">
        <v>516</v>
      </c>
      <c r="H181" s="91">
        <v>3120000</v>
      </c>
      <c r="I181" s="45" t="str">
        <f t="shared" ref="I181:I190" si="0">+RIGHT(C181,4)</f>
        <v>0522</v>
      </c>
      <c r="J181" s="44" t="s">
        <v>870</v>
      </c>
    </row>
    <row r="182" spans="2:10">
      <c r="B182" s="38">
        <v>44712</v>
      </c>
      <c r="C182" s="39" t="s">
        <v>513</v>
      </c>
      <c r="D182" s="224" t="s">
        <v>740</v>
      </c>
      <c r="E182" s="39" t="s">
        <v>633</v>
      </c>
      <c r="F182" s="39" t="s">
        <v>515</v>
      </c>
      <c r="G182" s="39" t="s">
        <v>516</v>
      </c>
      <c r="H182" s="91">
        <v>11375000</v>
      </c>
      <c r="I182" s="45" t="str">
        <f t="shared" si="0"/>
        <v>0522</v>
      </c>
      <c r="J182" s="44" t="s">
        <v>870</v>
      </c>
    </row>
    <row r="183" spans="2:10">
      <c r="B183" s="38">
        <v>44712</v>
      </c>
      <c r="C183" s="39" t="s">
        <v>513</v>
      </c>
      <c r="D183" s="39" t="s">
        <v>740</v>
      </c>
      <c r="E183" s="39" t="s">
        <v>633</v>
      </c>
      <c r="F183" s="39" t="s">
        <v>515</v>
      </c>
      <c r="G183" s="39" t="s">
        <v>516</v>
      </c>
      <c r="H183" s="91">
        <v>1088669.28</v>
      </c>
      <c r="I183" s="45" t="str">
        <f t="shared" si="0"/>
        <v>0522</v>
      </c>
      <c r="J183" s="44" t="s">
        <v>870</v>
      </c>
    </row>
    <row r="184" spans="2:10">
      <c r="B184" s="38">
        <v>44712</v>
      </c>
      <c r="C184" s="39" t="s">
        <v>513</v>
      </c>
      <c r="D184" s="39" t="s">
        <v>740</v>
      </c>
      <c r="E184" s="39" t="s">
        <v>633</v>
      </c>
      <c r="F184" s="39" t="s">
        <v>515</v>
      </c>
      <c r="G184" s="39" t="s">
        <v>516</v>
      </c>
      <c r="H184" s="91">
        <v>65000</v>
      </c>
      <c r="I184" s="45" t="str">
        <f t="shared" si="0"/>
        <v>0522</v>
      </c>
      <c r="J184" s="44" t="s">
        <v>870</v>
      </c>
    </row>
    <row r="185" spans="2:10">
      <c r="B185" s="38">
        <v>44712</v>
      </c>
      <c r="C185" s="39" t="s">
        <v>513</v>
      </c>
      <c r="D185" s="39" t="s">
        <v>740</v>
      </c>
      <c r="E185" s="39" t="s">
        <v>633</v>
      </c>
      <c r="F185" s="39" t="s">
        <v>515</v>
      </c>
      <c r="G185" s="39" t="s">
        <v>516</v>
      </c>
      <c r="H185" s="91">
        <v>94014.7</v>
      </c>
      <c r="I185" s="45" t="str">
        <f t="shared" si="0"/>
        <v>0522</v>
      </c>
      <c r="J185" s="44" t="s">
        <v>870</v>
      </c>
    </row>
    <row r="186" spans="2:10">
      <c r="B186" s="38">
        <v>44712</v>
      </c>
      <c r="C186" s="39" t="s">
        <v>513</v>
      </c>
      <c r="D186" s="39" t="s">
        <v>740</v>
      </c>
      <c r="E186" s="39" t="s">
        <v>633</v>
      </c>
      <c r="F186" s="39" t="s">
        <v>515</v>
      </c>
      <c r="G186" s="39" t="s">
        <v>516</v>
      </c>
      <c r="H186" s="91">
        <v>250000</v>
      </c>
      <c r="I186" s="45" t="str">
        <f t="shared" si="0"/>
        <v>0522</v>
      </c>
      <c r="J186" s="44" t="s">
        <v>870</v>
      </c>
    </row>
    <row r="187" spans="2:10">
      <c r="B187" s="38">
        <v>44712</v>
      </c>
      <c r="C187" s="39" t="s">
        <v>513</v>
      </c>
      <c r="D187" s="39" t="s">
        <v>740</v>
      </c>
      <c r="E187" s="39" t="s">
        <v>633</v>
      </c>
      <c r="F187" s="39" t="s">
        <v>515</v>
      </c>
      <c r="G187" s="39" t="s">
        <v>516</v>
      </c>
      <c r="H187" s="91">
        <v>1920000</v>
      </c>
      <c r="I187" s="45" t="str">
        <f t="shared" si="0"/>
        <v>0522</v>
      </c>
      <c r="J187" s="44" t="s">
        <v>870</v>
      </c>
    </row>
    <row r="188" spans="2:10">
      <c r="B188" s="38">
        <v>44712</v>
      </c>
      <c r="C188" s="39" t="s">
        <v>513</v>
      </c>
      <c r="D188" s="39" t="s">
        <v>740</v>
      </c>
      <c r="E188" s="39" t="s">
        <v>633</v>
      </c>
      <c r="F188" s="39" t="s">
        <v>515</v>
      </c>
      <c r="G188" s="39" t="s">
        <v>516</v>
      </c>
      <c r="H188" s="91">
        <v>180000</v>
      </c>
      <c r="I188" s="45" t="str">
        <f t="shared" si="0"/>
        <v>0522</v>
      </c>
      <c r="J188" s="44" t="s">
        <v>870</v>
      </c>
    </row>
    <row r="189" spans="2:10">
      <c r="B189" s="38">
        <v>44712</v>
      </c>
      <c r="C189" s="39" t="s">
        <v>513</v>
      </c>
      <c r="D189" s="39" t="s">
        <v>740</v>
      </c>
      <c r="E189" s="39" t="s">
        <v>633</v>
      </c>
      <c r="F189" s="39" t="s">
        <v>515</v>
      </c>
      <c r="G189" s="39" t="s">
        <v>516</v>
      </c>
      <c r="H189" s="91">
        <v>520000</v>
      </c>
      <c r="I189" s="45" t="str">
        <f t="shared" si="0"/>
        <v>0522</v>
      </c>
      <c r="J189" s="44" t="s">
        <v>870</v>
      </c>
    </row>
    <row r="190" spans="2:10">
      <c r="B190" s="38">
        <v>44712</v>
      </c>
      <c r="C190" s="39" t="s">
        <v>513</v>
      </c>
      <c r="D190" s="39" t="s">
        <v>740</v>
      </c>
      <c r="E190" s="39" t="s">
        <v>633</v>
      </c>
      <c r="F190" s="39" t="s">
        <v>515</v>
      </c>
      <c r="G190" s="39" t="s">
        <v>516</v>
      </c>
      <c r="H190" s="91">
        <v>937800</v>
      </c>
      <c r="I190" s="45" t="str">
        <f t="shared" si="0"/>
        <v>0522</v>
      </c>
      <c r="J190" s="44" t="s">
        <v>870</v>
      </c>
    </row>
    <row r="191" spans="2:10" ht="14">
      <c r="B191" s="31">
        <v>44725</v>
      </c>
      <c r="C191" s="32" t="s">
        <v>459</v>
      </c>
      <c r="D191" s="32" t="s">
        <v>139</v>
      </c>
      <c r="E191" s="32" t="s">
        <v>140</v>
      </c>
      <c r="F191" s="32" t="s">
        <v>455</v>
      </c>
      <c r="G191" s="32" t="s">
        <v>460</v>
      </c>
      <c r="H191" s="91">
        <v>1158226725</v>
      </c>
      <c r="I191" s="33" t="s">
        <v>559</v>
      </c>
      <c r="J191" s="35" t="s">
        <v>531</v>
      </c>
    </row>
    <row r="192" spans="2:10" ht="14">
      <c r="B192" s="31">
        <v>44727</v>
      </c>
      <c r="C192" s="32" t="s">
        <v>436</v>
      </c>
      <c r="D192" s="32" t="s">
        <v>270</v>
      </c>
      <c r="E192" s="32" t="s">
        <v>140</v>
      </c>
      <c r="F192" s="32" t="s">
        <v>437</v>
      </c>
      <c r="G192" s="32"/>
      <c r="H192" s="91">
        <v>480000</v>
      </c>
      <c r="I192" s="33" t="s">
        <v>559</v>
      </c>
      <c r="J192" s="35" t="s">
        <v>2282</v>
      </c>
    </row>
    <row r="193" spans="2:10">
      <c r="B193" s="38">
        <v>44727</v>
      </c>
      <c r="C193" s="39" t="s">
        <v>839</v>
      </c>
      <c r="D193" s="39" t="s">
        <v>703</v>
      </c>
      <c r="E193" s="39" t="s">
        <v>495</v>
      </c>
      <c r="F193" s="39" t="s">
        <v>840</v>
      </c>
      <c r="G193" s="39"/>
      <c r="H193" s="91">
        <v>221500</v>
      </c>
      <c r="I193" s="45" t="str">
        <f>+RIGHT(C193,4)</f>
        <v>0622</v>
      </c>
      <c r="J193" s="44">
        <v>330</v>
      </c>
    </row>
    <row r="194" spans="2:10">
      <c r="B194" s="38">
        <v>44732</v>
      </c>
      <c r="C194" s="39" t="s">
        <v>841</v>
      </c>
      <c r="D194" s="39" t="s">
        <v>703</v>
      </c>
      <c r="E194" s="39" t="s">
        <v>495</v>
      </c>
      <c r="F194" s="39" t="s">
        <v>842</v>
      </c>
      <c r="G194" s="39"/>
      <c r="H194" s="91">
        <v>6400000</v>
      </c>
      <c r="I194" s="45" t="str">
        <f>+RIGHT(C194,4)</f>
        <v>0622</v>
      </c>
      <c r="J194" s="44">
        <v>330</v>
      </c>
    </row>
    <row r="195" spans="2:10">
      <c r="B195" s="38">
        <v>44732</v>
      </c>
      <c r="C195" s="39" t="s">
        <v>843</v>
      </c>
      <c r="D195" s="39" t="s">
        <v>703</v>
      </c>
      <c r="E195" s="39" t="s">
        <v>495</v>
      </c>
      <c r="F195" s="39" t="s">
        <v>844</v>
      </c>
      <c r="G195" s="39"/>
      <c r="H195" s="91">
        <v>3318500</v>
      </c>
      <c r="I195" s="45" t="str">
        <f>+RIGHT(C195,4)</f>
        <v>0622</v>
      </c>
      <c r="J195" s="44">
        <v>330</v>
      </c>
    </row>
    <row r="196" spans="2:10">
      <c r="B196" s="38">
        <v>44738</v>
      </c>
      <c r="C196" s="39" t="s">
        <v>845</v>
      </c>
      <c r="D196" s="39" t="s">
        <v>703</v>
      </c>
      <c r="E196" s="39" t="s">
        <v>495</v>
      </c>
      <c r="F196" s="39" t="s">
        <v>846</v>
      </c>
      <c r="G196" s="39"/>
      <c r="H196" s="91">
        <v>120000</v>
      </c>
      <c r="I196" s="45" t="str">
        <f>+RIGHT(C196,4)</f>
        <v>0622</v>
      </c>
      <c r="J196" s="44">
        <v>330</v>
      </c>
    </row>
    <row r="197" spans="2:10" ht="14">
      <c r="B197" s="31">
        <v>44742</v>
      </c>
      <c r="C197" s="32" t="s">
        <v>461</v>
      </c>
      <c r="D197" s="32" t="s">
        <v>139</v>
      </c>
      <c r="E197" s="32" t="s">
        <v>140</v>
      </c>
      <c r="F197" s="32" t="s">
        <v>455</v>
      </c>
      <c r="G197" s="32" t="s">
        <v>462</v>
      </c>
      <c r="H197" s="91">
        <v>1006919628</v>
      </c>
      <c r="I197" s="33" t="s">
        <v>559</v>
      </c>
      <c r="J197" s="35" t="s">
        <v>531</v>
      </c>
    </row>
    <row r="198" spans="2:10" ht="14">
      <c r="B198" s="31">
        <v>44742</v>
      </c>
      <c r="C198" s="32" t="s">
        <v>280</v>
      </c>
      <c r="D198" s="32" t="s">
        <v>270</v>
      </c>
      <c r="E198" s="32" t="s">
        <v>271</v>
      </c>
      <c r="F198" s="32" t="s">
        <v>281</v>
      </c>
      <c r="G198" s="32" t="s">
        <v>282</v>
      </c>
      <c r="H198" s="91">
        <v>2985100</v>
      </c>
      <c r="I198" s="33" t="s">
        <v>559</v>
      </c>
      <c r="J198" s="35" t="s">
        <v>2282</v>
      </c>
    </row>
    <row r="199" spans="2:10" ht="14">
      <c r="B199" s="31">
        <v>44742</v>
      </c>
      <c r="C199" s="32" t="s">
        <v>280</v>
      </c>
      <c r="D199" s="32" t="s">
        <v>270</v>
      </c>
      <c r="E199" s="32" t="s">
        <v>271</v>
      </c>
      <c r="F199" s="32" t="s">
        <v>283</v>
      </c>
      <c r="G199" s="32" t="s">
        <v>284</v>
      </c>
      <c r="H199" s="91">
        <v>3453600</v>
      </c>
      <c r="I199" s="33" t="s">
        <v>559</v>
      </c>
      <c r="J199" s="35" t="s">
        <v>2282</v>
      </c>
    </row>
    <row r="200" spans="2:10" ht="14">
      <c r="B200" s="31">
        <v>44742</v>
      </c>
      <c r="C200" s="32" t="s">
        <v>280</v>
      </c>
      <c r="D200" s="32" t="s">
        <v>270</v>
      </c>
      <c r="E200" s="32" t="s">
        <v>271</v>
      </c>
      <c r="F200" s="32" t="s">
        <v>285</v>
      </c>
      <c r="G200" s="32" t="s">
        <v>286</v>
      </c>
      <c r="H200" s="91">
        <v>3329400</v>
      </c>
      <c r="I200" s="33" t="s">
        <v>559</v>
      </c>
      <c r="J200" s="35" t="s">
        <v>2282</v>
      </c>
    </row>
    <row r="201" spans="2:10" ht="14">
      <c r="B201" s="31">
        <v>44742</v>
      </c>
      <c r="C201" s="32" t="s">
        <v>280</v>
      </c>
      <c r="D201" s="32" t="s">
        <v>270</v>
      </c>
      <c r="E201" s="32" t="s">
        <v>271</v>
      </c>
      <c r="F201" s="32" t="s">
        <v>287</v>
      </c>
      <c r="G201" s="32" t="s">
        <v>288</v>
      </c>
      <c r="H201" s="91">
        <v>2871300</v>
      </c>
      <c r="I201" s="33" t="s">
        <v>559</v>
      </c>
      <c r="J201" s="35" t="s">
        <v>2282</v>
      </c>
    </row>
    <row r="202" spans="2:10" ht="14">
      <c r="B202" s="31">
        <v>44742</v>
      </c>
      <c r="C202" s="32" t="s">
        <v>280</v>
      </c>
      <c r="D202" s="32" t="s">
        <v>270</v>
      </c>
      <c r="E202" s="32" t="s">
        <v>271</v>
      </c>
      <c r="F202" s="32" t="s">
        <v>289</v>
      </c>
      <c r="G202" s="32" t="s">
        <v>290</v>
      </c>
      <c r="H202" s="91">
        <v>1800000</v>
      </c>
      <c r="I202" s="33" t="s">
        <v>559</v>
      </c>
      <c r="J202" s="35" t="s">
        <v>2282</v>
      </c>
    </row>
    <row r="203" spans="2:10" ht="34.5">
      <c r="B203" s="31">
        <v>44742</v>
      </c>
      <c r="C203" s="32" t="s">
        <v>477</v>
      </c>
      <c r="D203" s="32" t="s">
        <v>270</v>
      </c>
      <c r="E203" s="32" t="s">
        <v>308</v>
      </c>
      <c r="F203" s="32" t="s">
        <v>478</v>
      </c>
      <c r="G203" s="109" t="s">
        <v>479</v>
      </c>
      <c r="H203" s="91">
        <v>3583133146</v>
      </c>
      <c r="I203" s="33" t="s">
        <v>559</v>
      </c>
      <c r="J203" s="35" t="s">
        <v>533</v>
      </c>
    </row>
    <row r="204" spans="2:10">
      <c r="B204" s="38">
        <v>44742</v>
      </c>
      <c r="C204" s="39" t="s">
        <v>847</v>
      </c>
      <c r="D204" s="39" t="s">
        <v>703</v>
      </c>
      <c r="E204" s="39" t="s">
        <v>495</v>
      </c>
      <c r="F204" s="39" t="s">
        <v>848</v>
      </c>
      <c r="G204" s="39"/>
      <c r="H204" s="91">
        <v>1920000</v>
      </c>
      <c r="I204" s="45" t="str">
        <f t="shared" ref="I204:I225" si="1">+RIGHT(C204,4)</f>
        <v>0622</v>
      </c>
      <c r="J204" s="44">
        <v>330</v>
      </c>
    </row>
    <row r="205" spans="2:10">
      <c r="B205" s="38">
        <v>44742</v>
      </c>
      <c r="C205" s="39" t="s">
        <v>280</v>
      </c>
      <c r="D205" s="39" t="s">
        <v>703</v>
      </c>
      <c r="E205" s="39" t="s">
        <v>271</v>
      </c>
      <c r="F205" s="39" t="s">
        <v>849</v>
      </c>
      <c r="G205" s="39" t="s">
        <v>850</v>
      </c>
      <c r="H205" s="91">
        <v>541606</v>
      </c>
      <c r="I205" s="45" t="str">
        <f t="shared" si="1"/>
        <v>0622</v>
      </c>
      <c r="J205" s="44">
        <v>329</v>
      </c>
    </row>
    <row r="206" spans="2:10">
      <c r="B206" s="38">
        <v>44742</v>
      </c>
      <c r="C206" s="39" t="s">
        <v>280</v>
      </c>
      <c r="D206" s="39" t="s">
        <v>703</v>
      </c>
      <c r="E206" s="39" t="s">
        <v>271</v>
      </c>
      <c r="F206" s="39" t="s">
        <v>849</v>
      </c>
      <c r="G206" s="39" t="s">
        <v>850</v>
      </c>
      <c r="H206" s="91">
        <v>541606</v>
      </c>
      <c r="I206" s="45" t="str">
        <f t="shared" si="1"/>
        <v>0622</v>
      </c>
      <c r="J206" s="44">
        <v>329</v>
      </c>
    </row>
    <row r="207" spans="2:10">
      <c r="B207" s="38">
        <v>44742</v>
      </c>
      <c r="C207" s="39" t="s">
        <v>280</v>
      </c>
      <c r="D207" s="39" t="s">
        <v>703</v>
      </c>
      <c r="E207" s="39" t="s">
        <v>495</v>
      </c>
      <c r="F207" s="39" t="s">
        <v>851</v>
      </c>
      <c r="G207" s="39" t="s">
        <v>852</v>
      </c>
      <c r="H207" s="91">
        <v>221568</v>
      </c>
      <c r="I207" s="45" t="str">
        <f t="shared" si="1"/>
        <v>0622</v>
      </c>
      <c r="J207" s="44">
        <v>329</v>
      </c>
    </row>
    <row r="208" spans="2:10">
      <c r="B208" s="38">
        <v>44742</v>
      </c>
      <c r="C208" s="39" t="s">
        <v>280</v>
      </c>
      <c r="D208" s="39" t="s">
        <v>703</v>
      </c>
      <c r="E208" s="39" t="s">
        <v>622</v>
      </c>
      <c r="F208" s="39" t="s">
        <v>853</v>
      </c>
      <c r="G208" s="39" t="s">
        <v>854</v>
      </c>
      <c r="H208" s="91">
        <v>2294370</v>
      </c>
      <c r="I208" s="45" t="str">
        <f t="shared" si="1"/>
        <v>0622</v>
      </c>
      <c r="J208" s="44">
        <v>327</v>
      </c>
    </row>
    <row r="209" spans="2:10">
      <c r="B209" s="38">
        <v>44742</v>
      </c>
      <c r="C209" s="39" t="s">
        <v>280</v>
      </c>
      <c r="D209" s="39" t="s">
        <v>703</v>
      </c>
      <c r="E209" s="39" t="s">
        <v>622</v>
      </c>
      <c r="F209" s="39" t="s">
        <v>853</v>
      </c>
      <c r="G209" s="39" t="s">
        <v>855</v>
      </c>
      <c r="H209" s="91">
        <v>1931123.32</v>
      </c>
      <c r="I209" s="45" t="str">
        <f t="shared" si="1"/>
        <v>0622</v>
      </c>
      <c r="J209" s="44">
        <v>327</v>
      </c>
    </row>
    <row r="210" spans="2:10">
      <c r="B210" s="38">
        <v>44742</v>
      </c>
      <c r="C210" s="39" t="s">
        <v>280</v>
      </c>
      <c r="D210" s="39" t="s">
        <v>703</v>
      </c>
      <c r="E210" s="39" t="s">
        <v>622</v>
      </c>
      <c r="F210" s="39" t="s">
        <v>853</v>
      </c>
      <c r="G210" s="39" t="s">
        <v>856</v>
      </c>
      <c r="H210" s="91">
        <v>786397.37</v>
      </c>
      <c r="I210" s="45" t="str">
        <f t="shared" si="1"/>
        <v>0622</v>
      </c>
      <c r="J210" s="44">
        <v>327</v>
      </c>
    </row>
    <row r="211" spans="2:10">
      <c r="B211" s="38">
        <v>44742</v>
      </c>
      <c r="C211" s="39" t="s">
        <v>835</v>
      </c>
      <c r="D211" s="39" t="s">
        <v>740</v>
      </c>
      <c r="E211" s="39" t="s">
        <v>633</v>
      </c>
      <c r="F211" s="39" t="s">
        <v>515</v>
      </c>
      <c r="G211" s="39" t="s">
        <v>836</v>
      </c>
      <c r="H211" s="91">
        <v>18376713</v>
      </c>
      <c r="I211" s="45" t="str">
        <f t="shared" si="1"/>
        <v>0622</v>
      </c>
      <c r="J211" s="44" t="s">
        <v>870</v>
      </c>
    </row>
    <row r="212" spans="2:10">
      <c r="B212" s="38">
        <v>44742</v>
      </c>
      <c r="C212" s="39" t="s">
        <v>835</v>
      </c>
      <c r="D212" s="39" t="s">
        <v>740</v>
      </c>
      <c r="E212" s="39" t="s">
        <v>633</v>
      </c>
      <c r="F212" s="39" t="s">
        <v>515</v>
      </c>
      <c r="G212" s="39" t="s">
        <v>836</v>
      </c>
      <c r="H212" s="91">
        <v>2419000</v>
      </c>
      <c r="I212" s="45" t="str">
        <f t="shared" si="1"/>
        <v>0622</v>
      </c>
      <c r="J212" s="44" t="s">
        <v>870</v>
      </c>
    </row>
    <row r="213" spans="2:10">
      <c r="B213" s="38">
        <v>44742</v>
      </c>
      <c r="C213" s="39" t="s">
        <v>835</v>
      </c>
      <c r="D213" s="39" t="s">
        <v>740</v>
      </c>
      <c r="E213" s="39" t="s">
        <v>633</v>
      </c>
      <c r="F213" s="39" t="s">
        <v>515</v>
      </c>
      <c r="G213" s="39" t="s">
        <v>836</v>
      </c>
      <c r="H213" s="91">
        <v>7200000</v>
      </c>
      <c r="I213" s="45" t="str">
        <f t="shared" si="1"/>
        <v>0622</v>
      </c>
      <c r="J213" s="44" t="s">
        <v>870</v>
      </c>
    </row>
    <row r="214" spans="2:10">
      <c r="B214" s="38">
        <v>44742</v>
      </c>
      <c r="C214" s="39" t="s">
        <v>835</v>
      </c>
      <c r="D214" s="39" t="s">
        <v>740</v>
      </c>
      <c r="E214" s="39" t="s">
        <v>633</v>
      </c>
      <c r="F214" s="39" t="s">
        <v>515</v>
      </c>
      <c r="G214" s="39" t="s">
        <v>836</v>
      </c>
      <c r="H214" s="91">
        <v>1676929</v>
      </c>
      <c r="I214" s="45" t="str">
        <f t="shared" si="1"/>
        <v>0622</v>
      </c>
      <c r="J214" s="44" t="s">
        <v>870</v>
      </c>
    </row>
    <row r="215" spans="2:10">
      <c r="B215" s="38">
        <v>44742</v>
      </c>
      <c r="C215" s="39" t="s">
        <v>835</v>
      </c>
      <c r="D215" s="39" t="s">
        <v>740</v>
      </c>
      <c r="E215" s="39" t="s">
        <v>633</v>
      </c>
      <c r="F215" s="39" t="s">
        <v>515</v>
      </c>
      <c r="G215" s="39" t="s">
        <v>836</v>
      </c>
      <c r="H215" s="91">
        <v>13641900</v>
      </c>
      <c r="I215" s="45" t="str">
        <f t="shared" si="1"/>
        <v>0622</v>
      </c>
      <c r="J215" s="44" t="s">
        <v>870</v>
      </c>
    </row>
    <row r="216" spans="2:10">
      <c r="B216" s="38">
        <v>44742</v>
      </c>
      <c r="C216" s="39" t="s">
        <v>835</v>
      </c>
      <c r="D216" s="39" t="s">
        <v>740</v>
      </c>
      <c r="E216" s="39" t="s">
        <v>633</v>
      </c>
      <c r="F216" s="39" t="s">
        <v>515</v>
      </c>
      <c r="G216" s="39" t="s">
        <v>836</v>
      </c>
      <c r="H216" s="91">
        <v>153578.53</v>
      </c>
      <c r="I216" s="45" t="str">
        <f t="shared" si="1"/>
        <v>0622</v>
      </c>
      <c r="J216" s="44" t="s">
        <v>870</v>
      </c>
    </row>
    <row r="217" spans="2:10">
      <c r="B217" s="38">
        <v>44742</v>
      </c>
      <c r="C217" s="39" t="s">
        <v>835</v>
      </c>
      <c r="D217" s="39" t="s">
        <v>740</v>
      </c>
      <c r="E217" s="39" t="s">
        <v>633</v>
      </c>
      <c r="F217" s="39" t="s">
        <v>515</v>
      </c>
      <c r="G217" s="39" t="s">
        <v>836</v>
      </c>
      <c r="H217" s="91">
        <v>575000</v>
      </c>
      <c r="I217" s="45" t="str">
        <f t="shared" si="1"/>
        <v>0622</v>
      </c>
      <c r="J217" s="44" t="s">
        <v>870</v>
      </c>
    </row>
    <row r="218" spans="2:10">
      <c r="B218" s="38">
        <v>44742</v>
      </c>
      <c r="C218" s="39" t="s">
        <v>835</v>
      </c>
      <c r="D218" s="39" t="s">
        <v>740</v>
      </c>
      <c r="E218" s="39" t="s">
        <v>633</v>
      </c>
      <c r="F218" s="39" t="s">
        <v>515</v>
      </c>
      <c r="G218" s="39" t="s">
        <v>836</v>
      </c>
      <c r="H218" s="91">
        <v>-205000</v>
      </c>
      <c r="I218" s="45" t="str">
        <f t="shared" si="1"/>
        <v>0622</v>
      </c>
      <c r="J218" s="44" t="s">
        <v>870</v>
      </c>
    </row>
    <row r="219" spans="2:10">
      <c r="B219" s="38">
        <v>44742</v>
      </c>
      <c r="C219" s="39" t="s">
        <v>835</v>
      </c>
      <c r="D219" s="39" t="s">
        <v>740</v>
      </c>
      <c r="E219" s="39" t="s">
        <v>633</v>
      </c>
      <c r="F219" s="39" t="s">
        <v>515</v>
      </c>
      <c r="G219" s="39" t="s">
        <v>836</v>
      </c>
      <c r="H219" s="91">
        <v>-575000</v>
      </c>
      <c r="I219" s="45" t="str">
        <f t="shared" si="1"/>
        <v>0622</v>
      </c>
      <c r="J219" s="44" t="s">
        <v>870</v>
      </c>
    </row>
    <row r="220" spans="2:10">
      <c r="B220" s="38">
        <v>44742</v>
      </c>
      <c r="C220" s="39" t="s">
        <v>835</v>
      </c>
      <c r="D220" s="39" t="s">
        <v>740</v>
      </c>
      <c r="E220" s="39" t="s">
        <v>633</v>
      </c>
      <c r="F220" s="39" t="s">
        <v>515</v>
      </c>
      <c r="G220" s="39" t="s">
        <v>836</v>
      </c>
      <c r="H220" s="91">
        <v>-1860000</v>
      </c>
      <c r="I220" s="45" t="str">
        <f t="shared" si="1"/>
        <v>0622</v>
      </c>
      <c r="J220" s="44" t="s">
        <v>870</v>
      </c>
    </row>
    <row r="221" spans="2:10">
      <c r="B221" s="38">
        <v>44742</v>
      </c>
      <c r="C221" s="39" t="s">
        <v>835</v>
      </c>
      <c r="D221" s="39" t="s">
        <v>740</v>
      </c>
      <c r="E221" s="39" t="s">
        <v>633</v>
      </c>
      <c r="F221" s="39" t="s">
        <v>515</v>
      </c>
      <c r="G221" s="39" t="s">
        <v>836</v>
      </c>
      <c r="H221" s="91">
        <v>1847000</v>
      </c>
      <c r="I221" s="45" t="str">
        <f t="shared" si="1"/>
        <v>0622</v>
      </c>
      <c r="J221" s="44" t="s">
        <v>870</v>
      </c>
    </row>
    <row r="222" spans="2:10">
      <c r="B222" s="38">
        <v>44742</v>
      </c>
      <c r="C222" s="39" t="s">
        <v>835</v>
      </c>
      <c r="D222" s="39" t="s">
        <v>740</v>
      </c>
      <c r="E222" s="39" t="s">
        <v>633</v>
      </c>
      <c r="F222" s="39" t="s">
        <v>515</v>
      </c>
      <c r="G222" s="39" t="s">
        <v>836</v>
      </c>
      <c r="H222" s="91">
        <v>55000</v>
      </c>
      <c r="I222" s="45" t="str">
        <f t="shared" si="1"/>
        <v>0622</v>
      </c>
      <c r="J222" s="44" t="s">
        <v>870</v>
      </c>
    </row>
    <row r="223" spans="2:10">
      <c r="B223" s="38">
        <v>44742</v>
      </c>
      <c r="C223" s="39" t="s">
        <v>835</v>
      </c>
      <c r="D223" s="39" t="s">
        <v>740</v>
      </c>
      <c r="E223" s="39" t="s">
        <v>633</v>
      </c>
      <c r="F223" s="39" t="s">
        <v>515</v>
      </c>
      <c r="G223" s="39" t="s">
        <v>836</v>
      </c>
      <c r="H223" s="91">
        <v>16309000</v>
      </c>
      <c r="I223" s="45" t="str">
        <f t="shared" si="1"/>
        <v>0622</v>
      </c>
      <c r="J223" s="44" t="s">
        <v>870</v>
      </c>
    </row>
    <row r="224" spans="2:10">
      <c r="B224" s="38">
        <v>44742</v>
      </c>
      <c r="C224" s="39" t="s">
        <v>835</v>
      </c>
      <c r="D224" s="39" t="s">
        <v>740</v>
      </c>
      <c r="E224" s="39" t="s">
        <v>633</v>
      </c>
      <c r="F224" s="39" t="s">
        <v>515</v>
      </c>
      <c r="G224" s="39" t="s">
        <v>836</v>
      </c>
      <c r="H224" s="91">
        <v>1038000</v>
      </c>
      <c r="I224" s="45" t="str">
        <f t="shared" si="1"/>
        <v>0622</v>
      </c>
      <c r="J224" s="44" t="s">
        <v>870</v>
      </c>
    </row>
    <row r="225" spans="2:10">
      <c r="B225" s="38">
        <v>44742</v>
      </c>
      <c r="C225" s="39" t="s">
        <v>835</v>
      </c>
      <c r="D225" s="39" t="s">
        <v>740</v>
      </c>
      <c r="E225" s="39" t="s">
        <v>633</v>
      </c>
      <c r="F225" s="39" t="s">
        <v>515</v>
      </c>
      <c r="G225" s="39" t="s">
        <v>836</v>
      </c>
      <c r="H225" s="91">
        <v>265000</v>
      </c>
      <c r="I225" s="45" t="str">
        <f t="shared" si="1"/>
        <v>0622</v>
      </c>
      <c r="J225" s="44" t="s">
        <v>870</v>
      </c>
    </row>
    <row r="226" spans="2:10" ht="34.5">
      <c r="B226" s="31">
        <v>44769</v>
      </c>
      <c r="C226" s="32" t="s">
        <v>473</v>
      </c>
      <c r="D226" s="32" t="s">
        <v>270</v>
      </c>
      <c r="E226" s="61" t="s">
        <v>308</v>
      </c>
      <c r="F226" s="32" t="s">
        <v>474</v>
      </c>
      <c r="G226" s="109" t="s">
        <v>475</v>
      </c>
      <c r="H226" s="91">
        <v>1830295650</v>
      </c>
      <c r="I226" s="33" t="s">
        <v>560</v>
      </c>
      <c r="J226" s="35" t="s">
        <v>532</v>
      </c>
    </row>
    <row r="227" spans="2:10" ht="14">
      <c r="B227" s="31">
        <v>44773</v>
      </c>
      <c r="C227" s="32" t="s">
        <v>463</v>
      </c>
      <c r="D227" s="32" t="s">
        <v>139</v>
      </c>
      <c r="E227" s="32" t="s">
        <v>140</v>
      </c>
      <c r="F227" s="32" t="s">
        <v>455</v>
      </c>
      <c r="G227" s="32" t="s">
        <v>464</v>
      </c>
      <c r="H227" s="91">
        <v>1139619240</v>
      </c>
      <c r="I227" s="33" t="s">
        <v>560</v>
      </c>
      <c r="J227" s="35" t="s">
        <v>531</v>
      </c>
    </row>
    <row r="228" spans="2:10" ht="14">
      <c r="B228" s="31">
        <v>44773</v>
      </c>
      <c r="C228" s="32" t="s">
        <v>307</v>
      </c>
      <c r="D228" s="32" t="s">
        <v>270</v>
      </c>
      <c r="E228" s="32" t="s">
        <v>308</v>
      </c>
      <c r="F228" s="32" t="s">
        <v>300</v>
      </c>
      <c r="G228" s="32" t="s">
        <v>309</v>
      </c>
      <c r="H228" s="91">
        <v>287601000</v>
      </c>
      <c r="I228" s="33" t="s">
        <v>560</v>
      </c>
      <c r="J228" s="35" t="s">
        <v>520</v>
      </c>
    </row>
    <row r="229" spans="2:10" ht="14">
      <c r="B229" s="31">
        <v>44773</v>
      </c>
      <c r="C229" s="32" t="s">
        <v>354</v>
      </c>
      <c r="D229" s="32" t="s">
        <v>270</v>
      </c>
      <c r="E229" s="32" t="s">
        <v>140</v>
      </c>
      <c r="F229" s="32" t="s">
        <v>292</v>
      </c>
      <c r="G229" s="32" t="s">
        <v>355</v>
      </c>
      <c r="H229" s="91">
        <v>147774300</v>
      </c>
      <c r="I229" s="33" t="s">
        <v>560</v>
      </c>
      <c r="J229" s="35" t="s">
        <v>522</v>
      </c>
    </row>
    <row r="230" spans="2:10" ht="14">
      <c r="B230" s="31">
        <v>44773</v>
      </c>
      <c r="C230" s="32" t="s">
        <v>307</v>
      </c>
      <c r="D230" s="32" t="s">
        <v>270</v>
      </c>
      <c r="E230" s="32" t="s">
        <v>140</v>
      </c>
      <c r="F230" s="32" t="s">
        <v>438</v>
      </c>
      <c r="G230" s="32" t="s">
        <v>439</v>
      </c>
      <c r="H230" s="91">
        <v>756000</v>
      </c>
      <c r="I230" s="33" t="s">
        <v>560</v>
      </c>
      <c r="J230" s="35" t="s">
        <v>2282</v>
      </c>
    </row>
    <row r="231" spans="2:10" ht="14">
      <c r="B231" s="31">
        <v>44773</v>
      </c>
      <c r="C231" s="32" t="s">
        <v>307</v>
      </c>
      <c r="D231" s="32" t="s">
        <v>270</v>
      </c>
      <c r="E231" s="32" t="s">
        <v>140</v>
      </c>
      <c r="F231" s="32" t="s">
        <v>440</v>
      </c>
      <c r="G231" s="32" t="s">
        <v>441</v>
      </c>
      <c r="H231" s="91">
        <v>2444400</v>
      </c>
      <c r="I231" s="33" t="s">
        <v>560</v>
      </c>
      <c r="J231" s="35" t="s">
        <v>2282</v>
      </c>
    </row>
    <row r="232" spans="2:10" ht="14">
      <c r="B232" s="31">
        <v>44773</v>
      </c>
      <c r="C232" s="32" t="s">
        <v>307</v>
      </c>
      <c r="D232" s="32" t="s">
        <v>270</v>
      </c>
      <c r="E232" s="32" t="s">
        <v>140</v>
      </c>
      <c r="F232" s="32" t="s">
        <v>442</v>
      </c>
      <c r="G232" s="32" t="s">
        <v>443</v>
      </c>
      <c r="H232" s="91">
        <v>5003400</v>
      </c>
      <c r="I232" s="33" t="s">
        <v>560</v>
      </c>
      <c r="J232" s="35" t="s">
        <v>2282</v>
      </c>
    </row>
    <row r="233" spans="2:10" ht="14">
      <c r="B233" s="31">
        <v>44773</v>
      </c>
      <c r="C233" s="32" t="s">
        <v>307</v>
      </c>
      <c r="D233" s="32" t="s">
        <v>270</v>
      </c>
      <c r="E233" s="32" t="s">
        <v>140</v>
      </c>
      <c r="F233" s="32" t="s">
        <v>444</v>
      </c>
      <c r="G233" s="32" t="s">
        <v>445</v>
      </c>
      <c r="H233" s="91">
        <v>1790600</v>
      </c>
      <c r="I233" s="33" t="s">
        <v>560</v>
      </c>
      <c r="J233" s="35" t="s">
        <v>2282</v>
      </c>
    </row>
    <row r="234" spans="2:10" ht="14">
      <c r="B234" s="31">
        <v>44773</v>
      </c>
      <c r="C234" s="32" t="s">
        <v>307</v>
      </c>
      <c r="D234" s="32" t="s">
        <v>270</v>
      </c>
      <c r="E234" s="32" t="s">
        <v>140</v>
      </c>
      <c r="F234" s="32" t="s">
        <v>442</v>
      </c>
      <c r="G234" s="32" t="s">
        <v>446</v>
      </c>
      <c r="H234" s="91">
        <v>1149300</v>
      </c>
      <c r="I234" s="33" t="s">
        <v>560</v>
      </c>
      <c r="J234" s="35" t="s">
        <v>2282</v>
      </c>
    </row>
    <row r="235" spans="2:10" ht="80.5">
      <c r="B235" s="31">
        <v>44773</v>
      </c>
      <c r="C235" s="32" t="s">
        <v>470</v>
      </c>
      <c r="D235" s="32" t="s">
        <v>270</v>
      </c>
      <c r="E235" s="61" t="s">
        <v>308</v>
      </c>
      <c r="F235" s="32" t="s">
        <v>471</v>
      </c>
      <c r="G235" s="109" t="s">
        <v>472</v>
      </c>
      <c r="H235" s="91">
        <v>-15584992</v>
      </c>
      <c r="I235" s="33" t="s">
        <v>560</v>
      </c>
      <c r="J235" s="35" t="s">
        <v>532</v>
      </c>
    </row>
    <row r="236" spans="2:10" ht="14">
      <c r="B236" s="31">
        <v>44773</v>
      </c>
      <c r="C236" s="32" t="s">
        <v>473</v>
      </c>
      <c r="D236" s="32" t="s">
        <v>270</v>
      </c>
      <c r="E236" s="61" t="s">
        <v>308</v>
      </c>
      <c r="F236" s="32" t="s">
        <v>474</v>
      </c>
      <c r="G236" s="32" t="s">
        <v>476</v>
      </c>
      <c r="H236" s="91">
        <v>1212669164</v>
      </c>
      <c r="I236" s="33" t="s">
        <v>560</v>
      </c>
      <c r="J236" s="35" t="s">
        <v>532</v>
      </c>
    </row>
    <row r="237" spans="2:10" ht="14">
      <c r="B237" s="31">
        <v>44773</v>
      </c>
      <c r="C237" s="32" t="s">
        <v>494</v>
      </c>
      <c r="D237" s="32" t="s">
        <v>270</v>
      </c>
      <c r="E237" s="32" t="s">
        <v>495</v>
      </c>
      <c r="F237" s="32" t="s">
        <v>496</v>
      </c>
      <c r="G237" s="32"/>
      <c r="H237" s="91">
        <v>1364640</v>
      </c>
      <c r="I237" s="33" t="s">
        <v>560</v>
      </c>
      <c r="J237" s="35" t="s">
        <v>579</v>
      </c>
    </row>
    <row r="238" spans="2:10" ht="14">
      <c r="B238" s="31">
        <v>44773</v>
      </c>
      <c r="C238" s="32" t="s">
        <v>510</v>
      </c>
      <c r="D238" s="32" t="s">
        <v>270</v>
      </c>
      <c r="E238" s="32" t="s">
        <v>495</v>
      </c>
      <c r="F238" s="32" t="s">
        <v>511</v>
      </c>
      <c r="G238" s="32" t="s">
        <v>512</v>
      </c>
      <c r="H238" s="91">
        <v>4853992308</v>
      </c>
      <c r="I238" s="33" t="s">
        <v>560</v>
      </c>
      <c r="J238" s="35" t="s">
        <v>529</v>
      </c>
    </row>
    <row r="239" spans="2:10">
      <c r="B239" s="38">
        <v>44773</v>
      </c>
      <c r="C239" s="39" t="s">
        <v>494</v>
      </c>
      <c r="D239" s="39" t="s">
        <v>703</v>
      </c>
      <c r="E239" s="39" t="s">
        <v>495</v>
      </c>
      <c r="F239" s="39" t="s">
        <v>496</v>
      </c>
      <c r="G239" s="39" t="s">
        <v>2440</v>
      </c>
      <c r="H239" s="91">
        <v>1605453.34</v>
      </c>
      <c r="I239" s="45" t="str">
        <f t="shared" ref="I239:I246" si="2">+RIGHT(C239,4)</f>
        <v>0722</v>
      </c>
      <c r="J239" s="44">
        <v>319</v>
      </c>
    </row>
    <row r="240" spans="2:10">
      <c r="B240" s="38">
        <v>44773</v>
      </c>
      <c r="C240" s="39" t="s">
        <v>307</v>
      </c>
      <c r="D240" s="39" t="s">
        <v>703</v>
      </c>
      <c r="E240" s="39" t="s">
        <v>271</v>
      </c>
      <c r="F240" s="39" t="s">
        <v>857</v>
      </c>
      <c r="G240" s="39" t="s">
        <v>858</v>
      </c>
      <c r="H240" s="91">
        <v>160020</v>
      </c>
      <c r="I240" s="45" t="str">
        <f t="shared" si="2"/>
        <v>0722</v>
      </c>
      <c r="J240" s="44">
        <v>329</v>
      </c>
    </row>
    <row r="241" spans="2:10">
      <c r="B241" s="38">
        <v>44773</v>
      </c>
      <c r="C241" s="39" t="s">
        <v>307</v>
      </c>
      <c r="D241" s="39" t="s">
        <v>703</v>
      </c>
      <c r="E241" s="39" t="s">
        <v>271</v>
      </c>
      <c r="F241" s="39" t="s">
        <v>857</v>
      </c>
      <c r="G241" s="39" t="s">
        <v>858</v>
      </c>
      <c r="H241" s="91">
        <v>160020</v>
      </c>
      <c r="I241" s="45" t="str">
        <f t="shared" si="2"/>
        <v>0722</v>
      </c>
      <c r="J241" s="44">
        <v>329</v>
      </c>
    </row>
    <row r="242" spans="2:10">
      <c r="B242" s="38">
        <v>44773</v>
      </c>
      <c r="C242" s="39" t="s">
        <v>837</v>
      </c>
      <c r="D242" s="39" t="s">
        <v>740</v>
      </c>
      <c r="E242" s="39" t="s">
        <v>633</v>
      </c>
      <c r="F242" s="39" t="s">
        <v>515</v>
      </c>
      <c r="G242" s="39"/>
      <c r="H242" s="91">
        <v>104116009.25</v>
      </c>
      <c r="I242" s="45" t="str">
        <f t="shared" si="2"/>
        <v>0722</v>
      </c>
      <c r="J242" s="44" t="s">
        <v>870</v>
      </c>
    </row>
    <row r="243" spans="2:10">
      <c r="B243" s="38">
        <v>44773</v>
      </c>
      <c r="C243" s="39" t="s">
        <v>307</v>
      </c>
      <c r="D243" s="39" t="s">
        <v>734</v>
      </c>
      <c r="E243" s="39" t="s">
        <v>622</v>
      </c>
      <c r="F243" s="39" t="s">
        <v>863</v>
      </c>
      <c r="G243" s="39" t="s">
        <v>864</v>
      </c>
      <c r="H243" s="91">
        <v>99117450</v>
      </c>
      <c r="I243" s="45" t="str">
        <f t="shared" si="2"/>
        <v>0722</v>
      </c>
      <c r="J243" s="44" t="s">
        <v>2432</v>
      </c>
    </row>
    <row r="244" spans="2:10">
      <c r="B244" s="38">
        <v>44773</v>
      </c>
      <c r="C244" s="39" t="s">
        <v>307</v>
      </c>
      <c r="D244" s="224" t="s">
        <v>734</v>
      </c>
      <c r="E244" s="39" t="s">
        <v>622</v>
      </c>
      <c r="F244" s="39" t="s">
        <v>865</v>
      </c>
      <c r="G244" s="39" t="s">
        <v>866</v>
      </c>
      <c r="H244" s="91">
        <v>450525477.32999998</v>
      </c>
      <c r="I244" s="45" t="str">
        <f t="shared" si="2"/>
        <v>0722</v>
      </c>
      <c r="J244" s="44" t="s">
        <v>2432</v>
      </c>
    </row>
    <row r="245" spans="2:10">
      <c r="B245" s="38">
        <v>44773</v>
      </c>
      <c r="C245" s="39" t="s">
        <v>307</v>
      </c>
      <c r="D245" s="39" t="s">
        <v>734</v>
      </c>
      <c r="E245" s="39" t="s">
        <v>622</v>
      </c>
      <c r="F245" s="39" t="s">
        <v>867</v>
      </c>
      <c r="G245" s="39" t="s">
        <v>866</v>
      </c>
      <c r="H245" s="91">
        <v>336066819</v>
      </c>
      <c r="I245" s="45" t="str">
        <f t="shared" si="2"/>
        <v>0722</v>
      </c>
      <c r="J245" s="44" t="s">
        <v>2432</v>
      </c>
    </row>
    <row r="246" spans="2:10">
      <c r="B246" s="38">
        <v>44773</v>
      </c>
      <c r="C246" s="39" t="s">
        <v>307</v>
      </c>
      <c r="D246" s="39" t="s">
        <v>734</v>
      </c>
      <c r="E246" s="39" t="s">
        <v>622</v>
      </c>
      <c r="F246" s="39" t="s">
        <v>867</v>
      </c>
      <c r="G246" s="39" t="s">
        <v>868</v>
      </c>
      <c r="H246" s="91">
        <v>29735235</v>
      </c>
      <c r="I246" s="45" t="str">
        <f t="shared" si="2"/>
        <v>0722</v>
      </c>
      <c r="J246" s="44" t="s">
        <v>2432</v>
      </c>
    </row>
    <row r="247" spans="2:10" ht="14">
      <c r="B247" s="31">
        <v>44798</v>
      </c>
      <c r="C247" s="32" t="s">
        <v>603</v>
      </c>
      <c r="D247" s="32" t="s">
        <v>270</v>
      </c>
      <c r="E247" s="32" t="s">
        <v>271</v>
      </c>
      <c r="F247" s="32" t="s">
        <v>604</v>
      </c>
      <c r="G247" s="32" t="s">
        <v>605</v>
      </c>
      <c r="H247" s="91">
        <v>1747250</v>
      </c>
      <c r="I247" s="33" t="s">
        <v>561</v>
      </c>
      <c r="J247" s="35" t="s">
        <v>2282</v>
      </c>
    </row>
    <row r="248" spans="2:10" ht="14">
      <c r="B248" s="31">
        <v>44798</v>
      </c>
      <c r="C248" s="32" t="s">
        <v>606</v>
      </c>
      <c r="D248" s="32" t="s">
        <v>270</v>
      </c>
      <c r="E248" s="32" t="s">
        <v>140</v>
      </c>
      <c r="F248" s="32" t="s">
        <v>396</v>
      </c>
      <c r="G248" s="32" t="s">
        <v>607</v>
      </c>
      <c r="H248" s="91">
        <v>4039000</v>
      </c>
      <c r="I248" s="33" t="s">
        <v>561</v>
      </c>
      <c r="J248" s="35" t="s">
        <v>2282</v>
      </c>
    </row>
    <row r="249" spans="2:10" ht="14">
      <c r="B249" s="31">
        <v>44800</v>
      </c>
      <c r="C249" s="32" t="s">
        <v>608</v>
      </c>
      <c r="D249" s="32" t="s">
        <v>270</v>
      </c>
      <c r="E249" s="32" t="s">
        <v>514</v>
      </c>
      <c r="F249" s="32" t="s">
        <v>609</v>
      </c>
      <c r="G249" s="32" t="s">
        <v>610</v>
      </c>
      <c r="H249" s="91">
        <v>588000</v>
      </c>
      <c r="I249" s="33" t="s">
        <v>561</v>
      </c>
      <c r="J249" s="35" t="s">
        <v>579</v>
      </c>
    </row>
    <row r="250" spans="2:10">
      <c r="B250" s="38">
        <v>44800</v>
      </c>
      <c r="C250" s="39" t="s">
        <v>859</v>
      </c>
      <c r="D250" s="39" t="s">
        <v>703</v>
      </c>
      <c r="E250" s="39" t="s">
        <v>495</v>
      </c>
      <c r="F250" s="39" t="s">
        <v>612</v>
      </c>
      <c r="G250" s="39" t="s">
        <v>860</v>
      </c>
      <c r="H250" s="91">
        <v>336000</v>
      </c>
      <c r="I250" s="45" t="str">
        <f>+RIGHT(C250,4)</f>
        <v>0822</v>
      </c>
      <c r="J250" s="44">
        <v>330</v>
      </c>
    </row>
    <row r="251" spans="2:10">
      <c r="B251" s="31">
        <v>44804</v>
      </c>
      <c r="C251" s="32" t="s">
        <v>619</v>
      </c>
      <c r="D251" s="32" t="s">
        <v>270</v>
      </c>
      <c r="E251" s="32" t="s">
        <v>622</v>
      </c>
      <c r="F251" s="32" t="s">
        <v>623</v>
      </c>
      <c r="G251" s="32" t="s">
        <v>624</v>
      </c>
      <c r="H251" s="91">
        <v>415790.05</v>
      </c>
      <c r="I251" s="33" t="s">
        <v>561</v>
      </c>
      <c r="J251" s="34">
        <v>327</v>
      </c>
    </row>
    <row r="252" spans="2:10">
      <c r="B252" s="31">
        <v>44804</v>
      </c>
      <c r="C252" s="32" t="s">
        <v>619</v>
      </c>
      <c r="D252" s="32" t="s">
        <v>270</v>
      </c>
      <c r="E252" s="32" t="s">
        <v>622</v>
      </c>
      <c r="F252" s="32" t="s">
        <v>623</v>
      </c>
      <c r="G252" s="32" t="s">
        <v>625</v>
      </c>
      <c r="H252" s="91">
        <v>1416862.58</v>
      </c>
      <c r="I252" s="33" t="s">
        <v>561</v>
      </c>
      <c r="J252" s="45">
        <v>328</v>
      </c>
    </row>
    <row r="253" spans="2:10">
      <c r="B253" s="31">
        <v>44804</v>
      </c>
      <c r="C253" s="32" t="s">
        <v>619</v>
      </c>
      <c r="D253" s="32" t="s">
        <v>270</v>
      </c>
      <c r="E253" s="32" t="s">
        <v>622</v>
      </c>
      <c r="F253" s="32" t="s">
        <v>623</v>
      </c>
      <c r="G253" s="32" t="s">
        <v>626</v>
      </c>
      <c r="H253" s="91">
        <v>1950747.41</v>
      </c>
      <c r="I253" s="33" t="s">
        <v>561</v>
      </c>
      <c r="J253" s="45">
        <v>328</v>
      </c>
    </row>
    <row r="254" spans="2:10">
      <c r="B254" s="31">
        <v>44804</v>
      </c>
      <c r="C254" s="32" t="s">
        <v>619</v>
      </c>
      <c r="D254" s="32" t="s">
        <v>270</v>
      </c>
      <c r="E254" s="32" t="s">
        <v>622</v>
      </c>
      <c r="F254" s="32" t="s">
        <v>623</v>
      </c>
      <c r="G254" s="32" t="s">
        <v>627</v>
      </c>
      <c r="H254" s="91">
        <v>277340392</v>
      </c>
      <c r="I254" s="33" t="s">
        <v>561</v>
      </c>
      <c r="J254" s="34">
        <v>327</v>
      </c>
    </row>
    <row r="255" spans="2:10">
      <c r="B255" s="31">
        <v>44804</v>
      </c>
      <c r="C255" s="32" t="s">
        <v>619</v>
      </c>
      <c r="D255" s="32" t="s">
        <v>270</v>
      </c>
      <c r="E255" s="32" t="s">
        <v>622</v>
      </c>
      <c r="F255" s="32" t="s">
        <v>623</v>
      </c>
      <c r="G255" s="32" t="s">
        <v>628</v>
      </c>
      <c r="H255" s="91">
        <v>44459940</v>
      </c>
      <c r="I255" s="33" t="s">
        <v>561</v>
      </c>
      <c r="J255" s="34">
        <v>327</v>
      </c>
    </row>
    <row r="256" spans="2:10">
      <c r="B256" s="31">
        <v>44804</v>
      </c>
      <c r="C256" s="32" t="s">
        <v>619</v>
      </c>
      <c r="D256" s="32" t="s">
        <v>270</v>
      </c>
      <c r="E256" s="32" t="s">
        <v>622</v>
      </c>
      <c r="F256" s="32" t="s">
        <v>623</v>
      </c>
      <c r="G256" s="32" t="s">
        <v>629</v>
      </c>
      <c r="H256" s="91">
        <v>413441.58</v>
      </c>
      <c r="I256" s="33" t="s">
        <v>561</v>
      </c>
      <c r="J256" s="34">
        <v>327</v>
      </c>
    </row>
    <row r="257" spans="2:10">
      <c r="B257" s="31">
        <v>44804</v>
      </c>
      <c r="C257" s="32" t="s">
        <v>619</v>
      </c>
      <c r="D257" s="32" t="s">
        <v>270</v>
      </c>
      <c r="E257" s="32" t="s">
        <v>622</v>
      </c>
      <c r="F257" s="32" t="s">
        <v>630</v>
      </c>
      <c r="G257" s="32" t="s">
        <v>631</v>
      </c>
      <c r="H257" s="91">
        <v>598289</v>
      </c>
      <c r="I257" s="33" t="s">
        <v>561</v>
      </c>
      <c r="J257" s="34">
        <v>327</v>
      </c>
    </row>
    <row r="258" spans="2:10" ht="14">
      <c r="B258" s="31">
        <v>44804</v>
      </c>
      <c r="C258" s="32" t="s">
        <v>600</v>
      </c>
      <c r="D258" s="32" t="s">
        <v>270</v>
      </c>
      <c r="E258" s="32" t="s">
        <v>140</v>
      </c>
      <c r="F258" s="32" t="s">
        <v>601</v>
      </c>
      <c r="G258" s="32" t="s">
        <v>602</v>
      </c>
      <c r="H258" s="91">
        <v>11100000</v>
      </c>
      <c r="I258" s="33" t="s">
        <v>561</v>
      </c>
      <c r="J258" s="35" t="s">
        <v>582</v>
      </c>
    </row>
    <row r="259" spans="2:10" ht="14">
      <c r="B259" s="31">
        <v>44804</v>
      </c>
      <c r="C259" s="31" t="s">
        <v>591</v>
      </c>
      <c r="D259" s="31" t="s">
        <v>270</v>
      </c>
      <c r="E259" s="31" t="s">
        <v>140</v>
      </c>
      <c r="F259" s="31" t="s">
        <v>86</v>
      </c>
      <c r="G259" s="31" t="s">
        <v>592</v>
      </c>
      <c r="H259" s="91">
        <v>19980000</v>
      </c>
      <c r="I259" s="33" t="s">
        <v>561</v>
      </c>
      <c r="J259" s="35" t="s">
        <v>524</v>
      </c>
    </row>
    <row r="260" spans="2:10" ht="14">
      <c r="B260" s="31">
        <v>44804</v>
      </c>
      <c r="C260" s="31" t="s">
        <v>591</v>
      </c>
      <c r="D260" s="31" t="s">
        <v>270</v>
      </c>
      <c r="E260" s="31" t="s">
        <v>140</v>
      </c>
      <c r="F260" s="31" t="s">
        <v>86</v>
      </c>
      <c r="G260" s="31" t="s">
        <v>593</v>
      </c>
      <c r="H260" s="91">
        <v>19980000</v>
      </c>
      <c r="I260" s="33" t="s">
        <v>561</v>
      </c>
      <c r="J260" s="35" t="s">
        <v>524</v>
      </c>
    </row>
    <row r="261" spans="2:10" ht="14">
      <c r="B261" s="31">
        <v>44804</v>
      </c>
      <c r="C261" s="31" t="s">
        <v>594</v>
      </c>
      <c r="D261" s="31" t="s">
        <v>270</v>
      </c>
      <c r="E261" s="31" t="s">
        <v>140</v>
      </c>
      <c r="F261" s="31" t="s">
        <v>83</v>
      </c>
      <c r="G261" s="31" t="s">
        <v>595</v>
      </c>
      <c r="H261" s="92">
        <v>6937500</v>
      </c>
      <c r="I261" s="33" t="s">
        <v>561</v>
      </c>
      <c r="J261" s="35" t="s">
        <v>523</v>
      </c>
    </row>
    <row r="262" spans="2:10" ht="14">
      <c r="B262" s="31">
        <v>44804</v>
      </c>
      <c r="C262" s="31" t="s">
        <v>596</v>
      </c>
      <c r="D262" s="31" t="s">
        <v>270</v>
      </c>
      <c r="E262" s="31" t="s">
        <v>140</v>
      </c>
      <c r="F262" s="31" t="s">
        <v>590</v>
      </c>
      <c r="G262" s="31" t="s">
        <v>597</v>
      </c>
      <c r="H262" s="92">
        <v>36075000</v>
      </c>
      <c r="I262" s="33" t="s">
        <v>561</v>
      </c>
      <c r="J262" s="35" t="s">
        <v>525</v>
      </c>
    </row>
    <row r="263" spans="2:10">
      <c r="B263" s="31">
        <v>44804</v>
      </c>
      <c r="C263" s="32" t="s">
        <v>611</v>
      </c>
      <c r="D263" s="32" t="s">
        <v>270</v>
      </c>
      <c r="E263" s="32" t="s">
        <v>514</v>
      </c>
      <c r="F263" s="32" t="s">
        <v>612</v>
      </c>
      <c r="G263" s="32" t="s">
        <v>613</v>
      </c>
      <c r="H263" s="91">
        <v>380000</v>
      </c>
      <c r="I263" s="33" t="s">
        <v>561</v>
      </c>
      <c r="J263" s="44">
        <v>330</v>
      </c>
    </row>
    <row r="264" spans="2:10" ht="14">
      <c r="B264" s="31">
        <v>44804</v>
      </c>
      <c r="C264" s="32" t="s">
        <v>614</v>
      </c>
      <c r="D264" s="32" t="s">
        <v>270</v>
      </c>
      <c r="E264" s="32" t="s">
        <v>271</v>
      </c>
      <c r="F264" s="32" t="s">
        <v>615</v>
      </c>
      <c r="G264" s="32" t="s">
        <v>616</v>
      </c>
      <c r="H264" s="91">
        <v>756000</v>
      </c>
      <c r="I264" s="33" t="s">
        <v>561</v>
      </c>
      <c r="J264" s="35" t="s">
        <v>2282</v>
      </c>
    </row>
    <row r="265" spans="2:10" ht="14">
      <c r="B265" s="31">
        <v>44804</v>
      </c>
      <c r="C265" s="32" t="s">
        <v>614</v>
      </c>
      <c r="D265" s="32" t="s">
        <v>270</v>
      </c>
      <c r="E265" s="32" t="s">
        <v>140</v>
      </c>
      <c r="F265" s="32" t="s">
        <v>617</v>
      </c>
      <c r="G265" s="32" t="s">
        <v>618</v>
      </c>
      <c r="H265" s="91">
        <v>7772600</v>
      </c>
      <c r="I265" s="33" t="s">
        <v>561</v>
      </c>
      <c r="J265" s="35" t="s">
        <v>2282</v>
      </c>
    </row>
    <row r="266" spans="2:10" ht="14">
      <c r="B266" s="31">
        <v>44804</v>
      </c>
      <c r="C266" s="32" t="s">
        <v>619</v>
      </c>
      <c r="D266" s="32" t="s">
        <v>270</v>
      </c>
      <c r="E266" s="32" t="s">
        <v>271</v>
      </c>
      <c r="F266" s="32" t="s">
        <v>620</v>
      </c>
      <c r="G266" s="32" t="s">
        <v>621</v>
      </c>
      <c r="H266" s="91">
        <v>246184</v>
      </c>
      <c r="I266" s="33" t="s">
        <v>561</v>
      </c>
      <c r="J266" s="35">
        <v>329</v>
      </c>
    </row>
    <row r="267" spans="2:10" ht="14">
      <c r="B267" s="31">
        <v>44804</v>
      </c>
      <c r="C267" s="32" t="s">
        <v>598</v>
      </c>
      <c r="D267" s="32" t="s">
        <v>270</v>
      </c>
      <c r="E267" s="32" t="s">
        <v>308</v>
      </c>
      <c r="F267" s="32" t="s">
        <v>478</v>
      </c>
      <c r="G267" s="32" t="s">
        <v>599</v>
      </c>
      <c r="H267" s="91">
        <v>1772606009</v>
      </c>
      <c r="I267" s="33" t="s">
        <v>561</v>
      </c>
      <c r="J267" s="35" t="s">
        <v>533</v>
      </c>
    </row>
    <row r="268" spans="2:10">
      <c r="B268" s="38">
        <v>44804</v>
      </c>
      <c r="C268" s="39" t="s">
        <v>861</v>
      </c>
      <c r="D268" s="39" t="s">
        <v>703</v>
      </c>
      <c r="E268" s="39" t="s">
        <v>495</v>
      </c>
      <c r="F268" s="39" t="s">
        <v>612</v>
      </c>
      <c r="G268" s="39" t="s">
        <v>862</v>
      </c>
      <c r="H268" s="91">
        <v>948000</v>
      </c>
      <c r="I268" s="45" t="str">
        <f t="shared" ref="I268:I299" si="3">+RIGHT(C268,4)</f>
        <v>0822</v>
      </c>
      <c r="J268" s="44">
        <v>330</v>
      </c>
    </row>
    <row r="269" spans="2:10">
      <c r="B269" s="38">
        <v>44804</v>
      </c>
      <c r="C269" s="39" t="s">
        <v>838</v>
      </c>
      <c r="D269" s="39" t="s">
        <v>740</v>
      </c>
      <c r="E269" s="39" t="s">
        <v>633</v>
      </c>
      <c r="F269" s="39" t="s">
        <v>515</v>
      </c>
      <c r="G269" s="39"/>
      <c r="H269" s="91">
        <v>49214533.670000002</v>
      </c>
      <c r="I269" s="45" t="str">
        <f t="shared" si="3"/>
        <v>0822</v>
      </c>
      <c r="J269" s="44" t="s">
        <v>870</v>
      </c>
    </row>
    <row r="270" spans="2:10">
      <c r="B270" s="38">
        <v>44804</v>
      </c>
      <c r="C270" s="39" t="s">
        <v>619</v>
      </c>
      <c r="D270" s="39" t="s">
        <v>734</v>
      </c>
      <c r="E270" s="39" t="s">
        <v>622</v>
      </c>
      <c r="F270" s="39" t="s">
        <v>623</v>
      </c>
      <c r="G270" s="39" t="s">
        <v>869</v>
      </c>
      <c r="H270" s="91">
        <v>18934325.329999998</v>
      </c>
      <c r="I270" s="45" t="str">
        <f t="shared" si="3"/>
        <v>0822</v>
      </c>
      <c r="J270" s="44" t="s">
        <v>2432</v>
      </c>
    </row>
    <row r="271" spans="2:10">
      <c r="B271" s="38">
        <v>44811</v>
      </c>
      <c r="C271" s="39" t="s">
        <v>639</v>
      </c>
      <c r="D271" s="39" t="s">
        <v>640</v>
      </c>
      <c r="E271" s="39" t="s">
        <v>271</v>
      </c>
      <c r="F271" s="39" t="s">
        <v>641</v>
      </c>
      <c r="G271" s="39" t="s">
        <v>642</v>
      </c>
      <c r="H271" s="91">
        <v>6560000</v>
      </c>
      <c r="I271" s="45" t="str">
        <f t="shared" si="3"/>
        <v>0922</v>
      </c>
      <c r="J271" s="44" t="s">
        <v>522</v>
      </c>
    </row>
    <row r="272" spans="2:10" ht="14">
      <c r="B272" s="38">
        <v>44813</v>
      </c>
      <c r="C272" s="39" t="s">
        <v>643</v>
      </c>
      <c r="D272" s="39" t="s">
        <v>270</v>
      </c>
      <c r="E272" s="39" t="s">
        <v>514</v>
      </c>
      <c r="F272" s="39" t="s">
        <v>612</v>
      </c>
      <c r="G272" s="39" t="s">
        <v>644</v>
      </c>
      <c r="H272" s="91">
        <v>416000</v>
      </c>
      <c r="I272" s="45" t="str">
        <f t="shared" si="3"/>
        <v>0922</v>
      </c>
      <c r="J272" s="35" t="s">
        <v>579</v>
      </c>
    </row>
    <row r="273" spans="2:10" ht="14">
      <c r="B273" s="38">
        <v>44813</v>
      </c>
      <c r="C273" s="39" t="s">
        <v>645</v>
      </c>
      <c r="D273" s="39" t="s">
        <v>270</v>
      </c>
      <c r="E273" s="39" t="s">
        <v>514</v>
      </c>
      <c r="F273" s="39" t="s">
        <v>612</v>
      </c>
      <c r="G273" s="39" t="s">
        <v>646</v>
      </c>
      <c r="H273" s="91">
        <v>500000</v>
      </c>
      <c r="I273" s="45" t="str">
        <f t="shared" si="3"/>
        <v>0922</v>
      </c>
      <c r="J273" s="35" t="s">
        <v>579</v>
      </c>
    </row>
    <row r="274" spans="2:10" ht="14">
      <c r="B274" s="38">
        <v>44823</v>
      </c>
      <c r="C274" s="39" t="s">
        <v>647</v>
      </c>
      <c r="D274" s="39" t="s">
        <v>270</v>
      </c>
      <c r="E274" s="39" t="s">
        <v>271</v>
      </c>
      <c r="F274" s="39" t="s">
        <v>396</v>
      </c>
      <c r="G274" s="39" t="s">
        <v>648</v>
      </c>
      <c r="H274" s="91">
        <v>1328100</v>
      </c>
      <c r="I274" s="45" t="str">
        <f t="shared" si="3"/>
        <v>0922</v>
      </c>
      <c r="J274" s="35" t="s">
        <v>2282</v>
      </c>
    </row>
    <row r="275" spans="2:10" ht="14">
      <c r="B275" s="38">
        <v>44834</v>
      </c>
      <c r="C275" s="39" t="s">
        <v>670</v>
      </c>
      <c r="D275" s="39" t="s">
        <v>270</v>
      </c>
      <c r="E275" s="39" t="s">
        <v>495</v>
      </c>
      <c r="F275" s="39" t="s">
        <v>671</v>
      </c>
      <c r="G275" s="39" t="s">
        <v>672</v>
      </c>
      <c r="H275" s="91">
        <v>4300000</v>
      </c>
      <c r="I275" s="45" t="str">
        <f t="shared" si="3"/>
        <v>0922</v>
      </c>
      <c r="J275" s="35">
        <v>329</v>
      </c>
    </row>
    <row r="276" spans="2:10" ht="14">
      <c r="B276" s="38">
        <v>44834</v>
      </c>
      <c r="C276" s="39" t="s">
        <v>673</v>
      </c>
      <c r="D276" s="39" t="s">
        <v>270</v>
      </c>
      <c r="E276" s="39" t="s">
        <v>495</v>
      </c>
      <c r="F276" s="39" t="s">
        <v>674</v>
      </c>
      <c r="G276" s="39" t="s">
        <v>675</v>
      </c>
      <c r="H276" s="91">
        <v>200000</v>
      </c>
      <c r="I276" s="45" t="str">
        <f t="shared" si="3"/>
        <v>0922</v>
      </c>
      <c r="J276" s="35">
        <v>329</v>
      </c>
    </row>
    <row r="277" spans="2:10">
      <c r="B277" s="38">
        <v>44834</v>
      </c>
      <c r="C277" s="39" t="s">
        <v>676</v>
      </c>
      <c r="D277" s="39" t="s">
        <v>270</v>
      </c>
      <c r="E277" s="39" t="s">
        <v>140</v>
      </c>
      <c r="F277" s="39" t="s">
        <v>83</v>
      </c>
      <c r="G277" s="39" t="s">
        <v>677</v>
      </c>
      <c r="H277" s="91">
        <v>14402250</v>
      </c>
      <c r="I277" s="45" t="str">
        <f t="shared" si="3"/>
        <v>0922</v>
      </c>
      <c r="J277" s="44" t="s">
        <v>523</v>
      </c>
    </row>
    <row r="278" spans="2:10">
      <c r="B278" s="38">
        <v>44834</v>
      </c>
      <c r="C278" s="39" t="s">
        <v>676</v>
      </c>
      <c r="D278" s="39" t="s">
        <v>270</v>
      </c>
      <c r="E278" s="39" t="s">
        <v>140</v>
      </c>
      <c r="F278" s="39" t="s">
        <v>83</v>
      </c>
      <c r="G278" s="39" t="s">
        <v>678</v>
      </c>
      <c r="H278" s="91">
        <v>3989000</v>
      </c>
      <c r="I278" s="45" t="str">
        <f t="shared" si="3"/>
        <v>0922</v>
      </c>
      <c r="J278" s="44" t="s">
        <v>523</v>
      </c>
    </row>
    <row r="279" spans="2:10">
      <c r="B279" s="38">
        <v>44834</v>
      </c>
      <c r="C279" s="39" t="s">
        <v>679</v>
      </c>
      <c r="D279" s="39" t="s">
        <v>270</v>
      </c>
      <c r="E279" s="39" t="s">
        <v>308</v>
      </c>
      <c r="F279" s="39" t="s">
        <v>478</v>
      </c>
      <c r="G279" s="39" t="s">
        <v>680</v>
      </c>
      <c r="H279" s="91">
        <v>1023445863</v>
      </c>
      <c r="I279" s="45" t="str">
        <f t="shared" si="3"/>
        <v>0922</v>
      </c>
      <c r="J279" s="44" t="s">
        <v>533</v>
      </c>
    </row>
    <row r="280" spans="2:10" ht="14">
      <c r="B280" s="38">
        <v>44834</v>
      </c>
      <c r="C280" s="39" t="s">
        <v>681</v>
      </c>
      <c r="D280" s="39" t="s">
        <v>270</v>
      </c>
      <c r="E280" s="39" t="s">
        <v>271</v>
      </c>
      <c r="F280" s="39" t="s">
        <v>682</v>
      </c>
      <c r="G280" s="39" t="s">
        <v>683</v>
      </c>
      <c r="H280" s="91">
        <v>1367100</v>
      </c>
      <c r="I280" s="45" t="str">
        <f t="shared" si="3"/>
        <v>0922</v>
      </c>
      <c r="J280" s="35" t="s">
        <v>2282</v>
      </c>
    </row>
    <row r="281" spans="2:10" ht="14">
      <c r="B281" s="38">
        <v>44834</v>
      </c>
      <c r="C281" s="39" t="s">
        <v>681</v>
      </c>
      <c r="D281" s="39" t="s">
        <v>270</v>
      </c>
      <c r="E281" s="39" t="s">
        <v>271</v>
      </c>
      <c r="F281" s="39" t="s">
        <v>682</v>
      </c>
      <c r="G281" s="39" t="s">
        <v>683</v>
      </c>
      <c r="H281" s="91">
        <v>3011900</v>
      </c>
      <c r="I281" s="45" t="str">
        <f t="shared" si="3"/>
        <v>0922</v>
      </c>
      <c r="J281" s="35" t="s">
        <v>2282</v>
      </c>
    </row>
    <row r="282" spans="2:10" ht="14">
      <c r="B282" s="38">
        <v>44834</v>
      </c>
      <c r="C282" s="39" t="s">
        <v>681</v>
      </c>
      <c r="D282" s="39" t="s">
        <v>270</v>
      </c>
      <c r="E282" s="39" t="s">
        <v>271</v>
      </c>
      <c r="F282" s="39" t="s">
        <v>386</v>
      </c>
      <c r="G282" s="39" t="s">
        <v>683</v>
      </c>
      <c r="H282" s="91">
        <v>1148500</v>
      </c>
      <c r="I282" s="45" t="str">
        <f t="shared" si="3"/>
        <v>0922</v>
      </c>
      <c r="J282" s="35" t="s">
        <v>2282</v>
      </c>
    </row>
    <row r="283" spans="2:10">
      <c r="B283" s="38">
        <v>44834</v>
      </c>
      <c r="C283" s="39" t="s">
        <v>684</v>
      </c>
      <c r="D283" s="39" t="s">
        <v>270</v>
      </c>
      <c r="E283" s="39" t="s">
        <v>495</v>
      </c>
      <c r="F283" s="39" t="s">
        <v>674</v>
      </c>
      <c r="G283" s="39" t="s">
        <v>685</v>
      </c>
      <c r="H283" s="91">
        <v>200000</v>
      </c>
      <c r="I283" s="45" t="str">
        <f t="shared" si="3"/>
        <v>0922</v>
      </c>
      <c r="J283" s="44" t="s">
        <v>579</v>
      </c>
    </row>
    <row r="284" spans="2:10">
      <c r="B284" s="38">
        <v>44834</v>
      </c>
      <c r="C284" s="39" t="s">
        <v>686</v>
      </c>
      <c r="D284" s="39" t="s">
        <v>270</v>
      </c>
      <c r="E284" s="39" t="s">
        <v>514</v>
      </c>
      <c r="F284" s="39" t="s">
        <v>687</v>
      </c>
      <c r="G284" s="39" t="s">
        <v>688</v>
      </c>
      <c r="H284" s="91">
        <v>70000</v>
      </c>
      <c r="I284" s="45" t="str">
        <f t="shared" si="3"/>
        <v>0922</v>
      </c>
      <c r="J284" s="44">
        <v>330</v>
      </c>
    </row>
    <row r="285" spans="2:10">
      <c r="B285" s="38">
        <v>44834</v>
      </c>
      <c r="C285" s="39" t="s">
        <v>689</v>
      </c>
      <c r="D285" s="39" t="s">
        <v>270</v>
      </c>
      <c r="E285" s="39" t="s">
        <v>514</v>
      </c>
      <c r="F285" s="39" t="s">
        <v>687</v>
      </c>
      <c r="G285" s="39" t="s">
        <v>690</v>
      </c>
      <c r="H285" s="91">
        <v>75000</v>
      </c>
      <c r="I285" s="45" t="str">
        <f t="shared" si="3"/>
        <v>0922</v>
      </c>
      <c r="J285" s="44">
        <v>330</v>
      </c>
    </row>
    <row r="286" spans="2:10">
      <c r="B286" s="38">
        <v>44834</v>
      </c>
      <c r="C286" s="39" t="s">
        <v>691</v>
      </c>
      <c r="D286" s="39" t="s">
        <v>270</v>
      </c>
      <c r="E286" s="39" t="s">
        <v>514</v>
      </c>
      <c r="F286" s="39" t="s">
        <v>612</v>
      </c>
      <c r="G286" s="39" t="s">
        <v>692</v>
      </c>
      <c r="H286" s="91">
        <v>75000</v>
      </c>
      <c r="I286" s="45" t="str">
        <f t="shared" si="3"/>
        <v>0922</v>
      </c>
      <c r="J286" s="44" t="s">
        <v>579</v>
      </c>
    </row>
    <row r="287" spans="2:10">
      <c r="B287" s="38">
        <v>44834</v>
      </c>
      <c r="C287" s="39" t="s">
        <v>693</v>
      </c>
      <c r="D287" s="39" t="s">
        <v>270</v>
      </c>
      <c r="E287" s="39" t="s">
        <v>514</v>
      </c>
      <c r="F287" s="39" t="s">
        <v>694</v>
      </c>
      <c r="G287" s="39" t="s">
        <v>695</v>
      </c>
      <c r="H287" s="91">
        <v>275000</v>
      </c>
      <c r="I287" s="45" t="str">
        <f t="shared" si="3"/>
        <v>0922</v>
      </c>
      <c r="J287" s="44" t="s">
        <v>579</v>
      </c>
    </row>
    <row r="288" spans="2:10" ht="14">
      <c r="B288" s="38">
        <v>44834</v>
      </c>
      <c r="C288" s="39" t="s">
        <v>696</v>
      </c>
      <c r="D288" s="39" t="s">
        <v>270</v>
      </c>
      <c r="E288" s="39" t="s">
        <v>514</v>
      </c>
      <c r="F288" s="39" t="s">
        <v>612</v>
      </c>
      <c r="G288" s="39" t="s">
        <v>697</v>
      </c>
      <c r="H288" s="91">
        <v>1400000</v>
      </c>
      <c r="I288" s="45" t="str">
        <f t="shared" si="3"/>
        <v>0922</v>
      </c>
      <c r="J288" s="35">
        <v>330</v>
      </c>
    </row>
    <row r="289" spans="2:10" ht="14">
      <c r="B289" s="38">
        <v>44834</v>
      </c>
      <c r="C289" s="39" t="s">
        <v>696</v>
      </c>
      <c r="D289" s="39" t="s">
        <v>270</v>
      </c>
      <c r="E289" s="39" t="s">
        <v>514</v>
      </c>
      <c r="F289" s="39" t="s">
        <v>612</v>
      </c>
      <c r="G289" s="39" t="s">
        <v>698</v>
      </c>
      <c r="H289" s="91">
        <v>1286000</v>
      </c>
      <c r="I289" s="45" t="str">
        <f t="shared" si="3"/>
        <v>0922</v>
      </c>
      <c r="J289" s="35" t="s">
        <v>579</v>
      </c>
    </row>
    <row r="290" spans="2:10" ht="14">
      <c r="B290" s="38">
        <v>44834</v>
      </c>
      <c r="C290" s="39" t="s">
        <v>696</v>
      </c>
      <c r="D290" s="39" t="s">
        <v>270</v>
      </c>
      <c r="E290" s="39" t="s">
        <v>514</v>
      </c>
      <c r="F290" s="39" t="s">
        <v>612</v>
      </c>
      <c r="G290" s="39" t="s">
        <v>699</v>
      </c>
      <c r="H290" s="91">
        <v>60000</v>
      </c>
      <c r="I290" s="45" t="str">
        <f t="shared" si="3"/>
        <v>0922</v>
      </c>
      <c r="J290" s="35" t="s">
        <v>579</v>
      </c>
    </row>
    <row r="291" spans="2:10" ht="14">
      <c r="B291" s="38">
        <v>44834</v>
      </c>
      <c r="C291" s="39" t="s">
        <v>700</v>
      </c>
      <c r="D291" s="39" t="s">
        <v>270</v>
      </c>
      <c r="E291" s="39" t="s">
        <v>514</v>
      </c>
      <c r="F291" s="39" t="s">
        <v>612</v>
      </c>
      <c r="G291" s="39" t="s">
        <v>701</v>
      </c>
      <c r="H291" s="91">
        <v>500000</v>
      </c>
      <c r="I291" s="45" t="str">
        <f t="shared" si="3"/>
        <v>0922</v>
      </c>
      <c r="J291" s="35" t="s">
        <v>2282</v>
      </c>
    </row>
    <row r="292" spans="2:10" ht="14">
      <c r="B292" s="38">
        <v>44834</v>
      </c>
      <c r="C292" s="39" t="s">
        <v>681</v>
      </c>
      <c r="D292" s="39" t="s">
        <v>270</v>
      </c>
      <c r="E292" s="39" t="s">
        <v>271</v>
      </c>
      <c r="F292" s="39" t="s">
        <v>615</v>
      </c>
      <c r="G292" s="39" t="s">
        <v>705</v>
      </c>
      <c r="H292" s="91">
        <v>1512000</v>
      </c>
      <c r="I292" s="45" t="str">
        <f t="shared" si="3"/>
        <v>0922</v>
      </c>
      <c r="J292" s="35" t="s">
        <v>2282</v>
      </c>
    </row>
    <row r="293" spans="2:10" ht="14">
      <c r="B293" s="38">
        <v>44834</v>
      </c>
      <c r="C293" s="39" t="s">
        <v>681</v>
      </c>
      <c r="D293" s="39" t="s">
        <v>270</v>
      </c>
      <c r="E293" s="39" t="s">
        <v>271</v>
      </c>
      <c r="F293" s="39" t="s">
        <v>706</v>
      </c>
      <c r="G293" s="39" t="s">
        <v>707</v>
      </c>
      <c r="H293" s="91">
        <v>7236245</v>
      </c>
      <c r="I293" s="45" t="str">
        <f t="shared" si="3"/>
        <v>0922</v>
      </c>
      <c r="J293" s="35" t="s">
        <v>2282</v>
      </c>
    </row>
    <row r="294" spans="2:10" ht="14">
      <c r="B294" s="38">
        <v>44834</v>
      </c>
      <c r="C294" s="39" t="s">
        <v>681</v>
      </c>
      <c r="D294" s="39" t="s">
        <v>270</v>
      </c>
      <c r="E294" s="39" t="s">
        <v>271</v>
      </c>
      <c r="F294" s="39" t="s">
        <v>708</v>
      </c>
      <c r="G294" s="39" t="s">
        <v>709</v>
      </c>
      <c r="H294" s="91">
        <v>7403853</v>
      </c>
      <c r="I294" s="45" t="str">
        <f t="shared" si="3"/>
        <v>0922</v>
      </c>
      <c r="J294" s="35" t="s">
        <v>2282</v>
      </c>
    </row>
    <row r="295" spans="2:10">
      <c r="B295" s="38">
        <v>44834</v>
      </c>
      <c r="C295" s="39" t="s">
        <v>713</v>
      </c>
      <c r="D295" s="39" t="s">
        <v>270</v>
      </c>
      <c r="E295" s="39" t="s">
        <v>140</v>
      </c>
      <c r="F295" s="39" t="s">
        <v>72</v>
      </c>
      <c r="G295" s="39" t="s">
        <v>714</v>
      </c>
      <c r="H295" s="91">
        <v>108136200</v>
      </c>
      <c r="I295" s="45" t="str">
        <f t="shared" si="3"/>
        <v>0922</v>
      </c>
      <c r="J295" s="44" t="s">
        <v>522</v>
      </c>
    </row>
    <row r="296" spans="2:10">
      <c r="B296" s="38">
        <v>44834</v>
      </c>
      <c r="C296" s="39" t="s">
        <v>715</v>
      </c>
      <c r="D296" s="39" t="s">
        <v>270</v>
      </c>
      <c r="E296" s="39" t="s">
        <v>308</v>
      </c>
      <c r="F296" s="39" t="s">
        <v>478</v>
      </c>
      <c r="G296" s="39" t="s">
        <v>716</v>
      </c>
      <c r="H296" s="91">
        <v>1810527137</v>
      </c>
      <c r="I296" s="45" t="str">
        <f t="shared" si="3"/>
        <v>0922</v>
      </c>
      <c r="J296" s="44" t="s">
        <v>533</v>
      </c>
    </row>
    <row r="297" spans="2:10">
      <c r="B297" s="38">
        <v>44834</v>
      </c>
      <c r="C297" s="39" t="s">
        <v>715</v>
      </c>
      <c r="D297" s="39" t="s">
        <v>270</v>
      </c>
      <c r="E297" s="39" t="s">
        <v>308</v>
      </c>
      <c r="F297" s="39" t="s">
        <v>478</v>
      </c>
      <c r="G297" s="39" t="s">
        <v>717</v>
      </c>
      <c r="H297" s="91">
        <v>1314646371</v>
      </c>
      <c r="I297" s="45" t="str">
        <f t="shared" si="3"/>
        <v>0922</v>
      </c>
      <c r="J297" s="44" t="s">
        <v>533</v>
      </c>
    </row>
    <row r="298" spans="2:10">
      <c r="B298" s="38">
        <v>44834</v>
      </c>
      <c r="C298" s="39" t="s">
        <v>681</v>
      </c>
      <c r="D298" s="39" t="s">
        <v>270</v>
      </c>
      <c r="E298" s="39" t="s">
        <v>271</v>
      </c>
      <c r="F298" s="39" t="s">
        <v>718</v>
      </c>
      <c r="G298" s="39" t="s">
        <v>719</v>
      </c>
      <c r="H298" s="91">
        <v>895000</v>
      </c>
      <c r="I298" s="45" t="str">
        <f t="shared" si="3"/>
        <v>0922</v>
      </c>
      <c r="J298" s="44" t="s">
        <v>2282</v>
      </c>
    </row>
    <row r="299" spans="2:10">
      <c r="B299" s="38">
        <v>44834</v>
      </c>
      <c r="C299" s="39" t="s">
        <v>720</v>
      </c>
      <c r="D299" s="39" t="s">
        <v>270</v>
      </c>
      <c r="E299" s="39" t="s">
        <v>271</v>
      </c>
      <c r="F299" s="39" t="s">
        <v>721</v>
      </c>
      <c r="G299" s="39" t="s">
        <v>722</v>
      </c>
      <c r="H299" s="91">
        <v>246184</v>
      </c>
      <c r="I299" s="45" t="str">
        <f t="shared" si="3"/>
        <v>0922</v>
      </c>
      <c r="J299" s="44">
        <v>327</v>
      </c>
    </row>
    <row r="300" spans="2:10" ht="34.5">
      <c r="B300" s="38">
        <v>44834</v>
      </c>
      <c r="C300" s="39" t="s">
        <v>720</v>
      </c>
      <c r="D300" s="39" t="s">
        <v>270</v>
      </c>
      <c r="E300" s="39" t="s">
        <v>495</v>
      </c>
      <c r="F300" s="39" t="s">
        <v>723</v>
      </c>
      <c r="G300" s="173" t="s">
        <v>724</v>
      </c>
      <c r="H300" s="91">
        <v>4100000</v>
      </c>
      <c r="I300" s="45" t="str">
        <f t="shared" ref="I300:I331" si="4">+RIGHT(C300,4)</f>
        <v>0922</v>
      </c>
      <c r="J300" s="44">
        <v>327</v>
      </c>
    </row>
    <row r="301" spans="2:10" ht="34.5">
      <c r="B301" s="38">
        <v>44834</v>
      </c>
      <c r="C301" s="39" t="s">
        <v>720</v>
      </c>
      <c r="D301" s="39" t="s">
        <v>270</v>
      </c>
      <c r="E301" s="39" t="s">
        <v>495</v>
      </c>
      <c r="F301" s="39" t="s">
        <v>725</v>
      </c>
      <c r="G301" s="173" t="s">
        <v>726</v>
      </c>
      <c r="H301" s="91">
        <v>9792000</v>
      </c>
      <c r="I301" s="45" t="str">
        <f t="shared" si="4"/>
        <v>0922</v>
      </c>
      <c r="J301" s="44">
        <v>327</v>
      </c>
    </row>
    <row r="302" spans="2:10">
      <c r="B302" s="38">
        <v>44834</v>
      </c>
      <c r="C302" s="39" t="s">
        <v>720</v>
      </c>
      <c r="D302" s="39" t="s">
        <v>270</v>
      </c>
      <c r="E302" s="39" t="s">
        <v>495</v>
      </c>
      <c r="F302" s="39" t="s">
        <v>727</v>
      </c>
      <c r="G302" s="39" t="s">
        <v>728</v>
      </c>
      <c r="H302" s="91">
        <v>15780543.4</v>
      </c>
      <c r="I302" s="45" t="str">
        <f t="shared" si="4"/>
        <v>0922</v>
      </c>
      <c r="J302" s="45">
        <v>42</v>
      </c>
    </row>
    <row r="303" spans="2:10">
      <c r="B303" s="38">
        <v>44834</v>
      </c>
      <c r="C303" s="39" t="s">
        <v>720</v>
      </c>
      <c r="D303" s="39" t="s">
        <v>270</v>
      </c>
      <c r="E303" s="39" t="s">
        <v>495</v>
      </c>
      <c r="F303" s="39" t="s">
        <v>729</v>
      </c>
      <c r="G303" s="39" t="s">
        <v>730</v>
      </c>
      <c r="H303" s="91">
        <v>397245</v>
      </c>
      <c r="I303" s="45" t="str">
        <f t="shared" si="4"/>
        <v>0922</v>
      </c>
      <c r="J303" s="45">
        <v>42</v>
      </c>
    </row>
    <row r="304" spans="2:10">
      <c r="B304" s="38">
        <v>44834</v>
      </c>
      <c r="C304" s="39" t="s">
        <v>720</v>
      </c>
      <c r="D304" s="39" t="s">
        <v>270</v>
      </c>
      <c r="E304" s="39" t="s">
        <v>622</v>
      </c>
      <c r="F304" s="39" t="s">
        <v>731</v>
      </c>
      <c r="G304" s="39" t="s">
        <v>732</v>
      </c>
      <c r="H304" s="91">
        <v>69385.11</v>
      </c>
      <c r="I304" s="45" t="str">
        <f t="shared" si="4"/>
        <v>0922</v>
      </c>
      <c r="J304" s="34">
        <v>327</v>
      </c>
    </row>
    <row r="305" spans="2:10">
      <c r="B305" s="38">
        <v>44834</v>
      </c>
      <c r="C305" s="39" t="s">
        <v>720</v>
      </c>
      <c r="D305" s="39" t="s">
        <v>270</v>
      </c>
      <c r="E305" s="39" t="s">
        <v>622</v>
      </c>
      <c r="F305" s="39" t="s">
        <v>731</v>
      </c>
      <c r="G305" s="39" t="s">
        <v>733</v>
      </c>
      <c r="H305" s="91">
        <v>62079.87</v>
      </c>
      <c r="I305" s="45" t="str">
        <f t="shared" si="4"/>
        <v>0922</v>
      </c>
      <c r="J305" s="34">
        <v>327</v>
      </c>
    </row>
    <row r="306" spans="2:10">
      <c r="B306" s="38">
        <v>44834</v>
      </c>
      <c r="C306" s="39" t="s">
        <v>720</v>
      </c>
      <c r="D306" s="39" t="s">
        <v>270</v>
      </c>
      <c r="E306" s="39" t="s">
        <v>622</v>
      </c>
      <c r="F306" s="39" t="s">
        <v>731</v>
      </c>
      <c r="G306" s="39" t="s">
        <v>737</v>
      </c>
      <c r="H306" s="91">
        <v>78249894</v>
      </c>
      <c r="I306" s="45" t="str">
        <f t="shared" si="4"/>
        <v>0922</v>
      </c>
      <c r="J306" s="34">
        <v>327</v>
      </c>
    </row>
    <row r="307" spans="2:10">
      <c r="B307" s="38">
        <v>44834</v>
      </c>
      <c r="C307" s="39" t="s">
        <v>720</v>
      </c>
      <c r="D307" s="39" t="s">
        <v>270</v>
      </c>
      <c r="E307" s="39" t="s">
        <v>622</v>
      </c>
      <c r="F307" s="39" t="s">
        <v>731</v>
      </c>
      <c r="G307" s="39" t="s">
        <v>738</v>
      </c>
      <c r="H307" s="91">
        <v>3172021.94</v>
      </c>
      <c r="I307" s="45" t="str">
        <f t="shared" si="4"/>
        <v>0922</v>
      </c>
      <c r="J307" s="34">
        <v>327</v>
      </c>
    </row>
    <row r="308" spans="2:10">
      <c r="B308" s="38">
        <v>44834</v>
      </c>
      <c r="C308" s="39" t="s">
        <v>742</v>
      </c>
      <c r="D308" s="39" t="s">
        <v>270</v>
      </c>
      <c r="E308" s="39" t="s">
        <v>495</v>
      </c>
      <c r="F308" s="39" t="s">
        <v>743</v>
      </c>
      <c r="G308" s="39" t="s">
        <v>512</v>
      </c>
      <c r="H308" s="91">
        <v>-270000000</v>
      </c>
      <c r="I308" s="45" t="str">
        <f t="shared" si="4"/>
        <v>0922</v>
      </c>
      <c r="J308" s="44" t="s">
        <v>529</v>
      </c>
    </row>
    <row r="309" spans="2:10">
      <c r="B309" s="38">
        <v>44834</v>
      </c>
      <c r="C309" s="39" t="s">
        <v>702</v>
      </c>
      <c r="D309" s="39" t="s">
        <v>703</v>
      </c>
      <c r="E309" s="39" t="s">
        <v>495</v>
      </c>
      <c r="F309" s="39" t="s">
        <v>641</v>
      </c>
      <c r="G309" s="39" t="s">
        <v>704</v>
      </c>
      <c r="H309" s="91">
        <v>1781780</v>
      </c>
      <c r="I309" s="45" t="str">
        <f t="shared" si="4"/>
        <v>0922</v>
      </c>
      <c r="J309" s="44">
        <v>330</v>
      </c>
    </row>
    <row r="310" spans="2:10">
      <c r="B310" s="38">
        <v>44834</v>
      </c>
      <c r="C310" s="39" t="s">
        <v>739</v>
      </c>
      <c r="D310" s="39" t="s">
        <v>740</v>
      </c>
      <c r="E310" s="39" t="s">
        <v>633</v>
      </c>
      <c r="F310" s="39" t="s">
        <v>515</v>
      </c>
      <c r="G310" s="39" t="s">
        <v>741</v>
      </c>
      <c r="H310" s="91">
        <v>57848455.670000002</v>
      </c>
      <c r="I310" s="45" t="str">
        <f t="shared" si="4"/>
        <v>0922</v>
      </c>
      <c r="J310" s="44" t="s">
        <v>870</v>
      </c>
    </row>
    <row r="311" spans="2:10">
      <c r="B311" s="38">
        <v>44834</v>
      </c>
      <c r="C311" s="39" t="s">
        <v>720</v>
      </c>
      <c r="D311" s="39" t="s">
        <v>734</v>
      </c>
      <c r="E311" s="39" t="s">
        <v>622</v>
      </c>
      <c r="F311" s="39" t="s">
        <v>731</v>
      </c>
      <c r="G311" s="39" t="s">
        <v>735</v>
      </c>
      <c r="H311" s="91">
        <v>24810942</v>
      </c>
      <c r="I311" s="45" t="str">
        <f t="shared" si="4"/>
        <v>0922</v>
      </c>
      <c r="J311" s="44" t="s">
        <v>2432</v>
      </c>
    </row>
    <row r="312" spans="2:10">
      <c r="B312" s="40">
        <v>44834</v>
      </c>
      <c r="C312" s="41" t="s">
        <v>720</v>
      </c>
      <c r="D312" s="41" t="s">
        <v>734</v>
      </c>
      <c r="E312" s="41" t="s">
        <v>622</v>
      </c>
      <c r="F312" s="41" t="s">
        <v>731</v>
      </c>
      <c r="G312" s="41" t="s">
        <v>736</v>
      </c>
      <c r="H312" s="93">
        <v>100198035</v>
      </c>
      <c r="I312" s="45" t="str">
        <f t="shared" si="4"/>
        <v>0922</v>
      </c>
      <c r="J312" s="44" t="s">
        <v>2432</v>
      </c>
    </row>
    <row r="313" spans="2:10">
      <c r="B313" s="42">
        <v>44834</v>
      </c>
      <c r="C313" s="43" t="s">
        <v>649</v>
      </c>
      <c r="D313" s="43" t="s">
        <v>650</v>
      </c>
      <c r="E313" s="43" t="s">
        <v>308</v>
      </c>
      <c r="F313" s="43" t="s">
        <v>44</v>
      </c>
      <c r="G313" s="43" t="s">
        <v>651</v>
      </c>
      <c r="H313" s="141">
        <v>130910897</v>
      </c>
      <c r="I313" s="45" t="str">
        <f t="shared" si="4"/>
        <v>0922</v>
      </c>
      <c r="J313" s="45">
        <v>21</v>
      </c>
    </row>
    <row r="314" spans="2:10">
      <c r="B314" s="42">
        <v>44834</v>
      </c>
      <c r="C314" s="43" t="s">
        <v>649</v>
      </c>
      <c r="D314" s="43" t="s">
        <v>650</v>
      </c>
      <c r="E314" s="43" t="s">
        <v>308</v>
      </c>
      <c r="F314" s="43" t="s">
        <v>44</v>
      </c>
      <c r="G314" s="43" t="s">
        <v>652</v>
      </c>
      <c r="H314" s="141">
        <v>71846967</v>
      </c>
      <c r="I314" s="45" t="str">
        <f t="shared" si="4"/>
        <v>0922</v>
      </c>
      <c r="J314" s="45">
        <v>21</v>
      </c>
    </row>
    <row r="315" spans="2:10">
      <c r="B315" s="42">
        <v>44834</v>
      </c>
      <c r="C315" s="43" t="s">
        <v>649</v>
      </c>
      <c r="D315" s="43" t="s">
        <v>653</v>
      </c>
      <c r="E315" s="43" t="s">
        <v>308</v>
      </c>
      <c r="F315" s="43" t="s">
        <v>44</v>
      </c>
      <c r="G315" s="43" t="s">
        <v>654</v>
      </c>
      <c r="H315" s="141">
        <v>2445675113</v>
      </c>
      <c r="I315" s="45" t="str">
        <f t="shared" si="4"/>
        <v>0922</v>
      </c>
      <c r="J315" s="45">
        <v>21</v>
      </c>
    </row>
    <row r="316" spans="2:10">
      <c r="B316" s="42">
        <v>44834</v>
      </c>
      <c r="C316" s="43" t="s">
        <v>649</v>
      </c>
      <c r="D316" s="43" t="s">
        <v>655</v>
      </c>
      <c r="E316" s="43" t="s">
        <v>308</v>
      </c>
      <c r="F316" s="43" t="s">
        <v>44</v>
      </c>
      <c r="G316" s="43" t="s">
        <v>656</v>
      </c>
      <c r="H316" s="141">
        <v>1592735049</v>
      </c>
      <c r="I316" s="45" t="str">
        <f t="shared" si="4"/>
        <v>0922</v>
      </c>
      <c r="J316" s="45">
        <v>21</v>
      </c>
    </row>
    <row r="317" spans="2:10">
      <c r="B317" s="42">
        <v>44834</v>
      </c>
      <c r="C317" s="43" t="s">
        <v>649</v>
      </c>
      <c r="D317" s="43" t="s">
        <v>657</v>
      </c>
      <c r="E317" s="43" t="s">
        <v>308</v>
      </c>
      <c r="F317" s="43" t="s">
        <v>44</v>
      </c>
      <c r="G317" s="43" t="s">
        <v>658</v>
      </c>
      <c r="H317" s="141">
        <v>2528045027</v>
      </c>
      <c r="I317" s="45" t="str">
        <f t="shared" si="4"/>
        <v>0922</v>
      </c>
      <c r="J317" s="45">
        <v>21</v>
      </c>
    </row>
    <row r="318" spans="2:10">
      <c r="B318" s="42">
        <v>44834</v>
      </c>
      <c r="C318" s="43" t="s">
        <v>649</v>
      </c>
      <c r="D318" s="43" t="s">
        <v>659</v>
      </c>
      <c r="E318" s="43" t="s">
        <v>308</v>
      </c>
      <c r="F318" s="43" t="s">
        <v>44</v>
      </c>
      <c r="G318" s="43" t="s">
        <v>660</v>
      </c>
      <c r="H318" s="141">
        <v>188022065</v>
      </c>
      <c r="I318" s="45" t="str">
        <f t="shared" si="4"/>
        <v>0922</v>
      </c>
      <c r="J318" s="45">
        <v>21</v>
      </c>
    </row>
    <row r="319" spans="2:10" ht="46">
      <c r="B319" s="42">
        <v>44834</v>
      </c>
      <c r="C319" s="43" t="s">
        <v>649</v>
      </c>
      <c r="D319" s="43" t="s">
        <v>665</v>
      </c>
      <c r="E319" s="43" t="s">
        <v>308</v>
      </c>
      <c r="F319" s="43" t="s">
        <v>44</v>
      </c>
      <c r="G319" s="134" t="s">
        <v>666</v>
      </c>
      <c r="H319" s="141">
        <v>640233577</v>
      </c>
      <c r="I319" s="45" t="str">
        <f t="shared" si="4"/>
        <v>0922</v>
      </c>
      <c r="J319" s="45">
        <v>21</v>
      </c>
    </row>
    <row r="320" spans="2:10" ht="46">
      <c r="B320" s="42">
        <v>44834</v>
      </c>
      <c r="C320" s="43" t="s">
        <v>649</v>
      </c>
      <c r="D320" s="43" t="s">
        <v>665</v>
      </c>
      <c r="E320" s="43" t="s">
        <v>308</v>
      </c>
      <c r="F320" s="43" t="s">
        <v>44</v>
      </c>
      <c r="G320" s="134" t="s">
        <v>667</v>
      </c>
      <c r="H320" s="141">
        <v>1166104690</v>
      </c>
      <c r="I320" s="45" t="str">
        <f t="shared" si="4"/>
        <v>0922</v>
      </c>
      <c r="J320" s="45">
        <v>21</v>
      </c>
    </row>
    <row r="321" spans="2:10">
      <c r="B321" s="42">
        <v>44834</v>
      </c>
      <c r="C321" s="43" t="s">
        <v>649</v>
      </c>
      <c r="D321" s="43" t="s">
        <v>663</v>
      </c>
      <c r="E321" s="43" t="s">
        <v>308</v>
      </c>
      <c r="F321" s="43" t="s">
        <v>44</v>
      </c>
      <c r="G321" s="43" t="s">
        <v>664</v>
      </c>
      <c r="H321" s="141">
        <v>1537797422</v>
      </c>
      <c r="I321" s="45" t="str">
        <f t="shared" si="4"/>
        <v>0922</v>
      </c>
      <c r="J321" s="45">
        <v>21</v>
      </c>
    </row>
    <row r="322" spans="2:10">
      <c r="B322" s="42">
        <v>44834</v>
      </c>
      <c r="C322" s="43" t="s">
        <v>710</v>
      </c>
      <c r="D322" s="43" t="s">
        <v>711</v>
      </c>
      <c r="E322" s="43" t="s">
        <v>308</v>
      </c>
      <c r="F322" s="43" t="s">
        <v>632</v>
      </c>
      <c r="G322" s="43" t="s">
        <v>712</v>
      </c>
      <c r="H322" s="94">
        <v>807525000</v>
      </c>
      <c r="I322" s="45" t="str">
        <f t="shared" si="4"/>
        <v>0922</v>
      </c>
      <c r="J322" s="45">
        <v>314</v>
      </c>
    </row>
    <row r="323" spans="2:10">
      <c r="B323" s="42">
        <v>44834</v>
      </c>
      <c r="C323" s="43" t="s">
        <v>649</v>
      </c>
      <c r="D323" s="43" t="s">
        <v>661</v>
      </c>
      <c r="E323" s="43" t="s">
        <v>308</v>
      </c>
      <c r="F323" s="43" t="s">
        <v>44</v>
      </c>
      <c r="G323" s="43" t="s">
        <v>662</v>
      </c>
      <c r="H323" s="141">
        <v>1639802847</v>
      </c>
      <c r="I323" s="45" t="str">
        <f t="shared" si="4"/>
        <v>0922</v>
      </c>
      <c r="J323" s="45">
        <v>21</v>
      </c>
    </row>
    <row r="324" spans="2:10">
      <c r="B324" s="42">
        <v>44834</v>
      </c>
      <c r="C324" s="43" t="s">
        <v>649</v>
      </c>
      <c r="D324" s="43" t="s">
        <v>668</v>
      </c>
      <c r="E324" s="43" t="s">
        <v>308</v>
      </c>
      <c r="F324" s="43" t="s">
        <v>44</v>
      </c>
      <c r="G324" s="43" t="s">
        <v>669</v>
      </c>
      <c r="H324" s="141">
        <v>2008390566</v>
      </c>
      <c r="I324" s="45" t="str">
        <f t="shared" si="4"/>
        <v>0922</v>
      </c>
      <c r="J324" s="45">
        <v>21</v>
      </c>
    </row>
    <row r="325" spans="2:10" ht="14">
      <c r="B325" s="42">
        <v>44845</v>
      </c>
      <c r="C325" s="43" t="s">
        <v>744</v>
      </c>
      <c r="D325" s="43" t="s">
        <v>270</v>
      </c>
      <c r="E325" s="43" t="s">
        <v>514</v>
      </c>
      <c r="F325" s="43" t="s">
        <v>612</v>
      </c>
      <c r="G325" s="43" t="s">
        <v>745</v>
      </c>
      <c r="H325" s="94">
        <v>558000</v>
      </c>
      <c r="I325" s="45" t="str">
        <f t="shared" si="4"/>
        <v>1022</v>
      </c>
      <c r="J325" s="35" t="s">
        <v>579</v>
      </c>
    </row>
    <row r="326" spans="2:10">
      <c r="B326" s="42">
        <v>44846</v>
      </c>
      <c r="C326" s="43" t="s">
        <v>746</v>
      </c>
      <c r="D326" s="43" t="s">
        <v>270</v>
      </c>
      <c r="E326" s="43" t="s">
        <v>140</v>
      </c>
      <c r="F326" s="43" t="s">
        <v>330</v>
      </c>
      <c r="G326" s="43" t="s">
        <v>747</v>
      </c>
      <c r="H326" s="94">
        <v>11100000</v>
      </c>
      <c r="I326" s="45" t="str">
        <f t="shared" si="4"/>
        <v>1022</v>
      </c>
      <c r="J326" s="44" t="s">
        <v>582</v>
      </c>
    </row>
    <row r="327" spans="2:10">
      <c r="B327" s="42">
        <v>44848</v>
      </c>
      <c r="C327" s="43" t="s">
        <v>748</v>
      </c>
      <c r="D327" s="43" t="s">
        <v>270</v>
      </c>
      <c r="E327" s="43" t="s">
        <v>495</v>
      </c>
      <c r="F327" s="43" t="s">
        <v>612</v>
      </c>
      <c r="G327" s="43" t="s">
        <v>749</v>
      </c>
      <c r="H327" s="94">
        <v>944900</v>
      </c>
      <c r="I327" s="45" t="str">
        <f t="shared" si="4"/>
        <v>1022</v>
      </c>
      <c r="J327" s="44" t="s">
        <v>579</v>
      </c>
    </row>
    <row r="328" spans="2:10">
      <c r="B328" s="42">
        <v>44850</v>
      </c>
      <c r="C328" s="43" t="s">
        <v>750</v>
      </c>
      <c r="D328" s="43" t="s">
        <v>270</v>
      </c>
      <c r="E328" s="43" t="s">
        <v>633</v>
      </c>
      <c r="F328" s="43" t="s">
        <v>612</v>
      </c>
      <c r="G328" s="43" t="s">
        <v>751</v>
      </c>
      <c r="H328" s="94">
        <v>559000</v>
      </c>
      <c r="I328" s="45" t="str">
        <f t="shared" si="4"/>
        <v>1022</v>
      </c>
      <c r="J328" s="44" t="s">
        <v>579</v>
      </c>
    </row>
    <row r="329" spans="2:10">
      <c r="B329" s="42">
        <v>44851</v>
      </c>
      <c r="C329" s="43" t="s">
        <v>752</v>
      </c>
      <c r="D329" s="43" t="s">
        <v>270</v>
      </c>
      <c r="E329" s="43" t="s">
        <v>514</v>
      </c>
      <c r="F329" s="43" t="s">
        <v>641</v>
      </c>
      <c r="G329" s="43" t="s">
        <v>753</v>
      </c>
      <c r="H329" s="94">
        <v>152000</v>
      </c>
      <c r="I329" s="45" t="str">
        <f t="shared" si="4"/>
        <v>1022</v>
      </c>
      <c r="J329" s="44" t="s">
        <v>579</v>
      </c>
    </row>
    <row r="330" spans="2:10">
      <c r="B330" s="42">
        <v>44853</v>
      </c>
      <c r="C330" s="43" t="s">
        <v>756</v>
      </c>
      <c r="D330" s="43" t="s">
        <v>270</v>
      </c>
      <c r="E330" s="43" t="s">
        <v>514</v>
      </c>
      <c r="F330" s="43" t="s">
        <v>612</v>
      </c>
      <c r="G330" s="43" t="s">
        <v>757</v>
      </c>
      <c r="H330" s="94">
        <v>102000</v>
      </c>
      <c r="I330" s="45" t="str">
        <f t="shared" si="4"/>
        <v>1022</v>
      </c>
      <c r="J330" s="44" t="s">
        <v>579</v>
      </c>
    </row>
    <row r="331" spans="2:10">
      <c r="B331" s="42">
        <v>44853</v>
      </c>
      <c r="C331" s="43" t="s">
        <v>754</v>
      </c>
      <c r="D331" s="43" t="s">
        <v>703</v>
      </c>
      <c r="E331" s="43" t="s">
        <v>495</v>
      </c>
      <c r="F331" s="43" t="s">
        <v>612</v>
      </c>
      <c r="G331" s="43" t="s">
        <v>755</v>
      </c>
      <c r="H331" s="94">
        <v>1400000</v>
      </c>
      <c r="I331" s="45" t="str">
        <f t="shared" si="4"/>
        <v>1022</v>
      </c>
      <c r="J331" s="44">
        <v>330</v>
      </c>
    </row>
    <row r="332" spans="2:10">
      <c r="B332" s="42">
        <v>44854</v>
      </c>
      <c r="C332" s="43" t="s">
        <v>758</v>
      </c>
      <c r="D332" s="43" t="s">
        <v>270</v>
      </c>
      <c r="E332" s="43" t="s">
        <v>495</v>
      </c>
      <c r="F332" s="43" t="s">
        <v>612</v>
      </c>
      <c r="G332" s="43" t="s">
        <v>759</v>
      </c>
      <c r="H332" s="94">
        <v>600000</v>
      </c>
      <c r="I332" s="45" t="str">
        <f t="shared" ref="I332:I363" si="5">+RIGHT(C332,4)</f>
        <v>1022</v>
      </c>
      <c r="J332" s="44" t="s">
        <v>579</v>
      </c>
    </row>
    <row r="333" spans="2:10">
      <c r="B333" s="42">
        <v>44854</v>
      </c>
      <c r="C333" s="43" t="s">
        <v>760</v>
      </c>
      <c r="D333" s="43" t="s">
        <v>270</v>
      </c>
      <c r="E333" s="43" t="s">
        <v>495</v>
      </c>
      <c r="F333" s="43" t="s">
        <v>612</v>
      </c>
      <c r="G333" s="43" t="s">
        <v>761</v>
      </c>
      <c r="H333" s="94">
        <v>436000</v>
      </c>
      <c r="I333" s="45" t="str">
        <f t="shared" si="5"/>
        <v>1022</v>
      </c>
      <c r="J333" s="44" t="s">
        <v>579</v>
      </c>
    </row>
    <row r="334" spans="2:10">
      <c r="B334" s="42">
        <v>44856</v>
      </c>
      <c r="C334" s="43" t="s">
        <v>762</v>
      </c>
      <c r="D334" s="43" t="s">
        <v>703</v>
      </c>
      <c r="E334" s="43" t="s">
        <v>495</v>
      </c>
      <c r="F334" s="43" t="s">
        <v>612</v>
      </c>
      <c r="G334" s="43" t="s">
        <v>763</v>
      </c>
      <c r="H334" s="94">
        <v>214800</v>
      </c>
      <c r="I334" s="45" t="str">
        <f t="shared" si="5"/>
        <v>1022</v>
      </c>
      <c r="J334" s="44">
        <v>330</v>
      </c>
    </row>
    <row r="335" spans="2:10">
      <c r="B335" s="42">
        <v>44858</v>
      </c>
      <c r="C335" s="43" t="s">
        <v>764</v>
      </c>
      <c r="D335" s="43" t="s">
        <v>270</v>
      </c>
      <c r="E335" s="43" t="s">
        <v>495</v>
      </c>
      <c r="F335" s="43" t="s">
        <v>765</v>
      </c>
      <c r="G335" s="43" t="s">
        <v>766</v>
      </c>
      <c r="H335" s="94">
        <v>419580000</v>
      </c>
      <c r="I335" s="45" t="str">
        <f t="shared" si="5"/>
        <v>1022</v>
      </c>
      <c r="J335" s="45">
        <v>320</v>
      </c>
    </row>
    <row r="336" spans="2:10">
      <c r="B336" s="42">
        <v>44859</v>
      </c>
      <c r="C336" s="43" t="s">
        <v>767</v>
      </c>
      <c r="D336" s="43" t="s">
        <v>270</v>
      </c>
      <c r="E336" s="43" t="s">
        <v>514</v>
      </c>
      <c r="F336" s="43" t="s">
        <v>612</v>
      </c>
      <c r="G336" s="43" t="s">
        <v>768</v>
      </c>
      <c r="H336" s="94">
        <v>60000</v>
      </c>
      <c r="I336" s="45" t="str">
        <f t="shared" si="5"/>
        <v>1022</v>
      </c>
      <c r="J336" s="44">
        <v>330</v>
      </c>
    </row>
    <row r="337" spans="2:10">
      <c r="B337" s="42">
        <v>44859</v>
      </c>
      <c r="C337" s="43" t="s">
        <v>769</v>
      </c>
      <c r="D337" s="43" t="s">
        <v>270</v>
      </c>
      <c r="E337" s="43" t="s">
        <v>514</v>
      </c>
      <c r="F337" s="43" t="s">
        <v>612</v>
      </c>
      <c r="G337" s="43" t="s">
        <v>770</v>
      </c>
      <c r="H337" s="94">
        <v>60000</v>
      </c>
      <c r="I337" s="45" t="str">
        <f t="shared" si="5"/>
        <v>1022</v>
      </c>
      <c r="J337" s="44">
        <v>330</v>
      </c>
    </row>
    <row r="338" spans="2:10">
      <c r="B338" s="42">
        <v>44861</v>
      </c>
      <c r="C338" s="43" t="s">
        <v>771</v>
      </c>
      <c r="D338" s="43" t="s">
        <v>703</v>
      </c>
      <c r="E338" s="43" t="s">
        <v>633</v>
      </c>
      <c r="F338" s="43" t="s">
        <v>612</v>
      </c>
      <c r="G338" s="43" t="s">
        <v>772</v>
      </c>
      <c r="H338" s="94">
        <v>1350000</v>
      </c>
      <c r="I338" s="45" t="str">
        <f t="shared" si="5"/>
        <v>1022</v>
      </c>
      <c r="J338" s="44">
        <v>330</v>
      </c>
    </row>
    <row r="339" spans="2:10">
      <c r="B339" s="42">
        <v>44865</v>
      </c>
      <c r="C339" s="43" t="s">
        <v>773</v>
      </c>
      <c r="D339" s="43" t="s">
        <v>270</v>
      </c>
      <c r="E339" s="43" t="s">
        <v>495</v>
      </c>
      <c r="F339" s="43" t="s">
        <v>774</v>
      </c>
      <c r="G339" s="43" t="s">
        <v>775</v>
      </c>
      <c r="H339" s="94">
        <v>319010004</v>
      </c>
      <c r="I339" s="45" t="str">
        <f t="shared" si="5"/>
        <v>1022</v>
      </c>
      <c r="J339" s="44" t="s">
        <v>530</v>
      </c>
    </row>
    <row r="340" spans="2:10">
      <c r="B340" s="42">
        <v>44865</v>
      </c>
      <c r="C340" s="43" t="s">
        <v>779</v>
      </c>
      <c r="D340" s="43" t="s">
        <v>270</v>
      </c>
      <c r="E340" s="43" t="s">
        <v>140</v>
      </c>
      <c r="F340" s="43" t="s">
        <v>590</v>
      </c>
      <c r="G340" s="43" t="s">
        <v>780</v>
      </c>
      <c r="H340" s="94">
        <v>69375000</v>
      </c>
      <c r="I340" s="45" t="str">
        <f t="shared" si="5"/>
        <v>1022</v>
      </c>
      <c r="J340" s="44" t="s">
        <v>525</v>
      </c>
    </row>
    <row r="341" spans="2:10">
      <c r="B341" s="42">
        <v>44865</v>
      </c>
      <c r="C341" s="43" t="s">
        <v>781</v>
      </c>
      <c r="D341" s="43" t="s">
        <v>270</v>
      </c>
      <c r="E341" s="43" t="s">
        <v>308</v>
      </c>
      <c r="F341" s="43" t="s">
        <v>478</v>
      </c>
      <c r="G341" s="43" t="s">
        <v>782</v>
      </c>
      <c r="H341" s="94">
        <v>1279324839</v>
      </c>
      <c r="I341" s="45" t="str">
        <f t="shared" si="5"/>
        <v>1022</v>
      </c>
      <c r="J341" s="44" t="s">
        <v>533</v>
      </c>
    </row>
    <row r="342" spans="2:10" ht="14">
      <c r="B342" s="42">
        <v>44865</v>
      </c>
      <c r="C342" s="43" t="s">
        <v>783</v>
      </c>
      <c r="D342" s="43" t="s">
        <v>270</v>
      </c>
      <c r="E342" s="43" t="s">
        <v>271</v>
      </c>
      <c r="F342" s="43" t="s">
        <v>386</v>
      </c>
      <c r="G342" s="43" t="s">
        <v>784</v>
      </c>
      <c r="H342" s="94">
        <v>1221800</v>
      </c>
      <c r="I342" s="45" t="str">
        <f t="shared" si="5"/>
        <v>1022</v>
      </c>
      <c r="J342" s="35" t="s">
        <v>2282</v>
      </c>
    </row>
    <row r="343" spans="2:10">
      <c r="B343" s="42">
        <v>44865</v>
      </c>
      <c r="C343" s="43" t="s">
        <v>785</v>
      </c>
      <c r="D343" s="43" t="s">
        <v>270</v>
      </c>
      <c r="E343" s="43" t="s">
        <v>308</v>
      </c>
      <c r="F343" s="43" t="s">
        <v>786</v>
      </c>
      <c r="G343" s="43" t="s">
        <v>787</v>
      </c>
      <c r="H343" s="94">
        <v>3241657798</v>
      </c>
      <c r="I343" s="45" t="str">
        <f t="shared" si="5"/>
        <v>1022</v>
      </c>
      <c r="J343" s="44" t="s">
        <v>532</v>
      </c>
    </row>
    <row r="344" spans="2:10" ht="46">
      <c r="B344" s="42">
        <v>44865</v>
      </c>
      <c r="C344" s="43" t="s">
        <v>785</v>
      </c>
      <c r="D344" s="43" t="s">
        <v>270</v>
      </c>
      <c r="E344" s="43" t="s">
        <v>308</v>
      </c>
      <c r="F344" s="43" t="s">
        <v>786</v>
      </c>
      <c r="G344" s="134" t="s">
        <v>788</v>
      </c>
      <c r="H344" s="94">
        <v>86785000</v>
      </c>
      <c r="I344" s="45" t="str">
        <f t="shared" si="5"/>
        <v>1022</v>
      </c>
      <c r="J344" s="44" t="s">
        <v>532</v>
      </c>
    </row>
    <row r="345" spans="2:10" ht="14">
      <c r="B345" s="42">
        <v>44865</v>
      </c>
      <c r="C345" s="43" t="s">
        <v>799</v>
      </c>
      <c r="D345" s="43" t="s">
        <v>270</v>
      </c>
      <c r="E345" s="43" t="s">
        <v>514</v>
      </c>
      <c r="F345" s="43" t="s">
        <v>800</v>
      </c>
      <c r="G345" s="43"/>
      <c r="H345" s="94">
        <v>8843919</v>
      </c>
      <c r="I345" s="45" t="str">
        <f t="shared" si="5"/>
        <v>1022</v>
      </c>
      <c r="J345" s="35" t="s">
        <v>579</v>
      </c>
    </row>
    <row r="346" spans="2:10" ht="14">
      <c r="B346" s="42">
        <v>44865</v>
      </c>
      <c r="C346" s="43" t="s">
        <v>783</v>
      </c>
      <c r="D346" s="43" t="s">
        <v>270</v>
      </c>
      <c r="E346" s="43" t="s">
        <v>271</v>
      </c>
      <c r="F346" s="43" t="s">
        <v>615</v>
      </c>
      <c r="G346" s="43" t="s">
        <v>801</v>
      </c>
      <c r="H346" s="94">
        <v>656909</v>
      </c>
      <c r="I346" s="45" t="str">
        <f t="shared" si="5"/>
        <v>1022</v>
      </c>
      <c r="J346" s="35" t="s">
        <v>2282</v>
      </c>
    </row>
    <row r="347" spans="2:10" ht="14">
      <c r="B347" s="42">
        <v>44865</v>
      </c>
      <c r="C347" s="43" t="s">
        <v>802</v>
      </c>
      <c r="D347" s="43" t="s">
        <v>270</v>
      </c>
      <c r="E347" s="43" t="s">
        <v>271</v>
      </c>
      <c r="F347" s="43" t="s">
        <v>809</v>
      </c>
      <c r="G347" s="43" t="s">
        <v>810</v>
      </c>
      <c r="H347" s="94">
        <v>1080000</v>
      </c>
      <c r="I347" s="45" t="str">
        <f t="shared" si="5"/>
        <v>1022</v>
      </c>
      <c r="J347" s="35" t="s">
        <v>2282</v>
      </c>
    </row>
    <row r="348" spans="2:10">
      <c r="B348" s="42">
        <v>44865</v>
      </c>
      <c r="C348" s="43" t="s">
        <v>802</v>
      </c>
      <c r="D348" s="43" t="s">
        <v>270</v>
      </c>
      <c r="E348" s="43" t="s">
        <v>813</v>
      </c>
      <c r="F348" s="43" t="s">
        <v>811</v>
      </c>
      <c r="G348" s="43" t="s">
        <v>814</v>
      </c>
      <c r="H348" s="94">
        <v>174939996</v>
      </c>
      <c r="I348" s="45" t="str">
        <f t="shared" si="5"/>
        <v>1022</v>
      </c>
      <c r="J348" s="34">
        <v>327</v>
      </c>
    </row>
    <row r="349" spans="2:10" ht="14">
      <c r="B349" s="42">
        <v>44865</v>
      </c>
      <c r="C349" s="43" t="s">
        <v>818</v>
      </c>
      <c r="D349" s="43" t="s">
        <v>270</v>
      </c>
      <c r="E349" s="43" t="s">
        <v>514</v>
      </c>
      <c r="F349" s="43" t="s">
        <v>819</v>
      </c>
      <c r="G349" s="43" t="s">
        <v>820</v>
      </c>
      <c r="H349" s="94">
        <v>6560000</v>
      </c>
      <c r="I349" s="45" t="str">
        <f t="shared" si="5"/>
        <v>1022</v>
      </c>
      <c r="J349" s="35" t="s">
        <v>2282</v>
      </c>
    </row>
    <row r="350" spans="2:10" ht="14">
      <c r="B350" s="42">
        <v>44865</v>
      </c>
      <c r="C350" s="43" t="s">
        <v>818</v>
      </c>
      <c r="D350" s="43" t="s">
        <v>640</v>
      </c>
      <c r="E350" s="43" t="s">
        <v>271</v>
      </c>
      <c r="F350" s="43" t="s">
        <v>819</v>
      </c>
      <c r="G350" s="43" t="s">
        <v>820</v>
      </c>
      <c r="H350" s="94">
        <v>-6560000</v>
      </c>
      <c r="I350" s="45" t="str">
        <f t="shared" si="5"/>
        <v>1022</v>
      </c>
      <c r="J350" s="35" t="s">
        <v>2282</v>
      </c>
    </row>
    <row r="351" spans="2:10">
      <c r="B351" s="42">
        <v>44865</v>
      </c>
      <c r="C351" s="43" t="s">
        <v>797</v>
      </c>
      <c r="D351" s="43" t="s">
        <v>703</v>
      </c>
      <c r="E351" s="43" t="s">
        <v>633</v>
      </c>
      <c r="F351" s="43" t="s">
        <v>798</v>
      </c>
      <c r="G351" s="43"/>
      <c r="H351" s="94">
        <v>4113600</v>
      </c>
      <c r="I351" s="45" t="str">
        <f t="shared" si="5"/>
        <v>1022</v>
      </c>
      <c r="J351" s="44">
        <v>330</v>
      </c>
    </row>
    <row r="352" spans="2:10">
      <c r="B352" s="42">
        <v>44865</v>
      </c>
      <c r="C352" s="43" t="s">
        <v>802</v>
      </c>
      <c r="D352" s="43" t="s">
        <v>703</v>
      </c>
      <c r="E352" s="43" t="s">
        <v>514</v>
      </c>
      <c r="F352" s="43" t="s">
        <v>803</v>
      </c>
      <c r="G352" s="43" t="s">
        <v>804</v>
      </c>
      <c r="H352" s="94">
        <v>300000</v>
      </c>
      <c r="I352" s="45" t="str">
        <f t="shared" si="5"/>
        <v>1022</v>
      </c>
      <c r="J352" s="44">
        <v>327</v>
      </c>
    </row>
    <row r="353" spans="2:10">
      <c r="B353" s="42">
        <v>44865</v>
      </c>
      <c r="C353" s="43" t="s">
        <v>802</v>
      </c>
      <c r="D353" s="43" t="s">
        <v>703</v>
      </c>
      <c r="E353" s="43" t="s">
        <v>514</v>
      </c>
      <c r="F353" s="43" t="s">
        <v>805</v>
      </c>
      <c r="G353" s="43" t="s">
        <v>806</v>
      </c>
      <c r="H353" s="94">
        <v>1000000</v>
      </c>
      <c r="I353" s="45" t="str">
        <f t="shared" si="5"/>
        <v>1022</v>
      </c>
      <c r="J353" s="44">
        <v>327</v>
      </c>
    </row>
    <row r="354" spans="2:10">
      <c r="B354" s="42">
        <v>44865</v>
      </c>
      <c r="C354" s="43" t="s">
        <v>802</v>
      </c>
      <c r="D354" s="43" t="s">
        <v>703</v>
      </c>
      <c r="E354" s="43" t="s">
        <v>514</v>
      </c>
      <c r="F354" s="43" t="s">
        <v>807</v>
      </c>
      <c r="G354" s="43" t="s">
        <v>808</v>
      </c>
      <c r="H354" s="94">
        <v>14000000</v>
      </c>
      <c r="I354" s="45" t="str">
        <f t="shared" si="5"/>
        <v>1022</v>
      </c>
      <c r="J354" s="44">
        <v>327</v>
      </c>
    </row>
    <row r="355" spans="2:10">
      <c r="B355" s="42">
        <v>44865</v>
      </c>
      <c r="C355" s="43" t="s">
        <v>821</v>
      </c>
      <c r="D355" s="43" t="s">
        <v>740</v>
      </c>
      <c r="E355" s="43" t="s">
        <v>633</v>
      </c>
      <c r="F355" s="43" t="s">
        <v>515</v>
      </c>
      <c r="G355" s="43" t="s">
        <v>822</v>
      </c>
      <c r="H355" s="94">
        <v>64376475.670000002</v>
      </c>
      <c r="I355" s="45" t="str">
        <f t="shared" si="5"/>
        <v>1022</v>
      </c>
      <c r="J355" s="44" t="s">
        <v>870</v>
      </c>
    </row>
    <row r="356" spans="2:10" ht="23">
      <c r="B356" s="42">
        <v>44865</v>
      </c>
      <c r="C356" s="43" t="s">
        <v>802</v>
      </c>
      <c r="D356" s="43" t="s">
        <v>734</v>
      </c>
      <c r="E356" s="43" t="s">
        <v>622</v>
      </c>
      <c r="F356" s="43" t="s">
        <v>811</v>
      </c>
      <c r="G356" s="134" t="s">
        <v>812</v>
      </c>
      <c r="H356" s="94">
        <v>103102350</v>
      </c>
      <c r="I356" s="45" t="str">
        <f t="shared" si="5"/>
        <v>1022</v>
      </c>
      <c r="J356" s="44" t="s">
        <v>2432</v>
      </c>
    </row>
    <row r="357" spans="2:10">
      <c r="B357" s="42">
        <v>44865</v>
      </c>
      <c r="C357" s="43" t="s">
        <v>823</v>
      </c>
      <c r="D357" s="43" t="s">
        <v>650</v>
      </c>
      <c r="E357" s="43" t="s">
        <v>308</v>
      </c>
      <c r="F357" s="43" t="s">
        <v>824</v>
      </c>
      <c r="G357" s="43" t="s">
        <v>825</v>
      </c>
      <c r="H357" s="141">
        <v>38472214</v>
      </c>
      <c r="I357" s="45" t="str">
        <f t="shared" si="5"/>
        <v>1022</v>
      </c>
      <c r="J357" s="45">
        <v>21</v>
      </c>
    </row>
    <row r="358" spans="2:10">
      <c r="B358" s="42">
        <v>44865</v>
      </c>
      <c r="C358" s="43" t="s">
        <v>823</v>
      </c>
      <c r="D358" s="43" t="s">
        <v>650</v>
      </c>
      <c r="E358" s="43" t="s">
        <v>308</v>
      </c>
      <c r="F358" s="43" t="s">
        <v>824</v>
      </c>
      <c r="G358" s="43" t="s">
        <v>825</v>
      </c>
      <c r="H358" s="141">
        <v>23125331</v>
      </c>
      <c r="I358" s="45" t="str">
        <f t="shared" si="5"/>
        <v>1022</v>
      </c>
      <c r="J358" s="45">
        <v>21</v>
      </c>
    </row>
    <row r="359" spans="2:10">
      <c r="B359" s="42">
        <v>44865</v>
      </c>
      <c r="C359" s="43" t="s">
        <v>823</v>
      </c>
      <c r="D359" s="43" t="s">
        <v>655</v>
      </c>
      <c r="E359" s="43" t="s">
        <v>308</v>
      </c>
      <c r="F359" s="43" t="s">
        <v>824</v>
      </c>
      <c r="G359" s="43" t="s">
        <v>826</v>
      </c>
      <c r="H359" s="141">
        <v>73687529.379999995</v>
      </c>
      <c r="I359" s="45" t="str">
        <f t="shared" si="5"/>
        <v>1022</v>
      </c>
      <c r="J359" s="45">
        <v>21</v>
      </c>
    </row>
    <row r="360" spans="2:10">
      <c r="B360" s="42">
        <v>44865</v>
      </c>
      <c r="C360" s="43" t="s">
        <v>823</v>
      </c>
      <c r="D360" s="43" t="s">
        <v>657</v>
      </c>
      <c r="E360" s="43" t="s">
        <v>308</v>
      </c>
      <c r="F360" s="43" t="s">
        <v>824</v>
      </c>
      <c r="G360" s="43" t="s">
        <v>827</v>
      </c>
      <c r="H360" s="141">
        <v>357604695.98000002</v>
      </c>
      <c r="I360" s="45" t="str">
        <f t="shared" si="5"/>
        <v>1022</v>
      </c>
      <c r="J360" s="45">
        <v>21</v>
      </c>
    </row>
    <row r="361" spans="2:10">
      <c r="B361" s="42">
        <v>44865</v>
      </c>
      <c r="C361" s="43" t="s">
        <v>823</v>
      </c>
      <c r="D361" s="43" t="s">
        <v>659</v>
      </c>
      <c r="E361" s="43" t="s">
        <v>308</v>
      </c>
      <c r="F361" s="43" t="s">
        <v>824</v>
      </c>
      <c r="G361" s="43" t="s">
        <v>828</v>
      </c>
      <c r="H361" s="141">
        <v>150170083.47999999</v>
      </c>
      <c r="I361" s="45" t="str">
        <f t="shared" si="5"/>
        <v>1022</v>
      </c>
      <c r="J361" s="45">
        <v>21</v>
      </c>
    </row>
    <row r="362" spans="2:10">
      <c r="B362" s="42">
        <v>44865</v>
      </c>
      <c r="C362" s="43" t="s">
        <v>823</v>
      </c>
      <c r="D362" s="43" t="s">
        <v>665</v>
      </c>
      <c r="E362" s="43" t="s">
        <v>308</v>
      </c>
      <c r="F362" s="43" t="s">
        <v>824</v>
      </c>
      <c r="G362" s="43" t="s">
        <v>831</v>
      </c>
      <c r="H362" s="141">
        <v>448213129.11000001</v>
      </c>
      <c r="I362" s="45" t="str">
        <f t="shared" si="5"/>
        <v>1022</v>
      </c>
      <c r="J362" s="45">
        <v>21</v>
      </c>
    </row>
    <row r="363" spans="2:10">
      <c r="B363" s="42">
        <v>44865</v>
      </c>
      <c r="C363" s="43" t="s">
        <v>823</v>
      </c>
      <c r="D363" s="43" t="s">
        <v>665</v>
      </c>
      <c r="E363" s="43" t="s">
        <v>308</v>
      </c>
      <c r="F363" s="43" t="s">
        <v>824</v>
      </c>
      <c r="G363" s="43" t="s">
        <v>831</v>
      </c>
      <c r="H363" s="141">
        <v>1546318666.01</v>
      </c>
      <c r="I363" s="45" t="str">
        <f t="shared" si="5"/>
        <v>1022</v>
      </c>
      <c r="J363" s="45">
        <v>21</v>
      </c>
    </row>
    <row r="364" spans="2:10">
      <c r="B364" s="42">
        <v>44865</v>
      </c>
      <c r="C364" s="43" t="s">
        <v>789</v>
      </c>
      <c r="D364" s="43">
        <v>316204005007</v>
      </c>
      <c r="E364" s="43" t="s">
        <v>495</v>
      </c>
      <c r="F364" s="43" t="s">
        <v>790</v>
      </c>
      <c r="G364" s="43" t="s">
        <v>791</v>
      </c>
      <c r="H364" s="94">
        <v>3260000000</v>
      </c>
      <c r="I364" s="45" t="str">
        <f t="shared" ref="I364:I395" si="6">+RIGHT(C364,4)</f>
        <v>1022</v>
      </c>
      <c r="J364" s="45">
        <v>318</v>
      </c>
    </row>
    <row r="365" spans="2:10">
      <c r="B365" s="42">
        <v>44865</v>
      </c>
      <c r="C365" s="43" t="s">
        <v>794</v>
      </c>
      <c r="D365" s="43" t="s">
        <v>663</v>
      </c>
      <c r="E365" s="43" t="s">
        <v>495</v>
      </c>
      <c r="F365" s="43" t="s">
        <v>795</v>
      </c>
      <c r="G365" s="43" t="s">
        <v>796</v>
      </c>
      <c r="H365" s="94">
        <v>2182000000</v>
      </c>
      <c r="I365" s="45" t="str">
        <f t="shared" si="6"/>
        <v>1022</v>
      </c>
      <c r="J365" s="45">
        <v>318</v>
      </c>
    </row>
    <row r="366" spans="2:10">
      <c r="B366" s="42">
        <v>44865</v>
      </c>
      <c r="C366" s="43" t="s">
        <v>823</v>
      </c>
      <c r="D366" s="43" t="s">
        <v>663</v>
      </c>
      <c r="E366" s="43" t="s">
        <v>308</v>
      </c>
      <c r="F366" s="43" t="s">
        <v>824</v>
      </c>
      <c r="G366" s="43" t="s">
        <v>830</v>
      </c>
      <c r="H366" s="141">
        <v>545305722.57000005</v>
      </c>
      <c r="I366" s="45" t="str">
        <f t="shared" si="6"/>
        <v>1022</v>
      </c>
      <c r="J366" s="45">
        <v>21</v>
      </c>
    </row>
    <row r="367" spans="2:10">
      <c r="B367" s="42">
        <v>44865</v>
      </c>
      <c r="C367" s="43" t="s">
        <v>823</v>
      </c>
      <c r="D367" s="43" t="s">
        <v>711</v>
      </c>
      <c r="E367" s="43" t="s">
        <v>308</v>
      </c>
      <c r="F367" s="43" t="s">
        <v>824</v>
      </c>
      <c r="G367" s="43" t="s">
        <v>832</v>
      </c>
      <c r="H367" s="141">
        <v>903714389.51999998</v>
      </c>
      <c r="I367" s="45" t="str">
        <f t="shared" si="6"/>
        <v>1022</v>
      </c>
      <c r="J367" s="45">
        <v>21</v>
      </c>
    </row>
    <row r="368" spans="2:10">
      <c r="B368" s="42">
        <v>44865</v>
      </c>
      <c r="C368" s="43" t="s">
        <v>802</v>
      </c>
      <c r="D368" s="43" t="s">
        <v>815</v>
      </c>
      <c r="E368" s="43" t="s">
        <v>308</v>
      </c>
      <c r="F368" s="43" t="s">
        <v>816</v>
      </c>
      <c r="G368" s="43" t="s">
        <v>817</v>
      </c>
      <c r="H368" s="94">
        <v>5133750000</v>
      </c>
      <c r="I368" s="45" t="str">
        <f t="shared" si="6"/>
        <v>1022</v>
      </c>
      <c r="J368" s="45">
        <v>33</v>
      </c>
    </row>
    <row r="369" spans="2:10">
      <c r="B369" s="42">
        <v>44865</v>
      </c>
      <c r="C369" s="43" t="s">
        <v>823</v>
      </c>
      <c r="D369" s="43" t="s">
        <v>661</v>
      </c>
      <c r="E369" s="43" t="s">
        <v>308</v>
      </c>
      <c r="F369" s="43" t="s">
        <v>824</v>
      </c>
      <c r="G369" s="43" t="s">
        <v>829</v>
      </c>
      <c r="H369" s="141">
        <v>326728623</v>
      </c>
      <c r="I369" s="45" t="str">
        <f t="shared" si="6"/>
        <v>1022</v>
      </c>
      <c r="J369" s="45">
        <v>21</v>
      </c>
    </row>
    <row r="370" spans="2:10">
      <c r="B370" s="42">
        <v>44865</v>
      </c>
      <c r="C370" s="43" t="s">
        <v>823</v>
      </c>
      <c r="D370" s="43" t="s">
        <v>668</v>
      </c>
      <c r="E370" s="43" t="s">
        <v>308</v>
      </c>
      <c r="F370" s="43" t="s">
        <v>824</v>
      </c>
      <c r="G370" s="43" t="s">
        <v>833</v>
      </c>
      <c r="H370" s="141">
        <v>1610466460.95</v>
      </c>
      <c r="I370" s="45" t="str">
        <f t="shared" si="6"/>
        <v>1022</v>
      </c>
      <c r="J370" s="45">
        <v>21</v>
      </c>
    </row>
    <row r="371" spans="2:10">
      <c r="B371" s="42">
        <v>44865</v>
      </c>
      <c r="C371" s="43" t="s">
        <v>776</v>
      </c>
      <c r="D371" s="43" t="s">
        <v>777</v>
      </c>
      <c r="E371" s="43" t="s">
        <v>308</v>
      </c>
      <c r="F371" s="43" t="s">
        <v>774</v>
      </c>
      <c r="G371" s="43" t="s">
        <v>778</v>
      </c>
      <c r="H371" s="94">
        <v>99900000</v>
      </c>
      <c r="I371" s="45" t="str">
        <f t="shared" si="6"/>
        <v>1022</v>
      </c>
      <c r="J371" s="44">
        <v>23</v>
      </c>
    </row>
    <row r="372" spans="2:10" ht="34.5">
      <c r="B372" s="42">
        <v>44865</v>
      </c>
      <c r="C372" s="43" t="s">
        <v>792</v>
      </c>
      <c r="D372" s="43" t="s">
        <v>777</v>
      </c>
      <c r="E372" s="43" t="s">
        <v>308</v>
      </c>
      <c r="F372" s="43" t="s">
        <v>634</v>
      </c>
      <c r="G372" s="134" t="s">
        <v>793</v>
      </c>
      <c r="H372" s="164">
        <v>4433996941</v>
      </c>
      <c r="I372" s="45" t="str">
        <f t="shared" si="6"/>
        <v>1022</v>
      </c>
      <c r="J372" s="45">
        <v>22</v>
      </c>
    </row>
    <row r="373" spans="2:10">
      <c r="B373" s="42">
        <v>44874</v>
      </c>
      <c r="C373" s="43" t="s">
        <v>872</v>
      </c>
      <c r="D373" s="43" t="s">
        <v>270</v>
      </c>
      <c r="E373" s="43" t="s">
        <v>514</v>
      </c>
      <c r="F373" s="43" t="s">
        <v>612</v>
      </c>
      <c r="G373" s="43" t="s">
        <v>873</v>
      </c>
      <c r="H373" s="94">
        <v>25000</v>
      </c>
      <c r="I373" s="45" t="str">
        <f t="shared" si="6"/>
        <v>1122</v>
      </c>
      <c r="J373" s="44" t="s">
        <v>579</v>
      </c>
    </row>
    <row r="374" spans="2:10">
      <c r="B374" s="42">
        <v>44874</v>
      </c>
      <c r="C374" s="43" t="s">
        <v>874</v>
      </c>
      <c r="D374" s="43" t="s">
        <v>270</v>
      </c>
      <c r="E374" s="43" t="s">
        <v>514</v>
      </c>
      <c r="F374" s="43" t="s">
        <v>612</v>
      </c>
      <c r="G374" s="43" t="s">
        <v>875</v>
      </c>
      <c r="H374" s="94">
        <v>275000</v>
      </c>
      <c r="I374" s="45" t="str">
        <f t="shared" si="6"/>
        <v>1122</v>
      </c>
      <c r="J374" s="44" t="s">
        <v>579</v>
      </c>
    </row>
    <row r="375" spans="2:10" ht="14">
      <c r="B375" s="42">
        <v>44881</v>
      </c>
      <c r="C375" s="43" t="s">
        <v>876</v>
      </c>
      <c r="D375" s="43" t="s">
        <v>270</v>
      </c>
      <c r="E375" s="43" t="s">
        <v>271</v>
      </c>
      <c r="F375" s="43" t="s">
        <v>877</v>
      </c>
      <c r="G375" s="43" t="s">
        <v>878</v>
      </c>
      <c r="H375" s="94">
        <v>2694650</v>
      </c>
      <c r="I375" s="45" t="str">
        <f t="shared" si="6"/>
        <v>1122</v>
      </c>
      <c r="J375" s="35" t="s">
        <v>2282</v>
      </c>
    </row>
    <row r="376" spans="2:10">
      <c r="B376" s="42">
        <v>44882</v>
      </c>
      <c r="C376" s="43" t="s">
        <v>879</v>
      </c>
      <c r="D376" s="43" t="s">
        <v>270</v>
      </c>
      <c r="E376" s="43" t="s">
        <v>514</v>
      </c>
      <c r="F376" s="43" t="s">
        <v>612</v>
      </c>
      <c r="G376" s="43" t="s">
        <v>880</v>
      </c>
      <c r="H376" s="94">
        <v>748000</v>
      </c>
      <c r="I376" s="45" t="str">
        <f t="shared" si="6"/>
        <v>1122</v>
      </c>
      <c r="J376" s="44" t="s">
        <v>579</v>
      </c>
    </row>
    <row r="377" spans="2:10" ht="14">
      <c r="B377" s="42">
        <v>44882</v>
      </c>
      <c r="C377" s="43" t="s">
        <v>881</v>
      </c>
      <c r="D377" s="43" t="s">
        <v>270</v>
      </c>
      <c r="E377" s="43" t="s">
        <v>271</v>
      </c>
      <c r="F377" s="43" t="s">
        <v>882</v>
      </c>
      <c r="G377" s="43" t="s">
        <v>883</v>
      </c>
      <c r="H377" s="94">
        <v>200000</v>
      </c>
      <c r="I377" s="45" t="str">
        <f t="shared" si="6"/>
        <v>1122</v>
      </c>
      <c r="J377" s="35" t="s">
        <v>2282</v>
      </c>
    </row>
    <row r="378" spans="2:10">
      <c r="B378" s="42">
        <v>44882</v>
      </c>
      <c r="C378" s="43" t="s">
        <v>884</v>
      </c>
      <c r="D378" s="43" t="s">
        <v>270</v>
      </c>
      <c r="E378" s="43" t="s">
        <v>514</v>
      </c>
      <c r="F378" s="43" t="s">
        <v>612</v>
      </c>
      <c r="G378" s="43" t="s">
        <v>885</v>
      </c>
      <c r="H378" s="94">
        <v>1750000</v>
      </c>
      <c r="I378" s="45" t="str">
        <f t="shared" si="6"/>
        <v>1122</v>
      </c>
      <c r="J378" s="44" t="s">
        <v>579</v>
      </c>
    </row>
    <row r="379" spans="2:10">
      <c r="B379" s="42">
        <v>44887</v>
      </c>
      <c r="C379" s="43" t="s">
        <v>886</v>
      </c>
      <c r="D379" s="43" t="s">
        <v>270</v>
      </c>
      <c r="E379" s="43" t="s">
        <v>514</v>
      </c>
      <c r="F379" s="43" t="s">
        <v>887</v>
      </c>
      <c r="G379" s="43" t="s">
        <v>888</v>
      </c>
      <c r="H379" s="94">
        <v>268000</v>
      </c>
      <c r="I379" s="45" t="str">
        <f t="shared" si="6"/>
        <v>1122</v>
      </c>
      <c r="J379" s="44" t="s">
        <v>579</v>
      </c>
    </row>
    <row r="380" spans="2:10">
      <c r="B380" s="42">
        <v>44887</v>
      </c>
      <c r="C380" s="43" t="s">
        <v>889</v>
      </c>
      <c r="D380" s="43" t="s">
        <v>270</v>
      </c>
      <c r="E380" s="43" t="s">
        <v>514</v>
      </c>
      <c r="F380" s="43" t="s">
        <v>887</v>
      </c>
      <c r="G380" s="43" t="s">
        <v>890</v>
      </c>
      <c r="H380" s="94">
        <v>160000</v>
      </c>
      <c r="I380" s="45" t="str">
        <f t="shared" si="6"/>
        <v>1122</v>
      </c>
      <c r="J380" s="44" t="s">
        <v>579</v>
      </c>
    </row>
    <row r="381" spans="2:10">
      <c r="B381" s="42">
        <v>44888</v>
      </c>
      <c r="C381" s="43" t="s">
        <v>891</v>
      </c>
      <c r="D381" s="43" t="s">
        <v>270</v>
      </c>
      <c r="E381" s="43" t="s">
        <v>514</v>
      </c>
      <c r="F381" s="43" t="s">
        <v>887</v>
      </c>
      <c r="G381" s="43" t="s">
        <v>880</v>
      </c>
      <c r="H381" s="94">
        <v>90000</v>
      </c>
      <c r="I381" s="45" t="str">
        <f t="shared" si="6"/>
        <v>1122</v>
      </c>
      <c r="J381" s="44" t="s">
        <v>579</v>
      </c>
    </row>
    <row r="382" spans="2:10">
      <c r="B382" s="42">
        <v>44888</v>
      </c>
      <c r="C382" s="43" t="s">
        <v>892</v>
      </c>
      <c r="D382" s="43" t="s">
        <v>270</v>
      </c>
      <c r="E382" s="43" t="s">
        <v>514</v>
      </c>
      <c r="F382" s="43" t="s">
        <v>887</v>
      </c>
      <c r="G382" s="43" t="s">
        <v>893</v>
      </c>
      <c r="H382" s="94">
        <v>21000</v>
      </c>
      <c r="I382" s="45" t="str">
        <f t="shared" si="6"/>
        <v>1122</v>
      </c>
      <c r="J382" s="44" t="s">
        <v>579</v>
      </c>
    </row>
    <row r="383" spans="2:10" ht="14">
      <c r="B383" s="42">
        <v>44889</v>
      </c>
      <c r="C383" s="43" t="s">
        <v>894</v>
      </c>
      <c r="D383" s="43" t="s">
        <v>270</v>
      </c>
      <c r="E383" s="43" t="s">
        <v>514</v>
      </c>
      <c r="F383" s="43" t="s">
        <v>612</v>
      </c>
      <c r="G383" s="43" t="s">
        <v>895</v>
      </c>
      <c r="H383" s="94">
        <v>249000</v>
      </c>
      <c r="I383" s="45" t="str">
        <f t="shared" si="6"/>
        <v>1122</v>
      </c>
      <c r="J383" s="35" t="s">
        <v>579</v>
      </c>
    </row>
    <row r="384" spans="2:10" ht="14">
      <c r="B384" s="42">
        <v>44889</v>
      </c>
      <c r="C384" s="43" t="s">
        <v>896</v>
      </c>
      <c r="D384" s="43" t="s">
        <v>270</v>
      </c>
      <c r="E384" s="43" t="s">
        <v>514</v>
      </c>
      <c r="F384" s="43" t="s">
        <v>612</v>
      </c>
      <c r="G384" s="43" t="s">
        <v>897</v>
      </c>
      <c r="H384" s="94">
        <v>96000</v>
      </c>
      <c r="I384" s="45" t="str">
        <f t="shared" si="6"/>
        <v>1122</v>
      </c>
      <c r="J384" s="35" t="s">
        <v>579</v>
      </c>
    </row>
    <row r="385" spans="2:10" ht="14">
      <c r="B385" s="42">
        <v>44890</v>
      </c>
      <c r="C385" s="43" t="s">
        <v>898</v>
      </c>
      <c r="D385" s="43" t="s">
        <v>270</v>
      </c>
      <c r="E385" s="43" t="s">
        <v>514</v>
      </c>
      <c r="F385" s="43" t="s">
        <v>899</v>
      </c>
      <c r="G385" s="43" t="s">
        <v>900</v>
      </c>
      <c r="H385" s="94">
        <v>45000</v>
      </c>
      <c r="I385" s="45" t="str">
        <f t="shared" si="6"/>
        <v>1122</v>
      </c>
      <c r="J385" s="35" t="s">
        <v>579</v>
      </c>
    </row>
    <row r="386" spans="2:10" ht="14">
      <c r="B386" s="42">
        <v>44891</v>
      </c>
      <c r="C386" s="43" t="s">
        <v>901</v>
      </c>
      <c r="D386" s="43" t="s">
        <v>270</v>
      </c>
      <c r="E386" s="43" t="s">
        <v>514</v>
      </c>
      <c r="F386" s="43" t="s">
        <v>612</v>
      </c>
      <c r="G386" s="43" t="s">
        <v>902</v>
      </c>
      <c r="H386" s="94">
        <v>32000</v>
      </c>
      <c r="I386" s="45" t="str">
        <f t="shared" si="6"/>
        <v>1122</v>
      </c>
      <c r="J386" s="35" t="s">
        <v>579</v>
      </c>
    </row>
    <row r="387" spans="2:10" ht="14">
      <c r="B387" s="42">
        <v>44891</v>
      </c>
      <c r="C387" s="43" t="s">
        <v>903</v>
      </c>
      <c r="D387" s="43" t="s">
        <v>270</v>
      </c>
      <c r="E387" s="43" t="s">
        <v>514</v>
      </c>
      <c r="F387" s="43" t="s">
        <v>887</v>
      </c>
      <c r="G387" s="43" t="s">
        <v>904</v>
      </c>
      <c r="H387" s="94">
        <v>154000</v>
      </c>
      <c r="I387" s="45" t="str">
        <f t="shared" si="6"/>
        <v>1122</v>
      </c>
      <c r="J387" s="35" t="s">
        <v>579</v>
      </c>
    </row>
    <row r="388" spans="2:10" ht="14">
      <c r="B388" s="42">
        <v>44893</v>
      </c>
      <c r="C388" s="43" t="s">
        <v>905</v>
      </c>
      <c r="D388" s="43" t="s">
        <v>270</v>
      </c>
      <c r="E388" s="43" t="s">
        <v>271</v>
      </c>
      <c r="F388" s="43" t="s">
        <v>357</v>
      </c>
      <c r="G388" s="43" t="s">
        <v>906</v>
      </c>
      <c r="H388" s="94">
        <v>685999</v>
      </c>
      <c r="I388" s="45" t="str">
        <f t="shared" si="6"/>
        <v>1122</v>
      </c>
      <c r="J388" s="35" t="s">
        <v>2282</v>
      </c>
    </row>
    <row r="389" spans="2:10">
      <c r="B389" s="42">
        <v>44894</v>
      </c>
      <c r="C389" s="43" t="s">
        <v>907</v>
      </c>
      <c r="D389" s="43" t="s">
        <v>270</v>
      </c>
      <c r="E389" s="43" t="s">
        <v>514</v>
      </c>
      <c r="F389" s="43" t="s">
        <v>908</v>
      </c>
      <c r="G389" s="43" t="s">
        <v>909</v>
      </c>
      <c r="H389" s="94">
        <v>250000</v>
      </c>
      <c r="I389" s="45" t="str">
        <f t="shared" si="6"/>
        <v>1122</v>
      </c>
      <c r="J389" s="44" t="s">
        <v>579</v>
      </c>
    </row>
    <row r="390" spans="2:10">
      <c r="B390" s="42">
        <v>44894</v>
      </c>
      <c r="C390" s="43" t="s">
        <v>910</v>
      </c>
      <c r="D390" s="43" t="s">
        <v>270</v>
      </c>
      <c r="E390" s="43" t="s">
        <v>514</v>
      </c>
      <c r="F390" s="43" t="s">
        <v>908</v>
      </c>
      <c r="G390" s="43" t="s">
        <v>911</v>
      </c>
      <c r="H390" s="94">
        <v>80000</v>
      </c>
      <c r="I390" s="45" t="str">
        <f t="shared" si="6"/>
        <v>1122</v>
      </c>
      <c r="J390" s="44" t="s">
        <v>579</v>
      </c>
    </row>
    <row r="391" spans="2:10">
      <c r="B391" s="42">
        <v>44894</v>
      </c>
      <c r="C391" s="43" t="s">
        <v>912</v>
      </c>
      <c r="D391" s="43" t="s">
        <v>270</v>
      </c>
      <c r="E391" s="43" t="s">
        <v>514</v>
      </c>
      <c r="F391" s="43" t="s">
        <v>908</v>
      </c>
      <c r="G391" s="43" t="s">
        <v>913</v>
      </c>
      <c r="H391" s="94">
        <v>805000</v>
      </c>
      <c r="I391" s="45" t="str">
        <f t="shared" si="6"/>
        <v>1122</v>
      </c>
      <c r="J391" s="44" t="s">
        <v>579</v>
      </c>
    </row>
    <row r="392" spans="2:10">
      <c r="B392" s="42">
        <v>44895</v>
      </c>
      <c r="C392" s="43" t="s">
        <v>914</v>
      </c>
      <c r="D392" s="43" t="s">
        <v>777</v>
      </c>
      <c r="E392" s="43" t="s">
        <v>308</v>
      </c>
      <c r="F392" s="43" t="s">
        <v>774</v>
      </c>
      <c r="G392" s="43" t="s">
        <v>915</v>
      </c>
      <c r="H392" s="94">
        <v>233100000</v>
      </c>
      <c r="I392" s="45" t="str">
        <f t="shared" si="6"/>
        <v>1122</v>
      </c>
      <c r="J392" s="45">
        <v>23</v>
      </c>
    </row>
    <row r="393" spans="2:10">
      <c r="B393" s="42">
        <v>44895</v>
      </c>
      <c r="C393" s="43" t="s">
        <v>916</v>
      </c>
      <c r="D393" s="43" t="s">
        <v>270</v>
      </c>
      <c r="E393" s="43" t="s">
        <v>495</v>
      </c>
      <c r="F393" s="43" t="s">
        <v>774</v>
      </c>
      <c r="G393" s="43" t="s">
        <v>917</v>
      </c>
      <c r="H393" s="94">
        <v>1075063416</v>
      </c>
      <c r="I393" s="45" t="str">
        <f t="shared" si="6"/>
        <v>1122</v>
      </c>
      <c r="J393" s="44" t="s">
        <v>530</v>
      </c>
    </row>
    <row r="394" spans="2:10">
      <c r="B394" s="42">
        <v>44895</v>
      </c>
      <c r="C394" s="43" t="s">
        <v>918</v>
      </c>
      <c r="D394" s="43" t="s">
        <v>270</v>
      </c>
      <c r="E394" s="43" t="s">
        <v>308</v>
      </c>
      <c r="F394" s="43" t="s">
        <v>448</v>
      </c>
      <c r="G394" s="43" t="s">
        <v>919</v>
      </c>
      <c r="H394" s="94">
        <v>683869882</v>
      </c>
      <c r="I394" s="45" t="str">
        <f t="shared" si="6"/>
        <v>1122</v>
      </c>
      <c r="J394" s="44" t="s">
        <v>534</v>
      </c>
    </row>
    <row r="395" spans="2:10">
      <c r="B395" s="42">
        <v>44895</v>
      </c>
      <c r="C395" s="43" t="s">
        <v>920</v>
      </c>
      <c r="D395" s="43" t="s">
        <v>270</v>
      </c>
      <c r="E395" s="43" t="s">
        <v>308</v>
      </c>
      <c r="F395" s="43" t="s">
        <v>921</v>
      </c>
      <c r="G395" s="43" t="s">
        <v>922</v>
      </c>
      <c r="H395" s="94">
        <v>4844304709</v>
      </c>
      <c r="I395" s="45" t="str">
        <f t="shared" si="6"/>
        <v>1122</v>
      </c>
      <c r="J395" s="44" t="s">
        <v>536</v>
      </c>
    </row>
    <row r="396" spans="2:10">
      <c r="B396" s="42">
        <v>44895</v>
      </c>
      <c r="C396" s="43" t="s">
        <v>923</v>
      </c>
      <c r="D396" s="43" t="s">
        <v>650</v>
      </c>
      <c r="E396" s="43" t="s">
        <v>308</v>
      </c>
      <c r="F396" s="43" t="s">
        <v>824</v>
      </c>
      <c r="G396" s="43" t="s">
        <v>924</v>
      </c>
      <c r="H396" s="141">
        <v>380966050</v>
      </c>
      <c r="I396" s="45" t="str">
        <f t="shared" ref="I396:I413" si="7">+RIGHT(C396,4)</f>
        <v>1122</v>
      </c>
      <c r="J396" s="45">
        <v>21</v>
      </c>
    </row>
    <row r="397" spans="2:10">
      <c r="B397" s="42">
        <v>44895</v>
      </c>
      <c r="C397" s="43" t="s">
        <v>923</v>
      </c>
      <c r="D397" s="43" t="s">
        <v>655</v>
      </c>
      <c r="E397" s="43" t="s">
        <v>308</v>
      </c>
      <c r="F397" s="43" t="s">
        <v>824</v>
      </c>
      <c r="G397" s="43" t="s">
        <v>925</v>
      </c>
      <c r="H397" s="141">
        <v>151729382.86000001</v>
      </c>
      <c r="I397" s="45" t="str">
        <f t="shared" si="7"/>
        <v>1122</v>
      </c>
      <c r="J397" s="45">
        <v>21</v>
      </c>
    </row>
    <row r="398" spans="2:10">
      <c r="B398" s="42">
        <v>44895</v>
      </c>
      <c r="C398" s="43" t="s">
        <v>923</v>
      </c>
      <c r="D398" s="43" t="s">
        <v>657</v>
      </c>
      <c r="E398" s="43" t="s">
        <v>308</v>
      </c>
      <c r="F398" s="43" t="s">
        <v>824</v>
      </c>
      <c r="G398" s="43" t="s">
        <v>926</v>
      </c>
      <c r="H398" s="141">
        <v>151791894.84</v>
      </c>
      <c r="I398" s="45" t="str">
        <f t="shared" si="7"/>
        <v>1122</v>
      </c>
      <c r="J398" s="45">
        <v>21</v>
      </c>
    </row>
    <row r="399" spans="2:10">
      <c r="B399" s="42">
        <v>44895</v>
      </c>
      <c r="C399" s="43" t="s">
        <v>923</v>
      </c>
      <c r="D399" s="43" t="s">
        <v>661</v>
      </c>
      <c r="E399" s="43" t="s">
        <v>308</v>
      </c>
      <c r="F399" s="43" t="s">
        <v>824</v>
      </c>
      <c r="G399" s="43" t="s">
        <v>927</v>
      </c>
      <c r="H399" s="141">
        <v>29077548.579999998</v>
      </c>
      <c r="I399" s="45" t="str">
        <f t="shared" si="7"/>
        <v>1122</v>
      </c>
      <c r="J399" s="45">
        <v>21</v>
      </c>
    </row>
    <row r="400" spans="2:10">
      <c r="B400" s="42">
        <v>44895</v>
      </c>
      <c r="C400" s="43" t="s">
        <v>923</v>
      </c>
      <c r="D400" s="43" t="s">
        <v>665</v>
      </c>
      <c r="E400" s="43" t="s">
        <v>308</v>
      </c>
      <c r="F400" s="43" t="s">
        <v>824</v>
      </c>
      <c r="G400" s="43" t="s">
        <v>928</v>
      </c>
      <c r="H400" s="141">
        <v>87341170.959999993</v>
      </c>
      <c r="I400" s="45" t="str">
        <f t="shared" si="7"/>
        <v>1122</v>
      </c>
      <c r="J400" s="45">
        <v>21</v>
      </c>
    </row>
    <row r="401" spans="2:10">
      <c r="B401" s="42">
        <v>44895</v>
      </c>
      <c r="C401" s="43" t="s">
        <v>923</v>
      </c>
      <c r="D401" s="43" t="s">
        <v>665</v>
      </c>
      <c r="E401" s="43" t="s">
        <v>308</v>
      </c>
      <c r="F401" s="43" t="s">
        <v>824</v>
      </c>
      <c r="G401" s="43" t="s">
        <v>928</v>
      </c>
      <c r="H401" s="141">
        <v>104957011.09</v>
      </c>
      <c r="I401" s="45" t="str">
        <f t="shared" si="7"/>
        <v>1122</v>
      </c>
      <c r="J401" s="45">
        <v>21</v>
      </c>
    </row>
    <row r="402" spans="2:10">
      <c r="B402" s="42">
        <v>44895</v>
      </c>
      <c r="C402" s="43" t="s">
        <v>923</v>
      </c>
      <c r="D402" s="43" t="s">
        <v>929</v>
      </c>
      <c r="E402" s="43" t="s">
        <v>308</v>
      </c>
      <c r="F402" s="43" t="s">
        <v>824</v>
      </c>
      <c r="G402" s="43" t="s">
        <v>930</v>
      </c>
      <c r="H402" s="141">
        <v>1094615336.24</v>
      </c>
      <c r="I402" s="45" t="str">
        <f t="shared" si="7"/>
        <v>1122</v>
      </c>
      <c r="J402" s="45">
        <v>21</v>
      </c>
    </row>
    <row r="403" spans="2:10">
      <c r="B403" s="42">
        <v>44895</v>
      </c>
      <c r="C403" s="43" t="s">
        <v>923</v>
      </c>
      <c r="D403" s="43" t="s">
        <v>931</v>
      </c>
      <c r="E403" s="43" t="s">
        <v>308</v>
      </c>
      <c r="F403" s="43" t="s">
        <v>824</v>
      </c>
      <c r="G403" s="43" t="s">
        <v>932</v>
      </c>
      <c r="H403" s="141">
        <v>428592444.19999999</v>
      </c>
      <c r="I403" s="45" t="str">
        <f t="shared" si="7"/>
        <v>1122</v>
      </c>
      <c r="J403" s="45">
        <v>21</v>
      </c>
    </row>
    <row r="404" spans="2:10">
      <c r="B404" s="42">
        <v>44895</v>
      </c>
      <c r="C404" s="43" t="s">
        <v>923</v>
      </c>
      <c r="D404" s="43" t="s">
        <v>668</v>
      </c>
      <c r="E404" s="43" t="s">
        <v>308</v>
      </c>
      <c r="F404" s="43" t="s">
        <v>824</v>
      </c>
      <c r="G404" s="43" t="s">
        <v>933</v>
      </c>
      <c r="H404" s="141">
        <v>185185683.31999999</v>
      </c>
      <c r="I404" s="45" t="str">
        <f t="shared" si="7"/>
        <v>1122</v>
      </c>
      <c r="J404" s="45">
        <v>21</v>
      </c>
    </row>
    <row r="405" spans="2:10">
      <c r="B405" s="42">
        <v>44895</v>
      </c>
      <c r="C405" s="43" t="s">
        <v>923</v>
      </c>
      <c r="D405" s="43" t="s">
        <v>711</v>
      </c>
      <c r="E405" s="43" t="s">
        <v>308</v>
      </c>
      <c r="F405" s="43" t="s">
        <v>824</v>
      </c>
      <c r="G405" s="43" t="s">
        <v>934</v>
      </c>
      <c r="H405" s="141">
        <v>1253235588.9100001</v>
      </c>
      <c r="I405" s="45" t="str">
        <f t="shared" si="7"/>
        <v>1122</v>
      </c>
      <c r="J405" s="45">
        <v>21</v>
      </c>
    </row>
    <row r="406" spans="2:10">
      <c r="B406" s="42">
        <v>44895</v>
      </c>
      <c r="C406" s="43" t="s">
        <v>935</v>
      </c>
      <c r="D406" s="43" t="s">
        <v>270</v>
      </c>
      <c r="E406" s="43" t="s">
        <v>495</v>
      </c>
      <c r="F406" s="43" t="s">
        <v>503</v>
      </c>
      <c r="G406" s="43" t="s">
        <v>936</v>
      </c>
      <c r="H406" s="94">
        <v>979020000</v>
      </c>
      <c r="I406" s="45" t="str">
        <f t="shared" si="7"/>
        <v>1122</v>
      </c>
      <c r="J406" s="45">
        <v>320</v>
      </c>
    </row>
    <row r="407" spans="2:10">
      <c r="B407" s="42">
        <v>44895</v>
      </c>
      <c r="C407" s="43" t="s">
        <v>937</v>
      </c>
      <c r="D407" s="43" t="s">
        <v>270</v>
      </c>
      <c r="E407" s="43" t="s">
        <v>308</v>
      </c>
      <c r="F407" s="43" t="s">
        <v>448</v>
      </c>
      <c r="G407" s="43" t="s">
        <v>938</v>
      </c>
      <c r="H407" s="94">
        <v>377572605</v>
      </c>
      <c r="I407" s="45" t="str">
        <f t="shared" si="7"/>
        <v>1122</v>
      </c>
      <c r="J407" s="44" t="s">
        <v>534</v>
      </c>
    </row>
    <row r="408" spans="2:10">
      <c r="B408" s="42">
        <v>44895</v>
      </c>
      <c r="C408" s="43" t="s">
        <v>937</v>
      </c>
      <c r="D408" s="43" t="s">
        <v>270</v>
      </c>
      <c r="E408" s="43" t="s">
        <v>308</v>
      </c>
      <c r="F408" s="43" t="s">
        <v>448</v>
      </c>
      <c r="G408" s="43" t="s">
        <v>939</v>
      </c>
      <c r="H408" s="94">
        <v>306297277</v>
      </c>
      <c r="I408" s="45" t="str">
        <f t="shared" si="7"/>
        <v>1122</v>
      </c>
      <c r="J408" s="44" t="s">
        <v>534</v>
      </c>
    </row>
    <row r="409" spans="2:10">
      <c r="B409" s="42">
        <v>44895</v>
      </c>
      <c r="C409" s="43" t="s">
        <v>940</v>
      </c>
      <c r="D409" s="43" t="s">
        <v>270</v>
      </c>
      <c r="E409" s="43" t="s">
        <v>140</v>
      </c>
      <c r="F409" s="43" t="s">
        <v>941</v>
      </c>
      <c r="G409" s="43" t="s">
        <v>942</v>
      </c>
      <c r="H409" s="94">
        <v>43290000</v>
      </c>
      <c r="I409" s="45" t="str">
        <f t="shared" si="7"/>
        <v>1122</v>
      </c>
      <c r="J409" s="44" t="s">
        <v>525</v>
      </c>
    </row>
    <row r="410" spans="2:10">
      <c r="B410" s="42">
        <v>44895</v>
      </c>
      <c r="C410" s="43" t="s">
        <v>943</v>
      </c>
      <c r="D410" s="43" t="s">
        <v>270</v>
      </c>
      <c r="E410" s="43" t="s">
        <v>633</v>
      </c>
      <c r="F410" s="43" t="s">
        <v>944</v>
      </c>
      <c r="G410" s="43"/>
      <c r="H410" s="94">
        <v>8027100</v>
      </c>
      <c r="I410" s="45" t="str">
        <f t="shared" si="7"/>
        <v>1122</v>
      </c>
      <c r="J410" s="44" t="s">
        <v>579</v>
      </c>
    </row>
    <row r="411" spans="2:10" ht="46">
      <c r="B411" s="42">
        <v>44895</v>
      </c>
      <c r="C411" s="43" t="s">
        <v>945</v>
      </c>
      <c r="D411" s="43" t="s">
        <v>734</v>
      </c>
      <c r="E411" s="43" t="s">
        <v>622</v>
      </c>
      <c r="F411" s="43" t="s">
        <v>946</v>
      </c>
      <c r="G411" s="134" t="s">
        <v>947</v>
      </c>
      <c r="H411" s="94">
        <v>254153592</v>
      </c>
      <c r="I411" s="45" t="str">
        <f t="shared" si="7"/>
        <v>1122</v>
      </c>
      <c r="J411" s="44" t="s">
        <v>2432</v>
      </c>
    </row>
    <row r="412" spans="2:10" ht="46">
      <c r="B412" s="42">
        <v>44895</v>
      </c>
      <c r="C412" s="43" t="s">
        <v>945</v>
      </c>
      <c r="D412" s="43" t="s">
        <v>734</v>
      </c>
      <c r="E412" s="43" t="s">
        <v>622</v>
      </c>
      <c r="F412" s="43" t="s">
        <v>946</v>
      </c>
      <c r="G412" s="134" t="s">
        <v>948</v>
      </c>
      <c r="H412" s="94">
        <v>270593802</v>
      </c>
      <c r="I412" s="45" t="str">
        <f t="shared" si="7"/>
        <v>1122</v>
      </c>
      <c r="J412" s="44" t="s">
        <v>2432</v>
      </c>
    </row>
    <row r="413" spans="2:10">
      <c r="B413" s="42">
        <v>44895</v>
      </c>
      <c r="C413" s="43" t="s">
        <v>949</v>
      </c>
      <c r="D413" s="43" t="s">
        <v>740</v>
      </c>
      <c r="E413" s="43" t="s">
        <v>633</v>
      </c>
      <c r="F413" s="43" t="s">
        <v>515</v>
      </c>
      <c r="G413" s="43" t="s">
        <v>950</v>
      </c>
      <c r="H413" s="94">
        <v>88711047.760000005</v>
      </c>
      <c r="I413" s="45" t="str">
        <f t="shared" si="7"/>
        <v>1122</v>
      </c>
      <c r="J413" s="44" t="s">
        <v>870</v>
      </c>
    </row>
    <row r="414" spans="2:10" ht="14">
      <c r="B414" s="59">
        <v>44910</v>
      </c>
      <c r="C414" s="60" t="s">
        <v>954</v>
      </c>
      <c r="D414" s="60" t="s">
        <v>270</v>
      </c>
      <c r="E414" s="60" t="s">
        <v>271</v>
      </c>
      <c r="F414" s="60" t="s">
        <v>396</v>
      </c>
      <c r="G414" s="60" t="s">
        <v>955</v>
      </c>
      <c r="H414" s="95">
        <v>1917100</v>
      </c>
      <c r="I414" s="45" t="str">
        <f t="shared" ref="I414:I477" si="8">+RIGHT(C414,4)</f>
        <v>1222</v>
      </c>
      <c r="J414" s="35" t="s">
        <v>2282</v>
      </c>
    </row>
    <row r="415" spans="2:10">
      <c r="B415" s="59">
        <v>44921</v>
      </c>
      <c r="C415" s="60" t="s">
        <v>956</v>
      </c>
      <c r="D415" s="60" t="s">
        <v>270</v>
      </c>
      <c r="E415" s="60" t="s">
        <v>633</v>
      </c>
      <c r="F415" s="60" t="s">
        <v>612</v>
      </c>
      <c r="G415" s="60" t="s">
        <v>957</v>
      </c>
      <c r="H415" s="95">
        <v>160000</v>
      </c>
      <c r="I415" s="45" t="str">
        <f t="shared" si="8"/>
        <v>1222</v>
      </c>
      <c r="J415" s="44">
        <v>330</v>
      </c>
    </row>
    <row r="416" spans="2:10">
      <c r="B416" s="59">
        <v>44921</v>
      </c>
      <c r="C416" s="60" t="s">
        <v>958</v>
      </c>
      <c r="D416" s="60" t="s">
        <v>270</v>
      </c>
      <c r="E416" s="60" t="s">
        <v>514</v>
      </c>
      <c r="F416" s="60" t="s">
        <v>612</v>
      </c>
      <c r="G416" s="60" t="s">
        <v>959</v>
      </c>
      <c r="H416" s="95">
        <v>2920000</v>
      </c>
      <c r="I416" s="45" t="str">
        <f t="shared" si="8"/>
        <v>1222</v>
      </c>
      <c r="J416" s="44">
        <v>330</v>
      </c>
    </row>
    <row r="417" spans="2:10">
      <c r="B417" s="59">
        <v>44926</v>
      </c>
      <c r="C417" s="60" t="s">
        <v>960</v>
      </c>
      <c r="D417" s="60" t="s">
        <v>270</v>
      </c>
      <c r="E417" s="60" t="s">
        <v>308</v>
      </c>
      <c r="F417" s="60" t="s">
        <v>448</v>
      </c>
      <c r="G417" s="60" t="s">
        <v>961</v>
      </c>
      <c r="H417" s="95">
        <v>348407799</v>
      </c>
      <c r="I417" s="45" t="str">
        <f t="shared" si="8"/>
        <v>1222</v>
      </c>
      <c r="J417" s="44" t="s">
        <v>534</v>
      </c>
    </row>
    <row r="418" spans="2:10">
      <c r="B418" s="59">
        <v>44926</v>
      </c>
      <c r="C418" s="60" t="s">
        <v>962</v>
      </c>
      <c r="D418" s="60" t="s">
        <v>270</v>
      </c>
      <c r="E418" s="60" t="s">
        <v>308</v>
      </c>
      <c r="F418" s="60" t="s">
        <v>448</v>
      </c>
      <c r="G418" s="60" t="s">
        <v>963</v>
      </c>
      <c r="H418" s="95">
        <v>144377700</v>
      </c>
      <c r="I418" s="45" t="str">
        <f t="shared" si="8"/>
        <v>1222</v>
      </c>
      <c r="J418" s="44" t="s">
        <v>533</v>
      </c>
    </row>
    <row r="419" spans="2:10">
      <c r="B419" s="59">
        <v>44926</v>
      </c>
      <c r="C419" s="60" t="s">
        <v>964</v>
      </c>
      <c r="D419" s="60" t="s">
        <v>270</v>
      </c>
      <c r="E419" s="60" t="s">
        <v>308</v>
      </c>
      <c r="F419" s="60" t="s">
        <v>448</v>
      </c>
      <c r="G419" s="60" t="s">
        <v>965</v>
      </c>
      <c r="H419" s="139">
        <v>2594768040</v>
      </c>
      <c r="I419" s="45" t="str">
        <f t="shared" si="8"/>
        <v>1222</v>
      </c>
      <c r="J419" s="44" t="s">
        <v>535</v>
      </c>
    </row>
    <row r="420" spans="2:10">
      <c r="B420" s="59">
        <v>44926</v>
      </c>
      <c r="C420" s="60" t="s">
        <v>966</v>
      </c>
      <c r="D420" s="60" t="s">
        <v>270</v>
      </c>
      <c r="E420" s="60" t="s">
        <v>308</v>
      </c>
      <c r="F420" s="60" t="s">
        <v>448</v>
      </c>
      <c r="G420" s="60" t="s">
        <v>967</v>
      </c>
      <c r="H420" s="95">
        <v>445208790</v>
      </c>
      <c r="I420" s="45" t="str">
        <f t="shared" si="8"/>
        <v>1222</v>
      </c>
      <c r="J420" s="44" t="s">
        <v>534</v>
      </c>
    </row>
    <row r="421" spans="2:10">
      <c r="B421" s="59">
        <v>44926</v>
      </c>
      <c r="C421" s="60" t="s">
        <v>968</v>
      </c>
      <c r="D421" s="60" t="s">
        <v>270</v>
      </c>
      <c r="E421" s="60" t="s">
        <v>308</v>
      </c>
      <c r="F421" s="60" t="s">
        <v>448</v>
      </c>
      <c r="G421" s="60" t="s">
        <v>969</v>
      </c>
      <c r="H421" s="139">
        <v>3811403962</v>
      </c>
      <c r="I421" s="45" t="str">
        <f t="shared" si="8"/>
        <v>1222</v>
      </c>
      <c r="J421" s="44" t="s">
        <v>535</v>
      </c>
    </row>
    <row r="422" spans="2:10">
      <c r="B422" s="59">
        <v>44926</v>
      </c>
      <c r="C422" s="60" t="s">
        <v>970</v>
      </c>
      <c r="D422" s="60" t="s">
        <v>270</v>
      </c>
      <c r="E422" s="60" t="s">
        <v>308</v>
      </c>
      <c r="F422" s="60" t="s">
        <v>971</v>
      </c>
      <c r="G422" s="60" t="s">
        <v>972</v>
      </c>
      <c r="H422" s="95">
        <v>3598599695</v>
      </c>
      <c r="I422" s="45" t="str">
        <f t="shared" si="8"/>
        <v>1222</v>
      </c>
      <c r="J422" s="44" t="s">
        <v>536</v>
      </c>
    </row>
    <row r="423" spans="2:10" ht="14">
      <c r="B423" s="59">
        <v>44926</v>
      </c>
      <c r="C423" s="60" t="s">
        <v>973</v>
      </c>
      <c r="D423" s="60" t="s">
        <v>270</v>
      </c>
      <c r="E423" s="60" t="s">
        <v>271</v>
      </c>
      <c r="F423" s="60" t="s">
        <v>974</v>
      </c>
      <c r="G423" s="60" t="s">
        <v>975</v>
      </c>
      <c r="H423" s="95">
        <v>756000</v>
      </c>
      <c r="I423" s="45" t="str">
        <f t="shared" si="8"/>
        <v>1222</v>
      </c>
      <c r="J423" s="35" t="s">
        <v>2282</v>
      </c>
    </row>
    <row r="424" spans="2:10">
      <c r="B424" s="59">
        <v>44926</v>
      </c>
      <c r="C424" s="60" t="s">
        <v>976</v>
      </c>
      <c r="D424" s="60" t="s">
        <v>650</v>
      </c>
      <c r="E424" s="60" t="s">
        <v>308</v>
      </c>
      <c r="F424" s="60" t="s">
        <v>977</v>
      </c>
      <c r="G424" s="60" t="s">
        <v>978</v>
      </c>
      <c r="H424" s="139">
        <v>74146916</v>
      </c>
      <c r="I424" s="45" t="str">
        <f t="shared" si="8"/>
        <v>1222</v>
      </c>
      <c r="J424" s="44">
        <v>21</v>
      </c>
    </row>
    <row r="425" spans="2:10">
      <c r="B425" s="59">
        <v>44926</v>
      </c>
      <c r="C425" s="60" t="s">
        <v>976</v>
      </c>
      <c r="D425" s="60" t="s">
        <v>650</v>
      </c>
      <c r="E425" s="60" t="s">
        <v>308</v>
      </c>
      <c r="F425" s="60" t="s">
        <v>977</v>
      </c>
      <c r="G425" s="60" t="s">
        <v>979</v>
      </c>
      <c r="H425" s="139">
        <v>66482639</v>
      </c>
      <c r="I425" s="45" t="str">
        <f t="shared" si="8"/>
        <v>1222</v>
      </c>
      <c r="J425" s="44">
        <v>21</v>
      </c>
    </row>
    <row r="426" spans="2:10">
      <c r="B426" s="59">
        <v>44926</v>
      </c>
      <c r="C426" s="60" t="s">
        <v>976</v>
      </c>
      <c r="D426" s="60" t="s">
        <v>657</v>
      </c>
      <c r="E426" s="60" t="s">
        <v>308</v>
      </c>
      <c r="F426" s="60" t="s">
        <v>977</v>
      </c>
      <c r="G426" s="60" t="s">
        <v>980</v>
      </c>
      <c r="H426" s="139">
        <v>12908243.41</v>
      </c>
      <c r="I426" s="45" t="str">
        <f t="shared" si="8"/>
        <v>1222</v>
      </c>
      <c r="J426" s="44">
        <v>21</v>
      </c>
    </row>
    <row r="427" spans="2:10">
      <c r="B427" s="59">
        <v>44926</v>
      </c>
      <c r="C427" s="60" t="s">
        <v>976</v>
      </c>
      <c r="D427" s="60" t="s">
        <v>659</v>
      </c>
      <c r="E427" s="60" t="s">
        <v>308</v>
      </c>
      <c r="F427" s="60" t="s">
        <v>977</v>
      </c>
      <c r="G427" s="60" t="s">
        <v>981</v>
      </c>
      <c r="H427" s="139">
        <v>10047604.82</v>
      </c>
      <c r="I427" s="45" t="str">
        <f t="shared" si="8"/>
        <v>1222</v>
      </c>
      <c r="J427" s="44">
        <v>21</v>
      </c>
    </row>
    <row r="428" spans="2:10">
      <c r="B428" s="59">
        <v>44926</v>
      </c>
      <c r="C428" s="60" t="s">
        <v>976</v>
      </c>
      <c r="D428" s="60" t="s">
        <v>661</v>
      </c>
      <c r="E428" s="60" t="s">
        <v>308</v>
      </c>
      <c r="F428" s="60" t="s">
        <v>977</v>
      </c>
      <c r="G428" s="60" t="s">
        <v>982</v>
      </c>
      <c r="H428" s="139">
        <v>43449996.659999996</v>
      </c>
      <c r="I428" s="45" t="str">
        <f t="shared" si="8"/>
        <v>1222</v>
      </c>
      <c r="J428" s="44">
        <v>21</v>
      </c>
    </row>
    <row r="429" spans="2:10">
      <c r="B429" s="59">
        <v>44926</v>
      </c>
      <c r="C429" s="60" t="s">
        <v>976</v>
      </c>
      <c r="D429" s="60" t="s">
        <v>663</v>
      </c>
      <c r="E429" s="60" t="s">
        <v>308</v>
      </c>
      <c r="F429" s="60" t="s">
        <v>977</v>
      </c>
      <c r="G429" s="60" t="s">
        <v>983</v>
      </c>
      <c r="H429" s="139">
        <v>56029182.420000002</v>
      </c>
      <c r="I429" s="45" t="str">
        <f t="shared" si="8"/>
        <v>1222</v>
      </c>
      <c r="J429" s="44">
        <v>21</v>
      </c>
    </row>
    <row r="430" spans="2:10">
      <c r="B430" s="59">
        <v>44926</v>
      </c>
      <c r="C430" s="60" t="s">
        <v>976</v>
      </c>
      <c r="D430" s="60" t="s">
        <v>665</v>
      </c>
      <c r="E430" s="60" t="s">
        <v>308</v>
      </c>
      <c r="F430" s="60" t="s">
        <v>977</v>
      </c>
      <c r="G430" s="60" t="s">
        <v>984</v>
      </c>
      <c r="H430" s="139">
        <v>69182996.890000001</v>
      </c>
      <c r="I430" s="45" t="str">
        <f t="shared" si="8"/>
        <v>1222</v>
      </c>
      <c r="J430" s="44">
        <v>21</v>
      </c>
    </row>
    <row r="431" spans="2:10">
      <c r="B431" s="59">
        <v>44926</v>
      </c>
      <c r="C431" s="60" t="s">
        <v>976</v>
      </c>
      <c r="D431" s="60" t="s">
        <v>665</v>
      </c>
      <c r="E431" s="60" t="s">
        <v>308</v>
      </c>
      <c r="F431" s="60" t="s">
        <v>977</v>
      </c>
      <c r="G431" s="60" t="s">
        <v>984</v>
      </c>
      <c r="H431" s="139">
        <v>244383500.86000001</v>
      </c>
      <c r="I431" s="45" t="str">
        <f t="shared" si="8"/>
        <v>1222</v>
      </c>
      <c r="J431" s="44">
        <v>21</v>
      </c>
    </row>
    <row r="432" spans="2:10">
      <c r="B432" s="59">
        <v>44926</v>
      </c>
      <c r="C432" s="60" t="s">
        <v>976</v>
      </c>
      <c r="D432" s="60" t="s">
        <v>929</v>
      </c>
      <c r="E432" s="60" t="s">
        <v>308</v>
      </c>
      <c r="F432" s="60" t="s">
        <v>977</v>
      </c>
      <c r="G432" s="60" t="s">
        <v>985</v>
      </c>
      <c r="H432" s="139">
        <v>64430314.640000001</v>
      </c>
      <c r="I432" s="45" t="str">
        <f t="shared" si="8"/>
        <v>1222</v>
      </c>
      <c r="J432" s="44">
        <v>21</v>
      </c>
    </row>
    <row r="433" spans="2:10">
      <c r="B433" s="59">
        <v>44926</v>
      </c>
      <c r="C433" s="60" t="s">
        <v>976</v>
      </c>
      <c r="D433" s="60" t="s">
        <v>931</v>
      </c>
      <c r="E433" s="60" t="s">
        <v>308</v>
      </c>
      <c r="F433" s="60" t="s">
        <v>977</v>
      </c>
      <c r="G433" s="60" t="s">
        <v>986</v>
      </c>
      <c r="H433" s="139">
        <v>25150479.059999999</v>
      </c>
      <c r="I433" s="45" t="str">
        <f t="shared" si="8"/>
        <v>1222</v>
      </c>
      <c r="J433" s="44">
        <v>21</v>
      </c>
    </row>
    <row r="434" spans="2:10">
      <c r="B434" s="59">
        <v>44926</v>
      </c>
      <c r="C434" s="60" t="s">
        <v>976</v>
      </c>
      <c r="D434" s="60" t="s">
        <v>668</v>
      </c>
      <c r="E434" s="60" t="s">
        <v>308</v>
      </c>
      <c r="F434" s="60" t="s">
        <v>977</v>
      </c>
      <c r="G434" s="60" t="s">
        <v>987</v>
      </c>
      <c r="H434" s="139">
        <v>16179780.68</v>
      </c>
      <c r="I434" s="45" t="str">
        <f t="shared" si="8"/>
        <v>1222</v>
      </c>
      <c r="J434" s="44">
        <v>21</v>
      </c>
    </row>
    <row r="435" spans="2:10">
      <c r="B435" s="59">
        <v>44926</v>
      </c>
      <c r="C435" s="60" t="s">
        <v>976</v>
      </c>
      <c r="D435" s="60" t="s">
        <v>711</v>
      </c>
      <c r="E435" s="60" t="s">
        <v>308</v>
      </c>
      <c r="F435" s="60" t="s">
        <v>977</v>
      </c>
      <c r="G435" s="60" t="s">
        <v>988</v>
      </c>
      <c r="H435" s="139">
        <v>126948996.56</v>
      </c>
      <c r="I435" s="45" t="str">
        <f t="shared" si="8"/>
        <v>1222</v>
      </c>
      <c r="J435" s="44">
        <v>21</v>
      </c>
    </row>
    <row r="436" spans="2:10">
      <c r="B436" s="59">
        <v>44926</v>
      </c>
      <c r="C436" s="60" t="s">
        <v>989</v>
      </c>
      <c r="D436" s="60" t="s">
        <v>650</v>
      </c>
      <c r="E436" s="60" t="s">
        <v>308</v>
      </c>
      <c r="F436" s="60" t="s">
        <v>977</v>
      </c>
      <c r="G436" s="60" t="s">
        <v>990</v>
      </c>
      <c r="H436" s="139">
        <v>1298222044</v>
      </c>
      <c r="I436" s="45" t="str">
        <f t="shared" si="8"/>
        <v>1222</v>
      </c>
      <c r="J436" s="44">
        <v>21</v>
      </c>
    </row>
    <row r="437" spans="2:10">
      <c r="B437" s="59">
        <v>44926</v>
      </c>
      <c r="C437" s="60" t="s">
        <v>989</v>
      </c>
      <c r="D437" s="60" t="s">
        <v>663</v>
      </c>
      <c r="E437" s="60" t="s">
        <v>308</v>
      </c>
      <c r="F437" s="60" t="s">
        <v>977</v>
      </c>
      <c r="G437" s="60" t="s">
        <v>991</v>
      </c>
      <c r="H437" s="139">
        <v>4050425.06</v>
      </c>
      <c r="I437" s="45" t="str">
        <f t="shared" si="8"/>
        <v>1222</v>
      </c>
      <c r="J437" s="44">
        <v>21</v>
      </c>
    </row>
    <row r="438" spans="2:10">
      <c r="B438" s="59">
        <v>44926</v>
      </c>
      <c r="C438" s="60" t="s">
        <v>989</v>
      </c>
      <c r="D438" s="60" t="s">
        <v>929</v>
      </c>
      <c r="E438" s="60" t="s">
        <v>308</v>
      </c>
      <c r="F438" s="60" t="s">
        <v>977</v>
      </c>
      <c r="G438" s="60" t="s">
        <v>992</v>
      </c>
      <c r="H438" s="139">
        <v>223529256.03</v>
      </c>
      <c r="I438" s="45" t="str">
        <f t="shared" si="8"/>
        <v>1222</v>
      </c>
      <c r="J438" s="44">
        <v>21</v>
      </c>
    </row>
    <row r="439" spans="2:10">
      <c r="B439" s="59">
        <v>44926</v>
      </c>
      <c r="C439" s="60" t="s">
        <v>989</v>
      </c>
      <c r="D439" s="60" t="s">
        <v>668</v>
      </c>
      <c r="E439" s="60" t="s">
        <v>308</v>
      </c>
      <c r="F439" s="60" t="s">
        <v>977</v>
      </c>
      <c r="G439" s="60" t="s">
        <v>993</v>
      </c>
      <c r="H439" s="139">
        <v>540645445.39999998</v>
      </c>
      <c r="I439" s="45" t="str">
        <f t="shared" si="8"/>
        <v>1222</v>
      </c>
      <c r="J439" s="44">
        <v>21</v>
      </c>
    </row>
    <row r="440" spans="2:10">
      <c r="B440" s="59">
        <v>44926</v>
      </c>
      <c r="C440" s="60" t="s">
        <v>989</v>
      </c>
      <c r="D440" s="60" t="s">
        <v>650</v>
      </c>
      <c r="E440" s="60" t="s">
        <v>308</v>
      </c>
      <c r="F440" s="60" t="s">
        <v>977</v>
      </c>
      <c r="G440" s="60" t="s">
        <v>994</v>
      </c>
      <c r="H440" s="139">
        <v>140610289.78</v>
      </c>
      <c r="I440" s="45" t="str">
        <f t="shared" si="8"/>
        <v>1222</v>
      </c>
      <c r="J440" s="44">
        <v>21</v>
      </c>
    </row>
    <row r="441" spans="2:10" ht="46">
      <c r="B441" s="59">
        <v>44926</v>
      </c>
      <c r="C441" s="60" t="s">
        <v>989</v>
      </c>
      <c r="D441" s="60" t="s">
        <v>650</v>
      </c>
      <c r="E441" s="60" t="s">
        <v>308</v>
      </c>
      <c r="F441" s="60" t="s">
        <v>977</v>
      </c>
      <c r="G441" s="209" t="s">
        <v>995</v>
      </c>
      <c r="H441" s="139">
        <v>874218017.73000002</v>
      </c>
      <c r="I441" s="45" t="str">
        <f t="shared" si="8"/>
        <v>1222</v>
      </c>
      <c r="J441" s="44">
        <v>21</v>
      </c>
    </row>
    <row r="442" spans="2:10">
      <c r="B442" s="59">
        <v>44926</v>
      </c>
      <c r="C442" s="60" t="s">
        <v>996</v>
      </c>
      <c r="D442" s="60">
        <v>316204005011</v>
      </c>
      <c r="E442" s="60" t="s">
        <v>308</v>
      </c>
      <c r="F442" s="60" t="s">
        <v>997</v>
      </c>
      <c r="G442" s="60" t="s">
        <v>998</v>
      </c>
      <c r="H442" s="95">
        <v>2053500000</v>
      </c>
      <c r="I442" s="45" t="str">
        <f t="shared" si="8"/>
        <v>1222</v>
      </c>
      <c r="J442" s="44">
        <v>33</v>
      </c>
    </row>
    <row r="443" spans="2:10">
      <c r="B443" s="59">
        <v>44926</v>
      </c>
      <c r="C443" s="60" t="s">
        <v>999</v>
      </c>
      <c r="D443" s="60" t="s">
        <v>270</v>
      </c>
      <c r="E443" s="60" t="s">
        <v>495</v>
      </c>
      <c r="F443" s="60" t="s">
        <v>1000</v>
      </c>
      <c r="G443" s="60"/>
      <c r="H443" s="95">
        <v>12824940</v>
      </c>
      <c r="I443" s="45" t="str">
        <f t="shared" si="8"/>
        <v>1222</v>
      </c>
      <c r="J443" s="44" t="s">
        <v>579</v>
      </c>
    </row>
    <row r="444" spans="2:10">
      <c r="B444" s="59">
        <v>44926</v>
      </c>
      <c r="C444" s="60" t="s">
        <v>999</v>
      </c>
      <c r="D444" s="60" t="s">
        <v>703</v>
      </c>
      <c r="E444" s="60" t="s">
        <v>495</v>
      </c>
      <c r="F444" s="60" t="s">
        <v>1000</v>
      </c>
      <c r="G444" s="60"/>
      <c r="H444" s="95">
        <v>360000</v>
      </c>
      <c r="I444" s="45" t="str">
        <f t="shared" si="8"/>
        <v>1222</v>
      </c>
      <c r="J444" s="44" t="s">
        <v>579</v>
      </c>
    </row>
    <row r="445" spans="2:10">
      <c r="B445" s="59">
        <v>44926</v>
      </c>
      <c r="C445" s="60" t="s">
        <v>1001</v>
      </c>
      <c r="D445" s="60" t="s">
        <v>703</v>
      </c>
      <c r="E445" s="60" t="s">
        <v>271</v>
      </c>
      <c r="F445" s="60" t="s">
        <v>1002</v>
      </c>
      <c r="G445" s="60" t="s">
        <v>1003</v>
      </c>
      <c r="H445" s="95">
        <v>652390</v>
      </c>
      <c r="I445" s="45" t="str">
        <f t="shared" si="8"/>
        <v>1222</v>
      </c>
      <c r="J445" s="44">
        <v>329</v>
      </c>
    </row>
    <row r="446" spans="2:10">
      <c r="B446" s="59">
        <v>44926</v>
      </c>
      <c r="C446" s="60" t="s">
        <v>1001</v>
      </c>
      <c r="D446" s="60" t="s">
        <v>703</v>
      </c>
      <c r="E446" s="60" t="s">
        <v>271</v>
      </c>
      <c r="F446" s="60" t="s">
        <v>1002</v>
      </c>
      <c r="G446" s="60" t="s">
        <v>1003</v>
      </c>
      <c r="H446" s="95">
        <v>652390</v>
      </c>
      <c r="I446" s="45" t="str">
        <f t="shared" si="8"/>
        <v>1222</v>
      </c>
      <c r="J446" s="44">
        <v>329</v>
      </c>
    </row>
    <row r="447" spans="2:10">
      <c r="B447" s="59">
        <v>44926</v>
      </c>
      <c r="C447" s="60" t="s">
        <v>1001</v>
      </c>
      <c r="D447" s="60" t="s">
        <v>270</v>
      </c>
      <c r="E447" s="60" t="s">
        <v>622</v>
      </c>
      <c r="F447" s="60" t="s">
        <v>1004</v>
      </c>
      <c r="G447" s="60" t="s">
        <v>1005</v>
      </c>
      <c r="H447" s="95">
        <v>355883.68</v>
      </c>
      <c r="I447" s="45" t="str">
        <f t="shared" si="8"/>
        <v>1222</v>
      </c>
      <c r="J447" s="34">
        <v>327</v>
      </c>
    </row>
    <row r="448" spans="2:10">
      <c r="B448" s="59">
        <v>44926</v>
      </c>
      <c r="C448" s="60" t="s">
        <v>1001</v>
      </c>
      <c r="D448" s="60" t="s">
        <v>270</v>
      </c>
      <c r="E448" s="60" t="s">
        <v>622</v>
      </c>
      <c r="F448" s="60" t="s">
        <v>1004</v>
      </c>
      <c r="G448" s="60" t="s">
        <v>1006</v>
      </c>
      <c r="H448" s="95">
        <v>46212.959999999999</v>
      </c>
      <c r="I448" s="45" t="str">
        <f t="shared" si="8"/>
        <v>1222</v>
      </c>
      <c r="J448" s="34">
        <v>327</v>
      </c>
    </row>
    <row r="449" spans="2:10">
      <c r="B449" s="59">
        <v>44926</v>
      </c>
      <c r="C449" s="60" t="s">
        <v>1001</v>
      </c>
      <c r="D449" s="60" t="s">
        <v>270</v>
      </c>
      <c r="E449" s="60" t="s">
        <v>622</v>
      </c>
      <c r="F449" s="60" t="s">
        <v>1004</v>
      </c>
      <c r="G449" s="60" t="s">
        <v>1007</v>
      </c>
      <c r="H449" s="95">
        <v>2786214.83</v>
      </c>
      <c r="I449" s="45" t="str">
        <f t="shared" si="8"/>
        <v>1222</v>
      </c>
      <c r="J449" s="45">
        <v>328</v>
      </c>
    </row>
    <row r="450" spans="2:10">
      <c r="B450" s="59">
        <v>44926</v>
      </c>
      <c r="C450" s="60" t="s">
        <v>1001</v>
      </c>
      <c r="D450" s="60" t="s">
        <v>270</v>
      </c>
      <c r="E450" s="60" t="s">
        <v>622</v>
      </c>
      <c r="F450" s="60" t="s">
        <v>1004</v>
      </c>
      <c r="G450" s="60" t="s">
        <v>1008</v>
      </c>
      <c r="H450" s="95">
        <v>2478351.7799999998</v>
      </c>
      <c r="I450" s="45" t="str">
        <f t="shared" si="8"/>
        <v>1222</v>
      </c>
      <c r="J450" s="45">
        <v>328</v>
      </c>
    </row>
    <row r="451" spans="2:10">
      <c r="B451" s="59">
        <v>44926</v>
      </c>
      <c r="C451" s="60" t="s">
        <v>1001</v>
      </c>
      <c r="D451" s="60" t="s">
        <v>270</v>
      </c>
      <c r="E451" s="60" t="s">
        <v>622</v>
      </c>
      <c r="F451" s="60" t="s">
        <v>1004</v>
      </c>
      <c r="G451" s="60" t="s">
        <v>1009</v>
      </c>
      <c r="H451" s="95">
        <v>1948725.46</v>
      </c>
      <c r="I451" s="45" t="str">
        <f t="shared" si="8"/>
        <v>1222</v>
      </c>
      <c r="J451" s="45">
        <v>328</v>
      </c>
    </row>
    <row r="452" spans="2:10">
      <c r="B452" s="59">
        <v>44926</v>
      </c>
      <c r="C452" s="60" t="s">
        <v>1001</v>
      </c>
      <c r="D452" s="60" t="s">
        <v>270</v>
      </c>
      <c r="E452" s="60" t="s">
        <v>622</v>
      </c>
      <c r="F452" s="60" t="s">
        <v>1004</v>
      </c>
      <c r="G452" s="60" t="s">
        <v>1010</v>
      </c>
      <c r="H452" s="95">
        <v>934464.22</v>
      </c>
      <c r="I452" s="45" t="str">
        <f t="shared" si="8"/>
        <v>1222</v>
      </c>
      <c r="J452" s="45">
        <v>328</v>
      </c>
    </row>
    <row r="453" spans="2:10">
      <c r="B453" s="59">
        <v>44926</v>
      </c>
      <c r="C453" s="60" t="s">
        <v>1001</v>
      </c>
      <c r="D453" s="60" t="s">
        <v>270</v>
      </c>
      <c r="E453" s="60" t="s">
        <v>622</v>
      </c>
      <c r="F453" s="60" t="s">
        <v>1004</v>
      </c>
      <c r="G453" s="60" t="s">
        <v>1011</v>
      </c>
      <c r="H453" s="95">
        <v>243499368</v>
      </c>
      <c r="I453" s="45" t="str">
        <f t="shared" si="8"/>
        <v>1222</v>
      </c>
      <c r="J453" s="34">
        <v>327</v>
      </c>
    </row>
    <row r="454" spans="2:10">
      <c r="B454" s="59">
        <v>44926</v>
      </c>
      <c r="C454" s="60" t="s">
        <v>1001</v>
      </c>
      <c r="D454" s="60" t="s">
        <v>270</v>
      </c>
      <c r="E454" s="60" t="s">
        <v>622</v>
      </c>
      <c r="F454" s="60" t="s">
        <v>1004</v>
      </c>
      <c r="G454" s="60" t="s">
        <v>1012</v>
      </c>
      <c r="H454" s="95">
        <v>44850549</v>
      </c>
      <c r="I454" s="45" t="str">
        <f t="shared" si="8"/>
        <v>1222</v>
      </c>
      <c r="J454" s="34">
        <v>327</v>
      </c>
    </row>
    <row r="455" spans="2:10">
      <c r="B455" s="59">
        <v>44926</v>
      </c>
      <c r="C455" s="60" t="s">
        <v>1001</v>
      </c>
      <c r="D455" s="60" t="s">
        <v>270</v>
      </c>
      <c r="E455" s="60" t="s">
        <v>622</v>
      </c>
      <c r="F455" s="60" t="s">
        <v>1004</v>
      </c>
      <c r="G455" s="60" t="s">
        <v>1013</v>
      </c>
      <c r="H455" s="95">
        <v>90973824</v>
      </c>
      <c r="I455" s="45" t="str">
        <f t="shared" si="8"/>
        <v>1222</v>
      </c>
      <c r="J455" s="34">
        <v>51</v>
      </c>
    </row>
    <row r="456" spans="2:10">
      <c r="B456" s="59">
        <v>44926</v>
      </c>
      <c r="C456" s="60" t="s">
        <v>1001</v>
      </c>
      <c r="D456" s="60" t="s">
        <v>270</v>
      </c>
      <c r="E456" s="60" t="s">
        <v>622</v>
      </c>
      <c r="F456" s="60" t="s">
        <v>1004</v>
      </c>
      <c r="G456" s="60" t="s">
        <v>1014</v>
      </c>
      <c r="H456" s="95">
        <v>764790</v>
      </c>
      <c r="I456" s="45" t="str">
        <f t="shared" si="8"/>
        <v>1222</v>
      </c>
      <c r="J456" s="34">
        <v>327</v>
      </c>
    </row>
    <row r="457" spans="2:10">
      <c r="B457" s="59">
        <v>44926</v>
      </c>
      <c r="C457" s="60" t="s">
        <v>1001</v>
      </c>
      <c r="D457" s="60" t="s">
        <v>270</v>
      </c>
      <c r="E457" s="60" t="s">
        <v>622</v>
      </c>
      <c r="F457" s="60" t="s">
        <v>1004</v>
      </c>
      <c r="G457" s="60" t="s">
        <v>1015</v>
      </c>
      <c r="H457" s="95">
        <v>382395</v>
      </c>
      <c r="I457" s="45" t="str">
        <f t="shared" si="8"/>
        <v>1222</v>
      </c>
      <c r="J457" s="34">
        <v>327</v>
      </c>
    </row>
    <row r="458" spans="2:10">
      <c r="B458" s="59">
        <v>44926</v>
      </c>
      <c r="C458" s="60" t="s">
        <v>1001</v>
      </c>
      <c r="D458" s="60" t="s">
        <v>270</v>
      </c>
      <c r="E458" s="60" t="s">
        <v>622</v>
      </c>
      <c r="F458" s="60" t="s">
        <v>1004</v>
      </c>
      <c r="G458" s="60" t="s">
        <v>1016</v>
      </c>
      <c r="H458" s="95">
        <v>1056557.46</v>
      </c>
      <c r="I458" s="45" t="str">
        <f t="shared" si="8"/>
        <v>1222</v>
      </c>
      <c r="J458" s="34">
        <v>327</v>
      </c>
    </row>
    <row r="459" spans="2:10">
      <c r="B459" s="59">
        <v>44926</v>
      </c>
      <c r="C459" s="60" t="s">
        <v>1017</v>
      </c>
      <c r="D459" s="60" t="s">
        <v>740</v>
      </c>
      <c r="E459" s="60" t="s">
        <v>633</v>
      </c>
      <c r="F459" s="60" t="s">
        <v>515</v>
      </c>
      <c r="G459" s="60" t="s">
        <v>1018</v>
      </c>
      <c r="H459" s="95">
        <v>104456910.87</v>
      </c>
      <c r="I459" s="45" t="str">
        <f t="shared" si="8"/>
        <v>1222</v>
      </c>
      <c r="J459" s="44" t="s">
        <v>870</v>
      </c>
    </row>
    <row r="460" spans="2:10">
      <c r="B460" s="59">
        <v>44926</v>
      </c>
      <c r="C460" s="60" t="s">
        <v>1001</v>
      </c>
      <c r="D460" s="60" t="s">
        <v>270</v>
      </c>
      <c r="E460" s="60" t="s">
        <v>622</v>
      </c>
      <c r="F460" s="60" t="s">
        <v>1019</v>
      </c>
      <c r="G460" s="60" t="s">
        <v>1020</v>
      </c>
      <c r="H460" s="95">
        <v>8500000</v>
      </c>
      <c r="I460" s="45" t="str">
        <f t="shared" si="8"/>
        <v>1222</v>
      </c>
      <c r="J460" s="34">
        <v>327</v>
      </c>
    </row>
    <row r="461" spans="2:10" ht="23">
      <c r="B461" s="59">
        <v>44926</v>
      </c>
      <c r="C461" s="60" t="s">
        <v>1021</v>
      </c>
      <c r="D461" s="60" t="s">
        <v>1022</v>
      </c>
      <c r="E461" s="60" t="s">
        <v>308</v>
      </c>
      <c r="F461" s="60" t="s">
        <v>1023</v>
      </c>
      <c r="G461" s="209" t="s">
        <v>1024</v>
      </c>
      <c r="H461" s="95">
        <v>300810000</v>
      </c>
      <c r="I461" s="45" t="str">
        <f t="shared" si="8"/>
        <v>1222</v>
      </c>
      <c r="J461" s="44" t="s">
        <v>2419</v>
      </c>
    </row>
    <row r="462" spans="2:10">
      <c r="B462" s="59">
        <v>44926</v>
      </c>
      <c r="C462" s="60" t="s">
        <v>1001</v>
      </c>
      <c r="D462" s="60" t="s">
        <v>703</v>
      </c>
      <c r="E462" s="60" t="s">
        <v>271</v>
      </c>
      <c r="F462" s="60" t="s">
        <v>1025</v>
      </c>
      <c r="G462" s="60" t="s">
        <v>1003</v>
      </c>
      <c r="H462" s="95">
        <v>713936</v>
      </c>
      <c r="I462" s="45" t="str">
        <f t="shared" si="8"/>
        <v>1222</v>
      </c>
      <c r="J462" s="44">
        <v>329</v>
      </c>
    </row>
    <row r="463" spans="2:10">
      <c r="B463" s="59">
        <v>44926</v>
      </c>
      <c r="C463" s="60" t="s">
        <v>1001</v>
      </c>
      <c r="D463" s="60" t="s">
        <v>703</v>
      </c>
      <c r="E463" s="60" t="s">
        <v>271</v>
      </c>
      <c r="F463" s="60" t="s">
        <v>1025</v>
      </c>
      <c r="G463" s="60" t="s">
        <v>1026</v>
      </c>
      <c r="H463" s="95">
        <v>166176</v>
      </c>
      <c r="I463" s="45" t="str">
        <f t="shared" si="8"/>
        <v>1222</v>
      </c>
      <c r="J463" s="44">
        <v>329</v>
      </c>
    </row>
    <row r="464" spans="2:10">
      <c r="B464" s="63">
        <v>44938</v>
      </c>
      <c r="C464" s="64" t="s">
        <v>1028</v>
      </c>
      <c r="D464" s="64" t="s">
        <v>270</v>
      </c>
      <c r="E464" s="64" t="s">
        <v>514</v>
      </c>
      <c r="F464" s="64" t="s">
        <v>887</v>
      </c>
      <c r="G464" s="64" t="s">
        <v>1029</v>
      </c>
      <c r="H464" s="66">
        <v>221000</v>
      </c>
      <c r="I464" s="45" t="str">
        <f t="shared" si="8"/>
        <v>0123</v>
      </c>
      <c r="J464" s="44">
        <v>330</v>
      </c>
    </row>
    <row r="465" spans="2:10">
      <c r="B465" s="63">
        <v>44938</v>
      </c>
      <c r="C465" s="64" t="s">
        <v>1030</v>
      </c>
      <c r="D465" s="64" t="s">
        <v>703</v>
      </c>
      <c r="E465" s="64" t="s">
        <v>514</v>
      </c>
      <c r="F465" s="64" t="s">
        <v>908</v>
      </c>
      <c r="G465" s="64" t="s">
        <v>1031</v>
      </c>
      <c r="H465" s="66">
        <v>74000</v>
      </c>
      <c r="I465" s="45" t="str">
        <f t="shared" si="8"/>
        <v>0123</v>
      </c>
      <c r="J465" s="44">
        <v>330</v>
      </c>
    </row>
    <row r="466" spans="2:10">
      <c r="B466" s="63">
        <v>44938</v>
      </c>
      <c r="C466" s="64" t="s">
        <v>1032</v>
      </c>
      <c r="D466" s="64" t="s">
        <v>270</v>
      </c>
      <c r="E466" s="64" t="s">
        <v>514</v>
      </c>
      <c r="F466" s="64" t="s">
        <v>887</v>
      </c>
      <c r="G466" s="64" t="s">
        <v>1033</v>
      </c>
      <c r="H466" s="66">
        <v>48000</v>
      </c>
      <c r="I466" s="45" t="str">
        <f t="shared" si="8"/>
        <v>0123</v>
      </c>
      <c r="J466" s="44">
        <v>330</v>
      </c>
    </row>
    <row r="467" spans="2:10" ht="23">
      <c r="B467" s="63">
        <v>44957</v>
      </c>
      <c r="C467" s="64" t="s">
        <v>1034</v>
      </c>
      <c r="D467" s="64" t="s">
        <v>734</v>
      </c>
      <c r="E467" s="64" t="s">
        <v>308</v>
      </c>
      <c r="F467" s="64" t="s">
        <v>1035</v>
      </c>
      <c r="G467" s="64" t="s">
        <v>1036</v>
      </c>
      <c r="H467" s="66">
        <v>30000000</v>
      </c>
      <c r="I467" s="45" t="str">
        <f t="shared" si="8"/>
        <v>0123</v>
      </c>
      <c r="J467" s="44" t="s">
        <v>2431</v>
      </c>
    </row>
    <row r="468" spans="2:10" ht="23">
      <c r="B468" s="63">
        <v>44944</v>
      </c>
      <c r="C468" s="64" t="s">
        <v>1037</v>
      </c>
      <c r="D468" s="64" t="s">
        <v>270</v>
      </c>
      <c r="E468" s="64" t="s">
        <v>271</v>
      </c>
      <c r="F468" s="64" t="s">
        <v>357</v>
      </c>
      <c r="G468" s="64" t="s">
        <v>1038</v>
      </c>
      <c r="H468" s="66">
        <v>1540000</v>
      </c>
      <c r="I468" s="45" t="str">
        <f t="shared" si="8"/>
        <v>0123</v>
      </c>
      <c r="J468" s="35" t="s">
        <v>2282</v>
      </c>
    </row>
    <row r="469" spans="2:10" ht="34.5">
      <c r="B469" s="63">
        <v>44957</v>
      </c>
      <c r="C469" s="64" t="s">
        <v>1039</v>
      </c>
      <c r="D469" s="64" t="s">
        <v>270</v>
      </c>
      <c r="E469" s="64" t="s">
        <v>308</v>
      </c>
      <c r="F469" s="64" t="s">
        <v>448</v>
      </c>
      <c r="G469" s="64" t="s">
        <v>1040</v>
      </c>
      <c r="H469" s="66">
        <v>377391675</v>
      </c>
      <c r="I469" s="45" t="str">
        <f t="shared" si="8"/>
        <v>0123</v>
      </c>
      <c r="J469" s="45" t="s">
        <v>534</v>
      </c>
    </row>
    <row r="470" spans="2:10" ht="34.5">
      <c r="B470" s="63">
        <v>44957</v>
      </c>
      <c r="C470" s="64" t="s">
        <v>1041</v>
      </c>
      <c r="D470" s="64" t="s">
        <v>270</v>
      </c>
      <c r="E470" s="64" t="s">
        <v>308</v>
      </c>
      <c r="F470" s="64" t="s">
        <v>971</v>
      </c>
      <c r="G470" s="64" t="s">
        <v>1042</v>
      </c>
      <c r="H470" s="66">
        <v>933453779</v>
      </c>
      <c r="I470" s="45" t="str">
        <f t="shared" si="8"/>
        <v>0123</v>
      </c>
      <c r="J470" s="45" t="s">
        <v>536</v>
      </c>
    </row>
    <row r="471" spans="2:10" ht="23">
      <c r="B471" s="63">
        <v>44957</v>
      </c>
      <c r="C471" s="64" t="s">
        <v>1043</v>
      </c>
      <c r="D471" s="64" t="s">
        <v>270</v>
      </c>
      <c r="E471" s="64" t="s">
        <v>140</v>
      </c>
      <c r="F471" s="64" t="s">
        <v>1044</v>
      </c>
      <c r="G471" s="64" t="s">
        <v>1045</v>
      </c>
      <c r="H471" s="66">
        <v>987200</v>
      </c>
      <c r="I471" s="45" t="str">
        <f t="shared" si="8"/>
        <v>0123</v>
      </c>
      <c r="J471" s="35" t="s">
        <v>2282</v>
      </c>
    </row>
    <row r="472" spans="2:10" ht="23">
      <c r="B472" s="63">
        <v>44957</v>
      </c>
      <c r="C472" s="64" t="s">
        <v>1043</v>
      </c>
      <c r="D472" s="64" t="s">
        <v>270</v>
      </c>
      <c r="E472" s="64" t="s">
        <v>140</v>
      </c>
      <c r="F472" s="64" t="s">
        <v>1046</v>
      </c>
      <c r="G472" s="64" t="s">
        <v>1047</v>
      </c>
      <c r="H472" s="66">
        <v>2430000</v>
      </c>
      <c r="I472" s="45" t="str">
        <f t="shared" si="8"/>
        <v>0123</v>
      </c>
      <c r="J472" s="35" t="s">
        <v>2282</v>
      </c>
    </row>
    <row r="473" spans="2:10" ht="34.5">
      <c r="B473" s="63">
        <v>44957</v>
      </c>
      <c r="C473" s="64" t="s">
        <v>1048</v>
      </c>
      <c r="D473" s="64" t="s">
        <v>650</v>
      </c>
      <c r="E473" s="64" t="s">
        <v>308</v>
      </c>
      <c r="F473" s="64" t="s">
        <v>977</v>
      </c>
      <c r="G473" s="64" t="s">
        <v>1049</v>
      </c>
      <c r="H473" s="140">
        <v>992305012</v>
      </c>
      <c r="I473" s="45" t="str">
        <f t="shared" si="8"/>
        <v>0123</v>
      </c>
      <c r="J473" s="44">
        <v>21</v>
      </c>
    </row>
    <row r="474" spans="2:10" ht="34.5">
      <c r="B474" s="63">
        <v>44957</v>
      </c>
      <c r="C474" s="64" t="s">
        <v>1048</v>
      </c>
      <c r="D474" s="64" t="s">
        <v>653</v>
      </c>
      <c r="E474" s="64" t="s">
        <v>308</v>
      </c>
      <c r="F474" s="64" t="s">
        <v>977</v>
      </c>
      <c r="G474" s="64" t="s">
        <v>1049</v>
      </c>
      <c r="H474" s="140">
        <v>368785385.5</v>
      </c>
      <c r="I474" s="45" t="str">
        <f t="shared" si="8"/>
        <v>0123</v>
      </c>
      <c r="J474" s="45">
        <v>21</v>
      </c>
    </row>
    <row r="475" spans="2:10" ht="34.5">
      <c r="B475" s="63">
        <v>44957</v>
      </c>
      <c r="C475" s="64" t="s">
        <v>1048</v>
      </c>
      <c r="D475" s="64" t="s">
        <v>655</v>
      </c>
      <c r="E475" s="64" t="s">
        <v>308</v>
      </c>
      <c r="F475" s="64" t="s">
        <v>977</v>
      </c>
      <c r="G475" s="64" t="s">
        <v>1049</v>
      </c>
      <c r="H475" s="140">
        <v>158655201.09</v>
      </c>
      <c r="I475" s="45" t="str">
        <f t="shared" si="8"/>
        <v>0123</v>
      </c>
      <c r="J475" s="45">
        <v>21</v>
      </c>
    </row>
    <row r="476" spans="2:10" ht="34.5">
      <c r="B476" s="63">
        <v>44957</v>
      </c>
      <c r="C476" s="64" t="s">
        <v>1048</v>
      </c>
      <c r="D476" s="64" t="s">
        <v>657</v>
      </c>
      <c r="E476" s="64" t="s">
        <v>308</v>
      </c>
      <c r="F476" s="64" t="s">
        <v>977</v>
      </c>
      <c r="G476" s="64" t="s">
        <v>1049</v>
      </c>
      <c r="H476" s="140">
        <v>207644269.05000001</v>
      </c>
      <c r="I476" s="45" t="str">
        <f t="shared" si="8"/>
        <v>0123</v>
      </c>
      <c r="J476" s="44">
        <v>21</v>
      </c>
    </row>
    <row r="477" spans="2:10" ht="34.5">
      <c r="B477" s="63">
        <v>44957</v>
      </c>
      <c r="C477" s="64" t="s">
        <v>1048</v>
      </c>
      <c r="D477" s="64" t="s">
        <v>659</v>
      </c>
      <c r="E477" s="64" t="s">
        <v>308</v>
      </c>
      <c r="F477" s="64" t="s">
        <v>977</v>
      </c>
      <c r="G477" s="64" t="s">
        <v>1049</v>
      </c>
      <c r="H477" s="140">
        <v>46108970.600000001</v>
      </c>
      <c r="I477" s="45" t="str">
        <f t="shared" si="8"/>
        <v>0123</v>
      </c>
      <c r="J477" s="44">
        <v>21</v>
      </c>
    </row>
    <row r="478" spans="2:10" ht="34.5">
      <c r="B478" s="63">
        <v>44957</v>
      </c>
      <c r="C478" s="64" t="s">
        <v>1048</v>
      </c>
      <c r="D478" s="64" t="s">
        <v>663</v>
      </c>
      <c r="E478" s="64" t="s">
        <v>308</v>
      </c>
      <c r="F478" s="64" t="s">
        <v>977</v>
      </c>
      <c r="G478" s="64" t="s">
        <v>1049</v>
      </c>
      <c r="H478" s="140">
        <v>227718690.47</v>
      </c>
      <c r="I478" s="45" t="str">
        <f t="shared" ref="I478:I541" si="9">+RIGHT(C478,4)</f>
        <v>0123</v>
      </c>
      <c r="J478" s="44">
        <v>21</v>
      </c>
    </row>
    <row r="479" spans="2:10" ht="34.5">
      <c r="B479" s="63">
        <v>44957</v>
      </c>
      <c r="C479" s="64" t="s">
        <v>1048</v>
      </c>
      <c r="D479" s="64" t="s">
        <v>663</v>
      </c>
      <c r="E479" s="64" t="s">
        <v>308</v>
      </c>
      <c r="F479" s="64" t="s">
        <v>977</v>
      </c>
      <c r="G479" s="64" t="s">
        <v>1049</v>
      </c>
      <c r="H479" s="140">
        <v>226751938.00999999</v>
      </c>
      <c r="I479" s="45" t="str">
        <f t="shared" si="9"/>
        <v>0123</v>
      </c>
      <c r="J479" s="44">
        <v>21</v>
      </c>
    </row>
    <row r="480" spans="2:10" ht="34.5">
      <c r="B480" s="63">
        <v>44957</v>
      </c>
      <c r="C480" s="64" t="s">
        <v>1048</v>
      </c>
      <c r="D480" s="64" t="s">
        <v>665</v>
      </c>
      <c r="E480" s="64" t="s">
        <v>308</v>
      </c>
      <c r="F480" s="64" t="s">
        <v>977</v>
      </c>
      <c r="G480" s="64" t="s">
        <v>1049</v>
      </c>
      <c r="H480" s="140">
        <v>72016411.209999993</v>
      </c>
      <c r="I480" s="45" t="str">
        <f t="shared" si="9"/>
        <v>0123</v>
      </c>
      <c r="J480" s="44">
        <v>21</v>
      </c>
    </row>
    <row r="481" spans="2:10" ht="34.5">
      <c r="B481" s="63">
        <v>44957</v>
      </c>
      <c r="C481" s="64" t="s">
        <v>1048</v>
      </c>
      <c r="D481" s="64" t="s">
        <v>665</v>
      </c>
      <c r="E481" s="64" t="s">
        <v>308</v>
      </c>
      <c r="F481" s="64" t="s">
        <v>977</v>
      </c>
      <c r="G481" s="64" t="s">
        <v>1049</v>
      </c>
      <c r="H481" s="140">
        <v>307070898.89999998</v>
      </c>
      <c r="I481" s="45" t="str">
        <f t="shared" si="9"/>
        <v>0123</v>
      </c>
      <c r="J481" s="44">
        <v>21</v>
      </c>
    </row>
    <row r="482" spans="2:10" ht="34.5">
      <c r="B482" s="63">
        <v>44957</v>
      </c>
      <c r="C482" s="64" t="s">
        <v>1048</v>
      </c>
      <c r="D482" s="64" t="s">
        <v>929</v>
      </c>
      <c r="E482" s="64" t="s">
        <v>308</v>
      </c>
      <c r="F482" s="64" t="s">
        <v>977</v>
      </c>
      <c r="G482" s="64" t="s">
        <v>1049</v>
      </c>
      <c r="H482" s="140">
        <v>327377688.69</v>
      </c>
      <c r="I482" s="45" t="str">
        <f t="shared" si="9"/>
        <v>0123</v>
      </c>
      <c r="J482" s="44">
        <v>21</v>
      </c>
    </row>
    <row r="483" spans="2:10" ht="34.5">
      <c r="B483" s="63">
        <v>44957</v>
      </c>
      <c r="C483" s="64" t="s">
        <v>1048</v>
      </c>
      <c r="D483" s="64" t="s">
        <v>931</v>
      </c>
      <c r="E483" s="64" t="s">
        <v>308</v>
      </c>
      <c r="F483" s="64" t="s">
        <v>977</v>
      </c>
      <c r="G483" s="64" t="s">
        <v>1049</v>
      </c>
      <c r="H483" s="140">
        <v>45833374.399999999</v>
      </c>
      <c r="I483" s="45" t="str">
        <f t="shared" si="9"/>
        <v>0123</v>
      </c>
      <c r="J483" s="44">
        <v>21</v>
      </c>
    </row>
    <row r="484" spans="2:10" ht="34.5">
      <c r="B484" s="63">
        <v>44957</v>
      </c>
      <c r="C484" s="64" t="s">
        <v>1048</v>
      </c>
      <c r="D484" s="64" t="s">
        <v>668</v>
      </c>
      <c r="E484" s="64" t="s">
        <v>308</v>
      </c>
      <c r="F484" s="64" t="s">
        <v>977</v>
      </c>
      <c r="G484" s="64" t="s">
        <v>1049</v>
      </c>
      <c r="H484" s="140">
        <v>344926457.26999998</v>
      </c>
      <c r="I484" s="45" t="str">
        <f t="shared" si="9"/>
        <v>0123</v>
      </c>
      <c r="J484" s="44">
        <v>21</v>
      </c>
    </row>
    <row r="485" spans="2:10" ht="34.5">
      <c r="B485" s="63">
        <v>44957</v>
      </c>
      <c r="C485" s="64" t="s">
        <v>1048</v>
      </c>
      <c r="D485" s="64" t="s">
        <v>711</v>
      </c>
      <c r="E485" s="64" t="s">
        <v>308</v>
      </c>
      <c r="F485" s="64" t="s">
        <v>977</v>
      </c>
      <c r="G485" s="64" t="s">
        <v>1049</v>
      </c>
      <c r="H485" s="140">
        <v>217453268.52000001</v>
      </c>
      <c r="I485" s="45" t="str">
        <f t="shared" si="9"/>
        <v>0123</v>
      </c>
      <c r="J485" s="44">
        <v>21</v>
      </c>
    </row>
    <row r="486" spans="2:10" ht="34.5">
      <c r="B486" s="63">
        <v>44957</v>
      </c>
      <c r="C486" s="64" t="s">
        <v>1048</v>
      </c>
      <c r="D486" s="64" t="s">
        <v>668</v>
      </c>
      <c r="E486" s="64" t="s">
        <v>308</v>
      </c>
      <c r="F486" s="64" t="s">
        <v>977</v>
      </c>
      <c r="G486" s="64" t="s">
        <v>1049</v>
      </c>
      <c r="H486" s="140">
        <v>265742411.65000001</v>
      </c>
      <c r="I486" s="45" t="str">
        <f t="shared" si="9"/>
        <v>0123</v>
      </c>
      <c r="J486" s="44">
        <v>21</v>
      </c>
    </row>
    <row r="487" spans="2:10" ht="34.5">
      <c r="B487" s="63">
        <v>44957</v>
      </c>
      <c r="C487" s="64" t="s">
        <v>1048</v>
      </c>
      <c r="D487" s="64" t="s">
        <v>815</v>
      </c>
      <c r="E487" s="64" t="s">
        <v>308</v>
      </c>
      <c r="F487" s="64" t="s">
        <v>977</v>
      </c>
      <c r="G487" s="64" t="s">
        <v>1049</v>
      </c>
      <c r="H487" s="140">
        <v>349627339.63999999</v>
      </c>
      <c r="I487" s="45" t="str">
        <f t="shared" si="9"/>
        <v>0123</v>
      </c>
      <c r="J487" s="44">
        <v>21</v>
      </c>
    </row>
    <row r="488" spans="2:10" ht="34.5">
      <c r="B488" s="63">
        <v>44957</v>
      </c>
      <c r="C488" s="64" t="s">
        <v>1048</v>
      </c>
      <c r="D488" s="64" t="s">
        <v>650</v>
      </c>
      <c r="E488" s="64" t="s">
        <v>308</v>
      </c>
      <c r="F488" s="64" t="s">
        <v>977</v>
      </c>
      <c r="G488" s="64" t="s">
        <v>1049</v>
      </c>
      <c r="H488" s="140">
        <v>1675016375</v>
      </c>
      <c r="I488" s="45" t="str">
        <f t="shared" si="9"/>
        <v>0123</v>
      </c>
      <c r="J488" s="44">
        <v>21</v>
      </c>
    </row>
    <row r="489" spans="2:10" ht="34.5">
      <c r="B489" s="63">
        <v>44957</v>
      </c>
      <c r="C489" s="64" t="s">
        <v>1050</v>
      </c>
      <c r="D489" s="64" t="s">
        <v>270</v>
      </c>
      <c r="E489" s="64" t="s">
        <v>308</v>
      </c>
      <c r="F489" s="64" t="s">
        <v>448</v>
      </c>
      <c r="G489" s="64" t="s">
        <v>1051</v>
      </c>
      <c r="H489" s="140">
        <v>1714908137</v>
      </c>
      <c r="I489" s="45" t="str">
        <f t="shared" si="9"/>
        <v>0123</v>
      </c>
      <c r="J489" s="45" t="s">
        <v>535</v>
      </c>
    </row>
    <row r="490" spans="2:10" ht="34.5">
      <c r="B490" s="63">
        <v>44957</v>
      </c>
      <c r="C490" s="64" t="s">
        <v>1052</v>
      </c>
      <c r="D490" s="64" t="s">
        <v>270</v>
      </c>
      <c r="E490" s="64" t="s">
        <v>308</v>
      </c>
      <c r="F490" s="64" t="s">
        <v>455</v>
      </c>
      <c r="G490" s="64" t="s">
        <v>1053</v>
      </c>
      <c r="H490" s="140">
        <v>3811403962</v>
      </c>
      <c r="I490" s="45" t="str">
        <f t="shared" si="9"/>
        <v>0123</v>
      </c>
      <c r="J490" s="45" t="s">
        <v>535</v>
      </c>
    </row>
    <row r="491" spans="2:10" ht="34.5">
      <c r="B491" s="63">
        <v>44957</v>
      </c>
      <c r="C491" s="64" t="s">
        <v>1054</v>
      </c>
      <c r="D491" s="64" t="s">
        <v>270</v>
      </c>
      <c r="E491" s="64" t="s">
        <v>308</v>
      </c>
      <c r="F491" s="64" t="s">
        <v>455</v>
      </c>
      <c r="G491" s="64" t="s">
        <v>1055</v>
      </c>
      <c r="H491" s="140">
        <v>3811403962</v>
      </c>
      <c r="I491" s="45" t="str">
        <f t="shared" si="9"/>
        <v>0123</v>
      </c>
      <c r="J491" s="45" t="s">
        <v>535</v>
      </c>
    </row>
    <row r="492" spans="2:10" ht="34.5">
      <c r="B492" s="63">
        <v>44957</v>
      </c>
      <c r="C492" s="64" t="s">
        <v>1043</v>
      </c>
      <c r="D492" s="64" t="s">
        <v>270</v>
      </c>
      <c r="E492" s="64" t="s">
        <v>140</v>
      </c>
      <c r="F492" s="64" t="s">
        <v>1056</v>
      </c>
      <c r="G492" s="64" t="s">
        <v>1057</v>
      </c>
      <c r="H492" s="66">
        <v>734999</v>
      </c>
      <c r="I492" s="45" t="str">
        <f t="shared" si="9"/>
        <v>0123</v>
      </c>
      <c r="J492" s="35" t="s">
        <v>2282</v>
      </c>
    </row>
    <row r="493" spans="2:10">
      <c r="B493" s="63">
        <v>44957</v>
      </c>
      <c r="C493" s="64" t="s">
        <v>1058</v>
      </c>
      <c r="D493" s="104" t="s">
        <v>2516</v>
      </c>
      <c r="E493" s="64" t="s">
        <v>495</v>
      </c>
      <c r="F493" s="64" t="s">
        <v>1059</v>
      </c>
      <c r="G493" s="64"/>
      <c r="H493" s="187">
        <v>507084982</v>
      </c>
      <c r="I493" s="45" t="str">
        <f t="shared" si="9"/>
        <v>0123</v>
      </c>
      <c r="J493" s="45">
        <v>331</v>
      </c>
    </row>
    <row r="494" spans="2:10" ht="23">
      <c r="B494" s="63">
        <v>44957</v>
      </c>
      <c r="C494" s="64" t="s">
        <v>1060</v>
      </c>
      <c r="D494" s="64" t="s">
        <v>270</v>
      </c>
      <c r="E494" s="64" t="s">
        <v>514</v>
      </c>
      <c r="F494" s="64" t="s">
        <v>1061</v>
      </c>
      <c r="G494" s="64" t="s">
        <v>1062</v>
      </c>
      <c r="H494" s="66">
        <v>1352000</v>
      </c>
      <c r="I494" s="45" t="str">
        <f t="shared" si="9"/>
        <v>0123</v>
      </c>
      <c r="J494" s="44" t="s">
        <v>2282</v>
      </c>
    </row>
    <row r="495" spans="2:10" ht="23">
      <c r="B495" s="63">
        <v>44957</v>
      </c>
      <c r="C495" s="64" t="s">
        <v>1060</v>
      </c>
      <c r="D495" s="64" t="s">
        <v>931</v>
      </c>
      <c r="E495" s="64" t="s">
        <v>495</v>
      </c>
      <c r="F495" s="64" t="s">
        <v>1063</v>
      </c>
      <c r="G495" s="64" t="s">
        <v>1064</v>
      </c>
      <c r="H495" s="162">
        <v>196000</v>
      </c>
      <c r="I495" s="45" t="str">
        <f t="shared" si="9"/>
        <v>0123</v>
      </c>
      <c r="J495" s="44">
        <v>24</v>
      </c>
    </row>
    <row r="496" spans="2:10" ht="34.5">
      <c r="B496" s="63">
        <v>44957</v>
      </c>
      <c r="C496" s="64" t="s">
        <v>1043</v>
      </c>
      <c r="D496" s="64" t="s">
        <v>270</v>
      </c>
      <c r="E496" s="64" t="s">
        <v>271</v>
      </c>
      <c r="F496" s="64" t="s">
        <v>1065</v>
      </c>
      <c r="G496" s="64" t="s">
        <v>1066</v>
      </c>
      <c r="H496" s="66">
        <v>924900</v>
      </c>
      <c r="I496" s="45" t="str">
        <f t="shared" si="9"/>
        <v>0123</v>
      </c>
      <c r="J496" s="44" t="s">
        <v>2282</v>
      </c>
    </row>
    <row r="497" spans="2:10">
      <c r="B497" s="63">
        <v>44957</v>
      </c>
      <c r="C497" s="64" t="s">
        <v>1067</v>
      </c>
      <c r="D497" s="64" t="s">
        <v>270</v>
      </c>
      <c r="E497" s="64" t="s">
        <v>495</v>
      </c>
      <c r="F497" s="64" t="s">
        <v>1068</v>
      </c>
      <c r="G497" s="64"/>
      <c r="H497" s="66">
        <v>50000</v>
      </c>
      <c r="I497" s="45" t="str">
        <f t="shared" si="9"/>
        <v>0123</v>
      </c>
      <c r="J497" s="44">
        <v>330</v>
      </c>
    </row>
    <row r="498" spans="2:10" ht="23">
      <c r="B498" s="63">
        <v>44957</v>
      </c>
      <c r="C498" s="64" t="s">
        <v>1067</v>
      </c>
      <c r="D498" s="64" t="s">
        <v>270</v>
      </c>
      <c r="E498" s="64" t="s">
        <v>622</v>
      </c>
      <c r="F498" s="64" t="s">
        <v>1069</v>
      </c>
      <c r="G498" s="64"/>
      <c r="H498" s="66">
        <v>303515.98</v>
      </c>
      <c r="I498" s="45" t="str">
        <f t="shared" si="9"/>
        <v>0123</v>
      </c>
      <c r="J498" s="44">
        <v>330</v>
      </c>
    </row>
    <row r="499" spans="2:10" ht="23">
      <c r="B499" s="63">
        <v>44957</v>
      </c>
      <c r="C499" s="64" t="s">
        <v>1067</v>
      </c>
      <c r="D499" s="64" t="s">
        <v>703</v>
      </c>
      <c r="E499" s="64" t="s">
        <v>633</v>
      </c>
      <c r="F499" s="64" t="s">
        <v>1070</v>
      </c>
      <c r="G499" s="64" t="s">
        <v>1071</v>
      </c>
      <c r="H499" s="66">
        <v>563304</v>
      </c>
      <c r="I499" s="45" t="str">
        <f t="shared" si="9"/>
        <v>0123</v>
      </c>
      <c r="J499" s="44">
        <v>329</v>
      </c>
    </row>
    <row r="500" spans="2:10">
      <c r="B500" s="63">
        <v>44957</v>
      </c>
      <c r="C500" s="64" t="s">
        <v>1067</v>
      </c>
      <c r="D500" s="64" t="s">
        <v>270</v>
      </c>
      <c r="E500" s="64" t="s">
        <v>495</v>
      </c>
      <c r="F500" s="64" t="s">
        <v>1072</v>
      </c>
      <c r="G500" s="64" t="s">
        <v>1073</v>
      </c>
      <c r="H500" s="66">
        <v>634000</v>
      </c>
      <c r="I500" s="45" t="str">
        <f t="shared" si="9"/>
        <v>0123</v>
      </c>
      <c r="J500" s="44">
        <v>330</v>
      </c>
    </row>
    <row r="501" spans="2:10" ht="23">
      <c r="B501" s="63">
        <v>44957</v>
      </c>
      <c r="C501" s="64" t="s">
        <v>1067</v>
      </c>
      <c r="D501" s="64" t="s">
        <v>270</v>
      </c>
      <c r="E501" s="64" t="s">
        <v>622</v>
      </c>
      <c r="F501" s="64" t="s">
        <v>1069</v>
      </c>
      <c r="G501" s="64" t="s">
        <v>733</v>
      </c>
      <c r="H501" s="66">
        <v>658550.24</v>
      </c>
      <c r="I501" s="45" t="str">
        <f t="shared" si="9"/>
        <v>0123</v>
      </c>
      <c r="J501" s="44">
        <v>327</v>
      </c>
    </row>
    <row r="502" spans="2:10">
      <c r="B502" s="63">
        <v>44957</v>
      </c>
      <c r="C502" s="64" t="s">
        <v>1067</v>
      </c>
      <c r="D502" s="64" t="s">
        <v>270</v>
      </c>
      <c r="E502" s="64" t="s">
        <v>495</v>
      </c>
      <c r="F502" s="64" t="s">
        <v>1074</v>
      </c>
      <c r="G502" s="64" t="s">
        <v>1075</v>
      </c>
      <c r="H502" s="66">
        <v>890000</v>
      </c>
      <c r="I502" s="45" t="str">
        <f t="shared" si="9"/>
        <v>0123</v>
      </c>
      <c r="J502" s="44">
        <v>330</v>
      </c>
    </row>
    <row r="503" spans="2:10" ht="23">
      <c r="B503" s="63">
        <v>44957</v>
      </c>
      <c r="C503" s="64" t="s">
        <v>1067</v>
      </c>
      <c r="D503" s="64" t="s">
        <v>270</v>
      </c>
      <c r="E503" s="64" t="s">
        <v>495</v>
      </c>
      <c r="F503" s="64" t="s">
        <v>1076</v>
      </c>
      <c r="G503" s="64" t="s">
        <v>1077</v>
      </c>
      <c r="H503" s="66">
        <v>900000</v>
      </c>
      <c r="I503" s="45" t="str">
        <f t="shared" si="9"/>
        <v>0123</v>
      </c>
      <c r="J503" s="44">
        <v>330</v>
      </c>
    </row>
    <row r="504" spans="2:10" ht="23">
      <c r="B504" s="63">
        <v>44957</v>
      </c>
      <c r="C504" s="64" t="s">
        <v>1067</v>
      </c>
      <c r="D504" s="64" t="s">
        <v>270</v>
      </c>
      <c r="E504" s="64" t="s">
        <v>622</v>
      </c>
      <c r="F504" s="64" t="s">
        <v>1069</v>
      </c>
      <c r="G504" s="64" t="s">
        <v>1078</v>
      </c>
      <c r="H504" s="66">
        <v>956283.33</v>
      </c>
      <c r="I504" s="45" t="str">
        <f t="shared" si="9"/>
        <v>0123</v>
      </c>
      <c r="J504" s="44">
        <v>327</v>
      </c>
    </row>
    <row r="505" spans="2:10" ht="23">
      <c r="B505" s="63">
        <v>44957</v>
      </c>
      <c r="C505" s="64" t="s">
        <v>1067</v>
      </c>
      <c r="D505" s="64" t="s">
        <v>270</v>
      </c>
      <c r="E505" s="64" t="s">
        <v>622</v>
      </c>
      <c r="F505" s="64" t="s">
        <v>1069</v>
      </c>
      <c r="G505" s="64" t="s">
        <v>732</v>
      </c>
      <c r="H505" s="66">
        <v>966508.96</v>
      </c>
      <c r="I505" s="45" t="str">
        <f t="shared" si="9"/>
        <v>0123</v>
      </c>
      <c r="J505" s="44">
        <v>327</v>
      </c>
    </row>
    <row r="506" spans="2:10" ht="23">
      <c r="B506" s="63">
        <v>44957</v>
      </c>
      <c r="C506" s="64" t="s">
        <v>1067</v>
      </c>
      <c r="D506" s="64" t="s">
        <v>270</v>
      </c>
      <c r="E506" s="64" t="s">
        <v>514</v>
      </c>
      <c r="F506" s="64" t="s">
        <v>1069</v>
      </c>
      <c r="G506" s="64" t="s">
        <v>1079</v>
      </c>
      <c r="H506" s="66">
        <v>1339055.68</v>
      </c>
      <c r="I506" s="45" t="str">
        <f t="shared" si="9"/>
        <v>0123</v>
      </c>
      <c r="J506" s="44" t="s">
        <v>2344</v>
      </c>
    </row>
    <row r="507" spans="2:10" ht="23">
      <c r="B507" s="63">
        <v>44957</v>
      </c>
      <c r="C507" s="64" t="s">
        <v>1067</v>
      </c>
      <c r="D507" s="64" t="s">
        <v>270</v>
      </c>
      <c r="E507" s="64" t="s">
        <v>495</v>
      </c>
      <c r="F507" s="64" t="s">
        <v>1080</v>
      </c>
      <c r="G507" s="64" t="s">
        <v>1081</v>
      </c>
      <c r="H507" s="66">
        <v>2561000</v>
      </c>
      <c r="I507" s="45" t="str">
        <f t="shared" si="9"/>
        <v>0123</v>
      </c>
      <c r="J507" s="44">
        <v>330</v>
      </c>
    </row>
    <row r="508" spans="2:10" ht="34.5">
      <c r="B508" s="63">
        <v>44957</v>
      </c>
      <c r="C508" s="64" t="s">
        <v>1067</v>
      </c>
      <c r="D508" s="64" t="s">
        <v>270</v>
      </c>
      <c r="E508" s="64" t="s">
        <v>622</v>
      </c>
      <c r="F508" s="64" t="s">
        <v>1069</v>
      </c>
      <c r="G508" s="64" t="s">
        <v>1082</v>
      </c>
      <c r="H508" s="66">
        <v>2722738.93</v>
      </c>
      <c r="I508" s="45" t="str">
        <f t="shared" si="9"/>
        <v>0123</v>
      </c>
      <c r="J508" s="44">
        <v>328</v>
      </c>
    </row>
    <row r="509" spans="2:10" ht="23">
      <c r="B509" s="63">
        <v>44957</v>
      </c>
      <c r="C509" s="64" t="s">
        <v>1067</v>
      </c>
      <c r="D509" s="64" t="s">
        <v>270</v>
      </c>
      <c r="E509" s="64" t="s">
        <v>622</v>
      </c>
      <c r="F509" s="64" t="s">
        <v>1069</v>
      </c>
      <c r="G509" s="64" t="s">
        <v>1083</v>
      </c>
      <c r="H509" s="66">
        <v>3242058.67</v>
      </c>
      <c r="I509" s="45" t="str">
        <f t="shared" si="9"/>
        <v>0123</v>
      </c>
      <c r="J509" s="44">
        <v>328</v>
      </c>
    </row>
    <row r="510" spans="2:10" ht="23">
      <c r="B510" s="63">
        <v>44957</v>
      </c>
      <c r="C510" s="64" t="s">
        <v>1067</v>
      </c>
      <c r="D510" s="64" t="s">
        <v>270</v>
      </c>
      <c r="E510" s="64" t="s">
        <v>622</v>
      </c>
      <c r="F510" s="64" t="s">
        <v>1069</v>
      </c>
      <c r="G510" s="64" t="s">
        <v>1084</v>
      </c>
      <c r="H510" s="66">
        <v>3893456.87</v>
      </c>
      <c r="I510" s="45" t="str">
        <f t="shared" si="9"/>
        <v>0123</v>
      </c>
      <c r="J510" s="44">
        <v>328</v>
      </c>
    </row>
    <row r="511" spans="2:10" ht="23">
      <c r="B511" s="63">
        <v>44957</v>
      </c>
      <c r="C511" s="64" t="s">
        <v>1067</v>
      </c>
      <c r="D511" s="64" t="s">
        <v>270</v>
      </c>
      <c r="E511" s="64" t="s">
        <v>622</v>
      </c>
      <c r="F511" s="64" t="s">
        <v>1069</v>
      </c>
      <c r="G511" s="64" t="s">
        <v>1085</v>
      </c>
      <c r="H511" s="66">
        <v>5877777.1399999997</v>
      </c>
      <c r="I511" s="45" t="str">
        <f t="shared" si="9"/>
        <v>0123</v>
      </c>
      <c r="J511" s="44">
        <v>328</v>
      </c>
    </row>
    <row r="512" spans="2:10" ht="23">
      <c r="B512" s="63">
        <v>44957</v>
      </c>
      <c r="C512" s="64" t="s">
        <v>1067</v>
      </c>
      <c r="D512" s="64" t="s">
        <v>270</v>
      </c>
      <c r="E512" s="64" t="s">
        <v>622</v>
      </c>
      <c r="F512" s="64" t="s">
        <v>1069</v>
      </c>
      <c r="G512" s="64" t="s">
        <v>625</v>
      </c>
      <c r="H512" s="66">
        <v>6954382.9800000004</v>
      </c>
      <c r="I512" s="45" t="str">
        <f t="shared" si="9"/>
        <v>0123</v>
      </c>
      <c r="J512" s="44">
        <v>328</v>
      </c>
    </row>
    <row r="513" spans="2:10" ht="23">
      <c r="B513" s="63">
        <v>44957</v>
      </c>
      <c r="C513" s="64" t="s">
        <v>1067</v>
      </c>
      <c r="D513" s="64" t="s">
        <v>270</v>
      </c>
      <c r="E513" s="64" t="s">
        <v>622</v>
      </c>
      <c r="F513" s="64" t="s">
        <v>1069</v>
      </c>
      <c r="G513" s="64" t="s">
        <v>1086</v>
      </c>
      <c r="H513" s="66">
        <v>8022790.8600000003</v>
      </c>
      <c r="I513" s="45" t="str">
        <f t="shared" si="9"/>
        <v>0123</v>
      </c>
      <c r="J513" s="44">
        <v>328</v>
      </c>
    </row>
    <row r="514" spans="2:10" ht="23">
      <c r="B514" s="63">
        <v>44957</v>
      </c>
      <c r="C514" s="64" t="s">
        <v>1067</v>
      </c>
      <c r="D514" s="64" t="s">
        <v>270</v>
      </c>
      <c r="E514" s="64" t="s">
        <v>622</v>
      </c>
      <c r="F514" s="64" t="s">
        <v>1069</v>
      </c>
      <c r="G514" s="64" t="s">
        <v>1087</v>
      </c>
      <c r="H514" s="66">
        <v>9459864</v>
      </c>
      <c r="I514" s="45" t="str">
        <f t="shared" si="9"/>
        <v>0123</v>
      </c>
      <c r="J514" s="44">
        <v>327</v>
      </c>
    </row>
    <row r="515" spans="2:10" ht="23">
      <c r="B515" s="63">
        <v>44957</v>
      </c>
      <c r="C515" s="64" t="s">
        <v>1067</v>
      </c>
      <c r="D515" s="64" t="s">
        <v>270</v>
      </c>
      <c r="E515" s="64" t="s">
        <v>622</v>
      </c>
      <c r="F515" s="64" t="s">
        <v>1069</v>
      </c>
      <c r="G515" s="64" t="s">
        <v>1088</v>
      </c>
      <c r="H515" s="66">
        <v>12164586.65</v>
      </c>
      <c r="I515" s="45" t="str">
        <f t="shared" si="9"/>
        <v>0123</v>
      </c>
      <c r="J515" s="44">
        <v>328</v>
      </c>
    </row>
    <row r="516" spans="2:10" ht="23">
      <c r="B516" s="63">
        <v>44957</v>
      </c>
      <c r="C516" s="64" t="s">
        <v>1067</v>
      </c>
      <c r="D516" s="64" t="s">
        <v>270</v>
      </c>
      <c r="E516" s="64" t="s">
        <v>622</v>
      </c>
      <c r="F516" s="64" t="s">
        <v>1069</v>
      </c>
      <c r="G516" s="64" t="s">
        <v>1089</v>
      </c>
      <c r="H516" s="66">
        <v>17823948.149999999</v>
      </c>
      <c r="I516" s="45" t="str">
        <f t="shared" si="9"/>
        <v>0123</v>
      </c>
      <c r="J516" s="44">
        <v>327</v>
      </c>
    </row>
    <row r="517" spans="2:10" ht="23">
      <c r="B517" s="63">
        <v>44957</v>
      </c>
      <c r="C517" s="64" t="s">
        <v>1067</v>
      </c>
      <c r="D517" s="64" t="s">
        <v>270</v>
      </c>
      <c r="E517" s="64" t="s">
        <v>622</v>
      </c>
      <c r="F517" s="64" t="s">
        <v>1069</v>
      </c>
      <c r="G517" s="64" t="s">
        <v>1090</v>
      </c>
      <c r="H517" s="66">
        <v>20935044</v>
      </c>
      <c r="I517" s="45" t="str">
        <f t="shared" si="9"/>
        <v>0123</v>
      </c>
      <c r="J517" s="45">
        <v>41</v>
      </c>
    </row>
    <row r="518" spans="2:10" ht="23">
      <c r="B518" s="63">
        <v>44957</v>
      </c>
      <c r="C518" s="64" t="s">
        <v>1067</v>
      </c>
      <c r="D518" s="64" t="s">
        <v>270</v>
      </c>
      <c r="E518" s="64" t="s">
        <v>622</v>
      </c>
      <c r="F518" s="64" t="s">
        <v>1069</v>
      </c>
      <c r="G518" s="64" t="s">
        <v>1091</v>
      </c>
      <c r="H518" s="66">
        <v>22149925.460000001</v>
      </c>
      <c r="I518" s="45" t="str">
        <f t="shared" si="9"/>
        <v>0123</v>
      </c>
      <c r="J518" s="45">
        <v>41</v>
      </c>
    </row>
    <row r="519" spans="2:10" ht="23">
      <c r="B519" s="63">
        <v>44957</v>
      </c>
      <c r="C519" s="64" t="s">
        <v>1067</v>
      </c>
      <c r="D519" s="64" t="s">
        <v>270</v>
      </c>
      <c r="E519" s="64" t="s">
        <v>622</v>
      </c>
      <c r="F519" s="64" t="s">
        <v>1069</v>
      </c>
      <c r="G519" s="64" t="s">
        <v>1092</v>
      </c>
      <c r="H519" s="66">
        <v>32851876.07</v>
      </c>
      <c r="I519" s="45" t="str">
        <f t="shared" si="9"/>
        <v>0123</v>
      </c>
      <c r="J519" s="45">
        <v>41</v>
      </c>
    </row>
    <row r="520" spans="2:10" ht="23">
      <c r="B520" s="63">
        <v>44957</v>
      </c>
      <c r="C520" s="64" t="s">
        <v>1067</v>
      </c>
      <c r="D520" s="64" t="s">
        <v>270</v>
      </c>
      <c r="E520" s="64" t="s">
        <v>622</v>
      </c>
      <c r="F520" s="64" t="s">
        <v>1069</v>
      </c>
      <c r="G520" s="64" t="s">
        <v>1093</v>
      </c>
      <c r="H520" s="66">
        <v>66635520</v>
      </c>
      <c r="I520" s="45" t="str">
        <f t="shared" si="9"/>
        <v>0123</v>
      </c>
      <c r="J520" s="45">
        <v>41</v>
      </c>
    </row>
    <row r="521" spans="2:10" ht="23">
      <c r="B521" s="63">
        <v>44957</v>
      </c>
      <c r="C521" s="64" t="s">
        <v>1067</v>
      </c>
      <c r="D521" s="64" t="s">
        <v>270</v>
      </c>
      <c r="E521" s="64" t="s">
        <v>622</v>
      </c>
      <c r="F521" s="64" t="s">
        <v>1069</v>
      </c>
      <c r="G521" s="64" t="s">
        <v>1094</v>
      </c>
      <c r="H521" s="66">
        <v>168242256</v>
      </c>
      <c r="I521" s="45" t="str">
        <f t="shared" si="9"/>
        <v>0123</v>
      </c>
      <c r="J521" s="45">
        <v>41</v>
      </c>
    </row>
    <row r="522" spans="2:10" ht="23">
      <c r="B522" s="63">
        <v>44957</v>
      </c>
      <c r="C522" s="64" t="s">
        <v>1067</v>
      </c>
      <c r="D522" s="64" t="s">
        <v>270</v>
      </c>
      <c r="E522" s="64" t="s">
        <v>622</v>
      </c>
      <c r="F522" s="64" t="s">
        <v>1069</v>
      </c>
      <c r="G522" s="64" t="s">
        <v>1095</v>
      </c>
      <c r="H522" s="66">
        <v>229892544</v>
      </c>
      <c r="I522" s="45" t="str">
        <f t="shared" si="9"/>
        <v>0123</v>
      </c>
      <c r="J522" s="45">
        <v>41</v>
      </c>
    </row>
    <row r="523" spans="2:10">
      <c r="B523" s="63">
        <v>44957</v>
      </c>
      <c r="C523" s="64" t="s">
        <v>1096</v>
      </c>
      <c r="D523" s="64" t="s">
        <v>740</v>
      </c>
      <c r="E523" s="64" t="s">
        <v>633</v>
      </c>
      <c r="F523" s="64" t="s">
        <v>1097</v>
      </c>
      <c r="G523" s="64"/>
      <c r="H523" s="66">
        <v>55236232.670000002</v>
      </c>
      <c r="I523" s="45" t="str">
        <f t="shared" si="9"/>
        <v>0123</v>
      </c>
      <c r="J523" s="44" t="s">
        <v>870</v>
      </c>
    </row>
    <row r="524" spans="2:10">
      <c r="B524" s="69">
        <v>44960</v>
      </c>
      <c r="C524" s="70" t="s">
        <v>1123</v>
      </c>
      <c r="D524" s="70" t="s">
        <v>270</v>
      </c>
      <c r="E524" s="70" t="s">
        <v>514</v>
      </c>
      <c r="F524" s="70" t="s">
        <v>908</v>
      </c>
      <c r="G524" s="70" t="s">
        <v>1124</v>
      </c>
      <c r="H524" s="71">
        <v>256000</v>
      </c>
      <c r="I524" s="45" t="str">
        <f t="shared" si="9"/>
        <v>0223</v>
      </c>
      <c r="J524" s="72" t="s">
        <v>2431</v>
      </c>
    </row>
    <row r="525" spans="2:10" ht="23">
      <c r="B525" s="69">
        <v>44963</v>
      </c>
      <c r="C525" s="70" t="s">
        <v>1125</v>
      </c>
      <c r="D525" s="70" t="s">
        <v>270</v>
      </c>
      <c r="E525" s="70" t="s">
        <v>271</v>
      </c>
      <c r="F525" s="70" t="s">
        <v>396</v>
      </c>
      <c r="G525" s="70" t="s">
        <v>1126</v>
      </c>
      <c r="H525" s="71">
        <v>941100</v>
      </c>
      <c r="I525" s="45" t="str">
        <f t="shared" si="9"/>
        <v>0223</v>
      </c>
      <c r="J525" s="35" t="s">
        <v>2282</v>
      </c>
    </row>
    <row r="526" spans="2:10">
      <c r="B526" s="69">
        <v>44968</v>
      </c>
      <c r="C526" s="70" t="s">
        <v>1127</v>
      </c>
      <c r="D526" s="70" t="s">
        <v>270</v>
      </c>
      <c r="E526" s="70" t="s">
        <v>514</v>
      </c>
      <c r="F526" s="70" t="s">
        <v>908</v>
      </c>
      <c r="G526" s="70" t="s">
        <v>1128</v>
      </c>
      <c r="H526" s="71">
        <v>320000</v>
      </c>
      <c r="I526" s="45" t="str">
        <f t="shared" si="9"/>
        <v>0223</v>
      </c>
      <c r="J526" s="72" t="s">
        <v>2431</v>
      </c>
    </row>
    <row r="527" spans="2:10" ht="46">
      <c r="B527" s="69">
        <v>44985</v>
      </c>
      <c r="C527" s="70" t="s">
        <v>1129</v>
      </c>
      <c r="D527" s="70" t="s">
        <v>270</v>
      </c>
      <c r="E527" s="70" t="s">
        <v>308</v>
      </c>
      <c r="F527" s="70" t="s">
        <v>1130</v>
      </c>
      <c r="G527" s="70" t="s">
        <v>1131</v>
      </c>
      <c r="H527" s="71">
        <v>47312237</v>
      </c>
      <c r="I527" s="45" t="str">
        <f t="shared" si="9"/>
        <v>0223</v>
      </c>
      <c r="J527" s="72" t="s">
        <v>532</v>
      </c>
    </row>
    <row r="528" spans="2:10">
      <c r="B528" s="69">
        <v>44985</v>
      </c>
      <c r="C528" s="70" t="s">
        <v>1129</v>
      </c>
      <c r="D528" s="70" t="s">
        <v>270</v>
      </c>
      <c r="E528" s="70" t="s">
        <v>308</v>
      </c>
      <c r="F528" s="70" t="s">
        <v>1132</v>
      </c>
      <c r="G528" s="70"/>
      <c r="H528" s="71">
        <v>-1</v>
      </c>
      <c r="I528" s="45" t="str">
        <f t="shared" si="9"/>
        <v>0223</v>
      </c>
      <c r="J528" s="72" t="s">
        <v>533</v>
      </c>
    </row>
    <row r="529" spans="2:10" ht="69">
      <c r="B529" s="69">
        <v>44985</v>
      </c>
      <c r="C529" s="70" t="s">
        <v>1133</v>
      </c>
      <c r="D529" s="70" t="s">
        <v>270</v>
      </c>
      <c r="E529" s="70" t="s">
        <v>140</v>
      </c>
      <c r="F529" s="70" t="s">
        <v>1134</v>
      </c>
      <c r="G529" s="70" t="s">
        <v>1135</v>
      </c>
      <c r="H529" s="71">
        <v>15000000</v>
      </c>
      <c r="I529" s="45" t="str">
        <f t="shared" si="9"/>
        <v>0223</v>
      </c>
      <c r="J529" s="72" t="s">
        <v>582</v>
      </c>
    </row>
    <row r="530" spans="2:10">
      <c r="B530" s="69">
        <v>44985</v>
      </c>
      <c r="C530" s="70" t="s">
        <v>1136</v>
      </c>
      <c r="D530" s="104" t="s">
        <v>270</v>
      </c>
      <c r="E530" s="70" t="s">
        <v>495</v>
      </c>
      <c r="F530" s="70" t="s">
        <v>1137</v>
      </c>
      <c r="G530" s="70" t="s">
        <v>2389</v>
      </c>
      <c r="H530" s="117">
        <v>49900648</v>
      </c>
      <c r="I530" s="45" t="str">
        <f t="shared" si="9"/>
        <v>0223</v>
      </c>
      <c r="J530" s="30">
        <v>339</v>
      </c>
    </row>
    <row r="531" spans="2:10" ht="23">
      <c r="B531" s="69">
        <v>44985</v>
      </c>
      <c r="C531" s="70" t="s">
        <v>1138</v>
      </c>
      <c r="D531" s="70" t="s">
        <v>270</v>
      </c>
      <c r="E531" s="70" t="s">
        <v>308</v>
      </c>
      <c r="F531" s="70" t="s">
        <v>448</v>
      </c>
      <c r="G531" s="70" t="s">
        <v>1139</v>
      </c>
      <c r="H531" s="137">
        <v>5532086828</v>
      </c>
      <c r="I531" s="45" t="str">
        <f t="shared" si="9"/>
        <v>0223</v>
      </c>
      <c r="J531" s="72" t="s">
        <v>535</v>
      </c>
    </row>
    <row r="532" spans="2:10" ht="34.5">
      <c r="B532" s="69">
        <v>44985</v>
      </c>
      <c r="C532" s="70" t="s">
        <v>1140</v>
      </c>
      <c r="D532" s="70" t="s">
        <v>270</v>
      </c>
      <c r="E532" s="70" t="s">
        <v>308</v>
      </c>
      <c r="F532" s="70" t="s">
        <v>1141</v>
      </c>
      <c r="G532" s="70" t="s">
        <v>1142</v>
      </c>
      <c r="H532" s="71">
        <v>986476275</v>
      </c>
      <c r="I532" s="45" t="str">
        <f t="shared" si="9"/>
        <v>0223</v>
      </c>
      <c r="J532" s="72" t="s">
        <v>536</v>
      </c>
    </row>
    <row r="533" spans="2:10" ht="34.5">
      <c r="B533" s="69">
        <v>44985</v>
      </c>
      <c r="C533" s="70" t="s">
        <v>1143</v>
      </c>
      <c r="D533" s="70" t="s">
        <v>270</v>
      </c>
      <c r="E533" s="70" t="s">
        <v>495</v>
      </c>
      <c r="F533" s="70" t="s">
        <v>1144</v>
      </c>
      <c r="G533" s="70" t="s">
        <v>1145</v>
      </c>
      <c r="H533" s="71">
        <v>5000000</v>
      </c>
      <c r="I533" s="45" t="str">
        <f t="shared" si="9"/>
        <v>0223</v>
      </c>
      <c r="J533" s="72" t="s">
        <v>537</v>
      </c>
    </row>
    <row r="534" spans="2:10">
      <c r="B534" s="69">
        <v>44985</v>
      </c>
      <c r="C534" s="70" t="s">
        <v>1146</v>
      </c>
      <c r="D534" s="70" t="s">
        <v>270</v>
      </c>
      <c r="E534" s="70" t="s">
        <v>514</v>
      </c>
      <c r="F534" s="70" t="s">
        <v>1147</v>
      </c>
      <c r="G534" s="70" t="s">
        <v>1148</v>
      </c>
      <c r="H534" s="71">
        <v>840000</v>
      </c>
      <c r="I534" s="45" t="str">
        <f t="shared" si="9"/>
        <v>0223</v>
      </c>
      <c r="J534" s="44">
        <v>330</v>
      </c>
    </row>
    <row r="535" spans="2:10">
      <c r="B535" s="69">
        <v>44985</v>
      </c>
      <c r="C535" s="70" t="s">
        <v>1146</v>
      </c>
      <c r="D535" s="70" t="s">
        <v>270</v>
      </c>
      <c r="E535" s="70" t="s">
        <v>495</v>
      </c>
      <c r="F535" s="70" t="s">
        <v>1149</v>
      </c>
      <c r="G535" s="70" t="s">
        <v>1150</v>
      </c>
      <c r="H535" s="71">
        <v>420500</v>
      </c>
      <c r="I535" s="45" t="str">
        <f t="shared" si="9"/>
        <v>0223</v>
      </c>
      <c r="J535" s="44">
        <v>330</v>
      </c>
    </row>
    <row r="536" spans="2:10" ht="23">
      <c r="B536" s="69">
        <v>44985</v>
      </c>
      <c r="C536" s="70" t="s">
        <v>1146</v>
      </c>
      <c r="D536" s="70" t="s">
        <v>270</v>
      </c>
      <c r="E536" s="70" t="s">
        <v>495</v>
      </c>
      <c r="F536" s="70" t="s">
        <v>1151</v>
      </c>
      <c r="G536" s="70" t="s">
        <v>1073</v>
      </c>
      <c r="H536" s="71">
        <v>450000</v>
      </c>
      <c r="I536" s="45" t="str">
        <f t="shared" si="9"/>
        <v>0223</v>
      </c>
      <c r="J536" s="44">
        <v>330</v>
      </c>
    </row>
    <row r="537" spans="2:10">
      <c r="B537" s="69">
        <v>44985</v>
      </c>
      <c r="C537" s="70" t="s">
        <v>1146</v>
      </c>
      <c r="D537" s="70" t="s">
        <v>270</v>
      </c>
      <c r="E537" s="70" t="s">
        <v>495</v>
      </c>
      <c r="F537" s="70" t="s">
        <v>1152</v>
      </c>
      <c r="G537" s="70" t="s">
        <v>1153</v>
      </c>
      <c r="H537" s="71">
        <v>310000</v>
      </c>
      <c r="I537" s="45" t="str">
        <f t="shared" si="9"/>
        <v>0223</v>
      </c>
      <c r="J537" s="44">
        <v>330</v>
      </c>
    </row>
    <row r="538" spans="2:10" ht="23">
      <c r="B538" s="69">
        <v>44985</v>
      </c>
      <c r="C538" s="70" t="s">
        <v>1146</v>
      </c>
      <c r="D538" s="70" t="s">
        <v>270</v>
      </c>
      <c r="E538" s="70" t="s">
        <v>495</v>
      </c>
      <c r="F538" s="70" t="s">
        <v>1154</v>
      </c>
      <c r="G538" s="70" t="s">
        <v>1153</v>
      </c>
      <c r="H538" s="71">
        <v>110000</v>
      </c>
      <c r="I538" s="45" t="str">
        <f t="shared" si="9"/>
        <v>0223</v>
      </c>
      <c r="J538" s="44">
        <v>330</v>
      </c>
    </row>
    <row r="539" spans="2:10">
      <c r="B539" s="69">
        <v>44985</v>
      </c>
      <c r="C539" s="70" t="s">
        <v>1146</v>
      </c>
      <c r="D539" s="70" t="s">
        <v>270</v>
      </c>
      <c r="E539" s="70" t="s">
        <v>495</v>
      </c>
      <c r="F539" s="70" t="s">
        <v>1155</v>
      </c>
      <c r="G539" s="70" t="s">
        <v>1153</v>
      </c>
      <c r="H539" s="71">
        <v>764000</v>
      </c>
      <c r="I539" s="45" t="str">
        <f t="shared" si="9"/>
        <v>0223</v>
      </c>
      <c r="J539" s="44">
        <v>330</v>
      </c>
    </row>
    <row r="540" spans="2:10">
      <c r="B540" s="69">
        <v>44985</v>
      </c>
      <c r="C540" s="70" t="s">
        <v>1146</v>
      </c>
      <c r="D540" s="70" t="s">
        <v>270</v>
      </c>
      <c r="E540" s="70" t="s">
        <v>495</v>
      </c>
      <c r="F540" s="70" t="s">
        <v>1156</v>
      </c>
      <c r="G540" s="70" t="s">
        <v>1157</v>
      </c>
      <c r="H540" s="71">
        <v>715000</v>
      </c>
      <c r="I540" s="45" t="str">
        <f t="shared" si="9"/>
        <v>0223</v>
      </c>
      <c r="J540" s="44">
        <v>330</v>
      </c>
    </row>
    <row r="541" spans="2:10" ht="23">
      <c r="B541" s="69">
        <v>44985</v>
      </c>
      <c r="C541" s="70" t="s">
        <v>1146</v>
      </c>
      <c r="D541" s="70" t="s">
        <v>270</v>
      </c>
      <c r="E541" s="70" t="s">
        <v>622</v>
      </c>
      <c r="F541" s="70" t="s">
        <v>1158</v>
      </c>
      <c r="G541" s="70"/>
      <c r="H541" s="71">
        <v>948141.67</v>
      </c>
      <c r="I541" s="45" t="str">
        <f t="shared" si="9"/>
        <v>0223</v>
      </c>
      <c r="J541" s="44">
        <v>330</v>
      </c>
    </row>
    <row r="542" spans="2:10" ht="23">
      <c r="B542" s="69">
        <v>44985</v>
      </c>
      <c r="C542" s="70" t="s">
        <v>1146</v>
      </c>
      <c r="D542" s="70" t="s">
        <v>270</v>
      </c>
      <c r="E542" s="70" t="s">
        <v>622</v>
      </c>
      <c r="F542" s="70" t="s">
        <v>1159</v>
      </c>
      <c r="G542" s="70"/>
      <c r="H542" s="71">
        <v>86635.63</v>
      </c>
      <c r="I542" s="45" t="str">
        <f t="shared" ref="I542:I605" si="10">+RIGHT(C542,4)</f>
        <v>0223</v>
      </c>
      <c r="J542" s="44">
        <v>330</v>
      </c>
    </row>
    <row r="543" spans="2:10" ht="23">
      <c r="B543" s="69">
        <v>44985</v>
      </c>
      <c r="C543" s="70" t="s">
        <v>1146</v>
      </c>
      <c r="D543" s="70" t="s">
        <v>270</v>
      </c>
      <c r="E543" s="70" t="s">
        <v>622</v>
      </c>
      <c r="F543" s="70" t="s">
        <v>1159</v>
      </c>
      <c r="G543" s="70"/>
      <c r="H543" s="71">
        <v>1177772.43</v>
      </c>
      <c r="I543" s="45" t="str">
        <f t="shared" si="10"/>
        <v>0223</v>
      </c>
      <c r="J543" s="44">
        <v>330</v>
      </c>
    </row>
    <row r="544" spans="2:10" ht="23">
      <c r="B544" s="69">
        <v>44985</v>
      </c>
      <c r="C544" s="70" t="s">
        <v>1146</v>
      </c>
      <c r="D544" s="70" t="s">
        <v>270</v>
      </c>
      <c r="E544" s="70" t="s">
        <v>622</v>
      </c>
      <c r="F544" s="70" t="s">
        <v>1159</v>
      </c>
      <c r="G544" s="70"/>
      <c r="H544" s="71">
        <v>2225381.2599999998</v>
      </c>
      <c r="I544" s="45" t="str">
        <f t="shared" si="10"/>
        <v>0223</v>
      </c>
      <c r="J544" s="44">
        <v>330</v>
      </c>
    </row>
    <row r="545" spans="2:10" ht="23">
      <c r="B545" s="69">
        <v>44985</v>
      </c>
      <c r="C545" s="70" t="s">
        <v>1146</v>
      </c>
      <c r="D545" s="70" t="s">
        <v>270</v>
      </c>
      <c r="E545" s="70" t="s">
        <v>622</v>
      </c>
      <c r="F545" s="70" t="s">
        <v>1159</v>
      </c>
      <c r="G545" s="70"/>
      <c r="H545" s="71">
        <v>663233.96</v>
      </c>
      <c r="I545" s="45" t="str">
        <f t="shared" si="10"/>
        <v>0223</v>
      </c>
      <c r="J545" s="44">
        <v>330</v>
      </c>
    </row>
    <row r="546" spans="2:10" ht="23">
      <c r="B546" s="69">
        <v>44985</v>
      </c>
      <c r="C546" s="70" t="s">
        <v>1146</v>
      </c>
      <c r="D546" s="70" t="s">
        <v>270</v>
      </c>
      <c r="E546" s="70" t="s">
        <v>622</v>
      </c>
      <c r="F546" s="70" t="s">
        <v>1159</v>
      </c>
      <c r="G546" s="70"/>
      <c r="H546" s="71">
        <v>422346.5</v>
      </c>
      <c r="I546" s="45" t="str">
        <f t="shared" si="10"/>
        <v>0223</v>
      </c>
      <c r="J546" s="44">
        <v>330</v>
      </c>
    </row>
    <row r="547" spans="2:10" ht="23">
      <c r="B547" s="69">
        <v>44985</v>
      </c>
      <c r="C547" s="70" t="s">
        <v>1146</v>
      </c>
      <c r="D547" s="70" t="s">
        <v>270</v>
      </c>
      <c r="E547" s="70" t="s">
        <v>622</v>
      </c>
      <c r="F547" s="70" t="s">
        <v>1159</v>
      </c>
      <c r="G547" s="70"/>
      <c r="H547" s="71">
        <v>7258768.0899999999</v>
      </c>
      <c r="I547" s="45" t="str">
        <f t="shared" si="10"/>
        <v>0223</v>
      </c>
      <c r="J547" s="44">
        <v>330</v>
      </c>
    </row>
    <row r="548" spans="2:10" ht="23">
      <c r="B548" s="69">
        <v>44985</v>
      </c>
      <c r="C548" s="70" t="s">
        <v>1146</v>
      </c>
      <c r="D548" s="104" t="s">
        <v>270</v>
      </c>
      <c r="E548" s="70" t="s">
        <v>622</v>
      </c>
      <c r="F548" s="70" t="s">
        <v>1159</v>
      </c>
      <c r="G548" s="70"/>
      <c r="H548" s="71">
        <v>37783504.840000004</v>
      </c>
      <c r="I548" s="45" t="str">
        <f t="shared" si="10"/>
        <v>0223</v>
      </c>
      <c r="J548" s="72">
        <v>327</v>
      </c>
    </row>
    <row r="549" spans="2:10" ht="23">
      <c r="B549" s="69">
        <v>44985</v>
      </c>
      <c r="C549" s="70" t="s">
        <v>1146</v>
      </c>
      <c r="D549" s="70" t="s">
        <v>270</v>
      </c>
      <c r="E549" s="70" t="s">
        <v>622</v>
      </c>
      <c r="F549" s="70" t="s">
        <v>1159</v>
      </c>
      <c r="G549" s="70"/>
      <c r="H549" s="71">
        <v>199118682</v>
      </c>
      <c r="I549" s="45" t="str">
        <f t="shared" si="10"/>
        <v>0223</v>
      </c>
      <c r="J549" s="72">
        <v>327</v>
      </c>
    </row>
    <row r="550" spans="2:10" ht="23">
      <c r="B550" s="69">
        <v>44985</v>
      </c>
      <c r="C550" s="70" t="s">
        <v>1146</v>
      </c>
      <c r="D550" s="104" t="s">
        <v>270</v>
      </c>
      <c r="E550" s="70" t="s">
        <v>622</v>
      </c>
      <c r="F550" s="70" t="s">
        <v>1159</v>
      </c>
      <c r="G550" s="70"/>
      <c r="H550" s="71">
        <v>86191056</v>
      </c>
      <c r="I550" s="45" t="str">
        <f t="shared" si="10"/>
        <v>0223</v>
      </c>
      <c r="J550" s="72">
        <v>327</v>
      </c>
    </row>
    <row r="551" spans="2:10" ht="23">
      <c r="B551" s="69">
        <v>44985</v>
      </c>
      <c r="C551" s="70" t="s">
        <v>1146</v>
      </c>
      <c r="D551" s="70" t="s">
        <v>270</v>
      </c>
      <c r="E551" s="70" t="s">
        <v>622</v>
      </c>
      <c r="F551" s="70" t="s">
        <v>1159</v>
      </c>
      <c r="G551" s="70"/>
      <c r="H551" s="71">
        <v>220073641.25</v>
      </c>
      <c r="I551" s="45" t="str">
        <f t="shared" si="10"/>
        <v>0223</v>
      </c>
      <c r="J551" s="72">
        <v>327</v>
      </c>
    </row>
    <row r="552" spans="2:10" ht="23">
      <c r="B552" s="69">
        <v>44985</v>
      </c>
      <c r="C552" s="70" t="s">
        <v>1146</v>
      </c>
      <c r="D552" s="70" t="s">
        <v>270</v>
      </c>
      <c r="E552" s="70" t="s">
        <v>622</v>
      </c>
      <c r="F552" s="70" t="s">
        <v>1159</v>
      </c>
      <c r="G552" s="70"/>
      <c r="H552" s="71">
        <v>58968195</v>
      </c>
      <c r="I552" s="45" t="str">
        <f t="shared" si="10"/>
        <v>0223</v>
      </c>
      <c r="J552" s="72">
        <v>327</v>
      </c>
    </row>
    <row r="553" spans="2:10" ht="23">
      <c r="B553" s="69">
        <v>44985</v>
      </c>
      <c r="C553" s="70" t="s">
        <v>1146</v>
      </c>
      <c r="D553" s="70" t="s">
        <v>270</v>
      </c>
      <c r="E553" s="70" t="s">
        <v>622</v>
      </c>
      <c r="F553" s="70" t="s">
        <v>1159</v>
      </c>
      <c r="G553" s="70"/>
      <c r="H553" s="71">
        <v>250388028</v>
      </c>
      <c r="I553" s="45" t="str">
        <f t="shared" si="10"/>
        <v>0223</v>
      </c>
      <c r="J553" s="72">
        <v>327</v>
      </c>
    </row>
    <row r="554" spans="2:10" ht="23">
      <c r="B554" s="69">
        <v>44985</v>
      </c>
      <c r="C554" s="70" t="s">
        <v>1146</v>
      </c>
      <c r="D554" s="70" t="s">
        <v>270</v>
      </c>
      <c r="E554" s="70" t="s">
        <v>622</v>
      </c>
      <c r="F554" s="70" t="s">
        <v>1159</v>
      </c>
      <c r="G554" s="70"/>
      <c r="H554" s="71">
        <v>36998520</v>
      </c>
      <c r="I554" s="45" t="str">
        <f t="shared" si="10"/>
        <v>0223</v>
      </c>
      <c r="J554" s="72">
        <v>327</v>
      </c>
    </row>
    <row r="555" spans="2:10" ht="23">
      <c r="B555" s="69">
        <v>44985</v>
      </c>
      <c r="C555" s="70" t="s">
        <v>1146</v>
      </c>
      <c r="D555" s="70" t="s">
        <v>270</v>
      </c>
      <c r="E555" s="70" t="s">
        <v>622</v>
      </c>
      <c r="F555" s="70" t="s">
        <v>1159</v>
      </c>
      <c r="G555" s="70"/>
      <c r="H555" s="71">
        <v>12511896.33</v>
      </c>
      <c r="I555" s="45" t="str">
        <f t="shared" si="10"/>
        <v>0223</v>
      </c>
      <c r="J555" s="72">
        <v>327</v>
      </c>
    </row>
    <row r="556" spans="2:10" ht="23">
      <c r="B556" s="69">
        <v>44985</v>
      </c>
      <c r="C556" s="70" t="s">
        <v>1146</v>
      </c>
      <c r="D556" s="70" t="s">
        <v>270</v>
      </c>
      <c r="E556" s="70" t="s">
        <v>622</v>
      </c>
      <c r="F556" s="70" t="s">
        <v>1159</v>
      </c>
      <c r="G556" s="70"/>
      <c r="H556" s="117">
        <v>1109043.69</v>
      </c>
      <c r="I556" s="45" t="str">
        <f t="shared" si="10"/>
        <v>0223</v>
      </c>
      <c r="J556" s="30">
        <v>24</v>
      </c>
    </row>
    <row r="557" spans="2:10" ht="23">
      <c r="B557" s="69">
        <v>44985</v>
      </c>
      <c r="C557" s="70" t="s">
        <v>1146</v>
      </c>
      <c r="D557" s="70" t="s">
        <v>270</v>
      </c>
      <c r="E557" s="70" t="s">
        <v>622</v>
      </c>
      <c r="F557" s="70" t="s">
        <v>1159</v>
      </c>
      <c r="G557" s="70"/>
      <c r="H557" s="71">
        <v>17839920</v>
      </c>
      <c r="I557" s="45" t="str">
        <f t="shared" si="10"/>
        <v>0223</v>
      </c>
      <c r="J557" s="72">
        <v>327</v>
      </c>
    </row>
    <row r="558" spans="2:10" ht="23">
      <c r="B558" s="69">
        <v>44985</v>
      </c>
      <c r="C558" s="70" t="s">
        <v>1146</v>
      </c>
      <c r="D558" s="70" t="s">
        <v>270</v>
      </c>
      <c r="E558" s="70" t="s">
        <v>622</v>
      </c>
      <c r="F558" s="70" t="s">
        <v>1159</v>
      </c>
      <c r="G558" s="70"/>
      <c r="H558" s="71">
        <v>973839.35</v>
      </c>
      <c r="I558" s="45" t="str">
        <f t="shared" si="10"/>
        <v>0223</v>
      </c>
      <c r="J558" s="44">
        <v>330</v>
      </c>
    </row>
    <row r="559" spans="2:10">
      <c r="B559" s="69">
        <v>44985</v>
      </c>
      <c r="C559" s="70" t="s">
        <v>1160</v>
      </c>
      <c r="D559" s="70" t="s">
        <v>740</v>
      </c>
      <c r="E559" s="70" t="s">
        <v>633</v>
      </c>
      <c r="F559" s="70" t="s">
        <v>1097</v>
      </c>
      <c r="G559" s="70"/>
      <c r="H559" s="71">
        <v>57941169.869999997</v>
      </c>
      <c r="I559" s="45" t="str">
        <f t="shared" si="10"/>
        <v>0223</v>
      </c>
      <c r="J559" s="44" t="s">
        <v>870</v>
      </c>
    </row>
    <row r="560" spans="2:10" ht="34.5">
      <c r="B560" s="69">
        <v>44985</v>
      </c>
      <c r="C560" s="70" t="s">
        <v>1161</v>
      </c>
      <c r="D560" s="70" t="s">
        <v>1022</v>
      </c>
      <c r="E560" s="70" t="s">
        <v>308</v>
      </c>
      <c r="F560" s="70" t="s">
        <v>1023</v>
      </c>
      <c r="G560" s="70" t="s">
        <v>1162</v>
      </c>
      <c r="H560" s="71">
        <v>601620000</v>
      </c>
      <c r="I560" s="45" t="str">
        <f t="shared" si="10"/>
        <v>0223</v>
      </c>
      <c r="J560" s="44" t="s">
        <v>2419</v>
      </c>
    </row>
    <row r="561" spans="2:10" ht="34.5">
      <c r="B561" s="69">
        <v>44985</v>
      </c>
      <c r="C561" s="70" t="s">
        <v>1163</v>
      </c>
      <c r="D561" s="70" t="s">
        <v>777</v>
      </c>
      <c r="E561" s="70" t="s">
        <v>308</v>
      </c>
      <c r="F561" s="70" t="s">
        <v>1164</v>
      </c>
      <c r="G561" s="70" t="s">
        <v>1165</v>
      </c>
      <c r="H561" s="163">
        <v>537880262</v>
      </c>
      <c r="I561" s="45" t="str">
        <f t="shared" si="10"/>
        <v>0223</v>
      </c>
      <c r="J561" s="72">
        <v>22</v>
      </c>
    </row>
    <row r="562" spans="2:10" ht="34.5">
      <c r="B562" s="69">
        <v>44985</v>
      </c>
      <c r="C562" s="70" t="s">
        <v>1166</v>
      </c>
      <c r="D562" s="70" t="s">
        <v>777</v>
      </c>
      <c r="E562" s="70" t="s">
        <v>308</v>
      </c>
      <c r="F562" s="70" t="s">
        <v>1164</v>
      </c>
      <c r="G562" s="70" t="s">
        <v>1167</v>
      </c>
      <c r="H562" s="136">
        <v>339363750</v>
      </c>
      <c r="I562" s="45" t="str">
        <f t="shared" si="10"/>
        <v>0223</v>
      </c>
      <c r="J562" s="30">
        <v>22</v>
      </c>
    </row>
    <row r="563" spans="2:10">
      <c r="B563" s="69">
        <v>44985</v>
      </c>
      <c r="C563" s="70" t="s">
        <v>1136</v>
      </c>
      <c r="D563" s="104" t="s">
        <v>2516</v>
      </c>
      <c r="E563" s="70" t="s">
        <v>495</v>
      </c>
      <c r="F563" s="70" t="s">
        <v>1137</v>
      </c>
      <c r="G563" s="70" t="s">
        <v>2390</v>
      </c>
      <c r="H563" s="117">
        <v>7400000</v>
      </c>
      <c r="I563" s="45" t="str">
        <f t="shared" si="10"/>
        <v>0223</v>
      </c>
      <c r="J563" s="30">
        <v>331</v>
      </c>
    </row>
    <row r="564" spans="2:10" ht="23">
      <c r="B564" s="69">
        <v>44994</v>
      </c>
      <c r="C564" s="70" t="s">
        <v>1174</v>
      </c>
      <c r="D564" s="70" t="s">
        <v>270</v>
      </c>
      <c r="E564" s="70" t="s">
        <v>271</v>
      </c>
      <c r="F564" s="70" t="s">
        <v>1175</v>
      </c>
      <c r="G564" s="70" t="s">
        <v>1176</v>
      </c>
      <c r="H564" s="71">
        <v>309412500</v>
      </c>
      <c r="I564" s="45" t="str">
        <f t="shared" si="10"/>
        <v>0323</v>
      </c>
      <c r="J564" s="72" t="s">
        <v>2346</v>
      </c>
    </row>
    <row r="565" spans="2:10">
      <c r="B565" s="69">
        <v>45001</v>
      </c>
      <c r="C565" s="70" t="s">
        <v>1177</v>
      </c>
      <c r="D565" s="70" t="s">
        <v>270</v>
      </c>
      <c r="E565" s="70" t="s">
        <v>514</v>
      </c>
      <c r="F565" s="70" t="s">
        <v>887</v>
      </c>
      <c r="G565" s="70" t="s">
        <v>1178</v>
      </c>
      <c r="H565" s="71">
        <v>85000</v>
      </c>
      <c r="I565" s="45" t="str">
        <f t="shared" si="10"/>
        <v>0323</v>
      </c>
      <c r="J565" s="72">
        <v>327</v>
      </c>
    </row>
    <row r="566" spans="2:10">
      <c r="B566" s="69">
        <v>45001</v>
      </c>
      <c r="C566" s="70" t="s">
        <v>1177</v>
      </c>
      <c r="D566" s="70" t="s">
        <v>270</v>
      </c>
      <c r="E566" s="70" t="s">
        <v>514</v>
      </c>
      <c r="F566" s="70" t="s">
        <v>887</v>
      </c>
      <c r="G566" s="70" t="s">
        <v>1179</v>
      </c>
      <c r="H566" s="71">
        <v>215000</v>
      </c>
      <c r="I566" s="45" t="str">
        <f t="shared" si="10"/>
        <v>0323</v>
      </c>
      <c r="J566" s="72">
        <v>327</v>
      </c>
    </row>
    <row r="567" spans="2:10" ht="23">
      <c r="B567" s="69">
        <v>45005</v>
      </c>
      <c r="C567" s="70" t="s">
        <v>1180</v>
      </c>
      <c r="D567" s="70" t="s">
        <v>270</v>
      </c>
      <c r="E567" s="70" t="s">
        <v>271</v>
      </c>
      <c r="F567" s="70" t="s">
        <v>1175</v>
      </c>
      <c r="G567" s="70" t="s">
        <v>1181</v>
      </c>
      <c r="H567" s="71">
        <v>309412500</v>
      </c>
      <c r="I567" s="45" t="str">
        <f t="shared" si="10"/>
        <v>0323</v>
      </c>
      <c r="J567" s="72" t="s">
        <v>2346</v>
      </c>
    </row>
    <row r="568" spans="2:10">
      <c r="B568" s="69">
        <v>45014</v>
      </c>
      <c r="C568" s="70" t="s">
        <v>1182</v>
      </c>
      <c r="D568" s="70" t="s">
        <v>270</v>
      </c>
      <c r="E568" s="70" t="s">
        <v>514</v>
      </c>
      <c r="F568" s="70" t="s">
        <v>887</v>
      </c>
      <c r="G568" s="70" t="s">
        <v>1183</v>
      </c>
      <c r="H568" s="71">
        <v>467000</v>
      </c>
      <c r="I568" s="45" t="str">
        <f t="shared" si="10"/>
        <v>0323</v>
      </c>
      <c r="J568" s="72">
        <v>327</v>
      </c>
    </row>
    <row r="569" spans="2:10" ht="34.5">
      <c r="B569" s="69">
        <v>45016</v>
      </c>
      <c r="C569" s="70" t="s">
        <v>1184</v>
      </c>
      <c r="D569" s="70">
        <v>316204005013</v>
      </c>
      <c r="E569" s="70" t="s">
        <v>308</v>
      </c>
      <c r="F569" s="70" t="s">
        <v>977</v>
      </c>
      <c r="G569" s="70" t="s">
        <v>1185</v>
      </c>
      <c r="H569" s="71">
        <v>491175000</v>
      </c>
      <c r="I569" s="45" t="str">
        <f t="shared" si="10"/>
        <v>0323</v>
      </c>
      <c r="J569" s="30">
        <v>334</v>
      </c>
    </row>
    <row r="570" spans="2:10" ht="46">
      <c r="B570" s="69">
        <v>45016</v>
      </c>
      <c r="C570" s="70" t="s">
        <v>1186</v>
      </c>
      <c r="D570" s="70" t="s">
        <v>270</v>
      </c>
      <c r="E570" s="70" t="s">
        <v>140</v>
      </c>
      <c r="F570" s="70" t="s">
        <v>1187</v>
      </c>
      <c r="G570" s="70" t="s">
        <v>1188</v>
      </c>
      <c r="H570" s="71">
        <v>8308906</v>
      </c>
      <c r="I570" s="45" t="str">
        <f t="shared" si="10"/>
        <v>0323</v>
      </c>
      <c r="J570" s="72" t="s">
        <v>2284</v>
      </c>
    </row>
    <row r="571" spans="2:10" ht="23">
      <c r="B571" s="69">
        <v>45016</v>
      </c>
      <c r="C571" s="70" t="s">
        <v>1189</v>
      </c>
      <c r="D571" s="70" t="s">
        <v>270</v>
      </c>
      <c r="E571" s="70" t="s">
        <v>308</v>
      </c>
      <c r="F571" s="70" t="s">
        <v>448</v>
      </c>
      <c r="G571" s="70" t="s">
        <v>1190</v>
      </c>
      <c r="H571" s="137">
        <v>4809929532</v>
      </c>
      <c r="I571" s="45" t="str">
        <f t="shared" si="10"/>
        <v>0323</v>
      </c>
      <c r="J571" s="72" t="s">
        <v>535</v>
      </c>
    </row>
    <row r="572" spans="2:10" ht="23">
      <c r="B572" s="69">
        <v>45016</v>
      </c>
      <c r="C572" s="70" t="s">
        <v>1191</v>
      </c>
      <c r="D572" s="70" t="s">
        <v>270</v>
      </c>
      <c r="E572" s="70" t="s">
        <v>514</v>
      </c>
      <c r="F572" s="70" t="s">
        <v>1192</v>
      </c>
      <c r="G572" s="70" t="s">
        <v>1193</v>
      </c>
      <c r="H572" s="71">
        <v>1875000</v>
      </c>
      <c r="I572" s="45" t="str">
        <f t="shared" si="10"/>
        <v>0323</v>
      </c>
      <c r="J572" s="44">
        <v>330</v>
      </c>
    </row>
    <row r="573" spans="2:10">
      <c r="B573" s="69">
        <v>45016</v>
      </c>
      <c r="C573" s="70" t="s">
        <v>1194</v>
      </c>
      <c r="D573" s="70">
        <v>316204005014</v>
      </c>
      <c r="E573" s="70" t="s">
        <v>495</v>
      </c>
      <c r="F573" s="70" t="s">
        <v>1196</v>
      </c>
      <c r="G573" s="70" t="s">
        <v>1244</v>
      </c>
      <c r="H573" s="71">
        <v>1204350000</v>
      </c>
      <c r="I573" s="45" t="str">
        <f t="shared" si="10"/>
        <v>0323</v>
      </c>
      <c r="J573" s="30">
        <v>333</v>
      </c>
    </row>
    <row r="574" spans="2:10" ht="34.5">
      <c r="B574" s="69">
        <v>45016</v>
      </c>
      <c r="C574" s="70" t="s">
        <v>1197</v>
      </c>
      <c r="D574" s="70" t="s">
        <v>815</v>
      </c>
      <c r="E574" s="70" t="s">
        <v>308</v>
      </c>
      <c r="F574" s="70" t="s">
        <v>997</v>
      </c>
      <c r="G574" s="70" t="s">
        <v>1198</v>
      </c>
      <c r="H574" s="71">
        <v>2053500000</v>
      </c>
      <c r="I574" s="45" t="str">
        <f t="shared" si="10"/>
        <v>0323</v>
      </c>
      <c r="J574" s="30">
        <v>33</v>
      </c>
    </row>
    <row r="575" spans="2:10" ht="34.5">
      <c r="B575" s="69">
        <v>45016</v>
      </c>
      <c r="C575" s="70" t="s">
        <v>1199</v>
      </c>
      <c r="D575" s="70" t="s">
        <v>270</v>
      </c>
      <c r="E575" s="70" t="s">
        <v>308</v>
      </c>
      <c r="F575" s="70" t="s">
        <v>1141</v>
      </c>
      <c r="G575" s="70" t="s">
        <v>1200</v>
      </c>
      <c r="H575" s="71">
        <v>3286105414</v>
      </c>
      <c r="I575" s="45" t="str">
        <f t="shared" si="10"/>
        <v>0323</v>
      </c>
      <c r="J575" s="72" t="s">
        <v>536</v>
      </c>
    </row>
    <row r="576" spans="2:10" ht="34.5">
      <c r="B576" s="69">
        <v>45016</v>
      </c>
      <c r="C576" s="70" t="s">
        <v>1197</v>
      </c>
      <c r="D576" s="70" t="s">
        <v>650</v>
      </c>
      <c r="E576" s="70" t="s">
        <v>308</v>
      </c>
      <c r="F576" s="70" t="s">
        <v>997</v>
      </c>
      <c r="G576" s="70" t="s">
        <v>1201</v>
      </c>
      <c r="H576" s="71">
        <v>4107000000</v>
      </c>
      <c r="I576" s="45" t="str">
        <f t="shared" si="10"/>
        <v>0323</v>
      </c>
      <c r="J576" s="30">
        <v>33</v>
      </c>
    </row>
    <row r="577" spans="2:10" ht="23">
      <c r="B577" s="69">
        <v>45016</v>
      </c>
      <c r="C577" s="70" t="s">
        <v>1202</v>
      </c>
      <c r="D577" s="70" t="s">
        <v>734</v>
      </c>
      <c r="E577" s="70" t="s">
        <v>308</v>
      </c>
      <c r="F577" s="70" t="s">
        <v>1035</v>
      </c>
      <c r="G577" s="70" t="s">
        <v>1203</v>
      </c>
      <c r="H577" s="71">
        <v>27000000</v>
      </c>
      <c r="I577" s="45" t="str">
        <f t="shared" si="10"/>
        <v>0323</v>
      </c>
      <c r="J577" s="72" t="s">
        <v>2431</v>
      </c>
    </row>
    <row r="578" spans="2:10" ht="23">
      <c r="B578" s="69">
        <v>45016</v>
      </c>
      <c r="C578" s="70" t="s">
        <v>1202</v>
      </c>
      <c r="D578" s="70" t="s">
        <v>734</v>
      </c>
      <c r="E578" s="70" t="s">
        <v>308</v>
      </c>
      <c r="F578" s="70" t="s">
        <v>1035</v>
      </c>
      <c r="G578" s="70" t="s">
        <v>1204</v>
      </c>
      <c r="H578" s="71">
        <v>3000000</v>
      </c>
      <c r="I578" s="45" t="str">
        <f t="shared" si="10"/>
        <v>0323</v>
      </c>
      <c r="J578" s="72" t="s">
        <v>2431</v>
      </c>
    </row>
    <row r="579" spans="2:10" ht="23">
      <c r="B579" s="69">
        <v>45016</v>
      </c>
      <c r="C579" s="70" t="s">
        <v>1205</v>
      </c>
      <c r="D579" s="70" t="s">
        <v>270</v>
      </c>
      <c r="E579" s="70" t="s">
        <v>308</v>
      </c>
      <c r="F579" s="70" t="s">
        <v>448</v>
      </c>
      <c r="G579" s="70" t="s">
        <v>1206</v>
      </c>
      <c r="H579" s="137">
        <v>3272975429</v>
      </c>
      <c r="I579" s="45" t="str">
        <f t="shared" si="10"/>
        <v>0323</v>
      </c>
      <c r="J579" s="72" t="s">
        <v>535</v>
      </c>
    </row>
    <row r="580" spans="2:10" ht="23">
      <c r="B580" s="69">
        <v>45016</v>
      </c>
      <c r="C580" s="70" t="s">
        <v>1207</v>
      </c>
      <c r="D580" s="70" t="s">
        <v>270</v>
      </c>
      <c r="E580" s="70" t="s">
        <v>622</v>
      </c>
      <c r="F580" s="70" t="s">
        <v>1208</v>
      </c>
      <c r="G580" s="70"/>
      <c r="H580" s="71">
        <v>21000000</v>
      </c>
      <c r="I580" s="45" t="str">
        <f t="shared" si="10"/>
        <v>0323</v>
      </c>
      <c r="J580" s="72">
        <v>327</v>
      </c>
    </row>
    <row r="581" spans="2:10" ht="23">
      <c r="B581" s="69">
        <v>45016</v>
      </c>
      <c r="C581" s="70" t="s">
        <v>1207</v>
      </c>
      <c r="D581" s="70" t="s">
        <v>270</v>
      </c>
      <c r="E581" s="70" t="s">
        <v>622</v>
      </c>
      <c r="F581" s="70" t="s">
        <v>1209</v>
      </c>
      <c r="G581" s="70"/>
      <c r="H581" s="71">
        <v>2310000</v>
      </c>
      <c r="I581" s="45" t="str">
        <f t="shared" si="10"/>
        <v>0323</v>
      </c>
      <c r="J581" s="72">
        <v>327</v>
      </c>
    </row>
    <row r="582" spans="2:10" ht="23">
      <c r="B582" s="69">
        <v>45016</v>
      </c>
      <c r="C582" s="70" t="s">
        <v>1210</v>
      </c>
      <c r="D582" s="70" t="s">
        <v>270</v>
      </c>
      <c r="E582" s="70" t="s">
        <v>622</v>
      </c>
      <c r="F582" s="70" t="s">
        <v>1211</v>
      </c>
      <c r="G582" s="70"/>
      <c r="H582" s="71">
        <v>9760000</v>
      </c>
      <c r="I582" s="45" t="str">
        <f t="shared" si="10"/>
        <v>0323</v>
      </c>
      <c r="J582" s="72">
        <v>327</v>
      </c>
    </row>
    <row r="583" spans="2:10" ht="23">
      <c r="B583" s="69">
        <v>45016</v>
      </c>
      <c r="C583" s="70" t="s">
        <v>1210</v>
      </c>
      <c r="D583" s="70" t="s">
        <v>270</v>
      </c>
      <c r="E583" s="70" t="s">
        <v>622</v>
      </c>
      <c r="F583" s="70" t="s">
        <v>1212</v>
      </c>
      <c r="G583" s="70"/>
      <c r="H583" s="71">
        <v>1073600</v>
      </c>
      <c r="I583" s="45" t="str">
        <f t="shared" si="10"/>
        <v>0323</v>
      </c>
      <c r="J583" s="72">
        <v>327</v>
      </c>
    </row>
    <row r="584" spans="2:10">
      <c r="B584" s="69">
        <v>45016</v>
      </c>
      <c r="C584" s="70" t="s">
        <v>1213</v>
      </c>
      <c r="D584" s="70" t="s">
        <v>270</v>
      </c>
      <c r="E584" s="70" t="s">
        <v>140</v>
      </c>
      <c r="F584" s="70" t="s">
        <v>1214</v>
      </c>
      <c r="G584" s="70" t="s">
        <v>1215</v>
      </c>
      <c r="H584" s="71">
        <v>2665181</v>
      </c>
      <c r="I584" s="45" t="str">
        <f t="shared" si="10"/>
        <v>0323</v>
      </c>
      <c r="J584" s="44">
        <v>330</v>
      </c>
    </row>
    <row r="585" spans="2:10">
      <c r="B585" s="69">
        <v>45016</v>
      </c>
      <c r="C585" s="70" t="s">
        <v>1213</v>
      </c>
      <c r="D585" s="70" t="s">
        <v>270</v>
      </c>
      <c r="E585" s="70" t="s">
        <v>514</v>
      </c>
      <c r="F585" s="70" t="s">
        <v>1216</v>
      </c>
      <c r="G585" s="70" t="s">
        <v>1217</v>
      </c>
      <c r="H585" s="71">
        <v>2626010</v>
      </c>
      <c r="I585" s="45" t="str">
        <f t="shared" si="10"/>
        <v>0323</v>
      </c>
      <c r="J585" s="44">
        <v>330</v>
      </c>
    </row>
    <row r="586" spans="2:10" ht="34.5">
      <c r="B586" s="69">
        <v>45016</v>
      </c>
      <c r="C586" s="70" t="s">
        <v>1213</v>
      </c>
      <c r="D586" s="70" t="s">
        <v>665</v>
      </c>
      <c r="E586" s="70" t="s">
        <v>271</v>
      </c>
      <c r="F586" s="70" t="s">
        <v>1218</v>
      </c>
      <c r="G586" s="70" t="s">
        <v>1219</v>
      </c>
      <c r="H586" s="71">
        <v>612000</v>
      </c>
      <c r="I586" s="45" t="str">
        <f t="shared" si="10"/>
        <v>0323</v>
      </c>
      <c r="J586" s="72">
        <v>327</v>
      </c>
    </row>
    <row r="587" spans="2:10" ht="23">
      <c r="B587" s="69">
        <v>45016</v>
      </c>
      <c r="C587" s="70" t="s">
        <v>1220</v>
      </c>
      <c r="D587" s="70" t="s">
        <v>655</v>
      </c>
      <c r="E587" s="70" t="s">
        <v>622</v>
      </c>
      <c r="F587" s="70" t="s">
        <v>1221</v>
      </c>
      <c r="G587" s="70" t="s">
        <v>1222</v>
      </c>
      <c r="H587" s="71">
        <v>2153177.5099999998</v>
      </c>
      <c r="I587" s="45" t="str">
        <f t="shared" si="10"/>
        <v>0323</v>
      </c>
      <c r="J587" s="72" t="s">
        <v>2438</v>
      </c>
    </row>
    <row r="588" spans="2:10" ht="23">
      <c r="B588" s="69">
        <v>45016</v>
      </c>
      <c r="C588" s="70" t="s">
        <v>1220</v>
      </c>
      <c r="D588" s="70" t="s">
        <v>711</v>
      </c>
      <c r="E588" s="70" t="s">
        <v>622</v>
      </c>
      <c r="F588" s="70" t="s">
        <v>1221</v>
      </c>
      <c r="G588" s="70" t="s">
        <v>1222</v>
      </c>
      <c r="H588" s="71">
        <v>2214116.4900000002</v>
      </c>
      <c r="I588" s="45" t="str">
        <f t="shared" si="10"/>
        <v>0323</v>
      </c>
      <c r="J588" s="72" t="s">
        <v>2438</v>
      </c>
    </row>
    <row r="589" spans="2:10" ht="23">
      <c r="B589" s="69">
        <v>45016</v>
      </c>
      <c r="C589" s="70" t="s">
        <v>1223</v>
      </c>
      <c r="D589" s="70" t="s">
        <v>270</v>
      </c>
      <c r="E589" s="70" t="s">
        <v>622</v>
      </c>
      <c r="F589" s="70" t="s">
        <v>1224</v>
      </c>
      <c r="G589" s="70" t="s">
        <v>1225</v>
      </c>
      <c r="H589" s="71">
        <v>198113.78</v>
      </c>
      <c r="I589" s="45" t="str">
        <f t="shared" si="10"/>
        <v>0323</v>
      </c>
      <c r="J589" s="72">
        <v>327</v>
      </c>
    </row>
    <row r="590" spans="2:10" ht="23">
      <c r="B590" s="69">
        <v>45016</v>
      </c>
      <c r="C590" s="70" t="s">
        <v>1223</v>
      </c>
      <c r="D590" s="70" t="s">
        <v>270</v>
      </c>
      <c r="E590" s="70" t="s">
        <v>622</v>
      </c>
      <c r="F590" s="70" t="s">
        <v>1224</v>
      </c>
      <c r="G590" s="70" t="s">
        <v>1226</v>
      </c>
      <c r="H590" s="71">
        <v>225076.01</v>
      </c>
      <c r="I590" s="45" t="str">
        <f t="shared" si="10"/>
        <v>0323</v>
      </c>
      <c r="J590" s="44">
        <v>328</v>
      </c>
    </row>
    <row r="591" spans="2:10" ht="23">
      <c r="B591" s="69">
        <v>45016</v>
      </c>
      <c r="C591" s="70" t="s">
        <v>1223</v>
      </c>
      <c r="D591" s="70" t="s">
        <v>270</v>
      </c>
      <c r="E591" s="70" t="s">
        <v>622</v>
      </c>
      <c r="F591" s="70" t="s">
        <v>1224</v>
      </c>
      <c r="G591" s="70" t="s">
        <v>1227</v>
      </c>
      <c r="H591" s="71">
        <v>240972.05</v>
      </c>
      <c r="I591" s="45" t="str">
        <f t="shared" si="10"/>
        <v>0323</v>
      </c>
      <c r="J591" s="72">
        <v>327</v>
      </c>
    </row>
    <row r="592" spans="2:10" ht="23">
      <c r="B592" s="69">
        <v>45016</v>
      </c>
      <c r="C592" s="70" t="s">
        <v>1223</v>
      </c>
      <c r="D592" s="70" t="s">
        <v>270</v>
      </c>
      <c r="E592" s="70" t="s">
        <v>622</v>
      </c>
      <c r="F592" s="70" t="s">
        <v>1224</v>
      </c>
      <c r="G592" s="70" t="s">
        <v>1228</v>
      </c>
      <c r="H592" s="71">
        <v>520080.64000000001</v>
      </c>
      <c r="I592" s="45" t="str">
        <f t="shared" si="10"/>
        <v>0323</v>
      </c>
      <c r="J592" s="72">
        <v>327</v>
      </c>
    </row>
    <row r="593" spans="2:10" ht="23">
      <c r="B593" s="69">
        <v>45016</v>
      </c>
      <c r="C593" s="70" t="s">
        <v>1223</v>
      </c>
      <c r="D593" s="70" t="s">
        <v>270</v>
      </c>
      <c r="E593" s="70" t="s">
        <v>622</v>
      </c>
      <c r="F593" s="70" t="s">
        <v>1224</v>
      </c>
      <c r="G593" s="70" t="s">
        <v>1229</v>
      </c>
      <c r="H593" s="71">
        <v>972447.63</v>
      </c>
      <c r="I593" s="45" t="str">
        <f t="shared" si="10"/>
        <v>0323</v>
      </c>
      <c r="J593" s="44">
        <v>328</v>
      </c>
    </row>
    <row r="594" spans="2:10">
      <c r="B594" s="69">
        <v>45016</v>
      </c>
      <c r="C594" s="70" t="s">
        <v>1223</v>
      </c>
      <c r="D594" s="70" t="s">
        <v>270</v>
      </c>
      <c r="E594" s="70" t="s">
        <v>495</v>
      </c>
      <c r="F594" s="70" t="s">
        <v>1230</v>
      </c>
      <c r="G594" s="70" t="s">
        <v>1231</v>
      </c>
      <c r="H594" s="71">
        <v>1782377</v>
      </c>
      <c r="I594" s="45" t="str">
        <f t="shared" si="10"/>
        <v>0323</v>
      </c>
      <c r="J594" s="72">
        <v>327</v>
      </c>
    </row>
    <row r="595" spans="2:10" ht="23">
      <c r="B595" s="69">
        <v>45016</v>
      </c>
      <c r="C595" s="70" t="s">
        <v>1223</v>
      </c>
      <c r="D595" s="70" t="s">
        <v>270</v>
      </c>
      <c r="E595" s="70" t="s">
        <v>622</v>
      </c>
      <c r="F595" s="70" t="s">
        <v>1224</v>
      </c>
      <c r="G595" s="70" t="s">
        <v>1232</v>
      </c>
      <c r="H595" s="71">
        <v>2107712.52</v>
      </c>
      <c r="I595" s="45" t="str">
        <f t="shared" si="10"/>
        <v>0323</v>
      </c>
      <c r="J595" s="72">
        <v>327</v>
      </c>
    </row>
    <row r="596" spans="2:10" ht="23">
      <c r="B596" s="69">
        <v>45016</v>
      </c>
      <c r="C596" s="70" t="s">
        <v>1223</v>
      </c>
      <c r="D596" s="70" t="s">
        <v>270</v>
      </c>
      <c r="E596" s="70" t="s">
        <v>622</v>
      </c>
      <c r="F596" s="70" t="s">
        <v>1224</v>
      </c>
      <c r="G596" s="70" t="s">
        <v>1232</v>
      </c>
      <c r="H596" s="71">
        <v>2203624.04</v>
      </c>
      <c r="I596" s="45" t="str">
        <f t="shared" si="10"/>
        <v>0323</v>
      </c>
      <c r="J596" s="72">
        <v>327</v>
      </c>
    </row>
    <row r="597" spans="2:10" ht="23">
      <c r="B597" s="69">
        <v>45016</v>
      </c>
      <c r="C597" s="70" t="s">
        <v>1223</v>
      </c>
      <c r="D597" s="70" t="s">
        <v>270</v>
      </c>
      <c r="E597" s="70" t="s">
        <v>622</v>
      </c>
      <c r="F597" s="70" t="s">
        <v>1224</v>
      </c>
      <c r="G597" s="70" t="s">
        <v>1233</v>
      </c>
      <c r="H597" s="71">
        <v>2457254.2999999998</v>
      </c>
      <c r="I597" s="45" t="str">
        <f t="shared" si="10"/>
        <v>0323</v>
      </c>
      <c r="J597" s="44">
        <v>328</v>
      </c>
    </row>
    <row r="598" spans="2:10" ht="23">
      <c r="B598" s="69">
        <v>45016</v>
      </c>
      <c r="C598" s="70" t="s">
        <v>1223</v>
      </c>
      <c r="D598" s="70" t="s">
        <v>270</v>
      </c>
      <c r="E598" s="70" t="s">
        <v>622</v>
      </c>
      <c r="F598" s="70" t="s">
        <v>1224</v>
      </c>
      <c r="G598" s="70" t="s">
        <v>1234</v>
      </c>
      <c r="H598" s="71">
        <v>2672950.59</v>
      </c>
      <c r="I598" s="45" t="str">
        <f t="shared" si="10"/>
        <v>0323</v>
      </c>
      <c r="J598" s="44">
        <v>328</v>
      </c>
    </row>
    <row r="599" spans="2:10" ht="23">
      <c r="B599" s="69">
        <v>45016</v>
      </c>
      <c r="C599" s="70" t="s">
        <v>1223</v>
      </c>
      <c r="D599" s="70" t="s">
        <v>270</v>
      </c>
      <c r="E599" s="70" t="s">
        <v>514</v>
      </c>
      <c r="F599" s="70" t="s">
        <v>1224</v>
      </c>
      <c r="G599" s="70" t="s">
        <v>1235</v>
      </c>
      <c r="H599" s="136">
        <v>3823558.99</v>
      </c>
      <c r="I599" s="45" t="str">
        <f t="shared" si="10"/>
        <v>0323</v>
      </c>
      <c r="J599" s="72" t="s">
        <v>2344</v>
      </c>
    </row>
    <row r="600" spans="2:10" ht="23">
      <c r="B600" s="69">
        <v>45016</v>
      </c>
      <c r="C600" s="70" t="s">
        <v>1223</v>
      </c>
      <c r="D600" s="70" t="s">
        <v>270</v>
      </c>
      <c r="E600" s="70" t="s">
        <v>622</v>
      </c>
      <c r="F600" s="70" t="s">
        <v>1224</v>
      </c>
      <c r="G600" s="70" t="s">
        <v>1236</v>
      </c>
      <c r="H600" s="71">
        <v>3926736</v>
      </c>
      <c r="I600" s="45" t="str">
        <f t="shared" si="10"/>
        <v>0323</v>
      </c>
      <c r="J600" s="72">
        <v>327</v>
      </c>
    </row>
    <row r="601" spans="2:10" ht="23">
      <c r="B601" s="69">
        <v>45016</v>
      </c>
      <c r="C601" s="70" t="s">
        <v>1223</v>
      </c>
      <c r="D601" s="70" t="s">
        <v>270</v>
      </c>
      <c r="E601" s="70" t="s">
        <v>622</v>
      </c>
      <c r="F601" s="70" t="s">
        <v>1224</v>
      </c>
      <c r="G601" s="70" t="s">
        <v>1237</v>
      </c>
      <c r="H601" s="71">
        <v>4355909.3899999997</v>
      </c>
      <c r="I601" s="45" t="str">
        <f t="shared" si="10"/>
        <v>0323</v>
      </c>
      <c r="J601" s="72">
        <v>327</v>
      </c>
    </row>
    <row r="602" spans="2:10" ht="23">
      <c r="B602" s="69">
        <v>45016</v>
      </c>
      <c r="C602" s="70" t="s">
        <v>1223</v>
      </c>
      <c r="D602" s="70" t="s">
        <v>270</v>
      </c>
      <c r="E602" s="70" t="s">
        <v>622</v>
      </c>
      <c r="F602" s="70" t="s">
        <v>1224</v>
      </c>
      <c r="G602" s="70" t="s">
        <v>1238</v>
      </c>
      <c r="H602" s="71">
        <v>5714282.4299999997</v>
      </c>
      <c r="I602" s="45" t="str">
        <f t="shared" si="10"/>
        <v>0323</v>
      </c>
      <c r="J602" s="44">
        <v>328</v>
      </c>
    </row>
    <row r="603" spans="2:10" ht="23">
      <c r="B603" s="69">
        <v>45016</v>
      </c>
      <c r="C603" s="70" t="s">
        <v>1223</v>
      </c>
      <c r="D603" s="70" t="s">
        <v>270</v>
      </c>
      <c r="E603" s="70" t="s">
        <v>622</v>
      </c>
      <c r="F603" s="70" t="s">
        <v>1224</v>
      </c>
      <c r="G603" s="70" t="s">
        <v>150</v>
      </c>
      <c r="H603" s="71">
        <v>7530570.9800000004</v>
      </c>
      <c r="I603" s="45" t="str">
        <f t="shared" si="10"/>
        <v>0323</v>
      </c>
      <c r="J603" s="72">
        <v>327</v>
      </c>
    </row>
    <row r="604" spans="2:10" ht="23">
      <c r="B604" s="69">
        <v>45016</v>
      </c>
      <c r="C604" s="70" t="s">
        <v>1223</v>
      </c>
      <c r="D604" s="70" t="s">
        <v>270</v>
      </c>
      <c r="E604" s="70" t="s">
        <v>622</v>
      </c>
      <c r="F604" s="70" t="s">
        <v>1224</v>
      </c>
      <c r="G604" s="70" t="s">
        <v>1239</v>
      </c>
      <c r="H604" s="71">
        <v>22464347.75</v>
      </c>
      <c r="I604" s="45" t="str">
        <f t="shared" si="10"/>
        <v>0323</v>
      </c>
      <c r="J604" s="72">
        <v>327</v>
      </c>
    </row>
    <row r="605" spans="2:10" ht="23">
      <c r="B605" s="69">
        <v>45016</v>
      </c>
      <c r="C605" s="70" t="s">
        <v>1223</v>
      </c>
      <c r="D605" s="70" t="s">
        <v>270</v>
      </c>
      <c r="E605" s="70" t="s">
        <v>622</v>
      </c>
      <c r="F605" s="70" t="s">
        <v>1224</v>
      </c>
      <c r="G605" s="70" t="s">
        <v>1240</v>
      </c>
      <c r="H605" s="71">
        <v>69376554</v>
      </c>
      <c r="I605" s="45" t="str">
        <f t="shared" si="10"/>
        <v>0323</v>
      </c>
      <c r="J605" s="72">
        <v>327</v>
      </c>
    </row>
    <row r="606" spans="2:10" ht="23">
      <c r="B606" s="69">
        <v>45016</v>
      </c>
      <c r="C606" s="70" t="s">
        <v>1223</v>
      </c>
      <c r="D606" s="70" t="s">
        <v>270</v>
      </c>
      <c r="E606" s="70" t="s">
        <v>622</v>
      </c>
      <c r="F606" s="70" t="s">
        <v>1224</v>
      </c>
      <c r="G606" s="70" t="s">
        <v>1093</v>
      </c>
      <c r="H606" s="71">
        <v>87704208</v>
      </c>
      <c r="I606" s="45" t="str">
        <f t="shared" ref="I606:I610" si="11">+RIGHT(C606,4)</f>
        <v>0323</v>
      </c>
      <c r="J606" s="72">
        <v>327</v>
      </c>
    </row>
    <row r="607" spans="2:10" ht="23">
      <c r="B607" s="69">
        <v>45016</v>
      </c>
      <c r="C607" s="70" t="s">
        <v>1223</v>
      </c>
      <c r="D607" s="70" t="s">
        <v>270</v>
      </c>
      <c r="E607" s="70" t="s">
        <v>622</v>
      </c>
      <c r="F607" s="70" t="s">
        <v>1224</v>
      </c>
      <c r="G607" s="70" t="s">
        <v>1095</v>
      </c>
      <c r="H607" s="71">
        <v>143532746.34</v>
      </c>
      <c r="I607" s="45" t="str">
        <f t="shared" si="11"/>
        <v>0323</v>
      </c>
      <c r="J607" s="72">
        <v>327</v>
      </c>
    </row>
    <row r="608" spans="2:10" ht="23">
      <c r="B608" s="69">
        <v>45016</v>
      </c>
      <c r="C608" s="70" t="s">
        <v>1223</v>
      </c>
      <c r="D608" s="70" t="s">
        <v>270</v>
      </c>
      <c r="E608" s="70" t="s">
        <v>622</v>
      </c>
      <c r="F608" s="70" t="s">
        <v>1224</v>
      </c>
      <c r="G608" s="70" t="s">
        <v>1241</v>
      </c>
      <c r="H608" s="71">
        <v>182581014</v>
      </c>
      <c r="I608" s="45" t="str">
        <f t="shared" si="11"/>
        <v>0323</v>
      </c>
      <c r="J608" s="72">
        <v>327</v>
      </c>
    </row>
    <row r="609" spans="2:10" ht="23">
      <c r="B609" s="69">
        <v>45016</v>
      </c>
      <c r="C609" s="70" t="s">
        <v>1223</v>
      </c>
      <c r="D609" s="70" t="s">
        <v>270</v>
      </c>
      <c r="E609" s="70" t="s">
        <v>622</v>
      </c>
      <c r="F609" s="70" t="s">
        <v>1224</v>
      </c>
      <c r="G609" s="70" t="s">
        <v>1242</v>
      </c>
      <c r="H609" s="71">
        <v>228142129.5</v>
      </c>
      <c r="I609" s="45" t="str">
        <f t="shared" si="11"/>
        <v>0323</v>
      </c>
      <c r="J609" s="72">
        <v>327</v>
      </c>
    </row>
    <row r="610" spans="2:10">
      <c r="B610" s="69">
        <v>45016</v>
      </c>
      <c r="C610" s="70" t="s">
        <v>1243</v>
      </c>
      <c r="D610" s="70" t="s">
        <v>740</v>
      </c>
      <c r="E610" s="70" t="s">
        <v>633</v>
      </c>
      <c r="F610" s="70" t="s">
        <v>1097</v>
      </c>
      <c r="G610" s="70"/>
      <c r="H610" s="71">
        <v>80019292.670000002</v>
      </c>
      <c r="I610" s="45" t="str">
        <f t="shared" si="11"/>
        <v>0323</v>
      </c>
      <c r="J610" s="72" t="s">
        <v>870</v>
      </c>
    </row>
    <row r="611" spans="2:10">
      <c r="B611" s="63">
        <v>45026</v>
      </c>
      <c r="C611" s="64" t="s">
        <v>1249</v>
      </c>
      <c r="D611" s="64" t="s">
        <v>777</v>
      </c>
      <c r="E611" s="64" t="s">
        <v>514</v>
      </c>
      <c r="F611" s="64" t="s">
        <v>908</v>
      </c>
      <c r="G611" s="64" t="s">
        <v>1250</v>
      </c>
      <c r="H611" s="194">
        <v>229776</v>
      </c>
      <c r="I611" s="90" t="s">
        <v>569</v>
      </c>
      <c r="J611" s="44">
        <v>330</v>
      </c>
    </row>
    <row r="612" spans="2:10" ht="46">
      <c r="B612" s="63">
        <v>45046</v>
      </c>
      <c r="C612" s="64" t="s">
        <v>1251</v>
      </c>
      <c r="D612" s="64" t="s">
        <v>270</v>
      </c>
      <c r="E612" s="64" t="s">
        <v>140</v>
      </c>
      <c r="F612" s="64" t="s">
        <v>1134</v>
      </c>
      <c r="G612" s="64" t="s">
        <v>1252</v>
      </c>
      <c r="H612" s="66">
        <v>15000000</v>
      </c>
      <c r="I612" s="90" t="s">
        <v>569</v>
      </c>
      <c r="J612" s="30" t="s">
        <v>582</v>
      </c>
    </row>
    <row r="613" spans="2:10" ht="34.5">
      <c r="B613" s="63">
        <v>45046</v>
      </c>
      <c r="C613" s="64" t="s">
        <v>1253</v>
      </c>
      <c r="D613" s="64" t="s">
        <v>650</v>
      </c>
      <c r="E613" s="64" t="s">
        <v>308</v>
      </c>
      <c r="F613" s="64" t="s">
        <v>1254</v>
      </c>
      <c r="G613" s="64" t="s">
        <v>1255</v>
      </c>
      <c r="H613" s="140">
        <v>859065915</v>
      </c>
      <c r="I613" s="90" t="s">
        <v>569</v>
      </c>
      <c r="J613" s="30">
        <v>21</v>
      </c>
    </row>
    <row r="614" spans="2:10" ht="34.5">
      <c r="B614" s="63">
        <v>45046</v>
      </c>
      <c r="C614" s="64" t="s">
        <v>1253</v>
      </c>
      <c r="D614" s="64" t="s">
        <v>665</v>
      </c>
      <c r="E614" s="64" t="s">
        <v>308</v>
      </c>
      <c r="F614" s="64" t="s">
        <v>1254</v>
      </c>
      <c r="G614" s="64" t="s">
        <v>1255</v>
      </c>
      <c r="H614" s="140">
        <v>64766845.810000002</v>
      </c>
      <c r="I614" s="90" t="s">
        <v>569</v>
      </c>
      <c r="J614" s="30">
        <v>21</v>
      </c>
    </row>
    <row r="615" spans="2:10" ht="34.5">
      <c r="B615" s="63">
        <v>45046</v>
      </c>
      <c r="C615" s="64" t="s">
        <v>1253</v>
      </c>
      <c r="D615" s="64" t="s">
        <v>650</v>
      </c>
      <c r="E615" s="64" t="s">
        <v>308</v>
      </c>
      <c r="F615" s="64" t="s">
        <v>1254</v>
      </c>
      <c r="G615" s="64" t="s">
        <v>1255</v>
      </c>
      <c r="H615" s="140">
        <v>1145766904.1900001</v>
      </c>
      <c r="I615" s="90" t="s">
        <v>569</v>
      </c>
      <c r="J615" s="30">
        <v>21</v>
      </c>
    </row>
    <row r="616" spans="2:10">
      <c r="B616" s="206">
        <v>45046</v>
      </c>
      <c r="C616" s="207" t="s">
        <v>1256</v>
      </c>
      <c r="D616" s="208">
        <v>316204001001</v>
      </c>
      <c r="E616" s="207" t="s">
        <v>514</v>
      </c>
      <c r="F616" s="207" t="s">
        <v>1257</v>
      </c>
      <c r="G616" s="209" t="s">
        <v>2347</v>
      </c>
      <c r="H616" s="162">
        <v>89991</v>
      </c>
      <c r="I616" s="90" t="s">
        <v>569</v>
      </c>
      <c r="J616" s="72" t="s">
        <v>1168</v>
      </c>
    </row>
    <row r="617" spans="2:10">
      <c r="B617" s="206">
        <v>45046</v>
      </c>
      <c r="C617" s="207" t="s">
        <v>1256</v>
      </c>
      <c r="D617" s="207" t="s">
        <v>270</v>
      </c>
      <c r="E617" s="207" t="s">
        <v>495</v>
      </c>
      <c r="F617" s="207" t="s">
        <v>1257</v>
      </c>
      <c r="G617" s="209" t="s">
        <v>2348</v>
      </c>
      <c r="H617" s="162">
        <v>498795700</v>
      </c>
      <c r="I617" s="90" t="s">
        <v>569</v>
      </c>
      <c r="J617" s="72" t="s">
        <v>537</v>
      </c>
    </row>
    <row r="618" spans="2:10" ht="46">
      <c r="B618" s="63">
        <v>45046</v>
      </c>
      <c r="C618" s="64" t="s">
        <v>1258</v>
      </c>
      <c r="D618" s="64" t="s">
        <v>270</v>
      </c>
      <c r="E618" s="64" t="s">
        <v>271</v>
      </c>
      <c r="F618" s="64" t="s">
        <v>1259</v>
      </c>
      <c r="G618" s="64"/>
      <c r="H618" s="71">
        <v>618825000</v>
      </c>
      <c r="I618" s="90" t="s">
        <v>569</v>
      </c>
      <c r="J618" s="72" t="s">
        <v>2346</v>
      </c>
    </row>
    <row r="619" spans="2:10">
      <c r="B619" s="63">
        <v>45046</v>
      </c>
      <c r="C619" s="64" t="s">
        <v>1260</v>
      </c>
      <c r="D619" s="64" t="s">
        <v>270</v>
      </c>
      <c r="E619" s="64" t="s">
        <v>495</v>
      </c>
      <c r="F619" s="64" t="s">
        <v>1261</v>
      </c>
      <c r="G619" s="64" t="s">
        <v>1262</v>
      </c>
      <c r="H619" s="66">
        <v>120000</v>
      </c>
      <c r="I619" s="90" t="s">
        <v>569</v>
      </c>
      <c r="J619" s="30">
        <v>330</v>
      </c>
    </row>
    <row r="620" spans="2:10">
      <c r="B620" s="63">
        <v>45046</v>
      </c>
      <c r="C620" s="64" t="s">
        <v>1260</v>
      </c>
      <c r="D620" s="64" t="s">
        <v>929</v>
      </c>
      <c r="E620" s="64" t="s">
        <v>495</v>
      </c>
      <c r="F620" s="64" t="s">
        <v>1263</v>
      </c>
      <c r="G620" s="64" t="s">
        <v>1264</v>
      </c>
      <c r="H620" s="191">
        <v>4700000</v>
      </c>
      <c r="I620" s="90" t="s">
        <v>569</v>
      </c>
      <c r="J620" s="30">
        <v>39</v>
      </c>
    </row>
    <row r="621" spans="2:10">
      <c r="B621" s="63">
        <v>45046</v>
      </c>
      <c r="C621" s="64" t="s">
        <v>1260</v>
      </c>
      <c r="D621" s="64" t="s">
        <v>777</v>
      </c>
      <c r="E621" s="64" t="s">
        <v>271</v>
      </c>
      <c r="F621" s="64" t="s">
        <v>1265</v>
      </c>
      <c r="G621" s="64" t="s">
        <v>1266</v>
      </c>
      <c r="H621" s="66">
        <v>1508850</v>
      </c>
      <c r="I621" s="90" t="s">
        <v>569</v>
      </c>
      <c r="J621" s="30">
        <v>329</v>
      </c>
    </row>
    <row r="622" spans="2:10">
      <c r="B622" s="63">
        <v>45046</v>
      </c>
      <c r="C622" s="64" t="s">
        <v>1260</v>
      </c>
      <c r="D622" s="64" t="s">
        <v>734</v>
      </c>
      <c r="E622" s="64" t="s">
        <v>514</v>
      </c>
      <c r="F622" s="64" t="s">
        <v>1267</v>
      </c>
      <c r="G622" s="64" t="s">
        <v>1268</v>
      </c>
      <c r="H622" s="66">
        <v>600000</v>
      </c>
      <c r="I622" s="90" t="s">
        <v>569</v>
      </c>
      <c r="J622" s="72" t="s">
        <v>2431</v>
      </c>
    </row>
    <row r="623" spans="2:10">
      <c r="B623" s="63">
        <v>45046</v>
      </c>
      <c r="C623" s="64" t="s">
        <v>1260</v>
      </c>
      <c r="D623" s="64" t="s">
        <v>929</v>
      </c>
      <c r="E623" s="64" t="s">
        <v>514</v>
      </c>
      <c r="F623" s="64" t="s">
        <v>1269</v>
      </c>
      <c r="G623" s="64" t="s">
        <v>1270</v>
      </c>
      <c r="H623" s="191">
        <v>539000</v>
      </c>
      <c r="I623" s="90" t="s">
        <v>569</v>
      </c>
      <c r="J623" s="30">
        <v>39</v>
      </c>
    </row>
    <row r="624" spans="2:10">
      <c r="B624" s="63">
        <v>45046</v>
      </c>
      <c r="C624" s="64" t="s">
        <v>1260</v>
      </c>
      <c r="D624" s="64" t="s">
        <v>929</v>
      </c>
      <c r="E624" s="64" t="s">
        <v>514</v>
      </c>
      <c r="F624" s="64" t="s">
        <v>1271</v>
      </c>
      <c r="G624" s="64" t="s">
        <v>1272</v>
      </c>
      <c r="H624" s="191">
        <v>120000</v>
      </c>
      <c r="I624" s="90" t="s">
        <v>569</v>
      </c>
      <c r="J624" s="30">
        <v>39</v>
      </c>
    </row>
    <row r="625" spans="2:10">
      <c r="B625" s="63">
        <v>45046</v>
      </c>
      <c r="C625" s="64" t="s">
        <v>1260</v>
      </c>
      <c r="D625" s="64" t="s">
        <v>270</v>
      </c>
      <c r="E625" s="64" t="s">
        <v>514</v>
      </c>
      <c r="F625" s="64" t="s">
        <v>1273</v>
      </c>
      <c r="G625" s="64" t="s">
        <v>1274</v>
      </c>
      <c r="H625" s="66">
        <v>2964052</v>
      </c>
      <c r="I625" s="90" t="s">
        <v>569</v>
      </c>
      <c r="J625" s="30">
        <v>330</v>
      </c>
    </row>
    <row r="626" spans="2:10">
      <c r="B626" s="63">
        <v>45046</v>
      </c>
      <c r="C626" s="64" t="s">
        <v>1260</v>
      </c>
      <c r="D626" s="64" t="s">
        <v>270</v>
      </c>
      <c r="E626" s="64" t="s">
        <v>514</v>
      </c>
      <c r="F626" s="64" t="s">
        <v>1275</v>
      </c>
      <c r="G626" s="64" t="s">
        <v>1276</v>
      </c>
      <c r="H626" s="66">
        <v>1018500</v>
      </c>
      <c r="I626" s="90" t="s">
        <v>569</v>
      </c>
      <c r="J626" s="44">
        <v>330</v>
      </c>
    </row>
    <row r="627" spans="2:10">
      <c r="B627" s="63">
        <v>45046</v>
      </c>
      <c r="C627" s="64" t="s">
        <v>1260</v>
      </c>
      <c r="D627" s="64" t="s">
        <v>777</v>
      </c>
      <c r="E627" s="64" t="s">
        <v>514</v>
      </c>
      <c r="F627" s="64" t="s">
        <v>1275</v>
      </c>
      <c r="G627" s="64" t="s">
        <v>1277</v>
      </c>
      <c r="H627" s="66">
        <v>407400</v>
      </c>
      <c r="I627" s="90" t="s">
        <v>569</v>
      </c>
      <c r="J627" s="44">
        <v>330</v>
      </c>
    </row>
    <row r="628" spans="2:10" ht="23">
      <c r="B628" s="63">
        <v>45046</v>
      </c>
      <c r="C628" s="64" t="s">
        <v>1278</v>
      </c>
      <c r="D628" s="64" t="s">
        <v>270</v>
      </c>
      <c r="E628" s="64" t="s">
        <v>514</v>
      </c>
      <c r="F628" s="64" t="s">
        <v>1279</v>
      </c>
      <c r="G628" s="64" t="s">
        <v>1280</v>
      </c>
      <c r="H628" s="66">
        <v>1450087</v>
      </c>
      <c r="I628" s="90" t="s">
        <v>569</v>
      </c>
      <c r="J628" s="30">
        <v>330</v>
      </c>
    </row>
    <row r="629" spans="2:10" ht="23">
      <c r="B629" s="63">
        <v>45046</v>
      </c>
      <c r="C629" s="64" t="s">
        <v>1278</v>
      </c>
      <c r="D629" s="64" t="s">
        <v>777</v>
      </c>
      <c r="E629" s="64" t="s">
        <v>514</v>
      </c>
      <c r="F629" s="64" t="s">
        <v>1279</v>
      </c>
      <c r="G629" s="64" t="s">
        <v>1281</v>
      </c>
      <c r="H629" s="66">
        <v>1316190</v>
      </c>
      <c r="I629" s="90" t="s">
        <v>569</v>
      </c>
      <c r="J629" s="30">
        <v>329</v>
      </c>
    </row>
    <row r="630" spans="2:10">
      <c r="B630" s="63">
        <v>45046</v>
      </c>
      <c r="C630" s="64" t="s">
        <v>1260</v>
      </c>
      <c r="D630" s="64" t="s">
        <v>270</v>
      </c>
      <c r="E630" s="64" t="s">
        <v>514</v>
      </c>
      <c r="F630" s="64" t="s">
        <v>1282</v>
      </c>
      <c r="G630" s="64" t="s">
        <v>1276</v>
      </c>
      <c r="H630" s="66">
        <v>545000</v>
      </c>
      <c r="I630" s="90" t="s">
        <v>569</v>
      </c>
      <c r="J630" s="44">
        <v>330</v>
      </c>
    </row>
    <row r="631" spans="2:10">
      <c r="B631" s="63">
        <v>45046</v>
      </c>
      <c r="C631" s="64" t="s">
        <v>1283</v>
      </c>
      <c r="D631" s="64" t="s">
        <v>740</v>
      </c>
      <c r="E631" s="64" t="s">
        <v>633</v>
      </c>
      <c r="F631" s="64" t="s">
        <v>1097</v>
      </c>
      <c r="G631" s="64"/>
      <c r="H631" s="66">
        <v>95168671.670000002</v>
      </c>
      <c r="I631" s="90" t="s">
        <v>569</v>
      </c>
      <c r="J631" s="72" t="s">
        <v>870</v>
      </c>
    </row>
    <row r="632" spans="2:10" ht="23">
      <c r="B632" s="63">
        <v>45046</v>
      </c>
      <c r="C632" s="64" t="s">
        <v>1258</v>
      </c>
      <c r="D632" s="64" t="s">
        <v>270</v>
      </c>
      <c r="E632" s="64" t="s">
        <v>622</v>
      </c>
      <c r="F632" s="64" t="s">
        <v>1284</v>
      </c>
      <c r="G632" s="64"/>
      <c r="H632" s="66">
        <v>131161.57999999999</v>
      </c>
      <c r="I632" s="90" t="s">
        <v>569</v>
      </c>
      <c r="J632" s="72">
        <v>327</v>
      </c>
    </row>
    <row r="633" spans="2:10">
      <c r="B633" s="63">
        <v>45046</v>
      </c>
      <c r="C633" s="64" t="s">
        <v>1258</v>
      </c>
      <c r="D633" s="64" t="s">
        <v>1285</v>
      </c>
      <c r="E633" s="64" t="s">
        <v>622</v>
      </c>
      <c r="F633" s="64" t="s">
        <v>1286</v>
      </c>
      <c r="G633" s="64"/>
      <c r="H633" s="66">
        <v>16228755</v>
      </c>
      <c r="I633" s="90" t="s">
        <v>569</v>
      </c>
      <c r="J633" s="30">
        <v>51</v>
      </c>
    </row>
    <row r="634" spans="2:10">
      <c r="B634" s="63">
        <v>45046</v>
      </c>
      <c r="C634" s="64" t="s">
        <v>1258</v>
      </c>
      <c r="D634" s="64" t="s">
        <v>1285</v>
      </c>
      <c r="E634" s="64" t="s">
        <v>622</v>
      </c>
      <c r="F634" s="64" t="s">
        <v>1287</v>
      </c>
      <c r="G634" s="64"/>
      <c r="H634" s="66">
        <v>77214708</v>
      </c>
      <c r="I634" s="90" t="s">
        <v>569</v>
      </c>
      <c r="J634" s="30">
        <v>51</v>
      </c>
    </row>
    <row r="635" spans="2:10">
      <c r="B635" s="63">
        <v>45046</v>
      </c>
      <c r="C635" s="64" t="s">
        <v>1258</v>
      </c>
      <c r="D635" s="64" t="s">
        <v>777</v>
      </c>
      <c r="E635" s="64" t="s">
        <v>622</v>
      </c>
      <c r="F635" s="64" t="s">
        <v>1287</v>
      </c>
      <c r="G635" s="64"/>
      <c r="H635" s="66">
        <v>15716268</v>
      </c>
      <c r="I635" s="90" t="s">
        <v>569</v>
      </c>
      <c r="J635" s="30">
        <v>51</v>
      </c>
    </row>
    <row r="636" spans="2:10">
      <c r="B636" s="63">
        <v>45046</v>
      </c>
      <c r="C636" s="64" t="s">
        <v>1258</v>
      </c>
      <c r="D636" s="64" t="s">
        <v>270</v>
      </c>
      <c r="E636" s="64" t="s">
        <v>622</v>
      </c>
      <c r="F636" s="64" t="s">
        <v>1287</v>
      </c>
      <c r="G636" s="64"/>
      <c r="H636" s="66">
        <v>16399584</v>
      </c>
      <c r="I636" s="90" t="s">
        <v>569</v>
      </c>
      <c r="J636" s="30">
        <v>51</v>
      </c>
    </row>
    <row r="637" spans="2:10">
      <c r="B637" s="63">
        <v>45046</v>
      </c>
      <c r="C637" s="64" t="s">
        <v>1258</v>
      </c>
      <c r="D637" s="64" t="s">
        <v>1285</v>
      </c>
      <c r="E637" s="64" t="s">
        <v>622</v>
      </c>
      <c r="F637" s="64" t="s">
        <v>1288</v>
      </c>
      <c r="G637" s="64"/>
      <c r="H637" s="66">
        <v>41682276</v>
      </c>
      <c r="I637" s="90" t="s">
        <v>569</v>
      </c>
      <c r="J637" s="30">
        <v>51</v>
      </c>
    </row>
    <row r="638" spans="2:10">
      <c r="B638" s="63">
        <v>45046</v>
      </c>
      <c r="C638" s="64" t="s">
        <v>1258</v>
      </c>
      <c r="D638" s="64" t="s">
        <v>270</v>
      </c>
      <c r="E638" s="64" t="s">
        <v>622</v>
      </c>
      <c r="F638" s="64" t="s">
        <v>1288</v>
      </c>
      <c r="G638" s="64"/>
      <c r="H638" s="66">
        <v>22549428</v>
      </c>
      <c r="I638" s="90" t="s">
        <v>569</v>
      </c>
      <c r="J638" s="30">
        <v>51</v>
      </c>
    </row>
    <row r="639" spans="2:10">
      <c r="B639" s="63">
        <v>45046</v>
      </c>
      <c r="C639" s="64" t="s">
        <v>1258</v>
      </c>
      <c r="D639" s="64" t="s">
        <v>777</v>
      </c>
      <c r="E639" s="64" t="s">
        <v>622</v>
      </c>
      <c r="F639" s="64" t="s">
        <v>1288</v>
      </c>
      <c r="G639" s="64"/>
      <c r="H639" s="66">
        <v>19816164</v>
      </c>
      <c r="I639" s="90" t="s">
        <v>569</v>
      </c>
      <c r="J639" s="30">
        <v>51</v>
      </c>
    </row>
    <row r="640" spans="2:10">
      <c r="B640" s="63">
        <v>45046</v>
      </c>
      <c r="C640" s="64" t="s">
        <v>1258</v>
      </c>
      <c r="D640" s="64" t="s">
        <v>1285</v>
      </c>
      <c r="E640" s="64" t="s">
        <v>622</v>
      </c>
      <c r="F640" s="64" t="s">
        <v>1289</v>
      </c>
      <c r="G640" s="64"/>
      <c r="H640" s="66">
        <v>76535610</v>
      </c>
      <c r="I640" s="90" t="s">
        <v>569</v>
      </c>
      <c r="J640" s="30">
        <v>51</v>
      </c>
    </row>
    <row r="641" spans="2:10">
      <c r="B641" s="63">
        <v>45046</v>
      </c>
      <c r="C641" s="64" t="s">
        <v>1258</v>
      </c>
      <c r="D641" s="64" t="s">
        <v>1290</v>
      </c>
      <c r="E641" s="64" t="s">
        <v>622</v>
      </c>
      <c r="F641" s="64" t="s">
        <v>1289</v>
      </c>
      <c r="G641" s="64"/>
      <c r="H641" s="66">
        <v>36253710</v>
      </c>
      <c r="I641" s="90" t="s">
        <v>569</v>
      </c>
      <c r="J641" s="30">
        <v>322</v>
      </c>
    </row>
    <row r="642" spans="2:10">
      <c r="B642" s="63">
        <v>45046</v>
      </c>
      <c r="C642" s="64" t="s">
        <v>1258</v>
      </c>
      <c r="D642" s="64" t="s">
        <v>1285</v>
      </c>
      <c r="E642" s="64" t="s">
        <v>622</v>
      </c>
      <c r="F642" s="64" t="s">
        <v>1291</v>
      </c>
      <c r="G642" s="64"/>
      <c r="H642" s="66">
        <v>182879826</v>
      </c>
      <c r="I642" s="90" t="s">
        <v>569</v>
      </c>
      <c r="J642" s="30">
        <v>51</v>
      </c>
    </row>
    <row r="643" spans="2:10">
      <c r="B643" s="63">
        <v>45046</v>
      </c>
      <c r="C643" s="64" t="s">
        <v>1258</v>
      </c>
      <c r="D643" s="64" t="s">
        <v>777</v>
      </c>
      <c r="E643" s="64" t="s">
        <v>622</v>
      </c>
      <c r="F643" s="64" t="s">
        <v>1292</v>
      </c>
      <c r="G643" s="64"/>
      <c r="H643" s="66">
        <v>1964998.28</v>
      </c>
      <c r="I643" s="90" t="s">
        <v>569</v>
      </c>
      <c r="J643" s="30">
        <v>327</v>
      </c>
    </row>
    <row r="644" spans="2:10">
      <c r="B644" s="63">
        <v>45046</v>
      </c>
      <c r="C644" s="64" t="s">
        <v>1258</v>
      </c>
      <c r="D644" s="64" t="s">
        <v>777</v>
      </c>
      <c r="E644" s="64" t="s">
        <v>622</v>
      </c>
      <c r="F644" s="64" t="s">
        <v>1293</v>
      </c>
      <c r="G644" s="64"/>
      <c r="H644" s="66">
        <v>1966999.46</v>
      </c>
      <c r="I644" s="90" t="s">
        <v>569</v>
      </c>
      <c r="J644" s="30">
        <v>327</v>
      </c>
    </row>
    <row r="645" spans="2:10">
      <c r="B645" s="63">
        <v>45046</v>
      </c>
      <c r="C645" s="64" t="s">
        <v>1258</v>
      </c>
      <c r="D645" s="64" t="s">
        <v>777</v>
      </c>
      <c r="E645" s="64" t="s">
        <v>622</v>
      </c>
      <c r="F645" s="64" t="s">
        <v>1294</v>
      </c>
      <c r="G645" s="64"/>
      <c r="H645" s="66">
        <v>5948256.3399999999</v>
      </c>
      <c r="I645" s="90" t="s">
        <v>569</v>
      </c>
      <c r="J645" s="30">
        <v>327</v>
      </c>
    </row>
    <row r="646" spans="2:10" ht="23">
      <c r="B646" s="63">
        <v>45046</v>
      </c>
      <c r="C646" s="64" t="s">
        <v>1258</v>
      </c>
      <c r="D646" s="64" t="s">
        <v>270</v>
      </c>
      <c r="E646" s="64" t="s">
        <v>622</v>
      </c>
      <c r="F646" s="64" t="s">
        <v>1295</v>
      </c>
      <c r="G646" s="64"/>
      <c r="H646" s="66">
        <v>2196650</v>
      </c>
      <c r="I646" s="90" t="s">
        <v>569</v>
      </c>
      <c r="J646" s="44">
        <v>328</v>
      </c>
    </row>
    <row r="647" spans="2:10">
      <c r="B647" s="63">
        <v>45046</v>
      </c>
      <c r="C647" s="64" t="s">
        <v>1258</v>
      </c>
      <c r="D647" s="64" t="s">
        <v>270</v>
      </c>
      <c r="E647" s="64" t="s">
        <v>622</v>
      </c>
      <c r="F647" s="64" t="s">
        <v>1296</v>
      </c>
      <c r="G647" s="64"/>
      <c r="H647" s="66">
        <v>3103135.98</v>
      </c>
      <c r="I647" s="90" t="s">
        <v>569</v>
      </c>
      <c r="J647" s="44">
        <v>328</v>
      </c>
    </row>
    <row r="648" spans="2:10">
      <c r="B648" s="63">
        <v>45046</v>
      </c>
      <c r="C648" s="64" t="s">
        <v>1258</v>
      </c>
      <c r="D648" s="64" t="s">
        <v>270</v>
      </c>
      <c r="E648" s="64" t="s">
        <v>622</v>
      </c>
      <c r="F648" s="64" t="s">
        <v>1297</v>
      </c>
      <c r="G648" s="64"/>
      <c r="H648" s="66">
        <v>2472456.9300000002</v>
      </c>
      <c r="I648" s="90" t="s">
        <v>569</v>
      </c>
      <c r="J648" s="44">
        <v>328</v>
      </c>
    </row>
    <row r="649" spans="2:10" ht="23">
      <c r="B649" s="63">
        <v>45046</v>
      </c>
      <c r="C649" s="64" t="s">
        <v>1258</v>
      </c>
      <c r="D649" s="64" t="s">
        <v>270</v>
      </c>
      <c r="E649" s="64" t="s">
        <v>622</v>
      </c>
      <c r="F649" s="64" t="s">
        <v>1298</v>
      </c>
      <c r="G649" s="64"/>
      <c r="H649" s="66">
        <v>1938595.91</v>
      </c>
      <c r="I649" s="90" t="s">
        <v>569</v>
      </c>
      <c r="J649" s="44">
        <v>328</v>
      </c>
    </row>
    <row r="650" spans="2:10">
      <c r="B650" s="63">
        <v>45046</v>
      </c>
      <c r="C650" s="64" t="s">
        <v>1258</v>
      </c>
      <c r="D650" s="64" t="s">
        <v>270</v>
      </c>
      <c r="E650" s="64" t="s">
        <v>622</v>
      </c>
      <c r="F650" s="64" t="s">
        <v>1299</v>
      </c>
      <c r="G650" s="64"/>
      <c r="H650" s="66">
        <v>1514735.49</v>
      </c>
      <c r="I650" s="90" t="s">
        <v>569</v>
      </c>
      <c r="J650" s="44">
        <v>330</v>
      </c>
    </row>
    <row r="651" spans="2:10">
      <c r="B651" s="63">
        <v>45046</v>
      </c>
      <c r="C651" s="64" t="s">
        <v>1258</v>
      </c>
      <c r="D651" s="64" t="s">
        <v>270</v>
      </c>
      <c r="E651" s="64" t="s">
        <v>622</v>
      </c>
      <c r="F651" s="64" t="s">
        <v>1300</v>
      </c>
      <c r="G651" s="64"/>
      <c r="H651" s="66">
        <v>4521836.3</v>
      </c>
      <c r="I651" s="90" t="s">
        <v>569</v>
      </c>
      <c r="J651" s="44">
        <v>328</v>
      </c>
    </row>
    <row r="652" spans="2:10">
      <c r="B652" s="63">
        <v>45046</v>
      </c>
      <c r="C652" s="64" t="s">
        <v>1258</v>
      </c>
      <c r="D652" s="64" t="s">
        <v>777</v>
      </c>
      <c r="E652" s="64" t="s">
        <v>622</v>
      </c>
      <c r="F652" s="64" t="s">
        <v>1301</v>
      </c>
      <c r="G652" s="64"/>
      <c r="H652" s="66">
        <v>19390035</v>
      </c>
      <c r="I652" s="90" t="s">
        <v>569</v>
      </c>
      <c r="J652" s="30">
        <v>51</v>
      </c>
    </row>
    <row r="653" spans="2:10" ht="23">
      <c r="B653" s="63">
        <v>45046</v>
      </c>
      <c r="C653" s="64" t="s">
        <v>1302</v>
      </c>
      <c r="D653" s="64" t="s">
        <v>653</v>
      </c>
      <c r="E653" s="64" t="s">
        <v>622</v>
      </c>
      <c r="F653" s="64" t="s">
        <v>1221</v>
      </c>
      <c r="G653" s="64" t="s">
        <v>1222</v>
      </c>
      <c r="H653" s="117">
        <v>49486630.219999999</v>
      </c>
      <c r="I653" s="90" t="s">
        <v>569</v>
      </c>
      <c r="J653" s="30" t="s">
        <v>2438</v>
      </c>
    </row>
    <row r="654" spans="2:10" ht="23">
      <c r="B654" s="63">
        <v>45046</v>
      </c>
      <c r="C654" s="64" t="s">
        <v>1302</v>
      </c>
      <c r="D654" s="64" t="s">
        <v>711</v>
      </c>
      <c r="E654" s="64" t="s">
        <v>622</v>
      </c>
      <c r="F654" s="64" t="s">
        <v>1221</v>
      </c>
      <c r="G654" s="64" t="s">
        <v>1222</v>
      </c>
      <c r="H654" s="66">
        <v>41105645.780000001</v>
      </c>
      <c r="I654" s="90" t="s">
        <v>569</v>
      </c>
      <c r="J654" s="30" t="s">
        <v>2438</v>
      </c>
    </row>
    <row r="655" spans="2:10" ht="26.25" customHeight="1">
      <c r="B655" s="63">
        <v>45059</v>
      </c>
      <c r="C655" s="64" t="s">
        <v>1304</v>
      </c>
      <c r="D655" s="64" t="s">
        <v>270</v>
      </c>
      <c r="E655" s="64" t="s">
        <v>514</v>
      </c>
      <c r="F655" s="64" t="s">
        <v>887</v>
      </c>
      <c r="G655" s="64" t="s">
        <v>1305</v>
      </c>
      <c r="H655" s="71">
        <v>223000</v>
      </c>
      <c r="I655" s="90" t="s">
        <v>570</v>
      </c>
      <c r="J655" s="30">
        <v>330</v>
      </c>
    </row>
    <row r="656" spans="2:10" ht="23">
      <c r="B656" s="63">
        <v>45061</v>
      </c>
      <c r="C656" s="64" t="s">
        <v>1306</v>
      </c>
      <c r="D656" s="64" t="s">
        <v>270</v>
      </c>
      <c r="E656" s="64" t="s">
        <v>514</v>
      </c>
      <c r="F656" s="64" t="s">
        <v>908</v>
      </c>
      <c r="G656" s="64" t="s">
        <v>1307</v>
      </c>
      <c r="H656" s="71">
        <v>1164000</v>
      </c>
      <c r="I656" s="90" t="s">
        <v>570</v>
      </c>
      <c r="J656" s="30">
        <v>330</v>
      </c>
    </row>
    <row r="657" spans="2:10">
      <c r="B657" s="63">
        <v>45061</v>
      </c>
      <c r="C657" s="64" t="s">
        <v>1306</v>
      </c>
      <c r="D657" s="64" t="s">
        <v>270</v>
      </c>
      <c r="E657" s="64" t="s">
        <v>514</v>
      </c>
      <c r="F657" s="64" t="s">
        <v>908</v>
      </c>
      <c r="G657" s="64" t="s">
        <v>1308</v>
      </c>
      <c r="H657" s="66">
        <v>786000</v>
      </c>
      <c r="I657" s="90" t="s">
        <v>570</v>
      </c>
      <c r="J657" s="44">
        <v>330</v>
      </c>
    </row>
    <row r="658" spans="2:10">
      <c r="B658" s="63">
        <v>45061</v>
      </c>
      <c r="C658" s="64" t="s">
        <v>1309</v>
      </c>
      <c r="D658" s="64" t="s">
        <v>270</v>
      </c>
      <c r="E658" s="64" t="s">
        <v>514</v>
      </c>
      <c r="F658" s="64" t="s">
        <v>908</v>
      </c>
      <c r="G658" s="64" t="s">
        <v>1310</v>
      </c>
      <c r="H658" s="71">
        <v>515000</v>
      </c>
      <c r="I658" s="90" t="s">
        <v>570</v>
      </c>
      <c r="J658" s="30">
        <v>330</v>
      </c>
    </row>
    <row r="659" spans="2:10">
      <c r="B659" s="63">
        <v>45061</v>
      </c>
      <c r="C659" s="64" t="s">
        <v>1309</v>
      </c>
      <c r="D659" s="64" t="s">
        <v>270</v>
      </c>
      <c r="E659" s="64" t="s">
        <v>514</v>
      </c>
      <c r="F659" s="64" t="s">
        <v>908</v>
      </c>
      <c r="G659" s="64" t="s">
        <v>1311</v>
      </c>
      <c r="H659" s="66">
        <v>125000</v>
      </c>
      <c r="I659" s="90" t="s">
        <v>570</v>
      </c>
      <c r="J659" s="44">
        <v>330</v>
      </c>
    </row>
    <row r="660" spans="2:10">
      <c r="B660" s="63">
        <v>45061</v>
      </c>
      <c r="C660" s="64" t="s">
        <v>1312</v>
      </c>
      <c r="D660" s="64" t="s">
        <v>270</v>
      </c>
      <c r="E660" s="64" t="s">
        <v>514</v>
      </c>
      <c r="F660" s="64" t="s">
        <v>887</v>
      </c>
      <c r="G660" s="64" t="s">
        <v>1313</v>
      </c>
      <c r="H660" s="66">
        <v>1364000</v>
      </c>
      <c r="I660" s="90" t="s">
        <v>570</v>
      </c>
      <c r="J660" s="30">
        <v>51</v>
      </c>
    </row>
    <row r="661" spans="2:10" ht="34.5">
      <c r="B661" s="63">
        <v>45077</v>
      </c>
      <c r="C661" s="64" t="s">
        <v>1314</v>
      </c>
      <c r="D661" s="64" t="s">
        <v>270</v>
      </c>
      <c r="E661" s="64" t="s">
        <v>271</v>
      </c>
      <c r="F661" s="64" t="s">
        <v>1315</v>
      </c>
      <c r="G661" s="64" t="s">
        <v>1316</v>
      </c>
      <c r="H661" s="66">
        <v>620959498</v>
      </c>
      <c r="I661" s="90" t="s">
        <v>570</v>
      </c>
      <c r="J661" s="30" t="s">
        <v>536</v>
      </c>
    </row>
    <row r="662" spans="2:10" ht="34.5">
      <c r="B662" s="63">
        <v>45077</v>
      </c>
      <c r="C662" s="64" t="s">
        <v>1317</v>
      </c>
      <c r="D662" s="64" t="s">
        <v>270</v>
      </c>
      <c r="E662" s="64" t="s">
        <v>308</v>
      </c>
      <c r="F662" s="64" t="s">
        <v>455</v>
      </c>
      <c r="G662" s="64" t="s">
        <v>1318</v>
      </c>
      <c r="H662" s="140">
        <v>3811403962</v>
      </c>
      <c r="I662" s="90" t="s">
        <v>570</v>
      </c>
      <c r="J662" s="30" t="s">
        <v>535</v>
      </c>
    </row>
    <row r="663" spans="2:10">
      <c r="B663" s="63">
        <v>45077</v>
      </c>
      <c r="C663" s="64" t="s">
        <v>1319</v>
      </c>
      <c r="D663" s="64" t="s">
        <v>270</v>
      </c>
      <c r="E663" s="64" t="s">
        <v>514</v>
      </c>
      <c r="F663" s="64" t="s">
        <v>908</v>
      </c>
      <c r="G663" s="64" t="s">
        <v>1320</v>
      </c>
      <c r="H663" s="71">
        <v>375000</v>
      </c>
      <c r="I663" s="90" t="s">
        <v>570</v>
      </c>
      <c r="J663" s="30">
        <v>330</v>
      </c>
    </row>
    <row r="664" spans="2:10" ht="34.5">
      <c r="B664" s="63">
        <v>45077</v>
      </c>
      <c r="C664" s="64" t="s">
        <v>1317</v>
      </c>
      <c r="D664" s="64" t="s">
        <v>270</v>
      </c>
      <c r="E664" s="64" t="s">
        <v>308</v>
      </c>
      <c r="F664" s="64" t="s">
        <v>455</v>
      </c>
      <c r="G664" s="64" t="s">
        <v>1321</v>
      </c>
      <c r="H664" s="140">
        <v>2192755656</v>
      </c>
      <c r="I664" s="90" t="s">
        <v>570</v>
      </c>
      <c r="J664" s="30" t="s">
        <v>535</v>
      </c>
    </row>
    <row r="665" spans="2:10">
      <c r="B665" s="206">
        <v>45077</v>
      </c>
      <c r="C665" s="207" t="s">
        <v>1322</v>
      </c>
      <c r="D665" s="208">
        <v>316204001001</v>
      </c>
      <c r="E665" s="207" t="s">
        <v>495</v>
      </c>
      <c r="F665" s="207" t="s">
        <v>1323</v>
      </c>
      <c r="G665" s="207" t="s">
        <v>2348</v>
      </c>
      <c r="H665" s="162">
        <v>567914940</v>
      </c>
      <c r="I665" s="90" t="s">
        <v>570</v>
      </c>
      <c r="J665" s="30" t="s">
        <v>537</v>
      </c>
    </row>
    <row r="666" spans="2:10">
      <c r="B666" s="63">
        <v>45077</v>
      </c>
      <c r="C666" s="64" t="s">
        <v>1324</v>
      </c>
      <c r="D666" s="64" t="s">
        <v>270</v>
      </c>
      <c r="E666" s="64" t="s">
        <v>271</v>
      </c>
      <c r="F666" s="64" t="s">
        <v>1325</v>
      </c>
      <c r="G666" s="64" t="s">
        <v>1326</v>
      </c>
      <c r="H666" s="66">
        <v>3500000</v>
      </c>
      <c r="I666" s="90" t="s">
        <v>570</v>
      </c>
      <c r="J666" s="30">
        <v>327</v>
      </c>
    </row>
    <row r="667" spans="2:10">
      <c r="B667" s="63">
        <v>45077</v>
      </c>
      <c r="C667" s="64" t="s">
        <v>1324</v>
      </c>
      <c r="D667" s="64" t="s">
        <v>270</v>
      </c>
      <c r="E667" s="64" t="s">
        <v>495</v>
      </c>
      <c r="F667" s="64" t="s">
        <v>1327</v>
      </c>
      <c r="G667" s="70" t="s">
        <v>1328</v>
      </c>
      <c r="H667" s="71">
        <v>5180000</v>
      </c>
      <c r="I667" s="90" t="s">
        <v>570</v>
      </c>
      <c r="J667" s="30">
        <v>330</v>
      </c>
    </row>
    <row r="668" spans="2:10" ht="23">
      <c r="B668" s="63">
        <v>45077</v>
      </c>
      <c r="C668" s="64" t="s">
        <v>1329</v>
      </c>
      <c r="D668" s="64" t="s">
        <v>270</v>
      </c>
      <c r="E668" s="64" t="s">
        <v>514</v>
      </c>
      <c r="F668" s="64" t="s">
        <v>1330</v>
      </c>
      <c r="G668" s="64" t="s">
        <v>1331</v>
      </c>
      <c r="H668" s="66">
        <v>12325000</v>
      </c>
      <c r="I668" s="90" t="s">
        <v>570</v>
      </c>
      <c r="J668" s="30" t="s">
        <v>870</v>
      </c>
    </row>
    <row r="669" spans="2:10" ht="23">
      <c r="B669" s="63">
        <v>45077</v>
      </c>
      <c r="C669" s="64" t="s">
        <v>1329</v>
      </c>
      <c r="D669" s="64" t="s">
        <v>270</v>
      </c>
      <c r="E669" s="64" t="s">
        <v>514</v>
      </c>
      <c r="F669" s="64" t="s">
        <v>1330</v>
      </c>
      <c r="G669" s="64" t="s">
        <v>1332</v>
      </c>
      <c r="H669" s="66">
        <v>14365000</v>
      </c>
      <c r="I669" s="90" t="s">
        <v>570</v>
      </c>
      <c r="J669" s="30" t="s">
        <v>870</v>
      </c>
    </row>
    <row r="670" spans="2:10" ht="23">
      <c r="B670" s="63">
        <v>45077</v>
      </c>
      <c r="C670" s="64" t="s">
        <v>1333</v>
      </c>
      <c r="D670" s="104" t="s">
        <v>270</v>
      </c>
      <c r="E670" s="64" t="s">
        <v>622</v>
      </c>
      <c r="F670" s="64" t="s">
        <v>1334</v>
      </c>
      <c r="G670" s="64" t="s">
        <v>1335</v>
      </c>
      <c r="H670" s="194">
        <v>28000000</v>
      </c>
      <c r="I670" s="90" t="s">
        <v>570</v>
      </c>
      <c r="J670" s="30">
        <v>327</v>
      </c>
    </row>
    <row r="671" spans="2:10" ht="23">
      <c r="B671" s="63">
        <v>45077</v>
      </c>
      <c r="C671" s="64" t="s">
        <v>1336</v>
      </c>
      <c r="D671" s="64" t="s">
        <v>270</v>
      </c>
      <c r="E671" s="64" t="s">
        <v>622</v>
      </c>
      <c r="F671" s="64" t="s">
        <v>1337</v>
      </c>
      <c r="G671" s="64" t="s">
        <v>1233</v>
      </c>
      <c r="H671" s="66">
        <v>3518549.47</v>
      </c>
      <c r="I671" s="90" t="s">
        <v>570</v>
      </c>
      <c r="J671" s="44">
        <v>328</v>
      </c>
    </row>
    <row r="672" spans="2:10" ht="23">
      <c r="B672" s="63">
        <v>45077</v>
      </c>
      <c r="C672" s="64" t="s">
        <v>1336</v>
      </c>
      <c r="D672" s="64" t="s">
        <v>270</v>
      </c>
      <c r="E672" s="64" t="s">
        <v>622</v>
      </c>
      <c r="F672" s="64" t="s">
        <v>1337</v>
      </c>
      <c r="G672" s="64" t="s">
        <v>1238</v>
      </c>
      <c r="H672" s="66">
        <v>2453476.77</v>
      </c>
      <c r="I672" s="90" t="s">
        <v>570</v>
      </c>
      <c r="J672" s="44">
        <v>328</v>
      </c>
    </row>
    <row r="673" spans="2:10" ht="23">
      <c r="B673" s="63">
        <v>45077</v>
      </c>
      <c r="C673" s="64" t="s">
        <v>1336</v>
      </c>
      <c r="D673" s="64" t="s">
        <v>270</v>
      </c>
      <c r="E673" s="64" t="s">
        <v>622</v>
      </c>
      <c r="F673" s="64" t="s">
        <v>1337</v>
      </c>
      <c r="G673" s="64" t="s">
        <v>1229</v>
      </c>
      <c r="H673" s="66">
        <v>1873918.24</v>
      </c>
      <c r="I673" s="90" t="s">
        <v>570</v>
      </c>
      <c r="J673" s="44">
        <v>328</v>
      </c>
    </row>
    <row r="674" spans="2:10" ht="23">
      <c r="B674" s="63">
        <v>45077</v>
      </c>
      <c r="C674" s="64" t="s">
        <v>1336</v>
      </c>
      <c r="D674" s="64" t="s">
        <v>270</v>
      </c>
      <c r="E674" s="64" t="s">
        <v>622</v>
      </c>
      <c r="F674" s="64" t="s">
        <v>1337</v>
      </c>
      <c r="G674" s="64" t="s">
        <v>1229</v>
      </c>
      <c r="H674" s="66">
        <v>1747830.34</v>
      </c>
      <c r="I674" s="90" t="s">
        <v>570</v>
      </c>
      <c r="J674" s="44">
        <v>328</v>
      </c>
    </row>
    <row r="675" spans="2:10" ht="23">
      <c r="B675" s="63">
        <v>45077</v>
      </c>
      <c r="C675" s="64" t="s">
        <v>1336</v>
      </c>
      <c r="D675" s="64" t="s">
        <v>270</v>
      </c>
      <c r="E675" s="64" t="s">
        <v>622</v>
      </c>
      <c r="F675" s="64" t="s">
        <v>1337</v>
      </c>
      <c r="G675" s="64" t="s">
        <v>1338</v>
      </c>
      <c r="H675" s="66">
        <v>1214280.58</v>
      </c>
      <c r="I675" s="90" t="s">
        <v>570</v>
      </c>
      <c r="J675" s="44">
        <v>328</v>
      </c>
    </row>
    <row r="676" spans="2:10" ht="23">
      <c r="B676" s="63">
        <v>45077</v>
      </c>
      <c r="C676" s="64" t="s">
        <v>1336</v>
      </c>
      <c r="D676" s="64" t="s">
        <v>270</v>
      </c>
      <c r="E676" s="64" t="s">
        <v>622</v>
      </c>
      <c r="F676" s="64" t="s">
        <v>1339</v>
      </c>
      <c r="G676" s="70" t="s">
        <v>1340</v>
      </c>
      <c r="H676" s="71">
        <v>1002500</v>
      </c>
      <c r="I676" s="90" t="s">
        <v>570</v>
      </c>
      <c r="J676" s="30" t="s">
        <v>1168</v>
      </c>
    </row>
    <row r="677" spans="2:10" ht="23">
      <c r="B677" s="63">
        <v>45077</v>
      </c>
      <c r="C677" s="64" t="s">
        <v>1336</v>
      </c>
      <c r="D677" s="64" t="s">
        <v>270</v>
      </c>
      <c r="E677" s="64" t="s">
        <v>622</v>
      </c>
      <c r="F677" s="64" t="s">
        <v>1337</v>
      </c>
      <c r="G677" s="64" t="s">
        <v>1234</v>
      </c>
      <c r="H677" s="66">
        <v>982209.23</v>
      </c>
      <c r="I677" s="90" t="s">
        <v>570</v>
      </c>
      <c r="J677" s="44">
        <v>328</v>
      </c>
    </row>
    <row r="678" spans="2:10" ht="23">
      <c r="B678" s="63">
        <v>45077</v>
      </c>
      <c r="C678" s="64" t="s">
        <v>1336</v>
      </c>
      <c r="D678" s="64" t="s">
        <v>270</v>
      </c>
      <c r="E678" s="64" t="s">
        <v>622</v>
      </c>
      <c r="F678" s="64" t="s">
        <v>1337</v>
      </c>
      <c r="G678" s="64" t="s">
        <v>733</v>
      </c>
      <c r="H678" s="66">
        <v>15208.48</v>
      </c>
      <c r="I678" s="90" t="s">
        <v>570</v>
      </c>
      <c r="J678" s="72">
        <v>327</v>
      </c>
    </row>
    <row r="679" spans="2:10" ht="23">
      <c r="B679" s="63">
        <v>45077</v>
      </c>
      <c r="C679" s="64" t="s">
        <v>1336</v>
      </c>
      <c r="D679" s="64" t="s">
        <v>270</v>
      </c>
      <c r="E679" s="64" t="s">
        <v>622</v>
      </c>
      <c r="F679" s="64" t="s">
        <v>1341</v>
      </c>
      <c r="G679" s="64" t="s">
        <v>1340</v>
      </c>
      <c r="H679" s="71">
        <v>1002500</v>
      </c>
      <c r="I679" s="90" t="s">
        <v>570</v>
      </c>
      <c r="J679" s="30" t="s">
        <v>1168</v>
      </c>
    </row>
    <row r="680" spans="2:10" ht="23">
      <c r="B680" s="63">
        <v>45077</v>
      </c>
      <c r="C680" s="64" t="s">
        <v>1342</v>
      </c>
      <c r="D680" s="64" t="s">
        <v>640</v>
      </c>
      <c r="E680" s="64" t="s">
        <v>622</v>
      </c>
      <c r="F680" s="64" t="s">
        <v>1343</v>
      </c>
      <c r="G680" s="64" t="s">
        <v>1222</v>
      </c>
      <c r="H680" s="66">
        <v>3406419.01</v>
      </c>
      <c r="I680" s="90" t="s">
        <v>570</v>
      </c>
      <c r="J680" s="72" t="s">
        <v>2438</v>
      </c>
    </row>
    <row r="681" spans="2:10">
      <c r="B681" s="63">
        <v>45077</v>
      </c>
      <c r="C681" s="64" t="s">
        <v>1344</v>
      </c>
      <c r="D681" s="64" t="s">
        <v>740</v>
      </c>
      <c r="E681" s="64" t="s">
        <v>633</v>
      </c>
      <c r="F681" s="64" t="s">
        <v>1097</v>
      </c>
      <c r="G681" s="64" t="s">
        <v>1345</v>
      </c>
      <c r="H681" s="66">
        <v>207144336.66999999</v>
      </c>
      <c r="I681" s="90" t="s">
        <v>570</v>
      </c>
      <c r="J681" s="30" t="s">
        <v>870</v>
      </c>
    </row>
    <row r="682" spans="2:10" ht="34.5">
      <c r="B682" s="63">
        <v>45077</v>
      </c>
      <c r="C682" s="64" t="s">
        <v>1346</v>
      </c>
      <c r="D682" s="64" t="s">
        <v>1347</v>
      </c>
      <c r="E682" s="64" t="s">
        <v>308</v>
      </c>
      <c r="F682" s="64" t="s">
        <v>1348</v>
      </c>
      <c r="G682" s="64" t="s">
        <v>1349</v>
      </c>
      <c r="H682" s="66">
        <v>351870000</v>
      </c>
      <c r="I682" s="90" t="s">
        <v>570</v>
      </c>
      <c r="J682" s="72" t="s">
        <v>2420</v>
      </c>
    </row>
    <row r="683" spans="2:10" ht="34.5">
      <c r="B683" s="63">
        <v>45077</v>
      </c>
      <c r="C683" s="64" t="s">
        <v>1346</v>
      </c>
      <c r="D683" s="64" t="s">
        <v>1350</v>
      </c>
      <c r="E683" s="64" t="s">
        <v>308</v>
      </c>
      <c r="F683" s="64" t="s">
        <v>1348</v>
      </c>
      <c r="G683" s="64" t="s">
        <v>1351</v>
      </c>
      <c r="H683" s="66">
        <v>351870000</v>
      </c>
      <c r="I683" s="90" t="s">
        <v>570</v>
      </c>
      <c r="J683" s="72" t="s">
        <v>2421</v>
      </c>
    </row>
    <row r="684" spans="2:10" ht="23">
      <c r="B684" s="63">
        <v>45077</v>
      </c>
      <c r="C684" s="64" t="s">
        <v>1342</v>
      </c>
      <c r="D684" s="64" t="s">
        <v>655</v>
      </c>
      <c r="E684" s="64" t="s">
        <v>622</v>
      </c>
      <c r="F684" s="64" t="s">
        <v>1221</v>
      </c>
      <c r="G684" s="64" t="s">
        <v>1222</v>
      </c>
      <c r="H684" s="66">
        <v>3262222.99</v>
      </c>
      <c r="I684" s="90" t="s">
        <v>570</v>
      </c>
      <c r="J684" s="72" t="s">
        <v>2438</v>
      </c>
    </row>
    <row r="685" spans="2:10" ht="23">
      <c r="B685" s="63">
        <v>45054</v>
      </c>
      <c r="C685" s="64" t="s">
        <v>1352</v>
      </c>
      <c r="D685" s="64" t="s">
        <v>929</v>
      </c>
      <c r="E685" s="64" t="s">
        <v>495</v>
      </c>
      <c r="F685" s="64" t="s">
        <v>1353</v>
      </c>
      <c r="G685" s="70" t="s">
        <v>2508</v>
      </c>
      <c r="H685" s="165">
        <v>1406256000</v>
      </c>
      <c r="I685" s="90" t="s">
        <v>570</v>
      </c>
      <c r="J685" s="30" t="s">
        <v>2511</v>
      </c>
    </row>
    <row r="686" spans="2:10" ht="23">
      <c r="B686" s="63">
        <v>45077</v>
      </c>
      <c r="C686" s="64" t="s">
        <v>1354</v>
      </c>
      <c r="D686" s="64" t="s">
        <v>929</v>
      </c>
      <c r="E686" s="64" t="s">
        <v>271</v>
      </c>
      <c r="F686" s="64" t="s">
        <v>1355</v>
      </c>
      <c r="G686" s="64" t="s">
        <v>1356</v>
      </c>
      <c r="H686" s="66">
        <v>117037200</v>
      </c>
      <c r="I686" s="90" t="s">
        <v>570</v>
      </c>
      <c r="J686" s="30">
        <v>39</v>
      </c>
    </row>
    <row r="687" spans="2:10">
      <c r="B687" s="63">
        <v>45077</v>
      </c>
      <c r="C687" s="64" t="s">
        <v>1357</v>
      </c>
      <c r="D687" s="64" t="s">
        <v>929</v>
      </c>
      <c r="E687" s="64" t="s">
        <v>514</v>
      </c>
      <c r="F687" s="64" t="s">
        <v>908</v>
      </c>
      <c r="G687" s="64" t="s">
        <v>1358</v>
      </c>
      <c r="H687" s="191">
        <v>1000000</v>
      </c>
      <c r="I687" s="90" t="s">
        <v>570</v>
      </c>
      <c r="J687" s="30">
        <v>39</v>
      </c>
    </row>
    <row r="688" spans="2:10">
      <c r="B688" s="63">
        <v>45077</v>
      </c>
      <c r="C688" s="64" t="s">
        <v>1324</v>
      </c>
      <c r="D688" s="64" t="s">
        <v>929</v>
      </c>
      <c r="E688" s="64" t="s">
        <v>514</v>
      </c>
      <c r="F688" s="64" t="s">
        <v>1359</v>
      </c>
      <c r="G688" s="64" t="s">
        <v>1360</v>
      </c>
      <c r="H688" s="191">
        <v>233000</v>
      </c>
      <c r="I688" s="90" t="s">
        <v>570</v>
      </c>
      <c r="J688" s="30">
        <v>39</v>
      </c>
    </row>
    <row r="689" spans="2:10">
      <c r="B689" s="63">
        <v>45077</v>
      </c>
      <c r="C689" s="64" t="s">
        <v>1324</v>
      </c>
      <c r="D689" s="64" t="s">
        <v>929</v>
      </c>
      <c r="E689" s="64" t="s">
        <v>271</v>
      </c>
      <c r="F689" s="64" t="s">
        <v>1361</v>
      </c>
      <c r="G689" s="64" t="s">
        <v>1362</v>
      </c>
      <c r="H689" s="194">
        <v>15923750</v>
      </c>
      <c r="I689" s="90" t="s">
        <v>570</v>
      </c>
      <c r="J689" s="30">
        <v>327</v>
      </c>
    </row>
    <row r="690" spans="2:10" ht="23">
      <c r="B690" s="63">
        <v>45077</v>
      </c>
      <c r="C690" s="64" t="s">
        <v>1363</v>
      </c>
      <c r="D690" s="64" t="s">
        <v>929</v>
      </c>
      <c r="E690" s="64" t="s">
        <v>622</v>
      </c>
      <c r="F690" s="64" t="s">
        <v>1364</v>
      </c>
      <c r="G690" s="64"/>
      <c r="H690" s="194">
        <v>19520000</v>
      </c>
      <c r="I690" s="90" t="s">
        <v>570</v>
      </c>
      <c r="J690" s="30">
        <v>327</v>
      </c>
    </row>
    <row r="691" spans="2:10" ht="23">
      <c r="B691" s="63">
        <v>45077</v>
      </c>
      <c r="C691" s="64" t="s">
        <v>1363</v>
      </c>
      <c r="D691" s="64" t="s">
        <v>929</v>
      </c>
      <c r="E691" s="64" t="s">
        <v>622</v>
      </c>
      <c r="F691" s="64" t="s">
        <v>1365</v>
      </c>
      <c r="G691" s="64"/>
      <c r="H691" s="194">
        <v>2147800</v>
      </c>
      <c r="I691" s="90" t="s">
        <v>570</v>
      </c>
      <c r="J691" s="30">
        <v>327</v>
      </c>
    </row>
    <row r="692" spans="2:10" ht="23">
      <c r="B692" s="63">
        <v>45077</v>
      </c>
      <c r="C692" s="64" t="s">
        <v>1366</v>
      </c>
      <c r="D692" s="64" t="s">
        <v>929</v>
      </c>
      <c r="E692" s="64" t="s">
        <v>622</v>
      </c>
      <c r="F692" s="64" t="s">
        <v>1367</v>
      </c>
      <c r="G692" s="64"/>
      <c r="H692" s="194">
        <v>19350000</v>
      </c>
      <c r="I692" s="90" t="s">
        <v>570</v>
      </c>
      <c r="J692" s="30">
        <v>327</v>
      </c>
    </row>
    <row r="693" spans="2:10" ht="23">
      <c r="B693" s="63">
        <v>45077</v>
      </c>
      <c r="C693" s="64" t="s">
        <v>1366</v>
      </c>
      <c r="D693" s="64" t="s">
        <v>929</v>
      </c>
      <c r="E693" s="64" t="s">
        <v>622</v>
      </c>
      <c r="F693" s="64" t="s">
        <v>1368</v>
      </c>
      <c r="G693" s="64"/>
      <c r="H693" s="194">
        <v>2128500</v>
      </c>
      <c r="I693" s="90" t="s">
        <v>570</v>
      </c>
      <c r="J693" s="30">
        <v>327</v>
      </c>
    </row>
    <row r="694" spans="2:10" ht="23">
      <c r="B694" s="63">
        <v>45077</v>
      </c>
      <c r="C694" s="64" t="s">
        <v>1354</v>
      </c>
      <c r="D694" s="64" t="s">
        <v>929</v>
      </c>
      <c r="E694" s="64" t="s">
        <v>271</v>
      </c>
      <c r="F694" s="64" t="s">
        <v>1369</v>
      </c>
      <c r="G694" s="64" t="s">
        <v>1370</v>
      </c>
      <c r="H694" s="66">
        <v>175555800</v>
      </c>
      <c r="I694" s="90" t="s">
        <v>570</v>
      </c>
      <c r="J694" s="30">
        <v>39</v>
      </c>
    </row>
    <row r="695" spans="2:10" ht="23">
      <c r="B695" s="63">
        <v>45054</v>
      </c>
      <c r="C695" s="64" t="s">
        <v>1371</v>
      </c>
      <c r="D695" s="104" t="s">
        <v>661</v>
      </c>
      <c r="E695" s="64" t="s">
        <v>495</v>
      </c>
      <c r="F695" s="64" t="s">
        <v>1372</v>
      </c>
      <c r="G695" s="70" t="s">
        <v>2509</v>
      </c>
      <c r="H695" s="165">
        <v>515046000</v>
      </c>
      <c r="I695" s="90" t="s">
        <v>570</v>
      </c>
      <c r="J695" s="30" t="s">
        <v>2512</v>
      </c>
    </row>
    <row r="696" spans="2:10" ht="23">
      <c r="B696" s="63">
        <v>45077</v>
      </c>
      <c r="C696" s="64" t="s">
        <v>1336</v>
      </c>
      <c r="D696" s="64" t="s">
        <v>1285</v>
      </c>
      <c r="E696" s="64" t="s">
        <v>622</v>
      </c>
      <c r="F696" s="64" t="s">
        <v>1337</v>
      </c>
      <c r="G696" s="64" t="s">
        <v>1240</v>
      </c>
      <c r="H696" s="66">
        <v>174584335.71000001</v>
      </c>
      <c r="I696" s="90" t="s">
        <v>570</v>
      </c>
      <c r="J696" s="30">
        <v>51</v>
      </c>
    </row>
    <row r="697" spans="2:10" ht="23">
      <c r="B697" s="63">
        <v>45077</v>
      </c>
      <c r="C697" s="64" t="s">
        <v>1336</v>
      </c>
      <c r="D697" s="64" t="s">
        <v>1285</v>
      </c>
      <c r="E697" s="64" t="s">
        <v>622</v>
      </c>
      <c r="F697" s="64" t="s">
        <v>1337</v>
      </c>
      <c r="G697" s="64" t="s">
        <v>1242</v>
      </c>
      <c r="H697" s="66">
        <v>142967556</v>
      </c>
      <c r="I697" s="90" t="s">
        <v>570</v>
      </c>
      <c r="J697" s="30">
        <v>51</v>
      </c>
    </row>
    <row r="698" spans="2:10" ht="23">
      <c r="B698" s="63">
        <v>45077</v>
      </c>
      <c r="C698" s="64" t="s">
        <v>1336</v>
      </c>
      <c r="D698" s="64" t="s">
        <v>1285</v>
      </c>
      <c r="E698" s="64" t="s">
        <v>622</v>
      </c>
      <c r="F698" s="64" t="s">
        <v>1337</v>
      </c>
      <c r="G698" s="64" t="s">
        <v>1095</v>
      </c>
      <c r="H698" s="66">
        <v>53294340.259999998</v>
      </c>
      <c r="I698" s="90" t="s">
        <v>570</v>
      </c>
      <c r="J698" s="30">
        <v>51</v>
      </c>
    </row>
    <row r="699" spans="2:10" ht="23">
      <c r="B699" s="63">
        <v>45077</v>
      </c>
      <c r="C699" s="64" t="s">
        <v>1336</v>
      </c>
      <c r="D699" s="64" t="s">
        <v>1285</v>
      </c>
      <c r="E699" s="64" t="s">
        <v>622</v>
      </c>
      <c r="F699" s="64" t="s">
        <v>1337</v>
      </c>
      <c r="G699" s="64" t="s">
        <v>1241</v>
      </c>
      <c r="H699" s="66">
        <v>18539520</v>
      </c>
      <c r="I699" s="90" t="s">
        <v>570</v>
      </c>
      <c r="J699" s="30">
        <v>51</v>
      </c>
    </row>
    <row r="700" spans="2:10" ht="23">
      <c r="B700" s="63">
        <v>45107</v>
      </c>
      <c r="C700" s="64" t="s">
        <v>1373</v>
      </c>
      <c r="D700" s="64" t="s">
        <v>270</v>
      </c>
      <c r="E700" s="64" t="s">
        <v>271</v>
      </c>
      <c r="F700" s="64" t="s">
        <v>1374</v>
      </c>
      <c r="G700" s="70" t="s">
        <v>1375</v>
      </c>
      <c r="H700" s="66">
        <v>300000</v>
      </c>
      <c r="I700" s="90" t="s">
        <v>571</v>
      </c>
      <c r="J700" s="30" t="s">
        <v>579</v>
      </c>
    </row>
    <row r="701" spans="2:10" ht="34.5">
      <c r="B701" s="63">
        <v>45107</v>
      </c>
      <c r="C701" s="64" t="s">
        <v>1376</v>
      </c>
      <c r="D701" s="64" t="s">
        <v>270</v>
      </c>
      <c r="E701" s="64" t="s">
        <v>308</v>
      </c>
      <c r="F701" s="64" t="s">
        <v>971</v>
      </c>
      <c r="G701" s="64" t="s">
        <v>1377</v>
      </c>
      <c r="H701" s="66">
        <v>592594880</v>
      </c>
      <c r="I701" s="90" t="s">
        <v>571</v>
      </c>
      <c r="J701" s="30" t="s">
        <v>536</v>
      </c>
    </row>
    <row r="702" spans="2:10" ht="23">
      <c r="B702" s="63">
        <v>45107</v>
      </c>
      <c r="C702" s="64" t="s">
        <v>1378</v>
      </c>
      <c r="D702" s="64" t="s">
        <v>270</v>
      </c>
      <c r="E702" s="64" t="s">
        <v>271</v>
      </c>
      <c r="F702" s="64" t="s">
        <v>1379</v>
      </c>
      <c r="G702" s="64" t="s">
        <v>1380</v>
      </c>
      <c r="H702" s="66">
        <v>5240000</v>
      </c>
      <c r="I702" s="90" t="s">
        <v>571</v>
      </c>
      <c r="J702" s="35" t="s">
        <v>2282</v>
      </c>
    </row>
    <row r="703" spans="2:10">
      <c r="B703" s="206">
        <v>45107</v>
      </c>
      <c r="C703" s="207" t="s">
        <v>1381</v>
      </c>
      <c r="D703" s="210" t="s">
        <v>270</v>
      </c>
      <c r="E703" s="207" t="s">
        <v>514</v>
      </c>
      <c r="F703" s="209" t="s">
        <v>1382</v>
      </c>
      <c r="G703" s="70" t="s">
        <v>2478</v>
      </c>
      <c r="H703" s="211">
        <v>13399995</v>
      </c>
      <c r="I703" s="90" t="s">
        <v>571</v>
      </c>
      <c r="J703" s="72" t="s">
        <v>1168</v>
      </c>
    </row>
    <row r="704" spans="2:10">
      <c r="B704" s="206">
        <v>45107</v>
      </c>
      <c r="C704" s="207" t="s">
        <v>1381</v>
      </c>
      <c r="D704" s="210" t="s">
        <v>270</v>
      </c>
      <c r="E704" s="207" t="s">
        <v>495</v>
      </c>
      <c r="F704" s="207" t="s">
        <v>1382</v>
      </c>
      <c r="G704" s="207" t="s">
        <v>2348</v>
      </c>
      <c r="H704" s="211">
        <v>127569950</v>
      </c>
      <c r="I704" s="90" t="s">
        <v>571</v>
      </c>
      <c r="J704" s="72" t="s">
        <v>537</v>
      </c>
    </row>
    <row r="705" spans="2:10" ht="23">
      <c r="B705" s="63">
        <v>45107</v>
      </c>
      <c r="C705" s="64" t="s">
        <v>1383</v>
      </c>
      <c r="D705" s="64" t="s">
        <v>270</v>
      </c>
      <c r="E705" s="64" t="s">
        <v>308</v>
      </c>
      <c r="F705" s="64" t="s">
        <v>455</v>
      </c>
      <c r="G705" s="64" t="s">
        <v>1384</v>
      </c>
      <c r="H705" s="140">
        <v>6600672802</v>
      </c>
      <c r="I705" s="90" t="s">
        <v>571</v>
      </c>
      <c r="J705" s="30" t="s">
        <v>535</v>
      </c>
    </row>
    <row r="706" spans="2:10" ht="23">
      <c r="B706" s="63">
        <v>45107</v>
      </c>
      <c r="C706" s="64" t="s">
        <v>1385</v>
      </c>
      <c r="D706" s="64" t="s">
        <v>270</v>
      </c>
      <c r="E706" s="64" t="s">
        <v>622</v>
      </c>
      <c r="F706" s="64" t="s">
        <v>1386</v>
      </c>
      <c r="G706" s="64" t="s">
        <v>1233</v>
      </c>
      <c r="H706" s="66">
        <v>2129812.46</v>
      </c>
      <c r="I706" s="90" t="s">
        <v>571</v>
      </c>
      <c r="J706" s="44">
        <v>328</v>
      </c>
    </row>
    <row r="707" spans="2:10" ht="23">
      <c r="B707" s="63">
        <v>45107</v>
      </c>
      <c r="C707" s="64" t="s">
        <v>1385</v>
      </c>
      <c r="D707" s="64" t="s">
        <v>270</v>
      </c>
      <c r="E707" s="64" t="s">
        <v>622</v>
      </c>
      <c r="F707" s="64" t="s">
        <v>1386</v>
      </c>
      <c r="G707" s="64" t="s">
        <v>1238</v>
      </c>
      <c r="H707" s="66">
        <v>2557816.4300000002</v>
      </c>
      <c r="I707" s="90" t="s">
        <v>571</v>
      </c>
      <c r="J707" s="44">
        <v>328</v>
      </c>
    </row>
    <row r="708" spans="2:10" ht="23">
      <c r="B708" s="63">
        <v>45107</v>
      </c>
      <c r="C708" s="64" t="s">
        <v>1385</v>
      </c>
      <c r="D708" s="64" t="s">
        <v>270</v>
      </c>
      <c r="E708" s="64" t="s">
        <v>622</v>
      </c>
      <c r="F708" s="64" t="s">
        <v>1386</v>
      </c>
      <c r="G708" s="64" t="s">
        <v>1229</v>
      </c>
      <c r="H708" s="66">
        <v>3181200.49</v>
      </c>
      <c r="I708" s="90" t="s">
        <v>571</v>
      </c>
      <c r="J708" s="44">
        <v>328</v>
      </c>
    </row>
    <row r="709" spans="2:10" ht="23">
      <c r="B709" s="63">
        <v>45107</v>
      </c>
      <c r="C709" s="64" t="s">
        <v>1385</v>
      </c>
      <c r="D709" s="64" t="s">
        <v>270</v>
      </c>
      <c r="E709" s="64" t="s">
        <v>622</v>
      </c>
      <c r="F709" s="64" t="s">
        <v>1386</v>
      </c>
      <c r="G709" s="64" t="s">
        <v>1095</v>
      </c>
      <c r="H709" s="66">
        <v>144493140</v>
      </c>
      <c r="I709" s="90" t="s">
        <v>571</v>
      </c>
      <c r="J709" s="30">
        <v>51</v>
      </c>
    </row>
    <row r="710" spans="2:10" ht="23">
      <c r="B710" s="63">
        <v>45107</v>
      </c>
      <c r="C710" s="64" t="s">
        <v>1385</v>
      </c>
      <c r="D710" s="64" t="s">
        <v>270</v>
      </c>
      <c r="E710" s="64" t="s">
        <v>622</v>
      </c>
      <c r="F710" s="64" t="s">
        <v>1386</v>
      </c>
      <c r="G710" s="64" t="s">
        <v>1387</v>
      </c>
      <c r="H710" s="66">
        <v>27007412.760000002</v>
      </c>
      <c r="I710" s="90" t="s">
        <v>571</v>
      </c>
      <c r="J710" s="30">
        <v>51</v>
      </c>
    </row>
    <row r="711" spans="2:10" ht="23">
      <c r="B711" s="63">
        <v>45107</v>
      </c>
      <c r="C711" s="64" t="s">
        <v>1385</v>
      </c>
      <c r="D711" s="64" t="s">
        <v>270</v>
      </c>
      <c r="E711" s="64" t="s">
        <v>622</v>
      </c>
      <c r="F711" s="64" t="s">
        <v>1386</v>
      </c>
      <c r="G711" s="64" t="s">
        <v>1240</v>
      </c>
      <c r="H711" s="66">
        <v>52654848</v>
      </c>
      <c r="I711" s="90" t="s">
        <v>571</v>
      </c>
      <c r="J711" s="30">
        <v>51</v>
      </c>
    </row>
    <row r="712" spans="2:10" ht="23">
      <c r="B712" s="63">
        <v>45107</v>
      </c>
      <c r="C712" s="64" t="s">
        <v>1385</v>
      </c>
      <c r="D712" s="64" t="s">
        <v>270</v>
      </c>
      <c r="E712" s="64" t="s">
        <v>622</v>
      </c>
      <c r="F712" s="64" t="s">
        <v>1386</v>
      </c>
      <c r="G712" s="64" t="s">
        <v>1242</v>
      </c>
      <c r="H712" s="66">
        <v>59623872</v>
      </c>
      <c r="I712" s="90" t="s">
        <v>571</v>
      </c>
      <c r="J712" s="30">
        <v>51</v>
      </c>
    </row>
    <row r="713" spans="2:10" ht="23">
      <c r="B713" s="63">
        <v>45107</v>
      </c>
      <c r="C713" s="64" t="s">
        <v>1385</v>
      </c>
      <c r="D713" s="64" t="s">
        <v>270</v>
      </c>
      <c r="E713" s="64" t="s">
        <v>622</v>
      </c>
      <c r="F713" s="64" t="s">
        <v>1386</v>
      </c>
      <c r="G713" s="64" t="s">
        <v>150</v>
      </c>
      <c r="H713" s="66">
        <v>937440</v>
      </c>
      <c r="I713" s="90" t="s">
        <v>571</v>
      </c>
      <c r="J713" s="30">
        <v>41</v>
      </c>
    </row>
    <row r="714" spans="2:10" ht="23">
      <c r="B714" s="63">
        <v>45107</v>
      </c>
      <c r="C714" s="64" t="s">
        <v>1385</v>
      </c>
      <c r="D714" s="64" t="s">
        <v>270</v>
      </c>
      <c r="E714" s="64" t="s">
        <v>622</v>
      </c>
      <c r="F714" s="64" t="s">
        <v>1386</v>
      </c>
      <c r="G714" s="64" t="s">
        <v>1388</v>
      </c>
      <c r="H714" s="66">
        <v>1243200</v>
      </c>
      <c r="I714" s="90" t="s">
        <v>571</v>
      </c>
      <c r="J714" s="34">
        <v>327</v>
      </c>
    </row>
    <row r="715" spans="2:10" ht="23">
      <c r="B715" s="63">
        <v>45107</v>
      </c>
      <c r="C715" s="64" t="s">
        <v>1385</v>
      </c>
      <c r="D715" s="64" t="s">
        <v>270</v>
      </c>
      <c r="E715" s="64" t="s">
        <v>622</v>
      </c>
      <c r="F715" s="64" t="s">
        <v>1386</v>
      </c>
      <c r="G715" s="64" t="s">
        <v>1236</v>
      </c>
      <c r="H715" s="71">
        <v>310800</v>
      </c>
      <c r="I715" s="90" t="s">
        <v>571</v>
      </c>
      <c r="J715" s="30">
        <v>327</v>
      </c>
    </row>
    <row r="716" spans="2:10" ht="23">
      <c r="B716" s="63">
        <v>45107</v>
      </c>
      <c r="C716" s="64" t="s">
        <v>1385</v>
      </c>
      <c r="D716" s="64" t="s">
        <v>270</v>
      </c>
      <c r="E716" s="64" t="s">
        <v>514</v>
      </c>
      <c r="F716" s="64" t="s">
        <v>1386</v>
      </c>
      <c r="G716" s="64" t="s">
        <v>1389</v>
      </c>
      <c r="H716" s="165">
        <v>77080638.239999995</v>
      </c>
      <c r="I716" s="90" t="s">
        <v>571</v>
      </c>
      <c r="J716" s="72" t="s">
        <v>2344</v>
      </c>
    </row>
    <row r="717" spans="2:10" ht="23">
      <c r="B717" s="63">
        <v>45107</v>
      </c>
      <c r="C717" s="64" t="s">
        <v>1385</v>
      </c>
      <c r="D717" s="64" t="s">
        <v>270</v>
      </c>
      <c r="E717" s="64" t="s">
        <v>514</v>
      </c>
      <c r="F717" s="64" t="s">
        <v>1386</v>
      </c>
      <c r="G717" s="64" t="s">
        <v>1079</v>
      </c>
      <c r="H717" s="165">
        <v>1108975.6599999999</v>
      </c>
      <c r="I717" s="90" t="s">
        <v>571</v>
      </c>
      <c r="J717" s="72" t="s">
        <v>2344</v>
      </c>
    </row>
    <row r="718" spans="2:10" ht="23">
      <c r="B718" s="63">
        <v>45107</v>
      </c>
      <c r="C718" s="64" t="s">
        <v>1385</v>
      </c>
      <c r="D718" s="64" t="s">
        <v>270</v>
      </c>
      <c r="E718" s="64" t="s">
        <v>514</v>
      </c>
      <c r="F718" s="64" t="s">
        <v>1386</v>
      </c>
      <c r="G718" s="64" t="s">
        <v>1079</v>
      </c>
      <c r="H718" s="165">
        <v>1571048.86</v>
      </c>
      <c r="I718" s="90" t="s">
        <v>571</v>
      </c>
      <c r="J718" s="72" t="s">
        <v>2344</v>
      </c>
    </row>
    <row r="719" spans="2:10" ht="23">
      <c r="B719" s="63">
        <v>45107</v>
      </c>
      <c r="C719" s="64" t="s">
        <v>1385</v>
      </c>
      <c r="D719" s="64" t="s">
        <v>270</v>
      </c>
      <c r="E719" s="64" t="s">
        <v>514</v>
      </c>
      <c r="F719" s="64" t="s">
        <v>1386</v>
      </c>
      <c r="G719" s="64" t="s">
        <v>1390</v>
      </c>
      <c r="H719" s="165">
        <v>10489789.630000001</v>
      </c>
      <c r="I719" s="90" t="s">
        <v>571</v>
      </c>
      <c r="J719" s="72" t="s">
        <v>2344</v>
      </c>
    </row>
    <row r="720" spans="2:10" ht="23">
      <c r="B720" s="63">
        <v>45107</v>
      </c>
      <c r="C720" s="64" t="s">
        <v>1385</v>
      </c>
      <c r="D720" s="64" t="s">
        <v>270</v>
      </c>
      <c r="E720" s="64" t="s">
        <v>514</v>
      </c>
      <c r="F720" s="64" t="s">
        <v>1386</v>
      </c>
      <c r="G720" s="64" t="s">
        <v>1391</v>
      </c>
      <c r="H720" s="165">
        <v>4373277.6500000004</v>
      </c>
      <c r="I720" s="90" t="s">
        <v>571</v>
      </c>
      <c r="J720" s="72" t="s">
        <v>2344</v>
      </c>
    </row>
    <row r="721" spans="2:10" ht="23">
      <c r="B721" s="63">
        <v>45107</v>
      </c>
      <c r="C721" s="64" t="s">
        <v>1385</v>
      </c>
      <c r="D721" s="64" t="s">
        <v>270</v>
      </c>
      <c r="E721" s="64" t="s">
        <v>514</v>
      </c>
      <c r="F721" s="64" t="s">
        <v>1386</v>
      </c>
      <c r="G721" s="64" t="s">
        <v>1392</v>
      </c>
      <c r="H721" s="66">
        <v>4286994.6100000003</v>
      </c>
      <c r="I721" s="90" t="s">
        <v>571</v>
      </c>
      <c r="J721" s="72" t="s">
        <v>2344</v>
      </c>
    </row>
    <row r="722" spans="2:10" ht="23">
      <c r="B722" s="63">
        <v>45107</v>
      </c>
      <c r="C722" s="64" t="s">
        <v>1385</v>
      </c>
      <c r="D722" s="64" t="s">
        <v>270</v>
      </c>
      <c r="E722" s="64" t="s">
        <v>514</v>
      </c>
      <c r="F722" s="64" t="s">
        <v>1386</v>
      </c>
      <c r="G722" s="64" t="s">
        <v>1393</v>
      </c>
      <c r="H722" s="165">
        <v>6387022.9699999997</v>
      </c>
      <c r="I722" s="90" t="s">
        <v>571</v>
      </c>
      <c r="J722" s="72" t="s">
        <v>2344</v>
      </c>
    </row>
    <row r="723" spans="2:10" ht="23">
      <c r="B723" s="63">
        <v>45107</v>
      </c>
      <c r="C723" s="64" t="s">
        <v>1385</v>
      </c>
      <c r="D723" s="64" t="s">
        <v>270</v>
      </c>
      <c r="E723" s="64" t="s">
        <v>622</v>
      </c>
      <c r="F723" s="64" t="s">
        <v>1386</v>
      </c>
      <c r="G723" s="64" t="s">
        <v>1234</v>
      </c>
      <c r="H723" s="66">
        <v>1285562.43</v>
      </c>
      <c r="I723" s="90" t="s">
        <v>571</v>
      </c>
      <c r="J723" s="44">
        <v>328</v>
      </c>
    </row>
    <row r="724" spans="2:10" ht="23">
      <c r="B724" s="63">
        <v>45107</v>
      </c>
      <c r="C724" s="64" t="s">
        <v>1385</v>
      </c>
      <c r="D724" s="64" t="s">
        <v>270</v>
      </c>
      <c r="E724" s="64" t="s">
        <v>622</v>
      </c>
      <c r="F724" s="64" t="s">
        <v>1386</v>
      </c>
      <c r="G724" s="64" t="s">
        <v>1338</v>
      </c>
      <c r="H724" s="66">
        <v>3654654.96</v>
      </c>
      <c r="I724" s="90" t="s">
        <v>571</v>
      </c>
      <c r="J724" s="44">
        <v>328</v>
      </c>
    </row>
    <row r="725" spans="2:10" ht="23">
      <c r="B725" s="63">
        <v>45107</v>
      </c>
      <c r="C725" s="64" t="s">
        <v>1394</v>
      </c>
      <c r="D725" s="64" t="s">
        <v>640</v>
      </c>
      <c r="E725" s="64" t="s">
        <v>622</v>
      </c>
      <c r="F725" s="64" t="s">
        <v>1343</v>
      </c>
      <c r="G725" s="64" t="s">
        <v>1222</v>
      </c>
      <c r="H725" s="66">
        <v>5466825.29</v>
      </c>
      <c r="I725" s="90" t="s">
        <v>571</v>
      </c>
      <c r="J725" s="72" t="s">
        <v>2438</v>
      </c>
    </row>
    <row r="726" spans="2:10">
      <c r="B726" s="63">
        <v>45107</v>
      </c>
      <c r="C726" s="64" t="s">
        <v>1395</v>
      </c>
      <c r="D726" s="64" t="s">
        <v>740</v>
      </c>
      <c r="E726" s="64" t="s">
        <v>633</v>
      </c>
      <c r="F726" s="64" t="s">
        <v>1097</v>
      </c>
      <c r="G726" s="64" t="s">
        <v>1396</v>
      </c>
      <c r="H726" s="66">
        <v>217181080.11000001</v>
      </c>
      <c r="I726" s="90" t="s">
        <v>571</v>
      </c>
      <c r="J726" s="30" t="s">
        <v>870</v>
      </c>
    </row>
    <row r="727" spans="2:10">
      <c r="B727" s="63">
        <v>45107</v>
      </c>
      <c r="C727" s="64" t="s">
        <v>1381</v>
      </c>
      <c r="D727" s="64" t="s">
        <v>1022</v>
      </c>
      <c r="E727" s="64" t="s">
        <v>495</v>
      </c>
      <c r="F727" s="64" t="s">
        <v>1382</v>
      </c>
      <c r="G727" s="64"/>
      <c r="H727" s="66">
        <v>271309.59000000003</v>
      </c>
      <c r="I727" s="90" t="s">
        <v>571</v>
      </c>
      <c r="J727" s="72">
        <v>41</v>
      </c>
    </row>
    <row r="728" spans="2:10" ht="34.5">
      <c r="B728" s="63">
        <v>45107</v>
      </c>
      <c r="C728" s="64" t="s">
        <v>1397</v>
      </c>
      <c r="D728" s="64" t="s">
        <v>1022</v>
      </c>
      <c r="E728" s="64" t="s">
        <v>308</v>
      </c>
      <c r="F728" s="64" t="s">
        <v>1023</v>
      </c>
      <c r="G728" s="64" t="s">
        <v>1398</v>
      </c>
      <c r="H728" s="66">
        <v>240648000</v>
      </c>
      <c r="I728" s="90" t="s">
        <v>571</v>
      </c>
      <c r="J728" s="44" t="s">
        <v>2419</v>
      </c>
    </row>
    <row r="729" spans="2:10" ht="34.5">
      <c r="B729" s="63">
        <v>45107</v>
      </c>
      <c r="C729" s="64" t="s">
        <v>1397</v>
      </c>
      <c r="D729" s="64" t="s">
        <v>1022</v>
      </c>
      <c r="E729" s="64" t="s">
        <v>308</v>
      </c>
      <c r="F729" s="64" t="s">
        <v>1023</v>
      </c>
      <c r="G729" s="64" t="s">
        <v>1399</v>
      </c>
      <c r="H729" s="66">
        <v>60162000</v>
      </c>
      <c r="I729" s="90" t="s">
        <v>571</v>
      </c>
      <c r="J729" s="44" t="s">
        <v>2419</v>
      </c>
    </row>
    <row r="730" spans="2:10" ht="34.5">
      <c r="B730" s="63">
        <v>45107</v>
      </c>
      <c r="C730" s="64" t="s">
        <v>1400</v>
      </c>
      <c r="D730" s="64" t="s">
        <v>650</v>
      </c>
      <c r="E730" s="64" t="s">
        <v>308</v>
      </c>
      <c r="F730" s="64" t="s">
        <v>1254</v>
      </c>
      <c r="G730" s="64" t="s">
        <v>1401</v>
      </c>
      <c r="H730" s="140">
        <v>88220259</v>
      </c>
      <c r="I730" s="90" t="s">
        <v>571</v>
      </c>
      <c r="J730" s="30">
        <v>21</v>
      </c>
    </row>
    <row r="731" spans="2:10" ht="34.5">
      <c r="B731" s="63">
        <v>45107</v>
      </c>
      <c r="C731" s="64" t="s">
        <v>1400</v>
      </c>
      <c r="D731" s="64" t="s">
        <v>650</v>
      </c>
      <c r="E731" s="64" t="s">
        <v>308</v>
      </c>
      <c r="F731" s="64" t="s">
        <v>1254</v>
      </c>
      <c r="G731" s="64" t="s">
        <v>1401</v>
      </c>
      <c r="H731" s="140">
        <v>384663696.75</v>
      </c>
      <c r="I731" s="90" t="s">
        <v>571</v>
      </c>
      <c r="J731" s="30">
        <v>21</v>
      </c>
    </row>
    <row r="732" spans="2:10" ht="23">
      <c r="B732" s="63">
        <v>45107</v>
      </c>
      <c r="C732" s="64" t="s">
        <v>1394</v>
      </c>
      <c r="D732" s="64" t="s">
        <v>653</v>
      </c>
      <c r="E732" s="64" t="s">
        <v>622</v>
      </c>
      <c r="F732" s="64" t="s">
        <v>1221</v>
      </c>
      <c r="G732" s="64" t="s">
        <v>1222</v>
      </c>
      <c r="H732" s="66">
        <v>1002020.25</v>
      </c>
      <c r="I732" s="90" t="s">
        <v>571</v>
      </c>
      <c r="J732" s="72" t="s">
        <v>2438</v>
      </c>
    </row>
    <row r="733" spans="2:10" ht="34.5">
      <c r="B733" s="63">
        <v>45107</v>
      </c>
      <c r="C733" s="64" t="s">
        <v>1400</v>
      </c>
      <c r="D733" s="64" t="s">
        <v>655</v>
      </c>
      <c r="E733" s="64" t="s">
        <v>308</v>
      </c>
      <c r="F733" s="64" t="s">
        <v>1254</v>
      </c>
      <c r="G733" s="64" t="s">
        <v>1401</v>
      </c>
      <c r="H733" s="140">
        <v>163041921.18000001</v>
      </c>
      <c r="I733" s="90" t="s">
        <v>571</v>
      </c>
      <c r="J733" s="30">
        <v>21</v>
      </c>
    </row>
    <row r="734" spans="2:10" ht="23">
      <c r="B734" s="63">
        <v>45107</v>
      </c>
      <c r="C734" s="64" t="s">
        <v>1394</v>
      </c>
      <c r="D734" s="64" t="s">
        <v>655</v>
      </c>
      <c r="E734" s="64" t="s">
        <v>622</v>
      </c>
      <c r="F734" s="64" t="s">
        <v>1221</v>
      </c>
      <c r="G734" s="64" t="s">
        <v>1222</v>
      </c>
      <c r="H734" s="66">
        <v>5700193.5700000003</v>
      </c>
      <c r="I734" s="90" t="s">
        <v>571</v>
      </c>
      <c r="J734" s="72" t="s">
        <v>2438</v>
      </c>
    </row>
    <row r="735" spans="2:10">
      <c r="B735" s="63">
        <v>45107</v>
      </c>
      <c r="C735" s="64" t="s">
        <v>1381</v>
      </c>
      <c r="D735" s="104" t="s">
        <v>931</v>
      </c>
      <c r="E735" s="64" t="s">
        <v>495</v>
      </c>
      <c r="F735" s="64" t="s">
        <v>1382</v>
      </c>
      <c r="G735" s="70" t="s">
        <v>2391</v>
      </c>
      <c r="H735" s="117">
        <v>94986196.5</v>
      </c>
      <c r="I735" s="90" t="s">
        <v>571</v>
      </c>
      <c r="J735" s="72">
        <v>34</v>
      </c>
    </row>
    <row r="736" spans="2:10">
      <c r="B736" s="63">
        <v>45107</v>
      </c>
      <c r="C736" s="64" t="s">
        <v>1402</v>
      </c>
      <c r="D736" s="64" t="s">
        <v>931</v>
      </c>
      <c r="E736" s="64" t="s">
        <v>514</v>
      </c>
      <c r="F736" s="64" t="s">
        <v>1403</v>
      </c>
      <c r="G736" s="64" t="s">
        <v>1404</v>
      </c>
      <c r="H736" s="191">
        <v>2425000</v>
      </c>
      <c r="I736" s="90" t="s">
        <v>571</v>
      </c>
      <c r="J736" s="30">
        <v>39</v>
      </c>
    </row>
    <row r="737" spans="2:10">
      <c r="B737" s="63">
        <v>45091</v>
      </c>
      <c r="C737" s="64" t="s">
        <v>1405</v>
      </c>
      <c r="D737" s="64" t="s">
        <v>929</v>
      </c>
      <c r="E737" s="64" t="s">
        <v>514</v>
      </c>
      <c r="F737" s="64" t="s">
        <v>612</v>
      </c>
      <c r="G737" s="64" t="s">
        <v>1406</v>
      </c>
      <c r="H737" s="194">
        <v>2281000</v>
      </c>
      <c r="I737" s="90" t="s">
        <v>571</v>
      </c>
      <c r="J737" s="30">
        <v>327</v>
      </c>
    </row>
    <row r="738" spans="2:10">
      <c r="B738" s="63">
        <v>45091</v>
      </c>
      <c r="C738" s="64" t="s">
        <v>1407</v>
      </c>
      <c r="D738" s="64" t="s">
        <v>929</v>
      </c>
      <c r="E738" s="64" t="s">
        <v>514</v>
      </c>
      <c r="F738" s="64" t="s">
        <v>612</v>
      </c>
      <c r="G738" s="64" t="s">
        <v>1408</v>
      </c>
      <c r="H738" s="194">
        <v>400000</v>
      </c>
      <c r="I738" s="90" t="s">
        <v>571</v>
      </c>
      <c r="J738" s="30">
        <v>327</v>
      </c>
    </row>
    <row r="739" spans="2:10" ht="23">
      <c r="B739" s="63">
        <v>45098</v>
      </c>
      <c r="C739" s="64" t="s">
        <v>1409</v>
      </c>
      <c r="D739" s="64" t="s">
        <v>929</v>
      </c>
      <c r="E739" s="64" t="s">
        <v>271</v>
      </c>
      <c r="F739" s="64" t="s">
        <v>1410</v>
      </c>
      <c r="G739" s="64" t="s">
        <v>1411</v>
      </c>
      <c r="H739" s="66">
        <v>36000000</v>
      </c>
      <c r="I739" s="90" t="s">
        <v>571</v>
      </c>
      <c r="J739" s="30">
        <v>39</v>
      </c>
    </row>
    <row r="740" spans="2:10">
      <c r="B740" s="63">
        <v>45107</v>
      </c>
      <c r="C740" s="64" t="s">
        <v>1402</v>
      </c>
      <c r="D740" s="64" t="s">
        <v>929</v>
      </c>
      <c r="E740" s="64" t="s">
        <v>813</v>
      </c>
      <c r="F740" s="64" t="s">
        <v>1412</v>
      </c>
      <c r="G740" s="64" t="s">
        <v>1413</v>
      </c>
      <c r="H740" s="194">
        <v>26863087</v>
      </c>
      <c r="I740" s="90" t="s">
        <v>571</v>
      </c>
      <c r="J740" s="30">
        <v>327</v>
      </c>
    </row>
    <row r="741" spans="2:10">
      <c r="B741" s="63">
        <v>45107</v>
      </c>
      <c r="C741" s="64" t="s">
        <v>1402</v>
      </c>
      <c r="D741" s="64" t="s">
        <v>929</v>
      </c>
      <c r="E741" s="64" t="s">
        <v>514</v>
      </c>
      <c r="F741" s="64" t="s">
        <v>1414</v>
      </c>
      <c r="G741" s="64" t="s">
        <v>1415</v>
      </c>
      <c r="H741" s="191">
        <v>1000000</v>
      </c>
      <c r="I741" s="90" t="s">
        <v>571</v>
      </c>
      <c r="J741" s="30">
        <v>39</v>
      </c>
    </row>
    <row r="742" spans="2:10" ht="23">
      <c r="B742" s="63">
        <v>45107</v>
      </c>
      <c r="C742" s="64" t="s">
        <v>1416</v>
      </c>
      <c r="D742" s="64" t="s">
        <v>929</v>
      </c>
      <c r="E742" s="64" t="s">
        <v>622</v>
      </c>
      <c r="F742" s="64" t="s">
        <v>1417</v>
      </c>
      <c r="G742" s="64"/>
      <c r="H742" s="194">
        <v>21960000</v>
      </c>
      <c r="I742" s="90" t="s">
        <v>571</v>
      </c>
      <c r="J742" s="30">
        <v>327</v>
      </c>
    </row>
    <row r="743" spans="2:10" ht="23">
      <c r="B743" s="63">
        <v>45107</v>
      </c>
      <c r="C743" s="64" t="s">
        <v>1416</v>
      </c>
      <c r="D743" s="64" t="s">
        <v>929</v>
      </c>
      <c r="E743" s="64" t="s">
        <v>622</v>
      </c>
      <c r="F743" s="64" t="s">
        <v>1418</v>
      </c>
      <c r="G743" s="64"/>
      <c r="H743" s="194">
        <v>2415600</v>
      </c>
      <c r="I743" s="90" t="s">
        <v>571</v>
      </c>
      <c r="J743" s="30">
        <v>327</v>
      </c>
    </row>
    <row r="744" spans="2:10" ht="23">
      <c r="B744" s="63">
        <v>45107</v>
      </c>
      <c r="C744" s="64" t="s">
        <v>1419</v>
      </c>
      <c r="D744" s="64" t="s">
        <v>929</v>
      </c>
      <c r="E744" s="64" t="s">
        <v>622</v>
      </c>
      <c r="F744" s="64" t="s">
        <v>1420</v>
      </c>
      <c r="G744" s="64"/>
      <c r="H744" s="194">
        <v>23220000</v>
      </c>
      <c r="I744" s="90" t="s">
        <v>571</v>
      </c>
      <c r="J744" s="30">
        <v>327</v>
      </c>
    </row>
    <row r="745" spans="2:10" ht="23">
      <c r="B745" s="63">
        <v>45107</v>
      </c>
      <c r="C745" s="64" t="s">
        <v>1419</v>
      </c>
      <c r="D745" s="64" t="s">
        <v>929</v>
      </c>
      <c r="E745" s="64" t="s">
        <v>622</v>
      </c>
      <c r="F745" s="64" t="s">
        <v>1421</v>
      </c>
      <c r="G745" s="64"/>
      <c r="H745" s="194">
        <v>2554200</v>
      </c>
      <c r="I745" s="90" t="s">
        <v>571</v>
      </c>
      <c r="J745" s="30">
        <v>327</v>
      </c>
    </row>
    <row r="746" spans="2:10" ht="23">
      <c r="B746" s="63">
        <v>45107</v>
      </c>
      <c r="C746" s="64" t="s">
        <v>1394</v>
      </c>
      <c r="D746" s="64" t="s">
        <v>711</v>
      </c>
      <c r="E746" s="64" t="s">
        <v>622</v>
      </c>
      <c r="F746" s="64" t="s">
        <v>1221</v>
      </c>
      <c r="G746" s="64" t="s">
        <v>1222</v>
      </c>
      <c r="H746" s="66">
        <v>5844219.54</v>
      </c>
      <c r="I746" s="90" t="s">
        <v>571</v>
      </c>
      <c r="J746" s="72" t="s">
        <v>2438</v>
      </c>
    </row>
    <row r="747" spans="2:10" ht="34.5">
      <c r="B747" s="63">
        <v>45107</v>
      </c>
      <c r="C747" s="64" t="s">
        <v>1400</v>
      </c>
      <c r="D747" s="64" t="s">
        <v>668</v>
      </c>
      <c r="E747" s="64" t="s">
        <v>308</v>
      </c>
      <c r="F747" s="64" t="s">
        <v>1254</v>
      </c>
      <c r="G747" s="64" t="s">
        <v>1401</v>
      </c>
      <c r="H747" s="140">
        <v>69093450.819999993</v>
      </c>
      <c r="I747" s="90" t="s">
        <v>571</v>
      </c>
      <c r="J747" s="30">
        <v>21</v>
      </c>
    </row>
    <row r="748" spans="2:10" ht="34.5">
      <c r="B748" s="63">
        <v>45107</v>
      </c>
      <c r="C748" s="64" t="s">
        <v>1400</v>
      </c>
      <c r="D748" s="64" t="s">
        <v>668</v>
      </c>
      <c r="E748" s="64" t="s">
        <v>308</v>
      </c>
      <c r="F748" s="64" t="s">
        <v>1254</v>
      </c>
      <c r="G748" s="64" t="s">
        <v>1401</v>
      </c>
      <c r="H748" s="140">
        <v>248846439.25</v>
      </c>
      <c r="I748" s="90" t="s">
        <v>571</v>
      </c>
      <c r="J748" s="30">
        <v>21</v>
      </c>
    </row>
    <row r="749" spans="2:10" ht="34.5">
      <c r="B749" s="63">
        <v>45107</v>
      </c>
      <c r="C749" s="64" t="s">
        <v>1422</v>
      </c>
      <c r="D749" s="64" t="s">
        <v>777</v>
      </c>
      <c r="E749" s="64" t="s">
        <v>308</v>
      </c>
      <c r="F749" s="64" t="s">
        <v>1164</v>
      </c>
      <c r="G749" s="64" t="s">
        <v>1423</v>
      </c>
      <c r="H749" s="165">
        <v>197877025</v>
      </c>
      <c r="I749" s="90" t="s">
        <v>571</v>
      </c>
      <c r="J749" s="30">
        <v>22</v>
      </c>
    </row>
    <row r="750" spans="2:10" ht="23">
      <c r="B750" s="63">
        <v>45107</v>
      </c>
      <c r="C750" s="64" t="s">
        <v>1424</v>
      </c>
      <c r="D750" s="64" t="s">
        <v>777</v>
      </c>
      <c r="E750" s="64" t="s">
        <v>622</v>
      </c>
      <c r="F750" s="64" t="s">
        <v>1425</v>
      </c>
      <c r="G750" s="64" t="s">
        <v>1426</v>
      </c>
      <c r="H750" s="66">
        <v>2896800</v>
      </c>
      <c r="I750" s="90" t="s">
        <v>571</v>
      </c>
      <c r="J750" s="30">
        <v>51</v>
      </c>
    </row>
    <row r="751" spans="2:10">
      <c r="B751" s="69">
        <v>45118</v>
      </c>
      <c r="C751" s="70" t="s">
        <v>1428</v>
      </c>
      <c r="D751" s="70" t="s">
        <v>270</v>
      </c>
      <c r="E751" s="70" t="s">
        <v>514</v>
      </c>
      <c r="F751" s="70" t="s">
        <v>1429</v>
      </c>
      <c r="G751" s="70" t="s">
        <v>1430</v>
      </c>
      <c r="H751" s="71">
        <v>320000</v>
      </c>
      <c r="I751" s="96" t="s">
        <v>572</v>
      </c>
      <c r="J751" s="30">
        <v>317</v>
      </c>
    </row>
    <row r="752" spans="2:10" ht="23">
      <c r="B752" s="69">
        <v>45138</v>
      </c>
      <c r="C752" s="70" t="s">
        <v>1431</v>
      </c>
      <c r="D752" s="70" t="s">
        <v>270</v>
      </c>
      <c r="E752" s="70" t="s">
        <v>271</v>
      </c>
      <c r="F752" s="70" t="s">
        <v>1432</v>
      </c>
      <c r="G752" s="70" t="s">
        <v>1433</v>
      </c>
      <c r="H752" s="71">
        <v>1207800</v>
      </c>
      <c r="I752" s="96" t="s">
        <v>572</v>
      </c>
      <c r="J752" s="35" t="s">
        <v>2282</v>
      </c>
    </row>
    <row r="753" spans="2:10" ht="23">
      <c r="B753" s="69">
        <v>45138</v>
      </c>
      <c r="C753" s="70" t="s">
        <v>1434</v>
      </c>
      <c r="D753" s="70" t="s">
        <v>270</v>
      </c>
      <c r="E753" s="70" t="s">
        <v>271</v>
      </c>
      <c r="F753" s="70" t="s">
        <v>1435</v>
      </c>
      <c r="G753" s="70" t="s">
        <v>1436</v>
      </c>
      <c r="H753" s="71">
        <v>2929000</v>
      </c>
      <c r="I753" s="96" t="s">
        <v>572</v>
      </c>
      <c r="J753" s="35" t="s">
        <v>2282</v>
      </c>
    </row>
    <row r="754" spans="2:10" ht="23">
      <c r="B754" s="69">
        <v>45138</v>
      </c>
      <c r="C754" s="70" t="s">
        <v>1434</v>
      </c>
      <c r="D754" s="70" t="s">
        <v>270</v>
      </c>
      <c r="E754" s="70" t="s">
        <v>271</v>
      </c>
      <c r="F754" s="70" t="s">
        <v>1437</v>
      </c>
      <c r="G754" s="70" t="s">
        <v>1438</v>
      </c>
      <c r="H754" s="71">
        <v>3670000</v>
      </c>
      <c r="I754" s="96" t="s">
        <v>572</v>
      </c>
      <c r="J754" s="35" t="s">
        <v>2282</v>
      </c>
    </row>
    <row r="755" spans="2:10" ht="23">
      <c r="B755" s="69">
        <v>45138</v>
      </c>
      <c r="C755" s="70" t="s">
        <v>1434</v>
      </c>
      <c r="D755" s="70" t="s">
        <v>270</v>
      </c>
      <c r="E755" s="70" t="s">
        <v>271</v>
      </c>
      <c r="F755" s="70" t="s">
        <v>1439</v>
      </c>
      <c r="G755" s="70" t="s">
        <v>1440</v>
      </c>
      <c r="H755" s="71">
        <v>2610000</v>
      </c>
      <c r="I755" s="96" t="s">
        <v>572</v>
      </c>
      <c r="J755" s="35" t="s">
        <v>2282</v>
      </c>
    </row>
    <row r="756" spans="2:10" ht="23">
      <c r="B756" s="69">
        <v>45138</v>
      </c>
      <c r="C756" s="70" t="s">
        <v>1434</v>
      </c>
      <c r="D756" s="70" t="s">
        <v>270</v>
      </c>
      <c r="E756" s="70" t="s">
        <v>271</v>
      </c>
      <c r="F756" s="70" t="s">
        <v>1439</v>
      </c>
      <c r="G756" s="70" t="s">
        <v>1441</v>
      </c>
      <c r="H756" s="71">
        <v>2610000</v>
      </c>
      <c r="I756" s="96" t="s">
        <v>572</v>
      </c>
      <c r="J756" s="35" t="s">
        <v>2282</v>
      </c>
    </row>
    <row r="757" spans="2:10">
      <c r="B757" s="69">
        <v>45121</v>
      </c>
      <c r="C757" s="70" t="s">
        <v>1442</v>
      </c>
      <c r="D757" s="70" t="s">
        <v>270</v>
      </c>
      <c r="E757" s="70" t="s">
        <v>622</v>
      </c>
      <c r="F757" s="70" t="s">
        <v>1443</v>
      </c>
      <c r="G757" s="70" t="s">
        <v>1444</v>
      </c>
      <c r="H757" s="71">
        <v>2272500</v>
      </c>
      <c r="I757" s="96" t="s">
        <v>572</v>
      </c>
      <c r="J757" s="30">
        <v>327</v>
      </c>
    </row>
    <row r="758" spans="2:10" ht="46">
      <c r="B758" s="69">
        <v>45138</v>
      </c>
      <c r="C758" s="70" t="s">
        <v>1445</v>
      </c>
      <c r="D758" s="70" t="s">
        <v>270</v>
      </c>
      <c r="E758" s="70" t="s">
        <v>308</v>
      </c>
      <c r="F758" s="70" t="s">
        <v>971</v>
      </c>
      <c r="G758" s="70" t="s">
        <v>1446</v>
      </c>
      <c r="H758" s="71">
        <v>444002983</v>
      </c>
      <c r="I758" s="96" t="s">
        <v>572</v>
      </c>
      <c r="J758" s="72" t="s">
        <v>536</v>
      </c>
    </row>
    <row r="759" spans="2:10" ht="34.5">
      <c r="B759" s="69">
        <v>45138</v>
      </c>
      <c r="C759" s="70" t="s">
        <v>1445</v>
      </c>
      <c r="D759" s="70" t="s">
        <v>270</v>
      </c>
      <c r="E759" s="70" t="s">
        <v>308</v>
      </c>
      <c r="F759" s="70" t="s">
        <v>971</v>
      </c>
      <c r="G759" s="70" t="s">
        <v>1447</v>
      </c>
      <c r="H759" s="71">
        <v>1718637967</v>
      </c>
      <c r="I759" s="96" t="s">
        <v>572</v>
      </c>
      <c r="J759" s="72" t="s">
        <v>536</v>
      </c>
    </row>
    <row r="760" spans="2:10">
      <c r="B760" s="69">
        <v>45138</v>
      </c>
      <c r="C760" s="70" t="s">
        <v>1448</v>
      </c>
      <c r="D760" s="70" t="s">
        <v>270</v>
      </c>
      <c r="E760" s="70" t="s">
        <v>514</v>
      </c>
      <c r="F760" s="70" t="s">
        <v>1449</v>
      </c>
      <c r="G760" s="70" t="s">
        <v>1450</v>
      </c>
      <c r="H760" s="71">
        <v>39625000</v>
      </c>
      <c r="I760" s="96" t="s">
        <v>572</v>
      </c>
      <c r="J760" s="30">
        <v>317</v>
      </c>
    </row>
    <row r="761" spans="2:10" ht="23">
      <c r="B761" s="69">
        <v>45138</v>
      </c>
      <c r="C761" s="70" t="s">
        <v>1451</v>
      </c>
      <c r="D761" s="70" t="s">
        <v>270</v>
      </c>
      <c r="E761" s="70" t="s">
        <v>514</v>
      </c>
      <c r="F761" s="70" t="s">
        <v>1452</v>
      </c>
      <c r="G761" s="70" t="s">
        <v>1453</v>
      </c>
      <c r="H761" s="71">
        <v>12150000</v>
      </c>
      <c r="I761" s="96" t="s">
        <v>572</v>
      </c>
      <c r="J761" s="72" t="s">
        <v>870</v>
      </c>
    </row>
    <row r="762" spans="2:10" ht="23">
      <c r="B762" s="69">
        <v>45138</v>
      </c>
      <c r="C762" s="70" t="s">
        <v>1451</v>
      </c>
      <c r="D762" s="70" t="s">
        <v>270</v>
      </c>
      <c r="E762" s="70" t="s">
        <v>514</v>
      </c>
      <c r="F762" s="70" t="s">
        <v>1452</v>
      </c>
      <c r="G762" s="70" t="s">
        <v>1454</v>
      </c>
      <c r="H762" s="71">
        <v>8100000</v>
      </c>
      <c r="I762" s="96" t="s">
        <v>572</v>
      </c>
      <c r="J762" s="72" t="s">
        <v>870</v>
      </c>
    </row>
    <row r="763" spans="2:10" ht="23">
      <c r="B763" s="69">
        <v>45138</v>
      </c>
      <c r="C763" s="70" t="s">
        <v>1451</v>
      </c>
      <c r="D763" s="70" t="s">
        <v>270</v>
      </c>
      <c r="E763" s="70" t="s">
        <v>514</v>
      </c>
      <c r="F763" s="70" t="s">
        <v>1452</v>
      </c>
      <c r="G763" s="70" t="s">
        <v>1455</v>
      </c>
      <c r="H763" s="71">
        <v>3782400</v>
      </c>
      <c r="I763" s="96" t="s">
        <v>572</v>
      </c>
      <c r="J763" s="72" t="s">
        <v>870</v>
      </c>
    </row>
    <row r="764" spans="2:10">
      <c r="B764" s="69">
        <v>45138</v>
      </c>
      <c r="C764" s="70" t="s">
        <v>1456</v>
      </c>
      <c r="D764" s="104" t="s">
        <v>270</v>
      </c>
      <c r="E764" s="70" t="s">
        <v>495</v>
      </c>
      <c r="F764" s="70" t="s">
        <v>1457</v>
      </c>
      <c r="G764" s="70"/>
      <c r="H764" s="71">
        <v>1520000</v>
      </c>
      <c r="I764" s="96" t="s">
        <v>572</v>
      </c>
      <c r="J764" s="72" t="s">
        <v>537</v>
      </c>
    </row>
    <row r="765" spans="2:10">
      <c r="B765" s="69">
        <v>45138</v>
      </c>
      <c r="C765" s="70" t="s">
        <v>1456</v>
      </c>
      <c r="D765" s="104" t="s">
        <v>270</v>
      </c>
      <c r="E765" s="70" t="s">
        <v>495</v>
      </c>
      <c r="F765" s="70" t="s">
        <v>1457</v>
      </c>
      <c r="G765" s="209" t="s">
        <v>2347</v>
      </c>
      <c r="H765" s="71">
        <f>1559996-H764</f>
        <v>39996</v>
      </c>
      <c r="I765" s="96" t="s">
        <v>572</v>
      </c>
      <c r="J765" s="72" t="s">
        <v>1168</v>
      </c>
    </row>
    <row r="766" spans="2:10" ht="23">
      <c r="B766" s="69">
        <v>45138</v>
      </c>
      <c r="C766" s="70" t="s">
        <v>1458</v>
      </c>
      <c r="D766" s="70" t="s">
        <v>270</v>
      </c>
      <c r="E766" s="70" t="s">
        <v>308</v>
      </c>
      <c r="F766" s="70" t="s">
        <v>455</v>
      </c>
      <c r="G766" s="70" t="s">
        <v>1459</v>
      </c>
      <c r="H766" s="137">
        <v>2016525146</v>
      </c>
      <c r="I766" s="96" t="s">
        <v>572</v>
      </c>
      <c r="J766" s="72" t="s">
        <v>535</v>
      </c>
    </row>
    <row r="767" spans="2:10" ht="23">
      <c r="B767" s="69">
        <v>45138</v>
      </c>
      <c r="C767" s="70" t="s">
        <v>1460</v>
      </c>
      <c r="D767" s="70" t="s">
        <v>270</v>
      </c>
      <c r="E767" s="70" t="s">
        <v>622</v>
      </c>
      <c r="F767" s="70" t="s">
        <v>1461</v>
      </c>
      <c r="G767" s="70" t="s">
        <v>1079</v>
      </c>
      <c r="H767" s="136">
        <v>1355666.23</v>
      </c>
      <c r="I767" s="96" t="s">
        <v>572</v>
      </c>
      <c r="J767" s="72" t="s">
        <v>2344</v>
      </c>
    </row>
    <row r="768" spans="2:10" ht="23">
      <c r="B768" s="69">
        <v>45138</v>
      </c>
      <c r="C768" s="70" t="s">
        <v>1460</v>
      </c>
      <c r="D768" s="70" t="s">
        <v>270</v>
      </c>
      <c r="E768" s="70" t="s">
        <v>622</v>
      </c>
      <c r="F768" s="70" t="s">
        <v>1462</v>
      </c>
      <c r="G768" s="70" t="s">
        <v>732</v>
      </c>
      <c r="H768" s="71">
        <v>105641.55</v>
      </c>
      <c r="I768" s="96" t="s">
        <v>572</v>
      </c>
      <c r="J768" s="72">
        <v>327</v>
      </c>
    </row>
    <row r="769" spans="2:10" ht="23">
      <c r="B769" s="69">
        <v>45138</v>
      </c>
      <c r="C769" s="70" t="s">
        <v>1460</v>
      </c>
      <c r="D769" s="70" t="s">
        <v>270</v>
      </c>
      <c r="E769" s="70" t="s">
        <v>622</v>
      </c>
      <c r="F769" s="70" t="s">
        <v>1462</v>
      </c>
      <c r="G769" s="70" t="s">
        <v>733</v>
      </c>
      <c r="H769" s="71">
        <v>121340.4</v>
      </c>
      <c r="I769" s="96" t="s">
        <v>572</v>
      </c>
      <c r="J769" s="72">
        <v>327</v>
      </c>
    </row>
    <row r="770" spans="2:10" ht="23">
      <c r="B770" s="69">
        <v>45138</v>
      </c>
      <c r="C770" s="70" t="s">
        <v>1460</v>
      </c>
      <c r="D770" s="70" t="s">
        <v>270</v>
      </c>
      <c r="E770" s="70" t="s">
        <v>622</v>
      </c>
      <c r="F770" s="70" t="s">
        <v>1462</v>
      </c>
      <c r="G770" s="70" t="s">
        <v>1227</v>
      </c>
      <c r="H770" s="71">
        <v>679493.49</v>
      </c>
      <c r="I770" s="96" t="s">
        <v>572</v>
      </c>
      <c r="J770" s="72">
        <v>327</v>
      </c>
    </row>
    <row r="771" spans="2:10" ht="23">
      <c r="B771" s="69">
        <v>45138</v>
      </c>
      <c r="C771" s="70" t="s">
        <v>1460</v>
      </c>
      <c r="D771" s="70" t="s">
        <v>270</v>
      </c>
      <c r="E771" s="70" t="s">
        <v>622</v>
      </c>
      <c r="F771" s="70" t="s">
        <v>1462</v>
      </c>
      <c r="G771" s="70" t="s">
        <v>1228</v>
      </c>
      <c r="H771" s="71">
        <v>902270.61</v>
      </c>
      <c r="I771" s="96" t="s">
        <v>572</v>
      </c>
      <c r="J771" s="72">
        <v>327</v>
      </c>
    </row>
    <row r="772" spans="2:10" ht="23">
      <c r="B772" s="69">
        <v>45138</v>
      </c>
      <c r="C772" s="70" t="s">
        <v>1460</v>
      </c>
      <c r="D772" s="70" t="s">
        <v>270</v>
      </c>
      <c r="E772" s="70" t="s">
        <v>622</v>
      </c>
      <c r="F772" s="70" t="s">
        <v>1462</v>
      </c>
      <c r="G772" s="70" t="s">
        <v>1225</v>
      </c>
      <c r="H772" s="71">
        <v>936562.5</v>
      </c>
      <c r="I772" s="96" t="s">
        <v>572</v>
      </c>
      <c r="J772" s="72">
        <v>327</v>
      </c>
    </row>
    <row r="773" spans="2:10" ht="23">
      <c r="B773" s="69">
        <v>45138</v>
      </c>
      <c r="C773" s="70" t="s">
        <v>1460</v>
      </c>
      <c r="D773" s="70" t="s">
        <v>270</v>
      </c>
      <c r="E773" s="70" t="s">
        <v>622</v>
      </c>
      <c r="F773" s="70" t="s">
        <v>1462</v>
      </c>
      <c r="G773" s="70" t="s">
        <v>1463</v>
      </c>
      <c r="H773" s="71">
        <v>951900.74</v>
      </c>
      <c r="I773" s="96" t="s">
        <v>572</v>
      </c>
      <c r="J773" s="72">
        <v>327</v>
      </c>
    </row>
    <row r="774" spans="2:10" ht="23">
      <c r="B774" s="69">
        <v>45138</v>
      </c>
      <c r="C774" s="70" t="s">
        <v>1460</v>
      </c>
      <c r="D774" s="70" t="s">
        <v>270</v>
      </c>
      <c r="E774" s="70" t="s">
        <v>622</v>
      </c>
      <c r="F774" s="70" t="s">
        <v>1462</v>
      </c>
      <c r="G774" s="70" t="s">
        <v>1229</v>
      </c>
      <c r="H774" s="71">
        <v>1440382.03</v>
      </c>
      <c r="I774" s="96" t="s">
        <v>572</v>
      </c>
      <c r="J774" s="44">
        <v>328</v>
      </c>
    </row>
    <row r="775" spans="2:10" ht="23">
      <c r="B775" s="69">
        <v>45138</v>
      </c>
      <c r="C775" s="70" t="s">
        <v>1460</v>
      </c>
      <c r="D775" s="70" t="s">
        <v>270</v>
      </c>
      <c r="E775" s="70" t="s">
        <v>622</v>
      </c>
      <c r="F775" s="70" t="s">
        <v>1462</v>
      </c>
      <c r="G775" s="70" t="s">
        <v>1234</v>
      </c>
      <c r="H775" s="71">
        <v>1841274.35</v>
      </c>
      <c r="I775" s="96" t="s">
        <v>572</v>
      </c>
      <c r="J775" s="44">
        <v>328</v>
      </c>
    </row>
    <row r="776" spans="2:10" ht="23">
      <c r="B776" s="69">
        <v>45138</v>
      </c>
      <c r="C776" s="70" t="s">
        <v>1460</v>
      </c>
      <c r="D776" s="70" t="s">
        <v>270</v>
      </c>
      <c r="E776" s="70" t="s">
        <v>514</v>
      </c>
      <c r="F776" s="70" t="s">
        <v>1462</v>
      </c>
      <c r="G776" s="70" t="s">
        <v>1079</v>
      </c>
      <c r="H776" s="136">
        <v>1920527.16</v>
      </c>
      <c r="I776" s="96" t="s">
        <v>572</v>
      </c>
      <c r="J776" s="72" t="s">
        <v>2344</v>
      </c>
    </row>
    <row r="777" spans="2:10" ht="23">
      <c r="B777" s="69">
        <v>45138</v>
      </c>
      <c r="C777" s="70" t="s">
        <v>1460</v>
      </c>
      <c r="D777" s="70" t="s">
        <v>270</v>
      </c>
      <c r="E777" s="70" t="s">
        <v>514</v>
      </c>
      <c r="F777" s="70" t="s">
        <v>1462</v>
      </c>
      <c r="G777" s="70" t="s">
        <v>1393</v>
      </c>
      <c r="H777" s="136">
        <v>2456400</v>
      </c>
      <c r="I777" s="96" t="s">
        <v>572</v>
      </c>
      <c r="J777" s="72" t="s">
        <v>2344</v>
      </c>
    </row>
    <row r="778" spans="2:10" ht="23">
      <c r="B778" s="69">
        <v>45138</v>
      </c>
      <c r="C778" s="70" t="s">
        <v>1460</v>
      </c>
      <c r="D778" s="70" t="s">
        <v>270</v>
      </c>
      <c r="E778" s="70" t="s">
        <v>622</v>
      </c>
      <c r="F778" s="70" t="s">
        <v>1462</v>
      </c>
      <c r="G778" s="70" t="s">
        <v>1238</v>
      </c>
      <c r="H778" s="71">
        <v>2577714.9500000002</v>
      </c>
      <c r="I778" s="96" t="s">
        <v>572</v>
      </c>
      <c r="J778" s="44">
        <v>328</v>
      </c>
    </row>
    <row r="779" spans="2:10" ht="23">
      <c r="B779" s="69">
        <v>45138</v>
      </c>
      <c r="C779" s="70" t="s">
        <v>1460</v>
      </c>
      <c r="D779" s="70" t="s">
        <v>270</v>
      </c>
      <c r="E779" s="70" t="s">
        <v>622</v>
      </c>
      <c r="F779" s="70" t="s">
        <v>1462</v>
      </c>
      <c r="G779" s="70" t="s">
        <v>1338</v>
      </c>
      <c r="H779" s="71">
        <v>3106188.68</v>
      </c>
      <c r="I779" s="96" t="s">
        <v>572</v>
      </c>
      <c r="J779" s="44">
        <v>328</v>
      </c>
    </row>
    <row r="780" spans="2:10" ht="23">
      <c r="B780" s="69">
        <v>45138</v>
      </c>
      <c r="C780" s="70" t="s">
        <v>1460</v>
      </c>
      <c r="D780" s="70" t="s">
        <v>270</v>
      </c>
      <c r="E780" s="70" t="s">
        <v>622</v>
      </c>
      <c r="F780" s="70" t="s">
        <v>1462</v>
      </c>
      <c r="G780" s="70" t="s">
        <v>1233</v>
      </c>
      <c r="H780" s="71">
        <v>3813130.93</v>
      </c>
      <c r="I780" s="96" t="s">
        <v>572</v>
      </c>
      <c r="J780" s="44">
        <v>328</v>
      </c>
    </row>
    <row r="781" spans="2:10" ht="23">
      <c r="B781" s="69">
        <v>45138</v>
      </c>
      <c r="C781" s="70" t="s">
        <v>1460</v>
      </c>
      <c r="D781" s="70" t="s">
        <v>270</v>
      </c>
      <c r="E781" s="70" t="s">
        <v>514</v>
      </c>
      <c r="F781" s="70" t="s">
        <v>1462</v>
      </c>
      <c r="G781" s="70" t="s">
        <v>1392</v>
      </c>
      <c r="H781" s="71">
        <v>4256516.37</v>
      </c>
      <c r="I781" s="96" t="s">
        <v>572</v>
      </c>
      <c r="J781" s="72" t="s">
        <v>2344</v>
      </c>
    </row>
    <row r="782" spans="2:10" ht="23">
      <c r="B782" s="69">
        <v>45138</v>
      </c>
      <c r="C782" s="70" t="s">
        <v>1460</v>
      </c>
      <c r="D782" s="70" t="s">
        <v>270</v>
      </c>
      <c r="E782" s="70" t="s">
        <v>622</v>
      </c>
      <c r="F782" s="70" t="s">
        <v>1462</v>
      </c>
      <c r="G782" s="70" t="s">
        <v>150</v>
      </c>
      <c r="H782" s="71">
        <v>4438224</v>
      </c>
      <c r="I782" s="96" t="s">
        <v>572</v>
      </c>
      <c r="J782" s="72">
        <v>327</v>
      </c>
    </row>
    <row r="783" spans="2:10" ht="23">
      <c r="B783" s="69">
        <v>45138</v>
      </c>
      <c r="C783" s="70" t="s">
        <v>1460</v>
      </c>
      <c r="D783" s="70" t="s">
        <v>270</v>
      </c>
      <c r="E783" s="70" t="s">
        <v>514</v>
      </c>
      <c r="F783" s="70" t="s">
        <v>1462</v>
      </c>
      <c r="G783" s="70" t="s">
        <v>1391</v>
      </c>
      <c r="H783" s="136">
        <v>4843310.37</v>
      </c>
      <c r="I783" s="96" t="s">
        <v>572</v>
      </c>
      <c r="J783" s="72" t="s">
        <v>2344</v>
      </c>
    </row>
    <row r="784" spans="2:10" ht="23">
      <c r="B784" s="69">
        <v>45138</v>
      </c>
      <c r="C784" s="70" t="s">
        <v>1460</v>
      </c>
      <c r="D784" s="70" t="s">
        <v>270</v>
      </c>
      <c r="E784" s="70" t="s">
        <v>622</v>
      </c>
      <c r="F784" s="70" t="s">
        <v>1462</v>
      </c>
      <c r="G784" s="70" t="s">
        <v>1239</v>
      </c>
      <c r="H784" s="71">
        <v>4888107</v>
      </c>
      <c r="I784" s="96" t="s">
        <v>572</v>
      </c>
      <c r="J784" s="72">
        <v>327</v>
      </c>
    </row>
    <row r="785" spans="2:10" ht="23">
      <c r="B785" s="69">
        <v>45138</v>
      </c>
      <c r="C785" s="70" t="s">
        <v>1460</v>
      </c>
      <c r="D785" s="70" t="s">
        <v>270</v>
      </c>
      <c r="E785" s="70" t="s">
        <v>622</v>
      </c>
      <c r="F785" s="70" t="s">
        <v>1462</v>
      </c>
      <c r="G785" s="70" t="s">
        <v>1092</v>
      </c>
      <c r="H785" s="71">
        <v>14067585</v>
      </c>
      <c r="I785" s="96" t="s">
        <v>572</v>
      </c>
      <c r="J785" s="72">
        <v>327</v>
      </c>
    </row>
    <row r="786" spans="2:10" ht="23">
      <c r="B786" s="69">
        <v>45138</v>
      </c>
      <c r="C786" s="70" t="s">
        <v>1460</v>
      </c>
      <c r="D786" s="70" t="s">
        <v>270</v>
      </c>
      <c r="E786" s="70" t="s">
        <v>622</v>
      </c>
      <c r="F786" s="70" t="s">
        <v>1462</v>
      </c>
      <c r="G786" s="70" t="s">
        <v>1093</v>
      </c>
      <c r="H786" s="71">
        <v>14235528</v>
      </c>
      <c r="I786" s="96" t="s">
        <v>572</v>
      </c>
      <c r="J786" s="72">
        <v>327</v>
      </c>
    </row>
    <row r="787" spans="2:10" ht="23">
      <c r="B787" s="69">
        <v>45138</v>
      </c>
      <c r="C787" s="70" t="s">
        <v>1460</v>
      </c>
      <c r="D787" s="70" t="s">
        <v>270</v>
      </c>
      <c r="E787" s="70" t="s">
        <v>514</v>
      </c>
      <c r="F787" s="70" t="s">
        <v>1462</v>
      </c>
      <c r="G787" s="70" t="s">
        <v>1390</v>
      </c>
      <c r="H787" s="136">
        <v>26641302.039999999</v>
      </c>
      <c r="I787" s="96" t="s">
        <v>572</v>
      </c>
      <c r="J787" s="72" t="s">
        <v>2344</v>
      </c>
    </row>
    <row r="788" spans="2:10" ht="23">
      <c r="B788" s="69">
        <v>45138</v>
      </c>
      <c r="C788" s="70" t="s">
        <v>1460</v>
      </c>
      <c r="D788" s="70" t="s">
        <v>270</v>
      </c>
      <c r="E788" s="70" t="s">
        <v>622</v>
      </c>
      <c r="F788" s="70" t="s">
        <v>1462</v>
      </c>
      <c r="G788" s="70" t="s">
        <v>1242</v>
      </c>
      <c r="H788" s="71">
        <v>35544420</v>
      </c>
      <c r="I788" s="96" t="s">
        <v>572</v>
      </c>
      <c r="J788" s="72">
        <v>327</v>
      </c>
    </row>
    <row r="789" spans="2:10" ht="23">
      <c r="B789" s="69">
        <v>45138</v>
      </c>
      <c r="C789" s="70" t="s">
        <v>1460</v>
      </c>
      <c r="D789" s="70" t="s">
        <v>270</v>
      </c>
      <c r="E789" s="70" t="s">
        <v>514</v>
      </c>
      <c r="F789" s="70" t="s">
        <v>1462</v>
      </c>
      <c r="G789" s="70" t="s">
        <v>1389</v>
      </c>
      <c r="H789" s="136">
        <v>104594762.31999999</v>
      </c>
      <c r="I789" s="96" t="s">
        <v>572</v>
      </c>
      <c r="J789" s="72" t="s">
        <v>2344</v>
      </c>
    </row>
    <row r="790" spans="2:10" ht="23">
      <c r="B790" s="69">
        <v>45138</v>
      </c>
      <c r="C790" s="70" t="s">
        <v>1460</v>
      </c>
      <c r="D790" s="70" t="s">
        <v>270</v>
      </c>
      <c r="E790" s="70" t="s">
        <v>622</v>
      </c>
      <c r="F790" s="70" t="s">
        <v>1462</v>
      </c>
      <c r="G790" s="70" t="s">
        <v>1095</v>
      </c>
      <c r="H790" s="71">
        <v>145171925</v>
      </c>
      <c r="I790" s="96" t="s">
        <v>572</v>
      </c>
      <c r="J790" s="72">
        <v>327</v>
      </c>
    </row>
    <row r="791" spans="2:10" ht="23">
      <c r="B791" s="69">
        <v>45138</v>
      </c>
      <c r="C791" s="70" t="s">
        <v>1460</v>
      </c>
      <c r="D791" s="70" t="s">
        <v>270</v>
      </c>
      <c r="E791" s="70" t="s">
        <v>622</v>
      </c>
      <c r="F791" s="70" t="s">
        <v>1462</v>
      </c>
      <c r="G791" s="70" t="s">
        <v>1240</v>
      </c>
      <c r="H791" s="71">
        <v>211686768</v>
      </c>
      <c r="I791" s="96" t="s">
        <v>572</v>
      </c>
      <c r="J791" s="72">
        <v>327</v>
      </c>
    </row>
    <row r="792" spans="2:10" ht="23">
      <c r="B792" s="69">
        <v>45138</v>
      </c>
      <c r="C792" s="70" t="s">
        <v>1464</v>
      </c>
      <c r="D792" s="70" t="s">
        <v>640</v>
      </c>
      <c r="E792" s="70" t="s">
        <v>622</v>
      </c>
      <c r="F792" s="70" t="s">
        <v>1343</v>
      </c>
      <c r="G792" s="70" t="s">
        <v>1222</v>
      </c>
      <c r="H792" s="71">
        <v>6590970.2699999996</v>
      </c>
      <c r="I792" s="96" t="s">
        <v>572</v>
      </c>
      <c r="J792" s="72" t="s">
        <v>2438</v>
      </c>
    </row>
    <row r="793" spans="2:10">
      <c r="B793" s="69">
        <v>45138</v>
      </c>
      <c r="C793" s="70" t="s">
        <v>1465</v>
      </c>
      <c r="D793" s="70" t="s">
        <v>740</v>
      </c>
      <c r="E793" s="70" t="s">
        <v>633</v>
      </c>
      <c r="F793" s="70" t="s">
        <v>1097</v>
      </c>
      <c r="G793" s="70" t="s">
        <v>1466</v>
      </c>
      <c r="H793" s="71">
        <v>258394209.99000001</v>
      </c>
      <c r="I793" s="96" t="s">
        <v>572</v>
      </c>
      <c r="J793" s="72" t="s">
        <v>870</v>
      </c>
    </row>
    <row r="794" spans="2:10" ht="34.5">
      <c r="B794" s="69">
        <v>45138</v>
      </c>
      <c r="C794" s="70" t="s">
        <v>1467</v>
      </c>
      <c r="D794" s="70" t="s">
        <v>1350</v>
      </c>
      <c r="E794" s="70" t="s">
        <v>308</v>
      </c>
      <c r="F794" s="70" t="s">
        <v>1023</v>
      </c>
      <c r="G794" s="70" t="s">
        <v>1468</v>
      </c>
      <c r="H794" s="71">
        <v>370462500</v>
      </c>
      <c r="I794" s="96" t="s">
        <v>572</v>
      </c>
      <c r="J794" s="72" t="s">
        <v>2422</v>
      </c>
    </row>
    <row r="795" spans="2:10" ht="34.5">
      <c r="B795" s="69">
        <v>45138</v>
      </c>
      <c r="C795" s="70" t="s">
        <v>1469</v>
      </c>
      <c r="D795" s="104" t="s">
        <v>650</v>
      </c>
      <c r="E795" s="70" t="s">
        <v>308</v>
      </c>
      <c r="F795" s="70" t="s">
        <v>977</v>
      </c>
      <c r="G795" s="70" t="s">
        <v>2434</v>
      </c>
      <c r="H795" s="225">
        <v>190964911</v>
      </c>
      <c r="I795" s="96" t="s">
        <v>572</v>
      </c>
      <c r="J795" s="30">
        <v>21</v>
      </c>
    </row>
    <row r="796" spans="2:10" ht="34.5">
      <c r="B796" s="69">
        <v>45138</v>
      </c>
      <c r="C796" s="70" t="s">
        <v>1469</v>
      </c>
      <c r="D796" s="70" t="s">
        <v>650</v>
      </c>
      <c r="E796" s="70" t="s">
        <v>308</v>
      </c>
      <c r="F796" s="70" t="s">
        <v>977</v>
      </c>
      <c r="G796" s="70" t="s">
        <v>2434</v>
      </c>
      <c r="H796" s="225">
        <v>10472303</v>
      </c>
      <c r="I796" s="96" t="s">
        <v>572</v>
      </c>
      <c r="J796" s="30">
        <v>21</v>
      </c>
    </row>
    <row r="797" spans="2:10" ht="34.5">
      <c r="B797" s="69">
        <v>45138</v>
      </c>
      <c r="C797" s="70" t="s">
        <v>1469</v>
      </c>
      <c r="D797" s="70" t="s">
        <v>650</v>
      </c>
      <c r="E797" s="70" t="s">
        <v>308</v>
      </c>
      <c r="F797" s="70" t="s">
        <v>977</v>
      </c>
      <c r="G797" s="70" t="s">
        <v>2434</v>
      </c>
      <c r="H797" s="225">
        <v>10358506.550000001</v>
      </c>
      <c r="I797" s="96" t="s">
        <v>572</v>
      </c>
      <c r="J797" s="30">
        <v>21</v>
      </c>
    </row>
    <row r="798" spans="2:10" ht="34.5">
      <c r="B798" s="69">
        <v>45138</v>
      </c>
      <c r="C798" s="70" t="s">
        <v>1469</v>
      </c>
      <c r="D798" s="70" t="s">
        <v>650</v>
      </c>
      <c r="E798" s="70" t="s">
        <v>308</v>
      </c>
      <c r="F798" s="70" t="s">
        <v>977</v>
      </c>
      <c r="G798" s="70" t="s">
        <v>2434</v>
      </c>
      <c r="H798" s="225">
        <v>465773351.5</v>
      </c>
      <c r="I798" s="96" t="s">
        <v>572</v>
      </c>
      <c r="J798" s="30">
        <v>21</v>
      </c>
    </row>
    <row r="799" spans="2:10" ht="34.5">
      <c r="B799" s="69">
        <v>45138</v>
      </c>
      <c r="C799" s="70" t="s">
        <v>1469</v>
      </c>
      <c r="D799" s="70" t="s">
        <v>655</v>
      </c>
      <c r="E799" s="70" t="s">
        <v>308</v>
      </c>
      <c r="F799" s="70" t="s">
        <v>977</v>
      </c>
      <c r="G799" s="70" t="s">
        <v>2434</v>
      </c>
      <c r="H799" s="225">
        <v>229043099.15000001</v>
      </c>
      <c r="I799" s="96" t="s">
        <v>572</v>
      </c>
      <c r="J799" s="30">
        <v>21</v>
      </c>
    </row>
    <row r="800" spans="2:10" ht="23">
      <c r="B800" s="69">
        <v>45138</v>
      </c>
      <c r="C800" s="70" t="s">
        <v>1464</v>
      </c>
      <c r="D800" s="70" t="s">
        <v>655</v>
      </c>
      <c r="E800" s="70" t="s">
        <v>622</v>
      </c>
      <c r="F800" s="70" t="s">
        <v>1221</v>
      </c>
      <c r="G800" s="70" t="s">
        <v>1222</v>
      </c>
      <c r="H800" s="71">
        <v>4733117.4000000004</v>
      </c>
      <c r="I800" s="96" t="s">
        <v>572</v>
      </c>
      <c r="J800" s="72" t="s">
        <v>2438</v>
      </c>
    </row>
    <row r="801" spans="2:10" ht="34.5">
      <c r="B801" s="69">
        <v>45138</v>
      </c>
      <c r="C801" s="70" t="s">
        <v>1469</v>
      </c>
      <c r="D801" s="70" t="s">
        <v>657</v>
      </c>
      <c r="E801" s="70" t="s">
        <v>308</v>
      </c>
      <c r="F801" s="70" t="s">
        <v>977</v>
      </c>
      <c r="G801" s="70" t="s">
        <v>2434</v>
      </c>
      <c r="H801" s="225">
        <v>102439894.84</v>
      </c>
      <c r="I801" s="96" t="s">
        <v>572</v>
      </c>
      <c r="J801" s="30">
        <v>21</v>
      </c>
    </row>
    <row r="802" spans="2:10" ht="34.5">
      <c r="B802" s="69">
        <v>45138</v>
      </c>
      <c r="C802" s="70" t="s">
        <v>1469</v>
      </c>
      <c r="D802" s="70" t="s">
        <v>665</v>
      </c>
      <c r="E802" s="70" t="s">
        <v>308</v>
      </c>
      <c r="F802" s="70" t="s">
        <v>977</v>
      </c>
      <c r="G802" s="70" t="s">
        <v>2434</v>
      </c>
      <c r="H802" s="225">
        <v>20873774.68</v>
      </c>
      <c r="I802" s="96" t="s">
        <v>572</v>
      </c>
      <c r="J802" s="30">
        <v>21</v>
      </c>
    </row>
    <row r="803" spans="2:10" ht="34.5">
      <c r="B803" s="69">
        <v>45138</v>
      </c>
      <c r="C803" s="70" t="s">
        <v>1469</v>
      </c>
      <c r="D803" s="70" t="s">
        <v>663</v>
      </c>
      <c r="E803" s="70" t="s">
        <v>308</v>
      </c>
      <c r="F803" s="70" t="s">
        <v>977</v>
      </c>
      <c r="G803" s="70" t="s">
        <v>2434</v>
      </c>
      <c r="H803" s="225">
        <v>44974558.810000002</v>
      </c>
      <c r="I803" s="96" t="s">
        <v>572</v>
      </c>
      <c r="J803" s="30">
        <v>21</v>
      </c>
    </row>
    <row r="804" spans="2:10" ht="34.5">
      <c r="B804" s="69">
        <v>45138</v>
      </c>
      <c r="C804" s="70" t="s">
        <v>1469</v>
      </c>
      <c r="D804" s="70" t="s">
        <v>931</v>
      </c>
      <c r="E804" s="70" t="s">
        <v>308</v>
      </c>
      <c r="F804" s="70" t="s">
        <v>977</v>
      </c>
      <c r="G804" s="70" t="s">
        <v>2434</v>
      </c>
      <c r="H804" s="225">
        <v>46942561.579999998</v>
      </c>
      <c r="I804" s="96" t="s">
        <v>572</v>
      </c>
      <c r="J804" s="30">
        <v>21</v>
      </c>
    </row>
    <row r="805" spans="2:10">
      <c r="B805" s="69">
        <v>45138</v>
      </c>
      <c r="C805" s="70" t="s">
        <v>1448</v>
      </c>
      <c r="D805" s="70" t="s">
        <v>929</v>
      </c>
      <c r="E805" s="70" t="s">
        <v>495</v>
      </c>
      <c r="F805" s="70" t="s">
        <v>1470</v>
      </c>
      <c r="G805" s="70" t="s">
        <v>1471</v>
      </c>
      <c r="H805" s="192">
        <v>4545000</v>
      </c>
      <c r="I805" s="96" t="s">
        <v>572</v>
      </c>
      <c r="J805" s="30">
        <v>39</v>
      </c>
    </row>
    <row r="806" spans="2:10">
      <c r="B806" s="69">
        <v>45138</v>
      </c>
      <c r="C806" s="70" t="s">
        <v>1456</v>
      </c>
      <c r="D806" s="104" t="s">
        <v>929</v>
      </c>
      <c r="E806" s="70" t="s">
        <v>633</v>
      </c>
      <c r="F806" s="70" t="s">
        <v>1457</v>
      </c>
      <c r="G806" s="209" t="s">
        <v>2477</v>
      </c>
      <c r="H806" s="71">
        <v>7490000</v>
      </c>
      <c r="I806" s="96" t="s">
        <v>572</v>
      </c>
      <c r="J806" s="72" t="s">
        <v>1168</v>
      </c>
    </row>
    <row r="807" spans="2:10">
      <c r="B807" s="69">
        <v>45138</v>
      </c>
      <c r="C807" s="70" t="s">
        <v>1456</v>
      </c>
      <c r="D807" s="70" t="s">
        <v>929</v>
      </c>
      <c r="E807" s="70" t="s">
        <v>514</v>
      </c>
      <c r="F807" s="70" t="s">
        <v>1457</v>
      </c>
      <c r="G807" s="70" t="s">
        <v>2478</v>
      </c>
      <c r="H807" s="71">
        <v>4846662</v>
      </c>
      <c r="I807" s="96" t="s">
        <v>572</v>
      </c>
      <c r="J807" s="72" t="s">
        <v>1168</v>
      </c>
    </row>
    <row r="808" spans="2:10" ht="34.5">
      <c r="B808" s="69">
        <v>45138</v>
      </c>
      <c r="C808" s="70" t="s">
        <v>1469</v>
      </c>
      <c r="D808" s="70" t="s">
        <v>711</v>
      </c>
      <c r="E808" s="70" t="s">
        <v>308</v>
      </c>
      <c r="F808" s="70" t="s">
        <v>977</v>
      </c>
      <c r="G808" s="70" t="s">
        <v>2434</v>
      </c>
      <c r="H808" s="225">
        <v>119653884.44</v>
      </c>
      <c r="I808" s="96" t="s">
        <v>572</v>
      </c>
      <c r="J808" s="30">
        <v>21</v>
      </c>
    </row>
    <row r="809" spans="2:10" ht="23">
      <c r="B809" s="69">
        <v>45138</v>
      </c>
      <c r="C809" s="70" t="s">
        <v>1464</v>
      </c>
      <c r="D809" s="70" t="s">
        <v>711</v>
      </c>
      <c r="E809" s="70" t="s">
        <v>622</v>
      </c>
      <c r="F809" s="70" t="s">
        <v>1221</v>
      </c>
      <c r="G809" s="70" t="s">
        <v>1222</v>
      </c>
      <c r="H809" s="71">
        <v>4745902.33</v>
      </c>
      <c r="I809" s="96" t="s">
        <v>572</v>
      </c>
      <c r="J809" s="72" t="s">
        <v>2438</v>
      </c>
    </row>
    <row r="810" spans="2:10" ht="34.5">
      <c r="B810" s="69">
        <v>45138</v>
      </c>
      <c r="C810" s="70" t="s">
        <v>1469</v>
      </c>
      <c r="D810" s="70" t="s">
        <v>668</v>
      </c>
      <c r="E810" s="70" t="s">
        <v>308</v>
      </c>
      <c r="F810" s="70" t="s">
        <v>977</v>
      </c>
      <c r="G810" s="70" t="s">
        <v>2434</v>
      </c>
      <c r="H810" s="225">
        <v>377184456.44999999</v>
      </c>
      <c r="I810" s="96" t="s">
        <v>572</v>
      </c>
      <c r="J810" s="30">
        <v>21</v>
      </c>
    </row>
    <row r="811" spans="2:10">
      <c r="B811" s="69">
        <v>45138</v>
      </c>
      <c r="C811" s="70" t="s">
        <v>1448</v>
      </c>
      <c r="D811" s="70" t="s">
        <v>777</v>
      </c>
      <c r="E811" s="70" t="s">
        <v>514</v>
      </c>
      <c r="F811" s="70" t="s">
        <v>1472</v>
      </c>
      <c r="G811" s="70" t="s">
        <v>1473</v>
      </c>
      <c r="H811" s="71">
        <v>10400000</v>
      </c>
      <c r="I811" s="96" t="s">
        <v>572</v>
      </c>
      <c r="J811" s="72" t="s">
        <v>2364</v>
      </c>
    </row>
    <row r="812" spans="2:10" ht="23">
      <c r="B812" s="69">
        <v>45169</v>
      </c>
      <c r="C812" s="70" t="s">
        <v>1553</v>
      </c>
      <c r="D812" s="70" t="s">
        <v>270</v>
      </c>
      <c r="E812" s="70" t="s">
        <v>271</v>
      </c>
      <c r="F812" s="70" t="s">
        <v>1552</v>
      </c>
      <c r="G812" s="70" t="s">
        <v>1551</v>
      </c>
      <c r="H812" s="71">
        <v>5326371</v>
      </c>
      <c r="I812" s="96" t="s">
        <v>573</v>
      </c>
      <c r="J812" s="35" t="s">
        <v>2282</v>
      </c>
    </row>
    <row r="813" spans="2:10" ht="23">
      <c r="B813" s="69">
        <v>45169</v>
      </c>
      <c r="C813" s="70" t="s">
        <v>1538</v>
      </c>
      <c r="D813" s="70" t="s">
        <v>270</v>
      </c>
      <c r="E813" s="70" t="s">
        <v>271</v>
      </c>
      <c r="F813" s="70" t="s">
        <v>1537</v>
      </c>
      <c r="G813" s="70" t="s">
        <v>1550</v>
      </c>
      <c r="H813" s="71">
        <v>3278000</v>
      </c>
      <c r="I813" s="96" t="s">
        <v>573</v>
      </c>
      <c r="J813" s="72">
        <v>327</v>
      </c>
    </row>
    <row r="814" spans="2:10" ht="34.5">
      <c r="B814" s="69">
        <v>45169</v>
      </c>
      <c r="C814" s="70" t="s">
        <v>1549</v>
      </c>
      <c r="D814" s="70" t="s">
        <v>270</v>
      </c>
      <c r="E814" s="70" t="s">
        <v>308</v>
      </c>
      <c r="F814" s="70" t="s">
        <v>1548</v>
      </c>
      <c r="G814" s="70" t="s">
        <v>1547</v>
      </c>
      <c r="H814" s="71">
        <v>-908875180</v>
      </c>
      <c r="I814" s="96" t="s">
        <v>573</v>
      </c>
      <c r="J814" s="72" t="s">
        <v>536</v>
      </c>
    </row>
    <row r="815" spans="2:10">
      <c r="B815" s="69">
        <v>45159</v>
      </c>
      <c r="C815" s="70" t="s">
        <v>1546</v>
      </c>
      <c r="D815" s="70" t="s">
        <v>270</v>
      </c>
      <c r="E815" s="70" t="s">
        <v>514</v>
      </c>
      <c r="F815" s="70" t="s">
        <v>908</v>
      </c>
      <c r="G815" s="70" t="s">
        <v>1545</v>
      </c>
      <c r="H815" s="71">
        <v>15500</v>
      </c>
      <c r="I815" s="96" t="s">
        <v>573</v>
      </c>
      <c r="J815" s="72">
        <v>330</v>
      </c>
    </row>
    <row r="816" spans="2:10" ht="23">
      <c r="B816" s="69">
        <v>45169</v>
      </c>
      <c r="C816" s="70" t="s">
        <v>1477</v>
      </c>
      <c r="D816" s="70" t="s">
        <v>270</v>
      </c>
      <c r="E816" s="70" t="s">
        <v>622</v>
      </c>
      <c r="F816" s="70" t="s">
        <v>1544</v>
      </c>
      <c r="G816" s="70" t="s">
        <v>1543</v>
      </c>
      <c r="H816" s="71">
        <v>-658550.24</v>
      </c>
      <c r="I816" s="96" t="s">
        <v>573</v>
      </c>
      <c r="J816" s="72">
        <v>327</v>
      </c>
    </row>
    <row r="817" spans="2:10" ht="23">
      <c r="B817" s="69">
        <v>45169</v>
      </c>
      <c r="C817" s="70" t="s">
        <v>1477</v>
      </c>
      <c r="D817" s="70" t="s">
        <v>270</v>
      </c>
      <c r="E817" s="70" t="s">
        <v>622</v>
      </c>
      <c r="F817" s="70" t="s">
        <v>1542</v>
      </c>
      <c r="G817" s="70" t="s">
        <v>1541</v>
      </c>
      <c r="H817" s="71">
        <v>-956283.33</v>
      </c>
      <c r="I817" s="96" t="s">
        <v>573</v>
      </c>
      <c r="J817" s="72">
        <v>327</v>
      </c>
    </row>
    <row r="818" spans="2:10">
      <c r="B818" s="69">
        <v>45169</v>
      </c>
      <c r="C818" s="70" t="s">
        <v>1490</v>
      </c>
      <c r="D818" s="70" t="s">
        <v>270</v>
      </c>
      <c r="E818" s="70" t="s">
        <v>495</v>
      </c>
      <c r="F818" s="70" t="s">
        <v>1540</v>
      </c>
      <c r="G818" s="70" t="s">
        <v>1539</v>
      </c>
      <c r="H818" s="71">
        <v>215000</v>
      </c>
      <c r="I818" s="96" t="s">
        <v>573</v>
      </c>
      <c r="J818" s="72">
        <v>330</v>
      </c>
    </row>
    <row r="819" spans="2:10" ht="23">
      <c r="B819" s="69">
        <v>45169</v>
      </c>
      <c r="C819" s="70" t="s">
        <v>1538</v>
      </c>
      <c r="D819" s="70" t="s">
        <v>270</v>
      </c>
      <c r="E819" s="70" t="s">
        <v>514</v>
      </c>
      <c r="F819" s="70" t="s">
        <v>1537</v>
      </c>
      <c r="G819" s="70" t="s">
        <v>1453</v>
      </c>
      <c r="H819" s="71">
        <v>11625000</v>
      </c>
      <c r="I819" s="96" t="s">
        <v>573</v>
      </c>
      <c r="J819" s="72" t="s">
        <v>870</v>
      </c>
    </row>
    <row r="820" spans="2:10" ht="23">
      <c r="B820" s="69">
        <v>45169</v>
      </c>
      <c r="C820" s="70" t="s">
        <v>1538</v>
      </c>
      <c r="D820" s="70" t="s">
        <v>270</v>
      </c>
      <c r="E820" s="70" t="s">
        <v>514</v>
      </c>
      <c r="F820" s="70" t="s">
        <v>1537</v>
      </c>
      <c r="G820" s="70" t="s">
        <v>1454</v>
      </c>
      <c r="H820" s="71">
        <v>7500000</v>
      </c>
      <c r="I820" s="96" t="s">
        <v>573</v>
      </c>
      <c r="J820" s="72" t="s">
        <v>870</v>
      </c>
    </row>
    <row r="821" spans="2:10" ht="23">
      <c r="B821" s="69">
        <v>45169</v>
      </c>
      <c r="C821" s="70" t="s">
        <v>1538</v>
      </c>
      <c r="D821" s="70" t="s">
        <v>270</v>
      </c>
      <c r="E821" s="70" t="s">
        <v>514</v>
      </c>
      <c r="F821" s="70" t="s">
        <v>1537</v>
      </c>
      <c r="G821" s="70" t="s">
        <v>1455</v>
      </c>
      <c r="H821" s="71">
        <v>3908480</v>
      </c>
      <c r="I821" s="96" t="s">
        <v>573</v>
      </c>
      <c r="J821" s="72" t="s">
        <v>870</v>
      </c>
    </row>
    <row r="822" spans="2:10" ht="23">
      <c r="B822" s="69">
        <v>45169</v>
      </c>
      <c r="C822" s="70" t="s">
        <v>1538</v>
      </c>
      <c r="D822" s="70" t="s">
        <v>270</v>
      </c>
      <c r="E822" s="70" t="s">
        <v>514</v>
      </c>
      <c r="F822" s="70" t="s">
        <v>1537</v>
      </c>
      <c r="G822" s="70" t="s">
        <v>1536</v>
      </c>
      <c r="H822" s="71">
        <v>17700000</v>
      </c>
      <c r="I822" s="96" t="s">
        <v>573</v>
      </c>
      <c r="J822" s="35" t="s">
        <v>2282</v>
      </c>
    </row>
    <row r="823" spans="2:10" ht="23">
      <c r="B823" s="69">
        <v>45169</v>
      </c>
      <c r="C823" s="70" t="s">
        <v>1535</v>
      </c>
      <c r="D823" s="70" t="s">
        <v>270</v>
      </c>
      <c r="E823" s="70" t="s">
        <v>308</v>
      </c>
      <c r="F823" s="70" t="s">
        <v>455</v>
      </c>
      <c r="G823" s="70" t="s">
        <v>1534</v>
      </c>
      <c r="H823" s="137">
        <v>5195999303</v>
      </c>
      <c r="I823" s="96" t="s">
        <v>573</v>
      </c>
      <c r="J823" s="72" t="s">
        <v>535</v>
      </c>
    </row>
    <row r="824" spans="2:10" ht="23">
      <c r="B824" s="69">
        <v>45169</v>
      </c>
      <c r="C824" s="70" t="s">
        <v>1533</v>
      </c>
      <c r="D824" s="70" t="s">
        <v>270</v>
      </c>
      <c r="E824" s="70" t="s">
        <v>308</v>
      </c>
      <c r="F824" s="70" t="s">
        <v>1141</v>
      </c>
      <c r="G824" s="70" t="s">
        <v>1532</v>
      </c>
      <c r="H824" s="71">
        <v>62606553</v>
      </c>
      <c r="I824" s="96" t="s">
        <v>573</v>
      </c>
      <c r="J824" s="72" t="s">
        <v>536</v>
      </c>
    </row>
    <row r="825" spans="2:10" ht="23">
      <c r="B825" s="69">
        <v>45169</v>
      </c>
      <c r="C825" s="70" t="s">
        <v>1477</v>
      </c>
      <c r="D825" s="70" t="s">
        <v>270</v>
      </c>
      <c r="E825" s="70" t="s">
        <v>514</v>
      </c>
      <c r="F825" s="70" t="s">
        <v>1482</v>
      </c>
      <c r="G825" s="70"/>
      <c r="H825" s="71">
        <v>-320000</v>
      </c>
      <c r="I825" s="96" t="s">
        <v>573</v>
      </c>
      <c r="J825" s="72">
        <v>330</v>
      </c>
    </row>
    <row r="826" spans="2:10" ht="23">
      <c r="B826" s="69">
        <v>45169</v>
      </c>
      <c r="C826" s="70" t="s">
        <v>1477</v>
      </c>
      <c r="D826" s="70" t="s">
        <v>270</v>
      </c>
      <c r="E826" s="70" t="s">
        <v>514</v>
      </c>
      <c r="F826" s="70" t="s">
        <v>1481</v>
      </c>
      <c r="G826" s="70" t="s">
        <v>1480</v>
      </c>
      <c r="H826" s="71">
        <v>-39625000</v>
      </c>
      <c r="I826" s="96" t="s">
        <v>573</v>
      </c>
      <c r="J826" s="72">
        <v>317</v>
      </c>
    </row>
    <row r="827" spans="2:10" ht="23">
      <c r="B827" s="69">
        <v>45169</v>
      </c>
      <c r="C827" s="70" t="s">
        <v>1477</v>
      </c>
      <c r="D827" s="70" t="s">
        <v>270</v>
      </c>
      <c r="E827" s="70" t="s">
        <v>514</v>
      </c>
      <c r="F827" s="70" t="s">
        <v>1479</v>
      </c>
      <c r="G827" s="70" t="s">
        <v>1478</v>
      </c>
      <c r="H827" s="71">
        <v>-15500</v>
      </c>
      <c r="I827" s="96" t="s">
        <v>573</v>
      </c>
      <c r="J827" s="72">
        <v>330</v>
      </c>
    </row>
    <row r="828" spans="2:10" ht="14">
      <c r="B828" s="69">
        <v>45169</v>
      </c>
      <c r="C828" s="70" t="s">
        <v>1477</v>
      </c>
      <c r="D828" s="70" t="s">
        <v>270</v>
      </c>
      <c r="E828" s="70" t="s">
        <v>514</v>
      </c>
      <c r="F828" s="70" t="s">
        <v>1475</v>
      </c>
      <c r="G828" s="70" t="s">
        <v>1474</v>
      </c>
      <c r="H828" s="71">
        <v>-17700000</v>
      </c>
      <c r="I828" s="96" t="s">
        <v>573</v>
      </c>
      <c r="J828" s="35" t="s">
        <v>2282</v>
      </c>
    </row>
    <row r="829" spans="2:10" ht="23">
      <c r="B829" s="69">
        <v>45169</v>
      </c>
      <c r="C829" s="70" t="s">
        <v>1477</v>
      </c>
      <c r="D829" s="70" t="s">
        <v>270</v>
      </c>
      <c r="E829" s="70" t="s">
        <v>514</v>
      </c>
      <c r="F829" s="70" t="s">
        <v>1504</v>
      </c>
      <c r="G829" s="70" t="s">
        <v>1308</v>
      </c>
      <c r="H829" s="71">
        <v>-786000</v>
      </c>
      <c r="I829" s="96" t="s">
        <v>573</v>
      </c>
      <c r="J829" s="30">
        <v>51</v>
      </c>
    </row>
    <row r="830" spans="2:10">
      <c r="B830" s="69">
        <v>45169</v>
      </c>
      <c r="C830" s="70" t="s">
        <v>1477</v>
      </c>
      <c r="D830" s="70" t="s">
        <v>270</v>
      </c>
      <c r="E830" s="70" t="s">
        <v>514</v>
      </c>
      <c r="F830" s="70" t="s">
        <v>1531</v>
      </c>
      <c r="G830" s="70" t="s">
        <v>1453</v>
      </c>
      <c r="H830" s="71">
        <v>-12150000</v>
      </c>
      <c r="I830" s="96" t="s">
        <v>573</v>
      </c>
      <c r="J830" s="72" t="s">
        <v>870</v>
      </c>
    </row>
    <row r="831" spans="2:10">
      <c r="B831" s="69">
        <v>45169</v>
      </c>
      <c r="C831" s="70" t="s">
        <v>1477</v>
      </c>
      <c r="D831" s="70" t="s">
        <v>270</v>
      </c>
      <c r="E831" s="70" t="s">
        <v>514</v>
      </c>
      <c r="F831" s="70" t="s">
        <v>1530</v>
      </c>
      <c r="G831" s="70" t="s">
        <v>1453</v>
      </c>
      <c r="H831" s="71">
        <v>-11625000</v>
      </c>
      <c r="I831" s="96" t="s">
        <v>573</v>
      </c>
      <c r="J831" s="72" t="s">
        <v>870</v>
      </c>
    </row>
    <row r="832" spans="2:10">
      <c r="B832" s="69">
        <v>45169</v>
      </c>
      <c r="C832" s="70" t="s">
        <v>1477</v>
      </c>
      <c r="D832" s="70" t="s">
        <v>270</v>
      </c>
      <c r="E832" s="70" t="s">
        <v>514</v>
      </c>
      <c r="F832" s="70" t="s">
        <v>1529</v>
      </c>
      <c r="G832" s="70" t="s">
        <v>1454</v>
      </c>
      <c r="H832" s="71">
        <v>-8100000</v>
      </c>
      <c r="I832" s="96" t="s">
        <v>573</v>
      </c>
      <c r="J832" s="72" t="s">
        <v>870</v>
      </c>
    </row>
    <row r="833" spans="2:10">
      <c r="B833" s="69">
        <v>45169</v>
      </c>
      <c r="C833" s="70" t="s">
        <v>1477</v>
      </c>
      <c r="D833" s="70" t="s">
        <v>270</v>
      </c>
      <c r="E833" s="70" t="s">
        <v>514</v>
      </c>
      <c r="F833" s="70" t="s">
        <v>1528</v>
      </c>
      <c r="G833" s="70" t="s">
        <v>1454</v>
      </c>
      <c r="H833" s="71">
        <v>-7500000</v>
      </c>
      <c r="I833" s="96" t="s">
        <v>573</v>
      </c>
      <c r="J833" s="72" t="s">
        <v>870</v>
      </c>
    </row>
    <row r="834" spans="2:10" ht="23">
      <c r="B834" s="69">
        <v>45169</v>
      </c>
      <c r="C834" s="70" t="s">
        <v>1527</v>
      </c>
      <c r="D834" s="104" t="s">
        <v>270</v>
      </c>
      <c r="E834" s="70" t="s">
        <v>633</v>
      </c>
      <c r="F834" s="70" t="s">
        <v>1526</v>
      </c>
      <c r="G834" s="70"/>
      <c r="H834" s="71">
        <v>218950000</v>
      </c>
      <c r="I834" s="96" t="s">
        <v>573</v>
      </c>
      <c r="J834" s="72" t="s">
        <v>870</v>
      </c>
    </row>
    <row r="835" spans="2:10" ht="23">
      <c r="B835" s="69">
        <v>45169</v>
      </c>
      <c r="C835" s="70" t="s">
        <v>1524</v>
      </c>
      <c r="D835" s="70" t="s">
        <v>270</v>
      </c>
      <c r="E835" s="70" t="s">
        <v>622</v>
      </c>
      <c r="F835" s="70" t="s">
        <v>1523</v>
      </c>
      <c r="G835" s="70" t="s">
        <v>732</v>
      </c>
      <c r="H835" s="71">
        <v>31729.25</v>
      </c>
      <c r="I835" s="96" t="s">
        <v>573</v>
      </c>
      <c r="J835" s="72">
        <v>327</v>
      </c>
    </row>
    <row r="836" spans="2:10" ht="23">
      <c r="B836" s="69">
        <v>45169</v>
      </c>
      <c r="C836" s="70" t="s">
        <v>1524</v>
      </c>
      <c r="D836" s="70" t="s">
        <v>270</v>
      </c>
      <c r="E836" s="70" t="s">
        <v>622</v>
      </c>
      <c r="F836" s="70" t="s">
        <v>1523</v>
      </c>
      <c r="G836" s="70" t="s">
        <v>1225</v>
      </c>
      <c r="H836" s="71">
        <v>51871.15</v>
      </c>
      <c r="I836" s="96" t="s">
        <v>573</v>
      </c>
      <c r="J836" s="72">
        <v>327</v>
      </c>
    </row>
    <row r="837" spans="2:10" ht="23">
      <c r="B837" s="69">
        <v>45169</v>
      </c>
      <c r="C837" s="70" t="s">
        <v>1524</v>
      </c>
      <c r="D837" s="70" t="s">
        <v>270</v>
      </c>
      <c r="E837" s="70" t="s">
        <v>622</v>
      </c>
      <c r="F837" s="70" t="s">
        <v>1523</v>
      </c>
      <c r="G837" s="70" t="s">
        <v>1227</v>
      </c>
      <c r="H837" s="71">
        <v>99183.67</v>
      </c>
      <c r="I837" s="96" t="s">
        <v>573</v>
      </c>
      <c r="J837" s="72">
        <v>327</v>
      </c>
    </row>
    <row r="838" spans="2:10" ht="23">
      <c r="B838" s="69">
        <v>45169</v>
      </c>
      <c r="C838" s="70" t="s">
        <v>1524</v>
      </c>
      <c r="D838" s="70" t="s">
        <v>270</v>
      </c>
      <c r="E838" s="70" t="s">
        <v>622</v>
      </c>
      <c r="F838" s="70" t="s">
        <v>1523</v>
      </c>
      <c r="G838" s="70" t="s">
        <v>1237</v>
      </c>
      <c r="H838" s="71">
        <v>672660</v>
      </c>
      <c r="I838" s="96" t="s">
        <v>573</v>
      </c>
      <c r="J838" s="72">
        <v>327</v>
      </c>
    </row>
    <row r="839" spans="2:10" ht="23">
      <c r="B839" s="69">
        <v>45169</v>
      </c>
      <c r="C839" s="70" t="s">
        <v>1524</v>
      </c>
      <c r="D839" s="70" t="s">
        <v>270</v>
      </c>
      <c r="E839" s="70" t="s">
        <v>622</v>
      </c>
      <c r="F839" s="70" t="s">
        <v>1523</v>
      </c>
      <c r="G839" s="70" t="s">
        <v>1234</v>
      </c>
      <c r="H839" s="71">
        <v>1202832.5</v>
      </c>
      <c r="I839" s="96" t="s">
        <v>573</v>
      </c>
      <c r="J839" s="44">
        <v>328</v>
      </c>
    </row>
    <row r="840" spans="2:10" ht="23">
      <c r="B840" s="69">
        <v>45169</v>
      </c>
      <c r="C840" s="70" t="s">
        <v>1524</v>
      </c>
      <c r="D840" s="70" t="s">
        <v>270</v>
      </c>
      <c r="E840" s="70" t="s">
        <v>271</v>
      </c>
      <c r="F840" s="70" t="s">
        <v>1523</v>
      </c>
      <c r="G840" s="70" t="s">
        <v>1079</v>
      </c>
      <c r="H840" s="136">
        <v>1244502.06</v>
      </c>
      <c r="I840" s="96" t="s">
        <v>573</v>
      </c>
      <c r="J840" s="72" t="s">
        <v>2344</v>
      </c>
    </row>
    <row r="841" spans="2:10" ht="23">
      <c r="B841" s="69">
        <v>45169</v>
      </c>
      <c r="C841" s="70" t="s">
        <v>1524</v>
      </c>
      <c r="D841" s="70" t="s">
        <v>270</v>
      </c>
      <c r="E841" s="70" t="s">
        <v>622</v>
      </c>
      <c r="F841" s="70" t="s">
        <v>1523</v>
      </c>
      <c r="G841" s="70" t="s">
        <v>1238</v>
      </c>
      <c r="H841" s="71">
        <v>1254414.8799999999</v>
      </c>
      <c r="I841" s="96" t="s">
        <v>573</v>
      </c>
      <c r="J841" s="44">
        <v>328</v>
      </c>
    </row>
    <row r="842" spans="2:10" ht="23">
      <c r="B842" s="69">
        <v>45169</v>
      </c>
      <c r="C842" s="70" t="s">
        <v>1524</v>
      </c>
      <c r="D842" s="70" t="s">
        <v>270</v>
      </c>
      <c r="E842" s="70" t="s">
        <v>622</v>
      </c>
      <c r="F842" s="70" t="s">
        <v>1523</v>
      </c>
      <c r="G842" s="70" t="s">
        <v>1229</v>
      </c>
      <c r="H842" s="71">
        <v>1557945.38</v>
      </c>
      <c r="I842" s="96" t="s">
        <v>573</v>
      </c>
      <c r="J842" s="44">
        <v>328</v>
      </c>
    </row>
    <row r="843" spans="2:10" ht="23">
      <c r="B843" s="69">
        <v>45169</v>
      </c>
      <c r="C843" s="70" t="s">
        <v>1524</v>
      </c>
      <c r="D843" s="70" t="s">
        <v>270</v>
      </c>
      <c r="E843" s="70" t="s">
        <v>622</v>
      </c>
      <c r="F843" s="70" t="s">
        <v>1523</v>
      </c>
      <c r="G843" s="70" t="s">
        <v>1388</v>
      </c>
      <c r="H843" s="71">
        <v>1697976.7</v>
      </c>
      <c r="I843" s="96" t="s">
        <v>573</v>
      </c>
      <c r="J843" s="72">
        <v>327</v>
      </c>
    </row>
    <row r="844" spans="2:10" ht="23">
      <c r="B844" s="69">
        <v>45169</v>
      </c>
      <c r="C844" s="70" t="s">
        <v>1524</v>
      </c>
      <c r="D844" s="70" t="s">
        <v>270</v>
      </c>
      <c r="E844" s="70" t="s">
        <v>622</v>
      </c>
      <c r="F844" s="70" t="s">
        <v>1523</v>
      </c>
      <c r="G844" s="70" t="s">
        <v>1338</v>
      </c>
      <c r="H844" s="71">
        <v>2234058.0499999998</v>
      </c>
      <c r="I844" s="96" t="s">
        <v>573</v>
      </c>
      <c r="J844" s="44">
        <v>328</v>
      </c>
    </row>
    <row r="845" spans="2:10" ht="23">
      <c r="B845" s="69">
        <v>45169</v>
      </c>
      <c r="C845" s="70" t="s">
        <v>1524</v>
      </c>
      <c r="D845" s="70" t="s">
        <v>270</v>
      </c>
      <c r="E845" s="70" t="s">
        <v>622</v>
      </c>
      <c r="F845" s="70" t="s">
        <v>1523</v>
      </c>
      <c r="G845" s="70" t="s">
        <v>1233</v>
      </c>
      <c r="H845" s="71">
        <v>3443898.63</v>
      </c>
      <c r="I845" s="96" t="s">
        <v>573</v>
      </c>
      <c r="J845" s="44">
        <v>328</v>
      </c>
    </row>
    <row r="846" spans="2:10" ht="23">
      <c r="B846" s="69">
        <v>45169</v>
      </c>
      <c r="C846" s="70" t="s">
        <v>1524</v>
      </c>
      <c r="D846" s="70" t="s">
        <v>270</v>
      </c>
      <c r="E846" s="70" t="s">
        <v>622</v>
      </c>
      <c r="F846" s="70" t="s">
        <v>1523</v>
      </c>
      <c r="G846" s="70" t="s">
        <v>1228</v>
      </c>
      <c r="H846" s="71">
        <v>4056234.97</v>
      </c>
      <c r="I846" s="96" t="s">
        <v>573</v>
      </c>
      <c r="J846" s="72">
        <v>327</v>
      </c>
    </row>
    <row r="847" spans="2:10" ht="23">
      <c r="B847" s="69">
        <v>45169</v>
      </c>
      <c r="C847" s="70" t="s">
        <v>1524</v>
      </c>
      <c r="D847" s="70" t="s">
        <v>270</v>
      </c>
      <c r="E847" s="70" t="s">
        <v>271</v>
      </c>
      <c r="F847" s="70" t="s">
        <v>1523</v>
      </c>
      <c r="G847" s="70" t="s">
        <v>1391</v>
      </c>
      <c r="H847" s="136">
        <v>4666199.9800000004</v>
      </c>
      <c r="I847" s="96" t="s">
        <v>573</v>
      </c>
      <c r="J847" s="72" t="s">
        <v>2344</v>
      </c>
    </row>
    <row r="848" spans="2:10" ht="23">
      <c r="B848" s="69">
        <v>45169</v>
      </c>
      <c r="C848" s="70" t="s">
        <v>1524</v>
      </c>
      <c r="D848" s="70" t="s">
        <v>270</v>
      </c>
      <c r="E848" s="70" t="s">
        <v>622</v>
      </c>
      <c r="F848" s="70" t="s">
        <v>1523</v>
      </c>
      <c r="G848" s="70" t="s">
        <v>1525</v>
      </c>
      <c r="H848" s="71">
        <v>5687640</v>
      </c>
      <c r="I848" s="96" t="s">
        <v>573</v>
      </c>
      <c r="J848" s="72">
        <v>51</v>
      </c>
    </row>
    <row r="849" spans="2:11" ht="23">
      <c r="B849" s="69">
        <v>45169</v>
      </c>
      <c r="C849" s="70" t="s">
        <v>1524</v>
      </c>
      <c r="D849" s="70" t="s">
        <v>270</v>
      </c>
      <c r="E849" s="70" t="s">
        <v>271</v>
      </c>
      <c r="F849" s="70" t="s">
        <v>1523</v>
      </c>
      <c r="G849" s="70" t="s">
        <v>1392</v>
      </c>
      <c r="H849" s="71">
        <v>6507566.29</v>
      </c>
      <c r="I849" s="96" t="s">
        <v>573</v>
      </c>
      <c r="J849" s="72" t="s">
        <v>2344</v>
      </c>
    </row>
    <row r="850" spans="2:11" ht="23">
      <c r="B850" s="69">
        <v>45169</v>
      </c>
      <c r="C850" s="70" t="s">
        <v>1524</v>
      </c>
      <c r="D850" s="70" t="s">
        <v>270</v>
      </c>
      <c r="E850" s="70" t="s">
        <v>622</v>
      </c>
      <c r="F850" s="70" t="s">
        <v>1523</v>
      </c>
      <c r="G850" s="70" t="s">
        <v>1240</v>
      </c>
      <c r="H850" s="71">
        <v>8381610</v>
      </c>
      <c r="I850" s="96" t="s">
        <v>573</v>
      </c>
      <c r="J850" s="72">
        <v>51</v>
      </c>
    </row>
    <row r="851" spans="2:11" ht="23">
      <c r="B851" s="69">
        <v>45169</v>
      </c>
      <c r="C851" s="70" t="s">
        <v>1524</v>
      </c>
      <c r="D851" s="70" t="s">
        <v>270</v>
      </c>
      <c r="E851" s="70" t="s">
        <v>271</v>
      </c>
      <c r="F851" s="70" t="s">
        <v>1523</v>
      </c>
      <c r="G851" s="70" t="s">
        <v>1393</v>
      </c>
      <c r="H851" s="136">
        <v>12075230</v>
      </c>
      <c r="I851" s="96" t="s">
        <v>573</v>
      </c>
      <c r="J851" s="72" t="s">
        <v>2344</v>
      </c>
    </row>
    <row r="852" spans="2:11" ht="23">
      <c r="B852" s="69">
        <v>45169</v>
      </c>
      <c r="C852" s="70" t="s">
        <v>1524</v>
      </c>
      <c r="D852" s="70" t="s">
        <v>270</v>
      </c>
      <c r="E852" s="70" t="s">
        <v>271</v>
      </c>
      <c r="F852" s="70" t="s">
        <v>1523</v>
      </c>
      <c r="G852" s="70" t="s">
        <v>1390</v>
      </c>
      <c r="H852" s="136">
        <v>19043108.289999999</v>
      </c>
      <c r="I852" s="96" t="s">
        <v>573</v>
      </c>
      <c r="J852" s="72" t="s">
        <v>2344</v>
      </c>
    </row>
    <row r="853" spans="2:11" ht="23">
      <c r="B853" s="69">
        <v>45169</v>
      </c>
      <c r="C853" s="70" t="s">
        <v>1524</v>
      </c>
      <c r="D853" s="70" t="s">
        <v>270</v>
      </c>
      <c r="E853" s="70" t="s">
        <v>271</v>
      </c>
      <c r="F853" s="70" t="s">
        <v>1523</v>
      </c>
      <c r="G853" s="70" t="s">
        <v>1389</v>
      </c>
      <c r="H853" s="136">
        <v>149537720.25999999</v>
      </c>
      <c r="I853" s="96" t="s">
        <v>573</v>
      </c>
      <c r="J853" s="72" t="s">
        <v>2344</v>
      </c>
    </row>
    <row r="854" spans="2:11" ht="23">
      <c r="B854" s="69">
        <v>45169</v>
      </c>
      <c r="C854" s="70" t="s">
        <v>1524</v>
      </c>
      <c r="D854" s="70" t="s">
        <v>270</v>
      </c>
      <c r="E854" s="70" t="s">
        <v>271</v>
      </c>
      <c r="F854" s="70" t="s">
        <v>1523</v>
      </c>
      <c r="G854" s="70" t="s">
        <v>1079</v>
      </c>
      <c r="H854" s="136">
        <v>1155609.06</v>
      </c>
      <c r="I854" s="96" t="s">
        <v>573</v>
      </c>
      <c r="J854" s="72" t="s">
        <v>2344</v>
      </c>
    </row>
    <row r="855" spans="2:11" ht="23">
      <c r="B855" s="69">
        <v>45169</v>
      </c>
      <c r="C855" s="70" t="s">
        <v>1509</v>
      </c>
      <c r="D855" s="70" t="s">
        <v>640</v>
      </c>
      <c r="E855" s="70" t="s">
        <v>622</v>
      </c>
      <c r="F855" s="70" t="s">
        <v>1343</v>
      </c>
      <c r="G855" s="70" t="s">
        <v>1222</v>
      </c>
      <c r="H855" s="71">
        <v>1512272.95</v>
      </c>
      <c r="I855" s="96" t="s">
        <v>573</v>
      </c>
      <c r="J855" s="72" t="s">
        <v>2438</v>
      </c>
    </row>
    <row r="856" spans="2:11" ht="23">
      <c r="B856" s="69">
        <v>45169</v>
      </c>
      <c r="C856" s="70" t="s">
        <v>1522</v>
      </c>
      <c r="D856" s="70" t="s">
        <v>740</v>
      </c>
      <c r="E856" s="70" t="s">
        <v>633</v>
      </c>
      <c r="F856" s="70" t="s">
        <v>1521</v>
      </c>
      <c r="G856" s="70" t="s">
        <v>1520</v>
      </c>
      <c r="H856" s="71">
        <v>276511373.24000001</v>
      </c>
      <c r="I856" s="96" t="s">
        <v>573</v>
      </c>
      <c r="J856" s="72" t="s">
        <v>870</v>
      </c>
    </row>
    <row r="857" spans="2:11" ht="34.5">
      <c r="B857" s="69">
        <v>45169</v>
      </c>
      <c r="C857" s="70" t="s">
        <v>1517</v>
      </c>
      <c r="D857" s="70" t="s">
        <v>1519</v>
      </c>
      <c r="E857" s="70" t="s">
        <v>308</v>
      </c>
      <c r="F857" s="70" t="s">
        <v>1023</v>
      </c>
      <c r="G857" s="70" t="s">
        <v>1518</v>
      </c>
      <c r="H857" s="71">
        <v>740925000</v>
      </c>
      <c r="I857" s="96" t="s">
        <v>573</v>
      </c>
      <c r="J857" s="72" t="s">
        <v>2422</v>
      </c>
    </row>
    <row r="858" spans="2:11" ht="34.5">
      <c r="B858" s="69">
        <v>45169</v>
      </c>
      <c r="C858" s="70" t="s">
        <v>1517</v>
      </c>
      <c r="D858" s="70" t="s">
        <v>1516</v>
      </c>
      <c r="E858" s="70" t="s">
        <v>308</v>
      </c>
      <c r="F858" s="70" t="s">
        <v>1023</v>
      </c>
      <c r="G858" s="70" t="s">
        <v>1515</v>
      </c>
      <c r="H858" s="71">
        <v>351870000</v>
      </c>
      <c r="I858" s="96" t="s">
        <v>573</v>
      </c>
      <c r="J858" s="72" t="s">
        <v>2423</v>
      </c>
    </row>
    <row r="859" spans="2:11" ht="34.5">
      <c r="B859" s="69">
        <v>45169</v>
      </c>
      <c r="C859" s="70" t="s">
        <v>1508</v>
      </c>
      <c r="D859" s="104" t="s">
        <v>650</v>
      </c>
      <c r="E859" s="70" t="s">
        <v>308</v>
      </c>
      <c r="F859" s="70" t="s">
        <v>977</v>
      </c>
      <c r="G859" s="70" t="s">
        <v>1507</v>
      </c>
      <c r="H859" s="137">
        <v>98526614</v>
      </c>
      <c r="I859" s="96" t="s">
        <v>573</v>
      </c>
      <c r="J859" s="30">
        <v>21</v>
      </c>
    </row>
    <row r="860" spans="2:11" ht="34.5">
      <c r="B860" s="69">
        <v>45169</v>
      </c>
      <c r="C860" s="70" t="s">
        <v>1508</v>
      </c>
      <c r="D860" s="70" t="s">
        <v>650</v>
      </c>
      <c r="E860" s="70" t="s">
        <v>308</v>
      </c>
      <c r="F860" s="70" t="s">
        <v>977</v>
      </c>
      <c r="G860" s="70" t="s">
        <v>1507</v>
      </c>
      <c r="H860" s="137">
        <v>651979231.40999997</v>
      </c>
      <c r="I860" s="96" t="s">
        <v>573</v>
      </c>
      <c r="J860" s="30">
        <v>21</v>
      </c>
    </row>
    <row r="861" spans="2:11" ht="34.5">
      <c r="B861" s="69">
        <v>45169</v>
      </c>
      <c r="C861" s="70" t="s">
        <v>1508</v>
      </c>
      <c r="D861" s="70" t="s">
        <v>655</v>
      </c>
      <c r="E861" s="70" t="s">
        <v>308</v>
      </c>
      <c r="F861" s="70" t="s">
        <v>977</v>
      </c>
      <c r="G861" s="70" t="s">
        <v>1507</v>
      </c>
      <c r="H861" s="137">
        <v>80960507.200000003</v>
      </c>
      <c r="I861" s="96" t="s">
        <v>573</v>
      </c>
      <c r="J861" s="30">
        <v>21</v>
      </c>
    </row>
    <row r="862" spans="2:11" ht="23">
      <c r="B862" s="69">
        <v>45169</v>
      </c>
      <c r="C862" s="70" t="s">
        <v>1509</v>
      </c>
      <c r="D862" s="70" t="s">
        <v>655</v>
      </c>
      <c r="E862" s="70" t="s">
        <v>622</v>
      </c>
      <c r="F862" s="70" t="s">
        <v>1221</v>
      </c>
      <c r="G862" s="70" t="s">
        <v>1222</v>
      </c>
      <c r="H862" s="71">
        <v>1046555.68</v>
      </c>
      <c r="I862" s="96" t="s">
        <v>573</v>
      </c>
      <c r="J862" s="72" t="s">
        <v>2438</v>
      </c>
    </row>
    <row r="863" spans="2:11" ht="34.5">
      <c r="B863" s="69">
        <v>45169</v>
      </c>
      <c r="C863" s="70" t="s">
        <v>1508</v>
      </c>
      <c r="D863" s="70" t="s">
        <v>657</v>
      </c>
      <c r="E863" s="70" t="s">
        <v>308</v>
      </c>
      <c r="F863" s="70" t="s">
        <v>977</v>
      </c>
      <c r="G863" s="70" t="s">
        <v>1507</v>
      </c>
      <c r="H863" s="137">
        <v>40614702.149999999</v>
      </c>
      <c r="I863" s="96" t="s">
        <v>573</v>
      </c>
      <c r="J863" s="30">
        <v>21</v>
      </c>
    </row>
    <row r="864" spans="2:11" ht="23">
      <c r="B864" s="69">
        <v>45169</v>
      </c>
      <c r="C864" s="70" t="s">
        <v>1490</v>
      </c>
      <c r="D864" s="70" t="s">
        <v>659</v>
      </c>
      <c r="E864" s="70" t="s">
        <v>271</v>
      </c>
      <c r="F864" s="70" t="s">
        <v>1514</v>
      </c>
      <c r="G864" s="70" t="s">
        <v>1513</v>
      </c>
      <c r="H864" s="71">
        <v>10000000</v>
      </c>
      <c r="I864" s="96" t="s">
        <v>573</v>
      </c>
      <c r="J864" s="30">
        <v>327</v>
      </c>
      <c r="K864" s="97" t="s">
        <v>1554</v>
      </c>
    </row>
    <row r="865" spans="2:10" ht="34.5">
      <c r="B865" s="69">
        <v>45169</v>
      </c>
      <c r="C865" s="70" t="s">
        <v>1508</v>
      </c>
      <c r="D865" s="70" t="s">
        <v>665</v>
      </c>
      <c r="E865" s="70" t="s">
        <v>308</v>
      </c>
      <c r="F865" s="70" t="s">
        <v>977</v>
      </c>
      <c r="G865" s="70" t="s">
        <v>1507</v>
      </c>
      <c r="H865" s="137">
        <v>152298272.37</v>
      </c>
      <c r="I865" s="96" t="s">
        <v>573</v>
      </c>
      <c r="J865" s="30">
        <v>21</v>
      </c>
    </row>
    <row r="866" spans="2:10" ht="34.5">
      <c r="B866" s="69">
        <v>45169</v>
      </c>
      <c r="C866" s="70" t="s">
        <v>1508</v>
      </c>
      <c r="D866" s="70" t="s">
        <v>665</v>
      </c>
      <c r="E866" s="70" t="s">
        <v>308</v>
      </c>
      <c r="F866" s="70" t="s">
        <v>977</v>
      </c>
      <c r="G866" s="70" t="s">
        <v>1507</v>
      </c>
      <c r="H866" s="137">
        <v>1044129.38</v>
      </c>
      <c r="I866" s="96" t="s">
        <v>573</v>
      </c>
      <c r="J866" s="30">
        <v>21</v>
      </c>
    </row>
    <row r="867" spans="2:10">
      <c r="B867" s="69">
        <v>45169</v>
      </c>
      <c r="C867" s="70" t="s">
        <v>1490</v>
      </c>
      <c r="D867" s="70" t="s">
        <v>663</v>
      </c>
      <c r="E867" s="70" t="s">
        <v>271</v>
      </c>
      <c r="F867" s="70" t="s">
        <v>1512</v>
      </c>
      <c r="G867" s="70" t="s">
        <v>1511</v>
      </c>
      <c r="H867" s="71">
        <v>4080000</v>
      </c>
      <c r="I867" s="96" t="s">
        <v>573</v>
      </c>
      <c r="J867" s="30">
        <v>327</v>
      </c>
    </row>
    <row r="868" spans="2:10" ht="34.5">
      <c r="B868" s="69">
        <v>45169</v>
      </c>
      <c r="C868" s="70" t="s">
        <v>1508</v>
      </c>
      <c r="D868" s="70" t="s">
        <v>931</v>
      </c>
      <c r="E868" s="70" t="s">
        <v>308</v>
      </c>
      <c r="F868" s="70" t="s">
        <v>977</v>
      </c>
      <c r="G868" s="70" t="s">
        <v>1507</v>
      </c>
      <c r="H868" s="137">
        <v>4322314.7</v>
      </c>
      <c r="I868" s="96" t="s">
        <v>573</v>
      </c>
      <c r="J868" s="30">
        <v>21</v>
      </c>
    </row>
    <row r="869" spans="2:10">
      <c r="B869" s="69">
        <v>45169</v>
      </c>
      <c r="C869" s="70" t="s">
        <v>1477</v>
      </c>
      <c r="D869" s="104" t="s">
        <v>929</v>
      </c>
      <c r="E869" s="70" t="s">
        <v>633</v>
      </c>
      <c r="F869" s="70" t="s">
        <v>1510</v>
      </c>
      <c r="G869" s="70"/>
      <c r="H869" s="71">
        <v>-7490000</v>
      </c>
      <c r="I869" s="96" t="s">
        <v>573</v>
      </c>
      <c r="J869" s="72" t="s">
        <v>1168</v>
      </c>
    </row>
    <row r="870" spans="2:10" ht="34.5">
      <c r="B870" s="69">
        <v>45169</v>
      </c>
      <c r="C870" s="70" t="s">
        <v>1508</v>
      </c>
      <c r="D870" s="70" t="s">
        <v>711</v>
      </c>
      <c r="E870" s="70" t="s">
        <v>308</v>
      </c>
      <c r="F870" s="70" t="s">
        <v>977</v>
      </c>
      <c r="G870" s="70" t="s">
        <v>1507</v>
      </c>
      <c r="H870" s="137">
        <v>40310210.840000004</v>
      </c>
      <c r="I870" s="96" t="s">
        <v>573</v>
      </c>
      <c r="J870" s="30">
        <v>21</v>
      </c>
    </row>
    <row r="871" spans="2:10" ht="23">
      <c r="B871" s="69">
        <v>45169</v>
      </c>
      <c r="C871" s="70" t="s">
        <v>1509</v>
      </c>
      <c r="D871" s="70" t="s">
        <v>711</v>
      </c>
      <c r="E871" s="70" t="s">
        <v>622</v>
      </c>
      <c r="F871" s="70" t="s">
        <v>1221</v>
      </c>
      <c r="G871" s="70" t="s">
        <v>1222</v>
      </c>
      <c r="H871" s="71">
        <v>759263.38</v>
      </c>
      <c r="I871" s="96" t="s">
        <v>573</v>
      </c>
      <c r="J871" s="72" t="s">
        <v>2438</v>
      </c>
    </row>
    <row r="872" spans="2:10" ht="34.5">
      <c r="B872" s="69">
        <v>45169</v>
      </c>
      <c r="C872" s="70" t="s">
        <v>1508</v>
      </c>
      <c r="D872" s="70" t="s">
        <v>661</v>
      </c>
      <c r="E872" s="70" t="s">
        <v>308</v>
      </c>
      <c r="F872" s="70" t="s">
        <v>977</v>
      </c>
      <c r="G872" s="70" t="s">
        <v>1507</v>
      </c>
      <c r="H872" s="137">
        <v>158775446.75</v>
      </c>
      <c r="I872" s="96" t="s">
        <v>573</v>
      </c>
      <c r="J872" s="30">
        <v>21</v>
      </c>
    </row>
    <row r="873" spans="2:10" ht="23">
      <c r="B873" s="69">
        <v>45169</v>
      </c>
      <c r="C873" s="70" t="s">
        <v>1509</v>
      </c>
      <c r="D873" s="70" t="s">
        <v>661</v>
      </c>
      <c r="E873" s="70" t="s">
        <v>622</v>
      </c>
      <c r="F873" s="70" t="s">
        <v>1221</v>
      </c>
      <c r="G873" s="70" t="s">
        <v>1222</v>
      </c>
      <c r="H873" s="71">
        <v>123416.99</v>
      </c>
      <c r="I873" s="96" t="s">
        <v>573</v>
      </c>
      <c r="J873" s="72" t="s">
        <v>2438</v>
      </c>
    </row>
    <row r="874" spans="2:10" ht="34.5">
      <c r="B874" s="69">
        <v>45169</v>
      </c>
      <c r="C874" s="70" t="s">
        <v>1508</v>
      </c>
      <c r="D874" s="70" t="s">
        <v>668</v>
      </c>
      <c r="E874" s="70" t="s">
        <v>308</v>
      </c>
      <c r="F874" s="70" t="s">
        <v>977</v>
      </c>
      <c r="G874" s="70" t="s">
        <v>1507</v>
      </c>
      <c r="H874" s="137">
        <v>685847093.89999998</v>
      </c>
      <c r="I874" s="96" t="s">
        <v>573</v>
      </c>
      <c r="J874" s="30">
        <v>21</v>
      </c>
    </row>
    <row r="875" spans="2:10" ht="34.5">
      <c r="B875" s="69">
        <v>45169</v>
      </c>
      <c r="C875" s="70" t="s">
        <v>1508</v>
      </c>
      <c r="D875" s="70" t="s">
        <v>668</v>
      </c>
      <c r="E875" s="70" t="s">
        <v>308</v>
      </c>
      <c r="F875" s="70" t="s">
        <v>977</v>
      </c>
      <c r="G875" s="70" t="s">
        <v>1507</v>
      </c>
      <c r="H875" s="137">
        <v>85549085.299999997</v>
      </c>
      <c r="I875" s="96" t="s">
        <v>573</v>
      </c>
      <c r="J875" s="30">
        <v>21</v>
      </c>
    </row>
    <row r="876" spans="2:10" ht="34.5">
      <c r="B876" s="69">
        <v>45169</v>
      </c>
      <c r="C876" s="70" t="s">
        <v>1506</v>
      </c>
      <c r="D876" s="70" t="s">
        <v>777</v>
      </c>
      <c r="E876" s="70" t="s">
        <v>308</v>
      </c>
      <c r="F876" s="70" t="s">
        <v>1164</v>
      </c>
      <c r="G876" s="70" t="s">
        <v>1505</v>
      </c>
      <c r="H876" s="163">
        <v>3030909329</v>
      </c>
      <c r="I876" s="96" t="s">
        <v>573</v>
      </c>
      <c r="J876" s="30">
        <v>22</v>
      </c>
    </row>
    <row r="877" spans="2:10" ht="23">
      <c r="B877" s="69">
        <v>45169</v>
      </c>
      <c r="C877" s="70" t="s">
        <v>1477</v>
      </c>
      <c r="D877" s="70" t="s">
        <v>1285</v>
      </c>
      <c r="E877" s="70" t="s">
        <v>514</v>
      </c>
      <c r="F877" s="70" t="s">
        <v>1504</v>
      </c>
      <c r="G877" s="70" t="s">
        <v>1308</v>
      </c>
      <c r="H877" s="71">
        <v>786000</v>
      </c>
      <c r="I877" s="96" t="s">
        <v>573</v>
      </c>
      <c r="J877" s="72">
        <v>327</v>
      </c>
    </row>
    <row r="878" spans="2:10">
      <c r="B878" s="69">
        <v>45146</v>
      </c>
      <c r="C878" s="70" t="s">
        <v>1503</v>
      </c>
      <c r="D878" s="70" t="s">
        <v>1476</v>
      </c>
      <c r="E878" s="70" t="s">
        <v>495</v>
      </c>
      <c r="F878" s="70" t="s">
        <v>908</v>
      </c>
      <c r="G878" s="70" t="s">
        <v>1430</v>
      </c>
      <c r="H878" s="71">
        <v>400000</v>
      </c>
      <c r="I878" s="96" t="s">
        <v>573</v>
      </c>
      <c r="J878" s="72" t="s">
        <v>2501</v>
      </c>
    </row>
    <row r="879" spans="2:10">
      <c r="B879" s="69">
        <v>45152</v>
      </c>
      <c r="C879" s="70" t="s">
        <v>1502</v>
      </c>
      <c r="D879" s="70" t="s">
        <v>1476</v>
      </c>
      <c r="E879" s="70" t="s">
        <v>495</v>
      </c>
      <c r="F879" s="70" t="s">
        <v>908</v>
      </c>
      <c r="G879" s="70" t="s">
        <v>1430</v>
      </c>
      <c r="H879" s="71">
        <v>480000</v>
      </c>
      <c r="I879" s="96" t="s">
        <v>573</v>
      </c>
      <c r="J879" s="72" t="s">
        <v>2501</v>
      </c>
    </row>
    <row r="880" spans="2:10">
      <c r="B880" s="69">
        <v>45159</v>
      </c>
      <c r="C880" s="70" t="s">
        <v>1501</v>
      </c>
      <c r="D880" s="70" t="s">
        <v>1476</v>
      </c>
      <c r="E880" s="70" t="s">
        <v>495</v>
      </c>
      <c r="F880" s="70" t="s">
        <v>908</v>
      </c>
      <c r="G880" s="70" t="s">
        <v>1500</v>
      </c>
      <c r="H880" s="71">
        <v>160000</v>
      </c>
      <c r="I880" s="96" t="s">
        <v>573</v>
      </c>
      <c r="J880" s="72" t="s">
        <v>2501</v>
      </c>
    </row>
    <row r="881" spans="2:10">
      <c r="B881" s="69">
        <v>45159</v>
      </c>
      <c r="C881" s="70" t="s">
        <v>1499</v>
      </c>
      <c r="D881" s="70" t="s">
        <v>1476</v>
      </c>
      <c r="E881" s="70" t="s">
        <v>495</v>
      </c>
      <c r="F881" s="70" t="s">
        <v>908</v>
      </c>
      <c r="G881" s="70" t="s">
        <v>1496</v>
      </c>
      <c r="H881" s="71">
        <v>240000</v>
      </c>
      <c r="I881" s="96" t="s">
        <v>573</v>
      </c>
      <c r="J881" s="72" t="s">
        <v>2501</v>
      </c>
    </row>
    <row r="882" spans="2:10">
      <c r="B882" s="69">
        <v>45159</v>
      </c>
      <c r="C882" s="70" t="s">
        <v>1498</v>
      </c>
      <c r="D882" s="70" t="s">
        <v>1476</v>
      </c>
      <c r="E882" s="70" t="s">
        <v>495</v>
      </c>
      <c r="F882" s="70" t="s">
        <v>908</v>
      </c>
      <c r="G882" s="70" t="s">
        <v>1496</v>
      </c>
      <c r="H882" s="71">
        <v>160000</v>
      </c>
      <c r="I882" s="96" t="s">
        <v>573</v>
      </c>
      <c r="J882" s="72" t="s">
        <v>2501</v>
      </c>
    </row>
    <row r="883" spans="2:10">
      <c r="B883" s="69">
        <v>45159</v>
      </c>
      <c r="C883" s="70" t="s">
        <v>1497</v>
      </c>
      <c r="D883" s="70" t="s">
        <v>1476</v>
      </c>
      <c r="E883" s="70" t="s">
        <v>495</v>
      </c>
      <c r="F883" s="70" t="s">
        <v>1492</v>
      </c>
      <c r="G883" s="70" t="s">
        <v>1496</v>
      </c>
      <c r="H883" s="71">
        <v>160000</v>
      </c>
      <c r="I883" s="96" t="s">
        <v>573</v>
      </c>
      <c r="J883" s="72" t="s">
        <v>2501</v>
      </c>
    </row>
    <row r="884" spans="2:10">
      <c r="B884" s="69">
        <v>45169</v>
      </c>
      <c r="C884" s="70" t="s">
        <v>1490</v>
      </c>
      <c r="D884" s="70" t="s">
        <v>1476</v>
      </c>
      <c r="E884" s="70" t="s">
        <v>271</v>
      </c>
      <c r="F884" s="70" t="s">
        <v>1495</v>
      </c>
      <c r="G884" s="70" t="s">
        <v>1494</v>
      </c>
      <c r="H884" s="71">
        <v>134120</v>
      </c>
      <c r="I884" s="96" t="s">
        <v>573</v>
      </c>
      <c r="J884" s="72" t="s">
        <v>2501</v>
      </c>
    </row>
    <row r="885" spans="2:10">
      <c r="B885" s="69">
        <v>45169</v>
      </c>
      <c r="C885" s="70" t="s">
        <v>1493</v>
      </c>
      <c r="D885" s="70" t="s">
        <v>1476</v>
      </c>
      <c r="E885" s="70" t="s">
        <v>495</v>
      </c>
      <c r="F885" s="70" t="s">
        <v>1492</v>
      </c>
      <c r="G885" s="70" t="s">
        <v>1491</v>
      </c>
      <c r="H885" s="71">
        <v>80000</v>
      </c>
      <c r="I885" s="96" t="s">
        <v>573</v>
      </c>
      <c r="J885" s="72" t="s">
        <v>2501</v>
      </c>
    </row>
    <row r="886" spans="2:10">
      <c r="B886" s="69">
        <v>45169</v>
      </c>
      <c r="C886" s="70" t="s">
        <v>1490</v>
      </c>
      <c r="D886" s="70" t="s">
        <v>1476</v>
      </c>
      <c r="E886" s="70" t="s">
        <v>622</v>
      </c>
      <c r="F886" s="70" t="s">
        <v>1489</v>
      </c>
      <c r="G886" s="70" t="s">
        <v>1488</v>
      </c>
      <c r="H886" s="71">
        <v>40236</v>
      </c>
      <c r="I886" s="96" t="s">
        <v>573</v>
      </c>
      <c r="J886" s="72" t="s">
        <v>2501</v>
      </c>
    </row>
    <row r="887" spans="2:10" ht="23">
      <c r="B887" s="69">
        <v>45169</v>
      </c>
      <c r="C887" s="70" t="s">
        <v>1487</v>
      </c>
      <c r="D887" s="70" t="s">
        <v>1476</v>
      </c>
      <c r="E887" s="70" t="s">
        <v>308</v>
      </c>
      <c r="F887" s="70" t="s">
        <v>1486</v>
      </c>
      <c r="G887" s="70"/>
      <c r="H887" s="71">
        <v>6706000</v>
      </c>
      <c r="I887" s="96" t="s">
        <v>573</v>
      </c>
      <c r="J887" s="72" t="s">
        <v>2501</v>
      </c>
    </row>
    <row r="888" spans="2:10" ht="23">
      <c r="B888" s="69">
        <v>45169</v>
      </c>
      <c r="C888" s="70" t="s">
        <v>1487</v>
      </c>
      <c r="D888" s="70" t="s">
        <v>1476</v>
      </c>
      <c r="E888" s="70" t="s">
        <v>271</v>
      </c>
      <c r="F888" s="70" t="s">
        <v>1486</v>
      </c>
      <c r="G888" s="70"/>
      <c r="H888" s="71">
        <v>12574708</v>
      </c>
      <c r="I888" s="96" t="s">
        <v>573</v>
      </c>
      <c r="J888" s="72" t="s">
        <v>2501</v>
      </c>
    </row>
    <row r="889" spans="2:10">
      <c r="B889" s="69">
        <v>45169</v>
      </c>
      <c r="C889" s="70" t="s">
        <v>1477</v>
      </c>
      <c r="D889" s="70" t="s">
        <v>1476</v>
      </c>
      <c r="E889" s="70" t="s">
        <v>271</v>
      </c>
      <c r="F889" s="70" t="s">
        <v>1484</v>
      </c>
      <c r="G889" s="70" t="s">
        <v>1485</v>
      </c>
      <c r="H889" s="71">
        <v>15392048</v>
      </c>
      <c r="I889" s="96" t="s">
        <v>573</v>
      </c>
      <c r="J889" s="72" t="s">
        <v>2501</v>
      </c>
    </row>
    <row r="890" spans="2:10" ht="23">
      <c r="B890" s="69">
        <v>45169</v>
      </c>
      <c r="C890" s="70" t="s">
        <v>1477</v>
      </c>
      <c r="D890" s="70" t="s">
        <v>1476</v>
      </c>
      <c r="E890" s="70" t="s">
        <v>271</v>
      </c>
      <c r="F890" s="70" t="s">
        <v>1484</v>
      </c>
      <c r="G890" s="70" t="s">
        <v>1483</v>
      </c>
      <c r="H890" s="71">
        <v>16899876</v>
      </c>
      <c r="I890" s="96" t="s">
        <v>573</v>
      </c>
      <c r="J890" s="72" t="s">
        <v>2501</v>
      </c>
    </row>
    <row r="891" spans="2:10" ht="23">
      <c r="B891" s="69">
        <v>45169</v>
      </c>
      <c r="C891" s="70" t="s">
        <v>1477</v>
      </c>
      <c r="D891" s="70" t="s">
        <v>1476</v>
      </c>
      <c r="E891" s="70" t="s">
        <v>495</v>
      </c>
      <c r="F891" s="70" t="s">
        <v>1482</v>
      </c>
      <c r="G891" s="70"/>
      <c r="H891" s="71">
        <v>320000</v>
      </c>
      <c r="I891" s="96" t="s">
        <v>573</v>
      </c>
      <c r="J891" s="72" t="s">
        <v>2501</v>
      </c>
    </row>
    <row r="892" spans="2:10" ht="23">
      <c r="B892" s="69">
        <v>45169</v>
      </c>
      <c r="C892" s="70" t="s">
        <v>1477</v>
      </c>
      <c r="D892" s="70" t="s">
        <v>1476</v>
      </c>
      <c r="E892" s="70" t="s">
        <v>495</v>
      </c>
      <c r="F892" s="70" t="s">
        <v>1481</v>
      </c>
      <c r="G892" s="70" t="s">
        <v>1480</v>
      </c>
      <c r="H892" s="71">
        <v>39625000</v>
      </c>
      <c r="I892" s="96" t="s">
        <v>573</v>
      </c>
      <c r="J892" s="72" t="s">
        <v>2501</v>
      </c>
    </row>
    <row r="893" spans="2:10" ht="23">
      <c r="B893" s="69">
        <v>45169</v>
      </c>
      <c r="C893" s="70" t="s">
        <v>1477</v>
      </c>
      <c r="D893" s="70" t="s">
        <v>1476</v>
      </c>
      <c r="E893" s="70" t="s">
        <v>495</v>
      </c>
      <c r="F893" s="70" t="s">
        <v>1479</v>
      </c>
      <c r="G893" s="70" t="s">
        <v>1478</v>
      </c>
      <c r="H893" s="71">
        <v>15500</v>
      </c>
      <c r="I893" s="96" t="s">
        <v>573</v>
      </c>
      <c r="J893" s="72" t="s">
        <v>2501</v>
      </c>
    </row>
    <row r="894" spans="2:10">
      <c r="B894" s="69">
        <v>45169</v>
      </c>
      <c r="C894" s="70" t="s">
        <v>1477</v>
      </c>
      <c r="D894" s="70" t="s">
        <v>1476</v>
      </c>
      <c r="E894" s="70" t="s">
        <v>271</v>
      </c>
      <c r="F894" s="70" t="s">
        <v>1475</v>
      </c>
      <c r="G894" s="70" t="s">
        <v>1474</v>
      </c>
      <c r="H894" s="71">
        <v>17700000</v>
      </c>
      <c r="I894" s="96" t="s">
        <v>573</v>
      </c>
      <c r="J894" s="72" t="s">
        <v>2501</v>
      </c>
    </row>
    <row r="895" spans="2:10" ht="34.5">
      <c r="B895" s="98">
        <v>45199</v>
      </c>
      <c r="C895" s="99" t="s">
        <v>1556</v>
      </c>
      <c r="D895" s="99" t="s">
        <v>270</v>
      </c>
      <c r="E895" s="99" t="s">
        <v>308</v>
      </c>
      <c r="F895" s="99" t="s">
        <v>455</v>
      </c>
      <c r="G895" s="99" t="s">
        <v>1557</v>
      </c>
      <c r="H895" s="135">
        <v>2243889320</v>
      </c>
      <c r="I895" s="90" t="s">
        <v>574</v>
      </c>
      <c r="J895" s="72" t="s">
        <v>535</v>
      </c>
    </row>
    <row r="896" spans="2:10" ht="23">
      <c r="B896" s="98">
        <v>45199</v>
      </c>
      <c r="C896" s="99" t="s">
        <v>1558</v>
      </c>
      <c r="D896" s="99" t="s">
        <v>270</v>
      </c>
      <c r="E896" s="99" t="s">
        <v>633</v>
      </c>
      <c r="F896" s="99" t="s">
        <v>1559</v>
      </c>
      <c r="G896" s="99" t="s">
        <v>1560</v>
      </c>
      <c r="H896" s="100">
        <v>2820000</v>
      </c>
      <c r="I896" s="90" t="s">
        <v>574</v>
      </c>
      <c r="J896" s="35" t="s">
        <v>2282</v>
      </c>
    </row>
    <row r="897" spans="2:10">
      <c r="B897" s="98">
        <v>45185</v>
      </c>
      <c r="C897" s="99" t="s">
        <v>1561</v>
      </c>
      <c r="D897" s="99" t="s">
        <v>270</v>
      </c>
      <c r="E897" s="99" t="s">
        <v>514</v>
      </c>
      <c r="F897" s="99" t="s">
        <v>908</v>
      </c>
      <c r="G897" s="99" t="s">
        <v>1562</v>
      </c>
      <c r="H897" s="71">
        <v>196000</v>
      </c>
      <c r="I897" s="90" t="s">
        <v>574</v>
      </c>
      <c r="J897" s="72">
        <v>330</v>
      </c>
    </row>
    <row r="898" spans="2:10" ht="23">
      <c r="B898" s="98">
        <v>45199</v>
      </c>
      <c r="C898" s="99" t="s">
        <v>1563</v>
      </c>
      <c r="D898" s="104" t="s">
        <v>270</v>
      </c>
      <c r="E898" s="99" t="s">
        <v>633</v>
      </c>
      <c r="F898" s="99" t="s">
        <v>1564</v>
      </c>
      <c r="G898" s="99" t="s">
        <v>1565</v>
      </c>
      <c r="H898" s="71">
        <v>-218950000</v>
      </c>
      <c r="I898" s="90" t="s">
        <v>574</v>
      </c>
      <c r="J898" s="72" t="s">
        <v>870</v>
      </c>
    </row>
    <row r="899" spans="2:10" ht="34.5">
      <c r="B899" s="98">
        <v>45199</v>
      </c>
      <c r="C899" s="99" t="s">
        <v>1566</v>
      </c>
      <c r="D899" s="99" t="s">
        <v>270</v>
      </c>
      <c r="E899" s="99" t="s">
        <v>308</v>
      </c>
      <c r="F899" s="99" t="s">
        <v>1567</v>
      </c>
      <c r="G899" s="99" t="s">
        <v>1568</v>
      </c>
      <c r="H899" s="100">
        <v>-56402300</v>
      </c>
      <c r="I899" s="90" t="s">
        <v>574</v>
      </c>
      <c r="J899" s="72" t="s">
        <v>536</v>
      </c>
    </row>
    <row r="900" spans="2:10" ht="23">
      <c r="B900" s="98">
        <v>45199</v>
      </c>
      <c r="C900" s="99" t="s">
        <v>1569</v>
      </c>
      <c r="D900" s="99" t="s">
        <v>270</v>
      </c>
      <c r="E900" s="99" t="s">
        <v>308</v>
      </c>
      <c r="F900" s="99" t="s">
        <v>1141</v>
      </c>
      <c r="G900" s="99" t="s">
        <v>1570</v>
      </c>
      <c r="H900" s="100">
        <v>305277449</v>
      </c>
      <c r="I900" s="90" t="s">
        <v>574</v>
      </c>
      <c r="J900" s="72" t="s">
        <v>536</v>
      </c>
    </row>
    <row r="901" spans="2:10" ht="23">
      <c r="B901" s="98">
        <v>45199</v>
      </c>
      <c r="C901" s="99" t="s">
        <v>1571</v>
      </c>
      <c r="D901" s="99" t="s">
        <v>270</v>
      </c>
      <c r="E901" s="99" t="s">
        <v>308</v>
      </c>
      <c r="F901" s="99" t="s">
        <v>448</v>
      </c>
      <c r="G901" s="99" t="s">
        <v>1572</v>
      </c>
      <c r="H901" s="138">
        <v>3356997311</v>
      </c>
      <c r="I901" s="90" t="s">
        <v>574</v>
      </c>
      <c r="J901" s="72" t="s">
        <v>535</v>
      </c>
    </row>
    <row r="902" spans="2:10" ht="34.5">
      <c r="B902" s="98">
        <v>45199</v>
      </c>
      <c r="C902" s="99" t="s">
        <v>1573</v>
      </c>
      <c r="D902" s="99" t="s">
        <v>270</v>
      </c>
      <c r="E902" s="99" t="s">
        <v>308</v>
      </c>
      <c r="F902" s="99" t="s">
        <v>455</v>
      </c>
      <c r="G902" s="99" t="s">
        <v>1574</v>
      </c>
      <c r="H902" s="135">
        <v>290848437</v>
      </c>
      <c r="I902" s="90" t="s">
        <v>574</v>
      </c>
      <c r="J902" s="72" t="s">
        <v>535</v>
      </c>
    </row>
    <row r="903" spans="2:10">
      <c r="B903" s="98">
        <v>45199</v>
      </c>
      <c r="C903" s="99" t="s">
        <v>1575</v>
      </c>
      <c r="D903" s="99" t="s">
        <v>270</v>
      </c>
      <c r="E903" s="99" t="s">
        <v>308</v>
      </c>
      <c r="F903" s="99" t="s">
        <v>1576</v>
      </c>
      <c r="G903" s="70" t="s">
        <v>2374</v>
      </c>
      <c r="H903" s="71">
        <v>91741.5</v>
      </c>
      <c r="I903" s="90" t="s">
        <v>574</v>
      </c>
      <c r="J903" s="72">
        <v>34</v>
      </c>
    </row>
    <row r="904" spans="2:10">
      <c r="B904" s="98">
        <v>45199</v>
      </c>
      <c r="C904" s="99" t="s">
        <v>1575</v>
      </c>
      <c r="D904" s="99" t="s">
        <v>270</v>
      </c>
      <c r="E904" s="99" t="s">
        <v>514</v>
      </c>
      <c r="F904" s="99" t="s">
        <v>1576</v>
      </c>
      <c r="G904" s="99"/>
      <c r="H904" s="71">
        <v>2112272</v>
      </c>
      <c r="I904" s="90" t="s">
        <v>574</v>
      </c>
      <c r="J904" s="72" t="s">
        <v>1168</v>
      </c>
    </row>
    <row r="905" spans="2:10" ht="23">
      <c r="B905" s="98">
        <v>45199</v>
      </c>
      <c r="C905" s="99" t="s">
        <v>1577</v>
      </c>
      <c r="D905" s="99" t="s">
        <v>270</v>
      </c>
      <c r="E905" s="99" t="s">
        <v>495</v>
      </c>
      <c r="F905" s="99" t="s">
        <v>1578</v>
      </c>
      <c r="G905" s="70" t="s">
        <v>2504</v>
      </c>
      <c r="H905" s="71">
        <v>324848</v>
      </c>
      <c r="I905" s="90" t="s">
        <v>574</v>
      </c>
      <c r="J905" s="72">
        <v>24</v>
      </c>
    </row>
    <row r="906" spans="2:10" ht="23">
      <c r="B906" s="98">
        <v>45199</v>
      </c>
      <c r="C906" s="99" t="s">
        <v>1579</v>
      </c>
      <c r="D906" s="99" t="s">
        <v>640</v>
      </c>
      <c r="E906" s="99" t="s">
        <v>622</v>
      </c>
      <c r="F906" s="99" t="s">
        <v>1343</v>
      </c>
      <c r="G906" s="99" t="s">
        <v>1222</v>
      </c>
      <c r="H906" s="100">
        <v>7122621.79</v>
      </c>
      <c r="I906" s="90" t="s">
        <v>574</v>
      </c>
      <c r="J906" s="72" t="s">
        <v>2438</v>
      </c>
    </row>
    <row r="907" spans="2:10">
      <c r="B907" s="98">
        <v>45199</v>
      </c>
      <c r="C907" s="99" t="s">
        <v>1575</v>
      </c>
      <c r="D907" s="99" t="s">
        <v>703</v>
      </c>
      <c r="E907" s="99" t="s">
        <v>495</v>
      </c>
      <c r="F907" s="99" t="s">
        <v>1576</v>
      </c>
      <c r="G907" s="99"/>
      <c r="H907" s="100">
        <v>846500</v>
      </c>
      <c r="I907" s="90" t="s">
        <v>574</v>
      </c>
      <c r="J907" s="72">
        <v>319</v>
      </c>
    </row>
    <row r="908" spans="2:10" ht="23">
      <c r="B908" s="98">
        <v>45199</v>
      </c>
      <c r="C908" s="99" t="s">
        <v>1580</v>
      </c>
      <c r="D908" s="99" t="s">
        <v>703</v>
      </c>
      <c r="E908" s="99" t="s">
        <v>633</v>
      </c>
      <c r="F908" s="99" t="s">
        <v>1581</v>
      </c>
      <c r="G908" s="99" t="s">
        <v>1582</v>
      </c>
      <c r="H908" s="100">
        <v>1014000</v>
      </c>
      <c r="I908" s="90" t="s">
        <v>574</v>
      </c>
      <c r="J908" s="30">
        <v>319</v>
      </c>
    </row>
    <row r="909" spans="2:10" ht="23">
      <c r="B909" s="98">
        <v>45199</v>
      </c>
      <c r="C909" s="99" t="s">
        <v>1580</v>
      </c>
      <c r="D909" s="99" t="s">
        <v>703</v>
      </c>
      <c r="E909" s="99" t="s">
        <v>633</v>
      </c>
      <c r="F909" s="99" t="s">
        <v>1581</v>
      </c>
      <c r="G909" s="99" t="s">
        <v>1583</v>
      </c>
      <c r="H909" s="100">
        <v>500000</v>
      </c>
      <c r="I909" s="90" t="s">
        <v>574</v>
      </c>
      <c r="J909" s="30">
        <v>319</v>
      </c>
    </row>
    <row r="910" spans="2:10">
      <c r="B910" s="98">
        <v>45199</v>
      </c>
      <c r="C910" s="99" t="s">
        <v>1575</v>
      </c>
      <c r="D910" s="104" t="s">
        <v>1290</v>
      </c>
      <c r="E910" s="99" t="s">
        <v>495</v>
      </c>
      <c r="F910" s="99" t="s">
        <v>1576</v>
      </c>
      <c r="G910" s="70" t="s">
        <v>2418</v>
      </c>
      <c r="H910" s="100">
        <v>3130200</v>
      </c>
      <c r="I910" s="90" t="s">
        <v>574</v>
      </c>
      <c r="J910" s="72">
        <v>322</v>
      </c>
    </row>
    <row r="911" spans="2:10" ht="23">
      <c r="B911" s="98">
        <v>45199</v>
      </c>
      <c r="C911" s="99" t="s">
        <v>1577</v>
      </c>
      <c r="D911" s="104" t="s">
        <v>1290</v>
      </c>
      <c r="E911" s="99" t="s">
        <v>495</v>
      </c>
      <c r="F911" s="99" t="s">
        <v>1578</v>
      </c>
      <c r="G911" s="70" t="s">
        <v>2503</v>
      </c>
      <c r="H911" s="100">
        <v>237153942</v>
      </c>
      <c r="I911" s="90" t="s">
        <v>574</v>
      </c>
      <c r="J911" s="72">
        <v>322</v>
      </c>
    </row>
    <row r="912" spans="2:10" ht="23">
      <c r="B912" s="98">
        <v>45199</v>
      </c>
      <c r="C912" s="99" t="s">
        <v>1584</v>
      </c>
      <c r="D912" s="99" t="s">
        <v>740</v>
      </c>
      <c r="E912" s="99" t="s">
        <v>633</v>
      </c>
      <c r="F912" s="99" t="s">
        <v>1521</v>
      </c>
      <c r="G912" s="99" t="s">
        <v>1585</v>
      </c>
      <c r="H912" s="100">
        <v>414281763.98000002</v>
      </c>
      <c r="I912" s="90" t="s">
        <v>574</v>
      </c>
      <c r="J912" s="72" t="s">
        <v>870</v>
      </c>
    </row>
    <row r="913" spans="2:10" ht="34.5">
      <c r="B913" s="98">
        <v>45199</v>
      </c>
      <c r="C913" s="99" t="s">
        <v>1586</v>
      </c>
      <c r="D913" s="99" t="s">
        <v>650</v>
      </c>
      <c r="E913" s="99" t="s">
        <v>308</v>
      </c>
      <c r="F913" s="99" t="s">
        <v>977</v>
      </c>
      <c r="G913" s="99" t="s">
        <v>1587</v>
      </c>
      <c r="H913" s="138">
        <v>223342849</v>
      </c>
      <c r="I913" s="90" t="s">
        <v>574</v>
      </c>
      <c r="J913" s="30">
        <v>21</v>
      </c>
    </row>
    <row r="914" spans="2:10" ht="34.5">
      <c r="B914" s="98">
        <v>45199</v>
      </c>
      <c r="C914" s="99" t="s">
        <v>1586</v>
      </c>
      <c r="D914" s="99" t="s">
        <v>650</v>
      </c>
      <c r="E914" s="99" t="s">
        <v>308</v>
      </c>
      <c r="F914" s="99" t="s">
        <v>977</v>
      </c>
      <c r="G914" s="99" t="s">
        <v>1587</v>
      </c>
      <c r="H914" s="138">
        <v>9300603</v>
      </c>
      <c r="I914" s="90" t="s">
        <v>574</v>
      </c>
      <c r="J914" s="30">
        <v>21</v>
      </c>
    </row>
    <row r="915" spans="2:10" ht="34.5">
      <c r="B915" s="98">
        <v>45199</v>
      </c>
      <c r="C915" s="99" t="s">
        <v>1586</v>
      </c>
      <c r="D915" s="99" t="s">
        <v>650</v>
      </c>
      <c r="E915" s="99" t="s">
        <v>308</v>
      </c>
      <c r="F915" s="99" t="s">
        <v>977</v>
      </c>
      <c r="G915" s="99" t="s">
        <v>1587</v>
      </c>
      <c r="H915" s="138">
        <v>94508288.799999997</v>
      </c>
      <c r="I915" s="90" t="s">
        <v>574</v>
      </c>
      <c r="J915" s="30">
        <v>21</v>
      </c>
    </row>
    <row r="916" spans="2:10" ht="34.5">
      <c r="B916" s="98">
        <v>45199</v>
      </c>
      <c r="C916" s="99" t="s">
        <v>1586</v>
      </c>
      <c r="D916" s="99" t="s">
        <v>653</v>
      </c>
      <c r="E916" s="99" t="s">
        <v>308</v>
      </c>
      <c r="F916" s="99" t="s">
        <v>977</v>
      </c>
      <c r="G916" s="99" t="s">
        <v>1587</v>
      </c>
      <c r="H916" s="138">
        <v>295815139.98000002</v>
      </c>
      <c r="I916" s="90" t="s">
        <v>574</v>
      </c>
      <c r="J916" s="30">
        <v>21</v>
      </c>
    </row>
    <row r="917" spans="2:10" ht="23">
      <c r="B917" s="98">
        <v>45199</v>
      </c>
      <c r="C917" s="99" t="s">
        <v>1579</v>
      </c>
      <c r="D917" s="99" t="s">
        <v>653</v>
      </c>
      <c r="E917" s="99" t="s">
        <v>622</v>
      </c>
      <c r="F917" s="99" t="s">
        <v>1221</v>
      </c>
      <c r="G917" s="99" t="s">
        <v>1222</v>
      </c>
      <c r="H917" s="117">
        <v>263367.28000000003</v>
      </c>
      <c r="I917" s="90" t="s">
        <v>574</v>
      </c>
      <c r="J917" s="30" t="s">
        <v>2438</v>
      </c>
    </row>
    <row r="918" spans="2:10" ht="34.5">
      <c r="B918" s="98">
        <v>45199</v>
      </c>
      <c r="C918" s="99" t="s">
        <v>1586</v>
      </c>
      <c r="D918" s="99" t="s">
        <v>655</v>
      </c>
      <c r="E918" s="99" t="s">
        <v>308</v>
      </c>
      <c r="F918" s="99" t="s">
        <v>977</v>
      </c>
      <c r="G918" s="99" t="s">
        <v>1587</v>
      </c>
      <c r="H918" s="138">
        <v>683123555.94000006</v>
      </c>
      <c r="I918" s="90" t="s">
        <v>574</v>
      </c>
      <c r="J918" s="30">
        <v>21</v>
      </c>
    </row>
    <row r="919" spans="2:10" ht="23">
      <c r="B919" s="98">
        <v>45199</v>
      </c>
      <c r="C919" s="99" t="s">
        <v>1579</v>
      </c>
      <c r="D919" s="99" t="s">
        <v>655</v>
      </c>
      <c r="E919" s="99" t="s">
        <v>622</v>
      </c>
      <c r="F919" s="99" t="s">
        <v>1221</v>
      </c>
      <c r="G919" s="99" t="s">
        <v>1222</v>
      </c>
      <c r="H919" s="117">
        <v>4506506.8</v>
      </c>
      <c r="I919" s="90" t="s">
        <v>574</v>
      </c>
      <c r="J919" s="30" t="s">
        <v>2438</v>
      </c>
    </row>
    <row r="920" spans="2:10" ht="34.5">
      <c r="B920" s="98">
        <v>45199</v>
      </c>
      <c r="C920" s="99" t="s">
        <v>1586</v>
      </c>
      <c r="D920" s="99" t="s">
        <v>657</v>
      </c>
      <c r="E920" s="99" t="s">
        <v>308</v>
      </c>
      <c r="F920" s="99" t="s">
        <v>977</v>
      </c>
      <c r="G920" s="99" t="s">
        <v>1587</v>
      </c>
      <c r="H920" s="138">
        <v>683320697.64999998</v>
      </c>
      <c r="I920" s="90" t="s">
        <v>574</v>
      </c>
      <c r="J920" s="30">
        <v>21</v>
      </c>
    </row>
    <row r="921" spans="2:10">
      <c r="B921" s="98">
        <v>45199</v>
      </c>
      <c r="C921" s="99" t="s">
        <v>1575</v>
      </c>
      <c r="D921" s="215">
        <v>316204005004</v>
      </c>
      <c r="E921" s="99" t="s">
        <v>308</v>
      </c>
      <c r="F921" s="99" t="s">
        <v>1576</v>
      </c>
      <c r="G921" s="70" t="s">
        <v>2368</v>
      </c>
      <c r="H921" s="187">
        <v>261806891.84</v>
      </c>
      <c r="I921" s="90" t="s">
        <v>574</v>
      </c>
      <c r="J921" s="72">
        <v>37</v>
      </c>
    </row>
    <row r="922" spans="2:10" ht="34.5">
      <c r="B922" s="98">
        <v>45199</v>
      </c>
      <c r="C922" s="99" t="s">
        <v>1586</v>
      </c>
      <c r="D922" s="99" t="s">
        <v>659</v>
      </c>
      <c r="E922" s="99" t="s">
        <v>308</v>
      </c>
      <c r="F922" s="99" t="s">
        <v>977</v>
      </c>
      <c r="G922" s="99" t="s">
        <v>1587</v>
      </c>
      <c r="H922" s="138">
        <v>26550609.73</v>
      </c>
      <c r="I922" s="90" t="s">
        <v>574</v>
      </c>
      <c r="J922" s="30">
        <v>21</v>
      </c>
    </row>
    <row r="923" spans="2:10">
      <c r="B923" s="98">
        <v>45199</v>
      </c>
      <c r="C923" s="99" t="s">
        <v>1575</v>
      </c>
      <c r="D923" s="99" t="s">
        <v>665</v>
      </c>
      <c r="E923" s="99" t="s">
        <v>308</v>
      </c>
      <c r="F923" s="99" t="s">
        <v>1576</v>
      </c>
      <c r="G923" s="70" t="s">
        <v>2351</v>
      </c>
      <c r="H923" s="223">
        <v>82188840</v>
      </c>
      <c r="I923" s="90" t="s">
        <v>574</v>
      </c>
      <c r="J923" s="72">
        <v>332</v>
      </c>
    </row>
    <row r="924" spans="2:10" ht="34.5">
      <c r="B924" s="98">
        <v>45199</v>
      </c>
      <c r="C924" s="99" t="s">
        <v>1586</v>
      </c>
      <c r="D924" s="99" t="s">
        <v>665</v>
      </c>
      <c r="E924" s="99" t="s">
        <v>308</v>
      </c>
      <c r="F924" s="99" t="s">
        <v>977</v>
      </c>
      <c r="G924" s="99" t="s">
        <v>1587</v>
      </c>
      <c r="H924" s="138">
        <v>12708519.449999999</v>
      </c>
      <c r="I924" s="90" t="s">
        <v>574</v>
      </c>
      <c r="J924" s="30">
        <v>21</v>
      </c>
    </row>
    <row r="925" spans="2:10" ht="34.5">
      <c r="B925" s="98">
        <v>45199</v>
      </c>
      <c r="C925" s="99" t="s">
        <v>1586</v>
      </c>
      <c r="D925" s="99" t="s">
        <v>663</v>
      </c>
      <c r="E925" s="99" t="s">
        <v>308</v>
      </c>
      <c r="F925" s="99" t="s">
        <v>977</v>
      </c>
      <c r="G925" s="99" t="s">
        <v>1587</v>
      </c>
      <c r="H925" s="138">
        <v>40181284.380000003</v>
      </c>
      <c r="I925" s="90" t="s">
        <v>574</v>
      </c>
      <c r="J925" s="30">
        <v>21</v>
      </c>
    </row>
    <row r="926" spans="2:10" s="183" customFormat="1" ht="23">
      <c r="B926" s="185">
        <v>45199</v>
      </c>
      <c r="C926" s="186" t="s">
        <v>1588</v>
      </c>
      <c r="D926" s="186">
        <v>316204005007</v>
      </c>
      <c r="E926" s="186" t="s">
        <v>495</v>
      </c>
      <c r="F926" s="186" t="s">
        <v>1589</v>
      </c>
      <c r="G926" s="186" t="s">
        <v>1590</v>
      </c>
      <c r="H926" s="187">
        <v>332068319</v>
      </c>
      <c r="I926" s="181" t="s">
        <v>574</v>
      </c>
      <c r="J926" s="182" t="s">
        <v>2456</v>
      </c>
    </row>
    <row r="927" spans="2:10" ht="34.5">
      <c r="B927" s="98">
        <v>45199</v>
      </c>
      <c r="C927" s="99" t="s">
        <v>1586</v>
      </c>
      <c r="D927" s="99" t="s">
        <v>931</v>
      </c>
      <c r="E927" s="99" t="s">
        <v>308</v>
      </c>
      <c r="F927" s="99" t="s">
        <v>977</v>
      </c>
      <c r="G927" s="99" t="s">
        <v>1587</v>
      </c>
      <c r="H927" s="138">
        <v>63162280.200000003</v>
      </c>
      <c r="I927" s="90" t="s">
        <v>574</v>
      </c>
      <c r="J927" s="30">
        <v>21</v>
      </c>
    </row>
    <row r="928" spans="2:10">
      <c r="B928" s="98">
        <v>45199</v>
      </c>
      <c r="C928" s="99" t="s">
        <v>1591</v>
      </c>
      <c r="D928" s="99" t="s">
        <v>929</v>
      </c>
      <c r="E928" s="99" t="s">
        <v>622</v>
      </c>
      <c r="F928" s="99" t="s">
        <v>1592</v>
      </c>
      <c r="G928" s="99" t="s">
        <v>1593</v>
      </c>
      <c r="H928" s="100">
        <v>4896000</v>
      </c>
      <c r="I928" s="90" t="s">
        <v>574</v>
      </c>
      <c r="J928" s="30">
        <v>327</v>
      </c>
    </row>
    <row r="929" spans="2:10">
      <c r="B929" s="98">
        <v>45199</v>
      </c>
      <c r="C929" s="99" t="s">
        <v>1591</v>
      </c>
      <c r="D929" s="99" t="s">
        <v>929</v>
      </c>
      <c r="E929" s="99" t="s">
        <v>622</v>
      </c>
      <c r="F929" s="99" t="s">
        <v>1594</v>
      </c>
      <c r="G929" s="99" t="s">
        <v>1595</v>
      </c>
      <c r="H929" s="100">
        <v>9792000</v>
      </c>
      <c r="I929" s="90" t="s">
        <v>574</v>
      </c>
      <c r="J929" s="30">
        <v>327</v>
      </c>
    </row>
    <row r="930" spans="2:10">
      <c r="B930" s="98">
        <v>45199</v>
      </c>
      <c r="C930" s="99" t="s">
        <v>1591</v>
      </c>
      <c r="D930" s="99" t="s">
        <v>711</v>
      </c>
      <c r="E930" s="99" t="s">
        <v>271</v>
      </c>
      <c r="F930" s="99" t="s">
        <v>1596</v>
      </c>
      <c r="G930" s="99" t="s">
        <v>1597</v>
      </c>
      <c r="H930" s="117">
        <v>5000000</v>
      </c>
      <c r="I930" s="90" t="s">
        <v>574</v>
      </c>
      <c r="J930" s="72">
        <v>327</v>
      </c>
    </row>
    <row r="931" spans="2:10" ht="34.5">
      <c r="B931" s="98">
        <v>45199</v>
      </c>
      <c r="C931" s="99" t="s">
        <v>1586</v>
      </c>
      <c r="D931" s="99" t="s">
        <v>711</v>
      </c>
      <c r="E931" s="99" t="s">
        <v>308</v>
      </c>
      <c r="F931" s="99" t="s">
        <v>977</v>
      </c>
      <c r="G931" s="99" t="s">
        <v>1587</v>
      </c>
      <c r="H931" s="138">
        <v>261210725.24000001</v>
      </c>
      <c r="I931" s="90" t="s">
        <v>574</v>
      </c>
      <c r="J931" s="30">
        <v>21</v>
      </c>
    </row>
    <row r="932" spans="2:10" ht="23">
      <c r="B932" s="98">
        <v>45199</v>
      </c>
      <c r="C932" s="99" t="s">
        <v>1579</v>
      </c>
      <c r="D932" s="99" t="s">
        <v>711</v>
      </c>
      <c r="E932" s="99" t="s">
        <v>622</v>
      </c>
      <c r="F932" s="99" t="s">
        <v>1221</v>
      </c>
      <c r="G932" s="99" t="s">
        <v>1222</v>
      </c>
      <c r="H932" s="117">
        <v>4272402.55</v>
      </c>
      <c r="I932" s="90" t="s">
        <v>574</v>
      </c>
      <c r="J932" s="30" t="s">
        <v>2438</v>
      </c>
    </row>
    <row r="933" spans="2:10" s="183" customFormat="1">
      <c r="B933" s="1783">
        <v>45199</v>
      </c>
      <c r="C933" s="1785" t="s">
        <v>1575</v>
      </c>
      <c r="D933" s="1787" t="s">
        <v>661</v>
      </c>
      <c r="E933" s="1785" t="s">
        <v>308</v>
      </c>
      <c r="F933" s="1776" t="s">
        <v>1576</v>
      </c>
      <c r="G933" s="186"/>
      <c r="H933" s="136">
        <v>4143276420</v>
      </c>
      <c r="I933" s="181" t="s">
        <v>574</v>
      </c>
      <c r="J933" s="182">
        <v>38</v>
      </c>
    </row>
    <row r="934" spans="2:10">
      <c r="B934" s="1784"/>
      <c r="C934" s="1786"/>
      <c r="D934" s="1788"/>
      <c r="E934" s="1786"/>
      <c r="F934" s="1786"/>
      <c r="G934" s="70" t="s">
        <v>2369</v>
      </c>
      <c r="H934" s="136">
        <f>4483175283.18-H933</f>
        <v>339898863.18000031</v>
      </c>
      <c r="I934" s="90" t="s">
        <v>574</v>
      </c>
      <c r="J934" s="72">
        <v>37</v>
      </c>
    </row>
    <row r="935" spans="2:10" ht="34.5">
      <c r="B935" s="98">
        <v>45199</v>
      </c>
      <c r="C935" s="99" t="s">
        <v>1586</v>
      </c>
      <c r="D935" s="99" t="s">
        <v>661</v>
      </c>
      <c r="E935" s="99" t="s">
        <v>308</v>
      </c>
      <c r="F935" s="99" t="s">
        <v>977</v>
      </c>
      <c r="G935" s="99" t="s">
        <v>1587</v>
      </c>
      <c r="H935" s="138">
        <v>516205249.38</v>
      </c>
      <c r="I935" s="90" t="s">
        <v>574</v>
      </c>
      <c r="J935" s="30">
        <v>21</v>
      </c>
    </row>
    <row r="936" spans="2:10" ht="23">
      <c r="B936" s="98">
        <v>45199</v>
      </c>
      <c r="C936" s="99" t="s">
        <v>1579</v>
      </c>
      <c r="D936" s="99" t="s">
        <v>661</v>
      </c>
      <c r="E936" s="99" t="s">
        <v>622</v>
      </c>
      <c r="F936" s="99" t="s">
        <v>1221</v>
      </c>
      <c r="G936" s="99" t="s">
        <v>1222</v>
      </c>
      <c r="H936" s="117">
        <v>643786.68000000005</v>
      </c>
      <c r="I936" s="90" t="s">
        <v>574</v>
      </c>
      <c r="J936" s="30" t="s">
        <v>2438</v>
      </c>
    </row>
    <row r="937" spans="2:10" ht="34.5">
      <c r="B937" s="98">
        <v>45199</v>
      </c>
      <c r="C937" s="99" t="s">
        <v>1586</v>
      </c>
      <c r="D937" s="99" t="s">
        <v>668</v>
      </c>
      <c r="E937" s="99" t="s">
        <v>308</v>
      </c>
      <c r="F937" s="99" t="s">
        <v>977</v>
      </c>
      <c r="G937" s="99" t="s">
        <v>1587</v>
      </c>
      <c r="H937" s="138">
        <v>258560745.25</v>
      </c>
      <c r="I937" s="90" t="s">
        <v>574</v>
      </c>
      <c r="J937" s="30">
        <v>21</v>
      </c>
    </row>
    <row r="938" spans="2:10" ht="23">
      <c r="B938" s="98">
        <v>45199</v>
      </c>
      <c r="C938" s="99" t="s">
        <v>1580</v>
      </c>
      <c r="D938" s="99" t="s">
        <v>1195</v>
      </c>
      <c r="E938" s="99" t="s">
        <v>495</v>
      </c>
      <c r="F938" s="99" t="s">
        <v>1581</v>
      </c>
      <c r="G938" s="99" t="s">
        <v>1598</v>
      </c>
      <c r="H938" s="100">
        <v>9855800</v>
      </c>
      <c r="I938" s="90" t="s">
        <v>574</v>
      </c>
      <c r="J938" s="30">
        <v>319</v>
      </c>
    </row>
    <row r="939" spans="2:10">
      <c r="B939" s="98">
        <v>45199</v>
      </c>
      <c r="C939" s="99" t="s">
        <v>1591</v>
      </c>
      <c r="D939" s="99" t="s">
        <v>777</v>
      </c>
      <c r="E939" s="99" t="s">
        <v>514</v>
      </c>
      <c r="F939" s="99" t="s">
        <v>1599</v>
      </c>
      <c r="G939" s="99" t="s">
        <v>1600</v>
      </c>
      <c r="H939" s="100">
        <v>500000</v>
      </c>
      <c r="I939" s="90" t="s">
        <v>574</v>
      </c>
      <c r="J939" s="30">
        <v>327</v>
      </c>
    </row>
    <row r="940" spans="2:10">
      <c r="B940" s="98">
        <v>45199</v>
      </c>
      <c r="C940" s="99" t="s">
        <v>1591</v>
      </c>
      <c r="D940" s="99" t="s">
        <v>777</v>
      </c>
      <c r="E940" s="99" t="s">
        <v>514</v>
      </c>
      <c r="F940" s="99" t="s">
        <v>1601</v>
      </c>
      <c r="G940" s="99" t="s">
        <v>1602</v>
      </c>
      <c r="H940" s="100">
        <v>325000</v>
      </c>
      <c r="I940" s="90" t="s">
        <v>574</v>
      </c>
      <c r="J940" s="30">
        <v>327</v>
      </c>
    </row>
    <row r="941" spans="2:10">
      <c r="B941" s="98">
        <v>45190</v>
      </c>
      <c r="C941" s="99" t="s">
        <v>1603</v>
      </c>
      <c r="D941" s="99" t="s">
        <v>777</v>
      </c>
      <c r="E941" s="99" t="s">
        <v>633</v>
      </c>
      <c r="F941" s="99" t="s">
        <v>908</v>
      </c>
      <c r="G941" s="99" t="s">
        <v>1604</v>
      </c>
      <c r="H941" s="100">
        <v>75000</v>
      </c>
      <c r="I941" s="90" t="s">
        <v>574</v>
      </c>
      <c r="J941" s="44">
        <v>330</v>
      </c>
    </row>
    <row r="942" spans="2:10" ht="34.5">
      <c r="B942" s="98">
        <v>45199</v>
      </c>
      <c r="C942" s="99" t="s">
        <v>1605</v>
      </c>
      <c r="D942" s="99" t="s">
        <v>777</v>
      </c>
      <c r="E942" s="99" t="s">
        <v>308</v>
      </c>
      <c r="F942" s="99" t="s">
        <v>1164</v>
      </c>
      <c r="G942" s="99" t="s">
        <v>1606</v>
      </c>
      <c r="H942" s="135">
        <v>142698996</v>
      </c>
      <c r="I942" s="90" t="s">
        <v>574</v>
      </c>
      <c r="J942" s="30">
        <v>22</v>
      </c>
    </row>
    <row r="943" spans="2:10">
      <c r="B943" s="98">
        <v>45199</v>
      </c>
      <c r="C943" s="99" t="s">
        <v>1591</v>
      </c>
      <c r="D943" s="99" t="s">
        <v>777</v>
      </c>
      <c r="E943" s="99" t="s">
        <v>514</v>
      </c>
      <c r="F943" s="99" t="s">
        <v>1607</v>
      </c>
      <c r="G943" s="99" t="s">
        <v>1608</v>
      </c>
      <c r="H943" s="100">
        <v>8500000</v>
      </c>
      <c r="I943" s="90" t="s">
        <v>574</v>
      </c>
      <c r="J943" s="30">
        <v>327</v>
      </c>
    </row>
    <row r="944" spans="2:10" ht="23">
      <c r="B944" s="98">
        <v>45199</v>
      </c>
      <c r="C944" s="99" t="s">
        <v>1591</v>
      </c>
      <c r="D944" s="99" t="s">
        <v>777</v>
      </c>
      <c r="E944" s="99" t="s">
        <v>514</v>
      </c>
      <c r="F944" s="99" t="s">
        <v>1609</v>
      </c>
      <c r="G944" s="99" t="s">
        <v>1610</v>
      </c>
      <c r="H944" s="100">
        <v>7000000</v>
      </c>
      <c r="I944" s="90" t="s">
        <v>574</v>
      </c>
      <c r="J944" s="30">
        <v>327</v>
      </c>
    </row>
    <row r="945" spans="2:10">
      <c r="B945" s="98">
        <v>45199</v>
      </c>
      <c r="C945" s="99" t="s">
        <v>1591</v>
      </c>
      <c r="D945" s="99" t="s">
        <v>777</v>
      </c>
      <c r="E945" s="99" t="s">
        <v>514</v>
      </c>
      <c r="F945" s="99" t="s">
        <v>1611</v>
      </c>
      <c r="G945" s="99" t="s">
        <v>1612</v>
      </c>
      <c r="H945" s="100">
        <v>5000000</v>
      </c>
      <c r="I945" s="90" t="s">
        <v>574</v>
      </c>
      <c r="J945" s="30">
        <v>327</v>
      </c>
    </row>
    <row r="946" spans="2:10" ht="23">
      <c r="B946" s="98">
        <v>45199</v>
      </c>
      <c r="C946" s="99" t="s">
        <v>1577</v>
      </c>
      <c r="D946" s="104" t="s">
        <v>777</v>
      </c>
      <c r="E946" s="99" t="s">
        <v>514</v>
      </c>
      <c r="F946" s="70" t="s">
        <v>1578</v>
      </c>
      <c r="G946" s="70" t="s">
        <v>2502</v>
      </c>
      <c r="H946" s="100">
        <v>36000000</v>
      </c>
      <c r="I946" s="90" t="s">
        <v>574</v>
      </c>
      <c r="J946" s="72" t="s">
        <v>2364</v>
      </c>
    </row>
    <row r="947" spans="2:10">
      <c r="B947" s="98">
        <v>45199</v>
      </c>
      <c r="C947" s="99" t="s">
        <v>1575</v>
      </c>
      <c r="D947" s="104" t="s">
        <v>2517</v>
      </c>
      <c r="E947" s="99" t="s">
        <v>495</v>
      </c>
      <c r="F947" s="99" t="s">
        <v>1576</v>
      </c>
      <c r="G947" s="70" t="s">
        <v>2416</v>
      </c>
      <c r="H947" s="100">
        <v>15713000</v>
      </c>
      <c r="I947" s="90" t="s">
        <v>574</v>
      </c>
      <c r="J947" s="72" t="s">
        <v>2501</v>
      </c>
    </row>
    <row r="948" spans="2:10" ht="23">
      <c r="B948" s="98">
        <v>45199</v>
      </c>
      <c r="C948" s="99" t="s">
        <v>1613</v>
      </c>
      <c r="D948" s="99" t="s">
        <v>1476</v>
      </c>
      <c r="E948" s="99" t="s">
        <v>140</v>
      </c>
      <c r="F948" s="99" t="s">
        <v>1486</v>
      </c>
      <c r="G948" s="99" t="s">
        <v>1614</v>
      </c>
      <c r="H948" s="100">
        <v>2568112</v>
      </c>
      <c r="I948" s="90" t="s">
        <v>574</v>
      </c>
      <c r="J948" s="72" t="s">
        <v>2501</v>
      </c>
    </row>
    <row r="949" spans="2:10" ht="23">
      <c r="B949" s="98">
        <v>45199</v>
      </c>
      <c r="C949" s="99" t="s">
        <v>1577</v>
      </c>
      <c r="D949" s="104" t="s">
        <v>1476</v>
      </c>
      <c r="E949" s="99" t="s">
        <v>495</v>
      </c>
      <c r="F949" s="99" t="s">
        <v>1578</v>
      </c>
      <c r="G949" s="70" t="s">
        <v>2499</v>
      </c>
      <c r="H949" s="100">
        <v>271950000</v>
      </c>
      <c r="I949" s="90" t="s">
        <v>574</v>
      </c>
      <c r="J949" s="72" t="s">
        <v>2501</v>
      </c>
    </row>
    <row r="950" spans="2:10" ht="23">
      <c r="B950" s="98">
        <v>45199</v>
      </c>
      <c r="C950" s="99" t="s">
        <v>1577</v>
      </c>
      <c r="D950" s="104" t="s">
        <v>1476</v>
      </c>
      <c r="E950" s="99" t="s">
        <v>495</v>
      </c>
      <c r="F950" s="99" t="s">
        <v>1578</v>
      </c>
      <c r="G950" s="70" t="s">
        <v>2500</v>
      </c>
      <c r="H950" s="100">
        <f>987074184-H949</f>
        <v>715124184</v>
      </c>
      <c r="I950" s="90" t="s">
        <v>574</v>
      </c>
      <c r="J950" s="72" t="s">
        <v>2501</v>
      </c>
    </row>
    <row r="951" spans="2:10" ht="23">
      <c r="B951" s="69">
        <v>45230</v>
      </c>
      <c r="C951" s="70" t="s">
        <v>1629</v>
      </c>
      <c r="D951" s="101" t="s">
        <v>270</v>
      </c>
      <c r="E951" s="70" t="s">
        <v>633</v>
      </c>
      <c r="F951" s="70" t="s">
        <v>1630</v>
      </c>
      <c r="G951" s="70" t="s">
        <v>1393</v>
      </c>
      <c r="H951" s="136">
        <v>528489119.36000001</v>
      </c>
      <c r="I951" s="30">
        <v>1023</v>
      </c>
      <c r="J951" s="72" t="s">
        <v>2344</v>
      </c>
    </row>
    <row r="952" spans="2:10" ht="23">
      <c r="B952" s="69">
        <v>45230</v>
      </c>
      <c r="C952" s="70" t="s">
        <v>1629</v>
      </c>
      <c r="D952" s="101" t="s">
        <v>270</v>
      </c>
      <c r="E952" s="70" t="s">
        <v>633</v>
      </c>
      <c r="F952" s="70" t="s">
        <v>1630</v>
      </c>
      <c r="G952" s="70" t="s">
        <v>1389</v>
      </c>
      <c r="H952" s="136">
        <v>228040798.03</v>
      </c>
      <c r="I952" s="30">
        <v>1023</v>
      </c>
      <c r="J952" s="72" t="s">
        <v>2344</v>
      </c>
    </row>
    <row r="953" spans="2:10" ht="23">
      <c r="B953" s="69">
        <v>45230</v>
      </c>
      <c r="C953" s="70" t="s">
        <v>1629</v>
      </c>
      <c r="D953" s="101" t="s">
        <v>270</v>
      </c>
      <c r="E953" s="70" t="s">
        <v>633</v>
      </c>
      <c r="F953" s="70" t="s">
        <v>1630</v>
      </c>
      <c r="G953" s="70" t="s">
        <v>1390</v>
      </c>
      <c r="H953" s="136">
        <v>21293941.09</v>
      </c>
      <c r="I953" s="30">
        <v>1023</v>
      </c>
      <c r="J953" s="72" t="s">
        <v>2344</v>
      </c>
    </row>
    <row r="954" spans="2:10">
      <c r="B954" s="69">
        <v>45212</v>
      </c>
      <c r="C954" s="70" t="s">
        <v>1631</v>
      </c>
      <c r="D954" s="101" t="s">
        <v>270</v>
      </c>
      <c r="E954" s="70" t="s">
        <v>495</v>
      </c>
      <c r="F954" s="70" t="s">
        <v>908</v>
      </c>
      <c r="G954" s="70" t="s">
        <v>1632</v>
      </c>
      <c r="H954" s="71">
        <v>19000</v>
      </c>
      <c r="I954" s="30">
        <v>1023</v>
      </c>
      <c r="J954" s="72">
        <v>330</v>
      </c>
    </row>
    <row r="955" spans="2:10" ht="23">
      <c r="B955" s="69">
        <v>45230</v>
      </c>
      <c r="C955" s="70" t="s">
        <v>1629</v>
      </c>
      <c r="D955" s="101" t="s">
        <v>270</v>
      </c>
      <c r="E955" s="70" t="s">
        <v>633</v>
      </c>
      <c r="F955" s="70" t="s">
        <v>1630</v>
      </c>
      <c r="G955" s="70" t="s">
        <v>1095</v>
      </c>
      <c r="H955" s="71">
        <v>6614106.5499999998</v>
      </c>
      <c r="I955" s="30">
        <v>1023</v>
      </c>
      <c r="J955" s="72">
        <v>327</v>
      </c>
    </row>
    <row r="956" spans="2:10" ht="23">
      <c r="B956" s="69">
        <v>45230</v>
      </c>
      <c r="C956" s="70" t="s">
        <v>1629</v>
      </c>
      <c r="D956" s="101" t="s">
        <v>270</v>
      </c>
      <c r="E956" s="70" t="s">
        <v>633</v>
      </c>
      <c r="F956" s="70" t="s">
        <v>1630</v>
      </c>
      <c r="G956" s="70" t="s">
        <v>1238</v>
      </c>
      <c r="H956" s="71">
        <v>6167845.5899999999</v>
      </c>
      <c r="I956" s="30">
        <v>1023</v>
      </c>
      <c r="J956" s="44">
        <v>328</v>
      </c>
    </row>
    <row r="957" spans="2:10" ht="23">
      <c r="B957" s="69">
        <v>45230</v>
      </c>
      <c r="C957" s="70" t="s">
        <v>1629</v>
      </c>
      <c r="D957" s="101" t="s">
        <v>270</v>
      </c>
      <c r="E957" s="70" t="s">
        <v>633</v>
      </c>
      <c r="F957" s="70" t="s">
        <v>1630</v>
      </c>
      <c r="G957" s="70" t="s">
        <v>1391</v>
      </c>
      <c r="H957" s="136">
        <v>5122633.1399999997</v>
      </c>
      <c r="I957" s="30">
        <v>1023</v>
      </c>
      <c r="J957" s="72" t="s">
        <v>2344</v>
      </c>
    </row>
    <row r="958" spans="2:10" ht="23">
      <c r="B958" s="69">
        <v>45230</v>
      </c>
      <c r="C958" s="70" t="s">
        <v>1629</v>
      </c>
      <c r="D958" s="101" t="s">
        <v>270</v>
      </c>
      <c r="E958" s="70" t="s">
        <v>633</v>
      </c>
      <c r="F958" s="70" t="s">
        <v>1630</v>
      </c>
      <c r="G958" s="70" t="s">
        <v>1229</v>
      </c>
      <c r="H958" s="71">
        <v>4651154.2300000004</v>
      </c>
      <c r="I958" s="30">
        <v>1023</v>
      </c>
      <c r="J958" s="44">
        <v>328</v>
      </c>
    </row>
    <row r="959" spans="2:10" ht="23">
      <c r="B959" s="69">
        <v>45230</v>
      </c>
      <c r="C959" s="70" t="s">
        <v>1629</v>
      </c>
      <c r="D959" s="101" t="s">
        <v>270</v>
      </c>
      <c r="E959" s="70" t="s">
        <v>633</v>
      </c>
      <c r="F959" s="70" t="s">
        <v>1630</v>
      </c>
      <c r="G959" s="70" t="s">
        <v>150</v>
      </c>
      <c r="H959" s="71">
        <v>4280561.3099999996</v>
      </c>
      <c r="I959" s="30">
        <v>1023</v>
      </c>
      <c r="J959" s="72">
        <v>327</v>
      </c>
    </row>
    <row r="960" spans="2:10">
      <c r="B960" s="69">
        <v>45219</v>
      </c>
      <c r="C960" s="70" t="s">
        <v>1633</v>
      </c>
      <c r="D960" s="101" t="s">
        <v>270</v>
      </c>
      <c r="E960" s="70" t="s">
        <v>514</v>
      </c>
      <c r="F960" s="70" t="s">
        <v>908</v>
      </c>
      <c r="G960" s="70" t="s">
        <v>1634</v>
      </c>
      <c r="H960" s="71">
        <v>640000</v>
      </c>
      <c r="I960" s="30">
        <v>1023</v>
      </c>
      <c r="J960" s="44">
        <v>330</v>
      </c>
    </row>
    <row r="961" spans="2:10">
      <c r="B961" s="69">
        <v>45219</v>
      </c>
      <c r="C961" s="70" t="s">
        <v>1635</v>
      </c>
      <c r="D961" s="101" t="s">
        <v>270</v>
      </c>
      <c r="E961" s="70" t="s">
        <v>514</v>
      </c>
      <c r="F961" s="70" t="s">
        <v>908</v>
      </c>
      <c r="G961" s="70" t="s">
        <v>1634</v>
      </c>
      <c r="H961" s="71">
        <v>150000</v>
      </c>
      <c r="I961" s="30">
        <v>1023</v>
      </c>
      <c r="J961" s="44">
        <v>330</v>
      </c>
    </row>
    <row r="962" spans="2:10" ht="23">
      <c r="B962" s="69">
        <v>45230</v>
      </c>
      <c r="C962" s="70" t="s">
        <v>1636</v>
      </c>
      <c r="D962" s="101" t="s">
        <v>270</v>
      </c>
      <c r="E962" s="70" t="s">
        <v>633</v>
      </c>
      <c r="F962" s="70" t="s">
        <v>1637</v>
      </c>
      <c r="G962" s="70" t="s">
        <v>1638</v>
      </c>
      <c r="H962" s="71">
        <v>5965000</v>
      </c>
      <c r="I962" s="30">
        <v>1023</v>
      </c>
      <c r="J962" s="72" t="s">
        <v>1168</v>
      </c>
    </row>
    <row r="963" spans="2:10" ht="23">
      <c r="B963" s="69">
        <v>45230</v>
      </c>
      <c r="C963" s="70" t="s">
        <v>1629</v>
      </c>
      <c r="D963" s="101" t="s">
        <v>270</v>
      </c>
      <c r="E963" s="70" t="s">
        <v>633</v>
      </c>
      <c r="F963" s="70" t="s">
        <v>1639</v>
      </c>
      <c r="G963" s="70" t="s">
        <v>1079</v>
      </c>
      <c r="H963" s="136">
        <v>1574934.58</v>
      </c>
      <c r="I963" s="30">
        <v>1023</v>
      </c>
      <c r="J963" s="72" t="s">
        <v>2344</v>
      </c>
    </row>
    <row r="964" spans="2:10" ht="23">
      <c r="B964" s="69">
        <v>45230</v>
      </c>
      <c r="C964" s="70" t="s">
        <v>1629</v>
      </c>
      <c r="D964" s="101" t="s">
        <v>270</v>
      </c>
      <c r="E964" s="70" t="s">
        <v>633</v>
      </c>
      <c r="F964" s="70" t="s">
        <v>1630</v>
      </c>
      <c r="G964" s="70" t="s">
        <v>1392</v>
      </c>
      <c r="H964" s="71">
        <v>4162908.23</v>
      </c>
      <c r="I964" s="30">
        <v>1023</v>
      </c>
      <c r="J964" s="72" t="s">
        <v>2344</v>
      </c>
    </row>
    <row r="965" spans="2:10" ht="23">
      <c r="B965" s="69">
        <v>45230</v>
      </c>
      <c r="C965" s="70" t="s">
        <v>1629</v>
      </c>
      <c r="D965" s="101" t="s">
        <v>270</v>
      </c>
      <c r="E965" s="70" t="s">
        <v>633</v>
      </c>
      <c r="F965" s="70" t="s">
        <v>1630</v>
      </c>
      <c r="G965" s="70" t="s">
        <v>1233</v>
      </c>
      <c r="H965" s="71">
        <v>2643572.13</v>
      </c>
      <c r="I965" s="30">
        <v>1023</v>
      </c>
      <c r="J965" s="44">
        <v>328</v>
      </c>
    </row>
    <row r="966" spans="2:10" ht="23">
      <c r="B966" s="69">
        <v>45230</v>
      </c>
      <c r="C966" s="70" t="s">
        <v>1629</v>
      </c>
      <c r="D966" s="101" t="s">
        <v>270</v>
      </c>
      <c r="E966" s="70" t="s">
        <v>633</v>
      </c>
      <c r="F966" s="70" t="s">
        <v>1630</v>
      </c>
      <c r="G966" s="70" t="s">
        <v>1234</v>
      </c>
      <c r="H966" s="71">
        <v>2188722.62</v>
      </c>
      <c r="I966" s="30">
        <v>1023</v>
      </c>
      <c r="J966" s="44">
        <v>328</v>
      </c>
    </row>
    <row r="967" spans="2:10" ht="23">
      <c r="B967" s="69">
        <v>45230</v>
      </c>
      <c r="C967" s="70" t="s">
        <v>1629</v>
      </c>
      <c r="D967" s="101" t="s">
        <v>270</v>
      </c>
      <c r="E967" s="70" t="s">
        <v>633</v>
      </c>
      <c r="F967" s="70" t="s">
        <v>1630</v>
      </c>
      <c r="G967" s="70" t="s">
        <v>1079</v>
      </c>
      <c r="H967" s="136">
        <v>1889921.49</v>
      </c>
      <c r="I967" s="30">
        <v>1023</v>
      </c>
      <c r="J967" s="72" t="s">
        <v>2344</v>
      </c>
    </row>
    <row r="968" spans="2:10" ht="23">
      <c r="B968" s="69">
        <v>45230</v>
      </c>
      <c r="C968" s="70" t="s">
        <v>1629</v>
      </c>
      <c r="D968" s="101" t="s">
        <v>270</v>
      </c>
      <c r="E968" s="70" t="s">
        <v>633</v>
      </c>
      <c r="F968" s="70" t="s">
        <v>1630</v>
      </c>
      <c r="G968" s="70" t="s">
        <v>1338</v>
      </c>
      <c r="H968" s="71">
        <v>1869354.43</v>
      </c>
      <c r="I968" s="30">
        <v>1023</v>
      </c>
      <c r="J968" s="44">
        <v>328</v>
      </c>
    </row>
    <row r="969" spans="2:10" ht="23">
      <c r="B969" s="69">
        <v>45230</v>
      </c>
      <c r="C969" s="70" t="s">
        <v>1629</v>
      </c>
      <c r="D969" s="101" t="s">
        <v>270</v>
      </c>
      <c r="E969" s="70" t="s">
        <v>633</v>
      </c>
      <c r="F969" s="70" t="s">
        <v>1630</v>
      </c>
      <c r="G969" s="70" t="s">
        <v>1240</v>
      </c>
      <c r="H969" s="71">
        <v>1284936</v>
      </c>
      <c r="I969" s="30">
        <v>1023</v>
      </c>
      <c r="J969" s="72">
        <v>327</v>
      </c>
    </row>
    <row r="970" spans="2:10" ht="23">
      <c r="B970" s="69">
        <v>45230</v>
      </c>
      <c r="C970" s="70" t="s">
        <v>1629</v>
      </c>
      <c r="D970" s="101" t="s">
        <v>270</v>
      </c>
      <c r="E970" s="70" t="s">
        <v>633</v>
      </c>
      <c r="F970" s="70" t="s">
        <v>1630</v>
      </c>
      <c r="G970" s="70" t="s">
        <v>1239</v>
      </c>
      <c r="H970" s="71">
        <v>1199466</v>
      </c>
      <c r="I970" s="30">
        <v>1023</v>
      </c>
      <c r="J970" s="72">
        <v>327</v>
      </c>
    </row>
    <row r="971" spans="2:10" ht="23">
      <c r="B971" s="69">
        <v>45230</v>
      </c>
      <c r="C971" s="70" t="s">
        <v>1629</v>
      </c>
      <c r="D971" s="101" t="s">
        <v>270</v>
      </c>
      <c r="E971" s="70" t="s">
        <v>633</v>
      </c>
      <c r="F971" s="70" t="s">
        <v>1630</v>
      </c>
      <c r="G971" s="70" t="s">
        <v>1232</v>
      </c>
      <c r="H971" s="71">
        <v>856272.06</v>
      </c>
      <c r="I971" s="30">
        <v>1023</v>
      </c>
      <c r="J971" s="72">
        <v>327</v>
      </c>
    </row>
    <row r="972" spans="2:10" ht="23">
      <c r="B972" s="69">
        <v>45230</v>
      </c>
      <c r="C972" s="70" t="s">
        <v>1629</v>
      </c>
      <c r="D972" s="101" t="s">
        <v>270</v>
      </c>
      <c r="E972" s="70" t="s">
        <v>633</v>
      </c>
      <c r="F972" s="70" t="s">
        <v>1630</v>
      </c>
      <c r="G972" s="70" t="s">
        <v>1225</v>
      </c>
      <c r="H972" s="71">
        <v>563194.63</v>
      </c>
      <c r="I972" s="30">
        <v>1023</v>
      </c>
      <c r="J972" s="72">
        <v>327</v>
      </c>
    </row>
    <row r="973" spans="2:10" ht="23">
      <c r="B973" s="69">
        <v>45230</v>
      </c>
      <c r="C973" s="70" t="s">
        <v>1629</v>
      </c>
      <c r="D973" s="101" t="s">
        <v>270</v>
      </c>
      <c r="E973" s="70" t="s">
        <v>633</v>
      </c>
      <c r="F973" s="70" t="s">
        <v>1630</v>
      </c>
      <c r="G973" s="70" t="s">
        <v>733</v>
      </c>
      <c r="H973" s="71">
        <v>171375.81</v>
      </c>
      <c r="I973" s="30">
        <v>1023</v>
      </c>
      <c r="J973" s="72">
        <v>327</v>
      </c>
    </row>
    <row r="974" spans="2:10" ht="23">
      <c r="B974" s="69">
        <v>45230</v>
      </c>
      <c r="C974" s="70" t="s">
        <v>1629</v>
      </c>
      <c r="D974" s="101" t="s">
        <v>270</v>
      </c>
      <c r="E974" s="70" t="s">
        <v>633</v>
      </c>
      <c r="F974" s="70" t="s">
        <v>1630</v>
      </c>
      <c r="G974" s="70" t="s">
        <v>732</v>
      </c>
      <c r="H974" s="71">
        <v>86631.82</v>
      </c>
      <c r="I974" s="30">
        <v>1023</v>
      </c>
      <c r="J974" s="72">
        <v>327</v>
      </c>
    </row>
    <row r="975" spans="2:10">
      <c r="B975" s="69">
        <v>45230</v>
      </c>
      <c r="C975" s="70" t="s">
        <v>1640</v>
      </c>
      <c r="D975" s="101" t="s">
        <v>270</v>
      </c>
      <c r="E975" s="70" t="s">
        <v>514</v>
      </c>
      <c r="F975" s="70" t="s">
        <v>1641</v>
      </c>
      <c r="G975" s="70" t="s">
        <v>1642</v>
      </c>
      <c r="H975" s="71">
        <v>18654822</v>
      </c>
      <c r="I975" s="30">
        <v>1023</v>
      </c>
      <c r="J975" s="72" t="s">
        <v>1168</v>
      </c>
    </row>
    <row r="976" spans="2:10">
      <c r="B976" s="69">
        <v>45230</v>
      </c>
      <c r="C976" s="70" t="s">
        <v>1640</v>
      </c>
      <c r="D976" s="101" t="s">
        <v>270</v>
      </c>
      <c r="E976" s="70" t="s">
        <v>495</v>
      </c>
      <c r="F976" s="70" t="s">
        <v>1643</v>
      </c>
      <c r="G976" s="70" t="s">
        <v>1644</v>
      </c>
      <c r="H976" s="71">
        <v>1090000</v>
      </c>
      <c r="I976" s="30">
        <v>1023</v>
      </c>
      <c r="J976" s="72" t="s">
        <v>1168</v>
      </c>
    </row>
    <row r="977" spans="2:10">
      <c r="B977" s="69">
        <v>45230</v>
      </c>
      <c r="C977" s="70" t="s">
        <v>1640</v>
      </c>
      <c r="D977" s="101" t="s">
        <v>270</v>
      </c>
      <c r="E977" s="70" t="s">
        <v>514</v>
      </c>
      <c r="F977" s="70" t="s">
        <v>1645</v>
      </c>
      <c r="G977" s="70" t="s">
        <v>1646</v>
      </c>
      <c r="H977" s="71">
        <v>2460000</v>
      </c>
      <c r="I977" s="30">
        <v>1023</v>
      </c>
      <c r="J977" s="72" t="s">
        <v>1168</v>
      </c>
    </row>
    <row r="978" spans="2:10">
      <c r="B978" s="69">
        <v>45230</v>
      </c>
      <c r="C978" s="70" t="s">
        <v>1640</v>
      </c>
      <c r="D978" s="101" t="s">
        <v>270</v>
      </c>
      <c r="E978" s="70" t="s">
        <v>514</v>
      </c>
      <c r="F978" s="70" t="s">
        <v>1647</v>
      </c>
      <c r="G978" s="70" t="s">
        <v>1648</v>
      </c>
      <c r="H978" s="71">
        <v>110000</v>
      </c>
      <c r="I978" s="30">
        <v>1023</v>
      </c>
      <c r="J978" s="72" t="s">
        <v>1168</v>
      </c>
    </row>
    <row r="979" spans="2:10" ht="23">
      <c r="B979" s="69">
        <v>45230</v>
      </c>
      <c r="C979" s="70" t="s">
        <v>1649</v>
      </c>
      <c r="D979" s="101" t="s">
        <v>270</v>
      </c>
      <c r="E979" s="70" t="s">
        <v>308</v>
      </c>
      <c r="F979" s="70" t="s">
        <v>455</v>
      </c>
      <c r="G979" s="70" t="s">
        <v>1650</v>
      </c>
      <c r="H979" s="137">
        <v>1577887838</v>
      </c>
      <c r="I979" s="30">
        <v>1023</v>
      </c>
      <c r="J979" s="72" t="s">
        <v>535</v>
      </c>
    </row>
    <row r="980" spans="2:10" ht="23">
      <c r="B980" s="69">
        <v>45230</v>
      </c>
      <c r="C980" s="70" t="s">
        <v>1651</v>
      </c>
      <c r="D980" s="101" t="s">
        <v>270</v>
      </c>
      <c r="E980" s="70" t="s">
        <v>633</v>
      </c>
      <c r="F980" s="70" t="s">
        <v>1652</v>
      </c>
      <c r="G980" s="70" t="s">
        <v>1653</v>
      </c>
      <c r="H980" s="71">
        <v>3020000</v>
      </c>
      <c r="I980" s="30">
        <v>1023</v>
      </c>
      <c r="J980" s="35" t="s">
        <v>2282</v>
      </c>
    </row>
    <row r="981" spans="2:10">
      <c r="B981" s="69">
        <v>45230</v>
      </c>
      <c r="C981" s="70" t="s">
        <v>1640</v>
      </c>
      <c r="D981" s="101" t="s">
        <v>270</v>
      </c>
      <c r="E981" s="70" t="s">
        <v>514</v>
      </c>
      <c r="F981" s="70" t="s">
        <v>1654</v>
      </c>
      <c r="G981" s="70" t="s">
        <v>1655</v>
      </c>
      <c r="H981" s="71">
        <v>53500000</v>
      </c>
      <c r="I981" s="30">
        <v>1023</v>
      </c>
      <c r="J981" s="44">
        <v>328</v>
      </c>
    </row>
    <row r="982" spans="2:10" ht="34.5">
      <c r="B982" s="69">
        <v>45230</v>
      </c>
      <c r="C982" s="70" t="s">
        <v>1656</v>
      </c>
      <c r="D982" s="101" t="s">
        <v>270</v>
      </c>
      <c r="E982" s="70" t="s">
        <v>308</v>
      </c>
      <c r="F982" s="70" t="s">
        <v>448</v>
      </c>
      <c r="G982" s="70" t="s">
        <v>1657</v>
      </c>
      <c r="H982" s="136">
        <v>27271276</v>
      </c>
      <c r="I982" s="30">
        <v>1023</v>
      </c>
      <c r="J982" s="72" t="s">
        <v>535</v>
      </c>
    </row>
    <row r="983" spans="2:10" ht="23">
      <c r="B983" s="69">
        <v>45230</v>
      </c>
      <c r="C983" s="70" t="s">
        <v>1658</v>
      </c>
      <c r="D983" s="101" t="s">
        <v>270</v>
      </c>
      <c r="E983" s="70" t="s">
        <v>633</v>
      </c>
      <c r="F983" s="70" t="s">
        <v>1659</v>
      </c>
      <c r="G983" s="70"/>
      <c r="H983" s="71">
        <v>9642544</v>
      </c>
      <c r="I983" s="30">
        <v>1023</v>
      </c>
      <c r="J983" s="72">
        <v>329</v>
      </c>
    </row>
    <row r="984" spans="2:10">
      <c r="B984" s="69">
        <v>45230</v>
      </c>
      <c r="C984" s="70" t="s">
        <v>1660</v>
      </c>
      <c r="D984" s="101">
        <v>316204001001</v>
      </c>
      <c r="E984" s="70" t="s">
        <v>633</v>
      </c>
      <c r="F984" s="70" t="s">
        <v>1661</v>
      </c>
      <c r="G984" s="70"/>
      <c r="H984" s="71">
        <v>3696300</v>
      </c>
      <c r="I984" s="30">
        <v>1023</v>
      </c>
      <c r="J984" s="72">
        <v>24</v>
      </c>
    </row>
    <row r="985" spans="2:10">
      <c r="B985" s="69">
        <v>45230</v>
      </c>
      <c r="C985" s="70" t="s">
        <v>1660</v>
      </c>
      <c r="D985" s="101">
        <v>316204001001</v>
      </c>
      <c r="E985" s="70" t="s">
        <v>308</v>
      </c>
      <c r="F985" s="70" t="s">
        <v>1661</v>
      </c>
      <c r="G985" s="70" t="s">
        <v>2403</v>
      </c>
      <c r="H985" s="71">
        <v>955595155.21000004</v>
      </c>
      <c r="I985" s="30">
        <v>1023</v>
      </c>
      <c r="J985" s="30">
        <v>37</v>
      </c>
    </row>
    <row r="986" spans="2:10" ht="11.5" customHeight="1">
      <c r="B986" s="69">
        <v>45230</v>
      </c>
      <c r="C986" s="70" t="s">
        <v>1660</v>
      </c>
      <c r="D986" s="101">
        <v>316204001001</v>
      </c>
      <c r="E986" s="70" t="s">
        <v>514</v>
      </c>
      <c r="F986" s="70" t="s">
        <v>1661</v>
      </c>
      <c r="G986" s="70"/>
      <c r="H986" s="71">
        <v>8693896</v>
      </c>
      <c r="I986" s="30">
        <v>1023</v>
      </c>
      <c r="J986" s="72">
        <v>339</v>
      </c>
    </row>
    <row r="987" spans="2:10">
      <c r="B987" s="69">
        <v>45230</v>
      </c>
      <c r="C987" s="70" t="s">
        <v>1660</v>
      </c>
      <c r="D987" s="101" t="s">
        <v>640</v>
      </c>
      <c r="E987" s="70" t="s">
        <v>308</v>
      </c>
      <c r="F987" s="70" t="s">
        <v>1661</v>
      </c>
      <c r="G987" s="218" t="s">
        <v>2374</v>
      </c>
      <c r="H987" s="71">
        <f>30347455.5</f>
        <v>30347455.5</v>
      </c>
      <c r="I987" s="30">
        <v>1023</v>
      </c>
      <c r="J987" s="30">
        <v>34</v>
      </c>
    </row>
    <row r="988" spans="2:10">
      <c r="B988" s="69">
        <v>45230</v>
      </c>
      <c r="C988" s="70" t="s">
        <v>1660</v>
      </c>
      <c r="D988" s="101">
        <v>316204001002</v>
      </c>
      <c r="E988" s="70" t="s">
        <v>495</v>
      </c>
      <c r="F988" s="70" t="s">
        <v>1661</v>
      </c>
      <c r="G988" s="70"/>
      <c r="H988" s="71">
        <v>244200</v>
      </c>
      <c r="I988" s="30">
        <v>1023</v>
      </c>
      <c r="J988" s="30">
        <v>24</v>
      </c>
    </row>
    <row r="989" spans="2:10">
      <c r="B989" s="69">
        <v>45230</v>
      </c>
      <c r="C989" s="70" t="s">
        <v>1660</v>
      </c>
      <c r="D989" s="101" t="s">
        <v>1290</v>
      </c>
      <c r="E989" s="70" t="s">
        <v>495</v>
      </c>
      <c r="F989" s="70" t="s">
        <v>1661</v>
      </c>
      <c r="G989" s="70" t="s">
        <v>2417</v>
      </c>
      <c r="H989" s="71">
        <v>37458393</v>
      </c>
      <c r="I989" s="30">
        <v>1023</v>
      </c>
      <c r="J989" s="30">
        <v>322</v>
      </c>
    </row>
    <row r="990" spans="2:10">
      <c r="B990" s="69">
        <v>45230</v>
      </c>
      <c r="C990" s="70" t="s">
        <v>1660</v>
      </c>
      <c r="D990" s="101" t="s">
        <v>711</v>
      </c>
      <c r="E990" s="1776" t="s">
        <v>308</v>
      </c>
      <c r="F990" s="1776" t="s">
        <v>1661</v>
      </c>
      <c r="G990" s="216" t="s">
        <v>2374</v>
      </c>
      <c r="H990" s="71">
        <v>53495840</v>
      </c>
      <c r="I990" s="30">
        <v>1023</v>
      </c>
      <c r="J990" s="30">
        <v>34</v>
      </c>
    </row>
    <row r="991" spans="2:10">
      <c r="B991" s="69">
        <v>45230</v>
      </c>
      <c r="C991" s="70" t="s">
        <v>1660</v>
      </c>
      <c r="D991" s="101" t="s">
        <v>711</v>
      </c>
      <c r="E991" s="1778"/>
      <c r="F991" s="1778"/>
      <c r="G991" s="216"/>
      <c r="H991" s="71">
        <f>54148574.95-H990</f>
        <v>652734.95000000298</v>
      </c>
      <c r="I991" s="30">
        <v>1023</v>
      </c>
      <c r="J991" s="72" t="s">
        <v>2501</v>
      </c>
    </row>
    <row r="992" spans="2:10">
      <c r="B992" s="69">
        <v>45230</v>
      </c>
      <c r="C992" s="70" t="s">
        <v>1640</v>
      </c>
      <c r="D992" s="101" t="s">
        <v>270</v>
      </c>
      <c r="E992" s="70" t="s">
        <v>633</v>
      </c>
      <c r="F992" s="70" t="s">
        <v>1662</v>
      </c>
      <c r="G992" s="70" t="s">
        <v>1661</v>
      </c>
      <c r="H992" s="71">
        <v>123969.32</v>
      </c>
      <c r="I992" s="30">
        <v>1023</v>
      </c>
      <c r="J992" s="72" t="s">
        <v>1168</v>
      </c>
    </row>
    <row r="993" spans="2:10" ht="23">
      <c r="B993" s="69">
        <v>45230</v>
      </c>
      <c r="C993" s="70" t="s">
        <v>1663</v>
      </c>
      <c r="D993" s="101" t="s">
        <v>270</v>
      </c>
      <c r="E993" s="70" t="s">
        <v>622</v>
      </c>
      <c r="F993" s="70" t="s">
        <v>1664</v>
      </c>
      <c r="G993" s="70"/>
      <c r="H993" s="71">
        <v>20740000</v>
      </c>
      <c r="I993" s="30">
        <v>1023</v>
      </c>
      <c r="J993" s="72">
        <v>327</v>
      </c>
    </row>
    <row r="994" spans="2:10" ht="23">
      <c r="B994" s="69">
        <v>45230</v>
      </c>
      <c r="C994" s="70" t="s">
        <v>1663</v>
      </c>
      <c r="D994" s="101" t="s">
        <v>270</v>
      </c>
      <c r="E994" s="70" t="s">
        <v>622</v>
      </c>
      <c r="F994" s="70" t="s">
        <v>1665</v>
      </c>
      <c r="G994" s="70"/>
      <c r="H994" s="71">
        <v>2281400</v>
      </c>
      <c r="I994" s="30">
        <v>1023</v>
      </c>
      <c r="J994" s="72">
        <v>327</v>
      </c>
    </row>
    <row r="995" spans="2:10" ht="23">
      <c r="B995" s="69">
        <v>45230</v>
      </c>
      <c r="C995" s="70" t="s">
        <v>1666</v>
      </c>
      <c r="D995" s="101" t="s">
        <v>270</v>
      </c>
      <c r="E995" s="70" t="s">
        <v>622</v>
      </c>
      <c r="F995" s="70" t="s">
        <v>1667</v>
      </c>
      <c r="G995" s="70"/>
      <c r="H995" s="71">
        <v>16770000</v>
      </c>
      <c r="I995" s="30">
        <v>1023</v>
      </c>
      <c r="J995" s="72">
        <v>327</v>
      </c>
    </row>
    <row r="996" spans="2:10" ht="23">
      <c r="B996" s="69">
        <v>45230</v>
      </c>
      <c r="C996" s="70" t="s">
        <v>1666</v>
      </c>
      <c r="D996" s="101" t="s">
        <v>270</v>
      </c>
      <c r="E996" s="70" t="s">
        <v>622</v>
      </c>
      <c r="F996" s="70" t="s">
        <v>1668</v>
      </c>
      <c r="G996" s="70"/>
      <c r="H996" s="71">
        <v>1844700</v>
      </c>
      <c r="I996" s="30">
        <v>1023</v>
      </c>
      <c r="J996" s="72">
        <v>327</v>
      </c>
    </row>
    <row r="997" spans="2:10" ht="23">
      <c r="B997" s="69">
        <v>45230</v>
      </c>
      <c r="C997" s="70" t="s">
        <v>1669</v>
      </c>
      <c r="D997" s="101" t="s">
        <v>270</v>
      </c>
      <c r="E997" s="70" t="s">
        <v>633</v>
      </c>
      <c r="F997" s="70" t="s">
        <v>1670</v>
      </c>
      <c r="G997" s="70" t="s">
        <v>1079</v>
      </c>
      <c r="H997" s="136">
        <v>242760.57</v>
      </c>
      <c r="I997" s="30">
        <v>1023</v>
      </c>
      <c r="J997" s="72" t="s">
        <v>2344</v>
      </c>
    </row>
    <row r="998" spans="2:10" ht="23">
      <c r="B998" s="69">
        <v>45230</v>
      </c>
      <c r="C998" s="70" t="s">
        <v>1669</v>
      </c>
      <c r="D998" s="101" t="s">
        <v>270</v>
      </c>
      <c r="E998" s="70" t="s">
        <v>622</v>
      </c>
      <c r="F998" s="70" t="s">
        <v>1671</v>
      </c>
      <c r="G998" s="70" t="s">
        <v>1389</v>
      </c>
      <c r="H998" s="136">
        <v>168530686.43000001</v>
      </c>
      <c r="I998" s="30">
        <v>1023</v>
      </c>
      <c r="J998" s="72" t="s">
        <v>2344</v>
      </c>
    </row>
    <row r="999" spans="2:10" ht="23">
      <c r="B999" s="69">
        <v>45230</v>
      </c>
      <c r="C999" s="70" t="s">
        <v>1669</v>
      </c>
      <c r="D999" s="101" t="s">
        <v>270</v>
      </c>
      <c r="E999" s="70" t="s">
        <v>271</v>
      </c>
      <c r="F999" s="70" t="s">
        <v>1671</v>
      </c>
      <c r="G999" s="70" t="s">
        <v>1390</v>
      </c>
      <c r="H999" s="136">
        <v>51251058.869999997</v>
      </c>
      <c r="I999" s="30">
        <v>1023</v>
      </c>
      <c r="J999" s="72" t="s">
        <v>2344</v>
      </c>
    </row>
    <row r="1000" spans="2:10" ht="23">
      <c r="B1000" s="69">
        <v>45230</v>
      </c>
      <c r="C1000" s="70" t="s">
        <v>1669</v>
      </c>
      <c r="D1000" s="101" t="s">
        <v>270</v>
      </c>
      <c r="E1000" s="70" t="s">
        <v>622</v>
      </c>
      <c r="F1000" s="70" t="s">
        <v>1671</v>
      </c>
      <c r="G1000" s="70" t="s">
        <v>1242</v>
      </c>
      <c r="H1000" s="71">
        <v>33310656</v>
      </c>
      <c r="I1000" s="30">
        <v>1023</v>
      </c>
      <c r="J1000" s="72">
        <v>327</v>
      </c>
    </row>
    <row r="1001" spans="2:10" ht="23">
      <c r="B1001" s="69">
        <v>45230</v>
      </c>
      <c r="C1001" s="70" t="s">
        <v>1669</v>
      </c>
      <c r="D1001" s="101" t="s">
        <v>270</v>
      </c>
      <c r="E1001" s="70" t="s">
        <v>622</v>
      </c>
      <c r="F1001" s="70" t="s">
        <v>1671</v>
      </c>
      <c r="G1001" s="70" t="s">
        <v>1095</v>
      </c>
      <c r="H1001" s="71">
        <v>17654085.82</v>
      </c>
      <c r="I1001" s="30">
        <v>1023</v>
      </c>
      <c r="J1001" s="72">
        <v>327</v>
      </c>
    </row>
    <row r="1002" spans="2:10" ht="23">
      <c r="B1002" s="69">
        <v>45230</v>
      </c>
      <c r="C1002" s="70" t="s">
        <v>1669</v>
      </c>
      <c r="D1002" s="101" t="s">
        <v>270</v>
      </c>
      <c r="E1002" s="70" t="s">
        <v>622</v>
      </c>
      <c r="F1002" s="70" t="s">
        <v>1671</v>
      </c>
      <c r="G1002" s="70" t="s">
        <v>1239</v>
      </c>
      <c r="H1002" s="71">
        <v>15959420.17</v>
      </c>
      <c r="I1002" s="30">
        <v>1023</v>
      </c>
      <c r="J1002" s="72">
        <v>327</v>
      </c>
    </row>
    <row r="1003" spans="2:10" ht="23">
      <c r="B1003" s="69">
        <v>45230</v>
      </c>
      <c r="C1003" s="70" t="s">
        <v>1669</v>
      </c>
      <c r="D1003" s="101" t="s">
        <v>270</v>
      </c>
      <c r="E1003" s="70" t="s">
        <v>622</v>
      </c>
      <c r="F1003" s="70" t="s">
        <v>1671</v>
      </c>
      <c r="G1003" s="70" t="s">
        <v>1238</v>
      </c>
      <c r="H1003" s="71">
        <v>13837778.51</v>
      </c>
      <c r="I1003" s="30">
        <v>1023</v>
      </c>
      <c r="J1003" s="44">
        <v>328</v>
      </c>
    </row>
    <row r="1004" spans="2:10" ht="23">
      <c r="B1004" s="69">
        <v>45230</v>
      </c>
      <c r="C1004" s="70" t="s">
        <v>1669</v>
      </c>
      <c r="D1004" s="101" t="s">
        <v>270</v>
      </c>
      <c r="E1004" s="70" t="s">
        <v>622</v>
      </c>
      <c r="F1004" s="70" t="s">
        <v>1671</v>
      </c>
      <c r="G1004" s="70" t="s">
        <v>1240</v>
      </c>
      <c r="H1004" s="71">
        <v>11103552</v>
      </c>
      <c r="I1004" s="30">
        <v>1023</v>
      </c>
      <c r="J1004" s="72">
        <v>327</v>
      </c>
    </row>
    <row r="1005" spans="2:10" ht="23">
      <c r="B1005" s="69">
        <v>45230</v>
      </c>
      <c r="C1005" s="70" t="s">
        <v>1669</v>
      </c>
      <c r="D1005" s="101" t="s">
        <v>270</v>
      </c>
      <c r="E1005" s="70" t="s">
        <v>271</v>
      </c>
      <c r="F1005" s="70" t="s">
        <v>1671</v>
      </c>
      <c r="G1005" s="70" t="s">
        <v>1391</v>
      </c>
      <c r="H1005" s="71">
        <v>4879195.3899999997</v>
      </c>
      <c r="I1005" s="30">
        <v>1023</v>
      </c>
      <c r="J1005" s="72" t="s">
        <v>2344</v>
      </c>
    </row>
    <row r="1006" spans="2:10" ht="23">
      <c r="B1006" s="69">
        <v>45230</v>
      </c>
      <c r="C1006" s="70" t="s">
        <v>1669</v>
      </c>
      <c r="D1006" s="101" t="s">
        <v>270</v>
      </c>
      <c r="E1006" s="70" t="s">
        <v>622</v>
      </c>
      <c r="F1006" s="70" t="s">
        <v>1671</v>
      </c>
      <c r="G1006" s="70" t="s">
        <v>1233</v>
      </c>
      <c r="H1006" s="71">
        <v>3533406.58</v>
      </c>
      <c r="I1006" s="30">
        <v>1023</v>
      </c>
      <c r="J1006" s="44">
        <v>328</v>
      </c>
    </row>
    <row r="1007" spans="2:10" ht="23">
      <c r="B1007" s="69">
        <v>45230</v>
      </c>
      <c r="C1007" s="70" t="s">
        <v>1669</v>
      </c>
      <c r="D1007" s="101" t="s">
        <v>270</v>
      </c>
      <c r="E1007" s="70" t="s">
        <v>271</v>
      </c>
      <c r="F1007" s="70" t="s">
        <v>1671</v>
      </c>
      <c r="G1007" s="70" t="s">
        <v>1392</v>
      </c>
      <c r="H1007" s="71">
        <v>3531402.29</v>
      </c>
      <c r="I1007" s="30">
        <v>1023</v>
      </c>
      <c r="J1007" s="72" t="s">
        <v>2344</v>
      </c>
    </row>
    <row r="1008" spans="2:10" ht="23">
      <c r="B1008" s="69">
        <v>45230</v>
      </c>
      <c r="C1008" s="70" t="s">
        <v>1669</v>
      </c>
      <c r="D1008" s="101" t="s">
        <v>270</v>
      </c>
      <c r="E1008" s="70" t="s">
        <v>622</v>
      </c>
      <c r="F1008" s="70" t="s">
        <v>1671</v>
      </c>
      <c r="G1008" s="70" t="s">
        <v>1234</v>
      </c>
      <c r="H1008" s="71">
        <v>3125916.62</v>
      </c>
      <c r="I1008" s="30">
        <v>1023</v>
      </c>
      <c r="J1008" s="44">
        <v>328</v>
      </c>
    </row>
    <row r="1009" spans="2:10" ht="23">
      <c r="B1009" s="69">
        <v>45230</v>
      </c>
      <c r="C1009" s="70" t="s">
        <v>1669</v>
      </c>
      <c r="D1009" s="101" t="s">
        <v>270</v>
      </c>
      <c r="E1009" s="70" t="s">
        <v>622</v>
      </c>
      <c r="F1009" s="70" t="s">
        <v>1671</v>
      </c>
      <c r="G1009" s="70" t="s">
        <v>1672</v>
      </c>
      <c r="H1009" s="71">
        <v>3048596.44</v>
      </c>
      <c r="I1009" s="30">
        <v>1023</v>
      </c>
      <c r="J1009" s="44">
        <v>328</v>
      </c>
    </row>
    <row r="1010" spans="2:10" ht="23">
      <c r="B1010" s="69">
        <v>45230</v>
      </c>
      <c r="C1010" s="70" t="s">
        <v>1669</v>
      </c>
      <c r="D1010" s="101" t="s">
        <v>270</v>
      </c>
      <c r="E1010" s="70" t="s">
        <v>622</v>
      </c>
      <c r="F1010" s="70" t="s">
        <v>1671</v>
      </c>
      <c r="G1010" s="70" t="s">
        <v>1232</v>
      </c>
      <c r="H1010" s="71">
        <v>2728710.1</v>
      </c>
      <c r="I1010" s="30">
        <v>1023</v>
      </c>
      <c r="J1010" s="72">
        <v>327</v>
      </c>
    </row>
    <row r="1011" spans="2:10" ht="23">
      <c r="B1011" s="69">
        <v>45230</v>
      </c>
      <c r="C1011" s="70" t="s">
        <v>1669</v>
      </c>
      <c r="D1011" s="101" t="s">
        <v>270</v>
      </c>
      <c r="E1011" s="70" t="s">
        <v>622</v>
      </c>
      <c r="F1011" s="70" t="s">
        <v>1671</v>
      </c>
      <c r="G1011" s="70" t="s">
        <v>1338</v>
      </c>
      <c r="H1011" s="71">
        <v>2542952.14</v>
      </c>
      <c r="I1011" s="30">
        <v>1023</v>
      </c>
      <c r="J1011" s="44">
        <v>328</v>
      </c>
    </row>
    <row r="1012" spans="2:10" ht="23">
      <c r="B1012" s="69">
        <v>45230</v>
      </c>
      <c r="C1012" s="70" t="s">
        <v>1669</v>
      </c>
      <c r="D1012" s="101" t="s">
        <v>270</v>
      </c>
      <c r="E1012" s="70" t="s">
        <v>271</v>
      </c>
      <c r="F1012" s="70" t="s">
        <v>1671</v>
      </c>
      <c r="G1012" s="70" t="s">
        <v>1079</v>
      </c>
      <c r="H1012" s="136">
        <v>1375643.22</v>
      </c>
      <c r="I1012" s="30">
        <v>1023</v>
      </c>
      <c r="J1012" s="72" t="s">
        <v>2344</v>
      </c>
    </row>
    <row r="1013" spans="2:10" ht="23">
      <c r="B1013" s="69">
        <v>45230</v>
      </c>
      <c r="C1013" s="70" t="s">
        <v>1669</v>
      </c>
      <c r="D1013" s="101" t="s">
        <v>270</v>
      </c>
      <c r="E1013" s="70" t="s">
        <v>622</v>
      </c>
      <c r="F1013" s="70" t="s">
        <v>1671</v>
      </c>
      <c r="G1013" s="70" t="s">
        <v>1229</v>
      </c>
      <c r="H1013" s="71">
        <v>1327298.3500000001</v>
      </c>
      <c r="I1013" s="30">
        <v>1023</v>
      </c>
      <c r="J1013" s="44">
        <v>328</v>
      </c>
    </row>
    <row r="1014" spans="2:10" ht="23">
      <c r="B1014" s="69">
        <v>45230</v>
      </c>
      <c r="C1014" s="70" t="s">
        <v>1669</v>
      </c>
      <c r="D1014" s="101" t="s">
        <v>270</v>
      </c>
      <c r="E1014" s="70" t="s">
        <v>271</v>
      </c>
      <c r="F1014" s="70" t="s">
        <v>1671</v>
      </c>
      <c r="G1014" s="70" t="s">
        <v>1673</v>
      </c>
      <c r="H1014" s="136">
        <v>1017319.9</v>
      </c>
      <c r="I1014" s="30">
        <v>1023</v>
      </c>
      <c r="J1014" s="72" t="s">
        <v>2344</v>
      </c>
    </row>
    <row r="1015" spans="2:10" ht="23">
      <c r="B1015" s="69">
        <v>45230</v>
      </c>
      <c r="C1015" s="70" t="s">
        <v>1669</v>
      </c>
      <c r="D1015" s="101" t="s">
        <v>270</v>
      </c>
      <c r="E1015" s="70" t="s">
        <v>622</v>
      </c>
      <c r="F1015" s="70" t="s">
        <v>1671</v>
      </c>
      <c r="G1015" s="70" t="s">
        <v>1674</v>
      </c>
      <c r="H1015" s="71">
        <v>949994.1</v>
      </c>
      <c r="I1015" s="30">
        <v>1023</v>
      </c>
      <c r="J1015" s="72">
        <v>327</v>
      </c>
    </row>
    <row r="1016" spans="2:10" ht="23">
      <c r="B1016" s="69">
        <v>45230</v>
      </c>
      <c r="C1016" s="70" t="s">
        <v>1669</v>
      </c>
      <c r="D1016" s="101" t="s">
        <v>270</v>
      </c>
      <c r="E1016" s="70" t="s">
        <v>622</v>
      </c>
      <c r="F1016" s="70" t="s">
        <v>1671</v>
      </c>
      <c r="G1016" s="70" t="s">
        <v>1675</v>
      </c>
      <c r="H1016" s="71">
        <v>762532.31</v>
      </c>
      <c r="I1016" s="30">
        <v>1023</v>
      </c>
      <c r="J1016" s="72">
        <v>327</v>
      </c>
    </row>
    <row r="1017" spans="2:10" ht="23">
      <c r="B1017" s="69">
        <v>45230</v>
      </c>
      <c r="C1017" s="70" t="s">
        <v>1669</v>
      </c>
      <c r="D1017" s="101" t="s">
        <v>270</v>
      </c>
      <c r="E1017" s="70" t="s">
        <v>622</v>
      </c>
      <c r="F1017" s="70" t="s">
        <v>1671</v>
      </c>
      <c r="G1017" s="70" t="s">
        <v>1676</v>
      </c>
      <c r="H1017" s="71">
        <v>696667.61</v>
      </c>
      <c r="I1017" s="30">
        <v>1023</v>
      </c>
      <c r="J1017" s="72">
        <v>327</v>
      </c>
    </row>
    <row r="1018" spans="2:10" ht="23">
      <c r="B1018" s="69">
        <v>45230</v>
      </c>
      <c r="C1018" s="70" t="s">
        <v>1669</v>
      </c>
      <c r="D1018" s="101" t="s">
        <v>270</v>
      </c>
      <c r="E1018" s="70" t="s">
        <v>622</v>
      </c>
      <c r="F1018" s="70" t="s">
        <v>1671</v>
      </c>
      <c r="G1018" s="70" t="s">
        <v>1228</v>
      </c>
      <c r="H1018" s="71">
        <v>445857.74</v>
      </c>
      <c r="I1018" s="30">
        <v>1023</v>
      </c>
      <c r="J1018" s="72">
        <v>327</v>
      </c>
    </row>
    <row r="1019" spans="2:10" ht="23">
      <c r="B1019" s="69">
        <v>45230</v>
      </c>
      <c r="C1019" s="70" t="s">
        <v>1669</v>
      </c>
      <c r="D1019" s="101" t="s">
        <v>270</v>
      </c>
      <c r="E1019" s="70" t="s">
        <v>622</v>
      </c>
      <c r="F1019" s="70" t="s">
        <v>1671</v>
      </c>
      <c r="G1019" s="70" t="s">
        <v>150</v>
      </c>
      <c r="H1019" s="71">
        <v>371406</v>
      </c>
      <c r="I1019" s="30">
        <v>1023</v>
      </c>
      <c r="J1019" s="72">
        <v>327</v>
      </c>
    </row>
    <row r="1020" spans="2:10" ht="23">
      <c r="B1020" s="69">
        <v>45230</v>
      </c>
      <c r="C1020" s="70" t="s">
        <v>1677</v>
      </c>
      <c r="D1020" s="101" t="s">
        <v>640</v>
      </c>
      <c r="E1020" s="70" t="s">
        <v>622</v>
      </c>
      <c r="F1020" s="70" t="s">
        <v>1343</v>
      </c>
      <c r="G1020" s="70" t="s">
        <v>1222</v>
      </c>
      <c r="H1020" s="71">
        <v>4035202.61</v>
      </c>
      <c r="I1020" s="30">
        <v>1023</v>
      </c>
      <c r="J1020" s="72" t="s">
        <v>2438</v>
      </c>
    </row>
    <row r="1021" spans="2:10" ht="23">
      <c r="B1021" s="69">
        <v>45230</v>
      </c>
      <c r="C1021" s="70" t="s">
        <v>1678</v>
      </c>
      <c r="D1021" s="101" t="s">
        <v>740</v>
      </c>
      <c r="E1021" s="70" t="s">
        <v>633</v>
      </c>
      <c r="F1021" s="70" t="s">
        <v>1521</v>
      </c>
      <c r="G1021" s="70" t="s">
        <v>1679</v>
      </c>
      <c r="H1021" s="71">
        <v>2111042989.29</v>
      </c>
      <c r="I1021" s="30">
        <v>1023</v>
      </c>
      <c r="J1021" s="72" t="s">
        <v>870</v>
      </c>
    </row>
    <row r="1022" spans="2:10" ht="23">
      <c r="B1022" s="69">
        <v>45230</v>
      </c>
      <c r="C1022" s="70" t="s">
        <v>1680</v>
      </c>
      <c r="D1022" s="101" t="s">
        <v>1516</v>
      </c>
      <c r="E1022" s="70" t="s">
        <v>308</v>
      </c>
      <c r="F1022" s="70" t="s">
        <v>1348</v>
      </c>
      <c r="G1022" s="70" t="s">
        <v>1681</v>
      </c>
      <c r="H1022" s="71">
        <v>703740000</v>
      </c>
      <c r="I1022" s="30">
        <v>1023</v>
      </c>
      <c r="J1022" s="72" t="s">
        <v>2423</v>
      </c>
    </row>
    <row r="1023" spans="2:10" ht="23">
      <c r="B1023" s="69">
        <v>45230</v>
      </c>
      <c r="C1023" s="70" t="s">
        <v>1677</v>
      </c>
      <c r="D1023" s="101" t="s">
        <v>653</v>
      </c>
      <c r="E1023" s="70" t="s">
        <v>622</v>
      </c>
      <c r="F1023" s="70" t="s">
        <v>1221</v>
      </c>
      <c r="G1023" s="70" t="s">
        <v>1222</v>
      </c>
      <c r="H1023" s="71">
        <v>232496.12</v>
      </c>
      <c r="I1023" s="30">
        <v>1023</v>
      </c>
      <c r="J1023" s="72" t="s">
        <v>2438</v>
      </c>
    </row>
    <row r="1024" spans="2:10" ht="23">
      <c r="B1024" s="69">
        <v>45230</v>
      </c>
      <c r="C1024" s="70" t="s">
        <v>1677</v>
      </c>
      <c r="D1024" s="101" t="s">
        <v>655</v>
      </c>
      <c r="E1024" s="70" t="s">
        <v>622</v>
      </c>
      <c r="F1024" s="70" t="s">
        <v>1221</v>
      </c>
      <c r="G1024" s="70" t="s">
        <v>1222</v>
      </c>
      <c r="H1024" s="71">
        <v>1658472.3</v>
      </c>
      <c r="I1024" s="30">
        <v>1023</v>
      </c>
      <c r="J1024" s="72" t="s">
        <v>2438</v>
      </c>
    </row>
    <row r="1025" spans="2:10">
      <c r="B1025" s="69">
        <v>45230</v>
      </c>
      <c r="C1025" s="70" t="s">
        <v>1660</v>
      </c>
      <c r="D1025" s="101">
        <v>316204005007</v>
      </c>
      <c r="E1025" s="70" t="s">
        <v>308</v>
      </c>
      <c r="F1025" s="70" t="s">
        <v>1661</v>
      </c>
      <c r="G1025" s="70" t="s">
        <v>133</v>
      </c>
      <c r="H1025" s="136">
        <v>318126000</v>
      </c>
      <c r="I1025" s="30">
        <v>1023</v>
      </c>
      <c r="J1025" s="30">
        <v>317</v>
      </c>
    </row>
    <row r="1026" spans="2:10" ht="23">
      <c r="B1026" s="69">
        <v>45230</v>
      </c>
      <c r="C1026" s="70" t="s">
        <v>1677</v>
      </c>
      <c r="D1026" s="101" t="s">
        <v>663</v>
      </c>
      <c r="E1026" s="70" t="s">
        <v>622</v>
      </c>
      <c r="F1026" s="70" t="s">
        <v>1221</v>
      </c>
      <c r="G1026" s="70" t="s">
        <v>1222</v>
      </c>
      <c r="H1026" s="71">
        <v>201496.63</v>
      </c>
      <c r="I1026" s="30">
        <v>1023</v>
      </c>
      <c r="J1026" s="72" t="s">
        <v>2438</v>
      </c>
    </row>
    <row r="1027" spans="2:10" ht="23">
      <c r="B1027" s="69">
        <v>45230</v>
      </c>
      <c r="C1027" s="70" t="s">
        <v>1677</v>
      </c>
      <c r="D1027" s="101" t="s">
        <v>931</v>
      </c>
      <c r="E1027" s="70" t="s">
        <v>622</v>
      </c>
      <c r="F1027" s="70" t="s">
        <v>1221</v>
      </c>
      <c r="G1027" s="70" t="s">
        <v>1222</v>
      </c>
      <c r="H1027" s="71">
        <v>77498.710000000006</v>
      </c>
      <c r="I1027" s="30">
        <v>1023</v>
      </c>
      <c r="J1027" s="72" t="s">
        <v>2438</v>
      </c>
    </row>
    <row r="1028" spans="2:10" ht="23">
      <c r="B1028" s="69">
        <v>45230</v>
      </c>
      <c r="C1028" s="70" t="s">
        <v>1682</v>
      </c>
      <c r="D1028" s="101">
        <v>316204005010</v>
      </c>
      <c r="E1028" s="70" t="s">
        <v>308</v>
      </c>
      <c r="F1028" s="70" t="s">
        <v>1683</v>
      </c>
      <c r="G1028" s="70" t="s">
        <v>1684</v>
      </c>
      <c r="H1028" s="71">
        <v>1345875000</v>
      </c>
      <c r="I1028" s="30">
        <v>1023</v>
      </c>
      <c r="J1028" s="30">
        <v>314</v>
      </c>
    </row>
    <row r="1029" spans="2:10" ht="23">
      <c r="B1029" s="69">
        <v>45230</v>
      </c>
      <c r="C1029" s="70" t="s">
        <v>1677</v>
      </c>
      <c r="D1029" s="101" t="s">
        <v>711</v>
      </c>
      <c r="E1029" s="70" t="s">
        <v>622</v>
      </c>
      <c r="F1029" s="70" t="s">
        <v>1221</v>
      </c>
      <c r="G1029" s="70" t="s">
        <v>1222</v>
      </c>
      <c r="H1029" s="71">
        <v>1177980.33</v>
      </c>
      <c r="I1029" s="30">
        <v>1023</v>
      </c>
      <c r="J1029" s="72" t="s">
        <v>2438</v>
      </c>
    </row>
    <row r="1030" spans="2:10" ht="23">
      <c r="B1030" s="69">
        <v>45230</v>
      </c>
      <c r="C1030" s="70" t="s">
        <v>1677</v>
      </c>
      <c r="D1030" s="101" t="s">
        <v>661</v>
      </c>
      <c r="E1030" s="70" t="s">
        <v>622</v>
      </c>
      <c r="F1030" s="70" t="s">
        <v>1221</v>
      </c>
      <c r="G1030" s="70" t="s">
        <v>1222</v>
      </c>
      <c r="H1030" s="71">
        <v>2045965.82</v>
      </c>
      <c r="I1030" s="30">
        <v>1023</v>
      </c>
      <c r="J1030" s="72" t="s">
        <v>2438</v>
      </c>
    </row>
    <row r="1031" spans="2:10" ht="34.5">
      <c r="B1031" s="69">
        <v>45230</v>
      </c>
      <c r="C1031" s="70" t="s">
        <v>1685</v>
      </c>
      <c r="D1031" s="101" t="s">
        <v>777</v>
      </c>
      <c r="E1031" s="70" t="s">
        <v>308</v>
      </c>
      <c r="F1031" s="70" t="s">
        <v>1164</v>
      </c>
      <c r="G1031" s="70" t="s">
        <v>1686</v>
      </c>
      <c r="H1031" s="163">
        <v>1214734623</v>
      </c>
      <c r="I1031" s="30">
        <v>1023</v>
      </c>
      <c r="J1031" s="30">
        <v>22</v>
      </c>
    </row>
    <row r="1032" spans="2:10" ht="34.5">
      <c r="B1032" s="69">
        <v>45230</v>
      </c>
      <c r="C1032" s="70" t="s">
        <v>1687</v>
      </c>
      <c r="D1032" s="101" t="s">
        <v>777</v>
      </c>
      <c r="E1032" s="70" t="s">
        <v>308</v>
      </c>
      <c r="F1032" s="70" t="s">
        <v>1164</v>
      </c>
      <c r="G1032" s="70" t="s">
        <v>1688</v>
      </c>
      <c r="H1032" s="136">
        <v>415142476</v>
      </c>
      <c r="I1032" s="30">
        <v>1023</v>
      </c>
      <c r="J1032" s="30">
        <v>22</v>
      </c>
    </row>
    <row r="1033" spans="2:10" ht="34.5">
      <c r="B1033" s="69">
        <v>45230</v>
      </c>
      <c r="C1033" s="70" t="s">
        <v>1685</v>
      </c>
      <c r="D1033" s="101" t="s">
        <v>777</v>
      </c>
      <c r="E1033" s="70" t="s">
        <v>308</v>
      </c>
      <c r="F1033" s="70" t="s">
        <v>1164</v>
      </c>
      <c r="G1033" s="70" t="s">
        <v>1689</v>
      </c>
      <c r="H1033" s="163">
        <v>1443479658</v>
      </c>
      <c r="I1033" s="30">
        <v>1023</v>
      </c>
      <c r="J1033" s="30">
        <v>22</v>
      </c>
    </row>
    <row r="1034" spans="2:10" ht="34.5">
      <c r="B1034" s="69">
        <v>45230</v>
      </c>
      <c r="C1034" s="70" t="s">
        <v>1687</v>
      </c>
      <c r="D1034" s="101" t="s">
        <v>777</v>
      </c>
      <c r="E1034" s="70" t="s">
        <v>308</v>
      </c>
      <c r="F1034" s="70" t="s">
        <v>1164</v>
      </c>
      <c r="G1034" s="70" t="s">
        <v>1690</v>
      </c>
      <c r="H1034" s="136">
        <v>178427921</v>
      </c>
      <c r="I1034" s="30">
        <v>1023</v>
      </c>
      <c r="J1034" s="30">
        <v>22</v>
      </c>
    </row>
    <row r="1035" spans="2:10" ht="34.5">
      <c r="B1035" s="69">
        <v>45230</v>
      </c>
      <c r="C1035" s="70" t="s">
        <v>1691</v>
      </c>
      <c r="D1035" s="101" t="s">
        <v>777</v>
      </c>
      <c r="E1035" s="70" t="s">
        <v>308</v>
      </c>
      <c r="F1035" s="70" t="s">
        <v>1692</v>
      </c>
      <c r="G1035" s="70" t="s">
        <v>1693</v>
      </c>
      <c r="H1035" s="166">
        <v>512793538</v>
      </c>
      <c r="I1035" s="30">
        <v>1023</v>
      </c>
      <c r="J1035" s="30">
        <v>22</v>
      </c>
    </row>
    <row r="1036" spans="2:10" ht="34.5">
      <c r="B1036" s="69">
        <v>45230</v>
      </c>
      <c r="C1036" s="70" t="s">
        <v>1694</v>
      </c>
      <c r="D1036" s="101" t="s">
        <v>777</v>
      </c>
      <c r="E1036" s="70" t="s">
        <v>308</v>
      </c>
      <c r="F1036" s="70" t="s">
        <v>1164</v>
      </c>
      <c r="G1036" s="70" t="s">
        <v>1695</v>
      </c>
      <c r="H1036" s="167">
        <v>411638053</v>
      </c>
      <c r="I1036" s="30">
        <v>1023</v>
      </c>
      <c r="J1036" s="30">
        <v>22</v>
      </c>
    </row>
    <row r="1037" spans="2:10">
      <c r="B1037" s="69">
        <v>45260</v>
      </c>
      <c r="C1037" s="70" t="s">
        <v>1696</v>
      </c>
      <c r="D1037" s="101" t="s">
        <v>270</v>
      </c>
      <c r="E1037" s="70" t="s">
        <v>514</v>
      </c>
      <c r="F1037" s="70" t="s">
        <v>1697</v>
      </c>
      <c r="G1037" s="70" t="s">
        <v>1698</v>
      </c>
      <c r="H1037" s="71">
        <v>15000000</v>
      </c>
      <c r="I1037" s="30">
        <v>1123</v>
      </c>
      <c r="J1037" s="72" t="s">
        <v>1168</v>
      </c>
    </row>
    <row r="1038" spans="2:10">
      <c r="B1038" s="69">
        <v>45260</v>
      </c>
      <c r="C1038" s="70" t="s">
        <v>1696</v>
      </c>
      <c r="D1038" s="101" t="s">
        <v>270</v>
      </c>
      <c r="E1038" s="70" t="s">
        <v>514</v>
      </c>
      <c r="F1038" s="70" t="s">
        <v>1699</v>
      </c>
      <c r="G1038" s="70" t="s">
        <v>1700</v>
      </c>
      <c r="H1038" s="71">
        <v>820000</v>
      </c>
      <c r="I1038" s="30">
        <v>1123</v>
      </c>
      <c r="J1038" s="72" t="s">
        <v>1168</v>
      </c>
    </row>
    <row r="1039" spans="2:10" ht="23">
      <c r="B1039" s="69">
        <v>45260</v>
      </c>
      <c r="C1039" s="70" t="s">
        <v>1701</v>
      </c>
      <c r="D1039" s="101" t="s">
        <v>270</v>
      </c>
      <c r="E1039" s="70" t="s">
        <v>308</v>
      </c>
      <c r="F1039" s="70" t="s">
        <v>448</v>
      </c>
      <c r="G1039" s="70" t="s">
        <v>1702</v>
      </c>
      <c r="H1039" s="136">
        <v>91205184</v>
      </c>
      <c r="I1039" s="30">
        <v>1123</v>
      </c>
      <c r="J1039" s="72" t="s">
        <v>535</v>
      </c>
    </row>
    <row r="1040" spans="2:10" ht="23">
      <c r="B1040" s="69">
        <v>45260</v>
      </c>
      <c r="C1040" s="70" t="s">
        <v>1701</v>
      </c>
      <c r="D1040" s="101" t="s">
        <v>270</v>
      </c>
      <c r="E1040" s="70" t="s">
        <v>308</v>
      </c>
      <c r="F1040" s="70" t="s">
        <v>1703</v>
      </c>
      <c r="G1040" s="70" t="s">
        <v>1702</v>
      </c>
      <c r="H1040" s="136">
        <v>7524428</v>
      </c>
      <c r="I1040" s="30">
        <v>1123</v>
      </c>
      <c r="J1040" s="72" t="s">
        <v>535</v>
      </c>
    </row>
    <row r="1041" spans="2:10" ht="23">
      <c r="B1041" s="69">
        <v>45260</v>
      </c>
      <c r="C1041" s="70" t="s">
        <v>1704</v>
      </c>
      <c r="D1041" s="101" t="s">
        <v>270</v>
      </c>
      <c r="E1041" s="70" t="s">
        <v>308</v>
      </c>
      <c r="F1041" s="70" t="s">
        <v>448</v>
      </c>
      <c r="G1041" s="70" t="s">
        <v>1705</v>
      </c>
      <c r="H1041" s="137">
        <v>728418511</v>
      </c>
      <c r="I1041" s="30">
        <v>1123</v>
      </c>
      <c r="J1041" s="72" t="s">
        <v>535</v>
      </c>
    </row>
    <row r="1042" spans="2:10" ht="23">
      <c r="B1042" s="69">
        <v>45260</v>
      </c>
      <c r="C1042" s="70" t="s">
        <v>1704</v>
      </c>
      <c r="D1042" s="101" t="s">
        <v>270</v>
      </c>
      <c r="E1042" s="70" t="s">
        <v>308</v>
      </c>
      <c r="F1042" s="70" t="s">
        <v>1703</v>
      </c>
      <c r="G1042" s="70" t="s">
        <v>1705</v>
      </c>
      <c r="H1042" s="137">
        <v>60094527</v>
      </c>
      <c r="I1042" s="30">
        <v>1123</v>
      </c>
      <c r="J1042" s="72" t="s">
        <v>535</v>
      </c>
    </row>
    <row r="1043" spans="2:10">
      <c r="B1043" s="69">
        <v>45260</v>
      </c>
      <c r="C1043" s="70" t="s">
        <v>1706</v>
      </c>
      <c r="D1043" s="101" t="s">
        <v>270</v>
      </c>
      <c r="E1043" s="70" t="s">
        <v>514</v>
      </c>
      <c r="F1043" s="70" t="s">
        <v>1707</v>
      </c>
      <c r="G1043" s="209" t="s">
        <v>2347</v>
      </c>
      <c r="H1043" s="71">
        <v>2578837.48</v>
      </c>
      <c r="I1043" s="30">
        <v>1123</v>
      </c>
      <c r="J1043" s="72" t="s">
        <v>1168</v>
      </c>
    </row>
    <row r="1044" spans="2:10" ht="23">
      <c r="B1044" s="69">
        <v>45260</v>
      </c>
      <c r="C1044" s="70" t="s">
        <v>1708</v>
      </c>
      <c r="D1044" s="101" t="s">
        <v>270</v>
      </c>
      <c r="E1044" s="70" t="s">
        <v>622</v>
      </c>
      <c r="F1044" s="70" t="s">
        <v>1709</v>
      </c>
      <c r="G1044" s="70" t="s">
        <v>1092</v>
      </c>
      <c r="H1044" s="71">
        <v>115575547.92</v>
      </c>
      <c r="I1044" s="30">
        <v>1123</v>
      </c>
      <c r="J1044" s="72">
        <v>327</v>
      </c>
    </row>
    <row r="1045" spans="2:10" ht="23">
      <c r="B1045" s="69">
        <v>45260</v>
      </c>
      <c r="C1045" s="70" t="s">
        <v>1708</v>
      </c>
      <c r="D1045" s="101" t="s">
        <v>270</v>
      </c>
      <c r="E1045" s="70" t="s">
        <v>622</v>
      </c>
      <c r="F1045" s="70" t="s">
        <v>1709</v>
      </c>
      <c r="G1045" s="70" t="s">
        <v>1389</v>
      </c>
      <c r="H1045" s="136">
        <v>111764437.7</v>
      </c>
      <c r="I1045" s="30">
        <v>1123</v>
      </c>
      <c r="J1045" s="72" t="s">
        <v>2344</v>
      </c>
    </row>
    <row r="1046" spans="2:10" ht="23">
      <c r="B1046" s="69">
        <v>45260</v>
      </c>
      <c r="C1046" s="70" t="s">
        <v>1708</v>
      </c>
      <c r="D1046" s="101" t="s">
        <v>270</v>
      </c>
      <c r="E1046" s="70" t="s">
        <v>514</v>
      </c>
      <c r="F1046" s="70" t="s">
        <v>1709</v>
      </c>
      <c r="G1046" s="70" t="s">
        <v>1393</v>
      </c>
      <c r="H1046" s="136">
        <v>64427573.149999999</v>
      </c>
      <c r="I1046" s="30">
        <v>1123</v>
      </c>
      <c r="J1046" s="72" t="s">
        <v>2344</v>
      </c>
    </row>
    <row r="1047" spans="2:10" ht="23">
      <c r="B1047" s="69">
        <v>45260</v>
      </c>
      <c r="C1047" s="70" t="s">
        <v>1708</v>
      </c>
      <c r="D1047" s="101" t="s">
        <v>270</v>
      </c>
      <c r="E1047" s="70" t="s">
        <v>622</v>
      </c>
      <c r="F1047" s="70" t="s">
        <v>1709</v>
      </c>
      <c r="G1047" s="70" t="s">
        <v>1240</v>
      </c>
      <c r="H1047" s="71">
        <v>48029922</v>
      </c>
      <c r="I1047" s="30">
        <v>1123</v>
      </c>
      <c r="J1047" s="72">
        <v>327</v>
      </c>
    </row>
    <row r="1048" spans="2:10" ht="23">
      <c r="B1048" s="69">
        <v>45260</v>
      </c>
      <c r="C1048" s="70" t="s">
        <v>1708</v>
      </c>
      <c r="D1048" s="101" t="s">
        <v>270</v>
      </c>
      <c r="E1048" s="70" t="s">
        <v>622</v>
      </c>
      <c r="F1048" s="70" t="s">
        <v>1709</v>
      </c>
      <c r="G1048" s="70" t="s">
        <v>1710</v>
      </c>
      <c r="H1048" s="71">
        <v>29068458</v>
      </c>
      <c r="I1048" s="30">
        <v>1123</v>
      </c>
      <c r="J1048" s="72">
        <v>327</v>
      </c>
    </row>
    <row r="1049" spans="2:10" ht="23">
      <c r="B1049" s="69">
        <v>45260</v>
      </c>
      <c r="C1049" s="70" t="s">
        <v>1708</v>
      </c>
      <c r="D1049" s="101" t="s">
        <v>270</v>
      </c>
      <c r="E1049" s="70" t="s">
        <v>514</v>
      </c>
      <c r="F1049" s="70" t="s">
        <v>1709</v>
      </c>
      <c r="G1049" s="70" t="s">
        <v>1390</v>
      </c>
      <c r="H1049" s="136">
        <v>28994426.52</v>
      </c>
      <c r="I1049" s="30">
        <v>1123</v>
      </c>
      <c r="J1049" s="72" t="s">
        <v>2344</v>
      </c>
    </row>
    <row r="1050" spans="2:10" ht="23">
      <c r="B1050" s="69">
        <v>45260</v>
      </c>
      <c r="C1050" s="70" t="s">
        <v>1708</v>
      </c>
      <c r="D1050" s="101" t="s">
        <v>270</v>
      </c>
      <c r="E1050" s="70" t="s">
        <v>514</v>
      </c>
      <c r="F1050" s="70" t="s">
        <v>1709</v>
      </c>
      <c r="G1050" s="70" t="s">
        <v>1392</v>
      </c>
      <c r="H1050" s="71">
        <v>19406742.57</v>
      </c>
      <c r="I1050" s="30">
        <v>1123</v>
      </c>
      <c r="J1050" s="72" t="s">
        <v>2344</v>
      </c>
    </row>
    <row r="1051" spans="2:10" ht="23">
      <c r="B1051" s="69">
        <v>45260</v>
      </c>
      <c r="C1051" s="70" t="s">
        <v>1708</v>
      </c>
      <c r="D1051" s="101" t="s">
        <v>270</v>
      </c>
      <c r="E1051" s="70" t="s">
        <v>622</v>
      </c>
      <c r="F1051" s="70" t="s">
        <v>1709</v>
      </c>
      <c r="G1051" s="70" t="s">
        <v>1239</v>
      </c>
      <c r="H1051" s="71">
        <v>17229838.969999999</v>
      </c>
      <c r="I1051" s="30">
        <v>1123</v>
      </c>
      <c r="J1051" s="72">
        <v>327</v>
      </c>
    </row>
    <row r="1052" spans="2:10" ht="23">
      <c r="B1052" s="69">
        <v>45260</v>
      </c>
      <c r="C1052" s="70" t="s">
        <v>1708</v>
      </c>
      <c r="D1052" s="101" t="s">
        <v>270</v>
      </c>
      <c r="E1052" s="70" t="s">
        <v>622</v>
      </c>
      <c r="F1052" s="70" t="s">
        <v>1709</v>
      </c>
      <c r="G1052" s="70" t="s">
        <v>1675</v>
      </c>
      <c r="H1052" s="71">
        <v>8415956.2200000007</v>
      </c>
      <c r="I1052" s="30">
        <v>1123</v>
      </c>
      <c r="J1052" s="72">
        <v>327</v>
      </c>
    </row>
    <row r="1053" spans="2:10" ht="23">
      <c r="B1053" s="69">
        <v>45260</v>
      </c>
      <c r="C1053" s="70" t="s">
        <v>1708</v>
      </c>
      <c r="D1053" s="101" t="s">
        <v>270</v>
      </c>
      <c r="E1053" s="70" t="s">
        <v>622</v>
      </c>
      <c r="F1053" s="70" t="s">
        <v>1709</v>
      </c>
      <c r="G1053" s="70" t="s">
        <v>1676</v>
      </c>
      <c r="H1053" s="71">
        <v>7829311.54</v>
      </c>
      <c r="I1053" s="30">
        <v>1123</v>
      </c>
      <c r="J1053" s="72">
        <v>327</v>
      </c>
    </row>
    <row r="1054" spans="2:10" ht="23">
      <c r="B1054" s="69">
        <v>45260</v>
      </c>
      <c r="C1054" s="70" t="s">
        <v>1708</v>
      </c>
      <c r="D1054" s="101" t="s">
        <v>270</v>
      </c>
      <c r="E1054" s="70" t="s">
        <v>622</v>
      </c>
      <c r="F1054" s="70" t="s">
        <v>1709</v>
      </c>
      <c r="G1054" s="70" t="s">
        <v>1674</v>
      </c>
      <c r="H1054" s="71">
        <v>6620555.71</v>
      </c>
      <c r="I1054" s="30">
        <v>1123</v>
      </c>
      <c r="J1054" s="72">
        <v>327</v>
      </c>
    </row>
    <row r="1055" spans="2:10" ht="23">
      <c r="B1055" s="69">
        <v>45260</v>
      </c>
      <c r="C1055" s="70" t="s">
        <v>1708</v>
      </c>
      <c r="D1055" s="101" t="s">
        <v>270</v>
      </c>
      <c r="E1055" s="70" t="s">
        <v>622</v>
      </c>
      <c r="F1055" s="70" t="s">
        <v>1709</v>
      </c>
      <c r="G1055" s="70" t="s">
        <v>1225</v>
      </c>
      <c r="H1055" s="71">
        <v>5419459.4199999999</v>
      </c>
      <c r="I1055" s="30">
        <v>1123</v>
      </c>
      <c r="J1055" s="72">
        <v>327</v>
      </c>
    </row>
    <row r="1056" spans="2:10" ht="23">
      <c r="B1056" s="69">
        <v>45260</v>
      </c>
      <c r="C1056" s="70" t="s">
        <v>1708</v>
      </c>
      <c r="D1056" s="101" t="s">
        <v>270</v>
      </c>
      <c r="E1056" s="70" t="s">
        <v>514</v>
      </c>
      <c r="F1056" s="70" t="s">
        <v>1709</v>
      </c>
      <c r="G1056" s="70" t="s">
        <v>1391</v>
      </c>
      <c r="H1056" s="136">
        <v>4962794.41</v>
      </c>
      <c r="I1056" s="30">
        <v>1123</v>
      </c>
      <c r="J1056" s="72" t="s">
        <v>2344</v>
      </c>
    </row>
    <row r="1057" spans="2:10" ht="23">
      <c r="B1057" s="69">
        <v>45260</v>
      </c>
      <c r="C1057" s="70" t="s">
        <v>1708</v>
      </c>
      <c r="D1057" s="101" t="s">
        <v>270</v>
      </c>
      <c r="E1057" s="70" t="s">
        <v>622</v>
      </c>
      <c r="F1057" s="70" t="s">
        <v>1709</v>
      </c>
      <c r="G1057" s="70" t="s">
        <v>1229</v>
      </c>
      <c r="H1057" s="71">
        <v>4175193.28</v>
      </c>
      <c r="I1057" s="30">
        <v>1123</v>
      </c>
      <c r="J1057" s="44">
        <v>328</v>
      </c>
    </row>
    <row r="1058" spans="2:10" ht="23">
      <c r="B1058" s="69">
        <v>45260</v>
      </c>
      <c r="C1058" s="70" t="s">
        <v>1708</v>
      </c>
      <c r="D1058" s="101" t="s">
        <v>270</v>
      </c>
      <c r="E1058" s="70" t="s">
        <v>622</v>
      </c>
      <c r="F1058" s="70" t="s">
        <v>1709</v>
      </c>
      <c r="G1058" s="70" t="s">
        <v>1234</v>
      </c>
      <c r="H1058" s="71">
        <v>3979906.98</v>
      </c>
      <c r="I1058" s="30">
        <v>1123</v>
      </c>
      <c r="J1058" s="44">
        <v>328</v>
      </c>
    </row>
    <row r="1059" spans="2:10" ht="23">
      <c r="B1059" s="69">
        <v>45260</v>
      </c>
      <c r="C1059" s="70" t="s">
        <v>1708</v>
      </c>
      <c r="D1059" s="101" t="s">
        <v>270</v>
      </c>
      <c r="E1059" s="70" t="s">
        <v>622</v>
      </c>
      <c r="F1059" s="70" t="s">
        <v>1709</v>
      </c>
      <c r="G1059" s="70" t="s">
        <v>1711</v>
      </c>
      <c r="H1059" s="71">
        <v>3731265</v>
      </c>
      <c r="I1059" s="30">
        <v>1123</v>
      </c>
      <c r="J1059" s="72">
        <v>327</v>
      </c>
    </row>
    <row r="1060" spans="2:10" ht="23">
      <c r="B1060" s="69">
        <v>45260</v>
      </c>
      <c r="C1060" s="70" t="s">
        <v>1708</v>
      </c>
      <c r="D1060" s="101" t="s">
        <v>270</v>
      </c>
      <c r="E1060" s="70" t="s">
        <v>622</v>
      </c>
      <c r="F1060" s="70" t="s">
        <v>1709</v>
      </c>
      <c r="G1060" s="70" t="s">
        <v>1238</v>
      </c>
      <c r="H1060" s="71">
        <v>2648141.3199999998</v>
      </c>
      <c r="I1060" s="30">
        <v>1123</v>
      </c>
      <c r="J1060" s="44">
        <v>328</v>
      </c>
    </row>
    <row r="1061" spans="2:10" ht="23">
      <c r="B1061" s="69">
        <v>45260</v>
      </c>
      <c r="C1061" s="70" t="s">
        <v>1708</v>
      </c>
      <c r="D1061" s="101" t="s">
        <v>270</v>
      </c>
      <c r="E1061" s="70" t="s">
        <v>622</v>
      </c>
      <c r="F1061" s="70" t="s">
        <v>1709</v>
      </c>
      <c r="G1061" s="70" t="s">
        <v>1232</v>
      </c>
      <c r="H1061" s="71">
        <v>1991382.94</v>
      </c>
      <c r="I1061" s="30">
        <v>1123</v>
      </c>
      <c r="J1061" s="72">
        <v>327</v>
      </c>
    </row>
    <row r="1062" spans="2:10" ht="23">
      <c r="B1062" s="69">
        <v>45260</v>
      </c>
      <c r="C1062" s="70" t="s">
        <v>1708</v>
      </c>
      <c r="D1062" s="101" t="s">
        <v>270</v>
      </c>
      <c r="E1062" s="70" t="s">
        <v>622</v>
      </c>
      <c r="F1062" s="70" t="s">
        <v>1709</v>
      </c>
      <c r="G1062" s="70" t="s">
        <v>1338</v>
      </c>
      <c r="H1062" s="71">
        <v>1808084.68</v>
      </c>
      <c r="I1062" s="30">
        <v>1123</v>
      </c>
      <c r="J1062" s="44">
        <v>328</v>
      </c>
    </row>
    <row r="1063" spans="2:10" ht="23">
      <c r="B1063" s="69">
        <v>45260</v>
      </c>
      <c r="C1063" s="70" t="s">
        <v>1708</v>
      </c>
      <c r="D1063" s="101" t="s">
        <v>270</v>
      </c>
      <c r="E1063" s="70" t="s">
        <v>622</v>
      </c>
      <c r="F1063" s="70" t="s">
        <v>1709</v>
      </c>
      <c r="G1063" s="70" t="s">
        <v>1228</v>
      </c>
      <c r="H1063" s="71">
        <v>1462283.21</v>
      </c>
      <c r="I1063" s="30">
        <v>1123</v>
      </c>
      <c r="J1063" s="72">
        <v>327</v>
      </c>
    </row>
    <row r="1064" spans="2:10" ht="23">
      <c r="B1064" s="69">
        <v>45260</v>
      </c>
      <c r="C1064" s="70" t="s">
        <v>1708</v>
      </c>
      <c r="D1064" s="101" t="s">
        <v>270</v>
      </c>
      <c r="E1064" s="70" t="s">
        <v>622</v>
      </c>
      <c r="F1064" s="70" t="s">
        <v>1709</v>
      </c>
      <c r="G1064" s="70" t="s">
        <v>1233</v>
      </c>
      <c r="H1064" s="71">
        <v>1228745.01</v>
      </c>
      <c r="I1064" s="30">
        <v>1123</v>
      </c>
      <c r="J1064" s="44">
        <v>328</v>
      </c>
    </row>
    <row r="1065" spans="2:10" ht="23">
      <c r="B1065" s="69">
        <v>45260</v>
      </c>
      <c r="C1065" s="70" t="s">
        <v>1708</v>
      </c>
      <c r="D1065" s="101" t="s">
        <v>270</v>
      </c>
      <c r="E1065" s="70" t="s">
        <v>514</v>
      </c>
      <c r="F1065" s="70" t="s">
        <v>1709</v>
      </c>
      <c r="G1065" s="70" t="s">
        <v>1673</v>
      </c>
      <c r="H1065" s="136">
        <v>948722.4</v>
      </c>
      <c r="I1065" s="30">
        <v>1123</v>
      </c>
      <c r="J1065" s="72" t="s">
        <v>2344</v>
      </c>
    </row>
    <row r="1066" spans="2:10">
      <c r="B1066" s="69">
        <v>45260</v>
      </c>
      <c r="C1066" s="70" t="s">
        <v>1712</v>
      </c>
      <c r="D1066" s="101" t="s">
        <v>640</v>
      </c>
      <c r="E1066" s="70" t="s">
        <v>514</v>
      </c>
      <c r="F1066" s="70" t="s">
        <v>908</v>
      </c>
      <c r="G1066" s="70" t="s">
        <v>1713</v>
      </c>
      <c r="H1066" s="71">
        <v>48000</v>
      </c>
      <c r="I1066" s="30">
        <v>1123</v>
      </c>
      <c r="J1066" s="44">
        <v>330</v>
      </c>
    </row>
    <row r="1067" spans="2:10" ht="23">
      <c r="B1067" s="69">
        <v>45260</v>
      </c>
      <c r="C1067" s="70" t="s">
        <v>1714</v>
      </c>
      <c r="D1067" s="101" t="s">
        <v>640</v>
      </c>
      <c r="E1067" s="70" t="s">
        <v>514</v>
      </c>
      <c r="F1067" s="70" t="s">
        <v>1715</v>
      </c>
      <c r="G1067" s="70" t="s">
        <v>1716</v>
      </c>
      <c r="H1067" s="71">
        <v>377949</v>
      </c>
      <c r="I1067" s="30">
        <v>1123</v>
      </c>
      <c r="J1067" s="30">
        <v>329</v>
      </c>
    </row>
    <row r="1068" spans="2:10">
      <c r="B1068" s="69">
        <v>45260</v>
      </c>
      <c r="C1068" s="70" t="s">
        <v>1696</v>
      </c>
      <c r="D1068" s="101" t="s">
        <v>640</v>
      </c>
      <c r="E1068" s="70" t="s">
        <v>271</v>
      </c>
      <c r="F1068" s="70" t="s">
        <v>1717</v>
      </c>
      <c r="G1068" s="70" t="s">
        <v>1718</v>
      </c>
      <c r="H1068" s="71">
        <v>4488000</v>
      </c>
      <c r="I1068" s="30">
        <v>1123</v>
      </c>
      <c r="J1068" s="30">
        <v>24</v>
      </c>
    </row>
    <row r="1069" spans="2:10">
      <c r="B1069" s="69">
        <v>45260</v>
      </c>
      <c r="C1069" s="70" t="s">
        <v>1696</v>
      </c>
      <c r="D1069" s="101" t="s">
        <v>640</v>
      </c>
      <c r="E1069" s="70" t="s">
        <v>514</v>
      </c>
      <c r="F1069" s="70" t="s">
        <v>1719</v>
      </c>
      <c r="G1069" s="70" t="s">
        <v>1720</v>
      </c>
      <c r="H1069" s="71">
        <v>520000</v>
      </c>
      <c r="I1069" s="30">
        <v>1123</v>
      </c>
      <c r="J1069" s="30">
        <v>24</v>
      </c>
    </row>
    <row r="1070" spans="2:10" ht="23">
      <c r="B1070" s="69">
        <v>45260</v>
      </c>
      <c r="C1070" s="70" t="s">
        <v>1721</v>
      </c>
      <c r="D1070" s="101" t="s">
        <v>640</v>
      </c>
      <c r="E1070" s="70" t="s">
        <v>622</v>
      </c>
      <c r="F1070" s="70" t="s">
        <v>1343</v>
      </c>
      <c r="G1070" s="70" t="s">
        <v>1222</v>
      </c>
      <c r="H1070" s="71">
        <v>4681865.05</v>
      </c>
      <c r="I1070" s="30">
        <v>1123</v>
      </c>
      <c r="J1070" s="72" t="s">
        <v>2438</v>
      </c>
    </row>
    <row r="1071" spans="2:10" ht="23">
      <c r="B1071" s="69">
        <v>45260</v>
      </c>
      <c r="C1071" s="70" t="s">
        <v>1722</v>
      </c>
      <c r="D1071" s="101" t="s">
        <v>740</v>
      </c>
      <c r="E1071" s="70" t="s">
        <v>633</v>
      </c>
      <c r="F1071" s="70" t="s">
        <v>1723</v>
      </c>
      <c r="G1071" s="70" t="s">
        <v>1724</v>
      </c>
      <c r="H1071" s="71">
        <v>391509576.81999999</v>
      </c>
      <c r="I1071" s="30">
        <v>1123</v>
      </c>
      <c r="J1071" s="72" t="s">
        <v>870</v>
      </c>
    </row>
    <row r="1072" spans="2:10" ht="34.5">
      <c r="B1072" s="69">
        <v>45260</v>
      </c>
      <c r="C1072" s="70" t="s">
        <v>1725</v>
      </c>
      <c r="D1072" s="101" t="s">
        <v>650</v>
      </c>
      <c r="E1072" s="70" t="s">
        <v>308</v>
      </c>
      <c r="F1072" s="70" t="s">
        <v>824</v>
      </c>
      <c r="G1072" s="70" t="s">
        <v>1726</v>
      </c>
      <c r="H1072" s="137">
        <v>75079853</v>
      </c>
      <c r="I1072" s="30">
        <v>1123</v>
      </c>
      <c r="J1072" s="30">
        <v>21</v>
      </c>
    </row>
    <row r="1073" spans="2:10" ht="34.5">
      <c r="B1073" s="69">
        <v>45260</v>
      </c>
      <c r="C1073" s="70" t="s">
        <v>1725</v>
      </c>
      <c r="D1073" s="101" t="s">
        <v>650</v>
      </c>
      <c r="E1073" s="70" t="s">
        <v>308</v>
      </c>
      <c r="F1073" s="70" t="s">
        <v>824</v>
      </c>
      <c r="G1073" s="70" t="s">
        <v>1726</v>
      </c>
      <c r="H1073" s="137">
        <v>5550629</v>
      </c>
      <c r="I1073" s="30">
        <v>1123</v>
      </c>
      <c r="J1073" s="30">
        <v>21</v>
      </c>
    </row>
    <row r="1074" spans="2:10" ht="34.5">
      <c r="B1074" s="69">
        <v>45260</v>
      </c>
      <c r="C1074" s="70" t="s">
        <v>1725</v>
      </c>
      <c r="D1074" s="101" t="s">
        <v>650</v>
      </c>
      <c r="E1074" s="70" t="s">
        <v>308</v>
      </c>
      <c r="F1074" s="70" t="s">
        <v>824</v>
      </c>
      <c r="G1074" s="70" t="s">
        <v>1726</v>
      </c>
      <c r="H1074" s="137">
        <v>31373995.739999998</v>
      </c>
      <c r="I1074" s="30">
        <v>1123</v>
      </c>
      <c r="J1074" s="30">
        <v>21</v>
      </c>
    </row>
    <row r="1075" spans="2:10" ht="34.5">
      <c r="B1075" s="69">
        <v>45260</v>
      </c>
      <c r="C1075" s="70" t="s">
        <v>1727</v>
      </c>
      <c r="D1075" s="101" t="s">
        <v>650</v>
      </c>
      <c r="E1075" s="70" t="s">
        <v>308</v>
      </c>
      <c r="F1075" s="70" t="s">
        <v>977</v>
      </c>
      <c r="G1075" s="70" t="s">
        <v>1728</v>
      </c>
      <c r="H1075" s="137">
        <v>24852774</v>
      </c>
      <c r="I1075" s="30">
        <v>1123</v>
      </c>
      <c r="J1075" s="30">
        <v>21</v>
      </c>
    </row>
    <row r="1076" spans="2:10" ht="34.5">
      <c r="B1076" s="69">
        <v>45260</v>
      </c>
      <c r="C1076" s="70" t="s">
        <v>1727</v>
      </c>
      <c r="D1076" s="101" t="s">
        <v>650</v>
      </c>
      <c r="E1076" s="70" t="s">
        <v>308</v>
      </c>
      <c r="F1076" s="70" t="s">
        <v>977</v>
      </c>
      <c r="G1076" s="70" t="s">
        <v>1728</v>
      </c>
      <c r="H1076" s="137">
        <v>234120021.43000001</v>
      </c>
      <c r="I1076" s="30">
        <v>1123</v>
      </c>
      <c r="J1076" s="30">
        <v>21</v>
      </c>
    </row>
    <row r="1077" spans="2:10" ht="34.5">
      <c r="B1077" s="69">
        <v>45260</v>
      </c>
      <c r="C1077" s="70" t="s">
        <v>1725</v>
      </c>
      <c r="D1077" s="101" t="s">
        <v>653</v>
      </c>
      <c r="E1077" s="70" t="s">
        <v>308</v>
      </c>
      <c r="F1077" s="70" t="s">
        <v>824</v>
      </c>
      <c r="G1077" s="70" t="s">
        <v>1726</v>
      </c>
      <c r="H1077" s="137">
        <v>202243599.59</v>
      </c>
      <c r="I1077" s="30">
        <v>1123</v>
      </c>
      <c r="J1077" s="30">
        <v>21</v>
      </c>
    </row>
    <row r="1078" spans="2:10" ht="34.5">
      <c r="B1078" s="69">
        <v>45260</v>
      </c>
      <c r="C1078" s="70" t="s">
        <v>1727</v>
      </c>
      <c r="D1078" s="101" t="s">
        <v>653</v>
      </c>
      <c r="E1078" s="70" t="s">
        <v>308</v>
      </c>
      <c r="F1078" s="70" t="s">
        <v>977</v>
      </c>
      <c r="G1078" s="70" t="s">
        <v>1728</v>
      </c>
      <c r="H1078" s="137">
        <v>87181635.25</v>
      </c>
      <c r="I1078" s="30">
        <v>1123</v>
      </c>
      <c r="J1078" s="30">
        <v>21</v>
      </c>
    </row>
    <row r="1079" spans="2:10" ht="34.5">
      <c r="B1079" s="69">
        <v>45260</v>
      </c>
      <c r="C1079" s="70" t="s">
        <v>1727</v>
      </c>
      <c r="D1079" s="101" t="s">
        <v>653</v>
      </c>
      <c r="E1079" s="70" t="s">
        <v>308</v>
      </c>
      <c r="F1079" s="70" t="s">
        <v>977</v>
      </c>
      <c r="G1079" s="70" t="s">
        <v>1728</v>
      </c>
      <c r="H1079" s="137">
        <v>4664610.4800000004</v>
      </c>
      <c r="I1079" s="30">
        <v>1123</v>
      </c>
      <c r="J1079" s="30">
        <v>21</v>
      </c>
    </row>
    <row r="1080" spans="2:10" ht="34.5">
      <c r="B1080" s="69">
        <v>45260</v>
      </c>
      <c r="C1080" s="70" t="s">
        <v>1725</v>
      </c>
      <c r="D1080" s="101" t="s">
        <v>655</v>
      </c>
      <c r="E1080" s="70" t="s">
        <v>308</v>
      </c>
      <c r="F1080" s="70" t="s">
        <v>824</v>
      </c>
      <c r="G1080" s="70" t="s">
        <v>1726</v>
      </c>
      <c r="H1080" s="137">
        <v>169958929.41</v>
      </c>
      <c r="I1080" s="30">
        <v>1123</v>
      </c>
      <c r="J1080" s="30">
        <v>21</v>
      </c>
    </row>
    <row r="1081" spans="2:10" ht="23">
      <c r="B1081" s="69">
        <v>45260</v>
      </c>
      <c r="C1081" s="70" t="s">
        <v>1721</v>
      </c>
      <c r="D1081" s="101" t="s">
        <v>655</v>
      </c>
      <c r="E1081" s="70" t="s">
        <v>622</v>
      </c>
      <c r="F1081" s="70" t="s">
        <v>1221</v>
      </c>
      <c r="G1081" s="70" t="s">
        <v>1222</v>
      </c>
      <c r="H1081" s="71">
        <v>3629597.42</v>
      </c>
      <c r="I1081" s="30">
        <v>1123</v>
      </c>
      <c r="J1081" s="72" t="s">
        <v>2438</v>
      </c>
    </row>
    <row r="1082" spans="2:10" ht="34.5">
      <c r="B1082" s="69">
        <v>45260</v>
      </c>
      <c r="C1082" s="70" t="s">
        <v>1725</v>
      </c>
      <c r="D1082" s="101" t="s">
        <v>657</v>
      </c>
      <c r="E1082" s="70" t="s">
        <v>308</v>
      </c>
      <c r="F1082" s="70" t="s">
        <v>824</v>
      </c>
      <c r="G1082" s="70" t="s">
        <v>1726</v>
      </c>
      <c r="H1082" s="137">
        <v>210413152.41999999</v>
      </c>
      <c r="I1082" s="30">
        <v>1123</v>
      </c>
      <c r="J1082" s="30">
        <v>21</v>
      </c>
    </row>
    <row r="1083" spans="2:10" ht="34.5">
      <c r="B1083" s="69">
        <v>45260</v>
      </c>
      <c r="C1083" s="70" t="s">
        <v>1727</v>
      </c>
      <c r="D1083" s="101" t="s">
        <v>657</v>
      </c>
      <c r="E1083" s="70" t="s">
        <v>308</v>
      </c>
      <c r="F1083" s="70" t="s">
        <v>977</v>
      </c>
      <c r="G1083" s="70" t="s">
        <v>1728</v>
      </c>
      <c r="H1083" s="137">
        <v>88142805.239999995</v>
      </c>
      <c r="I1083" s="30">
        <v>1123</v>
      </c>
      <c r="J1083" s="30">
        <v>21</v>
      </c>
    </row>
    <row r="1084" spans="2:10" ht="34.5">
      <c r="B1084" s="69">
        <v>45260</v>
      </c>
      <c r="C1084" s="70" t="s">
        <v>1725</v>
      </c>
      <c r="D1084" s="101" t="s">
        <v>659</v>
      </c>
      <c r="E1084" s="70" t="s">
        <v>308</v>
      </c>
      <c r="F1084" s="70" t="s">
        <v>824</v>
      </c>
      <c r="G1084" s="70" t="s">
        <v>1726</v>
      </c>
      <c r="H1084" s="137">
        <v>34685013.960000001</v>
      </c>
      <c r="I1084" s="30">
        <v>1123</v>
      </c>
      <c r="J1084" s="30">
        <v>21</v>
      </c>
    </row>
    <row r="1085" spans="2:10" ht="34.5">
      <c r="B1085" s="69">
        <v>45260</v>
      </c>
      <c r="C1085" s="70" t="s">
        <v>1727</v>
      </c>
      <c r="D1085" s="101" t="s">
        <v>659</v>
      </c>
      <c r="E1085" s="70" t="s">
        <v>308</v>
      </c>
      <c r="F1085" s="70" t="s">
        <v>977</v>
      </c>
      <c r="G1085" s="70" t="s">
        <v>1728</v>
      </c>
      <c r="H1085" s="137">
        <v>29959460.859999999</v>
      </c>
      <c r="I1085" s="30">
        <v>1123</v>
      </c>
      <c r="J1085" s="30">
        <v>21</v>
      </c>
    </row>
    <row r="1086" spans="2:10" ht="34.5">
      <c r="B1086" s="69">
        <v>45260</v>
      </c>
      <c r="C1086" s="70" t="s">
        <v>1725</v>
      </c>
      <c r="D1086" s="101" t="s">
        <v>665</v>
      </c>
      <c r="E1086" s="70" t="s">
        <v>308</v>
      </c>
      <c r="F1086" s="70" t="s">
        <v>824</v>
      </c>
      <c r="G1086" s="70" t="s">
        <v>1726</v>
      </c>
      <c r="H1086" s="137">
        <v>14730499.68</v>
      </c>
      <c r="I1086" s="30">
        <v>1123</v>
      </c>
      <c r="J1086" s="30">
        <v>21</v>
      </c>
    </row>
    <row r="1087" spans="2:10" ht="34.5">
      <c r="B1087" s="69">
        <v>45260</v>
      </c>
      <c r="C1087" s="70" t="s">
        <v>1725</v>
      </c>
      <c r="D1087" s="101" t="s">
        <v>665</v>
      </c>
      <c r="E1087" s="70" t="s">
        <v>308</v>
      </c>
      <c r="F1087" s="70" t="s">
        <v>824</v>
      </c>
      <c r="G1087" s="70" t="s">
        <v>1726</v>
      </c>
      <c r="H1087" s="137">
        <v>328453522.26999998</v>
      </c>
      <c r="I1087" s="30">
        <v>1123</v>
      </c>
      <c r="J1087" s="30">
        <v>21</v>
      </c>
    </row>
    <row r="1088" spans="2:10" ht="34.5">
      <c r="B1088" s="69">
        <v>45260</v>
      </c>
      <c r="C1088" s="70" t="s">
        <v>1727</v>
      </c>
      <c r="D1088" s="101" t="s">
        <v>665</v>
      </c>
      <c r="E1088" s="70" t="s">
        <v>308</v>
      </c>
      <c r="F1088" s="70" t="s">
        <v>977</v>
      </c>
      <c r="G1088" s="70" t="s">
        <v>1728</v>
      </c>
      <c r="H1088" s="137">
        <v>169037536.27000001</v>
      </c>
      <c r="I1088" s="30">
        <v>1123</v>
      </c>
      <c r="J1088" s="30">
        <v>21</v>
      </c>
    </row>
    <row r="1089" spans="2:10" ht="34.5">
      <c r="B1089" s="69">
        <v>45260</v>
      </c>
      <c r="C1089" s="70" t="s">
        <v>1727</v>
      </c>
      <c r="D1089" s="101" t="s">
        <v>665</v>
      </c>
      <c r="E1089" s="70" t="s">
        <v>633</v>
      </c>
      <c r="F1089" s="70" t="s">
        <v>977</v>
      </c>
      <c r="G1089" s="70" t="s">
        <v>1728</v>
      </c>
      <c r="H1089" s="137">
        <v>145695670.06999999</v>
      </c>
      <c r="I1089" s="30">
        <v>1123</v>
      </c>
      <c r="J1089" s="30">
        <v>21</v>
      </c>
    </row>
    <row r="1090" spans="2:10" ht="23">
      <c r="B1090" s="69">
        <v>45260</v>
      </c>
      <c r="C1090" s="70" t="s">
        <v>1721</v>
      </c>
      <c r="D1090" s="101" t="s">
        <v>665</v>
      </c>
      <c r="E1090" s="70" t="s">
        <v>622</v>
      </c>
      <c r="F1090" s="70" t="s">
        <v>1221</v>
      </c>
      <c r="G1090" s="70" t="s">
        <v>1222</v>
      </c>
      <c r="H1090" s="117">
        <v>1688551.84</v>
      </c>
      <c r="I1090" s="30">
        <v>1123</v>
      </c>
      <c r="J1090" s="30" t="s">
        <v>2438</v>
      </c>
    </row>
    <row r="1091" spans="2:10" ht="34.5">
      <c r="B1091" s="69">
        <v>45260</v>
      </c>
      <c r="C1091" s="70" t="s">
        <v>1725</v>
      </c>
      <c r="D1091" s="101" t="s">
        <v>663</v>
      </c>
      <c r="E1091" s="70" t="s">
        <v>308</v>
      </c>
      <c r="F1091" s="70" t="s">
        <v>824</v>
      </c>
      <c r="G1091" s="70" t="s">
        <v>1726</v>
      </c>
      <c r="H1091" s="137">
        <v>353941781.51999998</v>
      </c>
      <c r="I1091" s="30">
        <v>1123</v>
      </c>
      <c r="J1091" s="30">
        <v>21</v>
      </c>
    </row>
    <row r="1092" spans="2:10" ht="34.5">
      <c r="B1092" s="69">
        <v>45260</v>
      </c>
      <c r="C1092" s="70" t="s">
        <v>1727</v>
      </c>
      <c r="D1092" s="101" t="s">
        <v>663</v>
      </c>
      <c r="E1092" s="70" t="s">
        <v>308</v>
      </c>
      <c r="F1092" s="70" t="s">
        <v>977</v>
      </c>
      <c r="G1092" s="70" t="s">
        <v>1728</v>
      </c>
      <c r="H1092" s="137">
        <v>51974352.369999997</v>
      </c>
      <c r="I1092" s="30">
        <v>1123</v>
      </c>
      <c r="J1092" s="30">
        <v>21</v>
      </c>
    </row>
    <row r="1093" spans="2:10" ht="23">
      <c r="B1093" s="69">
        <v>45260</v>
      </c>
      <c r="C1093" s="70" t="s">
        <v>1721</v>
      </c>
      <c r="D1093" s="101" t="s">
        <v>663</v>
      </c>
      <c r="E1093" s="70" t="s">
        <v>622</v>
      </c>
      <c r="F1093" s="70" t="s">
        <v>1221</v>
      </c>
      <c r="G1093" s="70" t="s">
        <v>1222</v>
      </c>
      <c r="H1093" s="71">
        <v>284055.45</v>
      </c>
      <c r="I1093" s="30">
        <v>1123</v>
      </c>
      <c r="J1093" s="72" t="s">
        <v>2438</v>
      </c>
    </row>
    <row r="1094" spans="2:10" ht="34.5">
      <c r="B1094" s="69">
        <v>45260</v>
      </c>
      <c r="C1094" s="70" t="s">
        <v>1725</v>
      </c>
      <c r="D1094" s="101" t="s">
        <v>931</v>
      </c>
      <c r="E1094" s="70" t="s">
        <v>308</v>
      </c>
      <c r="F1094" s="70" t="s">
        <v>824</v>
      </c>
      <c r="G1094" s="70" t="s">
        <v>1726</v>
      </c>
      <c r="H1094" s="137">
        <v>116060150.73999999</v>
      </c>
      <c r="I1094" s="30">
        <v>1123</v>
      </c>
      <c r="J1094" s="30">
        <v>21</v>
      </c>
    </row>
    <row r="1095" spans="2:10" ht="34.5">
      <c r="B1095" s="69">
        <v>45260</v>
      </c>
      <c r="C1095" s="70" t="s">
        <v>1727</v>
      </c>
      <c r="D1095" s="101" t="s">
        <v>931</v>
      </c>
      <c r="E1095" s="70" t="s">
        <v>308</v>
      </c>
      <c r="F1095" s="70" t="s">
        <v>977</v>
      </c>
      <c r="G1095" s="70" t="s">
        <v>1728</v>
      </c>
      <c r="H1095" s="137">
        <v>204637015.03999999</v>
      </c>
      <c r="I1095" s="30">
        <v>1123</v>
      </c>
      <c r="J1095" s="30">
        <v>21</v>
      </c>
    </row>
    <row r="1096" spans="2:10">
      <c r="B1096" s="69">
        <v>45260</v>
      </c>
      <c r="C1096" s="70" t="s">
        <v>1706</v>
      </c>
      <c r="D1096" s="101" t="s">
        <v>931</v>
      </c>
      <c r="E1096" s="70" t="s">
        <v>308</v>
      </c>
      <c r="F1096" s="70" t="s">
        <v>1707</v>
      </c>
      <c r="G1096" s="70" t="s">
        <v>2374</v>
      </c>
      <c r="H1096" s="71">
        <f>652735.45+25461957</f>
        <v>26114692.449999999</v>
      </c>
      <c r="I1096" s="30">
        <v>1123</v>
      </c>
      <c r="J1096" s="30">
        <v>34</v>
      </c>
    </row>
    <row r="1097" spans="2:10">
      <c r="B1097" s="69">
        <v>45260</v>
      </c>
      <c r="C1097" s="70" t="s">
        <v>1706</v>
      </c>
      <c r="D1097" s="101">
        <v>316204005008</v>
      </c>
      <c r="E1097" s="70" t="s">
        <v>308</v>
      </c>
      <c r="F1097" s="70" t="s">
        <v>1707</v>
      </c>
      <c r="G1097" s="70" t="s">
        <v>2412</v>
      </c>
      <c r="H1097" s="71">
        <v>56711010</v>
      </c>
      <c r="I1097" s="30">
        <v>1123</v>
      </c>
      <c r="J1097" s="30">
        <v>34</v>
      </c>
    </row>
    <row r="1098" spans="2:10">
      <c r="B1098" s="69">
        <v>45260</v>
      </c>
      <c r="C1098" s="70" t="s">
        <v>1706</v>
      </c>
      <c r="D1098" s="101">
        <v>316204005008</v>
      </c>
      <c r="E1098" s="70" t="s">
        <v>308</v>
      </c>
      <c r="F1098" s="70" t="s">
        <v>1707</v>
      </c>
      <c r="G1098" s="269"/>
      <c r="H1098" s="71">
        <f>77563747.45-H1097</f>
        <v>20852737.450000003</v>
      </c>
      <c r="I1098" s="30">
        <v>1123</v>
      </c>
      <c r="J1098" s="30">
        <v>319</v>
      </c>
    </row>
    <row r="1099" spans="2:10">
      <c r="B1099" s="69">
        <v>45260</v>
      </c>
      <c r="C1099" s="70" t="s">
        <v>1706</v>
      </c>
      <c r="D1099" s="101">
        <v>316204005008</v>
      </c>
      <c r="E1099" s="70" t="s">
        <v>495</v>
      </c>
      <c r="F1099" s="70" t="s">
        <v>1707</v>
      </c>
      <c r="G1099" s="70"/>
      <c r="H1099" s="71">
        <f>196297256.25-H1096</f>
        <v>170182563.80000001</v>
      </c>
      <c r="I1099" s="30">
        <v>1123</v>
      </c>
      <c r="J1099" s="72" t="s">
        <v>2518</v>
      </c>
    </row>
    <row r="1100" spans="2:10" ht="23">
      <c r="B1100" s="69">
        <v>45260</v>
      </c>
      <c r="C1100" s="70" t="s">
        <v>1721</v>
      </c>
      <c r="D1100" s="101" t="s">
        <v>931</v>
      </c>
      <c r="E1100" s="70" t="s">
        <v>622</v>
      </c>
      <c r="F1100" s="70" t="s">
        <v>1221</v>
      </c>
      <c r="G1100" s="70" t="s">
        <v>1222</v>
      </c>
      <c r="H1100" s="71">
        <v>1483400.68</v>
      </c>
      <c r="I1100" s="30">
        <v>1123</v>
      </c>
      <c r="J1100" s="72" t="s">
        <v>2438</v>
      </c>
    </row>
    <row r="1101" spans="2:10">
      <c r="B1101" s="69">
        <v>45260</v>
      </c>
      <c r="C1101" s="70" t="s">
        <v>1696</v>
      </c>
      <c r="D1101" s="101" t="s">
        <v>929</v>
      </c>
      <c r="E1101" s="70" t="s">
        <v>271</v>
      </c>
      <c r="F1101" s="70" t="s">
        <v>1729</v>
      </c>
      <c r="G1101" s="70" t="s">
        <v>1730</v>
      </c>
      <c r="H1101" s="71">
        <v>500000</v>
      </c>
      <c r="I1101" s="30">
        <v>1123</v>
      </c>
      <c r="J1101" s="30">
        <v>327</v>
      </c>
    </row>
    <row r="1102" spans="2:10" ht="23">
      <c r="B1102" s="69">
        <v>45260</v>
      </c>
      <c r="C1102" s="70" t="s">
        <v>1731</v>
      </c>
      <c r="D1102" s="101" t="s">
        <v>929</v>
      </c>
      <c r="E1102" s="70" t="s">
        <v>495</v>
      </c>
      <c r="F1102" s="70" t="s">
        <v>1732</v>
      </c>
      <c r="G1102" s="70" t="s">
        <v>1733</v>
      </c>
      <c r="H1102" s="71">
        <v>47394251.880000003</v>
      </c>
      <c r="I1102" s="30">
        <v>1123</v>
      </c>
      <c r="J1102" s="30">
        <v>39</v>
      </c>
    </row>
    <row r="1103" spans="2:10" ht="23">
      <c r="B1103" s="69">
        <v>45260</v>
      </c>
      <c r="C1103" s="70" t="s">
        <v>1731</v>
      </c>
      <c r="D1103" s="101" t="s">
        <v>929</v>
      </c>
      <c r="E1103" s="70" t="s">
        <v>495</v>
      </c>
      <c r="F1103" s="70" t="s">
        <v>1732</v>
      </c>
      <c r="G1103" s="70" t="s">
        <v>1734</v>
      </c>
      <c r="H1103" s="71">
        <v>110000</v>
      </c>
      <c r="I1103" s="30">
        <v>1123</v>
      </c>
      <c r="J1103" s="30">
        <v>39</v>
      </c>
    </row>
    <row r="1104" spans="2:10" ht="23">
      <c r="B1104" s="69">
        <v>45260</v>
      </c>
      <c r="C1104" s="70" t="s">
        <v>1731</v>
      </c>
      <c r="D1104" s="101" t="s">
        <v>929</v>
      </c>
      <c r="E1104" s="70" t="s">
        <v>495</v>
      </c>
      <c r="F1104" s="70" t="s">
        <v>1732</v>
      </c>
      <c r="G1104" s="70" t="s">
        <v>1735</v>
      </c>
      <c r="H1104" s="71">
        <v>275000</v>
      </c>
      <c r="I1104" s="30">
        <v>1123</v>
      </c>
      <c r="J1104" s="30">
        <v>39</v>
      </c>
    </row>
    <row r="1105" spans="2:10" ht="23">
      <c r="B1105" s="69">
        <v>45260</v>
      </c>
      <c r="C1105" s="70" t="s">
        <v>1731</v>
      </c>
      <c r="D1105" s="101" t="s">
        <v>929</v>
      </c>
      <c r="E1105" s="70" t="s">
        <v>495</v>
      </c>
      <c r="F1105" s="70" t="s">
        <v>1732</v>
      </c>
      <c r="G1105" s="70" t="s">
        <v>1736</v>
      </c>
      <c r="H1105" s="71">
        <v>320000</v>
      </c>
      <c r="I1105" s="30">
        <v>1123</v>
      </c>
      <c r="J1105" s="30">
        <v>39</v>
      </c>
    </row>
    <row r="1106" spans="2:10" ht="23">
      <c r="B1106" s="69">
        <v>45260</v>
      </c>
      <c r="C1106" s="70" t="s">
        <v>1731</v>
      </c>
      <c r="D1106" s="101" t="s">
        <v>929</v>
      </c>
      <c r="E1106" s="70" t="s">
        <v>495</v>
      </c>
      <c r="F1106" s="70" t="s">
        <v>1732</v>
      </c>
      <c r="G1106" s="70" t="s">
        <v>1736</v>
      </c>
      <c r="H1106" s="71">
        <v>160000</v>
      </c>
      <c r="I1106" s="30">
        <v>1123</v>
      </c>
      <c r="J1106" s="30">
        <v>39</v>
      </c>
    </row>
    <row r="1107" spans="2:10" ht="23">
      <c r="B1107" s="69">
        <v>45260</v>
      </c>
      <c r="C1107" s="70" t="s">
        <v>1731</v>
      </c>
      <c r="D1107" s="101" t="s">
        <v>929</v>
      </c>
      <c r="E1107" s="70" t="s">
        <v>495</v>
      </c>
      <c r="F1107" s="70" t="s">
        <v>1732</v>
      </c>
      <c r="G1107" s="70" t="s">
        <v>1737</v>
      </c>
      <c r="H1107" s="71">
        <v>511177.6</v>
      </c>
      <c r="I1107" s="30">
        <v>1123</v>
      </c>
      <c r="J1107" s="30">
        <v>39</v>
      </c>
    </row>
    <row r="1108" spans="2:10" ht="23">
      <c r="B1108" s="69">
        <v>45260</v>
      </c>
      <c r="C1108" s="70" t="s">
        <v>1731</v>
      </c>
      <c r="D1108" s="101" t="s">
        <v>929</v>
      </c>
      <c r="E1108" s="70" t="s">
        <v>495</v>
      </c>
      <c r="F1108" s="70" t="s">
        <v>1732</v>
      </c>
      <c r="G1108" s="70" t="s">
        <v>1738</v>
      </c>
      <c r="H1108" s="71">
        <v>3812784.2</v>
      </c>
      <c r="I1108" s="30">
        <v>1123</v>
      </c>
      <c r="J1108" s="30">
        <v>39</v>
      </c>
    </row>
    <row r="1109" spans="2:10" ht="23">
      <c r="B1109" s="69">
        <v>45260</v>
      </c>
      <c r="C1109" s="70" t="s">
        <v>1731</v>
      </c>
      <c r="D1109" s="101" t="s">
        <v>929</v>
      </c>
      <c r="E1109" s="70" t="s">
        <v>514</v>
      </c>
      <c r="F1109" s="70" t="s">
        <v>1732</v>
      </c>
      <c r="G1109" s="70" t="s">
        <v>1739</v>
      </c>
      <c r="H1109" s="71">
        <v>16913365</v>
      </c>
      <c r="I1109" s="30">
        <v>1123</v>
      </c>
      <c r="J1109" s="30">
        <v>39</v>
      </c>
    </row>
    <row r="1110" spans="2:10">
      <c r="B1110" s="69">
        <v>45260</v>
      </c>
      <c r="C1110" s="70" t="s">
        <v>1696</v>
      </c>
      <c r="D1110" s="101" t="s">
        <v>929</v>
      </c>
      <c r="E1110" s="70" t="s">
        <v>514</v>
      </c>
      <c r="F1110" s="70" t="s">
        <v>1740</v>
      </c>
      <c r="G1110" s="70" t="s">
        <v>1741</v>
      </c>
      <c r="H1110" s="71">
        <v>4896000</v>
      </c>
      <c r="I1110" s="30">
        <v>1123</v>
      </c>
      <c r="J1110" s="30">
        <v>327</v>
      </c>
    </row>
    <row r="1111" spans="2:10">
      <c r="B1111" s="69">
        <v>45260</v>
      </c>
      <c r="C1111" s="70" t="s">
        <v>1696</v>
      </c>
      <c r="D1111" s="101" t="s">
        <v>929</v>
      </c>
      <c r="E1111" s="70" t="s">
        <v>514</v>
      </c>
      <c r="F1111" s="70" t="s">
        <v>1742</v>
      </c>
      <c r="G1111" s="70" t="s">
        <v>1743</v>
      </c>
      <c r="H1111" s="71">
        <v>250000</v>
      </c>
      <c r="I1111" s="30">
        <v>1123</v>
      </c>
      <c r="J1111" s="30">
        <v>327</v>
      </c>
    </row>
    <row r="1112" spans="2:10">
      <c r="B1112" s="69">
        <v>45260</v>
      </c>
      <c r="C1112" s="70" t="s">
        <v>1696</v>
      </c>
      <c r="D1112" s="101" t="s">
        <v>929</v>
      </c>
      <c r="E1112" s="70" t="s">
        <v>271</v>
      </c>
      <c r="F1112" s="70" t="s">
        <v>1744</v>
      </c>
      <c r="G1112" s="70" t="s">
        <v>1745</v>
      </c>
      <c r="H1112" s="71">
        <v>2000000</v>
      </c>
      <c r="I1112" s="30">
        <v>1123</v>
      </c>
      <c r="J1112" s="30">
        <v>327</v>
      </c>
    </row>
    <row r="1113" spans="2:10" ht="23">
      <c r="B1113" s="69">
        <v>45260</v>
      </c>
      <c r="C1113" s="70" t="s">
        <v>1714</v>
      </c>
      <c r="D1113" s="101" t="s">
        <v>929</v>
      </c>
      <c r="E1113" s="70" t="s">
        <v>514</v>
      </c>
      <c r="F1113" s="70" t="s">
        <v>1715</v>
      </c>
      <c r="G1113" s="70" t="s">
        <v>1716</v>
      </c>
      <c r="H1113" s="71">
        <v>2606879</v>
      </c>
      <c r="I1113" s="30">
        <v>1123</v>
      </c>
      <c r="J1113" s="30">
        <v>329</v>
      </c>
    </row>
    <row r="1114" spans="2:10" ht="34.5">
      <c r="B1114" s="69">
        <v>45260</v>
      </c>
      <c r="C1114" s="70" t="s">
        <v>1727</v>
      </c>
      <c r="D1114" s="101" t="s">
        <v>929</v>
      </c>
      <c r="E1114" s="70" t="s">
        <v>308</v>
      </c>
      <c r="F1114" s="70" t="s">
        <v>977</v>
      </c>
      <c r="G1114" s="70" t="s">
        <v>1728</v>
      </c>
      <c r="H1114" s="137">
        <v>10910097.42</v>
      </c>
      <c r="I1114" s="30">
        <v>1123</v>
      </c>
      <c r="J1114" s="30">
        <v>21</v>
      </c>
    </row>
    <row r="1115" spans="2:10">
      <c r="B1115" s="69">
        <v>45260</v>
      </c>
      <c r="C1115" s="70" t="s">
        <v>1706</v>
      </c>
      <c r="D1115" s="101">
        <v>316204005009</v>
      </c>
      <c r="E1115" s="70" t="s">
        <v>495</v>
      </c>
      <c r="F1115" s="70" t="s">
        <v>1707</v>
      </c>
      <c r="G1115" s="70"/>
      <c r="H1115" s="71">
        <v>12096160000</v>
      </c>
      <c r="I1115" s="30">
        <v>1123</v>
      </c>
      <c r="J1115" s="30">
        <v>39</v>
      </c>
    </row>
    <row r="1116" spans="2:10" ht="34.5">
      <c r="B1116" s="69">
        <v>45260</v>
      </c>
      <c r="C1116" s="70" t="s">
        <v>1725</v>
      </c>
      <c r="D1116" s="101" t="s">
        <v>711</v>
      </c>
      <c r="E1116" s="70" t="s">
        <v>308</v>
      </c>
      <c r="F1116" s="70" t="s">
        <v>824</v>
      </c>
      <c r="G1116" s="70" t="s">
        <v>1726</v>
      </c>
      <c r="H1116" s="137">
        <v>495367449.80000001</v>
      </c>
      <c r="I1116" s="30">
        <v>1123</v>
      </c>
      <c r="J1116" s="30">
        <v>21</v>
      </c>
    </row>
    <row r="1117" spans="2:10" ht="23">
      <c r="B1117" s="69">
        <v>45260</v>
      </c>
      <c r="C1117" s="70" t="s">
        <v>1746</v>
      </c>
      <c r="D1117" s="101" t="s">
        <v>711</v>
      </c>
      <c r="E1117" s="70" t="s">
        <v>514</v>
      </c>
      <c r="F1117" s="70" t="s">
        <v>908</v>
      </c>
      <c r="G1117" s="70" t="s">
        <v>1747</v>
      </c>
      <c r="H1117" s="71">
        <v>20000</v>
      </c>
      <c r="I1117" s="30">
        <v>1123</v>
      </c>
      <c r="J1117" s="30">
        <v>321</v>
      </c>
    </row>
    <row r="1118" spans="2:10" ht="23">
      <c r="B1118" s="69">
        <v>45260</v>
      </c>
      <c r="C1118" s="70" t="s">
        <v>1731</v>
      </c>
      <c r="D1118" s="101" t="s">
        <v>711</v>
      </c>
      <c r="E1118" s="70" t="s">
        <v>495</v>
      </c>
      <c r="F1118" s="70" t="s">
        <v>1732</v>
      </c>
      <c r="G1118" s="70" t="s">
        <v>1748</v>
      </c>
      <c r="H1118" s="71">
        <v>29731375</v>
      </c>
      <c r="I1118" s="30">
        <v>1123</v>
      </c>
      <c r="J1118" s="30">
        <v>321</v>
      </c>
    </row>
    <row r="1119" spans="2:10" ht="23">
      <c r="B1119" s="69">
        <v>45260</v>
      </c>
      <c r="C1119" s="70" t="s">
        <v>1731</v>
      </c>
      <c r="D1119" s="101" t="s">
        <v>711</v>
      </c>
      <c r="E1119" s="70" t="s">
        <v>495</v>
      </c>
      <c r="F1119" s="70" t="s">
        <v>1732</v>
      </c>
      <c r="G1119" s="70" t="s">
        <v>1748</v>
      </c>
      <c r="H1119" s="71">
        <v>14865687.5</v>
      </c>
      <c r="I1119" s="30">
        <v>1123</v>
      </c>
      <c r="J1119" s="30">
        <v>321</v>
      </c>
    </row>
    <row r="1120" spans="2:10" ht="23">
      <c r="B1120" s="69">
        <v>45260</v>
      </c>
      <c r="C1120" s="70" t="s">
        <v>1731</v>
      </c>
      <c r="D1120" s="101" t="s">
        <v>711</v>
      </c>
      <c r="E1120" s="70" t="s">
        <v>495</v>
      </c>
      <c r="F1120" s="70" t="s">
        <v>1732</v>
      </c>
      <c r="G1120" s="70" t="s">
        <v>1748</v>
      </c>
      <c r="H1120" s="71">
        <v>29731375</v>
      </c>
      <c r="I1120" s="30">
        <v>1123</v>
      </c>
      <c r="J1120" s="30">
        <v>321</v>
      </c>
    </row>
    <row r="1121" spans="2:10" ht="23">
      <c r="B1121" s="69">
        <v>45260</v>
      </c>
      <c r="C1121" s="70" t="s">
        <v>1731</v>
      </c>
      <c r="D1121" s="101" t="s">
        <v>711</v>
      </c>
      <c r="E1121" s="70" t="s">
        <v>495</v>
      </c>
      <c r="F1121" s="70" t="s">
        <v>1732</v>
      </c>
      <c r="G1121" s="70" t="s">
        <v>1748</v>
      </c>
      <c r="H1121" s="71">
        <v>21390800</v>
      </c>
      <c r="I1121" s="30">
        <v>1123</v>
      </c>
      <c r="J1121" s="30">
        <v>321</v>
      </c>
    </row>
    <row r="1122" spans="2:10" ht="23">
      <c r="B1122" s="69">
        <v>45260</v>
      </c>
      <c r="C1122" s="70" t="s">
        <v>1731</v>
      </c>
      <c r="D1122" s="101" t="s">
        <v>711</v>
      </c>
      <c r="E1122" s="70" t="s">
        <v>495</v>
      </c>
      <c r="F1122" s="70" t="s">
        <v>1732</v>
      </c>
      <c r="G1122" s="70" t="s">
        <v>1749</v>
      </c>
      <c r="H1122" s="71">
        <v>1048920.5</v>
      </c>
      <c r="I1122" s="30">
        <v>1123</v>
      </c>
      <c r="J1122" s="30">
        <v>321</v>
      </c>
    </row>
    <row r="1123" spans="2:10" ht="23">
      <c r="B1123" s="69">
        <v>45260</v>
      </c>
      <c r="C1123" s="70" t="s">
        <v>1731</v>
      </c>
      <c r="D1123" s="101" t="s">
        <v>711</v>
      </c>
      <c r="E1123" s="70" t="s">
        <v>514</v>
      </c>
      <c r="F1123" s="70" t="s">
        <v>1732</v>
      </c>
      <c r="G1123" s="70" t="s">
        <v>1750</v>
      </c>
      <c r="H1123" s="71">
        <v>714324.1</v>
      </c>
      <c r="I1123" s="30">
        <v>1123</v>
      </c>
      <c r="J1123" s="30">
        <v>327</v>
      </c>
    </row>
    <row r="1124" spans="2:10">
      <c r="B1124" s="69">
        <v>45260</v>
      </c>
      <c r="C1124" s="70" t="s">
        <v>1696</v>
      </c>
      <c r="D1124" s="101" t="s">
        <v>711</v>
      </c>
      <c r="E1124" s="70" t="s">
        <v>271</v>
      </c>
      <c r="F1124" s="70" t="s">
        <v>1744</v>
      </c>
      <c r="G1124" s="70" t="s">
        <v>1751</v>
      </c>
      <c r="H1124" s="71">
        <v>2000000</v>
      </c>
      <c r="I1124" s="30">
        <v>1123</v>
      </c>
      <c r="J1124" s="30">
        <v>327</v>
      </c>
    </row>
    <row r="1125" spans="2:10" ht="23">
      <c r="B1125" s="69">
        <v>45260</v>
      </c>
      <c r="C1125" s="70" t="s">
        <v>1714</v>
      </c>
      <c r="D1125" s="101" t="s">
        <v>711</v>
      </c>
      <c r="E1125" s="70" t="s">
        <v>514</v>
      </c>
      <c r="F1125" s="70" t="s">
        <v>1715</v>
      </c>
      <c r="G1125" s="70" t="s">
        <v>1716</v>
      </c>
      <c r="H1125" s="71">
        <v>2248312</v>
      </c>
      <c r="I1125" s="30">
        <v>1123</v>
      </c>
      <c r="J1125" s="30">
        <v>329</v>
      </c>
    </row>
    <row r="1126" spans="2:10" ht="34.5">
      <c r="B1126" s="69">
        <v>45260</v>
      </c>
      <c r="C1126" s="70" t="s">
        <v>1727</v>
      </c>
      <c r="D1126" s="101" t="s">
        <v>711</v>
      </c>
      <c r="E1126" s="70" t="s">
        <v>308</v>
      </c>
      <c r="F1126" s="70" t="s">
        <v>977</v>
      </c>
      <c r="G1126" s="70" t="s">
        <v>1728</v>
      </c>
      <c r="H1126" s="137">
        <v>38248599.259999998</v>
      </c>
      <c r="I1126" s="30">
        <v>1123</v>
      </c>
      <c r="J1126" s="30">
        <v>21</v>
      </c>
    </row>
    <row r="1127" spans="2:10" ht="34.5">
      <c r="B1127" s="69">
        <v>45260</v>
      </c>
      <c r="C1127" s="70" t="s">
        <v>1752</v>
      </c>
      <c r="D1127" s="101" t="s">
        <v>711</v>
      </c>
      <c r="E1127" s="70" t="s">
        <v>622</v>
      </c>
      <c r="F1127" s="70" t="s">
        <v>1753</v>
      </c>
      <c r="G1127" s="70"/>
      <c r="H1127" s="71">
        <v>9760000</v>
      </c>
      <c r="I1127" s="30">
        <v>1123</v>
      </c>
      <c r="J1127" s="30">
        <v>327</v>
      </c>
    </row>
    <row r="1128" spans="2:10" ht="34.5">
      <c r="B1128" s="69">
        <v>45260</v>
      </c>
      <c r="C1128" s="70" t="s">
        <v>1752</v>
      </c>
      <c r="D1128" s="101" t="s">
        <v>711</v>
      </c>
      <c r="E1128" s="70" t="s">
        <v>622</v>
      </c>
      <c r="F1128" s="70" t="s">
        <v>1754</v>
      </c>
      <c r="G1128" s="70"/>
      <c r="H1128" s="71">
        <v>1073600</v>
      </c>
      <c r="I1128" s="30">
        <v>1123</v>
      </c>
      <c r="J1128" s="30">
        <v>327</v>
      </c>
    </row>
    <row r="1129" spans="2:10" ht="23">
      <c r="B1129" s="69">
        <v>45260</v>
      </c>
      <c r="C1129" s="70" t="s">
        <v>1755</v>
      </c>
      <c r="D1129" s="101" t="s">
        <v>711</v>
      </c>
      <c r="E1129" s="70" t="s">
        <v>633</v>
      </c>
      <c r="F1129" s="70" t="s">
        <v>1756</v>
      </c>
      <c r="G1129" s="70" t="s">
        <v>1757</v>
      </c>
      <c r="H1129" s="71">
        <v>3324389</v>
      </c>
      <c r="I1129" s="30">
        <v>1123</v>
      </c>
      <c r="J1129" s="30">
        <v>321</v>
      </c>
    </row>
    <row r="1130" spans="2:10" ht="23">
      <c r="B1130" s="69">
        <v>45260</v>
      </c>
      <c r="C1130" s="70" t="s">
        <v>1755</v>
      </c>
      <c r="D1130" s="101" t="s">
        <v>711</v>
      </c>
      <c r="E1130" s="70" t="s">
        <v>633</v>
      </c>
      <c r="F1130" s="70" t="s">
        <v>1756</v>
      </c>
      <c r="G1130" s="70" t="s">
        <v>1758</v>
      </c>
      <c r="H1130" s="71">
        <v>977938</v>
      </c>
      <c r="I1130" s="30">
        <v>1123</v>
      </c>
      <c r="J1130" s="30">
        <v>321</v>
      </c>
    </row>
    <row r="1131" spans="2:10" ht="23">
      <c r="B1131" s="69">
        <v>45260</v>
      </c>
      <c r="C1131" s="70" t="s">
        <v>1755</v>
      </c>
      <c r="D1131" s="101" t="s">
        <v>711</v>
      </c>
      <c r="E1131" s="70" t="s">
        <v>633</v>
      </c>
      <c r="F1131" s="70" t="s">
        <v>1756</v>
      </c>
      <c r="G1131" s="70" t="s">
        <v>1759</v>
      </c>
      <c r="H1131" s="71">
        <v>297789</v>
      </c>
      <c r="I1131" s="30">
        <v>1123</v>
      </c>
      <c r="J1131" s="30">
        <v>321</v>
      </c>
    </row>
    <row r="1132" spans="2:10" ht="23">
      <c r="B1132" s="69">
        <v>45260</v>
      </c>
      <c r="C1132" s="70" t="s">
        <v>1755</v>
      </c>
      <c r="D1132" s="101" t="s">
        <v>711</v>
      </c>
      <c r="E1132" s="70" t="s">
        <v>633</v>
      </c>
      <c r="F1132" s="70" t="s">
        <v>1756</v>
      </c>
      <c r="G1132" s="70" t="s">
        <v>1760</v>
      </c>
      <c r="H1132" s="71">
        <v>1021628</v>
      </c>
      <c r="I1132" s="30">
        <v>1123</v>
      </c>
      <c r="J1132" s="30">
        <v>321</v>
      </c>
    </row>
    <row r="1133" spans="2:10" ht="23">
      <c r="B1133" s="69">
        <v>45260</v>
      </c>
      <c r="C1133" s="70" t="s">
        <v>1755</v>
      </c>
      <c r="D1133" s="101" t="s">
        <v>711</v>
      </c>
      <c r="E1133" s="70" t="s">
        <v>633</v>
      </c>
      <c r="F1133" s="70" t="s">
        <v>1756</v>
      </c>
      <c r="G1133" s="70" t="s">
        <v>1761</v>
      </c>
      <c r="H1133" s="71">
        <v>75663</v>
      </c>
      <c r="I1133" s="30">
        <v>1123</v>
      </c>
      <c r="J1133" s="30">
        <v>321</v>
      </c>
    </row>
    <row r="1134" spans="2:10" ht="23">
      <c r="B1134" s="69">
        <v>45260</v>
      </c>
      <c r="C1134" s="70" t="s">
        <v>1755</v>
      </c>
      <c r="D1134" s="101" t="s">
        <v>711</v>
      </c>
      <c r="E1134" s="70" t="s">
        <v>633</v>
      </c>
      <c r="F1134" s="70" t="s">
        <v>1756</v>
      </c>
      <c r="G1134" s="70" t="s">
        <v>1761</v>
      </c>
      <c r="H1134" s="71">
        <v>45397</v>
      </c>
      <c r="I1134" s="30">
        <v>1123</v>
      </c>
      <c r="J1134" s="30">
        <v>321</v>
      </c>
    </row>
    <row r="1135" spans="2:10" ht="23">
      <c r="B1135" s="69">
        <v>45260</v>
      </c>
      <c r="C1135" s="70" t="s">
        <v>1755</v>
      </c>
      <c r="D1135" s="101" t="s">
        <v>711</v>
      </c>
      <c r="E1135" s="70" t="s">
        <v>633</v>
      </c>
      <c r="F1135" s="70" t="s">
        <v>1756</v>
      </c>
      <c r="G1135" s="70" t="s">
        <v>1757</v>
      </c>
      <c r="H1135" s="71">
        <v>2770324</v>
      </c>
      <c r="I1135" s="30">
        <v>1123</v>
      </c>
      <c r="J1135" s="30">
        <v>321</v>
      </c>
    </row>
    <row r="1136" spans="2:10" ht="23">
      <c r="B1136" s="69">
        <v>45260</v>
      </c>
      <c r="C1136" s="70" t="s">
        <v>1755</v>
      </c>
      <c r="D1136" s="101" t="s">
        <v>711</v>
      </c>
      <c r="E1136" s="70" t="s">
        <v>633</v>
      </c>
      <c r="F1136" s="70" t="s">
        <v>1756</v>
      </c>
      <c r="G1136" s="70" t="s">
        <v>1758</v>
      </c>
      <c r="H1136" s="71">
        <v>1173526</v>
      </c>
      <c r="I1136" s="30">
        <v>1123</v>
      </c>
      <c r="J1136" s="30">
        <v>321</v>
      </c>
    </row>
    <row r="1137" spans="2:10" ht="23">
      <c r="B1137" s="69">
        <v>45260</v>
      </c>
      <c r="C1137" s="70" t="s">
        <v>1755</v>
      </c>
      <c r="D1137" s="101" t="s">
        <v>711</v>
      </c>
      <c r="E1137" s="70" t="s">
        <v>633</v>
      </c>
      <c r="F1137" s="70" t="s">
        <v>1756</v>
      </c>
      <c r="G1137" s="70" t="s">
        <v>1762</v>
      </c>
      <c r="H1137" s="71">
        <v>539418</v>
      </c>
      <c r="I1137" s="30">
        <v>1123</v>
      </c>
      <c r="J1137" s="30">
        <v>321</v>
      </c>
    </row>
    <row r="1138" spans="2:10" ht="23">
      <c r="B1138" s="69">
        <v>45260</v>
      </c>
      <c r="C1138" s="70" t="s">
        <v>1755</v>
      </c>
      <c r="D1138" s="101" t="s">
        <v>711</v>
      </c>
      <c r="E1138" s="70" t="s">
        <v>633</v>
      </c>
      <c r="F1138" s="70" t="s">
        <v>1756</v>
      </c>
      <c r="G1138" s="70" t="s">
        <v>1763</v>
      </c>
      <c r="H1138" s="71">
        <v>3016998</v>
      </c>
      <c r="I1138" s="30">
        <v>1123</v>
      </c>
      <c r="J1138" s="30">
        <v>321</v>
      </c>
    </row>
    <row r="1139" spans="2:10" ht="23">
      <c r="B1139" s="69">
        <v>45260</v>
      </c>
      <c r="C1139" s="70" t="s">
        <v>1755</v>
      </c>
      <c r="D1139" s="101" t="s">
        <v>711</v>
      </c>
      <c r="E1139" s="70" t="s">
        <v>633</v>
      </c>
      <c r="F1139" s="70" t="s">
        <v>1756</v>
      </c>
      <c r="G1139" s="70" t="s">
        <v>1764</v>
      </c>
      <c r="H1139" s="71">
        <v>935000</v>
      </c>
      <c r="I1139" s="30">
        <v>1123</v>
      </c>
      <c r="J1139" s="30">
        <v>321</v>
      </c>
    </row>
    <row r="1140" spans="2:10" ht="23">
      <c r="B1140" s="69">
        <v>45260</v>
      </c>
      <c r="C1140" s="70" t="s">
        <v>1755</v>
      </c>
      <c r="D1140" s="101" t="s">
        <v>711</v>
      </c>
      <c r="E1140" s="70" t="s">
        <v>633</v>
      </c>
      <c r="F1140" s="70" t="s">
        <v>1756</v>
      </c>
      <c r="G1140" s="70" t="s">
        <v>1765</v>
      </c>
      <c r="H1140" s="71">
        <v>2626886</v>
      </c>
      <c r="I1140" s="30">
        <v>1123</v>
      </c>
      <c r="J1140" s="30">
        <v>321</v>
      </c>
    </row>
    <row r="1141" spans="2:10" ht="23">
      <c r="B1141" s="69">
        <v>45260</v>
      </c>
      <c r="C1141" s="70" t="s">
        <v>1755</v>
      </c>
      <c r="D1141" s="101" t="s">
        <v>711</v>
      </c>
      <c r="E1141" s="70" t="s">
        <v>633</v>
      </c>
      <c r="F1141" s="70" t="s">
        <v>1756</v>
      </c>
      <c r="G1141" s="70" t="s">
        <v>1766</v>
      </c>
      <c r="H1141" s="71">
        <v>868633</v>
      </c>
      <c r="I1141" s="30">
        <v>1123</v>
      </c>
      <c r="J1141" s="30">
        <v>321</v>
      </c>
    </row>
    <row r="1142" spans="2:10" ht="23">
      <c r="B1142" s="69">
        <v>45260</v>
      </c>
      <c r="C1142" s="70" t="s">
        <v>1721</v>
      </c>
      <c r="D1142" s="101" t="s">
        <v>711</v>
      </c>
      <c r="E1142" s="70" t="s">
        <v>622</v>
      </c>
      <c r="F1142" s="70" t="s">
        <v>1221</v>
      </c>
      <c r="G1142" s="70" t="s">
        <v>1222</v>
      </c>
      <c r="H1142" s="71">
        <v>1988388.15</v>
      </c>
      <c r="I1142" s="30">
        <v>1123</v>
      </c>
      <c r="J1142" s="72" t="s">
        <v>2438</v>
      </c>
    </row>
    <row r="1143" spans="2:10" ht="34.5">
      <c r="B1143" s="69">
        <v>45260</v>
      </c>
      <c r="C1143" s="70" t="s">
        <v>1725</v>
      </c>
      <c r="D1143" s="101" t="s">
        <v>661</v>
      </c>
      <c r="E1143" s="70" t="s">
        <v>308</v>
      </c>
      <c r="F1143" s="70" t="s">
        <v>824</v>
      </c>
      <c r="G1143" s="70" t="s">
        <v>1726</v>
      </c>
      <c r="H1143" s="137">
        <v>130358799.98999999</v>
      </c>
      <c r="I1143" s="30">
        <v>1123</v>
      </c>
      <c r="J1143" s="30">
        <v>21</v>
      </c>
    </row>
    <row r="1144" spans="2:10" ht="23">
      <c r="B1144" s="69">
        <v>45260</v>
      </c>
      <c r="C1144" s="70" t="s">
        <v>1714</v>
      </c>
      <c r="D1144" s="101" t="s">
        <v>661</v>
      </c>
      <c r="E1144" s="70" t="s">
        <v>514</v>
      </c>
      <c r="F1144" s="70" t="s">
        <v>1715</v>
      </c>
      <c r="G1144" s="70" t="s">
        <v>1716</v>
      </c>
      <c r="H1144" s="71">
        <v>213202</v>
      </c>
      <c r="I1144" s="30">
        <v>1123</v>
      </c>
      <c r="J1144" s="30">
        <v>329</v>
      </c>
    </row>
    <row r="1145" spans="2:10" ht="34.5">
      <c r="B1145" s="69">
        <v>45260</v>
      </c>
      <c r="C1145" s="70" t="s">
        <v>1727</v>
      </c>
      <c r="D1145" s="101" t="s">
        <v>661</v>
      </c>
      <c r="E1145" s="70" t="s">
        <v>308</v>
      </c>
      <c r="F1145" s="70" t="s">
        <v>977</v>
      </c>
      <c r="G1145" s="70" t="s">
        <v>1728</v>
      </c>
      <c r="H1145" s="137">
        <v>3256053.11</v>
      </c>
      <c r="I1145" s="30">
        <v>1123</v>
      </c>
      <c r="J1145" s="30">
        <v>21</v>
      </c>
    </row>
    <row r="1146" spans="2:10">
      <c r="B1146" s="69">
        <v>45260</v>
      </c>
      <c r="C1146" s="70" t="s">
        <v>1706</v>
      </c>
      <c r="D1146" s="101">
        <v>316204005012</v>
      </c>
      <c r="E1146" s="70" t="s">
        <v>495</v>
      </c>
      <c r="F1146" s="70" t="s">
        <v>1707</v>
      </c>
      <c r="G1146" s="70" t="s">
        <v>2448</v>
      </c>
      <c r="H1146" s="71">
        <v>1206000</v>
      </c>
      <c r="I1146" s="30">
        <v>1123</v>
      </c>
      <c r="J1146" s="30">
        <v>38</v>
      </c>
    </row>
    <row r="1147" spans="2:10" ht="23">
      <c r="B1147" s="69">
        <v>45260</v>
      </c>
      <c r="C1147" s="70" t="s">
        <v>1721</v>
      </c>
      <c r="D1147" s="101" t="s">
        <v>661</v>
      </c>
      <c r="E1147" s="70" t="s">
        <v>622</v>
      </c>
      <c r="F1147" s="70" t="s">
        <v>1221</v>
      </c>
      <c r="G1147" s="70" t="s">
        <v>1222</v>
      </c>
      <c r="H1147" s="71">
        <v>3566473.99</v>
      </c>
      <c r="I1147" s="30">
        <v>1123</v>
      </c>
      <c r="J1147" s="72" t="s">
        <v>2438</v>
      </c>
    </row>
    <row r="1148" spans="2:10" ht="34.5">
      <c r="B1148" s="69">
        <v>45260</v>
      </c>
      <c r="C1148" s="70" t="s">
        <v>1725</v>
      </c>
      <c r="D1148" s="101" t="s">
        <v>668</v>
      </c>
      <c r="E1148" s="70" t="s">
        <v>308</v>
      </c>
      <c r="F1148" s="70" t="s">
        <v>824</v>
      </c>
      <c r="G1148" s="70" t="s">
        <v>1726</v>
      </c>
      <c r="H1148" s="137">
        <v>86365712.019999996</v>
      </c>
      <c r="I1148" s="30">
        <v>1123</v>
      </c>
      <c r="J1148" s="30">
        <v>21</v>
      </c>
    </row>
    <row r="1149" spans="2:10" ht="34.5">
      <c r="B1149" s="69">
        <v>45260</v>
      </c>
      <c r="C1149" s="70" t="s">
        <v>1725</v>
      </c>
      <c r="D1149" s="101" t="s">
        <v>668</v>
      </c>
      <c r="E1149" s="70" t="s">
        <v>308</v>
      </c>
      <c r="F1149" s="70" t="s">
        <v>824</v>
      </c>
      <c r="G1149" s="70" t="s">
        <v>1726</v>
      </c>
      <c r="H1149" s="137">
        <v>144533839.86000001</v>
      </c>
      <c r="I1149" s="30">
        <v>1123</v>
      </c>
      <c r="J1149" s="30">
        <v>21</v>
      </c>
    </row>
    <row r="1150" spans="2:10" ht="34.5">
      <c r="B1150" s="69">
        <v>45260</v>
      </c>
      <c r="C1150" s="70" t="s">
        <v>1727</v>
      </c>
      <c r="D1150" s="101" t="s">
        <v>668</v>
      </c>
      <c r="E1150" s="70" t="s">
        <v>308</v>
      </c>
      <c r="F1150" s="70" t="s">
        <v>977</v>
      </c>
      <c r="G1150" s="70" t="s">
        <v>1728</v>
      </c>
      <c r="H1150" s="137">
        <v>17272261.199999999</v>
      </c>
      <c r="I1150" s="30">
        <v>1123</v>
      </c>
      <c r="J1150" s="30">
        <v>21</v>
      </c>
    </row>
    <row r="1151" spans="2:10">
      <c r="B1151" s="69">
        <v>45250</v>
      </c>
      <c r="C1151" s="70" t="s">
        <v>1767</v>
      </c>
      <c r="D1151" s="101" t="s">
        <v>777</v>
      </c>
      <c r="E1151" s="70" t="s">
        <v>271</v>
      </c>
      <c r="F1151" s="70" t="s">
        <v>908</v>
      </c>
      <c r="G1151" s="70" t="s">
        <v>1768</v>
      </c>
      <c r="H1151" s="71">
        <v>1200000</v>
      </c>
      <c r="I1151" s="30">
        <v>1123</v>
      </c>
      <c r="J1151" s="30" t="s">
        <v>535</v>
      </c>
    </row>
    <row r="1152" spans="2:10" ht="34.5">
      <c r="B1152" s="69">
        <v>45260</v>
      </c>
      <c r="C1152" s="70" t="s">
        <v>1769</v>
      </c>
      <c r="D1152" s="101" t="s">
        <v>777</v>
      </c>
      <c r="E1152" s="70" t="s">
        <v>308</v>
      </c>
      <c r="F1152" s="70" t="s">
        <v>1692</v>
      </c>
      <c r="G1152" s="70" t="s">
        <v>1770</v>
      </c>
      <c r="H1152" s="163">
        <v>751900547</v>
      </c>
      <c r="I1152" s="30">
        <v>1123</v>
      </c>
      <c r="J1152" s="30">
        <v>22</v>
      </c>
    </row>
    <row r="1153" spans="2:10" ht="23">
      <c r="B1153" s="69">
        <v>45260</v>
      </c>
      <c r="C1153" s="70" t="s">
        <v>1714</v>
      </c>
      <c r="D1153" s="101" t="s">
        <v>777</v>
      </c>
      <c r="E1153" s="70" t="s">
        <v>514</v>
      </c>
      <c r="F1153" s="70" t="s">
        <v>1715</v>
      </c>
      <c r="G1153" s="70" t="s">
        <v>1716</v>
      </c>
      <c r="H1153" s="71">
        <v>1802526</v>
      </c>
      <c r="I1153" s="30">
        <v>1123</v>
      </c>
      <c r="J1153" s="30">
        <v>329</v>
      </c>
    </row>
    <row r="1154" spans="2:10" ht="23">
      <c r="B1154" s="69">
        <v>45260</v>
      </c>
      <c r="C1154" s="70" t="s">
        <v>1771</v>
      </c>
      <c r="D1154" s="101" t="s">
        <v>777</v>
      </c>
      <c r="E1154" s="70" t="s">
        <v>271</v>
      </c>
      <c r="F1154" s="70" t="s">
        <v>1772</v>
      </c>
      <c r="G1154" s="70" t="s">
        <v>1773</v>
      </c>
      <c r="H1154" s="71">
        <v>-1200000</v>
      </c>
      <c r="I1154" s="30">
        <v>1123</v>
      </c>
      <c r="J1154" s="72" t="s">
        <v>535</v>
      </c>
    </row>
    <row r="1155" spans="2:10" ht="23">
      <c r="B1155" s="69">
        <v>45260</v>
      </c>
      <c r="C1155" s="70" t="s">
        <v>1721</v>
      </c>
      <c r="D1155" s="101" t="s">
        <v>1476</v>
      </c>
      <c r="E1155" s="70" t="s">
        <v>622</v>
      </c>
      <c r="F1155" s="70" t="s">
        <v>1774</v>
      </c>
      <c r="G1155" s="70" t="s">
        <v>1222</v>
      </c>
      <c r="H1155" s="71">
        <v>63123.44</v>
      </c>
      <c r="I1155" s="30">
        <v>1123</v>
      </c>
      <c r="J1155" s="30">
        <v>321</v>
      </c>
    </row>
    <row r="1156" spans="2:10">
      <c r="B1156" s="69">
        <v>45291</v>
      </c>
      <c r="C1156" s="70" t="s">
        <v>1775</v>
      </c>
      <c r="D1156" s="101" t="s">
        <v>270</v>
      </c>
      <c r="E1156" s="70" t="s">
        <v>633</v>
      </c>
      <c r="F1156" s="70" t="s">
        <v>1776</v>
      </c>
      <c r="G1156" s="70"/>
      <c r="H1156" s="136">
        <v>-528489119.36000001</v>
      </c>
      <c r="I1156" s="30">
        <v>1223</v>
      </c>
      <c r="J1156" s="72" t="s">
        <v>2344</v>
      </c>
    </row>
    <row r="1157" spans="2:10">
      <c r="B1157" s="69">
        <v>45291</v>
      </c>
      <c r="C1157" s="70" t="s">
        <v>1775</v>
      </c>
      <c r="D1157" s="101" t="s">
        <v>270</v>
      </c>
      <c r="E1157" s="70" t="s">
        <v>633</v>
      </c>
      <c r="F1157" s="70" t="s">
        <v>1777</v>
      </c>
      <c r="G1157" s="70"/>
      <c r="H1157" s="136">
        <v>-228040798.03</v>
      </c>
      <c r="I1157" s="30">
        <v>1223</v>
      </c>
      <c r="J1157" s="72" t="s">
        <v>2344</v>
      </c>
    </row>
    <row r="1158" spans="2:10">
      <c r="B1158" s="69">
        <v>45291</v>
      </c>
      <c r="C1158" s="70" t="s">
        <v>1775</v>
      </c>
      <c r="D1158" s="101" t="s">
        <v>270</v>
      </c>
      <c r="E1158" s="70" t="s">
        <v>633</v>
      </c>
      <c r="F1158" s="70" t="s">
        <v>1778</v>
      </c>
      <c r="G1158" s="70"/>
      <c r="H1158" s="136">
        <v>-21293941.09</v>
      </c>
      <c r="I1158" s="30">
        <v>1223</v>
      </c>
      <c r="J1158" s="72" t="s">
        <v>2344</v>
      </c>
    </row>
    <row r="1159" spans="2:10">
      <c r="B1159" s="69">
        <v>45291</v>
      </c>
      <c r="C1159" s="70" t="s">
        <v>1775</v>
      </c>
      <c r="D1159" s="101" t="s">
        <v>270</v>
      </c>
      <c r="E1159" s="70" t="s">
        <v>633</v>
      </c>
      <c r="F1159" s="70" t="s">
        <v>1779</v>
      </c>
      <c r="G1159" s="70"/>
      <c r="H1159" s="71">
        <v>6167845.5899999999</v>
      </c>
      <c r="I1159" s="30">
        <v>1223</v>
      </c>
      <c r="J1159" s="72">
        <v>327</v>
      </c>
    </row>
    <row r="1160" spans="2:10">
      <c r="B1160" s="69">
        <v>45291</v>
      </c>
      <c r="C1160" s="70" t="s">
        <v>1775</v>
      </c>
      <c r="D1160" s="101" t="s">
        <v>270</v>
      </c>
      <c r="E1160" s="70" t="s">
        <v>633</v>
      </c>
      <c r="F1160" s="70" t="s">
        <v>1780</v>
      </c>
      <c r="G1160" s="70"/>
      <c r="H1160" s="136">
        <v>-5122633.1399999997</v>
      </c>
      <c r="I1160" s="30">
        <v>1223</v>
      </c>
      <c r="J1160" s="72" t="s">
        <v>2344</v>
      </c>
    </row>
    <row r="1161" spans="2:10">
      <c r="B1161" s="69">
        <v>45291</v>
      </c>
      <c r="C1161" s="70" t="s">
        <v>1775</v>
      </c>
      <c r="D1161" s="101" t="s">
        <v>270</v>
      </c>
      <c r="E1161" s="70" t="s">
        <v>633</v>
      </c>
      <c r="F1161" s="70" t="s">
        <v>1781</v>
      </c>
      <c r="G1161" s="70"/>
      <c r="H1161" s="71">
        <v>-4651154.2300000004</v>
      </c>
      <c r="I1161" s="30">
        <v>1223</v>
      </c>
      <c r="J1161" s="72">
        <v>327</v>
      </c>
    </row>
    <row r="1162" spans="2:10" ht="23">
      <c r="B1162" s="69">
        <v>45291</v>
      </c>
      <c r="C1162" s="70" t="s">
        <v>1775</v>
      </c>
      <c r="D1162" s="101" t="s">
        <v>270</v>
      </c>
      <c r="E1162" s="70" t="s">
        <v>633</v>
      </c>
      <c r="F1162" s="70" t="s">
        <v>1782</v>
      </c>
      <c r="G1162" s="70" t="s">
        <v>1783</v>
      </c>
      <c r="H1162" s="71">
        <v>-4280561.3099999996</v>
      </c>
      <c r="I1162" s="30">
        <v>1223</v>
      </c>
      <c r="J1162" s="72">
        <v>41</v>
      </c>
    </row>
    <row r="1163" spans="2:10">
      <c r="B1163" s="69">
        <v>45291</v>
      </c>
      <c r="C1163" s="70" t="s">
        <v>1775</v>
      </c>
      <c r="D1163" s="101" t="s">
        <v>270</v>
      </c>
      <c r="E1163" s="70" t="s">
        <v>633</v>
      </c>
      <c r="F1163" s="70" t="s">
        <v>1784</v>
      </c>
      <c r="G1163" s="70" t="s">
        <v>1783</v>
      </c>
      <c r="H1163" s="71">
        <v>-1574934.58</v>
      </c>
      <c r="I1163" s="30">
        <v>1223</v>
      </c>
      <c r="J1163" s="72">
        <v>41</v>
      </c>
    </row>
    <row r="1164" spans="2:10" ht="23">
      <c r="B1164" s="69">
        <v>45291</v>
      </c>
      <c r="C1164" s="70" t="s">
        <v>1775</v>
      </c>
      <c r="D1164" s="101" t="s">
        <v>270</v>
      </c>
      <c r="E1164" s="70" t="s">
        <v>633</v>
      </c>
      <c r="F1164" s="70" t="s">
        <v>1785</v>
      </c>
      <c r="G1164" s="70" t="s">
        <v>1783</v>
      </c>
      <c r="H1164" s="71">
        <v>-4162908.23</v>
      </c>
      <c r="I1164" s="30">
        <v>1223</v>
      </c>
      <c r="J1164" s="72">
        <v>41</v>
      </c>
    </row>
    <row r="1165" spans="2:10" ht="23">
      <c r="B1165" s="69">
        <v>45291</v>
      </c>
      <c r="C1165" s="70" t="s">
        <v>1775</v>
      </c>
      <c r="D1165" s="101" t="s">
        <v>270</v>
      </c>
      <c r="E1165" s="70" t="s">
        <v>633</v>
      </c>
      <c r="F1165" s="70" t="s">
        <v>1786</v>
      </c>
      <c r="G1165" s="70" t="s">
        <v>1783</v>
      </c>
      <c r="H1165" s="71">
        <v>-2643572.13</v>
      </c>
      <c r="I1165" s="30">
        <v>1223</v>
      </c>
      <c r="J1165" s="72">
        <v>41</v>
      </c>
    </row>
    <row r="1166" spans="2:10" ht="23">
      <c r="B1166" s="69">
        <v>45291</v>
      </c>
      <c r="C1166" s="70" t="s">
        <v>1775</v>
      </c>
      <c r="D1166" s="101" t="s">
        <v>270</v>
      </c>
      <c r="E1166" s="70" t="s">
        <v>633</v>
      </c>
      <c r="F1166" s="70" t="s">
        <v>1787</v>
      </c>
      <c r="G1166" s="70" t="s">
        <v>1783</v>
      </c>
      <c r="H1166" s="71">
        <v>-2188722.62</v>
      </c>
      <c r="I1166" s="30">
        <v>1223</v>
      </c>
      <c r="J1166" s="72">
        <v>41</v>
      </c>
    </row>
    <row r="1167" spans="2:10" ht="23">
      <c r="B1167" s="69">
        <v>45291</v>
      </c>
      <c r="C1167" s="70" t="s">
        <v>1775</v>
      </c>
      <c r="D1167" s="101" t="s">
        <v>270</v>
      </c>
      <c r="E1167" s="70" t="s">
        <v>633</v>
      </c>
      <c r="F1167" s="70" t="s">
        <v>1788</v>
      </c>
      <c r="G1167" s="70" t="s">
        <v>1783</v>
      </c>
      <c r="H1167" s="71">
        <v>-1889921.49</v>
      </c>
      <c r="I1167" s="30">
        <v>1223</v>
      </c>
      <c r="J1167" s="72">
        <v>41</v>
      </c>
    </row>
    <row r="1168" spans="2:10" ht="23">
      <c r="B1168" s="69">
        <v>45291</v>
      </c>
      <c r="C1168" s="70" t="s">
        <v>1775</v>
      </c>
      <c r="D1168" s="101" t="s">
        <v>270</v>
      </c>
      <c r="E1168" s="70" t="s">
        <v>633</v>
      </c>
      <c r="F1168" s="70" t="s">
        <v>1789</v>
      </c>
      <c r="G1168" s="70" t="s">
        <v>1783</v>
      </c>
      <c r="H1168" s="71">
        <v>-1869354.43</v>
      </c>
      <c r="I1168" s="30">
        <v>1223</v>
      </c>
      <c r="J1168" s="72">
        <v>41</v>
      </c>
    </row>
    <row r="1169" spans="2:10" ht="23">
      <c r="B1169" s="69">
        <v>45291</v>
      </c>
      <c r="C1169" s="70" t="s">
        <v>1775</v>
      </c>
      <c r="D1169" s="101" t="s">
        <v>270</v>
      </c>
      <c r="E1169" s="70" t="s">
        <v>633</v>
      </c>
      <c r="F1169" s="70" t="s">
        <v>1790</v>
      </c>
      <c r="G1169" s="70" t="s">
        <v>1783</v>
      </c>
      <c r="H1169" s="71">
        <v>-1199466</v>
      </c>
      <c r="I1169" s="30">
        <v>1223</v>
      </c>
      <c r="J1169" s="72">
        <v>41</v>
      </c>
    </row>
    <row r="1170" spans="2:10">
      <c r="B1170" s="69">
        <v>45291</v>
      </c>
      <c r="C1170" s="70" t="s">
        <v>1775</v>
      </c>
      <c r="D1170" s="101" t="s">
        <v>270</v>
      </c>
      <c r="E1170" s="70" t="s">
        <v>622</v>
      </c>
      <c r="F1170" s="70" t="s">
        <v>1791</v>
      </c>
      <c r="G1170" s="70"/>
      <c r="H1170" s="71">
        <v>-115575547.92</v>
      </c>
      <c r="I1170" s="30">
        <v>1223</v>
      </c>
      <c r="J1170" s="72">
        <v>327</v>
      </c>
    </row>
    <row r="1171" spans="2:10">
      <c r="B1171" s="69">
        <v>45291</v>
      </c>
      <c r="C1171" s="70" t="s">
        <v>1775</v>
      </c>
      <c r="D1171" s="101" t="s">
        <v>270</v>
      </c>
      <c r="E1171" s="70" t="s">
        <v>622</v>
      </c>
      <c r="F1171" s="70" t="s">
        <v>1792</v>
      </c>
      <c r="G1171" s="70" t="s">
        <v>1793</v>
      </c>
      <c r="H1171" s="136">
        <v>-111764437.7</v>
      </c>
      <c r="I1171" s="30">
        <v>1223</v>
      </c>
      <c r="J1171" s="72">
        <v>327</v>
      </c>
    </row>
    <row r="1172" spans="2:10" ht="23">
      <c r="B1172" s="69">
        <v>45291</v>
      </c>
      <c r="C1172" s="70" t="s">
        <v>1775</v>
      </c>
      <c r="D1172" s="101" t="s">
        <v>270</v>
      </c>
      <c r="E1172" s="70" t="s">
        <v>514</v>
      </c>
      <c r="F1172" s="70" t="s">
        <v>1794</v>
      </c>
      <c r="G1172" s="70" t="s">
        <v>1793</v>
      </c>
      <c r="H1172" s="136">
        <v>-64427573.149999999</v>
      </c>
      <c r="I1172" s="30">
        <v>1223</v>
      </c>
      <c r="J1172" s="72">
        <v>327</v>
      </c>
    </row>
    <row r="1173" spans="2:10">
      <c r="B1173" s="212">
        <v>45291</v>
      </c>
      <c r="C1173" s="209" t="s">
        <v>1795</v>
      </c>
      <c r="D1173" s="213">
        <v>316204001001</v>
      </c>
      <c r="E1173" s="209" t="s">
        <v>514</v>
      </c>
      <c r="F1173" s="209" t="s">
        <v>1796</v>
      </c>
      <c r="G1173" s="209" t="s">
        <v>2479</v>
      </c>
      <c r="H1173" s="211">
        <v>96445430.25</v>
      </c>
      <c r="I1173" s="30">
        <v>1223</v>
      </c>
      <c r="J1173" s="72">
        <v>321</v>
      </c>
    </row>
    <row r="1174" spans="2:10">
      <c r="B1174" s="212">
        <v>45291</v>
      </c>
      <c r="C1174" s="209" t="s">
        <v>1795</v>
      </c>
      <c r="D1174" s="213">
        <v>316204001001</v>
      </c>
      <c r="E1174" s="209" t="s">
        <v>514</v>
      </c>
      <c r="F1174" s="209" t="s">
        <v>1796</v>
      </c>
      <c r="G1174" s="209" t="s">
        <v>2352</v>
      </c>
      <c r="H1174" s="211">
        <f>126311379-H1173</f>
        <v>29865948.75</v>
      </c>
      <c r="I1174" s="30">
        <v>1223</v>
      </c>
      <c r="J1174" s="72">
        <v>339</v>
      </c>
    </row>
    <row r="1175" spans="2:10">
      <c r="B1175" s="212">
        <v>45291</v>
      </c>
      <c r="C1175" s="209" t="s">
        <v>1795</v>
      </c>
      <c r="D1175" s="213">
        <v>316204001001</v>
      </c>
      <c r="E1175" s="209" t="s">
        <v>495</v>
      </c>
      <c r="F1175" s="209" t="s">
        <v>1796</v>
      </c>
      <c r="G1175" s="209" t="s">
        <v>2402</v>
      </c>
      <c r="H1175" s="211">
        <v>45510000</v>
      </c>
      <c r="I1175" s="30">
        <v>1223</v>
      </c>
      <c r="J1175" s="72">
        <v>332</v>
      </c>
    </row>
    <row r="1176" spans="2:10">
      <c r="B1176" s="212">
        <v>45291</v>
      </c>
      <c r="C1176" s="209" t="s">
        <v>1795</v>
      </c>
      <c r="D1176" s="213">
        <v>316204001001</v>
      </c>
      <c r="E1176" s="209" t="s">
        <v>495</v>
      </c>
      <c r="F1176" s="209" t="s">
        <v>1796</v>
      </c>
      <c r="G1176" s="209" t="s">
        <v>2401</v>
      </c>
      <c r="H1176" s="211">
        <f>549285720-H1175</f>
        <v>503775720</v>
      </c>
      <c r="I1176" s="30">
        <v>1223</v>
      </c>
      <c r="J1176" s="72">
        <v>332</v>
      </c>
    </row>
    <row r="1177" spans="2:10" s="183" customFormat="1">
      <c r="B1177" s="188">
        <v>45291</v>
      </c>
      <c r="C1177" s="189" t="s">
        <v>1795</v>
      </c>
      <c r="D1177" s="214">
        <v>316204001001</v>
      </c>
      <c r="E1177" s="189" t="s">
        <v>495</v>
      </c>
      <c r="F1177" s="189" t="s">
        <v>1796</v>
      </c>
      <c r="G1177" s="189" t="s">
        <v>2350</v>
      </c>
      <c r="H1177" s="136">
        <v>29262447.559999999</v>
      </c>
      <c r="I1177" s="184">
        <v>1223</v>
      </c>
      <c r="J1177" s="182">
        <v>37</v>
      </c>
    </row>
    <row r="1178" spans="2:10">
      <c r="B1178" s="212">
        <v>45291</v>
      </c>
      <c r="C1178" s="209" t="s">
        <v>1795</v>
      </c>
      <c r="D1178" s="213">
        <v>316204001001</v>
      </c>
      <c r="E1178" s="209" t="s">
        <v>495</v>
      </c>
      <c r="F1178" s="209" t="s">
        <v>1796</v>
      </c>
      <c r="G1178" s="209" t="s">
        <v>2349</v>
      </c>
      <c r="H1178" s="211">
        <v>47730000</v>
      </c>
      <c r="I1178" s="30">
        <v>1223</v>
      </c>
      <c r="J1178" s="72">
        <v>336</v>
      </c>
    </row>
    <row r="1179" spans="2:10">
      <c r="B1179" s="212">
        <v>45291</v>
      </c>
      <c r="C1179" s="209" t="s">
        <v>1795</v>
      </c>
      <c r="D1179" s="213">
        <v>316204001001</v>
      </c>
      <c r="E1179" s="209" t="s">
        <v>495</v>
      </c>
      <c r="F1179" s="209" t="s">
        <v>1796</v>
      </c>
      <c r="G1179" s="207" t="s">
        <v>2348</v>
      </c>
      <c r="H1179" s="211">
        <v>502079050</v>
      </c>
      <c r="I1179" s="30">
        <v>1223</v>
      </c>
      <c r="J1179" s="72" t="s">
        <v>537</v>
      </c>
    </row>
    <row r="1180" spans="2:10" ht="34.5">
      <c r="B1180" s="69">
        <v>45291</v>
      </c>
      <c r="C1180" s="70" t="s">
        <v>1797</v>
      </c>
      <c r="D1180" s="101" t="s">
        <v>270</v>
      </c>
      <c r="E1180" s="70" t="s">
        <v>308</v>
      </c>
      <c r="F1180" s="70" t="s">
        <v>448</v>
      </c>
      <c r="G1180" s="70" t="s">
        <v>1798</v>
      </c>
      <c r="H1180" s="137">
        <v>255941586</v>
      </c>
      <c r="I1180" s="30">
        <v>1223</v>
      </c>
      <c r="J1180" s="72" t="s">
        <v>535</v>
      </c>
    </row>
    <row r="1181" spans="2:10" ht="34.5">
      <c r="B1181" s="69">
        <v>45291</v>
      </c>
      <c r="C1181" s="70" t="s">
        <v>1797</v>
      </c>
      <c r="D1181" s="101" t="s">
        <v>270</v>
      </c>
      <c r="E1181" s="70" t="s">
        <v>308</v>
      </c>
      <c r="F1181" s="70" t="s">
        <v>448</v>
      </c>
      <c r="G1181" s="70" t="s">
        <v>1798</v>
      </c>
      <c r="H1181" s="137">
        <v>21115181</v>
      </c>
      <c r="I1181" s="30">
        <v>1223</v>
      </c>
      <c r="J1181" s="72" t="s">
        <v>535</v>
      </c>
    </row>
    <row r="1182" spans="2:10" ht="34.5">
      <c r="B1182" s="69">
        <v>45291</v>
      </c>
      <c r="C1182" s="70" t="s">
        <v>1799</v>
      </c>
      <c r="D1182" s="101" t="s">
        <v>270</v>
      </c>
      <c r="E1182" s="70" t="s">
        <v>308</v>
      </c>
      <c r="F1182" s="70" t="s">
        <v>1164</v>
      </c>
      <c r="G1182" s="70" t="s">
        <v>1800</v>
      </c>
      <c r="H1182" s="163">
        <v>950158789</v>
      </c>
      <c r="I1182" s="30">
        <v>1223</v>
      </c>
      <c r="J1182" s="30">
        <v>22</v>
      </c>
    </row>
    <row r="1183" spans="2:10" ht="23">
      <c r="B1183" s="69">
        <v>45291</v>
      </c>
      <c r="C1183" s="70" t="s">
        <v>1801</v>
      </c>
      <c r="D1183" s="101" t="s">
        <v>270</v>
      </c>
      <c r="E1183" s="70" t="s">
        <v>514</v>
      </c>
      <c r="F1183" s="70" t="s">
        <v>1802</v>
      </c>
      <c r="G1183" s="70" t="s">
        <v>1803</v>
      </c>
      <c r="H1183" s="71">
        <v>590128</v>
      </c>
      <c r="I1183" s="30">
        <v>1223</v>
      </c>
      <c r="J1183" s="72">
        <v>329</v>
      </c>
    </row>
    <row r="1184" spans="2:10">
      <c r="B1184" s="69">
        <v>45291</v>
      </c>
      <c r="C1184" s="70" t="s">
        <v>1801</v>
      </c>
      <c r="D1184" s="124" t="s">
        <v>270</v>
      </c>
      <c r="E1184" s="70" t="s">
        <v>495</v>
      </c>
      <c r="F1184" s="70" t="s">
        <v>1804</v>
      </c>
      <c r="G1184" s="70" t="s">
        <v>1796</v>
      </c>
      <c r="H1184" s="71">
        <v>5042100</v>
      </c>
      <c r="I1184" s="30">
        <v>1223</v>
      </c>
      <c r="J1184" s="72" t="s">
        <v>1168</v>
      </c>
    </row>
    <row r="1185" spans="2:10">
      <c r="B1185" s="69">
        <v>45291</v>
      </c>
      <c r="C1185" s="70" t="s">
        <v>1805</v>
      </c>
      <c r="D1185" s="101" t="s">
        <v>270</v>
      </c>
      <c r="E1185" s="70" t="s">
        <v>271</v>
      </c>
      <c r="F1185" s="70" t="s">
        <v>1806</v>
      </c>
      <c r="G1185" s="70" t="s">
        <v>1550</v>
      </c>
      <c r="H1185" s="71">
        <v>-3278000</v>
      </c>
      <c r="I1185" s="30">
        <v>1223</v>
      </c>
      <c r="J1185" s="72">
        <v>327</v>
      </c>
    </row>
    <row r="1186" spans="2:10" ht="23">
      <c r="B1186" s="69">
        <v>45291</v>
      </c>
      <c r="C1186" s="70" t="s">
        <v>1807</v>
      </c>
      <c r="D1186" s="101" t="s">
        <v>270</v>
      </c>
      <c r="E1186" s="70" t="s">
        <v>514</v>
      </c>
      <c r="F1186" s="70" t="s">
        <v>1808</v>
      </c>
      <c r="G1186" s="70" t="s">
        <v>1809</v>
      </c>
      <c r="H1186" s="71">
        <v>15560000</v>
      </c>
      <c r="I1186" s="30">
        <v>1223</v>
      </c>
      <c r="J1186" s="72">
        <v>319</v>
      </c>
    </row>
    <row r="1187" spans="2:10" ht="23">
      <c r="B1187" s="69">
        <v>45291</v>
      </c>
      <c r="C1187" s="70" t="s">
        <v>1807</v>
      </c>
      <c r="D1187" s="101" t="s">
        <v>270</v>
      </c>
      <c r="E1187" s="70" t="s">
        <v>514</v>
      </c>
      <c r="F1187" s="70" t="s">
        <v>1810</v>
      </c>
      <c r="G1187" s="70" t="s">
        <v>1811</v>
      </c>
      <c r="H1187" s="71">
        <v>13015258</v>
      </c>
      <c r="I1187" s="30">
        <v>1223</v>
      </c>
      <c r="J1187" s="72">
        <v>329</v>
      </c>
    </row>
    <row r="1188" spans="2:10">
      <c r="B1188" s="69">
        <v>45291</v>
      </c>
      <c r="C1188" s="70" t="s">
        <v>1801</v>
      </c>
      <c r="D1188" s="101" t="s">
        <v>270</v>
      </c>
      <c r="E1188" s="70" t="s">
        <v>514</v>
      </c>
      <c r="F1188" s="70" t="s">
        <v>1812</v>
      </c>
      <c r="G1188" s="70" t="s">
        <v>1079</v>
      </c>
      <c r="H1188" s="71">
        <v>6670979.9299999997</v>
      </c>
      <c r="I1188" s="30">
        <v>1223</v>
      </c>
      <c r="J1188" s="72" t="s">
        <v>2344</v>
      </c>
    </row>
    <row r="1189" spans="2:10" ht="23">
      <c r="B1189" s="69">
        <v>45291</v>
      </c>
      <c r="C1189" s="70" t="s">
        <v>1801</v>
      </c>
      <c r="D1189" s="101" t="s">
        <v>270</v>
      </c>
      <c r="E1189" s="70" t="s">
        <v>622</v>
      </c>
      <c r="F1189" s="70" t="s">
        <v>1813</v>
      </c>
      <c r="G1189" s="70" t="s">
        <v>1393</v>
      </c>
      <c r="H1189" s="136">
        <v>490808335.85000002</v>
      </c>
      <c r="I1189" s="30">
        <v>1223</v>
      </c>
      <c r="J1189" s="72" t="s">
        <v>2344</v>
      </c>
    </row>
    <row r="1190" spans="2:10" ht="23">
      <c r="B1190" s="69">
        <v>45291</v>
      </c>
      <c r="C1190" s="70" t="s">
        <v>1801</v>
      </c>
      <c r="D1190" s="101" t="s">
        <v>270</v>
      </c>
      <c r="E1190" s="70" t="s">
        <v>514</v>
      </c>
      <c r="F1190" s="70" t="s">
        <v>1813</v>
      </c>
      <c r="G1190" s="70" t="s">
        <v>1389</v>
      </c>
      <c r="H1190" s="136">
        <v>299649300.31</v>
      </c>
      <c r="I1190" s="30">
        <v>1223</v>
      </c>
      <c r="J1190" s="72" t="s">
        <v>2344</v>
      </c>
    </row>
    <row r="1191" spans="2:10" ht="23">
      <c r="B1191" s="69">
        <v>45291</v>
      </c>
      <c r="C1191" s="70" t="s">
        <v>1801</v>
      </c>
      <c r="D1191" s="101" t="s">
        <v>270</v>
      </c>
      <c r="E1191" s="70" t="s">
        <v>622</v>
      </c>
      <c r="F1191" s="70" t="s">
        <v>1813</v>
      </c>
      <c r="G1191" s="70" t="s">
        <v>1092</v>
      </c>
      <c r="H1191" s="136">
        <v>63565750.57</v>
      </c>
      <c r="I1191" s="30">
        <v>1223</v>
      </c>
      <c r="J1191" s="72" t="s">
        <v>2344</v>
      </c>
    </row>
    <row r="1192" spans="2:10" ht="23">
      <c r="B1192" s="69">
        <v>45291</v>
      </c>
      <c r="C1192" s="70" t="s">
        <v>1801</v>
      </c>
      <c r="D1192" s="101" t="s">
        <v>270</v>
      </c>
      <c r="E1192" s="70" t="s">
        <v>514</v>
      </c>
      <c r="F1192" s="70" t="s">
        <v>1813</v>
      </c>
      <c r="G1192" s="70" t="s">
        <v>1390</v>
      </c>
      <c r="H1192" s="136">
        <v>24289611.84</v>
      </c>
      <c r="I1192" s="30">
        <v>1223</v>
      </c>
      <c r="J1192" s="72" t="s">
        <v>2344</v>
      </c>
    </row>
    <row r="1193" spans="2:10" ht="23">
      <c r="B1193" s="69">
        <v>45291</v>
      </c>
      <c r="C1193" s="70" t="s">
        <v>1801</v>
      </c>
      <c r="D1193" s="101" t="s">
        <v>270</v>
      </c>
      <c r="E1193" s="70" t="s">
        <v>622</v>
      </c>
      <c r="F1193" s="70" t="s">
        <v>1813</v>
      </c>
      <c r="G1193" s="70" t="s">
        <v>1239</v>
      </c>
      <c r="H1193" s="71">
        <v>19180839.25</v>
      </c>
      <c r="I1193" s="30">
        <v>1223</v>
      </c>
      <c r="J1193" s="72">
        <v>327</v>
      </c>
    </row>
    <row r="1194" spans="2:10" ht="23">
      <c r="B1194" s="69">
        <v>45291</v>
      </c>
      <c r="C1194" s="70" t="s">
        <v>1801</v>
      </c>
      <c r="D1194" s="101" t="s">
        <v>270</v>
      </c>
      <c r="E1194" s="70" t="s">
        <v>622</v>
      </c>
      <c r="F1194" s="70" t="s">
        <v>1813</v>
      </c>
      <c r="G1194" s="70" t="s">
        <v>1240</v>
      </c>
      <c r="H1194" s="71">
        <v>11331895.210000001</v>
      </c>
      <c r="I1194" s="30">
        <v>1223</v>
      </c>
      <c r="J1194" s="72">
        <v>327</v>
      </c>
    </row>
    <row r="1195" spans="2:10" ht="23">
      <c r="B1195" s="69">
        <v>45291</v>
      </c>
      <c r="C1195" s="70" t="s">
        <v>1801</v>
      </c>
      <c r="D1195" s="101" t="s">
        <v>270</v>
      </c>
      <c r="E1195" s="70" t="s">
        <v>622</v>
      </c>
      <c r="F1195" s="70" t="s">
        <v>1813</v>
      </c>
      <c r="G1195" s="70" t="s">
        <v>1095</v>
      </c>
      <c r="H1195" s="71">
        <v>6629173.71</v>
      </c>
      <c r="I1195" s="30">
        <v>1223</v>
      </c>
      <c r="J1195" s="72">
        <v>327</v>
      </c>
    </row>
    <row r="1196" spans="2:10" ht="23">
      <c r="B1196" s="69">
        <v>45291</v>
      </c>
      <c r="C1196" s="70" t="s">
        <v>1801</v>
      </c>
      <c r="D1196" s="101" t="s">
        <v>270</v>
      </c>
      <c r="E1196" s="70" t="s">
        <v>514</v>
      </c>
      <c r="F1196" s="70" t="s">
        <v>1813</v>
      </c>
      <c r="G1196" s="70" t="s">
        <v>1391</v>
      </c>
      <c r="H1196" s="136">
        <v>5173007.97</v>
      </c>
      <c r="I1196" s="30">
        <v>1223</v>
      </c>
      <c r="J1196" s="72" t="s">
        <v>2344</v>
      </c>
    </row>
    <row r="1197" spans="2:10" ht="23">
      <c r="B1197" s="69">
        <v>45291</v>
      </c>
      <c r="C1197" s="70" t="s">
        <v>1801</v>
      </c>
      <c r="D1197" s="101" t="s">
        <v>270</v>
      </c>
      <c r="E1197" s="70" t="s">
        <v>514</v>
      </c>
      <c r="F1197" s="70" t="s">
        <v>1813</v>
      </c>
      <c r="G1197" s="70" t="s">
        <v>1392</v>
      </c>
      <c r="H1197" s="136">
        <v>4728135.6100000003</v>
      </c>
      <c r="I1197" s="30">
        <v>1223</v>
      </c>
      <c r="J1197" s="72" t="s">
        <v>2344</v>
      </c>
    </row>
    <row r="1198" spans="2:10" ht="23">
      <c r="B1198" s="69">
        <v>45291</v>
      </c>
      <c r="C1198" s="70" t="s">
        <v>1801</v>
      </c>
      <c r="D1198" s="101" t="s">
        <v>270</v>
      </c>
      <c r="E1198" s="70" t="s">
        <v>622</v>
      </c>
      <c r="F1198" s="70" t="s">
        <v>1813</v>
      </c>
      <c r="G1198" s="70" t="s">
        <v>1229</v>
      </c>
      <c r="H1198" s="136">
        <v>4017160.83</v>
      </c>
      <c r="I1198" s="30">
        <v>1223</v>
      </c>
      <c r="J1198" s="44">
        <v>328</v>
      </c>
    </row>
    <row r="1199" spans="2:10" ht="23">
      <c r="B1199" s="69">
        <v>45291</v>
      </c>
      <c r="C1199" s="70" t="s">
        <v>1801</v>
      </c>
      <c r="D1199" s="101" t="s">
        <v>270</v>
      </c>
      <c r="E1199" s="70" t="s">
        <v>622</v>
      </c>
      <c r="F1199" s="70" t="s">
        <v>1813</v>
      </c>
      <c r="G1199" s="70" t="s">
        <v>1238</v>
      </c>
      <c r="H1199" s="71">
        <v>2581920.98</v>
      </c>
      <c r="I1199" s="30">
        <v>1223</v>
      </c>
      <c r="J1199" s="44">
        <v>328</v>
      </c>
    </row>
    <row r="1200" spans="2:10" ht="23">
      <c r="B1200" s="69">
        <v>45291</v>
      </c>
      <c r="C1200" s="70" t="s">
        <v>1801</v>
      </c>
      <c r="D1200" s="101" t="s">
        <v>270</v>
      </c>
      <c r="E1200" s="70" t="s">
        <v>622</v>
      </c>
      <c r="F1200" s="70" t="s">
        <v>1813</v>
      </c>
      <c r="G1200" s="70" t="s">
        <v>1388</v>
      </c>
      <c r="H1200" s="71">
        <v>2454938.6</v>
      </c>
      <c r="I1200" s="30">
        <v>1223</v>
      </c>
      <c r="J1200" s="72">
        <v>327</v>
      </c>
    </row>
    <row r="1201" spans="2:10" ht="23">
      <c r="B1201" s="69">
        <v>45291</v>
      </c>
      <c r="C1201" s="70" t="s">
        <v>1801</v>
      </c>
      <c r="D1201" s="101" t="s">
        <v>270</v>
      </c>
      <c r="E1201" s="70" t="s">
        <v>622</v>
      </c>
      <c r="F1201" s="70" t="s">
        <v>1813</v>
      </c>
      <c r="G1201" s="70" t="s">
        <v>1234</v>
      </c>
      <c r="H1201" s="71">
        <v>2333527.37</v>
      </c>
      <c r="I1201" s="30">
        <v>1223</v>
      </c>
      <c r="J1201" s="44">
        <v>328</v>
      </c>
    </row>
    <row r="1202" spans="2:10" ht="23">
      <c r="B1202" s="69">
        <v>45291</v>
      </c>
      <c r="C1202" s="70" t="s">
        <v>1801</v>
      </c>
      <c r="D1202" s="101" t="s">
        <v>270</v>
      </c>
      <c r="E1202" s="70" t="s">
        <v>514</v>
      </c>
      <c r="F1202" s="70" t="s">
        <v>1813</v>
      </c>
      <c r="G1202" s="70" t="s">
        <v>1079</v>
      </c>
      <c r="H1202" s="71">
        <v>2155239.67</v>
      </c>
      <c r="I1202" s="30">
        <v>1223</v>
      </c>
      <c r="J1202" s="72" t="s">
        <v>2344</v>
      </c>
    </row>
    <row r="1203" spans="2:10" ht="23">
      <c r="B1203" s="69">
        <v>45291</v>
      </c>
      <c r="C1203" s="70" t="s">
        <v>1801</v>
      </c>
      <c r="D1203" s="101" t="s">
        <v>270</v>
      </c>
      <c r="E1203" s="70" t="s">
        <v>622</v>
      </c>
      <c r="F1203" s="70" t="s">
        <v>1813</v>
      </c>
      <c r="G1203" s="70" t="s">
        <v>1228</v>
      </c>
      <c r="H1203" s="71">
        <v>1918474.98</v>
      </c>
      <c r="I1203" s="30">
        <v>1223</v>
      </c>
      <c r="J1203" s="72">
        <v>327</v>
      </c>
    </row>
    <row r="1204" spans="2:10" ht="23">
      <c r="B1204" s="69">
        <v>45291</v>
      </c>
      <c r="C1204" s="70" t="s">
        <v>1801</v>
      </c>
      <c r="D1204" s="101" t="s">
        <v>270</v>
      </c>
      <c r="E1204" s="70" t="s">
        <v>622</v>
      </c>
      <c r="F1204" s="70" t="s">
        <v>1813</v>
      </c>
      <c r="G1204" s="70" t="s">
        <v>1232</v>
      </c>
      <c r="H1204" s="71">
        <v>1875584.61</v>
      </c>
      <c r="I1204" s="30">
        <v>1223</v>
      </c>
      <c r="J1204" s="72">
        <v>327</v>
      </c>
    </row>
    <row r="1205" spans="2:10" ht="23">
      <c r="B1205" s="69">
        <v>45291</v>
      </c>
      <c r="C1205" s="70" t="s">
        <v>1801</v>
      </c>
      <c r="D1205" s="101" t="s">
        <v>270</v>
      </c>
      <c r="E1205" s="70" t="s">
        <v>622</v>
      </c>
      <c r="F1205" s="70" t="s">
        <v>1813</v>
      </c>
      <c r="G1205" s="70" t="s">
        <v>1676</v>
      </c>
      <c r="H1205" s="71">
        <v>1691002.52</v>
      </c>
      <c r="I1205" s="30">
        <v>1223</v>
      </c>
      <c r="J1205" s="72">
        <v>327</v>
      </c>
    </row>
    <row r="1206" spans="2:10" ht="23">
      <c r="B1206" s="69">
        <v>45291</v>
      </c>
      <c r="C1206" s="70" t="s">
        <v>1801</v>
      </c>
      <c r="D1206" s="101" t="s">
        <v>270</v>
      </c>
      <c r="E1206" s="70" t="s">
        <v>514</v>
      </c>
      <c r="F1206" s="70" t="s">
        <v>1813</v>
      </c>
      <c r="G1206" s="70" t="s">
        <v>1673</v>
      </c>
      <c r="H1206" s="136">
        <v>1049479.42</v>
      </c>
      <c r="I1206" s="30">
        <v>1223</v>
      </c>
      <c r="J1206" s="72" t="s">
        <v>2344</v>
      </c>
    </row>
    <row r="1207" spans="2:10" ht="23">
      <c r="B1207" s="69">
        <v>45291</v>
      </c>
      <c r="C1207" s="70" t="s">
        <v>1801</v>
      </c>
      <c r="D1207" s="101" t="s">
        <v>270</v>
      </c>
      <c r="E1207" s="70" t="s">
        <v>622</v>
      </c>
      <c r="F1207" s="70" t="s">
        <v>1813</v>
      </c>
      <c r="G1207" s="70" t="s">
        <v>1338</v>
      </c>
      <c r="H1207" s="71">
        <v>1027313.52</v>
      </c>
      <c r="I1207" s="30">
        <v>1223</v>
      </c>
      <c r="J1207" s="44">
        <v>328</v>
      </c>
    </row>
    <row r="1208" spans="2:10" ht="23">
      <c r="B1208" s="69">
        <v>45291</v>
      </c>
      <c r="C1208" s="70" t="s">
        <v>1801</v>
      </c>
      <c r="D1208" s="101" t="s">
        <v>270</v>
      </c>
      <c r="E1208" s="70" t="s">
        <v>622</v>
      </c>
      <c r="F1208" s="70" t="s">
        <v>1813</v>
      </c>
      <c r="G1208" s="70" t="s">
        <v>1675</v>
      </c>
      <c r="H1208" s="71">
        <v>774432.33</v>
      </c>
      <c r="I1208" s="30">
        <v>1223</v>
      </c>
      <c r="J1208" s="72">
        <v>327</v>
      </c>
    </row>
    <row r="1209" spans="2:10" ht="23">
      <c r="B1209" s="69">
        <v>45291</v>
      </c>
      <c r="C1209" s="70" t="s">
        <v>1801</v>
      </c>
      <c r="D1209" s="101" t="s">
        <v>270</v>
      </c>
      <c r="E1209" s="70" t="s">
        <v>622</v>
      </c>
      <c r="F1209" s="70" t="s">
        <v>1813</v>
      </c>
      <c r="G1209" s="70" t="s">
        <v>150</v>
      </c>
      <c r="H1209" s="71">
        <v>707164.62</v>
      </c>
      <c r="I1209" s="30">
        <v>1223</v>
      </c>
      <c r="J1209" s="72">
        <v>327</v>
      </c>
    </row>
    <row r="1210" spans="2:10" ht="23">
      <c r="B1210" s="69">
        <v>45291</v>
      </c>
      <c r="C1210" s="70" t="s">
        <v>1801</v>
      </c>
      <c r="D1210" s="101" t="s">
        <v>270</v>
      </c>
      <c r="E1210" s="70" t="s">
        <v>622</v>
      </c>
      <c r="F1210" s="70" t="s">
        <v>1813</v>
      </c>
      <c r="G1210" s="70" t="s">
        <v>1233</v>
      </c>
      <c r="H1210" s="71">
        <v>319620.55</v>
      </c>
      <c r="I1210" s="30">
        <v>1223</v>
      </c>
      <c r="J1210" s="44">
        <v>328</v>
      </c>
    </row>
    <row r="1211" spans="2:10" ht="23">
      <c r="B1211" s="69">
        <v>45291</v>
      </c>
      <c r="C1211" s="70" t="s">
        <v>1801</v>
      </c>
      <c r="D1211" s="101" t="s">
        <v>270</v>
      </c>
      <c r="E1211" s="70" t="s">
        <v>622</v>
      </c>
      <c r="F1211" s="70" t="s">
        <v>1813</v>
      </c>
      <c r="G1211" s="70" t="s">
        <v>1674</v>
      </c>
      <c r="H1211" s="71">
        <v>256925.86</v>
      </c>
      <c r="I1211" s="30">
        <v>1223</v>
      </c>
      <c r="J1211" s="72">
        <v>327</v>
      </c>
    </row>
    <row r="1212" spans="2:10" ht="23">
      <c r="B1212" s="69">
        <v>45291</v>
      </c>
      <c r="C1212" s="70" t="s">
        <v>1801</v>
      </c>
      <c r="D1212" s="101" t="s">
        <v>270</v>
      </c>
      <c r="E1212" s="70" t="s">
        <v>622</v>
      </c>
      <c r="F1212" s="70" t="s">
        <v>1813</v>
      </c>
      <c r="G1212" s="70" t="s">
        <v>733</v>
      </c>
      <c r="H1212" s="71">
        <v>39900.76</v>
      </c>
      <c r="I1212" s="30">
        <v>1223</v>
      </c>
      <c r="J1212" s="72">
        <v>327</v>
      </c>
    </row>
    <row r="1213" spans="2:10" ht="23">
      <c r="B1213" s="69">
        <v>45291</v>
      </c>
      <c r="C1213" s="70" t="s">
        <v>1807</v>
      </c>
      <c r="D1213" s="101" t="s">
        <v>270</v>
      </c>
      <c r="E1213" s="70" t="s">
        <v>514</v>
      </c>
      <c r="F1213" s="70" t="s">
        <v>1814</v>
      </c>
      <c r="G1213" s="70" t="s">
        <v>1815</v>
      </c>
      <c r="H1213" s="71">
        <v>73211558</v>
      </c>
      <c r="I1213" s="30">
        <v>1223</v>
      </c>
      <c r="J1213" s="72" t="s">
        <v>2480</v>
      </c>
    </row>
    <row r="1214" spans="2:10" ht="23">
      <c r="B1214" s="69">
        <v>45291</v>
      </c>
      <c r="C1214" s="70" t="s">
        <v>1816</v>
      </c>
      <c r="D1214" s="101" t="s">
        <v>270</v>
      </c>
      <c r="E1214" s="70" t="s">
        <v>271</v>
      </c>
      <c r="F1214" s="70" t="s">
        <v>1023</v>
      </c>
      <c r="G1214" s="70" t="s">
        <v>1817</v>
      </c>
      <c r="H1214" s="71">
        <v>8665770</v>
      </c>
      <c r="I1214" s="30">
        <v>1223</v>
      </c>
      <c r="J1214" s="72">
        <v>329</v>
      </c>
    </row>
    <row r="1215" spans="2:10">
      <c r="B1215" s="69">
        <v>45291</v>
      </c>
      <c r="C1215" s="70" t="s">
        <v>1795</v>
      </c>
      <c r="D1215" s="101" t="s">
        <v>640</v>
      </c>
      <c r="E1215" s="70" t="s">
        <v>495</v>
      </c>
      <c r="F1215" s="70" t="s">
        <v>1796</v>
      </c>
      <c r="G1215" s="70" t="s">
        <v>2374</v>
      </c>
      <c r="H1215" s="71">
        <f>127737068.4</f>
        <v>127737068.40000001</v>
      </c>
      <c r="I1215" s="30">
        <v>1223</v>
      </c>
      <c r="J1215" s="30">
        <v>34</v>
      </c>
    </row>
    <row r="1216" spans="2:10" ht="23">
      <c r="B1216" s="69">
        <v>45291</v>
      </c>
      <c r="C1216" s="70" t="s">
        <v>1818</v>
      </c>
      <c r="D1216" s="101" t="s">
        <v>1819</v>
      </c>
      <c r="E1216" s="70" t="s">
        <v>271</v>
      </c>
      <c r="F1216" s="70" t="s">
        <v>1023</v>
      </c>
      <c r="G1216" s="70" t="s">
        <v>1820</v>
      </c>
      <c r="H1216" s="71">
        <v>200632500</v>
      </c>
      <c r="I1216" s="30">
        <v>1223</v>
      </c>
      <c r="J1216" s="72" t="s">
        <v>538</v>
      </c>
    </row>
    <row r="1217" spans="2:10" ht="23">
      <c r="B1217" s="69">
        <v>45291</v>
      </c>
      <c r="C1217" s="70" t="s">
        <v>1818</v>
      </c>
      <c r="D1217" s="101" t="s">
        <v>1819</v>
      </c>
      <c r="E1217" s="70" t="s">
        <v>271</v>
      </c>
      <c r="F1217" s="70" t="s">
        <v>1023</v>
      </c>
      <c r="G1217" s="70" t="s">
        <v>1821</v>
      </c>
      <c r="H1217" s="71">
        <v>401265000</v>
      </c>
      <c r="I1217" s="30">
        <v>1223</v>
      </c>
      <c r="J1217" s="72" t="s">
        <v>538</v>
      </c>
    </row>
    <row r="1218" spans="2:10" ht="23">
      <c r="B1218" s="69">
        <v>45291</v>
      </c>
      <c r="C1218" s="70" t="s">
        <v>1822</v>
      </c>
      <c r="D1218" s="101" t="s">
        <v>740</v>
      </c>
      <c r="E1218" s="70" t="s">
        <v>633</v>
      </c>
      <c r="F1218" s="70" t="s">
        <v>1723</v>
      </c>
      <c r="G1218" s="70" t="s">
        <v>1823</v>
      </c>
      <c r="H1218" s="71">
        <v>1414000090.74</v>
      </c>
      <c r="I1218" s="30">
        <v>1223</v>
      </c>
      <c r="J1218" s="72" t="s">
        <v>870</v>
      </c>
    </row>
    <row r="1219" spans="2:10">
      <c r="B1219" s="69">
        <v>45291</v>
      </c>
      <c r="C1219" s="70" t="s">
        <v>1795</v>
      </c>
      <c r="D1219" s="101">
        <v>316204003101</v>
      </c>
      <c r="E1219" s="70" t="s">
        <v>495</v>
      </c>
      <c r="F1219" s="70" t="s">
        <v>1796</v>
      </c>
      <c r="G1219" s="70" t="s">
        <v>2413</v>
      </c>
      <c r="H1219" s="71">
        <v>13610608.300000001</v>
      </c>
      <c r="I1219" s="30">
        <v>1223</v>
      </c>
      <c r="J1219" s="30">
        <v>319</v>
      </c>
    </row>
    <row r="1220" spans="2:10" ht="23">
      <c r="B1220" s="69">
        <v>45291</v>
      </c>
      <c r="C1220" s="70" t="s">
        <v>1825</v>
      </c>
      <c r="D1220" s="101" t="s">
        <v>1350</v>
      </c>
      <c r="E1220" s="70" t="s">
        <v>271</v>
      </c>
      <c r="F1220" s="70" t="s">
        <v>1023</v>
      </c>
      <c r="G1220" s="70" t="s">
        <v>1826</v>
      </c>
      <c r="H1220" s="71">
        <v>703740000</v>
      </c>
      <c r="I1220" s="30">
        <v>1223</v>
      </c>
      <c r="J1220" s="72" t="s">
        <v>2421</v>
      </c>
    </row>
    <row r="1221" spans="2:10" ht="23">
      <c r="B1221" s="69">
        <v>45291</v>
      </c>
      <c r="C1221" s="70" t="s">
        <v>1827</v>
      </c>
      <c r="D1221" s="101" t="s">
        <v>1350</v>
      </c>
      <c r="E1221" s="70" t="s">
        <v>271</v>
      </c>
      <c r="F1221" s="70" t="s">
        <v>1828</v>
      </c>
      <c r="G1221" s="70" t="s">
        <v>1829</v>
      </c>
      <c r="H1221" s="71">
        <v>70374000</v>
      </c>
      <c r="I1221" s="30">
        <v>1223</v>
      </c>
      <c r="J1221" s="72" t="s">
        <v>2423</v>
      </c>
    </row>
    <row r="1222" spans="2:10" ht="23">
      <c r="B1222" s="69">
        <v>45291</v>
      </c>
      <c r="C1222" s="70" t="s">
        <v>1775</v>
      </c>
      <c r="D1222" s="101" t="s">
        <v>1519</v>
      </c>
      <c r="E1222" s="70" t="s">
        <v>622</v>
      </c>
      <c r="F1222" s="70" t="s">
        <v>1790</v>
      </c>
      <c r="G1222" s="70" t="s">
        <v>1783</v>
      </c>
      <c r="H1222" s="71">
        <v>1199466</v>
      </c>
      <c r="I1222" s="30">
        <v>1223</v>
      </c>
      <c r="J1222" s="30">
        <v>41</v>
      </c>
    </row>
    <row r="1223" spans="2:10" ht="23">
      <c r="B1223" s="69">
        <v>45291</v>
      </c>
      <c r="C1223" s="70" t="s">
        <v>1830</v>
      </c>
      <c r="D1223" s="101" t="s">
        <v>1519</v>
      </c>
      <c r="E1223" s="70" t="s">
        <v>271</v>
      </c>
      <c r="F1223" s="70" t="s">
        <v>1831</v>
      </c>
      <c r="G1223" s="70" t="s">
        <v>1832</v>
      </c>
      <c r="H1223" s="71">
        <v>296370000</v>
      </c>
      <c r="I1223" s="30">
        <v>1223</v>
      </c>
      <c r="J1223" s="72" t="s">
        <v>2422</v>
      </c>
    </row>
    <row r="1224" spans="2:10" ht="23">
      <c r="B1224" s="69">
        <v>45291</v>
      </c>
      <c r="C1224" s="70" t="s">
        <v>1825</v>
      </c>
      <c r="D1224" s="101" t="s">
        <v>1516</v>
      </c>
      <c r="E1224" s="70" t="s">
        <v>271</v>
      </c>
      <c r="F1224" s="70" t="s">
        <v>1023</v>
      </c>
      <c r="G1224" s="70" t="s">
        <v>1829</v>
      </c>
      <c r="H1224" s="71">
        <v>281496000</v>
      </c>
      <c r="I1224" s="30">
        <v>1223</v>
      </c>
      <c r="J1224" s="72" t="s">
        <v>2423</v>
      </c>
    </row>
    <row r="1225" spans="2:10">
      <c r="B1225" s="69">
        <v>45291</v>
      </c>
      <c r="C1225" s="70" t="s">
        <v>1833</v>
      </c>
      <c r="D1225" s="101" t="s">
        <v>653</v>
      </c>
      <c r="E1225" s="70" t="s">
        <v>622</v>
      </c>
      <c r="F1225" s="70" t="s">
        <v>1834</v>
      </c>
      <c r="G1225" s="70" t="s">
        <v>1835</v>
      </c>
      <c r="H1225" s="117">
        <v>1250000</v>
      </c>
      <c r="I1225" s="30">
        <v>1223</v>
      </c>
      <c r="J1225" s="30">
        <v>327</v>
      </c>
    </row>
    <row r="1226" spans="2:10">
      <c r="B1226" s="69">
        <v>45291</v>
      </c>
      <c r="C1226" s="70" t="s">
        <v>1795</v>
      </c>
      <c r="D1226" s="101">
        <v>316204005002</v>
      </c>
      <c r="E1226" s="70" t="s">
        <v>495</v>
      </c>
      <c r="F1226" s="1776" t="s">
        <v>1796</v>
      </c>
      <c r="G1226" s="70" t="s">
        <v>2370</v>
      </c>
      <c r="H1226" s="187">
        <v>499500000</v>
      </c>
      <c r="I1226" s="30">
        <v>1223</v>
      </c>
      <c r="J1226" s="30">
        <v>312</v>
      </c>
    </row>
    <row r="1227" spans="2:10">
      <c r="B1227" s="69">
        <v>45291</v>
      </c>
      <c r="C1227" s="70" t="s">
        <v>1795</v>
      </c>
      <c r="D1227" s="101">
        <v>316204005002</v>
      </c>
      <c r="E1227" s="70" t="s">
        <v>495</v>
      </c>
      <c r="F1227" s="1778"/>
      <c r="G1227" s="70" t="s">
        <v>2397</v>
      </c>
      <c r="H1227" s="219">
        <f>920278800-H1226</f>
        <v>420778800</v>
      </c>
      <c r="I1227" s="30">
        <v>1223</v>
      </c>
      <c r="J1227" s="30">
        <v>311</v>
      </c>
    </row>
    <row r="1228" spans="2:10" ht="23">
      <c r="B1228" s="69">
        <v>45291</v>
      </c>
      <c r="C1228" s="70" t="s">
        <v>1836</v>
      </c>
      <c r="D1228" s="101" t="s">
        <v>653</v>
      </c>
      <c r="E1228" s="70" t="s">
        <v>622</v>
      </c>
      <c r="F1228" s="70" t="s">
        <v>1221</v>
      </c>
      <c r="G1228" s="70" t="s">
        <v>1222</v>
      </c>
      <c r="H1228" s="117">
        <v>1397321.04</v>
      </c>
      <c r="I1228" s="30">
        <v>1223</v>
      </c>
      <c r="J1228" s="30" t="s">
        <v>2438</v>
      </c>
    </row>
    <row r="1229" spans="2:10">
      <c r="B1229" s="69">
        <v>45291</v>
      </c>
      <c r="C1229" s="70" t="s">
        <v>1795</v>
      </c>
      <c r="D1229" s="101">
        <v>316204005003</v>
      </c>
      <c r="E1229" s="70" t="s">
        <v>495</v>
      </c>
      <c r="F1229" s="1776" t="s">
        <v>1796</v>
      </c>
      <c r="G1229" s="70" t="s">
        <v>2371</v>
      </c>
      <c r="H1229" s="219">
        <v>701298000</v>
      </c>
      <c r="I1229" s="30">
        <v>1223</v>
      </c>
      <c r="J1229" s="30">
        <v>311</v>
      </c>
    </row>
    <row r="1230" spans="2:10">
      <c r="B1230" s="69">
        <v>45291</v>
      </c>
      <c r="C1230" s="70" t="s">
        <v>1795</v>
      </c>
      <c r="D1230" s="101">
        <v>316204005003</v>
      </c>
      <c r="E1230" s="70" t="s">
        <v>495</v>
      </c>
      <c r="F1230" s="1778"/>
      <c r="G1230" s="70" t="s">
        <v>2374</v>
      </c>
      <c r="H1230" s="136">
        <f>879043465.5-H1229</f>
        <v>177745465.5</v>
      </c>
      <c r="I1230" s="30">
        <v>1223</v>
      </c>
      <c r="J1230" s="30">
        <v>34</v>
      </c>
    </row>
    <row r="1231" spans="2:10" ht="23">
      <c r="B1231" s="69">
        <v>45291</v>
      </c>
      <c r="C1231" s="70" t="s">
        <v>1836</v>
      </c>
      <c r="D1231" s="101" t="s">
        <v>655</v>
      </c>
      <c r="E1231" s="70" t="s">
        <v>622</v>
      </c>
      <c r="F1231" s="70" t="s">
        <v>1221</v>
      </c>
      <c r="G1231" s="70" t="s">
        <v>1222</v>
      </c>
      <c r="H1231" s="71">
        <v>692789.42</v>
      </c>
      <c r="I1231" s="30">
        <v>1223</v>
      </c>
      <c r="J1231" s="72" t="s">
        <v>2438</v>
      </c>
    </row>
    <row r="1232" spans="2:10">
      <c r="B1232" s="69">
        <v>45291</v>
      </c>
      <c r="C1232" s="70" t="s">
        <v>1833</v>
      </c>
      <c r="D1232" s="101" t="s">
        <v>657</v>
      </c>
      <c r="E1232" s="70" t="s">
        <v>622</v>
      </c>
      <c r="F1232" s="70" t="s">
        <v>1834</v>
      </c>
      <c r="G1232" s="70" t="s">
        <v>1837</v>
      </c>
      <c r="H1232" s="117">
        <v>1250000</v>
      </c>
      <c r="I1232" s="30">
        <v>1223</v>
      </c>
      <c r="J1232" s="30">
        <v>327</v>
      </c>
    </row>
    <row r="1233" spans="2:10">
      <c r="B1233" s="69">
        <v>45291</v>
      </c>
      <c r="C1233" s="70" t="s">
        <v>1795</v>
      </c>
      <c r="D1233" s="101" t="s">
        <v>657</v>
      </c>
      <c r="E1233" s="70" t="s">
        <v>495</v>
      </c>
      <c r="F1233" s="1776" t="s">
        <v>1796</v>
      </c>
      <c r="G1233" s="70" t="s">
        <v>2373</v>
      </c>
      <c r="H1233" s="219">
        <v>86041650</v>
      </c>
      <c r="I1233" s="30">
        <v>1223</v>
      </c>
      <c r="J1233" s="30">
        <v>311</v>
      </c>
    </row>
    <row r="1234" spans="2:10">
      <c r="B1234" s="69">
        <v>45291</v>
      </c>
      <c r="C1234" s="70" t="s">
        <v>1795</v>
      </c>
      <c r="D1234" s="101" t="s">
        <v>657</v>
      </c>
      <c r="E1234" s="70" t="s">
        <v>495</v>
      </c>
      <c r="F1234" s="1777"/>
      <c r="G1234" s="70" t="s">
        <v>2476</v>
      </c>
      <c r="H1234" s="187">
        <v>51881400</v>
      </c>
      <c r="I1234" s="30">
        <v>1223</v>
      </c>
      <c r="J1234" s="30">
        <v>317</v>
      </c>
    </row>
    <row r="1235" spans="2:10">
      <c r="B1235" s="69">
        <v>45291</v>
      </c>
      <c r="C1235" s="70" t="s">
        <v>1795</v>
      </c>
      <c r="D1235" s="101">
        <v>316204005004</v>
      </c>
      <c r="E1235" s="70" t="s">
        <v>495</v>
      </c>
      <c r="F1235" s="1778"/>
      <c r="G1235" s="70" t="s">
        <v>2475</v>
      </c>
      <c r="H1235" s="187">
        <f>344482692.26-H1233-H1234</f>
        <v>206559642.25999999</v>
      </c>
      <c r="I1235" s="30">
        <v>1223</v>
      </c>
      <c r="J1235" s="30">
        <v>37</v>
      </c>
    </row>
    <row r="1236" spans="2:10" ht="10.5" customHeight="1">
      <c r="B1236" s="69">
        <v>45291</v>
      </c>
      <c r="C1236" s="70" t="s">
        <v>1833</v>
      </c>
      <c r="D1236" s="101" t="s">
        <v>659</v>
      </c>
      <c r="E1236" s="70" t="s">
        <v>622</v>
      </c>
      <c r="F1236" s="70" t="s">
        <v>1834</v>
      </c>
      <c r="G1236" s="70" t="s">
        <v>1838</v>
      </c>
      <c r="H1236" s="71">
        <v>1250000</v>
      </c>
      <c r="I1236" s="30">
        <v>1223</v>
      </c>
      <c r="J1236" s="30">
        <v>327</v>
      </c>
    </row>
    <row r="1237" spans="2:10" ht="18" customHeight="1">
      <c r="B1237" s="69">
        <v>45291</v>
      </c>
      <c r="C1237" s="70" t="s">
        <v>1795</v>
      </c>
      <c r="D1237" s="101" t="s">
        <v>659</v>
      </c>
      <c r="E1237" s="70" t="s">
        <v>495</v>
      </c>
      <c r="F1237" s="1776" t="s">
        <v>1796</v>
      </c>
      <c r="G1237" s="70" t="s">
        <v>2373</v>
      </c>
      <c r="H1237" s="219">
        <v>172083300</v>
      </c>
      <c r="I1237" s="30">
        <v>1223</v>
      </c>
      <c r="J1237" s="30">
        <v>311</v>
      </c>
    </row>
    <row r="1238" spans="2:10">
      <c r="B1238" s="69">
        <v>45291</v>
      </c>
      <c r="C1238" s="70" t="s">
        <v>1795</v>
      </c>
      <c r="D1238" s="101" t="s">
        <v>659</v>
      </c>
      <c r="E1238" s="70" t="s">
        <v>495</v>
      </c>
      <c r="F1238" s="1778"/>
      <c r="G1238" s="70" t="s">
        <v>2374</v>
      </c>
      <c r="H1238" s="71">
        <f>218625344.7-H1237</f>
        <v>46542044.699999988</v>
      </c>
      <c r="I1238" s="30">
        <v>1223</v>
      </c>
      <c r="J1238" s="30">
        <v>34</v>
      </c>
    </row>
    <row r="1239" spans="2:10" ht="23">
      <c r="B1239" s="69">
        <v>45291</v>
      </c>
      <c r="C1239" s="70" t="s">
        <v>1836</v>
      </c>
      <c r="D1239" s="101" t="s">
        <v>659</v>
      </c>
      <c r="E1239" s="70" t="s">
        <v>622</v>
      </c>
      <c r="F1239" s="70" t="s">
        <v>1221</v>
      </c>
      <c r="G1239" s="70" t="s">
        <v>1222</v>
      </c>
      <c r="H1239" s="71">
        <v>692789.42</v>
      </c>
      <c r="I1239" s="30">
        <v>1223</v>
      </c>
      <c r="J1239" s="30" t="s">
        <v>2438</v>
      </c>
    </row>
    <row r="1240" spans="2:10" ht="21" customHeight="1">
      <c r="B1240" s="69">
        <v>45291</v>
      </c>
      <c r="C1240" s="70" t="s">
        <v>1833</v>
      </c>
      <c r="D1240" s="101" t="s">
        <v>665</v>
      </c>
      <c r="E1240" s="70" t="s">
        <v>622</v>
      </c>
      <c r="F1240" s="70" t="s">
        <v>1834</v>
      </c>
      <c r="G1240" s="70" t="s">
        <v>1839</v>
      </c>
      <c r="H1240" s="117">
        <v>1250000</v>
      </c>
      <c r="I1240" s="30">
        <v>1223</v>
      </c>
      <c r="J1240" s="30">
        <v>327</v>
      </c>
    </row>
    <row r="1241" spans="2:10" ht="12" customHeight="1">
      <c r="B1241" s="1779">
        <v>45291</v>
      </c>
      <c r="C1241" s="1781" t="s">
        <v>1795</v>
      </c>
      <c r="D1241" s="220">
        <v>316204005006</v>
      </c>
      <c r="E1241" s="203" t="s">
        <v>495</v>
      </c>
      <c r="F1241" s="221" t="s">
        <v>1796</v>
      </c>
      <c r="G1241" s="70" t="s">
        <v>2375</v>
      </c>
      <c r="H1241" s="117">
        <v>52447500</v>
      </c>
      <c r="I1241" s="30">
        <v>1223</v>
      </c>
      <c r="J1241" s="30">
        <v>315</v>
      </c>
    </row>
    <row r="1242" spans="2:10" ht="13" customHeight="1">
      <c r="B1242" s="1780"/>
      <c r="C1242" s="1782"/>
      <c r="D1242" s="220">
        <v>316204005006</v>
      </c>
      <c r="E1242" s="203" t="s">
        <v>495</v>
      </c>
      <c r="F1242" s="221" t="s">
        <v>1796</v>
      </c>
      <c r="G1242" s="70" t="s">
        <v>2373</v>
      </c>
      <c r="H1242" s="219">
        <v>127899750</v>
      </c>
      <c r="I1242" s="30">
        <v>1223</v>
      </c>
      <c r="J1242" s="30">
        <v>311</v>
      </c>
    </row>
    <row r="1243" spans="2:10" ht="11" customHeight="1">
      <c r="B1243" s="1780"/>
      <c r="C1243" s="1782"/>
      <c r="D1243" s="220">
        <v>316204005006</v>
      </c>
      <c r="E1243" s="203" t="s">
        <v>495</v>
      </c>
      <c r="F1243" s="221" t="s">
        <v>1796</v>
      </c>
      <c r="G1243" s="70" t="s">
        <v>2374</v>
      </c>
      <c r="H1243" s="187">
        <f>92165409+4445772+1958206.35</f>
        <v>98569387.349999994</v>
      </c>
      <c r="I1243" s="30">
        <v>1223</v>
      </c>
      <c r="J1243" s="30">
        <v>34</v>
      </c>
    </row>
    <row r="1244" spans="2:10" ht="21.5" customHeight="1">
      <c r="B1244" s="1780"/>
      <c r="C1244" s="1782"/>
      <c r="D1244" s="220">
        <v>316204005006</v>
      </c>
      <c r="E1244" s="203" t="s">
        <v>495</v>
      </c>
      <c r="F1244" s="221" t="s">
        <v>1796</v>
      </c>
      <c r="G1244" s="70" t="s">
        <v>133</v>
      </c>
      <c r="H1244" s="187">
        <v>159964875</v>
      </c>
      <c r="I1244" s="30">
        <v>1223</v>
      </c>
      <c r="J1244" s="30">
        <v>317</v>
      </c>
    </row>
    <row r="1245" spans="2:10" ht="21.5" customHeight="1">
      <c r="B1245" s="1780"/>
      <c r="C1245" s="1782"/>
      <c r="D1245" s="220">
        <v>316204005006</v>
      </c>
      <c r="E1245" s="203" t="s">
        <v>495</v>
      </c>
      <c r="F1245" s="221" t="s">
        <v>1796</v>
      </c>
      <c r="G1245" s="70" t="s">
        <v>2392</v>
      </c>
      <c r="H1245" s="187">
        <f>936863904.95-H1241-H1242-H1243-H1244</f>
        <v>497982392.60000002</v>
      </c>
      <c r="I1245" s="30">
        <v>1223</v>
      </c>
      <c r="J1245" s="30">
        <v>37</v>
      </c>
    </row>
    <row r="1246" spans="2:10" ht="11.5" customHeight="1">
      <c r="B1246" s="69">
        <v>45291</v>
      </c>
      <c r="C1246" s="70" t="s">
        <v>1836</v>
      </c>
      <c r="D1246" s="101" t="s">
        <v>665</v>
      </c>
      <c r="E1246" s="70" t="s">
        <v>622</v>
      </c>
      <c r="F1246" s="70" t="s">
        <v>1221</v>
      </c>
      <c r="G1246" s="70" t="s">
        <v>1222</v>
      </c>
      <c r="H1246" s="117">
        <v>939375.49</v>
      </c>
      <c r="I1246" s="30">
        <v>1223</v>
      </c>
      <c r="J1246" s="30" t="s">
        <v>2438</v>
      </c>
    </row>
    <row r="1247" spans="2:10" ht="14" customHeight="1">
      <c r="B1247" s="69">
        <v>45291</v>
      </c>
      <c r="C1247" s="70" t="s">
        <v>1833</v>
      </c>
      <c r="D1247" s="101" t="s">
        <v>663</v>
      </c>
      <c r="E1247" s="70" t="s">
        <v>622</v>
      </c>
      <c r="F1247" s="70" t="s">
        <v>1834</v>
      </c>
      <c r="G1247" s="70" t="s">
        <v>1840</v>
      </c>
      <c r="H1247" s="71">
        <v>1250000</v>
      </c>
      <c r="I1247" s="30">
        <v>1223</v>
      </c>
      <c r="J1247" s="30">
        <v>327</v>
      </c>
    </row>
    <row r="1248" spans="2:10">
      <c r="B1248" s="69">
        <v>45291</v>
      </c>
      <c r="C1248" s="70" t="s">
        <v>1795</v>
      </c>
      <c r="D1248" s="101">
        <v>316204005007</v>
      </c>
      <c r="E1248" s="70" t="s">
        <v>495</v>
      </c>
      <c r="F1248" s="70" t="s">
        <v>1796</v>
      </c>
      <c r="G1248" s="70" t="s">
        <v>2374</v>
      </c>
      <c r="H1248" s="136">
        <f>694083499.5+8891544+ 17882422.9</f>
        <v>720857466.39999998</v>
      </c>
      <c r="I1248" s="30">
        <v>1223</v>
      </c>
      <c r="J1248" s="30">
        <v>34</v>
      </c>
    </row>
    <row r="1249" spans="2:10" ht="19.5" customHeight="1">
      <c r="B1249" s="69">
        <v>45291</v>
      </c>
      <c r="C1249" s="70" t="s">
        <v>1795</v>
      </c>
      <c r="D1249" s="101">
        <v>316204005007</v>
      </c>
      <c r="E1249" s="70" t="s">
        <v>495</v>
      </c>
      <c r="F1249" s="70" t="s">
        <v>1796</v>
      </c>
      <c r="G1249" s="70" t="s">
        <v>2373</v>
      </c>
      <c r="H1249" s="136">
        <v>58136250</v>
      </c>
      <c r="I1249" s="30">
        <v>1223</v>
      </c>
      <c r="J1249" s="30">
        <v>311</v>
      </c>
    </row>
    <row r="1250" spans="2:10" ht="19.5" customHeight="1">
      <c r="B1250" s="69">
        <v>45291</v>
      </c>
      <c r="C1250" s="70" t="s">
        <v>1795</v>
      </c>
      <c r="D1250" s="101">
        <v>316204005007</v>
      </c>
      <c r="E1250" s="70" t="s">
        <v>495</v>
      </c>
      <c r="F1250" s="70" t="s">
        <v>1796</v>
      </c>
      <c r="G1250" s="70" t="s">
        <v>2404</v>
      </c>
      <c r="H1250" s="136">
        <v>388500000</v>
      </c>
      <c r="I1250" s="30">
        <v>1223</v>
      </c>
      <c r="J1250" s="30">
        <v>316</v>
      </c>
    </row>
    <row r="1251" spans="2:10" ht="19.5" customHeight="1">
      <c r="B1251" s="69">
        <v>45291</v>
      </c>
      <c r="C1251" s="70" t="s">
        <v>1795</v>
      </c>
      <c r="D1251" s="101">
        <v>316204005007</v>
      </c>
      <c r="E1251" s="70" t="s">
        <v>495</v>
      </c>
      <c r="F1251" s="70" t="s">
        <v>1796</v>
      </c>
      <c r="G1251" s="70" t="s">
        <v>2405</v>
      </c>
      <c r="H1251" s="136">
        <v>75598819.200000003</v>
      </c>
      <c r="I1251" s="30">
        <v>1223</v>
      </c>
      <c r="J1251" s="30">
        <v>37</v>
      </c>
    </row>
    <row r="1252" spans="2:10" ht="19.5" customHeight="1">
      <c r="B1252" s="69">
        <v>45291</v>
      </c>
      <c r="C1252" s="70" t="s">
        <v>1795</v>
      </c>
      <c r="D1252" s="101">
        <v>316204005007</v>
      </c>
      <c r="E1252" s="70" t="s">
        <v>495</v>
      </c>
      <c r="F1252" s="70" t="s">
        <v>1796</v>
      </c>
      <c r="G1252" s="70" t="s">
        <v>133</v>
      </c>
      <c r="H1252" s="136">
        <v>263336400</v>
      </c>
      <c r="I1252" s="30">
        <v>1223</v>
      </c>
      <c r="J1252" s="30">
        <v>317</v>
      </c>
    </row>
    <row r="1253" spans="2:10" ht="23">
      <c r="B1253" s="69">
        <v>45291</v>
      </c>
      <c r="C1253" s="70" t="s">
        <v>1836</v>
      </c>
      <c r="D1253" s="101" t="s">
        <v>663</v>
      </c>
      <c r="E1253" s="70" t="s">
        <v>622</v>
      </c>
      <c r="F1253" s="70" t="s">
        <v>1221</v>
      </c>
      <c r="G1253" s="70" t="s">
        <v>1222</v>
      </c>
      <c r="H1253" s="71">
        <v>986344.26</v>
      </c>
      <c r="I1253" s="30">
        <v>1223</v>
      </c>
      <c r="J1253" s="72" t="s">
        <v>2438</v>
      </c>
    </row>
    <row r="1254" spans="2:10">
      <c r="B1254" s="69">
        <v>45291</v>
      </c>
      <c r="C1254" s="70" t="s">
        <v>1833</v>
      </c>
      <c r="D1254" s="101" t="s">
        <v>931</v>
      </c>
      <c r="E1254" s="70" t="s">
        <v>622</v>
      </c>
      <c r="F1254" s="70" t="s">
        <v>1834</v>
      </c>
      <c r="G1254" s="70" t="s">
        <v>1841</v>
      </c>
      <c r="H1254" s="71">
        <v>1250000</v>
      </c>
      <c r="I1254" s="30">
        <v>1223</v>
      </c>
      <c r="J1254" s="30">
        <v>319</v>
      </c>
    </row>
    <row r="1255" spans="2:10" s="199" customFormat="1">
      <c r="B1255" s="195">
        <v>45291</v>
      </c>
      <c r="C1255" s="196" t="s">
        <v>1795</v>
      </c>
      <c r="D1255" s="197">
        <v>316204005008</v>
      </c>
      <c r="E1255" s="196" t="s">
        <v>495</v>
      </c>
      <c r="F1255" s="196" t="s">
        <v>1796</v>
      </c>
      <c r="G1255" s="217" t="s">
        <v>2374</v>
      </c>
      <c r="H1255" s="193">
        <f>321540249+ 13337316+5109263.4+2416914+652735.45+17592223.5+4049280+16673754+1871737.5</f>
        <v>383243472.84999996</v>
      </c>
      <c r="I1255" s="198">
        <v>1223</v>
      </c>
      <c r="J1255" s="198">
        <v>34</v>
      </c>
    </row>
    <row r="1256" spans="2:10" s="199" customFormat="1">
      <c r="B1256" s="195">
        <v>45291</v>
      </c>
      <c r="C1256" s="196" t="s">
        <v>1795</v>
      </c>
      <c r="D1256" s="197">
        <v>316204005008</v>
      </c>
      <c r="E1256" s="196" t="s">
        <v>495</v>
      </c>
      <c r="F1256" s="196" t="s">
        <v>1796</v>
      </c>
      <c r="G1256" s="217" t="s">
        <v>2408</v>
      </c>
      <c r="H1256" s="193">
        <v>1869345000</v>
      </c>
      <c r="I1256" s="198">
        <v>1223</v>
      </c>
      <c r="J1256" s="222" t="s">
        <v>2409</v>
      </c>
    </row>
    <row r="1257" spans="2:10" s="199" customFormat="1">
      <c r="B1257" s="195">
        <v>45291</v>
      </c>
      <c r="C1257" s="196" t="s">
        <v>1795</v>
      </c>
      <c r="D1257" s="197">
        <v>316204005008</v>
      </c>
      <c r="E1257" s="196" t="s">
        <v>495</v>
      </c>
      <c r="F1257" s="196" t="s">
        <v>1796</v>
      </c>
      <c r="G1257" s="217" t="s">
        <v>2407</v>
      </c>
      <c r="H1257" s="193">
        <v>2886000000</v>
      </c>
      <c r="I1257" s="198">
        <v>1223</v>
      </c>
      <c r="J1257" s="198">
        <v>31</v>
      </c>
    </row>
    <row r="1258" spans="2:10" s="199" customFormat="1">
      <c r="B1258" s="195">
        <v>45291</v>
      </c>
      <c r="C1258" s="196" t="s">
        <v>1795</v>
      </c>
      <c r="D1258" s="197">
        <v>316204005008</v>
      </c>
      <c r="E1258" s="196" t="s">
        <v>495</v>
      </c>
      <c r="F1258" s="196" t="s">
        <v>1796</v>
      </c>
      <c r="G1258" s="217"/>
      <c r="H1258" s="193">
        <f>5155152558.85-H1255-H1256-H1257</f>
        <v>16564086</v>
      </c>
      <c r="I1258" s="198">
        <v>1223</v>
      </c>
      <c r="J1258" s="198">
        <v>319</v>
      </c>
    </row>
    <row r="1259" spans="2:10" ht="23">
      <c r="B1259" s="69">
        <v>45291</v>
      </c>
      <c r="C1259" s="70" t="s">
        <v>1836</v>
      </c>
      <c r="D1259" s="101" t="s">
        <v>931</v>
      </c>
      <c r="E1259" s="70" t="s">
        <v>622</v>
      </c>
      <c r="F1259" s="70" t="s">
        <v>1221</v>
      </c>
      <c r="G1259" s="70" t="s">
        <v>1222</v>
      </c>
      <c r="H1259" s="71">
        <v>974602.07</v>
      </c>
      <c r="I1259" s="30">
        <v>1223</v>
      </c>
      <c r="J1259" s="72" t="s">
        <v>2438</v>
      </c>
    </row>
    <row r="1260" spans="2:10">
      <c r="B1260" s="69">
        <v>45291</v>
      </c>
      <c r="C1260" s="70" t="s">
        <v>1833</v>
      </c>
      <c r="D1260" s="101" t="s">
        <v>929</v>
      </c>
      <c r="E1260" s="70" t="s">
        <v>495</v>
      </c>
      <c r="F1260" s="70" t="s">
        <v>1842</v>
      </c>
      <c r="G1260" s="70" t="s">
        <v>1843</v>
      </c>
      <c r="H1260" s="136">
        <v>9000000</v>
      </c>
      <c r="I1260" s="30">
        <v>1223</v>
      </c>
      <c r="J1260" s="30">
        <v>326</v>
      </c>
    </row>
    <row r="1261" spans="2:10">
      <c r="B1261" s="69">
        <v>45291</v>
      </c>
      <c r="C1261" s="70" t="s">
        <v>1833</v>
      </c>
      <c r="D1261" s="101" t="s">
        <v>929</v>
      </c>
      <c r="E1261" s="70" t="s">
        <v>622</v>
      </c>
      <c r="F1261" s="70" t="s">
        <v>1834</v>
      </c>
      <c r="G1261" s="70" t="s">
        <v>1844</v>
      </c>
      <c r="H1261" s="136">
        <v>1250000</v>
      </c>
      <c r="I1261" s="30">
        <v>1223</v>
      </c>
      <c r="J1261" s="30">
        <v>327</v>
      </c>
    </row>
    <row r="1262" spans="2:10">
      <c r="B1262" s="69">
        <v>45275</v>
      </c>
      <c r="C1262" s="70" t="s">
        <v>1845</v>
      </c>
      <c r="D1262" s="101" t="s">
        <v>929</v>
      </c>
      <c r="E1262" s="70" t="s">
        <v>271</v>
      </c>
      <c r="F1262" s="70" t="s">
        <v>908</v>
      </c>
      <c r="G1262" s="70" t="s">
        <v>1846</v>
      </c>
      <c r="H1262" s="136">
        <v>536480</v>
      </c>
      <c r="I1262" s="30">
        <v>1223</v>
      </c>
      <c r="J1262" s="30">
        <v>329</v>
      </c>
    </row>
    <row r="1263" spans="2:10" ht="23">
      <c r="B1263" s="69">
        <v>45291</v>
      </c>
      <c r="C1263" s="70" t="s">
        <v>1847</v>
      </c>
      <c r="D1263" s="101" t="s">
        <v>929</v>
      </c>
      <c r="E1263" s="70" t="s">
        <v>514</v>
      </c>
      <c r="F1263" s="70" t="s">
        <v>1848</v>
      </c>
      <c r="G1263" s="70" t="s">
        <v>1849</v>
      </c>
      <c r="H1263" s="136">
        <v>465168</v>
      </c>
      <c r="I1263" s="30">
        <v>1223</v>
      </c>
      <c r="J1263" s="30">
        <v>329</v>
      </c>
    </row>
    <row r="1264" spans="2:10">
      <c r="B1264" s="69">
        <v>45291</v>
      </c>
      <c r="C1264" s="70" t="s">
        <v>1833</v>
      </c>
      <c r="D1264" s="101" t="s">
        <v>929</v>
      </c>
      <c r="E1264" s="70" t="s">
        <v>514</v>
      </c>
      <c r="F1264" s="70" t="s">
        <v>1850</v>
      </c>
      <c r="G1264" s="70" t="s">
        <v>1851</v>
      </c>
      <c r="H1264" s="193">
        <v>5304000</v>
      </c>
      <c r="I1264" s="30">
        <v>1223</v>
      </c>
      <c r="J1264" s="30">
        <v>327</v>
      </c>
    </row>
    <row r="1265" spans="2:10">
      <c r="B1265" s="69">
        <v>45291</v>
      </c>
      <c r="C1265" s="70" t="s">
        <v>1775</v>
      </c>
      <c r="D1265" s="101" t="s">
        <v>929</v>
      </c>
      <c r="E1265" s="70" t="s">
        <v>622</v>
      </c>
      <c r="F1265" s="70" t="s">
        <v>1791</v>
      </c>
      <c r="G1265" s="70" t="s">
        <v>1852</v>
      </c>
      <c r="H1265" s="193">
        <v>29634755</v>
      </c>
      <c r="I1265" s="30">
        <v>1223</v>
      </c>
      <c r="J1265" s="30">
        <v>327</v>
      </c>
    </row>
    <row r="1266" spans="2:10" ht="21.5" customHeight="1">
      <c r="B1266" s="69">
        <v>45291</v>
      </c>
      <c r="C1266" s="70" t="s">
        <v>1795</v>
      </c>
      <c r="D1266" s="101" t="s">
        <v>929</v>
      </c>
      <c r="E1266" s="70" t="s">
        <v>495</v>
      </c>
      <c r="F1266" s="70" t="s">
        <v>1796</v>
      </c>
      <c r="G1266" s="216" t="s">
        <v>2374</v>
      </c>
      <c r="H1266" s="71">
        <f>121014420+4445772+ 5109263.4</f>
        <v>130569455.40000001</v>
      </c>
      <c r="I1266" s="30">
        <v>1223</v>
      </c>
      <c r="J1266" s="30">
        <v>34</v>
      </c>
    </row>
    <row r="1267" spans="2:10" ht="22.5" customHeight="1">
      <c r="B1267" s="69">
        <v>45291</v>
      </c>
      <c r="C1267" s="70" t="s">
        <v>1795</v>
      </c>
      <c r="D1267" s="101">
        <v>316204005009</v>
      </c>
      <c r="E1267" s="70" t="s">
        <v>495</v>
      </c>
      <c r="F1267" s="70" t="s">
        <v>1796</v>
      </c>
      <c r="G1267" s="216" t="s">
        <v>2497</v>
      </c>
      <c r="H1267" s="71">
        <f>233615244.11-H1266</f>
        <v>103045788.71000001</v>
      </c>
      <c r="I1267" s="30">
        <v>1223</v>
      </c>
      <c r="J1267" s="72">
        <v>37</v>
      </c>
    </row>
    <row r="1268" spans="2:10">
      <c r="B1268" s="69">
        <v>45291</v>
      </c>
      <c r="C1268" s="70" t="s">
        <v>1833</v>
      </c>
      <c r="D1268" s="101" t="s">
        <v>711</v>
      </c>
      <c r="E1268" s="70" t="s">
        <v>514</v>
      </c>
      <c r="F1268" s="70" t="s">
        <v>1853</v>
      </c>
      <c r="G1268" s="70" t="s">
        <v>1854</v>
      </c>
      <c r="H1268" s="71">
        <v>418000</v>
      </c>
      <c r="I1268" s="30">
        <v>1223</v>
      </c>
      <c r="J1268" s="30">
        <v>327</v>
      </c>
    </row>
    <row r="1269" spans="2:10">
      <c r="B1269" s="69">
        <v>45291</v>
      </c>
      <c r="C1269" s="70" t="s">
        <v>1855</v>
      </c>
      <c r="D1269" s="101" t="s">
        <v>711</v>
      </c>
      <c r="E1269" s="70" t="s">
        <v>633</v>
      </c>
      <c r="F1269" s="70" t="s">
        <v>1856</v>
      </c>
      <c r="G1269" s="70" t="s">
        <v>1857</v>
      </c>
      <c r="H1269" s="71">
        <v>-2145021</v>
      </c>
      <c r="I1269" s="30">
        <v>1223</v>
      </c>
      <c r="J1269" s="30">
        <v>321</v>
      </c>
    </row>
    <row r="1270" spans="2:10">
      <c r="B1270" s="69">
        <v>45291</v>
      </c>
      <c r="C1270" s="70" t="s">
        <v>1833</v>
      </c>
      <c r="D1270" s="101" t="s">
        <v>711</v>
      </c>
      <c r="E1270" s="70" t="s">
        <v>622</v>
      </c>
      <c r="F1270" s="70" t="s">
        <v>1834</v>
      </c>
      <c r="G1270" s="70" t="s">
        <v>1858</v>
      </c>
      <c r="H1270" s="71">
        <v>1250000</v>
      </c>
      <c r="I1270" s="30">
        <v>1223</v>
      </c>
      <c r="J1270" s="30">
        <v>327</v>
      </c>
    </row>
    <row r="1271" spans="2:10" ht="23">
      <c r="B1271" s="69">
        <v>45291</v>
      </c>
      <c r="C1271" s="70" t="s">
        <v>1847</v>
      </c>
      <c r="D1271" s="101" t="s">
        <v>711</v>
      </c>
      <c r="E1271" s="70" t="s">
        <v>514</v>
      </c>
      <c r="F1271" s="70" t="s">
        <v>1848</v>
      </c>
      <c r="G1271" s="70" t="s">
        <v>1859</v>
      </c>
      <c r="H1271" s="71">
        <v>484550</v>
      </c>
      <c r="I1271" s="30">
        <v>1223</v>
      </c>
      <c r="J1271" s="30">
        <v>329</v>
      </c>
    </row>
    <row r="1272" spans="2:10">
      <c r="B1272" s="69">
        <v>45291</v>
      </c>
      <c r="C1272" s="70" t="s">
        <v>1833</v>
      </c>
      <c r="D1272" s="101" t="s">
        <v>711</v>
      </c>
      <c r="E1272" s="70" t="s">
        <v>514</v>
      </c>
      <c r="F1272" s="70" t="s">
        <v>1860</v>
      </c>
      <c r="G1272" s="70" t="s">
        <v>1861</v>
      </c>
      <c r="H1272" s="71">
        <v>8160000</v>
      </c>
      <c r="I1272" s="30">
        <v>1223</v>
      </c>
      <c r="J1272" s="30">
        <v>327</v>
      </c>
    </row>
    <row r="1273" spans="2:10">
      <c r="B1273" s="69">
        <v>45291</v>
      </c>
      <c r="C1273" s="70" t="s">
        <v>1862</v>
      </c>
      <c r="D1273" s="101" t="s">
        <v>711</v>
      </c>
      <c r="E1273" s="70" t="s">
        <v>633</v>
      </c>
      <c r="F1273" s="70" t="s">
        <v>1863</v>
      </c>
      <c r="G1273" s="70" t="s">
        <v>1864</v>
      </c>
      <c r="H1273" s="71">
        <v>-2145021</v>
      </c>
      <c r="I1273" s="30">
        <v>1223</v>
      </c>
      <c r="J1273" s="30">
        <v>321</v>
      </c>
    </row>
    <row r="1274" spans="2:10">
      <c r="B1274" s="69">
        <v>45291</v>
      </c>
      <c r="C1274" s="70" t="s">
        <v>1795</v>
      </c>
      <c r="D1274" s="101">
        <v>316204005010</v>
      </c>
      <c r="E1274" s="1781" t="s">
        <v>495</v>
      </c>
      <c r="F1274" s="1781" t="s">
        <v>1796</v>
      </c>
      <c r="G1274" s="216" t="s">
        <v>2374</v>
      </c>
      <c r="H1274" s="71">
        <f>53648742+4525914</f>
        <v>58174656</v>
      </c>
      <c r="I1274" s="30">
        <v>1223</v>
      </c>
      <c r="J1274" s="30">
        <v>34</v>
      </c>
    </row>
    <row r="1275" spans="2:10">
      <c r="B1275" s="69">
        <v>45291</v>
      </c>
      <c r="C1275" s="70" t="s">
        <v>1795</v>
      </c>
      <c r="D1275" s="101" t="s">
        <v>711</v>
      </c>
      <c r="E1275" s="1789"/>
      <c r="F1275" s="1789"/>
      <c r="G1275" s="216" t="s">
        <v>133</v>
      </c>
      <c r="H1275" s="71">
        <f>86516656-H1274</f>
        <v>28342000</v>
      </c>
      <c r="I1275" s="30">
        <v>1223</v>
      </c>
      <c r="J1275" s="30">
        <v>317</v>
      </c>
    </row>
    <row r="1276" spans="2:10" ht="23">
      <c r="B1276" s="69">
        <v>45291</v>
      </c>
      <c r="C1276" s="70" t="s">
        <v>1865</v>
      </c>
      <c r="D1276" s="101" t="s">
        <v>711</v>
      </c>
      <c r="E1276" s="70" t="s">
        <v>495</v>
      </c>
      <c r="F1276" s="70" t="s">
        <v>1866</v>
      </c>
      <c r="G1276" s="70" t="s">
        <v>1867</v>
      </c>
      <c r="H1276" s="71">
        <v>176547</v>
      </c>
      <c r="I1276" s="30">
        <v>1223</v>
      </c>
      <c r="J1276" s="30">
        <v>321</v>
      </c>
    </row>
    <row r="1277" spans="2:10" ht="23">
      <c r="B1277" s="69">
        <v>45291</v>
      </c>
      <c r="C1277" s="70" t="s">
        <v>1865</v>
      </c>
      <c r="D1277" s="101" t="s">
        <v>711</v>
      </c>
      <c r="E1277" s="70" t="s">
        <v>495</v>
      </c>
      <c r="F1277" s="70" t="s">
        <v>1866</v>
      </c>
      <c r="G1277" s="70" t="s">
        <v>1868</v>
      </c>
      <c r="H1277" s="71">
        <v>467893</v>
      </c>
      <c r="I1277" s="30">
        <v>1223</v>
      </c>
      <c r="J1277" s="30">
        <v>321</v>
      </c>
    </row>
    <row r="1278" spans="2:10" ht="23">
      <c r="B1278" s="69">
        <v>45291</v>
      </c>
      <c r="C1278" s="70" t="s">
        <v>1836</v>
      </c>
      <c r="D1278" s="101" t="s">
        <v>711</v>
      </c>
      <c r="E1278" s="70" t="s">
        <v>622</v>
      </c>
      <c r="F1278" s="70" t="s">
        <v>1221</v>
      </c>
      <c r="G1278" s="70" t="s">
        <v>1222</v>
      </c>
      <c r="H1278" s="71">
        <v>1107758.55</v>
      </c>
      <c r="I1278" s="30">
        <v>1223</v>
      </c>
      <c r="J1278" s="72" t="s">
        <v>2438</v>
      </c>
    </row>
    <row r="1279" spans="2:10">
      <c r="B1279" s="69">
        <v>45291</v>
      </c>
      <c r="C1279" s="70" t="s">
        <v>1795</v>
      </c>
      <c r="D1279" s="101">
        <v>316204005012</v>
      </c>
      <c r="E1279" s="70" t="s">
        <v>495</v>
      </c>
      <c r="F1279" s="70" t="s">
        <v>1796</v>
      </c>
      <c r="G1279" s="218" t="s">
        <v>2374</v>
      </c>
      <c r="H1279" s="71">
        <f>77330703+4445772+2554631.7+1208457</f>
        <v>85539563.700000003</v>
      </c>
      <c r="I1279" s="30">
        <v>1223</v>
      </c>
      <c r="J1279" s="30">
        <v>34</v>
      </c>
    </row>
    <row r="1280" spans="2:10">
      <c r="B1280" s="69">
        <v>45291</v>
      </c>
      <c r="C1280" s="70" t="s">
        <v>1795</v>
      </c>
      <c r="D1280" s="101">
        <v>316204005012</v>
      </c>
      <c r="E1280" s="70" t="s">
        <v>495</v>
      </c>
      <c r="F1280" s="70" t="s">
        <v>1796</v>
      </c>
      <c r="G1280" s="218" t="s">
        <v>2371</v>
      </c>
      <c r="H1280" s="71">
        <f>377691563.7-H1279</f>
        <v>292152000</v>
      </c>
      <c r="I1280" s="30">
        <v>1223</v>
      </c>
      <c r="J1280" s="30">
        <v>311</v>
      </c>
    </row>
    <row r="1281" spans="2:10" ht="23">
      <c r="B1281" s="69">
        <v>45291</v>
      </c>
      <c r="C1281" s="70" t="s">
        <v>1836</v>
      </c>
      <c r="D1281" s="101" t="s">
        <v>661</v>
      </c>
      <c r="E1281" s="70" t="s">
        <v>622</v>
      </c>
      <c r="F1281" s="70" t="s">
        <v>1221</v>
      </c>
      <c r="G1281" s="70" t="s">
        <v>1222</v>
      </c>
      <c r="H1281" s="71">
        <v>105679.75</v>
      </c>
      <c r="I1281" s="30">
        <v>1223</v>
      </c>
      <c r="J1281" s="30">
        <v>318</v>
      </c>
    </row>
    <row r="1282" spans="2:10" ht="23">
      <c r="B1282" s="69">
        <v>45291</v>
      </c>
      <c r="C1282" s="70" t="s">
        <v>1847</v>
      </c>
      <c r="D1282" s="101" t="s">
        <v>668</v>
      </c>
      <c r="E1282" s="70" t="s">
        <v>514</v>
      </c>
      <c r="F1282" s="70" t="s">
        <v>1848</v>
      </c>
      <c r="G1282" s="70" t="s">
        <v>1869</v>
      </c>
      <c r="H1282" s="117">
        <v>407022</v>
      </c>
      <c r="I1282" s="30">
        <v>1223</v>
      </c>
      <c r="J1282" s="30">
        <v>329</v>
      </c>
    </row>
    <row r="1283" spans="2:10">
      <c r="B1283" s="69">
        <v>45279</v>
      </c>
      <c r="C1283" s="70" t="s">
        <v>1870</v>
      </c>
      <c r="D1283" s="101" t="s">
        <v>777</v>
      </c>
      <c r="E1283" s="70" t="s">
        <v>633</v>
      </c>
      <c r="F1283" s="70" t="s">
        <v>694</v>
      </c>
      <c r="G1283" s="70" t="s">
        <v>1871</v>
      </c>
      <c r="H1283" s="71">
        <v>30000</v>
      </c>
      <c r="I1283" s="30">
        <v>1223</v>
      </c>
      <c r="J1283" s="30">
        <v>330</v>
      </c>
    </row>
    <row r="1284" spans="2:10">
      <c r="B1284" s="69">
        <v>45275</v>
      </c>
      <c r="C1284" s="70" t="s">
        <v>1872</v>
      </c>
      <c r="D1284" s="101" t="s">
        <v>777</v>
      </c>
      <c r="E1284" s="70" t="s">
        <v>514</v>
      </c>
      <c r="F1284" s="70" t="s">
        <v>908</v>
      </c>
      <c r="G1284" s="70" t="s">
        <v>1873</v>
      </c>
      <c r="H1284" s="71">
        <v>55000</v>
      </c>
      <c r="I1284" s="30">
        <v>1223</v>
      </c>
      <c r="J1284" s="30">
        <v>330</v>
      </c>
    </row>
    <row r="1285" spans="2:10" ht="23">
      <c r="B1285" s="69">
        <v>45291</v>
      </c>
      <c r="C1285" s="70" t="s">
        <v>1847</v>
      </c>
      <c r="D1285" s="101" t="s">
        <v>777</v>
      </c>
      <c r="E1285" s="70" t="s">
        <v>514</v>
      </c>
      <c r="F1285" s="70" t="s">
        <v>1848</v>
      </c>
      <c r="G1285" s="70" t="s">
        <v>1874</v>
      </c>
      <c r="H1285" s="71">
        <v>1724998</v>
      </c>
      <c r="I1285" s="30">
        <v>1223</v>
      </c>
      <c r="J1285" s="30">
        <v>329</v>
      </c>
    </row>
    <row r="1286" spans="2:10">
      <c r="B1286" s="69">
        <v>45291</v>
      </c>
      <c r="C1286" s="70" t="s">
        <v>1775</v>
      </c>
      <c r="D1286" s="101" t="s">
        <v>777</v>
      </c>
      <c r="E1286" s="70" t="s">
        <v>622</v>
      </c>
      <c r="F1286" s="70" t="s">
        <v>1791</v>
      </c>
      <c r="G1286" s="70" t="s">
        <v>1852</v>
      </c>
      <c r="H1286" s="71">
        <v>0.92</v>
      </c>
      <c r="I1286" s="30">
        <v>1223</v>
      </c>
      <c r="J1286" s="30">
        <v>327</v>
      </c>
    </row>
    <row r="1287" spans="2:10">
      <c r="B1287" s="69">
        <v>45291</v>
      </c>
      <c r="C1287" s="70" t="s">
        <v>1775</v>
      </c>
      <c r="D1287" s="101" t="s">
        <v>777</v>
      </c>
      <c r="E1287" s="70" t="s">
        <v>622</v>
      </c>
      <c r="F1287" s="70" t="s">
        <v>1791</v>
      </c>
      <c r="G1287" s="70" t="s">
        <v>1793</v>
      </c>
      <c r="H1287" s="71">
        <v>29634757</v>
      </c>
      <c r="I1287" s="30">
        <v>1223</v>
      </c>
      <c r="J1287" s="30">
        <v>327</v>
      </c>
    </row>
    <row r="1288" spans="2:10">
      <c r="B1288" s="69">
        <v>45291</v>
      </c>
      <c r="C1288" s="70" t="s">
        <v>1795</v>
      </c>
      <c r="D1288" s="101">
        <v>316204006001</v>
      </c>
      <c r="E1288" s="70" t="s">
        <v>514</v>
      </c>
      <c r="F1288" s="70" t="s">
        <v>1796</v>
      </c>
      <c r="G1288" s="70" t="s">
        <v>2363</v>
      </c>
      <c r="H1288" s="71">
        <v>99654000</v>
      </c>
      <c r="I1288" s="30">
        <v>1223</v>
      </c>
      <c r="J1288" s="72" t="s">
        <v>2364</v>
      </c>
    </row>
    <row r="1289" spans="2:10" ht="34.5">
      <c r="B1289" s="69">
        <v>45291</v>
      </c>
      <c r="C1289" s="70" t="s">
        <v>1875</v>
      </c>
      <c r="D1289" s="101" t="s">
        <v>777</v>
      </c>
      <c r="E1289" s="70" t="s">
        <v>308</v>
      </c>
      <c r="F1289" s="70" t="s">
        <v>1164</v>
      </c>
      <c r="G1289" s="70" t="s">
        <v>1876</v>
      </c>
      <c r="H1289" s="136">
        <v>113587100</v>
      </c>
      <c r="I1289" s="30">
        <v>1223</v>
      </c>
      <c r="J1289" s="30">
        <v>22</v>
      </c>
    </row>
    <row r="1290" spans="2:10" ht="23">
      <c r="B1290" s="69">
        <v>45291</v>
      </c>
      <c r="C1290" s="70" t="s">
        <v>1865</v>
      </c>
      <c r="D1290" s="101" t="s">
        <v>1476</v>
      </c>
      <c r="E1290" s="70" t="s">
        <v>495</v>
      </c>
      <c r="F1290" s="70" t="s">
        <v>1866</v>
      </c>
      <c r="G1290" s="70" t="s">
        <v>1877</v>
      </c>
      <c r="H1290" s="71">
        <v>935785</v>
      </c>
      <c r="I1290" s="30">
        <v>1223</v>
      </c>
      <c r="J1290" s="30">
        <v>321</v>
      </c>
    </row>
    <row r="1291" spans="2:10">
      <c r="B1291" s="69">
        <v>45301</v>
      </c>
      <c r="C1291" s="70" t="s">
        <v>1878</v>
      </c>
      <c r="D1291" s="101" t="s">
        <v>270</v>
      </c>
      <c r="E1291" s="70" t="s">
        <v>271</v>
      </c>
      <c r="F1291" s="70" t="s">
        <v>1879</v>
      </c>
      <c r="G1291" s="70" t="s">
        <v>1880</v>
      </c>
      <c r="H1291" s="71">
        <v>630000</v>
      </c>
      <c r="I1291" s="96" t="s">
        <v>1929</v>
      </c>
      <c r="J1291" s="72">
        <v>327</v>
      </c>
    </row>
    <row r="1292" spans="2:10" ht="34.5">
      <c r="B1292" s="69">
        <v>45322</v>
      </c>
      <c r="C1292" s="70" t="s">
        <v>1886</v>
      </c>
      <c r="D1292" s="101" t="s">
        <v>270</v>
      </c>
      <c r="E1292" s="70" t="s">
        <v>271</v>
      </c>
      <c r="F1292" s="70" t="s">
        <v>448</v>
      </c>
      <c r="G1292" s="70" t="s">
        <v>1887</v>
      </c>
      <c r="H1292" s="136">
        <v>19307852</v>
      </c>
      <c r="I1292" s="96" t="s">
        <v>1929</v>
      </c>
      <c r="J1292" s="72" t="s">
        <v>535</v>
      </c>
    </row>
    <row r="1293" spans="2:10" ht="34.5">
      <c r="B1293" s="69">
        <v>45322</v>
      </c>
      <c r="C1293" s="70" t="s">
        <v>1886</v>
      </c>
      <c r="D1293" s="101" t="s">
        <v>270</v>
      </c>
      <c r="E1293" s="70" t="s">
        <v>271</v>
      </c>
      <c r="F1293" s="70" t="s">
        <v>1703</v>
      </c>
      <c r="G1293" s="70" t="s">
        <v>1887</v>
      </c>
      <c r="H1293" s="136">
        <v>1592898</v>
      </c>
      <c r="I1293" s="96" t="s">
        <v>1929</v>
      </c>
      <c r="J1293" s="72" t="s">
        <v>535</v>
      </c>
    </row>
    <row r="1294" spans="2:10">
      <c r="B1294" s="69">
        <v>45322</v>
      </c>
      <c r="C1294" s="70" t="s">
        <v>1905</v>
      </c>
      <c r="D1294" s="101">
        <v>316204001001</v>
      </c>
      <c r="E1294" s="70" t="s">
        <v>514</v>
      </c>
      <c r="F1294" s="70" t="s">
        <v>1906</v>
      </c>
      <c r="G1294" s="70" t="s">
        <v>2435</v>
      </c>
      <c r="H1294" s="71">
        <v>17772290</v>
      </c>
      <c r="I1294" s="96" t="s">
        <v>1929</v>
      </c>
      <c r="J1294" s="72" t="s">
        <v>1168</v>
      </c>
    </row>
    <row r="1295" spans="2:10" ht="34.5">
      <c r="B1295" s="69">
        <v>45322</v>
      </c>
      <c r="C1295" s="70" t="s">
        <v>1914</v>
      </c>
      <c r="D1295" s="101" t="s">
        <v>270</v>
      </c>
      <c r="E1295" s="70" t="s">
        <v>308</v>
      </c>
      <c r="F1295" s="70" t="s">
        <v>1164</v>
      </c>
      <c r="G1295" s="70" t="s">
        <v>1915</v>
      </c>
      <c r="H1295" s="163">
        <v>697606432</v>
      </c>
      <c r="I1295" s="96" t="s">
        <v>1929</v>
      </c>
      <c r="J1295" s="30">
        <v>22</v>
      </c>
    </row>
    <row r="1296" spans="2:10" ht="23">
      <c r="B1296" s="69">
        <v>45322</v>
      </c>
      <c r="C1296" s="70" t="s">
        <v>1926</v>
      </c>
      <c r="D1296" s="101" t="s">
        <v>740</v>
      </c>
      <c r="E1296" s="70" t="s">
        <v>633</v>
      </c>
      <c r="F1296" s="70" t="s">
        <v>1927</v>
      </c>
      <c r="G1296" s="70" t="s">
        <v>1928</v>
      </c>
      <c r="H1296" s="71">
        <v>552390506.63</v>
      </c>
      <c r="I1296" s="96" t="s">
        <v>1929</v>
      </c>
      <c r="J1296" s="72" t="s">
        <v>870</v>
      </c>
    </row>
    <row r="1297" spans="2:10">
      <c r="B1297" s="69">
        <v>45322</v>
      </c>
      <c r="C1297" s="70" t="s">
        <v>1905</v>
      </c>
      <c r="D1297" s="101">
        <v>316204003101</v>
      </c>
      <c r="E1297" s="70" t="s">
        <v>495</v>
      </c>
      <c r="F1297" s="70" t="s">
        <v>1906</v>
      </c>
      <c r="G1297" s="70" t="s">
        <v>2436</v>
      </c>
      <c r="H1297" s="71">
        <v>5326142.18</v>
      </c>
      <c r="I1297" s="96" t="s">
        <v>1929</v>
      </c>
      <c r="J1297" s="72">
        <v>319</v>
      </c>
    </row>
    <row r="1298" spans="2:10">
      <c r="B1298" s="69">
        <v>45322</v>
      </c>
      <c r="C1298" s="70" t="s">
        <v>1905</v>
      </c>
      <c r="D1298" s="101" t="s">
        <v>1824</v>
      </c>
      <c r="E1298" s="70" t="s">
        <v>1907</v>
      </c>
      <c r="F1298" s="70" t="s">
        <v>1906</v>
      </c>
      <c r="G1298" s="70" t="s">
        <v>2436</v>
      </c>
      <c r="H1298" s="71">
        <v>3071800</v>
      </c>
      <c r="I1298" s="96" t="s">
        <v>1929</v>
      </c>
      <c r="J1298" s="72">
        <v>319</v>
      </c>
    </row>
    <row r="1299" spans="2:10" ht="23">
      <c r="B1299" s="69">
        <v>45322</v>
      </c>
      <c r="C1299" s="70" t="s">
        <v>1916</v>
      </c>
      <c r="D1299" s="101" t="s">
        <v>1350</v>
      </c>
      <c r="E1299" s="70" t="s">
        <v>308</v>
      </c>
      <c r="F1299" s="70" t="s">
        <v>1023</v>
      </c>
      <c r="G1299" s="70" t="s">
        <v>1917</v>
      </c>
      <c r="H1299" s="71">
        <v>281496000</v>
      </c>
      <c r="I1299" s="96" t="s">
        <v>1929</v>
      </c>
      <c r="J1299" s="72" t="s">
        <v>2421</v>
      </c>
    </row>
    <row r="1300" spans="2:10" ht="34.5">
      <c r="B1300" s="69">
        <v>45322</v>
      </c>
      <c r="C1300" s="70" t="s">
        <v>1918</v>
      </c>
      <c r="D1300" s="101" t="s">
        <v>1350</v>
      </c>
      <c r="E1300" s="70" t="s">
        <v>140</v>
      </c>
      <c r="F1300" s="70" t="s">
        <v>1828</v>
      </c>
      <c r="G1300" s="70" t="s">
        <v>1919</v>
      </c>
      <c r="H1300" s="71">
        <v>70374000</v>
      </c>
      <c r="I1300" s="96" t="s">
        <v>1929</v>
      </c>
      <c r="J1300" s="72" t="s">
        <v>2421</v>
      </c>
    </row>
    <row r="1301" spans="2:10" ht="34.5">
      <c r="B1301" s="69">
        <v>45322</v>
      </c>
      <c r="C1301" s="70" t="s">
        <v>1884</v>
      </c>
      <c r="D1301" s="101" t="s">
        <v>650</v>
      </c>
      <c r="E1301" s="70" t="s">
        <v>271</v>
      </c>
      <c r="F1301" s="70" t="s">
        <v>824</v>
      </c>
      <c r="G1301" s="70" t="s">
        <v>1885</v>
      </c>
      <c r="H1301" s="137">
        <v>25560749.140000001</v>
      </c>
      <c r="I1301" s="96" t="s">
        <v>1929</v>
      </c>
      <c r="J1301" s="30">
        <v>21</v>
      </c>
    </row>
    <row r="1302" spans="2:10" ht="34.5">
      <c r="B1302" s="69">
        <v>45322</v>
      </c>
      <c r="C1302" s="70" t="s">
        <v>1884</v>
      </c>
      <c r="D1302" s="101" t="s">
        <v>650</v>
      </c>
      <c r="E1302" s="70" t="s">
        <v>271</v>
      </c>
      <c r="F1302" s="70" t="s">
        <v>824</v>
      </c>
      <c r="G1302" s="70" t="s">
        <v>1885</v>
      </c>
      <c r="H1302" s="137">
        <v>28097592.84</v>
      </c>
      <c r="I1302" s="96" t="s">
        <v>1929</v>
      </c>
      <c r="J1302" s="30">
        <v>21</v>
      </c>
    </row>
    <row r="1303" spans="2:10" ht="34.5">
      <c r="B1303" s="69">
        <v>45322</v>
      </c>
      <c r="C1303" s="70" t="s">
        <v>1884</v>
      </c>
      <c r="D1303" s="101" t="s">
        <v>650</v>
      </c>
      <c r="E1303" s="70" t="s">
        <v>271</v>
      </c>
      <c r="F1303" s="70" t="s">
        <v>824</v>
      </c>
      <c r="G1303" s="70" t="s">
        <v>1885</v>
      </c>
      <c r="H1303" s="137">
        <v>19309895.350000001</v>
      </c>
      <c r="I1303" s="96" t="s">
        <v>1929</v>
      </c>
      <c r="J1303" s="30">
        <v>21</v>
      </c>
    </row>
    <row r="1304" spans="2:10" ht="34.5">
      <c r="B1304" s="69">
        <v>45322</v>
      </c>
      <c r="C1304" s="70" t="s">
        <v>1884</v>
      </c>
      <c r="D1304" s="101" t="s">
        <v>653</v>
      </c>
      <c r="E1304" s="70" t="s">
        <v>271</v>
      </c>
      <c r="F1304" s="70" t="s">
        <v>824</v>
      </c>
      <c r="G1304" s="70" t="s">
        <v>1885</v>
      </c>
      <c r="H1304" s="137">
        <v>92783827.810000002</v>
      </c>
      <c r="I1304" s="96" t="s">
        <v>1929</v>
      </c>
      <c r="J1304" s="30">
        <v>21</v>
      </c>
    </row>
    <row r="1305" spans="2:10" ht="23">
      <c r="B1305" s="69">
        <v>45322</v>
      </c>
      <c r="C1305" s="70" t="s">
        <v>1920</v>
      </c>
      <c r="D1305" s="101" t="s">
        <v>653</v>
      </c>
      <c r="E1305" s="70" t="s">
        <v>622</v>
      </c>
      <c r="F1305" s="70" t="s">
        <v>1221</v>
      </c>
      <c r="G1305" s="70" t="s">
        <v>1222</v>
      </c>
      <c r="H1305" s="71">
        <v>651301.52</v>
      </c>
      <c r="I1305" s="96" t="s">
        <v>1929</v>
      </c>
      <c r="J1305" s="72" t="s">
        <v>2438</v>
      </c>
    </row>
    <row r="1306" spans="2:10" ht="34.5">
      <c r="B1306" s="69">
        <v>45322</v>
      </c>
      <c r="C1306" s="70" t="s">
        <v>1884</v>
      </c>
      <c r="D1306" s="101" t="s">
        <v>655</v>
      </c>
      <c r="E1306" s="70" t="s">
        <v>271</v>
      </c>
      <c r="F1306" s="70" t="s">
        <v>824</v>
      </c>
      <c r="G1306" s="70" t="s">
        <v>1885</v>
      </c>
      <c r="H1306" s="137">
        <v>70401113.060000002</v>
      </c>
      <c r="I1306" s="96" t="s">
        <v>1929</v>
      </c>
      <c r="J1306" s="30">
        <v>21</v>
      </c>
    </row>
    <row r="1307" spans="2:10" ht="23">
      <c r="B1307" s="69">
        <v>45322</v>
      </c>
      <c r="C1307" s="70" t="s">
        <v>1920</v>
      </c>
      <c r="D1307" s="101" t="s">
        <v>655</v>
      </c>
      <c r="E1307" s="70" t="s">
        <v>495</v>
      </c>
      <c r="F1307" s="70" t="s">
        <v>1221</v>
      </c>
      <c r="G1307" s="70" t="s">
        <v>1222</v>
      </c>
      <c r="H1307" s="71">
        <v>180917.09</v>
      </c>
      <c r="I1307" s="96" t="s">
        <v>1929</v>
      </c>
      <c r="J1307" s="72" t="s">
        <v>2438</v>
      </c>
    </row>
    <row r="1308" spans="2:10" ht="23">
      <c r="B1308" s="69">
        <v>45322</v>
      </c>
      <c r="C1308" s="70" t="s">
        <v>1920</v>
      </c>
      <c r="D1308" s="101" t="s">
        <v>655</v>
      </c>
      <c r="E1308" s="70" t="s">
        <v>622</v>
      </c>
      <c r="F1308" s="70" t="s">
        <v>1221</v>
      </c>
      <c r="G1308" s="70" t="s">
        <v>1222</v>
      </c>
      <c r="H1308" s="71">
        <v>2216234.33</v>
      </c>
      <c r="I1308" s="96" t="s">
        <v>1929</v>
      </c>
      <c r="J1308" s="72" t="s">
        <v>2438</v>
      </c>
    </row>
    <row r="1309" spans="2:10" ht="34.5">
      <c r="B1309" s="69">
        <v>45322</v>
      </c>
      <c r="C1309" s="70" t="s">
        <v>1884</v>
      </c>
      <c r="D1309" s="101" t="s">
        <v>657</v>
      </c>
      <c r="E1309" s="70" t="s">
        <v>271</v>
      </c>
      <c r="F1309" s="70" t="s">
        <v>824</v>
      </c>
      <c r="G1309" s="70" t="s">
        <v>1885</v>
      </c>
      <c r="H1309" s="137">
        <v>26774688.280000001</v>
      </c>
      <c r="I1309" s="96" t="s">
        <v>1929</v>
      </c>
      <c r="J1309" s="30">
        <v>21</v>
      </c>
    </row>
    <row r="1310" spans="2:10" ht="34.5">
      <c r="B1310" s="69">
        <v>45322</v>
      </c>
      <c r="C1310" s="70" t="s">
        <v>1884</v>
      </c>
      <c r="D1310" s="101" t="s">
        <v>659</v>
      </c>
      <c r="E1310" s="70" t="s">
        <v>271</v>
      </c>
      <c r="F1310" s="70" t="s">
        <v>824</v>
      </c>
      <c r="G1310" s="70" t="s">
        <v>1885</v>
      </c>
      <c r="H1310" s="137">
        <v>40126365.399999999</v>
      </c>
      <c r="I1310" s="96" t="s">
        <v>1929</v>
      </c>
      <c r="J1310" s="30">
        <v>21</v>
      </c>
    </row>
    <row r="1311" spans="2:10" ht="34.5">
      <c r="B1311" s="69">
        <v>45322</v>
      </c>
      <c r="C1311" s="70" t="s">
        <v>1884</v>
      </c>
      <c r="D1311" s="101" t="s">
        <v>665</v>
      </c>
      <c r="E1311" s="70" t="s">
        <v>271</v>
      </c>
      <c r="F1311" s="70" t="s">
        <v>824</v>
      </c>
      <c r="G1311" s="70" t="s">
        <v>1885</v>
      </c>
      <c r="H1311" s="137">
        <v>82702950.430000007</v>
      </c>
      <c r="I1311" s="96" t="s">
        <v>1929</v>
      </c>
      <c r="J1311" s="30">
        <v>21</v>
      </c>
    </row>
    <row r="1312" spans="2:10" ht="34.5">
      <c r="B1312" s="69">
        <v>45322</v>
      </c>
      <c r="C1312" s="70" t="s">
        <v>1884</v>
      </c>
      <c r="D1312" s="101" t="s">
        <v>665</v>
      </c>
      <c r="E1312" s="70" t="s">
        <v>271</v>
      </c>
      <c r="F1312" s="70" t="s">
        <v>824</v>
      </c>
      <c r="G1312" s="70" t="s">
        <v>1885</v>
      </c>
      <c r="H1312" s="137">
        <v>128994007.92</v>
      </c>
      <c r="I1312" s="96" t="s">
        <v>1929</v>
      </c>
      <c r="J1312" s="30">
        <v>21</v>
      </c>
    </row>
    <row r="1313" spans="2:10" ht="23">
      <c r="B1313" s="69">
        <v>45322</v>
      </c>
      <c r="C1313" s="70" t="s">
        <v>1894</v>
      </c>
      <c r="D1313" s="101" t="s">
        <v>665</v>
      </c>
      <c r="E1313" s="70" t="s">
        <v>514</v>
      </c>
      <c r="F1313" s="70" t="s">
        <v>1895</v>
      </c>
      <c r="G1313" s="70" t="s">
        <v>1899</v>
      </c>
      <c r="H1313" s="71">
        <v>60258</v>
      </c>
      <c r="I1313" s="96" t="s">
        <v>1929</v>
      </c>
      <c r="J1313" s="72">
        <v>329</v>
      </c>
    </row>
    <row r="1314" spans="2:10">
      <c r="B1314" s="69">
        <v>45322</v>
      </c>
      <c r="C1314" s="70" t="s">
        <v>1905</v>
      </c>
      <c r="D1314" s="101">
        <v>316204005006</v>
      </c>
      <c r="E1314" s="70" t="s">
        <v>495</v>
      </c>
      <c r="F1314" s="70" t="s">
        <v>1906</v>
      </c>
      <c r="G1314" s="70" t="s">
        <v>2376</v>
      </c>
      <c r="H1314" s="187">
        <v>225774000</v>
      </c>
      <c r="I1314" s="96" t="s">
        <v>1929</v>
      </c>
      <c r="J1314" s="30">
        <v>337</v>
      </c>
    </row>
    <row r="1315" spans="2:10" ht="23">
      <c r="B1315" s="69">
        <v>45322</v>
      </c>
      <c r="C1315" s="70" t="s">
        <v>1920</v>
      </c>
      <c r="D1315" s="101" t="s">
        <v>665</v>
      </c>
      <c r="E1315" s="70" t="s">
        <v>622</v>
      </c>
      <c r="F1315" s="70" t="s">
        <v>1221</v>
      </c>
      <c r="G1315" s="70" t="s">
        <v>1222</v>
      </c>
      <c r="H1315" s="71">
        <v>1610162.09</v>
      </c>
      <c r="I1315" s="96" t="s">
        <v>1929</v>
      </c>
      <c r="J1315" s="72" t="s">
        <v>2438</v>
      </c>
    </row>
    <row r="1316" spans="2:10" ht="34.5">
      <c r="B1316" s="69">
        <v>45322</v>
      </c>
      <c r="C1316" s="70" t="s">
        <v>1884</v>
      </c>
      <c r="D1316" s="101" t="s">
        <v>663</v>
      </c>
      <c r="E1316" s="70" t="s">
        <v>271</v>
      </c>
      <c r="F1316" s="70" t="s">
        <v>824</v>
      </c>
      <c r="G1316" s="70" t="s">
        <v>1885</v>
      </c>
      <c r="H1316" s="137">
        <v>89590907.439999998</v>
      </c>
      <c r="I1316" s="96" t="s">
        <v>1929</v>
      </c>
      <c r="J1316" s="30">
        <v>21</v>
      </c>
    </row>
    <row r="1317" spans="2:10" ht="23">
      <c r="B1317" s="69">
        <v>45322</v>
      </c>
      <c r="C1317" s="70" t="s">
        <v>1920</v>
      </c>
      <c r="D1317" s="101" t="s">
        <v>663</v>
      </c>
      <c r="E1317" s="70" t="s">
        <v>622</v>
      </c>
      <c r="F1317" s="70" t="s">
        <v>1221</v>
      </c>
      <c r="G1317" s="70" t="s">
        <v>1222</v>
      </c>
      <c r="H1317" s="71">
        <v>3359268.5</v>
      </c>
      <c r="I1317" s="96" t="s">
        <v>1929</v>
      </c>
      <c r="J1317" s="72" t="s">
        <v>2438</v>
      </c>
    </row>
    <row r="1318" spans="2:10" ht="34.5">
      <c r="B1318" s="69">
        <v>45322</v>
      </c>
      <c r="C1318" s="70" t="s">
        <v>1884</v>
      </c>
      <c r="D1318" s="101" t="s">
        <v>931</v>
      </c>
      <c r="E1318" s="70" t="s">
        <v>271</v>
      </c>
      <c r="F1318" s="70" t="s">
        <v>824</v>
      </c>
      <c r="G1318" s="70" t="s">
        <v>1885</v>
      </c>
      <c r="H1318" s="137">
        <v>42488193.859999999</v>
      </c>
      <c r="I1318" s="96" t="s">
        <v>1929</v>
      </c>
      <c r="J1318" s="30">
        <v>21</v>
      </c>
    </row>
    <row r="1319" spans="2:10" ht="23">
      <c r="B1319" s="69">
        <v>45322</v>
      </c>
      <c r="C1319" s="70" t="s">
        <v>1920</v>
      </c>
      <c r="D1319" s="101" t="s">
        <v>931</v>
      </c>
      <c r="E1319" s="70" t="s">
        <v>622</v>
      </c>
      <c r="F1319" s="70" t="s">
        <v>1221</v>
      </c>
      <c r="G1319" s="70" t="s">
        <v>1222</v>
      </c>
      <c r="H1319" s="71">
        <v>777943.47</v>
      </c>
      <c r="I1319" s="96" t="s">
        <v>1929</v>
      </c>
      <c r="J1319" s="72" t="s">
        <v>2438</v>
      </c>
    </row>
    <row r="1320" spans="2:10" ht="23">
      <c r="B1320" s="69">
        <v>45310</v>
      </c>
      <c r="C1320" s="70" t="s">
        <v>1881</v>
      </c>
      <c r="D1320" s="101" t="s">
        <v>929</v>
      </c>
      <c r="E1320" s="70" t="s">
        <v>514</v>
      </c>
      <c r="F1320" s="70" t="s">
        <v>1882</v>
      </c>
      <c r="G1320" s="70" t="s">
        <v>1883</v>
      </c>
      <c r="H1320" s="71">
        <v>50000</v>
      </c>
      <c r="I1320" s="96" t="s">
        <v>1929</v>
      </c>
      <c r="J1320" s="72">
        <v>330</v>
      </c>
    </row>
    <row r="1321" spans="2:10" ht="23">
      <c r="B1321" s="69">
        <v>45322</v>
      </c>
      <c r="C1321" s="70" t="s">
        <v>1894</v>
      </c>
      <c r="D1321" s="101" t="s">
        <v>929</v>
      </c>
      <c r="E1321" s="70" t="s">
        <v>514</v>
      </c>
      <c r="F1321" s="70" t="s">
        <v>1895</v>
      </c>
      <c r="G1321" s="70" t="s">
        <v>1897</v>
      </c>
      <c r="H1321" s="71">
        <v>286225</v>
      </c>
      <c r="I1321" s="96" t="s">
        <v>1929</v>
      </c>
      <c r="J1321" s="72">
        <v>329</v>
      </c>
    </row>
    <row r="1322" spans="2:10" ht="69">
      <c r="B1322" s="69">
        <v>45322</v>
      </c>
      <c r="C1322" s="70" t="s">
        <v>1921</v>
      </c>
      <c r="D1322" s="101" t="s">
        <v>929</v>
      </c>
      <c r="E1322" s="70" t="s">
        <v>622</v>
      </c>
      <c r="F1322" s="70" t="s">
        <v>1922</v>
      </c>
      <c r="G1322" s="70" t="s">
        <v>1923</v>
      </c>
      <c r="H1322" s="71">
        <v>2561174.48</v>
      </c>
      <c r="I1322" s="96" t="s">
        <v>1929</v>
      </c>
      <c r="J1322" s="72">
        <v>327</v>
      </c>
    </row>
    <row r="1323" spans="2:10" ht="69">
      <c r="B1323" s="69">
        <v>45322</v>
      </c>
      <c r="C1323" s="70" t="s">
        <v>1921</v>
      </c>
      <c r="D1323" s="101" t="s">
        <v>929</v>
      </c>
      <c r="E1323" s="70" t="s">
        <v>622</v>
      </c>
      <c r="F1323" s="70" t="s">
        <v>1922</v>
      </c>
      <c r="G1323" s="70" t="s">
        <v>1924</v>
      </c>
      <c r="H1323" s="71">
        <v>3050329.88</v>
      </c>
      <c r="I1323" s="96" t="s">
        <v>1929</v>
      </c>
      <c r="J1323" s="72">
        <v>327</v>
      </c>
    </row>
    <row r="1324" spans="2:10" ht="34.5">
      <c r="B1324" s="69">
        <v>45322</v>
      </c>
      <c r="C1324" s="70" t="s">
        <v>1884</v>
      </c>
      <c r="D1324" s="101" t="s">
        <v>711</v>
      </c>
      <c r="E1324" s="70" t="s">
        <v>271</v>
      </c>
      <c r="F1324" s="70" t="s">
        <v>824</v>
      </c>
      <c r="G1324" s="70" t="s">
        <v>1885</v>
      </c>
      <c r="H1324" s="137">
        <v>21914153.100000001</v>
      </c>
      <c r="I1324" s="96" t="s">
        <v>1929</v>
      </c>
      <c r="J1324" s="30">
        <v>21</v>
      </c>
    </row>
    <row r="1325" spans="2:10" ht="34.5">
      <c r="B1325" s="69">
        <v>45322</v>
      </c>
      <c r="C1325" s="70" t="s">
        <v>1884</v>
      </c>
      <c r="D1325" s="101" t="s">
        <v>711</v>
      </c>
      <c r="E1325" s="70" t="s">
        <v>271</v>
      </c>
      <c r="F1325" s="70" t="s">
        <v>824</v>
      </c>
      <c r="G1325" s="70" t="s">
        <v>1885</v>
      </c>
      <c r="H1325" s="137">
        <v>509196020.54000002</v>
      </c>
      <c r="I1325" s="96" t="s">
        <v>1929</v>
      </c>
      <c r="J1325" s="30">
        <v>21</v>
      </c>
    </row>
    <row r="1326" spans="2:10" ht="34.5">
      <c r="B1326" s="69">
        <v>45322</v>
      </c>
      <c r="C1326" s="70" t="s">
        <v>1888</v>
      </c>
      <c r="D1326" s="101" t="s">
        <v>711</v>
      </c>
      <c r="E1326" s="70" t="s">
        <v>514</v>
      </c>
      <c r="F1326" s="70" t="s">
        <v>1889</v>
      </c>
      <c r="G1326" s="70" t="s">
        <v>1890</v>
      </c>
      <c r="H1326" s="71">
        <v>45000</v>
      </c>
      <c r="I1326" s="96" t="s">
        <v>1929</v>
      </c>
      <c r="J1326" s="72">
        <v>330</v>
      </c>
    </row>
    <row r="1327" spans="2:10" ht="23">
      <c r="B1327" s="69">
        <v>45322</v>
      </c>
      <c r="C1327" s="70" t="s">
        <v>1894</v>
      </c>
      <c r="D1327" s="101" t="s">
        <v>711</v>
      </c>
      <c r="E1327" s="70" t="s">
        <v>514</v>
      </c>
      <c r="F1327" s="70" t="s">
        <v>1895</v>
      </c>
      <c r="G1327" s="70" t="s">
        <v>1896</v>
      </c>
      <c r="H1327" s="71">
        <v>2390234</v>
      </c>
      <c r="I1327" s="96" t="s">
        <v>1929</v>
      </c>
      <c r="J1327" s="72">
        <v>329</v>
      </c>
    </row>
    <row r="1328" spans="2:10" ht="23">
      <c r="B1328" s="69">
        <v>45322</v>
      </c>
      <c r="C1328" s="70" t="s">
        <v>1900</v>
      </c>
      <c r="D1328" s="101" t="s">
        <v>711</v>
      </c>
      <c r="E1328" s="70" t="s">
        <v>495</v>
      </c>
      <c r="F1328" s="70" t="s">
        <v>1901</v>
      </c>
      <c r="G1328" s="70" t="s">
        <v>1902</v>
      </c>
      <c r="H1328" s="117">
        <v>550000</v>
      </c>
      <c r="I1328" s="96" t="s">
        <v>1929</v>
      </c>
      <c r="J1328" s="30">
        <v>24</v>
      </c>
    </row>
    <row r="1329" spans="2:10" ht="23">
      <c r="B1329" s="69">
        <v>45322</v>
      </c>
      <c r="C1329" s="70" t="s">
        <v>1900</v>
      </c>
      <c r="D1329" s="101" t="s">
        <v>711</v>
      </c>
      <c r="E1329" s="70" t="s">
        <v>495</v>
      </c>
      <c r="F1329" s="70" t="s">
        <v>1901</v>
      </c>
      <c r="G1329" s="70" t="s">
        <v>1903</v>
      </c>
      <c r="H1329" s="117">
        <v>96400</v>
      </c>
      <c r="I1329" s="96" t="s">
        <v>1929</v>
      </c>
      <c r="J1329" s="30">
        <v>24</v>
      </c>
    </row>
    <row r="1330" spans="2:10" ht="23">
      <c r="B1330" s="69">
        <v>45322</v>
      </c>
      <c r="C1330" s="70" t="s">
        <v>1900</v>
      </c>
      <c r="D1330" s="101" t="s">
        <v>711</v>
      </c>
      <c r="E1330" s="70" t="s">
        <v>495</v>
      </c>
      <c r="F1330" s="70" t="s">
        <v>1901</v>
      </c>
      <c r="G1330" s="70" t="s">
        <v>1904</v>
      </c>
      <c r="H1330" s="117">
        <v>174544</v>
      </c>
      <c r="I1330" s="96" t="s">
        <v>1929</v>
      </c>
      <c r="J1330" s="30">
        <v>24</v>
      </c>
    </row>
    <row r="1331" spans="2:10" ht="23">
      <c r="B1331" s="69">
        <v>45322</v>
      </c>
      <c r="C1331" s="70" t="s">
        <v>1900</v>
      </c>
      <c r="D1331" s="101" t="s">
        <v>711</v>
      </c>
      <c r="E1331" s="70" t="s">
        <v>495</v>
      </c>
      <c r="F1331" s="70" t="s">
        <v>1901</v>
      </c>
      <c r="G1331" s="70" t="s">
        <v>1904</v>
      </c>
      <c r="H1331" s="117">
        <v>90304</v>
      </c>
      <c r="I1331" s="96" t="s">
        <v>1929</v>
      </c>
      <c r="J1331" s="30">
        <v>24</v>
      </c>
    </row>
    <row r="1332" spans="2:10">
      <c r="B1332" s="69">
        <v>45322</v>
      </c>
      <c r="C1332" s="70" t="s">
        <v>1905</v>
      </c>
      <c r="D1332" s="101">
        <v>316204005010</v>
      </c>
      <c r="E1332" s="70" t="s">
        <v>514</v>
      </c>
      <c r="F1332" s="70" t="s">
        <v>1906</v>
      </c>
      <c r="G1332" s="70" t="s">
        <v>2393</v>
      </c>
      <c r="H1332" s="117">
        <v>6331320</v>
      </c>
      <c r="I1332" s="96" t="s">
        <v>1929</v>
      </c>
      <c r="J1332" s="30">
        <v>24</v>
      </c>
    </row>
    <row r="1333" spans="2:10" ht="23">
      <c r="B1333" s="69">
        <v>45322</v>
      </c>
      <c r="C1333" s="70" t="s">
        <v>1894</v>
      </c>
      <c r="D1333" s="101" t="s">
        <v>815</v>
      </c>
      <c r="E1333" s="70" t="s">
        <v>514</v>
      </c>
      <c r="F1333" s="70" t="s">
        <v>1895</v>
      </c>
      <c r="G1333" s="70" t="s">
        <v>1898</v>
      </c>
      <c r="H1333" s="71">
        <v>100430</v>
      </c>
      <c r="I1333" s="96" t="s">
        <v>1929</v>
      </c>
      <c r="J1333" s="72">
        <v>329</v>
      </c>
    </row>
    <row r="1334" spans="2:10" ht="34.5">
      <c r="B1334" s="69">
        <v>45322</v>
      </c>
      <c r="C1334" s="70" t="s">
        <v>1884</v>
      </c>
      <c r="D1334" s="101" t="s">
        <v>661</v>
      </c>
      <c r="E1334" s="70" t="s">
        <v>271</v>
      </c>
      <c r="F1334" s="70" t="s">
        <v>824</v>
      </c>
      <c r="G1334" s="70" t="s">
        <v>1885</v>
      </c>
      <c r="H1334" s="137">
        <v>24508501.829999998</v>
      </c>
      <c r="I1334" s="96" t="s">
        <v>1929</v>
      </c>
      <c r="J1334" s="30">
        <v>21</v>
      </c>
    </row>
    <row r="1335" spans="2:10" ht="103.5">
      <c r="B1335" s="69">
        <v>45322</v>
      </c>
      <c r="C1335" s="70" t="s">
        <v>1921</v>
      </c>
      <c r="D1335" s="101" t="s">
        <v>668</v>
      </c>
      <c r="E1335" s="70" t="s">
        <v>622</v>
      </c>
      <c r="F1335" s="70" t="s">
        <v>1922</v>
      </c>
      <c r="G1335" s="70" t="s">
        <v>1925</v>
      </c>
      <c r="H1335" s="71">
        <v>11045728.5</v>
      </c>
      <c r="I1335" s="96" t="s">
        <v>1929</v>
      </c>
      <c r="J1335" s="72">
        <v>327</v>
      </c>
    </row>
    <row r="1336" spans="2:10" ht="34.5">
      <c r="B1336" s="69">
        <v>45322</v>
      </c>
      <c r="C1336" s="70" t="s">
        <v>1908</v>
      </c>
      <c r="D1336" s="101" t="s">
        <v>777</v>
      </c>
      <c r="E1336" s="70" t="s">
        <v>308</v>
      </c>
      <c r="F1336" s="70" t="s">
        <v>1164</v>
      </c>
      <c r="G1336" s="70" t="s">
        <v>1909</v>
      </c>
      <c r="H1336" s="166">
        <v>59537500</v>
      </c>
      <c r="I1336" s="96" t="s">
        <v>1929</v>
      </c>
      <c r="J1336" s="30">
        <v>22</v>
      </c>
    </row>
    <row r="1337" spans="2:10" ht="34.5">
      <c r="B1337" s="69">
        <v>45322</v>
      </c>
      <c r="C1337" s="70" t="s">
        <v>1910</v>
      </c>
      <c r="D1337" s="101" t="s">
        <v>777</v>
      </c>
      <c r="E1337" s="70" t="s">
        <v>308</v>
      </c>
      <c r="F1337" s="70" t="s">
        <v>1164</v>
      </c>
      <c r="G1337" s="70" t="s">
        <v>1911</v>
      </c>
      <c r="H1337" s="167">
        <v>200719856</v>
      </c>
      <c r="I1337" s="96" t="s">
        <v>1929</v>
      </c>
      <c r="J1337" s="30">
        <v>22</v>
      </c>
    </row>
    <row r="1338" spans="2:10" ht="46">
      <c r="B1338" s="69">
        <v>45322</v>
      </c>
      <c r="C1338" s="70" t="s">
        <v>1912</v>
      </c>
      <c r="D1338" s="101" t="s">
        <v>777</v>
      </c>
      <c r="E1338" s="70" t="s">
        <v>308</v>
      </c>
      <c r="F1338" s="70" t="s">
        <v>1164</v>
      </c>
      <c r="G1338" s="70" t="s">
        <v>1913</v>
      </c>
      <c r="H1338" s="167">
        <v>27400781</v>
      </c>
      <c r="I1338" s="96" t="s">
        <v>1929</v>
      </c>
      <c r="J1338" s="30">
        <v>22</v>
      </c>
    </row>
    <row r="1339" spans="2:10">
      <c r="B1339" s="69">
        <v>45322</v>
      </c>
      <c r="C1339" s="70" t="s">
        <v>1905</v>
      </c>
      <c r="D1339" s="101">
        <v>316204006004</v>
      </c>
      <c r="E1339" s="70" t="s">
        <v>514</v>
      </c>
      <c r="F1339" s="70" t="s">
        <v>1906</v>
      </c>
      <c r="G1339" s="70"/>
      <c r="H1339" s="71">
        <v>74000</v>
      </c>
      <c r="I1339" s="96" t="s">
        <v>1929</v>
      </c>
      <c r="J1339" s="30">
        <v>24</v>
      </c>
    </row>
    <row r="1340" spans="2:10">
      <c r="B1340" s="69">
        <v>45322</v>
      </c>
      <c r="C1340" s="70" t="s">
        <v>1891</v>
      </c>
      <c r="D1340" s="101" t="s">
        <v>1476</v>
      </c>
      <c r="E1340" s="70" t="s">
        <v>271</v>
      </c>
      <c r="F1340" s="70" t="s">
        <v>1892</v>
      </c>
      <c r="G1340" s="70" t="s">
        <v>1893</v>
      </c>
      <c r="H1340" s="71">
        <v>3500000</v>
      </c>
      <c r="I1340" s="96" t="s">
        <v>1929</v>
      </c>
      <c r="J1340" s="30">
        <v>321</v>
      </c>
    </row>
    <row r="1341" spans="2:10" ht="34.5">
      <c r="B1341" s="69">
        <v>45351</v>
      </c>
      <c r="C1341" s="70" t="s">
        <v>1948</v>
      </c>
      <c r="D1341" s="70" t="s">
        <v>270</v>
      </c>
      <c r="E1341" s="70" t="s">
        <v>308</v>
      </c>
      <c r="F1341" s="70" t="s">
        <v>1947</v>
      </c>
      <c r="G1341" s="70" t="s">
        <v>1949</v>
      </c>
      <c r="H1341" s="137">
        <v>118218742</v>
      </c>
      <c r="I1341" s="96" t="s">
        <v>1931</v>
      </c>
      <c r="J1341" s="72" t="s">
        <v>535</v>
      </c>
    </row>
    <row r="1342" spans="2:10" ht="34.5">
      <c r="B1342" s="69">
        <v>45351</v>
      </c>
      <c r="C1342" s="70" t="s">
        <v>1948</v>
      </c>
      <c r="D1342" s="70" t="s">
        <v>270</v>
      </c>
      <c r="E1342" s="70" t="s">
        <v>308</v>
      </c>
      <c r="F1342" s="70" t="s">
        <v>1703</v>
      </c>
      <c r="G1342" s="70" t="s">
        <v>1949</v>
      </c>
      <c r="H1342" s="137">
        <v>9753046</v>
      </c>
      <c r="I1342" s="96" t="s">
        <v>1931</v>
      </c>
      <c r="J1342" s="72" t="s">
        <v>535</v>
      </c>
    </row>
    <row r="1343" spans="2:10" ht="34.5">
      <c r="B1343" s="69">
        <v>45351</v>
      </c>
      <c r="C1343" s="70" t="s">
        <v>1950</v>
      </c>
      <c r="D1343" s="70" t="s">
        <v>270</v>
      </c>
      <c r="E1343" s="70" t="s">
        <v>308</v>
      </c>
      <c r="F1343" s="70" t="s">
        <v>1947</v>
      </c>
      <c r="G1343" s="70" t="s">
        <v>1951</v>
      </c>
      <c r="H1343" s="136">
        <v>15050608</v>
      </c>
      <c r="I1343" s="96" t="s">
        <v>1931</v>
      </c>
      <c r="J1343" s="72" t="s">
        <v>535</v>
      </c>
    </row>
    <row r="1344" spans="2:10" ht="34.5">
      <c r="B1344" s="69">
        <v>45351</v>
      </c>
      <c r="C1344" s="70" t="s">
        <v>1950</v>
      </c>
      <c r="D1344" s="70" t="s">
        <v>270</v>
      </c>
      <c r="E1344" s="70" t="s">
        <v>308</v>
      </c>
      <c r="F1344" s="70" t="s">
        <v>1703</v>
      </c>
      <c r="G1344" s="70" t="s">
        <v>1951</v>
      </c>
      <c r="H1344" s="136">
        <v>978878</v>
      </c>
      <c r="I1344" s="96" t="s">
        <v>1931</v>
      </c>
      <c r="J1344" s="72" t="s">
        <v>535</v>
      </c>
    </row>
    <row r="1345" spans="2:10" ht="34.5">
      <c r="B1345" s="69">
        <v>45351</v>
      </c>
      <c r="C1345" s="70" t="s">
        <v>1952</v>
      </c>
      <c r="D1345" s="70" t="s">
        <v>270</v>
      </c>
      <c r="E1345" s="70" t="s">
        <v>308</v>
      </c>
      <c r="F1345" s="70" t="s">
        <v>448</v>
      </c>
      <c r="G1345" s="70" t="s">
        <v>1953</v>
      </c>
      <c r="H1345" s="71">
        <v>3141730823</v>
      </c>
      <c r="I1345" s="96" t="s">
        <v>1931</v>
      </c>
      <c r="J1345" s="72" t="s">
        <v>535</v>
      </c>
    </row>
    <row r="1346" spans="2:10" ht="34.5">
      <c r="B1346" s="69">
        <v>45351</v>
      </c>
      <c r="C1346" s="70" t="s">
        <v>1952</v>
      </c>
      <c r="D1346" s="70" t="s">
        <v>270</v>
      </c>
      <c r="E1346" s="70" t="s">
        <v>308</v>
      </c>
      <c r="F1346" s="70" t="s">
        <v>1703</v>
      </c>
      <c r="G1346" s="70" t="s">
        <v>1953</v>
      </c>
      <c r="H1346" s="71">
        <v>259192793</v>
      </c>
      <c r="I1346" s="96" t="s">
        <v>1931</v>
      </c>
      <c r="J1346" s="72" t="s">
        <v>535</v>
      </c>
    </row>
    <row r="1347" spans="2:10" ht="23">
      <c r="B1347" s="69">
        <v>45351</v>
      </c>
      <c r="C1347" s="70" t="s">
        <v>1944</v>
      </c>
      <c r="D1347" s="70" t="s">
        <v>270</v>
      </c>
      <c r="E1347" s="70" t="s">
        <v>514</v>
      </c>
      <c r="F1347" s="70" t="s">
        <v>1945</v>
      </c>
      <c r="G1347" s="70"/>
      <c r="H1347" s="71">
        <v>100430</v>
      </c>
      <c r="I1347" s="96" t="s">
        <v>1931</v>
      </c>
      <c r="J1347" s="72">
        <v>329</v>
      </c>
    </row>
    <row r="1348" spans="2:10">
      <c r="B1348" s="69">
        <v>45351</v>
      </c>
      <c r="C1348" s="70" t="s">
        <v>1943</v>
      </c>
      <c r="D1348" s="104" t="s">
        <v>270</v>
      </c>
      <c r="E1348" s="70" t="s">
        <v>514</v>
      </c>
      <c r="F1348" s="70" t="s">
        <v>1942</v>
      </c>
      <c r="G1348" s="70" t="s">
        <v>2435</v>
      </c>
      <c r="H1348" s="71">
        <v>253000</v>
      </c>
      <c r="I1348" s="96" t="s">
        <v>1931</v>
      </c>
      <c r="J1348" s="72" t="s">
        <v>1168</v>
      </c>
    </row>
    <row r="1349" spans="2:10" ht="23">
      <c r="B1349" s="69">
        <v>45351</v>
      </c>
      <c r="C1349" s="70" t="s">
        <v>1954</v>
      </c>
      <c r="D1349" s="70" t="s">
        <v>740</v>
      </c>
      <c r="E1349" s="70" t="s">
        <v>633</v>
      </c>
      <c r="F1349" s="70" t="s">
        <v>1927</v>
      </c>
      <c r="G1349" s="70" t="s">
        <v>1955</v>
      </c>
      <c r="H1349" s="71">
        <v>501297186.64999998</v>
      </c>
      <c r="I1349" s="96" t="s">
        <v>1931</v>
      </c>
      <c r="J1349" s="72" t="s">
        <v>870</v>
      </c>
    </row>
    <row r="1350" spans="2:10">
      <c r="B1350" s="69">
        <v>45351</v>
      </c>
      <c r="C1350" s="70" t="s">
        <v>1943</v>
      </c>
      <c r="D1350" s="70" t="s">
        <v>1824</v>
      </c>
      <c r="E1350" s="70" t="s">
        <v>495</v>
      </c>
      <c r="F1350" s="70" t="s">
        <v>1942</v>
      </c>
      <c r="G1350" s="70"/>
      <c r="H1350" s="71">
        <v>1677888.52</v>
      </c>
      <c r="I1350" s="96" t="s">
        <v>1931</v>
      </c>
      <c r="J1350" s="30">
        <v>319</v>
      </c>
    </row>
    <row r="1351" spans="2:10">
      <c r="B1351" s="69">
        <v>45351</v>
      </c>
      <c r="C1351" s="70" t="s">
        <v>1943</v>
      </c>
      <c r="D1351" s="70" t="s">
        <v>1824</v>
      </c>
      <c r="E1351" s="70" t="s">
        <v>1907</v>
      </c>
      <c r="F1351" s="70" t="s">
        <v>1942</v>
      </c>
      <c r="G1351" s="70"/>
      <c r="H1351" s="71">
        <v>144000</v>
      </c>
      <c r="I1351" s="96" t="s">
        <v>1931</v>
      </c>
      <c r="J1351" s="30">
        <v>319</v>
      </c>
    </row>
    <row r="1352" spans="2:10" ht="23">
      <c r="B1352" s="69">
        <v>45351</v>
      </c>
      <c r="C1352" s="70" t="s">
        <v>1956</v>
      </c>
      <c r="D1352" s="70" t="s">
        <v>1347</v>
      </c>
      <c r="E1352" s="70" t="s">
        <v>271</v>
      </c>
      <c r="F1352" s="70" t="s">
        <v>1023</v>
      </c>
      <c r="G1352" s="70" t="s">
        <v>1957</v>
      </c>
      <c r="H1352" s="71">
        <v>703740000</v>
      </c>
      <c r="I1352" s="96" t="s">
        <v>1931</v>
      </c>
      <c r="J1352" s="72" t="s">
        <v>2420</v>
      </c>
    </row>
    <row r="1353" spans="2:10" ht="23">
      <c r="B1353" s="69">
        <v>45351</v>
      </c>
      <c r="C1353" s="70" t="s">
        <v>1958</v>
      </c>
      <c r="D1353" s="70" t="s">
        <v>1516</v>
      </c>
      <c r="E1353" s="70" t="s">
        <v>271</v>
      </c>
      <c r="F1353" s="70" t="s">
        <v>1828</v>
      </c>
      <c r="G1353" s="70" t="s">
        <v>1959</v>
      </c>
      <c r="H1353" s="71">
        <v>70374000</v>
      </c>
      <c r="I1353" s="96" t="s">
        <v>1931</v>
      </c>
      <c r="J1353" s="72" t="s">
        <v>2423</v>
      </c>
    </row>
    <row r="1354" spans="2:10" ht="34.5">
      <c r="B1354" s="69">
        <v>45351</v>
      </c>
      <c r="C1354" s="70" t="s">
        <v>1960</v>
      </c>
      <c r="D1354" s="70" t="s">
        <v>650</v>
      </c>
      <c r="E1354" s="70" t="s">
        <v>271</v>
      </c>
      <c r="F1354" s="70" t="s">
        <v>824</v>
      </c>
      <c r="G1354" s="70" t="s">
        <v>1961</v>
      </c>
      <c r="H1354" s="137">
        <v>10779431</v>
      </c>
      <c r="I1354" s="96" t="s">
        <v>1931</v>
      </c>
      <c r="J1354" s="30">
        <v>21</v>
      </c>
    </row>
    <row r="1355" spans="2:10" ht="34.5">
      <c r="B1355" s="69">
        <v>45351</v>
      </c>
      <c r="C1355" s="70" t="s">
        <v>1960</v>
      </c>
      <c r="D1355" s="70" t="s">
        <v>650</v>
      </c>
      <c r="E1355" s="70" t="s">
        <v>271</v>
      </c>
      <c r="F1355" s="70" t="s">
        <v>824</v>
      </c>
      <c r="G1355" s="70" t="s">
        <v>1961</v>
      </c>
      <c r="H1355" s="137">
        <v>156943535.65000001</v>
      </c>
      <c r="I1355" s="96" t="s">
        <v>1931</v>
      </c>
      <c r="J1355" s="30">
        <v>21</v>
      </c>
    </row>
    <row r="1356" spans="2:10" ht="34.5">
      <c r="B1356" s="69">
        <v>45351</v>
      </c>
      <c r="C1356" s="70" t="s">
        <v>1960</v>
      </c>
      <c r="D1356" s="70" t="s">
        <v>650</v>
      </c>
      <c r="E1356" s="70" t="s">
        <v>271</v>
      </c>
      <c r="F1356" s="70" t="s">
        <v>824</v>
      </c>
      <c r="G1356" s="70" t="s">
        <v>1961</v>
      </c>
      <c r="H1356" s="137">
        <v>94409603.450000003</v>
      </c>
      <c r="I1356" s="96" t="s">
        <v>1931</v>
      </c>
      <c r="J1356" s="30">
        <v>21</v>
      </c>
    </row>
    <row r="1357" spans="2:10" ht="34.5">
      <c r="B1357" s="69">
        <v>45351</v>
      </c>
      <c r="C1357" s="70" t="s">
        <v>1960</v>
      </c>
      <c r="D1357" s="70" t="s">
        <v>650</v>
      </c>
      <c r="E1357" s="70" t="s">
        <v>271</v>
      </c>
      <c r="F1357" s="70" t="s">
        <v>824</v>
      </c>
      <c r="G1357" s="70" t="s">
        <v>1961</v>
      </c>
      <c r="H1357" s="137">
        <v>9724590.0800000001</v>
      </c>
      <c r="I1357" s="96" t="s">
        <v>1931</v>
      </c>
      <c r="J1357" s="30">
        <v>21</v>
      </c>
    </row>
    <row r="1358" spans="2:10" ht="34.5">
      <c r="B1358" s="69">
        <v>45351</v>
      </c>
      <c r="C1358" s="70" t="s">
        <v>1960</v>
      </c>
      <c r="D1358" s="70" t="s">
        <v>650</v>
      </c>
      <c r="E1358" s="70" t="s">
        <v>271</v>
      </c>
      <c r="F1358" s="70" t="s">
        <v>824</v>
      </c>
      <c r="G1358" s="70" t="s">
        <v>1961</v>
      </c>
      <c r="H1358" s="137">
        <v>251119279</v>
      </c>
      <c r="I1358" s="96" t="s">
        <v>1931</v>
      </c>
      <c r="J1358" s="30">
        <v>21</v>
      </c>
    </row>
    <row r="1359" spans="2:10" ht="34.5">
      <c r="B1359" s="69">
        <v>45351</v>
      </c>
      <c r="C1359" s="70" t="s">
        <v>1960</v>
      </c>
      <c r="D1359" s="70" t="s">
        <v>650</v>
      </c>
      <c r="E1359" s="70" t="s">
        <v>271</v>
      </c>
      <c r="F1359" s="70" t="s">
        <v>824</v>
      </c>
      <c r="G1359" s="70" t="s">
        <v>1961</v>
      </c>
      <c r="H1359" s="137">
        <v>126029518.2</v>
      </c>
      <c r="I1359" s="96" t="s">
        <v>1931</v>
      </c>
      <c r="J1359" s="30">
        <v>21</v>
      </c>
    </row>
    <row r="1360" spans="2:10" ht="34.5">
      <c r="B1360" s="69">
        <v>45351</v>
      </c>
      <c r="C1360" s="70" t="s">
        <v>1960</v>
      </c>
      <c r="D1360" s="70" t="s">
        <v>650</v>
      </c>
      <c r="E1360" s="70" t="s">
        <v>271</v>
      </c>
      <c r="F1360" s="70" t="s">
        <v>824</v>
      </c>
      <c r="G1360" s="70" t="s">
        <v>1961</v>
      </c>
      <c r="H1360" s="137">
        <v>685158</v>
      </c>
      <c r="I1360" s="96" t="s">
        <v>1931</v>
      </c>
      <c r="J1360" s="30">
        <v>21</v>
      </c>
    </row>
    <row r="1361" spans="2:10" ht="45" customHeight="1">
      <c r="B1361" s="69">
        <v>45351</v>
      </c>
      <c r="C1361" s="70" t="s">
        <v>1962</v>
      </c>
      <c r="D1361" s="70" t="s">
        <v>650</v>
      </c>
      <c r="E1361" s="70" t="s">
        <v>633</v>
      </c>
      <c r="F1361" s="70" t="s">
        <v>1963</v>
      </c>
      <c r="G1361" s="70" t="s">
        <v>1964</v>
      </c>
      <c r="H1361" s="117">
        <v>1474746</v>
      </c>
      <c r="I1361" s="96" t="s">
        <v>1931</v>
      </c>
      <c r="J1361" s="72">
        <v>327</v>
      </c>
    </row>
    <row r="1362" spans="2:10" ht="23">
      <c r="B1362" s="69">
        <v>45351</v>
      </c>
      <c r="C1362" s="70" t="s">
        <v>1946</v>
      </c>
      <c r="D1362" s="70" t="s">
        <v>650</v>
      </c>
      <c r="E1362" s="70" t="s">
        <v>514</v>
      </c>
      <c r="F1362" s="70" t="s">
        <v>1965</v>
      </c>
      <c r="G1362" s="70" t="s">
        <v>1222</v>
      </c>
      <c r="H1362" s="71">
        <v>4692487.5599999996</v>
      </c>
      <c r="I1362" s="96" t="s">
        <v>1931</v>
      </c>
      <c r="J1362" s="72" t="s">
        <v>2438</v>
      </c>
    </row>
    <row r="1363" spans="2:10" ht="34.5">
      <c r="B1363" s="69">
        <v>45351</v>
      </c>
      <c r="C1363" s="70" t="s">
        <v>1960</v>
      </c>
      <c r="D1363" s="70" t="s">
        <v>653</v>
      </c>
      <c r="E1363" s="70" t="s">
        <v>271</v>
      </c>
      <c r="F1363" s="70" t="s">
        <v>824</v>
      </c>
      <c r="G1363" s="70" t="s">
        <v>1961</v>
      </c>
      <c r="H1363" s="137">
        <v>217790833.19</v>
      </c>
      <c r="I1363" s="96" t="s">
        <v>1931</v>
      </c>
      <c r="J1363" s="30">
        <v>21</v>
      </c>
    </row>
    <row r="1364" spans="2:10" ht="34.5">
      <c r="B1364" s="69">
        <v>45351</v>
      </c>
      <c r="C1364" s="70" t="s">
        <v>1960</v>
      </c>
      <c r="D1364" s="70" t="s">
        <v>655</v>
      </c>
      <c r="E1364" s="70" t="s">
        <v>271</v>
      </c>
      <c r="F1364" s="70" t="s">
        <v>824</v>
      </c>
      <c r="G1364" s="70" t="s">
        <v>1961</v>
      </c>
      <c r="H1364" s="137">
        <v>41944695.969999999</v>
      </c>
      <c r="I1364" s="96" t="s">
        <v>1931</v>
      </c>
      <c r="J1364" s="30">
        <v>21</v>
      </c>
    </row>
    <row r="1365" spans="2:10" ht="34.5">
      <c r="B1365" s="69">
        <v>45351</v>
      </c>
      <c r="C1365" s="70" t="s">
        <v>1960</v>
      </c>
      <c r="D1365" s="70" t="s">
        <v>657</v>
      </c>
      <c r="E1365" s="70" t="s">
        <v>271</v>
      </c>
      <c r="F1365" s="70" t="s">
        <v>824</v>
      </c>
      <c r="G1365" s="70" t="s">
        <v>1961</v>
      </c>
      <c r="H1365" s="137">
        <v>73375423.909999996</v>
      </c>
      <c r="I1365" s="96" t="s">
        <v>1931</v>
      </c>
      <c r="J1365" s="30">
        <v>21</v>
      </c>
    </row>
    <row r="1366" spans="2:10" ht="34.5">
      <c r="B1366" s="69">
        <v>45351</v>
      </c>
      <c r="C1366" s="70" t="s">
        <v>1960</v>
      </c>
      <c r="D1366" s="70" t="s">
        <v>659</v>
      </c>
      <c r="E1366" s="70" t="s">
        <v>271</v>
      </c>
      <c r="F1366" s="70" t="s">
        <v>824</v>
      </c>
      <c r="G1366" s="70" t="s">
        <v>1961</v>
      </c>
      <c r="H1366" s="137">
        <v>31574412.140000001</v>
      </c>
      <c r="I1366" s="96" t="s">
        <v>1931</v>
      </c>
      <c r="J1366" s="30">
        <v>21</v>
      </c>
    </row>
    <row r="1367" spans="2:10" ht="34.5">
      <c r="B1367" s="69">
        <v>45351</v>
      </c>
      <c r="C1367" s="70" t="s">
        <v>1960</v>
      </c>
      <c r="D1367" s="70" t="s">
        <v>665</v>
      </c>
      <c r="E1367" s="70" t="s">
        <v>271</v>
      </c>
      <c r="F1367" s="70" t="s">
        <v>824</v>
      </c>
      <c r="G1367" s="70" t="s">
        <v>1961</v>
      </c>
      <c r="H1367" s="137">
        <v>73222551.349999994</v>
      </c>
      <c r="I1367" s="96" t="s">
        <v>1931</v>
      </c>
      <c r="J1367" s="30">
        <v>21</v>
      </c>
    </row>
    <row r="1368" spans="2:10" ht="34.5">
      <c r="B1368" s="69">
        <v>45351</v>
      </c>
      <c r="C1368" s="70" t="s">
        <v>1960</v>
      </c>
      <c r="D1368" s="70" t="s">
        <v>665</v>
      </c>
      <c r="E1368" s="70" t="s">
        <v>271</v>
      </c>
      <c r="F1368" s="70" t="s">
        <v>824</v>
      </c>
      <c r="G1368" s="70" t="s">
        <v>1961</v>
      </c>
      <c r="H1368" s="137">
        <v>192168230.66</v>
      </c>
      <c r="I1368" s="96" t="s">
        <v>1931</v>
      </c>
      <c r="J1368" s="30">
        <v>21</v>
      </c>
    </row>
    <row r="1369" spans="2:10" ht="23">
      <c r="B1369" s="69">
        <v>45351</v>
      </c>
      <c r="C1369" s="70" t="s">
        <v>1944</v>
      </c>
      <c r="D1369" s="70" t="s">
        <v>665</v>
      </c>
      <c r="E1369" s="70" t="s">
        <v>514</v>
      </c>
      <c r="F1369" s="70" t="s">
        <v>1945</v>
      </c>
      <c r="G1369" s="70"/>
      <c r="H1369" s="117">
        <v>100430</v>
      </c>
      <c r="I1369" s="96" t="s">
        <v>1931</v>
      </c>
      <c r="J1369" s="72">
        <v>329</v>
      </c>
    </row>
    <row r="1370" spans="2:10" ht="34.5">
      <c r="B1370" s="69">
        <v>45351</v>
      </c>
      <c r="C1370" s="70" t="s">
        <v>1960</v>
      </c>
      <c r="D1370" s="70" t="s">
        <v>663</v>
      </c>
      <c r="E1370" s="70" t="s">
        <v>271</v>
      </c>
      <c r="F1370" s="70" t="s">
        <v>824</v>
      </c>
      <c r="G1370" s="70" t="s">
        <v>1961</v>
      </c>
      <c r="H1370" s="137">
        <v>204249241.59999999</v>
      </c>
      <c r="I1370" s="96" t="s">
        <v>1931</v>
      </c>
      <c r="J1370" s="30">
        <v>21</v>
      </c>
    </row>
    <row r="1371" spans="2:10" ht="34.5">
      <c r="B1371" s="69">
        <v>45351</v>
      </c>
      <c r="C1371" s="70" t="s">
        <v>1960</v>
      </c>
      <c r="D1371" s="70" t="s">
        <v>931</v>
      </c>
      <c r="E1371" s="70" t="s">
        <v>271</v>
      </c>
      <c r="F1371" s="70" t="s">
        <v>824</v>
      </c>
      <c r="G1371" s="70" t="s">
        <v>1961</v>
      </c>
      <c r="H1371" s="137">
        <v>35674588.759999998</v>
      </c>
      <c r="I1371" s="96" t="s">
        <v>1931</v>
      </c>
      <c r="J1371" s="30">
        <v>21</v>
      </c>
    </row>
    <row r="1372" spans="2:10" ht="42" customHeight="1">
      <c r="B1372" s="69">
        <v>45351</v>
      </c>
      <c r="C1372" s="70" t="s">
        <v>1962</v>
      </c>
      <c r="D1372" s="70" t="s">
        <v>931</v>
      </c>
      <c r="E1372" s="70" t="s">
        <v>622</v>
      </c>
      <c r="F1372" s="70" t="s">
        <v>1963</v>
      </c>
      <c r="G1372" s="70" t="s">
        <v>1966</v>
      </c>
      <c r="H1372" s="71">
        <v>2949492</v>
      </c>
      <c r="I1372" s="96" t="s">
        <v>1931</v>
      </c>
      <c r="J1372" s="30">
        <v>319</v>
      </c>
    </row>
    <row r="1373" spans="2:10" ht="49.5" customHeight="1">
      <c r="B1373" s="69">
        <v>45351</v>
      </c>
      <c r="C1373" s="70" t="s">
        <v>1962</v>
      </c>
      <c r="D1373" s="70" t="s">
        <v>931</v>
      </c>
      <c r="E1373" s="70" t="s">
        <v>622</v>
      </c>
      <c r="F1373" s="70" t="s">
        <v>1963</v>
      </c>
      <c r="G1373" s="70" t="s">
        <v>1967</v>
      </c>
      <c r="H1373" s="71">
        <v>1474746</v>
      </c>
      <c r="I1373" s="96" t="s">
        <v>1931</v>
      </c>
      <c r="J1373" s="30">
        <v>319</v>
      </c>
    </row>
    <row r="1374" spans="2:10" ht="34.5">
      <c r="B1374" s="69">
        <v>45351</v>
      </c>
      <c r="C1374" s="70" t="s">
        <v>1960</v>
      </c>
      <c r="D1374" s="70" t="s">
        <v>929</v>
      </c>
      <c r="E1374" s="70" t="s">
        <v>271</v>
      </c>
      <c r="F1374" s="70" t="s">
        <v>824</v>
      </c>
      <c r="G1374" s="70" t="s">
        <v>1961</v>
      </c>
      <c r="H1374" s="137">
        <v>85744185.040000007</v>
      </c>
      <c r="I1374" s="96" t="s">
        <v>1931</v>
      </c>
      <c r="J1374" s="30">
        <v>21</v>
      </c>
    </row>
    <row r="1375" spans="2:10" ht="23">
      <c r="B1375" s="69">
        <v>45351</v>
      </c>
      <c r="C1375" s="70" t="s">
        <v>1944</v>
      </c>
      <c r="D1375" s="70" t="s">
        <v>929</v>
      </c>
      <c r="E1375" s="70" t="s">
        <v>514</v>
      </c>
      <c r="F1375" s="70" t="s">
        <v>1945</v>
      </c>
      <c r="G1375" s="70"/>
      <c r="H1375" s="117">
        <v>1687224</v>
      </c>
      <c r="I1375" s="96" t="s">
        <v>1931</v>
      </c>
      <c r="J1375" s="72">
        <v>329</v>
      </c>
    </row>
    <row r="1376" spans="2:10">
      <c r="B1376" s="69">
        <v>45351</v>
      </c>
      <c r="C1376" s="70" t="s">
        <v>1943</v>
      </c>
      <c r="D1376" s="70" t="s">
        <v>929</v>
      </c>
      <c r="E1376" s="70" t="s">
        <v>495</v>
      </c>
      <c r="F1376" s="70" t="s">
        <v>1942</v>
      </c>
      <c r="G1376" s="70"/>
      <c r="H1376" s="117">
        <v>542332</v>
      </c>
      <c r="I1376" s="96" t="s">
        <v>1931</v>
      </c>
      <c r="J1376" s="72">
        <v>24</v>
      </c>
    </row>
    <row r="1377" spans="2:10" ht="42" customHeight="1">
      <c r="B1377" s="69">
        <v>45351</v>
      </c>
      <c r="C1377" s="70" t="s">
        <v>1962</v>
      </c>
      <c r="D1377" s="70" t="s">
        <v>929</v>
      </c>
      <c r="E1377" s="70" t="s">
        <v>622</v>
      </c>
      <c r="F1377" s="70" t="s">
        <v>1963</v>
      </c>
      <c r="G1377" s="70" t="s">
        <v>1968</v>
      </c>
      <c r="H1377" s="117">
        <v>1474746</v>
      </c>
      <c r="I1377" s="96" t="s">
        <v>1931</v>
      </c>
      <c r="J1377" s="30">
        <v>327</v>
      </c>
    </row>
    <row r="1378" spans="2:10" ht="47.25" customHeight="1">
      <c r="B1378" s="69">
        <v>45351</v>
      </c>
      <c r="C1378" s="70" t="s">
        <v>1962</v>
      </c>
      <c r="D1378" s="70" t="s">
        <v>929</v>
      </c>
      <c r="E1378" s="70" t="s">
        <v>622</v>
      </c>
      <c r="F1378" s="70" t="s">
        <v>1963</v>
      </c>
      <c r="G1378" s="70" t="s">
        <v>1969</v>
      </c>
      <c r="H1378" s="117">
        <v>2212119</v>
      </c>
      <c r="I1378" s="96" t="s">
        <v>1931</v>
      </c>
      <c r="J1378" s="30">
        <v>327</v>
      </c>
    </row>
    <row r="1379" spans="2:10" ht="48" customHeight="1">
      <c r="B1379" s="69">
        <v>45351</v>
      </c>
      <c r="C1379" s="70" t="s">
        <v>1962</v>
      </c>
      <c r="D1379" s="70" t="s">
        <v>929</v>
      </c>
      <c r="E1379" s="70" t="s">
        <v>622</v>
      </c>
      <c r="F1379" s="70" t="s">
        <v>1963</v>
      </c>
      <c r="G1379" s="70" t="s">
        <v>1970</v>
      </c>
      <c r="H1379" s="117">
        <v>2212119</v>
      </c>
      <c r="I1379" s="96" t="s">
        <v>1931</v>
      </c>
      <c r="J1379" s="30">
        <v>327</v>
      </c>
    </row>
    <row r="1380" spans="2:10" ht="34.5">
      <c r="B1380" s="69">
        <v>45351</v>
      </c>
      <c r="C1380" s="70" t="s">
        <v>1960</v>
      </c>
      <c r="D1380" s="70" t="s">
        <v>711</v>
      </c>
      <c r="E1380" s="70" t="s">
        <v>271</v>
      </c>
      <c r="F1380" s="70" t="s">
        <v>824</v>
      </c>
      <c r="G1380" s="70" t="s">
        <v>1961</v>
      </c>
      <c r="H1380" s="137">
        <v>21453879</v>
      </c>
      <c r="I1380" s="96" t="s">
        <v>1931</v>
      </c>
      <c r="J1380" s="30">
        <v>21</v>
      </c>
    </row>
    <row r="1381" spans="2:10" ht="23">
      <c r="B1381" s="69">
        <v>45351</v>
      </c>
      <c r="C1381" s="70" t="s">
        <v>1944</v>
      </c>
      <c r="D1381" s="104" t="s">
        <v>711</v>
      </c>
      <c r="E1381" s="70" t="s">
        <v>514</v>
      </c>
      <c r="F1381" s="70" t="s">
        <v>1945</v>
      </c>
      <c r="G1381" s="70"/>
      <c r="H1381" s="117">
        <v>436870</v>
      </c>
      <c r="I1381" s="96" t="s">
        <v>1931</v>
      </c>
      <c r="J1381" s="30">
        <v>329</v>
      </c>
    </row>
    <row r="1382" spans="2:10">
      <c r="B1382" s="69">
        <v>45351</v>
      </c>
      <c r="C1382" s="70" t="s">
        <v>1943</v>
      </c>
      <c r="D1382" s="70" t="s">
        <v>711</v>
      </c>
      <c r="E1382" s="70" t="s">
        <v>514</v>
      </c>
      <c r="F1382" s="70" t="s">
        <v>1942</v>
      </c>
      <c r="G1382" s="70"/>
      <c r="H1382" s="117">
        <v>32000</v>
      </c>
      <c r="I1382" s="96" t="s">
        <v>1931</v>
      </c>
      <c r="J1382" s="30">
        <v>24</v>
      </c>
    </row>
    <row r="1383" spans="2:10">
      <c r="B1383" s="69">
        <v>45351</v>
      </c>
      <c r="C1383" s="70" t="s">
        <v>1943</v>
      </c>
      <c r="D1383" s="104" t="s">
        <v>711</v>
      </c>
      <c r="E1383" s="70" t="s">
        <v>495</v>
      </c>
      <c r="F1383" s="70" t="s">
        <v>1942</v>
      </c>
      <c r="G1383" s="70" t="s">
        <v>2377</v>
      </c>
      <c r="H1383" s="187">
        <v>44141000</v>
      </c>
      <c r="I1383" s="96" t="s">
        <v>1931</v>
      </c>
      <c r="J1383" s="30">
        <v>338</v>
      </c>
    </row>
    <row r="1384" spans="2:10" ht="34.5">
      <c r="B1384" s="69">
        <v>45351</v>
      </c>
      <c r="C1384" s="70" t="s">
        <v>1960</v>
      </c>
      <c r="D1384" s="70" t="s">
        <v>815</v>
      </c>
      <c r="E1384" s="70" t="s">
        <v>271</v>
      </c>
      <c r="F1384" s="70" t="s">
        <v>824</v>
      </c>
      <c r="G1384" s="70" t="s">
        <v>1961</v>
      </c>
      <c r="H1384" s="137">
        <v>1410622</v>
      </c>
      <c r="I1384" s="96" t="s">
        <v>1931</v>
      </c>
      <c r="J1384" s="30">
        <v>21</v>
      </c>
    </row>
    <row r="1385" spans="2:10" ht="34.5">
      <c r="B1385" s="69">
        <v>45351</v>
      </c>
      <c r="C1385" s="70" t="s">
        <v>1960</v>
      </c>
      <c r="D1385" s="70" t="s">
        <v>661</v>
      </c>
      <c r="E1385" s="70" t="s">
        <v>271</v>
      </c>
      <c r="F1385" s="70" t="s">
        <v>824</v>
      </c>
      <c r="G1385" s="70" t="s">
        <v>1961</v>
      </c>
      <c r="H1385" s="137">
        <v>77096592</v>
      </c>
      <c r="I1385" s="96" t="s">
        <v>1931</v>
      </c>
      <c r="J1385" s="30">
        <v>21</v>
      </c>
    </row>
    <row r="1386" spans="2:10" ht="23">
      <c r="B1386" s="69">
        <v>45351</v>
      </c>
      <c r="C1386" s="70" t="s">
        <v>1944</v>
      </c>
      <c r="D1386" s="70" t="s">
        <v>668</v>
      </c>
      <c r="E1386" s="70" t="s">
        <v>514</v>
      </c>
      <c r="F1386" s="70" t="s">
        <v>1945</v>
      </c>
      <c r="G1386" s="70"/>
      <c r="H1386" s="117">
        <v>612623</v>
      </c>
      <c r="I1386" s="96" t="s">
        <v>1931</v>
      </c>
      <c r="J1386" s="30">
        <v>329</v>
      </c>
    </row>
    <row r="1387" spans="2:10" s="183" customFormat="1" ht="23">
      <c r="B1387" s="188">
        <v>45351</v>
      </c>
      <c r="C1387" s="189" t="s">
        <v>1956</v>
      </c>
      <c r="D1387" s="189" t="s">
        <v>668</v>
      </c>
      <c r="E1387" s="189" t="s">
        <v>271</v>
      </c>
      <c r="F1387" s="189" t="s">
        <v>1023</v>
      </c>
      <c r="G1387" s="189" t="s">
        <v>1971</v>
      </c>
      <c r="H1387" s="187">
        <v>23865000</v>
      </c>
      <c r="I1387" s="190" t="s">
        <v>1931</v>
      </c>
      <c r="J1387" s="184">
        <v>334</v>
      </c>
    </row>
    <row r="1388" spans="2:10" s="183" customFormat="1" ht="40.5" customHeight="1">
      <c r="B1388" s="188">
        <v>45351</v>
      </c>
      <c r="C1388" s="189" t="s">
        <v>1962</v>
      </c>
      <c r="D1388" s="189" t="s">
        <v>668</v>
      </c>
      <c r="E1388" s="189" t="s">
        <v>622</v>
      </c>
      <c r="F1388" s="189" t="s">
        <v>1963</v>
      </c>
      <c r="G1388" s="189" t="s">
        <v>1972</v>
      </c>
      <c r="H1388" s="187">
        <v>3686865</v>
      </c>
      <c r="I1388" s="190" t="s">
        <v>1931</v>
      </c>
      <c r="J1388" s="184">
        <v>334</v>
      </c>
    </row>
    <row r="1389" spans="2:10" s="183" customFormat="1" ht="48" customHeight="1">
      <c r="B1389" s="188">
        <v>45351</v>
      </c>
      <c r="C1389" s="189" t="s">
        <v>1962</v>
      </c>
      <c r="D1389" s="189" t="s">
        <v>668</v>
      </c>
      <c r="E1389" s="189" t="s">
        <v>622</v>
      </c>
      <c r="F1389" s="189" t="s">
        <v>1963</v>
      </c>
      <c r="G1389" s="189" t="s">
        <v>1972</v>
      </c>
      <c r="H1389" s="187">
        <v>5161611</v>
      </c>
      <c r="I1389" s="190" t="s">
        <v>1931</v>
      </c>
      <c r="J1389" s="184">
        <v>334</v>
      </c>
    </row>
    <row r="1390" spans="2:10" s="183" customFormat="1" ht="45.75" customHeight="1">
      <c r="B1390" s="188">
        <v>45351</v>
      </c>
      <c r="C1390" s="189" t="s">
        <v>1962</v>
      </c>
      <c r="D1390" s="189" t="s">
        <v>668</v>
      </c>
      <c r="E1390" s="189" t="s">
        <v>622</v>
      </c>
      <c r="F1390" s="189" t="s">
        <v>1963</v>
      </c>
      <c r="G1390" s="189" t="s">
        <v>1972</v>
      </c>
      <c r="H1390" s="187">
        <v>2212119</v>
      </c>
      <c r="I1390" s="190" t="s">
        <v>1931</v>
      </c>
      <c r="J1390" s="184">
        <v>334</v>
      </c>
    </row>
    <row r="1391" spans="2:10" s="183" customFormat="1" ht="48" customHeight="1">
      <c r="B1391" s="188">
        <v>45351</v>
      </c>
      <c r="C1391" s="189" t="s">
        <v>1962</v>
      </c>
      <c r="D1391" s="189" t="s">
        <v>668</v>
      </c>
      <c r="E1391" s="189" t="s">
        <v>622</v>
      </c>
      <c r="F1391" s="189" t="s">
        <v>1963</v>
      </c>
      <c r="G1391" s="189" t="s">
        <v>1973</v>
      </c>
      <c r="H1391" s="187">
        <v>1474746</v>
      </c>
      <c r="I1391" s="190" t="s">
        <v>1931</v>
      </c>
      <c r="J1391" s="184">
        <v>334</v>
      </c>
    </row>
    <row r="1392" spans="2:10" s="183" customFormat="1" ht="47.25" customHeight="1">
      <c r="B1392" s="188">
        <v>45351</v>
      </c>
      <c r="C1392" s="189" t="s">
        <v>1962</v>
      </c>
      <c r="D1392" s="189" t="s">
        <v>668</v>
      </c>
      <c r="E1392" s="189" t="s">
        <v>622</v>
      </c>
      <c r="F1392" s="189" t="s">
        <v>1963</v>
      </c>
      <c r="G1392" s="189" t="s">
        <v>1973</v>
      </c>
      <c r="H1392" s="187">
        <v>4424238</v>
      </c>
      <c r="I1392" s="190" t="s">
        <v>1931</v>
      </c>
      <c r="J1392" s="184">
        <v>334</v>
      </c>
    </row>
    <row r="1393" spans="2:10" ht="23">
      <c r="B1393" s="69">
        <v>45351</v>
      </c>
      <c r="C1393" s="70" t="s">
        <v>1944</v>
      </c>
      <c r="D1393" s="70" t="s">
        <v>777</v>
      </c>
      <c r="E1393" s="70" t="s">
        <v>514</v>
      </c>
      <c r="F1393" s="70" t="s">
        <v>1945</v>
      </c>
      <c r="G1393" s="70" t="s">
        <v>1974</v>
      </c>
      <c r="H1393" s="117">
        <v>2967706</v>
      </c>
      <c r="I1393" s="96" t="s">
        <v>1931</v>
      </c>
      <c r="J1393" s="30">
        <v>329</v>
      </c>
    </row>
    <row r="1394" spans="2:10">
      <c r="B1394" s="69">
        <v>45351</v>
      </c>
      <c r="C1394" s="70" t="s">
        <v>1943</v>
      </c>
      <c r="D1394" s="104" t="s">
        <v>777</v>
      </c>
      <c r="E1394" s="70" t="s">
        <v>514</v>
      </c>
      <c r="F1394" s="70" t="s">
        <v>1942</v>
      </c>
      <c r="G1394" s="70"/>
      <c r="H1394" s="117">
        <v>3497000</v>
      </c>
      <c r="I1394" s="96" t="s">
        <v>1931</v>
      </c>
      <c r="J1394" s="30">
        <v>24</v>
      </c>
    </row>
    <row r="1395" spans="2:10" ht="23">
      <c r="B1395" s="69">
        <v>45357</v>
      </c>
      <c r="C1395" s="70" t="s">
        <v>1975</v>
      </c>
      <c r="D1395" s="70" t="s">
        <v>270</v>
      </c>
      <c r="E1395" s="70" t="s">
        <v>633</v>
      </c>
      <c r="F1395" s="70" t="s">
        <v>478</v>
      </c>
      <c r="G1395" s="70" t="s">
        <v>1976</v>
      </c>
      <c r="H1395" s="71">
        <v>1412442776</v>
      </c>
      <c r="I1395" s="90" t="s">
        <v>1932</v>
      </c>
      <c r="J1395" s="30" t="s">
        <v>535</v>
      </c>
    </row>
    <row r="1396" spans="2:10" ht="34.5">
      <c r="B1396" s="69">
        <v>45382</v>
      </c>
      <c r="C1396" s="70" t="s">
        <v>1977</v>
      </c>
      <c r="D1396" s="70" t="s">
        <v>650</v>
      </c>
      <c r="E1396" s="70" t="s">
        <v>308</v>
      </c>
      <c r="F1396" s="70" t="s">
        <v>824</v>
      </c>
      <c r="G1396" s="70" t="s">
        <v>1978</v>
      </c>
      <c r="H1396" s="137">
        <v>2356570</v>
      </c>
      <c r="I1396" s="90" t="s">
        <v>1932</v>
      </c>
      <c r="J1396" s="30">
        <v>21</v>
      </c>
    </row>
    <row r="1397" spans="2:10" ht="34.5">
      <c r="B1397" s="69">
        <v>45382</v>
      </c>
      <c r="C1397" s="70" t="s">
        <v>1977</v>
      </c>
      <c r="D1397" s="70" t="s">
        <v>650</v>
      </c>
      <c r="E1397" s="70" t="s">
        <v>140</v>
      </c>
      <c r="F1397" s="70" t="s">
        <v>824</v>
      </c>
      <c r="G1397" s="70" t="s">
        <v>1978</v>
      </c>
      <c r="H1397" s="137">
        <v>2429610</v>
      </c>
      <c r="I1397" s="90" t="s">
        <v>1932</v>
      </c>
      <c r="J1397" s="30">
        <v>21</v>
      </c>
    </row>
    <row r="1398" spans="2:10" ht="34.5">
      <c r="B1398" s="69">
        <v>45382</v>
      </c>
      <c r="C1398" s="70" t="s">
        <v>1977</v>
      </c>
      <c r="D1398" s="70" t="s">
        <v>653</v>
      </c>
      <c r="E1398" s="70" t="s">
        <v>271</v>
      </c>
      <c r="F1398" s="70" t="s">
        <v>824</v>
      </c>
      <c r="G1398" s="70" t="s">
        <v>1978</v>
      </c>
      <c r="H1398" s="137">
        <v>105976731.67</v>
      </c>
      <c r="I1398" s="90" t="s">
        <v>1932</v>
      </c>
      <c r="J1398" s="30">
        <v>21</v>
      </c>
    </row>
    <row r="1399" spans="2:10" ht="34.5">
      <c r="B1399" s="69">
        <v>45382</v>
      </c>
      <c r="C1399" s="70" t="s">
        <v>1977</v>
      </c>
      <c r="D1399" s="70" t="s">
        <v>655</v>
      </c>
      <c r="E1399" s="70" t="s">
        <v>271</v>
      </c>
      <c r="F1399" s="70" t="s">
        <v>824</v>
      </c>
      <c r="G1399" s="70" t="s">
        <v>1978</v>
      </c>
      <c r="H1399" s="137">
        <v>43030363.740000002</v>
      </c>
      <c r="I1399" s="90" t="s">
        <v>1932</v>
      </c>
      <c r="J1399" s="30">
        <v>21</v>
      </c>
    </row>
    <row r="1400" spans="2:10" ht="34.5">
      <c r="B1400" s="69">
        <v>45382</v>
      </c>
      <c r="C1400" s="70" t="s">
        <v>1977</v>
      </c>
      <c r="D1400" s="70" t="s">
        <v>657</v>
      </c>
      <c r="E1400" s="70" t="s">
        <v>271</v>
      </c>
      <c r="F1400" s="70" t="s">
        <v>824</v>
      </c>
      <c r="G1400" s="70" t="s">
        <v>1978</v>
      </c>
      <c r="H1400" s="137">
        <v>25851726.82</v>
      </c>
      <c r="I1400" s="90" t="s">
        <v>1932</v>
      </c>
      <c r="J1400" s="30">
        <v>21</v>
      </c>
    </row>
    <row r="1401" spans="2:10" ht="34.5">
      <c r="B1401" s="69">
        <v>45382</v>
      </c>
      <c r="C1401" s="70" t="s">
        <v>1977</v>
      </c>
      <c r="D1401" s="70" t="s">
        <v>659</v>
      </c>
      <c r="E1401" s="70" t="s">
        <v>271</v>
      </c>
      <c r="F1401" s="70" t="s">
        <v>824</v>
      </c>
      <c r="G1401" s="70" t="s">
        <v>1978</v>
      </c>
      <c r="H1401" s="137">
        <v>16924957.949999999</v>
      </c>
      <c r="I1401" s="90" t="s">
        <v>1932</v>
      </c>
      <c r="J1401" s="30">
        <v>21</v>
      </c>
    </row>
    <row r="1402" spans="2:10" ht="34.5">
      <c r="B1402" s="69">
        <v>45382</v>
      </c>
      <c r="C1402" s="70" t="s">
        <v>1977</v>
      </c>
      <c r="D1402" s="70" t="s">
        <v>661</v>
      </c>
      <c r="E1402" s="70" t="s">
        <v>271</v>
      </c>
      <c r="F1402" s="70" t="s">
        <v>824</v>
      </c>
      <c r="G1402" s="70" t="s">
        <v>1978</v>
      </c>
      <c r="H1402" s="137">
        <v>32666256.100000001</v>
      </c>
      <c r="I1402" s="90" t="s">
        <v>1932</v>
      </c>
      <c r="J1402" s="30">
        <v>21</v>
      </c>
    </row>
    <row r="1403" spans="2:10" ht="34.5">
      <c r="B1403" s="69">
        <v>45382</v>
      </c>
      <c r="C1403" s="70" t="s">
        <v>1977</v>
      </c>
      <c r="D1403" s="70" t="s">
        <v>663</v>
      </c>
      <c r="E1403" s="70" t="s">
        <v>271</v>
      </c>
      <c r="F1403" s="70" t="s">
        <v>824</v>
      </c>
      <c r="G1403" s="70" t="s">
        <v>1978</v>
      </c>
      <c r="H1403" s="137">
        <v>85894286.569999993</v>
      </c>
      <c r="I1403" s="90" t="s">
        <v>1932</v>
      </c>
      <c r="J1403" s="30">
        <v>21</v>
      </c>
    </row>
    <row r="1404" spans="2:10" ht="34.5">
      <c r="B1404" s="69">
        <v>45382</v>
      </c>
      <c r="C1404" s="70" t="s">
        <v>1977</v>
      </c>
      <c r="D1404" s="70" t="s">
        <v>665</v>
      </c>
      <c r="E1404" s="70" t="s">
        <v>271</v>
      </c>
      <c r="F1404" s="70" t="s">
        <v>824</v>
      </c>
      <c r="G1404" s="70" t="s">
        <v>1978</v>
      </c>
      <c r="H1404" s="137">
        <v>85922260.799999997</v>
      </c>
      <c r="I1404" s="90" t="s">
        <v>1932</v>
      </c>
      <c r="J1404" s="30">
        <v>21</v>
      </c>
    </row>
    <row r="1405" spans="2:10" ht="34.5">
      <c r="B1405" s="69">
        <v>45382</v>
      </c>
      <c r="C1405" s="70" t="s">
        <v>1977</v>
      </c>
      <c r="D1405" s="70" t="s">
        <v>665</v>
      </c>
      <c r="E1405" s="70" t="s">
        <v>271</v>
      </c>
      <c r="F1405" s="70" t="s">
        <v>824</v>
      </c>
      <c r="G1405" s="70" t="s">
        <v>1978</v>
      </c>
      <c r="H1405" s="137">
        <v>418819153.98000002</v>
      </c>
      <c r="I1405" s="90" t="s">
        <v>1932</v>
      </c>
      <c r="J1405" s="30">
        <v>21</v>
      </c>
    </row>
    <row r="1406" spans="2:10" ht="34.5">
      <c r="B1406" s="69">
        <v>45382</v>
      </c>
      <c r="C1406" s="70" t="s">
        <v>1977</v>
      </c>
      <c r="D1406" s="70" t="s">
        <v>929</v>
      </c>
      <c r="E1406" s="70" t="s">
        <v>271</v>
      </c>
      <c r="F1406" s="70" t="s">
        <v>824</v>
      </c>
      <c r="G1406" s="70" t="s">
        <v>1978</v>
      </c>
      <c r="H1406" s="137">
        <v>264915410.77000001</v>
      </c>
      <c r="I1406" s="90" t="s">
        <v>1932</v>
      </c>
      <c r="J1406" s="30">
        <v>21</v>
      </c>
    </row>
    <row r="1407" spans="2:10" ht="34.5">
      <c r="B1407" s="69">
        <v>45382</v>
      </c>
      <c r="C1407" s="70" t="s">
        <v>1977</v>
      </c>
      <c r="D1407" s="70" t="s">
        <v>931</v>
      </c>
      <c r="E1407" s="70" t="s">
        <v>271</v>
      </c>
      <c r="F1407" s="70" t="s">
        <v>824</v>
      </c>
      <c r="G1407" s="70" t="s">
        <v>1978</v>
      </c>
      <c r="H1407" s="137">
        <v>94765444.299999997</v>
      </c>
      <c r="I1407" s="90" t="s">
        <v>1932</v>
      </c>
      <c r="J1407" s="30">
        <v>21</v>
      </c>
    </row>
    <row r="1408" spans="2:10" ht="34.5">
      <c r="B1408" s="69">
        <v>45382</v>
      </c>
      <c r="C1408" s="70" t="s">
        <v>1977</v>
      </c>
      <c r="D1408" s="70" t="s">
        <v>711</v>
      </c>
      <c r="E1408" s="70" t="s">
        <v>271</v>
      </c>
      <c r="F1408" s="70" t="s">
        <v>824</v>
      </c>
      <c r="G1408" s="70" t="s">
        <v>1978</v>
      </c>
      <c r="H1408" s="137">
        <v>24870289.879999999</v>
      </c>
      <c r="I1408" s="90" t="s">
        <v>1932</v>
      </c>
      <c r="J1408" s="30">
        <v>21</v>
      </c>
    </row>
    <row r="1409" spans="2:10" ht="34.5">
      <c r="B1409" s="69">
        <v>45382</v>
      </c>
      <c r="C1409" s="70" t="s">
        <v>1977</v>
      </c>
      <c r="D1409" s="70" t="s">
        <v>650</v>
      </c>
      <c r="E1409" s="70" t="s">
        <v>271</v>
      </c>
      <c r="F1409" s="70" t="s">
        <v>824</v>
      </c>
      <c r="G1409" s="70" t="s">
        <v>1978</v>
      </c>
      <c r="H1409" s="137">
        <v>256569536.13</v>
      </c>
      <c r="I1409" s="90" t="s">
        <v>1932</v>
      </c>
      <c r="J1409" s="30">
        <v>21</v>
      </c>
    </row>
    <row r="1410" spans="2:10" ht="34.5">
      <c r="B1410" s="69">
        <v>45382</v>
      </c>
      <c r="C1410" s="70" t="s">
        <v>1977</v>
      </c>
      <c r="D1410" s="70" t="s">
        <v>650</v>
      </c>
      <c r="E1410" s="70" t="s">
        <v>271</v>
      </c>
      <c r="F1410" s="70" t="s">
        <v>824</v>
      </c>
      <c r="G1410" s="70" t="s">
        <v>1978</v>
      </c>
      <c r="H1410" s="137">
        <v>40180402.770000003</v>
      </c>
      <c r="I1410" s="90" t="s">
        <v>1932</v>
      </c>
      <c r="J1410" s="30">
        <v>21</v>
      </c>
    </row>
    <row r="1411" spans="2:10" ht="34.5">
      <c r="B1411" s="69">
        <v>45382</v>
      </c>
      <c r="C1411" s="70" t="s">
        <v>1977</v>
      </c>
      <c r="D1411" s="70" t="s">
        <v>650</v>
      </c>
      <c r="E1411" s="70" t="s">
        <v>271</v>
      </c>
      <c r="F1411" s="70" t="s">
        <v>824</v>
      </c>
      <c r="G1411" s="70" t="s">
        <v>1978</v>
      </c>
      <c r="H1411" s="137">
        <v>77946927</v>
      </c>
      <c r="I1411" s="90" t="s">
        <v>1932</v>
      </c>
      <c r="J1411" s="30">
        <v>21</v>
      </c>
    </row>
    <row r="1412" spans="2:10" ht="34.5">
      <c r="B1412" s="69">
        <v>45382</v>
      </c>
      <c r="C1412" s="70" t="s">
        <v>1977</v>
      </c>
      <c r="D1412" s="70" t="s">
        <v>650</v>
      </c>
      <c r="E1412" s="70" t="s">
        <v>271</v>
      </c>
      <c r="F1412" s="70" t="s">
        <v>824</v>
      </c>
      <c r="G1412" s="70" t="s">
        <v>1978</v>
      </c>
      <c r="H1412" s="137">
        <v>67656731.519999996</v>
      </c>
      <c r="I1412" s="90" t="s">
        <v>1932</v>
      </c>
      <c r="J1412" s="30">
        <v>21</v>
      </c>
    </row>
    <row r="1413" spans="2:10" ht="34.5">
      <c r="B1413" s="69">
        <v>45382</v>
      </c>
      <c r="C1413" s="70" t="s">
        <v>1977</v>
      </c>
      <c r="D1413" s="70" t="s">
        <v>650</v>
      </c>
      <c r="E1413" s="70" t="s">
        <v>271</v>
      </c>
      <c r="F1413" s="70" t="s">
        <v>824</v>
      </c>
      <c r="G1413" s="70" t="s">
        <v>1978</v>
      </c>
      <c r="H1413" s="137">
        <v>6590669</v>
      </c>
      <c r="I1413" s="90" t="s">
        <v>1932</v>
      </c>
      <c r="J1413" s="30">
        <v>21</v>
      </c>
    </row>
    <row r="1414" spans="2:10" ht="34.5">
      <c r="B1414" s="69">
        <v>45382</v>
      </c>
      <c r="C1414" s="70" t="s">
        <v>1979</v>
      </c>
      <c r="D1414" s="70" t="s">
        <v>270</v>
      </c>
      <c r="E1414" s="70" t="s">
        <v>308</v>
      </c>
      <c r="F1414" s="70" t="s">
        <v>1947</v>
      </c>
      <c r="G1414" s="70" t="s">
        <v>1980</v>
      </c>
      <c r="H1414" s="137">
        <v>11543244</v>
      </c>
      <c r="I1414" s="90" t="s">
        <v>1932</v>
      </c>
      <c r="J1414" s="30" t="s">
        <v>535</v>
      </c>
    </row>
    <row r="1415" spans="2:10" ht="34.5">
      <c r="B1415" s="69">
        <v>45382</v>
      </c>
      <c r="C1415" s="70" t="s">
        <v>1979</v>
      </c>
      <c r="D1415" s="70" t="s">
        <v>270</v>
      </c>
      <c r="E1415" s="70" t="s">
        <v>308</v>
      </c>
      <c r="F1415" s="70" t="s">
        <v>1703</v>
      </c>
      <c r="G1415" s="70" t="s">
        <v>1980</v>
      </c>
      <c r="H1415" s="137">
        <v>952318</v>
      </c>
      <c r="I1415" s="90" t="s">
        <v>1932</v>
      </c>
      <c r="J1415" s="30" t="s">
        <v>535</v>
      </c>
    </row>
    <row r="1416" spans="2:10" ht="34.5">
      <c r="B1416" s="69">
        <v>45382</v>
      </c>
      <c r="C1416" s="70" t="s">
        <v>1981</v>
      </c>
      <c r="D1416" s="70" t="s">
        <v>270</v>
      </c>
      <c r="E1416" s="70" t="s">
        <v>308</v>
      </c>
      <c r="F1416" s="70" t="s">
        <v>1947</v>
      </c>
      <c r="G1416" s="70" t="s">
        <v>1982</v>
      </c>
      <c r="H1416" s="71">
        <v>196724012</v>
      </c>
      <c r="I1416" s="90" t="s">
        <v>1932</v>
      </c>
      <c r="J1416" s="30" t="s">
        <v>535</v>
      </c>
    </row>
    <row r="1417" spans="2:10" ht="34.5">
      <c r="B1417" s="69">
        <v>45382</v>
      </c>
      <c r="C1417" s="70" t="s">
        <v>1981</v>
      </c>
      <c r="D1417" s="70" t="s">
        <v>270</v>
      </c>
      <c r="E1417" s="70" t="s">
        <v>308</v>
      </c>
      <c r="F1417" s="70" t="s">
        <v>1703</v>
      </c>
      <c r="G1417" s="70" t="s">
        <v>1982</v>
      </c>
      <c r="H1417" s="71">
        <v>16229731</v>
      </c>
      <c r="I1417" s="90" t="s">
        <v>1932</v>
      </c>
      <c r="J1417" s="30" t="s">
        <v>535</v>
      </c>
    </row>
    <row r="1418" spans="2:10" ht="34.5">
      <c r="B1418" s="69">
        <v>45382</v>
      </c>
      <c r="C1418" s="70" t="s">
        <v>1983</v>
      </c>
      <c r="D1418" s="70" t="s">
        <v>270</v>
      </c>
      <c r="E1418" s="70" t="s">
        <v>308</v>
      </c>
      <c r="F1418" s="70" t="s">
        <v>1984</v>
      </c>
      <c r="G1418" s="70" t="s">
        <v>1985</v>
      </c>
      <c r="H1418" s="163">
        <v>203247115</v>
      </c>
      <c r="I1418" s="90" t="s">
        <v>1932</v>
      </c>
      <c r="J1418" s="30">
        <v>22</v>
      </c>
    </row>
    <row r="1419" spans="2:10" ht="34.5">
      <c r="B1419" s="69">
        <v>45382</v>
      </c>
      <c r="C1419" s="70" t="s">
        <v>1983</v>
      </c>
      <c r="D1419" s="70" t="s">
        <v>270</v>
      </c>
      <c r="E1419" s="70" t="s">
        <v>308</v>
      </c>
      <c r="F1419" s="70" t="s">
        <v>1986</v>
      </c>
      <c r="G1419" s="70" t="s">
        <v>1985</v>
      </c>
      <c r="H1419" s="163">
        <v>17016968</v>
      </c>
      <c r="I1419" s="90" t="s">
        <v>1932</v>
      </c>
      <c r="J1419" s="30">
        <v>22</v>
      </c>
    </row>
    <row r="1420" spans="2:10" ht="34.5">
      <c r="B1420" s="69">
        <v>45382</v>
      </c>
      <c r="C1420" s="70" t="s">
        <v>1987</v>
      </c>
      <c r="D1420" s="70" t="s">
        <v>270</v>
      </c>
      <c r="E1420" s="70" t="s">
        <v>308</v>
      </c>
      <c r="F1420" s="70" t="s">
        <v>1984</v>
      </c>
      <c r="G1420" s="70" t="s">
        <v>1988</v>
      </c>
      <c r="H1420" s="167">
        <v>74722500</v>
      </c>
      <c r="I1420" s="90" t="s">
        <v>1932</v>
      </c>
      <c r="J1420" s="30">
        <v>22</v>
      </c>
    </row>
    <row r="1421" spans="2:10" ht="34.5">
      <c r="B1421" s="69">
        <v>45382</v>
      </c>
      <c r="C1421" s="70" t="s">
        <v>1987</v>
      </c>
      <c r="D1421" s="70" t="s">
        <v>270</v>
      </c>
      <c r="E1421" s="70" t="s">
        <v>308</v>
      </c>
      <c r="F1421" s="70" t="s">
        <v>1986</v>
      </c>
      <c r="G1421" s="70" t="s">
        <v>1988</v>
      </c>
      <c r="H1421" s="167">
        <v>6164606</v>
      </c>
      <c r="I1421" s="90" t="s">
        <v>1932</v>
      </c>
      <c r="J1421" s="30">
        <v>22</v>
      </c>
    </row>
    <row r="1422" spans="2:10" ht="23">
      <c r="B1422" s="69">
        <v>45374</v>
      </c>
      <c r="C1422" s="70" t="s">
        <v>1989</v>
      </c>
      <c r="D1422" s="70" t="s">
        <v>711</v>
      </c>
      <c r="E1422" s="70" t="s">
        <v>514</v>
      </c>
      <c r="F1422" s="70" t="s">
        <v>908</v>
      </c>
      <c r="G1422" s="70" t="s">
        <v>1990</v>
      </c>
      <c r="H1422" s="71">
        <v>560000</v>
      </c>
      <c r="I1422" s="90" t="s">
        <v>1932</v>
      </c>
      <c r="J1422" s="30">
        <v>330</v>
      </c>
    </row>
    <row r="1423" spans="2:10">
      <c r="B1423" s="69">
        <v>45374</v>
      </c>
      <c r="C1423" s="70" t="s">
        <v>1991</v>
      </c>
      <c r="D1423" s="70" t="s">
        <v>929</v>
      </c>
      <c r="E1423" s="70" t="s">
        <v>514</v>
      </c>
      <c r="F1423" s="70" t="s">
        <v>1492</v>
      </c>
      <c r="G1423" s="70" t="s">
        <v>1992</v>
      </c>
      <c r="H1423" s="117">
        <v>600000</v>
      </c>
      <c r="I1423" s="90" t="s">
        <v>1932</v>
      </c>
      <c r="J1423" s="30">
        <v>330</v>
      </c>
    </row>
    <row r="1424" spans="2:10" ht="23">
      <c r="B1424" s="69">
        <v>45374</v>
      </c>
      <c r="C1424" s="70" t="s">
        <v>1993</v>
      </c>
      <c r="D1424" s="70" t="s">
        <v>1994</v>
      </c>
      <c r="E1424" s="70" t="s">
        <v>514</v>
      </c>
      <c r="F1424" s="70" t="s">
        <v>908</v>
      </c>
      <c r="G1424" s="70" t="s">
        <v>1995</v>
      </c>
      <c r="H1424" s="71">
        <v>96000</v>
      </c>
      <c r="I1424" s="90" t="s">
        <v>1932</v>
      </c>
      <c r="J1424" s="30">
        <v>330</v>
      </c>
    </row>
    <row r="1425" spans="2:10">
      <c r="B1425" s="69">
        <v>45382</v>
      </c>
      <c r="C1425" s="70" t="s">
        <v>1996</v>
      </c>
      <c r="D1425" s="70" t="s">
        <v>929</v>
      </c>
      <c r="E1425" s="70" t="s">
        <v>514</v>
      </c>
      <c r="F1425" s="70" t="s">
        <v>1997</v>
      </c>
      <c r="G1425" s="70" t="s">
        <v>1998</v>
      </c>
      <c r="H1425" s="117">
        <v>1945888</v>
      </c>
      <c r="I1425" s="90" t="s">
        <v>1932</v>
      </c>
      <c r="J1425" s="30">
        <v>329</v>
      </c>
    </row>
    <row r="1426" spans="2:10">
      <c r="B1426" s="69">
        <v>45382</v>
      </c>
      <c r="C1426" s="70" t="s">
        <v>1996</v>
      </c>
      <c r="D1426" s="70" t="s">
        <v>929</v>
      </c>
      <c r="E1426" s="70" t="s">
        <v>514</v>
      </c>
      <c r="F1426" s="70" t="s">
        <v>1999</v>
      </c>
      <c r="G1426" s="70" t="s">
        <v>2000</v>
      </c>
      <c r="H1426" s="117">
        <v>208490</v>
      </c>
      <c r="I1426" s="90" t="s">
        <v>1932</v>
      </c>
      <c r="J1426" s="30">
        <v>329</v>
      </c>
    </row>
    <row r="1427" spans="2:10">
      <c r="B1427" s="69">
        <v>45382</v>
      </c>
      <c r="C1427" s="70" t="s">
        <v>1996</v>
      </c>
      <c r="D1427" s="70" t="s">
        <v>929</v>
      </c>
      <c r="E1427" s="70" t="s">
        <v>514</v>
      </c>
      <c r="F1427" s="70" t="s">
        <v>2001</v>
      </c>
      <c r="G1427" s="70" t="s">
        <v>2002</v>
      </c>
      <c r="H1427" s="117">
        <v>818259</v>
      </c>
      <c r="I1427" s="90" t="s">
        <v>1932</v>
      </c>
      <c r="J1427" s="30">
        <v>327</v>
      </c>
    </row>
    <row r="1428" spans="2:10" ht="23">
      <c r="B1428" s="69">
        <v>45382</v>
      </c>
      <c r="C1428" s="70" t="s">
        <v>2003</v>
      </c>
      <c r="D1428" s="70" t="s">
        <v>711</v>
      </c>
      <c r="E1428" s="70" t="s">
        <v>514</v>
      </c>
      <c r="F1428" s="70" t="s">
        <v>2004</v>
      </c>
      <c r="G1428" s="70"/>
      <c r="H1428" s="117">
        <v>2071234</v>
      </c>
      <c r="I1428" s="90" t="s">
        <v>1932</v>
      </c>
      <c r="J1428" s="30">
        <v>329</v>
      </c>
    </row>
    <row r="1429" spans="2:10" ht="23">
      <c r="B1429" s="69">
        <v>45382</v>
      </c>
      <c r="C1429" s="70" t="s">
        <v>2003</v>
      </c>
      <c r="D1429" s="70" t="s">
        <v>929</v>
      </c>
      <c r="E1429" s="70" t="s">
        <v>514</v>
      </c>
      <c r="F1429" s="70" t="s">
        <v>2004</v>
      </c>
      <c r="G1429" s="70"/>
      <c r="H1429" s="117">
        <v>8411126</v>
      </c>
      <c r="I1429" s="90" t="s">
        <v>1932</v>
      </c>
      <c r="J1429" s="30">
        <v>329</v>
      </c>
    </row>
    <row r="1430" spans="2:10" ht="23">
      <c r="B1430" s="69">
        <v>45382</v>
      </c>
      <c r="C1430" s="70" t="s">
        <v>2003</v>
      </c>
      <c r="D1430" s="70" t="s">
        <v>815</v>
      </c>
      <c r="E1430" s="70" t="s">
        <v>514</v>
      </c>
      <c r="F1430" s="70" t="s">
        <v>2004</v>
      </c>
      <c r="G1430" s="70"/>
      <c r="H1430" s="117">
        <v>338242</v>
      </c>
      <c r="I1430" s="90" t="s">
        <v>1932</v>
      </c>
      <c r="J1430" s="30">
        <v>329</v>
      </c>
    </row>
    <row r="1431" spans="2:10" ht="23">
      <c r="B1431" s="69">
        <v>45382</v>
      </c>
      <c r="C1431" s="70" t="s">
        <v>2003</v>
      </c>
      <c r="D1431" s="70" t="s">
        <v>668</v>
      </c>
      <c r="E1431" s="70" t="s">
        <v>514</v>
      </c>
      <c r="F1431" s="70" t="s">
        <v>2004</v>
      </c>
      <c r="G1431" s="70"/>
      <c r="H1431" s="117">
        <v>1786427</v>
      </c>
      <c r="I1431" s="90" t="s">
        <v>1932</v>
      </c>
      <c r="J1431" s="30">
        <v>329</v>
      </c>
    </row>
    <row r="1432" spans="2:10" ht="23">
      <c r="B1432" s="69">
        <v>45382</v>
      </c>
      <c r="C1432" s="70" t="s">
        <v>2003</v>
      </c>
      <c r="D1432" s="70" t="s">
        <v>657</v>
      </c>
      <c r="E1432" s="70" t="s">
        <v>514</v>
      </c>
      <c r="F1432" s="70" t="s">
        <v>2004</v>
      </c>
      <c r="G1432" s="70"/>
      <c r="H1432" s="117">
        <v>547535</v>
      </c>
      <c r="I1432" s="90" t="s">
        <v>1932</v>
      </c>
      <c r="J1432" s="30">
        <v>329</v>
      </c>
    </row>
    <row r="1433" spans="2:10" ht="23">
      <c r="B1433" s="69">
        <v>45382</v>
      </c>
      <c r="C1433" s="70" t="s">
        <v>2003</v>
      </c>
      <c r="D1433" s="70" t="s">
        <v>653</v>
      </c>
      <c r="E1433" s="70" t="s">
        <v>514</v>
      </c>
      <c r="F1433" s="70" t="s">
        <v>2004</v>
      </c>
      <c r="G1433" s="70"/>
      <c r="H1433" s="117">
        <v>1575524</v>
      </c>
      <c r="I1433" s="90" t="s">
        <v>1932</v>
      </c>
      <c r="J1433" s="30">
        <v>329</v>
      </c>
    </row>
    <row r="1434" spans="2:10" ht="23">
      <c r="B1434" s="69">
        <v>45382</v>
      </c>
      <c r="C1434" s="70" t="s">
        <v>2003</v>
      </c>
      <c r="D1434" s="70" t="s">
        <v>655</v>
      </c>
      <c r="E1434" s="70" t="s">
        <v>514</v>
      </c>
      <c r="F1434" s="70" t="s">
        <v>2004</v>
      </c>
      <c r="G1434" s="70"/>
      <c r="H1434" s="117">
        <v>299680</v>
      </c>
      <c r="I1434" s="90" t="s">
        <v>1932</v>
      </c>
      <c r="J1434" s="30">
        <v>329</v>
      </c>
    </row>
    <row r="1435" spans="2:10" ht="34.5">
      <c r="B1435" s="69">
        <v>45382</v>
      </c>
      <c r="C1435" s="70" t="s">
        <v>1996</v>
      </c>
      <c r="D1435" s="104" t="s">
        <v>655</v>
      </c>
      <c r="E1435" s="70" t="s">
        <v>514</v>
      </c>
      <c r="F1435" s="70" t="s">
        <v>2005</v>
      </c>
      <c r="G1435" s="70" t="s">
        <v>2006</v>
      </c>
      <c r="H1435" s="117">
        <v>1474000</v>
      </c>
      <c r="I1435" s="90" t="s">
        <v>1932</v>
      </c>
      <c r="J1435" s="30">
        <v>329</v>
      </c>
    </row>
    <row r="1436" spans="2:10" ht="14.5" customHeight="1">
      <c r="B1436" s="69">
        <v>45382</v>
      </c>
      <c r="C1436" s="70" t="s">
        <v>2007</v>
      </c>
      <c r="D1436" s="104" t="s">
        <v>270</v>
      </c>
      <c r="E1436" s="70" t="s">
        <v>514</v>
      </c>
      <c r="F1436" s="70" t="s">
        <v>2008</v>
      </c>
      <c r="G1436" s="70"/>
      <c r="H1436" s="71">
        <v>332647</v>
      </c>
      <c r="I1436" s="90" t="s">
        <v>1932</v>
      </c>
      <c r="J1436" s="30" t="s">
        <v>1168</v>
      </c>
    </row>
    <row r="1437" spans="2:10" ht="17.5" customHeight="1">
      <c r="B1437" s="69">
        <v>45382</v>
      </c>
      <c r="C1437" s="70" t="s">
        <v>2007</v>
      </c>
      <c r="D1437" s="104" t="s">
        <v>1824</v>
      </c>
      <c r="E1437" s="70" t="s">
        <v>495</v>
      </c>
      <c r="F1437" s="70" t="s">
        <v>2008</v>
      </c>
      <c r="G1437" s="70" t="s">
        <v>2436</v>
      </c>
      <c r="H1437" s="71">
        <v>5876955.2400000002</v>
      </c>
      <c r="I1437" s="90" t="s">
        <v>1932</v>
      </c>
      <c r="J1437" s="72">
        <v>319</v>
      </c>
    </row>
    <row r="1438" spans="2:10">
      <c r="B1438" s="69">
        <v>45382</v>
      </c>
      <c r="C1438" s="70" t="s">
        <v>2007</v>
      </c>
      <c r="D1438" s="104" t="s">
        <v>653</v>
      </c>
      <c r="E1438" s="70" t="s">
        <v>495</v>
      </c>
      <c r="F1438" s="70" t="s">
        <v>2008</v>
      </c>
      <c r="G1438" s="70"/>
      <c r="H1438" s="117">
        <v>69503.039999999994</v>
      </c>
      <c r="I1438" s="90" t="s">
        <v>1932</v>
      </c>
      <c r="J1438" s="30">
        <v>24</v>
      </c>
    </row>
    <row r="1439" spans="2:10">
      <c r="B1439" s="69">
        <v>45382</v>
      </c>
      <c r="C1439" s="70" t="s">
        <v>2007</v>
      </c>
      <c r="D1439" s="104" t="s">
        <v>665</v>
      </c>
      <c r="E1439" s="70" t="s">
        <v>495</v>
      </c>
      <c r="F1439" s="70" t="s">
        <v>2008</v>
      </c>
      <c r="G1439" s="70" t="s">
        <v>2380</v>
      </c>
      <c r="H1439" s="187">
        <v>29853484.469999999</v>
      </c>
      <c r="I1439" s="90" t="s">
        <v>1932</v>
      </c>
      <c r="J1439" s="30">
        <v>336</v>
      </c>
    </row>
    <row r="1440" spans="2:10">
      <c r="B1440" s="69">
        <v>45382</v>
      </c>
      <c r="C1440" s="70" t="s">
        <v>2007</v>
      </c>
      <c r="D1440" s="104" t="s">
        <v>929</v>
      </c>
      <c r="E1440" s="70" t="s">
        <v>495</v>
      </c>
      <c r="F1440" s="70" t="s">
        <v>2008</v>
      </c>
      <c r="G1440" s="70" t="s">
        <v>2381</v>
      </c>
      <c r="H1440" s="187">
        <v>81640000</v>
      </c>
      <c r="I1440" s="90" t="s">
        <v>1932</v>
      </c>
      <c r="J1440" s="72" t="s">
        <v>2470</v>
      </c>
    </row>
    <row r="1441" spans="2:10">
      <c r="B1441" s="69">
        <v>45382</v>
      </c>
      <c r="C1441" s="70" t="s">
        <v>2007</v>
      </c>
      <c r="D1441" s="104" t="s">
        <v>711</v>
      </c>
      <c r="E1441" s="70" t="s">
        <v>495</v>
      </c>
      <c r="F1441" s="70" t="s">
        <v>2008</v>
      </c>
      <c r="G1441" s="70" t="s">
        <v>2415</v>
      </c>
      <c r="H1441" s="136">
        <v>67561610.760000005</v>
      </c>
      <c r="I1441" s="90" t="s">
        <v>1932</v>
      </c>
      <c r="J1441" s="30">
        <v>321</v>
      </c>
    </row>
    <row r="1442" spans="2:10">
      <c r="B1442" s="69">
        <v>45382</v>
      </c>
      <c r="C1442" s="70" t="s">
        <v>2007</v>
      </c>
      <c r="D1442" s="104" t="s">
        <v>1994</v>
      </c>
      <c r="E1442" s="70" t="s">
        <v>495</v>
      </c>
      <c r="F1442" s="70" t="s">
        <v>2008</v>
      </c>
      <c r="G1442" s="70"/>
      <c r="H1442" s="136">
        <v>295131713</v>
      </c>
      <c r="I1442" s="90" t="s">
        <v>1932</v>
      </c>
      <c r="J1442" s="30">
        <v>325</v>
      </c>
    </row>
    <row r="1443" spans="2:10" ht="46">
      <c r="B1443" s="69">
        <v>45382</v>
      </c>
      <c r="C1443" s="70" t="s">
        <v>1996</v>
      </c>
      <c r="D1443" s="70" t="s">
        <v>929</v>
      </c>
      <c r="E1443" s="70" t="s">
        <v>514</v>
      </c>
      <c r="F1443" s="70" t="s">
        <v>2009</v>
      </c>
      <c r="G1443" s="70" t="s">
        <v>2010</v>
      </c>
      <c r="H1443" s="117">
        <v>67600000</v>
      </c>
      <c r="I1443" s="90" t="s">
        <v>1932</v>
      </c>
      <c r="J1443" s="30">
        <v>327</v>
      </c>
    </row>
    <row r="1444" spans="2:10" ht="57.5">
      <c r="B1444" s="69">
        <v>45382</v>
      </c>
      <c r="C1444" s="70" t="s">
        <v>1996</v>
      </c>
      <c r="D1444" s="70" t="s">
        <v>929</v>
      </c>
      <c r="E1444" s="70" t="s">
        <v>514</v>
      </c>
      <c r="F1444" s="70" t="s">
        <v>2011</v>
      </c>
      <c r="G1444" s="70" t="s">
        <v>2012</v>
      </c>
      <c r="H1444" s="71">
        <v>4563000</v>
      </c>
      <c r="I1444" s="90" t="s">
        <v>1932</v>
      </c>
      <c r="J1444" s="72">
        <v>327</v>
      </c>
    </row>
    <row r="1445" spans="2:10" ht="69">
      <c r="B1445" s="69">
        <v>45382</v>
      </c>
      <c r="C1445" s="70" t="s">
        <v>1996</v>
      </c>
      <c r="D1445" s="70" t="s">
        <v>929</v>
      </c>
      <c r="E1445" s="70" t="s">
        <v>514</v>
      </c>
      <c r="F1445" s="70" t="s">
        <v>2013</v>
      </c>
      <c r="G1445" s="70" t="s">
        <v>2014</v>
      </c>
      <c r="H1445" s="71">
        <v>4896000</v>
      </c>
      <c r="I1445" s="90" t="s">
        <v>1932</v>
      </c>
      <c r="J1445" s="30">
        <v>327</v>
      </c>
    </row>
    <row r="1446" spans="2:10" ht="80.5">
      <c r="B1446" s="69">
        <v>45382</v>
      </c>
      <c r="C1446" s="70" t="s">
        <v>1996</v>
      </c>
      <c r="D1446" s="70" t="s">
        <v>929</v>
      </c>
      <c r="E1446" s="70" t="s">
        <v>514</v>
      </c>
      <c r="F1446" s="70" t="s">
        <v>2015</v>
      </c>
      <c r="G1446" s="70" t="s">
        <v>2016</v>
      </c>
      <c r="H1446" s="71">
        <v>4488000</v>
      </c>
      <c r="I1446" s="90" t="s">
        <v>1932</v>
      </c>
      <c r="J1446" s="30">
        <v>327</v>
      </c>
    </row>
    <row r="1447" spans="2:10" ht="92">
      <c r="B1447" s="69">
        <v>45382</v>
      </c>
      <c r="C1447" s="70" t="s">
        <v>1996</v>
      </c>
      <c r="D1447" s="70" t="s">
        <v>929</v>
      </c>
      <c r="E1447" s="70" t="s">
        <v>514</v>
      </c>
      <c r="F1447" s="70" t="s">
        <v>2017</v>
      </c>
      <c r="G1447" s="70" t="s">
        <v>2018</v>
      </c>
      <c r="H1447" s="71">
        <v>10200000</v>
      </c>
      <c r="I1447" s="90" t="s">
        <v>1932</v>
      </c>
      <c r="J1447" s="72">
        <v>327</v>
      </c>
    </row>
    <row r="1448" spans="2:10" ht="46">
      <c r="B1448" s="69">
        <v>45382</v>
      </c>
      <c r="C1448" s="70" t="s">
        <v>2019</v>
      </c>
      <c r="D1448" s="70" t="s">
        <v>1516</v>
      </c>
      <c r="E1448" s="70" t="s">
        <v>271</v>
      </c>
      <c r="F1448" s="70" t="s">
        <v>1828</v>
      </c>
      <c r="G1448" s="70" t="s">
        <v>2020</v>
      </c>
      <c r="H1448" s="71">
        <v>74092500</v>
      </c>
      <c r="I1448" s="90" t="s">
        <v>1932</v>
      </c>
      <c r="J1448" s="72" t="s">
        <v>2422</v>
      </c>
    </row>
    <row r="1449" spans="2:10" ht="23">
      <c r="B1449" s="69">
        <v>45382</v>
      </c>
      <c r="C1449" s="70" t="s">
        <v>2021</v>
      </c>
      <c r="D1449" s="70" t="s">
        <v>1516</v>
      </c>
      <c r="E1449" s="70" t="s">
        <v>271</v>
      </c>
      <c r="F1449" s="70" t="s">
        <v>2022</v>
      </c>
      <c r="G1449" s="70" t="s">
        <v>1959</v>
      </c>
      <c r="H1449" s="71">
        <v>-70374000</v>
      </c>
      <c r="I1449" s="90" t="s">
        <v>1932</v>
      </c>
      <c r="J1449" s="72" t="s">
        <v>2423</v>
      </c>
    </row>
    <row r="1450" spans="2:10" ht="23">
      <c r="B1450" s="69">
        <v>45382</v>
      </c>
      <c r="C1450" s="70" t="s">
        <v>2023</v>
      </c>
      <c r="D1450" s="70" t="s">
        <v>929</v>
      </c>
      <c r="E1450" s="70" t="s">
        <v>514</v>
      </c>
      <c r="F1450" s="70" t="s">
        <v>2024</v>
      </c>
      <c r="G1450" s="70" t="s">
        <v>2025</v>
      </c>
      <c r="H1450" s="117">
        <v>23097375</v>
      </c>
      <c r="I1450" s="90" t="s">
        <v>1932</v>
      </c>
      <c r="J1450" s="30">
        <v>327</v>
      </c>
    </row>
    <row r="1451" spans="2:10" ht="23">
      <c r="B1451" s="69">
        <v>45382</v>
      </c>
      <c r="C1451" s="70" t="s">
        <v>2023</v>
      </c>
      <c r="D1451" s="70" t="s">
        <v>929</v>
      </c>
      <c r="E1451" s="70" t="s">
        <v>514</v>
      </c>
      <c r="F1451" s="70" t="s">
        <v>2026</v>
      </c>
      <c r="G1451" s="70" t="s">
        <v>2027</v>
      </c>
      <c r="H1451" s="117">
        <v>2540711</v>
      </c>
      <c r="I1451" s="90" t="s">
        <v>1932</v>
      </c>
      <c r="J1451" s="30">
        <v>327</v>
      </c>
    </row>
    <row r="1452" spans="2:10" ht="23">
      <c r="B1452" s="69">
        <v>45382</v>
      </c>
      <c r="C1452" s="70" t="s">
        <v>2028</v>
      </c>
      <c r="D1452" s="70" t="s">
        <v>650</v>
      </c>
      <c r="E1452" s="70" t="s">
        <v>514</v>
      </c>
      <c r="F1452" s="70" t="s">
        <v>1965</v>
      </c>
      <c r="G1452" s="70" t="s">
        <v>1222</v>
      </c>
      <c r="H1452" s="71">
        <v>30005410.109999999</v>
      </c>
      <c r="I1452" s="90" t="s">
        <v>1932</v>
      </c>
      <c r="J1452" s="72" t="s">
        <v>2438</v>
      </c>
    </row>
    <row r="1453" spans="2:10" ht="23">
      <c r="B1453" s="69">
        <v>45382</v>
      </c>
      <c r="C1453" s="70" t="s">
        <v>2029</v>
      </c>
      <c r="D1453" s="70" t="s">
        <v>740</v>
      </c>
      <c r="E1453" s="70" t="s">
        <v>633</v>
      </c>
      <c r="F1453" s="70" t="s">
        <v>1927</v>
      </c>
      <c r="G1453" s="70" t="s">
        <v>2030</v>
      </c>
      <c r="H1453" s="71">
        <v>344556125.31</v>
      </c>
      <c r="I1453" s="90" t="s">
        <v>1932</v>
      </c>
      <c r="J1453" s="30" t="s">
        <v>870</v>
      </c>
    </row>
    <row r="1454" spans="2:10" ht="23">
      <c r="B1454" s="69">
        <v>45382</v>
      </c>
      <c r="C1454" s="70" t="s">
        <v>2031</v>
      </c>
      <c r="D1454" s="70" t="s">
        <v>1347</v>
      </c>
      <c r="E1454" s="70" t="s">
        <v>271</v>
      </c>
      <c r="F1454" s="70" t="s">
        <v>1023</v>
      </c>
      <c r="G1454" s="70" t="s">
        <v>2032</v>
      </c>
      <c r="H1454" s="71">
        <v>281496000</v>
      </c>
      <c r="I1454" s="90" t="s">
        <v>1932</v>
      </c>
      <c r="J1454" s="72" t="s">
        <v>2420</v>
      </c>
    </row>
    <row r="1455" spans="2:10" ht="23">
      <c r="B1455" s="69">
        <v>45382</v>
      </c>
      <c r="C1455" s="70" t="s">
        <v>2033</v>
      </c>
      <c r="D1455" s="70" t="s">
        <v>270</v>
      </c>
      <c r="E1455" s="70" t="s">
        <v>495</v>
      </c>
      <c r="F1455" s="70" t="s">
        <v>2034</v>
      </c>
      <c r="G1455" s="70" t="s">
        <v>1079</v>
      </c>
      <c r="H1455" s="136">
        <v>2280939.56</v>
      </c>
      <c r="I1455" s="90" t="s">
        <v>1932</v>
      </c>
      <c r="J1455" s="72" t="s">
        <v>2344</v>
      </c>
    </row>
    <row r="1456" spans="2:10" ht="23">
      <c r="B1456" s="69">
        <v>45382</v>
      </c>
      <c r="C1456" s="70" t="s">
        <v>2033</v>
      </c>
      <c r="D1456" s="70" t="s">
        <v>270</v>
      </c>
      <c r="E1456" s="70" t="s">
        <v>622</v>
      </c>
      <c r="F1456" s="70" t="s">
        <v>2034</v>
      </c>
      <c r="G1456" s="70" t="s">
        <v>1389</v>
      </c>
      <c r="H1456" s="136">
        <v>117197925.37</v>
      </c>
      <c r="I1456" s="90" t="s">
        <v>1932</v>
      </c>
      <c r="J1456" s="72" t="s">
        <v>2344</v>
      </c>
    </row>
    <row r="1457" spans="2:10" ht="23">
      <c r="B1457" s="69">
        <v>45382</v>
      </c>
      <c r="C1457" s="70" t="s">
        <v>2033</v>
      </c>
      <c r="D1457" s="70" t="s">
        <v>270</v>
      </c>
      <c r="E1457" s="70" t="s">
        <v>622</v>
      </c>
      <c r="F1457" s="70" t="s">
        <v>2034</v>
      </c>
      <c r="G1457" s="70" t="s">
        <v>1092</v>
      </c>
      <c r="H1457" s="71">
        <v>26545428</v>
      </c>
      <c r="I1457" s="90" t="s">
        <v>1932</v>
      </c>
      <c r="J1457" s="72">
        <v>327</v>
      </c>
    </row>
    <row r="1458" spans="2:10" ht="23">
      <c r="B1458" s="69">
        <v>45382</v>
      </c>
      <c r="C1458" s="70" t="s">
        <v>2033</v>
      </c>
      <c r="D1458" s="70" t="s">
        <v>270</v>
      </c>
      <c r="E1458" s="70" t="s">
        <v>622</v>
      </c>
      <c r="F1458" s="70" t="s">
        <v>2034</v>
      </c>
      <c r="G1458" s="70" t="s">
        <v>1239</v>
      </c>
      <c r="H1458" s="71">
        <v>25128180</v>
      </c>
      <c r="I1458" s="90" t="s">
        <v>1932</v>
      </c>
      <c r="J1458" s="72">
        <v>327</v>
      </c>
    </row>
    <row r="1459" spans="2:10" ht="23">
      <c r="B1459" s="69">
        <v>45382</v>
      </c>
      <c r="C1459" s="70" t="s">
        <v>2033</v>
      </c>
      <c r="D1459" s="70" t="s">
        <v>270</v>
      </c>
      <c r="E1459" s="70" t="s">
        <v>622</v>
      </c>
      <c r="F1459" s="70" t="s">
        <v>2034</v>
      </c>
      <c r="G1459" s="70" t="s">
        <v>1393</v>
      </c>
      <c r="H1459" s="136">
        <v>20041844.879999999</v>
      </c>
      <c r="I1459" s="90" t="s">
        <v>1932</v>
      </c>
      <c r="J1459" s="72" t="s">
        <v>2344</v>
      </c>
    </row>
    <row r="1460" spans="2:10" ht="23">
      <c r="B1460" s="69">
        <v>45382</v>
      </c>
      <c r="C1460" s="70" t="s">
        <v>2033</v>
      </c>
      <c r="D1460" s="70" t="s">
        <v>270</v>
      </c>
      <c r="E1460" s="70" t="s">
        <v>622</v>
      </c>
      <c r="F1460" s="70" t="s">
        <v>2034</v>
      </c>
      <c r="G1460" s="70" t="s">
        <v>1240</v>
      </c>
      <c r="H1460" s="71">
        <v>19355070</v>
      </c>
      <c r="I1460" s="90" t="s">
        <v>1932</v>
      </c>
      <c r="J1460" s="72">
        <v>327</v>
      </c>
    </row>
    <row r="1461" spans="2:10" ht="23">
      <c r="B1461" s="69">
        <v>45382</v>
      </c>
      <c r="C1461" s="70" t="s">
        <v>2033</v>
      </c>
      <c r="D1461" s="70" t="s">
        <v>270</v>
      </c>
      <c r="E1461" s="70" t="s">
        <v>622</v>
      </c>
      <c r="F1461" s="70" t="s">
        <v>2034</v>
      </c>
      <c r="G1461" s="70" t="s">
        <v>2035</v>
      </c>
      <c r="H1461" s="71">
        <v>17350410</v>
      </c>
      <c r="I1461" s="90" t="s">
        <v>1932</v>
      </c>
      <c r="J1461" s="72">
        <v>327</v>
      </c>
    </row>
    <row r="1462" spans="2:10" ht="23">
      <c r="B1462" s="69">
        <v>45382</v>
      </c>
      <c r="C1462" s="70" t="s">
        <v>2033</v>
      </c>
      <c r="D1462" s="70" t="s">
        <v>270</v>
      </c>
      <c r="E1462" s="70" t="s">
        <v>622</v>
      </c>
      <c r="F1462" s="70" t="s">
        <v>2034</v>
      </c>
      <c r="G1462" s="70" t="s">
        <v>1390</v>
      </c>
      <c r="H1462" s="136">
        <v>8162870.8899999997</v>
      </c>
      <c r="I1462" s="90" t="s">
        <v>1932</v>
      </c>
      <c r="J1462" s="72" t="s">
        <v>2344</v>
      </c>
    </row>
    <row r="1463" spans="2:10" ht="23">
      <c r="B1463" s="69">
        <v>45382</v>
      </c>
      <c r="C1463" s="70" t="s">
        <v>2033</v>
      </c>
      <c r="D1463" s="104" t="s">
        <v>270</v>
      </c>
      <c r="E1463" s="70" t="s">
        <v>622</v>
      </c>
      <c r="F1463" s="70" t="s">
        <v>2034</v>
      </c>
      <c r="G1463" s="70" t="s">
        <v>1392</v>
      </c>
      <c r="H1463" s="71">
        <v>8154280.1600000001</v>
      </c>
      <c r="I1463" s="90" t="s">
        <v>1932</v>
      </c>
      <c r="J1463" s="72" t="s">
        <v>2344</v>
      </c>
    </row>
    <row r="1464" spans="2:10" ht="23">
      <c r="B1464" s="69">
        <v>45382</v>
      </c>
      <c r="C1464" s="70" t="s">
        <v>2033</v>
      </c>
      <c r="D1464" s="70" t="s">
        <v>270</v>
      </c>
      <c r="E1464" s="70" t="s">
        <v>622</v>
      </c>
      <c r="F1464" s="70" t="s">
        <v>2034</v>
      </c>
      <c r="G1464" s="70" t="s">
        <v>1391</v>
      </c>
      <c r="H1464" s="136">
        <v>7535777.96</v>
      </c>
      <c r="I1464" s="90" t="s">
        <v>1932</v>
      </c>
      <c r="J1464" s="72" t="s">
        <v>2344</v>
      </c>
    </row>
    <row r="1465" spans="2:10" ht="23">
      <c r="B1465" s="69">
        <v>45382</v>
      </c>
      <c r="C1465" s="70" t="s">
        <v>2033</v>
      </c>
      <c r="D1465" s="70" t="s">
        <v>270</v>
      </c>
      <c r="E1465" s="70" t="s">
        <v>622</v>
      </c>
      <c r="F1465" s="70" t="s">
        <v>2034</v>
      </c>
      <c r="G1465" s="70" t="s">
        <v>1233</v>
      </c>
      <c r="H1465" s="71">
        <v>5683254.0800000001</v>
      </c>
      <c r="I1465" s="90" t="s">
        <v>1932</v>
      </c>
      <c r="J1465" s="44">
        <v>328</v>
      </c>
    </row>
    <row r="1466" spans="2:10" ht="23">
      <c r="B1466" s="69">
        <v>45382</v>
      </c>
      <c r="C1466" s="70" t="s">
        <v>2033</v>
      </c>
      <c r="D1466" s="70" t="s">
        <v>270</v>
      </c>
      <c r="E1466" s="70" t="s">
        <v>622</v>
      </c>
      <c r="F1466" s="70" t="s">
        <v>2034</v>
      </c>
      <c r="G1466" s="70" t="s">
        <v>2036</v>
      </c>
      <c r="H1466" s="71">
        <v>5161611</v>
      </c>
      <c r="I1466" s="90" t="s">
        <v>1932</v>
      </c>
      <c r="J1466" s="72">
        <v>327</v>
      </c>
    </row>
    <row r="1467" spans="2:10" ht="23">
      <c r="B1467" s="69">
        <v>45382</v>
      </c>
      <c r="C1467" s="70" t="s">
        <v>2033</v>
      </c>
      <c r="D1467" s="70" t="s">
        <v>270</v>
      </c>
      <c r="E1467" s="70" t="s">
        <v>622</v>
      </c>
      <c r="F1467" s="70" t="s">
        <v>2034</v>
      </c>
      <c r="G1467" s="70" t="s">
        <v>1079</v>
      </c>
      <c r="H1467" s="136">
        <v>3706526.78</v>
      </c>
      <c r="I1467" s="90" t="s">
        <v>1932</v>
      </c>
      <c r="J1467" s="72" t="s">
        <v>2344</v>
      </c>
    </row>
    <row r="1468" spans="2:10" ht="23">
      <c r="B1468" s="69">
        <v>45382</v>
      </c>
      <c r="C1468" s="70" t="s">
        <v>2033</v>
      </c>
      <c r="D1468" s="70" t="s">
        <v>270</v>
      </c>
      <c r="E1468" s="70" t="s">
        <v>622</v>
      </c>
      <c r="F1468" s="70" t="s">
        <v>2034</v>
      </c>
      <c r="G1468" s="70" t="s">
        <v>1229</v>
      </c>
      <c r="H1468" s="71">
        <v>3128074</v>
      </c>
      <c r="I1468" s="90" t="s">
        <v>1932</v>
      </c>
      <c r="J1468" s="44">
        <v>328</v>
      </c>
    </row>
    <row r="1469" spans="2:10" ht="23">
      <c r="B1469" s="69">
        <v>45382</v>
      </c>
      <c r="C1469" s="70" t="s">
        <v>2033</v>
      </c>
      <c r="D1469" s="70" t="s">
        <v>270</v>
      </c>
      <c r="E1469" s="70" t="s">
        <v>622</v>
      </c>
      <c r="F1469" s="70" t="s">
        <v>2034</v>
      </c>
      <c r="G1469" s="70" t="s">
        <v>1338</v>
      </c>
      <c r="H1469" s="71">
        <v>1211253.1100000001</v>
      </c>
      <c r="I1469" s="90" t="s">
        <v>1932</v>
      </c>
      <c r="J1469" s="44">
        <v>328</v>
      </c>
    </row>
    <row r="1470" spans="2:10" ht="23">
      <c r="B1470" s="69">
        <v>45382</v>
      </c>
      <c r="C1470" s="70" t="s">
        <v>2033</v>
      </c>
      <c r="D1470" s="70" t="s">
        <v>270</v>
      </c>
      <c r="E1470" s="70" t="s">
        <v>622</v>
      </c>
      <c r="F1470" s="70" t="s">
        <v>2034</v>
      </c>
      <c r="G1470" s="70" t="s">
        <v>1234</v>
      </c>
      <c r="H1470" s="71">
        <v>1177071.3600000001</v>
      </c>
      <c r="I1470" s="90" t="s">
        <v>1932</v>
      </c>
      <c r="J1470" s="44">
        <v>328</v>
      </c>
    </row>
    <row r="1471" spans="2:10" ht="23">
      <c r="B1471" s="69">
        <v>45382</v>
      </c>
      <c r="C1471" s="70" t="s">
        <v>2033</v>
      </c>
      <c r="D1471" s="70" t="s">
        <v>270</v>
      </c>
      <c r="E1471" s="70" t="s">
        <v>622</v>
      </c>
      <c r="F1471" s="70" t="s">
        <v>2034</v>
      </c>
      <c r="G1471" s="70" t="s">
        <v>1238</v>
      </c>
      <c r="H1471" s="71">
        <v>605095.21</v>
      </c>
      <c r="I1471" s="90" t="s">
        <v>1932</v>
      </c>
      <c r="J1471" s="44">
        <v>328</v>
      </c>
    </row>
    <row r="1472" spans="2:10" ht="23">
      <c r="B1472" s="69">
        <v>45382</v>
      </c>
      <c r="C1472" s="70" t="s">
        <v>2033</v>
      </c>
      <c r="D1472" s="70" t="s">
        <v>270</v>
      </c>
      <c r="E1472" s="70" t="s">
        <v>622</v>
      </c>
      <c r="F1472" s="70" t="s">
        <v>2034</v>
      </c>
      <c r="G1472" s="70" t="s">
        <v>2037</v>
      </c>
      <c r="H1472" s="71">
        <v>414891.91</v>
      </c>
      <c r="I1472" s="90" t="s">
        <v>1932</v>
      </c>
      <c r="J1472" s="44">
        <v>328</v>
      </c>
    </row>
    <row r="1473" spans="2:10" ht="23">
      <c r="B1473" s="69">
        <v>45382</v>
      </c>
      <c r="C1473" s="70" t="s">
        <v>2033</v>
      </c>
      <c r="D1473" s="70" t="s">
        <v>270</v>
      </c>
      <c r="E1473" s="70" t="s">
        <v>622</v>
      </c>
      <c r="F1473" s="70" t="s">
        <v>2034</v>
      </c>
      <c r="G1473" s="70" t="s">
        <v>1673</v>
      </c>
      <c r="H1473" s="136">
        <v>285392.96999999997</v>
      </c>
      <c r="I1473" s="90" t="s">
        <v>1932</v>
      </c>
      <c r="J1473" s="72" t="s">
        <v>2344</v>
      </c>
    </row>
    <row r="1474" spans="2:10" ht="23">
      <c r="B1474" s="69">
        <v>45382</v>
      </c>
      <c r="C1474" s="70" t="s">
        <v>2033</v>
      </c>
      <c r="D1474" s="70" t="s">
        <v>270</v>
      </c>
      <c r="E1474" s="70" t="s">
        <v>622</v>
      </c>
      <c r="F1474" s="70" t="s">
        <v>2034</v>
      </c>
      <c r="G1474" s="70" t="s">
        <v>733</v>
      </c>
      <c r="H1474" s="71">
        <v>51215</v>
      </c>
      <c r="I1474" s="90" t="s">
        <v>1932</v>
      </c>
      <c r="J1474" s="72">
        <v>327</v>
      </c>
    </row>
    <row r="1475" spans="2:10" ht="23">
      <c r="B1475" s="69">
        <v>45382</v>
      </c>
      <c r="C1475" s="70" t="s">
        <v>2038</v>
      </c>
      <c r="D1475" s="70" t="s">
        <v>1347</v>
      </c>
      <c r="E1475" s="70" t="s">
        <v>271</v>
      </c>
      <c r="F1475" s="70" t="s">
        <v>1828</v>
      </c>
      <c r="G1475" s="70" t="s">
        <v>2039</v>
      </c>
      <c r="H1475" s="71">
        <v>63400000</v>
      </c>
      <c r="I1475" s="90" t="s">
        <v>1932</v>
      </c>
      <c r="J1475" s="72" t="s">
        <v>2420</v>
      </c>
    </row>
    <row r="1476" spans="2:10" ht="23">
      <c r="B1476" s="69">
        <v>45382</v>
      </c>
      <c r="C1476" s="70" t="s">
        <v>2031</v>
      </c>
      <c r="D1476" s="70" t="s">
        <v>1819</v>
      </c>
      <c r="E1476" s="70" t="s">
        <v>271</v>
      </c>
      <c r="F1476" s="70" t="s">
        <v>1023</v>
      </c>
      <c r="G1476" s="70" t="s">
        <v>2040</v>
      </c>
      <c r="H1476" s="71">
        <v>160506000</v>
      </c>
      <c r="I1476" s="90" t="s">
        <v>1932</v>
      </c>
      <c r="J1476" s="30" t="s">
        <v>538</v>
      </c>
    </row>
    <row r="1477" spans="2:10" ht="23">
      <c r="B1477" s="69">
        <v>45382</v>
      </c>
      <c r="C1477" s="70" t="s">
        <v>2038</v>
      </c>
      <c r="D1477" s="70" t="s">
        <v>1819</v>
      </c>
      <c r="E1477" s="70" t="s">
        <v>271</v>
      </c>
      <c r="F1477" s="70" t="s">
        <v>1828</v>
      </c>
      <c r="G1477" s="70" t="s">
        <v>2041</v>
      </c>
      <c r="H1477" s="71">
        <v>36150000</v>
      </c>
      <c r="I1477" s="90" t="s">
        <v>1932</v>
      </c>
      <c r="J1477" s="30" t="s">
        <v>538</v>
      </c>
    </row>
    <row r="1478" spans="2:10" ht="34.5">
      <c r="B1478" s="69">
        <v>45412</v>
      </c>
      <c r="C1478" s="70" t="s">
        <v>2042</v>
      </c>
      <c r="D1478" s="70" t="s">
        <v>270</v>
      </c>
      <c r="E1478" s="70" t="s">
        <v>308</v>
      </c>
      <c r="F1478" s="70" t="s">
        <v>1947</v>
      </c>
      <c r="G1478" s="70" t="s">
        <v>2043</v>
      </c>
      <c r="H1478" s="137">
        <v>209370566</v>
      </c>
      <c r="I1478" s="90" t="s">
        <v>1933</v>
      </c>
      <c r="J1478" s="30" t="s">
        <v>535</v>
      </c>
    </row>
    <row r="1479" spans="2:10" ht="34.5">
      <c r="B1479" s="69">
        <v>45412</v>
      </c>
      <c r="C1479" s="70" t="s">
        <v>2042</v>
      </c>
      <c r="D1479" s="70" t="s">
        <v>270</v>
      </c>
      <c r="E1479" s="70" t="s">
        <v>308</v>
      </c>
      <c r="F1479" s="70" t="s">
        <v>1703</v>
      </c>
      <c r="G1479" s="70" t="s">
        <v>2043</v>
      </c>
      <c r="H1479" s="137">
        <v>17273072</v>
      </c>
      <c r="I1479" s="90" t="s">
        <v>1933</v>
      </c>
      <c r="J1479" s="30" t="s">
        <v>535</v>
      </c>
    </row>
    <row r="1480" spans="2:10" ht="34.5">
      <c r="B1480" s="69">
        <v>45412</v>
      </c>
      <c r="C1480" s="70" t="s">
        <v>2044</v>
      </c>
      <c r="D1480" s="70" t="s">
        <v>270</v>
      </c>
      <c r="E1480" s="70" t="s">
        <v>308</v>
      </c>
      <c r="F1480" s="70" t="s">
        <v>1947</v>
      </c>
      <c r="G1480" s="70" t="s">
        <v>2045</v>
      </c>
      <c r="H1480" s="71">
        <v>76221011</v>
      </c>
      <c r="I1480" s="90" t="s">
        <v>1933</v>
      </c>
      <c r="J1480" s="30" t="s">
        <v>535</v>
      </c>
    </row>
    <row r="1481" spans="2:10" ht="34.5">
      <c r="B1481" s="69">
        <v>45412</v>
      </c>
      <c r="C1481" s="70" t="s">
        <v>2044</v>
      </c>
      <c r="D1481" s="70" t="s">
        <v>270</v>
      </c>
      <c r="E1481" s="70" t="s">
        <v>308</v>
      </c>
      <c r="F1481" s="70" t="s">
        <v>1703</v>
      </c>
      <c r="G1481" s="70" t="s">
        <v>2045</v>
      </c>
      <c r="H1481" s="71">
        <v>6288233</v>
      </c>
      <c r="I1481" s="90" t="s">
        <v>1933</v>
      </c>
      <c r="J1481" s="30" t="s">
        <v>535</v>
      </c>
    </row>
    <row r="1482" spans="2:10" ht="34.5">
      <c r="B1482" s="69">
        <v>45412</v>
      </c>
      <c r="C1482" s="70" t="s">
        <v>2046</v>
      </c>
      <c r="D1482" s="70" t="s">
        <v>650</v>
      </c>
      <c r="E1482" s="70" t="s">
        <v>271</v>
      </c>
      <c r="F1482" s="70" t="s">
        <v>977</v>
      </c>
      <c r="G1482" s="70" t="s">
        <v>2047</v>
      </c>
      <c r="H1482" s="137">
        <v>65688814</v>
      </c>
      <c r="I1482" s="90" t="s">
        <v>1933</v>
      </c>
      <c r="J1482" s="30">
        <v>21</v>
      </c>
    </row>
    <row r="1483" spans="2:10" ht="34.5">
      <c r="B1483" s="69">
        <v>45412</v>
      </c>
      <c r="C1483" s="70" t="s">
        <v>2046</v>
      </c>
      <c r="D1483" s="70" t="s">
        <v>650</v>
      </c>
      <c r="E1483" s="70" t="s">
        <v>271</v>
      </c>
      <c r="F1483" s="70" t="s">
        <v>977</v>
      </c>
      <c r="G1483" s="70" t="s">
        <v>2047</v>
      </c>
      <c r="H1483" s="137">
        <v>3644414</v>
      </c>
      <c r="I1483" s="90" t="s">
        <v>1933</v>
      </c>
      <c r="J1483" s="30">
        <v>21</v>
      </c>
    </row>
    <row r="1484" spans="2:10" ht="34.5">
      <c r="B1484" s="69">
        <v>45412</v>
      </c>
      <c r="C1484" s="70" t="s">
        <v>2046</v>
      </c>
      <c r="D1484" s="70" t="s">
        <v>653</v>
      </c>
      <c r="E1484" s="70" t="s">
        <v>271</v>
      </c>
      <c r="F1484" s="70" t="s">
        <v>977</v>
      </c>
      <c r="G1484" s="70" t="s">
        <v>2047</v>
      </c>
      <c r="H1484" s="137">
        <v>71040605.569999993</v>
      </c>
      <c r="I1484" s="90" t="s">
        <v>1933</v>
      </c>
      <c r="J1484" s="30">
        <v>21</v>
      </c>
    </row>
    <row r="1485" spans="2:10" ht="34.5">
      <c r="B1485" s="69">
        <v>45412</v>
      </c>
      <c r="C1485" s="70" t="s">
        <v>2046</v>
      </c>
      <c r="D1485" s="70" t="s">
        <v>655</v>
      </c>
      <c r="E1485" s="70" t="s">
        <v>271</v>
      </c>
      <c r="F1485" s="70" t="s">
        <v>977</v>
      </c>
      <c r="G1485" s="70" t="s">
        <v>2047</v>
      </c>
      <c r="H1485" s="137">
        <v>15681638.41</v>
      </c>
      <c r="I1485" s="90" t="s">
        <v>1933</v>
      </c>
      <c r="J1485" s="30">
        <v>21</v>
      </c>
    </row>
    <row r="1486" spans="2:10" ht="34.5">
      <c r="B1486" s="69">
        <v>45412</v>
      </c>
      <c r="C1486" s="70" t="s">
        <v>2046</v>
      </c>
      <c r="D1486" s="70" t="s">
        <v>657</v>
      </c>
      <c r="E1486" s="70" t="s">
        <v>271</v>
      </c>
      <c r="F1486" s="70" t="s">
        <v>977</v>
      </c>
      <c r="G1486" s="70" t="s">
        <v>2047</v>
      </c>
      <c r="H1486" s="137">
        <v>36909642.32</v>
      </c>
      <c r="I1486" s="90" t="s">
        <v>1933</v>
      </c>
      <c r="J1486" s="30">
        <v>21</v>
      </c>
    </row>
    <row r="1487" spans="2:10" ht="34.5">
      <c r="B1487" s="69">
        <v>45412</v>
      </c>
      <c r="C1487" s="70" t="s">
        <v>2046</v>
      </c>
      <c r="D1487" s="70" t="s">
        <v>659</v>
      </c>
      <c r="E1487" s="70" t="s">
        <v>271</v>
      </c>
      <c r="F1487" s="70" t="s">
        <v>977</v>
      </c>
      <c r="G1487" s="70" t="s">
        <v>2047</v>
      </c>
      <c r="H1487" s="137">
        <v>7175602.4400000004</v>
      </c>
      <c r="I1487" s="90" t="s">
        <v>1933</v>
      </c>
      <c r="J1487" s="30">
        <v>21</v>
      </c>
    </row>
    <row r="1488" spans="2:10" ht="34.5">
      <c r="B1488" s="69">
        <v>45412</v>
      </c>
      <c r="C1488" s="70" t="s">
        <v>2046</v>
      </c>
      <c r="D1488" s="70" t="s">
        <v>661</v>
      </c>
      <c r="E1488" s="70" t="s">
        <v>271</v>
      </c>
      <c r="F1488" s="70" t="s">
        <v>977</v>
      </c>
      <c r="G1488" s="70" t="s">
        <v>2047</v>
      </c>
      <c r="H1488" s="137">
        <v>11111988.970000001</v>
      </c>
      <c r="I1488" s="90" t="s">
        <v>1933</v>
      </c>
      <c r="J1488" s="30">
        <v>21</v>
      </c>
    </row>
    <row r="1489" spans="2:10" ht="34.5">
      <c r="B1489" s="69">
        <v>45412</v>
      </c>
      <c r="C1489" s="70" t="s">
        <v>2046</v>
      </c>
      <c r="D1489" s="70" t="s">
        <v>663</v>
      </c>
      <c r="E1489" s="70" t="s">
        <v>271</v>
      </c>
      <c r="F1489" s="70" t="s">
        <v>977</v>
      </c>
      <c r="G1489" s="70" t="s">
        <v>2047</v>
      </c>
      <c r="H1489" s="137">
        <v>127565672.7</v>
      </c>
      <c r="I1489" s="90" t="s">
        <v>1933</v>
      </c>
      <c r="J1489" s="30">
        <v>21</v>
      </c>
    </row>
    <row r="1490" spans="2:10" ht="34.5">
      <c r="B1490" s="69">
        <v>45412</v>
      </c>
      <c r="C1490" s="70" t="s">
        <v>2046</v>
      </c>
      <c r="D1490" s="70" t="s">
        <v>665</v>
      </c>
      <c r="E1490" s="70" t="s">
        <v>271</v>
      </c>
      <c r="F1490" s="70" t="s">
        <v>977</v>
      </c>
      <c r="G1490" s="70" t="s">
        <v>2047</v>
      </c>
      <c r="H1490" s="137">
        <v>31465358.59</v>
      </c>
      <c r="I1490" s="90" t="s">
        <v>1933</v>
      </c>
      <c r="J1490" s="30">
        <v>21</v>
      </c>
    </row>
    <row r="1491" spans="2:10" ht="34.5">
      <c r="B1491" s="69">
        <v>45412</v>
      </c>
      <c r="C1491" s="70" t="s">
        <v>2046</v>
      </c>
      <c r="D1491" s="70" t="s">
        <v>665</v>
      </c>
      <c r="E1491" s="70" t="s">
        <v>271</v>
      </c>
      <c r="F1491" s="70" t="s">
        <v>977</v>
      </c>
      <c r="G1491" s="70" t="s">
        <v>2047</v>
      </c>
      <c r="H1491" s="137">
        <v>232393634.94</v>
      </c>
      <c r="I1491" s="90" t="s">
        <v>1933</v>
      </c>
      <c r="J1491" s="30">
        <v>21</v>
      </c>
    </row>
    <row r="1492" spans="2:10" ht="34.5">
      <c r="B1492" s="69">
        <v>45412</v>
      </c>
      <c r="C1492" s="70" t="s">
        <v>2046</v>
      </c>
      <c r="D1492" s="70" t="s">
        <v>929</v>
      </c>
      <c r="E1492" s="70" t="s">
        <v>271</v>
      </c>
      <c r="F1492" s="70" t="s">
        <v>977</v>
      </c>
      <c r="G1492" s="70" t="s">
        <v>2047</v>
      </c>
      <c r="H1492" s="137">
        <v>41879264.170000002</v>
      </c>
      <c r="I1492" s="90" t="s">
        <v>1933</v>
      </c>
      <c r="J1492" s="30">
        <v>21</v>
      </c>
    </row>
    <row r="1493" spans="2:10" ht="34.5">
      <c r="B1493" s="69">
        <v>45412</v>
      </c>
      <c r="C1493" s="70" t="s">
        <v>2046</v>
      </c>
      <c r="D1493" s="70" t="s">
        <v>931</v>
      </c>
      <c r="E1493" s="70" t="s">
        <v>271</v>
      </c>
      <c r="F1493" s="70" t="s">
        <v>977</v>
      </c>
      <c r="G1493" s="70" t="s">
        <v>2047</v>
      </c>
      <c r="H1493" s="137">
        <v>47316695.640000001</v>
      </c>
      <c r="I1493" s="90" t="s">
        <v>1933</v>
      </c>
      <c r="J1493" s="30">
        <v>21</v>
      </c>
    </row>
    <row r="1494" spans="2:10" ht="34.5">
      <c r="B1494" s="69">
        <v>45412</v>
      </c>
      <c r="C1494" s="70" t="s">
        <v>2046</v>
      </c>
      <c r="D1494" s="70" t="s">
        <v>815</v>
      </c>
      <c r="E1494" s="70" t="s">
        <v>271</v>
      </c>
      <c r="F1494" s="70" t="s">
        <v>977</v>
      </c>
      <c r="G1494" s="70" t="s">
        <v>2047</v>
      </c>
      <c r="H1494" s="137">
        <v>85790457.109999999</v>
      </c>
      <c r="I1494" s="90" t="s">
        <v>1933</v>
      </c>
      <c r="J1494" s="30">
        <v>21</v>
      </c>
    </row>
    <row r="1495" spans="2:10" ht="34.5">
      <c r="B1495" s="69">
        <v>45412</v>
      </c>
      <c r="C1495" s="70" t="s">
        <v>2046</v>
      </c>
      <c r="D1495" s="70" t="s">
        <v>711</v>
      </c>
      <c r="E1495" s="70" t="s">
        <v>271</v>
      </c>
      <c r="F1495" s="70" t="s">
        <v>977</v>
      </c>
      <c r="G1495" s="70" t="s">
        <v>2047</v>
      </c>
      <c r="H1495" s="137">
        <v>422646.36</v>
      </c>
      <c r="I1495" s="90" t="s">
        <v>1933</v>
      </c>
      <c r="J1495" s="30">
        <v>21</v>
      </c>
    </row>
    <row r="1496" spans="2:10" ht="34.5">
      <c r="B1496" s="69">
        <v>45412</v>
      </c>
      <c r="C1496" s="70" t="s">
        <v>2046</v>
      </c>
      <c r="D1496" s="70" t="s">
        <v>650</v>
      </c>
      <c r="E1496" s="70" t="s">
        <v>271</v>
      </c>
      <c r="F1496" s="70" t="s">
        <v>977</v>
      </c>
      <c r="G1496" s="70" t="s">
        <v>2047</v>
      </c>
      <c r="H1496" s="137">
        <v>98182930.349999994</v>
      </c>
      <c r="I1496" s="90" t="s">
        <v>1933</v>
      </c>
      <c r="J1496" s="30">
        <v>21</v>
      </c>
    </row>
    <row r="1497" spans="2:10" ht="34.5">
      <c r="B1497" s="69">
        <v>45412</v>
      </c>
      <c r="C1497" s="70" t="s">
        <v>2046</v>
      </c>
      <c r="D1497" s="70" t="s">
        <v>650</v>
      </c>
      <c r="E1497" s="70" t="s">
        <v>271</v>
      </c>
      <c r="F1497" s="70" t="s">
        <v>977</v>
      </c>
      <c r="G1497" s="70" t="s">
        <v>2047</v>
      </c>
      <c r="H1497" s="137">
        <v>52183132</v>
      </c>
      <c r="I1497" s="90" t="s">
        <v>1933</v>
      </c>
      <c r="J1497" s="30">
        <v>21</v>
      </c>
    </row>
    <row r="1498" spans="2:10" ht="34.5">
      <c r="B1498" s="69">
        <v>45412</v>
      </c>
      <c r="C1498" s="70" t="s">
        <v>2046</v>
      </c>
      <c r="D1498" s="70" t="s">
        <v>650</v>
      </c>
      <c r="E1498" s="70" t="s">
        <v>271</v>
      </c>
      <c r="F1498" s="70" t="s">
        <v>977</v>
      </c>
      <c r="G1498" s="70" t="s">
        <v>2047</v>
      </c>
      <c r="H1498" s="137">
        <v>5185860.78</v>
      </c>
      <c r="I1498" s="90" t="s">
        <v>1933</v>
      </c>
      <c r="J1498" s="30">
        <v>21</v>
      </c>
    </row>
    <row r="1499" spans="2:10" ht="34.5">
      <c r="B1499" s="69">
        <v>45412</v>
      </c>
      <c r="C1499" s="70" t="s">
        <v>2046</v>
      </c>
      <c r="D1499" s="70" t="s">
        <v>650</v>
      </c>
      <c r="E1499" s="70" t="s">
        <v>271</v>
      </c>
      <c r="F1499" s="70" t="s">
        <v>977</v>
      </c>
      <c r="G1499" s="70" t="s">
        <v>2047</v>
      </c>
      <c r="H1499" s="137">
        <v>18280477</v>
      </c>
      <c r="I1499" s="90" t="s">
        <v>1933</v>
      </c>
      <c r="J1499" s="30">
        <v>21</v>
      </c>
    </row>
    <row r="1500" spans="2:10" ht="34.5">
      <c r="B1500" s="69">
        <v>45412</v>
      </c>
      <c r="C1500" s="70" t="s">
        <v>2046</v>
      </c>
      <c r="D1500" s="70" t="s">
        <v>650</v>
      </c>
      <c r="E1500" s="70" t="s">
        <v>271</v>
      </c>
      <c r="F1500" s="70" t="s">
        <v>977</v>
      </c>
      <c r="G1500" s="70" t="s">
        <v>2047</v>
      </c>
      <c r="H1500" s="137">
        <v>7727935.6600000001</v>
      </c>
      <c r="I1500" s="90" t="s">
        <v>1933</v>
      </c>
      <c r="J1500" s="30">
        <v>21</v>
      </c>
    </row>
    <row r="1501" spans="2:10" ht="34.5">
      <c r="B1501" s="69">
        <v>45412</v>
      </c>
      <c r="C1501" s="70" t="s">
        <v>2048</v>
      </c>
      <c r="D1501" s="70" t="s">
        <v>650</v>
      </c>
      <c r="E1501" s="70" t="s">
        <v>308</v>
      </c>
      <c r="F1501" s="70" t="s">
        <v>2049</v>
      </c>
      <c r="G1501" s="70" t="s">
        <v>2050</v>
      </c>
      <c r="H1501" s="71">
        <v>714000000</v>
      </c>
      <c r="I1501" s="90" t="s">
        <v>1933</v>
      </c>
      <c r="J1501" s="30">
        <v>21</v>
      </c>
    </row>
    <row r="1502" spans="2:10" ht="34.5">
      <c r="B1502" s="69">
        <v>45412</v>
      </c>
      <c r="C1502" s="70" t="s">
        <v>2048</v>
      </c>
      <c r="D1502" s="70" t="s">
        <v>650</v>
      </c>
      <c r="E1502" s="70" t="s">
        <v>308</v>
      </c>
      <c r="F1502" s="70" t="s">
        <v>2051</v>
      </c>
      <c r="G1502" s="70" t="s">
        <v>2050</v>
      </c>
      <c r="H1502" s="71">
        <v>78540000</v>
      </c>
      <c r="I1502" s="90" t="s">
        <v>1933</v>
      </c>
      <c r="J1502" s="30">
        <v>21</v>
      </c>
    </row>
    <row r="1503" spans="2:10" ht="34.5">
      <c r="B1503" s="69">
        <v>45412</v>
      </c>
      <c r="C1503" s="70" t="s">
        <v>2052</v>
      </c>
      <c r="D1503" s="70" t="s">
        <v>650</v>
      </c>
      <c r="E1503" s="70" t="s">
        <v>308</v>
      </c>
      <c r="F1503" s="70" t="s">
        <v>2053</v>
      </c>
      <c r="G1503" s="70" t="s">
        <v>2054</v>
      </c>
      <c r="H1503" s="163">
        <v>1413531000</v>
      </c>
      <c r="I1503" s="90" t="s">
        <v>1933</v>
      </c>
      <c r="J1503" s="30">
        <v>21</v>
      </c>
    </row>
    <row r="1504" spans="2:10" ht="34.5">
      <c r="B1504" s="69">
        <v>45412</v>
      </c>
      <c r="C1504" s="70" t="s">
        <v>2052</v>
      </c>
      <c r="D1504" s="70" t="s">
        <v>650</v>
      </c>
      <c r="E1504" s="70" t="s">
        <v>308</v>
      </c>
      <c r="F1504" s="70" t="s">
        <v>2055</v>
      </c>
      <c r="G1504" s="70" t="s">
        <v>2054</v>
      </c>
      <c r="H1504" s="163">
        <v>116616307</v>
      </c>
      <c r="I1504" s="90" t="s">
        <v>1933</v>
      </c>
      <c r="J1504" s="30">
        <v>21</v>
      </c>
    </row>
    <row r="1505" spans="2:10" ht="23">
      <c r="B1505" s="69">
        <v>45408</v>
      </c>
      <c r="C1505" s="70" t="s">
        <v>2056</v>
      </c>
      <c r="D1505" s="70" t="s">
        <v>711</v>
      </c>
      <c r="E1505" s="70" t="s">
        <v>514</v>
      </c>
      <c r="F1505" s="70" t="s">
        <v>694</v>
      </c>
      <c r="G1505" s="70" t="s">
        <v>2057</v>
      </c>
      <c r="H1505" s="71">
        <v>200000</v>
      </c>
      <c r="I1505" s="90" t="s">
        <v>1933</v>
      </c>
      <c r="J1505" s="30">
        <v>330</v>
      </c>
    </row>
    <row r="1506" spans="2:10" ht="34.5">
      <c r="B1506" s="69">
        <v>45408</v>
      </c>
      <c r="C1506" s="70" t="s">
        <v>2056</v>
      </c>
      <c r="D1506" s="70" t="s">
        <v>711</v>
      </c>
      <c r="E1506" s="70" t="s">
        <v>514</v>
      </c>
      <c r="F1506" s="70" t="s">
        <v>694</v>
      </c>
      <c r="G1506" s="70" t="s">
        <v>2058</v>
      </c>
      <c r="H1506" s="71">
        <v>450000</v>
      </c>
      <c r="I1506" s="90" t="s">
        <v>1933</v>
      </c>
      <c r="J1506" s="30">
        <v>330</v>
      </c>
    </row>
    <row r="1507" spans="2:10" ht="46">
      <c r="B1507" s="69">
        <v>45408</v>
      </c>
      <c r="C1507" s="70" t="s">
        <v>2056</v>
      </c>
      <c r="D1507" s="70" t="s">
        <v>711</v>
      </c>
      <c r="E1507" s="70" t="s">
        <v>514</v>
      </c>
      <c r="F1507" s="70" t="s">
        <v>694</v>
      </c>
      <c r="G1507" s="70" t="s">
        <v>2059</v>
      </c>
      <c r="H1507" s="71">
        <v>60000</v>
      </c>
      <c r="I1507" s="90" t="s">
        <v>1933</v>
      </c>
      <c r="J1507" s="30">
        <v>330</v>
      </c>
    </row>
    <row r="1508" spans="2:10" ht="34.5">
      <c r="B1508" s="69">
        <v>45408</v>
      </c>
      <c r="C1508" s="70" t="s">
        <v>2060</v>
      </c>
      <c r="D1508" s="70" t="s">
        <v>711</v>
      </c>
      <c r="E1508" s="70" t="s">
        <v>514</v>
      </c>
      <c r="F1508" s="70" t="s">
        <v>908</v>
      </c>
      <c r="G1508" s="70" t="s">
        <v>2061</v>
      </c>
      <c r="H1508" s="71">
        <v>275000</v>
      </c>
      <c r="I1508" s="90" t="s">
        <v>1933</v>
      </c>
      <c r="J1508" s="30">
        <v>330</v>
      </c>
    </row>
    <row r="1509" spans="2:10" ht="46">
      <c r="B1509" s="69">
        <v>45408</v>
      </c>
      <c r="C1509" s="70" t="s">
        <v>2062</v>
      </c>
      <c r="D1509" s="70" t="s">
        <v>929</v>
      </c>
      <c r="E1509" s="70" t="s">
        <v>514</v>
      </c>
      <c r="F1509" s="70" t="s">
        <v>908</v>
      </c>
      <c r="G1509" s="70" t="s">
        <v>2063</v>
      </c>
      <c r="H1509" s="71">
        <v>320000</v>
      </c>
      <c r="I1509" s="90" t="s">
        <v>1933</v>
      </c>
      <c r="J1509" s="30">
        <v>326</v>
      </c>
    </row>
    <row r="1510" spans="2:10" ht="23">
      <c r="B1510" s="69">
        <v>45412</v>
      </c>
      <c r="C1510" s="70" t="s">
        <v>2064</v>
      </c>
      <c r="D1510" s="70" t="s">
        <v>663</v>
      </c>
      <c r="E1510" s="70" t="s">
        <v>514</v>
      </c>
      <c r="F1510" s="70" t="s">
        <v>908</v>
      </c>
      <c r="G1510" s="70" t="s">
        <v>2065</v>
      </c>
      <c r="H1510" s="71">
        <v>60000</v>
      </c>
      <c r="I1510" s="90" t="s">
        <v>1933</v>
      </c>
      <c r="J1510" s="30">
        <v>330</v>
      </c>
    </row>
    <row r="1511" spans="2:10">
      <c r="B1511" s="69">
        <v>45412</v>
      </c>
      <c r="C1511" s="70" t="s">
        <v>2066</v>
      </c>
      <c r="D1511" s="70" t="s">
        <v>929</v>
      </c>
      <c r="E1511" s="70" t="s">
        <v>271</v>
      </c>
      <c r="F1511" s="70" t="s">
        <v>2067</v>
      </c>
      <c r="G1511" s="70" t="s">
        <v>2068</v>
      </c>
      <c r="H1511" s="71">
        <v>200000</v>
      </c>
      <c r="I1511" s="90" t="s">
        <v>1933</v>
      </c>
      <c r="J1511" s="30">
        <v>326</v>
      </c>
    </row>
    <row r="1512" spans="2:10">
      <c r="B1512" s="69">
        <v>45412</v>
      </c>
      <c r="C1512" s="70" t="s">
        <v>2066</v>
      </c>
      <c r="D1512" s="70" t="s">
        <v>929</v>
      </c>
      <c r="E1512" s="70" t="s">
        <v>271</v>
      </c>
      <c r="F1512" s="70" t="s">
        <v>2069</v>
      </c>
      <c r="G1512" s="70" t="s">
        <v>2070</v>
      </c>
      <c r="H1512" s="71">
        <v>200000</v>
      </c>
      <c r="I1512" s="90" t="s">
        <v>1933</v>
      </c>
      <c r="J1512" s="30">
        <v>326</v>
      </c>
    </row>
    <row r="1513" spans="2:10">
      <c r="B1513" s="69">
        <v>45412</v>
      </c>
      <c r="C1513" s="70" t="s">
        <v>2066</v>
      </c>
      <c r="D1513" s="70" t="s">
        <v>711</v>
      </c>
      <c r="E1513" s="70" t="s">
        <v>514</v>
      </c>
      <c r="F1513" s="70" t="s">
        <v>2071</v>
      </c>
      <c r="G1513" s="70"/>
      <c r="H1513" s="71">
        <v>0</v>
      </c>
      <c r="I1513" s="90" t="s">
        <v>1933</v>
      </c>
      <c r="J1513" s="30">
        <v>0</v>
      </c>
    </row>
    <row r="1514" spans="2:10" ht="23">
      <c r="B1514" s="69">
        <v>45412</v>
      </c>
      <c r="C1514" s="70" t="s">
        <v>2072</v>
      </c>
      <c r="D1514" s="70" t="s">
        <v>929</v>
      </c>
      <c r="E1514" s="70" t="s">
        <v>514</v>
      </c>
      <c r="F1514" s="70" t="s">
        <v>2073</v>
      </c>
      <c r="G1514" s="70" t="s">
        <v>2074</v>
      </c>
      <c r="H1514" s="71">
        <v>18685498</v>
      </c>
      <c r="I1514" s="90" t="s">
        <v>1933</v>
      </c>
      <c r="J1514" s="30">
        <v>329</v>
      </c>
    </row>
    <row r="1515" spans="2:10" ht="23">
      <c r="B1515" s="69">
        <v>45412</v>
      </c>
      <c r="C1515" s="70" t="s">
        <v>2072</v>
      </c>
      <c r="D1515" s="70" t="s">
        <v>661</v>
      </c>
      <c r="E1515" s="70" t="s">
        <v>514</v>
      </c>
      <c r="F1515" s="70" t="s">
        <v>2073</v>
      </c>
      <c r="G1515" s="70" t="s">
        <v>2075</v>
      </c>
      <c r="H1515" s="71">
        <v>6132438</v>
      </c>
      <c r="I1515" s="90" t="s">
        <v>1933</v>
      </c>
      <c r="J1515" s="30">
        <v>329</v>
      </c>
    </row>
    <row r="1516" spans="2:10" ht="23">
      <c r="B1516" s="69">
        <v>45412</v>
      </c>
      <c r="C1516" s="70" t="s">
        <v>2072</v>
      </c>
      <c r="D1516" s="70" t="s">
        <v>663</v>
      </c>
      <c r="E1516" s="70" t="s">
        <v>514</v>
      </c>
      <c r="F1516" s="70" t="s">
        <v>2073</v>
      </c>
      <c r="G1516" s="70" t="s">
        <v>2076</v>
      </c>
      <c r="H1516" s="71">
        <v>10397125</v>
      </c>
      <c r="I1516" s="90" t="s">
        <v>1933</v>
      </c>
      <c r="J1516" s="30">
        <v>329</v>
      </c>
    </row>
    <row r="1517" spans="2:10" ht="23">
      <c r="B1517" s="69">
        <v>45412</v>
      </c>
      <c r="C1517" s="70" t="s">
        <v>2072</v>
      </c>
      <c r="D1517" s="70" t="s">
        <v>653</v>
      </c>
      <c r="E1517" s="70" t="s">
        <v>514</v>
      </c>
      <c r="F1517" s="70" t="s">
        <v>2073</v>
      </c>
      <c r="G1517" s="70" t="s">
        <v>2077</v>
      </c>
      <c r="H1517" s="71">
        <v>8023699</v>
      </c>
      <c r="I1517" s="90" t="s">
        <v>1933</v>
      </c>
      <c r="J1517" s="30">
        <v>329</v>
      </c>
    </row>
    <row r="1518" spans="2:10" ht="23">
      <c r="B1518" s="69">
        <v>45412</v>
      </c>
      <c r="C1518" s="70" t="s">
        <v>2072</v>
      </c>
      <c r="D1518" s="70" t="s">
        <v>665</v>
      </c>
      <c r="E1518" s="70" t="s">
        <v>514</v>
      </c>
      <c r="F1518" s="70" t="s">
        <v>2073</v>
      </c>
      <c r="G1518" s="70" t="s">
        <v>2078</v>
      </c>
      <c r="H1518" s="71">
        <v>1228132</v>
      </c>
      <c r="I1518" s="90" t="s">
        <v>1933</v>
      </c>
      <c r="J1518" s="30">
        <v>329</v>
      </c>
    </row>
    <row r="1519" spans="2:10" ht="23">
      <c r="B1519" s="69">
        <v>45412</v>
      </c>
      <c r="C1519" s="70" t="s">
        <v>2072</v>
      </c>
      <c r="D1519" s="70" t="s">
        <v>657</v>
      </c>
      <c r="E1519" s="70" t="s">
        <v>514</v>
      </c>
      <c r="F1519" s="70" t="s">
        <v>2073</v>
      </c>
      <c r="G1519" s="70" t="s">
        <v>2079</v>
      </c>
      <c r="H1519" s="71">
        <v>296734</v>
      </c>
      <c r="I1519" s="90" t="s">
        <v>1933</v>
      </c>
      <c r="J1519" s="30">
        <v>329</v>
      </c>
    </row>
    <row r="1520" spans="2:10" ht="23">
      <c r="B1520" s="69">
        <v>45412</v>
      </c>
      <c r="C1520" s="70" t="s">
        <v>2072</v>
      </c>
      <c r="D1520" s="70" t="s">
        <v>650</v>
      </c>
      <c r="E1520" s="70" t="s">
        <v>514</v>
      </c>
      <c r="F1520" s="70" t="s">
        <v>2073</v>
      </c>
      <c r="G1520" s="70" t="s">
        <v>2079</v>
      </c>
      <c r="H1520" s="71">
        <v>1999323</v>
      </c>
      <c r="I1520" s="90" t="s">
        <v>1933</v>
      </c>
      <c r="J1520" s="30">
        <v>329</v>
      </c>
    </row>
    <row r="1521" spans="2:10" ht="23">
      <c r="B1521" s="69">
        <v>45412</v>
      </c>
      <c r="C1521" s="70" t="s">
        <v>2080</v>
      </c>
      <c r="D1521" s="70" t="s">
        <v>740</v>
      </c>
      <c r="E1521" s="70" t="s">
        <v>633</v>
      </c>
      <c r="F1521" s="70" t="s">
        <v>1927</v>
      </c>
      <c r="G1521" s="70"/>
      <c r="H1521" s="71">
        <v>559862268.00999999</v>
      </c>
      <c r="I1521" s="90" t="s">
        <v>1933</v>
      </c>
      <c r="J1521" s="30" t="s">
        <v>870</v>
      </c>
    </row>
    <row r="1522" spans="2:10" ht="23">
      <c r="B1522" s="69">
        <v>45412</v>
      </c>
      <c r="C1522" s="70" t="s">
        <v>2081</v>
      </c>
      <c r="D1522" s="70" t="s">
        <v>650</v>
      </c>
      <c r="E1522" s="70" t="s">
        <v>514</v>
      </c>
      <c r="F1522" s="70" t="s">
        <v>1965</v>
      </c>
      <c r="G1522" s="70" t="s">
        <v>1222</v>
      </c>
      <c r="H1522" s="71">
        <v>7571798.6699999999</v>
      </c>
      <c r="I1522" s="90" t="s">
        <v>1933</v>
      </c>
      <c r="J1522" s="72" t="s">
        <v>2438</v>
      </c>
    </row>
    <row r="1523" spans="2:10" ht="23">
      <c r="B1523" s="69">
        <v>45412</v>
      </c>
      <c r="C1523" s="70" t="s">
        <v>2081</v>
      </c>
      <c r="D1523" s="70" t="s">
        <v>650</v>
      </c>
      <c r="E1523" s="70" t="s">
        <v>514</v>
      </c>
      <c r="F1523" s="70" t="s">
        <v>1965</v>
      </c>
      <c r="G1523" s="70" t="s">
        <v>2082</v>
      </c>
      <c r="H1523" s="71">
        <v>7313828.5</v>
      </c>
      <c r="I1523" s="90" t="s">
        <v>1933</v>
      </c>
      <c r="J1523" s="30">
        <v>319</v>
      </c>
    </row>
    <row r="1524" spans="2:10" ht="23">
      <c r="B1524" s="69">
        <v>45412</v>
      </c>
      <c r="C1524" s="70" t="s">
        <v>2081</v>
      </c>
      <c r="D1524" s="70" t="s">
        <v>650</v>
      </c>
      <c r="E1524" s="70" t="s">
        <v>514</v>
      </c>
      <c r="F1524" s="70" t="s">
        <v>1965</v>
      </c>
      <c r="G1524" s="70" t="s">
        <v>2083</v>
      </c>
      <c r="H1524" s="71">
        <v>437829</v>
      </c>
      <c r="I1524" s="90" t="s">
        <v>1933</v>
      </c>
      <c r="J1524" s="30">
        <v>319</v>
      </c>
    </row>
    <row r="1525" spans="2:10">
      <c r="B1525" s="69">
        <v>45412</v>
      </c>
      <c r="C1525" s="70" t="s">
        <v>2084</v>
      </c>
      <c r="D1525" s="70" t="s">
        <v>270</v>
      </c>
      <c r="E1525" s="70" t="s">
        <v>495</v>
      </c>
      <c r="F1525" s="70" t="s">
        <v>2085</v>
      </c>
      <c r="G1525" s="70"/>
      <c r="H1525" s="136">
        <v>-2280940</v>
      </c>
      <c r="I1525" s="90" t="s">
        <v>1933</v>
      </c>
      <c r="J1525" s="72" t="s">
        <v>2344</v>
      </c>
    </row>
    <row r="1526" spans="2:10">
      <c r="B1526" s="69">
        <v>45412</v>
      </c>
      <c r="C1526" s="70" t="s">
        <v>2084</v>
      </c>
      <c r="D1526" s="70" t="s">
        <v>270</v>
      </c>
      <c r="E1526" s="70" t="s">
        <v>622</v>
      </c>
      <c r="F1526" s="70" t="s">
        <v>2086</v>
      </c>
      <c r="G1526" s="70"/>
      <c r="H1526" s="136">
        <v>-117197926</v>
      </c>
      <c r="I1526" s="90" t="s">
        <v>1933</v>
      </c>
      <c r="J1526" s="72" t="s">
        <v>2344</v>
      </c>
    </row>
    <row r="1527" spans="2:10">
      <c r="B1527" s="69">
        <v>45412</v>
      </c>
      <c r="C1527" s="70" t="s">
        <v>2084</v>
      </c>
      <c r="D1527" s="70" t="s">
        <v>270</v>
      </c>
      <c r="E1527" s="70" t="s">
        <v>622</v>
      </c>
      <c r="F1527" s="70" t="s">
        <v>2087</v>
      </c>
      <c r="G1527" s="70"/>
      <c r="H1527" s="136">
        <v>-20041845</v>
      </c>
      <c r="I1527" s="90" t="s">
        <v>1933</v>
      </c>
      <c r="J1527" s="72" t="s">
        <v>2344</v>
      </c>
    </row>
    <row r="1528" spans="2:10" ht="23">
      <c r="B1528" s="69">
        <v>45412</v>
      </c>
      <c r="C1528" s="70" t="s">
        <v>2084</v>
      </c>
      <c r="D1528" s="70" t="s">
        <v>270</v>
      </c>
      <c r="E1528" s="70" t="s">
        <v>622</v>
      </c>
      <c r="F1528" s="70" t="s">
        <v>2088</v>
      </c>
      <c r="G1528" s="70"/>
      <c r="H1528" s="136">
        <v>-8162871</v>
      </c>
      <c r="I1528" s="90" t="s">
        <v>1933</v>
      </c>
      <c r="J1528" s="72" t="s">
        <v>2344</v>
      </c>
    </row>
    <row r="1529" spans="2:10" ht="23">
      <c r="B1529" s="69">
        <v>45412</v>
      </c>
      <c r="C1529" s="70" t="s">
        <v>2084</v>
      </c>
      <c r="D1529" s="70" t="s">
        <v>270</v>
      </c>
      <c r="E1529" s="70" t="s">
        <v>622</v>
      </c>
      <c r="F1529" s="70" t="s">
        <v>2089</v>
      </c>
      <c r="G1529" s="70"/>
      <c r="H1529" s="71">
        <v>-8154281</v>
      </c>
      <c r="I1529" s="90" t="s">
        <v>1933</v>
      </c>
      <c r="J1529" s="30">
        <v>329</v>
      </c>
    </row>
    <row r="1530" spans="2:10" ht="23">
      <c r="B1530" s="69">
        <v>45412</v>
      </c>
      <c r="C1530" s="70" t="s">
        <v>2084</v>
      </c>
      <c r="D1530" s="70" t="s">
        <v>270</v>
      </c>
      <c r="E1530" s="70" t="s">
        <v>622</v>
      </c>
      <c r="F1530" s="70" t="s">
        <v>2090</v>
      </c>
      <c r="G1530" s="70"/>
      <c r="H1530" s="136">
        <v>-7535778</v>
      </c>
      <c r="I1530" s="90" t="s">
        <v>1933</v>
      </c>
      <c r="J1530" s="72" t="s">
        <v>2344</v>
      </c>
    </row>
    <row r="1531" spans="2:10" ht="23">
      <c r="B1531" s="69">
        <v>45412</v>
      </c>
      <c r="C1531" s="70" t="s">
        <v>2084</v>
      </c>
      <c r="D1531" s="70" t="s">
        <v>270</v>
      </c>
      <c r="E1531" s="70" t="s">
        <v>622</v>
      </c>
      <c r="F1531" s="70" t="s">
        <v>2091</v>
      </c>
      <c r="G1531" s="70"/>
      <c r="H1531" s="71">
        <v>-5683255</v>
      </c>
      <c r="I1531" s="90" t="s">
        <v>1933</v>
      </c>
      <c r="J1531" s="30">
        <v>329</v>
      </c>
    </row>
    <row r="1532" spans="2:10" ht="23">
      <c r="B1532" s="69">
        <v>45412</v>
      </c>
      <c r="C1532" s="70" t="s">
        <v>2084</v>
      </c>
      <c r="D1532" s="70" t="s">
        <v>270</v>
      </c>
      <c r="E1532" s="70" t="s">
        <v>622</v>
      </c>
      <c r="F1532" s="70" t="s">
        <v>2092</v>
      </c>
      <c r="G1532" s="70"/>
      <c r="H1532" s="136">
        <v>-3706527</v>
      </c>
      <c r="I1532" s="90" t="s">
        <v>1933</v>
      </c>
      <c r="J1532" s="72" t="s">
        <v>2344</v>
      </c>
    </row>
    <row r="1533" spans="2:10" ht="23">
      <c r="B1533" s="69">
        <v>45412</v>
      </c>
      <c r="C1533" s="70" t="s">
        <v>2084</v>
      </c>
      <c r="D1533" s="70" t="s">
        <v>270</v>
      </c>
      <c r="E1533" s="70" t="s">
        <v>622</v>
      </c>
      <c r="F1533" s="70" t="s">
        <v>2093</v>
      </c>
      <c r="G1533" s="70"/>
      <c r="H1533" s="71">
        <v>-3128074</v>
      </c>
      <c r="I1533" s="90" t="s">
        <v>1933</v>
      </c>
      <c r="J1533" s="30">
        <v>329</v>
      </c>
    </row>
    <row r="1534" spans="2:10" ht="23">
      <c r="B1534" s="69">
        <v>45412</v>
      </c>
      <c r="C1534" s="70" t="s">
        <v>2084</v>
      </c>
      <c r="D1534" s="70" t="s">
        <v>270</v>
      </c>
      <c r="E1534" s="70" t="s">
        <v>622</v>
      </c>
      <c r="F1534" s="70" t="s">
        <v>2094</v>
      </c>
      <c r="G1534" s="70"/>
      <c r="H1534" s="71">
        <v>-1211254</v>
      </c>
      <c r="I1534" s="90" t="s">
        <v>1933</v>
      </c>
      <c r="J1534" s="30">
        <v>329</v>
      </c>
    </row>
    <row r="1535" spans="2:10" ht="23">
      <c r="B1535" s="69">
        <v>45412</v>
      </c>
      <c r="C1535" s="70" t="s">
        <v>2084</v>
      </c>
      <c r="D1535" s="70" t="s">
        <v>270</v>
      </c>
      <c r="E1535" s="70" t="s">
        <v>622</v>
      </c>
      <c r="F1535" s="70" t="s">
        <v>2095</v>
      </c>
      <c r="G1535" s="70"/>
      <c r="H1535" s="71">
        <v>-1177072</v>
      </c>
      <c r="I1535" s="90" t="s">
        <v>1933</v>
      </c>
      <c r="J1535" s="30">
        <v>329</v>
      </c>
    </row>
    <row r="1536" spans="2:10" ht="23">
      <c r="B1536" s="69">
        <v>45412</v>
      </c>
      <c r="C1536" s="70" t="s">
        <v>2084</v>
      </c>
      <c r="D1536" s="70" t="s">
        <v>270</v>
      </c>
      <c r="E1536" s="70" t="s">
        <v>622</v>
      </c>
      <c r="F1536" s="70" t="s">
        <v>2096</v>
      </c>
      <c r="G1536" s="70"/>
      <c r="H1536" s="71">
        <v>-605096</v>
      </c>
      <c r="I1536" s="90" t="s">
        <v>1933</v>
      </c>
      <c r="J1536" s="30">
        <v>329</v>
      </c>
    </row>
    <row r="1537" spans="2:10" ht="23">
      <c r="B1537" s="69">
        <v>45412</v>
      </c>
      <c r="C1537" s="70" t="s">
        <v>2084</v>
      </c>
      <c r="D1537" s="70" t="s">
        <v>270</v>
      </c>
      <c r="E1537" s="70" t="s">
        <v>622</v>
      </c>
      <c r="F1537" s="70" t="s">
        <v>2097</v>
      </c>
      <c r="G1537" s="70"/>
      <c r="H1537" s="71">
        <v>-414892</v>
      </c>
      <c r="I1537" s="90" t="s">
        <v>1933</v>
      </c>
      <c r="J1537" s="30">
        <v>329</v>
      </c>
    </row>
    <row r="1538" spans="2:10" ht="23">
      <c r="B1538" s="69">
        <v>45412</v>
      </c>
      <c r="C1538" s="70" t="s">
        <v>2084</v>
      </c>
      <c r="D1538" s="70" t="s">
        <v>270</v>
      </c>
      <c r="E1538" s="70" t="s">
        <v>622</v>
      </c>
      <c r="F1538" s="70" t="s">
        <v>2098</v>
      </c>
      <c r="G1538" s="70"/>
      <c r="H1538" s="71">
        <v>-285393</v>
      </c>
      <c r="I1538" s="90" t="s">
        <v>1933</v>
      </c>
      <c r="J1538" s="30">
        <v>329</v>
      </c>
    </row>
    <row r="1539" spans="2:10" ht="23">
      <c r="B1539" s="69">
        <v>45412</v>
      </c>
      <c r="C1539" s="70" t="s">
        <v>2084</v>
      </c>
      <c r="D1539" s="70" t="s">
        <v>270</v>
      </c>
      <c r="E1539" s="70" t="s">
        <v>622</v>
      </c>
      <c r="F1539" s="70" t="s">
        <v>2099</v>
      </c>
      <c r="G1539" s="70"/>
      <c r="H1539" s="71">
        <v>-51215</v>
      </c>
      <c r="I1539" s="90" t="s">
        <v>1933</v>
      </c>
      <c r="J1539" s="30">
        <v>329</v>
      </c>
    </row>
    <row r="1540" spans="2:10" ht="46">
      <c r="B1540" s="69">
        <v>45412</v>
      </c>
      <c r="C1540" s="70" t="s">
        <v>2066</v>
      </c>
      <c r="D1540" s="70" t="s">
        <v>929</v>
      </c>
      <c r="E1540" s="70" t="s">
        <v>514</v>
      </c>
      <c r="F1540" s="70" t="s">
        <v>2100</v>
      </c>
      <c r="G1540" s="70" t="s">
        <v>2101</v>
      </c>
      <c r="H1540" s="71">
        <v>6936000</v>
      </c>
      <c r="I1540" s="90" t="s">
        <v>1933</v>
      </c>
      <c r="J1540" s="72">
        <v>327</v>
      </c>
    </row>
    <row r="1541" spans="2:10">
      <c r="B1541" s="69">
        <v>45412</v>
      </c>
      <c r="C1541" s="70" t="s">
        <v>2066</v>
      </c>
      <c r="D1541" s="70" t="s">
        <v>929</v>
      </c>
      <c r="E1541" s="70" t="s">
        <v>514</v>
      </c>
      <c r="F1541" s="70" t="s">
        <v>2102</v>
      </c>
      <c r="G1541" s="70" t="s">
        <v>2103</v>
      </c>
      <c r="H1541" s="71">
        <v>6500000</v>
      </c>
      <c r="I1541" s="90" t="s">
        <v>1933</v>
      </c>
      <c r="J1541" s="72">
        <v>327</v>
      </c>
    </row>
    <row r="1542" spans="2:10">
      <c r="B1542" s="69">
        <v>45412</v>
      </c>
      <c r="C1542" s="70" t="s">
        <v>2066</v>
      </c>
      <c r="D1542" s="70" t="s">
        <v>270</v>
      </c>
      <c r="E1542" s="70" t="s">
        <v>514</v>
      </c>
      <c r="F1542" s="70" t="s">
        <v>2104</v>
      </c>
      <c r="G1542" s="70" t="s">
        <v>2105</v>
      </c>
      <c r="H1542" s="71">
        <v>3400000</v>
      </c>
      <c r="I1542" s="90" t="s">
        <v>1933</v>
      </c>
      <c r="J1542" s="30">
        <v>327</v>
      </c>
    </row>
    <row r="1543" spans="2:10">
      <c r="B1543" s="69">
        <v>45412</v>
      </c>
      <c r="C1543" s="70" t="s">
        <v>2106</v>
      </c>
      <c r="D1543" s="104" t="s">
        <v>270</v>
      </c>
      <c r="E1543" s="70" t="s">
        <v>514</v>
      </c>
      <c r="F1543" s="70" t="s">
        <v>2107</v>
      </c>
      <c r="G1543" s="70"/>
      <c r="H1543" s="117">
        <v>1173748.6000000001</v>
      </c>
      <c r="I1543" s="90" t="s">
        <v>1933</v>
      </c>
      <c r="J1543" s="30">
        <v>24</v>
      </c>
    </row>
    <row r="1544" spans="2:10">
      <c r="B1544" s="69">
        <v>45412</v>
      </c>
      <c r="C1544" s="70" t="s">
        <v>2106</v>
      </c>
      <c r="D1544" s="104" t="s">
        <v>1824</v>
      </c>
      <c r="E1544" s="70" t="s">
        <v>495</v>
      </c>
      <c r="F1544" s="70" t="s">
        <v>2107</v>
      </c>
      <c r="G1544" s="70" t="s">
        <v>2414</v>
      </c>
      <c r="H1544" s="71">
        <v>143253563.31999999</v>
      </c>
      <c r="I1544" s="90" t="s">
        <v>1933</v>
      </c>
      <c r="J1544" s="30">
        <v>319</v>
      </c>
    </row>
    <row r="1545" spans="2:10">
      <c r="B1545" s="69">
        <v>45412</v>
      </c>
      <c r="C1545" s="70" t="s">
        <v>2106</v>
      </c>
      <c r="D1545" s="101">
        <v>316204005006</v>
      </c>
      <c r="E1545" s="70" t="s">
        <v>495</v>
      </c>
      <c r="F1545" s="70" t="s">
        <v>2107</v>
      </c>
      <c r="G1545" s="70" t="s">
        <v>2382</v>
      </c>
      <c r="H1545" s="187">
        <v>35012175</v>
      </c>
      <c r="I1545" s="90" t="s">
        <v>1933</v>
      </c>
      <c r="J1545" s="30">
        <v>336</v>
      </c>
    </row>
    <row r="1546" spans="2:10">
      <c r="B1546" s="69">
        <v>45412</v>
      </c>
      <c r="C1546" s="70" t="s">
        <v>2106</v>
      </c>
      <c r="D1546" s="70" t="s">
        <v>663</v>
      </c>
      <c r="E1546" s="70" t="s">
        <v>495</v>
      </c>
      <c r="F1546" s="70" t="s">
        <v>2107</v>
      </c>
      <c r="G1546" s="70"/>
      <c r="H1546" s="117">
        <v>236919.24</v>
      </c>
      <c r="I1546" s="90" t="s">
        <v>1933</v>
      </c>
      <c r="J1546" s="30">
        <v>24</v>
      </c>
    </row>
    <row r="1547" spans="2:10">
      <c r="B1547" s="69">
        <v>45412</v>
      </c>
      <c r="C1547" s="70" t="s">
        <v>2106</v>
      </c>
      <c r="D1547" s="101">
        <v>316204005009</v>
      </c>
      <c r="E1547" s="1776" t="s">
        <v>495</v>
      </c>
      <c r="F1547" s="1776" t="s">
        <v>2107</v>
      </c>
      <c r="G1547" s="70" t="s">
        <v>2383</v>
      </c>
      <c r="H1547" s="187">
        <v>75507750</v>
      </c>
      <c r="I1547" s="90" t="s">
        <v>1933</v>
      </c>
      <c r="J1547" s="30">
        <v>338</v>
      </c>
    </row>
    <row r="1548" spans="2:10">
      <c r="B1548" s="69">
        <v>45412</v>
      </c>
      <c r="C1548" s="70" t="s">
        <v>2106</v>
      </c>
      <c r="D1548" s="101">
        <v>316204005009</v>
      </c>
      <c r="E1548" s="1778"/>
      <c r="F1548" s="1778"/>
      <c r="G1548" s="70" t="s">
        <v>2384</v>
      </c>
      <c r="H1548" s="187">
        <f>149716245-H1547</f>
        <v>74208495</v>
      </c>
      <c r="I1548" s="90" t="s">
        <v>1933</v>
      </c>
      <c r="J1548" s="72" t="s">
        <v>2471</v>
      </c>
    </row>
    <row r="1549" spans="2:10" ht="12.5" customHeight="1">
      <c r="B1549" s="69">
        <v>45412</v>
      </c>
      <c r="C1549" s="70" t="s">
        <v>2106</v>
      </c>
      <c r="D1549" s="104" t="s">
        <v>711</v>
      </c>
      <c r="E1549" s="70" t="s">
        <v>495</v>
      </c>
      <c r="F1549" s="70" t="s">
        <v>2107</v>
      </c>
      <c r="G1549" s="70" t="s">
        <v>2437</v>
      </c>
      <c r="H1549" s="71">
        <v>7425160</v>
      </c>
      <c r="I1549" s="90" t="s">
        <v>1933</v>
      </c>
      <c r="J1549" s="30">
        <v>321</v>
      </c>
    </row>
    <row r="1550" spans="2:10">
      <c r="B1550" s="69">
        <v>45412</v>
      </c>
      <c r="C1550" s="70" t="s">
        <v>2106</v>
      </c>
      <c r="D1550" s="70" t="s">
        <v>661</v>
      </c>
      <c r="E1550" s="70" t="s">
        <v>495</v>
      </c>
      <c r="F1550" s="70" t="s">
        <v>2107</v>
      </c>
      <c r="G1550" s="70"/>
      <c r="H1550" s="117">
        <v>1398600</v>
      </c>
      <c r="I1550" s="90" t="s">
        <v>1933</v>
      </c>
      <c r="J1550" s="30">
        <v>24</v>
      </c>
    </row>
    <row r="1551" spans="2:10">
      <c r="B1551" s="69">
        <v>45412</v>
      </c>
      <c r="C1551" s="70" t="s">
        <v>2106</v>
      </c>
      <c r="D1551" s="104" t="s">
        <v>777</v>
      </c>
      <c r="E1551" s="70" t="s">
        <v>633</v>
      </c>
      <c r="F1551" s="70" t="s">
        <v>2107</v>
      </c>
      <c r="G1551" s="70"/>
      <c r="H1551" s="117">
        <v>600000</v>
      </c>
      <c r="I1551" s="90" t="s">
        <v>1933</v>
      </c>
      <c r="J1551" s="30">
        <v>24</v>
      </c>
    </row>
    <row r="1552" spans="2:10">
      <c r="B1552" s="69">
        <v>45412</v>
      </c>
      <c r="C1552" s="70" t="s">
        <v>2106</v>
      </c>
      <c r="D1552" s="104" t="s">
        <v>777</v>
      </c>
      <c r="E1552" s="70" t="s">
        <v>514</v>
      </c>
      <c r="F1552" s="70" t="s">
        <v>2107</v>
      </c>
      <c r="G1552" s="70"/>
      <c r="H1552" s="117">
        <v>810000</v>
      </c>
      <c r="I1552" s="90" t="s">
        <v>1933</v>
      </c>
      <c r="J1552" s="30">
        <v>24</v>
      </c>
    </row>
    <row r="1553" spans="2:10" ht="23">
      <c r="B1553" s="69">
        <v>45412</v>
      </c>
      <c r="C1553" s="70" t="s">
        <v>2108</v>
      </c>
      <c r="D1553" s="70" t="s">
        <v>653</v>
      </c>
      <c r="E1553" s="70" t="s">
        <v>514</v>
      </c>
      <c r="F1553" s="70" t="s">
        <v>2109</v>
      </c>
      <c r="G1553" s="70"/>
      <c r="H1553" s="71">
        <v>875658</v>
      </c>
      <c r="I1553" s="90" t="s">
        <v>1933</v>
      </c>
      <c r="J1553" s="30">
        <v>329</v>
      </c>
    </row>
    <row r="1554" spans="2:10" ht="23">
      <c r="B1554" s="69">
        <v>45412</v>
      </c>
      <c r="C1554" s="70" t="s">
        <v>2108</v>
      </c>
      <c r="D1554" s="70" t="s">
        <v>663</v>
      </c>
      <c r="E1554" s="70" t="s">
        <v>514</v>
      </c>
      <c r="F1554" s="70" t="s">
        <v>2109</v>
      </c>
      <c r="G1554" s="70"/>
      <c r="H1554" s="71">
        <v>875658</v>
      </c>
      <c r="I1554" s="90" t="s">
        <v>1933</v>
      </c>
      <c r="J1554" s="30">
        <v>329</v>
      </c>
    </row>
    <row r="1555" spans="2:10" ht="23">
      <c r="B1555" s="69">
        <v>45412</v>
      </c>
      <c r="C1555" s="70" t="s">
        <v>2108</v>
      </c>
      <c r="D1555" s="70" t="s">
        <v>661</v>
      </c>
      <c r="E1555" s="70" t="s">
        <v>514</v>
      </c>
      <c r="F1555" s="70" t="s">
        <v>2109</v>
      </c>
      <c r="G1555" s="70"/>
      <c r="H1555" s="71">
        <v>875658</v>
      </c>
      <c r="I1555" s="90" t="s">
        <v>1933</v>
      </c>
      <c r="J1555" s="30">
        <v>329</v>
      </c>
    </row>
    <row r="1556" spans="2:10" ht="23">
      <c r="B1556" s="69">
        <v>45412</v>
      </c>
      <c r="C1556" s="70" t="s">
        <v>2108</v>
      </c>
      <c r="D1556" s="70" t="s">
        <v>665</v>
      </c>
      <c r="E1556" s="70" t="s">
        <v>514</v>
      </c>
      <c r="F1556" s="70" t="s">
        <v>2109</v>
      </c>
      <c r="G1556" s="70"/>
      <c r="H1556" s="71">
        <v>437829</v>
      </c>
      <c r="I1556" s="90" t="s">
        <v>1933</v>
      </c>
      <c r="J1556" s="30">
        <v>329</v>
      </c>
    </row>
    <row r="1557" spans="2:10" ht="23">
      <c r="B1557" s="69">
        <v>45412</v>
      </c>
      <c r="C1557" s="70" t="s">
        <v>2108</v>
      </c>
      <c r="D1557" s="70" t="s">
        <v>657</v>
      </c>
      <c r="E1557" s="70" t="s">
        <v>514</v>
      </c>
      <c r="F1557" s="70" t="s">
        <v>2109</v>
      </c>
      <c r="G1557" s="70"/>
      <c r="H1557" s="71">
        <v>437829</v>
      </c>
      <c r="I1557" s="90" t="s">
        <v>1933</v>
      </c>
      <c r="J1557" s="30">
        <v>329</v>
      </c>
    </row>
    <row r="1558" spans="2:10" ht="23">
      <c r="B1558" s="69">
        <v>45412</v>
      </c>
      <c r="C1558" s="70" t="s">
        <v>2108</v>
      </c>
      <c r="D1558" s="70" t="s">
        <v>929</v>
      </c>
      <c r="E1558" s="70" t="s">
        <v>514</v>
      </c>
      <c r="F1558" s="70" t="s">
        <v>2109</v>
      </c>
      <c r="G1558" s="70"/>
      <c r="H1558" s="71">
        <v>1313489</v>
      </c>
      <c r="I1558" s="90" t="s">
        <v>1933</v>
      </c>
      <c r="J1558" s="30">
        <v>329</v>
      </c>
    </row>
    <row r="1559" spans="2:10" ht="23">
      <c r="B1559" s="69">
        <v>45412</v>
      </c>
      <c r="C1559" s="70" t="s">
        <v>2110</v>
      </c>
      <c r="D1559" s="70" t="s">
        <v>929</v>
      </c>
      <c r="E1559" s="70" t="s">
        <v>495</v>
      </c>
      <c r="F1559" s="70" t="s">
        <v>2111</v>
      </c>
      <c r="G1559" s="70"/>
      <c r="H1559" s="117">
        <v>1241800</v>
      </c>
      <c r="I1559" s="90" t="s">
        <v>1933</v>
      </c>
      <c r="J1559" s="30">
        <v>327</v>
      </c>
    </row>
    <row r="1560" spans="2:10" ht="23">
      <c r="B1560" s="69">
        <v>45412</v>
      </c>
      <c r="C1560" s="70" t="s">
        <v>2112</v>
      </c>
      <c r="D1560" s="70" t="s">
        <v>270</v>
      </c>
      <c r="E1560" s="70" t="s">
        <v>514</v>
      </c>
      <c r="F1560" s="70" t="s">
        <v>2113</v>
      </c>
      <c r="G1560" s="70" t="s">
        <v>1389</v>
      </c>
      <c r="H1560" s="136">
        <v>129799904.84999999</v>
      </c>
      <c r="I1560" s="90" t="s">
        <v>1933</v>
      </c>
      <c r="J1560" s="72" t="s">
        <v>2344</v>
      </c>
    </row>
    <row r="1561" spans="2:10" ht="23">
      <c r="B1561" s="69">
        <v>45412</v>
      </c>
      <c r="C1561" s="70" t="s">
        <v>2112</v>
      </c>
      <c r="D1561" s="70" t="s">
        <v>270</v>
      </c>
      <c r="E1561" s="70" t="s">
        <v>622</v>
      </c>
      <c r="F1561" s="70" t="s">
        <v>2113</v>
      </c>
      <c r="G1561" s="70" t="s">
        <v>1239</v>
      </c>
      <c r="H1561" s="71">
        <v>8211336</v>
      </c>
      <c r="I1561" s="90" t="s">
        <v>1933</v>
      </c>
      <c r="J1561" s="72">
        <v>327</v>
      </c>
    </row>
    <row r="1562" spans="2:10" ht="23">
      <c r="B1562" s="69">
        <v>45412</v>
      </c>
      <c r="C1562" s="70" t="s">
        <v>2112</v>
      </c>
      <c r="D1562" s="70" t="s">
        <v>270</v>
      </c>
      <c r="E1562" s="70" t="s">
        <v>622</v>
      </c>
      <c r="F1562" s="70" t="s">
        <v>2113</v>
      </c>
      <c r="G1562" s="70" t="s">
        <v>1240</v>
      </c>
      <c r="H1562" s="71">
        <v>11695182</v>
      </c>
      <c r="I1562" s="90" t="s">
        <v>1933</v>
      </c>
      <c r="J1562" s="72">
        <v>327</v>
      </c>
    </row>
    <row r="1563" spans="2:10" ht="23">
      <c r="B1563" s="69">
        <v>45412</v>
      </c>
      <c r="C1563" s="70" t="s">
        <v>2112</v>
      </c>
      <c r="D1563" s="70" t="s">
        <v>270</v>
      </c>
      <c r="E1563" s="70" t="s">
        <v>514</v>
      </c>
      <c r="F1563" s="70" t="s">
        <v>2113</v>
      </c>
      <c r="G1563" s="70" t="s">
        <v>1390</v>
      </c>
      <c r="H1563" s="136">
        <v>14398154.42</v>
      </c>
      <c r="I1563" s="90" t="s">
        <v>1933</v>
      </c>
      <c r="J1563" s="72" t="s">
        <v>2344</v>
      </c>
    </row>
    <row r="1564" spans="2:10" ht="23">
      <c r="B1564" s="69">
        <v>45412</v>
      </c>
      <c r="C1564" s="70" t="s">
        <v>2112</v>
      </c>
      <c r="D1564" s="70" t="s">
        <v>270</v>
      </c>
      <c r="E1564" s="70" t="s">
        <v>514</v>
      </c>
      <c r="F1564" s="70" t="s">
        <v>2113</v>
      </c>
      <c r="G1564" s="70" t="s">
        <v>1393</v>
      </c>
      <c r="H1564" s="136">
        <v>21786864.23</v>
      </c>
      <c r="I1564" s="90" t="s">
        <v>1933</v>
      </c>
      <c r="J1564" s="72" t="s">
        <v>2344</v>
      </c>
    </row>
    <row r="1565" spans="2:10" ht="23">
      <c r="B1565" s="69">
        <v>45412</v>
      </c>
      <c r="C1565" s="70" t="s">
        <v>2112</v>
      </c>
      <c r="D1565" s="70" t="s">
        <v>270</v>
      </c>
      <c r="E1565" s="70" t="s">
        <v>514</v>
      </c>
      <c r="F1565" s="70" t="s">
        <v>2113</v>
      </c>
      <c r="G1565" s="70" t="s">
        <v>1391</v>
      </c>
      <c r="H1565" s="136">
        <v>7506046.3200000003</v>
      </c>
      <c r="I1565" s="90" t="s">
        <v>1933</v>
      </c>
      <c r="J1565" s="72" t="s">
        <v>2344</v>
      </c>
    </row>
    <row r="1566" spans="2:10" ht="23">
      <c r="B1566" s="69">
        <v>45412</v>
      </c>
      <c r="C1566" s="70" t="s">
        <v>2112</v>
      </c>
      <c r="D1566" s="70" t="s">
        <v>270</v>
      </c>
      <c r="E1566" s="70" t="s">
        <v>514</v>
      </c>
      <c r="F1566" s="70" t="s">
        <v>2113</v>
      </c>
      <c r="G1566" s="70" t="s">
        <v>1392</v>
      </c>
      <c r="H1566" s="71">
        <v>6713301.8700000001</v>
      </c>
      <c r="I1566" s="90" t="s">
        <v>1933</v>
      </c>
      <c r="J1566" s="72" t="s">
        <v>2344</v>
      </c>
    </row>
    <row r="1567" spans="2:10" ht="23">
      <c r="B1567" s="69">
        <v>45412</v>
      </c>
      <c r="C1567" s="70" t="s">
        <v>2112</v>
      </c>
      <c r="D1567" s="70" t="s">
        <v>1819</v>
      </c>
      <c r="E1567" s="70" t="s">
        <v>622</v>
      </c>
      <c r="F1567" s="70" t="s">
        <v>2113</v>
      </c>
      <c r="G1567" s="70" t="s">
        <v>1338</v>
      </c>
      <c r="H1567" s="71">
        <v>5350911.25</v>
      </c>
      <c r="I1567" s="90" t="s">
        <v>1933</v>
      </c>
      <c r="J1567" s="44">
        <v>328</v>
      </c>
    </row>
    <row r="1568" spans="2:10" ht="23">
      <c r="B1568" s="69">
        <v>45412</v>
      </c>
      <c r="C1568" s="70" t="s">
        <v>2112</v>
      </c>
      <c r="D1568" s="70" t="s">
        <v>270</v>
      </c>
      <c r="E1568" s="70" t="s">
        <v>514</v>
      </c>
      <c r="F1568" s="70" t="s">
        <v>2113</v>
      </c>
      <c r="G1568" s="70" t="s">
        <v>1079</v>
      </c>
      <c r="H1568" s="136">
        <v>3890737.32</v>
      </c>
      <c r="I1568" s="90" t="s">
        <v>1933</v>
      </c>
      <c r="J1568" s="72" t="s">
        <v>2344</v>
      </c>
    </row>
    <row r="1569" spans="2:10" ht="23">
      <c r="B1569" s="69">
        <v>45412</v>
      </c>
      <c r="C1569" s="70" t="s">
        <v>2112</v>
      </c>
      <c r="D1569" s="70" t="s">
        <v>270</v>
      </c>
      <c r="E1569" s="70" t="s">
        <v>622</v>
      </c>
      <c r="F1569" s="70" t="s">
        <v>2113</v>
      </c>
      <c r="G1569" s="70" t="s">
        <v>2036</v>
      </c>
      <c r="H1569" s="71">
        <v>1836912.71</v>
      </c>
      <c r="I1569" s="90" t="s">
        <v>1933</v>
      </c>
      <c r="J1569" s="72">
        <v>327</v>
      </c>
    </row>
    <row r="1570" spans="2:10" ht="23">
      <c r="B1570" s="69">
        <v>45412</v>
      </c>
      <c r="C1570" s="70" t="s">
        <v>2112</v>
      </c>
      <c r="D1570" s="70" t="s">
        <v>270</v>
      </c>
      <c r="E1570" s="70" t="s">
        <v>622</v>
      </c>
      <c r="F1570" s="70" t="s">
        <v>2113</v>
      </c>
      <c r="G1570" s="70" t="s">
        <v>1238</v>
      </c>
      <c r="H1570" s="71">
        <v>1561924.55</v>
      </c>
      <c r="I1570" s="90" t="s">
        <v>1933</v>
      </c>
      <c r="J1570" s="44">
        <v>328</v>
      </c>
    </row>
    <row r="1571" spans="2:10" ht="23">
      <c r="B1571" s="69">
        <v>45412</v>
      </c>
      <c r="C1571" s="70" t="s">
        <v>2112</v>
      </c>
      <c r="D1571" s="70" t="s">
        <v>270</v>
      </c>
      <c r="E1571" s="70" t="s">
        <v>622</v>
      </c>
      <c r="F1571" s="70" t="s">
        <v>2113</v>
      </c>
      <c r="G1571" s="70" t="s">
        <v>1233</v>
      </c>
      <c r="H1571" s="71">
        <v>1541610.86</v>
      </c>
      <c r="I1571" s="90" t="s">
        <v>1933</v>
      </c>
      <c r="J1571" s="44">
        <v>328</v>
      </c>
    </row>
    <row r="1572" spans="2:10" ht="23">
      <c r="B1572" s="69">
        <v>45412</v>
      </c>
      <c r="C1572" s="70" t="s">
        <v>2112</v>
      </c>
      <c r="D1572" s="70" t="s">
        <v>270</v>
      </c>
      <c r="E1572" s="70" t="s">
        <v>622</v>
      </c>
      <c r="F1572" s="70" t="s">
        <v>2113</v>
      </c>
      <c r="G1572" s="70" t="s">
        <v>2114</v>
      </c>
      <c r="H1572" s="71">
        <v>1479003.74</v>
      </c>
      <c r="I1572" s="90" t="s">
        <v>1933</v>
      </c>
      <c r="J1572" s="44">
        <v>328</v>
      </c>
    </row>
    <row r="1573" spans="2:10" ht="23">
      <c r="B1573" s="69">
        <v>45412</v>
      </c>
      <c r="C1573" s="70" t="s">
        <v>2112</v>
      </c>
      <c r="D1573" s="70" t="s">
        <v>270</v>
      </c>
      <c r="E1573" s="70" t="s">
        <v>514</v>
      </c>
      <c r="F1573" s="70" t="s">
        <v>2113</v>
      </c>
      <c r="G1573" s="70" t="s">
        <v>1079</v>
      </c>
      <c r="H1573" s="136">
        <v>1215855.4099999999</v>
      </c>
      <c r="I1573" s="90" t="s">
        <v>1933</v>
      </c>
      <c r="J1573" s="72" t="s">
        <v>2344</v>
      </c>
    </row>
    <row r="1574" spans="2:10" ht="23">
      <c r="B1574" s="69">
        <v>45412</v>
      </c>
      <c r="C1574" s="70" t="s">
        <v>2112</v>
      </c>
      <c r="D1574" s="70" t="s">
        <v>270</v>
      </c>
      <c r="E1574" s="70" t="s">
        <v>622</v>
      </c>
      <c r="F1574" s="70" t="s">
        <v>2113</v>
      </c>
      <c r="G1574" s="70" t="s">
        <v>1234</v>
      </c>
      <c r="H1574" s="71">
        <v>1159760</v>
      </c>
      <c r="I1574" s="90" t="s">
        <v>1933</v>
      </c>
      <c r="J1574" s="44">
        <v>328</v>
      </c>
    </row>
    <row r="1575" spans="2:10" ht="23">
      <c r="B1575" s="69">
        <v>45412</v>
      </c>
      <c r="C1575" s="70" t="s">
        <v>2112</v>
      </c>
      <c r="D1575" s="70" t="s">
        <v>270</v>
      </c>
      <c r="E1575" s="70" t="s">
        <v>622</v>
      </c>
      <c r="F1575" s="70" t="s">
        <v>2113</v>
      </c>
      <c r="G1575" s="70" t="s">
        <v>1229</v>
      </c>
      <c r="H1575" s="71">
        <v>613645.75</v>
      </c>
      <c r="I1575" s="90" t="s">
        <v>1933</v>
      </c>
      <c r="J1575" s="44">
        <v>328</v>
      </c>
    </row>
    <row r="1576" spans="2:10" ht="23">
      <c r="B1576" s="69">
        <v>45412</v>
      </c>
      <c r="C1576" s="70" t="s">
        <v>2112</v>
      </c>
      <c r="D1576" s="70" t="s">
        <v>270</v>
      </c>
      <c r="E1576" s="70" t="s">
        <v>622</v>
      </c>
      <c r="F1576" s="70" t="s">
        <v>2113</v>
      </c>
      <c r="G1576" s="70" t="s">
        <v>2035</v>
      </c>
      <c r="H1576" s="71">
        <v>586524</v>
      </c>
      <c r="I1576" s="90" t="s">
        <v>1933</v>
      </c>
      <c r="J1576" s="72">
        <v>327</v>
      </c>
    </row>
    <row r="1577" spans="2:10" ht="23">
      <c r="B1577" s="69">
        <v>45412</v>
      </c>
      <c r="C1577" s="70" t="s">
        <v>2112</v>
      </c>
      <c r="D1577" s="70" t="s">
        <v>270</v>
      </c>
      <c r="E1577" s="70" t="s">
        <v>622</v>
      </c>
      <c r="F1577" s="70" t="s">
        <v>2113</v>
      </c>
      <c r="G1577" s="70" t="s">
        <v>733</v>
      </c>
      <c r="H1577" s="71">
        <v>233592.68</v>
      </c>
      <c r="I1577" s="90" t="s">
        <v>1933</v>
      </c>
      <c r="J1577" s="72">
        <v>327</v>
      </c>
    </row>
    <row r="1578" spans="2:10" ht="23">
      <c r="B1578" s="69">
        <v>45412</v>
      </c>
      <c r="C1578" s="70" t="s">
        <v>2112</v>
      </c>
      <c r="D1578" s="70" t="s">
        <v>270</v>
      </c>
      <c r="E1578" s="70" t="s">
        <v>622</v>
      </c>
      <c r="F1578" s="70" t="s">
        <v>2113</v>
      </c>
      <c r="G1578" s="70" t="s">
        <v>732</v>
      </c>
      <c r="H1578" s="71">
        <v>49110.77</v>
      </c>
      <c r="I1578" s="90" t="s">
        <v>1933</v>
      </c>
      <c r="J1578" s="72">
        <v>327</v>
      </c>
    </row>
    <row r="1579" spans="2:10" s="183" customFormat="1" ht="23">
      <c r="B1579" s="188">
        <v>45443</v>
      </c>
      <c r="C1579" s="189" t="s">
        <v>2115</v>
      </c>
      <c r="D1579" s="189" t="s">
        <v>2116</v>
      </c>
      <c r="E1579" s="189" t="s">
        <v>308</v>
      </c>
      <c r="F1579" s="189" t="s">
        <v>1023</v>
      </c>
      <c r="G1579" s="189" t="s">
        <v>2117</v>
      </c>
      <c r="H1579" s="187">
        <v>23865000</v>
      </c>
      <c r="I1579" s="190" t="s">
        <v>1934</v>
      </c>
      <c r="J1579" s="184">
        <v>334</v>
      </c>
    </row>
    <row r="1580" spans="2:10" ht="23">
      <c r="B1580" s="69">
        <v>45443</v>
      </c>
      <c r="C1580" s="70" t="s">
        <v>2118</v>
      </c>
      <c r="D1580" s="70" t="s">
        <v>650</v>
      </c>
      <c r="E1580" s="70" t="s">
        <v>308</v>
      </c>
      <c r="F1580" s="70" t="s">
        <v>824</v>
      </c>
      <c r="G1580" s="70" t="s">
        <v>2119</v>
      </c>
      <c r="H1580" s="163">
        <v>166947480</v>
      </c>
      <c r="I1580" s="96" t="s">
        <v>1934</v>
      </c>
      <c r="J1580" s="30">
        <v>21</v>
      </c>
    </row>
    <row r="1581" spans="2:10" ht="23">
      <c r="B1581" s="69">
        <v>45425</v>
      </c>
      <c r="C1581" s="70" t="s">
        <v>2120</v>
      </c>
      <c r="D1581" s="70" t="s">
        <v>711</v>
      </c>
      <c r="E1581" s="70" t="s">
        <v>495</v>
      </c>
      <c r="F1581" s="70" t="s">
        <v>908</v>
      </c>
      <c r="G1581" s="70" t="s">
        <v>2121</v>
      </c>
      <c r="H1581" s="117">
        <v>465000</v>
      </c>
      <c r="I1581" s="96" t="s">
        <v>1934</v>
      </c>
      <c r="J1581" s="44">
        <v>330</v>
      </c>
    </row>
    <row r="1582" spans="2:10" ht="34.5">
      <c r="B1582" s="69">
        <v>45425</v>
      </c>
      <c r="C1582" s="70" t="s">
        <v>2120</v>
      </c>
      <c r="D1582" s="70" t="s">
        <v>650</v>
      </c>
      <c r="E1582" s="70" t="s">
        <v>495</v>
      </c>
      <c r="F1582" s="70" t="s">
        <v>908</v>
      </c>
      <c r="G1582" s="70" t="s">
        <v>2122</v>
      </c>
      <c r="H1582" s="71">
        <v>606000</v>
      </c>
      <c r="I1582" s="96" t="s">
        <v>1934</v>
      </c>
      <c r="J1582" s="30">
        <v>326</v>
      </c>
    </row>
    <row r="1583" spans="2:10" ht="57.5">
      <c r="B1583" s="69">
        <v>45440</v>
      </c>
      <c r="C1583" s="70" t="s">
        <v>2123</v>
      </c>
      <c r="D1583" s="70" t="s">
        <v>663</v>
      </c>
      <c r="E1583" s="70" t="s">
        <v>514</v>
      </c>
      <c r="F1583" s="70" t="s">
        <v>908</v>
      </c>
      <c r="G1583" s="70" t="s">
        <v>2124</v>
      </c>
      <c r="H1583" s="71">
        <v>320000</v>
      </c>
      <c r="I1583" s="96" t="s">
        <v>1934</v>
      </c>
      <c r="J1583" s="30">
        <v>24</v>
      </c>
    </row>
    <row r="1584" spans="2:10">
      <c r="B1584" s="69">
        <v>45443</v>
      </c>
      <c r="C1584" s="70" t="s">
        <v>2125</v>
      </c>
      <c r="D1584" s="70" t="s">
        <v>929</v>
      </c>
      <c r="E1584" s="70" t="s">
        <v>495</v>
      </c>
      <c r="F1584" s="70" t="s">
        <v>2126</v>
      </c>
      <c r="G1584" s="70" t="s">
        <v>2127</v>
      </c>
      <c r="H1584" s="71">
        <v>2224500</v>
      </c>
      <c r="I1584" s="96" t="s">
        <v>1934</v>
      </c>
      <c r="J1584" s="30">
        <v>326</v>
      </c>
    </row>
    <row r="1585" spans="2:10">
      <c r="B1585" s="69">
        <v>45443</v>
      </c>
      <c r="C1585" s="70" t="s">
        <v>2125</v>
      </c>
      <c r="D1585" s="70" t="s">
        <v>929</v>
      </c>
      <c r="E1585" s="70" t="s">
        <v>622</v>
      </c>
      <c r="F1585" s="70" t="s">
        <v>2128</v>
      </c>
      <c r="G1585" s="70" t="s">
        <v>2129</v>
      </c>
      <c r="H1585" s="71">
        <v>8000000</v>
      </c>
      <c r="I1585" s="96" t="s">
        <v>1934</v>
      </c>
      <c r="J1585" s="30">
        <v>327</v>
      </c>
    </row>
    <row r="1586" spans="2:10">
      <c r="B1586" s="69">
        <v>45443</v>
      </c>
      <c r="C1586" s="70" t="s">
        <v>2125</v>
      </c>
      <c r="D1586" s="70" t="s">
        <v>929</v>
      </c>
      <c r="E1586" s="70" t="s">
        <v>622</v>
      </c>
      <c r="F1586" s="70" t="s">
        <v>2130</v>
      </c>
      <c r="G1586" s="70" t="s">
        <v>2131</v>
      </c>
      <c r="H1586" s="71">
        <v>33800000</v>
      </c>
      <c r="I1586" s="96" t="s">
        <v>1934</v>
      </c>
      <c r="J1586" s="30">
        <v>327</v>
      </c>
    </row>
    <row r="1587" spans="2:10">
      <c r="B1587" s="69">
        <v>45443</v>
      </c>
      <c r="C1587" s="70" t="s">
        <v>2125</v>
      </c>
      <c r="D1587" s="70" t="s">
        <v>929</v>
      </c>
      <c r="E1587" s="70" t="s">
        <v>271</v>
      </c>
      <c r="F1587" s="70" t="s">
        <v>2132</v>
      </c>
      <c r="G1587" s="70" t="s">
        <v>2133</v>
      </c>
      <c r="H1587" s="71">
        <v>500000</v>
      </c>
      <c r="I1587" s="96" t="s">
        <v>1934</v>
      </c>
      <c r="J1587" s="30">
        <v>326</v>
      </c>
    </row>
    <row r="1588" spans="2:10">
      <c r="B1588" s="69">
        <v>45443</v>
      </c>
      <c r="C1588" s="70" t="s">
        <v>2125</v>
      </c>
      <c r="D1588" s="70" t="s">
        <v>929</v>
      </c>
      <c r="E1588" s="70" t="s">
        <v>271</v>
      </c>
      <c r="F1588" s="70" t="s">
        <v>2134</v>
      </c>
      <c r="G1588" s="70" t="s">
        <v>2135</v>
      </c>
      <c r="H1588" s="71">
        <v>500000</v>
      </c>
      <c r="I1588" s="96" t="s">
        <v>1934</v>
      </c>
      <c r="J1588" s="30">
        <v>326</v>
      </c>
    </row>
    <row r="1589" spans="2:10">
      <c r="B1589" s="69">
        <v>45443</v>
      </c>
      <c r="C1589" s="70" t="s">
        <v>2125</v>
      </c>
      <c r="D1589" s="70" t="s">
        <v>815</v>
      </c>
      <c r="E1589" s="70" t="s">
        <v>495</v>
      </c>
      <c r="F1589" s="70" t="s">
        <v>2136</v>
      </c>
      <c r="G1589" s="70" t="s">
        <v>2137</v>
      </c>
      <c r="H1589" s="71">
        <v>200000</v>
      </c>
      <c r="I1589" s="96" t="s">
        <v>1934</v>
      </c>
      <c r="J1589" s="30">
        <v>330</v>
      </c>
    </row>
    <row r="1590" spans="2:10" ht="23">
      <c r="B1590" s="69">
        <v>45443</v>
      </c>
      <c r="C1590" s="70" t="s">
        <v>2125</v>
      </c>
      <c r="D1590" s="70" t="s">
        <v>929</v>
      </c>
      <c r="E1590" s="70" t="s">
        <v>622</v>
      </c>
      <c r="F1590" s="70" t="s">
        <v>2138</v>
      </c>
      <c r="G1590" s="70" t="s">
        <v>2139</v>
      </c>
      <c r="H1590" s="71">
        <v>33800000</v>
      </c>
      <c r="I1590" s="96" t="s">
        <v>1934</v>
      </c>
      <c r="J1590" s="30">
        <v>327</v>
      </c>
    </row>
    <row r="1591" spans="2:10" ht="23">
      <c r="B1591" s="69">
        <v>45443</v>
      </c>
      <c r="C1591" s="70" t="s">
        <v>2125</v>
      </c>
      <c r="D1591" s="70" t="s">
        <v>929</v>
      </c>
      <c r="E1591" s="70" t="s">
        <v>622</v>
      </c>
      <c r="F1591" s="70" t="s">
        <v>2140</v>
      </c>
      <c r="G1591" s="70" t="s">
        <v>2141</v>
      </c>
      <c r="H1591" s="71">
        <v>8000000</v>
      </c>
      <c r="I1591" s="96" t="s">
        <v>1934</v>
      </c>
      <c r="J1591" s="30">
        <v>327</v>
      </c>
    </row>
    <row r="1592" spans="2:10">
      <c r="B1592" s="69">
        <v>45443</v>
      </c>
      <c r="C1592" s="70" t="s">
        <v>2125</v>
      </c>
      <c r="D1592" s="70" t="s">
        <v>663</v>
      </c>
      <c r="E1592" s="70" t="s">
        <v>514</v>
      </c>
      <c r="F1592" s="70" t="s">
        <v>2142</v>
      </c>
      <c r="G1592" s="70" t="s">
        <v>2143</v>
      </c>
      <c r="H1592" s="71">
        <v>250000</v>
      </c>
      <c r="I1592" s="96" t="s">
        <v>1934</v>
      </c>
      <c r="J1592" s="30">
        <v>24</v>
      </c>
    </row>
    <row r="1593" spans="2:10">
      <c r="B1593" s="69">
        <v>45443</v>
      </c>
      <c r="C1593" s="70" t="s">
        <v>2125</v>
      </c>
      <c r="D1593" s="70" t="s">
        <v>929</v>
      </c>
      <c r="E1593" s="70" t="s">
        <v>271</v>
      </c>
      <c r="F1593" s="70" t="s">
        <v>2144</v>
      </c>
      <c r="G1593" s="70" t="s">
        <v>2145</v>
      </c>
      <c r="H1593" s="71">
        <v>500000</v>
      </c>
      <c r="I1593" s="96" t="s">
        <v>1934</v>
      </c>
      <c r="J1593" s="30">
        <v>326</v>
      </c>
    </row>
    <row r="1594" spans="2:10">
      <c r="B1594" s="69">
        <v>45443</v>
      </c>
      <c r="C1594" s="70" t="s">
        <v>2125</v>
      </c>
      <c r="D1594" s="70" t="s">
        <v>929</v>
      </c>
      <c r="E1594" s="70" t="s">
        <v>622</v>
      </c>
      <c r="F1594" s="70" t="s">
        <v>2146</v>
      </c>
      <c r="G1594" s="70" t="s">
        <v>2147</v>
      </c>
      <c r="H1594" s="71">
        <v>8000000</v>
      </c>
      <c r="I1594" s="96" t="s">
        <v>1934</v>
      </c>
      <c r="J1594" s="30">
        <v>327</v>
      </c>
    </row>
    <row r="1595" spans="2:10">
      <c r="B1595" s="69">
        <v>45443</v>
      </c>
      <c r="C1595" s="70" t="s">
        <v>2125</v>
      </c>
      <c r="D1595" s="70" t="s">
        <v>2148</v>
      </c>
      <c r="E1595" s="70" t="s">
        <v>514</v>
      </c>
      <c r="F1595" s="70" t="s">
        <v>2149</v>
      </c>
      <c r="G1595" s="70" t="s">
        <v>2150</v>
      </c>
      <c r="H1595" s="71">
        <v>6120000</v>
      </c>
      <c r="I1595" s="96" t="s">
        <v>1934</v>
      </c>
      <c r="J1595" s="30">
        <v>326</v>
      </c>
    </row>
    <row r="1596" spans="2:10">
      <c r="B1596" s="69">
        <v>45443</v>
      </c>
      <c r="C1596" s="70" t="s">
        <v>2125</v>
      </c>
      <c r="D1596" s="70" t="s">
        <v>2148</v>
      </c>
      <c r="E1596" s="70" t="s">
        <v>514</v>
      </c>
      <c r="F1596" s="70" t="s">
        <v>2151</v>
      </c>
      <c r="G1596" s="70" t="s">
        <v>2152</v>
      </c>
      <c r="H1596" s="71">
        <v>3600000</v>
      </c>
      <c r="I1596" s="96" t="s">
        <v>1934</v>
      </c>
      <c r="J1596" s="30">
        <v>326</v>
      </c>
    </row>
    <row r="1597" spans="2:10">
      <c r="B1597" s="69">
        <v>45443</v>
      </c>
      <c r="C1597" s="70" t="s">
        <v>2125</v>
      </c>
      <c r="D1597" s="70" t="s">
        <v>2148</v>
      </c>
      <c r="E1597" s="70" t="s">
        <v>514</v>
      </c>
      <c r="F1597" s="70" t="s">
        <v>2153</v>
      </c>
      <c r="G1597" s="70" t="s">
        <v>2154</v>
      </c>
      <c r="H1597" s="71">
        <v>6120000</v>
      </c>
      <c r="I1597" s="96" t="s">
        <v>1934</v>
      </c>
      <c r="J1597" s="30">
        <v>326</v>
      </c>
    </row>
    <row r="1598" spans="2:10" ht="34.5">
      <c r="B1598" s="69">
        <v>45443</v>
      </c>
      <c r="C1598" s="70" t="s">
        <v>2155</v>
      </c>
      <c r="D1598" s="70" t="s">
        <v>650</v>
      </c>
      <c r="E1598" s="70" t="s">
        <v>308</v>
      </c>
      <c r="F1598" s="70" t="s">
        <v>977</v>
      </c>
      <c r="G1598" s="70" t="s">
        <v>2156</v>
      </c>
      <c r="H1598" s="137">
        <v>34716888</v>
      </c>
      <c r="I1598" s="96" t="s">
        <v>1934</v>
      </c>
      <c r="J1598" s="30">
        <v>21</v>
      </c>
    </row>
    <row r="1599" spans="2:10" ht="34.5">
      <c r="B1599" s="69">
        <v>45443</v>
      </c>
      <c r="C1599" s="70" t="s">
        <v>2155</v>
      </c>
      <c r="D1599" s="70" t="s">
        <v>653</v>
      </c>
      <c r="E1599" s="70" t="s">
        <v>308</v>
      </c>
      <c r="F1599" s="70" t="s">
        <v>977</v>
      </c>
      <c r="G1599" s="70" t="s">
        <v>2156</v>
      </c>
      <c r="H1599" s="137">
        <v>17848704.34</v>
      </c>
      <c r="I1599" s="96" t="s">
        <v>1934</v>
      </c>
      <c r="J1599" s="30">
        <v>21</v>
      </c>
    </row>
    <row r="1600" spans="2:10" ht="23">
      <c r="B1600" s="69">
        <v>45443</v>
      </c>
      <c r="C1600" s="70" t="s">
        <v>2157</v>
      </c>
      <c r="D1600" s="70" t="s">
        <v>2148</v>
      </c>
      <c r="E1600" s="70" t="s">
        <v>514</v>
      </c>
      <c r="F1600" s="70" t="s">
        <v>2158</v>
      </c>
      <c r="G1600" s="70" t="s">
        <v>2159</v>
      </c>
      <c r="H1600" s="71">
        <v>130148368</v>
      </c>
      <c r="I1600" s="96" t="s">
        <v>1934</v>
      </c>
      <c r="J1600" s="30">
        <v>329</v>
      </c>
    </row>
    <row r="1601" spans="2:10" ht="34.5">
      <c r="B1601" s="69">
        <v>45443</v>
      </c>
      <c r="C1601" s="70" t="s">
        <v>2155</v>
      </c>
      <c r="D1601" s="70" t="s">
        <v>655</v>
      </c>
      <c r="E1601" s="70" t="s">
        <v>308</v>
      </c>
      <c r="F1601" s="70" t="s">
        <v>977</v>
      </c>
      <c r="G1601" s="70" t="s">
        <v>2156</v>
      </c>
      <c r="H1601" s="137">
        <v>22235289.050000001</v>
      </c>
      <c r="I1601" s="96" t="s">
        <v>1934</v>
      </c>
      <c r="J1601" s="30">
        <v>21</v>
      </c>
    </row>
    <row r="1602" spans="2:10" ht="34.5">
      <c r="B1602" s="69">
        <v>45443</v>
      </c>
      <c r="C1602" s="70" t="s">
        <v>2155</v>
      </c>
      <c r="D1602" s="70" t="s">
        <v>657</v>
      </c>
      <c r="E1602" s="70" t="s">
        <v>308</v>
      </c>
      <c r="F1602" s="70" t="s">
        <v>977</v>
      </c>
      <c r="G1602" s="70" t="s">
        <v>2156</v>
      </c>
      <c r="H1602" s="137">
        <v>13831204.869999999</v>
      </c>
      <c r="I1602" s="96" t="s">
        <v>1934</v>
      </c>
      <c r="J1602" s="30">
        <v>21</v>
      </c>
    </row>
    <row r="1603" spans="2:10" ht="34.5">
      <c r="B1603" s="69">
        <v>45443</v>
      </c>
      <c r="C1603" s="70" t="s">
        <v>2155</v>
      </c>
      <c r="D1603" s="70" t="s">
        <v>659</v>
      </c>
      <c r="E1603" s="70" t="s">
        <v>308</v>
      </c>
      <c r="F1603" s="70" t="s">
        <v>977</v>
      </c>
      <c r="G1603" s="70" t="s">
        <v>2156</v>
      </c>
      <c r="H1603" s="137">
        <v>2390399.48</v>
      </c>
      <c r="I1603" s="96" t="s">
        <v>1934</v>
      </c>
      <c r="J1603" s="30">
        <v>21</v>
      </c>
    </row>
    <row r="1604" spans="2:10" ht="34.5">
      <c r="B1604" s="69">
        <v>45443</v>
      </c>
      <c r="C1604" s="70" t="s">
        <v>2155</v>
      </c>
      <c r="D1604" s="70" t="s">
        <v>663</v>
      </c>
      <c r="E1604" s="70" t="s">
        <v>308</v>
      </c>
      <c r="F1604" s="70" t="s">
        <v>977</v>
      </c>
      <c r="G1604" s="70" t="s">
        <v>2156</v>
      </c>
      <c r="H1604" s="137">
        <v>195405542.11000001</v>
      </c>
      <c r="I1604" s="96" t="s">
        <v>1934</v>
      </c>
      <c r="J1604" s="30">
        <v>21</v>
      </c>
    </row>
    <row r="1605" spans="2:10" ht="34.5">
      <c r="B1605" s="69">
        <v>45443</v>
      </c>
      <c r="C1605" s="70" t="s">
        <v>2155</v>
      </c>
      <c r="D1605" s="70" t="s">
        <v>665</v>
      </c>
      <c r="E1605" s="70" t="s">
        <v>308</v>
      </c>
      <c r="F1605" s="70" t="s">
        <v>977</v>
      </c>
      <c r="G1605" s="70" t="s">
        <v>2156</v>
      </c>
      <c r="H1605" s="137">
        <v>21590253.460000001</v>
      </c>
      <c r="I1605" s="96" t="s">
        <v>1934</v>
      </c>
      <c r="J1605" s="30">
        <v>21</v>
      </c>
    </row>
    <row r="1606" spans="2:10" ht="34.5">
      <c r="B1606" s="69">
        <v>45443</v>
      </c>
      <c r="C1606" s="70" t="s">
        <v>2155</v>
      </c>
      <c r="D1606" s="70" t="s">
        <v>665</v>
      </c>
      <c r="E1606" s="70" t="s">
        <v>308</v>
      </c>
      <c r="F1606" s="70" t="s">
        <v>977</v>
      </c>
      <c r="G1606" s="70" t="s">
        <v>2156</v>
      </c>
      <c r="H1606" s="137">
        <v>17241346.84</v>
      </c>
      <c r="I1606" s="96" t="s">
        <v>1934</v>
      </c>
      <c r="J1606" s="30">
        <v>21</v>
      </c>
    </row>
    <row r="1607" spans="2:10" ht="34.5">
      <c r="B1607" s="69">
        <v>45443</v>
      </c>
      <c r="C1607" s="70" t="s">
        <v>2155</v>
      </c>
      <c r="D1607" s="70" t="s">
        <v>929</v>
      </c>
      <c r="E1607" s="70" t="s">
        <v>308</v>
      </c>
      <c r="F1607" s="70" t="s">
        <v>977</v>
      </c>
      <c r="G1607" s="70" t="s">
        <v>2156</v>
      </c>
      <c r="H1607" s="137">
        <v>33707703.100000001</v>
      </c>
      <c r="I1607" s="96" t="s">
        <v>1934</v>
      </c>
      <c r="J1607" s="30">
        <v>21</v>
      </c>
    </row>
    <row r="1608" spans="2:10" ht="34.5">
      <c r="B1608" s="69">
        <v>45443</v>
      </c>
      <c r="C1608" s="70" t="s">
        <v>2155</v>
      </c>
      <c r="D1608" s="70" t="s">
        <v>931</v>
      </c>
      <c r="E1608" s="70" t="s">
        <v>308</v>
      </c>
      <c r="F1608" s="70" t="s">
        <v>977</v>
      </c>
      <c r="G1608" s="70" t="s">
        <v>2156</v>
      </c>
      <c r="H1608" s="137">
        <v>12143888.960000001</v>
      </c>
      <c r="I1608" s="96" t="s">
        <v>1934</v>
      </c>
      <c r="J1608" s="30">
        <v>21</v>
      </c>
    </row>
    <row r="1609" spans="2:10" ht="34.5">
      <c r="B1609" s="69">
        <v>45443</v>
      </c>
      <c r="C1609" s="70" t="s">
        <v>2155</v>
      </c>
      <c r="D1609" s="70" t="s">
        <v>815</v>
      </c>
      <c r="E1609" s="70" t="s">
        <v>308</v>
      </c>
      <c r="F1609" s="70" t="s">
        <v>977</v>
      </c>
      <c r="G1609" s="70" t="s">
        <v>2156</v>
      </c>
      <c r="H1609" s="137">
        <v>8041204.79</v>
      </c>
      <c r="I1609" s="96" t="s">
        <v>1934</v>
      </c>
      <c r="J1609" s="30">
        <v>21</v>
      </c>
    </row>
    <row r="1610" spans="2:10" ht="34.5">
      <c r="B1610" s="69">
        <v>45443</v>
      </c>
      <c r="C1610" s="70" t="s">
        <v>2155</v>
      </c>
      <c r="D1610" s="70" t="s">
        <v>668</v>
      </c>
      <c r="E1610" s="70" t="s">
        <v>308</v>
      </c>
      <c r="F1610" s="70" t="s">
        <v>977</v>
      </c>
      <c r="G1610" s="70" t="s">
        <v>2156</v>
      </c>
      <c r="H1610" s="137">
        <v>1160881.6100000001</v>
      </c>
      <c r="I1610" s="96" t="s">
        <v>1934</v>
      </c>
      <c r="J1610" s="30">
        <v>21</v>
      </c>
    </row>
    <row r="1611" spans="2:10" ht="34.5">
      <c r="B1611" s="69">
        <v>45443</v>
      </c>
      <c r="C1611" s="70" t="s">
        <v>2155</v>
      </c>
      <c r="D1611" s="70" t="s">
        <v>711</v>
      </c>
      <c r="E1611" s="70" t="s">
        <v>308</v>
      </c>
      <c r="F1611" s="70" t="s">
        <v>977</v>
      </c>
      <c r="G1611" s="70" t="s">
        <v>2156</v>
      </c>
      <c r="H1611" s="137">
        <v>422646.36</v>
      </c>
      <c r="I1611" s="96" t="s">
        <v>1934</v>
      </c>
      <c r="J1611" s="30">
        <v>21</v>
      </c>
    </row>
    <row r="1612" spans="2:10" ht="34.5">
      <c r="B1612" s="69">
        <v>45443</v>
      </c>
      <c r="C1612" s="70" t="s">
        <v>2155</v>
      </c>
      <c r="D1612" s="70" t="s">
        <v>650</v>
      </c>
      <c r="E1612" s="70" t="s">
        <v>308</v>
      </c>
      <c r="F1612" s="70" t="s">
        <v>977</v>
      </c>
      <c r="G1612" s="70" t="s">
        <v>2156</v>
      </c>
      <c r="H1612" s="137">
        <v>22211205.5</v>
      </c>
      <c r="I1612" s="96" t="s">
        <v>1934</v>
      </c>
      <c r="J1612" s="30">
        <v>21</v>
      </c>
    </row>
    <row r="1613" spans="2:10" ht="34.5">
      <c r="B1613" s="69">
        <v>45443</v>
      </c>
      <c r="C1613" s="70" t="s">
        <v>2155</v>
      </c>
      <c r="D1613" s="70" t="s">
        <v>650</v>
      </c>
      <c r="E1613" s="70" t="s">
        <v>308</v>
      </c>
      <c r="F1613" s="70" t="s">
        <v>977</v>
      </c>
      <c r="G1613" s="70" t="s">
        <v>2156</v>
      </c>
      <c r="H1613" s="137">
        <v>9398821.5299999993</v>
      </c>
      <c r="I1613" s="96" t="s">
        <v>1934</v>
      </c>
      <c r="J1613" s="30">
        <v>21</v>
      </c>
    </row>
    <row r="1614" spans="2:10" ht="34.5">
      <c r="B1614" s="69">
        <v>45443</v>
      </c>
      <c r="C1614" s="70" t="s">
        <v>2155</v>
      </c>
      <c r="D1614" s="70" t="s">
        <v>650</v>
      </c>
      <c r="E1614" s="70" t="s">
        <v>308</v>
      </c>
      <c r="F1614" s="70" t="s">
        <v>977</v>
      </c>
      <c r="G1614" s="70" t="s">
        <v>2156</v>
      </c>
      <c r="H1614" s="137">
        <v>27010860</v>
      </c>
      <c r="I1614" s="96" t="s">
        <v>1934</v>
      </c>
      <c r="J1614" s="30">
        <v>21</v>
      </c>
    </row>
    <row r="1615" spans="2:10" ht="23">
      <c r="B1615" s="69">
        <v>45443</v>
      </c>
      <c r="C1615" s="70" t="s">
        <v>2160</v>
      </c>
      <c r="D1615" s="70" t="s">
        <v>2148</v>
      </c>
      <c r="E1615" s="70" t="s">
        <v>514</v>
      </c>
      <c r="F1615" s="70" t="s">
        <v>2161</v>
      </c>
      <c r="G1615" s="70" t="s">
        <v>2162</v>
      </c>
      <c r="H1615" s="71">
        <v>2015904</v>
      </c>
      <c r="I1615" s="96" t="s">
        <v>1934</v>
      </c>
      <c r="J1615" s="30">
        <v>329</v>
      </c>
    </row>
    <row r="1616" spans="2:10">
      <c r="B1616" s="69">
        <v>45443</v>
      </c>
      <c r="C1616" s="70" t="s">
        <v>2125</v>
      </c>
      <c r="D1616" s="70" t="s">
        <v>929</v>
      </c>
      <c r="E1616" s="70" t="s">
        <v>622</v>
      </c>
      <c r="F1616" s="70" t="s">
        <v>2163</v>
      </c>
      <c r="G1616" s="70" t="s">
        <v>2164</v>
      </c>
      <c r="H1616" s="71">
        <v>5000000</v>
      </c>
      <c r="I1616" s="96" t="s">
        <v>1934</v>
      </c>
      <c r="J1616" s="30">
        <v>327</v>
      </c>
    </row>
    <row r="1617" spans="2:10" ht="34.5">
      <c r="B1617" s="69">
        <v>45443</v>
      </c>
      <c r="C1617" s="70" t="s">
        <v>2125</v>
      </c>
      <c r="D1617" s="70" t="s">
        <v>929</v>
      </c>
      <c r="E1617" s="70" t="s">
        <v>271</v>
      </c>
      <c r="F1617" s="70" t="s">
        <v>2165</v>
      </c>
      <c r="G1617" s="70" t="s">
        <v>2166</v>
      </c>
      <c r="H1617" s="71">
        <v>11016000</v>
      </c>
      <c r="I1617" s="96" t="s">
        <v>1934</v>
      </c>
      <c r="J1617" s="30">
        <v>327</v>
      </c>
    </row>
    <row r="1618" spans="2:10">
      <c r="B1618" s="69">
        <v>45443</v>
      </c>
      <c r="C1618" s="70" t="s">
        <v>2125</v>
      </c>
      <c r="D1618" s="70" t="s">
        <v>929</v>
      </c>
      <c r="E1618" s="70" t="s">
        <v>495</v>
      </c>
      <c r="F1618" s="70" t="s">
        <v>2167</v>
      </c>
      <c r="G1618" s="70" t="s">
        <v>2168</v>
      </c>
      <c r="H1618" s="71">
        <v>2250000</v>
      </c>
      <c r="I1618" s="96" t="s">
        <v>1934</v>
      </c>
      <c r="J1618" s="30">
        <v>326</v>
      </c>
    </row>
    <row r="1619" spans="2:10">
      <c r="B1619" s="69">
        <v>45443</v>
      </c>
      <c r="C1619" s="70" t="s">
        <v>2125</v>
      </c>
      <c r="D1619" s="70" t="s">
        <v>663</v>
      </c>
      <c r="E1619" s="70" t="s">
        <v>495</v>
      </c>
      <c r="F1619" s="70" t="s">
        <v>2169</v>
      </c>
      <c r="G1619" s="70" t="s">
        <v>2170</v>
      </c>
      <c r="H1619" s="117">
        <v>1600000</v>
      </c>
      <c r="I1619" s="96" t="s">
        <v>1934</v>
      </c>
      <c r="J1619" s="30">
        <v>330</v>
      </c>
    </row>
    <row r="1620" spans="2:10">
      <c r="B1620" s="69">
        <v>45443</v>
      </c>
      <c r="C1620" s="70" t="s">
        <v>2125</v>
      </c>
      <c r="D1620" s="70" t="s">
        <v>929</v>
      </c>
      <c r="E1620" s="70" t="s">
        <v>495</v>
      </c>
      <c r="F1620" s="70" t="s">
        <v>2169</v>
      </c>
      <c r="G1620" s="70" t="s">
        <v>2171</v>
      </c>
      <c r="H1620" s="117">
        <v>350000</v>
      </c>
      <c r="I1620" s="96" t="s">
        <v>1934</v>
      </c>
      <c r="J1620" s="30">
        <v>330</v>
      </c>
    </row>
    <row r="1621" spans="2:10">
      <c r="B1621" s="69">
        <v>45443</v>
      </c>
      <c r="C1621" s="70" t="s">
        <v>2125</v>
      </c>
      <c r="D1621" s="70" t="s">
        <v>711</v>
      </c>
      <c r="E1621" s="70" t="s">
        <v>495</v>
      </c>
      <c r="F1621" s="70" t="s">
        <v>2169</v>
      </c>
      <c r="G1621" s="70" t="s">
        <v>2172</v>
      </c>
      <c r="H1621" s="117">
        <v>30000</v>
      </c>
      <c r="I1621" s="96" t="s">
        <v>1934</v>
      </c>
      <c r="J1621" s="30">
        <v>330</v>
      </c>
    </row>
    <row r="1622" spans="2:10">
      <c r="B1622" s="69">
        <v>45443</v>
      </c>
      <c r="C1622" s="70" t="s">
        <v>2125</v>
      </c>
      <c r="D1622" s="70" t="s">
        <v>929</v>
      </c>
      <c r="E1622" s="70" t="s">
        <v>514</v>
      </c>
      <c r="F1622" s="70" t="s">
        <v>2173</v>
      </c>
      <c r="G1622" s="70" t="s">
        <v>2174</v>
      </c>
      <c r="H1622" s="117">
        <v>7100000</v>
      </c>
      <c r="I1622" s="96" t="s">
        <v>1934</v>
      </c>
      <c r="J1622" s="30">
        <v>330</v>
      </c>
    </row>
    <row r="1623" spans="2:10">
      <c r="B1623" s="69">
        <v>45443</v>
      </c>
      <c r="C1623" s="70" t="s">
        <v>2175</v>
      </c>
      <c r="D1623" s="104" t="s">
        <v>270</v>
      </c>
      <c r="E1623" s="70" t="s">
        <v>514</v>
      </c>
      <c r="F1623" s="70" t="s">
        <v>2176</v>
      </c>
      <c r="G1623" s="70" t="s">
        <v>2386</v>
      </c>
      <c r="H1623" s="117">
        <v>17864982.640000001</v>
      </c>
      <c r="I1623" s="96" t="s">
        <v>1934</v>
      </c>
      <c r="J1623" s="30">
        <v>339</v>
      </c>
    </row>
    <row r="1624" spans="2:10">
      <c r="B1624" s="69">
        <v>45443</v>
      </c>
      <c r="C1624" s="70" t="s">
        <v>2175</v>
      </c>
      <c r="D1624" s="70" t="s">
        <v>270</v>
      </c>
      <c r="E1624" s="70" t="s">
        <v>495</v>
      </c>
      <c r="F1624" s="70" t="s">
        <v>2176</v>
      </c>
      <c r="G1624" s="70" t="s">
        <v>2385</v>
      </c>
      <c r="H1624" s="117">
        <v>3369797.9</v>
      </c>
      <c r="I1624" s="96" t="s">
        <v>1934</v>
      </c>
      <c r="J1624" s="30">
        <v>339</v>
      </c>
    </row>
    <row r="1625" spans="2:10">
      <c r="B1625" s="69">
        <v>45443</v>
      </c>
      <c r="C1625" s="70" t="s">
        <v>2175</v>
      </c>
      <c r="D1625" s="104" t="s">
        <v>640</v>
      </c>
      <c r="E1625" s="70" t="s">
        <v>495</v>
      </c>
      <c r="F1625" s="70" t="s">
        <v>2176</v>
      </c>
      <c r="G1625" s="70" t="s">
        <v>2387</v>
      </c>
      <c r="H1625" s="117">
        <v>17304345</v>
      </c>
      <c r="I1625" s="96" t="s">
        <v>1934</v>
      </c>
      <c r="J1625" s="30">
        <v>24</v>
      </c>
    </row>
    <row r="1626" spans="2:10">
      <c r="B1626" s="69">
        <v>45443</v>
      </c>
      <c r="C1626" s="70" t="s">
        <v>2175</v>
      </c>
      <c r="D1626" s="104" t="s">
        <v>1824</v>
      </c>
      <c r="E1626" s="70" t="s">
        <v>495</v>
      </c>
      <c r="F1626" s="70" t="s">
        <v>2176</v>
      </c>
      <c r="G1626" s="70" t="s">
        <v>2414</v>
      </c>
      <c r="H1626" s="71">
        <v>141374620.36000001</v>
      </c>
      <c r="I1626" s="96" t="s">
        <v>1934</v>
      </c>
      <c r="J1626" s="30">
        <v>319</v>
      </c>
    </row>
    <row r="1627" spans="2:10">
      <c r="B1627" s="69">
        <v>45443</v>
      </c>
      <c r="C1627" s="70" t="s">
        <v>2175</v>
      </c>
      <c r="D1627" s="104" t="s">
        <v>653</v>
      </c>
      <c r="E1627" s="70" t="s">
        <v>495</v>
      </c>
      <c r="F1627" s="70" t="s">
        <v>2176</v>
      </c>
      <c r="G1627" s="70"/>
      <c r="H1627" s="117">
        <v>1332000</v>
      </c>
      <c r="I1627" s="96" t="s">
        <v>1934</v>
      </c>
      <c r="J1627" s="30">
        <v>24</v>
      </c>
    </row>
    <row r="1628" spans="2:10">
      <c r="B1628" s="69">
        <v>45443</v>
      </c>
      <c r="C1628" s="70" t="s">
        <v>2175</v>
      </c>
      <c r="D1628" s="104" t="s">
        <v>659</v>
      </c>
      <c r="E1628" s="70" t="s">
        <v>495</v>
      </c>
      <c r="F1628" s="70" t="s">
        <v>2176</v>
      </c>
      <c r="G1628" s="70"/>
      <c r="H1628" s="71">
        <v>2154321855</v>
      </c>
      <c r="I1628" s="96" t="s">
        <v>1934</v>
      </c>
      <c r="J1628" s="30">
        <v>32</v>
      </c>
    </row>
    <row r="1629" spans="2:10">
      <c r="B1629" s="1794">
        <v>45443</v>
      </c>
      <c r="C1629" s="1776" t="s">
        <v>2175</v>
      </c>
      <c r="D1629" s="1776" t="s">
        <v>665</v>
      </c>
      <c r="E1629" s="1776" t="s">
        <v>495</v>
      </c>
      <c r="F1629" s="1776" t="s">
        <v>2176</v>
      </c>
      <c r="G1629" s="70"/>
      <c r="H1629" s="71">
        <v>52447500</v>
      </c>
      <c r="I1629" s="96" t="s">
        <v>1934</v>
      </c>
      <c r="J1629" s="30">
        <v>315</v>
      </c>
    </row>
    <row r="1630" spans="2:10">
      <c r="B1630" s="1795"/>
      <c r="C1630" s="1777"/>
      <c r="D1630" s="1777"/>
      <c r="E1630" s="1777"/>
      <c r="F1630" s="1777"/>
      <c r="G1630" s="70"/>
      <c r="H1630" s="71">
        <f>145410000+193140000+115440000</f>
        <v>453990000</v>
      </c>
      <c r="I1630" s="96" t="s">
        <v>1934</v>
      </c>
      <c r="J1630" s="30">
        <v>313</v>
      </c>
    </row>
    <row r="1631" spans="2:10">
      <c r="B1631" s="1796"/>
      <c r="C1631" s="1778"/>
      <c r="D1631" s="1778"/>
      <c r="E1631" s="1778"/>
      <c r="F1631" s="1778"/>
      <c r="G1631" s="70"/>
      <c r="H1631" s="117">
        <f>175410+188340</f>
        <v>363750</v>
      </c>
      <c r="I1631" s="96" t="s">
        <v>1934</v>
      </c>
      <c r="J1631" s="30">
        <v>24</v>
      </c>
    </row>
    <row r="1632" spans="2:10">
      <c r="B1632" s="69">
        <v>45443</v>
      </c>
      <c r="C1632" s="70" t="s">
        <v>2175</v>
      </c>
      <c r="D1632" s="101">
        <v>316204005007</v>
      </c>
      <c r="E1632" s="70" t="s">
        <v>495</v>
      </c>
      <c r="F1632" s="70" t="s">
        <v>2176</v>
      </c>
      <c r="G1632" s="70" t="s">
        <v>2388</v>
      </c>
      <c r="H1632" s="117">
        <v>16243212.5</v>
      </c>
      <c r="I1632" s="96" t="s">
        <v>1934</v>
      </c>
      <c r="J1632" s="72">
        <v>339</v>
      </c>
    </row>
    <row r="1633" spans="2:10" ht="14.5" customHeight="1">
      <c r="B1633" s="1790">
        <v>45443</v>
      </c>
      <c r="C1633" s="1776" t="s">
        <v>2175</v>
      </c>
      <c r="D1633" s="1787" t="s">
        <v>931</v>
      </c>
      <c r="E1633" s="1776" t="s">
        <v>495</v>
      </c>
      <c r="F1633" s="1776" t="s">
        <v>2176</v>
      </c>
      <c r="G1633" s="70" t="s">
        <v>2394</v>
      </c>
      <c r="H1633" s="71">
        <v>216383400</v>
      </c>
      <c r="I1633" s="96" t="s">
        <v>1934</v>
      </c>
      <c r="J1633" s="30">
        <v>35</v>
      </c>
    </row>
    <row r="1634" spans="2:10">
      <c r="B1634" s="1791"/>
      <c r="C1634" s="1777"/>
      <c r="D1634" s="1797"/>
      <c r="E1634" s="1777"/>
      <c r="F1634" s="1777"/>
      <c r="G1634" s="70" t="s">
        <v>2395</v>
      </c>
      <c r="H1634" s="117">
        <v>14644896</v>
      </c>
      <c r="I1634" s="96" t="s">
        <v>1934</v>
      </c>
      <c r="J1634" s="30">
        <v>24</v>
      </c>
    </row>
    <row r="1635" spans="2:10">
      <c r="B1635" s="1791"/>
      <c r="C1635" s="1777"/>
      <c r="D1635" s="1797"/>
      <c r="E1635" s="1777"/>
      <c r="F1635" s="1777"/>
      <c r="G1635" s="70" t="s">
        <v>2396</v>
      </c>
      <c r="H1635" s="117">
        <v>26368660.5</v>
      </c>
      <c r="I1635" s="96" t="s">
        <v>1934</v>
      </c>
      <c r="J1635" s="30">
        <v>339</v>
      </c>
    </row>
    <row r="1636" spans="2:10">
      <c r="B1636" s="1792"/>
      <c r="C1636" s="1778"/>
      <c r="D1636" s="1798"/>
      <c r="E1636" s="1778"/>
      <c r="F1636" s="1778"/>
      <c r="G1636" s="70" t="s">
        <v>2496</v>
      </c>
      <c r="H1636" s="117">
        <f>313249007.26-H1633-H1634-H1635</f>
        <v>55852050.75999999</v>
      </c>
      <c r="I1636" s="96" t="s">
        <v>1934</v>
      </c>
      <c r="J1636" s="30">
        <v>24</v>
      </c>
    </row>
    <row r="1637" spans="2:10" ht="22" customHeight="1">
      <c r="B1637" s="69">
        <v>45443</v>
      </c>
      <c r="C1637" s="70" t="s">
        <v>2175</v>
      </c>
      <c r="D1637" s="104" t="s">
        <v>929</v>
      </c>
      <c r="E1637" s="70" t="s">
        <v>495</v>
      </c>
      <c r="F1637" s="70" t="s">
        <v>2176</v>
      </c>
      <c r="G1637" s="70" t="s">
        <v>2400</v>
      </c>
      <c r="H1637" s="71">
        <v>216383400</v>
      </c>
      <c r="I1637" s="96" t="s">
        <v>1934</v>
      </c>
      <c r="J1637" s="30">
        <v>35</v>
      </c>
    </row>
    <row r="1638" spans="2:10" ht="22" customHeight="1">
      <c r="B1638" s="69">
        <v>45443</v>
      </c>
      <c r="C1638" s="70" t="s">
        <v>2175</v>
      </c>
      <c r="D1638" s="104" t="s">
        <v>929</v>
      </c>
      <c r="E1638" s="70" t="s">
        <v>495</v>
      </c>
      <c r="F1638" s="70" t="s">
        <v>2176</v>
      </c>
      <c r="G1638" s="70" t="s">
        <v>2399</v>
      </c>
      <c r="H1638" s="71">
        <f>591943060.93-H1637</f>
        <v>375559660.92999995</v>
      </c>
      <c r="I1638" s="96" t="s">
        <v>1934</v>
      </c>
      <c r="J1638" s="30">
        <v>326</v>
      </c>
    </row>
    <row r="1639" spans="2:10" ht="19.5" customHeight="1">
      <c r="B1639" s="69">
        <v>45443</v>
      </c>
      <c r="C1639" s="70" t="s">
        <v>2175</v>
      </c>
      <c r="D1639" s="70" t="s">
        <v>711</v>
      </c>
      <c r="E1639" s="70" t="s">
        <v>495</v>
      </c>
      <c r="F1639" s="70" t="s">
        <v>2176</v>
      </c>
      <c r="G1639" s="70"/>
      <c r="H1639" s="71">
        <v>110130628.31999999</v>
      </c>
      <c r="I1639" s="96" t="s">
        <v>1934</v>
      </c>
      <c r="J1639" s="30">
        <v>326</v>
      </c>
    </row>
    <row r="1640" spans="2:10" ht="16.5" customHeight="1">
      <c r="B1640" s="69">
        <v>45443</v>
      </c>
      <c r="C1640" s="70" t="s">
        <v>2175</v>
      </c>
      <c r="D1640" s="70" t="s">
        <v>815</v>
      </c>
      <c r="E1640" s="70" t="s">
        <v>495</v>
      </c>
      <c r="F1640" s="70" t="s">
        <v>2176</v>
      </c>
      <c r="G1640" s="70"/>
      <c r="H1640" s="71">
        <v>37381570</v>
      </c>
      <c r="I1640" s="96" t="s">
        <v>1934</v>
      </c>
      <c r="J1640" s="30">
        <v>326</v>
      </c>
    </row>
    <row r="1641" spans="2:10" ht="18.5" customHeight="1">
      <c r="B1641" s="1790">
        <v>45443</v>
      </c>
      <c r="C1641" s="1776" t="s">
        <v>2175</v>
      </c>
      <c r="D1641" s="1787" t="s">
        <v>661</v>
      </c>
      <c r="E1641" s="1776" t="s">
        <v>495</v>
      </c>
      <c r="F1641" s="1776" t="s">
        <v>2176</v>
      </c>
      <c r="G1641" s="70"/>
      <c r="H1641" s="71">
        <v>142080000</v>
      </c>
      <c r="I1641" s="96" t="s">
        <v>1934</v>
      </c>
      <c r="J1641" s="30">
        <v>313</v>
      </c>
    </row>
    <row r="1642" spans="2:10" ht="13.5" customHeight="1">
      <c r="B1642" s="1791"/>
      <c r="C1642" s="1777"/>
      <c r="D1642" s="1777"/>
      <c r="E1642" s="1777"/>
      <c r="F1642" s="1777"/>
      <c r="G1642" s="70" t="s">
        <v>2398</v>
      </c>
      <c r="H1642" s="71">
        <v>155433300</v>
      </c>
      <c r="I1642" s="96" t="s">
        <v>1934</v>
      </c>
      <c r="J1642" s="30">
        <v>35</v>
      </c>
    </row>
    <row r="1643" spans="2:10">
      <c r="B1643" s="1792"/>
      <c r="C1643" s="1778"/>
      <c r="D1643" s="1793"/>
      <c r="E1643" s="1778"/>
      <c r="F1643" s="1778"/>
      <c r="G1643" s="70"/>
      <c r="H1643" s="117">
        <f>300967620-H1641-H1642</f>
        <v>3454320</v>
      </c>
      <c r="I1643" s="96" t="s">
        <v>1934</v>
      </c>
      <c r="J1643" s="30">
        <v>24</v>
      </c>
    </row>
    <row r="1644" spans="2:10">
      <c r="B1644" s="69">
        <v>45443</v>
      </c>
      <c r="C1644" s="70" t="s">
        <v>2175</v>
      </c>
      <c r="D1644" s="104" t="s">
        <v>1994</v>
      </c>
      <c r="E1644" s="70" t="s">
        <v>495</v>
      </c>
      <c r="F1644" s="70" t="s">
        <v>2176</v>
      </c>
      <c r="G1644" s="70"/>
      <c r="H1644" s="71">
        <v>798027400</v>
      </c>
      <c r="I1644" s="96" t="s">
        <v>1934</v>
      </c>
      <c r="J1644" s="72" t="s">
        <v>2522</v>
      </c>
    </row>
    <row r="1645" spans="2:10">
      <c r="B1645" s="69">
        <v>45443</v>
      </c>
      <c r="C1645" s="70" t="s">
        <v>2125</v>
      </c>
      <c r="D1645" s="70" t="s">
        <v>2148</v>
      </c>
      <c r="E1645" s="70" t="s">
        <v>271</v>
      </c>
      <c r="F1645" s="70" t="s">
        <v>2177</v>
      </c>
      <c r="G1645" s="70" t="s">
        <v>2178</v>
      </c>
      <c r="H1645" s="71">
        <v>945148</v>
      </c>
      <c r="I1645" s="96" t="s">
        <v>1934</v>
      </c>
      <c r="J1645" s="30">
        <v>329</v>
      </c>
    </row>
    <row r="1646" spans="2:10">
      <c r="B1646" s="69">
        <v>45443</v>
      </c>
      <c r="C1646" s="70" t="s">
        <v>2125</v>
      </c>
      <c r="D1646" s="70" t="s">
        <v>2148</v>
      </c>
      <c r="E1646" s="70" t="s">
        <v>271</v>
      </c>
      <c r="F1646" s="70" t="s">
        <v>2179</v>
      </c>
      <c r="G1646" s="70" t="s">
        <v>2178</v>
      </c>
      <c r="H1646" s="71">
        <v>2084880</v>
      </c>
      <c r="I1646" s="96" t="s">
        <v>1934</v>
      </c>
      <c r="J1646" s="30">
        <v>329</v>
      </c>
    </row>
    <row r="1647" spans="2:10">
      <c r="B1647" s="69">
        <v>45443</v>
      </c>
      <c r="C1647" s="70" t="s">
        <v>2125</v>
      </c>
      <c r="D1647" s="70" t="s">
        <v>2148</v>
      </c>
      <c r="E1647" s="70" t="s">
        <v>271</v>
      </c>
      <c r="F1647" s="70" t="s">
        <v>2180</v>
      </c>
      <c r="G1647" s="70" t="s">
        <v>2181</v>
      </c>
      <c r="H1647" s="71">
        <v>62547</v>
      </c>
      <c r="I1647" s="96" t="s">
        <v>1934</v>
      </c>
      <c r="J1647" s="30">
        <v>329</v>
      </c>
    </row>
    <row r="1648" spans="2:10" ht="23">
      <c r="B1648" s="69">
        <v>45443</v>
      </c>
      <c r="C1648" s="70" t="s">
        <v>2182</v>
      </c>
      <c r="D1648" s="70" t="s">
        <v>2148</v>
      </c>
      <c r="E1648" s="70" t="s">
        <v>622</v>
      </c>
      <c r="F1648" s="70" t="s">
        <v>2183</v>
      </c>
      <c r="G1648" s="70"/>
      <c r="H1648" s="71">
        <v>25270525</v>
      </c>
      <c r="I1648" s="96" t="s">
        <v>1934</v>
      </c>
      <c r="J1648" s="30">
        <v>327</v>
      </c>
    </row>
    <row r="1649" spans="2:10" ht="23">
      <c r="B1649" s="69">
        <v>45443</v>
      </c>
      <c r="C1649" s="70" t="s">
        <v>2182</v>
      </c>
      <c r="D1649" s="70" t="s">
        <v>2148</v>
      </c>
      <c r="E1649" s="70" t="s">
        <v>622</v>
      </c>
      <c r="F1649" s="70" t="s">
        <v>2183</v>
      </c>
      <c r="G1649" s="70" t="s">
        <v>2184</v>
      </c>
      <c r="H1649" s="71">
        <v>2779757</v>
      </c>
      <c r="I1649" s="96" t="s">
        <v>1934</v>
      </c>
      <c r="J1649" s="30">
        <v>327</v>
      </c>
    </row>
    <row r="1650" spans="2:10">
      <c r="B1650" s="69">
        <v>45443</v>
      </c>
      <c r="C1650" s="70" t="s">
        <v>2125</v>
      </c>
      <c r="D1650" s="70" t="s">
        <v>929</v>
      </c>
      <c r="E1650" s="70" t="s">
        <v>271</v>
      </c>
      <c r="F1650" s="70" t="s">
        <v>2185</v>
      </c>
      <c r="G1650" s="70" t="s">
        <v>2186</v>
      </c>
      <c r="H1650" s="71">
        <v>555968</v>
      </c>
      <c r="I1650" s="96" t="s">
        <v>1934</v>
      </c>
      <c r="J1650" s="30">
        <v>329</v>
      </c>
    </row>
    <row r="1651" spans="2:10">
      <c r="B1651" s="69">
        <v>45443</v>
      </c>
      <c r="C1651" s="70" t="s">
        <v>2125</v>
      </c>
      <c r="D1651" s="70" t="s">
        <v>2148</v>
      </c>
      <c r="E1651" s="70" t="s">
        <v>271</v>
      </c>
      <c r="F1651" s="70" t="s">
        <v>2187</v>
      </c>
      <c r="G1651" s="70" t="s">
        <v>2186</v>
      </c>
      <c r="H1651" s="71">
        <v>291883</v>
      </c>
      <c r="I1651" s="96" t="s">
        <v>1934</v>
      </c>
      <c r="J1651" s="30">
        <v>329</v>
      </c>
    </row>
    <row r="1652" spans="2:10" ht="23">
      <c r="B1652" s="69">
        <v>45443</v>
      </c>
      <c r="C1652" s="70" t="s">
        <v>2188</v>
      </c>
      <c r="D1652" s="70" t="s">
        <v>929</v>
      </c>
      <c r="E1652" s="70" t="s">
        <v>495</v>
      </c>
      <c r="F1652" s="70" t="s">
        <v>2189</v>
      </c>
      <c r="G1652" s="70" t="s">
        <v>2190</v>
      </c>
      <c r="H1652" s="71">
        <v>16200000</v>
      </c>
      <c r="I1652" s="96" t="s">
        <v>1934</v>
      </c>
      <c r="J1652" s="30">
        <v>326</v>
      </c>
    </row>
    <row r="1653" spans="2:10" ht="23">
      <c r="B1653" s="69">
        <v>45443</v>
      </c>
      <c r="C1653" s="70" t="s">
        <v>2188</v>
      </c>
      <c r="D1653" s="70" t="s">
        <v>929</v>
      </c>
      <c r="E1653" s="70" t="s">
        <v>495</v>
      </c>
      <c r="F1653" s="70" t="s">
        <v>2191</v>
      </c>
      <c r="G1653" s="70" t="s">
        <v>2192</v>
      </c>
      <c r="H1653" s="71">
        <v>10500000</v>
      </c>
      <c r="I1653" s="96" t="s">
        <v>1934</v>
      </c>
      <c r="J1653" s="30">
        <v>326</v>
      </c>
    </row>
    <row r="1654" spans="2:10" ht="23">
      <c r="B1654" s="69">
        <v>45443</v>
      </c>
      <c r="C1654" s="70" t="s">
        <v>2193</v>
      </c>
      <c r="D1654" s="70" t="s">
        <v>650</v>
      </c>
      <c r="E1654" s="70" t="s">
        <v>514</v>
      </c>
      <c r="F1654" s="70" t="s">
        <v>1965</v>
      </c>
      <c r="G1654" s="70" t="s">
        <v>2082</v>
      </c>
      <c r="H1654" s="71">
        <v>0</v>
      </c>
      <c r="I1654" s="96" t="s">
        <v>1934</v>
      </c>
      <c r="J1654" s="30">
        <v>319</v>
      </c>
    </row>
    <row r="1655" spans="2:10" ht="23">
      <c r="B1655" s="69">
        <v>45443</v>
      </c>
      <c r="C1655" s="70" t="s">
        <v>2193</v>
      </c>
      <c r="D1655" s="70" t="s">
        <v>650</v>
      </c>
      <c r="E1655" s="70" t="s">
        <v>514</v>
      </c>
      <c r="F1655" s="70" t="s">
        <v>1965</v>
      </c>
      <c r="G1655" s="70" t="s">
        <v>2083</v>
      </c>
      <c r="H1655" s="71">
        <v>19513373.77</v>
      </c>
      <c r="I1655" s="96" t="s">
        <v>1934</v>
      </c>
      <c r="J1655" s="30">
        <v>319</v>
      </c>
    </row>
    <row r="1656" spans="2:10" ht="23">
      <c r="B1656" s="69">
        <v>45443</v>
      </c>
      <c r="C1656" s="70" t="s">
        <v>2188</v>
      </c>
      <c r="D1656" s="70" t="s">
        <v>270</v>
      </c>
      <c r="E1656" s="70" t="s">
        <v>622</v>
      </c>
      <c r="F1656" s="70" t="s">
        <v>2194</v>
      </c>
      <c r="G1656" s="70" t="s">
        <v>1079</v>
      </c>
      <c r="H1656" s="136">
        <v>7805917.7000000002</v>
      </c>
      <c r="I1656" s="96" t="s">
        <v>1934</v>
      </c>
      <c r="J1656" s="72" t="s">
        <v>2344</v>
      </c>
    </row>
    <row r="1657" spans="2:10" ht="23">
      <c r="B1657" s="69">
        <v>45443</v>
      </c>
      <c r="C1657" s="70" t="s">
        <v>2188</v>
      </c>
      <c r="D1657" s="70" t="s">
        <v>270</v>
      </c>
      <c r="E1657" s="70" t="s">
        <v>622</v>
      </c>
      <c r="F1657" s="70" t="s">
        <v>2195</v>
      </c>
      <c r="G1657" s="70" t="s">
        <v>1239</v>
      </c>
      <c r="H1657" s="71">
        <v>129439053.33</v>
      </c>
      <c r="I1657" s="96" t="s">
        <v>1934</v>
      </c>
      <c r="J1657" s="72">
        <v>327</v>
      </c>
    </row>
    <row r="1658" spans="2:10" ht="23">
      <c r="B1658" s="69">
        <v>45443</v>
      </c>
      <c r="C1658" s="70" t="s">
        <v>2188</v>
      </c>
      <c r="D1658" s="70" t="s">
        <v>270</v>
      </c>
      <c r="E1658" s="70" t="s">
        <v>622</v>
      </c>
      <c r="F1658" s="70" t="s">
        <v>2195</v>
      </c>
      <c r="G1658" s="70" t="s">
        <v>1389</v>
      </c>
      <c r="H1658" s="136">
        <v>106066432.3</v>
      </c>
      <c r="I1658" s="96" t="s">
        <v>1934</v>
      </c>
      <c r="J1658" s="72" t="s">
        <v>2344</v>
      </c>
    </row>
    <row r="1659" spans="2:10" ht="23">
      <c r="B1659" s="69">
        <v>45443</v>
      </c>
      <c r="C1659" s="70" t="s">
        <v>2188</v>
      </c>
      <c r="D1659" s="70" t="s">
        <v>270</v>
      </c>
      <c r="E1659" s="70" t="s">
        <v>622</v>
      </c>
      <c r="F1659" s="70" t="s">
        <v>2195</v>
      </c>
      <c r="G1659" s="70" t="s">
        <v>1393</v>
      </c>
      <c r="H1659" s="136">
        <v>77044861.340000004</v>
      </c>
      <c r="I1659" s="96" t="s">
        <v>1934</v>
      </c>
      <c r="J1659" s="72" t="s">
        <v>2344</v>
      </c>
    </row>
    <row r="1660" spans="2:10" ht="23">
      <c r="B1660" s="69">
        <v>45443</v>
      </c>
      <c r="C1660" s="70" t="s">
        <v>2188</v>
      </c>
      <c r="D1660" s="70" t="s">
        <v>270</v>
      </c>
      <c r="E1660" s="70" t="s">
        <v>622</v>
      </c>
      <c r="F1660" s="70" t="s">
        <v>2195</v>
      </c>
      <c r="G1660" s="70" t="s">
        <v>1387</v>
      </c>
      <c r="H1660" s="71">
        <v>65459586</v>
      </c>
      <c r="I1660" s="96" t="s">
        <v>1934</v>
      </c>
      <c r="J1660" s="72">
        <v>327</v>
      </c>
    </row>
    <row r="1661" spans="2:10" ht="23">
      <c r="B1661" s="69">
        <v>45443</v>
      </c>
      <c r="C1661" s="70" t="s">
        <v>2188</v>
      </c>
      <c r="D1661" s="70" t="s">
        <v>270</v>
      </c>
      <c r="E1661" s="70" t="s">
        <v>622</v>
      </c>
      <c r="F1661" s="70" t="s">
        <v>2195</v>
      </c>
      <c r="G1661" s="70" t="s">
        <v>2035</v>
      </c>
      <c r="H1661" s="71">
        <v>36495690</v>
      </c>
      <c r="I1661" s="96" t="s">
        <v>1934</v>
      </c>
      <c r="J1661" s="72">
        <v>327</v>
      </c>
    </row>
    <row r="1662" spans="2:10" ht="23">
      <c r="B1662" s="69">
        <v>45443</v>
      </c>
      <c r="C1662" s="70" t="s">
        <v>2188</v>
      </c>
      <c r="D1662" s="70" t="s">
        <v>270</v>
      </c>
      <c r="E1662" s="70" t="s">
        <v>622</v>
      </c>
      <c r="F1662" s="70" t="s">
        <v>2195</v>
      </c>
      <c r="G1662" s="70" t="s">
        <v>1390</v>
      </c>
      <c r="H1662" s="136">
        <v>31553692.27</v>
      </c>
      <c r="I1662" s="96" t="s">
        <v>1934</v>
      </c>
      <c r="J1662" s="72" t="s">
        <v>2344</v>
      </c>
    </row>
    <row r="1663" spans="2:10" ht="23">
      <c r="B1663" s="69">
        <v>45443</v>
      </c>
      <c r="C1663" s="70" t="s">
        <v>2188</v>
      </c>
      <c r="D1663" s="70" t="s">
        <v>270</v>
      </c>
      <c r="E1663" s="70" t="s">
        <v>622</v>
      </c>
      <c r="F1663" s="70" t="s">
        <v>2195</v>
      </c>
      <c r="G1663" s="70" t="s">
        <v>1094</v>
      </c>
      <c r="H1663" s="71">
        <v>12677650.93</v>
      </c>
      <c r="I1663" s="96" t="s">
        <v>1934</v>
      </c>
      <c r="J1663" s="72">
        <v>327</v>
      </c>
    </row>
    <row r="1664" spans="2:10" ht="23">
      <c r="B1664" s="69">
        <v>45443</v>
      </c>
      <c r="C1664" s="70" t="s">
        <v>2188</v>
      </c>
      <c r="D1664" s="70" t="s">
        <v>270</v>
      </c>
      <c r="E1664" s="70" t="s">
        <v>622</v>
      </c>
      <c r="F1664" s="70" t="s">
        <v>2195</v>
      </c>
      <c r="G1664" s="70" t="s">
        <v>1095</v>
      </c>
      <c r="H1664" s="71">
        <v>8848476</v>
      </c>
      <c r="I1664" s="96" t="s">
        <v>1934</v>
      </c>
      <c r="J1664" s="72">
        <v>327</v>
      </c>
    </row>
    <row r="1665" spans="2:10" ht="23">
      <c r="B1665" s="69">
        <v>45443</v>
      </c>
      <c r="C1665" s="70" t="s">
        <v>2188</v>
      </c>
      <c r="D1665" s="70" t="s">
        <v>270</v>
      </c>
      <c r="E1665" s="70" t="s">
        <v>622</v>
      </c>
      <c r="F1665" s="70" t="s">
        <v>2195</v>
      </c>
      <c r="G1665" s="70" t="s">
        <v>1234</v>
      </c>
      <c r="H1665" s="71">
        <v>7473514.0999999996</v>
      </c>
      <c r="I1665" s="96" t="s">
        <v>1934</v>
      </c>
      <c r="J1665" s="44">
        <v>328</v>
      </c>
    </row>
    <row r="1666" spans="2:10" ht="23">
      <c r="B1666" s="69">
        <v>45443</v>
      </c>
      <c r="C1666" s="70" t="s">
        <v>2188</v>
      </c>
      <c r="D1666" s="70" t="s">
        <v>270</v>
      </c>
      <c r="E1666" s="70" t="s">
        <v>622</v>
      </c>
      <c r="F1666" s="70" t="s">
        <v>2195</v>
      </c>
      <c r="G1666" s="70" t="s">
        <v>1391</v>
      </c>
      <c r="H1666" s="136">
        <v>5492202.4199999999</v>
      </c>
      <c r="I1666" s="96" t="s">
        <v>1934</v>
      </c>
      <c r="J1666" s="72" t="s">
        <v>2344</v>
      </c>
    </row>
    <row r="1667" spans="2:10" ht="23">
      <c r="B1667" s="69">
        <v>45443</v>
      </c>
      <c r="C1667" s="70" t="s">
        <v>2188</v>
      </c>
      <c r="D1667" s="70" t="s">
        <v>270</v>
      </c>
      <c r="E1667" s="70" t="s">
        <v>622</v>
      </c>
      <c r="F1667" s="70" t="s">
        <v>2195</v>
      </c>
      <c r="G1667" s="70" t="s">
        <v>1238</v>
      </c>
      <c r="H1667" s="71">
        <v>4681511.3600000003</v>
      </c>
      <c r="I1667" s="96" t="s">
        <v>1934</v>
      </c>
      <c r="J1667" s="44">
        <v>328</v>
      </c>
    </row>
    <row r="1668" spans="2:10" ht="23">
      <c r="B1668" s="69">
        <v>45443</v>
      </c>
      <c r="C1668" s="70" t="s">
        <v>2188</v>
      </c>
      <c r="D1668" s="70" t="s">
        <v>270</v>
      </c>
      <c r="E1668" s="70" t="s">
        <v>622</v>
      </c>
      <c r="F1668" s="70" t="s">
        <v>2195</v>
      </c>
      <c r="G1668" s="70" t="s">
        <v>2037</v>
      </c>
      <c r="H1668" s="71">
        <v>3254218.85</v>
      </c>
      <c r="I1668" s="96" t="s">
        <v>1934</v>
      </c>
      <c r="J1668" s="44">
        <v>328</v>
      </c>
    </row>
    <row r="1669" spans="2:10" ht="23">
      <c r="B1669" s="69">
        <v>45443</v>
      </c>
      <c r="C1669" s="70" t="s">
        <v>2188</v>
      </c>
      <c r="D1669" s="70" t="s">
        <v>270</v>
      </c>
      <c r="E1669" s="70" t="s">
        <v>622</v>
      </c>
      <c r="F1669" s="70" t="s">
        <v>2195</v>
      </c>
      <c r="G1669" s="70" t="s">
        <v>1233</v>
      </c>
      <c r="H1669" s="71">
        <v>3051075.89</v>
      </c>
      <c r="I1669" s="96" t="s">
        <v>1934</v>
      </c>
      <c r="J1669" s="44">
        <v>328</v>
      </c>
    </row>
    <row r="1670" spans="2:10" ht="23">
      <c r="B1670" s="69">
        <v>45443</v>
      </c>
      <c r="C1670" s="70" t="s">
        <v>2188</v>
      </c>
      <c r="D1670" s="70" t="s">
        <v>270</v>
      </c>
      <c r="E1670" s="70" t="s">
        <v>622</v>
      </c>
      <c r="F1670" s="70" t="s">
        <v>2195</v>
      </c>
      <c r="G1670" s="70" t="s">
        <v>2114</v>
      </c>
      <c r="H1670" s="71">
        <v>3030388.01</v>
      </c>
      <c r="I1670" s="96" t="s">
        <v>1934</v>
      </c>
      <c r="J1670" s="44">
        <v>328</v>
      </c>
    </row>
    <row r="1671" spans="2:10" ht="23">
      <c r="B1671" s="69">
        <v>45443</v>
      </c>
      <c r="C1671" s="70" t="s">
        <v>2188</v>
      </c>
      <c r="D1671" s="70" t="s">
        <v>270</v>
      </c>
      <c r="E1671" s="70" t="s">
        <v>622</v>
      </c>
      <c r="F1671" s="70" t="s">
        <v>2195</v>
      </c>
      <c r="G1671" s="70" t="s">
        <v>1092</v>
      </c>
      <c r="H1671" s="71">
        <v>1474746</v>
      </c>
      <c r="I1671" s="96" t="s">
        <v>1934</v>
      </c>
      <c r="J1671" s="72">
        <v>327</v>
      </c>
    </row>
    <row r="1672" spans="2:10" ht="23">
      <c r="B1672" s="69">
        <v>45443</v>
      </c>
      <c r="C1672" s="70" t="s">
        <v>2188</v>
      </c>
      <c r="D1672" s="70" t="s">
        <v>270</v>
      </c>
      <c r="E1672" s="70" t="s">
        <v>622</v>
      </c>
      <c r="F1672" s="70" t="s">
        <v>2195</v>
      </c>
      <c r="G1672" s="70" t="s">
        <v>1079</v>
      </c>
      <c r="H1672" s="136">
        <v>1300986.28</v>
      </c>
      <c r="I1672" s="96" t="s">
        <v>1934</v>
      </c>
      <c r="J1672" s="72" t="s">
        <v>2344</v>
      </c>
    </row>
    <row r="1673" spans="2:10" ht="23">
      <c r="B1673" s="69">
        <v>45443</v>
      </c>
      <c r="C1673" s="70" t="s">
        <v>2188</v>
      </c>
      <c r="D1673" s="70" t="s">
        <v>270</v>
      </c>
      <c r="E1673" s="70" t="s">
        <v>622</v>
      </c>
      <c r="F1673" s="70" t="s">
        <v>2195</v>
      </c>
      <c r="G1673" s="70" t="s">
        <v>1338</v>
      </c>
      <c r="H1673" s="71">
        <v>456824.88</v>
      </c>
      <c r="I1673" s="96" t="s">
        <v>1934</v>
      </c>
      <c r="J1673" s="44">
        <v>328</v>
      </c>
    </row>
    <row r="1674" spans="2:10" ht="23">
      <c r="B1674" s="69">
        <v>45443</v>
      </c>
      <c r="C1674" s="70" t="s">
        <v>2188</v>
      </c>
      <c r="D1674" s="70" t="s">
        <v>270</v>
      </c>
      <c r="E1674" s="70" t="s">
        <v>622</v>
      </c>
      <c r="F1674" s="70" t="s">
        <v>2195</v>
      </c>
      <c r="G1674" s="70" t="s">
        <v>1392</v>
      </c>
      <c r="H1674" s="71">
        <v>6219426.7800000003</v>
      </c>
      <c r="I1674" s="96" t="s">
        <v>1934</v>
      </c>
      <c r="J1674" s="72" t="s">
        <v>2344</v>
      </c>
    </row>
    <row r="1675" spans="2:10" ht="23">
      <c r="B1675" s="69">
        <v>45443</v>
      </c>
      <c r="C1675" s="70" t="s">
        <v>2196</v>
      </c>
      <c r="D1675" s="104" t="s">
        <v>740</v>
      </c>
      <c r="E1675" s="70" t="s">
        <v>633</v>
      </c>
      <c r="F1675" s="70" t="s">
        <v>1927</v>
      </c>
      <c r="G1675" s="70" t="s">
        <v>2197</v>
      </c>
      <c r="H1675" s="71">
        <v>446998754.42000002</v>
      </c>
      <c r="I1675" s="96" t="s">
        <v>1934</v>
      </c>
      <c r="J1675" s="72" t="s">
        <v>870</v>
      </c>
    </row>
    <row r="1676" spans="2:10" ht="23">
      <c r="B1676" s="69">
        <v>45443</v>
      </c>
      <c r="C1676" s="70" t="s">
        <v>2198</v>
      </c>
      <c r="D1676" s="70" t="s">
        <v>2148</v>
      </c>
      <c r="E1676" s="70" t="s">
        <v>514</v>
      </c>
      <c r="F1676" s="70" t="s">
        <v>2199</v>
      </c>
      <c r="G1676" s="70"/>
      <c r="H1676" s="71">
        <v>3970282410.3899999</v>
      </c>
      <c r="I1676" s="96" t="s">
        <v>1934</v>
      </c>
      <c r="J1676" s="72" t="s">
        <v>2457</v>
      </c>
    </row>
    <row r="1677" spans="2:10" ht="23">
      <c r="B1677" s="69">
        <v>45473</v>
      </c>
      <c r="C1677" s="70" t="s">
        <v>2294</v>
      </c>
      <c r="D1677" s="70" t="s">
        <v>270</v>
      </c>
      <c r="E1677" s="70" t="s">
        <v>308</v>
      </c>
      <c r="F1677" s="70" t="s">
        <v>448</v>
      </c>
      <c r="G1677" s="70" t="s">
        <v>2295</v>
      </c>
      <c r="H1677" s="71">
        <v>152532030</v>
      </c>
      <c r="I1677" s="90" t="s">
        <v>1935</v>
      </c>
      <c r="J1677" s="30" t="s">
        <v>535</v>
      </c>
    </row>
    <row r="1678" spans="2:10" ht="23">
      <c r="B1678" s="69">
        <v>45473</v>
      </c>
      <c r="C1678" s="70" t="s">
        <v>2294</v>
      </c>
      <c r="D1678" s="70" t="s">
        <v>270</v>
      </c>
      <c r="E1678" s="70" t="s">
        <v>308</v>
      </c>
      <c r="F1678" s="70" t="s">
        <v>448</v>
      </c>
      <c r="G1678" s="70" t="s">
        <v>2296</v>
      </c>
      <c r="H1678" s="71">
        <v>21544072</v>
      </c>
      <c r="I1678" s="90" t="s">
        <v>1935</v>
      </c>
      <c r="J1678" s="72" t="s">
        <v>535</v>
      </c>
    </row>
    <row r="1679" spans="2:10" ht="23">
      <c r="B1679" s="69">
        <v>45473</v>
      </c>
      <c r="C1679" s="70" t="s">
        <v>2297</v>
      </c>
      <c r="D1679" s="70" t="s">
        <v>270</v>
      </c>
      <c r="E1679" s="70" t="s">
        <v>308</v>
      </c>
      <c r="F1679" s="70" t="s">
        <v>448</v>
      </c>
      <c r="G1679" s="70" t="s">
        <v>2298</v>
      </c>
      <c r="H1679" s="71">
        <v>122593034</v>
      </c>
      <c r="I1679" s="90" t="s">
        <v>1935</v>
      </c>
      <c r="J1679" s="30" t="s">
        <v>535</v>
      </c>
    </row>
    <row r="1680" spans="2:10" ht="23">
      <c r="B1680" s="69">
        <v>45473</v>
      </c>
      <c r="C1680" s="70" t="s">
        <v>2297</v>
      </c>
      <c r="D1680" s="70" t="s">
        <v>270</v>
      </c>
      <c r="E1680" s="70" t="s">
        <v>308</v>
      </c>
      <c r="F1680" s="70" t="s">
        <v>448</v>
      </c>
      <c r="G1680" s="70" t="s">
        <v>2299</v>
      </c>
      <c r="H1680" s="71">
        <v>624880113</v>
      </c>
      <c r="I1680" s="90" t="s">
        <v>1935</v>
      </c>
      <c r="J1680" s="30" t="s">
        <v>535</v>
      </c>
    </row>
    <row r="1681" spans="2:10" ht="34.5">
      <c r="B1681" s="69">
        <v>45473</v>
      </c>
      <c r="C1681" s="70" t="s">
        <v>2300</v>
      </c>
      <c r="D1681" s="70" t="s">
        <v>270</v>
      </c>
      <c r="E1681" s="70" t="s">
        <v>140</v>
      </c>
      <c r="F1681" s="70" t="s">
        <v>2301</v>
      </c>
      <c r="G1681" s="70" t="s">
        <v>2302</v>
      </c>
      <c r="H1681" s="71">
        <v>154000000</v>
      </c>
      <c r="I1681" s="90" t="s">
        <v>1935</v>
      </c>
      <c r="J1681" s="30" t="s">
        <v>582</v>
      </c>
    </row>
    <row r="1682" spans="2:10" ht="34.5">
      <c r="B1682" s="69">
        <v>45473</v>
      </c>
      <c r="C1682" s="70" t="s">
        <v>2303</v>
      </c>
      <c r="D1682" s="70" t="s">
        <v>650</v>
      </c>
      <c r="E1682" s="70" t="s">
        <v>308</v>
      </c>
      <c r="F1682" s="70" t="s">
        <v>977</v>
      </c>
      <c r="G1682" s="70" t="s">
        <v>2304</v>
      </c>
      <c r="H1682" s="117">
        <v>56610000</v>
      </c>
      <c r="I1682" s="90" t="s">
        <v>1935</v>
      </c>
      <c r="J1682" s="30">
        <v>21</v>
      </c>
    </row>
    <row r="1683" spans="2:10" ht="23">
      <c r="B1683" s="69">
        <v>45473</v>
      </c>
      <c r="C1683" s="70" t="s">
        <v>2305</v>
      </c>
      <c r="D1683" s="70" t="s">
        <v>650</v>
      </c>
      <c r="E1683" s="70" t="s">
        <v>308</v>
      </c>
      <c r="F1683" s="70" t="s">
        <v>977</v>
      </c>
      <c r="G1683" s="70" t="s">
        <v>2306</v>
      </c>
      <c r="H1683" s="226">
        <v>8839463.9600000009</v>
      </c>
      <c r="I1683" s="90" t="s">
        <v>1935</v>
      </c>
      <c r="J1683" s="30">
        <v>21</v>
      </c>
    </row>
    <row r="1684" spans="2:10" ht="23">
      <c r="B1684" s="69">
        <v>45473</v>
      </c>
      <c r="C1684" s="70" t="s">
        <v>2305</v>
      </c>
      <c r="D1684" s="70" t="s">
        <v>650</v>
      </c>
      <c r="E1684" s="70" t="s">
        <v>308</v>
      </c>
      <c r="F1684" s="70" t="s">
        <v>977</v>
      </c>
      <c r="G1684" s="70" t="s">
        <v>2306</v>
      </c>
      <c r="H1684" s="226">
        <v>6020283.54</v>
      </c>
      <c r="I1684" s="90" t="s">
        <v>1935</v>
      </c>
      <c r="J1684" s="30">
        <v>21</v>
      </c>
    </row>
    <row r="1685" spans="2:10" ht="23">
      <c r="B1685" s="69">
        <v>45473</v>
      </c>
      <c r="C1685" s="70" t="s">
        <v>2305</v>
      </c>
      <c r="D1685" s="70" t="s">
        <v>650</v>
      </c>
      <c r="E1685" s="70" t="s">
        <v>308</v>
      </c>
      <c r="F1685" s="70" t="s">
        <v>977</v>
      </c>
      <c r="G1685" s="70" t="s">
        <v>2306</v>
      </c>
      <c r="H1685" s="226">
        <v>8783331.3300000001</v>
      </c>
      <c r="I1685" s="90" t="s">
        <v>1935</v>
      </c>
      <c r="J1685" s="30">
        <v>21</v>
      </c>
    </row>
    <row r="1686" spans="2:10" ht="23">
      <c r="B1686" s="69">
        <v>45473</v>
      </c>
      <c r="C1686" s="70" t="s">
        <v>2305</v>
      </c>
      <c r="D1686" s="104" t="s">
        <v>650</v>
      </c>
      <c r="E1686" s="70" t="s">
        <v>308</v>
      </c>
      <c r="F1686" s="70" t="s">
        <v>977</v>
      </c>
      <c r="G1686" s="70" t="s">
        <v>2306</v>
      </c>
      <c r="H1686" s="226">
        <v>8154104</v>
      </c>
      <c r="I1686" s="90" t="s">
        <v>1935</v>
      </c>
      <c r="J1686" s="30">
        <v>21</v>
      </c>
    </row>
    <row r="1687" spans="2:10" ht="23">
      <c r="B1687" s="69">
        <v>45473</v>
      </c>
      <c r="C1687" s="70" t="s">
        <v>2305</v>
      </c>
      <c r="D1687" s="70" t="s">
        <v>650</v>
      </c>
      <c r="E1687" s="70" t="s">
        <v>308</v>
      </c>
      <c r="F1687" s="70" t="s">
        <v>977</v>
      </c>
      <c r="G1687" s="70" t="s">
        <v>2306</v>
      </c>
      <c r="H1687" s="226">
        <v>24105131</v>
      </c>
      <c r="I1687" s="90" t="s">
        <v>1935</v>
      </c>
      <c r="J1687" s="30">
        <v>21</v>
      </c>
    </row>
    <row r="1688" spans="2:10" ht="34.5">
      <c r="B1688" s="69">
        <v>45473</v>
      </c>
      <c r="C1688" s="70" t="s">
        <v>2307</v>
      </c>
      <c r="D1688" s="104" t="s">
        <v>650</v>
      </c>
      <c r="E1688" s="70" t="s">
        <v>308</v>
      </c>
      <c r="F1688" s="70" t="s">
        <v>824</v>
      </c>
      <c r="G1688" s="70" t="s">
        <v>2308</v>
      </c>
      <c r="H1688" s="117">
        <v>74611980</v>
      </c>
      <c r="I1688" s="90" t="s">
        <v>1935</v>
      </c>
      <c r="J1688" s="30">
        <v>21</v>
      </c>
    </row>
    <row r="1689" spans="2:10" ht="23">
      <c r="B1689" s="69">
        <v>45470</v>
      </c>
      <c r="C1689" s="70" t="s">
        <v>2309</v>
      </c>
      <c r="D1689" s="104" t="s">
        <v>650</v>
      </c>
      <c r="E1689" s="70" t="s">
        <v>514</v>
      </c>
      <c r="F1689" s="70" t="s">
        <v>908</v>
      </c>
      <c r="G1689" s="70" t="s">
        <v>2310</v>
      </c>
      <c r="H1689" s="71">
        <v>240000</v>
      </c>
      <c r="I1689" s="90" t="s">
        <v>1935</v>
      </c>
      <c r="J1689" s="30">
        <v>330</v>
      </c>
    </row>
    <row r="1690" spans="2:10" ht="23">
      <c r="B1690" s="69">
        <v>45473</v>
      </c>
      <c r="C1690" s="70" t="s">
        <v>2305</v>
      </c>
      <c r="D1690" s="104" t="s">
        <v>653</v>
      </c>
      <c r="E1690" s="70" t="s">
        <v>308</v>
      </c>
      <c r="F1690" s="70" t="s">
        <v>977</v>
      </c>
      <c r="G1690" s="70" t="s">
        <v>2306</v>
      </c>
      <c r="H1690" s="226">
        <v>1834407.96</v>
      </c>
      <c r="I1690" s="90" t="s">
        <v>1935</v>
      </c>
      <c r="J1690" s="30">
        <v>21</v>
      </c>
    </row>
    <row r="1691" spans="2:10" ht="23">
      <c r="B1691" s="69">
        <v>45473</v>
      </c>
      <c r="C1691" s="70" t="s">
        <v>2305</v>
      </c>
      <c r="D1691" s="70" t="s">
        <v>655</v>
      </c>
      <c r="E1691" s="70" t="s">
        <v>308</v>
      </c>
      <c r="F1691" s="70" t="s">
        <v>977</v>
      </c>
      <c r="G1691" s="70" t="s">
        <v>2306</v>
      </c>
      <c r="H1691" s="226">
        <v>6917804.9400000004</v>
      </c>
      <c r="I1691" s="90" t="s">
        <v>1935</v>
      </c>
      <c r="J1691" s="30">
        <v>21</v>
      </c>
    </row>
    <row r="1692" spans="2:10" ht="23">
      <c r="B1692" s="200">
        <v>45473</v>
      </c>
      <c r="C1692" s="203" t="s">
        <v>2305</v>
      </c>
      <c r="D1692" s="203" t="s">
        <v>665</v>
      </c>
      <c r="E1692" s="203" t="s">
        <v>308</v>
      </c>
      <c r="F1692" s="203" t="s">
        <v>977</v>
      </c>
      <c r="G1692" s="70" t="s">
        <v>2306</v>
      </c>
      <c r="H1692" s="226">
        <v>26827139.059999999</v>
      </c>
      <c r="I1692" s="90" t="s">
        <v>1935</v>
      </c>
      <c r="J1692" s="30">
        <v>21</v>
      </c>
    </row>
    <row r="1693" spans="2:10" ht="23">
      <c r="B1693" s="201">
        <v>45473</v>
      </c>
      <c r="C1693" s="204" t="s">
        <v>2305</v>
      </c>
      <c r="D1693" s="204" t="s">
        <v>665</v>
      </c>
      <c r="E1693" s="204" t="s">
        <v>308</v>
      </c>
      <c r="F1693" s="204" t="s">
        <v>977</v>
      </c>
      <c r="G1693" s="70" t="s">
        <v>2306</v>
      </c>
      <c r="H1693" s="226">
        <v>43340172.439999998</v>
      </c>
      <c r="I1693" s="90" t="s">
        <v>1935</v>
      </c>
      <c r="J1693" s="30">
        <v>21</v>
      </c>
    </row>
    <row r="1694" spans="2:10" ht="46">
      <c r="B1694" s="202">
        <v>45462</v>
      </c>
      <c r="C1694" s="205" t="s">
        <v>2311</v>
      </c>
      <c r="D1694" s="205" t="s">
        <v>663</v>
      </c>
      <c r="E1694" s="205" t="s">
        <v>514</v>
      </c>
      <c r="F1694" s="205" t="s">
        <v>908</v>
      </c>
      <c r="G1694" s="70" t="s">
        <v>2312</v>
      </c>
      <c r="H1694" s="117">
        <v>130000</v>
      </c>
      <c r="I1694" s="90" t="s">
        <v>1935</v>
      </c>
      <c r="J1694" s="30">
        <v>24</v>
      </c>
    </row>
    <row r="1695" spans="2:10" ht="23">
      <c r="B1695" s="69">
        <v>45473</v>
      </c>
      <c r="C1695" s="70" t="s">
        <v>2305</v>
      </c>
      <c r="D1695" s="70" t="s">
        <v>663</v>
      </c>
      <c r="E1695" s="70" t="s">
        <v>308</v>
      </c>
      <c r="F1695" s="70" t="s">
        <v>977</v>
      </c>
      <c r="G1695" s="70" t="s">
        <v>2306</v>
      </c>
      <c r="H1695" s="226">
        <v>32805662.640000001</v>
      </c>
      <c r="I1695" s="90" t="s">
        <v>1935</v>
      </c>
      <c r="J1695" s="30">
        <v>21</v>
      </c>
    </row>
    <row r="1696" spans="2:10" ht="23">
      <c r="B1696" s="200">
        <v>45473</v>
      </c>
      <c r="C1696" s="203" t="s">
        <v>2305</v>
      </c>
      <c r="D1696" s="203" t="s">
        <v>931</v>
      </c>
      <c r="E1696" s="203" t="s">
        <v>308</v>
      </c>
      <c r="F1696" s="203" t="s">
        <v>977</v>
      </c>
      <c r="G1696" s="70" t="s">
        <v>2306</v>
      </c>
      <c r="H1696" s="226">
        <v>8296926.3399999999</v>
      </c>
      <c r="I1696" s="90" t="s">
        <v>1935</v>
      </c>
      <c r="J1696" s="30">
        <v>21</v>
      </c>
    </row>
    <row r="1697" spans="2:10" ht="34.5">
      <c r="B1697" s="202">
        <v>45462</v>
      </c>
      <c r="C1697" s="205" t="s">
        <v>2311</v>
      </c>
      <c r="D1697" s="205" t="s">
        <v>929</v>
      </c>
      <c r="E1697" s="205" t="s">
        <v>514</v>
      </c>
      <c r="F1697" s="205" t="s">
        <v>908</v>
      </c>
      <c r="G1697" s="70" t="s">
        <v>2313</v>
      </c>
      <c r="H1697" s="117">
        <v>140000</v>
      </c>
      <c r="I1697" s="90" t="s">
        <v>1935</v>
      </c>
      <c r="J1697" s="30">
        <v>39</v>
      </c>
    </row>
    <row r="1698" spans="2:10" ht="23">
      <c r="B1698" s="69">
        <v>45473</v>
      </c>
      <c r="C1698" s="70" t="s">
        <v>2305</v>
      </c>
      <c r="D1698" s="70" t="s">
        <v>929</v>
      </c>
      <c r="E1698" s="70" t="s">
        <v>308</v>
      </c>
      <c r="F1698" s="70" t="s">
        <v>977</v>
      </c>
      <c r="G1698" s="70" t="s">
        <v>2306</v>
      </c>
      <c r="H1698" s="226">
        <v>11654168.060000001</v>
      </c>
      <c r="I1698" s="90" t="s">
        <v>1935</v>
      </c>
      <c r="J1698" s="30">
        <v>21</v>
      </c>
    </row>
    <row r="1699" spans="2:10" ht="23">
      <c r="B1699" s="69">
        <v>45473</v>
      </c>
      <c r="C1699" s="70" t="s">
        <v>2314</v>
      </c>
      <c r="D1699" s="70" t="s">
        <v>711</v>
      </c>
      <c r="E1699" s="70" t="s">
        <v>308</v>
      </c>
      <c r="F1699" s="70" t="s">
        <v>1683</v>
      </c>
      <c r="G1699" s="70" t="s">
        <v>2315</v>
      </c>
      <c r="H1699" s="71">
        <v>538350000</v>
      </c>
      <c r="I1699" s="90" t="s">
        <v>1935</v>
      </c>
      <c r="J1699" s="30">
        <v>314</v>
      </c>
    </row>
    <row r="1700" spans="2:10" ht="23">
      <c r="B1700" s="69">
        <v>45473</v>
      </c>
      <c r="C1700" s="70" t="s">
        <v>2314</v>
      </c>
      <c r="D1700" s="70" t="s">
        <v>711</v>
      </c>
      <c r="E1700" s="70" t="s">
        <v>308</v>
      </c>
      <c r="F1700" s="70" t="s">
        <v>2316</v>
      </c>
      <c r="G1700" s="70" t="s">
        <v>2315</v>
      </c>
      <c r="H1700" s="71">
        <v>121250000</v>
      </c>
      <c r="I1700" s="90" t="s">
        <v>1935</v>
      </c>
      <c r="J1700" s="30">
        <v>314</v>
      </c>
    </row>
    <row r="1701" spans="2:10" ht="23">
      <c r="B1701" s="200">
        <v>45473</v>
      </c>
      <c r="C1701" s="203" t="s">
        <v>2305</v>
      </c>
      <c r="D1701" s="203" t="s">
        <v>711</v>
      </c>
      <c r="E1701" s="203" t="s">
        <v>308</v>
      </c>
      <c r="F1701" s="203" t="s">
        <v>977</v>
      </c>
      <c r="G1701" s="70" t="s">
        <v>2306</v>
      </c>
      <c r="H1701" s="226">
        <v>1725825.44</v>
      </c>
      <c r="I1701" s="90" t="s">
        <v>1935</v>
      </c>
      <c r="J1701" s="30">
        <v>21</v>
      </c>
    </row>
    <row r="1702" spans="2:10" ht="23">
      <c r="B1702" s="201">
        <v>45473</v>
      </c>
      <c r="C1702" s="204" t="s">
        <v>2305</v>
      </c>
      <c r="D1702" s="204" t="s">
        <v>815</v>
      </c>
      <c r="E1702" s="204" t="s">
        <v>308</v>
      </c>
      <c r="F1702" s="204" t="s">
        <v>977</v>
      </c>
      <c r="G1702" s="70" t="s">
        <v>2306</v>
      </c>
      <c r="H1702" s="226">
        <v>4967619.08</v>
      </c>
      <c r="I1702" s="90" t="s">
        <v>1935</v>
      </c>
      <c r="J1702" s="30">
        <v>21</v>
      </c>
    </row>
    <row r="1703" spans="2:10" ht="23">
      <c r="B1703" s="202">
        <v>45473</v>
      </c>
      <c r="C1703" s="205" t="s">
        <v>2305</v>
      </c>
      <c r="D1703" s="205" t="s">
        <v>668</v>
      </c>
      <c r="E1703" s="205" t="s">
        <v>308</v>
      </c>
      <c r="F1703" s="205" t="s">
        <v>977</v>
      </c>
      <c r="G1703" s="70" t="s">
        <v>2306</v>
      </c>
      <c r="H1703" s="226">
        <v>2282118.23</v>
      </c>
      <c r="I1703" s="90" t="s">
        <v>1935</v>
      </c>
      <c r="J1703" s="30">
        <v>21</v>
      </c>
    </row>
    <row r="1704" spans="2:10" ht="23">
      <c r="B1704" s="69">
        <v>45473</v>
      </c>
      <c r="C1704" s="70" t="s">
        <v>2317</v>
      </c>
      <c r="D1704" s="104" t="s">
        <v>2318</v>
      </c>
      <c r="E1704" s="70" t="s">
        <v>633</v>
      </c>
      <c r="F1704" s="70" t="s">
        <v>2319</v>
      </c>
      <c r="G1704" s="70" t="s">
        <v>2320</v>
      </c>
      <c r="H1704" s="71">
        <v>59052000</v>
      </c>
      <c r="I1704" s="90" t="s">
        <v>1935</v>
      </c>
      <c r="J1704" s="72" t="s">
        <v>2424</v>
      </c>
    </row>
    <row r="1705" spans="2:10" ht="23">
      <c r="B1705" s="69">
        <v>45473</v>
      </c>
      <c r="C1705" s="70" t="s">
        <v>2317</v>
      </c>
      <c r="D1705" s="70" t="s">
        <v>2318</v>
      </c>
      <c r="E1705" s="70" t="s">
        <v>633</v>
      </c>
      <c r="F1705" s="70" t="s">
        <v>1828</v>
      </c>
      <c r="G1705" s="70" t="s">
        <v>2321</v>
      </c>
      <c r="H1705" s="71">
        <v>3108000</v>
      </c>
      <c r="I1705" s="90" t="s">
        <v>1935</v>
      </c>
      <c r="J1705" s="72" t="s">
        <v>2424</v>
      </c>
    </row>
    <row r="1706" spans="2:10" ht="34.5">
      <c r="B1706" s="69">
        <v>45450</v>
      </c>
      <c r="C1706" s="70" t="s">
        <v>2322</v>
      </c>
      <c r="D1706" s="70" t="s">
        <v>2148</v>
      </c>
      <c r="E1706" s="70" t="s">
        <v>514</v>
      </c>
      <c r="F1706" s="70" t="s">
        <v>2323</v>
      </c>
      <c r="G1706" s="70" t="s">
        <v>2324</v>
      </c>
      <c r="H1706" s="71">
        <v>8950000</v>
      </c>
      <c r="I1706" s="90" t="s">
        <v>1935</v>
      </c>
      <c r="J1706" s="30">
        <v>326</v>
      </c>
    </row>
    <row r="1707" spans="2:10">
      <c r="B1707" s="69">
        <v>45462</v>
      </c>
      <c r="C1707" s="70" t="s">
        <v>2325</v>
      </c>
      <c r="D1707" s="70" t="s">
        <v>2148</v>
      </c>
      <c r="E1707" s="70" t="s">
        <v>514</v>
      </c>
      <c r="F1707" s="70" t="s">
        <v>2326</v>
      </c>
      <c r="G1707" s="70" t="s">
        <v>2327</v>
      </c>
      <c r="H1707" s="71">
        <v>7995500</v>
      </c>
      <c r="I1707" s="90" t="s">
        <v>1935</v>
      </c>
      <c r="J1707" s="30">
        <v>326</v>
      </c>
    </row>
    <row r="1708" spans="2:10" ht="23">
      <c r="B1708" s="69">
        <v>45462</v>
      </c>
      <c r="C1708" s="70" t="s">
        <v>2328</v>
      </c>
      <c r="D1708" s="70" t="s">
        <v>2148</v>
      </c>
      <c r="E1708" s="70" t="s">
        <v>514</v>
      </c>
      <c r="F1708" s="70" t="s">
        <v>908</v>
      </c>
      <c r="G1708" s="70" t="s">
        <v>2329</v>
      </c>
      <c r="H1708" s="71">
        <v>404000</v>
      </c>
      <c r="I1708" s="90" t="s">
        <v>1935</v>
      </c>
      <c r="J1708" s="30">
        <v>326</v>
      </c>
    </row>
    <row r="1709" spans="2:10">
      <c r="B1709" s="69">
        <v>45473</v>
      </c>
      <c r="C1709" s="70" t="s">
        <v>2330</v>
      </c>
      <c r="D1709" s="70" t="s">
        <v>2148</v>
      </c>
      <c r="E1709" s="70" t="s">
        <v>495</v>
      </c>
      <c r="F1709" s="70" t="s">
        <v>2331</v>
      </c>
      <c r="G1709" s="70" t="s">
        <v>2332</v>
      </c>
      <c r="H1709" s="71">
        <v>22512500</v>
      </c>
      <c r="I1709" s="90" t="s">
        <v>1935</v>
      </c>
      <c r="J1709" s="30">
        <v>326</v>
      </c>
    </row>
    <row r="1710" spans="2:10">
      <c r="B1710" s="69">
        <v>45473</v>
      </c>
      <c r="C1710" s="70" t="s">
        <v>2330</v>
      </c>
      <c r="D1710" s="70" t="s">
        <v>2148</v>
      </c>
      <c r="E1710" s="70" t="s">
        <v>495</v>
      </c>
      <c r="F1710" s="70" t="s">
        <v>2333</v>
      </c>
      <c r="G1710" s="70" t="s">
        <v>2334</v>
      </c>
      <c r="H1710" s="71">
        <v>19764000</v>
      </c>
      <c r="I1710" s="90" t="s">
        <v>1935</v>
      </c>
      <c r="J1710" s="30">
        <v>326</v>
      </c>
    </row>
    <row r="1711" spans="2:10" ht="23">
      <c r="B1711" s="69">
        <v>45473</v>
      </c>
      <c r="C1711" s="70" t="s">
        <v>2335</v>
      </c>
      <c r="D1711" s="70" t="s">
        <v>2148</v>
      </c>
      <c r="E1711" s="70" t="s">
        <v>514</v>
      </c>
      <c r="F1711" s="70" t="s">
        <v>2336</v>
      </c>
      <c r="G1711" s="70" t="s">
        <v>2337</v>
      </c>
      <c r="H1711" s="71">
        <v>77050721</v>
      </c>
      <c r="I1711" s="90" t="s">
        <v>1935</v>
      </c>
      <c r="J1711" s="30">
        <v>329</v>
      </c>
    </row>
    <row r="1712" spans="2:10" ht="23">
      <c r="B1712" s="69">
        <v>45473</v>
      </c>
      <c r="C1712" s="70" t="s">
        <v>2338</v>
      </c>
      <c r="D1712" s="70" t="s">
        <v>2148</v>
      </c>
      <c r="E1712" s="70" t="s">
        <v>514</v>
      </c>
      <c r="F1712" s="70" t="s">
        <v>2339</v>
      </c>
      <c r="G1712" s="70"/>
      <c r="H1712" s="71">
        <v>1459776</v>
      </c>
      <c r="I1712" s="90" t="s">
        <v>1935</v>
      </c>
      <c r="J1712" s="30">
        <v>329</v>
      </c>
    </row>
    <row r="1713" spans="2:10">
      <c r="B1713" s="69">
        <v>45462</v>
      </c>
      <c r="C1713" s="70" t="s">
        <v>2340</v>
      </c>
      <c r="D1713" s="70" t="s">
        <v>2148</v>
      </c>
      <c r="E1713" s="70" t="s">
        <v>514</v>
      </c>
      <c r="F1713" s="70" t="s">
        <v>908</v>
      </c>
      <c r="G1713" s="70" t="s">
        <v>2341</v>
      </c>
      <c r="H1713" s="71">
        <v>75000</v>
      </c>
      <c r="I1713" s="90" t="s">
        <v>1935</v>
      </c>
      <c r="J1713" s="30">
        <v>24</v>
      </c>
    </row>
    <row r="1714" spans="2:10">
      <c r="B1714" s="69">
        <v>45462</v>
      </c>
      <c r="C1714" s="70" t="s">
        <v>2340</v>
      </c>
      <c r="D1714" s="70" t="s">
        <v>2148</v>
      </c>
      <c r="E1714" s="70" t="s">
        <v>514</v>
      </c>
      <c r="F1714" s="70" t="s">
        <v>908</v>
      </c>
      <c r="G1714" s="70" t="s">
        <v>2342</v>
      </c>
      <c r="H1714" s="71">
        <v>80000</v>
      </c>
      <c r="I1714" s="90" t="s">
        <v>1935</v>
      </c>
      <c r="J1714" s="30">
        <v>24</v>
      </c>
    </row>
    <row r="1715" spans="2:10">
      <c r="B1715" s="69"/>
      <c r="C1715" s="70"/>
      <c r="D1715" s="70"/>
      <c r="E1715" s="70"/>
      <c r="F1715" s="70"/>
      <c r="G1715" s="70"/>
      <c r="H1715" s="71"/>
      <c r="I1715" s="96"/>
    </row>
    <row r="1716" spans="2:10">
      <c r="B1716" s="69"/>
      <c r="C1716" s="70"/>
      <c r="D1716" s="70"/>
      <c r="E1716" s="70"/>
      <c r="F1716" s="70"/>
      <c r="G1716" s="70"/>
      <c r="H1716" s="71"/>
      <c r="I1716" s="96"/>
      <c r="J1716" s="72"/>
    </row>
    <row r="1717" spans="2:10">
      <c r="B1717" s="69"/>
      <c r="C1717" s="70"/>
      <c r="D1717" s="70"/>
      <c r="E1717" s="70"/>
      <c r="F1717" s="70"/>
      <c r="G1717" s="70"/>
      <c r="H1717" s="71"/>
      <c r="I1717" s="96"/>
      <c r="J1717" s="72"/>
    </row>
    <row r="1718" spans="2:10">
      <c r="B1718" s="69"/>
      <c r="C1718" s="70"/>
      <c r="D1718" s="70"/>
      <c r="E1718" s="70"/>
      <c r="F1718" s="70"/>
      <c r="G1718" s="70"/>
      <c r="H1718" s="71"/>
      <c r="I1718" s="96"/>
      <c r="J1718" s="72"/>
    </row>
    <row r="1719" spans="2:10">
      <c r="B1719" s="69"/>
      <c r="C1719" s="70"/>
      <c r="D1719" s="70"/>
      <c r="E1719" s="70"/>
      <c r="F1719" s="70"/>
      <c r="G1719" s="70"/>
      <c r="H1719" s="71"/>
      <c r="I1719" s="96"/>
      <c r="J1719" s="72"/>
    </row>
    <row r="1720" spans="2:10">
      <c r="B1720" s="69"/>
      <c r="C1720" s="70"/>
      <c r="D1720" s="70"/>
      <c r="E1720" s="70"/>
      <c r="F1720" s="70"/>
      <c r="G1720" s="70"/>
      <c r="H1720" s="71"/>
      <c r="I1720" s="96"/>
      <c r="J1720" s="72"/>
    </row>
    <row r="1721" spans="2:10">
      <c r="B1721" s="69"/>
      <c r="C1721" s="70"/>
      <c r="D1721" s="70"/>
      <c r="E1721" s="70"/>
      <c r="F1721" s="70"/>
      <c r="G1721" s="70"/>
      <c r="H1721" s="71"/>
      <c r="I1721" s="96"/>
      <c r="J1721" s="72"/>
    </row>
    <row r="1722" spans="2:10">
      <c r="B1722" s="69"/>
      <c r="C1722" s="70"/>
      <c r="D1722" s="70"/>
      <c r="E1722" s="70"/>
      <c r="F1722" s="70"/>
      <c r="G1722" s="70"/>
      <c r="H1722" s="71"/>
      <c r="I1722" s="96"/>
      <c r="J1722" s="72"/>
    </row>
    <row r="1723" spans="2:10">
      <c r="B1723" s="69"/>
      <c r="C1723" s="70"/>
      <c r="D1723" s="70"/>
      <c r="E1723" s="70"/>
      <c r="F1723" s="70"/>
      <c r="G1723" s="70"/>
      <c r="H1723" s="71"/>
      <c r="I1723" s="96"/>
      <c r="J1723" s="72"/>
    </row>
    <row r="1724" spans="2:10">
      <c r="B1724" s="69"/>
      <c r="C1724" s="70"/>
      <c r="D1724" s="70"/>
      <c r="E1724" s="70"/>
      <c r="F1724" s="70"/>
      <c r="G1724" s="70"/>
      <c r="H1724" s="71"/>
      <c r="I1724" s="96"/>
      <c r="J1724" s="72"/>
    </row>
    <row r="1725" spans="2:10">
      <c r="B1725" s="69"/>
      <c r="C1725" s="70"/>
      <c r="D1725" s="70"/>
      <c r="E1725" s="70"/>
      <c r="F1725" s="70"/>
      <c r="G1725" s="70"/>
      <c r="H1725" s="71"/>
      <c r="I1725" s="96"/>
      <c r="J1725" s="72"/>
    </row>
    <row r="1726" spans="2:10">
      <c r="B1726" s="69"/>
      <c r="C1726" s="70"/>
      <c r="D1726" s="70"/>
      <c r="E1726" s="70"/>
      <c r="F1726" s="70"/>
      <c r="G1726" s="70"/>
      <c r="H1726" s="71"/>
      <c r="I1726" s="96"/>
      <c r="J1726" s="72"/>
    </row>
    <row r="1727" spans="2:10">
      <c r="B1727" s="69"/>
      <c r="C1727" s="70"/>
      <c r="D1727" s="70"/>
      <c r="E1727" s="70"/>
      <c r="F1727" s="70"/>
      <c r="G1727" s="70"/>
      <c r="H1727" s="71"/>
      <c r="I1727" s="96"/>
      <c r="J1727" s="72"/>
    </row>
    <row r="1728" spans="2:10">
      <c r="B1728" s="69"/>
      <c r="C1728" s="70"/>
      <c r="D1728" s="70"/>
      <c r="E1728" s="70"/>
      <c r="F1728" s="70"/>
      <c r="G1728" s="70"/>
      <c r="H1728" s="71"/>
      <c r="I1728" s="96"/>
      <c r="J1728" s="72"/>
    </row>
    <row r="1729" spans="2:10">
      <c r="B1729" s="69"/>
      <c r="C1729" s="70"/>
      <c r="D1729" s="70"/>
      <c r="E1729" s="70"/>
      <c r="F1729" s="70"/>
      <c r="G1729" s="70"/>
      <c r="H1729" s="71"/>
      <c r="I1729" s="96"/>
      <c r="J1729" s="72"/>
    </row>
    <row r="1730" spans="2:10">
      <c r="B1730" s="69"/>
      <c r="C1730" s="70"/>
      <c r="D1730" s="70"/>
      <c r="E1730" s="70"/>
      <c r="F1730" s="70"/>
      <c r="G1730" s="70"/>
      <c r="H1730" s="71"/>
      <c r="I1730" s="96"/>
      <c r="J1730" s="72"/>
    </row>
    <row r="1731" spans="2:10">
      <c r="B1731" s="69"/>
      <c r="C1731" s="70"/>
      <c r="D1731" s="70"/>
      <c r="E1731" s="70"/>
      <c r="F1731" s="70"/>
      <c r="G1731" s="70"/>
      <c r="H1731" s="71"/>
      <c r="I1731" s="96"/>
      <c r="J1731" s="72"/>
    </row>
    <row r="1732" spans="2:10">
      <c r="B1732" s="69"/>
      <c r="C1732" s="70"/>
      <c r="D1732" s="70"/>
      <c r="E1732" s="70"/>
      <c r="F1732" s="70"/>
      <c r="G1732" s="70"/>
      <c r="H1732" s="71"/>
      <c r="I1732" s="96"/>
      <c r="J1732" s="72"/>
    </row>
    <row r="1733" spans="2:10">
      <c r="B1733" s="69"/>
      <c r="C1733" s="70"/>
      <c r="D1733" s="70"/>
      <c r="E1733" s="70"/>
      <c r="F1733" s="70"/>
      <c r="G1733" s="70"/>
      <c r="H1733" s="71"/>
      <c r="I1733" s="96"/>
      <c r="J1733" s="72"/>
    </row>
    <row r="1734" spans="2:10">
      <c r="B1734" s="69"/>
      <c r="C1734" s="70"/>
      <c r="D1734" s="70"/>
      <c r="E1734" s="70"/>
      <c r="F1734" s="70"/>
      <c r="G1734" s="70"/>
      <c r="H1734" s="71"/>
      <c r="I1734" s="96"/>
      <c r="J1734" s="72"/>
    </row>
    <row r="1735" spans="2:10">
      <c r="B1735" s="69"/>
      <c r="C1735" s="70"/>
      <c r="D1735" s="70"/>
      <c r="E1735" s="70"/>
      <c r="F1735" s="70"/>
      <c r="G1735" s="70"/>
      <c r="H1735" s="71"/>
      <c r="I1735" s="96"/>
      <c r="J1735" s="72"/>
    </row>
    <row r="1736" spans="2:10">
      <c r="B1736" s="69"/>
      <c r="C1736" s="70"/>
      <c r="D1736" s="70"/>
      <c r="E1736" s="70"/>
      <c r="F1736" s="70"/>
      <c r="G1736" s="70"/>
      <c r="H1736" s="71"/>
      <c r="I1736" s="96"/>
    </row>
    <row r="1742" spans="2:10">
      <c r="H1742" s="65">
        <f>SUBTOTAL(9,H4:H1741)</f>
        <v>318279588407.14972</v>
      </c>
    </row>
  </sheetData>
  <autoFilter ref="A3:K1714" xr:uid="{00000000-0009-0000-0000-000001000000}"/>
  <sortState xmlns:xlrd2="http://schemas.microsoft.com/office/spreadsheetml/2017/richdata2" ref="B4:J413">
    <sortCondition ref="B4"/>
  </sortState>
  <mergeCells count="32">
    <mergeCell ref="E1633:E1636"/>
    <mergeCell ref="E933:E934"/>
    <mergeCell ref="F933:F934"/>
    <mergeCell ref="B1641:B1643"/>
    <mergeCell ref="C1641:C1643"/>
    <mergeCell ref="D1641:D1643"/>
    <mergeCell ref="E1641:E1643"/>
    <mergeCell ref="F1641:F1643"/>
    <mergeCell ref="B1629:B1631"/>
    <mergeCell ref="C1629:C1631"/>
    <mergeCell ref="D1629:D1631"/>
    <mergeCell ref="E1629:E1631"/>
    <mergeCell ref="F1629:F1631"/>
    <mergeCell ref="B1633:B1636"/>
    <mergeCell ref="C1633:C1636"/>
    <mergeCell ref="D1633:D1636"/>
    <mergeCell ref="F1633:F1636"/>
    <mergeCell ref="B1241:B1245"/>
    <mergeCell ref="C1241:C1245"/>
    <mergeCell ref="B933:B934"/>
    <mergeCell ref="C933:C934"/>
    <mergeCell ref="D933:D934"/>
    <mergeCell ref="E1547:E1548"/>
    <mergeCell ref="E990:E991"/>
    <mergeCell ref="F990:F991"/>
    <mergeCell ref="E1274:E1275"/>
    <mergeCell ref="F1274:F1275"/>
    <mergeCell ref="F1237:F1238"/>
    <mergeCell ref="F1233:F1235"/>
    <mergeCell ref="F1229:F1230"/>
    <mergeCell ref="F1226:F1227"/>
    <mergeCell ref="F1547:F1548"/>
  </mergeCells>
  <phoneticPr fontId="3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Lembar Pengesahan</vt:lpstr>
      <vt:lpstr>RKP Dermaga T2 Global - Nex</vt:lpstr>
      <vt:lpstr>RKP CIVIL WORK</vt:lpstr>
      <vt:lpstr>RKP Mekanikal</vt:lpstr>
      <vt:lpstr>RKP Elektrikal</vt:lpstr>
      <vt:lpstr>Realisasi (2)</vt:lpstr>
      <vt:lpstr>Sheet1</vt:lpstr>
      <vt:lpstr>db</vt:lpstr>
      <vt:lpstr>db_Bln</vt:lpstr>
      <vt:lpstr>db_Kode</vt:lpstr>
      <vt:lpstr>db_Sum</vt:lpstr>
      <vt:lpstr>'Lembar Pengesahan'!Print_Area</vt:lpstr>
      <vt:lpstr>'Realisasi (2)'!Print_Area</vt:lpstr>
      <vt:lpstr>'RKP Dermaga T2 Global - Nex'!Print_Area</vt:lpstr>
      <vt:lpstr>'RKP Mekanikal'!Print_Area</vt:lpstr>
      <vt:lpstr>'RKP Dermaga T2 Global - Nex'!Print_Titles</vt:lpstr>
      <vt:lpstr>'RKP Mekanikal'!Print_Titles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Biostar</dc:creator>
  <cp:lastModifiedBy>LENOVO INTEL i5</cp:lastModifiedBy>
  <cp:lastPrinted>2026-05-21T02:58:25Z</cp:lastPrinted>
  <dcterms:created xsi:type="dcterms:W3CDTF">2007-09-12T02:29:53Z</dcterms:created>
  <dcterms:modified xsi:type="dcterms:W3CDTF">2026-09-29T00:20:06Z</dcterms:modified>
</cp:coreProperties>
</file>