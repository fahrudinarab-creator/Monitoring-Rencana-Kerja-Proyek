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antor\RKP\Pastura\"/>
    </mc:Choice>
  </mc:AlternateContent>
  <xr:revisionPtr revIDLastSave="0" documentId="13_ncr:1_{A712579F-661E-41DA-840F-A3770D979A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VER" sheetId="42" r:id="rId1"/>
    <sheet name="Instalasi Air" sheetId="33" state="hidden" r:id="rId2"/>
    <sheet name="RKP FFD" sheetId="105" r:id="rId3"/>
    <sheet name="Areal Stmt" sheetId="55" r:id="rId4"/>
    <sheet name="SCHEDULE-Indigofera" sheetId="86" r:id="rId5"/>
    <sheet name="SCHEDULE-Pakchong" sheetId="94" r:id="rId6"/>
    <sheet name="SI TB LC Indigofera (FFD)" sheetId="99" r:id="rId7"/>
    <sheet name="SI TB LC Pakchong (FFD)" sheetId="101" r:id="rId8"/>
    <sheet name="Kebutuhan TK FFD" sheetId="103" r:id="rId9"/>
    <sheet name="Kebutuhan Material FFD" sheetId="104" r:id="rId10"/>
    <sheet name="KeB.HM Alat Berat (FFD)" sheetId="102" r:id="rId11"/>
    <sheet name="Master Harga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\0" localSheetId="1">#REF!</definedName>
    <definedName name="\0">#REF!</definedName>
    <definedName name="\a">#N/A</definedName>
    <definedName name="\b">#N/A</definedName>
    <definedName name="\g">#N/A</definedName>
    <definedName name="\n">#N/A</definedName>
    <definedName name="________kop2">#REF!</definedName>
    <definedName name="________s2">#REF!</definedName>
    <definedName name="________SKF1">#REF!</definedName>
    <definedName name="________SKF2">#REF!</definedName>
    <definedName name="_______kop2">#REF!</definedName>
    <definedName name="_______s2">#REF!</definedName>
    <definedName name="_______SKF1">#REF!</definedName>
    <definedName name="_______SKF2">#REF!</definedName>
    <definedName name="______kop2">#REF!</definedName>
    <definedName name="______s2">#REF!</definedName>
    <definedName name="______SKF1">#REF!</definedName>
    <definedName name="______SKF2">#REF!</definedName>
    <definedName name="_____kop2">#REF!</definedName>
    <definedName name="_____s2">#REF!</definedName>
    <definedName name="_____SKF1">#REF!</definedName>
    <definedName name="_____SKF2">#REF!</definedName>
    <definedName name="____kop2">#REF!</definedName>
    <definedName name="____s2">#REF!</definedName>
    <definedName name="____SKF1">#REF!</definedName>
    <definedName name="____SKF2">#REF!</definedName>
    <definedName name="___kop2">#REF!</definedName>
    <definedName name="___s2">#REF!</definedName>
    <definedName name="___SKF1">#REF!</definedName>
    <definedName name="___SKF2">#REF!</definedName>
    <definedName name="__123Graph_A" hidden="1">'[1]data-hujan'!$E$8:$AC$8</definedName>
    <definedName name="__123Graph_ACURAH" localSheetId="1" hidden="1">[2]CH!#REF!</definedName>
    <definedName name="__123Graph_ACURAH" hidden="1">[2]CH!#REF!</definedName>
    <definedName name="__123Graph_AGAE_2">'[1]data-hujan'!$E$8:$AC$8</definedName>
    <definedName name="__123Graph_AHARI" hidden="1">[3]hal_8!$AD$12:$AD$23</definedName>
    <definedName name="__123Graph_B" hidden="1">'[1]data-hujan'!$E$14:$AC$14</definedName>
    <definedName name="__123Graph_BCURAH" localSheetId="1" hidden="1">[2]CH!#REF!</definedName>
    <definedName name="__123Graph_BCURAH" hidden="1">[2]CH!#REF!</definedName>
    <definedName name="__123Graph_BGAE_2">'[1]data-hujan'!$E$14:$AC$14</definedName>
    <definedName name="__123Graph_BHARI" hidden="1">[3]hal_8!$AC$12:$AC$23</definedName>
    <definedName name="__123Graph_C" hidden="1">'[1]data-hujan'!$E$15:$AC$15</definedName>
    <definedName name="__123Graph_CCURAH" localSheetId="1" hidden="1">[2]CH!#REF!</definedName>
    <definedName name="__123Graph_CCURAH" hidden="1">[2]CH!#REF!</definedName>
    <definedName name="__123Graph_CGAE_2">'[1]data-hujan'!$E$15:$AC$15</definedName>
    <definedName name="__123Graph_CHARI" hidden="1">[3]hal_8!$AB$12:$AB$23</definedName>
    <definedName name="__123Graph_D" hidden="1">'[1]data-hujan'!$E$16:$AC$16</definedName>
    <definedName name="__123Graph_DCURAH" localSheetId="1" hidden="1">[2]CH!#REF!</definedName>
    <definedName name="__123Graph_DCURAH" hidden="1">[2]CH!#REF!</definedName>
    <definedName name="__123Graph_DGAE_2">'[1]data-hujan'!$E$16:$AC$16</definedName>
    <definedName name="__123Graph_DHARI" hidden="1">[3]hal_8!$AA$12:$AA$23</definedName>
    <definedName name="__123Graph_E" hidden="1">'[1]data-hujan'!$E$17:$AC$17</definedName>
    <definedName name="__123Graph_ECURAH" localSheetId="1" hidden="1">[2]CH!#REF!</definedName>
    <definedName name="__123Graph_ECURAH" hidden="1">[2]CH!#REF!</definedName>
    <definedName name="__123Graph_EGAE_2">'[1]data-hujan'!$E$17:$AC$17</definedName>
    <definedName name="__123Graph_EHARI" hidden="1">[3]hal_8!$Z$12:$Z$23</definedName>
    <definedName name="__123Graph_F" hidden="1">'[1]data-hujan'!$E$18:$K$18</definedName>
    <definedName name="__123Graph_FGAE_2">'[1]data-hujan'!$E$18:$K$18</definedName>
    <definedName name="__123Graph_X" hidden="1">'[1]data-hujan'!$E$3:$AC$3</definedName>
    <definedName name="__123Graph_XCURAH" hidden="1">[3]hal_8!$AF$12:$AF$23</definedName>
    <definedName name="__123Graph_XGAE_2">'[1]data-hujan'!$E$3:$AC$3</definedName>
    <definedName name="__123Graph_XHARI" hidden="1">[3]hal_8!$AF$12:$AF$23</definedName>
    <definedName name="__kop2" localSheetId="1">#REF!</definedName>
    <definedName name="__kop2">#REF!</definedName>
    <definedName name="__s2" localSheetId="1">#REF!</definedName>
    <definedName name="__s2">#REF!</definedName>
    <definedName name="__SKF1" localSheetId="1">#REF!</definedName>
    <definedName name="__SKF1">#REF!</definedName>
    <definedName name="__SKF2" localSheetId="1">#REF!</definedName>
    <definedName name="__SKF2">#REF!</definedName>
    <definedName name="_0" localSheetId="1">#REF!</definedName>
    <definedName name="_0">#REF!</definedName>
    <definedName name="_0_1">#REF!</definedName>
    <definedName name="_0_1_1">"$#REF!.$S$1"</definedName>
    <definedName name="_0_1_1_1">"$#REF!.$S$1"</definedName>
    <definedName name="_0_1_1_1_1">"$#REF!.$S$1"</definedName>
    <definedName name="_0_1_1_1_1_1">"$#REF!.$S$1"</definedName>
    <definedName name="_1__123Graph_AGAE_2" hidden="1">'[1]data-hujan'!$E$8:$AC$8</definedName>
    <definedName name="_10_b_1" localSheetId="1">#REF!</definedName>
    <definedName name="_10_b_1">#REF!</definedName>
    <definedName name="_11_g_1" localSheetId="1">#REF!</definedName>
    <definedName name="_11_g_1">#REF!</definedName>
    <definedName name="_12_n_1" localSheetId="1">#REF!</definedName>
    <definedName name="_12_n_1">#REF!</definedName>
    <definedName name="_129_n_1">#REF!</definedName>
    <definedName name="_13_A_1">#REF!</definedName>
    <definedName name="_131Excel_BuiltIn_Database_1">#REF!</definedName>
    <definedName name="_133Excel_BuiltIn_Print_Area_1">#REF!</definedName>
    <definedName name="_13Excel_BuiltIn_Database_1" localSheetId="1">#REF!</definedName>
    <definedName name="_13Excel_BuiltIn_Database_1">#REF!</definedName>
    <definedName name="_14Excel_BuiltIn_Print_Area_1" localSheetId="1">#REF!</definedName>
    <definedName name="_14Excel_BuiltIn_Print_Area_1">#REF!</definedName>
    <definedName name="_15_A_1">#REF!</definedName>
    <definedName name="_15Excel_BuiltIn_Print_Area_31_1" localSheetId="1">'[4]Kap Rinci'!#REF!</definedName>
    <definedName name="_15Excel_BuiltIn_Print_Area_31_1">'[4]Kap Rinci'!#REF!</definedName>
    <definedName name="_163Excel_BuiltIn_Print_Area_31_1">'[5]Kap Rinci'!#REF!</definedName>
    <definedName name="_16Excel_BuiltIn_Print_Titles_1" localSheetId="1">#REF!</definedName>
    <definedName name="_16Excel_BuiltIn_Print_Titles_1">#REF!</definedName>
    <definedName name="_18_b_1">#REF!</definedName>
    <definedName name="_193Excel_BuiltIn_Print_Titles_1">#REF!</definedName>
    <definedName name="_2__123Graph_BGAE_2" hidden="1">'[1]data-hujan'!$E$14:$AC$14</definedName>
    <definedName name="_21_b_1">#REF!</definedName>
    <definedName name="_23_g_1">#REF!</definedName>
    <definedName name="_27_g_1">#REF!</definedName>
    <definedName name="_28_n_1">#REF!</definedName>
    <definedName name="_29Excel_BuiltIn_Database_1">#REF!</definedName>
    <definedName name="_3__123Graph_CGAE_2" hidden="1">'[1]data-hujan'!$E$15:$AC$15</definedName>
    <definedName name="_30Excel_BuiltIn_Print_Area_1">#REF!</definedName>
    <definedName name="_33_n_1">#REF!</definedName>
    <definedName name="_34Excel_BuiltIn_Database_1">#REF!</definedName>
    <definedName name="_35Excel_BuiltIn_Print_Area_1">#REF!</definedName>
    <definedName name="_35Excel_BuiltIn_Print_Area_31_1">#REF!</definedName>
    <definedName name="_39_A_1">#REF!</definedName>
    <definedName name="_4__123Graph_DGAE_2" hidden="1">'[1]data-hujan'!$E$16:$AC$16</definedName>
    <definedName name="_40Excel_BuiltIn_Print_Titles_1">#REF!</definedName>
    <definedName name="_41Excel_BuiltIn_Print_Area_31_1">'[6]Kap Rinci'!#REF!</definedName>
    <definedName name="_432">432</definedName>
    <definedName name="_47Excel_BuiltIn_Print_Titles_1">#REF!</definedName>
    <definedName name="_5__123Graph_EGAE_2" hidden="1">'[1]data-hujan'!$E$17:$AC$17</definedName>
    <definedName name="_6__123Graph_FGAE_2" hidden="1">'[1]data-hujan'!$E$18:$K$18</definedName>
    <definedName name="_69_b_1">#REF!</definedName>
    <definedName name="_7__123Graph_XGAE_2" hidden="1">'[1]data-hujan'!$E$3:$AC$3</definedName>
    <definedName name="_8_0_1" localSheetId="1">#REF!</definedName>
    <definedName name="_8_0_1">#REF!</definedName>
    <definedName name="_8311" localSheetId="1">#REF!</definedName>
    <definedName name="_8311">#REF!</definedName>
    <definedName name="_8311_1">"$#REF!.$C$24"</definedName>
    <definedName name="_9_0_1">#REF!</definedName>
    <definedName name="_9_A_1" localSheetId="1">#REF!</definedName>
    <definedName name="_9_A_1">#REF!</definedName>
    <definedName name="_99_g_1">#REF!</definedName>
    <definedName name="_A" localSheetId="1">#REF!</definedName>
    <definedName name="_A">#REF!</definedName>
    <definedName name="_A_1" localSheetId="1">#REF!</definedName>
    <definedName name="_A_1">#REF!</definedName>
    <definedName name="_A_1_1">#REF!</definedName>
    <definedName name="_A_1_1_1">"$#REF!.$#REF!$#REF!"</definedName>
    <definedName name="_A_1_1_1_1">"$#REF!.$#REF!$#REF!"</definedName>
    <definedName name="_A_1_1_1_1_1">"$#REF!.$#REF!$#REF!"</definedName>
    <definedName name="_A_1_1_1_1_1_1">"$#REF!.$#REF!$#REF!"</definedName>
    <definedName name="_A_1_2">"$#REF!.$#REF!$#REF!"</definedName>
    <definedName name="_A_2" localSheetId="1">#REF!</definedName>
    <definedName name="_A_2">#REF!</definedName>
    <definedName name="_A_2_1">"$#REF!.$#REF!$#REF!"</definedName>
    <definedName name="_A_28" localSheetId="1">#REF!</definedName>
    <definedName name="_A_28">#REF!</definedName>
    <definedName name="_A_3" localSheetId="1">#REF!</definedName>
    <definedName name="_A_3">#REF!</definedName>
    <definedName name="_A_3_1">"$#REF!.$#REF!$#REF!"</definedName>
    <definedName name="_A_31" localSheetId="1">#REF!</definedName>
    <definedName name="_A_31">#REF!</definedName>
    <definedName name="_A_58" localSheetId="1">#REF!</definedName>
    <definedName name="_A_58">#REF!</definedName>
    <definedName name="_A_58_1">"$#REF!.$#REF!$#REF!"</definedName>
    <definedName name="_A_7" localSheetId="1">#REF!</definedName>
    <definedName name="_A_7">#REF!</definedName>
    <definedName name="_A_8" localSheetId="1">#REF!</definedName>
    <definedName name="_A_8">#REF!</definedName>
    <definedName name="_A_86" localSheetId="1">#REF!</definedName>
    <definedName name="_A_86">#REF!</definedName>
    <definedName name="_A_86_1">"$#REF!.$#REF!$#REF!"</definedName>
    <definedName name="_A_87" localSheetId="1">#REF!</definedName>
    <definedName name="_A_87">#REF!</definedName>
    <definedName name="_A_87_1">"$#REF!.$#REF!$#REF!"</definedName>
    <definedName name="_A_9" localSheetId="1">#REF!</definedName>
    <definedName name="_A_9">#REF!</definedName>
    <definedName name="_b" localSheetId="1">#REF!</definedName>
    <definedName name="_b">#REF!</definedName>
    <definedName name="_b_1">#REF!</definedName>
    <definedName name="_b_1_1">"$#REF!.$#REF!$#REF!"</definedName>
    <definedName name="_b_1_1_1">"$#REF!.$#REF!$#REF!"</definedName>
    <definedName name="_b_1_1_1_1">"$#REF!.$#REF!$#REF!"</definedName>
    <definedName name="_b_1_1_1_1_1">"$#REF!.$#REF!$#REF!"</definedName>
    <definedName name="_Fill" localSheetId="1" hidden="1">#REF!</definedName>
    <definedName name="_Fill" hidden="1">#REF!</definedName>
    <definedName name="_xlnm._FilterDatabase" localSheetId="11" hidden="1">'Master Harga'!$A$2:$R$93</definedName>
    <definedName name="_g" localSheetId="1">#REF!</definedName>
    <definedName name="_g">#REF!</definedName>
    <definedName name="_g_1">#REF!</definedName>
    <definedName name="_g_1_1">"$#REF!.#REF!#REF!"</definedName>
    <definedName name="_g_1_1_1">"$#REF!.#REF!#REF!"</definedName>
    <definedName name="_g_1_1_1_1">"$#REF!.#REF!#REF!"</definedName>
    <definedName name="_g_1_1_1_1_1">"$#REF!.#REF!#REF!"</definedName>
    <definedName name="_HOME___FR_PGSE" localSheetId="1">#REF!</definedName>
    <definedName name="_HOME___FR_PGSE">#REF!</definedName>
    <definedName name="_HOME___FR_PGSE_1">"$#REF!.$P$2"</definedName>
    <definedName name="_HOME___PG_FRSE" localSheetId="1">#REF!</definedName>
    <definedName name="_HOME___PG_FRSE">#REF!</definedName>
    <definedName name="_HOME___PG_FRSE_1">"$#REF!.$Z$3"</definedName>
    <definedName name="_Key1" localSheetId="1" hidden="1">#REF!</definedName>
    <definedName name="_Key1" hidden="1">#REF!</definedName>
    <definedName name="_Key2" localSheetId="1" hidden="1">#REF!</definedName>
    <definedName name="_Key2" hidden="1">#REF!</definedName>
    <definedName name="_kop2" localSheetId="1">#REF!</definedName>
    <definedName name="_kop2">#REF!</definedName>
    <definedName name="_n" localSheetId="1">#REF!</definedName>
    <definedName name="_n">#REF!</definedName>
    <definedName name="_n_1">#REF!</definedName>
    <definedName name="_n_1_1">"$#REF!.$#REF!$#REF!"</definedName>
    <definedName name="_n_1_1_1">"$#REF!.$#REF!$#REF!"</definedName>
    <definedName name="_n_1_1_1_1">"$#REF!.$#REF!$#REF!"</definedName>
    <definedName name="_n_1_1_1_1_1">"$#REF!.$#REF!$#REF!"</definedName>
    <definedName name="_Order1" hidden="1">255</definedName>
    <definedName name="_Order2" hidden="1">0</definedName>
    <definedName name="_PG" localSheetId="1">[7]XXXXXXXXXXXX!#REF!</definedName>
    <definedName name="_PG">[7]XXXXXXXXXXXX!#REF!</definedName>
    <definedName name="_PG_1">"'file:///A:/BG2000/Upah SKU Budget 2000.xls'#$XXXXXXXXXXXX.$#REF!$#REF!"</definedName>
    <definedName name="_Regression_Int">1</definedName>
    <definedName name="_s2" localSheetId="1">#REF!</definedName>
    <definedName name="_s2">#REF!</definedName>
    <definedName name="_SKF1" localSheetId="1">#REF!</definedName>
    <definedName name="_SKF1">#REF!</definedName>
    <definedName name="_SKF2" localSheetId="1">#REF!</definedName>
    <definedName name="_SKF2">#REF!</definedName>
    <definedName name="_Sort" localSheetId="1" hidden="1">#REF!</definedName>
    <definedName name="_Sort" hidden="1">#REF!</definedName>
    <definedName name="A">#N/A</definedName>
    <definedName name="A_1">"$#REF!.$#REF!$#REF!"</definedName>
    <definedName name="aa">#N/A</definedName>
    <definedName name="aa_1">"$#REF!.#REF!#REF!"</definedName>
    <definedName name="are" localSheetId="1">#REF!</definedName>
    <definedName name="are">#REF!</definedName>
    <definedName name="are_1">"$#REF!.$A$8:$G$57"</definedName>
    <definedName name="ari" localSheetId="1">#REF!</definedName>
    <definedName name="ari">#REF!</definedName>
    <definedName name="ari_1">"$#REF!.$D$1:$DT$48"</definedName>
    <definedName name="ASE" localSheetId="1" hidden="1">#REF!</definedName>
    <definedName name="ASE" hidden="1">#REF!</definedName>
    <definedName name="bab" hidden="1">'[8]data-hujan'!$E$14:$AC$14</definedName>
    <definedName name="BBB" localSheetId="1" hidden="1">#REF!</definedName>
    <definedName name="BBB" hidden="1">#REF!</definedName>
    <definedName name="bln">#N/A</definedName>
    <definedName name="bln_1">"$#REF!.$#REF!#REF!"</definedName>
    <definedName name="bulanan" hidden="1">'[8]data-hujan'!$E$17:$AC$17</definedName>
    <definedName name="capital">#N/A</definedName>
    <definedName name="capital_1">"$#REF!.#REF!#REF!"</definedName>
    <definedName name="CC" localSheetId="1">#REF!</definedName>
    <definedName name="CC">#REF!</definedName>
    <definedName name="CC_1">"$#REF!.$B$7:$AL$85"</definedName>
    <definedName name="CC_31" localSheetId="1">#REF!</definedName>
    <definedName name="CC_31">#REF!</definedName>
    <definedName name="CC_7" localSheetId="1">#REF!</definedName>
    <definedName name="CC_7">#REF!</definedName>
    <definedName name="CCC" localSheetId="1">#REF!</definedName>
    <definedName name="CCC">#REF!</definedName>
    <definedName name="Cetak" localSheetId="1">'[9]Pk prod'!#REF!</definedName>
    <definedName name="Cetak">'[9]Pk prod'!#REF!</definedName>
    <definedName name="_xlnm.Database" localSheetId="1">#REF!</definedName>
    <definedName name="_xlnm.Database">#REF!</definedName>
    <definedName name="dea">#N/A</definedName>
    <definedName name="dea_1">"$#REF!.$#REF!#REF!"</definedName>
    <definedName name="df" localSheetId="1">'[10]GRFK BJR_SBH_02'!#REF!</definedName>
    <definedName name="df">'[10]GRFK BJR_SBH_02'!#REF!</definedName>
    <definedName name="edar">#N/A</definedName>
    <definedName name="edar_1">"$#REF!.#REF!#REF!"</definedName>
    <definedName name="ee" localSheetId="1" hidden="1">#REF!</definedName>
    <definedName name="ee" hidden="1">#REF!</definedName>
    <definedName name="er" localSheetId="1">#REF!</definedName>
    <definedName name="er">#REF!</definedName>
    <definedName name="er_1">"$#REF!.$A$1:$S$65"</definedName>
    <definedName name="Excel_BuiltIn_Database" localSheetId="1">#REF!</definedName>
    <definedName name="Excel_BuiltIn_Database">#REF!</definedName>
    <definedName name="Excel_BuiltIn_Database_1">#REF!</definedName>
    <definedName name="Excel_BuiltIn_Database_1_1">"$#REF!.$A$1:$AZ$59"</definedName>
    <definedName name="Excel_BuiltIn_Database_1_1_1">"$#REF!.$A$1:$AZ$61"</definedName>
    <definedName name="Excel_BuiltIn_Database_1_1_1_1">"$#REF!.$A$1:$AZ$61"</definedName>
    <definedName name="Excel_BuiltIn_Database_1_1_1_1_1">"$#REF!.$A$1:$AZ$61"</definedName>
    <definedName name="Excel_BuiltIn_Print_Area" localSheetId="1">#REF!</definedName>
    <definedName name="Excel_BuiltIn_Print_Area">#REF!</definedName>
    <definedName name="Excel_BuiltIn_Print_Area_1">"$#REF!.$A$2:$R$24"</definedName>
    <definedName name="Excel_BuiltIn_Print_Area_1_1">"$#REF!.$A$2:$R$24"</definedName>
    <definedName name="Excel_BuiltIn_Print_Area_1_1_1">"$#REF!.$A$33:$M$46"</definedName>
    <definedName name="Excel_BuiltIn_Print_Area_1_1_1_1">"$#REF!.$A$33:$M$46"</definedName>
    <definedName name="Excel_BuiltIn_Print_Area_1_1_1_1_1">"$#REF!.$A$31:$M$44"</definedName>
    <definedName name="Excel_BuiltIn_Print_Area_1_1_1_1_1_1">"$#REF!.$A$31:$M$44"</definedName>
    <definedName name="Excel_BuiltIn_Print_Area_1_2">"$#REF!.$A$2:$R$24"</definedName>
    <definedName name="Excel_BuiltIn_Print_Area_1_2_1">#REF!</definedName>
    <definedName name="Excel_BuiltIn_Print_Area_18" localSheetId="1">'[11]GRFK BJR_TT_00'!#REF!</definedName>
    <definedName name="Excel_BuiltIn_Print_Area_18">'[11]GRFK BJR_TT_00'!#REF!</definedName>
    <definedName name="Excel_BuiltIn_Print_Area_18_1">"'file://BKB-CBC/Documents/BUDGET 2009/Hand Out 2009/PLANTATION OPERATION F/PRESENTASI 2006/PRESENTASI PROGRESS 2006_MANAGER_DATA_BLANGKO 2006.xls'#$'GRFK BJR_TT_00'.$#REF!$#REF!:$#REF!$#REF!"</definedName>
    <definedName name="Excel_BuiltIn_Print_Area_18_4">"'file://BKB-CBC/Data Yitno/PRESENTASE BUDGET-2008/PLANTATION OPERATION F/PRESENTASI 2006/PRESENTASI PROGRESS 2006_MANAGER_DATA_BLANGKO 2006.xls'#$'GRFK BJR_TT_00'.$#REF!$#REF!:$#REF!$#REF!"</definedName>
    <definedName name="Excel_BuiltIn_Print_Area_18_6">"'file://BKB-CBC/Data Yitno/PRESENTASE BUDGET-2008/PLANTATION OPERATION F/PRESENTASI 2006/PRESENTASI PROGRESS 2006_MANAGER_DATA_BLANGKO 2006.xls'#$'GRFK BJR_TT_00'.$#REF!$#REF!:$#REF!$#REF!"</definedName>
    <definedName name="Excel_BuiltIn_Print_Area_19" localSheetId="1">'[11]GRFK BJR_TT_01'!#REF!</definedName>
    <definedName name="Excel_BuiltIn_Print_Area_19">'[11]GRFK BJR_TT_01'!#REF!</definedName>
    <definedName name="Excel_BuiltIn_Print_Area_19_1">"'file://BKB-CBC/Documents/BUDGET 2009/Hand Out 2009/PLANTATION OPERATION F/PRESENTASI 2006/PRESENTASI PROGRESS 2006_MANAGER_DATA_BLANGKO 2006.xls'#$'GRFK BJR_TT_01'.$#REF!$#REF!:$#REF!$#REF!"</definedName>
    <definedName name="Excel_BuiltIn_Print_Area_19_4">"'file://BKB-CBC/Data Yitno/PRESENTASE BUDGET-2008/PLANTATION OPERATION F/PRESENTASI 2006/PRESENTASI PROGRESS 2006_MANAGER_DATA_BLANGKO 2006.xls'#$'GRFK BJR_TT_01'.$#REF!$#REF!:$#REF!$#REF!"</definedName>
    <definedName name="Excel_BuiltIn_Print_Area_19_6">"'file://BKB-CBC/Data Yitno/PRESENTASE BUDGET-2008/PLANTATION OPERATION F/PRESENTASI 2006/PRESENTASI PROGRESS 2006_MANAGER_DATA_BLANGKO 2006.xls'#$'GRFK BJR_TT_01'.$#REF!$#REF!:$#REF!$#REF!"</definedName>
    <definedName name="Excel_BuiltIn_Print_Area_2">#REF!</definedName>
    <definedName name="Excel_BuiltIn_Print_Area_20" localSheetId="1">'[11]GRFK BJR_TT_02'!#REF!</definedName>
    <definedName name="Excel_BuiltIn_Print_Area_20">'[11]GRFK BJR_TT_02'!#REF!</definedName>
    <definedName name="Excel_BuiltIn_Print_Area_20_1">"'file://BKB-CBC/Documents/BUDGET 2009/Hand Out 2009/PLANTATION OPERATION F/PRESENTASI 2006/PRESENTASI PROGRESS 2006_MANAGER_DATA_BLANGKO 2006.xls'#$'GRFK BJR_TT_02'.$#REF!$#REF!:$#REF!$#REF!"</definedName>
    <definedName name="Excel_BuiltIn_Print_Area_20_4">"'file://BKB-CBC/Data Yitno/PRESENTASE BUDGET-2008/PLANTATION OPERATION F/PRESENTASI 2006/PRESENTASI PROGRESS 2006_MANAGER_DATA_BLANGKO 2006.xls'#$'GRFK BJR_TT_02'.$#REF!$#REF!:$#REF!$#REF!"</definedName>
    <definedName name="Excel_BuiltIn_Print_Area_20_6">"'file://BKB-CBC/Data Yitno/PRESENTASE BUDGET-2008/PLANTATION OPERATION F/PRESENTASI 2006/PRESENTASI PROGRESS 2006_MANAGER_DATA_BLANGKO 2006.xls'#$'GRFK BJR_TT_02'.$#REF!$#REF!:$#REF!$#REF!"</definedName>
    <definedName name="Excel_BuiltIn_Print_Area_21" localSheetId="1">'[11]GRFK BJR_TT_03'!#REF!</definedName>
    <definedName name="Excel_BuiltIn_Print_Area_21">'[11]GRFK BJR_TT_03'!#REF!</definedName>
    <definedName name="Excel_BuiltIn_Print_Area_21_1">"'file://BKB-CBC/Documents/BUDGET 2009/Hand Out 2009/PLANTATION OPERATION F/PRESENTASI 2006/PRESENTASI PROGRESS 2006_MANAGER_DATA_BLANGKO 2006.xls'#$'GRFK BJR_TT_03'.$#REF!$#REF!:$#REF!$#REF!"</definedName>
    <definedName name="Excel_BuiltIn_Print_Area_21_4">"'file://BKB-CBC/Data Yitno/PRESENTASE BUDGET-2008/PLANTATION OPERATION F/PRESENTASI 2006/PRESENTASI PROGRESS 2006_MANAGER_DATA_BLANGKO 2006.xls'#$'GRFK BJR_TT_03'.$#REF!$#REF!:$#REF!$#REF!"</definedName>
    <definedName name="Excel_BuiltIn_Print_Area_21_6">"'file://BKB-CBC/Data Yitno/PRESENTASE BUDGET-2008/PLANTATION OPERATION F/PRESENTASI 2006/PRESENTASI PROGRESS 2006_MANAGER_DATA_BLANGKO 2006.xls'#$'GRFK BJR_TT_03'.$#REF!$#REF!:$#REF!$#REF!"</definedName>
    <definedName name="Excel_BuiltIn_Print_Area_22" localSheetId="1">'[11]GRFK BJR_TT_04'!#REF!</definedName>
    <definedName name="Excel_BuiltIn_Print_Area_22">'[11]GRFK BJR_TT_04'!#REF!</definedName>
    <definedName name="Excel_BuiltIn_Print_Area_22_1">"'file://BKB-CBC/Documents/BUDGET 2009/Hand Out 2009/PLANTATION OPERATION F/PRESENTASI 2006/PRESENTASI PROGRESS 2006_MANAGER_DATA_BLANGKO 2006.xls'#$'GRFK BJR_TT_04'.$#REF!$#REF!:$#REF!$#REF!"</definedName>
    <definedName name="Excel_BuiltIn_Print_Area_22_4">"'file://BKB-CBC/Data Yitno/PRESENTASE BUDGET-2008/PLANTATION OPERATION F/PRESENTASI 2006/PRESENTASI PROGRESS 2006_MANAGER_DATA_BLANGKO 2006.xls'#$'GRFK BJR_TT_04'.$#REF!$#REF!:$#REF!$#REF!"</definedName>
    <definedName name="Excel_BuiltIn_Print_Area_22_6">"'file://BKB-CBC/Data Yitno/PRESENTASE BUDGET-2008/PLANTATION OPERATION F/PRESENTASI 2006/PRESENTASI PROGRESS 2006_MANAGER_DATA_BLANGKO 2006.xls'#$'GRFK BJR_TT_04'.$#REF!$#REF!:$#REF!$#REF!"</definedName>
    <definedName name="Excel_BuiltIn_Print_Area_23" localSheetId="1">'[11]GRFK BJR_SBB_00'!#REF!</definedName>
    <definedName name="Excel_BuiltIn_Print_Area_23">'[11]GRFK BJR_SBB_00'!#REF!</definedName>
    <definedName name="Excel_BuiltIn_Print_Area_23_1">"'file://BKB-CBC/Documents/BUDGET 2009/Hand Out 2009/PLANTATION OPERATION F/PRESENTASI 2006/PRESENTASI PROGRESS 2006_MANAGER_DATA_BLANGKO 2006.xls'#$'GRFK BJR_SBB_00'.$#REF!$#REF!:$#REF!$#REF!"</definedName>
    <definedName name="Excel_BuiltIn_Print_Area_23_4">"'file://BKB-CBC/Data Yitno/PRESENTASE BUDGET-2008/PLANTATION OPERATION F/PRESENTASI 2006/PRESENTASI PROGRESS 2006_MANAGER_DATA_BLANGKO 2006.xls'#$'GRFK BJR_SBB_00'.$#REF!$#REF!:$#REF!$#REF!"</definedName>
    <definedName name="Excel_BuiltIn_Print_Area_23_6">"'file://BKB-CBC/Data Yitno/PRESENTASE BUDGET-2008/PLANTATION OPERATION F/PRESENTASI 2006/PRESENTASI PROGRESS 2006_MANAGER_DATA_BLANGKO 2006.xls'#$'GRFK BJR_SBB_00'.$#REF!$#REF!:$#REF!$#REF!"</definedName>
    <definedName name="Excel_BuiltIn_Print_Area_24" localSheetId="1">'[11]GRFK BJR_SBB_01'!#REF!</definedName>
    <definedName name="Excel_BuiltIn_Print_Area_24">'[11]GRFK BJR_SBB_01'!#REF!</definedName>
    <definedName name="Excel_BuiltIn_Print_Area_24_1">"'file://BKB-CBC/Documents/BUDGET 2009/Hand Out 2009/PLANTATION OPERATION F/PRESENTASI 2006/PRESENTASI PROGRESS 2006_MANAGER_DATA_BLANGKO 2006.xls'#$'GRFK BJR_SBB_01'.$#REF!$#REF!:$#REF!$#REF!"</definedName>
    <definedName name="Excel_BuiltIn_Print_Area_24_4">"'file://BKB-CBC/Data Yitno/PRESENTASE BUDGET-2008/PLANTATION OPERATION F/PRESENTASI 2006/PRESENTASI PROGRESS 2006_MANAGER_DATA_BLANGKO 2006.xls'#$'GRFK BJR_SBB_01'.$#REF!$#REF!:$#REF!$#REF!"</definedName>
    <definedName name="Excel_BuiltIn_Print_Area_24_6">"'file://BKB-CBC/Data Yitno/PRESENTASE BUDGET-2008/PLANTATION OPERATION F/PRESENTASI 2006/PRESENTASI PROGRESS 2006_MANAGER_DATA_BLANGKO 2006.xls'#$'GRFK BJR_SBB_01'.$#REF!$#REF!:$#REF!$#REF!"</definedName>
    <definedName name="Excel_BuiltIn_Print_Area_25" localSheetId="1">'[11]GRFK BJR_SBB_02'!#REF!</definedName>
    <definedName name="Excel_BuiltIn_Print_Area_25">'[11]GRFK BJR_SBB_02'!#REF!</definedName>
    <definedName name="Excel_BuiltIn_Print_Area_25_1">"'file://BKB-CBC/Documents/BUDGET 2009/Hand Out 2009/PLANTATION OPERATION F/PRESENTASI 2006/PRESENTASI PROGRESS 2006_MANAGER_DATA_BLANGKO 2006.xls'#$'GRFK BJR_SBB_02'.$#REF!$#REF!:$#REF!$#REF!"</definedName>
    <definedName name="Excel_BuiltIn_Print_Area_25_4">"'file://BKB-CBC/Data Yitno/PRESENTASE BUDGET-2008/PLANTATION OPERATION F/PRESENTASI 2006/PRESENTASI PROGRESS 2006_MANAGER_DATA_BLANGKO 2006.xls'#$'GRFK BJR_SBB_02'.$#REF!$#REF!:$#REF!$#REF!"</definedName>
    <definedName name="Excel_BuiltIn_Print_Area_25_6">"'file://BKB-CBC/Data Yitno/PRESENTASE BUDGET-2008/PLANTATION OPERATION F/PRESENTASI 2006/PRESENTASI PROGRESS 2006_MANAGER_DATA_BLANGKO 2006.xls'#$'GRFK BJR_SBB_02'.$#REF!$#REF!:$#REF!$#REF!"</definedName>
    <definedName name="Excel_BuiltIn_Print_Area_26" localSheetId="1">'[11]GRFK BJR_TGS_01'!#REF!</definedName>
    <definedName name="Excel_BuiltIn_Print_Area_26">'[11]GRFK BJR_TGS_01'!#REF!</definedName>
    <definedName name="Excel_BuiltIn_Print_Area_26_1">"'file://BKB-CBC/Documents/BUDGET 2009/Hand Out 2009/PLANTATION OPERATION F/PRESENTASI 2006/PRESENTASI PROGRESS 2006_MANAGER_DATA_BLANGKO 2006.xls'#$'GRFK BJR_TGS_01'.$#REF!$#REF!:$#REF!$#REF!"</definedName>
    <definedName name="Excel_BuiltIn_Print_Area_26_4">"'file://BKB-CBC/Data Yitno/PRESENTASE BUDGET-2008/PLANTATION OPERATION F/PRESENTASI 2006/PRESENTASI PROGRESS 2006_MANAGER_DATA_BLANGKO 2006.xls'#$'GRFK BJR_TGS_01'.$#REF!$#REF!:$#REF!$#REF!"</definedName>
    <definedName name="Excel_BuiltIn_Print_Area_26_6">"'file://BKB-CBC/Data Yitno/PRESENTASE BUDGET-2008/PLANTATION OPERATION F/PRESENTASI 2006/PRESENTASI PROGRESS 2006_MANAGER_DATA_BLANGKO 2006.xls'#$'GRFK BJR_TGS_01'.$#REF!$#REF!:$#REF!$#REF!"</definedName>
    <definedName name="Excel_BuiltIn_Print_Area_27" localSheetId="1">'[11]GRFK BJR_TGS_02'!#REF!</definedName>
    <definedName name="Excel_BuiltIn_Print_Area_27">'[11]GRFK BJR_TGS_02'!#REF!</definedName>
    <definedName name="Excel_BuiltIn_Print_Area_27_1">"'file://BKB-CBC/Documents/BUDGET 2009/Hand Out 2009/PLANTATION OPERATION F/PRESENTASI 2006/PRESENTASI PROGRESS 2006_MANAGER_DATA_BLANGKO 2006.xls'#$'GRFK BJR_TGS_02'.$#REF!$#REF!:$#REF!$#REF!"</definedName>
    <definedName name="Excel_BuiltIn_Print_Area_27_4">"'file://BKB-CBC/Data Yitno/PRESENTASE BUDGET-2008/PLANTATION OPERATION F/PRESENTASI 2006/PRESENTASI PROGRESS 2006_MANAGER_DATA_BLANGKO 2006.xls'#$'GRFK BJR_TGS_02'.$#REF!$#REF!:$#REF!$#REF!"</definedName>
    <definedName name="Excel_BuiltIn_Print_Area_27_6">"'file://BKB-CBC/Data Yitno/PRESENTASE BUDGET-2008/PLANTATION OPERATION F/PRESENTASI 2006/PRESENTASI PROGRESS 2006_MANAGER_DATA_BLANGKO 2006.xls'#$'GRFK BJR_TGS_02'.$#REF!$#REF!:$#REF!$#REF!"</definedName>
    <definedName name="Excel_BuiltIn_Print_Area_28" localSheetId="1">'[11]GRFK BJR_TGS_03'!#REF!</definedName>
    <definedName name="Excel_BuiltIn_Print_Area_28">'[11]GRFK BJR_TGS_03'!#REF!</definedName>
    <definedName name="Excel_BuiltIn_Print_Area_28_1">"'file://BKB-CBC/Documents/BUDGET 2009/Hand Out 2009/PLANTATION OPERATION F/PRESENTASI 2006/PRESENTASI PROGRESS 2006_MANAGER_DATA_BLANGKO 2006.xls'#$'GRFK BJR_TGS_03'.$#REF!$#REF!:$#REF!$#REF!"</definedName>
    <definedName name="Excel_BuiltIn_Print_Area_28_4">"'file://BKB-CBC/Data Yitno/PRESENTASE BUDGET-2008/PLANTATION OPERATION F/PRESENTASI 2006/PRESENTASI PROGRESS 2006_MANAGER_DATA_BLANGKO 2006.xls'#$'GRFK BJR_TGS_03'.$#REF!$#REF!:$#REF!$#REF!"</definedName>
    <definedName name="Excel_BuiltIn_Print_Area_28_6">"'file://BKB-CBC/Data Yitno/PRESENTASE BUDGET-2008/PLANTATION OPERATION F/PRESENTASI 2006/PRESENTASI PROGRESS 2006_MANAGER_DATA_BLANGKO 2006.xls'#$'GRFK BJR_TGS_03'.$#REF!$#REF!:$#REF!$#REF!"</definedName>
    <definedName name="Excel_BuiltIn_Print_Area_29" localSheetId="1">'[11]GRFK BJR_SK1_01'!#REF!</definedName>
    <definedName name="Excel_BuiltIn_Print_Area_29">'[11]GRFK BJR_SK1_01'!#REF!</definedName>
    <definedName name="Excel_BuiltIn_Print_Area_29_1">"'file://BKB-CBC/Documents/BUDGET 2009/Hand Out 2009/PLANTATION OPERATION F/PRESENTASI 2006/PRESENTASI PROGRESS 2006_MANAGER_DATA_BLANGKO 2006.xls'#$'GRFK BJR_SK1_01'.$#REF!$#REF!:$#REF!$#REF!"</definedName>
    <definedName name="Excel_BuiltIn_Print_Area_29_4">"'file://BKB-CBC/Data Yitno/PRESENTASE BUDGET-2008/PLANTATION OPERATION F/PRESENTASI 2006/PRESENTASI PROGRESS 2006_MANAGER_DATA_BLANGKO 2006.xls'#$'GRFK BJR_SK1_01'.$#REF!$#REF!:$#REF!$#REF!"</definedName>
    <definedName name="Excel_BuiltIn_Print_Area_29_6">"'file://BKB-CBC/Data Yitno/PRESENTASE BUDGET-2008/PLANTATION OPERATION F/PRESENTASI 2006/PRESENTASI PROGRESS 2006_MANAGER_DATA_BLANGKO 2006.xls'#$'GRFK BJR_SK1_01'.$#REF!$#REF!:$#REF!$#REF!"</definedName>
    <definedName name="Excel_BuiltIn_Print_Area_30" localSheetId="1">'[11]GRFK BJR_SKB_03'!#REF!</definedName>
    <definedName name="Excel_BuiltIn_Print_Area_30">'[11]GRFK BJR_SKB_03'!#REF!</definedName>
    <definedName name="Excel_BuiltIn_Print_Area_30_1">"'file://BKB-CBC/Documents/BUDGET 2009/Hand Out 2009/PLANTATION OPERATION F/PRESENTASI 2006/PRESENTASI PROGRESS 2006_MANAGER_DATA_BLANGKO 2006.xls'#$'GRFK BJR_SKB_03'.$#REF!$#REF!:$#REF!$#REF!"</definedName>
    <definedName name="Excel_BuiltIn_Print_Area_30_4">"'file://BKB-CBC/Data Yitno/PRESENTASE BUDGET-2008/PLANTATION OPERATION F/PRESENTASI 2006/PRESENTASI PROGRESS 2006_MANAGER_DATA_BLANGKO 2006.xls'#$'GRFK BJR_SKB_03'.$#REF!$#REF!:$#REF!$#REF!"</definedName>
    <definedName name="Excel_BuiltIn_Print_Area_30_6">"'file://BKB-CBC/Data Yitno/PRESENTASE BUDGET-2008/PLANTATION OPERATION F/PRESENTASI 2006/PRESENTASI PROGRESS 2006_MANAGER_DATA_BLANGKO 2006.xls'#$'GRFK BJR_SKB_03'.$#REF!$#REF!:$#REF!$#REF!"</definedName>
    <definedName name="Excel_BuiltIn_Print_Area_31" localSheetId="1">'[11]GRFK BJR_SKC_03'!#REF!</definedName>
    <definedName name="Excel_BuiltIn_Print_Area_31">'[11]GRFK BJR_SKC_03'!#REF!</definedName>
    <definedName name="Excel_BuiltIn_Print_Area_31_1">[12]Kapital1!#REF!</definedName>
    <definedName name="Excel_BuiltIn_Print_Area_31_1_1">"'file://BKB-CBC/Documents/BUDGET 2009/Hand Out 2009/PLANTATION OPERATION F/PRESENTASI 2006/PRESENTASI PROGRESS 2006_MANAGER_DATA_BLANGKO 2006.xls'#$'GRFK BJR_SKC_03'.$#REF!$#REF!:$#REF!$#REF!"</definedName>
    <definedName name="Excel_BuiltIn_Print_Area_31_1_1_1">"$#REF!.$#REF!$#REF!:$#REF!$#REF!"</definedName>
    <definedName name="Excel_BuiltIn_Print_Area_31_1_1_1_1">"$#REF!.$#REF!$#REF!:$#REF!$#REF!"</definedName>
    <definedName name="Excel_BuiltIn_Print_Area_31_1_1_1_1_1">"$#REF!.$#REF!$#REF!:$#REF!$#REF!"</definedName>
    <definedName name="Excel_BuiltIn_Print_Area_31_1_1_1_1_1_1">"$#REF!.$#REF!$#REF!:$#REF!$#REF!"</definedName>
    <definedName name="Excel_BuiltIn_Print_Area_31_1_2">'[12]2_acct'!#REF!</definedName>
    <definedName name="Excel_BuiltIn_Print_Area_31_1_3">'[12]3_acct'!#REF!</definedName>
    <definedName name="Excel_BuiltIn_Print_Area_31_4">"'file://BKB-CBC/Data Yitno/PRESENTASE BUDGET-2008/PLANTATION OPERATION F/PRESENTASI 2006/PRESENTASI PROGRESS 2006_MANAGER_DATA_BLANGKO 2006.xls'#$'GRFK BJR_SKC_03'.$#REF!$#REF!:$#REF!$#REF!"</definedName>
    <definedName name="Excel_BuiltIn_Print_Area_31_6">"'file://BKB-CBC/Data Yitno/PRESENTASE BUDGET-2008/PLANTATION OPERATION F/PRESENTASI 2006/PRESENTASI PROGRESS 2006_MANAGER_DATA_BLANGKO 2006.xls'#$'GRFK BJR_SKC_03'.$#REF!$#REF!:$#REF!$#REF!"</definedName>
    <definedName name="Excel_BuiltIn_Print_Area_32" localSheetId="1">'[11]GRFK BJR_MTL_02'!#REF!</definedName>
    <definedName name="Excel_BuiltIn_Print_Area_32">'[11]GRFK BJR_MTL_02'!#REF!</definedName>
    <definedName name="Excel_BuiltIn_Print_Area_32_1">"'file://BKB-CBC/Documents/BUDGET 2009/Hand Out 2009/PLANTATION OPERATION F/PRESENTASI 2006/PRESENTASI PROGRESS 2006_MANAGER_DATA_BLANGKO 2006.xls'#$'GRFK BJR_MTL_02'.$#REF!$#REF!:$#REF!$#REF!"</definedName>
    <definedName name="Excel_BuiltIn_Print_Area_32_4">"'file://BKB-CBC/Data Yitno/PRESENTASE BUDGET-2008/PLANTATION OPERATION F/PRESENTASI 2006/PRESENTASI PROGRESS 2006_MANAGER_DATA_BLANGKO 2006.xls'#$'GRFK BJR_MTL_02'.$#REF!$#REF!:$#REF!$#REF!"</definedName>
    <definedName name="Excel_BuiltIn_Print_Area_32_6">"'file://BKB-CBC/Data Yitno/PRESENTASE BUDGET-2008/PLANTATION OPERATION F/PRESENTASI 2006/PRESENTASI PROGRESS 2006_MANAGER_DATA_BLANGKO 2006.xls'#$'GRFK BJR_MTL_02'.$#REF!$#REF!:$#REF!$#REF!"</definedName>
    <definedName name="Excel_BuiltIn_Print_Area_33" localSheetId="1">'[11]GRFK BJR_SBH_02'!#REF!</definedName>
    <definedName name="Excel_BuiltIn_Print_Area_33">'[11]GRFK BJR_SBH_02'!#REF!</definedName>
    <definedName name="Excel_BuiltIn_Print_Area_33_1">"'file://BKB-CBC/Documents/BUDGET 2009/Hand Out 2009/PLANTATION OPERATION F/PRESENTASI 2006/PRESENTASI PROGRESS 2006_MANAGER_DATA_BLANGKO 2006.xls'#$'GRFK BJR_SBH_02'.$#REF!$#REF!:$#REF!$#REF!"</definedName>
    <definedName name="Excel_BuiltIn_Print_Area_33_4">"'file://BKB-CBC/Data Yitno/PRESENTASE BUDGET-2008/PLANTATION OPERATION F/PRESENTASI 2006/PRESENTASI PROGRESS 2006_MANAGER_DATA_BLANGKO 2006.xls'#$'GRFK BJR_SBH_02'.$#REF!$#REF!:$#REF!$#REF!"</definedName>
    <definedName name="Excel_BuiltIn_Print_Area_33_6">"'file://BKB-CBC/Data Yitno/PRESENTASE BUDGET-2008/PLANTATION OPERATION F/PRESENTASI 2006/PRESENTASI PROGRESS 2006_MANAGER_DATA_BLANGKO 2006.xls'#$'GRFK BJR_SBH_02'.$#REF!$#REF!:$#REF!$#REF!"</definedName>
    <definedName name="Excel_BuiltIn_Print_Area_34" localSheetId="1">'[11]GRFK BJR_SBH_03'!#REF!</definedName>
    <definedName name="Excel_BuiltIn_Print_Area_34">'[11]GRFK BJR_SBH_03'!#REF!</definedName>
    <definedName name="Excel_BuiltIn_Print_Area_34_1">"'file://BKB-CBC/Documents/BUDGET 2009/Hand Out 2009/PLANTATION OPERATION F/PRESENTASI 2006/PRESENTASI PROGRESS 2006_MANAGER_DATA_BLANGKO 2006.xls'#$'GRFK BJR_SBH_03'.$#REF!$#REF!:$#REF!$#REF!"</definedName>
    <definedName name="Excel_BuiltIn_Print_Area_34_4">"'file://BKB-CBC/Data Yitno/PRESENTASE BUDGET-2008/PLANTATION OPERATION F/PRESENTASI 2006/PRESENTASI PROGRESS 2006_MANAGER_DATA_BLANGKO 2006.xls'#$'GRFK BJR_SBH_03'.$#REF!$#REF!:$#REF!$#REF!"</definedName>
    <definedName name="Excel_BuiltIn_Print_Area_34_6">"'file://BKB-CBC/Data Yitno/PRESENTASE BUDGET-2008/PLANTATION OPERATION F/PRESENTASI 2006/PRESENTASI PROGRESS 2006_MANAGER_DATA_BLANGKO 2006.xls'#$'GRFK BJR_SBH_03'.$#REF!$#REF!:$#REF!$#REF!"</definedName>
    <definedName name="Excel_BuiltIn_Print_Area_35" localSheetId="1">'[11]GRFK BJR_TNB_04'!#REF!</definedName>
    <definedName name="Excel_BuiltIn_Print_Area_35">'[11]GRFK BJR_TNB_04'!#REF!</definedName>
    <definedName name="Excel_BuiltIn_Print_Area_35_1">"'file://BKB-CBC/Documents/BUDGET 2009/Hand Out 2009/PLANTATION OPERATION F/PRESENTASI 2006/PRESENTASI PROGRESS 2006_MANAGER_DATA_BLANGKO 2006.xls'#$'GRFK BJR_TNB_04'.$#REF!$#REF!:$#REF!$#REF!"</definedName>
    <definedName name="Excel_BuiltIn_Print_Area_35_4">"'file://BKB-CBC/Data Yitno/PRESENTASE BUDGET-2008/PLANTATION OPERATION F/PRESENTASI 2006/PRESENTASI PROGRESS 2006_MANAGER_DATA_BLANGKO 2006.xls'#$'GRFK BJR_TNB_04'.$#REF!$#REF!:$#REF!$#REF!"</definedName>
    <definedName name="Excel_BuiltIn_Print_Area_35_6">"'file://BKB-CBC/Data Yitno/PRESENTASE BUDGET-2008/PLANTATION OPERATION F/PRESENTASI 2006/PRESENTASI PROGRESS 2006_MANAGER_DATA_BLANGKO 2006.xls'#$'GRFK BJR_TNB_04'.$#REF!$#REF!:$#REF!$#REF!"</definedName>
    <definedName name="Excel_BuiltIn_Print_Area_36" localSheetId="1">'[11]GRFK BJR_SBU_04'!#REF!</definedName>
    <definedName name="Excel_BuiltIn_Print_Area_36">'[11]GRFK BJR_SBU_04'!#REF!</definedName>
    <definedName name="Excel_BuiltIn_Print_Area_36_1">"'file://BKB-CBC/Documents/BUDGET 2009/Hand Out 2009/PLANTATION OPERATION F/PRESENTASI 2006/PRESENTASI PROGRESS 2006_MANAGER_DATA_BLANGKO 2006.xls'#$'GRFK BJR_SBU_04'.$#REF!$#REF!:$#REF!$#REF!"</definedName>
    <definedName name="Excel_BuiltIn_Print_Area_36_4">"'file://BKB-CBC/Data Yitno/PRESENTASE BUDGET-2008/PLANTATION OPERATION F/PRESENTASI 2006/PRESENTASI PROGRESS 2006_MANAGER_DATA_BLANGKO 2006.xls'#$'GRFK BJR_SBU_04'.$#REF!$#REF!:$#REF!$#REF!"</definedName>
    <definedName name="Excel_BuiltIn_Print_Area_36_6">"'file://BKB-CBC/Data Yitno/PRESENTASE BUDGET-2008/PLANTATION OPERATION F/PRESENTASI 2006/PRESENTASI PROGRESS 2006_MANAGER_DATA_BLANGKO 2006.xls'#$'GRFK BJR_SBU_04'.$#REF!$#REF!:$#REF!$#REF!"</definedName>
    <definedName name="Excel_BuiltIn_Print_Area_38" localSheetId="1">'[11]tonper Ha-TT 2000'!#REF!</definedName>
    <definedName name="Excel_BuiltIn_Print_Area_38">'[11]tonper Ha-TT 2000'!#REF!</definedName>
    <definedName name="Excel_BuiltIn_Print_Area_38_1">"'file://BKB-CBC/Documents/BUDGET 2009/Hand Out 2009/PLANTATION OPERATION F/PRESENTASI 2006/PRESENTASI PROGRESS 2006_MANAGER_DATA_BLANGKO 2006.xls'#$'tonper Ha_TT 2000'.$#REF!$#REF!:$#REF!$#REF!"</definedName>
    <definedName name="Excel_BuiltIn_Print_Area_38_4">"'file://BKB-CBC/Data Yitno/PRESENTASE BUDGET-2008/PLANTATION OPERATION F/PRESENTASI 2006/PRESENTASI PROGRESS 2006_MANAGER_DATA_BLANGKO 2006.xls'#$'tonper Ha_TT 2000'.$#REF!$#REF!:$#REF!$#REF!"</definedName>
    <definedName name="Excel_BuiltIn_Print_Area_38_6">"'file://BKB-CBC/Data Yitno/PRESENTASE BUDGET-2008/PLANTATION OPERATION F/PRESENTASI 2006/PRESENTASI PROGRESS 2006_MANAGER_DATA_BLANGKO 2006.xls'#$'tonper Ha_TT 2000'.$#REF!$#REF!:$#REF!$#REF!"</definedName>
    <definedName name="Excel_BuiltIn_Print_Area_4">#REF!</definedName>
    <definedName name="Excel_BuiltIn_Print_Area_5">"$#REF!.$B$2:$I$24"</definedName>
    <definedName name="Excel_BuiltIn_Print_Area_84" localSheetId="1">'[11]DATA _TM _2_'!#REF!</definedName>
    <definedName name="Excel_BuiltIn_Print_Area_84">'[11]DATA _TM _2_'!#REF!</definedName>
    <definedName name="Excel_BuiltIn_Print_Area_84_1">"'file://BKB-CBC/Documents/BUDGET 2009/Hand Out 2009/PLANTATION OPERATION F/PRESENTASI 2006/PRESENTASI PROGRESS 2006_MANAGER_DATA_BLANGKO 2006.xls'#$'DATA _TM _2_'.$#REF!$#REF!:$#REF!$#REF!"</definedName>
    <definedName name="Excel_BuiltIn_Print_Area_84_4">"'file://BKB-CBC/Data Yitno/PRESENTASE BUDGET-2008/PLANTATION OPERATION F/PRESENTASI 2006/PRESENTASI PROGRESS 2006_MANAGER_DATA_BLANGKO 2006.xls'#$'DATA _TM _2_'.$#REF!$#REF!:$#REF!$#REF!"</definedName>
    <definedName name="Excel_BuiltIn_Print_Area_84_6">"'file://BKB-CBC/Data Yitno/PRESENTASE BUDGET-2008/PLANTATION OPERATION F/PRESENTASI 2006/PRESENTASI PROGRESS 2006_MANAGER_DATA_BLANGKO 2006.xls'#$'DATA _TM _2_'.$#REF!$#REF!:$#REF!$#REF!"</definedName>
    <definedName name="Excel_BuiltIn_Print_Titles" localSheetId="1">#REF!</definedName>
    <definedName name="Excel_BuiltIn_Print_Titles">#REF!</definedName>
    <definedName name="Excel_BuiltIn_Print_Titles_1">#REF!</definedName>
    <definedName name="Excel_BuiltIn_Print_Titles_1_1">"$#REF!.#REF!#REF!"</definedName>
    <definedName name="Excel_BuiltIn_Print_Titles_1_1_1">"$#REF!.#REF!#REF!"</definedName>
    <definedName name="Excel_BuiltIn_Print_Titles_1_1_1_1">"$#REF!.#REF!#REF!"</definedName>
    <definedName name="Excel_BuiltIn_Print_Titles_1_1_1_1_1">"$#REF!.#REF!#REF!"</definedName>
    <definedName name="Excel_BuiltIn_Print_Titles_1_2">#REF!</definedName>
    <definedName name="Excel_BuiltIn_Print_Titles_5">#REF!</definedName>
    <definedName name="Excel_BuiltIn_Print_Titles_7" localSheetId="1">'[11]DATA TAHUN TANAM'!#REF!</definedName>
    <definedName name="Excel_BuiltIn_Print_Titles_7">'[11]DATA TAHUN TANAM'!#REF!</definedName>
    <definedName name="Excel_BuiltIn_Print_Titles_7_1">"'file:///F:/Data Yitno/PRESENTASE BUDGET-2008/PLANTATION OPERATION F/PRESENTASI 2006/PRESENTASI PROGRESS 2006_MANAGER_DATA_BLANGKO 2006.xls'#$'DATA TAHUN TANAM'.$#REF!$#REF!:$#REF!$#REF!"</definedName>
    <definedName name="Excel_BuiltIn_Print_Titles_7_1_1">"'file://BKB-CBC/Documents/BUDGET 2009/Hand Out 2009/PLANTATION OPERATION F/PRESENTASI 2006/PRESENTASI PROGRESS 2006_MANAGER_DATA_BLANGKO 2006.xls'#$'DATA TAHUN TANAM'.$#REF!$#REF!:$#REF!$#REF!"</definedName>
    <definedName name="Excel_BuiltIn_Print_Titles_7_4">"'file://BKB-CBC/Data Yitno/PRESENTASE BUDGET-2008/PLANTATION OPERATION F/PRESENTASI 2006/PRESENTASI PROGRESS 2006_MANAGER_DATA_BLANGKO 2006.xls'#$'DATA TAHUN TANAM'.$#REF!$#REF!:$#REF!$#REF!"</definedName>
    <definedName name="Excel_BuiltIn_Print_Titles_7_6">"'file://BKB-CBC/Data Yitno/PRESENTASE BUDGET-2008/PLANTATION OPERATION F/PRESENTASI 2006/PRESENTASI PROGRESS 2006_MANAGER_DATA_BLANGKO 2006.xls'#$'DATA TAHUN TANAM'.$#REF!$#REF!:$#REF!$#REF!"</definedName>
    <definedName name="f" localSheetId="1">#REF!</definedName>
    <definedName name="f">#REF!</definedName>
    <definedName name="f_1">"$#REF!.$A$1:$S$65"</definedName>
    <definedName name="f_2" localSheetId="1">#REF!</definedName>
    <definedName name="f_2">#REF!</definedName>
    <definedName name="f_2_1">"$#REF!.$A$1:$S$65"</definedName>
    <definedName name="f_28" localSheetId="1">#REF!</definedName>
    <definedName name="f_28">#REF!</definedName>
    <definedName name="f_3" localSheetId="1">#REF!</definedName>
    <definedName name="f_3">#REF!</definedName>
    <definedName name="f_3_1">"$#REF!.$A$1:$S$65"</definedName>
    <definedName name="f_31" localSheetId="1">#REF!</definedName>
    <definedName name="f_31">#REF!</definedName>
    <definedName name="f_58" localSheetId="1">#REF!</definedName>
    <definedName name="f_58">#REF!</definedName>
    <definedName name="f_58_1">"$#REF!.$A$1:$S$65"</definedName>
    <definedName name="f_7" localSheetId="1">#REF!</definedName>
    <definedName name="f_7">#REF!</definedName>
    <definedName name="f_8" localSheetId="1">#REF!</definedName>
    <definedName name="f_8">#REF!</definedName>
    <definedName name="f_86" localSheetId="1">#REF!</definedName>
    <definedName name="f_86">#REF!</definedName>
    <definedName name="f_86_1">"$#REF!.$A$1:$S$65"</definedName>
    <definedName name="f_87" localSheetId="1">#REF!</definedName>
    <definedName name="f_87">#REF!</definedName>
    <definedName name="f_87_1">"$#REF!.$A$1:$S$65"</definedName>
    <definedName name="f_9" localSheetId="1">#REF!</definedName>
    <definedName name="f_9">#REF!</definedName>
    <definedName name="ffff" localSheetId="1">#REF!</definedName>
    <definedName name="ffff">#REF!</definedName>
    <definedName name="FFFFFFFFFFFFFFFFFFFFFFFFFFFFFFFFF" localSheetId="1">#REF!</definedName>
    <definedName name="FFFFFFFFFFFFFFFFFFFFFFFFFFFFFFFFF">#REF!</definedName>
    <definedName name="FFFFFFFFFFFFFFFFFFFFFFFFFFFFFFFFF_1">"$#REF!.$A$1:$S$65"</definedName>
    <definedName name="FORM" localSheetId="1">#REF!</definedName>
    <definedName name="FORM">#REF!</definedName>
    <definedName name="FORM_1">"$#REF!.$A$1:$HX$7301"</definedName>
    <definedName name="FORM_31" localSheetId="1">#REF!</definedName>
    <definedName name="FORM_31">#REF!</definedName>
    <definedName name="gae" localSheetId="1">#REF!</definedName>
    <definedName name="gae">#REF!</definedName>
    <definedName name="gae_1">"$#REF!.$A$12:$AA$69"</definedName>
    <definedName name="gae_2" localSheetId="1">#REF!</definedName>
    <definedName name="gae_2">#REF!</definedName>
    <definedName name="gae_2_1">"$#REF!.$A$12:$AA$69"</definedName>
    <definedName name="gae_28" localSheetId="1">#REF!</definedName>
    <definedName name="gae_28">#REF!</definedName>
    <definedName name="gae_3" localSheetId="1">#REF!</definedName>
    <definedName name="gae_3">#REF!</definedName>
    <definedName name="gae_3_1">"$#REF!.$A$12:$AA$69"</definedName>
    <definedName name="gae_31" localSheetId="1">#REF!</definedName>
    <definedName name="gae_31">#REF!</definedName>
    <definedName name="gae_58" localSheetId="1">#REF!</definedName>
    <definedName name="gae_58">#REF!</definedName>
    <definedName name="gae_58_1">"$#REF!.$A$12:$AA$69"</definedName>
    <definedName name="gae_7" localSheetId="1">#REF!</definedName>
    <definedName name="gae_7">#REF!</definedName>
    <definedName name="gae_8" localSheetId="1">#REF!</definedName>
    <definedName name="gae_8">#REF!</definedName>
    <definedName name="gae_86" localSheetId="1">#REF!</definedName>
    <definedName name="gae_86">#REF!</definedName>
    <definedName name="gae_86_1">"$#REF!.$A$12:$AA$69"</definedName>
    <definedName name="gae_87" localSheetId="1">#REF!</definedName>
    <definedName name="gae_87">#REF!</definedName>
    <definedName name="gae_87_1">"$#REF!.$A$12:$AA$69"</definedName>
    <definedName name="gae_9" localSheetId="1">#REF!</definedName>
    <definedName name="gae_9">#REF!</definedName>
    <definedName name="gusdur" localSheetId="1">#REF!</definedName>
    <definedName name="gusdur">#REF!</definedName>
    <definedName name="gusdur_1">"$#REF!.$A$1:$IV$7"</definedName>
    <definedName name="gusdur2" localSheetId="1">#REF!</definedName>
    <definedName name="gusdur2">#REF!</definedName>
    <definedName name="gusdur2_1">"$#REF!.$A$8:$G$57"</definedName>
    <definedName name="H" localSheetId="1">#REF!</definedName>
    <definedName name="H">#REF!</definedName>
    <definedName name="H_1">"$#REF!.$#REF!$#REF!:$#REF!$#REF!"</definedName>
    <definedName name="Harga" localSheetId="1">#REF!</definedName>
    <definedName name="Harga">#REF!</definedName>
    <definedName name="HGB" localSheetId="1" hidden="1">#REF!</definedName>
    <definedName name="HGB" hidden="1">#REF!</definedName>
    <definedName name="hh" localSheetId="1">#REF!</definedName>
    <definedName name="hh">#REF!</definedName>
    <definedName name="hh_1">"$#REF!.$A$1:$L$31"</definedName>
    <definedName name="HHHHHHHHH" localSheetId="1">#REF!</definedName>
    <definedName name="HHHHHHHHH">#REF!</definedName>
    <definedName name="HHHHHHHHH_1">"$#REF!.$A$1:$S$65"</definedName>
    <definedName name="HHHHHHHHH_2" localSheetId="1">#REF!</definedName>
    <definedName name="HHHHHHHHH_2">#REF!</definedName>
    <definedName name="HHHHHHHHH_2_1">"$#REF!.$A$1:$S$65"</definedName>
    <definedName name="HHHHHHHHH_3" localSheetId="1">#REF!</definedName>
    <definedName name="HHHHHHHHH_3">#REF!</definedName>
    <definedName name="HHHHHHHHH_3_1">"$#REF!.$A$1:$S$65"</definedName>
    <definedName name="HHHHHHHHH_31" localSheetId="1">#REF!</definedName>
    <definedName name="HHHHHHHHH_31">#REF!</definedName>
    <definedName name="HHHHHHHHH_7" localSheetId="1">#REF!</definedName>
    <definedName name="HHHHHHHHH_7">#REF!</definedName>
    <definedName name="HHHHHHHHH_8" localSheetId="1">#REF!</definedName>
    <definedName name="HHHHHHHHH_8">#REF!</definedName>
    <definedName name="HHHHHHHHH_86" localSheetId="1">#REF!</definedName>
    <definedName name="HHHHHHHHH_86">#REF!</definedName>
    <definedName name="HHHHHHHHH_86_1">"$#REF!.$A$1:$S$65"</definedName>
    <definedName name="HHHHHHHHH_9" localSheetId="1">#REF!</definedName>
    <definedName name="HHHHHHHHH_9">#REF!</definedName>
    <definedName name="I" localSheetId="1">#REF!</definedName>
    <definedName name="I">#REF!</definedName>
    <definedName name="I_1">"$#REF!.$#REF!$#REF!:$#REF!$#REF!"</definedName>
    <definedName name="I_26" localSheetId="1">#REF!</definedName>
    <definedName name="I_26">#REF!</definedName>
    <definedName name="I_27" localSheetId="1">#REF!</definedName>
    <definedName name="I_27">#REF!</definedName>
    <definedName name="I_28" localSheetId="1">#REF!</definedName>
    <definedName name="I_28">#REF!</definedName>
    <definedName name="I_31" localSheetId="1">#REF!</definedName>
    <definedName name="I_31">#REF!</definedName>
    <definedName name="I_7" localSheetId="1">#REF!</definedName>
    <definedName name="I_7">#REF!</definedName>
    <definedName name="jj">#N/A</definedName>
    <definedName name="jj_1">"$#REF!.#REF!#REF!"</definedName>
    <definedName name="joko">'[13]GRFK BJR_TT_02'!#REF!</definedName>
    <definedName name="JUDUL" localSheetId="1">#REF!</definedName>
    <definedName name="JUDUL">#REF!</definedName>
    <definedName name="JUDUL_1">"$#REF!.$A$1:$U$129"</definedName>
    <definedName name="JUDUL_2" localSheetId="1">#REF!</definedName>
    <definedName name="JUDUL_2">#REF!</definedName>
    <definedName name="JUDUL_2_1">"$#REF!.$A$1:$U$129"</definedName>
    <definedName name="JUDUL_28" localSheetId="1">#REF!</definedName>
    <definedName name="JUDUL_28">#REF!</definedName>
    <definedName name="JUDUL_3" localSheetId="1">#REF!</definedName>
    <definedName name="JUDUL_3">#REF!</definedName>
    <definedName name="JUDUL_3_1">"$#REF!.$A$1:$U$129"</definedName>
    <definedName name="JUDUL_31" localSheetId="1">#REF!</definedName>
    <definedName name="JUDUL_31">#REF!</definedName>
    <definedName name="JUDUL_58" localSheetId="1">#REF!</definedName>
    <definedName name="JUDUL_58">#REF!</definedName>
    <definedName name="JUDUL_58_1">"$#REF!.$A$1:$U$129"</definedName>
    <definedName name="JUDUL_7" localSheetId="1">#REF!</definedName>
    <definedName name="JUDUL_7">#REF!</definedName>
    <definedName name="JUDUL_8" localSheetId="1">#REF!</definedName>
    <definedName name="JUDUL_8">#REF!</definedName>
    <definedName name="JUDUL_86" localSheetId="1">#REF!</definedName>
    <definedName name="JUDUL_86">#REF!</definedName>
    <definedName name="JUDUL_86_1">"$#REF!.$A$1:$U$129"</definedName>
    <definedName name="JUDUL_87" localSheetId="1">#REF!</definedName>
    <definedName name="JUDUL_87">#REF!</definedName>
    <definedName name="JUDUL_87_1">"$#REF!.$A$1:$U$129"</definedName>
    <definedName name="JUDUL_9" localSheetId="1">#REF!</definedName>
    <definedName name="JUDUL_9">#REF!</definedName>
    <definedName name="kajfak" localSheetId="1">#REF!</definedName>
    <definedName name="kajfak">#REF!</definedName>
    <definedName name="kajfak_1">"$#REF!.$A$1:$IV$7"</definedName>
    <definedName name="kap" localSheetId="1" hidden="1">#REF!</definedName>
    <definedName name="kap" hidden="1">#REF!</definedName>
    <definedName name="kapital" localSheetId="1" hidden="1">[14]CH!#REF!</definedName>
    <definedName name="kapital" hidden="1">[14]CH!#REF!</definedName>
    <definedName name="Kd_Acc" localSheetId="1">#REF!</definedName>
    <definedName name="Kd_Acc">#REF!</definedName>
    <definedName name="Kd_Afd" localSheetId="1">#REF!</definedName>
    <definedName name="Kd_Afd">#REF!</definedName>
    <definedName name="kk">"$#REF!.$B$1:$W$59"</definedName>
    <definedName name="knj" localSheetId="1">#REF!</definedName>
    <definedName name="knj">#REF!</definedName>
    <definedName name="knj_1">"$#REF!.$A$1:$IV$9"</definedName>
    <definedName name="knj_2" localSheetId="1">#REF!</definedName>
    <definedName name="knj_2">#REF!</definedName>
    <definedName name="knj_28" localSheetId="1">#REF!</definedName>
    <definedName name="knj_28">#REF!</definedName>
    <definedName name="knj_3" localSheetId="1">#REF!</definedName>
    <definedName name="knj_3">#REF!</definedName>
    <definedName name="knj_31" localSheetId="1">#REF!</definedName>
    <definedName name="knj_31">#REF!</definedName>
    <definedName name="knj_58" localSheetId="1">#REF!</definedName>
    <definedName name="knj_58">#REF!</definedName>
    <definedName name="knj_7" localSheetId="1">#REF!</definedName>
    <definedName name="knj_7">#REF!</definedName>
    <definedName name="knj_8" localSheetId="1">#REF!</definedName>
    <definedName name="knj_8">#REF!</definedName>
    <definedName name="knj_86" localSheetId="1">#REF!</definedName>
    <definedName name="knj_86">#REF!</definedName>
    <definedName name="knj_87" localSheetId="1">#REF!</definedName>
    <definedName name="knj_87">#REF!</definedName>
    <definedName name="knj_9" localSheetId="1">#REF!</definedName>
    <definedName name="knj_9">#REF!</definedName>
    <definedName name="kop" localSheetId="1">#REF!</definedName>
    <definedName name="kop">#REF!</definedName>
    <definedName name="kop_1">"$#REF!.$A$1:$IV$10"</definedName>
    <definedName name="kop_2" localSheetId="1">#REF!</definedName>
    <definedName name="kop_2">#REF!</definedName>
    <definedName name="kop_28" localSheetId="1">#REF!</definedName>
    <definedName name="kop_28">#REF!</definedName>
    <definedName name="kop_3" localSheetId="1">#REF!</definedName>
    <definedName name="kop_3">#REF!</definedName>
    <definedName name="kop_31" localSheetId="1">#REF!</definedName>
    <definedName name="kop_31">#REF!</definedName>
    <definedName name="kop_58" localSheetId="1">#REF!</definedName>
    <definedName name="kop_58">#REF!</definedName>
    <definedName name="kop_7" localSheetId="1">#REF!</definedName>
    <definedName name="kop_7">#REF!</definedName>
    <definedName name="kop_8" localSheetId="1">#REF!</definedName>
    <definedName name="kop_8">#REF!</definedName>
    <definedName name="kop_86" localSheetId="1">#REF!</definedName>
    <definedName name="kop_86">#REF!</definedName>
    <definedName name="kop_87" localSheetId="1">#REF!</definedName>
    <definedName name="kop_87">#REF!</definedName>
    <definedName name="kop_9" localSheetId="1">#REF!</definedName>
    <definedName name="kop_9">#REF!</definedName>
    <definedName name="kop2_1">"$#REF!.$A$1:$IV$10"</definedName>
    <definedName name="kop2_2" localSheetId="1">#REF!</definedName>
    <definedName name="kop2_2">#REF!</definedName>
    <definedName name="kop2_28" localSheetId="1">#REF!</definedName>
    <definedName name="kop2_28">#REF!</definedName>
    <definedName name="kop2_3" localSheetId="1">#REF!</definedName>
    <definedName name="kop2_3">#REF!</definedName>
    <definedName name="kop2_31" localSheetId="1">#REF!</definedName>
    <definedName name="kop2_31">#REF!</definedName>
    <definedName name="kop2_58" localSheetId="1">#REF!</definedName>
    <definedName name="kop2_58">#REF!</definedName>
    <definedName name="kop2_7" localSheetId="1">#REF!</definedName>
    <definedName name="kop2_7">#REF!</definedName>
    <definedName name="kop2_8" localSheetId="1">#REF!</definedName>
    <definedName name="kop2_8">#REF!</definedName>
    <definedName name="kop2_86" localSheetId="1">#REF!</definedName>
    <definedName name="kop2_86">#REF!</definedName>
    <definedName name="kop2_87" localSheetId="1">#REF!</definedName>
    <definedName name="kop2_87">#REF!</definedName>
    <definedName name="kop2_9" localSheetId="1">#REF!</definedName>
    <definedName name="kop2_9">#REF!</definedName>
    <definedName name="LINE" localSheetId="1">#REF!</definedName>
    <definedName name="LINE">#REF!</definedName>
    <definedName name="LINE_1">"$#REF!.$HX$7301"</definedName>
    <definedName name="LINE_31" localSheetId="1">#REF!</definedName>
    <definedName name="LINE_31">#REF!</definedName>
    <definedName name="M" localSheetId="1" hidden="1">#REF!</definedName>
    <definedName name="M" hidden="1">#REF!</definedName>
    <definedName name="mmmmmmmmmm" localSheetId="1">#REF!</definedName>
    <definedName name="mmmmmmmmmm">#REF!</definedName>
    <definedName name="ok" localSheetId="1">'[15]tonper Ha-TT 2000'!#REF!</definedName>
    <definedName name="ok">'[15]tonper Ha-TT 2000'!#REF!</definedName>
    <definedName name="peot" localSheetId="1">#REF!</definedName>
    <definedName name="peot">#REF!</definedName>
    <definedName name="peot_1">"$#REF!.$A$1:$IV$7"</definedName>
    <definedName name="pr" localSheetId="1">#REF!</definedName>
    <definedName name="pr">#REF!</definedName>
    <definedName name="pr_1">"$#REF!.$B$1:$W$59"</definedName>
    <definedName name="pr_2" localSheetId="1">#REF!</definedName>
    <definedName name="pr_2">#REF!</definedName>
    <definedName name="pr_2_1">"$#REF!.$B$1:$W$59"</definedName>
    <definedName name="pr_28" localSheetId="1">#REF!</definedName>
    <definedName name="pr_28">#REF!</definedName>
    <definedName name="pr_3" localSheetId="1">#REF!</definedName>
    <definedName name="pr_3">#REF!</definedName>
    <definedName name="pr_3_1">"$#REF!.$B$1:$W$59"</definedName>
    <definedName name="pr_31" localSheetId="1">#REF!</definedName>
    <definedName name="pr_31">#REF!</definedName>
    <definedName name="pr_58" localSheetId="1">#REF!</definedName>
    <definedName name="pr_58">#REF!</definedName>
    <definedName name="pr_58_1">"$#REF!.$B$1:$W$59"</definedName>
    <definedName name="pr_7" localSheetId="1">#REF!</definedName>
    <definedName name="pr_7">#REF!</definedName>
    <definedName name="pr_8" localSheetId="1">#REF!</definedName>
    <definedName name="pr_8">#REF!</definedName>
    <definedName name="pr_86" localSheetId="1">#REF!</definedName>
    <definedName name="pr_86">#REF!</definedName>
    <definedName name="pr_86_1">"$#REF!.$B$1:$W$59"</definedName>
    <definedName name="pr_87" localSheetId="1">#REF!</definedName>
    <definedName name="pr_87">#REF!</definedName>
    <definedName name="pr_87_1">"$#REF!.$B$1:$W$59"</definedName>
    <definedName name="pr_9" localSheetId="1">#REF!</definedName>
    <definedName name="pr_9">#REF!</definedName>
    <definedName name="print">#N/A</definedName>
    <definedName name="print_1">"$#REF!.#REF!#REF!"</definedName>
    <definedName name="PRINT_A" localSheetId="1">#REF!</definedName>
    <definedName name="PRINT_A">#REF!</definedName>
    <definedName name="_xlnm.Print_Area" localSheetId="3">'Areal Stmt'!$B$2:$H$36</definedName>
    <definedName name="_xlnm.Print_Area" localSheetId="0">COVER!$B$2:$K$26</definedName>
    <definedName name="_xlnm.Print_Area" localSheetId="1">#REF!</definedName>
    <definedName name="_xlnm.Print_Area" localSheetId="10">'KeB.HM Alat Berat (FFD)'!$B$2:$M$13</definedName>
    <definedName name="_xlnm.Print_Area" localSheetId="9">'Kebutuhan Material FFD'!$B$1:$L$40</definedName>
    <definedName name="_xlnm.Print_Area" localSheetId="8">'Kebutuhan TK FFD'!$B$2:$K$14</definedName>
    <definedName name="_xlnm.Print_Area" localSheetId="2">'RKP FFD'!$B$1:$G$32</definedName>
    <definedName name="_xlnm.Print_Area" localSheetId="4">'SCHEDULE-Indigofera'!$B$7:$W$34</definedName>
    <definedName name="_xlnm.Print_Area" localSheetId="5">'SCHEDULE-Pakchong'!$B$7:$W$28</definedName>
    <definedName name="_xlnm.Print_Area" localSheetId="6">'SI TB LC Indigofera (FFD)'!$A$1:$AB$215</definedName>
    <definedName name="_xlnm.Print_Area" localSheetId="7">'SI TB LC Pakchong (FFD)'!$B$1:$AB$210</definedName>
    <definedName name="_xlnm.Print_Area">#REF!</definedName>
    <definedName name="Print_Area_MI" localSheetId="1">#REF!</definedName>
    <definedName name="Print_Area_MI">#REF!</definedName>
    <definedName name="Print_Area_MI_1">"$#REF!.$A$1:$P$171"</definedName>
    <definedName name="Print_Area_MI_26" localSheetId="1">#REF!</definedName>
    <definedName name="Print_Area_MI_26">#REF!</definedName>
    <definedName name="Print_Area_MI_27" localSheetId="1">#REF!</definedName>
    <definedName name="Print_Area_MI_27">#REF!</definedName>
    <definedName name="Print_Area_MI_28">[16]KEB_RMH!$B$1:$P$43</definedName>
    <definedName name="Print_Area_MI_28_1">[17]KEB_RMH!$B$1:$P$44</definedName>
    <definedName name="Print_Area_MI_31" localSheetId="1">#REF!</definedName>
    <definedName name="Print_Area_MI_31">#REF!</definedName>
    <definedName name="Print_Area_MI_7" localSheetId="1">#REF!</definedName>
    <definedName name="Print_Area_MI_7">#REF!</definedName>
    <definedName name="_xlnm.Print_Titles" localSheetId="6">'SI TB LC Indigofera (FFD)'!$3:$5</definedName>
    <definedName name="_xlnm.Print_Titles" localSheetId="7">'SI TB LC Pakchong (FFD)'!$3:$5</definedName>
    <definedName name="_xlnm.Print_Titles">#N/A</definedName>
    <definedName name="PRINT_TITLES_MI">#N/A</definedName>
    <definedName name="PRINT_TITLES_MI_1">"$#REF!.#REF!#REF!"</definedName>
    <definedName name="Pruning">#REF!</definedName>
    <definedName name="q" localSheetId="1" hidden="1">#REF!</definedName>
    <definedName name="q" hidden="1">#REF!</definedName>
    <definedName name="QQ" localSheetId="1">#REF!</definedName>
    <definedName name="QQ">#REF!</definedName>
    <definedName name="QQ_1">"$#REF!.$A$1:$AB$42"</definedName>
    <definedName name="QQ_31" localSheetId="1">#REF!</definedName>
    <definedName name="QQ_31">#REF!</definedName>
    <definedName name="QQ_7" localSheetId="1">#REF!</definedName>
    <definedName name="QQ_7">#REF!</definedName>
    <definedName name="rar" localSheetId="1">#REF!</definedName>
    <definedName name="rar">#REF!</definedName>
    <definedName name="rar_1">"$#REF!.$A$8:$G$57"</definedName>
    <definedName name="RAY" localSheetId="1">#REF!</definedName>
    <definedName name="RAY">#REF!</definedName>
    <definedName name="RAY_1">"$#REF!.$A$1:$IV$7"</definedName>
    <definedName name="raye" localSheetId="1">#REF!</definedName>
    <definedName name="raye">#REF!</definedName>
    <definedName name="raye_1">"$#REF!.$D$1:$DT$48"</definedName>
    <definedName name="re" localSheetId="1">#REF!</definedName>
    <definedName name="re">#REF!</definedName>
    <definedName name="re_1">"$#REF!.$D$1:$DT$48"</definedName>
    <definedName name="rr" localSheetId="1">#REF!</definedName>
    <definedName name="rr">#REF!</definedName>
    <definedName name="rr_1">"$#REF!.$A$1:$L$31"</definedName>
    <definedName name="s">'[18]data-hujan'!$E$17:$AC$17</definedName>
    <definedName name="s2_1">"$#REF!.$A$1:$S$65"</definedName>
    <definedName name="sde">#N/A</definedName>
    <definedName name="sde_1">"$#REF!.#REF!#REF!"</definedName>
    <definedName name="SDER" localSheetId="1">#REF!</definedName>
    <definedName name="SDER">#REF!</definedName>
    <definedName name="SDER_1">"$#REF!.$A$56:$Z$87"</definedName>
    <definedName name="sgsgs" localSheetId="1">#REF!</definedName>
    <definedName name="sgsgs">#REF!</definedName>
    <definedName name="sgsgs_1">"$#REF!.$A$11:$U$941"</definedName>
    <definedName name="SKF1_1">"$#REF!.$A$13:$AH$44"</definedName>
    <definedName name="SKF1_2" localSheetId="1">#REF!</definedName>
    <definedName name="SKF1_2">#REF!</definedName>
    <definedName name="SKF1_2_1">"$#REF!.$A$13:$AH$44"</definedName>
    <definedName name="SKF1_28" localSheetId="1">#REF!</definedName>
    <definedName name="SKF1_28">#REF!</definedName>
    <definedName name="SKF1_3" localSheetId="1">#REF!</definedName>
    <definedName name="SKF1_3">#REF!</definedName>
    <definedName name="SKF1_3_1">"$#REF!.$A$13:$AH$44"</definedName>
    <definedName name="SKF1_31" localSheetId="1">#REF!</definedName>
    <definedName name="SKF1_31">#REF!</definedName>
    <definedName name="SKF1_58" localSheetId="1">#REF!</definedName>
    <definedName name="SKF1_58">#REF!</definedName>
    <definedName name="SKF1_58_1">"$#REF!.$A$13:$AH$44"</definedName>
    <definedName name="SKF1_7" localSheetId="1">#REF!</definedName>
    <definedName name="SKF1_7">#REF!</definedName>
    <definedName name="SKF1_8" localSheetId="1">#REF!</definedName>
    <definedName name="SKF1_8">#REF!</definedName>
    <definedName name="SKF1_86" localSheetId="1">#REF!</definedName>
    <definedName name="SKF1_86">#REF!</definedName>
    <definedName name="SKF1_86_1">"$#REF!.$A$13:$AH$44"</definedName>
    <definedName name="SKF1_87" localSheetId="1">#REF!</definedName>
    <definedName name="SKF1_87">#REF!</definedName>
    <definedName name="SKF1_87_1">"$#REF!.$A$13:$AH$44"</definedName>
    <definedName name="SKF1_9" localSheetId="1">#REF!</definedName>
    <definedName name="SKF1_9">#REF!</definedName>
    <definedName name="SKF2_1">"$#REF!.$A$56:$Z$87"</definedName>
    <definedName name="SKF2_2" localSheetId="1">#REF!</definedName>
    <definedName name="SKF2_2">#REF!</definedName>
    <definedName name="SKF2_2_1">"$#REF!.$A$56:$Z$87"</definedName>
    <definedName name="SKF2_28" localSheetId="1">#REF!</definedName>
    <definedName name="SKF2_28">#REF!</definedName>
    <definedName name="SKF2_3" localSheetId="1">#REF!</definedName>
    <definedName name="SKF2_3">#REF!</definedName>
    <definedName name="SKF2_3_1">"$#REF!.$A$56:$Z$87"</definedName>
    <definedName name="SKF2_31" localSheetId="1">#REF!</definedName>
    <definedName name="SKF2_31">#REF!</definedName>
    <definedName name="SKF2_58" localSheetId="1">#REF!</definedName>
    <definedName name="SKF2_58">#REF!</definedName>
    <definedName name="SKF2_58_1">"$#REF!.$A$56:$Z$87"</definedName>
    <definedName name="SKF2_7" localSheetId="1">#REF!</definedName>
    <definedName name="SKF2_7">#REF!</definedName>
    <definedName name="SKF2_8" localSheetId="1">#REF!</definedName>
    <definedName name="SKF2_8">#REF!</definedName>
    <definedName name="SKF2_86" localSheetId="1">#REF!</definedName>
    <definedName name="SKF2_86">#REF!</definedName>
    <definedName name="SKF2_86_1">"$#REF!.$A$56:$Z$87"</definedName>
    <definedName name="SKF2_87" localSheetId="1">#REF!</definedName>
    <definedName name="SKF2_87">#REF!</definedName>
    <definedName name="SKF2_87_1">"$#REF!.$A$56:$Z$87"</definedName>
    <definedName name="SKF2_9" localSheetId="1">#REF!</definedName>
    <definedName name="SKF2_9">#REF!</definedName>
    <definedName name="sku" hidden="1">'[8]data-hujan'!$E$15:$AC$15</definedName>
    <definedName name="SPACE" localSheetId="1">#REF!</definedName>
    <definedName name="SPACE">#REF!</definedName>
    <definedName name="SPACE_1">"$#REF!.$HX$7301"</definedName>
    <definedName name="SPACE_31" localSheetId="1">#REF!</definedName>
    <definedName name="SPACE_31">#REF!</definedName>
    <definedName name="SS" localSheetId="1">#REF!</definedName>
    <definedName name="SS">#REF!</definedName>
    <definedName name="SS_1">"$#REF!.$A$31:$M$44"</definedName>
    <definedName name="SS_7" localSheetId="1">#REF!</definedName>
    <definedName name="SS_7">#REF!</definedName>
    <definedName name="sss" localSheetId="1">#REF!</definedName>
    <definedName name="sss">#REF!</definedName>
    <definedName name="sss_1">"$#REF!.$D$1:$DT$48"</definedName>
    <definedName name="TES" localSheetId="1" hidden="1">#REF!</definedName>
    <definedName name="TES" hidden="1">#REF!</definedName>
    <definedName name="TT" localSheetId="1">#REF!</definedName>
    <definedName name="TT">#REF!</definedName>
    <definedName name="twr">#N/A</definedName>
    <definedName name="twr_1">"$#REF!.#REF!#REF!"</definedName>
    <definedName name="upah">#N/A</definedName>
    <definedName name="upah_1">"$#REF!.$#REF!#REF!"</definedName>
    <definedName name="v" localSheetId="1">#REF!</definedName>
    <definedName name="v">#REF!</definedName>
    <definedName name="v_1">"$#REF!.$A$1:$S$65"</definedName>
    <definedName name="v_2" localSheetId="1">#REF!</definedName>
    <definedName name="v_2">#REF!</definedName>
    <definedName name="v_2_1">"$#REF!.$A$1:$S$65"</definedName>
    <definedName name="v_28" localSheetId="1">#REF!</definedName>
    <definedName name="v_28">#REF!</definedName>
    <definedName name="v_3" localSheetId="1">#REF!</definedName>
    <definedName name="v_3">#REF!</definedName>
    <definedName name="v_3_1">"$#REF!.$A$1:$S$65"</definedName>
    <definedName name="v_31" localSheetId="1">#REF!</definedName>
    <definedName name="v_31">#REF!</definedName>
    <definedName name="v_58" localSheetId="1">#REF!</definedName>
    <definedName name="v_58">#REF!</definedName>
    <definedName name="v_58_1">"$#REF!.$A$1:$S$65"</definedName>
    <definedName name="v_7" localSheetId="1">#REF!</definedName>
    <definedName name="v_7">#REF!</definedName>
    <definedName name="v_8" localSheetId="1">#REF!</definedName>
    <definedName name="v_8">#REF!</definedName>
    <definedName name="v_86" localSheetId="1">#REF!</definedName>
    <definedName name="v_86">#REF!</definedName>
    <definedName name="v_86_1">"$#REF!.$A$1:$S$65"</definedName>
    <definedName name="v_87" localSheetId="1">#REF!</definedName>
    <definedName name="v_87">#REF!</definedName>
    <definedName name="v_87_1">"$#REF!.$A$1:$S$65"</definedName>
    <definedName name="v_9" localSheetId="1">#REF!</definedName>
    <definedName name="v_9">#REF!</definedName>
    <definedName name="VV" localSheetId="1">#REF!</definedName>
    <definedName name="VV">#REF!</definedName>
    <definedName name="VV_1">"$#REF!.$A$1:$S$65"</definedName>
    <definedName name="VV_28" localSheetId="1">#REF!</definedName>
    <definedName name="VV_28">#REF!</definedName>
    <definedName name="VV_31" localSheetId="1">#REF!</definedName>
    <definedName name="VV_31">#REF!</definedName>
    <definedName name="vvvvvvvvvvvvvvvvvvv" localSheetId="1">#REF!</definedName>
    <definedName name="vvvvvvvvvvvvvvvvvvv">#REF!</definedName>
    <definedName name="vvvvvvvvvvvvvvvvvvv_1">"$#REF!.$#REF!$#REF!"</definedName>
    <definedName name="wewewe" localSheetId="1">#REF!</definedName>
    <definedName name="wewewe">#REF!</definedName>
    <definedName name="wewewe_1">"$#REF!.$A$1:$S$65"</definedName>
    <definedName name="ww" localSheetId="1">#REF!</definedName>
    <definedName name="ww">#REF!</definedName>
    <definedName name="ww_1">"$#REF!.$A$31:$M$44"</definedName>
    <definedName name="ww_7" localSheetId="1">#REF!</definedName>
    <definedName name="ww_7">#REF!</definedName>
    <definedName name="www" localSheetId="1">#REF!</definedName>
    <definedName name="www">#REF!</definedName>
    <definedName name="www_1">"$#REF!.$A$1:$P$171"</definedName>
    <definedName name="www_7" localSheetId="1">#REF!</definedName>
    <definedName name="www_7">#REF!</definedName>
    <definedName name="X" localSheetId="1">#REF!</definedName>
    <definedName name="X">#REF!</definedName>
    <definedName name="X_1">"$#REF!.$A$1:$IV$10"</definedName>
    <definedName name="xx" localSheetId="1">'[10]GRFK BJR_TGS_01'!#REF!</definedName>
    <definedName name="xx">'[10]GRFK BJR_TGS_01'!#REF!</definedName>
    <definedName name="xxxxx" localSheetId="1">'[10]GRFK BJR_SKC_03'!#REF!</definedName>
    <definedName name="xxxxx">'[10]GRFK BJR_SKC_03'!#REF!</definedName>
    <definedName name="XXXXXX" localSheetId="1">#REF!</definedName>
    <definedName name="XXXXXX">#REF!</definedName>
    <definedName name="XXXXXX_1">"$#REF!.$A$1:$AB$42"</definedName>
    <definedName name="XXXXXX_31" localSheetId="1">#REF!</definedName>
    <definedName name="XXXXXX_31">#REF!</definedName>
    <definedName name="XXXXXX_7" localSheetId="1">#REF!</definedName>
    <definedName name="XXXXXX_7">#REF!</definedName>
    <definedName name="XXXXXXXXXXXXXXXXXXXXXX" localSheetId="1" hidden="1">#REF!</definedName>
    <definedName name="XXXXXXXXXXXXXXXXXXXXXX" hidden="1">#REF!</definedName>
    <definedName name="zzzzz">[19]Ulasan!$A$1:$L$31</definedName>
    <definedName name="zzzzz_31">[20]Ulasan!$A$1:$L$31</definedName>
    <definedName name="ZZZZZZZ" localSheetId="1">#REF!</definedName>
    <definedName name="ZZZZZZZ">#REF!</definedName>
    <definedName name="ZZZZZZZ_1">"$#REF!.$A$1:$S$65"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4" i="104" l="1"/>
  <c r="P120" i="99"/>
  <c r="Q39" i="101"/>
  <c r="AA33" i="99"/>
  <c r="E25" i="55"/>
  <c r="H24" i="104"/>
  <c r="L24" i="101" l="1"/>
  <c r="F28" i="104"/>
  <c r="K28" i="104" s="1"/>
  <c r="E28" i="104"/>
  <c r="G28" i="104" s="1"/>
  <c r="H38" i="104"/>
  <c r="H37" i="104"/>
  <c r="H36" i="104"/>
  <c r="K34" i="104"/>
  <c r="H33" i="104"/>
  <c r="H32" i="104"/>
  <c r="J32" i="104" s="1"/>
  <c r="H31" i="104"/>
  <c r="H30" i="104"/>
  <c r="J30" i="104" s="1"/>
  <c r="H29" i="104"/>
  <c r="H28" i="104"/>
  <c r="H27" i="104"/>
  <c r="H26" i="104"/>
  <c r="K25" i="104"/>
  <c r="H25" i="104"/>
  <c r="H22" i="104"/>
  <c r="H21" i="104"/>
  <c r="H20" i="104"/>
  <c r="H19" i="104"/>
  <c r="H17" i="104"/>
  <c r="H16" i="104"/>
  <c r="H14" i="104"/>
  <c r="H10" i="104"/>
  <c r="J10" i="104" s="1"/>
  <c r="H9" i="104"/>
  <c r="G12" i="103"/>
  <c r="G11" i="103"/>
  <c r="G10" i="103"/>
  <c r="G9" i="103"/>
  <c r="G11" i="102"/>
  <c r="I12" i="102"/>
  <c r="Q228" i="101"/>
  <c r="W227" i="101"/>
  <c r="U227" i="101"/>
  <c r="S227" i="101"/>
  <c r="Q227" i="101"/>
  <c r="W226" i="101"/>
  <c r="W229" i="101" s="1"/>
  <c r="S226" i="101"/>
  <c r="S229" i="101" s="1"/>
  <c r="W223" i="101"/>
  <c r="U223" i="101"/>
  <c r="S223" i="101"/>
  <c r="Q223" i="101"/>
  <c r="Q225" i="101" s="1"/>
  <c r="Q222" i="101"/>
  <c r="W219" i="101"/>
  <c r="U219" i="101"/>
  <c r="S219" i="101"/>
  <c r="Q219" i="101"/>
  <c r="W218" i="101"/>
  <c r="W228" i="101" s="1"/>
  <c r="U218" i="101"/>
  <c r="U228" i="101" s="1"/>
  <c r="S218" i="101"/>
  <c r="S228" i="101" s="1"/>
  <c r="Q218" i="101"/>
  <c r="W217" i="101"/>
  <c r="U217" i="101"/>
  <c r="S217" i="101"/>
  <c r="Q217" i="101"/>
  <c r="W216" i="101"/>
  <c r="U216" i="101"/>
  <c r="U226" i="101" s="1"/>
  <c r="U229" i="101" s="1"/>
  <c r="S216" i="101"/>
  <c r="Q216" i="101"/>
  <c r="Q226" i="101" s="1"/>
  <c r="Q229" i="101" s="1"/>
  <c r="X214" i="101"/>
  <c r="W213" i="101"/>
  <c r="U213" i="101"/>
  <c r="S213" i="101"/>
  <c r="Q213" i="101"/>
  <c r="T207" i="101"/>
  <c r="U207" i="101" s="1"/>
  <c r="R207" i="101"/>
  <c r="S207" i="101" s="1"/>
  <c r="P207" i="101"/>
  <c r="O207" i="101"/>
  <c r="O206" i="101"/>
  <c r="Q206" i="101" s="1"/>
  <c r="T205" i="101"/>
  <c r="R205" i="101"/>
  <c r="P205" i="101"/>
  <c r="N205" i="101"/>
  <c r="T204" i="101"/>
  <c r="R204" i="101"/>
  <c r="P204" i="101"/>
  <c r="N204" i="101"/>
  <c r="P200" i="101"/>
  <c r="Q200" i="101" s="1"/>
  <c r="P194" i="101"/>
  <c r="N194" i="101"/>
  <c r="N196" i="101" s="1"/>
  <c r="N197" i="101" s="1"/>
  <c r="N198" i="101" s="1"/>
  <c r="N199" i="101" s="1"/>
  <c r="N200" i="101" s="1"/>
  <c r="O200" i="101" s="1"/>
  <c r="M194" i="101"/>
  <c r="P186" i="101"/>
  <c r="N186" i="101"/>
  <c r="P183" i="101"/>
  <c r="P182" i="101"/>
  <c r="P181" i="101"/>
  <c r="T180" i="101"/>
  <c r="R180" i="101"/>
  <c r="P180" i="101"/>
  <c r="P176" i="101"/>
  <c r="Q176" i="101" s="1"/>
  <c r="M176" i="101"/>
  <c r="O176" i="101" s="1"/>
  <c r="P175" i="101"/>
  <c r="M175" i="101"/>
  <c r="O175" i="101" s="1"/>
  <c r="O174" i="101"/>
  <c r="Q174" i="101" s="1"/>
  <c r="O173" i="101"/>
  <c r="Q173" i="101" s="1"/>
  <c r="P170" i="101"/>
  <c r="Q170" i="101" s="1"/>
  <c r="O170" i="101"/>
  <c r="M170" i="101"/>
  <c r="P169" i="101"/>
  <c r="O169" i="101"/>
  <c r="T168" i="101"/>
  <c r="U168" i="101" s="1"/>
  <c r="R168" i="101"/>
  <c r="S168" i="101" s="1"/>
  <c r="P168" i="101"/>
  <c r="Q168" i="101" s="1"/>
  <c r="O168" i="101"/>
  <c r="T167" i="101"/>
  <c r="R167" i="101"/>
  <c r="S167" i="101" s="1"/>
  <c r="P167" i="101"/>
  <c r="Q167" i="101" s="1"/>
  <c r="O167" i="101"/>
  <c r="T160" i="101"/>
  <c r="R160" i="101"/>
  <c r="P160" i="101"/>
  <c r="T159" i="101"/>
  <c r="R159" i="101"/>
  <c r="P159" i="101"/>
  <c r="T158" i="101"/>
  <c r="R158" i="101"/>
  <c r="P158" i="101"/>
  <c r="M158" i="101"/>
  <c r="T157" i="101"/>
  <c r="R157" i="101"/>
  <c r="P156" i="101"/>
  <c r="P155" i="101"/>
  <c r="M155" i="101"/>
  <c r="M156" i="101" s="1"/>
  <c r="T154" i="101"/>
  <c r="R154" i="101"/>
  <c r="T153" i="101"/>
  <c r="R153" i="101"/>
  <c r="P153" i="101"/>
  <c r="T150" i="101"/>
  <c r="U150" i="101" s="1"/>
  <c r="W150" i="101" s="1"/>
  <c r="V150" i="101" s="1"/>
  <c r="R150" i="101"/>
  <c r="S150" i="101" s="1"/>
  <c r="P150" i="101"/>
  <c r="M150" i="101"/>
  <c r="O150" i="101" s="1"/>
  <c r="Q150" i="101" s="1"/>
  <c r="T149" i="101"/>
  <c r="R149" i="101"/>
  <c r="P149" i="101"/>
  <c r="M149" i="101"/>
  <c r="O149" i="101" s="1"/>
  <c r="T148" i="101"/>
  <c r="R148" i="101"/>
  <c r="P148" i="101"/>
  <c r="M148" i="101"/>
  <c r="O148" i="101" s="1"/>
  <c r="T147" i="101"/>
  <c r="U147" i="101" s="1"/>
  <c r="R147" i="101"/>
  <c r="S147" i="101" s="1"/>
  <c r="P147" i="101"/>
  <c r="Q147" i="101" s="1"/>
  <c r="O147" i="101"/>
  <c r="M147" i="101"/>
  <c r="T146" i="101"/>
  <c r="R146" i="101"/>
  <c r="P146" i="101"/>
  <c r="Q146" i="101" s="1"/>
  <c r="M146" i="101"/>
  <c r="O146" i="101" s="1"/>
  <c r="T145" i="101"/>
  <c r="U145" i="101" s="1"/>
  <c r="R145" i="101"/>
  <c r="S145" i="101" s="1"/>
  <c r="P145" i="101"/>
  <c r="Q145" i="101" s="1"/>
  <c r="O145" i="101"/>
  <c r="T144" i="101"/>
  <c r="R144" i="101"/>
  <c r="S144" i="101" s="1"/>
  <c r="P144" i="101"/>
  <c r="Q144" i="101" s="1"/>
  <c r="O144" i="101"/>
  <c r="T143" i="101"/>
  <c r="U143" i="101" s="1"/>
  <c r="R143" i="101"/>
  <c r="S143" i="101" s="1"/>
  <c r="P143" i="101"/>
  <c r="Q143" i="101" s="1"/>
  <c r="O143" i="101"/>
  <c r="T142" i="101"/>
  <c r="U142" i="101" s="1"/>
  <c r="R142" i="101"/>
  <c r="S142" i="101" s="1"/>
  <c r="P142" i="101"/>
  <c r="Q142" i="101" s="1"/>
  <c r="O142" i="101"/>
  <c r="T141" i="101"/>
  <c r="R141" i="101"/>
  <c r="P141" i="101"/>
  <c r="O141" i="101"/>
  <c r="M140" i="101"/>
  <c r="M139" i="101"/>
  <c r="M138" i="101"/>
  <c r="M137" i="101"/>
  <c r="M136" i="101"/>
  <c r="M132" i="101"/>
  <c r="T129" i="101"/>
  <c r="R129" i="101"/>
  <c r="P129" i="101"/>
  <c r="M127" i="101"/>
  <c r="P126" i="101"/>
  <c r="T125" i="101"/>
  <c r="R125" i="101"/>
  <c r="P125" i="101"/>
  <c r="P127" i="101" s="1"/>
  <c r="M125" i="101"/>
  <c r="O119" i="101"/>
  <c r="Q118" i="101"/>
  <c r="M118" i="101"/>
  <c r="O118" i="101" s="1"/>
  <c r="Q113" i="101"/>
  <c r="M104" i="101"/>
  <c r="O104" i="101" s="1"/>
  <c r="Q104" i="101" s="1"/>
  <c r="M103" i="101"/>
  <c r="O103" i="101" s="1"/>
  <c r="Q103" i="101" s="1"/>
  <c r="O102" i="101"/>
  <c r="Q102" i="101" s="1"/>
  <c r="M102" i="101"/>
  <c r="Q101" i="101"/>
  <c r="O101" i="101"/>
  <c r="O100" i="101"/>
  <c r="Q100" i="101" s="1"/>
  <c r="M97" i="101"/>
  <c r="O97" i="101" s="1"/>
  <c r="Q97" i="101" s="1"/>
  <c r="Q96" i="101"/>
  <c r="O96" i="101"/>
  <c r="M96" i="101"/>
  <c r="Q94" i="101"/>
  <c r="M88" i="101"/>
  <c r="O88" i="101" s="1"/>
  <c r="Q88" i="101" s="1"/>
  <c r="O87" i="101"/>
  <c r="Q87" i="101" s="1"/>
  <c r="M86" i="101"/>
  <c r="O86" i="101" s="1"/>
  <c r="O85" i="101"/>
  <c r="Q85" i="101" s="1"/>
  <c r="AA85" i="101" s="1"/>
  <c r="Q84" i="101"/>
  <c r="O84" i="101"/>
  <c r="M84" i="101"/>
  <c r="M80" i="101"/>
  <c r="O79" i="101"/>
  <c r="Q79" i="101" s="1"/>
  <c r="M78" i="101"/>
  <c r="O78" i="101" s="1"/>
  <c r="Q78" i="101" s="1"/>
  <c r="M76" i="101"/>
  <c r="O72" i="101"/>
  <c r="P71" i="101"/>
  <c r="O71" i="101"/>
  <c r="P70" i="101"/>
  <c r="O70" i="101"/>
  <c r="Q63" i="101"/>
  <c r="O63" i="101"/>
  <c r="Q62" i="101"/>
  <c r="O62" i="101"/>
  <c r="Q61" i="101"/>
  <c r="O61" i="101"/>
  <c r="T46" i="101"/>
  <c r="R46" i="101"/>
  <c r="P46" i="101"/>
  <c r="T45" i="101"/>
  <c r="R45" i="101"/>
  <c r="P45" i="101"/>
  <c r="T43" i="101"/>
  <c r="R43" i="101"/>
  <c r="P43" i="101"/>
  <c r="T39" i="101"/>
  <c r="R39" i="101"/>
  <c r="P39" i="101"/>
  <c r="T38" i="101"/>
  <c r="R38" i="101"/>
  <c r="P38" i="101"/>
  <c r="Q38" i="101" s="1"/>
  <c r="M38" i="101"/>
  <c r="T37" i="101"/>
  <c r="R37" i="101"/>
  <c r="P37" i="101"/>
  <c r="Q37" i="101" s="1"/>
  <c r="M37" i="101"/>
  <c r="T36" i="101"/>
  <c r="R36" i="101"/>
  <c r="P36" i="101"/>
  <c r="Q36" i="101" s="1"/>
  <c r="M36" i="101"/>
  <c r="T35" i="101"/>
  <c r="R35" i="101"/>
  <c r="P35" i="101"/>
  <c r="Q35" i="101" s="1"/>
  <c r="M35" i="101"/>
  <c r="T34" i="101"/>
  <c r="R34" i="101"/>
  <c r="P34" i="101"/>
  <c r="Q34" i="101" s="1"/>
  <c r="M34" i="101"/>
  <c r="T33" i="101"/>
  <c r="R33" i="101"/>
  <c r="P33" i="101"/>
  <c r="Q33" i="101" s="1"/>
  <c r="M33" i="101"/>
  <c r="T32" i="101"/>
  <c r="R32" i="101"/>
  <c r="P32" i="101"/>
  <c r="Q32" i="101" s="1"/>
  <c r="T31" i="101"/>
  <c r="R31" i="101"/>
  <c r="P31" i="101"/>
  <c r="Q31" i="101" s="1"/>
  <c r="T30" i="101"/>
  <c r="R30" i="101"/>
  <c r="P30" i="101"/>
  <c r="Q30" i="101" s="1"/>
  <c r="P29" i="101"/>
  <c r="Q29" i="101" s="1"/>
  <c r="T28" i="101"/>
  <c r="R28" i="101"/>
  <c r="P28" i="101"/>
  <c r="Q28" i="101" s="1"/>
  <c r="T27" i="101"/>
  <c r="R27" i="101"/>
  <c r="P27" i="101"/>
  <c r="Q27" i="101" s="1"/>
  <c r="P26" i="101"/>
  <c r="Q26" i="101" s="1"/>
  <c r="P25" i="101"/>
  <c r="Q25" i="101" s="1"/>
  <c r="P24" i="101"/>
  <c r="Q24" i="101" s="1"/>
  <c r="P23" i="101"/>
  <c r="P22" i="101"/>
  <c r="Q22" i="101" s="1"/>
  <c r="P21" i="101"/>
  <c r="Q21" i="101" s="1"/>
  <c r="P20" i="101"/>
  <c r="Q20" i="101" s="1"/>
  <c r="P19" i="101"/>
  <c r="Q19" i="101" s="1"/>
  <c r="T18" i="101"/>
  <c r="R18" i="101"/>
  <c r="P18" i="101"/>
  <c r="Q18" i="101" s="1"/>
  <c r="T17" i="101"/>
  <c r="R17" i="101"/>
  <c r="P17" i="101"/>
  <c r="Q17" i="101" s="1"/>
  <c r="P16" i="101"/>
  <c r="Q16" i="101" s="1"/>
  <c r="T15" i="101"/>
  <c r="R15" i="101"/>
  <c r="P15" i="101"/>
  <c r="Q15" i="101" s="1"/>
  <c r="T14" i="101"/>
  <c r="R14" i="101"/>
  <c r="P14" i="101"/>
  <c r="Q14" i="101" s="1"/>
  <c r="T11" i="101"/>
  <c r="R11" i="101"/>
  <c r="P11" i="101"/>
  <c r="T8" i="101"/>
  <c r="R8" i="101"/>
  <c r="P8" i="101"/>
  <c r="W232" i="99"/>
  <c r="U232" i="99"/>
  <c r="S232" i="99"/>
  <c r="Q232" i="99"/>
  <c r="Q230" i="99"/>
  <c r="W228" i="99"/>
  <c r="U228" i="99"/>
  <c r="S228" i="99"/>
  <c r="Q228" i="99"/>
  <c r="Q227" i="99"/>
  <c r="W224" i="99"/>
  <c r="U224" i="99"/>
  <c r="S224" i="99"/>
  <c r="Q224" i="99"/>
  <c r="W223" i="99"/>
  <c r="W233" i="99" s="1"/>
  <c r="U223" i="99"/>
  <c r="U233" i="99" s="1"/>
  <c r="S223" i="99"/>
  <c r="S233" i="99" s="1"/>
  <c r="Q223" i="99"/>
  <c r="Q233" i="99" s="1"/>
  <c r="W222" i="99"/>
  <c r="U222" i="99"/>
  <c r="S222" i="99"/>
  <c r="Q222" i="99"/>
  <c r="W221" i="99"/>
  <c r="W231" i="99" s="1"/>
  <c r="W234" i="99" s="1"/>
  <c r="U221" i="99"/>
  <c r="U231" i="99" s="1"/>
  <c r="U234" i="99" s="1"/>
  <c r="S221" i="99"/>
  <c r="S231" i="99" s="1"/>
  <c r="S234" i="99" s="1"/>
  <c r="Q221" i="99"/>
  <c r="Q231" i="99" s="1"/>
  <c r="Q234" i="99" s="1"/>
  <c r="X219" i="99"/>
  <c r="W218" i="99"/>
  <c r="U218" i="99"/>
  <c r="S218" i="99"/>
  <c r="Q218" i="99"/>
  <c r="T212" i="99"/>
  <c r="U212" i="99" s="1"/>
  <c r="R212" i="99"/>
  <c r="S212" i="99" s="1"/>
  <c r="P212" i="99"/>
  <c r="O212" i="99"/>
  <c r="O211" i="99"/>
  <c r="Q211" i="99" s="1"/>
  <c r="T210" i="99"/>
  <c r="R210" i="99"/>
  <c r="P210" i="99"/>
  <c r="T209" i="99"/>
  <c r="R209" i="99"/>
  <c r="P209" i="99"/>
  <c r="P205" i="99"/>
  <c r="Q205" i="99" s="1"/>
  <c r="O205" i="99"/>
  <c r="N205" i="99"/>
  <c r="P199" i="99"/>
  <c r="M199" i="99"/>
  <c r="P191" i="99"/>
  <c r="P188" i="99"/>
  <c r="P187" i="99"/>
  <c r="P186" i="99"/>
  <c r="T185" i="99"/>
  <c r="R185" i="99"/>
  <c r="P185" i="99"/>
  <c r="P181" i="99"/>
  <c r="O181" i="99"/>
  <c r="M181" i="99"/>
  <c r="P180" i="99"/>
  <c r="M180" i="99"/>
  <c r="O180" i="99" s="1"/>
  <c r="O179" i="99"/>
  <c r="Q179" i="99" s="1"/>
  <c r="Q178" i="99"/>
  <c r="O178" i="99"/>
  <c r="P175" i="99"/>
  <c r="Q175" i="99" s="1"/>
  <c r="M175" i="99"/>
  <c r="O175" i="99" s="1"/>
  <c r="P174" i="99"/>
  <c r="Q174" i="99" s="1"/>
  <c r="O174" i="99"/>
  <c r="T173" i="99"/>
  <c r="U173" i="99" s="1"/>
  <c r="R173" i="99"/>
  <c r="S173" i="99" s="1"/>
  <c r="P173" i="99"/>
  <c r="O173" i="99"/>
  <c r="T172" i="99"/>
  <c r="U172" i="99" s="1"/>
  <c r="R172" i="99"/>
  <c r="S172" i="99" s="1"/>
  <c r="P172" i="99"/>
  <c r="O172" i="99"/>
  <c r="T165" i="99"/>
  <c r="R165" i="99"/>
  <c r="P165" i="99"/>
  <c r="H13" i="104" s="1"/>
  <c r="T164" i="99"/>
  <c r="R164" i="99"/>
  <c r="P164" i="99"/>
  <c r="T163" i="99"/>
  <c r="R163" i="99"/>
  <c r="P163" i="99"/>
  <c r="M163" i="99"/>
  <c r="T162" i="99"/>
  <c r="R162" i="99"/>
  <c r="P161" i="99"/>
  <c r="P160" i="99"/>
  <c r="T159" i="99"/>
  <c r="R159" i="99"/>
  <c r="T158" i="99"/>
  <c r="R158" i="99"/>
  <c r="P158" i="99"/>
  <c r="T155" i="99"/>
  <c r="U155" i="99" s="1"/>
  <c r="R155" i="99"/>
  <c r="S155" i="99" s="1"/>
  <c r="P155" i="99"/>
  <c r="M155" i="99"/>
  <c r="O155" i="99" s="1"/>
  <c r="T154" i="99"/>
  <c r="R154" i="99"/>
  <c r="S154" i="99" s="1"/>
  <c r="P154" i="99"/>
  <c r="Q154" i="99" s="1"/>
  <c r="O154" i="99"/>
  <c r="M154" i="99"/>
  <c r="T153" i="99"/>
  <c r="R153" i="99"/>
  <c r="P153" i="99"/>
  <c r="M153" i="99"/>
  <c r="O153" i="99" s="1"/>
  <c r="T152" i="99"/>
  <c r="U152" i="99" s="1"/>
  <c r="R152" i="99"/>
  <c r="S152" i="99" s="1"/>
  <c r="P152" i="99"/>
  <c r="Q152" i="99" s="1"/>
  <c r="W152" i="99" s="1"/>
  <c r="V152" i="99" s="1"/>
  <c r="O152" i="99"/>
  <c r="M152" i="99"/>
  <c r="T151" i="99"/>
  <c r="R151" i="99"/>
  <c r="P151" i="99"/>
  <c r="M151" i="99"/>
  <c r="O151" i="99" s="1"/>
  <c r="T150" i="99"/>
  <c r="U150" i="99" s="1"/>
  <c r="R150" i="99"/>
  <c r="S150" i="99" s="1"/>
  <c r="P150" i="99"/>
  <c r="Q150" i="99" s="1"/>
  <c r="O150" i="99"/>
  <c r="T149" i="99"/>
  <c r="U149" i="99" s="1"/>
  <c r="R149" i="99"/>
  <c r="S149" i="99" s="1"/>
  <c r="P149" i="99"/>
  <c r="Q149" i="99" s="1"/>
  <c r="O149" i="99"/>
  <c r="T148" i="99"/>
  <c r="R148" i="99"/>
  <c r="P148" i="99"/>
  <c r="O148" i="99"/>
  <c r="T147" i="99"/>
  <c r="U147" i="99" s="1"/>
  <c r="R147" i="99"/>
  <c r="S147" i="99" s="1"/>
  <c r="P147" i="99"/>
  <c r="Q147" i="99" s="1"/>
  <c r="O147" i="99"/>
  <c r="T146" i="99"/>
  <c r="R146" i="99"/>
  <c r="P146" i="99"/>
  <c r="O146" i="99"/>
  <c r="M145" i="99"/>
  <c r="M144" i="99"/>
  <c r="M143" i="99"/>
  <c r="M142" i="99"/>
  <c r="M141" i="99"/>
  <c r="M137" i="99"/>
  <c r="T134" i="99"/>
  <c r="R134" i="99"/>
  <c r="P134" i="99"/>
  <c r="O133" i="99"/>
  <c r="Q133" i="99" s="1"/>
  <c r="P132" i="99"/>
  <c r="M132" i="99"/>
  <c r="P131" i="99"/>
  <c r="M131" i="99"/>
  <c r="P130" i="99"/>
  <c r="M130" i="99"/>
  <c r="P129" i="99"/>
  <c r="M129" i="99"/>
  <c r="P128" i="99"/>
  <c r="M128" i="99"/>
  <c r="P126" i="99"/>
  <c r="H39" i="104" s="1"/>
  <c r="M126" i="99"/>
  <c r="M125" i="99"/>
  <c r="P124" i="99"/>
  <c r="P123" i="99"/>
  <c r="M123" i="99"/>
  <c r="M121" i="99"/>
  <c r="T119" i="99"/>
  <c r="R119" i="99"/>
  <c r="P119" i="99"/>
  <c r="P121" i="99" s="1"/>
  <c r="Q113" i="99"/>
  <c r="O113" i="99"/>
  <c r="M112" i="99"/>
  <c r="O112" i="99" s="1"/>
  <c r="Q112" i="99" s="1"/>
  <c r="Q107" i="99"/>
  <c r="M98" i="99"/>
  <c r="O98" i="99" s="1"/>
  <c r="Q98" i="99" s="1"/>
  <c r="M97" i="99"/>
  <c r="O97" i="99" s="1"/>
  <c r="Q97" i="99" s="1"/>
  <c r="M96" i="99"/>
  <c r="O96" i="99" s="1"/>
  <c r="Q96" i="99" s="1"/>
  <c r="O95" i="99"/>
  <c r="Q95" i="99" s="1"/>
  <c r="O94" i="99"/>
  <c r="Q94" i="99" s="1"/>
  <c r="Q91" i="99"/>
  <c r="O91" i="99"/>
  <c r="M91" i="99"/>
  <c r="M90" i="99"/>
  <c r="O90" i="99" s="1"/>
  <c r="Q90" i="99" s="1"/>
  <c r="Q88" i="99"/>
  <c r="M82" i="99"/>
  <c r="O82" i="99" s="1"/>
  <c r="Q82" i="99" s="1"/>
  <c r="O81" i="99"/>
  <c r="Q81" i="99" s="1"/>
  <c r="O80" i="99"/>
  <c r="Q80" i="99" s="1"/>
  <c r="M80" i="99"/>
  <c r="O79" i="99"/>
  <c r="Q79" i="99" s="1"/>
  <c r="AA79" i="99" s="1"/>
  <c r="M78" i="99"/>
  <c r="O78" i="99" s="1"/>
  <c r="Q78" i="99" s="1"/>
  <c r="M74" i="99"/>
  <c r="Q73" i="99"/>
  <c r="O73" i="99"/>
  <c r="Q72" i="99"/>
  <c r="O72" i="99"/>
  <c r="M72" i="99"/>
  <c r="M70" i="99"/>
  <c r="O66" i="99"/>
  <c r="E11" i="102" s="1"/>
  <c r="P65" i="99"/>
  <c r="Q65" i="99" s="1"/>
  <c r="O65" i="99"/>
  <c r="P64" i="99"/>
  <c r="O64" i="99"/>
  <c r="Q57" i="99"/>
  <c r="O57" i="99"/>
  <c r="O56" i="99"/>
  <c r="Q56" i="99" s="1"/>
  <c r="O55" i="99"/>
  <c r="Q55" i="99" s="1"/>
  <c r="T40" i="99"/>
  <c r="R40" i="99"/>
  <c r="P40" i="99"/>
  <c r="T39" i="99"/>
  <c r="R39" i="99"/>
  <c r="P39" i="99"/>
  <c r="T37" i="99"/>
  <c r="R37" i="99"/>
  <c r="P37" i="99"/>
  <c r="T33" i="99"/>
  <c r="R33" i="99"/>
  <c r="P33" i="99"/>
  <c r="T32" i="99"/>
  <c r="R32" i="99"/>
  <c r="P32" i="99"/>
  <c r="M32" i="99"/>
  <c r="T31" i="99"/>
  <c r="R31" i="99"/>
  <c r="P31" i="99"/>
  <c r="M31" i="99"/>
  <c r="T30" i="99"/>
  <c r="R30" i="99"/>
  <c r="P30" i="99"/>
  <c r="M30" i="99"/>
  <c r="T29" i="99"/>
  <c r="R29" i="99"/>
  <c r="P29" i="99"/>
  <c r="M29" i="99"/>
  <c r="T28" i="99"/>
  <c r="R28" i="99"/>
  <c r="P28" i="99"/>
  <c r="M28" i="99"/>
  <c r="T27" i="99"/>
  <c r="R27" i="99"/>
  <c r="P27" i="99"/>
  <c r="M27" i="99"/>
  <c r="T26" i="99"/>
  <c r="R26" i="99"/>
  <c r="P26" i="99"/>
  <c r="T25" i="99"/>
  <c r="R25" i="99"/>
  <c r="P25" i="99"/>
  <c r="T24" i="99"/>
  <c r="R24" i="99"/>
  <c r="P24" i="99"/>
  <c r="P23" i="99"/>
  <c r="T22" i="99"/>
  <c r="R22" i="99"/>
  <c r="P22" i="99"/>
  <c r="T21" i="99"/>
  <c r="R21" i="99"/>
  <c r="P21" i="99"/>
  <c r="P20" i="99"/>
  <c r="P19" i="99"/>
  <c r="T18" i="99"/>
  <c r="R18" i="99"/>
  <c r="P18" i="99"/>
  <c r="T17" i="99"/>
  <c r="R17" i="99"/>
  <c r="P17" i="99"/>
  <c r="P16" i="99"/>
  <c r="T15" i="99"/>
  <c r="R15" i="99"/>
  <c r="P15" i="99"/>
  <c r="H12" i="104" s="1"/>
  <c r="T14" i="99"/>
  <c r="R14" i="99"/>
  <c r="P14" i="99"/>
  <c r="AF11" i="99"/>
  <c r="N191" i="99" s="1"/>
  <c r="N210" i="99" s="1"/>
  <c r="T11" i="99"/>
  <c r="R11" i="99"/>
  <c r="P11" i="99"/>
  <c r="T8" i="99"/>
  <c r="R8" i="99"/>
  <c r="P8" i="99"/>
  <c r="J185" i="12"/>
  <c r="J186" i="12"/>
  <c r="R186" i="12"/>
  <c r="H35" i="104" l="1"/>
  <c r="Q23" i="101"/>
  <c r="Q235" i="99"/>
  <c r="W150" i="99"/>
  <c r="V150" i="99" s="1"/>
  <c r="Q155" i="99"/>
  <c r="Q173" i="99"/>
  <c r="W173" i="99" s="1"/>
  <c r="V173" i="99" s="1"/>
  <c r="W168" i="101"/>
  <c r="V168" i="101" s="1"/>
  <c r="W145" i="101"/>
  <c r="V145" i="101" s="1"/>
  <c r="U148" i="99"/>
  <c r="Q64" i="99"/>
  <c r="W143" i="101"/>
  <c r="V143" i="101" s="1"/>
  <c r="W149" i="99"/>
  <c r="V149" i="99" s="1"/>
  <c r="U153" i="99"/>
  <c r="Q70" i="101"/>
  <c r="Q230" i="101"/>
  <c r="J35" i="104"/>
  <c r="W147" i="101"/>
  <c r="V147" i="101" s="1"/>
  <c r="Q71" i="101"/>
  <c r="U148" i="101"/>
  <c r="Q212" i="99"/>
  <c r="Q207" i="101"/>
  <c r="K39" i="104"/>
  <c r="Q172" i="99"/>
  <c r="H11" i="102"/>
  <c r="I28" i="104"/>
  <c r="L28" i="104" s="1"/>
  <c r="J28" i="104"/>
  <c r="J36" i="104"/>
  <c r="K9" i="104"/>
  <c r="J33" i="104"/>
  <c r="Q149" i="101"/>
  <c r="S149" i="101"/>
  <c r="S148" i="101"/>
  <c r="Q89" i="101"/>
  <c r="S141" i="101"/>
  <c r="U141" i="101"/>
  <c r="U167" i="101"/>
  <c r="W167" i="101" s="1"/>
  <c r="V167" i="101" s="1"/>
  <c r="Q169" i="101"/>
  <c r="U146" i="101"/>
  <c r="U144" i="101"/>
  <c r="W144" i="101" s="1"/>
  <c r="V144" i="101" s="1"/>
  <c r="W142" i="101"/>
  <c r="U149" i="101"/>
  <c r="Q148" i="101"/>
  <c r="Q141" i="101"/>
  <c r="S146" i="101"/>
  <c r="Q175" i="101"/>
  <c r="Q86" i="101"/>
  <c r="Q105" i="101"/>
  <c r="Q119" i="101"/>
  <c r="W147" i="99"/>
  <c r="W172" i="99"/>
  <c r="V172" i="99" s="1"/>
  <c r="AA80" i="99"/>
  <c r="Q151" i="99"/>
  <c r="Q146" i="99"/>
  <c r="U146" i="99"/>
  <c r="N199" i="99"/>
  <c r="N201" i="99" s="1"/>
  <c r="N202" i="99" s="1"/>
  <c r="N203" i="99" s="1"/>
  <c r="Q148" i="99"/>
  <c r="Q181" i="99"/>
  <c r="N209" i="99"/>
  <c r="S146" i="99"/>
  <c r="Q83" i="99"/>
  <c r="U154" i="99"/>
  <c r="W154" i="99" s="1"/>
  <c r="V154" i="99" s="1"/>
  <c r="Q180" i="99"/>
  <c r="S148" i="99"/>
  <c r="W212" i="99"/>
  <c r="V212" i="99" s="1"/>
  <c r="W155" i="99"/>
  <c r="V155" i="99" s="1"/>
  <c r="S153" i="99"/>
  <c r="U151" i="99"/>
  <c r="Q99" i="99"/>
  <c r="Q153" i="99"/>
  <c r="S151" i="99"/>
  <c r="F6" i="55"/>
  <c r="F32" i="55" s="1"/>
  <c r="G32" i="55" s="1"/>
  <c r="F23" i="55"/>
  <c r="G23" i="55" s="1"/>
  <c r="F22" i="55"/>
  <c r="G22" i="55" s="1"/>
  <c r="F21" i="55"/>
  <c r="G21" i="55" s="1"/>
  <c r="F19" i="55"/>
  <c r="G19" i="55" s="1"/>
  <c r="F7" i="55"/>
  <c r="D8" i="55"/>
  <c r="E2" i="99" l="1"/>
  <c r="W146" i="101"/>
  <c r="V146" i="101" s="1"/>
  <c r="W146" i="99"/>
  <c r="V146" i="99" s="1"/>
  <c r="W149" i="101"/>
  <c r="V149" i="101" s="1"/>
  <c r="W151" i="99"/>
  <c r="V151" i="99" s="1"/>
  <c r="W153" i="99"/>
  <c r="V153" i="99" s="1"/>
  <c r="W148" i="101"/>
  <c r="V148" i="101" s="1"/>
  <c r="W207" i="101"/>
  <c r="V207" i="101" s="1"/>
  <c r="V142" i="101"/>
  <c r="W141" i="101"/>
  <c r="V141" i="101" s="1"/>
  <c r="AA86" i="101"/>
  <c r="W148" i="99"/>
  <c r="V148" i="99" s="1"/>
  <c r="V147" i="99"/>
  <c r="G6" i="55"/>
  <c r="F8" i="55"/>
  <c r="G7" i="55"/>
  <c r="G8" i="55" l="1"/>
  <c r="AA64" i="99"/>
  <c r="L210" i="99"/>
  <c r="O210" i="99" s="1"/>
  <c r="L15" i="99"/>
  <c r="O15" i="99" s="1"/>
  <c r="G2" i="99"/>
  <c r="L199" i="99" s="1"/>
  <c r="O199" i="99" s="1"/>
  <c r="AA173" i="99"/>
  <c r="L8" i="99"/>
  <c r="AA2" i="99"/>
  <c r="F4" i="105" s="1"/>
  <c r="L38" i="99"/>
  <c r="L17" i="99"/>
  <c r="O17" i="99" s="1"/>
  <c r="AA212" i="99"/>
  <c r="AA55" i="99"/>
  <c r="AA172" i="99"/>
  <c r="E4" i="105"/>
  <c r="L12" i="99"/>
  <c r="O12" i="99" s="1"/>
  <c r="E8" i="102" s="1"/>
  <c r="L14" i="99"/>
  <c r="O14" i="99" s="1"/>
  <c r="L37" i="99"/>
  <c r="O37" i="99" s="1"/>
  <c r="L40" i="99"/>
  <c r="O40" i="99" s="1"/>
  <c r="AA57" i="99"/>
  <c r="AA65" i="99"/>
  <c r="AA82" i="99"/>
  <c r="AA90" i="99"/>
  <c r="AA97" i="99"/>
  <c r="L121" i="99"/>
  <c r="L134" i="99"/>
  <c r="O134" i="99" s="1"/>
  <c r="L160" i="99"/>
  <c r="O160" i="99" s="1"/>
  <c r="Q160" i="99" s="1"/>
  <c r="AA160" i="99" s="1"/>
  <c r="L163" i="99"/>
  <c r="O163" i="99" s="1"/>
  <c r="AA174" i="99"/>
  <c r="AA205" i="99"/>
  <c r="L21" i="99"/>
  <c r="L18" i="99"/>
  <c r="O18" i="99" s="1"/>
  <c r="L39" i="99"/>
  <c r="O39" i="99" s="1"/>
  <c r="AA56" i="99"/>
  <c r="AA73" i="99"/>
  <c r="AA81" i="99"/>
  <c r="AA91" i="99"/>
  <c r="AA98" i="99"/>
  <c r="AA133" i="99"/>
  <c r="L158" i="99"/>
  <c r="L161" i="99"/>
  <c r="O161" i="99" s="1"/>
  <c r="Q161" i="99" s="1"/>
  <c r="AA161" i="99" s="1"/>
  <c r="L165" i="99"/>
  <c r="AA175" i="99"/>
  <c r="L185" i="99"/>
  <c r="O185" i="99" s="1"/>
  <c r="L186" i="99"/>
  <c r="O186" i="99" s="1"/>
  <c r="L187" i="99"/>
  <c r="O187" i="99" s="1"/>
  <c r="Q187" i="99" s="1"/>
  <c r="AA187" i="99" s="1"/>
  <c r="L188" i="99"/>
  <c r="O188" i="99" s="1"/>
  <c r="Q188" i="99" s="1"/>
  <c r="AA188" i="99" s="1"/>
  <c r="L191" i="99"/>
  <c r="O191" i="99" s="1"/>
  <c r="Q191" i="99" s="1"/>
  <c r="L209" i="99"/>
  <c r="O209" i="99" s="1"/>
  <c r="AA211" i="99"/>
  <c r="AA99" i="99"/>
  <c r="AA83" i="99"/>
  <c r="U210" i="99" l="1"/>
  <c r="Q210" i="99"/>
  <c r="S210" i="99"/>
  <c r="S15" i="99"/>
  <c r="Q15" i="99"/>
  <c r="AA15" i="99" s="1"/>
  <c r="E12" i="104"/>
  <c r="U15" i="99"/>
  <c r="L204" i="99"/>
  <c r="O204" i="99" s="1"/>
  <c r="Q204" i="99" s="1"/>
  <c r="AA204" i="99" s="1"/>
  <c r="Q199" i="99"/>
  <c r="E16" i="104"/>
  <c r="O8" i="99"/>
  <c r="L11" i="99"/>
  <c r="O11" i="99" s="1"/>
  <c r="L13" i="99"/>
  <c r="O38" i="99"/>
  <c r="E10" i="102" s="1"/>
  <c r="L70" i="99"/>
  <c r="U17" i="99"/>
  <c r="Q17" i="99"/>
  <c r="AA17" i="99" s="1"/>
  <c r="S17" i="99"/>
  <c r="D10" i="105"/>
  <c r="D16" i="105"/>
  <c r="D13" i="105"/>
  <c r="D19" i="105"/>
  <c r="D21" i="105" s="1"/>
  <c r="Q14" i="99"/>
  <c r="AA14" i="99" s="1"/>
  <c r="U14" i="99"/>
  <c r="S14" i="99"/>
  <c r="D10" i="103"/>
  <c r="U37" i="99"/>
  <c r="S37" i="99"/>
  <c r="Q37" i="99"/>
  <c r="Q40" i="99"/>
  <c r="S40" i="99"/>
  <c r="U40" i="99"/>
  <c r="O121" i="99"/>
  <c r="Q121" i="99" s="1"/>
  <c r="AA121" i="99" s="1"/>
  <c r="L122" i="99"/>
  <c r="L125" i="99"/>
  <c r="O125" i="99" s="1"/>
  <c r="Q125" i="99" s="1"/>
  <c r="AA125" i="99" s="1"/>
  <c r="L129" i="99"/>
  <c r="O129" i="99" s="1"/>
  <c r="L120" i="99"/>
  <c r="Q134" i="99"/>
  <c r="U134" i="99"/>
  <c r="S134" i="99"/>
  <c r="Q163" i="99"/>
  <c r="U163" i="99"/>
  <c r="L162" i="99"/>
  <c r="O162" i="99" s="1"/>
  <c r="S163" i="99"/>
  <c r="L22" i="99"/>
  <c r="O21" i="99"/>
  <c r="S18" i="99"/>
  <c r="Q18" i="99"/>
  <c r="AA18" i="99" s="1"/>
  <c r="U18" i="99"/>
  <c r="E14" i="104"/>
  <c r="Q39" i="99"/>
  <c r="AA39" i="99" s="1"/>
  <c r="S39" i="99"/>
  <c r="U39" i="99"/>
  <c r="L159" i="99"/>
  <c r="O159" i="99" s="1"/>
  <c r="O158" i="99"/>
  <c r="O165" i="99"/>
  <c r="L164" i="99"/>
  <c r="O164" i="99" s="1"/>
  <c r="Q185" i="99"/>
  <c r="S185" i="99"/>
  <c r="U185" i="99"/>
  <c r="Q186" i="99"/>
  <c r="AA186" i="99" s="1"/>
  <c r="E26" i="104"/>
  <c r="U209" i="99"/>
  <c r="U213" i="99" s="1"/>
  <c r="S209" i="99"/>
  <c r="S213" i="99" s="1"/>
  <c r="Q209" i="99"/>
  <c r="D12" i="103"/>
  <c r="AA191" i="99"/>
  <c r="D32" i="55"/>
  <c r="AA199" i="99" l="1"/>
  <c r="Q206" i="99"/>
  <c r="AA206" i="99" s="1"/>
  <c r="AA37" i="99"/>
  <c r="W185" i="99"/>
  <c r="V185" i="99" s="1"/>
  <c r="AA210" i="99"/>
  <c r="W210" i="99"/>
  <c r="V210" i="99" s="1"/>
  <c r="W15" i="99"/>
  <c r="J12" i="104"/>
  <c r="J16" i="104"/>
  <c r="S8" i="99"/>
  <c r="U8" i="99"/>
  <c r="Q8" i="99"/>
  <c r="D9" i="103"/>
  <c r="Q11" i="99"/>
  <c r="U11" i="99"/>
  <c r="S11" i="99"/>
  <c r="L16" i="99"/>
  <c r="O13" i="99"/>
  <c r="L74" i="99"/>
  <c r="O74" i="99" s="1"/>
  <c r="O70" i="99"/>
  <c r="W17" i="99"/>
  <c r="W14" i="99"/>
  <c r="I10" i="103"/>
  <c r="W40" i="99"/>
  <c r="V40" i="99" s="1"/>
  <c r="AA40" i="99"/>
  <c r="L130" i="99"/>
  <c r="L124" i="99"/>
  <c r="O124" i="99" s="1"/>
  <c r="L123" i="99"/>
  <c r="O122" i="99"/>
  <c r="Q122" i="99" s="1"/>
  <c r="AA122" i="99" s="1"/>
  <c r="L128" i="99"/>
  <c r="O128" i="99" s="1"/>
  <c r="Q128" i="99" s="1"/>
  <c r="AA128" i="99" s="1"/>
  <c r="L127" i="99"/>
  <c r="O127" i="99" s="1"/>
  <c r="E34" i="104"/>
  <c r="Q129" i="99"/>
  <c r="AA129" i="99" s="1"/>
  <c r="L119" i="99"/>
  <c r="O119" i="99" s="1"/>
  <c r="O120" i="99"/>
  <c r="W134" i="99"/>
  <c r="AA134" i="99"/>
  <c r="W163" i="99"/>
  <c r="V163" i="99" s="1"/>
  <c r="AA163" i="99"/>
  <c r="U162" i="99"/>
  <c r="S162" i="99"/>
  <c r="Q162" i="99"/>
  <c r="O22" i="99"/>
  <c r="L23" i="99"/>
  <c r="S21" i="99"/>
  <c r="Q21" i="99"/>
  <c r="AA21" i="99" s="1"/>
  <c r="U21" i="99"/>
  <c r="W18" i="99"/>
  <c r="J14" i="104"/>
  <c r="S159" i="99"/>
  <c r="U159" i="99"/>
  <c r="E24" i="104"/>
  <c r="Q159" i="99"/>
  <c r="S158" i="99"/>
  <c r="Q158" i="99"/>
  <c r="U158" i="99"/>
  <c r="U165" i="99"/>
  <c r="S165" i="99"/>
  <c r="E13" i="104"/>
  <c r="Q165" i="99"/>
  <c r="S164" i="99"/>
  <c r="Q164" i="99"/>
  <c r="U164" i="99"/>
  <c r="Q189" i="99"/>
  <c r="AA189" i="99" s="1"/>
  <c r="AA185" i="99"/>
  <c r="J26" i="104"/>
  <c r="Q213" i="99"/>
  <c r="W209" i="99"/>
  <c r="AA209" i="99"/>
  <c r="I12" i="103"/>
  <c r="W37" i="99"/>
  <c r="V37" i="99" s="1"/>
  <c r="W39" i="99"/>
  <c r="V39" i="99" s="1"/>
  <c r="D33" i="55"/>
  <c r="D20" i="55"/>
  <c r="F20" i="55" s="1"/>
  <c r="G20" i="55" s="1"/>
  <c r="D18" i="55"/>
  <c r="F18" i="55" s="1"/>
  <c r="G18" i="55" s="1"/>
  <c r="D17" i="55"/>
  <c r="F17" i="55" s="1"/>
  <c r="G17" i="55" s="1"/>
  <c r="D16" i="55"/>
  <c r="F16" i="55" s="1"/>
  <c r="G16" i="55" s="1"/>
  <c r="D15" i="55"/>
  <c r="F15" i="55" s="1"/>
  <c r="G15" i="55" s="1"/>
  <c r="D14" i="55"/>
  <c r="F14" i="55" s="1"/>
  <c r="G14" i="55" s="1"/>
  <c r="D13" i="55"/>
  <c r="F13" i="55" s="1"/>
  <c r="G13" i="55" s="1"/>
  <c r="D12" i="55"/>
  <c r="F12" i="55" s="1"/>
  <c r="G12" i="55" s="1"/>
  <c r="D11" i="55"/>
  <c r="F11" i="55" s="1"/>
  <c r="G11" i="55" s="1"/>
  <c r="D10" i="55"/>
  <c r="F10" i="55" s="1"/>
  <c r="G10" i="55" s="1"/>
  <c r="D9" i="55"/>
  <c r="F9" i="55" s="1"/>
  <c r="V15" i="99" l="1"/>
  <c r="Z15" i="99"/>
  <c r="AA8" i="99"/>
  <c r="W8" i="99"/>
  <c r="V8" i="99" s="1"/>
  <c r="I9" i="103"/>
  <c r="AA11" i="99"/>
  <c r="W11" i="99"/>
  <c r="V11" i="99" s="1"/>
  <c r="L19" i="99"/>
  <c r="O16" i="99"/>
  <c r="V17" i="99"/>
  <c r="Z17" i="99"/>
  <c r="V14" i="99"/>
  <c r="Z14" i="99"/>
  <c r="O130" i="99"/>
  <c r="Q130" i="99" s="1"/>
  <c r="AA130" i="99" s="1"/>
  <c r="L131" i="99"/>
  <c r="E25" i="104"/>
  <c r="Q124" i="99"/>
  <c r="AA124" i="99" s="1"/>
  <c r="L126" i="99"/>
  <c r="O126" i="99" s="1"/>
  <c r="O123" i="99"/>
  <c r="J34" i="104"/>
  <c r="G34" i="104"/>
  <c r="I34" i="104" s="1"/>
  <c r="L34" i="104" s="1"/>
  <c r="U119" i="99"/>
  <c r="Q119" i="99"/>
  <c r="S119" i="99"/>
  <c r="E9" i="104"/>
  <c r="Q120" i="99"/>
  <c r="AA120" i="99" s="1"/>
  <c r="V134" i="99"/>
  <c r="AA162" i="99"/>
  <c r="W162" i="99"/>
  <c r="U22" i="99"/>
  <c r="Q22" i="99"/>
  <c r="AA22" i="99" s="1"/>
  <c r="S22" i="99"/>
  <c r="L24" i="99"/>
  <c r="O23" i="99"/>
  <c r="W21" i="99"/>
  <c r="V21" i="99" s="1"/>
  <c r="V18" i="99"/>
  <c r="Z18" i="99"/>
  <c r="J24" i="104"/>
  <c r="W159" i="99"/>
  <c r="V159" i="99" s="1"/>
  <c r="AA159" i="99"/>
  <c r="Y159" i="99"/>
  <c r="Z159" i="99" s="1"/>
  <c r="W158" i="99"/>
  <c r="Y158" i="99"/>
  <c r="Z158" i="99" s="1"/>
  <c r="AA158" i="99"/>
  <c r="Q166" i="99"/>
  <c r="AA166" i="99" s="1"/>
  <c r="J13" i="104"/>
  <c r="W165" i="99"/>
  <c r="AA165" i="99"/>
  <c r="W164" i="99"/>
  <c r="AA164" i="99"/>
  <c r="AA213" i="99"/>
  <c r="AC213" i="99"/>
  <c r="E19" i="105"/>
  <c r="V209" i="99"/>
  <c r="W213" i="99"/>
  <c r="Z209" i="99"/>
  <c r="E9" i="102"/>
  <c r="U166" i="99"/>
  <c r="S166" i="99"/>
  <c r="S189" i="99" s="1"/>
  <c r="S207" i="99" s="1"/>
  <c r="D8" i="102"/>
  <c r="F24" i="55"/>
  <c r="G9" i="55"/>
  <c r="F35" i="55"/>
  <c r="D35" i="55"/>
  <c r="D36" i="55" s="1"/>
  <c r="G24" i="55" l="1"/>
  <c r="G25" i="55" s="1"/>
  <c r="F25" i="55"/>
  <c r="W166" i="99"/>
  <c r="W189" i="99" s="1"/>
  <c r="O19" i="99"/>
  <c r="Q19" i="99" s="1"/>
  <c r="AA19" i="99" s="1"/>
  <c r="L20" i="99"/>
  <c r="O20" i="99" s="1"/>
  <c r="Q20" i="99" s="1"/>
  <c r="AA20" i="99" s="1"/>
  <c r="E12" i="102"/>
  <c r="E13" i="102" s="1"/>
  <c r="Q16" i="99"/>
  <c r="AA16" i="99" s="1"/>
  <c r="O131" i="99"/>
  <c r="L132" i="99"/>
  <c r="O132" i="99" s="1"/>
  <c r="Q132" i="99" s="1"/>
  <c r="AA132" i="99" s="1"/>
  <c r="G25" i="104"/>
  <c r="I25" i="104" s="1"/>
  <c r="L25" i="104" s="1"/>
  <c r="J25" i="104"/>
  <c r="E39" i="104"/>
  <c r="Q126" i="99"/>
  <c r="AA126" i="99" s="1"/>
  <c r="E17" i="104"/>
  <c r="Q123" i="99"/>
  <c r="AA123" i="99" s="1"/>
  <c r="AA119" i="99"/>
  <c r="W119" i="99"/>
  <c r="J9" i="104"/>
  <c r="G9" i="104"/>
  <c r="I9" i="104" s="1"/>
  <c r="Z162" i="99"/>
  <c r="V162" i="99"/>
  <c r="W22" i="99"/>
  <c r="V22" i="99" s="1"/>
  <c r="L25" i="99"/>
  <c r="O24" i="99"/>
  <c r="E19" i="104"/>
  <c r="Q23" i="99"/>
  <c r="AA23" i="99" s="1"/>
  <c r="V158" i="99"/>
  <c r="V165" i="99"/>
  <c r="Z165" i="99"/>
  <c r="Z164" i="99"/>
  <c r="V164" i="99"/>
  <c r="G19" i="105"/>
  <c r="F19" i="105"/>
  <c r="S219" i="99"/>
  <c r="S229" i="99"/>
  <c r="S206" i="99"/>
  <c r="U189" i="99"/>
  <c r="F8" i="102"/>
  <c r="F33" i="55"/>
  <c r="G33" i="55" s="1"/>
  <c r="G35" i="55"/>
  <c r="F36" i="55"/>
  <c r="G36" i="55" s="1"/>
  <c r="K12" i="102" l="1"/>
  <c r="D11" i="103"/>
  <c r="Q131" i="99"/>
  <c r="AA131" i="99" s="1"/>
  <c r="G39" i="104"/>
  <c r="I39" i="104" s="1"/>
  <c r="L39" i="104" s="1"/>
  <c r="J39" i="104"/>
  <c r="J40" i="104" s="1"/>
  <c r="J17" i="104"/>
  <c r="Z119" i="99"/>
  <c r="V119" i="99"/>
  <c r="L9" i="104"/>
  <c r="L26" i="99"/>
  <c r="O25" i="99"/>
  <c r="Q24" i="99"/>
  <c r="AA24" i="99" s="1"/>
  <c r="U24" i="99"/>
  <c r="S24" i="99"/>
  <c r="E20" i="104"/>
  <c r="J19" i="104"/>
  <c r="W206" i="99"/>
  <c r="W207" i="99"/>
  <c r="U206" i="99"/>
  <c r="U207" i="99"/>
  <c r="E2" i="101"/>
  <c r="E4" i="104"/>
  <c r="R368" i="12"/>
  <c r="R367" i="12"/>
  <c r="R366" i="12"/>
  <c r="R365" i="12"/>
  <c r="R364" i="12"/>
  <c r="R363" i="12"/>
  <c r="J363" i="12"/>
  <c r="S363" i="12" s="1"/>
  <c r="K362" i="12"/>
  <c r="L362" i="12" s="1"/>
  <c r="M362" i="12" s="1"/>
  <c r="N362" i="12" s="1"/>
  <c r="O362" i="12" s="1"/>
  <c r="P362" i="12" s="1"/>
  <c r="Q362" i="12" s="1"/>
  <c r="R360" i="12"/>
  <c r="R359" i="12"/>
  <c r="R358" i="12"/>
  <c r="R357" i="12"/>
  <c r="R356" i="12"/>
  <c r="R354" i="12"/>
  <c r="R353" i="12"/>
  <c r="R352" i="12"/>
  <c r="R351" i="12"/>
  <c r="R350" i="12"/>
  <c r="R348" i="12"/>
  <c r="R347" i="12"/>
  <c r="R346" i="12"/>
  <c r="R345" i="12"/>
  <c r="R344" i="12"/>
  <c r="Q344" i="12"/>
  <c r="P344" i="12"/>
  <c r="O344" i="12"/>
  <c r="N344" i="12"/>
  <c r="M344" i="12"/>
  <c r="L344" i="12"/>
  <c r="K344" i="12"/>
  <c r="J344" i="12"/>
  <c r="I344" i="12"/>
  <c r="R342" i="12"/>
  <c r="R341" i="12"/>
  <c r="R340" i="12"/>
  <c r="R339" i="12"/>
  <c r="R338" i="12"/>
  <c r="Q338" i="12"/>
  <c r="P338" i="12"/>
  <c r="O338" i="12"/>
  <c r="N338" i="12"/>
  <c r="M338" i="12"/>
  <c r="L338" i="12"/>
  <c r="K338" i="12"/>
  <c r="J338" i="12"/>
  <c r="I338" i="12"/>
  <c r="R336" i="12"/>
  <c r="R335" i="12"/>
  <c r="R334" i="12"/>
  <c r="R333" i="12"/>
  <c r="R332" i="12"/>
  <c r="R331" i="12"/>
  <c r="Q331" i="12"/>
  <c r="P331" i="12"/>
  <c r="O331" i="12"/>
  <c r="N331" i="12"/>
  <c r="M331" i="12"/>
  <c r="L331" i="12"/>
  <c r="K331" i="12"/>
  <c r="J331" i="12"/>
  <c r="I331" i="12"/>
  <c r="R329" i="12"/>
  <c r="R328" i="12"/>
  <c r="R327" i="12"/>
  <c r="R326" i="12"/>
  <c r="R325" i="12"/>
  <c r="Q325" i="12"/>
  <c r="P325" i="12"/>
  <c r="O325" i="12"/>
  <c r="N325" i="12"/>
  <c r="M325" i="12"/>
  <c r="L325" i="12"/>
  <c r="K325" i="12"/>
  <c r="J325" i="12"/>
  <c r="I325" i="12"/>
  <c r="R323" i="12"/>
  <c r="J323" i="12"/>
  <c r="S323" i="12" s="1"/>
  <c r="R322" i="12"/>
  <c r="R321" i="12"/>
  <c r="R320" i="12"/>
  <c r="R319" i="12"/>
  <c r="R318" i="12"/>
  <c r="V317" i="12"/>
  <c r="U317" i="12"/>
  <c r="T317" i="12"/>
  <c r="S317" i="12"/>
  <c r="R317" i="12"/>
  <c r="V316" i="12"/>
  <c r="U316" i="12"/>
  <c r="T316" i="12"/>
  <c r="S316" i="12"/>
  <c r="R316" i="12"/>
  <c r="V315" i="12"/>
  <c r="U315" i="12"/>
  <c r="T315" i="12"/>
  <c r="S315" i="12"/>
  <c r="R315" i="12"/>
  <c r="V314" i="12"/>
  <c r="U314" i="12"/>
  <c r="T314" i="12"/>
  <c r="S314" i="12"/>
  <c r="R314" i="12"/>
  <c r="V313" i="12"/>
  <c r="U313" i="12"/>
  <c r="T313" i="12"/>
  <c r="S313" i="12"/>
  <c r="R313" i="12"/>
  <c r="R312" i="12"/>
  <c r="Q312" i="12"/>
  <c r="P312" i="12"/>
  <c r="O312" i="12"/>
  <c r="N312" i="12"/>
  <c r="M312" i="12"/>
  <c r="L312" i="12"/>
  <c r="K312" i="12"/>
  <c r="J312" i="12"/>
  <c r="I312" i="12"/>
  <c r="R310" i="12"/>
  <c r="R309" i="12"/>
  <c r="R308" i="12"/>
  <c r="R307" i="12"/>
  <c r="R306" i="12"/>
  <c r="R305" i="12"/>
  <c r="R304" i="12"/>
  <c r="R303" i="12"/>
  <c r="R302" i="12"/>
  <c r="R301" i="12"/>
  <c r="R300" i="12"/>
  <c r="R299" i="12"/>
  <c r="R298" i="12"/>
  <c r="R297" i="12"/>
  <c r="R296" i="12"/>
  <c r="R295" i="12"/>
  <c r="J295" i="12"/>
  <c r="K295" i="12" s="1"/>
  <c r="L295" i="12" s="1"/>
  <c r="M295" i="12" s="1"/>
  <c r="H295" i="12"/>
  <c r="R294" i="12"/>
  <c r="J294" i="12"/>
  <c r="K293" i="12"/>
  <c r="L293" i="12" s="1"/>
  <c r="M293" i="12" s="1"/>
  <c r="N293" i="12" s="1"/>
  <c r="O293" i="12" s="1"/>
  <c r="P293" i="12" s="1"/>
  <c r="Q293" i="12" s="1"/>
  <c r="R291" i="12"/>
  <c r="R290" i="12"/>
  <c r="R289" i="12"/>
  <c r="R288" i="12"/>
  <c r="R287" i="12"/>
  <c r="R286" i="12"/>
  <c r="R285" i="12"/>
  <c r="R284" i="12"/>
  <c r="R283" i="12"/>
  <c r="R282" i="12"/>
  <c r="J282" i="12"/>
  <c r="R281" i="12"/>
  <c r="R280" i="12"/>
  <c r="R279" i="12"/>
  <c r="R278" i="12"/>
  <c r="R277" i="12"/>
  <c r="R276" i="12"/>
  <c r="J276" i="12"/>
  <c r="R275" i="12"/>
  <c r="R274" i="12"/>
  <c r="R273" i="12"/>
  <c r="R272" i="12"/>
  <c r="J272" i="12"/>
  <c r="K271" i="12"/>
  <c r="L271" i="12" s="1"/>
  <c r="M271" i="12" s="1"/>
  <c r="N271" i="12" s="1"/>
  <c r="O271" i="12" s="1"/>
  <c r="P271" i="12" s="1"/>
  <c r="Q271" i="12" s="1"/>
  <c r="R269" i="12"/>
  <c r="R268" i="12"/>
  <c r="R267" i="12"/>
  <c r="R266" i="12"/>
  <c r="R265" i="12"/>
  <c r="R264" i="12"/>
  <c r="R263" i="12"/>
  <c r="R262" i="12"/>
  <c r="R261" i="12"/>
  <c r="S260" i="12"/>
  <c r="R260" i="12"/>
  <c r="K259" i="12"/>
  <c r="K260" i="12" s="1"/>
  <c r="R257" i="12"/>
  <c r="R256" i="12"/>
  <c r="R255" i="12"/>
  <c r="R254" i="12"/>
  <c r="R253" i="12"/>
  <c r="R252" i="12"/>
  <c r="R251" i="12"/>
  <c r="R250" i="12"/>
  <c r="R249" i="12"/>
  <c r="R248" i="12"/>
  <c r="R247" i="12"/>
  <c r="R246" i="12"/>
  <c r="R245" i="12"/>
  <c r="R244" i="12"/>
  <c r="R243" i="12"/>
  <c r="R242" i="12"/>
  <c r="R241" i="12"/>
  <c r="R240" i="12"/>
  <c r="R239" i="12"/>
  <c r="S238" i="12"/>
  <c r="R238" i="12"/>
  <c r="K237" i="12"/>
  <c r="R235" i="12"/>
  <c r="J235" i="12"/>
  <c r="R234" i="12"/>
  <c r="J234" i="12"/>
  <c r="R233" i="12"/>
  <c r="J233" i="12"/>
  <c r="K233" i="12" s="1"/>
  <c r="R232" i="12"/>
  <c r="R231" i="12"/>
  <c r="R230" i="12"/>
  <c r="R229" i="12"/>
  <c r="R228" i="12"/>
  <c r="R227" i="12"/>
  <c r="R226" i="12"/>
  <c r="R225" i="12"/>
  <c r="R224" i="12"/>
  <c r="R223" i="12"/>
  <c r="R222" i="12"/>
  <c r="R221" i="12"/>
  <c r="R220" i="12"/>
  <c r="R219" i="12"/>
  <c r="R218" i="12"/>
  <c r="R217" i="12"/>
  <c r="R216" i="12"/>
  <c r="S215" i="12"/>
  <c r="R215" i="12"/>
  <c r="L214" i="12"/>
  <c r="M214" i="12" s="1"/>
  <c r="N214" i="12" s="1"/>
  <c r="O214" i="12" s="1"/>
  <c r="P214" i="12" s="1"/>
  <c r="Q214" i="12" s="1"/>
  <c r="K214" i="12"/>
  <c r="K215" i="12" s="1"/>
  <c r="R212" i="12"/>
  <c r="R211" i="12"/>
  <c r="R210" i="12"/>
  <c r="R209" i="12"/>
  <c r="R208" i="12"/>
  <c r="R207" i="12"/>
  <c r="R206" i="12"/>
  <c r="R205" i="12"/>
  <c r="R204" i="12"/>
  <c r="S203" i="12"/>
  <c r="R203" i="12"/>
  <c r="K202" i="12"/>
  <c r="L202" i="12" s="1"/>
  <c r="M202" i="12" s="1"/>
  <c r="N202" i="12" s="1"/>
  <c r="O202" i="12" s="1"/>
  <c r="P202" i="12" s="1"/>
  <c r="Q202" i="12" s="1"/>
  <c r="R200" i="12"/>
  <c r="R199" i="12"/>
  <c r="R198" i="12"/>
  <c r="R197" i="12"/>
  <c r="R196" i="12"/>
  <c r="R194" i="12"/>
  <c r="R193" i="12"/>
  <c r="J192" i="12"/>
  <c r="S192" i="12" s="1"/>
  <c r="R191" i="12"/>
  <c r="R190" i="12"/>
  <c r="R189" i="12"/>
  <c r="J189" i="12"/>
  <c r="S189" i="12" s="1"/>
  <c r="R188" i="12"/>
  <c r="R187" i="12"/>
  <c r="R185" i="12"/>
  <c r="K184" i="12"/>
  <c r="R182" i="12"/>
  <c r="R181" i="12"/>
  <c r="R180" i="12"/>
  <c r="R179" i="12"/>
  <c r="R178" i="12"/>
  <c r="R177" i="12"/>
  <c r="J177" i="12"/>
  <c r="R176" i="12"/>
  <c r="J176" i="12"/>
  <c r="R175" i="12"/>
  <c r="J175" i="12"/>
  <c r="R174" i="12"/>
  <c r="R173" i="12"/>
  <c r="R172" i="12"/>
  <c r="R171" i="12"/>
  <c r="R170" i="12"/>
  <c r="R169" i="12"/>
  <c r="J169" i="12"/>
  <c r="R168" i="12"/>
  <c r="J168" i="12"/>
  <c r="S167" i="12"/>
  <c r="R167" i="12"/>
  <c r="S166" i="12"/>
  <c r="R166" i="12"/>
  <c r="S165" i="12"/>
  <c r="R165" i="12"/>
  <c r="S164" i="12"/>
  <c r="R164" i="12"/>
  <c r="K163" i="12"/>
  <c r="R161" i="12"/>
  <c r="R160" i="12"/>
  <c r="R159" i="12"/>
  <c r="R158" i="12"/>
  <c r="R157" i="12"/>
  <c r="J157" i="12"/>
  <c r="S157" i="12" s="1"/>
  <c r="R156" i="12"/>
  <c r="R155" i="12"/>
  <c r="R154" i="12"/>
  <c r="R153" i="12"/>
  <c r="R152" i="12"/>
  <c r="J152" i="12"/>
  <c r="R151" i="12"/>
  <c r="J151" i="12"/>
  <c r="K150" i="12"/>
  <c r="L150" i="12" s="1"/>
  <c r="M150" i="12" s="1"/>
  <c r="N150" i="12" s="1"/>
  <c r="O150" i="12" s="1"/>
  <c r="P150" i="12" s="1"/>
  <c r="Q150" i="12" s="1"/>
  <c r="R148" i="12"/>
  <c r="J148" i="12"/>
  <c r="R147" i="12"/>
  <c r="J147" i="12"/>
  <c r="R146" i="12"/>
  <c r="J146" i="12"/>
  <c r="S146" i="12" s="1"/>
  <c r="R145" i="12"/>
  <c r="J145" i="12"/>
  <c r="S145" i="12" s="1"/>
  <c r="R144" i="12"/>
  <c r="J144" i="12"/>
  <c r="S144" i="12" s="1"/>
  <c r="R143" i="12"/>
  <c r="J143" i="12"/>
  <c r="R142" i="12"/>
  <c r="J142" i="12"/>
  <c r="R141" i="12"/>
  <c r="J141" i="12"/>
  <c r="S141" i="12" s="1"/>
  <c r="R140" i="12"/>
  <c r="J140" i="12"/>
  <c r="S140" i="12" s="1"/>
  <c r="X139" i="12"/>
  <c r="Y139" i="12" s="1"/>
  <c r="R139" i="12"/>
  <c r="J139" i="12"/>
  <c r="R138" i="12"/>
  <c r="J138" i="12"/>
  <c r="X137" i="12"/>
  <c r="Y137" i="12" s="1"/>
  <c r="R137" i="12"/>
  <c r="J137" i="12"/>
  <c r="R136" i="12"/>
  <c r="J136" i="12"/>
  <c r="R135" i="12"/>
  <c r="R134" i="12"/>
  <c r="R133" i="12"/>
  <c r="J133" i="12"/>
  <c r="R132" i="12"/>
  <c r="R131" i="12"/>
  <c r="J131" i="12"/>
  <c r="S130" i="12"/>
  <c r="R130" i="12"/>
  <c r="K129" i="12"/>
  <c r="K130" i="12" s="1"/>
  <c r="R127" i="12"/>
  <c r="R126" i="12"/>
  <c r="J126" i="12"/>
  <c r="S126" i="12" s="1"/>
  <c r="S125" i="12"/>
  <c r="R125" i="12"/>
  <c r="R124" i="12"/>
  <c r="J124" i="12"/>
  <c r="R123" i="12"/>
  <c r="J123" i="12"/>
  <c r="S123" i="12" s="1"/>
  <c r="R122" i="12"/>
  <c r="J122" i="12"/>
  <c r="S122" i="12" s="1"/>
  <c r="R121" i="12"/>
  <c r="J121" i="12"/>
  <c r="S121" i="12" s="1"/>
  <c r="R120" i="12"/>
  <c r="J120" i="12"/>
  <c r="S120" i="12" s="1"/>
  <c r="R119" i="12"/>
  <c r="J119" i="12"/>
  <c r="S119" i="12" s="1"/>
  <c r="S117" i="12"/>
  <c r="R117" i="12"/>
  <c r="R116" i="12"/>
  <c r="J116" i="12"/>
  <c r="R115" i="12"/>
  <c r="J115" i="12"/>
  <c r="S115" i="12" s="1"/>
  <c r="R114" i="12"/>
  <c r="J114" i="12"/>
  <c r="S114" i="12" s="1"/>
  <c r="S113" i="12"/>
  <c r="R113" i="12"/>
  <c r="R112" i="12"/>
  <c r="J112" i="12"/>
  <c r="S111" i="12"/>
  <c r="R111" i="12"/>
  <c r="S110" i="12"/>
  <c r="R110" i="12"/>
  <c r="R109" i="12"/>
  <c r="J109" i="12"/>
  <c r="S108" i="12"/>
  <c r="R108" i="12"/>
  <c r="K108" i="12"/>
  <c r="S107" i="12"/>
  <c r="R107" i="12"/>
  <c r="K107" i="12"/>
  <c r="S106" i="12"/>
  <c r="R106" i="12"/>
  <c r="K106" i="12"/>
  <c r="S105" i="12"/>
  <c r="R105" i="12"/>
  <c r="K105" i="12"/>
  <c r="S104" i="12"/>
  <c r="R104" i="12"/>
  <c r="K104" i="12"/>
  <c r="S103" i="12"/>
  <c r="R103" i="12"/>
  <c r="K103" i="12"/>
  <c r="K102" i="12"/>
  <c r="L102" i="12" s="1"/>
  <c r="M102" i="12" s="1"/>
  <c r="N102" i="12" s="1"/>
  <c r="O102" i="12" s="1"/>
  <c r="P102" i="12" s="1"/>
  <c r="Q102" i="12" s="1"/>
  <c r="S98" i="12"/>
  <c r="R98" i="12"/>
  <c r="J98" i="12"/>
  <c r="R97" i="12"/>
  <c r="J97" i="12"/>
  <c r="S97" i="12" s="1"/>
  <c r="R96" i="12"/>
  <c r="J96" i="12"/>
  <c r="S96" i="12" s="1"/>
  <c r="R95" i="12"/>
  <c r="J95" i="12"/>
  <c r="S95" i="12" s="1"/>
  <c r="R94" i="12"/>
  <c r="J94" i="12"/>
  <c r="R93" i="12"/>
  <c r="J93" i="12"/>
  <c r="R92" i="12"/>
  <c r="J92" i="12"/>
  <c r="R91" i="12"/>
  <c r="J91" i="12"/>
  <c r="R90" i="12"/>
  <c r="J90" i="12"/>
  <c r="S90" i="12" s="1"/>
  <c r="R89" i="12"/>
  <c r="J89" i="12"/>
  <c r="S89" i="12" s="1"/>
  <c r="R88" i="12"/>
  <c r="J88" i="12"/>
  <c r="R87" i="12"/>
  <c r="J87" i="12"/>
  <c r="S87" i="12" s="1"/>
  <c r="R86" i="12"/>
  <c r="J86" i="12"/>
  <c r="R85" i="12"/>
  <c r="J85" i="12"/>
  <c r="S85" i="12" s="1"/>
  <c r="R84" i="12"/>
  <c r="J84" i="12"/>
  <c r="R83" i="12"/>
  <c r="J83" i="12"/>
  <c r="R82" i="12"/>
  <c r="J82" i="12"/>
  <c r="S82" i="12" s="1"/>
  <c r="R81" i="12"/>
  <c r="J81" i="12"/>
  <c r="S81" i="12" s="1"/>
  <c r="R80" i="12"/>
  <c r="J80" i="12"/>
  <c r="S80" i="12" s="1"/>
  <c r="R79" i="12"/>
  <c r="J79" i="12"/>
  <c r="S79" i="12" s="1"/>
  <c r="R78" i="12"/>
  <c r="J78" i="12"/>
  <c r="R77" i="12"/>
  <c r="J77" i="12"/>
  <c r="S77" i="12" s="1"/>
  <c r="R76" i="12"/>
  <c r="J76" i="12"/>
  <c r="S76" i="12" s="1"/>
  <c r="R75" i="12"/>
  <c r="J75" i="12"/>
  <c r="S75" i="12" s="1"/>
  <c r="R74" i="12"/>
  <c r="J74" i="12"/>
  <c r="S74" i="12" s="1"/>
  <c r="R73" i="12"/>
  <c r="J73" i="12"/>
  <c r="R72" i="12"/>
  <c r="J72" i="12"/>
  <c r="K72" i="12" s="1"/>
  <c r="S71" i="12"/>
  <c r="R71" i="12"/>
  <c r="J71" i="12"/>
  <c r="R70" i="12"/>
  <c r="J70" i="12"/>
  <c r="R69" i="12"/>
  <c r="J69" i="12"/>
  <c r="S69" i="12" s="1"/>
  <c r="R68" i="12"/>
  <c r="J68" i="12"/>
  <c r="R67" i="12"/>
  <c r="J67" i="12"/>
  <c r="S67" i="12" s="1"/>
  <c r="R66" i="12"/>
  <c r="J66" i="12"/>
  <c r="S66" i="12" s="1"/>
  <c r="R65" i="12"/>
  <c r="J65" i="12"/>
  <c r="R64" i="12"/>
  <c r="J64" i="12"/>
  <c r="R63" i="12"/>
  <c r="J63" i="12"/>
  <c r="R62" i="12"/>
  <c r="J62" i="12"/>
  <c r="R61" i="12"/>
  <c r="J61" i="12"/>
  <c r="S61" i="12" s="1"/>
  <c r="R60" i="12"/>
  <c r="J60" i="12"/>
  <c r="R59" i="12"/>
  <c r="J59" i="12"/>
  <c r="R58" i="12"/>
  <c r="J58" i="12"/>
  <c r="R57" i="12"/>
  <c r="J57" i="12"/>
  <c r="S56" i="12"/>
  <c r="R56" i="12"/>
  <c r="J56" i="12"/>
  <c r="R55" i="12"/>
  <c r="J55" i="12"/>
  <c r="S55" i="12" s="1"/>
  <c r="R54" i="12"/>
  <c r="J54" i="12"/>
  <c r="S54" i="12" s="1"/>
  <c r="R53" i="12"/>
  <c r="J53" i="12"/>
  <c r="R52" i="12"/>
  <c r="J52" i="12"/>
  <c r="R51" i="12"/>
  <c r="J51" i="12"/>
  <c r="R50" i="12"/>
  <c r="J50" i="12"/>
  <c r="R49" i="12"/>
  <c r="J49" i="12"/>
  <c r="K49" i="12" s="1"/>
  <c r="L49" i="12" s="1"/>
  <c r="M49" i="12" s="1"/>
  <c r="N49" i="12" s="1"/>
  <c r="O49" i="12" s="1"/>
  <c r="P49" i="12" s="1"/>
  <c r="Q49" i="12" s="1"/>
  <c r="R48" i="12"/>
  <c r="J48" i="12"/>
  <c r="R47" i="12"/>
  <c r="J47" i="12"/>
  <c r="S47" i="12" s="1"/>
  <c r="R46" i="12"/>
  <c r="J46" i="12"/>
  <c r="R45" i="12"/>
  <c r="J45" i="12"/>
  <c r="R44" i="12"/>
  <c r="J44" i="12"/>
  <c r="R43" i="12"/>
  <c r="J43" i="12"/>
  <c r="K42" i="12"/>
  <c r="K96" i="12" s="1"/>
  <c r="R40" i="12"/>
  <c r="J40" i="12"/>
  <c r="R39" i="12"/>
  <c r="R38" i="12"/>
  <c r="R37" i="12"/>
  <c r="R36" i="12"/>
  <c r="R35" i="12"/>
  <c r="J35" i="12"/>
  <c r="R34" i="12"/>
  <c r="R33" i="12"/>
  <c r="R32" i="12"/>
  <c r="R31" i="12"/>
  <c r="K30" i="12"/>
  <c r="L30" i="12" s="1"/>
  <c r="M30" i="12" s="1"/>
  <c r="N30" i="12" s="1"/>
  <c r="O30" i="12" s="1"/>
  <c r="P30" i="12" s="1"/>
  <c r="Q30" i="12" s="1"/>
  <c r="R28" i="12"/>
  <c r="R27" i="12"/>
  <c r="R26" i="12"/>
  <c r="R25" i="12"/>
  <c r="R24" i="12"/>
  <c r="R23" i="12"/>
  <c r="R22" i="12"/>
  <c r="R21" i="12"/>
  <c r="R20" i="12"/>
  <c r="R19" i="12"/>
  <c r="R18" i="12"/>
  <c r="R17" i="12"/>
  <c r="R16" i="12"/>
  <c r="J15" i="12"/>
  <c r="R14" i="12"/>
  <c r="J14" i="12"/>
  <c r="R13" i="12"/>
  <c r="J13" i="12"/>
  <c r="R12" i="12"/>
  <c r="J12" i="12"/>
  <c r="S12" i="12" s="1"/>
  <c r="R11" i="12"/>
  <c r="J11" i="12"/>
  <c r="R10" i="12"/>
  <c r="R9" i="12"/>
  <c r="R8" i="12"/>
  <c r="J8" i="12"/>
  <c r="R7" i="12"/>
  <c r="K6" i="12"/>
  <c r="L6" i="12" s="1"/>
  <c r="M6" i="12" s="1"/>
  <c r="N6" i="12" s="1"/>
  <c r="O6" i="12" s="1"/>
  <c r="P6" i="12" s="1"/>
  <c r="Q6" i="12" s="1"/>
  <c r="I11" i="103" l="1"/>
  <c r="O7" i="103" s="1"/>
  <c r="D14" i="103"/>
  <c r="O26" i="99"/>
  <c r="L27" i="99"/>
  <c r="Q25" i="99"/>
  <c r="AA25" i="99" s="1"/>
  <c r="U25" i="99"/>
  <c r="S25" i="99"/>
  <c r="E21" i="104"/>
  <c r="W24" i="99"/>
  <c r="V24" i="99" s="1"/>
  <c r="J20" i="104"/>
  <c r="W219" i="99"/>
  <c r="W229" i="99"/>
  <c r="U219" i="99"/>
  <c r="U229" i="99"/>
  <c r="AA105" i="101"/>
  <c r="AA89" i="101"/>
  <c r="AA200" i="101"/>
  <c r="AA71" i="101"/>
  <c r="AA70" i="101"/>
  <c r="AA207" i="101"/>
  <c r="L160" i="101"/>
  <c r="AA62" i="101"/>
  <c r="L205" i="101"/>
  <c r="O205" i="101" s="1"/>
  <c r="L127" i="101"/>
  <c r="L43" i="101"/>
  <c r="O43" i="101" s="1"/>
  <c r="L46" i="101"/>
  <c r="O46" i="101" s="1"/>
  <c r="L14" i="101"/>
  <c r="O14" i="101" s="1"/>
  <c r="L8" i="101"/>
  <c r="L27" i="101"/>
  <c r="L17" i="101"/>
  <c r="O17" i="101" s="1"/>
  <c r="L186" i="101"/>
  <c r="O186" i="101" s="1"/>
  <c r="Q186" i="101" s="1"/>
  <c r="L182" i="101"/>
  <c r="O182" i="101" s="1"/>
  <c r="Q182" i="101" s="1"/>
  <c r="AA182" i="101" s="1"/>
  <c r="L180" i="101"/>
  <c r="O180" i="101" s="1"/>
  <c r="AA2" i="101"/>
  <c r="F5" i="105" s="1"/>
  <c r="G2" i="101"/>
  <c r="L194" i="101" s="1"/>
  <c r="O194" i="101" s="1"/>
  <c r="AA96" i="101"/>
  <c r="AA63" i="101"/>
  <c r="AA88" i="101"/>
  <c r="AA169" i="101"/>
  <c r="AA167" i="101"/>
  <c r="E5" i="105"/>
  <c r="AA103" i="101"/>
  <c r="L153" i="101"/>
  <c r="L155" i="101"/>
  <c r="O155" i="101" s="1"/>
  <c r="Q155" i="101" s="1"/>
  <c r="AA155" i="101" s="1"/>
  <c r="AA168" i="101"/>
  <c r="AA87" i="101"/>
  <c r="L158" i="101"/>
  <c r="O158" i="101" s="1"/>
  <c r="L181" i="101"/>
  <c r="O181" i="101" s="1"/>
  <c r="L204" i="101"/>
  <c r="O204" i="101" s="1"/>
  <c r="AA206" i="101"/>
  <c r="L183" i="101"/>
  <c r="O183" i="101" s="1"/>
  <c r="Q183" i="101" s="1"/>
  <c r="AA183" i="101" s="1"/>
  <c r="L12" i="101"/>
  <c r="O12" i="101" s="1"/>
  <c r="G8" i="102" s="1"/>
  <c r="L15" i="101"/>
  <c r="O15" i="101" s="1"/>
  <c r="L18" i="101"/>
  <c r="O18" i="101" s="1"/>
  <c r="L44" i="101"/>
  <c r="L45" i="101"/>
  <c r="O45" i="101" s="1"/>
  <c r="AA61" i="101"/>
  <c r="AA79" i="101"/>
  <c r="AA97" i="101"/>
  <c r="AA104" i="101"/>
  <c r="L129" i="101"/>
  <c r="O129" i="101" s="1"/>
  <c r="L156" i="101"/>
  <c r="O156" i="101" s="1"/>
  <c r="Q156" i="101" s="1"/>
  <c r="AA156" i="101" s="1"/>
  <c r="AA170" i="101"/>
  <c r="P12" i="99"/>
  <c r="Q12" i="99" s="1"/>
  <c r="I8" i="102"/>
  <c r="P12" i="101"/>
  <c r="Q12" i="101" s="1"/>
  <c r="AA12" i="101" s="1"/>
  <c r="P72" i="101"/>
  <c r="Q72" i="101" s="1"/>
  <c r="P66" i="99"/>
  <c r="Q66" i="99" s="1"/>
  <c r="I11" i="102"/>
  <c r="P127" i="99"/>
  <c r="Q127" i="99" s="1"/>
  <c r="R44" i="101"/>
  <c r="P44" i="101"/>
  <c r="R38" i="99"/>
  <c r="S38" i="99" s="1"/>
  <c r="P38" i="99"/>
  <c r="Q38" i="99" s="1"/>
  <c r="Q41" i="99" s="1"/>
  <c r="I10" i="102"/>
  <c r="T44" i="101"/>
  <c r="T38" i="99"/>
  <c r="U38" i="99" s="1"/>
  <c r="P76" i="101"/>
  <c r="R86" i="101"/>
  <c r="S86" i="101" s="1"/>
  <c r="R80" i="99"/>
  <c r="S80" i="99" s="1"/>
  <c r="P70" i="99"/>
  <c r="Q70" i="99" s="1"/>
  <c r="R84" i="101"/>
  <c r="S84" i="101" s="1"/>
  <c r="R119" i="101"/>
  <c r="S119" i="101" s="1"/>
  <c r="R78" i="99"/>
  <c r="S78" i="99" s="1"/>
  <c r="R80" i="101"/>
  <c r="R113" i="99"/>
  <c r="S113" i="99" s="1"/>
  <c r="R74" i="99"/>
  <c r="S74" i="99" s="1"/>
  <c r="R118" i="101"/>
  <c r="S118" i="101" s="1"/>
  <c r="P80" i="101"/>
  <c r="P74" i="99"/>
  <c r="Q74" i="99" s="1"/>
  <c r="P13" i="99"/>
  <c r="Q13" i="99" s="1"/>
  <c r="AA13" i="99" s="1"/>
  <c r="I9" i="102"/>
  <c r="R88" i="101"/>
  <c r="S88" i="101" s="1"/>
  <c r="P13" i="101"/>
  <c r="Q13" i="101" s="1"/>
  <c r="R112" i="99"/>
  <c r="S112" i="99" s="1"/>
  <c r="R82" i="99"/>
  <c r="S82" i="99" s="1"/>
  <c r="T86" i="101"/>
  <c r="U86" i="101" s="1"/>
  <c r="T80" i="99"/>
  <c r="U80" i="99" s="1"/>
  <c r="T84" i="101"/>
  <c r="U84" i="101" s="1"/>
  <c r="T119" i="101"/>
  <c r="U119" i="101" s="1"/>
  <c r="T78" i="99"/>
  <c r="U78" i="99" s="1"/>
  <c r="T118" i="101"/>
  <c r="U118" i="101" s="1"/>
  <c r="T80" i="101"/>
  <c r="T113" i="99"/>
  <c r="U113" i="99" s="1"/>
  <c r="T74" i="99"/>
  <c r="U74" i="99" s="1"/>
  <c r="T88" i="101"/>
  <c r="U88" i="101" s="1"/>
  <c r="T112" i="99"/>
  <c r="U112" i="99" s="1"/>
  <c r="T82" i="99"/>
  <c r="U82" i="99" s="1"/>
  <c r="O23" i="101"/>
  <c r="L184" i="12"/>
  <c r="M184" i="12" s="1"/>
  <c r="N184" i="12" s="1"/>
  <c r="O184" i="12" s="1"/>
  <c r="P184" i="12" s="1"/>
  <c r="Q184" i="12" s="1"/>
  <c r="K186" i="12"/>
  <c r="L186" i="12" s="1"/>
  <c r="M186" i="12" s="1"/>
  <c r="N186" i="12" s="1"/>
  <c r="O186" i="12" s="1"/>
  <c r="P186" i="12" s="1"/>
  <c r="Q186" i="12" s="1"/>
  <c r="S185" i="12"/>
  <c r="L129" i="12"/>
  <c r="M129" i="12" s="1"/>
  <c r="N129" i="12" s="1"/>
  <c r="O129" i="12" s="1"/>
  <c r="P129" i="12" s="1"/>
  <c r="Q129" i="12" s="1"/>
  <c r="T108" i="12"/>
  <c r="S72" i="12"/>
  <c r="S91" i="12"/>
  <c r="S70" i="12"/>
  <c r="K51" i="12"/>
  <c r="T51" i="12" s="1"/>
  <c r="K55" i="12"/>
  <c r="T55" i="12" s="1"/>
  <c r="K71" i="12"/>
  <c r="T71" i="12" s="1"/>
  <c r="S84" i="12"/>
  <c r="S86" i="12"/>
  <c r="S44" i="12"/>
  <c r="K56" i="12"/>
  <c r="L56" i="12" s="1"/>
  <c r="M56" i="12" s="1"/>
  <c r="N56" i="12" s="1"/>
  <c r="O56" i="12" s="1"/>
  <c r="P56" i="12" s="1"/>
  <c r="Q56" i="12" s="1"/>
  <c r="S65" i="12"/>
  <c r="L42" i="12"/>
  <c r="M42" i="12" s="1"/>
  <c r="N42" i="12" s="1"/>
  <c r="O42" i="12" s="1"/>
  <c r="P42" i="12" s="1"/>
  <c r="Q42" i="12" s="1"/>
  <c r="K152" i="12"/>
  <c r="L152" i="12" s="1"/>
  <c r="M152" i="12" s="1"/>
  <c r="N152" i="12" s="1"/>
  <c r="O152" i="12" s="1"/>
  <c r="P152" i="12" s="1"/>
  <c r="Q152" i="12" s="1"/>
  <c r="K203" i="12"/>
  <c r="T203" i="12" s="1"/>
  <c r="S51" i="12"/>
  <c r="S294" i="12"/>
  <c r="S295" i="12"/>
  <c r="K48" i="12"/>
  <c r="T48" i="12" s="1"/>
  <c r="K69" i="12"/>
  <c r="K12" i="12"/>
  <c r="T12" i="12" s="1"/>
  <c r="S48" i="12"/>
  <c r="K185" i="12"/>
  <c r="K151" i="12"/>
  <c r="L151" i="12" s="1"/>
  <c r="M151" i="12" s="1"/>
  <c r="N151" i="12" s="1"/>
  <c r="O151" i="12" s="1"/>
  <c r="P151" i="12" s="1"/>
  <c r="Q151" i="12" s="1"/>
  <c r="L104" i="12"/>
  <c r="L106" i="12"/>
  <c r="U106" i="12" s="1"/>
  <c r="L108" i="12"/>
  <c r="S233" i="12"/>
  <c r="K8" i="12"/>
  <c r="L8" i="12" s="1"/>
  <c r="M8" i="12" s="1"/>
  <c r="N8" i="12" s="1"/>
  <c r="O8" i="12" s="1"/>
  <c r="P8" i="12" s="1"/>
  <c r="Q8" i="12" s="1"/>
  <c r="S8" i="12"/>
  <c r="K57" i="12"/>
  <c r="L57" i="12" s="1"/>
  <c r="M57" i="12" s="1"/>
  <c r="N57" i="12" s="1"/>
  <c r="O57" i="12" s="1"/>
  <c r="P57" i="12" s="1"/>
  <c r="Q57" i="12" s="1"/>
  <c r="K60" i="12"/>
  <c r="L60" i="12" s="1"/>
  <c r="M60" i="12" s="1"/>
  <c r="N60" i="12" s="1"/>
  <c r="O60" i="12" s="1"/>
  <c r="P60" i="12" s="1"/>
  <c r="Q60" i="12" s="1"/>
  <c r="K90" i="12"/>
  <c r="L90" i="12" s="1"/>
  <c r="M90" i="12" s="1"/>
  <c r="N90" i="12" s="1"/>
  <c r="O90" i="12" s="1"/>
  <c r="P90" i="12" s="1"/>
  <c r="Q90" i="12" s="1"/>
  <c r="K119" i="12"/>
  <c r="L119" i="12" s="1"/>
  <c r="M119" i="12" s="1"/>
  <c r="N119" i="12" s="1"/>
  <c r="O119" i="12" s="1"/>
  <c r="P119" i="12" s="1"/>
  <c r="Q119" i="12" s="1"/>
  <c r="K189" i="12"/>
  <c r="K363" i="12"/>
  <c r="L72" i="12"/>
  <c r="M72" i="12" s="1"/>
  <c r="N72" i="12" s="1"/>
  <c r="O72" i="12" s="1"/>
  <c r="P72" i="12" s="1"/>
  <c r="Q72" i="12" s="1"/>
  <c r="K43" i="12"/>
  <c r="T104" i="12"/>
  <c r="T106" i="12"/>
  <c r="K176" i="12"/>
  <c r="V312" i="12"/>
  <c r="K58" i="12"/>
  <c r="T58" i="12" s="1"/>
  <c r="K85" i="12"/>
  <c r="L85" i="12" s="1"/>
  <c r="M85" i="12" s="1"/>
  <c r="N85" i="12" s="1"/>
  <c r="O85" i="12" s="1"/>
  <c r="P85" i="12" s="1"/>
  <c r="Q85" i="12" s="1"/>
  <c r="K137" i="12"/>
  <c r="K157" i="12"/>
  <c r="L157" i="12" s="1"/>
  <c r="M157" i="12" s="1"/>
  <c r="N157" i="12" s="1"/>
  <c r="O157" i="12" s="1"/>
  <c r="P157" i="12" s="1"/>
  <c r="Q157" i="12" s="1"/>
  <c r="L259" i="12"/>
  <c r="M259" i="12" s="1"/>
  <c r="N259" i="12" s="1"/>
  <c r="O259" i="12" s="1"/>
  <c r="P259" i="12" s="1"/>
  <c r="Q259" i="12" s="1"/>
  <c r="K294" i="12"/>
  <c r="K145" i="12"/>
  <c r="L145" i="12" s="1"/>
  <c r="M145" i="12" s="1"/>
  <c r="N145" i="12" s="1"/>
  <c r="O145" i="12" s="1"/>
  <c r="P145" i="12" s="1"/>
  <c r="Q145" i="12" s="1"/>
  <c r="K44" i="12"/>
  <c r="S58" i="12"/>
  <c r="K110" i="12"/>
  <c r="S137" i="12"/>
  <c r="T331" i="12"/>
  <c r="U338" i="12"/>
  <c r="U344" i="12"/>
  <c r="T325" i="12"/>
  <c r="V325" i="12"/>
  <c r="T344" i="12"/>
  <c r="S331" i="12"/>
  <c r="V344" i="12"/>
  <c r="U325" i="12"/>
  <c r="V338" i="12"/>
  <c r="T312" i="12"/>
  <c r="U312" i="12"/>
  <c r="T96" i="12"/>
  <c r="S49" i="12"/>
  <c r="S112" i="12"/>
  <c r="K112" i="12"/>
  <c r="L112" i="12" s="1"/>
  <c r="M112" i="12" s="1"/>
  <c r="N112" i="12" s="1"/>
  <c r="O112" i="12" s="1"/>
  <c r="P112" i="12" s="1"/>
  <c r="Q112" i="12" s="1"/>
  <c r="K14" i="12"/>
  <c r="T14" i="12" s="1"/>
  <c r="S14" i="12"/>
  <c r="K35" i="12"/>
  <c r="S35" i="12"/>
  <c r="K46" i="12"/>
  <c r="S46" i="12"/>
  <c r="K53" i="12"/>
  <c r="T53" i="12" s="1"/>
  <c r="S53" i="12"/>
  <c r="S57" i="12"/>
  <c r="S60" i="12"/>
  <c r="U104" i="12"/>
  <c r="M104" i="12"/>
  <c r="N104" i="12" s="1"/>
  <c r="O104" i="12" s="1"/>
  <c r="P104" i="12" s="1"/>
  <c r="Q104" i="12" s="1"/>
  <c r="K11" i="12"/>
  <c r="S11" i="12"/>
  <c r="K40" i="12"/>
  <c r="S40" i="12"/>
  <c r="K50" i="12"/>
  <c r="S50" i="12"/>
  <c r="S62" i="12"/>
  <c r="K62" i="12"/>
  <c r="L62" i="12" s="1"/>
  <c r="M62" i="12" s="1"/>
  <c r="N62" i="12" s="1"/>
  <c r="O62" i="12" s="1"/>
  <c r="P62" i="12" s="1"/>
  <c r="Q62" i="12" s="1"/>
  <c r="S68" i="12"/>
  <c r="K68" i="12"/>
  <c r="S88" i="12"/>
  <c r="K88" i="12"/>
  <c r="S93" i="12"/>
  <c r="K93" i="12"/>
  <c r="L71" i="12"/>
  <c r="M71" i="12" s="1"/>
  <c r="N71" i="12" s="1"/>
  <c r="O71" i="12" s="1"/>
  <c r="P71" i="12" s="1"/>
  <c r="Q71" i="12" s="1"/>
  <c r="K61" i="12"/>
  <c r="S78" i="12"/>
  <c r="K78" i="12"/>
  <c r="L78" i="12" s="1"/>
  <c r="M78" i="12" s="1"/>
  <c r="N78" i="12" s="1"/>
  <c r="O78" i="12" s="1"/>
  <c r="P78" i="12" s="1"/>
  <c r="Q78" i="12" s="1"/>
  <c r="U108" i="12"/>
  <c r="M108" i="12"/>
  <c r="N108" i="12" s="1"/>
  <c r="O108" i="12" s="1"/>
  <c r="P108" i="12" s="1"/>
  <c r="Q108" i="12" s="1"/>
  <c r="K13" i="12"/>
  <c r="T13" i="12" s="1"/>
  <c r="S13" i="12"/>
  <c r="K45" i="12"/>
  <c r="T45" i="12" s="1"/>
  <c r="S45" i="12"/>
  <c r="K52" i="12"/>
  <c r="S52" i="12"/>
  <c r="S59" i="12"/>
  <c r="K59" i="12"/>
  <c r="L59" i="12" s="1"/>
  <c r="M59" i="12" s="1"/>
  <c r="N59" i="12" s="1"/>
  <c r="O59" i="12" s="1"/>
  <c r="P59" i="12" s="1"/>
  <c r="Q59" i="12" s="1"/>
  <c r="L185" i="12"/>
  <c r="M185" i="12" s="1"/>
  <c r="N185" i="12" s="1"/>
  <c r="O185" i="12" s="1"/>
  <c r="P185" i="12" s="1"/>
  <c r="Q185" i="12" s="1"/>
  <c r="S63" i="12"/>
  <c r="K63" i="12"/>
  <c r="L69" i="12"/>
  <c r="M69" i="12" s="1"/>
  <c r="N69" i="12" s="1"/>
  <c r="O69" i="12" s="1"/>
  <c r="P69" i="12" s="1"/>
  <c r="Q69" i="12" s="1"/>
  <c r="K65" i="12"/>
  <c r="S73" i="12"/>
  <c r="K73" i="12"/>
  <c r="L73" i="12" s="1"/>
  <c r="M73" i="12" s="1"/>
  <c r="N73" i="12" s="1"/>
  <c r="O73" i="12" s="1"/>
  <c r="P73" i="12" s="1"/>
  <c r="Q73" i="12" s="1"/>
  <c r="K75" i="12"/>
  <c r="L75" i="12" s="1"/>
  <c r="M75" i="12" s="1"/>
  <c r="N75" i="12" s="1"/>
  <c r="O75" i="12" s="1"/>
  <c r="P75" i="12" s="1"/>
  <c r="Q75" i="12" s="1"/>
  <c r="K15" i="12"/>
  <c r="K97" i="12"/>
  <c r="K80" i="12"/>
  <c r="K95" i="12"/>
  <c r="T95" i="12" s="1"/>
  <c r="K84" i="12"/>
  <c r="K98" i="12"/>
  <c r="K91" i="12"/>
  <c r="K86" i="12"/>
  <c r="K81" i="12"/>
  <c r="K76" i="12"/>
  <c r="K47" i="12"/>
  <c r="K54" i="12"/>
  <c r="K66" i="12"/>
  <c r="L66" i="12" s="1"/>
  <c r="M66" i="12" s="1"/>
  <c r="N66" i="12" s="1"/>
  <c r="O66" i="12" s="1"/>
  <c r="P66" i="12" s="1"/>
  <c r="Q66" i="12" s="1"/>
  <c r="S64" i="12"/>
  <c r="K64" i="12"/>
  <c r="L64" i="12" s="1"/>
  <c r="M64" i="12" s="1"/>
  <c r="N64" i="12" s="1"/>
  <c r="O64" i="12" s="1"/>
  <c r="P64" i="12" s="1"/>
  <c r="Q64" i="12" s="1"/>
  <c r="T69" i="12"/>
  <c r="K70" i="12"/>
  <c r="K79" i="12"/>
  <c r="L79" i="12" s="1"/>
  <c r="M79" i="12" s="1"/>
  <c r="N79" i="12" s="1"/>
  <c r="O79" i="12" s="1"/>
  <c r="P79" i="12" s="1"/>
  <c r="Q79" i="12" s="1"/>
  <c r="K122" i="12"/>
  <c r="L122" i="12" s="1"/>
  <c r="M122" i="12" s="1"/>
  <c r="N122" i="12" s="1"/>
  <c r="O122" i="12" s="1"/>
  <c r="P122" i="12" s="1"/>
  <c r="Q122" i="12" s="1"/>
  <c r="S143" i="12"/>
  <c r="K143" i="12"/>
  <c r="K168" i="12"/>
  <c r="S234" i="12"/>
  <c r="K234" i="12"/>
  <c r="S272" i="12"/>
  <c r="K272" i="12"/>
  <c r="K113" i="12"/>
  <c r="T157" i="12"/>
  <c r="K238" i="12"/>
  <c r="K239" i="12"/>
  <c r="L237" i="12"/>
  <c r="M237" i="12" s="1"/>
  <c r="N237" i="12" s="1"/>
  <c r="O237" i="12" s="1"/>
  <c r="P237" i="12" s="1"/>
  <c r="Q237" i="12" s="1"/>
  <c r="S116" i="12"/>
  <c r="S131" i="12"/>
  <c r="K131" i="12"/>
  <c r="K82" i="12"/>
  <c r="K92" i="12"/>
  <c r="S92" i="12"/>
  <c r="K117" i="12"/>
  <c r="L117" i="12" s="1"/>
  <c r="M117" i="12" s="1"/>
  <c r="N117" i="12" s="1"/>
  <c r="O117" i="12" s="1"/>
  <c r="P117" i="12" s="1"/>
  <c r="Q117" i="12" s="1"/>
  <c r="K120" i="12"/>
  <c r="L120" i="12" s="1"/>
  <c r="M120" i="12" s="1"/>
  <c r="N120" i="12" s="1"/>
  <c r="O120" i="12" s="1"/>
  <c r="P120" i="12" s="1"/>
  <c r="Q120" i="12" s="1"/>
  <c r="K125" i="12"/>
  <c r="L103" i="12"/>
  <c r="M103" i="12" s="1"/>
  <c r="N103" i="12" s="1"/>
  <c r="O103" i="12" s="1"/>
  <c r="P103" i="12" s="1"/>
  <c r="Q103" i="12" s="1"/>
  <c r="T103" i="12"/>
  <c r="L105" i="12"/>
  <c r="M105" i="12" s="1"/>
  <c r="N105" i="12" s="1"/>
  <c r="O105" i="12" s="1"/>
  <c r="P105" i="12" s="1"/>
  <c r="Q105" i="12" s="1"/>
  <c r="T105" i="12"/>
  <c r="L107" i="12"/>
  <c r="M107" i="12" s="1"/>
  <c r="N107" i="12" s="1"/>
  <c r="O107" i="12" s="1"/>
  <c r="P107" i="12" s="1"/>
  <c r="Q107" i="12" s="1"/>
  <c r="T107" i="12"/>
  <c r="K109" i="12"/>
  <c r="S109" i="12"/>
  <c r="K111" i="12"/>
  <c r="K115" i="12"/>
  <c r="L115" i="12" s="1"/>
  <c r="M115" i="12" s="1"/>
  <c r="N115" i="12" s="1"/>
  <c r="O115" i="12" s="1"/>
  <c r="P115" i="12" s="1"/>
  <c r="Q115" i="12" s="1"/>
  <c r="K116" i="12"/>
  <c r="T116" i="12" s="1"/>
  <c r="K126" i="12"/>
  <c r="S138" i="12"/>
  <c r="K138" i="12"/>
  <c r="S147" i="12"/>
  <c r="K147" i="12"/>
  <c r="T147" i="12" s="1"/>
  <c r="L163" i="12"/>
  <c r="M163" i="12" s="1"/>
  <c r="N163" i="12" s="1"/>
  <c r="O163" i="12" s="1"/>
  <c r="P163" i="12" s="1"/>
  <c r="Q163" i="12" s="1"/>
  <c r="K175" i="12"/>
  <c r="K166" i="12"/>
  <c r="K164" i="12"/>
  <c r="K167" i="12"/>
  <c r="K165" i="12"/>
  <c r="K169" i="12"/>
  <c r="S177" i="12"/>
  <c r="K177" i="12"/>
  <c r="T92" i="12"/>
  <c r="T260" i="12"/>
  <c r="L260" i="12"/>
  <c r="M260" i="12" s="1"/>
  <c r="N260" i="12" s="1"/>
  <c r="O260" i="12" s="1"/>
  <c r="P260" i="12" s="1"/>
  <c r="Q260" i="12" s="1"/>
  <c r="T338" i="12"/>
  <c r="S338" i="12"/>
  <c r="K74" i="12"/>
  <c r="L74" i="12" s="1"/>
  <c r="M74" i="12" s="1"/>
  <c r="N74" i="12" s="1"/>
  <c r="O74" i="12" s="1"/>
  <c r="P74" i="12" s="1"/>
  <c r="Q74" i="12" s="1"/>
  <c r="K83" i="12"/>
  <c r="S83" i="12"/>
  <c r="K89" i="12"/>
  <c r="K94" i="12"/>
  <c r="S94" i="12"/>
  <c r="K118" i="12"/>
  <c r="L118" i="12" s="1"/>
  <c r="M118" i="12" s="1"/>
  <c r="N118" i="12" s="1"/>
  <c r="O118" i="12" s="1"/>
  <c r="P118" i="12" s="1"/>
  <c r="Q118" i="12" s="1"/>
  <c r="K123" i="12"/>
  <c r="T123" i="12" s="1"/>
  <c r="S142" i="12"/>
  <c r="K142" i="12"/>
  <c r="K192" i="12"/>
  <c r="T192" i="12" s="1"/>
  <c r="U331" i="12"/>
  <c r="K67" i="12"/>
  <c r="L67" i="12" s="1"/>
  <c r="M67" i="12" s="1"/>
  <c r="N67" i="12" s="1"/>
  <c r="O67" i="12" s="1"/>
  <c r="P67" i="12" s="1"/>
  <c r="Q67" i="12" s="1"/>
  <c r="K77" i="12"/>
  <c r="L77" i="12" s="1"/>
  <c r="M77" i="12" s="1"/>
  <c r="N77" i="12" s="1"/>
  <c r="O77" i="12" s="1"/>
  <c r="P77" i="12" s="1"/>
  <c r="Q77" i="12" s="1"/>
  <c r="K87" i="12"/>
  <c r="L87" i="12" s="1"/>
  <c r="M87" i="12" s="1"/>
  <c r="N87" i="12" s="1"/>
  <c r="O87" i="12" s="1"/>
  <c r="P87" i="12" s="1"/>
  <c r="Q87" i="12" s="1"/>
  <c r="K114" i="12"/>
  <c r="T185" i="12"/>
  <c r="T189" i="12"/>
  <c r="S276" i="12"/>
  <c r="K276" i="12"/>
  <c r="V331" i="12"/>
  <c r="K134" i="12"/>
  <c r="L134" i="12" s="1"/>
  <c r="M134" i="12" s="1"/>
  <c r="N134" i="12" s="1"/>
  <c r="O134" i="12" s="1"/>
  <c r="P134" i="12" s="1"/>
  <c r="Q134" i="12" s="1"/>
  <c r="K146" i="12"/>
  <c r="T130" i="12"/>
  <c r="K136" i="12"/>
  <c r="S136" i="12"/>
  <c r="K140" i="12"/>
  <c r="L140" i="12" s="1"/>
  <c r="M140" i="12" s="1"/>
  <c r="N140" i="12" s="1"/>
  <c r="O140" i="12" s="1"/>
  <c r="P140" i="12" s="1"/>
  <c r="Q140" i="12" s="1"/>
  <c r="K144" i="12"/>
  <c r="L144" i="12" s="1"/>
  <c r="M144" i="12" s="1"/>
  <c r="N144" i="12" s="1"/>
  <c r="O144" i="12" s="1"/>
  <c r="P144" i="12" s="1"/>
  <c r="Q144" i="12" s="1"/>
  <c r="L233" i="12"/>
  <c r="M233" i="12" s="1"/>
  <c r="N233" i="12" s="1"/>
  <c r="O233" i="12" s="1"/>
  <c r="P233" i="12" s="1"/>
  <c r="Q233" i="12" s="1"/>
  <c r="T233" i="12"/>
  <c r="K282" i="12"/>
  <c r="S282" i="12"/>
  <c r="K121" i="12"/>
  <c r="L121" i="12" s="1"/>
  <c r="M121" i="12" s="1"/>
  <c r="N121" i="12" s="1"/>
  <c r="O121" i="12" s="1"/>
  <c r="P121" i="12" s="1"/>
  <c r="Q121" i="12" s="1"/>
  <c r="K139" i="12"/>
  <c r="S139" i="12"/>
  <c r="K148" i="12"/>
  <c r="S148" i="12"/>
  <c r="K235" i="12"/>
  <c r="T235" i="12" s="1"/>
  <c r="S235" i="12"/>
  <c r="S312" i="12"/>
  <c r="S344" i="12"/>
  <c r="K124" i="12"/>
  <c r="S124" i="12"/>
  <c r="K133" i="12"/>
  <c r="S133" i="12"/>
  <c r="K141" i="12"/>
  <c r="L141" i="12" s="1"/>
  <c r="M141" i="12" s="1"/>
  <c r="N141" i="12" s="1"/>
  <c r="O141" i="12" s="1"/>
  <c r="P141" i="12" s="1"/>
  <c r="Q141" i="12" s="1"/>
  <c r="L215" i="12"/>
  <c r="T215" i="12"/>
  <c r="S325" i="12"/>
  <c r="K323" i="12"/>
  <c r="AA12" i="99" l="1"/>
  <c r="Q26" i="99"/>
  <c r="AA26" i="99" s="1"/>
  <c r="S26" i="99"/>
  <c r="U26" i="99"/>
  <c r="E22" i="104"/>
  <c r="L28" i="99"/>
  <c r="O27" i="99"/>
  <c r="W25" i="99"/>
  <c r="V25" i="99" s="1"/>
  <c r="J21" i="104"/>
  <c r="L159" i="101"/>
  <c r="O159" i="101" s="1"/>
  <c r="O160" i="101"/>
  <c r="U205" i="101"/>
  <c r="S205" i="101"/>
  <c r="Q205" i="101"/>
  <c r="L126" i="101"/>
  <c r="O127" i="101"/>
  <c r="Q127" i="101" s="1"/>
  <c r="AA127" i="101" s="1"/>
  <c r="U43" i="101"/>
  <c r="Q43" i="101"/>
  <c r="E10" i="103"/>
  <c r="S43" i="101"/>
  <c r="U46" i="101"/>
  <c r="S46" i="101"/>
  <c r="Q46" i="101"/>
  <c r="S14" i="101"/>
  <c r="U14" i="101"/>
  <c r="L11" i="101"/>
  <c r="O11" i="101" s="1"/>
  <c r="L13" i="101"/>
  <c r="O8" i="101"/>
  <c r="O27" i="101"/>
  <c r="L28" i="101"/>
  <c r="U17" i="101"/>
  <c r="S17" i="101"/>
  <c r="AA186" i="101"/>
  <c r="S180" i="101"/>
  <c r="U180" i="101"/>
  <c r="Q180" i="101"/>
  <c r="Q194" i="101"/>
  <c r="F16" i="104"/>
  <c r="L199" i="101"/>
  <c r="O199" i="101" s="1"/>
  <c r="Q199" i="101" s="1"/>
  <c r="AA199" i="101" s="1"/>
  <c r="D14" i="105"/>
  <c r="D20" i="105"/>
  <c r="D22" i="105" s="1"/>
  <c r="D11" i="105"/>
  <c r="D17" i="105"/>
  <c r="L154" i="101"/>
  <c r="O154" i="101" s="1"/>
  <c r="O153" i="101"/>
  <c r="U158" i="101"/>
  <c r="L157" i="101"/>
  <c r="O157" i="101" s="1"/>
  <c r="S158" i="101"/>
  <c r="Q158" i="101"/>
  <c r="F17" i="104"/>
  <c r="Q181" i="101"/>
  <c r="AA181" i="101" s="1"/>
  <c r="F26" i="104"/>
  <c r="U204" i="101"/>
  <c r="Q204" i="101"/>
  <c r="S204" i="101"/>
  <c r="E12" i="103"/>
  <c r="H8" i="102"/>
  <c r="J8" i="102" s="1"/>
  <c r="U15" i="101"/>
  <c r="S15" i="101"/>
  <c r="F12" i="104"/>
  <c r="S18" i="101"/>
  <c r="U18" i="101"/>
  <c r="F14" i="104"/>
  <c r="L76" i="101"/>
  <c r="O44" i="101"/>
  <c r="U45" i="101"/>
  <c r="S45" i="101"/>
  <c r="Q45" i="101"/>
  <c r="U129" i="101"/>
  <c r="S129" i="101"/>
  <c r="Q129" i="101"/>
  <c r="W82" i="99"/>
  <c r="V82" i="99" s="1"/>
  <c r="W112" i="99"/>
  <c r="V112" i="99" s="1"/>
  <c r="W78" i="99"/>
  <c r="V78" i="99" s="1"/>
  <c r="W86" i="101"/>
  <c r="V86" i="101" s="1"/>
  <c r="W119" i="101"/>
  <c r="V119" i="101" s="1"/>
  <c r="AA127" i="99"/>
  <c r="Q156" i="99"/>
  <c r="J11" i="102"/>
  <c r="M11" i="102" s="1"/>
  <c r="K11" i="102"/>
  <c r="L11" i="102"/>
  <c r="W88" i="101"/>
  <c r="V88" i="101" s="1"/>
  <c r="W344" i="12"/>
  <c r="K9" i="102"/>
  <c r="AA66" i="99"/>
  <c r="Q67" i="99"/>
  <c r="AA67" i="99" s="1"/>
  <c r="W74" i="99"/>
  <c r="V74" i="99" s="1"/>
  <c r="AA74" i="99"/>
  <c r="W84" i="101"/>
  <c r="V84" i="101" s="1"/>
  <c r="AA72" i="101"/>
  <c r="Q73" i="101"/>
  <c r="AA73" i="101" s="1"/>
  <c r="L8" i="102"/>
  <c r="K8" i="102"/>
  <c r="W118" i="101"/>
  <c r="V118" i="101" s="1"/>
  <c r="K10" i="102"/>
  <c r="AA70" i="99"/>
  <c r="Q75" i="99"/>
  <c r="AA41" i="99"/>
  <c r="AA38" i="99"/>
  <c r="W38" i="99"/>
  <c r="V38" i="99" s="1"/>
  <c r="W113" i="99"/>
  <c r="V113" i="99" s="1"/>
  <c r="W80" i="99"/>
  <c r="V80" i="99" s="1"/>
  <c r="AA23" i="101"/>
  <c r="F35" i="104"/>
  <c r="L25" i="101"/>
  <c r="O24" i="101"/>
  <c r="T294" i="12"/>
  <c r="T282" i="12"/>
  <c r="L203" i="12"/>
  <c r="M203" i="12" s="1"/>
  <c r="N203" i="12" s="1"/>
  <c r="O203" i="12" s="1"/>
  <c r="P203" i="12" s="1"/>
  <c r="Q203" i="12" s="1"/>
  <c r="S186" i="12"/>
  <c r="T145" i="12"/>
  <c r="L142" i="12"/>
  <c r="M142" i="12" s="1"/>
  <c r="N142" i="12" s="1"/>
  <c r="O142" i="12" s="1"/>
  <c r="P142" i="12" s="1"/>
  <c r="Q142" i="12" s="1"/>
  <c r="L130" i="12"/>
  <c r="U130" i="12" s="1"/>
  <c r="L143" i="12"/>
  <c r="M143" i="12" s="1"/>
  <c r="N143" i="12" s="1"/>
  <c r="O143" i="12" s="1"/>
  <c r="P143" i="12" s="1"/>
  <c r="Q143" i="12" s="1"/>
  <c r="U107" i="12"/>
  <c r="U105" i="12"/>
  <c r="L91" i="12"/>
  <c r="M91" i="12" s="1"/>
  <c r="N91" i="12" s="1"/>
  <c r="O91" i="12" s="1"/>
  <c r="P91" i="12" s="1"/>
  <c r="Q91" i="12" s="1"/>
  <c r="L96" i="12"/>
  <c r="L82" i="12"/>
  <c r="M82" i="12" s="1"/>
  <c r="N82" i="12" s="1"/>
  <c r="O82" i="12" s="1"/>
  <c r="P82" i="12" s="1"/>
  <c r="Q82" i="12" s="1"/>
  <c r="L58" i="12"/>
  <c r="M58" i="12" s="1"/>
  <c r="N58" i="12" s="1"/>
  <c r="O58" i="12" s="1"/>
  <c r="P58" i="12" s="1"/>
  <c r="Q58" i="12" s="1"/>
  <c r="L55" i="12"/>
  <c r="M55" i="12" s="1"/>
  <c r="N55" i="12" s="1"/>
  <c r="O55" i="12" s="1"/>
  <c r="P55" i="12" s="1"/>
  <c r="Q55" i="12" s="1"/>
  <c r="L43" i="12"/>
  <c r="M43" i="12" s="1"/>
  <c r="N43" i="12" s="1"/>
  <c r="O43" i="12" s="1"/>
  <c r="P43" i="12" s="1"/>
  <c r="Q43" i="12" s="1"/>
  <c r="L44" i="12"/>
  <c r="M44" i="12" s="1"/>
  <c r="N44" i="12" s="1"/>
  <c r="O44" i="12" s="1"/>
  <c r="P44" i="12" s="1"/>
  <c r="Q44" i="12" s="1"/>
  <c r="L89" i="12"/>
  <c r="M89" i="12" s="1"/>
  <c r="N89" i="12" s="1"/>
  <c r="O89" i="12" s="1"/>
  <c r="P89" i="12" s="1"/>
  <c r="Q89" i="12" s="1"/>
  <c r="L68" i="12"/>
  <c r="M68" i="12" s="1"/>
  <c r="N68" i="12" s="1"/>
  <c r="O68" i="12" s="1"/>
  <c r="P68" i="12" s="1"/>
  <c r="Q68" i="12" s="1"/>
  <c r="L81" i="12"/>
  <c r="M81" i="12" s="1"/>
  <c r="N81" i="12" s="1"/>
  <c r="O81" i="12" s="1"/>
  <c r="P81" i="12" s="1"/>
  <c r="Q81" i="12" s="1"/>
  <c r="L61" i="12"/>
  <c r="M61" i="12" s="1"/>
  <c r="N61" i="12" s="1"/>
  <c r="O61" i="12" s="1"/>
  <c r="P61" i="12" s="1"/>
  <c r="Q61" i="12" s="1"/>
  <c r="L51" i="12"/>
  <c r="T35" i="12"/>
  <c r="L12" i="12"/>
  <c r="M12" i="12" s="1"/>
  <c r="N12" i="12" s="1"/>
  <c r="O12" i="12" s="1"/>
  <c r="P12" i="12" s="1"/>
  <c r="Q12" i="12" s="1"/>
  <c r="T8" i="12"/>
  <c r="L48" i="12"/>
  <c r="M48" i="12" s="1"/>
  <c r="N48" i="12" s="1"/>
  <c r="O48" i="12" s="1"/>
  <c r="P48" i="12" s="1"/>
  <c r="Q48" i="12" s="1"/>
  <c r="M106" i="12"/>
  <c r="N106" i="12" s="1"/>
  <c r="O106" i="12" s="1"/>
  <c r="P106" i="12" s="1"/>
  <c r="Q106" i="12" s="1"/>
  <c r="T131" i="12"/>
  <c r="T139" i="12"/>
  <c r="L294" i="12"/>
  <c r="U157" i="12"/>
  <c r="T234" i="12"/>
  <c r="L189" i="12"/>
  <c r="M189" i="12" s="1"/>
  <c r="N189" i="12" s="1"/>
  <c r="O189" i="12" s="1"/>
  <c r="P189" i="12" s="1"/>
  <c r="Q189" i="12" s="1"/>
  <c r="L176" i="12"/>
  <c r="M176" i="12" s="1"/>
  <c r="N176" i="12" s="1"/>
  <c r="O176" i="12" s="1"/>
  <c r="P176" i="12" s="1"/>
  <c r="Q176" i="12" s="1"/>
  <c r="V44" i="12"/>
  <c r="T137" i="12"/>
  <c r="T177" i="12"/>
  <c r="U103" i="12"/>
  <c r="V157" i="12"/>
  <c r="L110" i="12"/>
  <c r="M110" i="12" s="1"/>
  <c r="N110" i="12" s="1"/>
  <c r="O110" i="12" s="1"/>
  <c r="P110" i="12" s="1"/>
  <c r="Q110" i="12" s="1"/>
  <c r="T363" i="12"/>
  <c r="L363" i="12"/>
  <c r="V108" i="12"/>
  <c r="T110" i="12"/>
  <c r="V71" i="12"/>
  <c r="T44" i="12"/>
  <c r="U44" i="12"/>
  <c r="L137" i="12"/>
  <c r="M137" i="12" s="1"/>
  <c r="N137" i="12" s="1"/>
  <c r="O137" i="12" s="1"/>
  <c r="P137" i="12" s="1"/>
  <c r="Q137" i="12" s="1"/>
  <c r="V104" i="12"/>
  <c r="T83" i="12"/>
  <c r="U71" i="12"/>
  <c r="V8" i="12"/>
  <c r="L168" i="12"/>
  <c r="M168" i="12" s="1"/>
  <c r="N168" i="12" s="1"/>
  <c r="O168" i="12" s="1"/>
  <c r="P168" i="12" s="1"/>
  <c r="Q168" i="12" s="1"/>
  <c r="T84" i="12"/>
  <c r="U58" i="12"/>
  <c r="L47" i="12"/>
  <c r="M47" i="12" s="1"/>
  <c r="N47" i="12" s="1"/>
  <c r="O47" i="12" s="1"/>
  <c r="P47" i="12" s="1"/>
  <c r="Q47" i="12" s="1"/>
  <c r="T47" i="12"/>
  <c r="L88" i="12"/>
  <c r="M88" i="12" s="1"/>
  <c r="N88" i="12" s="1"/>
  <c r="O88" i="12" s="1"/>
  <c r="P88" i="12" s="1"/>
  <c r="Q88" i="12" s="1"/>
  <c r="L94" i="12"/>
  <c r="M94" i="12" s="1"/>
  <c r="N94" i="12" s="1"/>
  <c r="O94" i="12" s="1"/>
  <c r="P94" i="12" s="1"/>
  <c r="Q94" i="12" s="1"/>
  <c r="T167" i="12"/>
  <c r="L167" i="12"/>
  <c r="M167" i="12" s="1"/>
  <c r="N167" i="12" s="1"/>
  <c r="O167" i="12" s="1"/>
  <c r="P167" i="12" s="1"/>
  <c r="Q167" i="12" s="1"/>
  <c r="L109" i="12"/>
  <c r="U233" i="12"/>
  <c r="L272" i="12"/>
  <c r="M272" i="12" s="1"/>
  <c r="N272" i="12" s="1"/>
  <c r="O272" i="12" s="1"/>
  <c r="P272" i="12" s="1"/>
  <c r="Q272" i="12" s="1"/>
  <c r="U260" i="12"/>
  <c r="T76" i="12"/>
  <c r="L76" i="12"/>
  <c r="M76" i="12" s="1"/>
  <c r="N76" i="12" s="1"/>
  <c r="O76" i="12" s="1"/>
  <c r="P76" i="12" s="1"/>
  <c r="Q76" i="12" s="1"/>
  <c r="T97" i="12"/>
  <c r="L97" i="12"/>
  <c r="M97" i="12" s="1"/>
  <c r="N97" i="12" s="1"/>
  <c r="O97" i="12" s="1"/>
  <c r="P97" i="12" s="1"/>
  <c r="Q97" i="12" s="1"/>
  <c r="V97" i="12"/>
  <c r="U69" i="12"/>
  <c r="V69" i="12"/>
  <c r="V103" i="12"/>
  <c r="L52" i="12"/>
  <c r="M52" i="12" s="1"/>
  <c r="N52" i="12" s="1"/>
  <c r="O52" i="12" s="1"/>
  <c r="P52" i="12" s="1"/>
  <c r="Q52" i="12" s="1"/>
  <c r="V52" i="12"/>
  <c r="V58" i="12"/>
  <c r="V55" i="12"/>
  <c r="L15" i="12"/>
  <c r="M15" i="12" s="1"/>
  <c r="N15" i="12" s="1"/>
  <c r="O15" i="12" s="1"/>
  <c r="P15" i="12" s="1"/>
  <c r="Q15" i="12" s="1"/>
  <c r="T65" i="12"/>
  <c r="L65" i="12"/>
  <c r="M65" i="12" s="1"/>
  <c r="N65" i="12" s="1"/>
  <c r="O65" i="12" s="1"/>
  <c r="P65" i="12" s="1"/>
  <c r="Q65" i="12" s="1"/>
  <c r="L63" i="12"/>
  <c r="M63" i="12" s="1"/>
  <c r="N63" i="12" s="1"/>
  <c r="O63" i="12" s="1"/>
  <c r="P63" i="12" s="1"/>
  <c r="Q63" i="12" s="1"/>
  <c r="T94" i="12"/>
  <c r="T88" i="12"/>
  <c r="T80" i="12"/>
  <c r="L80" i="12"/>
  <c r="M80" i="12" s="1"/>
  <c r="N80" i="12" s="1"/>
  <c r="O80" i="12" s="1"/>
  <c r="P80" i="12" s="1"/>
  <c r="Q80" i="12" s="1"/>
  <c r="T133" i="12"/>
  <c r="L133" i="12"/>
  <c r="M133" i="12" s="1"/>
  <c r="N133" i="12" s="1"/>
  <c r="O133" i="12" s="1"/>
  <c r="P133" i="12" s="1"/>
  <c r="Q133" i="12" s="1"/>
  <c r="L282" i="12"/>
  <c r="M282" i="12" s="1"/>
  <c r="N282" i="12" s="1"/>
  <c r="O282" i="12" s="1"/>
  <c r="P282" i="12" s="1"/>
  <c r="Q282" i="12" s="1"/>
  <c r="V203" i="12"/>
  <c r="L166" i="12"/>
  <c r="M166" i="12" s="1"/>
  <c r="N166" i="12" s="1"/>
  <c r="O166" i="12" s="1"/>
  <c r="P166" i="12" s="1"/>
  <c r="Q166" i="12" s="1"/>
  <c r="V166" i="12"/>
  <c r="T166" i="12"/>
  <c r="T272" i="12"/>
  <c r="V107" i="12"/>
  <c r="T86" i="12"/>
  <c r="L86" i="12"/>
  <c r="M86" i="12" s="1"/>
  <c r="N86" i="12" s="1"/>
  <c r="O86" i="12" s="1"/>
  <c r="P86" i="12" s="1"/>
  <c r="Q86" i="12" s="1"/>
  <c r="T63" i="12"/>
  <c r="V106" i="12"/>
  <c r="U88" i="12"/>
  <c r="T50" i="12"/>
  <c r="L50" i="12"/>
  <c r="M50" i="12" s="1"/>
  <c r="N50" i="12" s="1"/>
  <c r="O50" i="12" s="1"/>
  <c r="P50" i="12" s="1"/>
  <c r="Q50" i="12" s="1"/>
  <c r="T11" i="12"/>
  <c r="L11" i="12"/>
  <c r="M11" i="12" s="1"/>
  <c r="N11" i="12" s="1"/>
  <c r="O11" i="12" s="1"/>
  <c r="P11" i="12" s="1"/>
  <c r="Q11" i="12" s="1"/>
  <c r="L35" i="12"/>
  <c r="M35" i="12" s="1"/>
  <c r="N35" i="12" s="1"/>
  <c r="O35" i="12" s="1"/>
  <c r="P35" i="12" s="1"/>
  <c r="Q35" i="12" s="1"/>
  <c r="U35" i="12"/>
  <c r="T113" i="12"/>
  <c r="L113" i="12"/>
  <c r="M113" i="12" s="1"/>
  <c r="N113" i="12" s="1"/>
  <c r="O113" i="12" s="1"/>
  <c r="P113" i="12" s="1"/>
  <c r="Q113" i="12" s="1"/>
  <c r="L46" i="12"/>
  <c r="M46" i="12" s="1"/>
  <c r="N46" i="12" s="1"/>
  <c r="O46" i="12" s="1"/>
  <c r="P46" i="12" s="1"/>
  <c r="Q46" i="12" s="1"/>
  <c r="L136" i="12"/>
  <c r="M136" i="12" s="1"/>
  <c r="N136" i="12" s="1"/>
  <c r="O136" i="12" s="1"/>
  <c r="P136" i="12" s="1"/>
  <c r="Q136" i="12" s="1"/>
  <c r="L148" i="12"/>
  <c r="M148" i="12" s="1"/>
  <c r="N148" i="12" s="1"/>
  <c r="O148" i="12" s="1"/>
  <c r="P148" i="12" s="1"/>
  <c r="Q148" i="12" s="1"/>
  <c r="L276" i="12"/>
  <c r="L83" i="12"/>
  <c r="M83" i="12" s="1"/>
  <c r="N83" i="12" s="1"/>
  <c r="O83" i="12" s="1"/>
  <c r="P83" i="12" s="1"/>
  <c r="Q83" i="12" s="1"/>
  <c r="L175" i="12"/>
  <c r="M175" i="12" s="1"/>
  <c r="N175" i="12" s="1"/>
  <c r="O175" i="12" s="1"/>
  <c r="P175" i="12" s="1"/>
  <c r="Q175" i="12" s="1"/>
  <c r="L126" i="12"/>
  <c r="M126" i="12" s="1"/>
  <c r="N126" i="12" s="1"/>
  <c r="O126" i="12" s="1"/>
  <c r="P126" i="12" s="1"/>
  <c r="Q126" i="12" s="1"/>
  <c r="L239" i="12"/>
  <c r="M239" i="12" s="1"/>
  <c r="N239" i="12" s="1"/>
  <c r="O239" i="12" s="1"/>
  <c r="P239" i="12" s="1"/>
  <c r="Q239" i="12" s="1"/>
  <c r="T52" i="12"/>
  <c r="V145" i="12"/>
  <c r="L93" i="12"/>
  <c r="M93" i="12" s="1"/>
  <c r="N93" i="12" s="1"/>
  <c r="O93" i="12" s="1"/>
  <c r="P93" i="12" s="1"/>
  <c r="Q93" i="12" s="1"/>
  <c r="T46" i="12"/>
  <c r="U8" i="12"/>
  <c r="U203" i="12"/>
  <c r="L146" i="12"/>
  <c r="M146" i="12" s="1"/>
  <c r="N146" i="12" s="1"/>
  <c r="O146" i="12" s="1"/>
  <c r="P146" i="12" s="1"/>
  <c r="Q146" i="12" s="1"/>
  <c r="U146" i="12"/>
  <c r="L177" i="12"/>
  <c r="M177" i="12" s="1"/>
  <c r="N177" i="12" s="1"/>
  <c r="O177" i="12" s="1"/>
  <c r="P177" i="12" s="1"/>
  <c r="Q177" i="12" s="1"/>
  <c r="L116" i="12"/>
  <c r="L92" i="12"/>
  <c r="M92" i="12" s="1"/>
  <c r="N92" i="12" s="1"/>
  <c r="O92" i="12" s="1"/>
  <c r="P92" i="12" s="1"/>
  <c r="Q92" i="12" s="1"/>
  <c r="L131" i="12"/>
  <c r="M131" i="12" s="1"/>
  <c r="N131" i="12" s="1"/>
  <c r="O131" i="12" s="1"/>
  <c r="P131" i="12" s="1"/>
  <c r="Q131" i="12" s="1"/>
  <c r="T238" i="12"/>
  <c r="L238" i="12"/>
  <c r="M238" i="12" s="1"/>
  <c r="N238" i="12" s="1"/>
  <c r="O238" i="12" s="1"/>
  <c r="P238" i="12" s="1"/>
  <c r="Q238" i="12" s="1"/>
  <c r="T70" i="12"/>
  <c r="L70" i="12"/>
  <c r="M70" i="12" s="1"/>
  <c r="N70" i="12" s="1"/>
  <c r="O70" i="12" s="1"/>
  <c r="P70" i="12" s="1"/>
  <c r="Q70" i="12" s="1"/>
  <c r="U70" i="12"/>
  <c r="L98" i="12"/>
  <c r="M98" i="12" s="1"/>
  <c r="N98" i="12" s="1"/>
  <c r="O98" i="12" s="1"/>
  <c r="P98" i="12" s="1"/>
  <c r="Q98" i="12" s="1"/>
  <c r="V105" i="12"/>
  <c r="L45" i="12"/>
  <c r="M45" i="12" s="1"/>
  <c r="N45" i="12" s="1"/>
  <c r="O45" i="12" s="1"/>
  <c r="P45" i="12" s="1"/>
  <c r="Q45" i="12" s="1"/>
  <c r="L53" i="12"/>
  <c r="M53" i="12" s="1"/>
  <c r="N53" i="12" s="1"/>
  <c r="O53" i="12" s="1"/>
  <c r="P53" i="12" s="1"/>
  <c r="Q53" i="12" s="1"/>
  <c r="L14" i="12"/>
  <c r="U55" i="12"/>
  <c r="M215" i="12"/>
  <c r="N215" i="12" s="1"/>
  <c r="O215" i="12" s="1"/>
  <c r="P215" i="12" s="1"/>
  <c r="Q215" i="12" s="1"/>
  <c r="U215" i="12"/>
  <c r="L192" i="12"/>
  <c r="M192" i="12" s="1"/>
  <c r="N192" i="12" s="1"/>
  <c r="O192" i="12" s="1"/>
  <c r="P192" i="12" s="1"/>
  <c r="Q192" i="12" s="1"/>
  <c r="T165" i="12"/>
  <c r="L165" i="12"/>
  <c r="M165" i="12" s="1"/>
  <c r="N165" i="12" s="1"/>
  <c r="O165" i="12" s="1"/>
  <c r="P165" i="12" s="1"/>
  <c r="Q165" i="12" s="1"/>
  <c r="L235" i="12"/>
  <c r="M235" i="12" s="1"/>
  <c r="N235" i="12" s="1"/>
  <c r="O235" i="12" s="1"/>
  <c r="P235" i="12" s="1"/>
  <c r="Q235" i="12" s="1"/>
  <c r="L114" i="12"/>
  <c r="M114" i="12" s="1"/>
  <c r="N114" i="12" s="1"/>
  <c r="O114" i="12" s="1"/>
  <c r="P114" i="12" s="1"/>
  <c r="Q114" i="12" s="1"/>
  <c r="T114" i="12"/>
  <c r="L138" i="12"/>
  <c r="M138" i="12" s="1"/>
  <c r="N138" i="12" s="1"/>
  <c r="O138" i="12" s="1"/>
  <c r="P138" i="12" s="1"/>
  <c r="Q138" i="12" s="1"/>
  <c r="T124" i="12"/>
  <c r="L124" i="12"/>
  <c r="M124" i="12" s="1"/>
  <c r="N124" i="12" s="1"/>
  <c r="O124" i="12" s="1"/>
  <c r="P124" i="12" s="1"/>
  <c r="Q124" i="12" s="1"/>
  <c r="L139" i="12"/>
  <c r="M139" i="12" s="1"/>
  <c r="N139" i="12" s="1"/>
  <c r="O139" i="12" s="1"/>
  <c r="P139" i="12" s="1"/>
  <c r="Q139" i="12" s="1"/>
  <c r="T146" i="12"/>
  <c r="T276" i="12"/>
  <c r="T138" i="12"/>
  <c r="L123" i="12"/>
  <c r="M123" i="12" s="1"/>
  <c r="N123" i="12" s="1"/>
  <c r="O123" i="12" s="1"/>
  <c r="P123" i="12" s="1"/>
  <c r="Q123" i="12" s="1"/>
  <c r="T109" i="12"/>
  <c r="V233" i="12"/>
  <c r="L234" i="12"/>
  <c r="U63" i="12"/>
  <c r="L84" i="12"/>
  <c r="M84" i="12" s="1"/>
  <c r="N84" i="12" s="1"/>
  <c r="O84" i="12" s="1"/>
  <c r="P84" i="12" s="1"/>
  <c r="Q84" i="12" s="1"/>
  <c r="T15" i="12"/>
  <c r="U185" i="12"/>
  <c r="T93" i="12"/>
  <c r="U51" i="12"/>
  <c r="T125" i="12"/>
  <c r="L125" i="12"/>
  <c r="M125" i="12" s="1"/>
  <c r="N125" i="12" s="1"/>
  <c r="O125" i="12" s="1"/>
  <c r="P125" i="12" s="1"/>
  <c r="Q125" i="12" s="1"/>
  <c r="V260" i="12"/>
  <c r="U164" i="12"/>
  <c r="L164" i="12"/>
  <c r="M164" i="12" s="1"/>
  <c r="N164" i="12" s="1"/>
  <c r="O164" i="12" s="1"/>
  <c r="P164" i="12" s="1"/>
  <c r="Q164" i="12" s="1"/>
  <c r="V164" i="12"/>
  <c r="T164" i="12"/>
  <c r="T323" i="12"/>
  <c r="L323" i="12"/>
  <c r="M323" i="12" s="1"/>
  <c r="N323" i="12" s="1"/>
  <c r="O323" i="12" s="1"/>
  <c r="P323" i="12" s="1"/>
  <c r="Q323" i="12" s="1"/>
  <c r="T136" i="12"/>
  <c r="U323" i="12"/>
  <c r="L169" i="12"/>
  <c r="M169" i="12" s="1"/>
  <c r="N169" i="12" s="1"/>
  <c r="O169" i="12" s="1"/>
  <c r="P169" i="12" s="1"/>
  <c r="Q169" i="12" s="1"/>
  <c r="L147" i="12"/>
  <c r="M147" i="12" s="1"/>
  <c r="N147" i="12" s="1"/>
  <c r="O147" i="12" s="1"/>
  <c r="P147" i="12" s="1"/>
  <c r="Q147" i="12" s="1"/>
  <c r="T111" i="12"/>
  <c r="L111" i="12"/>
  <c r="M111" i="12" s="1"/>
  <c r="N111" i="12" s="1"/>
  <c r="O111" i="12" s="1"/>
  <c r="P111" i="12" s="1"/>
  <c r="Q111" i="12" s="1"/>
  <c r="T126" i="12"/>
  <c r="U145" i="12"/>
  <c r="T54" i="12"/>
  <c r="L54" i="12"/>
  <c r="M54" i="12" s="1"/>
  <c r="N54" i="12" s="1"/>
  <c r="O54" i="12" s="1"/>
  <c r="P54" i="12" s="1"/>
  <c r="Q54" i="12" s="1"/>
  <c r="L95" i="12"/>
  <c r="V185" i="12"/>
  <c r="L13" i="12"/>
  <c r="M13" i="12" s="1"/>
  <c r="N13" i="12" s="1"/>
  <c r="O13" i="12" s="1"/>
  <c r="P13" i="12" s="1"/>
  <c r="Q13" i="12" s="1"/>
  <c r="T40" i="12"/>
  <c r="L40" i="12"/>
  <c r="M40" i="12" s="1"/>
  <c r="N40" i="12" s="1"/>
  <c r="O40" i="12" s="1"/>
  <c r="P40" i="12" s="1"/>
  <c r="Q40" i="12" s="1"/>
  <c r="T148" i="12"/>
  <c r="U46" i="12"/>
  <c r="V12" i="12"/>
  <c r="W26" i="99" l="1"/>
  <c r="V26" i="99" s="1"/>
  <c r="J22" i="104"/>
  <c r="O28" i="99"/>
  <c r="L29" i="99"/>
  <c r="Q27" i="99"/>
  <c r="U27" i="99"/>
  <c r="S27" i="99"/>
  <c r="Q159" i="101"/>
  <c r="S159" i="101"/>
  <c r="U159" i="101"/>
  <c r="U160" i="101"/>
  <c r="S160" i="101"/>
  <c r="Q160" i="101"/>
  <c r="F13" i="104"/>
  <c r="W205" i="101"/>
  <c r="V205" i="101" s="1"/>
  <c r="AA205" i="101"/>
  <c r="O126" i="101"/>
  <c r="L125" i="101"/>
  <c r="O125" i="101" s="1"/>
  <c r="W43" i="101"/>
  <c r="V43" i="101" s="1"/>
  <c r="AA43" i="101"/>
  <c r="F10" i="103"/>
  <c r="H10" i="103" s="1"/>
  <c r="K10" i="103" s="1"/>
  <c r="J10" i="103"/>
  <c r="W46" i="101"/>
  <c r="V46" i="101" s="1"/>
  <c r="AA46" i="101"/>
  <c r="W14" i="101"/>
  <c r="AA14" i="101"/>
  <c r="S11" i="101"/>
  <c r="Q11" i="101"/>
  <c r="U11" i="101"/>
  <c r="L16" i="101"/>
  <c r="O13" i="101"/>
  <c r="Q8" i="101"/>
  <c r="S8" i="101"/>
  <c r="U8" i="101"/>
  <c r="U27" i="101"/>
  <c r="S27" i="101"/>
  <c r="O28" i="101"/>
  <c r="L29" i="101"/>
  <c r="AA17" i="101"/>
  <c r="W17" i="101"/>
  <c r="W180" i="101"/>
  <c r="V180" i="101" s="1"/>
  <c r="AA180" i="101"/>
  <c r="Q184" i="101"/>
  <c r="AA184" i="101" s="1"/>
  <c r="G16" i="104"/>
  <c r="I16" i="104" s="1"/>
  <c r="L16" i="104" s="1"/>
  <c r="K16" i="104"/>
  <c r="F24" i="104"/>
  <c r="U154" i="101"/>
  <c r="Q154" i="101"/>
  <c r="S154" i="101"/>
  <c r="Q153" i="101"/>
  <c r="S153" i="101"/>
  <c r="U153" i="101"/>
  <c r="S157" i="101"/>
  <c r="Q157" i="101"/>
  <c r="U157" i="101"/>
  <c r="W158" i="101"/>
  <c r="V158" i="101" s="1"/>
  <c r="AA158" i="101"/>
  <c r="G17" i="104"/>
  <c r="I17" i="104" s="1"/>
  <c r="L17" i="104" s="1"/>
  <c r="K17" i="104"/>
  <c r="G26" i="104"/>
  <c r="I26" i="104" s="1"/>
  <c r="L26" i="104" s="1"/>
  <c r="K26" i="104"/>
  <c r="Q208" i="101"/>
  <c r="W204" i="101"/>
  <c r="AA204" i="101"/>
  <c r="F12" i="103"/>
  <c r="H12" i="103" s="1"/>
  <c r="K12" i="103" s="1"/>
  <c r="J12" i="103"/>
  <c r="W15" i="101"/>
  <c r="AA15" i="101"/>
  <c r="G12" i="104"/>
  <c r="I12" i="104" s="1"/>
  <c r="K12" i="104"/>
  <c r="W18" i="101"/>
  <c r="AA18" i="101"/>
  <c r="G14" i="104"/>
  <c r="I14" i="104" s="1"/>
  <c r="L14" i="104" s="1"/>
  <c r="K14" i="104"/>
  <c r="O76" i="101"/>
  <c r="Q76" i="101" s="1"/>
  <c r="L80" i="101"/>
  <c r="O80" i="101" s="1"/>
  <c r="U44" i="101"/>
  <c r="Q44" i="101"/>
  <c r="Q47" i="101" s="1"/>
  <c r="S44" i="101"/>
  <c r="G10" i="102"/>
  <c r="W45" i="101"/>
  <c r="V45" i="101" s="1"/>
  <c r="AA45" i="101"/>
  <c r="W129" i="101"/>
  <c r="AA129" i="101"/>
  <c r="U208" i="101"/>
  <c r="S208" i="101"/>
  <c r="AA194" i="101"/>
  <c r="Q201" i="101"/>
  <c r="AA201" i="101" s="1"/>
  <c r="M8" i="102"/>
  <c r="K13" i="102"/>
  <c r="AA75" i="99"/>
  <c r="Q114" i="99"/>
  <c r="Q207" i="99"/>
  <c r="AA156" i="99"/>
  <c r="AA24" i="101"/>
  <c r="F30" i="104"/>
  <c r="K35" i="104"/>
  <c r="G35" i="104"/>
  <c r="I35" i="104" s="1"/>
  <c r="L35" i="104" s="1"/>
  <c r="O25" i="101"/>
  <c r="L26" i="101"/>
  <c r="O26" i="101" s="1"/>
  <c r="V215" i="12"/>
  <c r="M130" i="12"/>
  <c r="N130" i="12" s="1"/>
  <c r="O130" i="12" s="1"/>
  <c r="P130" i="12" s="1"/>
  <c r="Q130" i="12" s="1"/>
  <c r="V133" i="12"/>
  <c r="U133" i="12"/>
  <c r="V126" i="12"/>
  <c r="U80" i="12"/>
  <c r="U48" i="12"/>
  <c r="M96" i="12"/>
  <c r="N96" i="12" s="1"/>
  <c r="O96" i="12" s="1"/>
  <c r="P96" i="12" s="1"/>
  <c r="Q96" i="12" s="1"/>
  <c r="V96" i="12"/>
  <c r="U96" i="12"/>
  <c r="V48" i="12"/>
  <c r="M51" i="12"/>
  <c r="N51" i="12" s="1"/>
  <c r="O51" i="12" s="1"/>
  <c r="P51" i="12" s="1"/>
  <c r="Q51" i="12" s="1"/>
  <c r="U12" i="12"/>
  <c r="V15" i="12"/>
  <c r="U166" i="12"/>
  <c r="V84" i="12"/>
  <c r="U272" i="12"/>
  <c r="U54" i="12"/>
  <c r="U114" i="12"/>
  <c r="U189" i="12"/>
  <c r="U15" i="12"/>
  <c r="V123" i="12"/>
  <c r="U40" i="12"/>
  <c r="U53" i="12"/>
  <c r="U52" i="12"/>
  <c r="M294" i="12"/>
  <c r="U294" i="12"/>
  <c r="V189" i="12"/>
  <c r="U111" i="12"/>
  <c r="V282" i="12"/>
  <c r="U137" i="12"/>
  <c r="V111" i="12"/>
  <c r="V146" i="12"/>
  <c r="V50" i="12"/>
  <c r="V63" i="12"/>
  <c r="V40" i="12"/>
  <c r="U45" i="12"/>
  <c r="U123" i="12"/>
  <c r="V165" i="12"/>
  <c r="V53" i="12"/>
  <c r="V83" i="12"/>
  <c r="U65" i="12"/>
  <c r="U136" i="12"/>
  <c r="V47" i="12"/>
  <c r="V93" i="12"/>
  <c r="U93" i="12"/>
  <c r="U50" i="12"/>
  <c r="U110" i="12"/>
  <c r="V110" i="12"/>
  <c r="V235" i="12"/>
  <c r="V13" i="12"/>
  <c r="U282" i="12"/>
  <c r="U235" i="12"/>
  <c r="U97" i="12"/>
  <c r="U47" i="12"/>
  <c r="M363" i="12"/>
  <c r="N363" i="12" s="1"/>
  <c r="O363" i="12" s="1"/>
  <c r="P363" i="12" s="1"/>
  <c r="Q363" i="12" s="1"/>
  <c r="U363" i="12"/>
  <c r="V137" i="12"/>
  <c r="U238" i="12"/>
  <c r="V54" i="12"/>
  <c r="V192" i="12"/>
  <c r="V70" i="12"/>
  <c r="V131" i="12"/>
  <c r="U148" i="12"/>
  <c r="V80" i="12"/>
  <c r="V65" i="12"/>
  <c r="U84" i="12"/>
  <c r="U113" i="12"/>
  <c r="V11" i="12"/>
  <c r="V88" i="12"/>
  <c r="U131" i="12"/>
  <c r="M234" i="12"/>
  <c r="N234" i="12" s="1"/>
  <c r="O234" i="12" s="1"/>
  <c r="P234" i="12" s="1"/>
  <c r="Q234" i="12" s="1"/>
  <c r="U234" i="12"/>
  <c r="V92" i="12"/>
  <c r="V148" i="12"/>
  <c r="V113" i="12"/>
  <c r="V76" i="12"/>
  <c r="U13" i="12"/>
  <c r="V147" i="12"/>
  <c r="V323" i="12"/>
  <c r="U125" i="12"/>
  <c r="V138" i="12"/>
  <c r="U11" i="12"/>
  <c r="V45" i="12"/>
  <c r="U83" i="12"/>
  <c r="V136" i="12"/>
  <c r="V86" i="12"/>
  <c r="U167" i="12"/>
  <c r="U138" i="12"/>
  <c r="M109" i="12"/>
  <c r="N109" i="12" s="1"/>
  <c r="O109" i="12" s="1"/>
  <c r="P109" i="12" s="1"/>
  <c r="Q109" i="12" s="1"/>
  <c r="U109" i="12"/>
  <c r="V124" i="12"/>
  <c r="U124" i="12"/>
  <c r="V125" i="12"/>
  <c r="U139" i="12"/>
  <c r="U165" i="12"/>
  <c r="M116" i="12"/>
  <c r="N116" i="12" s="1"/>
  <c r="O116" i="12" s="1"/>
  <c r="P116" i="12" s="1"/>
  <c r="Q116" i="12" s="1"/>
  <c r="U116" i="12"/>
  <c r="V167" i="12"/>
  <c r="U86" i="12"/>
  <c r="M95" i="12"/>
  <c r="N95" i="12" s="1"/>
  <c r="O95" i="12" s="1"/>
  <c r="P95" i="12" s="1"/>
  <c r="Q95" i="12" s="1"/>
  <c r="U95" i="12"/>
  <c r="V272" i="12"/>
  <c r="U94" i="12"/>
  <c r="U147" i="12"/>
  <c r="V139" i="12"/>
  <c r="V114" i="12"/>
  <c r="U192" i="12"/>
  <c r="M14" i="12"/>
  <c r="U14" i="12"/>
  <c r="V98" i="12"/>
  <c r="V238" i="12"/>
  <c r="V177" i="12"/>
  <c r="U126" i="12"/>
  <c r="M276" i="12"/>
  <c r="U276" i="12"/>
  <c r="V46" i="12"/>
  <c r="V35" i="12"/>
  <c r="U76" i="12"/>
  <c r="V94" i="12"/>
  <c r="U92" i="12"/>
  <c r="U177" i="12"/>
  <c r="AA27" i="99" l="1"/>
  <c r="L12" i="104"/>
  <c r="I40" i="104"/>
  <c r="L40" i="104" s="1"/>
  <c r="U28" i="99"/>
  <c r="S28" i="99"/>
  <c r="Q28" i="99"/>
  <c r="AA28" i="99" s="1"/>
  <c r="E27" i="104"/>
  <c r="O29" i="99"/>
  <c r="L30" i="99"/>
  <c r="W27" i="99"/>
  <c r="V27" i="99" s="1"/>
  <c r="AA159" i="101"/>
  <c r="W159" i="101"/>
  <c r="W160" i="101"/>
  <c r="AA160" i="101"/>
  <c r="G13" i="104"/>
  <c r="I13" i="104" s="1"/>
  <c r="L13" i="104" s="1"/>
  <c r="K13" i="104"/>
  <c r="K40" i="104" s="1"/>
  <c r="F10" i="104"/>
  <c r="Q126" i="101"/>
  <c r="AA126" i="101" s="1"/>
  <c r="U125" i="101"/>
  <c r="S125" i="101"/>
  <c r="Q125" i="101"/>
  <c r="E11" i="103"/>
  <c r="Z14" i="101"/>
  <c r="V14" i="101"/>
  <c r="AA11" i="101"/>
  <c r="W11" i="101"/>
  <c r="V11" i="101" s="1"/>
  <c r="L19" i="101"/>
  <c r="O16" i="101"/>
  <c r="AA13" i="101"/>
  <c r="G9" i="102"/>
  <c r="W8" i="101"/>
  <c r="V8" i="101" s="1"/>
  <c r="AA8" i="101"/>
  <c r="W27" i="101"/>
  <c r="V27" i="101" s="1"/>
  <c r="AA27" i="101"/>
  <c r="S28" i="101"/>
  <c r="U28" i="101"/>
  <c r="L30" i="101"/>
  <c r="O29" i="101"/>
  <c r="Z17" i="101"/>
  <c r="V17" i="101"/>
  <c r="G24" i="104"/>
  <c r="I24" i="104" s="1"/>
  <c r="L24" i="104" s="1"/>
  <c r="K24" i="104"/>
  <c r="W154" i="101"/>
  <c r="V154" i="101" s="1"/>
  <c r="Y154" i="101"/>
  <c r="Z154" i="101" s="1"/>
  <c r="AA154" i="101"/>
  <c r="Q161" i="101"/>
  <c r="AA161" i="101" s="1"/>
  <c r="W153" i="101"/>
  <c r="AA153" i="101"/>
  <c r="Y153" i="101"/>
  <c r="Z153" i="101" s="1"/>
  <c r="AA157" i="101"/>
  <c r="W157" i="101"/>
  <c r="AC208" i="101"/>
  <c r="AA208" i="101"/>
  <c r="E20" i="105"/>
  <c r="W208" i="101"/>
  <c r="V204" i="101"/>
  <c r="Z204" i="101"/>
  <c r="V15" i="101"/>
  <c r="Z15" i="101"/>
  <c r="V18" i="101"/>
  <c r="Z18" i="101"/>
  <c r="AA76" i="101"/>
  <c r="Q80" i="101"/>
  <c r="Q81" i="101" s="1"/>
  <c r="S80" i="101"/>
  <c r="U80" i="101"/>
  <c r="AA47" i="101"/>
  <c r="W44" i="101"/>
  <c r="V44" i="101" s="1"/>
  <c r="AA44" i="101"/>
  <c r="L10" i="102"/>
  <c r="H10" i="102"/>
  <c r="J10" i="102" s="1"/>
  <c r="M10" i="102" s="1"/>
  <c r="V129" i="101"/>
  <c r="U161" i="101"/>
  <c r="S161" i="101"/>
  <c r="E13" i="105"/>
  <c r="AA114" i="99"/>
  <c r="E16" i="105"/>
  <c r="Q219" i="99"/>
  <c r="Q229" i="99"/>
  <c r="AA207" i="99"/>
  <c r="AC207" i="99"/>
  <c r="AA26" i="101"/>
  <c r="F33" i="104"/>
  <c r="AA25" i="101"/>
  <c r="F32" i="104"/>
  <c r="K30" i="104"/>
  <c r="G30" i="104"/>
  <c r="I30" i="104" s="1"/>
  <c r="L30" i="104" s="1"/>
  <c r="V130" i="12"/>
  <c r="V51" i="12"/>
  <c r="N294" i="12"/>
  <c r="O294" i="12" s="1"/>
  <c r="P294" i="12" s="1"/>
  <c r="Q294" i="12" s="1"/>
  <c r="V294" i="12"/>
  <c r="V95" i="12"/>
  <c r="V363" i="12"/>
  <c r="N14" i="12"/>
  <c r="O14" i="12" s="1"/>
  <c r="P14" i="12" s="1"/>
  <c r="Q14" i="12" s="1"/>
  <c r="V14" i="12"/>
  <c r="N276" i="12"/>
  <c r="O276" i="12" s="1"/>
  <c r="P276" i="12" s="1"/>
  <c r="Q276" i="12" s="1"/>
  <c r="V276" i="12"/>
  <c r="V109" i="12"/>
  <c r="V234" i="12"/>
  <c r="V116" i="12"/>
  <c r="W161" i="101" l="1"/>
  <c r="W184" i="101" s="1"/>
  <c r="W28" i="99"/>
  <c r="V28" i="99" s="1"/>
  <c r="J27" i="104"/>
  <c r="Q29" i="99"/>
  <c r="U29" i="99"/>
  <c r="S29" i="99"/>
  <c r="E31" i="104"/>
  <c r="O30" i="99"/>
  <c r="L31" i="99"/>
  <c r="V159" i="101"/>
  <c r="Z159" i="101"/>
  <c r="Z160" i="101"/>
  <c r="V160" i="101"/>
  <c r="G10" i="104"/>
  <c r="I10" i="104" s="1"/>
  <c r="K10" i="104"/>
  <c r="Q151" i="101"/>
  <c r="AA125" i="101"/>
  <c r="W125" i="101"/>
  <c r="F11" i="103"/>
  <c r="H11" i="103" s="1"/>
  <c r="K11" i="103" s="1"/>
  <c r="J11" i="103"/>
  <c r="O19" i="101"/>
  <c r="AA19" i="101" s="1"/>
  <c r="L20" i="101"/>
  <c r="AA16" i="101"/>
  <c r="L9" i="102"/>
  <c r="H9" i="102"/>
  <c r="W28" i="101"/>
  <c r="V28" i="101" s="1"/>
  <c r="AA28" i="101"/>
  <c r="O30" i="101"/>
  <c r="L31" i="101"/>
  <c r="F19" i="104"/>
  <c r="AA29" i="101"/>
  <c r="V153" i="101"/>
  <c r="V157" i="101"/>
  <c r="Z157" i="101"/>
  <c r="F20" i="105"/>
  <c r="G20" i="105"/>
  <c r="Q120" i="101"/>
  <c r="AA81" i="101"/>
  <c r="W80" i="101"/>
  <c r="V80" i="101" s="1"/>
  <c r="AA80" i="101"/>
  <c r="U184" i="101"/>
  <c r="S184" i="101"/>
  <c r="G16" i="105"/>
  <c r="F16" i="105"/>
  <c r="G13" i="105"/>
  <c r="F13" i="105"/>
  <c r="K32" i="104"/>
  <c r="G32" i="104"/>
  <c r="I32" i="104" s="1"/>
  <c r="L32" i="104" s="1"/>
  <c r="G33" i="104"/>
  <c r="I33" i="104" s="1"/>
  <c r="L33" i="104" s="1"/>
  <c r="K33" i="104"/>
  <c r="AA29" i="99" l="1"/>
  <c r="U202" i="101"/>
  <c r="U201" i="101"/>
  <c r="S201" i="101"/>
  <c r="S202" i="101"/>
  <c r="W29" i="99"/>
  <c r="V29" i="99" s="1"/>
  <c r="J31" i="104"/>
  <c r="U30" i="99"/>
  <c r="S30" i="99"/>
  <c r="Q30" i="99"/>
  <c r="AA30" i="99" s="1"/>
  <c r="E29" i="104"/>
  <c r="L32" i="99"/>
  <c r="O31" i="99"/>
  <c r="L10" i="104"/>
  <c r="AA151" i="101"/>
  <c r="Q202" i="101"/>
  <c r="V125" i="101"/>
  <c r="Z125" i="101"/>
  <c r="O20" i="101"/>
  <c r="L21" i="101"/>
  <c r="J9" i="102"/>
  <c r="S30" i="101"/>
  <c r="U30" i="101"/>
  <c r="F20" i="104"/>
  <c r="L32" i="101"/>
  <c r="O31" i="101"/>
  <c r="G19" i="104"/>
  <c r="I19" i="104" s="1"/>
  <c r="K19" i="104"/>
  <c r="AA120" i="101"/>
  <c r="E14" i="105"/>
  <c r="W201" i="101"/>
  <c r="W202" i="101"/>
  <c r="P6" i="103"/>
  <c r="U224" i="101" l="1"/>
  <c r="U214" i="101"/>
  <c r="S214" i="101"/>
  <c r="S224" i="101"/>
  <c r="W30" i="99"/>
  <c r="J29" i="104"/>
  <c r="L33" i="99"/>
  <c r="O33" i="99" s="1"/>
  <c r="O32" i="99"/>
  <c r="S31" i="99"/>
  <c r="Q31" i="99"/>
  <c r="AA31" i="99" s="1"/>
  <c r="U31" i="99"/>
  <c r="E37" i="104"/>
  <c r="Q224" i="101"/>
  <c r="AC202" i="101"/>
  <c r="AA202" i="101"/>
  <c r="Q214" i="101"/>
  <c r="E17" i="105"/>
  <c r="G12" i="102"/>
  <c r="AA20" i="101"/>
  <c r="O21" i="101"/>
  <c r="L22" i="101"/>
  <c r="O22" i="101" s="1"/>
  <c r="M9" i="102"/>
  <c r="W30" i="101"/>
  <c r="V30" i="101" s="1"/>
  <c r="AA30" i="101"/>
  <c r="G20" i="104"/>
  <c r="I20" i="104" s="1"/>
  <c r="L20" i="104" s="1"/>
  <c r="K20" i="104"/>
  <c r="L33" i="101"/>
  <c r="O32" i="101"/>
  <c r="U31" i="101"/>
  <c r="S31" i="101"/>
  <c r="F21" i="104"/>
  <c r="G14" i="105"/>
  <c r="F14" i="105"/>
  <c r="W214" i="101"/>
  <c r="W224" i="101"/>
  <c r="L19" i="104"/>
  <c r="P8" i="103"/>
  <c r="D24" i="55"/>
  <c r="D25" i="55" s="1"/>
  <c r="Q33" i="99" l="1"/>
  <c r="U33" i="99"/>
  <c r="S33" i="99"/>
  <c r="Q32" i="99"/>
  <c r="U32" i="99"/>
  <c r="S32" i="99"/>
  <c r="E38" i="104"/>
  <c r="S116" i="99"/>
  <c r="S227" i="99" s="1"/>
  <c r="S230" i="99" s="1"/>
  <c r="S235" i="99" s="1"/>
  <c r="S115" i="99"/>
  <c r="W31" i="99"/>
  <c r="V31" i="99" s="1"/>
  <c r="U116" i="99"/>
  <c r="U227" i="99" s="1"/>
  <c r="U230" i="99" s="1"/>
  <c r="U235" i="99" s="1"/>
  <c r="U115" i="99"/>
  <c r="J37" i="104"/>
  <c r="F17" i="105"/>
  <c r="G17" i="105"/>
  <c r="L12" i="102"/>
  <c r="L13" i="102" s="1"/>
  <c r="H12" i="102"/>
  <c r="G13" i="102"/>
  <c r="E9" i="103"/>
  <c r="F36" i="104"/>
  <c r="AA22" i="101"/>
  <c r="L34" i="101"/>
  <c r="O33" i="101"/>
  <c r="U32" i="101"/>
  <c r="S32" i="101"/>
  <c r="F22" i="104"/>
  <c r="AA31" i="101"/>
  <c r="W31" i="101"/>
  <c r="G21" i="104"/>
  <c r="I21" i="104" s="1"/>
  <c r="K21" i="104"/>
  <c r="V30" i="99"/>
  <c r="AA32" i="99" l="1"/>
  <c r="Q34" i="99"/>
  <c r="W33" i="99"/>
  <c r="V33" i="99" s="1"/>
  <c r="W32" i="99"/>
  <c r="J38" i="104"/>
  <c r="S217" i="99"/>
  <c r="S220" i="99" s="1"/>
  <c r="S225" i="99" s="1"/>
  <c r="S214" i="99"/>
  <c r="AA34" i="99"/>
  <c r="E10" i="105"/>
  <c r="Q115" i="99"/>
  <c r="Q214" i="99" s="1"/>
  <c r="U214" i="99"/>
  <c r="U217" i="99"/>
  <c r="U220" i="99" s="1"/>
  <c r="U225" i="99" s="1"/>
  <c r="H13" i="102"/>
  <c r="J12" i="102"/>
  <c r="E14" i="103"/>
  <c r="J9" i="103"/>
  <c r="P7" i="103" s="1"/>
  <c r="F9" i="103"/>
  <c r="AA21" i="101"/>
  <c r="K36" i="104"/>
  <c r="G36" i="104"/>
  <c r="I36" i="104" s="1"/>
  <c r="L36" i="104" s="1"/>
  <c r="O34" i="101"/>
  <c r="L35" i="101"/>
  <c r="U33" i="101"/>
  <c r="S33" i="101"/>
  <c r="W32" i="101"/>
  <c r="V32" i="101" s="1"/>
  <c r="AA32" i="101"/>
  <c r="G22" i="104"/>
  <c r="I22" i="104" s="1"/>
  <c r="K22" i="104"/>
  <c r="L21" i="104"/>
  <c r="V31" i="101"/>
  <c r="L22" i="104" l="1"/>
  <c r="W116" i="99"/>
  <c r="W227" i="99" s="1"/>
  <c r="W230" i="99" s="1"/>
  <c r="W235" i="99" s="1"/>
  <c r="W115" i="99"/>
  <c r="V32" i="99"/>
  <c r="E21" i="105"/>
  <c r="F10" i="105"/>
  <c r="G10" i="105"/>
  <c r="Q217" i="99"/>
  <c r="Q220" i="99" s="1"/>
  <c r="Q225" i="99" s="1"/>
  <c r="AA115" i="99"/>
  <c r="AC115" i="99"/>
  <c r="J13" i="102"/>
  <c r="M13" i="102" s="1"/>
  <c r="M12" i="102"/>
  <c r="F14" i="103"/>
  <c r="H9" i="103"/>
  <c r="K9" i="103" s="1"/>
  <c r="S34" i="101"/>
  <c r="U34" i="101"/>
  <c r="F27" i="104"/>
  <c r="L36" i="101"/>
  <c r="O35" i="101"/>
  <c r="W33" i="101"/>
  <c r="AA33" i="101"/>
  <c r="W214" i="99" l="1"/>
  <c r="W217" i="99"/>
  <c r="W220" i="99" s="1"/>
  <c r="W225" i="99" s="1"/>
  <c r="F21" i="105"/>
  <c r="G21" i="105"/>
  <c r="I13" i="103"/>
  <c r="AB34" i="99"/>
  <c r="AB114" i="99"/>
  <c r="AB207" i="99"/>
  <c r="AB75" i="99"/>
  <c r="AB41" i="99"/>
  <c r="AB156" i="99"/>
  <c r="AB206" i="99"/>
  <c r="AB213" i="99"/>
  <c r="AB166" i="99"/>
  <c r="AB189" i="99"/>
  <c r="AB83" i="99"/>
  <c r="AB67" i="99"/>
  <c r="AB99" i="99"/>
  <c r="AA214" i="99"/>
  <c r="AB214" i="99"/>
  <c r="Q215" i="99"/>
  <c r="AB115" i="99"/>
  <c r="AA34" i="101"/>
  <c r="W34" i="101"/>
  <c r="V34" i="101" s="1"/>
  <c r="G27" i="104"/>
  <c r="I27" i="104" s="1"/>
  <c r="L27" i="104" s="1"/>
  <c r="K27" i="104"/>
  <c r="L37" i="101"/>
  <c r="O36" i="101"/>
  <c r="U35" i="101"/>
  <c r="S35" i="101"/>
  <c r="F31" i="104"/>
  <c r="V33" i="101"/>
  <c r="I14" i="103" l="1"/>
  <c r="AC215" i="99"/>
  <c r="AA215" i="99"/>
  <c r="L38" i="101"/>
  <c r="O37" i="101"/>
  <c r="U36" i="101"/>
  <c r="S36" i="101"/>
  <c r="F29" i="104"/>
  <c r="W35" i="101"/>
  <c r="AA35" i="101"/>
  <c r="G31" i="104"/>
  <c r="I31" i="104" s="1"/>
  <c r="L31" i="104" s="1"/>
  <c r="K31" i="104"/>
  <c r="O38" i="101" l="1"/>
  <c r="L39" i="101"/>
  <c r="O39" i="101" s="1"/>
  <c r="U37" i="101"/>
  <c r="S37" i="101"/>
  <c r="F37" i="104"/>
  <c r="AA36" i="101"/>
  <c r="W36" i="101"/>
  <c r="G29" i="104"/>
  <c r="I29" i="104" s="1"/>
  <c r="L29" i="104" s="1"/>
  <c r="K29" i="104"/>
  <c r="V35" i="101"/>
  <c r="P10" i="103"/>
  <c r="P9" i="103"/>
  <c r="U38" i="101" l="1"/>
  <c r="S38" i="101"/>
  <c r="F38" i="104"/>
  <c r="S39" i="101"/>
  <c r="U39" i="101"/>
  <c r="U122" i="101"/>
  <c r="U222" i="101" s="1"/>
  <c r="U225" i="101" s="1"/>
  <c r="U230" i="101" s="1"/>
  <c r="U121" i="101"/>
  <c r="W37" i="101"/>
  <c r="V37" i="101" s="1"/>
  <c r="AA37" i="101"/>
  <c r="G37" i="104"/>
  <c r="I37" i="104" s="1"/>
  <c r="L37" i="104" s="1"/>
  <c r="K37" i="104"/>
  <c r="V36" i="101"/>
  <c r="S122" i="101" l="1"/>
  <c r="S222" i="101" s="1"/>
  <c r="S225" i="101" s="1"/>
  <c r="S230" i="101" s="1"/>
  <c r="S121" i="101"/>
  <c r="AA38" i="101"/>
  <c r="W38" i="101"/>
  <c r="V38" i="101" s="1"/>
  <c r="G38" i="104"/>
  <c r="I38" i="104" s="1"/>
  <c r="L38" i="104" s="1"/>
  <c r="K38" i="104"/>
  <c r="Q40" i="101"/>
  <c r="W39" i="101"/>
  <c r="AA39" i="101"/>
  <c r="U212" i="101"/>
  <c r="U215" i="101" s="1"/>
  <c r="U220" i="101" s="1"/>
  <c r="U209" i="101"/>
  <c r="S209" i="101" l="1"/>
  <c r="S212" i="101"/>
  <c r="S215" i="101" s="1"/>
  <c r="S220" i="101" s="1"/>
  <c r="E11" i="105"/>
  <c r="AA40" i="101"/>
  <c r="Q121" i="101"/>
  <c r="W121" i="101"/>
  <c r="W122" i="101"/>
  <c r="W222" i="101" s="1"/>
  <c r="W225" i="101" s="1"/>
  <c r="W230" i="101" s="1"/>
  <c r="V39" i="101"/>
  <c r="O6" i="103"/>
  <c r="E22" i="105" l="1"/>
  <c r="F11" i="105"/>
  <c r="G11" i="105"/>
  <c r="AC121" i="101"/>
  <c r="AA121" i="101"/>
  <c r="Q212" i="101"/>
  <c r="Q215" i="101" s="1"/>
  <c r="Q220" i="101" s="1"/>
  <c r="Q209" i="101"/>
  <c r="W209" i="101"/>
  <c r="W212" i="101"/>
  <c r="W215" i="101" s="1"/>
  <c r="W220" i="101" s="1"/>
  <c r="O8" i="103"/>
  <c r="AB121" i="101" l="1"/>
  <c r="AB209" i="101"/>
  <c r="G22" i="105"/>
  <c r="F22" i="105"/>
  <c r="E23" i="105"/>
  <c r="J13" i="103"/>
  <c r="AB40" i="101"/>
  <c r="AB202" i="101"/>
  <c r="AB151" i="101"/>
  <c r="AB120" i="101"/>
  <c r="AB81" i="101"/>
  <c r="AB47" i="101"/>
  <c r="AB161" i="101"/>
  <c r="AB201" i="101"/>
  <c r="AB208" i="101"/>
  <c r="AB184" i="101"/>
  <c r="AB73" i="101"/>
  <c r="AB105" i="101"/>
  <c r="AB89" i="101"/>
  <c r="AA209" i="101"/>
  <c r="Q210" i="101"/>
  <c r="F23" i="105" l="1"/>
  <c r="G23" i="105"/>
  <c r="H13" i="103"/>
  <c r="J14" i="103"/>
  <c r="AC210" i="101"/>
  <c r="AA210" i="101"/>
  <c r="H14" i="103" l="1"/>
  <c r="K14" i="103" s="1"/>
  <c r="K13" i="103"/>
  <c r="O10" i="103" l="1"/>
  <c r="O9" i="103" s="1"/>
  <c r="G18" i="33" l="1"/>
  <c r="G16" i="33"/>
  <c r="C17" i="33"/>
  <c r="G17" i="33" s="1"/>
  <c r="G33" i="33"/>
  <c r="G31" i="33"/>
  <c r="C32" i="33"/>
  <c r="G32" i="33" s="1"/>
  <c r="G24" i="33"/>
  <c r="G25" i="33" s="1"/>
  <c r="G26" i="33"/>
  <c r="G27" i="33" l="1"/>
  <c r="G28" i="33" s="1"/>
  <c r="G34" i="33"/>
  <c r="F34" i="33" s="1"/>
  <c r="F15" i="33" l="1"/>
  <c r="G15" i="33" s="1"/>
  <c r="F14" i="33"/>
  <c r="G14" i="33" s="1"/>
  <c r="F13" i="33"/>
  <c r="G13" i="33" s="1"/>
  <c r="F12" i="33"/>
  <c r="G12" i="33" s="1"/>
  <c r="F11" i="33"/>
  <c r="G11" i="33" s="1"/>
  <c r="F10" i="33"/>
  <c r="G10" i="33" s="1"/>
  <c r="F9" i="33"/>
  <c r="G9" i="33" s="1"/>
  <c r="F8" i="33"/>
  <c r="G8" i="33" s="1"/>
  <c r="F7" i="33"/>
  <c r="G7" i="33" s="1"/>
  <c r="F6" i="33"/>
  <c r="G6" i="33" s="1"/>
  <c r="F5" i="33"/>
  <c r="G5" i="33" s="1"/>
  <c r="F4" i="33"/>
  <c r="G4" i="33" s="1"/>
  <c r="G20" i="33" l="1"/>
  <c r="G21" i="33" s="1"/>
  <c r="F20" i="33"/>
  <c r="I21" i="33" l="1"/>
  <c r="I22" i="33" s="1"/>
  <c r="J21" i="33" l="1"/>
  <c r="L21" i="33" s="1"/>
</calcChain>
</file>

<file path=xl/sharedStrings.xml><?xml version="1.0" encoding="utf-8"?>
<sst xmlns="http://schemas.openxmlformats.org/spreadsheetml/2006/main" count="3045" uniqueCount="891">
  <si>
    <t>Satuan</t>
  </si>
  <si>
    <t>SKU Panen</t>
  </si>
  <si>
    <t>HK</t>
  </si>
  <si>
    <t>Upah PHL</t>
  </si>
  <si>
    <t>Biaya Konsultan</t>
  </si>
  <si>
    <t>Rp/Ha</t>
  </si>
  <si>
    <t>Muat TBS</t>
  </si>
  <si>
    <t>Kg</t>
  </si>
  <si>
    <t>Ton</t>
  </si>
  <si>
    <t>Lain-lain Spv Perawatan 1</t>
  </si>
  <si>
    <t>Premi Panen 1</t>
  </si>
  <si>
    <t>Premi Extra Fooding</t>
  </si>
  <si>
    <t>Premi Supervisi Panen</t>
  </si>
  <si>
    <t>Premi Supervisi Perawatan</t>
  </si>
  <si>
    <t>Premi Kerani Panen</t>
  </si>
  <si>
    <t>Premi Kerani Perawatan</t>
  </si>
  <si>
    <t>Alat Sensus</t>
  </si>
  <si>
    <t>Set</t>
  </si>
  <si>
    <t>Anak Pancang</t>
  </si>
  <si>
    <t>Buah</t>
  </si>
  <si>
    <t>Angkong</t>
  </si>
  <si>
    <t>ATK</t>
  </si>
  <si>
    <t>Baby Bag</t>
  </si>
  <si>
    <t>Batu Asah</t>
  </si>
  <si>
    <t>Cados</t>
  </si>
  <si>
    <t>Cangkul</t>
  </si>
  <si>
    <t>Cat</t>
  </si>
  <si>
    <t>Celemek</t>
  </si>
  <si>
    <t>Dodos 4"</t>
  </si>
  <si>
    <t>Egrek Set Pool</t>
  </si>
  <si>
    <t>Ember</t>
  </si>
  <si>
    <t>Galapool</t>
  </si>
  <si>
    <t>Gancu</t>
  </si>
  <si>
    <t>Garuk Brondolan</t>
  </si>
  <si>
    <t>GPS</t>
  </si>
  <si>
    <t>Helm</t>
  </si>
  <si>
    <t>Jas Hujan</t>
  </si>
  <si>
    <t>Kaca Mata</t>
  </si>
  <si>
    <t>Kapak Panen</t>
  </si>
  <si>
    <t>Kompas</t>
  </si>
  <si>
    <t>Kuas</t>
  </si>
  <si>
    <t>Large Bag</t>
  </si>
  <si>
    <t>Material Instalasi Air</t>
  </si>
  <si>
    <t>Material Pondok Hujan</t>
  </si>
  <si>
    <t>Unit</t>
  </si>
  <si>
    <t>Meteran</t>
  </si>
  <si>
    <t>Paku Ulin</t>
  </si>
  <si>
    <t>Papan</t>
  </si>
  <si>
    <t>Paranet</t>
  </si>
  <si>
    <t>Rol</t>
  </si>
  <si>
    <t>Parang</t>
  </si>
  <si>
    <t>Pengki Brondolan</t>
  </si>
  <si>
    <t>Sarung Dodos</t>
  </si>
  <si>
    <t>Sarung Egrek</t>
  </si>
  <si>
    <t>Sarung Tangan Kain</t>
  </si>
  <si>
    <t>Sarung Tangan Karet</t>
  </si>
  <si>
    <t>Sepatu Boots</t>
  </si>
  <si>
    <t>Sprayer (Solo)</t>
  </si>
  <si>
    <t>Takaran Pupuk</t>
  </si>
  <si>
    <t>Tiang Kayu Bibitan</t>
  </si>
  <si>
    <t>Batang</t>
  </si>
  <si>
    <t>Tojok</t>
  </si>
  <si>
    <t>Glyphosate</t>
  </si>
  <si>
    <t>Liter</t>
  </si>
  <si>
    <t>Metil Metsulfuron</t>
  </si>
  <si>
    <t>Perekat</t>
  </si>
  <si>
    <t>Parakuat</t>
  </si>
  <si>
    <t>Triclophir</t>
  </si>
  <si>
    <t>Rodentisida</t>
  </si>
  <si>
    <t>Decis</t>
  </si>
  <si>
    <t>Becano</t>
  </si>
  <si>
    <t>Furadan</t>
  </si>
  <si>
    <t>Marfu</t>
  </si>
  <si>
    <t>Marshal</t>
  </si>
  <si>
    <t>Dithane</t>
  </si>
  <si>
    <t>Sevin</t>
  </si>
  <si>
    <t>Kapur Barus</t>
  </si>
  <si>
    <t>Pak</t>
  </si>
  <si>
    <t>Urea</t>
  </si>
  <si>
    <t>Rock Phosphate</t>
  </si>
  <si>
    <t>MOP</t>
  </si>
  <si>
    <t>Kieserite</t>
  </si>
  <si>
    <t>Borate</t>
  </si>
  <si>
    <t>Organik</t>
  </si>
  <si>
    <t>NPK 12-12-17-2+TE</t>
  </si>
  <si>
    <t>Bayfolan</t>
  </si>
  <si>
    <t>Titi Panen</t>
  </si>
  <si>
    <t>Titi Panen 1</t>
  </si>
  <si>
    <t>Titi Pasar Rintis 1</t>
  </si>
  <si>
    <t>Bahan Jembatan Permanen 1</t>
  </si>
  <si>
    <t>Bahan Jembatan Permanen 2</t>
  </si>
  <si>
    <t>Bahan Jembatan Permanen 3</t>
  </si>
  <si>
    <t>Bahan Jembatan Semi Permanen 1</t>
  </si>
  <si>
    <t>Bahan Jembatan Ulin Bulat</t>
  </si>
  <si>
    <t>Material Pintu Air 1</t>
  </si>
  <si>
    <t>Bibit</t>
  </si>
  <si>
    <t>Pokok</t>
  </si>
  <si>
    <t>PJ</t>
  </si>
  <si>
    <t>CM</t>
  </si>
  <si>
    <t>Tunera</t>
  </si>
  <si>
    <t>Rizhobium</t>
  </si>
  <si>
    <t>Kecambah KS</t>
  </si>
  <si>
    <t>Btr</t>
  </si>
  <si>
    <t>Batu 1</t>
  </si>
  <si>
    <t>M3</t>
  </si>
  <si>
    <t>Angkutan JJK 1</t>
  </si>
  <si>
    <t>Angkutan Pupuk 1</t>
  </si>
  <si>
    <t>Unit Manager 1</t>
  </si>
  <si>
    <t>HA</t>
  </si>
  <si>
    <t>Unit Askep 1</t>
  </si>
  <si>
    <t>Unit Askep 2</t>
  </si>
  <si>
    <t>KM</t>
  </si>
  <si>
    <t>TUS 1</t>
  </si>
  <si>
    <t>Ha</t>
  </si>
  <si>
    <t>BKMS</t>
  </si>
  <si>
    <t>Transport Karyawan 1</t>
  </si>
  <si>
    <t>Farm Traktor 1</t>
  </si>
  <si>
    <t>HM</t>
  </si>
  <si>
    <t>Excavator 1</t>
  </si>
  <si>
    <t>Compactor 1</t>
  </si>
  <si>
    <t>Greader 1</t>
  </si>
  <si>
    <t>TLB 1</t>
  </si>
  <si>
    <t>Buldozer 1</t>
  </si>
  <si>
    <t>G 10A Kayu</t>
  </si>
  <si>
    <t>G 10B Kayu</t>
  </si>
  <si>
    <t>G 10C Kayu</t>
  </si>
  <si>
    <t>Water Pump 1</t>
  </si>
  <si>
    <t>RIT</t>
  </si>
  <si>
    <t>Pekerjaan</t>
  </si>
  <si>
    <t>Material</t>
  </si>
  <si>
    <t>Norma</t>
  </si>
  <si>
    <t>Rotasi</t>
  </si>
  <si>
    <t>Keterangan</t>
  </si>
  <si>
    <t>Vol</t>
  </si>
  <si>
    <t>Jembatan Permanen</t>
  </si>
  <si>
    <t>Rorak / Benteng</t>
  </si>
  <si>
    <t>Tikus</t>
  </si>
  <si>
    <t>Ulat Api</t>
  </si>
  <si>
    <t>Kaca mata</t>
  </si>
  <si>
    <t>Pemberantasan Lalang</t>
  </si>
  <si>
    <t>Tapak Kuda</t>
  </si>
  <si>
    <t>Tapak Timbun</t>
  </si>
  <si>
    <t>Blok</t>
  </si>
  <si>
    <t>Imas</t>
  </si>
  <si>
    <t>Hutan Primer</t>
  </si>
  <si>
    <t>Hutan Sekunder</t>
  </si>
  <si>
    <t>Semak Belukar</t>
  </si>
  <si>
    <t>Perun Mekanis</t>
  </si>
  <si>
    <t>Pembuatan Jalan Produksi</t>
  </si>
  <si>
    <t>Jembatan Permanen s/d 3 Mtr</t>
  </si>
  <si>
    <t>Jembatan Permanen 4-6 Mtr</t>
  </si>
  <si>
    <t>Jembatan Permanen 6-9 mtr</t>
  </si>
  <si>
    <t>Pembuatan Jembatan Semi Permanen &gt; 2 Mtr</t>
  </si>
  <si>
    <t>Gorong-Gorong 40 CM</t>
  </si>
  <si>
    <t>Gorong-Gorong 60 CM</t>
  </si>
  <si>
    <t>Gorong-Gorong 80 CM</t>
  </si>
  <si>
    <t>Pembuatan Parit Primer (4x4)</t>
  </si>
  <si>
    <t>Pembuatan Parit Sekunder (2x2)</t>
  </si>
  <si>
    <t>Pembuatan Parit Tersier (1x1)</t>
  </si>
  <si>
    <t>Kontur / Teras</t>
  </si>
  <si>
    <t>Pembuatan Barak Tipe A</t>
  </si>
  <si>
    <t>Pembuatan Barak Tipe B</t>
  </si>
  <si>
    <t>Pembuatan Barak Tipe C</t>
  </si>
  <si>
    <t>Bongkar Tumbuhan Pengganggu (Chemist)</t>
  </si>
  <si>
    <t>Memancang</t>
  </si>
  <si>
    <t>Kumbang Tanduk</t>
  </si>
  <si>
    <t>Crown Dease</t>
  </si>
  <si>
    <t>Konsolidasi Pokok</t>
  </si>
  <si>
    <t>Angkutan Pupuk (Intern/Ekstern)</t>
  </si>
  <si>
    <t>Angkutan Pupuk Intern</t>
  </si>
  <si>
    <t>Angkutan Pupuk Ekstern</t>
  </si>
  <si>
    <t>Pemberantasan Lalang dan Gulma Lainnya</t>
  </si>
  <si>
    <t>PHPT</t>
  </si>
  <si>
    <t>Pemupukan</t>
  </si>
  <si>
    <t>Vol sesuai kondisi</t>
  </si>
  <si>
    <t xml:space="preserve">Sprayer </t>
  </si>
  <si>
    <t>HDPE Culvert 1.5X6 Triplewall</t>
  </si>
  <si>
    <t>HDPE Culvert 1.8X6 Triplewall</t>
  </si>
  <si>
    <t>HDPE Culvert 2.3X6 Triplewall</t>
  </si>
  <si>
    <t>Dithan</t>
  </si>
  <si>
    <t>Kuproxite</t>
  </si>
  <si>
    <t>Ltr</t>
  </si>
  <si>
    <t>Upah BM Pupuk Intern</t>
  </si>
  <si>
    <t>Upah BM Pupuk Ekstern</t>
  </si>
  <si>
    <t>Excavator Mini</t>
  </si>
  <si>
    <t>TUS 2</t>
  </si>
  <si>
    <t>Pasang Siring HDPE Culvert 1.5X6 Triplewall</t>
  </si>
  <si>
    <t>Pasang Siring HDPE Culvert 1.8X6 Triplewall</t>
  </si>
  <si>
    <t>Pasang Siring HDPE Culvert 2.3X6 Triplewall</t>
  </si>
  <si>
    <t>Pemupukan NPK Tablet 15-15-15</t>
  </si>
  <si>
    <t>X</t>
  </si>
  <si>
    <t>Rotasi APD</t>
  </si>
  <si>
    <t>Upah PHL Until Pupuk</t>
  </si>
  <si>
    <t>Masker Chemical</t>
  </si>
  <si>
    <t>NPK TABLET 15-15-15-1-3+TE</t>
  </si>
  <si>
    <t>Rp Sat</t>
  </si>
  <si>
    <t>Jumlah RP</t>
  </si>
  <si>
    <t>Excavator</t>
  </si>
  <si>
    <t>Bongkar &amp; Tutup Lubang Bonggol Sawit</t>
  </si>
  <si>
    <t>Farm Traktor</t>
  </si>
  <si>
    <t>Angkutan Bibit KS</t>
  </si>
  <si>
    <t>MB (Mocuna Bracteata)</t>
  </si>
  <si>
    <t>Jumlah Unit</t>
  </si>
  <si>
    <t>Rata-rata</t>
  </si>
  <si>
    <t>Cuci Parit Primer (4X4)</t>
  </si>
  <si>
    <t>Cuci Parit Tersier (1X1)</t>
  </si>
  <si>
    <t>PEMBUATAN SARANA PRASARANA</t>
  </si>
  <si>
    <t>PEMBUKAAN LAHAN</t>
  </si>
  <si>
    <t>PEMBUATAN JALAN</t>
  </si>
  <si>
    <t>IMAS,TUMBANG, PERUN</t>
  </si>
  <si>
    <t>PEMBUATAN JEMBATAN</t>
  </si>
  <si>
    <t>PEMBUATAN PARIT</t>
  </si>
  <si>
    <t>CUCI PARIT</t>
  </si>
  <si>
    <t>PENGAWETAN TANAH</t>
  </si>
  <si>
    <t>PEMBUATAN BARAK</t>
  </si>
  <si>
    <t>TANAM DAN PEMELIHARAAN AWAL</t>
  </si>
  <si>
    <t>Transportasi Air</t>
  </si>
  <si>
    <t>Jalan</t>
  </si>
  <si>
    <t>Master Harga</t>
  </si>
  <si>
    <t>Tenaga Kerja</t>
  </si>
  <si>
    <t>Nama</t>
  </si>
  <si>
    <t>Harga</t>
  </si>
  <si>
    <t>Id Budget</t>
  </si>
  <si>
    <t>TK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</si>
  <si>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</si>
  <si>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</si>
  <si>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</si>
  <si>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</si>
  <si>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</si>
  <si>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</si>
  <si>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</si>
  <si>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</si>
  <si>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</si>
  <si>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Upah Supervisi Panen 3</t>
  </si>
  <si>
    <t>010</t>
  </si>
  <si>
    <t>Upah Supervisi Panen 4</t>
  </si>
  <si>
    <t>011</t>
  </si>
  <si>
    <t>Upah Supervisi Perawatan 1</t>
  </si>
  <si>
    <t>012</t>
  </si>
  <si>
    <t>Upah Supervisi Perawatan 2</t>
  </si>
  <si>
    <t>013</t>
  </si>
  <si>
    <t>Upah Supervisi Perawatan 3</t>
  </si>
  <si>
    <t>014</t>
  </si>
  <si>
    <t>Upah Supervisi Perawatan 4</t>
  </si>
  <si>
    <t>015</t>
  </si>
  <si>
    <t>016</t>
  </si>
  <si>
    <t>Lain-lain Spv Perawatan 2</t>
  </si>
  <si>
    <t>017</t>
  </si>
  <si>
    <t>Lain-lain Spv Perawatan 3</t>
  </si>
  <si>
    <t>018</t>
  </si>
  <si>
    <t>Premi</t>
  </si>
  <si>
    <t>Premi Panen 2</t>
  </si>
  <si>
    <t>Premi Panen 3</t>
  </si>
  <si>
    <t>Premi Panen 4</t>
  </si>
  <si>
    <t>Alat Kerja</t>
  </si>
  <si>
    <t>AK</t>
  </si>
  <si>
    <t>Dodos 3"</t>
  </si>
  <si>
    <t>Dodos 5"</t>
  </si>
  <si>
    <t>Egrek Sikles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</si>
  <si>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</si>
  <si>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</si>
  <si>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</si>
  <si>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</si>
  <si>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</si>
  <si>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</si>
  <si>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</si>
  <si>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</si>
  <si>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</si>
  <si>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</si>
  <si>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</si>
  <si>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</si>
  <si>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</si>
  <si>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</si>
  <si>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Micron Herbi (MHS)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</si>
  <si>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</si>
  <si>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</si>
  <si>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</si>
  <si>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</si>
  <si>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</si>
  <si>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</si>
  <si>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</si>
  <si>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</si>
  <si>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</si>
  <si>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</si>
  <si>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</si>
  <si>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Sepatu Safety</t>
  </si>
  <si>
    <t>044</t>
  </si>
  <si>
    <t>Sprayer (Inter)</t>
  </si>
  <si>
    <t>045</t>
  </si>
  <si>
    <t>046</t>
  </si>
  <si>
    <t>047</t>
  </si>
  <si>
    <t>048</t>
  </si>
  <si>
    <t>049</t>
  </si>
  <si>
    <t>050</t>
  </si>
  <si>
    <t>Obat</t>
  </si>
  <si>
    <t>OB</t>
  </si>
  <si>
    <t>Asefat</t>
  </si>
  <si>
    <t>Pheromone</t>
  </si>
  <si>
    <t>Bayleton</t>
  </si>
  <si>
    <t>Omite</t>
  </si>
  <si>
    <t>Pupuk</t>
  </si>
  <si>
    <t>PP</t>
  </si>
  <si>
    <t>NPK 17.8.19+1.5TE</t>
  </si>
  <si>
    <t>NPK 13-6-27-4+0.65B</t>
  </si>
  <si>
    <t>CRF</t>
  </si>
  <si>
    <t>Zincopper</t>
  </si>
  <si>
    <t>Dolomite</t>
  </si>
  <si>
    <t>TP</t>
  </si>
  <si>
    <t>Titi Panen 2</t>
  </si>
  <si>
    <t>Titi Panen 3</t>
  </si>
  <si>
    <t>Titi Panen 4</t>
  </si>
  <si>
    <t>Titi Panen 5</t>
  </si>
  <si>
    <t>Titi Panen 6</t>
  </si>
  <si>
    <t>Titi Pasar Rintis 2</t>
  </si>
  <si>
    <t>Titi Pasar Rintis 3</t>
  </si>
  <si>
    <t>Titi Pasar Rintis 4</t>
  </si>
  <si>
    <t>Titi Pasar Rintis 5</t>
  </si>
  <si>
    <t>Bahan Jembatan</t>
  </si>
  <si>
    <t>BJ</t>
  </si>
  <si>
    <t>Bahan Jembatan Semi Permanen 2</t>
  </si>
  <si>
    <t>Bahan Jembatan Semi Permanen 3</t>
  </si>
  <si>
    <t>Gorong-Gorong 40 Cm</t>
  </si>
  <si>
    <t>Gorong-Gorong 60 Cm</t>
  </si>
  <si>
    <t>Gorong-Gorong 80 Cm</t>
  </si>
  <si>
    <t>Gorong-Gorong 100 Cm</t>
  </si>
  <si>
    <t>Material Pintu Air 2</t>
  </si>
  <si>
    <t>Material Pintu Air 3</t>
  </si>
  <si>
    <t>Material Pintu Air 4</t>
  </si>
  <si>
    <t>BB</t>
  </si>
  <si>
    <t>3.BB.008</t>
  </si>
  <si>
    <t>Batu</t>
  </si>
  <si>
    <t>BT</t>
  </si>
  <si>
    <t>Batu 2</t>
  </si>
  <si>
    <t>Batu 3</t>
  </si>
  <si>
    <t>Batu 4</t>
  </si>
  <si>
    <t>Laterit</t>
  </si>
  <si>
    <t>LT</t>
  </si>
  <si>
    <t>Laterit 2</t>
  </si>
  <si>
    <t>Laterit 3</t>
  </si>
  <si>
    <t>Laterit 4</t>
  </si>
  <si>
    <t>Laterit 5</t>
  </si>
  <si>
    <t>Laterit 6</t>
  </si>
  <si>
    <t>Laterit 7</t>
  </si>
  <si>
    <t>Laterit 8</t>
  </si>
  <si>
    <t>Laterit 9</t>
  </si>
  <si>
    <t>Laterit 10</t>
  </si>
  <si>
    <t>Angkutan Buah</t>
  </si>
  <si>
    <t>AB</t>
  </si>
  <si>
    <t>Angkutan TBS 2</t>
  </si>
  <si>
    <t>Angkutan TBS 3</t>
  </si>
  <si>
    <t>Angkutan TBS 4</t>
  </si>
  <si>
    <t>Angkutan TBS 5</t>
  </si>
  <si>
    <t>Angkutan TBS 6</t>
  </si>
  <si>
    <t>Angkutan TBS 7</t>
  </si>
  <si>
    <t>Angkutan TBS 8</t>
  </si>
  <si>
    <t>Angkutan TBS 9</t>
  </si>
  <si>
    <t>Angkutan TBS 10</t>
  </si>
  <si>
    <t>Angkutan TBS 11</t>
  </si>
  <si>
    <t>Angkutan TBS 12</t>
  </si>
  <si>
    <t>Angkutan TBS 13</t>
  </si>
  <si>
    <t>Angkutan TBS 14</t>
  </si>
  <si>
    <t>Angkutan TBS 15</t>
  </si>
  <si>
    <t>Angkutan TBS 16</t>
  </si>
  <si>
    <t>Angkutan TBS 17</t>
  </si>
  <si>
    <t>Angkutan TBS 18</t>
  </si>
  <si>
    <t>Angkutan Janjang Kosong</t>
  </si>
  <si>
    <t>AJ</t>
  </si>
  <si>
    <t>Angkutan JJK 3</t>
  </si>
  <si>
    <t>Angkutan JJK 4</t>
  </si>
  <si>
    <t>Angkutan JJK 5</t>
  </si>
  <si>
    <t>Angkutan JJK 6</t>
  </si>
  <si>
    <t>Angkutan JJK 7</t>
  </si>
  <si>
    <t>Angkutan JJK 8</t>
  </si>
  <si>
    <t>Angkutan JJK 9</t>
  </si>
  <si>
    <t>Angkutan JJK 10</t>
  </si>
  <si>
    <t>Angkutan JJK 11</t>
  </si>
  <si>
    <t>Angkutan JJK 12</t>
  </si>
  <si>
    <t>Angkutan JJK 13</t>
  </si>
  <si>
    <t>Angkutan JJK 14</t>
  </si>
  <si>
    <t>Angkutan JJK 15</t>
  </si>
  <si>
    <t>Angkutan JJK 16</t>
  </si>
  <si>
    <t>Angkutan JJK 17</t>
  </si>
  <si>
    <t>Angkutan JJK 18</t>
  </si>
  <si>
    <t>Angkutan JJK 19</t>
  </si>
  <si>
    <t>Angkutan JJK 20</t>
  </si>
  <si>
    <t>Angkutan Pupuk</t>
  </si>
  <si>
    <t>AP</t>
  </si>
  <si>
    <t>Angkutan Pupuk 2</t>
  </si>
  <si>
    <t>Angkutan Pupuk 3</t>
  </si>
  <si>
    <t>Angkutan Pupuk 4</t>
  </si>
  <si>
    <t>Angkutan Pupuk 5</t>
  </si>
  <si>
    <t>Angkutan Pupuk 6</t>
  </si>
  <si>
    <t>Angkutan Pupuk 7</t>
  </si>
  <si>
    <t>Angkutan Pupuk 8</t>
  </si>
  <si>
    <t>Angkutan Pupuk 9</t>
  </si>
  <si>
    <t>Angkutan Pupuk 10</t>
  </si>
  <si>
    <t>Alokasi Unit</t>
  </si>
  <si>
    <t>AU</t>
  </si>
  <si>
    <t>Unit Manager 2</t>
  </si>
  <si>
    <t>Unit Manager 3</t>
  </si>
  <si>
    <t>Unit Manager 4</t>
  </si>
  <si>
    <t>Unit Askep 3</t>
  </si>
  <si>
    <t>Unit Askep 4</t>
  </si>
  <si>
    <t>Unit Askep 5</t>
  </si>
  <si>
    <t>Unit Askep 6</t>
  </si>
  <si>
    <t>TUS 3</t>
  </si>
  <si>
    <t>Transport Karyawan 2</t>
  </si>
  <si>
    <t>Transport Karyawan 3</t>
  </si>
  <si>
    <t>Transport Karyawan 4</t>
  </si>
  <si>
    <t>FT</t>
  </si>
  <si>
    <t>Farm Traktor 2</t>
  </si>
  <si>
    <t>Farm Traktor 3</t>
  </si>
  <si>
    <t>Farm Traktor 4</t>
  </si>
  <si>
    <t>Farm Traktor 5</t>
  </si>
  <si>
    <t>Farm Traktor 6</t>
  </si>
  <si>
    <t>Farm Traktor 7</t>
  </si>
  <si>
    <t>Farm Traktor 8</t>
  </si>
  <si>
    <t>Farm Traktor 9</t>
  </si>
  <si>
    <t>Farm Traktor 10</t>
  </si>
  <si>
    <t>Farm Traktor 11</t>
  </si>
  <si>
    <t>Farm Traktor 12</t>
  </si>
  <si>
    <t>Farm Traktor 13</t>
  </si>
  <si>
    <t>Farm Traktor 14</t>
  </si>
  <si>
    <t>Farm Traktor 15</t>
  </si>
  <si>
    <t>Farm Traktor 16</t>
  </si>
  <si>
    <t>Farm Traktor 17</t>
  </si>
  <si>
    <t>EX</t>
  </si>
  <si>
    <t>Excavator 3</t>
  </si>
  <si>
    <t>Excavator 4</t>
  </si>
  <si>
    <t>Excavator 5</t>
  </si>
  <si>
    <t>Excavator 6</t>
  </si>
  <si>
    <t>Excavator 7</t>
  </si>
  <si>
    <t>Excavator 8</t>
  </si>
  <si>
    <t>Excavator 9</t>
  </si>
  <si>
    <t>Excavator 10</t>
  </si>
  <si>
    <t>Excavator 11</t>
  </si>
  <si>
    <t>Compactor</t>
  </si>
  <si>
    <t>KP</t>
  </si>
  <si>
    <t>Compactor 2</t>
  </si>
  <si>
    <t>Compactor 3</t>
  </si>
  <si>
    <t>Compactor 4</t>
  </si>
  <si>
    <t>Compactor 5</t>
  </si>
  <si>
    <t>Greader</t>
  </si>
  <si>
    <t>GD</t>
  </si>
  <si>
    <t>Greader 2</t>
  </si>
  <si>
    <t>Greader 3</t>
  </si>
  <si>
    <t>Greader 4</t>
  </si>
  <si>
    <t>Greader 5</t>
  </si>
  <si>
    <t>Greader 6</t>
  </si>
  <si>
    <t>Bechoe Loader</t>
  </si>
  <si>
    <t>BL</t>
  </si>
  <si>
    <t>TLB 2</t>
  </si>
  <si>
    <t>TLB 3</t>
  </si>
  <si>
    <t>TLB 4</t>
  </si>
  <si>
    <t>TLB 5</t>
  </si>
  <si>
    <t>Dozer</t>
  </si>
  <si>
    <t>DZ</t>
  </si>
  <si>
    <t>Buldozer 2</t>
  </si>
  <si>
    <t>Buldozer 3</t>
  </si>
  <si>
    <t>Buldozer 4</t>
  </si>
  <si>
    <t>Buldozer 5</t>
  </si>
  <si>
    <t>Barak</t>
  </si>
  <si>
    <t>BR</t>
  </si>
  <si>
    <t>Chain Saw</t>
  </si>
  <si>
    <t>CS</t>
  </si>
  <si>
    <t>Chain Saw 1</t>
  </si>
  <si>
    <t>Chain Saw 2</t>
  </si>
  <si>
    <t>Chain Saw 3</t>
  </si>
  <si>
    <t>Chain Saw 4</t>
  </si>
  <si>
    <t>Water Pump</t>
  </si>
  <si>
    <t>WP</t>
  </si>
  <si>
    <t>Water Pump 2</t>
  </si>
  <si>
    <t>Water Pump 3</t>
  </si>
  <si>
    <t>Water Pump 4</t>
  </si>
  <si>
    <t>Deltametrin</t>
  </si>
  <si>
    <t>Sct</t>
  </si>
  <si>
    <t>Ferotrap</t>
  </si>
  <si>
    <t>%</t>
  </si>
  <si>
    <t>Sat</t>
  </si>
  <si>
    <t>Mtr</t>
  </si>
  <si>
    <t>Jenis</t>
  </si>
  <si>
    <t>Luas/Mtr/Pkk/Unit</t>
  </si>
  <si>
    <t>TB/LC</t>
  </si>
  <si>
    <t>Borongan Pembuatan Parit</t>
  </si>
  <si>
    <t>Borongan Pancang</t>
  </si>
  <si>
    <t>Pembukaan Lahan</t>
  </si>
  <si>
    <t>Chipping</t>
  </si>
  <si>
    <t>Buat Parit Tertier 1X1</t>
  </si>
  <si>
    <t>Parit Bibitan</t>
  </si>
  <si>
    <t>Plastik Hitam</t>
  </si>
  <si>
    <t>Patok Kayu</t>
  </si>
  <si>
    <t>Kawat Duri</t>
  </si>
  <si>
    <t>Paku 1"</t>
  </si>
  <si>
    <t>Paku 2.5"</t>
  </si>
  <si>
    <t>Btg</t>
  </si>
  <si>
    <t>051</t>
  </si>
  <si>
    <t>052</t>
  </si>
  <si>
    <t>053</t>
  </si>
  <si>
    <t>054</t>
  </si>
  <si>
    <t>055</t>
  </si>
  <si>
    <t>No</t>
  </si>
  <si>
    <t>Total</t>
  </si>
  <si>
    <t>LC</t>
  </si>
  <si>
    <t>Harad</t>
  </si>
  <si>
    <t>Antracol</t>
  </si>
  <si>
    <t>TB</t>
  </si>
  <si>
    <t>TBM1</t>
  </si>
  <si>
    <t>TBM2</t>
  </si>
  <si>
    <t>Bbt</t>
  </si>
  <si>
    <t>Rit</t>
  </si>
  <si>
    <t>G</t>
  </si>
  <si>
    <t>HM/Ha</t>
  </si>
  <si>
    <t>Trichoderma</t>
  </si>
  <si>
    <t>Metharizium</t>
  </si>
  <si>
    <t>Luas</t>
  </si>
  <si>
    <t>Volume</t>
  </si>
  <si>
    <t>Mei</t>
  </si>
  <si>
    <t>Juli</t>
  </si>
  <si>
    <t>I</t>
  </si>
  <si>
    <t>Pembuatan Parit</t>
  </si>
  <si>
    <t>Alokasi</t>
  </si>
  <si>
    <t>PEMELIHARAAN PINTU AIR</t>
  </si>
  <si>
    <t>PEMELIHARAAN TITI PASAR RINTIS</t>
  </si>
  <si>
    <t>NPK BRIKET 15-15-6-4</t>
  </si>
  <si>
    <t>Panen</t>
  </si>
  <si>
    <t>Tahun</t>
  </si>
  <si>
    <t>Angkutan Topsoil</t>
  </si>
  <si>
    <t xml:space="preserve">Excavator 2 </t>
  </si>
  <si>
    <t>1 ha : 680 Babybag MB (1 pkk sawit 5 babybag MB)</t>
  </si>
  <si>
    <t>SUB TOTAL TANAM+PEMELIHARAAN</t>
  </si>
  <si>
    <t>LCC</t>
  </si>
  <si>
    <t>TOTAL LC-TB</t>
  </si>
  <si>
    <t>TBM3</t>
  </si>
  <si>
    <t xml:space="preserve">Pembukaan Lahan </t>
  </si>
  <si>
    <t>Hk</t>
  </si>
  <si>
    <t>Pcs</t>
  </si>
  <si>
    <t>AVERAGE 2023-2025</t>
  </si>
  <si>
    <t>AVERAGE 2024-2026</t>
  </si>
  <si>
    <t>KEBUTUHAN INSTALASI PENGAIRAN BIBITAN 35 Hektar</t>
  </si>
  <si>
    <t>Kebutuhan</t>
  </si>
  <si>
    <t>Grand Total</t>
  </si>
  <si>
    <t>Sumisansui</t>
  </si>
  <si>
    <t>Roll</t>
  </si>
  <si>
    <t>Pipa 6"</t>
  </si>
  <si>
    <t>Pipa 4"</t>
  </si>
  <si>
    <t>Pipa 2"</t>
  </si>
  <si>
    <t>Pipa 3/4</t>
  </si>
  <si>
    <t>Tee 4/2</t>
  </si>
  <si>
    <t>Tee 2/2</t>
  </si>
  <si>
    <t>Tee 2" ke 3/4</t>
  </si>
  <si>
    <t>Gate valve/keran 2"</t>
  </si>
  <si>
    <t>Stopper pipa 2"</t>
  </si>
  <si>
    <t>Klem Stainless 3/4</t>
  </si>
  <si>
    <t>Lem (400 ml)</t>
  </si>
  <si>
    <t>PCs</t>
  </si>
  <si>
    <t>per Ha</t>
  </si>
  <si>
    <t>Sub total</t>
  </si>
  <si>
    <t>GT</t>
  </si>
  <si>
    <t>Mesin Pompa Kecil</t>
  </si>
  <si>
    <t>Selang Spiral 6"</t>
  </si>
  <si>
    <t>Bedeng</t>
  </si>
  <si>
    <t>AVERAGE 2025-2027</t>
  </si>
  <si>
    <t>Biaya</t>
  </si>
  <si>
    <t xml:space="preserve">Laterit </t>
  </si>
  <si>
    <t>AVERAGE 2026-2028</t>
  </si>
  <si>
    <t>Instalasi Air</t>
  </si>
  <si>
    <t>RENCANA KERJA PROYEK</t>
  </si>
  <si>
    <t>No.</t>
  </si>
  <si>
    <t>Rencana</t>
  </si>
  <si>
    <t>( Ha )</t>
  </si>
  <si>
    <t>( Rp )</t>
  </si>
  <si>
    <t>Transport Kecambah</t>
  </si>
  <si>
    <t>Pembuatan Bedengan</t>
  </si>
  <si>
    <t xml:space="preserve"> </t>
  </si>
  <si>
    <t>NPK 15-15-6-4+TE</t>
  </si>
  <si>
    <t>Identifikasi Blok</t>
  </si>
  <si>
    <t>Pembuatan Pasar Pikul (Mekanis</t>
  </si>
  <si>
    <t>Timbun &amp; Benam Batang Kelapa Sawit</t>
  </si>
  <si>
    <t>AREAL MINERAL</t>
  </si>
  <si>
    <t>AREAL RENDAHAN</t>
  </si>
  <si>
    <t>GRAND TOTAL AREAL MINERAL</t>
  </si>
  <si>
    <t>GRAND TOTAL AREAL RENDAHAN</t>
  </si>
  <si>
    <t>056</t>
  </si>
  <si>
    <t>Kegiatan</t>
  </si>
  <si>
    <t>1kg = 100 plastik gula</t>
  </si>
  <si>
    <t>BIAYA/HA</t>
  </si>
  <si>
    <t>Biaya/pkk</t>
  </si>
  <si>
    <t>Ecer Pupuk</t>
  </si>
  <si>
    <t>Bongkar Muat Bibit</t>
  </si>
  <si>
    <t>Upah Isi Tanah</t>
  </si>
  <si>
    <t>65 meter/HM</t>
  </si>
  <si>
    <t>Semai + Pelukaan benih mucuna</t>
  </si>
  <si>
    <t>Pemeliharaan Weeding Atas</t>
  </si>
  <si>
    <t>Angkutan Ke Lapangan</t>
  </si>
  <si>
    <t>Penyiraman Bibit</t>
  </si>
  <si>
    <t>2 Orang/Hari</t>
  </si>
  <si>
    <t>Pipa 2"=20, T 4X2=5, Stop Kran 2"=5, Lem Pipa=3 
Dop 2" = 5, T 2X3/4=25, Sumi=25, Pipa 4"=5,Baut Mur=10
Baut Reng=20, sealtape = 5</t>
  </si>
  <si>
    <t>Menggunakan BIN Amroll 1 Rit 3000 Pkk Mucuna</t>
  </si>
  <si>
    <t>5 Gram/Pkk</t>
  </si>
  <si>
    <t>Perakitan Instalasi Air</t>
  </si>
  <si>
    <t>Stok Top Soil dan Loading Tanah ke Unit Angkutan</t>
  </si>
  <si>
    <t xml:space="preserve">Blok N13 </t>
  </si>
  <si>
    <t>Upah Muat, Ecer, dan Tanam</t>
  </si>
  <si>
    <t>Isi, langsir dan susun ke bedengan</t>
  </si>
  <si>
    <t>KG</t>
  </si>
  <si>
    <t>500 Gram/Pkk</t>
  </si>
  <si>
    <t>4 HK/HA</t>
  </si>
  <si>
    <t>Hayati</t>
  </si>
  <si>
    <t>Mikoriza</t>
  </si>
  <si>
    <t>HDPE Culvert 1.0 X6 Triplewall</t>
  </si>
  <si>
    <t>CYPERMETHRIN</t>
  </si>
  <si>
    <t>MTR/HM</t>
  </si>
  <si>
    <t>Lokasi</t>
  </si>
  <si>
    <t>Ganoderma</t>
  </si>
  <si>
    <t>Trichoderma = 500 Gram</t>
  </si>
  <si>
    <t>Mikoriza = 200 Gram</t>
  </si>
  <si>
    <t>Aplikasi Di Lubang Tanam, Pokok Gano 8, Suspek Gano 208</t>
  </si>
  <si>
    <t>60 Meter/HM</t>
  </si>
  <si>
    <t>SUB JUMLAH PEMBUATAN JALAN</t>
  </si>
  <si>
    <t>SUB JUMLAH PEMBUATAN JEMBATAN</t>
  </si>
  <si>
    <t>SUB JUMLAH PEMBUATAN PARIT</t>
  </si>
  <si>
    <t>SUB JUMLAH PENGAWETAN TANAH</t>
  </si>
  <si>
    <t>SUB JUMLAH PEMELIHARAAN PINTU AIR</t>
  </si>
  <si>
    <t>SUB JUMLAH PEMBUATAN BARAK</t>
  </si>
  <si>
    <t>SUB JUMLAH PEMBUATAN SARANA PRASARANA</t>
  </si>
  <si>
    <t>SUB JUMLAH CUCI PARIT</t>
  </si>
  <si>
    <t>SUB JUMLAH IMAS TUMBANG PERUN</t>
  </si>
  <si>
    <t>SUB TOTAL PEMBUKAAN LAHAN</t>
  </si>
  <si>
    <t>Cuci Parit Sekunder (2X2) Parit Alam</t>
  </si>
  <si>
    <t>Angkutan Material</t>
  </si>
  <si>
    <t>Persentase
(%)</t>
  </si>
  <si>
    <t>Penyemprotan Lalang Gulma &amp; Pasar Rintis</t>
  </si>
  <si>
    <t>Reklamasi</t>
  </si>
  <si>
    <t>FLUROXYPYR</t>
  </si>
  <si>
    <t>Menggali lubang titik tanam dan mengganti material tanah yang ada dengan tanah top soil</t>
  </si>
  <si>
    <t>Areal rendahan eks tambang yang perlu dibuat field drain 6 :1</t>
  </si>
  <si>
    <t>Parit yang tersedia sudah dangkal karena erosi tanah dari lokasi eks tambang</t>
  </si>
  <si>
    <t>Untuk mengeluarkan debit air yang ada di dalam blok dan menyebrang CR F17/18</t>
  </si>
  <si>
    <t xml:space="preserve">TOTAL </t>
  </si>
  <si>
    <t>Ryn 1</t>
  </si>
  <si>
    <t>H29A</t>
  </si>
  <si>
    <t>Ryn 2</t>
  </si>
  <si>
    <t>HDPE Culvert 1.0X6 Triplewall</t>
  </si>
  <si>
    <t>Angkutan Abu Boiler</t>
  </si>
  <si>
    <t>Luas:</t>
  </si>
  <si>
    <t>Alat Komunikasi</t>
  </si>
  <si>
    <t>Aktual</t>
  </si>
  <si>
    <t>Forecast BC</t>
  </si>
  <si>
    <t>Forecast Kenaikkan Upah</t>
  </si>
  <si>
    <t>Kenaikkan Harga Barang</t>
  </si>
  <si>
    <t>Forecast BKMS</t>
  </si>
  <si>
    <t>Forecast</t>
  </si>
  <si>
    <t>RENCANA SCHEDULE PROJECT REKLAMASI KEBUN FFD INTI</t>
  </si>
  <si>
    <t xml:space="preserve">Departement </t>
  </si>
  <si>
    <t>Divisi</t>
  </si>
  <si>
    <t>: Replanting &amp; Reklamasi</t>
  </si>
  <si>
    <t>Okt</t>
  </si>
  <si>
    <t>Nop</t>
  </si>
  <si>
    <t>Des</t>
  </si>
  <si>
    <t>Jan</t>
  </si>
  <si>
    <t>Feb</t>
  </si>
  <si>
    <t>Mar</t>
  </si>
  <si>
    <t>Apr</t>
  </si>
  <si>
    <t>Jun</t>
  </si>
  <si>
    <t>Jul</t>
  </si>
  <si>
    <t>Ags</t>
  </si>
  <si>
    <t>Sep</t>
  </si>
  <si>
    <t>Dokumen Project</t>
  </si>
  <si>
    <t>Finalisasi RKP</t>
  </si>
  <si>
    <t>1X Rotasi</t>
  </si>
  <si>
    <t>Sarana &amp; Prasarana</t>
  </si>
  <si>
    <t>Jembatan Gorong-Gorong</t>
  </si>
  <si>
    <t>3X Rotasi</t>
  </si>
  <si>
    <t>SUB TOTAL LC (AREAL REKLAMASI)</t>
  </si>
  <si>
    <t>TANAM INDIGOFERA</t>
  </si>
  <si>
    <t>Penanaman Indigofera</t>
  </si>
  <si>
    <t>1 Kg = 120.000 Bj</t>
  </si>
  <si>
    <t>Pemeliharaan Bibit</t>
  </si>
  <si>
    <t>Benih</t>
  </si>
  <si>
    <t>PEMUPUKAN INDIGOFERA</t>
  </si>
  <si>
    <t>PEMBIBITAN INDIGOFERA</t>
  </si>
  <si>
    <t>SUB TOTAL PEMBIBITAN &amp; PEMELIHARAAN</t>
  </si>
  <si>
    <t>SUB TOTAL PEMUPUKKAN INDIGOFERA</t>
  </si>
  <si>
    <t>SUB TOTAL TANAM INDIGOFERA</t>
  </si>
  <si>
    <t>PEMELIHARAAN INDIGOFERA</t>
  </si>
  <si>
    <t>SUB TOTAL PEMELIHARAAN INDIGOFERA</t>
  </si>
  <si>
    <t>(Areal Ring)</t>
  </si>
  <si>
    <t>(Parit ex Tambang)</t>
  </si>
  <si>
    <t>Pengadaan tanah baby bag</t>
  </si>
  <si>
    <t>Pemeliharaan Weeding Atas (PN)</t>
  </si>
  <si>
    <t>Pupuk Awal Tanam</t>
  </si>
  <si>
    <t>F29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</si>
  <si>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</si>
  <si>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</si>
  <si>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</si>
  <si>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</si>
  <si>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</si>
  <si>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</si>
  <si>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</si>
  <si>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</si>
  <si>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</si>
  <si>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</si>
  <si>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H29B</t>
  </si>
  <si>
    <t>JB14</t>
  </si>
  <si>
    <t>JB15</t>
  </si>
  <si>
    <t>JB25</t>
  </si>
  <si>
    <t>Pembibitan Indigofera</t>
  </si>
  <si>
    <t>Tanam Indigofera</t>
  </si>
  <si>
    <t>Pemeliharaan Indigofera</t>
  </si>
  <si>
    <t>Panen Indigofera</t>
  </si>
  <si>
    <t>Panen Perdana</t>
  </si>
  <si>
    <t>PANEN INDIGOFERA</t>
  </si>
  <si>
    <t>SUB TOTAL PANEN</t>
  </si>
  <si>
    <t>GRAND TOTAL TB LC PANEN INDIGOFERA</t>
  </si>
  <si>
    <t>Hasil Panen</t>
  </si>
  <si>
    <t>II</t>
  </si>
  <si>
    <t>Sub Total</t>
  </si>
  <si>
    <t>Luas Areal Indigofera</t>
  </si>
  <si>
    <t>FFD</t>
  </si>
  <si>
    <t>Luas Areal Pakchong</t>
  </si>
  <si>
    <t>Rencana Tanam Pastura Areal Rumput Pakchong dan Indigofera</t>
  </si>
  <si>
    <t>Kebutuhan = 3.8 Kg</t>
  </si>
  <si>
    <t>Sulam sisip 40%</t>
  </si>
  <si>
    <t>Uk 30 Cm</t>
  </si>
  <si>
    <t>Abu Jangkos 5 Ton/Ha</t>
  </si>
  <si>
    <t>Lubang Tanam dan Tanam Indigofera</t>
  </si>
  <si>
    <t>Sanitasi manual (Weding atas)</t>
  </si>
  <si>
    <t>Dosis 5 Gr/Pkk</t>
  </si>
  <si>
    <t>Jumlah Populasi</t>
  </si>
  <si>
    <t>Target Panen 12 Ton/Ha/Panen</t>
  </si>
  <si>
    <t>7 x Rotasi Panen</t>
  </si>
  <si>
    <t>Rp/Kg</t>
  </si>
  <si>
    <t>Rp Dosis 25 gr/pkk (Pupuk Lobang)</t>
  </si>
  <si>
    <t>Pemupukan jangkos 10 Ton/Ha</t>
  </si>
  <si>
    <t xml:space="preserve">Pembuatan Pagar </t>
  </si>
  <si>
    <t>Hk/Bbt</t>
  </si>
  <si>
    <t>Mtr/Bbt</t>
  </si>
  <si>
    <t>Btg/Bbt</t>
  </si>
  <si>
    <t>Kg/Bbt</t>
  </si>
  <si>
    <t>Kandang</t>
  </si>
  <si>
    <t>Sept</t>
  </si>
  <si>
    <t>Pkk</t>
  </si>
  <si>
    <t>Nov</t>
  </si>
  <si>
    <t>Pengolahan Tanah I</t>
  </si>
  <si>
    <t>Pengolahan Tanah II</t>
  </si>
  <si>
    <t>Pengolahan Tanah III</t>
  </si>
  <si>
    <t>Bibit Indigofera</t>
  </si>
  <si>
    <t>Bibit Pachong</t>
  </si>
  <si>
    <t>Pupuk Kandang 5 Ton/Ha</t>
  </si>
  <si>
    <t>Pupuk Kandang</t>
  </si>
  <si>
    <t xml:space="preserve">Tanam </t>
  </si>
  <si>
    <t>Bulan</t>
  </si>
  <si>
    <t>6 x</t>
  </si>
  <si>
    <t>8 x</t>
  </si>
  <si>
    <t>Kali Panen</t>
  </si>
  <si>
    <t>RKP TANAM PASTURA (Pakchong)</t>
  </si>
  <si>
    <t>RKP TANAM PASTURA (Indigofera)</t>
  </si>
  <si>
    <t>PEMBIBITAN PAKCHONG</t>
  </si>
  <si>
    <t>Penanaman Pakchong</t>
  </si>
  <si>
    <t>1 Ha = 7.000 Pkk (2x1)</t>
  </si>
  <si>
    <t>1 Ha = 18.000 Pkk (0,5x1) jalan Kontrol 10%</t>
  </si>
  <si>
    <t>Kebutuhan = 18.000 Stek</t>
  </si>
  <si>
    <t>Sulam sisip 20%</t>
  </si>
  <si>
    <t xml:space="preserve">Upah Semai </t>
  </si>
  <si>
    <t>TANAM PAKCHONG</t>
  </si>
  <si>
    <t>Lubang Tanam dan Tanam Pakchong</t>
  </si>
  <si>
    <t>SUB TOTAL TANAM PAKCHONG</t>
  </si>
  <si>
    <t>PEMELIHARAAN PAKCHONG</t>
  </si>
  <si>
    <t>PEMUPUKAN PAKCHONG</t>
  </si>
  <si>
    <t>SUB TOTAL PEMUPUKKAN PAKCHONG</t>
  </si>
  <si>
    <t>PANEN PAKCHONG</t>
  </si>
  <si>
    <t>GRAND TOTAL TB LC PANEN PAKCHONG</t>
  </si>
  <si>
    <t>Panen Pakchong</t>
  </si>
  <si>
    <t>2026 s.d 2028</t>
  </si>
  <si>
    <t>LC Manual dan Mekanis</t>
  </si>
  <si>
    <t>Pengolahan Tanah (Bajak) dan Pupuk Organik</t>
  </si>
  <si>
    <t>Penanaman Benih Indigofera</t>
  </si>
  <si>
    <t>Perbaikkan Struktur Tanah Titik Tanam (Aplikasi Jangkos)</t>
  </si>
  <si>
    <t>Sanitasi Lingkungan (Weding atas)</t>
  </si>
  <si>
    <t>Pemeliharaan Pokok (Konsolidasi Pokok)</t>
  </si>
  <si>
    <t xml:space="preserve">Sanitasi Lingkungan </t>
  </si>
  <si>
    <t>Panen Rutin Per 2 Bulan</t>
  </si>
  <si>
    <t>May</t>
  </si>
  <si>
    <t>Aug</t>
  </si>
  <si>
    <t>Oct</t>
  </si>
  <si>
    <t>Dec</t>
  </si>
  <si>
    <t>RENCANA KEGIATAN TANAM PASTURA INDIGOFERA</t>
  </si>
  <si>
    <t>Pembibitan</t>
  </si>
  <si>
    <t>Panen Rutin Per 1,5 Bulan</t>
  </si>
  <si>
    <t>8X pertahun</t>
  </si>
  <si>
    <t>6X pertahun</t>
  </si>
  <si>
    <t>RENCANA KEGIATAN TANAM PASTURA PAKCHONG</t>
  </si>
  <si>
    <t>Tanam Pakchong</t>
  </si>
  <si>
    <t>Pemeliharaan Pakchong</t>
  </si>
  <si>
    <t>LUAS AREAL STATEMENT TANAM PASTURA</t>
  </si>
  <si>
    <t>Luas Total</t>
  </si>
  <si>
    <t>2026 (ha)</t>
  </si>
  <si>
    <t>PANEN</t>
  </si>
  <si>
    <t>- Pembukaan Lahan Pastura Indigofera</t>
  </si>
  <si>
    <t>- Pembukaan Lahan Pastura Pakchong</t>
  </si>
  <si>
    <t>- Sarana dan Prasarana Lahan Pastura Indigofera</t>
  </si>
  <si>
    <t>- Sarana dan Prasarana Lahan Pastura Pakchong</t>
  </si>
  <si>
    <t>- Indigofera</t>
  </si>
  <si>
    <t>- Pakchong</t>
  </si>
  <si>
    <t>Indigofera</t>
  </si>
  <si>
    <t>Pakchong</t>
  </si>
  <si>
    <t xml:space="preserve">Uraian </t>
  </si>
  <si>
    <t>Unis Cost</t>
  </si>
  <si>
    <t>Kg Produksi s.d 2028</t>
  </si>
  <si>
    <t>Luas (Ha)</t>
  </si>
  <si>
    <t>KELOMPOK PASTURA</t>
  </si>
  <si>
    <t>Tatal Biaya Indigofera</t>
  </si>
  <si>
    <t>Total Biaya Pakchong</t>
  </si>
  <si>
    <t>Dibuat oleh,</t>
  </si>
  <si>
    <t>Diperiksa oleh,</t>
  </si>
  <si>
    <r>
      <t xml:space="preserve"> </t>
    </r>
    <r>
      <rPr>
        <u/>
        <sz val="11"/>
        <rFont val="Cambria"/>
        <family val="1"/>
        <scheme val="major"/>
      </rPr>
      <t>( Hairul Amri )</t>
    </r>
  </si>
  <si>
    <t>Direktur</t>
  </si>
  <si>
    <t>Direktur Utama</t>
  </si>
  <si>
    <t>Disetujui oleh,</t>
  </si>
  <si>
    <r>
      <t xml:space="preserve"> </t>
    </r>
    <r>
      <rPr>
        <u/>
        <sz val="11"/>
        <rFont val="Cambria"/>
        <family val="1"/>
        <scheme val="major"/>
      </rPr>
      <t>( A r i f )</t>
    </r>
  </si>
  <si>
    <t>Jenis Alat Berat</t>
  </si>
  <si>
    <t>Buldozer</t>
  </si>
  <si>
    <t>Excavator PC 200</t>
  </si>
  <si>
    <t>HM Alat Berat</t>
  </si>
  <si>
    <t>TLB</t>
  </si>
  <si>
    <t>Estimasi Biaya (Rp)</t>
  </si>
  <si>
    <t>Harga Sat (Rp)</t>
  </si>
  <si>
    <t>RENCANA KEBUTUHAN HM ALAT BERAT</t>
  </si>
  <si>
    <t>Project</t>
  </si>
  <si>
    <t>: Tanam Pastura</t>
  </si>
  <si>
    <t>Area</t>
  </si>
  <si>
    <t>Pastura</t>
  </si>
  <si>
    <t>(Rp)</t>
  </si>
  <si>
    <t>Uraian</t>
  </si>
  <si>
    <t>Pembuatan Sarana &amp; Prasarana</t>
  </si>
  <si>
    <t>Tanam &amp; Pemeliharaan Awal</t>
  </si>
  <si>
    <t>Luas (ha)</t>
  </si>
  <si>
    <t>RENCANA KEBUTUHAN MATERIAL</t>
  </si>
  <si>
    <t>Pupuk Organik</t>
  </si>
  <si>
    <t>Pupuk Anorganik</t>
  </si>
  <si>
    <t>Perlengkapan</t>
  </si>
  <si>
    <t>Pestisida</t>
  </si>
  <si>
    <t>Benih / Bibit</t>
  </si>
  <si>
    <t>Peruntukan</t>
  </si>
  <si>
    <t>- Benih Indigofera</t>
  </si>
  <si>
    <t>- Bibit Pakchong</t>
  </si>
  <si>
    <t>- Abu Boiler</t>
  </si>
  <si>
    <t>- Pupuk Kandang</t>
  </si>
  <si>
    <t>- Janjang Kosong</t>
  </si>
  <si>
    <t>- NPK 15-15-6-4+TE</t>
  </si>
  <si>
    <t>- Glyphosate</t>
  </si>
  <si>
    <t>- Metil Metsulfuron</t>
  </si>
  <si>
    <t>- Parakuat</t>
  </si>
  <si>
    <t>- Perekat</t>
  </si>
  <si>
    <t>- Masker Chemical</t>
  </si>
  <si>
    <t>- Celemek</t>
  </si>
  <si>
    <t>- Kaca mata</t>
  </si>
  <si>
    <t>- Sarung Tangan Karet</t>
  </si>
  <si>
    <t>- Sepatu Boots</t>
  </si>
  <si>
    <t>- Gorong-Gorong 80 CM</t>
  </si>
  <si>
    <t>- Rock Phosphate</t>
  </si>
  <si>
    <t>- Baby Bag</t>
  </si>
  <si>
    <t>- Top Soil</t>
  </si>
  <si>
    <t>- Papan</t>
  </si>
  <si>
    <t>- Anak Pancang</t>
  </si>
  <si>
    <t>- Cangkul</t>
  </si>
  <si>
    <t>Bh</t>
  </si>
  <si>
    <t>- Plastik Hitam</t>
  </si>
  <si>
    <t>- Patok Kayu</t>
  </si>
  <si>
    <t>- Kawat Duri</t>
  </si>
  <si>
    <t>- Paku 1"</t>
  </si>
  <si>
    <t>- Paku 2.5"</t>
  </si>
  <si>
    <t>Alat Berat</t>
  </si>
  <si>
    <t>Lainnya</t>
  </si>
  <si>
    <t>Angkutan, Borongan dan Lainnya</t>
  </si>
  <si>
    <t>Tahun 2026 - 2028</t>
  </si>
  <si>
    <r>
      <t xml:space="preserve"> </t>
    </r>
    <r>
      <rPr>
        <u/>
        <sz val="11"/>
        <rFont val="Cambria"/>
        <family val="1"/>
        <scheme val="major"/>
      </rPr>
      <t>( Imam Satoto Yudiono )</t>
    </r>
  </si>
  <si>
    <t>Tanam Pastura</t>
  </si>
  <si>
    <t xml:space="preserve">: </t>
  </si>
  <si>
    <t>RENCANA KERJA PROYEK ( RKP ) TANAM PASTURA</t>
  </si>
  <si>
    <t>PT FASS FOREST DEVELOPMENT</t>
  </si>
  <si>
    <t xml:space="preserve">RENCANA KEBUTUHAN HK </t>
  </si>
  <si>
    <t>: PT Fass Forest Development</t>
  </si>
  <si>
    <t>PT Fass Forest Development</t>
  </si>
  <si>
    <t xml:space="preserve">PENANAMAN PASTURA </t>
  </si>
  <si>
    <t>RENCANA SCHEDULE PROJECT PASTURA KEBUN FFD INTI</t>
  </si>
  <si>
    <t>PT Fast Forest Development</t>
  </si>
  <si>
    <t>: Agronomi</t>
  </si>
  <si>
    <t>PT FFD</t>
  </si>
  <si>
    <t>Pjs. GM Agronomi</t>
  </si>
  <si>
    <t>Satui, 24 Agustus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</si>
</sst>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General_)"/>
    <numFmt numFmtId="168" formatCode="_(* #,##0.0000_);_(* \(#,##0.0000\);_(* &quot;-&quot;_);_(@_)"/>
    <numFmt numFmtId="169" formatCode="_(* #,##0.000_);_(* \(#,##0.000\);_(* &quot;-&quot;??_);_(@_)"/>
    <numFmt numFmtId="170" formatCode="_(* #,##0.0000_);_(* \(#,##0.0000\);_(* &quot;-&quot;??_);_(@_)"/>
    <numFmt numFmtId="171" formatCode="_(* #,##0_);_(* \(#,##0\);_(* &quot;-&quot;??_);_(@_)"/>
    <numFmt numFmtId="172" formatCode="_(* #,##0.00_);_(* \(#,##0.00\);_(* &quot;-&quot;_);_(@_)"/>
    <numFmt numFmtId="173" formatCode="_(* #,##0.0_);_(* \(#,##0.0\);_(* &quot;-&quot;??_);_(@_)"/>
    <numFmt numFmtId="174" formatCode="_(* #,##0.00000_);_(* \(#,##0.00000\);_(* &quot;-&quot;??_);_(@_)"/>
    <numFmt numFmtId="175" formatCode="_-* #,##0_-;\-* #,##0_-;_-* &quot;-&quot;??_-;_-@_-"/>
    <numFmt numFmtId="176" formatCode="_(* #,##0.00_);_(* \(#,##0.00\);_(* &quot;-&quot;????_);_(@_)"/>
  </numFmts>
  <fonts count="4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Helv"/>
    </font>
    <font>
      <sz val="12"/>
      <name val="Arial Narrow"/>
      <family val="2"/>
    </font>
    <font>
      <sz val="10"/>
      <name val="Arial"/>
      <family val="2"/>
    </font>
    <font>
      <sz val="12"/>
      <name val="Helv"/>
    </font>
    <font>
      <sz val="10"/>
      <name val="Tms Rmn"/>
    </font>
    <font>
      <sz val="12"/>
      <name val="Tms Rmn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4"/>
      <color theme="1"/>
      <name val="Calibri"/>
      <family val="2"/>
      <scheme val="minor"/>
    </font>
    <font>
      <sz val="10"/>
      <name val="Arial"/>
      <family val="2"/>
      <charset val="1"/>
    </font>
    <font>
      <b/>
      <i/>
      <sz val="14"/>
      <name val="Book Antiqua"/>
      <family val="1"/>
    </font>
    <font>
      <i/>
      <sz val="10"/>
      <name val="Book Antiqua"/>
      <family val="1"/>
    </font>
    <font>
      <sz val="18"/>
      <name val="Cooper Black"/>
      <family val="1"/>
    </font>
    <font>
      <sz val="14"/>
      <name val="Cooper Black"/>
      <family val="1"/>
    </font>
    <font>
      <sz val="34"/>
      <name val="Cooper Black"/>
      <family val="1"/>
    </font>
    <font>
      <b/>
      <sz val="34"/>
      <name val="Goudy Old Style"/>
      <family val="1"/>
    </font>
    <font>
      <b/>
      <sz val="24"/>
      <name val="Goudy Old Style"/>
      <family val="1"/>
    </font>
    <font>
      <b/>
      <sz val="30"/>
      <name val="Goudy Old Style"/>
      <family val="1"/>
    </font>
    <font>
      <sz val="36"/>
      <name val="Cooper Black"/>
      <family val="1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1"/>
      <color indexed="8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i/>
      <sz val="11"/>
      <color indexed="8"/>
      <name val="Cambria"/>
      <family val="1"/>
      <scheme val="major"/>
    </font>
    <font>
      <sz val="11"/>
      <name val="Cambria"/>
      <family val="1"/>
      <scheme val="major"/>
    </font>
    <font>
      <b/>
      <sz val="16"/>
      <color indexed="8"/>
      <name val="Cambria"/>
      <family val="1"/>
      <scheme val="major"/>
    </font>
    <font>
      <b/>
      <sz val="12"/>
      <name val="Cambria"/>
      <family val="1"/>
      <scheme val="major"/>
    </font>
    <font>
      <b/>
      <sz val="11"/>
      <name val="Cambria"/>
      <family val="1"/>
      <scheme val="major"/>
    </font>
    <font>
      <u/>
      <sz val="11"/>
      <name val="Cambria"/>
      <family val="1"/>
      <scheme val="major"/>
    </font>
    <font>
      <sz val="16"/>
      <name val="Cooper Black"/>
      <family val="1"/>
    </font>
  </fonts>
  <fills count="2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3">
    <xf numFmtId="0" fontId="0" fillId="0" borderId="0"/>
    <xf numFmtId="165" fontId="1" fillId="0" borderId="0" applyFont="0" applyFill="0" applyBorder="0" applyAlignment="0" applyProtection="0"/>
    <xf numFmtId="167" fontId="2" fillId="0" borderId="0"/>
    <xf numFmtId="167" fontId="3" fillId="0" borderId="0"/>
    <xf numFmtId="167" fontId="3" fillId="0" borderId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2" fillId="0" borderId="0"/>
    <xf numFmtId="167" fontId="3" fillId="0" borderId="0"/>
    <xf numFmtId="167" fontId="3" fillId="0" borderId="0"/>
    <xf numFmtId="167" fontId="5" fillId="0" borderId="0"/>
    <xf numFmtId="167" fontId="6" fillId="0" borderId="0"/>
    <xf numFmtId="167" fontId="6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167" fontId="7" fillId="0" borderId="0"/>
    <xf numFmtId="0" fontId="2" fillId="0" borderId="0"/>
    <xf numFmtId="0" fontId="4" fillId="0" borderId="0"/>
    <xf numFmtId="0" fontId="8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165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4" fillId="0" borderId="0"/>
    <xf numFmtId="0" fontId="9" fillId="0" borderId="0"/>
    <xf numFmtId="0" fontId="14" fillId="0" borderId="0"/>
    <xf numFmtId="0" fontId="24" fillId="0" borderId="0"/>
    <xf numFmtId="0" fontId="25" fillId="0" borderId="0"/>
    <xf numFmtId="0" fontId="26" fillId="0" borderId="0"/>
    <xf numFmtId="165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7" fillId="0" borderId="0"/>
    <xf numFmtId="165" fontId="27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4" fillId="0" borderId="0"/>
    <xf numFmtId="0" fontId="10" fillId="0" borderId="0"/>
    <xf numFmtId="165" fontId="10" fillId="0" borderId="0" applyFont="0" applyFill="0" applyBorder="0" applyAlignment="0" applyProtection="0"/>
  </cellStyleXfs>
  <cellXfs count="609">
    <xf numFmtId="0" fontId="0" fillId="0" borderId="0" xfId="0"/>
    <xf numFmtId="165" fontId="1" fillId="0" borderId="0" xfId="1" applyFont="1"/>
    <xf numFmtId="0" fontId="0" fillId="0" borderId="1" xfId="0" applyBorder="1"/>
    <xf numFmtId="0" fontId="0" fillId="3" borderId="0" xfId="0" applyFill="1"/>
    <xf numFmtId="165" fontId="0" fillId="0" borderId="0" xfId="0" applyNumberFormat="1"/>
    <xf numFmtId="165" fontId="0" fillId="0" borderId="1" xfId="1" applyFont="1" applyBorder="1"/>
    <xf numFmtId="165" fontId="0" fillId="0" borderId="0" xfId="1" applyFont="1"/>
    <xf numFmtId="0" fontId="0" fillId="10" borderId="0" xfId="0" applyFill="1"/>
    <xf numFmtId="165" fontId="1" fillId="10" borderId="0" xfId="1" applyFont="1" applyFill="1"/>
    <xf numFmtId="0" fontId="0" fillId="11" borderId="0" xfId="0" applyFill="1"/>
    <xf numFmtId="49" fontId="0" fillId="11" borderId="0" xfId="0" applyNumberFormat="1" applyFill="1"/>
    <xf numFmtId="0" fontId="0" fillId="2" borderId="0" xfId="0" applyFill="1"/>
    <xf numFmtId="165" fontId="1" fillId="2" borderId="0" xfId="1" applyFont="1" applyFill="1"/>
    <xf numFmtId="49" fontId="0" fillId="10" borderId="0" xfId="0" applyNumberFormat="1" applyFill="1"/>
    <xf numFmtId="49" fontId="0" fillId="11" borderId="0" xfId="0" quotePrefix="1" applyNumberFormat="1" applyFill="1"/>
    <xf numFmtId="0" fontId="1" fillId="10" borderId="0" xfId="1" applyNumberFormat="1" applyFont="1" applyFill="1" applyAlignment="1">
      <alignment horizontal="center"/>
    </xf>
    <xf numFmtId="165" fontId="1" fillId="4" borderId="0" xfId="1" applyFont="1" applyFill="1"/>
    <xf numFmtId="165" fontId="1" fillId="10" borderId="0" xfId="1" applyFont="1" applyFill="1" applyBorder="1" applyAlignment="1">
      <alignment horizontal="center"/>
    </xf>
    <xf numFmtId="171" fontId="1" fillId="2" borderId="0" xfId="1" applyNumberFormat="1" applyFont="1" applyFill="1"/>
    <xf numFmtId="0" fontId="11" fillId="0" borderId="0" xfId="0" applyFont="1"/>
    <xf numFmtId="165" fontId="1" fillId="10" borderId="21" xfId="1" applyFont="1" applyFill="1" applyBorder="1" applyAlignment="1"/>
    <xf numFmtId="165" fontId="0" fillId="0" borderId="1" xfId="0" applyNumberFormat="1" applyBorder="1"/>
    <xf numFmtId="165" fontId="0" fillId="0" borderId="0" xfId="24" applyFont="1"/>
    <xf numFmtId="165" fontId="11" fillId="0" borderId="1" xfId="6" applyFont="1" applyBorder="1" applyAlignment="1">
      <alignment horizontal="center"/>
    </xf>
    <xf numFmtId="165" fontId="11" fillId="0" borderId="1" xfId="6" applyFont="1" applyFill="1" applyBorder="1" applyAlignment="1">
      <alignment horizontal="center"/>
    </xf>
    <xf numFmtId="171" fontId="10" fillId="0" borderId="1" xfId="6" applyNumberFormat="1" applyFont="1" applyBorder="1"/>
    <xf numFmtId="165" fontId="10" fillId="0" borderId="1" xfId="6" applyFont="1" applyBorder="1"/>
    <xf numFmtId="165" fontId="10" fillId="0" borderId="0" xfId="6" applyFont="1"/>
    <xf numFmtId="0" fontId="14" fillId="0" borderId="0" xfId="28"/>
    <xf numFmtId="0" fontId="14" fillId="3" borderId="22" xfId="28" applyFill="1" applyBorder="1"/>
    <xf numFmtId="0" fontId="14" fillId="3" borderId="23" xfId="28" applyFill="1" applyBorder="1"/>
    <xf numFmtId="0" fontId="14" fillId="3" borderId="24" xfId="28" applyFill="1" applyBorder="1"/>
    <xf numFmtId="0" fontId="14" fillId="3" borderId="25" xfId="28" applyFill="1" applyBorder="1"/>
    <xf numFmtId="0" fontId="14" fillId="3" borderId="0" xfId="28" applyFill="1"/>
    <xf numFmtId="0" fontId="14" fillId="3" borderId="16" xfId="28" applyFill="1" applyBorder="1"/>
    <xf numFmtId="0" fontId="16" fillId="3" borderId="0" xfId="28" applyFont="1" applyFill="1"/>
    <xf numFmtId="0" fontId="16" fillId="3" borderId="16" xfId="28" applyFont="1" applyFill="1" applyBorder="1"/>
    <xf numFmtId="0" fontId="14" fillId="3" borderId="26" xfId="28" applyFill="1" applyBorder="1"/>
    <xf numFmtId="0" fontId="14" fillId="3" borderId="27" xfId="28" applyFill="1" applyBorder="1"/>
    <xf numFmtId="0" fontId="14" fillId="3" borderId="28" xfId="28" applyFill="1" applyBorder="1"/>
    <xf numFmtId="0" fontId="20" fillId="3" borderId="0" xfId="28" applyFont="1" applyFill="1"/>
    <xf numFmtId="0" fontId="24" fillId="0" borderId="0" xfId="29"/>
    <xf numFmtId="0" fontId="12" fillId="0" borderId="0" xfId="29" applyFont="1"/>
    <xf numFmtId="165" fontId="10" fillId="4" borderId="1" xfId="6" applyFont="1" applyFill="1" applyBorder="1"/>
    <xf numFmtId="0" fontId="29" fillId="0" borderId="0" xfId="0" applyFont="1"/>
    <xf numFmtId="0" fontId="0" fillId="0" borderId="0" xfId="0" applyAlignment="1">
      <alignment vertical="center"/>
    </xf>
    <xf numFmtId="0" fontId="29" fillId="0" borderId="1" xfId="0" applyFont="1" applyBorder="1" applyAlignment="1">
      <alignment horizontal="center"/>
    </xf>
    <xf numFmtId="0" fontId="29" fillId="0" borderId="1" xfId="0" applyFont="1" applyBorder="1"/>
    <xf numFmtId="0" fontId="29" fillId="3" borderId="0" xfId="0" applyFont="1" applyFill="1"/>
    <xf numFmtId="0" fontId="30" fillId="0" borderId="0" xfId="0" applyFont="1"/>
    <xf numFmtId="0" fontId="29" fillId="0" borderId="1" xfId="0" applyFont="1" applyBorder="1" applyAlignment="1">
      <alignment horizontal="center" vertical="center"/>
    </xf>
    <xf numFmtId="165" fontId="0" fillId="0" borderId="0" xfId="24" applyFont="1" applyAlignment="1">
      <alignment horizontal="center" wrapText="1"/>
    </xf>
    <xf numFmtId="0" fontId="0" fillId="10" borderId="0" xfId="0" applyFill="1" applyAlignment="1">
      <alignment horizontal="center" vertical="center"/>
    </xf>
    <xf numFmtId="0" fontId="0" fillId="10" borderId="0" xfId="0" applyFill="1" applyAlignment="1">
      <alignment vertical="center"/>
    </xf>
    <xf numFmtId="10" fontId="1" fillId="10" borderId="0" xfId="1" applyNumberFormat="1" applyFont="1" applyFill="1" applyAlignment="1">
      <alignment horizontal="center"/>
    </xf>
    <xf numFmtId="9" fontId="1" fillId="10" borderId="0" xfId="1" applyNumberFormat="1" applyFont="1" applyFill="1" applyAlignment="1">
      <alignment horizontal="center"/>
    </xf>
    <xf numFmtId="171" fontId="1" fillId="10" borderId="0" xfId="1" applyNumberFormat="1" applyFont="1" applyFill="1"/>
    <xf numFmtId="171" fontId="1" fillId="4" borderId="0" xfId="1" applyNumberFormat="1" applyFont="1" applyFill="1"/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left"/>
    </xf>
    <xf numFmtId="0" fontId="30" fillId="0" borderId="30" xfId="0" applyFont="1" applyBorder="1" applyAlignment="1">
      <alignment horizontal="center"/>
    </xf>
    <xf numFmtId="0" fontId="29" fillId="0" borderId="3" xfId="0" applyFont="1" applyBorder="1" applyAlignment="1">
      <alignment horizontal="center" vertical="center"/>
    </xf>
    <xf numFmtId="0" fontId="29" fillId="0" borderId="3" xfId="0" applyFont="1" applyBorder="1" applyAlignment="1">
      <alignment horizontal="left" vertical="center"/>
    </xf>
    <xf numFmtId="0" fontId="30" fillId="0" borderId="3" xfId="0" applyFont="1" applyBorder="1" applyAlignment="1">
      <alignment horizontal="center"/>
    </xf>
    <xf numFmtId="0" fontId="29" fillId="0" borderId="3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29" fillId="3" borderId="1" xfId="0" applyFont="1" applyFill="1" applyBorder="1"/>
    <xf numFmtId="165" fontId="32" fillId="3" borderId="1" xfId="1" applyFont="1" applyFill="1" applyBorder="1"/>
    <xf numFmtId="0" fontId="29" fillId="0" borderId="1" xfId="0" applyFont="1" applyBorder="1" applyAlignment="1">
      <alignment horizontal="left"/>
    </xf>
    <xf numFmtId="0" fontId="29" fillId="0" borderId="1" xfId="0" applyFont="1" applyBorder="1" applyAlignment="1">
      <alignment vertical="center"/>
    </xf>
    <xf numFmtId="171" fontId="0" fillId="0" borderId="0" xfId="0" applyNumberFormat="1" applyAlignment="1">
      <alignment vertical="center"/>
    </xf>
    <xf numFmtId="165" fontId="32" fillId="0" borderId="0" xfId="1" applyFont="1"/>
    <xf numFmtId="165" fontId="32" fillId="0" borderId="0" xfId="1" applyFont="1" applyAlignment="1">
      <alignment horizontal="right"/>
    </xf>
    <xf numFmtId="165" fontId="32" fillId="0" borderId="0" xfId="1" applyFont="1" applyAlignment="1">
      <alignment horizontal="left"/>
    </xf>
    <xf numFmtId="171" fontId="32" fillId="0" borderId="0" xfId="1" applyNumberFormat="1" applyFont="1" applyAlignment="1">
      <alignment horizontal="center"/>
    </xf>
    <xf numFmtId="0" fontId="32" fillId="0" borderId="0" xfId="1" applyNumberFormat="1" applyFont="1" applyAlignment="1">
      <alignment horizontal="center"/>
    </xf>
    <xf numFmtId="165" fontId="32" fillId="0" borderId="0" xfId="1" applyFont="1" applyAlignment="1">
      <alignment horizontal="center"/>
    </xf>
    <xf numFmtId="170" fontId="29" fillId="0" borderId="0" xfId="1" applyNumberFormat="1" applyFont="1"/>
    <xf numFmtId="165" fontId="29" fillId="0" borderId="0" xfId="1" applyFont="1"/>
    <xf numFmtId="165" fontId="29" fillId="0" borderId="0" xfId="0" applyNumberFormat="1" applyFont="1"/>
    <xf numFmtId="0" fontId="30" fillId="5" borderId="12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/>
    </xf>
    <xf numFmtId="165" fontId="34" fillId="0" borderId="5" xfId="1" applyFont="1" applyBorder="1"/>
    <xf numFmtId="165" fontId="33" fillId="0" borderId="9" xfId="1" applyFont="1" applyBorder="1"/>
    <xf numFmtId="165" fontId="33" fillId="0" borderId="8" xfId="1" applyFont="1" applyBorder="1"/>
    <xf numFmtId="0" fontId="32" fillId="0" borderId="1" xfId="1" applyNumberFormat="1" applyFont="1" applyBorder="1"/>
    <xf numFmtId="165" fontId="32" fillId="0" borderId="1" xfId="1" applyFont="1" applyBorder="1" applyAlignment="1">
      <alignment horizontal="center"/>
    </xf>
    <xf numFmtId="165" fontId="32" fillId="0" borderId="5" xfId="1" applyFont="1" applyBorder="1"/>
    <xf numFmtId="165" fontId="32" fillId="0" borderId="9" xfId="1" applyFont="1" applyBorder="1"/>
    <xf numFmtId="165" fontId="32" fillId="0" borderId="1" xfId="1" applyFont="1" applyBorder="1"/>
    <xf numFmtId="0" fontId="32" fillId="0" borderId="8" xfId="1" applyNumberFormat="1" applyFont="1" applyBorder="1" applyAlignment="1">
      <alignment horizontal="center"/>
    </xf>
    <xf numFmtId="170" fontId="29" fillId="0" borderId="1" xfId="1" applyNumberFormat="1" applyFont="1" applyBorder="1"/>
    <xf numFmtId="165" fontId="29" fillId="0" borderId="1" xfId="1" applyFont="1" applyBorder="1"/>
    <xf numFmtId="165" fontId="33" fillId="0" borderId="5" xfId="1" applyFont="1" applyBorder="1"/>
    <xf numFmtId="171" fontId="29" fillId="0" borderId="1" xfId="1" applyNumberFormat="1" applyFont="1" applyBorder="1"/>
    <xf numFmtId="165" fontId="32" fillId="0" borderId="13" xfId="1" applyFont="1" applyBorder="1"/>
    <xf numFmtId="165" fontId="32" fillId="0" borderId="17" xfId="1" applyFont="1" applyBorder="1"/>
    <xf numFmtId="165" fontId="32" fillId="0" borderId="10" xfId="1" applyFont="1" applyBorder="1"/>
    <xf numFmtId="9" fontId="32" fillId="0" borderId="8" xfId="1" applyNumberFormat="1" applyFont="1" applyBorder="1" applyAlignment="1">
      <alignment horizontal="center"/>
    </xf>
    <xf numFmtId="165" fontId="32" fillId="0" borderId="8" xfId="1" applyFont="1" applyBorder="1" applyAlignment="1">
      <alignment horizontal="center"/>
    </xf>
    <xf numFmtId="173" fontId="29" fillId="0" borderId="1" xfId="1" applyNumberFormat="1" applyFont="1" applyBorder="1"/>
    <xf numFmtId="165" fontId="33" fillId="3" borderId="13" xfId="1" applyFont="1" applyFill="1" applyBorder="1" applyAlignment="1">
      <alignment vertical="center"/>
    </xf>
    <xf numFmtId="165" fontId="32" fillId="3" borderId="13" xfId="1" applyFont="1" applyFill="1" applyBorder="1"/>
    <xf numFmtId="165" fontId="32" fillId="3" borderId="17" xfId="1" applyFont="1" applyFill="1" applyBorder="1"/>
    <xf numFmtId="165" fontId="32" fillId="3" borderId="10" xfId="1" applyFont="1" applyFill="1" applyBorder="1"/>
    <xf numFmtId="165" fontId="32" fillId="3" borderId="15" xfId="1" applyFont="1" applyFill="1" applyBorder="1"/>
    <xf numFmtId="165" fontId="32" fillId="3" borderId="0" xfId="1" applyFont="1" applyFill="1" applyBorder="1"/>
    <xf numFmtId="165" fontId="32" fillId="3" borderId="8" xfId="1" applyFont="1" applyFill="1" applyBorder="1"/>
    <xf numFmtId="171" fontId="29" fillId="0" borderId="1" xfId="1" applyNumberFormat="1" applyFont="1" applyBorder="1" applyAlignment="1">
      <alignment vertical="center"/>
    </xf>
    <xf numFmtId="165" fontId="32" fillId="3" borderId="6" xfId="1" applyFont="1" applyFill="1" applyBorder="1"/>
    <xf numFmtId="165" fontId="32" fillId="3" borderId="14" xfId="1" applyFont="1" applyFill="1" applyBorder="1"/>
    <xf numFmtId="165" fontId="32" fillId="3" borderId="12" xfId="1" applyFont="1" applyFill="1" applyBorder="1"/>
    <xf numFmtId="165" fontId="32" fillId="3" borderId="11" xfId="1" applyFont="1" applyFill="1" applyBorder="1"/>
    <xf numFmtId="9" fontId="32" fillId="3" borderId="8" xfId="1" applyNumberFormat="1" applyFont="1" applyFill="1" applyBorder="1" applyAlignment="1">
      <alignment horizontal="center"/>
    </xf>
    <xf numFmtId="165" fontId="32" fillId="3" borderId="17" xfId="1" applyFont="1" applyFill="1" applyBorder="1" applyAlignment="1">
      <alignment vertical="center"/>
    </xf>
    <xf numFmtId="165" fontId="32" fillId="3" borderId="10" xfId="1" applyFont="1" applyFill="1" applyBorder="1" applyAlignment="1">
      <alignment vertical="center"/>
    </xf>
    <xf numFmtId="165" fontId="32" fillId="3" borderId="1" xfId="1" applyFont="1" applyFill="1" applyBorder="1" applyAlignment="1">
      <alignment horizontal="center" vertical="center"/>
    </xf>
    <xf numFmtId="165" fontId="32" fillId="3" borderId="5" xfId="1" applyFont="1" applyFill="1" applyBorder="1" applyAlignment="1">
      <alignment vertical="center"/>
    </xf>
    <xf numFmtId="165" fontId="32" fillId="3" borderId="9" xfId="1" applyFont="1" applyFill="1" applyBorder="1" applyAlignment="1">
      <alignment vertical="center"/>
    </xf>
    <xf numFmtId="165" fontId="32" fillId="3" borderId="1" xfId="1" applyFont="1" applyFill="1" applyBorder="1" applyAlignment="1">
      <alignment vertical="center"/>
    </xf>
    <xf numFmtId="9" fontId="32" fillId="3" borderId="8" xfId="1" applyNumberFormat="1" applyFont="1" applyFill="1" applyBorder="1" applyAlignment="1">
      <alignment horizontal="center" vertical="center"/>
    </xf>
    <xf numFmtId="165" fontId="32" fillId="0" borderId="8" xfId="1" applyFont="1" applyBorder="1" applyAlignment="1">
      <alignment horizontal="center" vertical="center"/>
    </xf>
    <xf numFmtId="165" fontId="29" fillId="0" borderId="1" xfId="1" applyFont="1" applyBorder="1" applyAlignment="1">
      <alignment vertical="center"/>
    </xf>
    <xf numFmtId="171" fontId="29" fillId="0" borderId="1" xfId="0" applyNumberFormat="1" applyFont="1" applyBorder="1" applyAlignment="1">
      <alignment vertical="center"/>
    </xf>
    <xf numFmtId="0" fontId="32" fillId="3" borderId="1" xfId="1" applyNumberFormat="1" applyFont="1" applyFill="1" applyBorder="1"/>
    <xf numFmtId="165" fontId="32" fillId="3" borderId="1" xfId="1" applyFont="1" applyFill="1" applyBorder="1" applyAlignment="1">
      <alignment horizontal="center"/>
    </xf>
    <xf numFmtId="165" fontId="32" fillId="3" borderId="5" xfId="1" applyFont="1" applyFill="1" applyBorder="1"/>
    <xf numFmtId="165" fontId="32" fillId="3" borderId="9" xfId="1" applyFont="1" applyFill="1" applyBorder="1"/>
    <xf numFmtId="165" fontId="32" fillId="3" borderId="8" xfId="1" applyFont="1" applyFill="1" applyBorder="1" applyAlignment="1">
      <alignment horizontal="center"/>
    </xf>
    <xf numFmtId="165" fontId="32" fillId="0" borderId="15" xfId="1" applyFont="1" applyBorder="1"/>
    <xf numFmtId="165" fontId="32" fillId="0" borderId="0" xfId="1" applyFont="1" applyBorder="1"/>
    <xf numFmtId="165" fontId="32" fillId="0" borderId="11" xfId="1" applyFont="1" applyBorder="1"/>
    <xf numFmtId="0" fontId="29" fillId="0" borderId="5" xfId="0" applyFont="1" applyBorder="1" applyAlignment="1">
      <alignment horizontal="center"/>
    </xf>
    <xf numFmtId="0" fontId="29" fillId="0" borderId="5" xfId="0" applyFont="1" applyBorder="1"/>
    <xf numFmtId="0" fontId="29" fillId="0" borderId="9" xfId="0" applyFont="1" applyBorder="1"/>
    <xf numFmtId="165" fontId="29" fillId="0" borderId="1" xfId="1" applyFont="1" applyFill="1" applyBorder="1"/>
    <xf numFmtId="165" fontId="32" fillId="0" borderId="6" xfId="1" applyFont="1" applyBorder="1"/>
    <xf numFmtId="165" fontId="32" fillId="0" borderId="14" xfId="1" applyFont="1" applyBorder="1"/>
    <xf numFmtId="165" fontId="29" fillId="0" borderId="2" xfId="1" applyFont="1" applyBorder="1"/>
    <xf numFmtId="0" fontId="32" fillId="3" borderId="8" xfId="1" applyNumberFormat="1" applyFont="1" applyFill="1" applyBorder="1" applyAlignment="1">
      <alignment horizontal="center"/>
    </xf>
    <xf numFmtId="171" fontId="29" fillId="0" borderId="1" xfId="0" applyNumberFormat="1" applyFont="1" applyBorder="1"/>
    <xf numFmtId="170" fontId="29" fillId="0" borderId="1" xfId="1" applyNumberFormat="1" applyFont="1" applyFill="1" applyBorder="1"/>
    <xf numFmtId="171" fontId="29" fillId="0" borderId="1" xfId="1" applyNumberFormat="1" applyFont="1" applyBorder="1" applyAlignment="1">
      <alignment horizontal="center"/>
    </xf>
    <xf numFmtId="165" fontId="32" fillId="0" borderId="12" xfId="1" applyFont="1" applyBorder="1"/>
    <xf numFmtId="165" fontId="32" fillId="6" borderId="6" xfId="1" applyFont="1" applyFill="1" applyBorder="1"/>
    <xf numFmtId="165" fontId="32" fillId="6" borderId="14" xfId="1" applyFont="1" applyFill="1" applyBorder="1"/>
    <xf numFmtId="165" fontId="33" fillId="6" borderId="14" xfId="1" applyFont="1" applyFill="1" applyBorder="1"/>
    <xf numFmtId="165" fontId="32" fillId="6" borderId="12" xfId="1" applyFont="1" applyFill="1" applyBorder="1"/>
    <xf numFmtId="0" fontId="32" fillId="6" borderId="1" xfId="1" applyNumberFormat="1" applyFont="1" applyFill="1" applyBorder="1"/>
    <xf numFmtId="165" fontId="32" fillId="6" borderId="1" xfId="1" applyFont="1" applyFill="1" applyBorder="1" applyAlignment="1">
      <alignment horizontal="center"/>
    </xf>
    <xf numFmtId="165" fontId="32" fillId="6" borderId="5" xfId="1" applyFont="1" applyFill="1" applyBorder="1"/>
    <xf numFmtId="165" fontId="32" fillId="6" borderId="9" xfId="1" applyFont="1" applyFill="1" applyBorder="1"/>
    <xf numFmtId="165" fontId="32" fillId="6" borderId="1" xfId="1" applyFont="1" applyFill="1" applyBorder="1"/>
    <xf numFmtId="0" fontId="32" fillId="6" borderId="8" xfId="1" applyNumberFormat="1" applyFont="1" applyFill="1" applyBorder="1" applyAlignment="1">
      <alignment horizontal="center"/>
    </xf>
    <xf numFmtId="170" fontId="29" fillId="6" borderId="1" xfId="1" applyNumberFormat="1" applyFont="1" applyFill="1" applyBorder="1"/>
    <xf numFmtId="165" fontId="29" fillId="6" borderId="1" xfId="1" applyFont="1" applyFill="1" applyBorder="1"/>
    <xf numFmtId="171" fontId="30" fillId="6" borderId="1" xfId="1" applyNumberFormat="1" applyFont="1" applyFill="1" applyBorder="1"/>
    <xf numFmtId="43" fontId="30" fillId="6" borderId="1" xfId="0" applyNumberFormat="1" applyFont="1" applyFill="1" applyBorder="1"/>
    <xf numFmtId="0" fontId="30" fillId="6" borderId="0" xfId="0" applyFont="1" applyFill="1"/>
    <xf numFmtId="171" fontId="30" fillId="6" borderId="1" xfId="0" applyNumberFormat="1" applyFont="1" applyFill="1" applyBorder="1"/>
    <xf numFmtId="165" fontId="32" fillId="0" borderId="8" xfId="1" applyFont="1" applyBorder="1"/>
    <xf numFmtId="165" fontId="30" fillId="6" borderId="1" xfId="1" applyFont="1" applyFill="1" applyBorder="1"/>
    <xf numFmtId="0" fontId="30" fillId="6" borderId="1" xfId="0" applyFont="1" applyFill="1" applyBorder="1"/>
    <xf numFmtId="165" fontId="32" fillId="3" borderId="0" xfId="1" applyFont="1" applyFill="1" applyBorder="1" applyAlignment="1">
      <alignment vertical="center"/>
    </xf>
    <xf numFmtId="165" fontId="32" fillId="3" borderId="11" xfId="1" applyFont="1" applyFill="1" applyBorder="1" applyAlignment="1">
      <alignment vertical="center"/>
    </xf>
    <xf numFmtId="0" fontId="32" fillId="3" borderId="1" xfId="1" applyNumberFormat="1" applyFont="1" applyFill="1" applyBorder="1" applyAlignment="1">
      <alignment vertical="center"/>
    </xf>
    <xf numFmtId="9" fontId="32" fillId="0" borderId="8" xfId="1" applyNumberFormat="1" applyFont="1" applyBorder="1" applyAlignment="1">
      <alignment horizontal="center" vertical="center"/>
    </xf>
    <xf numFmtId="0" fontId="32" fillId="3" borderId="8" xfId="1" applyNumberFormat="1" applyFont="1" applyFill="1" applyBorder="1" applyAlignment="1">
      <alignment horizontal="center" vertical="center"/>
    </xf>
    <xf numFmtId="170" fontId="29" fillId="3" borderId="1" xfId="1" applyNumberFormat="1" applyFont="1" applyFill="1" applyBorder="1" applyAlignment="1">
      <alignment vertical="center"/>
    </xf>
    <xf numFmtId="165" fontId="29" fillId="3" borderId="1" xfId="1" applyFont="1" applyFill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165" fontId="29" fillId="0" borderId="1" xfId="24" applyFont="1" applyFill="1" applyBorder="1" applyAlignment="1">
      <alignment horizontal="center"/>
    </xf>
    <xf numFmtId="170" fontId="29" fillId="3" borderId="1" xfId="1" applyNumberFormat="1" applyFont="1" applyFill="1" applyBorder="1"/>
    <xf numFmtId="165" fontId="29" fillId="3" borderId="1" xfId="1" applyFont="1" applyFill="1" applyBorder="1"/>
    <xf numFmtId="165" fontId="32" fillId="3" borderId="1" xfId="1" applyFont="1" applyFill="1" applyBorder="1" applyAlignment="1">
      <alignment horizontal="left"/>
    </xf>
    <xf numFmtId="165" fontId="33" fillId="3" borderId="9" xfId="1" applyFont="1" applyFill="1" applyBorder="1"/>
    <xf numFmtId="170" fontId="29" fillId="0" borderId="1" xfId="1" applyNumberFormat="1" applyFont="1" applyBorder="1" applyAlignment="1">
      <alignment vertical="center"/>
    </xf>
    <xf numFmtId="171" fontId="29" fillId="3" borderId="1" xfId="1" applyNumberFormat="1" applyFont="1" applyFill="1" applyBorder="1" applyAlignment="1">
      <alignment vertical="center"/>
    </xf>
    <xf numFmtId="9" fontId="32" fillId="6" borderId="8" xfId="1" applyNumberFormat="1" applyFont="1" applyFill="1" applyBorder="1" applyAlignment="1">
      <alignment horizontal="center"/>
    </xf>
    <xf numFmtId="171" fontId="29" fillId="6" borderId="1" xfId="1" applyNumberFormat="1" applyFont="1" applyFill="1" applyBorder="1"/>
    <xf numFmtId="165" fontId="33" fillId="6" borderId="13" xfId="1" applyFont="1" applyFill="1" applyBorder="1" applyAlignment="1">
      <alignment vertical="center"/>
    </xf>
    <xf numFmtId="0" fontId="29" fillId="6" borderId="1" xfId="0" applyFont="1" applyFill="1" applyBorder="1"/>
    <xf numFmtId="165" fontId="29" fillId="0" borderId="1" xfId="0" applyNumberFormat="1" applyFont="1" applyBorder="1"/>
    <xf numFmtId="3" fontId="32" fillId="3" borderId="8" xfId="1" applyNumberFormat="1" applyFont="1" applyFill="1" applyBorder="1" applyAlignment="1">
      <alignment horizontal="center"/>
    </xf>
    <xf numFmtId="169" fontId="29" fillId="3" borderId="1" xfId="1" applyNumberFormat="1" applyFont="1" applyFill="1" applyBorder="1"/>
    <xf numFmtId="171" fontId="29" fillId="3" borderId="1" xfId="1" applyNumberFormat="1" applyFont="1" applyFill="1" applyBorder="1"/>
    <xf numFmtId="3" fontId="32" fillId="6" borderId="8" xfId="1" applyNumberFormat="1" applyFont="1" applyFill="1" applyBorder="1" applyAlignment="1">
      <alignment horizontal="center"/>
    </xf>
    <xf numFmtId="169" fontId="29" fillId="6" borderId="1" xfId="1" applyNumberFormat="1" applyFont="1" applyFill="1" applyBorder="1"/>
    <xf numFmtId="165" fontId="33" fillId="3" borderId="0" xfId="1" applyFont="1" applyFill="1" applyBorder="1"/>
    <xf numFmtId="9" fontId="32" fillId="3" borderId="8" xfId="21" applyFont="1" applyFill="1" applyBorder="1" applyAlignment="1">
      <alignment horizontal="center"/>
    </xf>
    <xf numFmtId="2" fontId="32" fillId="3" borderId="8" xfId="1" applyNumberFormat="1" applyFont="1" applyFill="1" applyBorder="1" applyAlignment="1">
      <alignment horizontal="center"/>
    </xf>
    <xf numFmtId="1" fontId="32" fillId="3" borderId="8" xfId="1" applyNumberFormat="1" applyFont="1" applyFill="1" applyBorder="1" applyAlignment="1">
      <alignment horizontal="center"/>
    </xf>
    <xf numFmtId="169" fontId="29" fillId="0" borderId="1" xfId="1" applyNumberFormat="1" applyFont="1" applyBorder="1"/>
    <xf numFmtId="0" fontId="29" fillId="6" borderId="0" xfId="0" applyFont="1" applyFill="1"/>
    <xf numFmtId="171" fontId="30" fillId="6" borderId="1" xfId="1" applyNumberFormat="1" applyFont="1" applyFill="1" applyBorder="1" applyAlignment="1">
      <alignment vertical="center"/>
    </xf>
    <xf numFmtId="0" fontId="33" fillId="6" borderId="1" xfId="1" applyNumberFormat="1" applyFont="1" applyFill="1" applyBorder="1"/>
    <xf numFmtId="165" fontId="33" fillId="6" borderId="1" xfId="1" applyFont="1" applyFill="1" applyBorder="1" applyAlignment="1">
      <alignment horizontal="center"/>
    </xf>
    <xf numFmtId="165" fontId="33" fillId="6" borderId="5" xfId="1" applyFont="1" applyFill="1" applyBorder="1"/>
    <xf numFmtId="165" fontId="33" fillId="6" borderId="9" xfId="1" applyFont="1" applyFill="1" applyBorder="1"/>
    <xf numFmtId="165" fontId="33" fillId="6" borderId="1" xfId="1" applyFont="1" applyFill="1" applyBorder="1"/>
    <xf numFmtId="0" fontId="33" fillId="6" borderId="8" xfId="1" applyNumberFormat="1" applyFont="1" applyFill="1" applyBorder="1" applyAlignment="1">
      <alignment horizontal="center"/>
    </xf>
    <xf numFmtId="170" fontId="30" fillId="6" borderId="1" xfId="1" applyNumberFormat="1" applyFont="1" applyFill="1" applyBorder="1"/>
    <xf numFmtId="165" fontId="33" fillId="3" borderId="14" xfId="1" applyFont="1" applyFill="1" applyBorder="1"/>
    <xf numFmtId="43" fontId="29" fillId="6" borderId="1" xfId="0" applyNumberFormat="1" applyFont="1" applyFill="1" applyBorder="1"/>
    <xf numFmtId="0" fontId="33" fillId="12" borderId="1" xfId="1" applyNumberFormat="1" applyFont="1" applyFill="1" applyBorder="1"/>
    <xf numFmtId="165" fontId="33" fillId="12" borderId="1" xfId="1" applyFont="1" applyFill="1" applyBorder="1" applyAlignment="1">
      <alignment horizontal="center"/>
    </xf>
    <xf numFmtId="165" fontId="33" fillId="12" borderId="5" xfId="1" applyFont="1" applyFill="1" applyBorder="1"/>
    <xf numFmtId="165" fontId="33" fillId="12" borderId="9" xfId="1" applyFont="1" applyFill="1" applyBorder="1"/>
    <xf numFmtId="165" fontId="33" fillId="12" borderId="1" xfId="1" applyFont="1" applyFill="1" applyBorder="1"/>
    <xf numFmtId="0" fontId="33" fillId="12" borderId="8" xfId="1" applyNumberFormat="1" applyFont="1" applyFill="1" applyBorder="1" applyAlignment="1">
      <alignment horizontal="center"/>
    </xf>
    <xf numFmtId="170" fontId="30" fillId="12" borderId="1" xfId="1" applyNumberFormat="1" applyFont="1" applyFill="1" applyBorder="1"/>
    <xf numFmtId="165" fontId="30" fillId="12" borderId="1" xfId="1" applyFont="1" applyFill="1" applyBorder="1"/>
    <xf numFmtId="171" fontId="30" fillId="12" borderId="1" xfId="1" applyNumberFormat="1" applyFont="1" applyFill="1" applyBorder="1"/>
    <xf numFmtId="0" fontId="30" fillId="12" borderId="1" xfId="0" applyFont="1" applyFill="1" applyBorder="1"/>
    <xf numFmtId="171" fontId="30" fillId="15" borderId="1" xfId="0" applyNumberFormat="1" applyFont="1" applyFill="1" applyBorder="1"/>
    <xf numFmtId="43" fontId="30" fillId="15" borderId="1" xfId="0" applyNumberFormat="1" applyFont="1" applyFill="1" applyBorder="1"/>
    <xf numFmtId="0" fontId="30" fillId="15" borderId="1" xfId="0" applyFont="1" applyFill="1" applyBorder="1"/>
    <xf numFmtId="165" fontId="32" fillId="0" borderId="1" xfId="1" applyFont="1" applyBorder="1" applyAlignment="1">
      <alignment horizontal="left"/>
    </xf>
    <xf numFmtId="173" fontId="29" fillId="3" borderId="1" xfId="1" applyNumberFormat="1" applyFont="1" applyFill="1" applyBorder="1"/>
    <xf numFmtId="164" fontId="32" fillId="0" borderId="8" xfId="5" applyFont="1" applyBorder="1" applyAlignment="1">
      <alignment horizontal="center"/>
    </xf>
    <xf numFmtId="165" fontId="29" fillId="0" borderId="13" xfId="1" applyFont="1" applyBorder="1"/>
    <xf numFmtId="9" fontId="29" fillId="0" borderId="1" xfId="0" applyNumberFormat="1" applyFont="1" applyBorder="1" applyAlignment="1">
      <alignment horizontal="center"/>
    </xf>
    <xf numFmtId="171" fontId="29" fillId="0" borderId="0" xfId="0" applyNumberFormat="1" applyFont="1"/>
    <xf numFmtId="165" fontId="29" fillId="0" borderId="1" xfId="1" applyFont="1" applyBorder="1" applyAlignment="1">
      <alignment horizontal="left"/>
    </xf>
    <xf numFmtId="172" fontId="29" fillId="0" borderId="1" xfId="5" applyNumberFormat="1" applyFont="1" applyBorder="1"/>
    <xf numFmtId="165" fontId="32" fillId="0" borderId="13" xfId="1" applyFont="1" applyBorder="1" applyAlignment="1">
      <alignment vertical="center"/>
    </xf>
    <xf numFmtId="165" fontId="32" fillId="0" borderId="17" xfId="1" applyFont="1" applyBorder="1" applyAlignment="1">
      <alignment vertical="center"/>
    </xf>
    <xf numFmtId="165" fontId="32" fillId="0" borderId="10" xfId="1" applyFont="1" applyBorder="1" applyAlignment="1">
      <alignment vertical="center"/>
    </xf>
    <xf numFmtId="165" fontId="32" fillId="0" borderId="6" xfId="1" applyFont="1" applyBorder="1" applyAlignment="1">
      <alignment vertical="center"/>
    </xf>
    <xf numFmtId="165" fontId="32" fillId="0" borderId="14" xfId="1" applyFont="1" applyBorder="1" applyAlignment="1">
      <alignment vertical="center"/>
    </xf>
    <xf numFmtId="165" fontId="32" fillId="0" borderId="12" xfId="1" applyFont="1" applyBorder="1" applyAlignment="1">
      <alignment vertical="center"/>
    </xf>
    <xf numFmtId="165" fontId="32" fillId="0" borderId="15" xfId="1" applyFont="1" applyBorder="1" applyAlignment="1">
      <alignment vertical="center"/>
    </xf>
    <xf numFmtId="165" fontId="32" fillId="0" borderId="0" xfId="1" applyFont="1" applyBorder="1" applyAlignment="1">
      <alignment vertical="center"/>
    </xf>
    <xf numFmtId="174" fontId="29" fillId="3" borderId="1" xfId="1" applyNumberFormat="1" applyFont="1" applyFill="1" applyBorder="1"/>
    <xf numFmtId="0" fontId="32" fillId="0" borderId="1" xfId="1" applyNumberFormat="1" applyFont="1" applyBorder="1" applyAlignment="1">
      <alignment vertical="center"/>
    </xf>
    <xf numFmtId="165" fontId="32" fillId="0" borderId="1" xfId="1" applyFont="1" applyBorder="1" applyAlignment="1">
      <alignment horizontal="center" vertical="center"/>
    </xf>
    <xf numFmtId="165" fontId="32" fillId="0" borderId="5" xfId="1" applyFont="1" applyBorder="1" applyAlignment="1">
      <alignment vertical="center"/>
    </xf>
    <xf numFmtId="165" fontId="32" fillId="0" borderId="9" xfId="1" applyFont="1" applyBorder="1" applyAlignment="1">
      <alignment vertical="center"/>
    </xf>
    <xf numFmtId="165" fontId="32" fillId="0" borderId="1" xfId="1" applyFont="1" applyBorder="1" applyAlignment="1">
      <alignment vertical="center"/>
    </xf>
    <xf numFmtId="164" fontId="32" fillId="0" borderId="8" xfId="5" applyFont="1" applyBorder="1" applyAlignment="1">
      <alignment horizontal="center" vertical="center"/>
    </xf>
    <xf numFmtId="165" fontId="29" fillId="0" borderId="1" xfId="0" applyNumberFormat="1" applyFont="1" applyBorder="1" applyAlignment="1">
      <alignment vertical="center"/>
    </xf>
    <xf numFmtId="0" fontId="32" fillId="0" borderId="1" xfId="1" applyNumberFormat="1" applyFont="1" applyBorder="1" applyAlignment="1">
      <alignment horizontal="center"/>
    </xf>
    <xf numFmtId="0" fontId="29" fillId="6" borderId="5" xfId="0" applyFont="1" applyFill="1" applyBorder="1" applyAlignment="1">
      <alignment horizontal="center"/>
    </xf>
    <xf numFmtId="0" fontId="29" fillId="6" borderId="5" xfId="0" applyFont="1" applyFill="1" applyBorder="1"/>
    <xf numFmtId="0" fontId="29" fillId="6" borderId="9" xfId="0" applyFont="1" applyFill="1" applyBorder="1"/>
    <xf numFmtId="175" fontId="29" fillId="0" borderId="1" xfId="0" applyNumberFormat="1" applyFont="1" applyBorder="1" applyAlignment="1">
      <alignment horizontal="left" vertical="center"/>
    </xf>
    <xf numFmtId="43" fontId="29" fillId="0" borderId="0" xfId="0" applyNumberFormat="1" applyFont="1"/>
    <xf numFmtId="4" fontId="29" fillId="0" borderId="0" xfId="0" applyNumberFormat="1" applyFont="1"/>
    <xf numFmtId="175" fontId="29" fillId="0" borderId="1" xfId="0" applyNumberFormat="1" applyFont="1" applyBorder="1" applyAlignment="1">
      <alignment horizontal="left"/>
    </xf>
    <xf numFmtId="175" fontId="29" fillId="0" borderId="1" xfId="0" applyNumberFormat="1" applyFont="1" applyBorder="1" applyAlignment="1">
      <alignment horizontal="left" wrapText="1"/>
    </xf>
    <xf numFmtId="0" fontId="32" fillId="0" borderId="0" xfId="1" applyNumberFormat="1" applyFont="1" applyBorder="1"/>
    <xf numFmtId="164" fontId="29" fillId="0" borderId="1" xfId="5" applyFont="1" applyBorder="1"/>
    <xf numFmtId="171" fontId="32" fillId="0" borderId="8" xfId="1" applyNumberFormat="1" applyFont="1" applyBorder="1" applyAlignment="1">
      <alignment horizontal="center"/>
    </xf>
    <xf numFmtId="166" fontId="32" fillId="0" borderId="8" xfId="1" applyNumberFormat="1" applyFont="1" applyBorder="1" applyAlignment="1">
      <alignment horizontal="center"/>
    </xf>
    <xf numFmtId="0" fontId="29" fillId="0" borderId="7" xfId="0" applyFont="1" applyBorder="1"/>
    <xf numFmtId="165" fontId="29" fillId="0" borderId="5" xfId="1" applyFont="1" applyBorder="1"/>
    <xf numFmtId="168" fontId="29" fillId="0" borderId="1" xfId="5" applyNumberFormat="1" applyFont="1" applyFill="1" applyBorder="1"/>
    <xf numFmtId="0" fontId="30" fillId="0" borderId="1" xfId="0" applyFont="1" applyBorder="1"/>
    <xf numFmtId="0" fontId="32" fillId="0" borderId="8" xfId="1" applyNumberFormat="1" applyFont="1" applyFill="1" applyBorder="1" applyAlignment="1">
      <alignment horizontal="center"/>
    </xf>
    <xf numFmtId="9" fontId="32" fillId="0" borderId="8" xfId="1" applyNumberFormat="1" applyFont="1" applyFill="1" applyBorder="1" applyAlignment="1">
      <alignment horizontal="center"/>
    </xf>
    <xf numFmtId="165" fontId="32" fillId="0" borderId="8" xfId="1" applyFont="1" applyFill="1" applyBorder="1" applyAlignment="1">
      <alignment horizontal="center"/>
    </xf>
    <xf numFmtId="0" fontId="30" fillId="15" borderId="0" xfId="0" applyFont="1" applyFill="1"/>
    <xf numFmtId="175" fontId="30" fillId="15" borderId="1" xfId="0" applyNumberFormat="1" applyFont="1" applyFill="1" applyBorder="1"/>
    <xf numFmtId="0" fontId="32" fillId="12" borderId="1" xfId="1" applyNumberFormat="1" applyFont="1" applyFill="1" applyBorder="1"/>
    <xf numFmtId="165" fontId="32" fillId="12" borderId="1" xfId="1" applyFont="1" applyFill="1" applyBorder="1" applyAlignment="1">
      <alignment horizontal="center"/>
    </xf>
    <xf numFmtId="165" fontId="32" fillId="12" borderId="5" xfId="1" applyFont="1" applyFill="1" applyBorder="1"/>
    <xf numFmtId="165" fontId="32" fillId="12" borderId="9" xfId="1" applyFont="1" applyFill="1" applyBorder="1"/>
    <xf numFmtId="165" fontId="32" fillId="12" borderId="1" xfId="1" applyFont="1" applyFill="1" applyBorder="1"/>
    <xf numFmtId="0" fontId="32" fillId="12" borderId="8" xfId="1" applyNumberFormat="1" applyFont="1" applyFill="1" applyBorder="1" applyAlignment="1">
      <alignment horizontal="center"/>
    </xf>
    <xf numFmtId="170" fontId="29" fillId="12" borderId="1" xfId="1" applyNumberFormat="1" applyFont="1" applyFill="1" applyBorder="1"/>
    <xf numFmtId="165" fontId="29" fillId="12" borderId="1" xfId="1" applyFont="1" applyFill="1" applyBorder="1"/>
    <xf numFmtId="0" fontId="29" fillId="15" borderId="1" xfId="0" applyFont="1" applyFill="1" applyBorder="1"/>
    <xf numFmtId="0" fontId="29" fillId="15" borderId="0" xfId="0" applyFont="1" applyFill="1"/>
    <xf numFmtId="0" fontId="32" fillId="15" borderId="1" xfId="1" applyNumberFormat="1" applyFont="1" applyFill="1" applyBorder="1"/>
    <xf numFmtId="165" fontId="32" fillId="15" borderId="1" xfId="1" applyFont="1" applyFill="1" applyBorder="1" applyAlignment="1">
      <alignment horizontal="center"/>
    </xf>
    <xf numFmtId="165" fontId="32" fillId="15" borderId="5" xfId="1" applyFont="1" applyFill="1" applyBorder="1"/>
    <xf numFmtId="165" fontId="32" fillId="15" borderId="9" xfId="1" applyFont="1" applyFill="1" applyBorder="1"/>
    <xf numFmtId="165" fontId="32" fillId="15" borderId="1" xfId="1" applyFont="1" applyFill="1" applyBorder="1"/>
    <xf numFmtId="0" fontId="32" fillId="15" borderId="8" xfId="1" applyNumberFormat="1" applyFont="1" applyFill="1" applyBorder="1" applyAlignment="1">
      <alignment horizontal="center"/>
    </xf>
    <xf numFmtId="170" fontId="29" fillId="15" borderId="1" xfId="1" applyNumberFormat="1" applyFont="1" applyFill="1" applyBorder="1"/>
    <xf numFmtId="165" fontId="29" fillId="15" borderId="1" xfId="1" applyFont="1" applyFill="1" applyBorder="1"/>
    <xf numFmtId="171" fontId="30" fillId="15" borderId="1" xfId="1" applyNumberFormat="1" applyFont="1" applyFill="1" applyBorder="1"/>
    <xf numFmtId="165" fontId="30" fillId="0" borderId="1" xfId="1" applyFont="1" applyBorder="1"/>
    <xf numFmtId="164" fontId="29" fillId="0" borderId="0" xfId="5" applyFont="1"/>
    <xf numFmtId="164" fontId="29" fillId="0" borderId="0" xfId="0" applyNumberFormat="1" applyFont="1"/>
    <xf numFmtId="165" fontId="33" fillId="0" borderId="0" xfId="1" applyFont="1"/>
    <xf numFmtId="165" fontId="30" fillId="0" borderId="0" xfId="0" applyNumberFormat="1" applyFont="1"/>
    <xf numFmtId="0" fontId="32" fillId="4" borderId="1" xfId="1" applyNumberFormat="1" applyFont="1" applyFill="1" applyBorder="1"/>
    <xf numFmtId="165" fontId="32" fillId="4" borderId="1" xfId="1" applyFont="1" applyFill="1" applyBorder="1" applyAlignment="1">
      <alignment horizontal="center"/>
    </xf>
    <xf numFmtId="165" fontId="32" fillId="4" borderId="5" xfId="1" applyFont="1" applyFill="1" applyBorder="1"/>
    <xf numFmtId="165" fontId="32" fillId="4" borderId="9" xfId="1" applyFont="1" applyFill="1" applyBorder="1"/>
    <xf numFmtId="165" fontId="32" fillId="4" borderId="1" xfId="1" applyFont="1" applyFill="1" applyBorder="1"/>
    <xf numFmtId="0" fontId="32" fillId="4" borderId="8" xfId="1" applyNumberFormat="1" applyFont="1" applyFill="1" applyBorder="1" applyAlignment="1">
      <alignment horizontal="center"/>
    </xf>
    <xf numFmtId="170" fontId="29" fillId="4" borderId="1" xfId="1" applyNumberFormat="1" applyFont="1" applyFill="1" applyBorder="1"/>
    <xf numFmtId="165" fontId="29" fillId="4" borderId="1" xfId="1" applyFont="1" applyFill="1" applyBorder="1"/>
    <xf numFmtId="171" fontId="30" fillId="4" borderId="1" xfId="1" applyNumberFormat="1" applyFont="1" applyFill="1" applyBorder="1"/>
    <xf numFmtId="165" fontId="30" fillId="4" borderId="1" xfId="1" applyFont="1" applyFill="1" applyBorder="1"/>
    <xf numFmtId="0" fontId="29" fillId="4" borderId="1" xfId="0" applyFont="1" applyFill="1" applyBorder="1"/>
    <xf numFmtId="0" fontId="29" fillId="4" borderId="0" xfId="0" applyFont="1" applyFill="1"/>
    <xf numFmtId="43" fontId="30" fillId="4" borderId="1" xfId="0" applyNumberFormat="1" applyFont="1" applyFill="1" applyBorder="1"/>
    <xf numFmtId="175" fontId="30" fillId="4" borderId="1" xfId="0" applyNumberFormat="1" applyFont="1" applyFill="1" applyBorder="1"/>
    <xf numFmtId="0" fontId="29" fillId="0" borderId="8" xfId="0" applyFont="1" applyBorder="1" applyAlignment="1">
      <alignment horizontal="center"/>
    </xf>
    <xf numFmtId="43" fontId="32" fillId="0" borderId="1" xfId="35" applyFont="1" applyBorder="1" applyAlignment="1">
      <alignment horizontal="center"/>
    </xf>
    <xf numFmtId="9" fontId="32" fillId="0" borderId="5" xfId="35" applyNumberFormat="1" applyFont="1" applyBorder="1" applyAlignment="1">
      <alignment horizontal="center"/>
    </xf>
    <xf numFmtId="9" fontId="32" fillId="0" borderId="8" xfId="35" applyNumberFormat="1" applyFont="1" applyBorder="1" applyAlignment="1">
      <alignment horizontal="center"/>
    </xf>
    <xf numFmtId="9" fontId="32" fillId="0" borderId="1" xfId="35" applyNumberFormat="1" applyFont="1" applyBorder="1" applyAlignment="1">
      <alignment horizontal="center"/>
    </xf>
    <xf numFmtId="9" fontId="32" fillId="3" borderId="1" xfId="35" applyNumberFormat="1" applyFont="1" applyFill="1" applyBorder="1" applyAlignment="1">
      <alignment horizontal="center"/>
    </xf>
    <xf numFmtId="171" fontId="29" fillId="3" borderId="1" xfId="35" applyNumberFormat="1" applyFont="1" applyFill="1" applyBorder="1"/>
    <xf numFmtId="43" fontId="32" fillId="0" borderId="11" xfId="35" applyFont="1" applyFill="1" applyBorder="1"/>
    <xf numFmtId="43" fontId="32" fillId="0" borderId="12" xfId="35" applyFont="1" applyFill="1" applyBorder="1"/>
    <xf numFmtId="176" fontId="29" fillId="0" borderId="1" xfId="0" applyNumberFormat="1" applyFont="1" applyBorder="1"/>
    <xf numFmtId="0" fontId="30" fillId="0" borderId="1" xfId="0" applyFont="1" applyBorder="1" applyAlignment="1">
      <alignment horizontal="center" vertical="center"/>
    </xf>
    <xf numFmtId="165" fontId="29" fillId="0" borderId="1" xfId="6" applyFont="1" applyBorder="1"/>
    <xf numFmtId="0" fontId="35" fillId="0" borderId="1" xfId="30" applyFont="1" applyBorder="1"/>
    <xf numFmtId="165" fontId="29" fillId="17" borderId="1" xfId="6" applyFont="1" applyFill="1" applyBorder="1"/>
    <xf numFmtId="165" fontId="30" fillId="0" borderId="1" xfId="24" applyFont="1" applyFill="1" applyBorder="1" applyAlignment="1">
      <alignment horizontal="center"/>
    </xf>
    <xf numFmtId="165" fontId="30" fillId="0" borderId="1" xfId="6" applyFont="1" applyBorder="1"/>
    <xf numFmtId="165" fontId="30" fillId="0" borderId="1" xfId="0" applyNumberFormat="1" applyFont="1" applyBorder="1"/>
    <xf numFmtId="165" fontId="30" fillId="16" borderId="9" xfId="24" applyFont="1" applyFill="1" applyBorder="1" applyAlignment="1">
      <alignment horizontal="center" vertical="center"/>
    </xf>
    <xf numFmtId="165" fontId="30" fillId="16" borderId="17" xfId="24" applyFont="1" applyFill="1" applyBorder="1" applyAlignment="1">
      <alignment horizontal="center" vertical="center"/>
    </xf>
    <xf numFmtId="165" fontId="30" fillId="16" borderId="8" xfId="24" applyFont="1" applyFill="1" applyBorder="1" applyAlignment="1">
      <alignment horizontal="center" vertical="center"/>
    </xf>
    <xf numFmtId="165" fontId="29" fillId="19" borderId="1" xfId="24" applyFont="1" applyFill="1" applyBorder="1" applyAlignment="1">
      <alignment horizontal="center"/>
    </xf>
    <xf numFmtId="17" fontId="0" fillId="0" borderId="0" xfId="0" applyNumberForma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65" fontId="32" fillId="3" borderId="14" xfId="1" applyFont="1" applyFill="1" applyBorder="1" applyAlignment="1">
      <alignment vertical="center"/>
    </xf>
    <xf numFmtId="165" fontId="29" fillId="3" borderId="1" xfId="35" applyNumberFormat="1" applyFont="1" applyFill="1" applyBorder="1"/>
    <xf numFmtId="0" fontId="30" fillId="16" borderId="9" xfId="30" applyFont="1" applyFill="1" applyBorder="1" applyAlignment="1">
      <alignment horizontal="center"/>
    </xf>
    <xf numFmtId="0" fontId="29" fillId="0" borderId="1" xfId="0" applyFont="1" applyBorder="1" applyAlignment="1">
      <alignment horizontal="center" vertical="center" wrapText="1"/>
    </xf>
    <xf numFmtId="0" fontId="30" fillId="0" borderId="35" xfId="0" applyFont="1" applyBorder="1" applyAlignment="1">
      <alignment horizontal="center"/>
    </xf>
    <xf numFmtId="2" fontId="32" fillId="0" borderId="1" xfId="1" applyNumberFormat="1" applyFont="1" applyFill="1" applyBorder="1" applyAlignment="1">
      <alignment horizontal="left"/>
    </xf>
    <xf numFmtId="2" fontId="32" fillId="0" borderId="1" xfId="1" applyNumberFormat="1" applyFont="1" applyFill="1" applyBorder="1" applyAlignment="1">
      <alignment horizontal="left" vertical="center"/>
    </xf>
    <xf numFmtId="0" fontId="30" fillId="21" borderId="3" xfId="0" applyFont="1" applyFill="1" applyBorder="1" applyAlignment="1">
      <alignment horizontal="center"/>
    </xf>
    <xf numFmtId="0" fontId="30" fillId="3" borderId="3" xfId="0" applyFont="1" applyFill="1" applyBorder="1" applyAlignment="1">
      <alignment horizontal="center"/>
    </xf>
    <xf numFmtId="0" fontId="30" fillId="0" borderId="39" xfId="0" applyFont="1" applyBorder="1" applyAlignment="1">
      <alignment horizontal="center"/>
    </xf>
    <xf numFmtId="0" fontId="29" fillId="3" borderId="1" xfId="0" applyFont="1" applyFill="1" applyBorder="1" applyAlignment="1">
      <alignment vertical="center"/>
    </xf>
    <xf numFmtId="0" fontId="30" fillId="21" borderId="3" xfId="0" applyFont="1" applyFill="1" applyBorder="1" applyAlignment="1">
      <alignment horizontal="center" vertical="center"/>
    </xf>
    <xf numFmtId="0" fontId="30" fillId="3" borderId="3" xfId="0" applyFont="1" applyFill="1" applyBorder="1" applyAlignment="1">
      <alignment horizontal="center" vertical="center"/>
    </xf>
    <xf numFmtId="0" fontId="35" fillId="0" borderId="0" xfId="29" applyFont="1"/>
    <xf numFmtId="0" fontId="38" fillId="0" borderId="1" xfId="29" applyFont="1" applyBorder="1" applyAlignment="1">
      <alignment horizontal="center" vertical="center"/>
    </xf>
    <xf numFmtId="0" fontId="35" fillId="0" borderId="38" xfId="29" applyFont="1" applyBorder="1" applyAlignment="1">
      <alignment horizontal="center"/>
    </xf>
    <xf numFmtId="0" fontId="35" fillId="0" borderId="1" xfId="29" applyFont="1" applyBorder="1"/>
    <xf numFmtId="165" fontId="35" fillId="0" borderId="1" xfId="1" applyFont="1" applyBorder="1"/>
    <xf numFmtId="0" fontId="35" fillId="0" borderId="1" xfId="29" quotePrefix="1" applyFont="1" applyBorder="1"/>
    <xf numFmtId="165" fontId="35" fillId="0" borderId="1" xfId="1" applyFont="1" applyBorder="1" applyAlignment="1">
      <alignment horizontal="center"/>
    </xf>
    <xf numFmtId="165" fontId="35" fillId="0" borderId="1" xfId="1" applyFont="1" applyFill="1" applyBorder="1" applyAlignment="1">
      <alignment horizontal="center"/>
    </xf>
    <xf numFmtId="165" fontId="35" fillId="0" borderId="1" xfId="1" applyFont="1" applyFill="1" applyBorder="1"/>
    <xf numFmtId="165" fontId="35" fillId="0" borderId="1" xfId="1" applyFont="1" applyBorder="1" applyAlignment="1">
      <alignment horizontal="right"/>
    </xf>
    <xf numFmtId="0" fontId="35" fillId="0" borderId="1" xfId="29" applyFont="1" applyBorder="1" applyAlignment="1">
      <alignment horizontal="left"/>
    </xf>
    <xf numFmtId="165" fontId="35" fillId="0" borderId="1" xfId="1" applyFont="1" applyFill="1" applyBorder="1" applyAlignment="1">
      <alignment horizontal="right"/>
    </xf>
    <xf numFmtId="0" fontId="38" fillId="0" borderId="1" xfId="29" applyFont="1" applyBorder="1"/>
    <xf numFmtId="0" fontId="38" fillId="0" borderId="0" xfId="29" applyFont="1" applyAlignment="1">
      <alignment horizontal="center"/>
    </xf>
    <xf numFmtId="0" fontId="38" fillId="14" borderId="1" xfId="29" applyFont="1" applyFill="1" applyBorder="1" applyAlignment="1">
      <alignment horizontal="center" vertical="center"/>
    </xf>
    <xf numFmtId="0" fontId="38" fillId="14" borderId="38" xfId="29" applyFont="1" applyFill="1" applyBorder="1" applyAlignment="1">
      <alignment horizontal="center"/>
    </xf>
    <xf numFmtId="165" fontId="38" fillId="14" borderId="1" xfId="1" applyFont="1" applyFill="1" applyBorder="1" applyAlignment="1">
      <alignment horizontal="center"/>
    </xf>
    <xf numFmtId="165" fontId="38" fillId="14" borderId="1" xfId="1" applyFont="1" applyFill="1" applyBorder="1"/>
    <xf numFmtId="0" fontId="38" fillId="16" borderId="38" xfId="29" applyFont="1" applyFill="1" applyBorder="1" applyAlignment="1">
      <alignment horizontal="center"/>
    </xf>
    <xf numFmtId="0" fontId="38" fillId="16" borderId="1" xfId="29" applyFont="1" applyFill="1" applyBorder="1" applyAlignment="1">
      <alignment horizontal="center"/>
    </xf>
    <xf numFmtId="165" fontId="38" fillId="16" borderId="1" xfId="1" applyFont="1" applyFill="1" applyBorder="1" applyAlignment="1">
      <alignment horizontal="center"/>
    </xf>
    <xf numFmtId="165" fontId="38" fillId="16" borderId="1" xfId="1" applyFont="1" applyFill="1" applyBorder="1"/>
    <xf numFmtId="165" fontId="38" fillId="0" borderId="1" xfId="29" applyNumberFormat="1" applyFont="1" applyBorder="1"/>
    <xf numFmtId="0" fontId="38" fillId="14" borderId="1" xfId="29" quotePrefix="1" applyFont="1" applyFill="1" applyBorder="1" applyAlignment="1">
      <alignment horizontal="center"/>
    </xf>
    <xf numFmtId="0" fontId="35" fillId="0" borderId="0" xfId="29" applyFont="1" applyAlignment="1">
      <alignment horizontal="center"/>
    </xf>
    <xf numFmtId="165" fontId="29" fillId="3" borderId="3" xfId="1" applyFont="1" applyFill="1" applyBorder="1" applyAlignment="1">
      <alignment horizontal="center"/>
    </xf>
    <xf numFmtId="165" fontId="29" fillId="0" borderId="3" xfId="1" applyFont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165" fontId="29" fillId="3" borderId="1" xfId="1" applyFont="1" applyFill="1" applyBorder="1" applyAlignment="1">
      <alignment horizontal="center"/>
    </xf>
    <xf numFmtId="165" fontId="29" fillId="0" borderId="1" xfId="1" applyFont="1" applyBorder="1" applyAlignment="1">
      <alignment horizontal="center"/>
    </xf>
    <xf numFmtId="0" fontId="30" fillId="14" borderId="8" xfId="0" applyFont="1" applyFill="1" applyBorder="1" applyAlignment="1">
      <alignment horizontal="center" vertical="center"/>
    </xf>
    <xf numFmtId="165" fontId="30" fillId="14" borderId="1" xfId="1" applyFont="1" applyFill="1" applyBorder="1" applyAlignment="1">
      <alignment horizontal="center"/>
    </xf>
    <xf numFmtId="0" fontId="30" fillId="14" borderId="30" xfId="0" applyFont="1" applyFill="1" applyBorder="1" applyAlignment="1">
      <alignment horizontal="center" vertical="center" wrapText="1"/>
    </xf>
    <xf numFmtId="0" fontId="30" fillId="14" borderId="30" xfId="0" applyFont="1" applyFill="1" applyBorder="1" applyAlignment="1">
      <alignment horizontal="center" vertical="center"/>
    </xf>
    <xf numFmtId="0" fontId="30" fillId="14" borderId="1" xfId="0" applyFont="1" applyFill="1" applyBorder="1" applyAlignment="1">
      <alignment horizontal="center" vertical="center"/>
    </xf>
    <xf numFmtId="171" fontId="29" fillId="0" borderId="3" xfId="1" applyNumberFormat="1" applyFont="1" applyBorder="1" applyAlignment="1">
      <alignment horizontal="center"/>
    </xf>
    <xf numFmtId="171" fontId="30" fillId="14" borderId="1" xfId="1" applyNumberFormat="1" applyFont="1" applyFill="1" applyBorder="1" applyAlignment="1">
      <alignment horizontal="center"/>
    </xf>
    <xf numFmtId="171" fontId="30" fillId="14" borderId="3" xfId="1" applyNumberFormat="1" applyFont="1" applyFill="1" applyBorder="1" applyAlignment="1">
      <alignment horizontal="center"/>
    </xf>
    <xf numFmtId="0" fontId="29" fillId="0" borderId="5" xfId="0" applyFont="1" applyBorder="1" applyAlignment="1">
      <alignment horizontal="center" vertical="center"/>
    </xf>
    <xf numFmtId="0" fontId="29" fillId="0" borderId="3" xfId="0" quotePrefix="1" applyFont="1" applyBorder="1" applyAlignment="1">
      <alignment horizontal="left" vertical="center"/>
    </xf>
    <xf numFmtId="0" fontId="29" fillId="0" borderId="1" xfId="0" quotePrefix="1" applyFont="1" applyBorder="1" applyAlignment="1">
      <alignment horizontal="left" vertical="center"/>
    </xf>
    <xf numFmtId="0" fontId="29" fillId="0" borderId="1" xfId="0" quotePrefix="1" applyFont="1" applyBorder="1"/>
    <xf numFmtId="0" fontId="32" fillId="0" borderId="1" xfId="1" quotePrefix="1" applyNumberFormat="1" applyFont="1" applyBorder="1"/>
    <xf numFmtId="0" fontId="32" fillId="3" borderId="1" xfId="1" quotePrefix="1" applyNumberFormat="1" applyFont="1" applyFill="1" applyBorder="1"/>
    <xf numFmtId="173" fontId="29" fillId="3" borderId="3" xfId="1" applyNumberFormat="1" applyFont="1" applyFill="1" applyBorder="1" applyAlignment="1">
      <alignment horizontal="center"/>
    </xf>
    <xf numFmtId="173" fontId="29" fillId="0" borderId="3" xfId="1" applyNumberFormat="1" applyFont="1" applyBorder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29" fillId="0" borderId="3" xfId="0" quotePrefix="1" applyFont="1" applyBorder="1" applyAlignment="1">
      <alignment horizontal="center" vertical="center"/>
    </xf>
    <xf numFmtId="0" fontId="29" fillId="0" borderId="1" xfId="0" quotePrefix="1" applyFont="1" applyBorder="1" applyAlignment="1">
      <alignment horizontal="center" vertical="center"/>
    </xf>
    <xf numFmtId="0" fontId="29" fillId="0" borderId="1" xfId="0" quotePrefix="1" applyFont="1" applyBorder="1" applyAlignment="1">
      <alignment horizontal="center"/>
    </xf>
    <xf numFmtId="0" fontId="32" fillId="0" borderId="1" xfId="1" quotePrefix="1" applyNumberFormat="1" applyFont="1" applyBorder="1" applyAlignment="1">
      <alignment horizontal="center"/>
    </xf>
    <xf numFmtId="173" fontId="29" fillId="3" borderId="1" xfId="1" applyNumberFormat="1" applyFont="1" applyFill="1" applyBorder="1" applyAlignment="1">
      <alignment horizontal="center"/>
    </xf>
    <xf numFmtId="173" fontId="29" fillId="0" borderId="1" xfId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1" applyNumberFormat="1" applyFont="1"/>
    <xf numFmtId="0" fontId="29" fillId="0" borderId="2" xfId="1" applyNumberFormat="1" applyFont="1" applyBorder="1"/>
    <xf numFmtId="0" fontId="29" fillId="0" borderId="13" xfId="0" applyFont="1" applyBorder="1" applyAlignment="1">
      <alignment horizontal="center"/>
    </xf>
    <xf numFmtId="0" fontId="29" fillId="0" borderId="13" xfId="0" applyFont="1" applyBorder="1"/>
    <xf numFmtId="0" fontId="29" fillId="0" borderId="17" xfId="0" applyFont="1" applyBorder="1"/>
    <xf numFmtId="165" fontId="32" fillId="0" borderId="2" xfId="1" applyFont="1" applyBorder="1"/>
    <xf numFmtId="9" fontId="32" fillId="0" borderId="10" xfId="1" applyNumberFormat="1" applyFont="1" applyBorder="1" applyAlignment="1">
      <alignment horizontal="center"/>
    </xf>
    <xf numFmtId="165" fontId="32" fillId="3" borderId="10" xfId="1" applyFont="1" applyFill="1" applyBorder="1" applyAlignment="1">
      <alignment horizontal="center"/>
    </xf>
    <xf numFmtId="173" fontId="29" fillId="0" borderId="2" xfId="1" applyNumberFormat="1" applyFont="1" applyFill="1" applyBorder="1"/>
    <xf numFmtId="171" fontId="29" fillId="0" borderId="2" xfId="1" applyNumberFormat="1" applyFont="1" applyBorder="1"/>
    <xf numFmtId="0" fontId="29" fillId="0" borderId="2" xfId="0" applyFont="1" applyBorder="1"/>
    <xf numFmtId="165" fontId="34" fillId="0" borderId="6" xfId="1" applyFont="1" applyBorder="1"/>
    <xf numFmtId="165" fontId="33" fillId="0" borderId="14" xfId="1" applyFont="1" applyBorder="1"/>
    <xf numFmtId="0" fontId="32" fillId="0" borderId="3" xfId="1" applyNumberFormat="1" applyFont="1" applyBorder="1"/>
    <xf numFmtId="165" fontId="32" fillId="0" borderId="3" xfId="1" applyFont="1" applyBorder="1" applyAlignment="1">
      <alignment horizontal="center"/>
    </xf>
    <xf numFmtId="165" fontId="32" fillId="0" borderId="3" xfId="1" applyFont="1" applyBorder="1"/>
    <xf numFmtId="0" fontId="32" fillId="0" borderId="12" xfId="1" applyNumberFormat="1" applyFont="1" applyBorder="1" applyAlignment="1">
      <alignment horizontal="center"/>
    </xf>
    <xf numFmtId="170" fontId="29" fillId="0" borderId="3" xfId="1" applyNumberFormat="1" applyFont="1" applyBorder="1"/>
    <xf numFmtId="165" fontId="29" fillId="0" borderId="3" xfId="1" applyFont="1" applyBorder="1"/>
    <xf numFmtId="0" fontId="29" fillId="0" borderId="3" xfId="0" applyFont="1" applyBorder="1"/>
    <xf numFmtId="0" fontId="32" fillId="6" borderId="1" xfId="1" applyNumberFormat="1" applyFont="1" applyFill="1" applyBorder="1" applyAlignment="1">
      <alignment horizontal="center"/>
    </xf>
    <xf numFmtId="165" fontId="33" fillId="6" borderId="8" xfId="1" applyFont="1" applyFill="1" applyBorder="1"/>
    <xf numFmtId="165" fontId="32" fillId="6" borderId="8" xfId="1" applyFont="1" applyFill="1" applyBorder="1"/>
    <xf numFmtId="0" fontId="30" fillId="6" borderId="9" xfId="0" applyFont="1" applyFill="1" applyBorder="1"/>
    <xf numFmtId="2" fontId="32" fillId="3" borderId="8" xfId="1" applyNumberFormat="1" applyFont="1" applyFill="1" applyBorder="1" applyAlignment="1">
      <alignment horizontal="right"/>
    </xf>
    <xf numFmtId="165" fontId="32" fillId="0" borderId="8" xfId="5" applyNumberFormat="1" applyFont="1" applyBorder="1" applyAlignment="1">
      <alignment horizontal="center"/>
    </xf>
    <xf numFmtId="165" fontId="30" fillId="0" borderId="0" xfId="0" applyNumberFormat="1" applyFont="1" applyAlignment="1">
      <alignment horizontal="left"/>
    </xf>
    <xf numFmtId="171" fontId="29" fillId="0" borderId="0" xfId="1" applyNumberFormat="1" applyFont="1"/>
    <xf numFmtId="165" fontId="30" fillId="18" borderId="2" xfId="24" quotePrefix="1" applyFont="1" applyFill="1" applyBorder="1" applyAlignment="1">
      <alignment horizontal="center" vertical="center"/>
    </xf>
    <xf numFmtId="0" fontId="30" fillId="16" borderId="2" xfId="30" applyFont="1" applyFill="1" applyBorder="1" applyAlignment="1">
      <alignment horizontal="center" vertical="center"/>
    </xf>
    <xf numFmtId="165" fontId="29" fillId="0" borderId="1" xfId="6" applyFont="1" applyFill="1" applyBorder="1"/>
    <xf numFmtId="171" fontId="33" fillId="3" borderId="13" xfId="1" applyNumberFormat="1" applyFont="1" applyFill="1" applyBorder="1" applyAlignment="1">
      <alignment vertical="center"/>
    </xf>
    <xf numFmtId="171" fontId="29" fillId="0" borderId="3" xfId="1" applyNumberFormat="1" applyFont="1" applyBorder="1"/>
    <xf numFmtId="171" fontId="30" fillId="6" borderId="0" xfId="1" applyNumberFormat="1" applyFont="1" applyFill="1"/>
    <xf numFmtId="171" fontId="29" fillId="0" borderId="1" xfId="1" applyNumberFormat="1" applyFont="1" applyBorder="1" applyAlignment="1">
      <alignment vertical="center" wrapText="1"/>
    </xf>
    <xf numFmtId="171" fontId="29" fillId="3" borderId="0" xfId="1" applyNumberFormat="1" applyFont="1" applyFill="1"/>
    <xf numFmtId="171" fontId="33" fillId="6" borderId="13" xfId="1" applyNumberFormat="1" applyFont="1" applyFill="1" applyBorder="1" applyAlignment="1">
      <alignment vertical="center"/>
    </xf>
    <xf numFmtId="171" fontId="29" fillId="6" borderId="0" xfId="1" applyNumberFormat="1" applyFont="1" applyFill="1"/>
    <xf numFmtId="171" fontId="30" fillId="0" borderId="0" xfId="1" applyNumberFormat="1" applyFont="1"/>
    <xf numFmtId="171" fontId="29" fillId="0" borderId="13" xfId="1" applyNumberFormat="1" applyFont="1" applyBorder="1"/>
    <xf numFmtId="171" fontId="29" fillId="3" borderId="1" xfId="1" applyNumberFormat="1" applyFont="1" applyFill="1" applyBorder="1" applyAlignment="1">
      <alignment vertical="center" wrapText="1"/>
    </xf>
    <xf numFmtId="171" fontId="29" fillId="0" borderId="1" xfId="1" applyNumberFormat="1" applyFont="1" applyBorder="1" applyAlignment="1">
      <alignment horizontal="left" vertical="center"/>
    </xf>
    <xf numFmtId="171" fontId="29" fillId="0" borderId="1" xfId="1" applyNumberFormat="1" applyFont="1" applyBorder="1" applyAlignment="1">
      <alignment horizontal="left"/>
    </xf>
    <xf numFmtId="171" fontId="29" fillId="0" borderId="1" xfId="1" applyNumberFormat="1" applyFont="1" applyBorder="1" applyAlignment="1">
      <alignment horizontal="left" wrapText="1"/>
    </xf>
    <xf numFmtId="171" fontId="29" fillId="0" borderId="5" xfId="1" applyNumberFormat="1" applyFont="1" applyBorder="1"/>
    <xf numFmtId="171" fontId="29" fillId="0" borderId="7" xfId="1" applyNumberFormat="1" applyFont="1" applyBorder="1"/>
    <xf numFmtId="171" fontId="30" fillId="15" borderId="0" xfId="1" applyNumberFormat="1" applyFont="1" applyFill="1"/>
    <xf numFmtId="171" fontId="29" fillId="12" borderId="1" xfId="1" applyNumberFormat="1" applyFont="1" applyFill="1" applyBorder="1"/>
    <xf numFmtId="171" fontId="29" fillId="15" borderId="1" xfId="1" applyNumberFormat="1" applyFont="1" applyFill="1" applyBorder="1"/>
    <xf numFmtId="171" fontId="29" fillId="15" borderId="0" xfId="1" applyNumberFormat="1" applyFont="1" applyFill="1"/>
    <xf numFmtId="171" fontId="30" fillId="0" borderId="1" xfId="1" applyNumberFormat="1" applyFont="1" applyBorder="1"/>
    <xf numFmtId="165" fontId="29" fillId="0" borderId="8" xfId="1" applyFont="1" applyBorder="1"/>
    <xf numFmtId="0" fontId="22" fillId="3" borderId="0" xfId="28" applyFont="1" applyFill="1" applyAlignment="1">
      <alignment horizontal="center"/>
    </xf>
    <xf numFmtId="0" fontId="21" fillId="3" borderId="0" xfId="28" applyFont="1" applyFill="1" applyAlignment="1">
      <alignment horizontal="center"/>
    </xf>
    <xf numFmtId="0" fontId="15" fillId="3" borderId="0" xfId="28" applyFont="1" applyFill="1" applyAlignment="1">
      <alignment horizontal="center"/>
    </xf>
    <xf numFmtId="0" fontId="23" fillId="3" borderId="0" xfId="28" applyFont="1" applyFill="1" applyAlignment="1">
      <alignment horizontal="center"/>
    </xf>
    <xf numFmtId="0" fontId="40" fillId="3" borderId="0" xfId="28" applyFont="1" applyFill="1" applyAlignment="1">
      <alignment horizontal="center"/>
    </xf>
    <xf numFmtId="0" fontId="19" fillId="3" borderId="0" xfId="28" applyFont="1" applyFill="1" applyAlignment="1">
      <alignment horizontal="center"/>
    </xf>
    <xf numFmtId="0" fontId="17" fillId="3" borderId="0" xfId="28" applyFont="1" applyFill="1" applyAlignment="1">
      <alignment horizontal="center"/>
    </xf>
    <xf numFmtId="0" fontId="18" fillId="3" borderId="0" xfId="28" applyFont="1" applyFill="1" applyAlignment="1">
      <alignment horizontal="center"/>
    </xf>
    <xf numFmtId="0" fontId="13" fillId="0" borderId="14" xfId="0" applyFont="1" applyBorder="1" applyAlignment="1">
      <alignment horizontal="center"/>
    </xf>
    <xf numFmtId="0" fontId="38" fillId="0" borderId="0" xfId="29" applyFont="1" applyAlignment="1">
      <alignment horizontal="center"/>
    </xf>
    <xf numFmtId="0" fontId="37" fillId="16" borderId="1" xfId="29" applyFont="1" applyFill="1" applyBorder="1" applyAlignment="1">
      <alignment horizontal="center" vertical="center"/>
    </xf>
    <xf numFmtId="0" fontId="38" fillId="0" borderId="13" xfId="29" applyFont="1" applyBorder="1" applyAlignment="1">
      <alignment horizontal="center" vertical="center"/>
    </xf>
    <xf numFmtId="0" fontId="38" fillId="0" borderId="10" xfId="29" applyFont="1" applyBorder="1" applyAlignment="1">
      <alignment horizontal="center" vertical="center"/>
    </xf>
    <xf numFmtId="0" fontId="38" fillId="0" borderId="15" xfId="29" applyFont="1" applyBorder="1" applyAlignment="1">
      <alignment horizontal="center" vertical="center"/>
    </xf>
    <xf numFmtId="0" fontId="38" fillId="0" borderId="11" xfId="29" applyFont="1" applyBorder="1" applyAlignment="1">
      <alignment horizontal="center" vertical="center"/>
    </xf>
    <xf numFmtId="0" fontId="38" fillId="0" borderId="6" xfId="29" applyFont="1" applyBorder="1" applyAlignment="1">
      <alignment horizontal="center" vertical="center"/>
    </xf>
    <xf numFmtId="0" fontId="38" fillId="0" borderId="12" xfId="29" applyFont="1" applyBorder="1" applyAlignment="1">
      <alignment horizontal="center" vertical="center"/>
    </xf>
    <xf numFmtId="0" fontId="38" fillId="14" borderId="42" xfId="29" applyFont="1" applyFill="1" applyBorder="1" applyAlignment="1">
      <alignment horizontal="center" vertical="center"/>
    </xf>
    <xf numFmtId="0" fontId="38" fillId="14" borderId="38" xfId="29" applyFont="1" applyFill="1" applyBorder="1" applyAlignment="1">
      <alignment horizontal="center" vertical="center"/>
    </xf>
    <xf numFmtId="0" fontId="38" fillId="14" borderId="3" xfId="29" applyFont="1" applyFill="1" applyBorder="1" applyAlignment="1">
      <alignment horizontal="center" vertical="center"/>
    </xf>
    <xf numFmtId="0" fontId="38" fillId="14" borderId="1" xfId="29" applyFont="1" applyFill="1" applyBorder="1" applyAlignment="1">
      <alignment horizontal="center" vertical="center"/>
    </xf>
    <xf numFmtId="0" fontId="38" fillId="14" borderId="15" xfId="29" applyFont="1" applyFill="1" applyBorder="1" applyAlignment="1">
      <alignment horizontal="center" vertical="center"/>
    </xf>
    <xf numFmtId="0" fontId="38" fillId="14" borderId="11" xfId="29" applyFont="1" applyFill="1" applyBorder="1" applyAlignment="1">
      <alignment horizontal="center" vertical="center"/>
    </xf>
    <xf numFmtId="0" fontId="38" fillId="14" borderId="6" xfId="29" applyFont="1" applyFill="1" applyBorder="1" applyAlignment="1">
      <alignment horizontal="center" vertical="center"/>
    </xf>
    <xf numFmtId="0" fontId="38" fillId="14" borderId="12" xfId="29" applyFont="1" applyFill="1" applyBorder="1" applyAlignment="1">
      <alignment horizontal="center" vertical="center"/>
    </xf>
    <xf numFmtId="0" fontId="35" fillId="0" borderId="0" xfId="29" applyFont="1" applyAlignment="1">
      <alignment horizontal="center"/>
    </xf>
    <xf numFmtId="0" fontId="30" fillId="0" borderId="1" xfId="0" applyFont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30" fillId="0" borderId="8" xfId="0" applyFont="1" applyBorder="1" applyAlignment="1">
      <alignment horizontal="center"/>
    </xf>
    <xf numFmtId="165" fontId="30" fillId="16" borderId="1" xfId="24" applyFont="1" applyFill="1" applyBorder="1" applyAlignment="1">
      <alignment horizontal="center" vertical="center"/>
    </xf>
    <xf numFmtId="0" fontId="30" fillId="16" borderId="2" xfId="30" applyFont="1" applyFill="1" applyBorder="1" applyAlignment="1">
      <alignment horizontal="center" vertical="center"/>
    </xf>
    <xf numFmtId="0" fontId="30" fillId="16" borderId="4" xfId="30" applyFont="1" applyFill="1" applyBorder="1" applyAlignment="1">
      <alignment horizontal="center" vertical="center"/>
    </xf>
    <xf numFmtId="0" fontId="30" fillId="16" borderId="3" xfId="30" applyFont="1" applyFill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30" fillId="16" borderId="1" xfId="0" applyFont="1" applyFill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165" fontId="30" fillId="16" borderId="9" xfId="24" applyFont="1" applyFill="1" applyBorder="1" applyAlignment="1">
      <alignment horizontal="center" vertical="center"/>
    </xf>
    <xf numFmtId="165" fontId="30" fillId="16" borderId="8" xfId="24" applyFont="1" applyFill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30" fillId="13" borderId="1" xfId="0" applyFont="1" applyFill="1" applyBorder="1" applyAlignment="1">
      <alignment horizontal="center"/>
    </xf>
    <xf numFmtId="0" fontId="30" fillId="0" borderId="47" xfId="0" applyFont="1" applyBorder="1" applyAlignment="1">
      <alignment horizontal="center" vertical="center"/>
    </xf>
    <xf numFmtId="0" fontId="30" fillId="0" borderId="48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0" fontId="30" fillId="0" borderId="29" xfId="0" applyFont="1" applyBorder="1" applyAlignment="1">
      <alignment horizontal="center"/>
    </xf>
    <xf numFmtId="0" fontId="30" fillId="0" borderId="45" xfId="0" applyFont="1" applyBorder="1" applyAlignment="1">
      <alignment horizontal="center" vertical="center"/>
    </xf>
    <xf numFmtId="0" fontId="30" fillId="0" borderId="37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30" fillId="0" borderId="35" xfId="0" applyFont="1" applyBorder="1" applyAlignment="1">
      <alignment horizontal="center" vertical="center"/>
    </xf>
    <xf numFmtId="0" fontId="30" fillId="0" borderId="40" xfId="0" applyFont="1" applyBorder="1" applyAlignment="1">
      <alignment horizontal="center"/>
    </xf>
    <xf numFmtId="0" fontId="30" fillId="0" borderId="41" xfId="0" applyFont="1" applyBorder="1" applyAlignment="1">
      <alignment horizontal="center" vertical="center"/>
    </xf>
    <xf numFmtId="165" fontId="33" fillId="4" borderId="5" xfId="1" applyFont="1" applyFill="1" applyBorder="1" applyAlignment="1">
      <alignment horizontal="center"/>
    </xf>
    <xf numFmtId="165" fontId="33" fillId="4" borderId="9" xfId="1" applyFont="1" applyFill="1" applyBorder="1" applyAlignment="1">
      <alignment horizontal="center"/>
    </xf>
    <xf numFmtId="165" fontId="33" fillId="4" borderId="8" xfId="1" applyFont="1" applyFill="1" applyBorder="1" applyAlignment="1">
      <alignment horizontal="center"/>
    </xf>
    <xf numFmtId="165" fontId="33" fillId="6" borderId="5" xfId="1" applyFont="1" applyFill="1" applyBorder="1" applyAlignment="1">
      <alignment horizontal="center"/>
    </xf>
    <xf numFmtId="165" fontId="33" fillId="6" borderId="9" xfId="1" applyFont="1" applyFill="1" applyBorder="1" applyAlignment="1">
      <alignment horizontal="center"/>
    </xf>
    <xf numFmtId="165" fontId="33" fillId="6" borderId="8" xfId="1" applyFont="1" applyFill="1" applyBorder="1" applyAlignment="1">
      <alignment horizontal="center"/>
    </xf>
    <xf numFmtId="165" fontId="33" fillId="12" borderId="5" xfId="1" applyFont="1" applyFill="1" applyBorder="1" applyAlignment="1">
      <alignment horizontal="center"/>
    </xf>
    <xf numFmtId="165" fontId="33" fillId="12" borderId="9" xfId="1" applyFont="1" applyFill="1" applyBorder="1" applyAlignment="1">
      <alignment horizontal="center"/>
    </xf>
    <xf numFmtId="165" fontId="33" fillId="12" borderId="8" xfId="1" applyFont="1" applyFill="1" applyBorder="1" applyAlignment="1">
      <alignment horizontal="center"/>
    </xf>
    <xf numFmtId="165" fontId="33" fillId="15" borderId="5" xfId="1" applyFont="1" applyFill="1" applyBorder="1" applyAlignment="1">
      <alignment horizontal="center"/>
    </xf>
    <xf numFmtId="165" fontId="33" fillId="15" borderId="9" xfId="1" applyFont="1" applyFill="1" applyBorder="1" applyAlignment="1">
      <alignment horizontal="center"/>
    </xf>
    <xf numFmtId="165" fontId="33" fillId="15" borderId="8" xfId="1" applyFont="1" applyFill="1" applyBorder="1" applyAlignment="1">
      <alignment horizontal="center"/>
    </xf>
    <xf numFmtId="0" fontId="33" fillId="7" borderId="10" xfId="1" applyNumberFormat="1" applyFont="1" applyFill="1" applyBorder="1" applyAlignment="1">
      <alignment horizontal="center" vertical="center"/>
    </xf>
    <xf numFmtId="0" fontId="33" fillId="7" borderId="12" xfId="1" applyNumberFormat="1" applyFont="1" applyFill="1" applyBorder="1" applyAlignment="1">
      <alignment horizontal="center" vertical="center"/>
    </xf>
    <xf numFmtId="0" fontId="33" fillId="5" borderId="2" xfId="1" applyNumberFormat="1" applyFont="1" applyFill="1" applyBorder="1" applyAlignment="1">
      <alignment horizontal="center" vertical="center"/>
    </xf>
    <xf numFmtId="0" fontId="33" fillId="5" borderId="3" xfId="1" applyNumberFormat="1" applyFont="1" applyFill="1" applyBorder="1" applyAlignment="1">
      <alignment horizontal="center" vertical="center"/>
    </xf>
    <xf numFmtId="0" fontId="33" fillId="8" borderId="2" xfId="1" applyNumberFormat="1" applyFont="1" applyFill="1" applyBorder="1" applyAlignment="1">
      <alignment horizontal="center" vertical="center"/>
    </xf>
    <xf numFmtId="0" fontId="33" fillId="8" borderId="3" xfId="1" applyNumberFormat="1" applyFont="1" applyFill="1" applyBorder="1" applyAlignment="1">
      <alignment horizontal="center" vertical="center"/>
    </xf>
    <xf numFmtId="0" fontId="33" fillId="9" borderId="2" xfId="1" applyNumberFormat="1" applyFont="1" applyFill="1" applyBorder="1" applyAlignment="1">
      <alignment horizontal="center" vertical="center"/>
    </xf>
    <xf numFmtId="0" fontId="33" fillId="9" borderId="3" xfId="1" applyNumberFormat="1" applyFont="1" applyFill="1" applyBorder="1" applyAlignment="1">
      <alignment horizontal="center" vertical="center"/>
    </xf>
    <xf numFmtId="170" fontId="30" fillId="5" borderId="2" xfId="1" applyNumberFormat="1" applyFont="1" applyFill="1" applyBorder="1" applyAlignment="1">
      <alignment horizontal="center" vertical="center"/>
    </xf>
    <xf numFmtId="170" fontId="30" fillId="5" borderId="3" xfId="1" applyNumberFormat="1" applyFont="1" applyFill="1" applyBorder="1" applyAlignment="1">
      <alignment horizontal="center" vertical="center"/>
    </xf>
    <xf numFmtId="0" fontId="30" fillId="5" borderId="2" xfId="0" applyFont="1" applyFill="1" applyBorder="1" applyAlignment="1">
      <alignment horizontal="center" vertical="center"/>
    </xf>
    <xf numFmtId="0" fontId="30" fillId="5" borderId="3" xfId="0" applyFont="1" applyFill="1" applyBorder="1" applyAlignment="1">
      <alignment horizontal="center" vertical="center"/>
    </xf>
    <xf numFmtId="165" fontId="33" fillId="5" borderId="2" xfId="1" applyFont="1" applyFill="1" applyBorder="1" applyAlignment="1">
      <alignment horizontal="center" vertical="center" wrapText="1"/>
    </xf>
    <xf numFmtId="165" fontId="33" fillId="5" borderId="3" xfId="1" applyFont="1" applyFill="1" applyBorder="1" applyAlignment="1">
      <alignment horizontal="center" vertical="center" wrapText="1"/>
    </xf>
    <xf numFmtId="0" fontId="33" fillId="7" borderId="2" xfId="1" applyNumberFormat="1" applyFont="1" applyFill="1" applyBorder="1" applyAlignment="1">
      <alignment horizontal="center" vertical="center"/>
    </xf>
    <xf numFmtId="0" fontId="33" fillId="7" borderId="3" xfId="1" applyNumberFormat="1" applyFont="1" applyFill="1" applyBorder="1" applyAlignment="1">
      <alignment horizontal="center" vertical="center"/>
    </xf>
    <xf numFmtId="165" fontId="36" fillId="20" borderId="1" xfId="1" applyFont="1" applyFill="1" applyBorder="1" applyAlignment="1">
      <alignment horizontal="center" vertical="center"/>
    </xf>
    <xf numFmtId="165" fontId="33" fillId="5" borderId="13" xfId="1" applyFont="1" applyFill="1" applyBorder="1" applyAlignment="1">
      <alignment horizontal="center" vertical="center"/>
    </xf>
    <xf numFmtId="165" fontId="33" fillId="5" borderId="17" xfId="1" applyFont="1" applyFill="1" applyBorder="1" applyAlignment="1">
      <alignment horizontal="center" vertical="center"/>
    </xf>
    <xf numFmtId="165" fontId="33" fillId="5" borderId="10" xfId="1" applyFont="1" applyFill="1" applyBorder="1" applyAlignment="1">
      <alignment horizontal="center" vertical="center"/>
    </xf>
    <xf numFmtId="165" fontId="33" fillId="5" borderId="15" xfId="1" applyFont="1" applyFill="1" applyBorder="1" applyAlignment="1">
      <alignment horizontal="center" vertical="center"/>
    </xf>
    <xf numFmtId="165" fontId="33" fillId="5" borderId="0" xfId="1" applyFont="1" applyFill="1" applyBorder="1" applyAlignment="1">
      <alignment horizontal="center" vertical="center"/>
    </xf>
    <xf numFmtId="165" fontId="33" fillId="5" borderId="11" xfId="1" applyFont="1" applyFill="1" applyBorder="1" applyAlignment="1">
      <alignment horizontal="center" vertical="center"/>
    </xf>
    <xf numFmtId="165" fontId="33" fillId="5" borderId="6" xfId="1" applyFont="1" applyFill="1" applyBorder="1" applyAlignment="1">
      <alignment horizontal="center" vertical="center"/>
    </xf>
    <xf numFmtId="165" fontId="33" fillId="5" borderId="14" xfId="1" applyFont="1" applyFill="1" applyBorder="1" applyAlignment="1">
      <alignment horizontal="center" vertical="center"/>
    </xf>
    <xf numFmtId="165" fontId="33" fillId="5" borderId="12" xfId="1" applyFont="1" applyFill="1" applyBorder="1" applyAlignment="1">
      <alignment horizontal="center" vertical="center"/>
    </xf>
    <xf numFmtId="0" fontId="30" fillId="5" borderId="5" xfId="0" applyFont="1" applyFill="1" applyBorder="1" applyAlignment="1">
      <alignment horizontal="center" vertical="center"/>
    </xf>
    <xf numFmtId="0" fontId="30" fillId="5" borderId="8" xfId="0" applyFont="1" applyFill="1" applyBorder="1" applyAlignment="1">
      <alignment horizontal="center" vertical="center"/>
    </xf>
    <xf numFmtId="0" fontId="30" fillId="5" borderId="13" xfId="0" applyFont="1" applyFill="1" applyBorder="1" applyAlignment="1">
      <alignment horizontal="center" vertical="center" wrapText="1"/>
    </xf>
    <xf numFmtId="0" fontId="30" fillId="5" borderId="10" xfId="0" applyFont="1" applyFill="1" applyBorder="1" applyAlignment="1">
      <alignment horizontal="center" vertical="center" wrapText="1"/>
    </xf>
    <xf numFmtId="0" fontId="30" fillId="5" borderId="15" xfId="0" applyFont="1" applyFill="1" applyBorder="1" applyAlignment="1">
      <alignment horizontal="center" vertical="center" wrapText="1"/>
    </xf>
    <xf numFmtId="0" fontId="30" fillId="5" borderId="11" xfId="0" applyFont="1" applyFill="1" applyBorder="1" applyAlignment="1">
      <alignment horizontal="center" vertical="center" wrapText="1"/>
    </xf>
    <xf numFmtId="0" fontId="30" fillId="5" borderId="6" xfId="0" applyFont="1" applyFill="1" applyBorder="1" applyAlignment="1">
      <alignment horizontal="center" vertical="center" wrapText="1"/>
    </xf>
    <xf numFmtId="0" fontId="30" fillId="5" borderId="12" xfId="0" applyFont="1" applyFill="1" applyBorder="1" applyAlignment="1">
      <alignment horizontal="center" vertical="center" wrapText="1"/>
    </xf>
    <xf numFmtId="0" fontId="33" fillId="5" borderId="5" xfId="1" applyNumberFormat="1" applyFont="1" applyFill="1" applyBorder="1" applyAlignment="1">
      <alignment horizontal="center"/>
    </xf>
    <xf numFmtId="0" fontId="33" fillId="5" borderId="9" xfId="1" applyNumberFormat="1" applyFont="1" applyFill="1" applyBorder="1" applyAlignment="1">
      <alignment horizontal="center"/>
    </xf>
    <xf numFmtId="0" fontId="33" fillId="5" borderId="8" xfId="1" applyNumberFormat="1" applyFont="1" applyFill="1" applyBorder="1" applyAlignment="1">
      <alignment horizontal="center"/>
    </xf>
    <xf numFmtId="0" fontId="33" fillId="7" borderId="5" xfId="1" applyNumberFormat="1" applyFont="1" applyFill="1" applyBorder="1" applyAlignment="1">
      <alignment horizontal="center" vertical="center"/>
    </xf>
    <xf numFmtId="0" fontId="33" fillId="7" borderId="8" xfId="1" applyNumberFormat="1" applyFont="1" applyFill="1" applyBorder="1" applyAlignment="1">
      <alignment horizontal="center" vertical="center"/>
    </xf>
    <xf numFmtId="0" fontId="33" fillId="5" borderId="5" xfId="1" applyNumberFormat="1" applyFont="1" applyFill="1" applyBorder="1" applyAlignment="1">
      <alignment horizontal="center" vertical="center"/>
    </xf>
    <xf numFmtId="0" fontId="33" fillId="5" borderId="8" xfId="1" applyNumberFormat="1" applyFont="1" applyFill="1" applyBorder="1" applyAlignment="1">
      <alignment horizontal="center" vertical="center"/>
    </xf>
    <xf numFmtId="0" fontId="33" fillId="8" borderId="5" xfId="1" applyNumberFormat="1" applyFont="1" applyFill="1" applyBorder="1" applyAlignment="1">
      <alignment horizontal="center" vertical="center"/>
    </xf>
    <xf numFmtId="0" fontId="33" fillId="8" borderId="8" xfId="1" applyNumberFormat="1" applyFont="1" applyFill="1" applyBorder="1" applyAlignment="1">
      <alignment horizontal="center" vertical="center"/>
    </xf>
    <xf numFmtId="0" fontId="33" fillId="9" borderId="5" xfId="1" applyNumberFormat="1" applyFont="1" applyFill="1" applyBorder="1" applyAlignment="1">
      <alignment horizontal="center" vertical="center"/>
    </xf>
    <xf numFmtId="0" fontId="33" fillId="9" borderId="8" xfId="1" applyNumberFormat="1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0" fontId="30" fillId="2" borderId="4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30" fillId="18" borderId="2" xfId="0" applyFont="1" applyFill="1" applyBorder="1" applyAlignment="1">
      <alignment horizontal="center" vertical="center"/>
    </xf>
    <xf numFmtId="0" fontId="30" fillId="18" borderId="4" xfId="0" applyFont="1" applyFill="1" applyBorder="1" applyAlignment="1">
      <alignment horizontal="center" vertical="center"/>
    </xf>
    <xf numFmtId="0" fontId="30" fillId="18" borderId="3" xfId="0" applyFont="1" applyFill="1" applyBorder="1" applyAlignment="1">
      <alignment horizontal="center" vertical="center"/>
    </xf>
    <xf numFmtId="0" fontId="30" fillId="18" borderId="2" xfId="0" applyFont="1" applyFill="1" applyBorder="1" applyAlignment="1">
      <alignment horizontal="center" vertical="center" wrapText="1"/>
    </xf>
    <xf numFmtId="43" fontId="32" fillId="0" borderId="17" xfId="35" applyFont="1" applyFill="1" applyBorder="1" applyAlignment="1">
      <alignment horizontal="left"/>
    </xf>
    <xf numFmtId="43" fontId="32" fillId="0" borderId="10" xfId="35" applyFont="1" applyFill="1" applyBorder="1" applyAlignment="1">
      <alignment horizontal="left"/>
    </xf>
    <xf numFmtId="0" fontId="30" fillId="14" borderId="45" xfId="0" applyFont="1" applyFill="1" applyBorder="1" applyAlignment="1">
      <alignment horizontal="center" vertical="center"/>
    </xf>
    <xf numFmtId="0" fontId="30" fillId="14" borderId="46" xfId="0" applyFont="1" applyFill="1" applyBorder="1" applyAlignment="1">
      <alignment horizontal="center" vertical="center"/>
    </xf>
    <xf numFmtId="0" fontId="30" fillId="14" borderId="37" xfId="0" applyFont="1" applyFill="1" applyBorder="1" applyAlignment="1">
      <alignment horizontal="center" vertical="center"/>
    </xf>
    <xf numFmtId="0" fontId="30" fillId="14" borderId="2" xfId="0" applyFont="1" applyFill="1" applyBorder="1" applyAlignment="1">
      <alignment horizontal="center" vertical="center"/>
    </xf>
    <xf numFmtId="0" fontId="30" fillId="14" borderId="39" xfId="0" applyFont="1" applyFill="1" applyBorder="1" applyAlignment="1">
      <alignment horizontal="center" vertical="center"/>
    </xf>
    <xf numFmtId="0" fontId="30" fillId="14" borderId="5" xfId="0" applyFont="1" applyFill="1" applyBorder="1" applyAlignment="1">
      <alignment horizontal="center" vertical="center"/>
    </xf>
    <xf numFmtId="0" fontId="30" fillId="14" borderId="8" xfId="0" applyFont="1" applyFill="1" applyBorder="1" applyAlignment="1">
      <alignment horizontal="center" vertical="center"/>
    </xf>
    <xf numFmtId="0" fontId="30" fillId="0" borderId="0" xfId="0" applyFont="1" applyAlignment="1">
      <alignment horizontal="right"/>
    </xf>
    <xf numFmtId="0" fontId="30" fillId="14" borderId="31" xfId="0" applyFont="1" applyFill="1" applyBorder="1" applyAlignment="1">
      <alignment horizontal="center" vertical="center"/>
    </xf>
    <xf numFmtId="0" fontId="30" fillId="14" borderId="44" xfId="0" applyFont="1" applyFill="1" applyBorder="1" applyAlignment="1">
      <alignment horizontal="center" vertical="center"/>
    </xf>
    <xf numFmtId="0" fontId="30" fillId="14" borderId="34" xfId="0" applyFont="1" applyFill="1" applyBorder="1" applyAlignment="1">
      <alignment horizontal="center" vertical="center"/>
    </xf>
    <xf numFmtId="0" fontId="30" fillId="14" borderId="43" xfId="0" applyFont="1" applyFill="1" applyBorder="1" applyAlignment="1">
      <alignment horizontal="center" vertical="center"/>
    </xf>
    <xf numFmtId="0" fontId="30" fillId="14" borderId="4" xfId="0" applyFont="1" applyFill="1" applyBorder="1" applyAlignment="1">
      <alignment horizontal="center" vertical="center"/>
    </xf>
    <xf numFmtId="0" fontId="30" fillId="14" borderId="29" xfId="0" applyFont="1" applyFill="1" applyBorder="1" applyAlignment="1">
      <alignment horizontal="center" vertical="center"/>
    </xf>
    <xf numFmtId="0" fontId="30" fillId="14" borderId="43" xfId="0" applyFont="1" applyFill="1" applyBorder="1" applyAlignment="1">
      <alignment horizontal="center" vertical="center" wrapText="1"/>
    </xf>
    <xf numFmtId="0" fontId="30" fillId="14" borderId="4" xfId="0" applyFont="1" applyFill="1" applyBorder="1" applyAlignment="1">
      <alignment horizontal="center" vertical="center" wrapText="1"/>
    </xf>
    <xf numFmtId="0" fontId="30" fillId="14" borderId="39" xfId="0" applyFont="1" applyFill="1" applyBorder="1" applyAlignment="1">
      <alignment horizontal="center" vertical="center" wrapText="1"/>
    </xf>
    <xf numFmtId="0" fontId="30" fillId="14" borderId="29" xfId="0" applyFont="1" applyFill="1" applyBorder="1" applyAlignment="1">
      <alignment horizontal="center" vertical="center" wrapText="1"/>
    </xf>
    <xf numFmtId="0" fontId="31" fillId="22" borderId="5" xfId="0" applyFont="1" applyFill="1" applyBorder="1" applyAlignment="1">
      <alignment horizontal="center" vertical="center"/>
    </xf>
    <xf numFmtId="0" fontId="31" fillId="22" borderId="9" xfId="0" applyFont="1" applyFill="1" applyBorder="1" applyAlignment="1">
      <alignment horizontal="center" vertical="center"/>
    </xf>
    <xf numFmtId="0" fontId="31" fillId="22" borderId="8" xfId="0" applyFont="1" applyFill="1" applyBorder="1" applyAlignment="1">
      <alignment horizontal="center" vertical="center"/>
    </xf>
    <xf numFmtId="0" fontId="30" fillId="14" borderId="3" xfId="0" applyFont="1" applyFill="1" applyBorder="1" applyAlignment="1">
      <alignment horizontal="center" vertical="center"/>
    </xf>
    <xf numFmtId="0" fontId="30" fillId="14" borderId="3" xfId="0" applyFont="1" applyFill="1" applyBorder="1" applyAlignment="1">
      <alignment horizontal="center" vertical="center" wrapText="1"/>
    </xf>
    <xf numFmtId="0" fontId="30" fillId="14" borderId="1" xfId="0" applyFont="1" applyFill="1" applyBorder="1" applyAlignment="1">
      <alignment horizontal="center" vertical="center"/>
    </xf>
    <xf numFmtId="165" fontId="29" fillId="0" borderId="43" xfId="0" applyNumberFormat="1" applyFont="1" applyBorder="1" applyAlignment="1">
      <alignment horizontal="center" vertical="center"/>
    </xf>
    <xf numFmtId="165" fontId="29" fillId="0" borderId="4" xfId="0" applyNumberFormat="1" applyFont="1" applyBorder="1" applyAlignment="1">
      <alignment horizontal="center" vertical="center"/>
    </xf>
    <xf numFmtId="165" fontId="29" fillId="0" borderId="3" xfId="0" applyNumberFormat="1" applyFont="1" applyBorder="1" applyAlignment="1">
      <alignment horizontal="center" vertical="center"/>
    </xf>
    <xf numFmtId="165" fontId="29" fillId="3" borderId="43" xfId="1" applyFont="1" applyFill="1" applyBorder="1" applyAlignment="1">
      <alignment horizontal="center" vertical="center"/>
    </xf>
    <xf numFmtId="165" fontId="29" fillId="3" borderId="4" xfId="1" applyFont="1" applyFill="1" applyBorder="1" applyAlignment="1">
      <alignment horizontal="center" vertical="center"/>
    </xf>
    <xf numFmtId="165" fontId="29" fillId="3" borderId="3" xfId="1" applyFont="1" applyFill="1" applyBorder="1" applyAlignment="1">
      <alignment horizontal="center" vertical="center"/>
    </xf>
    <xf numFmtId="165" fontId="0" fillId="0" borderId="0" xfId="24" applyFont="1" applyAlignment="1">
      <alignment horizontal="center" wrapText="1"/>
    </xf>
    <xf numFmtId="0" fontId="0" fillId="10" borderId="21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</cellXfs>
  <cellStyles count="43">
    <cellStyle name="Comma" xfId="1" builtinId="3"/>
    <cellStyle name="Comma  - Style1" xfId="2" xr:uid="{00000000-0005-0000-0000-000001000000}"/>
    <cellStyle name="Comma  - Style2" xfId="3" xr:uid="{00000000-0005-0000-0000-000002000000}"/>
    <cellStyle name="Comma  - Style3" xfId="4" xr:uid="{00000000-0005-0000-0000-000003000000}"/>
    <cellStyle name="Comma [0]" xfId="5" builtinId="6"/>
    <cellStyle name="Comma [0] 2" xfId="25" xr:uid="{00000000-0005-0000-0000-000005000000}"/>
    <cellStyle name="Comma [0] 3" xfId="33" xr:uid="{00000000-0005-0000-0000-000006000000}"/>
    <cellStyle name="Comma [0] 4" xfId="34" xr:uid="{00000000-0005-0000-0000-000007000000}"/>
    <cellStyle name="Comma 10" xfId="24" xr:uid="{00000000-0005-0000-0000-000008000000}"/>
    <cellStyle name="Comma 2" xfId="6" xr:uid="{00000000-0005-0000-0000-000009000000}"/>
    <cellStyle name="Comma 3" xfId="32" xr:uid="{00000000-0005-0000-0000-00000A000000}"/>
    <cellStyle name="Comma 4" xfId="35" xr:uid="{00000000-0005-0000-0000-00000B000000}"/>
    <cellStyle name="Comma 5" xfId="37" xr:uid="{00000000-0005-0000-0000-00000C000000}"/>
    <cellStyle name="Comma 6" xfId="42" xr:uid="{349CE291-CB12-416A-956B-3BBA9ED8E594}"/>
    <cellStyle name="Comma 8" xfId="39" xr:uid="{00000000-0005-0000-0000-00000D000000}"/>
    <cellStyle name="Comma 9" xfId="38" xr:uid="{00000000-0005-0000-0000-00000E000000}"/>
    <cellStyle name="Curren - Style2" xfId="7" xr:uid="{00000000-0005-0000-0000-00000F000000}"/>
    <cellStyle name="Curren - Style7" xfId="8" xr:uid="{00000000-0005-0000-0000-000010000000}"/>
    <cellStyle name="Curren - Style8" xfId="9" xr:uid="{00000000-0005-0000-0000-000011000000}"/>
    <cellStyle name="Norma - Style1" xfId="10" xr:uid="{00000000-0005-0000-0000-000012000000}"/>
    <cellStyle name="Norma - Style2" xfId="11" xr:uid="{00000000-0005-0000-0000-000013000000}"/>
    <cellStyle name="Norma - Style3" xfId="12" xr:uid="{00000000-0005-0000-0000-000014000000}"/>
    <cellStyle name="Norma - Style4" xfId="13" xr:uid="{00000000-0005-0000-0000-000015000000}"/>
    <cellStyle name="Norma - Style5" xfId="14" xr:uid="{00000000-0005-0000-0000-000016000000}"/>
    <cellStyle name="Norma - Style6" xfId="15" xr:uid="{00000000-0005-0000-0000-000017000000}"/>
    <cellStyle name="Norma - Style7" xfId="16" xr:uid="{00000000-0005-0000-0000-000018000000}"/>
    <cellStyle name="Norma - Style8" xfId="17" xr:uid="{00000000-0005-0000-0000-000019000000}"/>
    <cellStyle name="Normal" xfId="0" builtinId="0"/>
    <cellStyle name="Normal - Style1" xfId="18" xr:uid="{00000000-0005-0000-0000-00001B000000}"/>
    <cellStyle name="Normal 2" xfId="19" xr:uid="{00000000-0005-0000-0000-00001C000000}"/>
    <cellStyle name="Normal 2 2 2" xfId="26" xr:uid="{00000000-0005-0000-0000-00001D000000}"/>
    <cellStyle name="Normal 22" xfId="27" xr:uid="{00000000-0005-0000-0000-00001E000000}"/>
    <cellStyle name="Normal 3" xfId="30" xr:uid="{00000000-0005-0000-0000-00001F000000}"/>
    <cellStyle name="Normal 3 2" xfId="40" xr:uid="{00000000-0005-0000-0000-000020000000}"/>
    <cellStyle name="Normal 4" xfId="31" xr:uid="{00000000-0005-0000-0000-000021000000}"/>
    <cellStyle name="Normal 5" xfId="36" xr:uid="{00000000-0005-0000-0000-000022000000}"/>
    <cellStyle name="Normal 6" xfId="23" xr:uid="{00000000-0005-0000-0000-000023000000}"/>
    <cellStyle name="Normal 7" xfId="41" xr:uid="{F93721D0-8D9F-4871-BC01-CCCCAC34B3C3}"/>
    <cellStyle name="Normal_Form Budget 2008 Non Biaya Rev01" xfId="28" xr:uid="{00000000-0005-0000-0000-000024000000}"/>
    <cellStyle name="Normal_RKP FFD 5 Tahun 2008-2012" xfId="29" xr:uid="{00000000-0005-0000-0000-000025000000}"/>
    <cellStyle name="Percent" xfId="21" builtinId="5"/>
    <cellStyle name="Percent 2" xfId="22" xr:uid="{00000000-0005-0000-0000-000027000000}"/>
    <cellStyle name="User_Defined_A" xfId="20" xr:uid="{00000000-0005-0000-0000-000028000000}"/>
  </cellStyles>
  <dxfs count="0"/>
  <tableStyles count="0" defaultTableStyle="TableStyleMedium9" defaultPivotStyle="PivotStyleLight16"/>
  <colors>
    <mruColors>
      <color rgb="FF00FFFF"/>
      <color rgb="FFFFFFCC"/>
      <color rgb="FFFCD5B4"/>
      <color rgb="FF99FFCC"/>
      <color rgb="FFCCFFCC"/>
      <color rgb="FFC5D9F1"/>
      <color rgb="FFCCFFFF"/>
      <color rgb="FFFF00FF"/>
      <color rgb="FFFF99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21" Type="http://schemas.openxmlformats.org/officeDocument/2006/relationships/externalLink" Target="externalLinks/externalLink9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externalLink" Target="externalLinks/externalLink20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externalLink" Target="externalLinks/externalLink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13</xdr:row>
      <xdr:rowOff>0</xdr:rowOff>
    </xdr:from>
    <xdr:to>
      <xdr:col>13</xdr:col>
      <xdr:colOff>304800</xdr:colOff>
      <xdr:row>14</xdr:row>
      <xdr:rowOff>146957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FF79020E-1A16-4EAD-E706-E8E4B384AC4C}"/>
            </a:ext>
          </a:extLst>
        </xdr:cNvPr>
        <xdr:cNvSpPr>
          <a:spLocks noChangeAspect="1" noChangeArrowheads="1"/>
        </xdr:cNvSpPr>
      </xdr:nvSpPr>
      <xdr:spPr bwMode="auto">
        <a:xfrm>
          <a:off x="10423071" y="2906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868612</xdr:colOff>
      <xdr:row>7</xdr:row>
      <xdr:rowOff>171153</xdr:rowOff>
    </xdr:from>
    <xdr:to>
      <xdr:col>7</xdr:col>
      <xdr:colOff>26674</xdr:colOff>
      <xdr:row>17</xdr:row>
      <xdr:rowOff>71911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0C3522-3DA5-B1FD-12DB-9F00C2B9F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1553" y="1792271"/>
          <a:ext cx="1825062" cy="18057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3176</xdr:colOff>
      <xdr:row>6</xdr:row>
      <xdr:rowOff>12700</xdr:rowOff>
    </xdr:from>
    <xdr:to>
      <xdr:col>2</xdr:col>
      <xdr:colOff>295276</xdr:colOff>
      <xdr:row>7</xdr:row>
      <xdr:rowOff>276228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622D0F7-A798-4CA3-BB2B-DD75E2065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176" y="12700"/>
          <a:ext cx="628650" cy="61912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</xdr:colOff>
      <xdr:row>6</xdr:row>
      <xdr:rowOff>12700</xdr:rowOff>
    </xdr:from>
    <xdr:to>
      <xdr:col>2</xdr:col>
      <xdr:colOff>298450</xdr:colOff>
      <xdr:row>7</xdr:row>
      <xdr:rowOff>276228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20570C-437D-4245-9FDB-BBC6627DB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12700"/>
          <a:ext cx="628650" cy="61912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97118</xdr:colOff>
      <xdr:row>1</xdr:row>
      <xdr:rowOff>1473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2679F8-F0CF-41CC-A8A8-52C672576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412" y="0"/>
          <a:ext cx="395941" cy="38994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1980</xdr:colOff>
      <xdr:row>0</xdr:row>
      <xdr:rowOff>1955</xdr:rowOff>
    </xdr:from>
    <xdr:to>
      <xdr:col>2</xdr:col>
      <xdr:colOff>98593</xdr:colOff>
      <xdr:row>1</xdr:row>
      <xdr:rowOff>2840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FA1BBA-8F3D-4564-9076-8095A8C34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194" y="1955"/>
          <a:ext cx="395970" cy="3909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mi\umum\CH3-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dget1\data\BUDGET\MSOFFICE\EXCEL\MGR-2000\AGST\MGR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dget1\data\MSOFFICE\EXCEL\AGRONOMY\LAP_SKT\SRH_TRM\2001_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14.58\Agronomi%202014\Data%20kerja\Agronomi%20Staff\Budget\2009\Budget%202009%20OK\PLASMA%201\BUDGET%20KAPITA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sma1-03\shared%20folder%20plasma1-03\BUDGET%20PLASMA%201_2010%20REVISI-2\BUDGET%20KAPITA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sma1-03\shared%20folder%20plasma1-03\BUDGET%20PLASMA%201_2009_REVISI-1\BUDGET%20KAPITA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G2000\Upah%20SKU%20Budget%20200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aataaa\hujan\CH3-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yan\MY%20DOCUMENTS\DOCUME~1\Aan\LOCALS~1\Temp\Agro%2003%20-%201997\Excel\Manager%20Repor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kb-po1\ojeng_folder_share\F\BUDGET%202008\BGT%202008_INTI\BGT%20KPTL%20IT%2024_09_07_KOREKSI\PLANTATION%20OPERATION%20F\PRESENTASI%202006\PRESENTASI%20PROGRESS%202006_MANAGER_DATA_BLANGKO%20200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49\po\F\BUDGET%202008_FINAL\BGT%202008_REKAPITULASI\BUDGET%20INTI%20TA%202008\PLANTATION%20OPERATION%20F\PRESENTASI%202006\PRESENTASI%20PROGRESS%202006_MANAGER_DATA_BLANGKO%20200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14.147\hasil%20scan\Users\heru\Spark\user\ruru@gps.network\downloads\DATA_1\01%20Budget%20Control%20Dept\01%20BUDGET\Budget%202010\Budget%202010%20HO\Budget%202010%20HO%20Dept%20HO%20Rev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kb-po1\ojeng_folder_share\F\BUDGET%202008\BGT%202008_LAIN2\PLANTATION%20OPERATION%20F\PRESENTASI%202006\PRESENTASI%20PROGRESS%202006_MANAGER_DATA_BLANGKO%202006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dget1\data\BGT-2003\pres\MSOFFICE\EXCEL\MGR-2000\AGST\MGR_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49\po\F\BUDGET%202008_FINAL\BGT%202008_REKAPITULASI\Budget%20P2%202008%20edit%20ok\P2%20Lama\data%20link\TITIPAN\TITIPAN%20TANAMAN\Yitno\DATA%20Utk%20MEETING%20TGL%2007-0-2007\PRESENTASI%20PROGRESS%202006_MANAGER_DATA_BLANGKO%202006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49\po\F\BUDGET%202008_FINAL\BGT%202008_REKAPITULASI\BGT_2008_PLASMA%201-REVISI\BUDGET%20KAPITAL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14.147\hasil%20scan\Users\heru\Spark\user\ruru@gps.network\downloads\Documents%20and%20Settings\All%20Users\Documents\BUDGET%202009\Budget%2009%20Revisi\HO\Hand%20Out%202009\BUDGET%20KAPITA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e-01\data-off\data-off\budget-03\prabudget\daaataaa\hujan\CH3-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grkebun\C\Documents%20and%20Settings\Ojeng\My%20Documents\DOKUMEN%20DARI%20PKS\CONTOH%20BUDGET%20P%20SYOFNIR\6.%20%20%20BUDGET%20-%202007\Presentasi-Totalitas-Estate-Bgt2007%20as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sma3\c\Documents%20and%20Settings\Ojeng\My%20Documents\DOKUMEN%20DARI%20PKS\CONTOH%20BUDGET%20P%20SYOFNIR\6.%20%20%20BUDGET%20-%202007\Presentasi-Totalitas-Estate-Bgt2007%20ase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1.%20REPLANTING\RKP%20PLASMA\3.%20RKP%20REPLANTING%20KEBUN%20BKB%20PLASM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fik-2000"/>
      <sheetName val="grafik-99"/>
      <sheetName val="grafik-98"/>
      <sheetName val="grafik-97"/>
      <sheetName val="data-hujan"/>
      <sheetName val="data_hujan"/>
      <sheetName val="12"/>
      <sheetName val="08 Jan 2005"/>
      <sheetName val="15 Jan 2005"/>
      <sheetName val="22 Jan 2005"/>
      <sheetName val="29 Jan "/>
      <sheetName val="05 Jan"/>
      <sheetName val="16 Feb 04"/>
      <sheetName val="23 Feb 04 "/>
      <sheetName val="01 Mar 04"/>
      <sheetName val="08 Mar 04 "/>
      <sheetName val="15 Mar 04"/>
      <sheetName val="22  Mar 04"/>
      <sheetName val="28  Mar 04"/>
      <sheetName val="03 April 04 "/>
      <sheetName val="10 April 04 "/>
      <sheetName val="17 April 04  "/>
      <sheetName val="17 April 04 edit"/>
      <sheetName val="24 April 04 "/>
      <sheetName val="24 April 04 edit"/>
      <sheetName val="01 Mei 04"/>
      <sheetName val="08 Mei 04"/>
      <sheetName val="15 Mei 04"/>
      <sheetName val="22 Mei 04 "/>
      <sheetName val="29 Mei 04 "/>
      <sheetName val="05 Juni 04"/>
      <sheetName val="12 Juni 04 "/>
      <sheetName val="19 Juni 04  "/>
      <sheetName val="26 Juni 04 "/>
      <sheetName val=" 30 Juni 04 "/>
      <sheetName val=" 03 Juli 04  "/>
      <sheetName val=" 10 Juli 04   "/>
      <sheetName val=" 17 Juli 04 "/>
      <sheetName val="10 Juli 04 Penyesuaian"/>
      <sheetName val="17 Juli 04 Penyesuaian"/>
      <sheetName val=" 24 Juli 04    "/>
      <sheetName val=" 31 Juli 04 "/>
      <sheetName val="07 Agustus 04"/>
      <sheetName val="14 Agustus 04 "/>
      <sheetName val="22 Agustus 04 "/>
      <sheetName val="28 Agustus 04  "/>
      <sheetName val="Progres"/>
      <sheetName val="DAT_1"/>
      <sheetName val="April"/>
      <sheetName val="TBM"/>
      <sheetName val="K.025CPO-09"/>
      <sheetName val="WP "/>
      <sheetName val="K001-PK-09"/>
      <sheetName val="K.002CPO"/>
      <sheetName val="K.026CPO08"/>
      <sheetName val="MUTU BUAH"/>
      <sheetName val="INDIRECT DETAIL"/>
      <sheetName val="08_Jan_2005"/>
      <sheetName val="15_Jan_2005"/>
      <sheetName val="22_Jan_2005"/>
      <sheetName val="29_Jan_"/>
      <sheetName val="05_Jan"/>
      <sheetName val="16_Feb_04"/>
      <sheetName val="23_Feb_04_"/>
      <sheetName val="01_Mar_04"/>
      <sheetName val="08_Mar_04_"/>
      <sheetName val="15_Mar_04"/>
      <sheetName val="22__Mar_04"/>
      <sheetName val="28__Mar_04"/>
      <sheetName val="03_April_04_"/>
      <sheetName val="10_April_04_"/>
      <sheetName val="17_April_04__"/>
      <sheetName val="17_April_04_edit"/>
      <sheetName val="24_April_04_"/>
      <sheetName val="24_April_04_edit"/>
      <sheetName val="01_Mei_04"/>
      <sheetName val="08_Mei_04"/>
      <sheetName val="15_Mei_04"/>
      <sheetName val="22_Mei_04_"/>
      <sheetName val="29_Mei_04_"/>
      <sheetName val="05_Juni_04"/>
      <sheetName val="12_Juni_04_"/>
      <sheetName val="19_Juni_04__"/>
      <sheetName val="26_Juni_04_"/>
      <sheetName val="_30_Juni_04_"/>
      <sheetName val="_03_Juli_04__"/>
      <sheetName val="_10_Juli_04___"/>
      <sheetName val="_17_Juli_04_"/>
      <sheetName val="10_Juli_04_Penyesuaian"/>
      <sheetName val="17_Juli_04_Penyesuaian"/>
      <sheetName val="_24_Juli_04____"/>
      <sheetName val="_31_Juli_04_"/>
      <sheetName val="07_Agustus_04"/>
      <sheetName val="14_Agustus_04_"/>
      <sheetName val="22_Agustus_04_"/>
      <sheetName val="28_Agustus_04__"/>
      <sheetName val="K_025CPO-09"/>
      <sheetName val="WP_"/>
      <sheetName val="K_002CPO"/>
      <sheetName val="K_026CPO08"/>
      <sheetName val="Ex_Rate"/>
      <sheetName val="DIRECT COST"/>
      <sheetName val="OPR-99"/>
      <sheetName val="JSiar"/>
      <sheetName val="Global"/>
      <sheetName val="Pk prod"/>
      <sheetName val="Dumtk"/>
      <sheetName val="F"/>
      <sheetName val="97EST021"/>
      <sheetName val="NK Oct'11"/>
      <sheetName val="BHL"/>
      <sheetName val="grafi聫-98"/>
      <sheetName val="08_Jan_20051"/>
      <sheetName val="15_Jan_20051"/>
      <sheetName val="22_Jan_20051"/>
      <sheetName val="29_Jan_1"/>
      <sheetName val="05_Jan1"/>
      <sheetName val="16_Feb_041"/>
      <sheetName val="23_Feb_04_1"/>
      <sheetName val="01_Mar_041"/>
      <sheetName val="08_Mar_04_1"/>
      <sheetName val="15_Mar_041"/>
      <sheetName val="22__Mar_041"/>
      <sheetName val="28__Mar_041"/>
      <sheetName val="03_April_04_1"/>
      <sheetName val="10_April_04_1"/>
      <sheetName val="17_April_04__1"/>
      <sheetName val="17_April_04_edit1"/>
      <sheetName val="24_April_04_1"/>
      <sheetName val="24_April_04_edit1"/>
      <sheetName val="01_Mei_041"/>
      <sheetName val="08_Mei_041"/>
      <sheetName val="15_Mei_041"/>
      <sheetName val="22_Mei_04_1"/>
      <sheetName val="29_Mei_04_1"/>
      <sheetName val="05_Juni_041"/>
      <sheetName val="12_Juni_04_1"/>
      <sheetName val="19_Juni_04__1"/>
      <sheetName val="26_Juni_04_1"/>
      <sheetName val="_30_Juni_04_1"/>
      <sheetName val="_03_Juli_04__1"/>
      <sheetName val="_10_Juli_04___1"/>
      <sheetName val="_17_Juli_04_1"/>
      <sheetName val="10_Juli_04_Penyesuaian1"/>
      <sheetName val="17_Juli_04_Penyesuaian1"/>
      <sheetName val="_24_Juli_04____1"/>
      <sheetName val="_31_Juli_04_1"/>
      <sheetName val="07_Agustus_041"/>
      <sheetName val="14_Agustus_04_1"/>
      <sheetName val="22_Agustus_04_1"/>
      <sheetName val="28_Agustus_04__1"/>
      <sheetName val="K_025CPO-091"/>
      <sheetName val="WP_1"/>
      <sheetName val="K_002CPO1"/>
      <sheetName val="K_026CPO081"/>
      <sheetName val="MUTU_BUAH"/>
      <sheetName val="INDIRECT_DETAIL"/>
      <sheetName val="Pk_prod"/>
      <sheetName val="DIRECT_COST"/>
      <sheetName val="KGP Thp I"/>
      <sheetName val="KGP Thp II"/>
      <sheetName val="Book1"/>
      <sheetName val="DETAIL"/>
      <sheetName val="#REF"/>
      <sheetName val="Akomodasi"/>
      <sheetName val="Sheet1"/>
      <sheetName val="Daftar Harga Barang"/>
      <sheetName val="INDRCT DTL"/>
      <sheetName val="WIL 1"/>
      <sheetName val="AKTIVA"/>
      <sheetName val="MM.PAGE-2.X"/>
      <sheetName val="HAL10"/>
      <sheetName val="BAB-1"/>
      <sheetName val="REKAP EST PROD 13 edt"/>
      <sheetName val="36"/>
      <sheetName val="aktual"/>
      <sheetName val="Upah SKUB"/>
      <sheetName val="Asumsi"/>
      <sheetName val="ocean voyage"/>
      <sheetName val="2002"/>
      <sheetName val="PO"/>
      <sheetName val="FISIK RAB 2000"/>
      <sheetName val="Karung"/>
      <sheetName val="PBG_2"/>
      <sheetName val="Cover"/>
      <sheetName val="Daftar isi"/>
      <sheetName val="Libur"/>
      <sheetName val="MPP"/>
      <sheetName val="Lbr Sched."/>
      <sheetName val="SKU BUL."/>
      <sheetName val="SKU-HAR."/>
      <sheetName val="SKU KHT"/>
      <sheetName val="LBR SLR DTL"/>
      <sheetName val="LEMBUR 2007"/>
      <sheetName val="Prod.smry"/>
      <sheetName val="Rekap Biaya"/>
      <sheetName val="Expens&amp;Rnue (2)"/>
      <sheetName val="DIRECT SMR"/>
      <sheetName val="DIRECT DETAIL"/>
      <sheetName val="INDIRECT SMR"/>
      <sheetName val="INDIRECT COST"/>
      <sheetName val="SE SMR"/>
      <sheetName val="SE COST"/>
      <sheetName val="SE Detail"/>
      <sheetName val="CAPITAL2007"/>
      <sheetName val="TRANS PWR "/>
      <sheetName val="TRANS VEHICL"/>
      <sheetName val="TRANS WATER"/>
      <sheetName val="TRANS WORKM&amp;R"/>
      <sheetName val="TRANS RMH"/>
      <sheetName val="TRANS ALT BERAT"/>
      <sheetName val="COA (3)"/>
      <sheetName val="#REF!"/>
      <sheetName val="L.BA blok"/>
      <sheetName val="_43_9_1"/>
      <sheetName val="TB"/>
      <sheetName val="kki"/>
      <sheetName val="fin pro centers"/>
      <sheetName val="SUMMARY"/>
      <sheetName val="Valuation"/>
      <sheetName val="JADI"/>
      <sheetName val="DAT-1"/>
      <sheetName val="KK CFP JAKARTA"/>
      <sheetName val="Gaji Non Staff"/>
      <sheetName val="Add-trans"/>
      <sheetName val="S-2"/>
      <sheetName val="Pro-Base"/>
      <sheetName val="S-1"/>
      <sheetName val="Revenue"/>
      <sheetName val="Add-rev"/>
      <sheetName val="Exist"/>
      <sheetName val="Tot"/>
      <sheetName val="Tranponder"/>
      <sheetName val="CF Konsol"/>
      <sheetName val="Ulasan"/>
      <sheetName val=" Penjelasan RKB-PDO"/>
      <sheetName val="Rekap  Total"/>
      <sheetName val="SAK"/>
      <sheetName val="BPTL"/>
      <sheetName val="PABRIK (2)"/>
      <sheetName val="Premi Iuran"/>
      <sheetName val="III"/>
      <sheetName val="Diagnosa"/>
      <sheetName val="Referensi"/>
      <sheetName val="A"/>
      <sheetName val="NK_Oct'11"/>
      <sheetName val="Data"/>
      <sheetName val="list"/>
      <sheetName val="CPO 16-9-TID "/>
      <sheetName val="Bantu"/>
      <sheetName val="Sheet2"/>
      <sheetName val="Sheet3"/>
      <sheetName val="8.Upah rata2"/>
      <sheetName val="LEMBUR 2006"/>
      <sheetName val="Prod. Stats"/>
      <sheetName val="Capital"/>
      <sheetName val="Kualitas TBS"/>
      <sheetName val="Kesegaran TBS"/>
      <sheetName val="GeneralInfo"/>
      <sheetName val="MGR-12"/>
      <sheetName val="3"/>
      <sheetName val="PK"/>
      <sheetName val="12-06-ins"/>
      <sheetName val="10  Summary all"/>
      <sheetName val="14"/>
      <sheetName val="20"/>
      <sheetName val="26"/>
      <sheetName val="28"/>
      <sheetName val="Sheet8"/>
      <sheetName val="Perhitungan"/>
      <sheetName val="WIL_1"/>
      <sheetName val="MM_PAGE-2_X"/>
      <sheetName val="ocean_voyage"/>
      <sheetName val="FISIK_RAB_2000"/>
      <sheetName val="REKAP_EST_PROD_13_edt"/>
      <sheetName val="General"/>
      <sheetName val="Capex Sum"/>
      <sheetName val="AAL"/>
      <sheetName val="IIS"/>
      <sheetName val="AARJ"/>
      <sheetName val="XXXXXXXXXXXX"/>
      <sheetName val="BJR-JJ"/>
      <sheetName val="BA"/>
      <sheetName val="TBSv"/>
      <sheetName val="1999"/>
      <sheetName val="MASTER_INPUT"/>
      <sheetName val="PREMI"/>
      <sheetName val="Budget"/>
      <sheetName val="Analisa"/>
      <sheetName val="MASTER PJCM"/>
      <sheetName val="MASTER MB"/>
      <sheetName val="UMUR KOMPLEK PJCM"/>
      <sheetName val="UMUR KOMPLEK IU MB"/>
      <sheetName val="IU PJCM"/>
      <sheetName val="IU MB"/>
      <sheetName val="DAFTAR NAMA KOMPLEK"/>
      <sheetName val="KOMP"/>
      <sheetName val="97EST120-ok"/>
      <sheetName val="Hal-12 "/>
      <sheetName val="PT"/>
      <sheetName val="Bahasa"/>
      <sheetName val="Dkg-16"/>
      <sheetName val="CH"/>
      <sheetName val="keb-bbm"/>
      <sheetName val="MrTong"/>
      <sheetName val="MGR_12"/>
      <sheetName val="Penjelasan SCK"/>
      <sheetName val="Rin1"/>
      <sheetName val="HET PBG3"/>
      <sheetName val="SOURCE"/>
      <sheetName val="Trading Statement"/>
      <sheetName val="0220"/>
      <sheetName val="Cash-print"/>
      <sheetName val="Tanaman"/>
      <sheetName val="21s"/>
      <sheetName val="2"/>
      <sheetName val="5"/>
      <sheetName val="6"/>
      <sheetName val="7"/>
      <sheetName val="9"/>
      <sheetName val="11"/>
      <sheetName val="10"/>
      <sheetName val="15"/>
      <sheetName val="22"/>
      <sheetName val="23"/>
      <sheetName val="24b"/>
      <sheetName val="25"/>
      <sheetName val="27"/>
      <sheetName val="29"/>
      <sheetName val="30"/>
      <sheetName val="31"/>
      <sheetName val="32"/>
      <sheetName val="33"/>
      <sheetName val="1"/>
      <sheetName val="4"/>
      <sheetName val="Biaya-Inv"/>
      <sheetName val="As"/>
      <sheetName val="kud"/>
      <sheetName val="JL_BEL"/>
      <sheetName val="DATA_JUALAN"/>
      <sheetName val="PPH1298S"/>
      <sheetName val="KODE TRANS"/>
      <sheetName val="Kas Bank"/>
      <sheetName val="may'03"/>
      <sheetName val="2600.50 Rincian Credit Card(HO)"/>
      <sheetName val="Fomat  1"/>
      <sheetName val="04NPE025"/>
      <sheetName val="04NPE008F"/>
      <sheetName val="04NPEII"/>
      <sheetName val="08_Jan_20052"/>
      <sheetName val="15_Jan_20052"/>
      <sheetName val="22_Jan_20052"/>
      <sheetName val="29_Jan_2"/>
      <sheetName val="05_Jan2"/>
      <sheetName val="16_Feb_042"/>
      <sheetName val="23_Feb_04_2"/>
      <sheetName val="01_Mar_042"/>
      <sheetName val="08_Mar_04_2"/>
      <sheetName val="15_Mar_042"/>
      <sheetName val="22__Mar_042"/>
      <sheetName val="28__Mar_042"/>
      <sheetName val="03_April_04_2"/>
      <sheetName val="10_April_04_2"/>
      <sheetName val="17_April_04__2"/>
      <sheetName val="17_April_04_edit2"/>
      <sheetName val="24_April_04_2"/>
      <sheetName val="24_April_04_edit2"/>
      <sheetName val="01_Mei_042"/>
      <sheetName val="08_Mei_042"/>
      <sheetName val="15_Mei_042"/>
      <sheetName val="22_Mei_04_2"/>
      <sheetName val="29_Mei_04_2"/>
      <sheetName val="05_Juni_042"/>
      <sheetName val="12_Juni_04_2"/>
      <sheetName val="19_Juni_04__2"/>
      <sheetName val="26_Juni_04_2"/>
      <sheetName val="_30_Juni_04_2"/>
      <sheetName val="_03_Juli_04__2"/>
      <sheetName val="_10_Juli_04___2"/>
      <sheetName val="_17_Juli_04_2"/>
      <sheetName val="10_Juli_04_Penyesuaian2"/>
      <sheetName val="17_Juli_04_Penyesuaian2"/>
      <sheetName val="_24_Juli_04____2"/>
      <sheetName val="_31_Juli_04_2"/>
      <sheetName val="07_Agustus_042"/>
      <sheetName val="14_Agustus_04_2"/>
      <sheetName val="22_Agustus_04_2"/>
      <sheetName val="28_Agustus_04__2"/>
      <sheetName val="K_025CPO-092"/>
      <sheetName val="WP_2"/>
      <sheetName val="K_002CPO2"/>
      <sheetName val="K_026CPO082"/>
      <sheetName val="INDIRECT_DETAIL1"/>
      <sheetName val="DIRECT_COST1"/>
      <sheetName val="MUTU_BUAH1"/>
      <sheetName val="Pk_prod1"/>
      <sheetName val="NK_Oct'111"/>
      <sheetName val="KGP_Thp_I"/>
      <sheetName val="KGP_Thp_II"/>
      <sheetName val="Daftar_Harga_Barang"/>
      <sheetName val="INDRCT_DTL"/>
      <sheetName val="WIL_11"/>
      <sheetName val="MM_PAGE-2_X1"/>
      <sheetName val="REKAP_EST_PROD_13_edt1"/>
      <sheetName val="Upah_SKUB"/>
      <sheetName val="ocean_voyage1"/>
      <sheetName val="FISIK_RAB_20001"/>
      <sheetName val="Daftar_isi"/>
      <sheetName val="Lbr_Sched_"/>
      <sheetName val="SKU_BUL_"/>
      <sheetName val="SKU-HAR_"/>
      <sheetName val="SKU_KHT"/>
      <sheetName val="LBR_SLR_DTL"/>
      <sheetName val="LEMBUR_2007"/>
      <sheetName val="Prod_smry"/>
      <sheetName val="Rekap_Biaya"/>
      <sheetName val="Expens&amp;Rnue_(2)"/>
      <sheetName val="DIRECT_SMR"/>
      <sheetName val="DIRECT_DETAIL"/>
      <sheetName val="INDIRECT_SMR"/>
      <sheetName val="INDIRECT_COST"/>
      <sheetName val="SE_SMR"/>
      <sheetName val="SE_COST"/>
      <sheetName val="SE_Detail"/>
      <sheetName val="TRANS_PWR_"/>
      <sheetName val="TRANS_VEHICL"/>
      <sheetName val="TRANS_WATER"/>
      <sheetName val="TRANS_WORKM&amp;R"/>
      <sheetName val="TRANS_RMH"/>
      <sheetName val="TRANS_ALT_BERAT"/>
      <sheetName val="COA_(3)"/>
      <sheetName val="L_BA_blok"/>
      <sheetName val="fin_pro_centers"/>
      <sheetName val="KK_CFP_JAKARTA"/>
      <sheetName val="Gaji_Non_Staff"/>
      <sheetName val="CF_Konsol"/>
      <sheetName val="_Penjelasan_RKB-PDO"/>
      <sheetName val="Rekap__Total"/>
      <sheetName val="PABRIK_(2)"/>
      <sheetName val="Premi_Iuran"/>
      <sheetName val="CPO_16-9-TID_"/>
      <sheetName val="8_Upah_rata2"/>
      <sheetName val="LEMBUR_2006"/>
      <sheetName val="Prod__Stats"/>
      <sheetName val="Kualitas_TBS"/>
      <sheetName val="Kesegaran_TBS"/>
      <sheetName val="10__Summary_all"/>
      <sheetName val="Capex_Sum"/>
      <sheetName val="MASTER_PJCM"/>
      <sheetName val="MASTER_MB"/>
      <sheetName val="UMUR_KOMPLEK_PJCM"/>
      <sheetName val="UMUR_KOMPLEK_IU_MB"/>
      <sheetName val="IU_PJCM"/>
      <sheetName val="IU_MB"/>
      <sheetName val="DAFTAR_NAMA_KOMPLEK"/>
      <sheetName val="Atur"/>
      <sheetName val="Account"/>
      <sheetName val="CC_New"/>
      <sheetName val="FA sd APRIL 07"/>
      <sheetName val="fa SD APRIL07"/>
      <sheetName val="Daftar Blok"/>
      <sheetName val="RPT"/>
      <sheetName val="Astek"/>
      <sheetName val="Angkutan"/>
      <sheetName val="Panen"/>
      <sheetName val="RPS"/>
      <sheetName val="Kode Barang"/>
      <sheetName val="DAFISI"/>
      <sheetName val="NoPrint2"/>
      <sheetName val="ACT PROD"/>
      <sheetName val="PLAN PROD"/>
      <sheetName val="Blok"/>
      <sheetName val="39"/>
      <sheetName val=""/>
      <sheetName val="Rinci-Biaya"/>
      <sheetName val="Rinci-Pendapatan"/>
      <sheetName val="LR"/>
      <sheetName val="BTL"/>
      <sheetName val="PT AAM AKT"/>
      <sheetName val="CV.UM-MO"/>
      <sheetName val="CV.UM-RAMP"/>
      <sheetName val="mst_akun"/>
      <sheetName val="MASTER"/>
      <sheetName val="CHART SAMPLES RECEIVED"/>
      <sheetName val="材料汇总表"/>
      <sheetName val="Rincian Iuran"/>
      <sheetName val="dft bns"/>
      <sheetName val="4.1"/>
      <sheetName val="Daftar_Barang"/>
      <sheetName val="Master_Akun"/>
      <sheetName val="HO"/>
      <sheetName val="TBM 3"/>
      <sheetName val="MILL-EXP"/>
      <sheetName val="RBSB"/>
      <sheetName val="List Rayon"/>
      <sheetName val="List Department"/>
      <sheetName val="Palm Prod"/>
      <sheetName val="Data Kar"/>
      <sheetName val="Data Rekon"/>
      <sheetName val="renc. kerja LC"/>
      <sheetName val="SASARAN "/>
      <sheetName val="LOCAL GOVT TAX"/>
      <sheetName val="Sheet1 (3)"/>
      <sheetName val="cogs"/>
      <sheetName val="1-AFD"/>
      <sheetName val="MANU"/>
      <sheetName val="BY TM 99 "/>
      <sheetName val="PL"/>
      <sheetName val=" 45KVA-1"/>
      <sheetName val="DATA LTW"/>
      <sheetName val="97EST120_ok"/>
      <sheetName val="Form"/>
      <sheetName val="WRKP TM"/>
      <sheetName val="Production S2"/>
      <sheetName val="Production S3"/>
      <sheetName val="Rawat"/>
      <sheetName val="Lookup"/>
      <sheetName val="(43)9.1"/>
      <sheetName val="HK Effektif &amp; Rate Upah"/>
      <sheetName val="Harga 2011"/>
      <sheetName val="Kend"/>
      <sheetName val="TRAIL"/>
      <sheetName val="Tabel"/>
      <sheetName val="TBM 0"/>
      <sheetName val="BJ &amp; Koreksi"/>
      <sheetName val="Air Limbah"/>
      <sheetName val="Water Analisis"/>
      <sheetName val="PAGE 1.X"/>
      <sheetName val="Peralatan"/>
      <sheetName val="Basic Price"/>
      <sheetName val="Perhitungan Penalty"/>
      <sheetName val="Rekap Bulanan"/>
      <sheetName val="Program Pupuk Inti"/>
      <sheetName val="RKP 1"/>
      <sheetName val="KOMEN"/>
      <sheetName val="ALAT1"/>
      <sheetName val="ALAT"/>
      <sheetName val="ANA-HRG"/>
      <sheetName val="prod"/>
      <sheetName val="2001"/>
      <sheetName val="CSH12"/>
      <sheetName val="CSH7A"/>
      <sheetName val="SD"/>
      <sheetName val="L-PCR08"/>
      <sheetName val="L-PCR03"/>
      <sheetName val="L-PCR04"/>
      <sheetName val="L-PCR05"/>
      <sheetName val="L-PCR06"/>
      <sheetName val="L-PCR09"/>
      <sheetName val="L-PCR02"/>
      <sheetName val="SUM"/>
      <sheetName val="SUM-INTI"/>
      <sheetName val="SUM-PERBLN"/>
      <sheetName val="cov"/>
      <sheetName val="daftar"/>
      <sheetName val="pss-KB"/>
      <sheetName val="YMHB"/>
      <sheetName val="rekap"/>
      <sheetName val="SKU Inti"/>
      <sheetName val="PHL Inti + Borongan"/>
      <sheetName val="SKU -H Plasma "/>
      <sheetName val="PHL Plasma + Borongan"/>
      <sheetName val="Tunaii"/>
      <sheetName val="Supplier"/>
      <sheetName val="Kontraktor"/>
      <sheetName val="cash"/>
      <sheetName val="Bank"/>
      <sheetName val="BPE1 vs BNI"/>
      <sheetName val="BPE1 vs Mandiri"/>
      <sheetName val="bantu Tunai"/>
      <sheetName val="UPAH"/>
      <sheetName val="DIPAKAI"/>
      <sheetName val="Borongan Pakai"/>
      <sheetName val="Rekapitulasi"/>
      <sheetName val="A.Harian &amp; Bulanan"/>
      <sheetName val="MASTER KARYAWAN"/>
      <sheetName val="Langsir"/>
      <sheetName val="LTW"/>
      <sheetName val="asmp1"/>
      <sheetName val="Ex-Rate"/>
      <sheetName val="BS"/>
      <sheetName val="P&amp;L"/>
      <sheetName val="POM"/>
      <sheetName val="OP"/>
      <sheetName val="Rub"/>
      <sheetName val="BS $"/>
      <sheetName val="P&amp;L $"/>
      <sheetName val="POM $"/>
      <sheetName val="OP $"/>
      <sheetName val="Rub $"/>
      <sheetName val="B"/>
      <sheetName val="C"/>
      <sheetName val="3a"/>
      <sheetName val="3b"/>
      <sheetName val="3c"/>
      <sheetName val="11Rp"/>
      <sheetName val="11$"/>
      <sheetName val="13a"/>
      <sheetName val="13b"/>
      <sheetName val="13c"/>
      <sheetName val="16"/>
      <sheetName val="17"/>
      <sheetName val="18"/>
      <sheetName val="19"/>
      <sheetName val="Interest"/>
      <sheetName val="Staff  Cost"/>
      <sheetName val="Opening"/>
      <sheetName val="TAX LIST"/>
      <sheetName val="Detail_FA"/>
      <sheetName val="rate"/>
      <sheetName val="P3"/>
      <sheetName val="data (2)"/>
      <sheetName val="Marshal"/>
      <sheetName val="CA PROD.A-1"/>
      <sheetName val="IS"/>
      <sheetName val="Gaji Bersih GW"/>
      <sheetName val="Dosis"/>
      <sheetName val="Lookup2"/>
      <sheetName val="CIP_USD"/>
      <sheetName val="SUMMFA-USD"/>
      <sheetName val="Investment"/>
      <sheetName val="A3_USD_PL02"/>
      <sheetName val="Inventories"/>
      <sheetName val="Attn"/>
      <sheetName val="% Lbr vs GP"/>
      <sheetName val="UPDATE KUOTA (VERIFIKASI)"/>
      <sheetName val="Financials"/>
      <sheetName val="10 yr val"/>
      <sheetName val="Input"/>
      <sheetName val="Gaji"/>
      <sheetName val="REKAP OMZET KAPAL"/>
      <sheetName val="PB(B)"/>
      <sheetName val="FORM X COST"/>
      <sheetName val="tonper Ha-TT 2000"/>
      <sheetName val="Trip"/>
      <sheetName val="Data SRL"/>
      <sheetName val="Data Prod_Graf"/>
      <sheetName val="PK RM"/>
      <sheetName val="Dbase TK"/>
      <sheetName val="Dbase AP"/>
      <sheetName val="AGING"/>
      <sheetName val="ISI"/>
      <sheetName val="Fomat__1"/>
      <sheetName val="CHART_SAMPLES_RECEIVED"/>
      <sheetName val="Penjelasan_SCK"/>
      <sheetName val="HET_PBG3"/>
      <sheetName val="Trading_Statement"/>
      <sheetName val="KODE_TRANS"/>
      <sheetName val="Kas_Bank"/>
      <sheetName val="TBM_3"/>
      <sheetName val="List_Rayon"/>
      <sheetName val="List_Department"/>
      <sheetName val="Palm_Prod"/>
      <sheetName val="Data_Kar"/>
      <sheetName val="Data_Rekon"/>
      <sheetName val="renc__kerja_LC"/>
      <sheetName val="SASARAN_"/>
      <sheetName val="LOCAL_GOVT_TAX"/>
      <sheetName val="Sheet1_(3)"/>
      <sheetName val="BY_TM_99_"/>
      <sheetName val="_45KVA-1"/>
      <sheetName val="DATA_LTW"/>
      <sheetName val="Daftar_Blok"/>
      <sheetName val="Kode_Barang"/>
      <sheetName val="ACT_PROD"/>
      <sheetName val="PLAN_PROD"/>
      <sheetName val="WRKP_TM"/>
      <sheetName val="Production_S2"/>
      <sheetName val="Production_S3"/>
      <sheetName val="HK_Effektif_&amp;_Rate_Upah"/>
      <sheetName val="Harga_2011"/>
      <sheetName val="traksi"/>
      <sheetName val="rkap7"/>
      <sheetName val="Hal-12_"/>
      <sheetName val="87013611"/>
      <sheetName val="Rumus"/>
      <sheetName val="Div01"/>
      <sheetName val="Div02"/>
      <sheetName val="Div03"/>
      <sheetName val="New Position"/>
      <sheetName val="NEW POSITION BD"/>
      <sheetName val="MUTU_BUAH2"/>
      <sheetName val="NK_Oct'112"/>
      <sheetName val="Hal-12_1"/>
      <sheetName val="Pk_prod2"/>
      <sheetName val="08_Jan_20053"/>
      <sheetName val="15_Jan_20053"/>
      <sheetName val="22_Jan_20053"/>
      <sheetName val="29_Jan_3"/>
      <sheetName val="05_Jan3"/>
      <sheetName val="16_Feb_043"/>
      <sheetName val="23_Feb_04_3"/>
      <sheetName val="01_Mar_043"/>
      <sheetName val="08_Mar_04_3"/>
      <sheetName val="15_Mar_043"/>
      <sheetName val="22__Mar_043"/>
      <sheetName val="28__Mar_043"/>
      <sheetName val="03_April_04_3"/>
      <sheetName val="10_April_04_3"/>
      <sheetName val="17_April_04__3"/>
      <sheetName val="17_April_04_edit3"/>
      <sheetName val="24_April_04_3"/>
      <sheetName val="24_April_04_edit3"/>
      <sheetName val="01_Mei_043"/>
      <sheetName val="08_Mei_043"/>
      <sheetName val="15_Mei_043"/>
      <sheetName val="22_Mei_04_3"/>
      <sheetName val="29_Mei_04_3"/>
      <sheetName val="05_Juni_043"/>
      <sheetName val="12_Juni_04_3"/>
      <sheetName val="19_Juni_04__3"/>
      <sheetName val="26_Juni_04_3"/>
      <sheetName val="_30_Juni_04_3"/>
      <sheetName val="_03_Juli_04__3"/>
      <sheetName val="_10_Juli_04___3"/>
      <sheetName val="_17_Juli_04_3"/>
      <sheetName val="10_Juli_04_Penyesuaian3"/>
      <sheetName val="17_Juli_04_Penyesuaian3"/>
      <sheetName val="_24_Juli_04____3"/>
      <sheetName val="_31_Juli_04_3"/>
      <sheetName val="07_Agustus_043"/>
      <sheetName val="14_Agustus_04_3"/>
      <sheetName val="22_Agustus_04_3"/>
      <sheetName val="28_Agustus_04__3"/>
      <sheetName val="K_025CPO-093"/>
      <sheetName val="WP_3"/>
      <sheetName val="K_002CPO3"/>
      <sheetName val="K_026CPO083"/>
      <sheetName val="INDIRECT_DETAIL2"/>
      <sheetName val="DIRECT_COST2"/>
      <sheetName val="Premi_Iuran1"/>
      <sheetName val="KGP_Thp_I1"/>
      <sheetName val="KGP_Thp_II1"/>
      <sheetName val="L_BA_blok1"/>
      <sheetName val="fin_pro_centers1"/>
      <sheetName val="KK_CFP_JAKARTA1"/>
      <sheetName val="Gaji_Non_Staff1"/>
      <sheetName val="CF_Konsol1"/>
      <sheetName val="_Penjelasan_RKB-PDO1"/>
      <sheetName val="Rekap__Total1"/>
      <sheetName val="PABRIK_(2)1"/>
      <sheetName val="Upah_SKUB1"/>
      <sheetName val="Daftar_Harga_Barang1"/>
      <sheetName val="Jenis kendaraan"/>
      <sheetName val="JK"/>
      <sheetName val="UOM-primary"/>
      <sheetName val="Sheet6"/>
      <sheetName val="transport method"/>
      <sheetName val="1. Best Best Estate"/>
      <sheetName val="DP Volume"/>
      <sheetName val="Rekap CROP  OK"/>
      <sheetName val="GL500"/>
      <sheetName val="SISIP"/>
      <sheetName val="TBS BLOK"/>
      <sheetName val="NPK Mg Bo"/>
      <sheetName val="II"/>
      <sheetName val="BP00"/>
      <sheetName val="1.Areal Statemen"/>
      <sheetName val="Database"/>
      <sheetName val="FEB"/>
      <sheetName val="COA (2)"/>
      <sheetName val="LUK(B)-KTR12"/>
      <sheetName val="Properties"/>
      <sheetName val="BBM"/>
      <sheetName val="BIA REKRUTMEN"/>
      <sheetName val="DATA BASE"/>
      <sheetName val="HUTANG DR KBN"/>
      <sheetName val="LAIN2"/>
      <sheetName val="NOP 2010"/>
      <sheetName val="OUTSTANDING"/>
      <sheetName val="POT TOKO"/>
      <sheetName val="RETENSI"/>
      <sheetName val="5.TE2"/>
      <sheetName val="Dasar"/>
      <sheetName val="Aresta"/>
      <sheetName val="08_Jan_20054"/>
      <sheetName val="15_Jan_20054"/>
      <sheetName val="22_Jan_20054"/>
      <sheetName val="29_Jan_4"/>
      <sheetName val="05_Jan4"/>
      <sheetName val="16_Feb_044"/>
      <sheetName val="23_Feb_04_4"/>
      <sheetName val="01_Mar_044"/>
      <sheetName val="08_Mar_04_4"/>
      <sheetName val="15_Mar_044"/>
      <sheetName val="22__Mar_044"/>
      <sheetName val="28__Mar_044"/>
      <sheetName val="03_April_04_4"/>
      <sheetName val="10_April_04_4"/>
      <sheetName val="17_April_04__4"/>
      <sheetName val="17_April_04_edit4"/>
      <sheetName val="24_April_04_4"/>
      <sheetName val="24_April_04_edit4"/>
      <sheetName val="01_Mei_044"/>
      <sheetName val="08_Mei_044"/>
      <sheetName val="15_Mei_044"/>
      <sheetName val="22_Mei_04_4"/>
      <sheetName val="29_Mei_04_4"/>
      <sheetName val="05_Juni_044"/>
      <sheetName val="12_Juni_04_4"/>
      <sheetName val="19_Juni_04__4"/>
      <sheetName val="26_Juni_04_4"/>
      <sheetName val="_30_Juni_04_4"/>
      <sheetName val="_03_Juli_04__4"/>
      <sheetName val="_10_Juli_04___4"/>
      <sheetName val="_17_Juli_04_4"/>
      <sheetName val="10_Juli_04_Penyesuaian4"/>
      <sheetName val="17_Juli_04_Penyesuaian4"/>
      <sheetName val="_24_Juli_04____4"/>
      <sheetName val="_31_Juli_04_4"/>
      <sheetName val="07_Agustus_044"/>
      <sheetName val="14_Agustus_04_4"/>
      <sheetName val="22_Agustus_04_4"/>
      <sheetName val="28_Agustus_04__4"/>
      <sheetName val="K_025CPO-094"/>
      <sheetName val="WP_4"/>
      <sheetName val="K_002CPO4"/>
      <sheetName val="K_026CPO084"/>
      <sheetName val="INDIRECT_DETAIL3"/>
      <sheetName val="DIRECT_COST3"/>
      <sheetName val="MUTU_BUAH3"/>
      <sheetName val="Pk_prod3"/>
      <sheetName val="NK_Oct'113"/>
      <sheetName val="KGP_Thp_I2"/>
      <sheetName val="KGP_Thp_II2"/>
      <sheetName val="Daftar_Harga_Barang2"/>
      <sheetName val="INDRCT_DTL1"/>
      <sheetName val="WIL_12"/>
      <sheetName val="MM_PAGE-2_X2"/>
      <sheetName val="REKAP_EST_PROD_13_edt2"/>
      <sheetName val="Upah_SKUB2"/>
      <sheetName val="ocean_voyage2"/>
      <sheetName val="FISIK_RAB_20002"/>
      <sheetName val="Daftar_isi1"/>
      <sheetName val="Lbr_Sched_1"/>
      <sheetName val="SKU_BUL_1"/>
      <sheetName val="SKU-HAR_1"/>
      <sheetName val="SKU_KHT1"/>
      <sheetName val="LBR_SLR_DTL1"/>
      <sheetName val="LEMBUR_20071"/>
      <sheetName val="Prod_smry1"/>
      <sheetName val="Rekap_Biaya1"/>
      <sheetName val="Expens&amp;Rnue_(2)1"/>
      <sheetName val="DIRECT_SMR1"/>
      <sheetName val="DIRECT_DETAIL1"/>
      <sheetName val="INDIRECT_SMR1"/>
      <sheetName val="INDIRECT_COST1"/>
      <sheetName val="SE_SMR1"/>
      <sheetName val="SE_COST1"/>
      <sheetName val="SE_Detail1"/>
      <sheetName val="TRANS_PWR_1"/>
      <sheetName val="TRANS_VEHICL1"/>
      <sheetName val="TRANS_WATER1"/>
      <sheetName val="TRANS_WORKM&amp;R1"/>
      <sheetName val="TRANS_RMH1"/>
      <sheetName val="TRANS_ALT_BERAT1"/>
      <sheetName val="COA_(3)1"/>
      <sheetName val="L_BA_blok2"/>
      <sheetName val="fin_pro_centers2"/>
      <sheetName val="KK_CFP_JAKARTA2"/>
      <sheetName val="Gaji_Non_Staff2"/>
      <sheetName val="CF_Konsol2"/>
      <sheetName val="_Penjelasan_RKB-PDO2"/>
      <sheetName val="Rekap__Total2"/>
      <sheetName val="PABRIK_(2)2"/>
      <sheetName val="Premi_Iuran2"/>
      <sheetName val="CPO_16-9-TID_1"/>
      <sheetName val="8_Upah_rata21"/>
      <sheetName val="LEMBUR_20061"/>
      <sheetName val="Prod__Stats1"/>
      <sheetName val="Kualitas_TBS1"/>
      <sheetName val="Kesegaran_TBS1"/>
      <sheetName val="10__Summary_all1"/>
      <sheetName val="Capex_Sum1"/>
      <sheetName val="MASTER_PJCM1"/>
      <sheetName val="MASTER_MB1"/>
      <sheetName val="UMUR_KOMPLEK_PJCM1"/>
      <sheetName val="UMUR_KOMPLEK_IU_MB1"/>
      <sheetName val="IU_PJCM1"/>
      <sheetName val="IU_MB1"/>
      <sheetName val="DAFTAR_NAMA_KOMPLEK1"/>
      <sheetName val="Hal-12_2"/>
      <sheetName val="Penjelasan_SCK1"/>
      <sheetName val="HET_PBG31"/>
      <sheetName val="Trading_Statement1"/>
      <sheetName val="KODE_TRANS1"/>
      <sheetName val="Kas_Bank1"/>
      <sheetName val="2600_50_Rincian_Credit_Card(HO)"/>
      <sheetName val="Fomat__11"/>
      <sheetName val="FA_sd_APRIL_07"/>
      <sheetName val="fa_SD_APRIL07"/>
      <sheetName val="Daftar_Blok1"/>
      <sheetName val="Kode_Barang1"/>
      <sheetName val="ACT_PROD1"/>
      <sheetName val="PLAN_PROD1"/>
      <sheetName val="PT_AAM_AKT"/>
      <sheetName val="CV_UM-MO"/>
      <sheetName val="CV_UM-RAMP"/>
      <sheetName val="CHART_SAMPLES_RECEIVED1"/>
      <sheetName val="Rincian_Iuran"/>
      <sheetName val="dft_bns"/>
      <sheetName val="4_1"/>
      <sheetName val="TBM_31"/>
      <sheetName val="List_Rayon1"/>
      <sheetName val="List_Department1"/>
      <sheetName val="Palm_Prod1"/>
      <sheetName val="Data_Kar1"/>
      <sheetName val="Data_Rekon1"/>
      <sheetName val="renc__kerja_LC1"/>
      <sheetName val="SASARAN_1"/>
      <sheetName val="LOCAL_GOVT_TAX1"/>
      <sheetName val="Sheet1_(3)1"/>
      <sheetName val="BY_TM_99_1"/>
      <sheetName val="_45KVA-11"/>
      <sheetName val="DATA_LTW1"/>
      <sheetName val="WRKP_TM1"/>
      <sheetName val="Production_S21"/>
      <sheetName val="Production_S31"/>
      <sheetName val="(43)9_1"/>
      <sheetName val="HK_Effektif_&amp;_Rate_Upah1"/>
      <sheetName val="Harga_20111"/>
      <sheetName val="TBM_0"/>
      <sheetName val="BJ_&amp;_Koreksi"/>
      <sheetName val="Air_Limbah"/>
      <sheetName val="Water_Analisis"/>
      <sheetName val="PAGE_1_X"/>
      <sheetName val="Basic_Price"/>
      <sheetName val="Perhitungan_Penalty"/>
      <sheetName val="Rekap_Bulanan"/>
      <sheetName val="Program_Pupuk_Inti"/>
      <sheetName val="RKP_1"/>
      <sheetName val="SKU_Inti"/>
      <sheetName val="PHL_Inti_+_Borongan"/>
      <sheetName val="SKU_-H_Plasma_"/>
      <sheetName val="PHL_Plasma_+_Borongan"/>
      <sheetName val="BPE1_vs_BNI"/>
      <sheetName val="BPE1_vs_Mandiri"/>
      <sheetName val="bantu_Tunai"/>
      <sheetName val="Borongan_Pakai"/>
      <sheetName val="A_Harian_&amp;_Bulanan"/>
      <sheetName val="MASTER_KARYAWAN"/>
      <sheetName val="BS_$"/>
      <sheetName val="P&amp;L_$"/>
      <sheetName val="POM_$"/>
      <sheetName val="OP_$"/>
      <sheetName val="Rub_$"/>
      <sheetName val="Staff__Cost"/>
      <sheetName val="TAX_LIST"/>
      <sheetName val="data_(2)"/>
      <sheetName val="CA_PROD_A-1"/>
      <sheetName val="Gaji_Bersih_GW"/>
      <sheetName val="%_Lbr_vs_GP"/>
      <sheetName val="UPDATE_KUOTA_(VERIFIKASI)"/>
      <sheetName val="10_yr_val"/>
      <sheetName val="REKAP_OMZET_KAPAL"/>
      <sheetName val="FORM_X_COST"/>
      <sheetName val="tonper_Ha-TT_2000"/>
      <sheetName val="Data_SRL"/>
      <sheetName val="Data_Prod_Graf"/>
      <sheetName val="PK_RM"/>
      <sheetName val="Dbase_TK"/>
      <sheetName val="Dbase_AP"/>
      <sheetName val="New_Position"/>
      <sheetName val="NEW_POSITION_BD"/>
      <sheetName val="Jenis_kendaraan"/>
      <sheetName val="transport_method"/>
      <sheetName val="Replanting"/>
      <sheetName val="0IV1000251"/>
      <sheetName val="KETERANGAN PEMAKAIAN"/>
      <sheetName val="Sanggau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Art_22"/>
      <sheetName val="KODE KENDARAAN"/>
      <sheetName val="Ner"/>
      <sheetName val="List PT"/>
      <sheetName val="BUDGET_1999"/>
      <sheetName val="BCA_01"/>
      <sheetName val="HONDA"/>
      <sheetName val="T155"/>
      <sheetName val="T230"/>
      <sheetName val="G45&amp;65"/>
      <sheetName val="G10"/>
      <sheetName val="G15"/>
      <sheetName val="JeP"/>
      <sheetName val="FORD2"/>
      <sheetName val="FORD4"/>
      <sheetName val="TLB"/>
      <sheetName val="EV"/>
      <sheetName val="L3"/>
      <sheetName val="GR"/>
      <sheetName val="TRK"/>
      <sheetName val="WL"/>
      <sheetName val="EBS"/>
      <sheetName val="TRL"/>
      <sheetName val="Alber"/>
      <sheetName val="Olah"/>
      <sheetName val="98MM-COS"/>
      <sheetName val="MN"/>
      <sheetName val="PN"/>
      <sheetName val="KI"/>
      <sheetName val="Sheet20"/>
      <sheetName val="IMD10"/>
      <sheetName val="Overhead"/>
      <sheetName val="MASTER KANTIN"/>
      <sheetName val="BALANCE SHEET"/>
      <sheetName val="jul05 ok"/>
      <sheetName val="Mth-Vana"/>
      <sheetName val="1997"/>
      <sheetName val="Résultats"/>
      <sheetName val="tr-28202"/>
      <sheetName val="OLDMAP"/>
      <sheetName val="annBF"/>
      <sheetName val="FRN"/>
      <sheetName val="Chart-1"/>
      <sheetName val="D"/>
      <sheetName val="ppn-1"/>
      <sheetName val="HS"/>
      <sheetName val="C1 NOV"/>
      <sheetName val="Pricing Summary"/>
      <sheetName val="cilandak payroll"/>
      <sheetName val="Template"/>
      <sheetName val="Acc ALK"/>
      <sheetName val="RUPS"/>
      <sheetName val="Sampul"/>
      <sheetName val="125-TBM-01-05"/>
      <sheetName val="125-TBM-01-07"/>
      <sheetName val="125-TBM-01-06"/>
      <sheetName val="124-LC"/>
      <sheetName val="Recapitulation CTM"/>
      <sheetName val="mapp"/>
      <sheetName val="Harvesting-Total"/>
      <sheetName val="summary-1"/>
      <sheetName val="Produksi Kalsel"/>
      <sheetName val="Biaya Penjualan"/>
      <sheetName val="GRAPH PLANTING PROGRAMME"/>
      <sheetName val="2.1.AS Inti"/>
      <sheetName val="2.2 AS Koperasi Mitra"/>
      <sheetName val="2. AS Total"/>
      <sheetName val="ACT Cashflow"/>
      <sheetName val="ACT Data P&amp;L"/>
      <sheetName val="ACT Data BS"/>
      <sheetName val="Cashflow Report Act vs Bgt"/>
      <sheetName val="Commentary"/>
      <sheetName val="Bgt Data BS"/>
      <sheetName val="Bgt Cashflow"/>
      <sheetName val="BGT Cashflow "/>
      <sheetName val="2003 ACT CFlow"/>
      <sheetName val="2003 BGT C Flow"/>
      <sheetName val="HO Use"/>
      <sheetName val="CRITERIA3"/>
      <sheetName val="AR Days-JHHP Group"/>
      <sheetName val="Salesdata01-10 2004"/>
      <sheetName val="Appendix A"/>
      <sheetName val="FA '00"/>
      <sheetName val="E4.1d"/>
      <sheetName val="Notes to BS"/>
      <sheetName val="Permanent info"/>
      <sheetName val="fiscal depr(E)"/>
      <sheetName val="FX Rates"/>
      <sheetName val="CRITERIA1"/>
      <sheetName val="bdrl-usg"/>
      <sheetName val="data_carloan"/>
      <sheetName val="data_emgloan"/>
      <sheetName val="PRE"/>
      <sheetName val="Data_Umum"/>
      <sheetName val="Unaudited PY TB"/>
      <sheetName val="Data Ben"/>
      <sheetName val="Pengobatan"/>
      <sheetName val="Other charges (income)"/>
      <sheetName val="Profile"/>
      <sheetName val="3.kurdin-Bag"/>
      <sheetName val="2.Gaji-Bag"/>
      <sheetName val="BUT-1"/>
      <sheetName val="HEX-A"/>
      <sheetName val="HEX-E"/>
      <sheetName val="I-BUT"/>
      <sheetName val="RD I-BUT"/>
      <sheetName val="Interactive_Chart1"/>
      <sheetName val="Interactive_Chart2"/>
      <sheetName val="TB2004"/>
      <sheetName val="PPh 21 per GL"/>
      <sheetName val="SFKLN"/>
      <sheetName val="Currency"/>
      <sheetName val="Assets captured in Services"/>
      <sheetName val="N.3_FFB 3rdparties"/>
      <sheetName val="DataC&amp;S"/>
      <sheetName val="BB"/>
      <sheetName val="ACT_Cashflow"/>
      <sheetName val="ACT_Data_P&amp;L"/>
      <sheetName val="ACT_Data_BS"/>
      <sheetName val="Cashflow_Report_Act_vs_Bgt"/>
      <sheetName val="Bgt_Data_BS"/>
      <sheetName val="Bgt_Cashflow"/>
      <sheetName val="C1_NOV"/>
      <sheetName val="BGT_Cashflow_"/>
      <sheetName val="2003_ACT_CFlow"/>
      <sheetName val="2003_BGT_C_Flow"/>
      <sheetName val="HO_Use"/>
      <sheetName val="Salesdata01-10_2004"/>
      <sheetName val="Appendix_A"/>
      <sheetName val="fiscal_depr(E)"/>
      <sheetName val="Permanent_info"/>
      <sheetName val="AR_Days-JHHP_Group"/>
      <sheetName val="FA_'00"/>
      <sheetName val="Notes_to_BS"/>
      <sheetName val="E4_1d"/>
      <sheetName val="Unaudited_PY_TB"/>
      <sheetName val="FX_Rates"/>
      <sheetName val="Data_Ben"/>
      <sheetName val="Other_charges_(income)"/>
      <sheetName val="3_kurdin-Bag"/>
      <sheetName val="2_Gaji-Bag"/>
      <sheetName val="PPh_21_per_GL"/>
      <sheetName val="TB-Dec05 ID2"/>
      <sheetName val="populasi"/>
      <sheetName val="U301"/>
      <sheetName val="PPH GB"/>
      <sheetName val="PCASH"/>
      <sheetName val="Asli"/>
      <sheetName val="worksheet"/>
      <sheetName val="rab_50"/>
      <sheetName val="Data Sheet"/>
      <sheetName val="Non-Statistical Sampling"/>
      <sheetName val="Danamon LK"/>
      <sheetName val="Bantu 1999"/>
      <sheetName val="laporan"/>
      <sheetName val="Triggers"/>
      <sheetName val="Sum All"/>
      <sheetName val="Cutmat"/>
      <sheetName val="Rental"/>
      <sheetName val="3M Indonesia (9011-001)"/>
      <sheetName val="設備費内訳"/>
      <sheetName val="検具"/>
      <sheetName val="仕様確認"/>
      <sheetName val="REv DCR Kar"/>
      <sheetName val="BCA Stat"/>
      <sheetName val="Tabel Kode"/>
      <sheetName val="FC"/>
      <sheetName val="FIXED FLOAT"/>
      <sheetName val="DropDown"/>
      <sheetName val="data kantor"/>
      <sheetName val="SAD"/>
      <sheetName val="per 1 Dec-latest"/>
      <sheetName val="FA Fin"/>
      <sheetName val="Menu"/>
      <sheetName val="Consolidated Forecast"/>
      <sheetName val="Consolidated Actual"/>
      <sheetName val="COGS TP"/>
      <sheetName val="Prex"/>
      <sheetName val="Capex"/>
      <sheetName val="Opex"/>
      <sheetName val="Inventory&amp;Purchases"/>
      <sheetName val="Sales GA"/>
      <sheetName val="COSY"/>
      <sheetName val="HAL-023"/>
      <sheetName val="Company Asset Class Pivot"/>
      <sheetName val="Asset Class List"/>
      <sheetName val="QR"/>
      <sheetName val="BP24"/>
      <sheetName val="Tanda Tangan"/>
      <sheetName val="STKE"/>
      <sheetName val="LAMPIRAN"/>
      <sheetName val="Gambar"/>
      <sheetName val="bgt"/>
      <sheetName val="FOH Details1819"/>
      <sheetName val="vra"/>
      <sheetName val="BLOCK"/>
      <sheetName val="Update CPS"/>
      <sheetName val="Upadate 21 10 2019"/>
      <sheetName val="Stock Take 19092019 30%"/>
      <sheetName val="Press KCP"/>
      <sheetName val="Upadate 21 09 2019"/>
      <sheetName val="GS02 Summary"/>
      <sheetName val="GS02 Distribution"/>
      <sheetName val="VRA Summ"/>
      <sheetName val="EH-12"/>
      <sheetName val="EH-35"/>
      <sheetName val="EH-39"/>
      <sheetName val="EH-60"/>
      <sheetName val="EH-75"/>
      <sheetName val="TM-77"/>
      <sheetName val="TM-83"/>
      <sheetName val="VL-85"/>
      <sheetName val="VL-108"/>
      <sheetName val="VL-113"/>
      <sheetName val="VL-112"/>
      <sheetName val="VL-170"/>
      <sheetName val="Detail_Dist TM77"/>
      <sheetName val="MD13"/>
      <sheetName val="NONCAB"/>
      <sheetName val="LN"/>
      <sheetName val="DKI"/>
      <sheetName val="GABUNGAN"/>
      <sheetName val="LRK"/>
      <sheetName val="NONNRC"/>
      <sheetName val="KURS"/>
      <sheetName val="hal_8"/>
      <sheetName val="Kawala Sawit"/>
      <sheetName val="schbhn"/>
      <sheetName val="schalt"/>
      <sheetName val="schtng"/>
      <sheetName val="SCHEDULE"/>
      <sheetName val="List Jabatan"/>
      <sheetName val="Curah hujan"/>
      <sheetName val="5b.Pemupukan"/>
      <sheetName val="Fisik"/>
      <sheetName val="adj-01"/>
      <sheetName val="GAZALI"/>
      <sheetName val="SMRE"/>
      <sheetName val="Capex-Dept"/>
      <sheetName val="HA-ST"/>
      <sheetName val="REK COST PLS"/>
      <sheetName val="REKAP-KCE"/>
      <sheetName val="UMUM"/>
      <sheetName val="CAPT-TBM-0"/>
      <sheetName val="Rekons.TBM-(18)"/>
      <sheetName val="TBM-1-(18)"/>
      <sheetName val="TBM-2-(18)"/>
      <sheetName val="TBM-3-(18)"/>
      <sheetName val="TBM-4-(18)"/>
      <sheetName val="TBM-5-(18)"/>
      <sheetName val="TBM-6-(18)"/>
      <sheetName val="Rekons.TBM-(17.)"/>
      <sheetName val="TBM-1-(17.)"/>
      <sheetName val="TBM-2-(17.)"/>
      <sheetName val="TBM-3-(17.)"/>
      <sheetName val="TBM-4-(17.)"/>
      <sheetName val="TBM-5-(17.)"/>
      <sheetName val="TBM-6-(17.)"/>
      <sheetName val="Rekons.TBM-(14)"/>
      <sheetName val="TBM-1-(14)"/>
      <sheetName val="TBM-2-(14)"/>
      <sheetName val="TBM-3-(14)"/>
      <sheetName val="TBM-4-(14)"/>
      <sheetName val="TBM-5-(14)"/>
      <sheetName val="TBM-6-(14)"/>
      <sheetName val="Rekons.TM-14"/>
      <sheetName val="TM-1-14"/>
      <sheetName val="TM-2-14"/>
      <sheetName val="TM-3-14"/>
      <sheetName val="TM-4-14"/>
      <sheetName val="TM-5-14"/>
      <sheetName val="TM-6-14"/>
      <sheetName val="Rekons.TM2-80-13"/>
      <sheetName val="TM2 PRW -1-13"/>
      <sheetName val="TM2 PRW -2-13 "/>
      <sheetName val="TM2 PRW -3-13 "/>
      <sheetName val="TM2 PRW -4-13 "/>
      <sheetName val="TM2 PRW -5-13 "/>
      <sheetName val="TM2 PRW -6-13"/>
      <sheetName val="Rekons.TM-13"/>
      <sheetName val="TM-1-13"/>
      <sheetName val="TM-2-13 "/>
      <sheetName val="TM-3-13  "/>
      <sheetName val="TM-4-13  "/>
      <sheetName val="TM-5-13"/>
      <sheetName val="TM-6-13"/>
      <sheetName val="Rekons.TM2-80-12"/>
      <sheetName val="TM2 PRW -1-12"/>
      <sheetName val="TM2 PRW -2-12"/>
      <sheetName val="TM2 PRW -3-12"/>
      <sheetName val="TM2 PRW -4-12"/>
      <sheetName val="TM2 PRW -5-12"/>
      <sheetName val="TM2 PRW -6-12"/>
      <sheetName val="Rekons.TM-12"/>
      <sheetName val="TM-1-12"/>
      <sheetName val="TM-2-12"/>
      <sheetName val="TM-3-12"/>
      <sheetName val="TM-4-12 "/>
      <sheetName val="TM-5-12"/>
      <sheetName val="TM-6-12"/>
      <sheetName val="Rekons.TM2-80-11"/>
      <sheetName val="TM2 PRW -2-11"/>
      <sheetName val="Rekons.TM-11"/>
      <sheetName val="TM-2-11"/>
      <sheetName val="TM-82-15"/>
      <sheetName val="TM-82-14"/>
      <sheetName val="TM-82-13"/>
      <sheetName val="TM-82-12"/>
      <sheetName val="TM-82-11"/>
      <sheetName val="Taksasi Produksi"/>
      <sheetName val="Rekons.Bibitan"/>
      <sheetName val="Bibitan 2012"/>
      <sheetName val="Bibitan 2013"/>
      <sheetName val="Bibitan 2018"/>
      <sheetName val="Rekons.TBM-0"/>
      <sheetName val="TBM-1-0"/>
      <sheetName val="TBM-2-0"/>
      <sheetName val="TBM-3-0"/>
      <sheetName val="TBM-4-0"/>
      <sheetName val="TBM-5-0"/>
      <sheetName val="TBM-6-0"/>
      <sheetName val="MANPOWER"/>
      <sheetName val="Luar"/>
      <sheetName val="Basis Panen"/>
      <sheetName val="Perabot Staff"/>
      <sheetName val="Alokasi Batu"/>
      <sheetName val="Struktur Org"/>
      <sheetName val="PRODUKSI TO 2019"/>
      <sheetName val="DATA WP"/>
      <sheetName val="Running_Acc"/>
      <sheetName val="TM"/>
      <sheetName val="Acc_ALK"/>
      <sheetName val="KODE_KENDARAAN"/>
      <sheetName val="DATA TANAMAN"/>
      <sheetName val="MAR"/>
      <sheetName val="Persatuan"/>
      <sheetName val="Nomenclature CF-Agro"/>
      <sheetName val="MASTER_KANTIN"/>
      <sheetName val="Produksi_Kalsel"/>
      <sheetName val="Biaya_Penjualan"/>
      <sheetName val="TBS_BLOK"/>
      <sheetName val="NPK_Mg_Bo"/>
      <sheetName val="Nomenclature_CF-Agro"/>
      <sheetName val="GRAPH_PLANTING_PROGRAMME"/>
      <sheetName val="2_1_AS_Inti"/>
      <sheetName val="2_2_AS_Koperasi_Mitra"/>
      <sheetName val="2__AS_Total"/>
      <sheetName val="DP_Volume"/>
      <sheetName val="Rekap_CROP__OK"/>
      <sheetName val="Trial Balance Attc.1"/>
      <sheetName val="Kapitalisasi"/>
      <sheetName val="MUTU_BUAH4"/>
      <sheetName val="NK_Oct'114"/>
      <sheetName val="08_Jan_20055"/>
      <sheetName val="15_Jan_20055"/>
      <sheetName val="22_Jan_20055"/>
      <sheetName val="29_Jan_5"/>
      <sheetName val="05_Jan5"/>
      <sheetName val="16_Feb_045"/>
      <sheetName val="23_Feb_04_5"/>
      <sheetName val="01_Mar_045"/>
      <sheetName val="08_Mar_04_5"/>
      <sheetName val="15_Mar_045"/>
      <sheetName val="22__Mar_045"/>
      <sheetName val="28__Mar_045"/>
      <sheetName val="03_April_04_5"/>
      <sheetName val="10_April_04_5"/>
      <sheetName val="17_April_04__5"/>
      <sheetName val="17_April_04_edit5"/>
      <sheetName val="24_April_04_5"/>
      <sheetName val="24_April_04_edit5"/>
      <sheetName val="01_Mei_045"/>
      <sheetName val="08_Mei_045"/>
      <sheetName val="15_Mei_045"/>
      <sheetName val="22_Mei_04_5"/>
      <sheetName val="29_Mei_04_5"/>
      <sheetName val="05_Juni_045"/>
      <sheetName val="12_Juni_04_5"/>
      <sheetName val="19_Juni_04__5"/>
      <sheetName val="26_Juni_04_5"/>
      <sheetName val="_30_Juni_04_5"/>
      <sheetName val="_03_Juli_04__5"/>
      <sheetName val="_10_Juli_04___5"/>
      <sheetName val="_17_Juli_04_5"/>
      <sheetName val="10_Juli_04_Penyesuaian5"/>
      <sheetName val="17_Juli_04_Penyesuaian5"/>
      <sheetName val="_24_Juli_04____5"/>
      <sheetName val="_31_Juli_04_5"/>
      <sheetName val="07_Agustus_045"/>
      <sheetName val="14_Agustus_04_5"/>
      <sheetName val="22_Agustus_04_5"/>
      <sheetName val="28_Agustus_04__5"/>
      <sheetName val="K_025CPO-095"/>
      <sheetName val="WP_5"/>
      <sheetName val="K_002CPO5"/>
      <sheetName val="K_026CPO085"/>
      <sheetName val="Pk_prod4"/>
      <sheetName val="L_BA_blok3"/>
      <sheetName val="fin_pro_centers3"/>
      <sheetName val="REKAP_EST_PROD_13_edt3"/>
      <sheetName val="Upah_SKUB3"/>
      <sheetName val="INDIRECT_DETAIL4"/>
      <sheetName val="tonper_Ha-TT_20001"/>
      <sheetName val="DIRECT_COST4"/>
      <sheetName val="KGP_Thp_I3"/>
      <sheetName val="KGP_Thp_II3"/>
      <sheetName val="Daftar_Harga_Barang3"/>
      <sheetName val="INDRCT_DTL2"/>
      <sheetName val="Daftar_isi2"/>
      <sheetName val="Lbr_Sched_2"/>
      <sheetName val="SKU_BUL_2"/>
      <sheetName val="SKU-HAR_2"/>
      <sheetName val="SKU_KHT2"/>
      <sheetName val="LBR_SLR_DTL2"/>
      <sheetName val="LEMBUR_20072"/>
      <sheetName val="Prod_smry2"/>
      <sheetName val="Rekap_Biaya2"/>
      <sheetName val="Expens&amp;Rnue_(2)2"/>
      <sheetName val="DIRECT_SMR2"/>
      <sheetName val="DIRECT_DETAIL2"/>
      <sheetName val="INDIRECT_SMR2"/>
      <sheetName val="INDIRECT_COST2"/>
      <sheetName val="SE_SMR2"/>
      <sheetName val="SE_COST2"/>
      <sheetName val="SE_Detail2"/>
      <sheetName val="TRANS_PWR_2"/>
      <sheetName val="TRANS_VEHICL2"/>
      <sheetName val="TRANS_WATER2"/>
      <sheetName val="TRANS_WORKM&amp;R2"/>
      <sheetName val="TRANS_RMH2"/>
      <sheetName val="TRANS_ALT_BERAT2"/>
      <sheetName val="MASTER_KANTIN1"/>
      <sheetName val="Hal-12_3"/>
      <sheetName val="KK_CFP_JAKARTA3"/>
      <sheetName val="Gaji_Non_Staff3"/>
      <sheetName val="CF_Konsol3"/>
      <sheetName val="_Penjelasan_RKB-PDO3"/>
      <sheetName val="Rekap__Total3"/>
      <sheetName val="CPO_16-9-TID_2"/>
      <sheetName val="Premi_Iuran3"/>
      <sheetName val="PABRIK_(2)3"/>
      <sheetName val="10__Summary_all2"/>
      <sheetName val="Penjelasan_SCK2"/>
      <sheetName val="HET_PBG32"/>
      <sheetName val="Kualitas_TBS2"/>
      <sheetName val="Kesegaran_TBS2"/>
      <sheetName val="8_Upah_rata22"/>
      <sheetName val="LEMBUR_20062"/>
      <sheetName val="Prod__Stats2"/>
      <sheetName val="Capex_Sum2"/>
      <sheetName val="PT_AAM_AKT1"/>
      <sheetName val="CV_UM-MO1"/>
      <sheetName val="CV_UM-RAMP1"/>
      <sheetName val="Produksi_Kalsel1"/>
      <sheetName val="Biaya_Penjualan1"/>
      <sheetName val="dft_bns1"/>
      <sheetName val="Data_SRL1"/>
      <sheetName val="Data_Prod_Graf1"/>
      <sheetName val="PK_RM1"/>
      <sheetName val="TBS_BLOK1"/>
      <sheetName val="NPK_Mg_Bo1"/>
      <sheetName val="TBM_01"/>
      <sheetName val="Nomenclature_CF-Agro1"/>
      <sheetName val="Perhitungan_Penalty1"/>
      <sheetName val="Rekap_Bulanan1"/>
      <sheetName val="Program_Pupuk_Inti1"/>
      <sheetName val="RKP_11"/>
      <sheetName val="BJ_&amp;_Koreksi1"/>
      <sheetName val="Air_Limbah1"/>
      <sheetName val="Water_Analisis1"/>
      <sheetName val="PAGE_1_X1"/>
      <sheetName val="Basic_Price1"/>
      <sheetName val="GRAPH_PLANTING_PROGRAMME1"/>
      <sheetName val="Dbase_TK1"/>
      <sheetName val="Dbase_AP1"/>
      <sheetName val="2_1_AS_Inti1"/>
      <sheetName val="2_2_AS_Koperasi_Mitra1"/>
      <sheetName val="2__AS_Total1"/>
      <sheetName val="Acc_ALK1"/>
      <sheetName val="KODE_KENDARAAN1"/>
      <sheetName val="New_Position1"/>
      <sheetName val="NEW_POSITION_BD1"/>
      <sheetName val="Jenis_kendaraan1"/>
      <sheetName val="transport_method1"/>
      <sheetName val="Rincian_Iuran1"/>
      <sheetName val="4_11"/>
      <sheetName val="DP_Volume1"/>
      <sheetName val="%_Lbr_vs_GP1"/>
      <sheetName val="Rekap_CROP__OK1"/>
      <sheetName val="ABSEN_KHT-KONTRAK"/>
      <sheetName val="MASTER MAPE"/>
      <sheetName val="ALL"/>
      <sheetName val="Premi_Bulanan"/>
      <sheetName val="BPJS_TK_-_KES"/>
      <sheetName val="MUTU_BUAH5"/>
      <sheetName val="NK_Oct'115"/>
      <sheetName val="08_Jan_20056"/>
      <sheetName val="15_Jan_20056"/>
      <sheetName val="22_Jan_20056"/>
      <sheetName val="29_Jan_6"/>
      <sheetName val="05_Jan6"/>
      <sheetName val="16_Feb_046"/>
      <sheetName val="23_Feb_04_6"/>
      <sheetName val="01_Mar_046"/>
      <sheetName val="08_Mar_04_6"/>
      <sheetName val="15_Mar_046"/>
      <sheetName val="22__Mar_046"/>
      <sheetName val="28__Mar_046"/>
      <sheetName val="03_April_04_6"/>
      <sheetName val="10_April_04_6"/>
      <sheetName val="17_April_04__6"/>
      <sheetName val="17_April_04_edit6"/>
      <sheetName val="24_April_04_6"/>
      <sheetName val="24_April_04_edit6"/>
      <sheetName val="01_Mei_046"/>
      <sheetName val="08_Mei_046"/>
      <sheetName val="15_Mei_046"/>
      <sheetName val="22_Mei_04_6"/>
      <sheetName val="29_Mei_04_6"/>
      <sheetName val="05_Juni_046"/>
      <sheetName val="12_Juni_04_6"/>
      <sheetName val="19_Juni_04__6"/>
      <sheetName val="26_Juni_04_6"/>
      <sheetName val="_30_Juni_04_6"/>
      <sheetName val="_03_Juli_04__6"/>
      <sheetName val="_10_Juli_04___6"/>
      <sheetName val="_17_Juli_04_6"/>
      <sheetName val="10_Juli_04_Penyesuaian6"/>
      <sheetName val="17_Juli_04_Penyesuaian6"/>
      <sheetName val="_24_Juli_04____6"/>
      <sheetName val="_31_Juli_04_6"/>
      <sheetName val="07_Agustus_046"/>
      <sheetName val="14_Agustus_04_6"/>
      <sheetName val="22_Agustus_04_6"/>
      <sheetName val="28_Agustus_04__6"/>
      <sheetName val="K_025CPO-096"/>
      <sheetName val="WP_6"/>
      <sheetName val="K_002CPO6"/>
      <sheetName val="K_026CPO086"/>
      <sheetName val="Pk_prod5"/>
      <sheetName val="L_BA_blok4"/>
      <sheetName val="fin_pro_centers4"/>
      <sheetName val="REKAP_EST_PROD_13_edt4"/>
      <sheetName val="Upah_SKUB4"/>
      <sheetName val="Daftar_Blok2"/>
      <sheetName val="Kode_Barang2"/>
      <sheetName val="ACT_PROD2"/>
      <sheetName val="PLAN_PROD2"/>
      <sheetName val="INDIRECT_DETAIL5"/>
      <sheetName val="tonper_Ha-TT_20002"/>
      <sheetName val="DIRECT_COST5"/>
      <sheetName val="WIL_13"/>
      <sheetName val="MM_PAGE-2_X3"/>
      <sheetName val="KGP_Thp_I4"/>
      <sheetName val="KGP_Thp_II4"/>
      <sheetName val="Daftar_Harga_Barang4"/>
      <sheetName val="INDRCT_DTL3"/>
      <sheetName val="ocean_voyage3"/>
      <sheetName val="FISIK_RAB_20003"/>
      <sheetName val="Daftar_isi3"/>
      <sheetName val="Lbr_Sched_3"/>
      <sheetName val="SKU_BUL_3"/>
      <sheetName val="SKU-HAR_3"/>
      <sheetName val="SKU_KHT3"/>
      <sheetName val="LBR_SLR_DTL3"/>
      <sheetName val="LEMBUR_20073"/>
      <sheetName val="Prod_smry3"/>
      <sheetName val="Rekap_Biaya3"/>
      <sheetName val="Expens&amp;Rnue_(2)3"/>
      <sheetName val="DIRECT_SMR3"/>
      <sheetName val="DIRECT_DETAIL3"/>
      <sheetName val="INDIRECT_SMR3"/>
      <sheetName val="INDIRECT_COST3"/>
      <sheetName val="SE_SMR3"/>
      <sheetName val="SE_COST3"/>
      <sheetName val="SE_Detail3"/>
      <sheetName val="TRANS_PWR_3"/>
      <sheetName val="TRANS_VEHICL3"/>
      <sheetName val="TRANS_WATER3"/>
      <sheetName val="TRANS_WORKM&amp;R3"/>
      <sheetName val="TRANS_RMH3"/>
      <sheetName val="TRANS_ALT_BERAT3"/>
      <sheetName val="COA_(3)2"/>
      <sheetName val="MASTER_KANTIN2"/>
      <sheetName val="Hal-12_4"/>
      <sheetName val="KK_CFP_JAKARTA4"/>
      <sheetName val="Gaji_Non_Staff4"/>
      <sheetName val="CF_Konsol4"/>
      <sheetName val="_Penjelasan_RKB-PDO4"/>
      <sheetName val="Rekap__Total4"/>
      <sheetName val="CPO_16-9-TID_3"/>
      <sheetName val="Premi_Iuran4"/>
      <sheetName val="PABRIK_(2)4"/>
      <sheetName val="MASTER_PJCM2"/>
      <sheetName val="MASTER_MB2"/>
      <sheetName val="UMUR_KOMPLEK_PJCM2"/>
      <sheetName val="UMUR_KOMPLEK_IU_MB2"/>
      <sheetName val="IU_PJCM2"/>
      <sheetName val="IU_MB2"/>
      <sheetName val="DAFTAR_NAMA_KOMPLEK2"/>
      <sheetName val="10__Summary_all3"/>
      <sheetName val="Penjelasan_SCK3"/>
      <sheetName val="HET_PBG33"/>
      <sheetName val="Kualitas_TBS3"/>
      <sheetName val="Kesegaran_TBS3"/>
      <sheetName val="Trading_Statement2"/>
      <sheetName val="KODE_TRANS2"/>
      <sheetName val="Kas_Bank2"/>
      <sheetName val="8_Upah_rata23"/>
      <sheetName val="LEMBUR_20063"/>
      <sheetName val="Prod__Stats3"/>
      <sheetName val="Capex_Sum3"/>
      <sheetName val="PT_AAM_AKT2"/>
      <sheetName val="CV_UM-MO2"/>
      <sheetName val="CV_UM-RAMP2"/>
      <sheetName val="Produksi_Kalsel2"/>
      <sheetName val="Biaya_Penjualan2"/>
      <sheetName val="Fomat__12"/>
      <sheetName val="dft_bns2"/>
      <sheetName val="Data_SRL2"/>
      <sheetName val="Data_Prod_Graf2"/>
      <sheetName val="PK_RM2"/>
      <sheetName val="TBS_BLOK2"/>
      <sheetName val="NPK_Mg_Bo2"/>
      <sheetName val="CHART_SAMPLES_RECEIVED2"/>
      <sheetName val="TBM_32"/>
      <sheetName val="List_Rayon2"/>
      <sheetName val="List_Department2"/>
      <sheetName val="Palm_Prod2"/>
      <sheetName val="Data_Kar2"/>
      <sheetName val="Data_Rekon2"/>
      <sheetName val="renc__kerja_LC2"/>
      <sheetName val="SASARAN_2"/>
      <sheetName val="LOCAL_GOVT_TAX2"/>
      <sheetName val="Sheet1_(3)2"/>
      <sheetName val="BY_TM_99_2"/>
      <sheetName val="_45KVA-12"/>
      <sheetName val="DATA_LTW2"/>
      <sheetName val="WRKP_TM2"/>
      <sheetName val="Production_S22"/>
      <sheetName val="Production_S32"/>
      <sheetName val="HK_Effektif_&amp;_Rate_Upah2"/>
      <sheetName val="Harga_20112"/>
      <sheetName val="TBM_02"/>
      <sheetName val="Nomenclature_CF-Agro2"/>
      <sheetName val="Perhitungan_Penalty2"/>
      <sheetName val="Rekap_Bulanan2"/>
      <sheetName val="Program_Pupuk_Inti2"/>
      <sheetName val="RKP_12"/>
      <sheetName val="BJ_&amp;_Koreksi2"/>
      <sheetName val="Air_Limbah2"/>
      <sheetName val="Water_Analisis2"/>
      <sheetName val="PAGE_1_X2"/>
      <sheetName val="Basic_Price2"/>
      <sheetName val="GRAPH_PLANTING_PROGRAMME2"/>
      <sheetName val="Dbase_TK2"/>
      <sheetName val="Dbase_AP2"/>
      <sheetName val="2_1_AS_Inti2"/>
      <sheetName val="2_2_AS_Koperasi_Mitra2"/>
      <sheetName val="2__AS_Total2"/>
      <sheetName val="Acc_ALK2"/>
      <sheetName val="KODE_KENDARAAN2"/>
      <sheetName val="New_Position2"/>
      <sheetName val="NEW_POSITION_BD2"/>
      <sheetName val="Jenis_kendaraan2"/>
      <sheetName val="transport_method2"/>
      <sheetName val="Rincian_Iuran2"/>
      <sheetName val="4_12"/>
      <sheetName val="DP_Volume2"/>
      <sheetName val="%_Lbr_vs_GP2"/>
      <sheetName val="Rekap_CROP__OK2"/>
      <sheetName val="Trial_Balance_Attc_1"/>
      <sheetName val="1.Rollfwd"/>
      <sheetName val="Lead"/>
      <sheetName val="XREF"/>
      <sheetName val="Sheet5"/>
      <sheetName val="_x0000_"/>
      <sheetName val="Site progress"/>
      <sheetName val="Harga Spare Part"/>
      <sheetName val="Jeep"/>
      <sheetName val="Ford"/>
      <sheetName val="Asumsi Budget "/>
      <sheetName val="CH 5 Th"/>
      <sheetName val="RKH 18"/>
      <sheetName val="RKP TT"/>
      <sheetName val="H28,1280409731114"/>
      <sheetName val="Parameter"/>
      <sheetName val="CROP"/>
      <sheetName val="SW1"/>
      <sheetName val="00 received in 01"/>
      <sheetName val="GL 01 report 00"/>
      <sheetName val="2001 per GL (2)"/>
      <sheetName val="2001 per month (2)"/>
      <sheetName val="2001 per GL (1)"/>
      <sheetName val=" 2001 per month (1)"/>
      <sheetName val="Per GL J a n"/>
      <sheetName val="F e b"/>
      <sheetName val="M a r"/>
      <sheetName val="A p r"/>
      <sheetName val="M a y"/>
      <sheetName val="J u n"/>
      <sheetName val="J u l"/>
      <sheetName val="A u g"/>
      <sheetName val="S e p"/>
      <sheetName val="O c t"/>
      <sheetName val="N o v"/>
      <sheetName val="Dec"/>
      <sheetName val="Sch 16.1"/>
      <sheetName val="Sch 17.1"/>
      <sheetName val="Sch 14.2"/>
      <sheetName val="Sch 22.2"/>
      <sheetName val="Sch 22.4"/>
      <sheetName val="Sch 3.1"/>
      <sheetName val="ABK.04.AWALR+CO+TAB.RUPS"/>
      <sheetName val="FFB-2003( P ) "/>
      <sheetName val="LHP7"/>
      <sheetName val="Prod &amp; Sales"/>
      <sheetName val="08_Jan_20057"/>
      <sheetName val="15_Jan_20057"/>
      <sheetName val="22_Jan_20057"/>
      <sheetName val="29_Jan_7"/>
      <sheetName val="05_Jan7"/>
      <sheetName val="16_Feb_047"/>
      <sheetName val="23_Feb_04_7"/>
      <sheetName val="01_Mar_047"/>
      <sheetName val="08_Mar_04_7"/>
      <sheetName val="15_Mar_047"/>
      <sheetName val="22__Mar_047"/>
      <sheetName val="28__Mar_047"/>
      <sheetName val="03_April_04_7"/>
      <sheetName val="10_April_04_7"/>
      <sheetName val="17_April_04__7"/>
      <sheetName val="17_April_04_edit7"/>
      <sheetName val="24_April_04_7"/>
      <sheetName val="24_April_04_edit7"/>
      <sheetName val="01_Mei_047"/>
      <sheetName val="08_Mei_047"/>
      <sheetName val="15_Mei_047"/>
      <sheetName val="22_Mei_04_7"/>
      <sheetName val="29_Mei_04_7"/>
      <sheetName val="05_Juni_047"/>
      <sheetName val="12_Juni_04_7"/>
      <sheetName val="19_Juni_04__7"/>
      <sheetName val="26_Juni_04_7"/>
      <sheetName val="_30_Juni_04_7"/>
      <sheetName val="_03_Juli_04__7"/>
      <sheetName val="_10_Juli_04___7"/>
      <sheetName val="_17_Juli_04_7"/>
      <sheetName val="10_Juli_04_Penyesuaian7"/>
      <sheetName val="17_Juli_04_Penyesuaian7"/>
      <sheetName val="_24_Juli_04____7"/>
      <sheetName val="_31_Juli_04_7"/>
      <sheetName val="07_Agustus_047"/>
      <sheetName val="14_Agustus_04_7"/>
      <sheetName val="22_Agustus_04_7"/>
      <sheetName val="28_Agustus_04__7"/>
      <sheetName val="K_025CPO-097"/>
      <sheetName val="WP_7"/>
      <sheetName val="K_002CPO7"/>
      <sheetName val="K_026CPO087"/>
      <sheetName val="INDIRECT_DETAIL6"/>
      <sheetName val="DIRECT_COST6"/>
      <sheetName val="MUTU_BUAH6"/>
      <sheetName val="Pk_prod6"/>
      <sheetName val="NK_Oct'116"/>
      <sheetName val="KGP_Thp_I5"/>
      <sheetName val="KGP_Thp_II5"/>
      <sheetName val="Daftar_Harga_Barang5"/>
      <sheetName val="INDRCT_DTL4"/>
      <sheetName val="WIL_14"/>
      <sheetName val="MM_PAGE-2_X4"/>
      <sheetName val="REKAP_EST_PROD_13_edt5"/>
      <sheetName val="Upah_SKUB5"/>
      <sheetName val="ocean_voyage4"/>
      <sheetName val="FISIK_RAB_20004"/>
      <sheetName val="Daftar_isi4"/>
      <sheetName val="Lbr_Sched_4"/>
      <sheetName val="SKU_BUL_4"/>
      <sheetName val="SKU-HAR_4"/>
      <sheetName val="SKU_KHT4"/>
      <sheetName val="LBR_SLR_DTL4"/>
      <sheetName val="LEMBUR_20074"/>
      <sheetName val="Prod_smry4"/>
      <sheetName val="Rekap_Biaya4"/>
      <sheetName val="Expens&amp;Rnue_(2)4"/>
      <sheetName val="DIRECT_SMR4"/>
      <sheetName val="DIRECT_DETAIL4"/>
      <sheetName val="INDIRECT_SMR4"/>
      <sheetName val="INDIRECT_COST4"/>
      <sheetName val="SE_SMR4"/>
      <sheetName val="SE_COST4"/>
      <sheetName val="SE_Detail4"/>
      <sheetName val="TRANS_PWR_4"/>
      <sheetName val="TRANS_VEHICL4"/>
      <sheetName val="TRANS_WATER4"/>
      <sheetName val="TRANS_WORKM&amp;R4"/>
      <sheetName val="TRANS_RMH4"/>
      <sheetName val="TRANS_ALT_BERAT4"/>
      <sheetName val="COA_(3)3"/>
      <sheetName val="L_BA_blok5"/>
      <sheetName val="fin_pro_centers5"/>
      <sheetName val="KK_CFP_JAKARTA5"/>
      <sheetName val="Gaji_Non_Staff5"/>
      <sheetName val="CF_Konsol5"/>
      <sheetName val="_Penjelasan_RKB-PDO5"/>
      <sheetName val="Rekap__Total5"/>
      <sheetName val="PABRIK_(2)5"/>
      <sheetName val="Premi_Iuran5"/>
      <sheetName val="CPO_16-9-TID_4"/>
      <sheetName val="8_Upah_rata24"/>
      <sheetName val="LEMBUR_20064"/>
      <sheetName val="Prod__Stats4"/>
      <sheetName val="Kualitas_TBS4"/>
      <sheetName val="Kesegaran_TBS4"/>
      <sheetName val="10__Summary_all4"/>
      <sheetName val="Capex_Sum4"/>
      <sheetName val="MASTER_PJCM3"/>
      <sheetName val="MASTER_MB3"/>
      <sheetName val="UMUR_KOMPLEK_PJCM3"/>
      <sheetName val="UMUR_KOMPLEK_IU_MB3"/>
      <sheetName val="IU_PJCM3"/>
      <sheetName val="IU_MB3"/>
      <sheetName val="DAFTAR_NAMA_KOMPLEK3"/>
      <sheetName val="Hal-12_5"/>
      <sheetName val="Penjelasan_SCK4"/>
      <sheetName val="HET_PBG34"/>
      <sheetName val="Trading_Statement3"/>
      <sheetName val="KODE_TRANS3"/>
      <sheetName val="Kas_Bank3"/>
      <sheetName val="2600_50_Rincian_Credit_Card(HO1"/>
      <sheetName val="Fomat__13"/>
      <sheetName val="FA_sd_APRIL_071"/>
      <sheetName val="fa_SD_APRIL071"/>
      <sheetName val="Daftar_Blok3"/>
      <sheetName val="Kode_Barang3"/>
      <sheetName val="ACT_PROD3"/>
      <sheetName val="PLAN_PROD3"/>
      <sheetName val="PT_AAM_AKT3"/>
      <sheetName val="CV_UM-MO3"/>
      <sheetName val="CV_UM-RAMP3"/>
      <sheetName val="CHART_SAMPLES_RECEIVED3"/>
      <sheetName val="Rincian_Iuran3"/>
      <sheetName val="dft_bns3"/>
      <sheetName val="4_13"/>
      <sheetName val="TBM_33"/>
      <sheetName val="List_Rayon3"/>
      <sheetName val="List_Department3"/>
      <sheetName val="Palm_Prod3"/>
      <sheetName val="Data_Kar3"/>
      <sheetName val="Data_Rekon3"/>
      <sheetName val="renc__kerja_LC3"/>
      <sheetName val="SASARAN_3"/>
      <sheetName val="LOCAL_GOVT_TAX3"/>
      <sheetName val="Sheet1_(3)3"/>
      <sheetName val="BY_TM_99_3"/>
      <sheetName val="_45KVA-13"/>
      <sheetName val="DATA_LTW3"/>
      <sheetName val="WRKP_TM3"/>
      <sheetName val="Production_S23"/>
      <sheetName val="Production_S33"/>
      <sheetName val="(43)9_11"/>
      <sheetName val="HK_Effektif_&amp;_Rate_Upah3"/>
      <sheetName val="Harga_20113"/>
      <sheetName val="TBM_03"/>
      <sheetName val="BJ_&amp;_Koreksi3"/>
      <sheetName val="Air_Limbah3"/>
      <sheetName val="Water_Analisis3"/>
      <sheetName val="PAGE_1_X3"/>
      <sheetName val="Basic_Price3"/>
      <sheetName val="Perhitungan_Penalty3"/>
      <sheetName val="Rekap_Bulanan3"/>
      <sheetName val="Program_Pupuk_Inti3"/>
      <sheetName val="RKP_13"/>
      <sheetName val="SKU_Inti1"/>
      <sheetName val="PHL_Inti_+_Borongan1"/>
      <sheetName val="SKU_-H_Plasma_1"/>
      <sheetName val="PHL_Plasma_+_Borongan1"/>
      <sheetName val="BPE1_vs_BNI1"/>
      <sheetName val="BPE1_vs_Mandiri1"/>
      <sheetName val="bantu_Tunai1"/>
      <sheetName val="Borongan_Pakai1"/>
      <sheetName val="A_Harian_&amp;_Bulanan1"/>
      <sheetName val="MASTER_KARYAWAN1"/>
      <sheetName val="BS_$1"/>
      <sheetName val="P&amp;L_$1"/>
      <sheetName val="POM_$1"/>
      <sheetName val="OP_$1"/>
      <sheetName val="Rub_$1"/>
      <sheetName val="Staff__Cost1"/>
      <sheetName val="TAX_LIST1"/>
      <sheetName val="data_(2)1"/>
      <sheetName val="CA_PROD_A-11"/>
      <sheetName val="Gaji_Bersih_GW1"/>
      <sheetName val="%_Lbr_vs_GP3"/>
      <sheetName val="UPDATE_KUOTA_(VERIFIKASI)1"/>
      <sheetName val="10_yr_val1"/>
      <sheetName val="REKAP_OMZET_KAPAL1"/>
      <sheetName val="FORM_X_COST1"/>
      <sheetName val="tonper_Ha-TT_20003"/>
      <sheetName val="Data_SRL3"/>
      <sheetName val="Data_Prod_Graf3"/>
      <sheetName val="PK_RM3"/>
      <sheetName val="Dbase_TK3"/>
      <sheetName val="Dbase_AP3"/>
      <sheetName val="New_Position3"/>
      <sheetName val="NEW_POSITION_BD3"/>
      <sheetName val="Jenis_kendaraan3"/>
      <sheetName val="transport_method3"/>
      <sheetName val="1__Best_Best_Estate"/>
      <sheetName val="DP_Volume3"/>
      <sheetName val="Rekap_CROP__OK3"/>
      <sheetName val="TBS_BLOK3"/>
      <sheetName val="NPK_Mg_Bo3"/>
      <sheetName val="1_Areal_Statemen"/>
      <sheetName val="COA_(2)"/>
      <sheetName val="BIA_REKRUTMEN"/>
      <sheetName val="DATA_BASE"/>
      <sheetName val="HUTANG_DR_KBN"/>
      <sheetName val="NOP_2010"/>
      <sheetName val="POT_TOKO"/>
      <sheetName val="5_TE2"/>
      <sheetName val="KETERANGAN_PEMAKAIAN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KODE_KENDARAAN3"/>
      <sheetName val="List_PT"/>
      <sheetName val="MASTER_KANTIN3"/>
      <sheetName val="BALANCE_SHEET"/>
      <sheetName val="jul05_ok"/>
      <sheetName val="C1_NOV1"/>
      <sheetName val="Pricing_Summary"/>
      <sheetName val="cilandak_payroll"/>
      <sheetName val="Acc_ALK3"/>
      <sheetName val="Recapitulation_CTM"/>
      <sheetName val="Produksi_Kalsel3"/>
      <sheetName val="Biaya_Penjualan3"/>
      <sheetName val="GRAPH_PLANTING_PROGRAMME3"/>
      <sheetName val="2_1_AS_Inti3"/>
      <sheetName val="2_2_AS_Koperasi_Mitra3"/>
      <sheetName val="2__AS_Total3"/>
      <sheetName val="ACT_Cashflow1"/>
      <sheetName val="ACT_Data_P&amp;L1"/>
      <sheetName val="ACT_Data_BS1"/>
      <sheetName val="Cashflow_Report_Act_vs_Bgt1"/>
      <sheetName val="Bgt_Data_BS1"/>
      <sheetName val="Bgt_Cashflow1"/>
      <sheetName val="BGT_Cashflow_1"/>
      <sheetName val="2003_ACT_CFlow1"/>
      <sheetName val="2003_BGT_C_Flow1"/>
      <sheetName val="HO_Use1"/>
      <sheetName val="AR_Days-JHHP_Group1"/>
      <sheetName val="Salesdata01-10_20041"/>
      <sheetName val="Appendix_A1"/>
      <sheetName val="FA_'001"/>
      <sheetName val="E4_1d1"/>
      <sheetName val="Notes_to_BS1"/>
      <sheetName val="Permanent_info1"/>
      <sheetName val="fiscal_depr(E)1"/>
      <sheetName val="FX_Rates1"/>
      <sheetName val="Unaudited_PY_TB1"/>
      <sheetName val="Data_Ben1"/>
      <sheetName val="Other_charges_(income)1"/>
      <sheetName val="3_kurdin-Bag1"/>
      <sheetName val="2_Gaji-Bag1"/>
      <sheetName val="RD_I-BUT"/>
      <sheetName val="PPh_21_per_GL1"/>
      <sheetName val="Assets_captured_in_Services"/>
      <sheetName val="N_3_FFB_3rdparties"/>
      <sheetName val="TB-Dec05_ID2"/>
      <sheetName val="PPH_GB"/>
      <sheetName val="Data_Sheet"/>
      <sheetName val="Non-Statistical_Sampling"/>
      <sheetName val="Danamon_LK"/>
      <sheetName val="Bantu_1999"/>
      <sheetName val="Sum_All"/>
      <sheetName val="3M_Indonesia_(9011-001)"/>
      <sheetName val="REv_DCR_Kar"/>
      <sheetName val="BCA_Stat"/>
      <sheetName val="Tabel_Kode"/>
      <sheetName val="FIXED_FLOAT"/>
      <sheetName val="data_kantor"/>
      <sheetName val="per_1_Dec-latest"/>
      <sheetName val="FA_Fin"/>
      <sheetName val="Consolidated_Forecast"/>
      <sheetName val="Consolidated_Actual"/>
      <sheetName val="COGS_TP"/>
      <sheetName val="Sales_GA"/>
      <sheetName val="Company_Asset_Class_Pivot"/>
      <sheetName val="Asset_Class_List"/>
      <sheetName val="Tanda_Tangan"/>
      <sheetName val="FOH_Details1819"/>
      <sheetName val="Update_CPS"/>
      <sheetName val="Upadate_21_10_2019"/>
      <sheetName val="Stock_Take_19092019_30%"/>
      <sheetName val="Press_KCP"/>
      <sheetName val="Upadate_21_09_2019"/>
      <sheetName val="GS02_Summary"/>
      <sheetName val="GS02_Distribution"/>
      <sheetName val="VRA_Summ"/>
      <sheetName val="Detail_Dist_TM77"/>
      <sheetName val="Kawala_Sawit"/>
      <sheetName val="List_Jabatan"/>
      <sheetName val="Curah_hujan"/>
      <sheetName val="5b_Pemupukan"/>
      <sheetName val="REK_COST_PLS"/>
      <sheetName val="Rekons_TBM-(18)"/>
      <sheetName val="Rekons_TBM-(17_)"/>
      <sheetName val="TBM-1-(17_)"/>
      <sheetName val="TBM-2-(17_)"/>
      <sheetName val="TBM-3-(17_)"/>
      <sheetName val="TBM-4-(17_)"/>
      <sheetName val="TBM-5-(17_)"/>
      <sheetName val="TBM-6-(17_)"/>
      <sheetName val="Rekons_TBM-(14)"/>
      <sheetName val="Rekons_TM-14"/>
      <sheetName val="Rekons_TM2-80-13"/>
      <sheetName val="TM2_PRW_-1-13"/>
      <sheetName val="TM2_PRW_-2-13_"/>
      <sheetName val="TM2_PRW_-3-13_"/>
      <sheetName val="TM2_PRW_-4-13_"/>
      <sheetName val="TM2_PRW_-5-13_"/>
      <sheetName val="TM2_PRW_-6-13"/>
      <sheetName val="Rekons_TM-13"/>
      <sheetName val="TM-2-13_"/>
      <sheetName val="TM-3-13__"/>
      <sheetName val="TM-4-13__"/>
      <sheetName val="Rekons_TM2-80-12"/>
      <sheetName val="TM2_PRW_-1-12"/>
      <sheetName val="TM2_PRW_-2-12"/>
      <sheetName val="TM2_PRW_-3-12"/>
      <sheetName val="TM2_PRW_-4-12"/>
      <sheetName val="TM2_PRW_-5-12"/>
      <sheetName val="TM2_PRW_-6-12"/>
      <sheetName val="Rekons_TM-12"/>
      <sheetName val="TM-4-12_"/>
      <sheetName val="Rekons_TM2-80-11"/>
      <sheetName val="TM2_PRW_-2-11"/>
      <sheetName val="Rekons_TM-11"/>
      <sheetName val="Taksasi_Produksi"/>
      <sheetName val="Rekons_Bibitan"/>
      <sheetName val="Bibitan_2012"/>
      <sheetName val="Bibitan_2013"/>
      <sheetName val="Bibitan_2018"/>
      <sheetName val="Rekons_TBM-0"/>
      <sheetName val="Basis_Panen"/>
      <sheetName val="Perabot_Staff"/>
      <sheetName val="Alokasi_Batu"/>
      <sheetName val="Struktur_Org"/>
      <sheetName val="PRODUKSI_TO_2019"/>
      <sheetName val="DATA_WP"/>
      <sheetName val="DATA_TANAMAN"/>
      <sheetName val="Nomenclature_CF-Agro3"/>
      <sheetName val="Trial_Balance_Attc_11"/>
      <sheetName val="MASTER_MAPE"/>
      <sheetName val="1_Rollfwd"/>
      <sheetName val="Site_progress"/>
      <sheetName val="Harga_Spare_Part"/>
      <sheetName val="Asumsi_Budget_"/>
      <sheetName val="CH_5_Th"/>
      <sheetName val="RKH_18"/>
      <sheetName val="RKP_TT"/>
      <sheetName val="00_received_in_01"/>
      <sheetName val="GL_01_report_00"/>
      <sheetName val="2001_per_GL_(2)"/>
      <sheetName val="2001_per_month_(2)"/>
      <sheetName val="2001_per_GL_(1)"/>
      <sheetName val="_2001_per_month_(1)"/>
      <sheetName val="Per_GL_J_a_n"/>
      <sheetName val="F_e_b"/>
      <sheetName val="M_a_r"/>
      <sheetName val="A_p_r"/>
      <sheetName val="M_a_y"/>
      <sheetName val="J_u_n"/>
      <sheetName val="J_u_l"/>
      <sheetName val="A_u_g"/>
      <sheetName val="S_e_p"/>
      <sheetName val="O_c_t"/>
      <sheetName val="N_o_v"/>
      <sheetName val="Sch_16_1"/>
      <sheetName val="Sch_17_1"/>
      <sheetName val="Sch_14_2"/>
      <sheetName val="Sch_22_2"/>
      <sheetName val="Sch_22_4"/>
      <sheetName val="Sch_3_1"/>
      <sheetName val="ABK_04_AWALR+CO+TAB_RUPS"/>
      <sheetName val="FFB-2003(_P_)_"/>
      <sheetName val="Prod_&amp;_Sales"/>
      <sheetName val="MASTER 1"/>
      <sheetName val="4-Basic Price"/>
      <sheetName val="5-ALAT(1)"/>
      <sheetName val="D7(1)"/>
      <sheetName val="Sat. Pek."/>
      <sheetName val="Sat_ Pek_"/>
      <sheetName val="Model"/>
      <sheetName val="CH3-0"/>
      <sheetName val="Exlfoxpro final"/>
      <sheetName val="Kerj_alat"/>
      <sheetName val="MA-Detail"/>
      <sheetName val="JENIS WS"/>
      <sheetName val="Option"/>
      <sheetName val="ﾙｰﾄ別販売(概況3)"/>
      <sheetName val="jgn d hpus"/>
      <sheetName val="SBY2"/>
      <sheetName val="pw dept awd"/>
      <sheetName val="Akun"/>
      <sheetName val="Tran0104"/>
      <sheetName val="XIII ALAT KERJA"/>
      <sheetName val="OFF"/>
      <sheetName val="TB_WM"/>
      <sheetName val="fisik 94"/>
      <sheetName val="may_03"/>
      <sheetName val="OH"/>
      <sheetName val="Gaji Bersih Pemanen"/>
      <sheetName val="TB BS"/>
      <sheetName val="TB P&amp;L"/>
      <sheetName val="OPN203"/>
      <sheetName val="TRX IMPORT"/>
      <sheetName val="REKAP BARANG"/>
      <sheetName val="assets"/>
      <sheetName val="Penjumlahan"/>
      <sheetName val="Teso"/>
      <sheetName val="Exlfoxpro_final"/>
      <sheetName val="flow-wrk"/>
      <sheetName val="Unit"/>
      <sheetName val="Vendor"/>
      <sheetName val="Cal"/>
      <sheetName val="PLA"/>
      <sheetName val="Estate"/>
      <sheetName val="Key Data"/>
      <sheetName val="Input2"/>
      <sheetName val="JENIS_WS"/>
      <sheetName val="Ketentuan Rotasi"/>
      <sheetName val="transp2"/>
      <sheetName val="Item Kerja"/>
      <sheetName val="Mapping"/>
      <sheetName val="1_Areal_Statemen1"/>
      <sheetName val="1__Best_Best_Estate1"/>
      <sheetName val="Company_Asset_Class_Pivot1"/>
      <sheetName val="Asset_Class_List1"/>
      <sheetName val="BIA_REKRUTMEN1"/>
      <sheetName val="DATA_BASE1"/>
      <sheetName val="HUTANG_DR_KBN1"/>
      <sheetName val="NOP_20101"/>
      <sheetName val="POT_TOKO1"/>
      <sheetName val="KETERANGAN_PEMAKAIAN1"/>
      <sheetName val="List_PT1"/>
      <sheetName val="JENIS_WS1"/>
      <sheetName val="1_Rollfwd1"/>
      <sheetName val="FFB-2003(_P_)_1"/>
      <sheetName val="Prod_&amp;_Sales1"/>
      <sheetName val="5_TE21"/>
      <sheetName val="Ketentuan_Rotasi"/>
      <sheetName val="2600_50_Rincian_Credit_Card(HO2"/>
      <sheetName val="UPDATE_KUOTA_(VERIFIKASI)2"/>
      <sheetName val="10_yr_val2"/>
      <sheetName val="REKAP_OMZET_KAPAL2"/>
      <sheetName val="FORM_X_COST2"/>
      <sheetName val="1__Best_Best_Estate2"/>
      <sheetName val="1_Areal_Statemen2"/>
      <sheetName val="Company_Asset_Class_Pivot2"/>
      <sheetName val="Asset_Class_List2"/>
      <sheetName val="BIA_REKRUTMEN2"/>
      <sheetName val="DATA_BASE2"/>
      <sheetName val="HUTANG_DR_KBN2"/>
      <sheetName val="NOP_20102"/>
      <sheetName val="POT_TOKO2"/>
      <sheetName val="KETERANGAN_PEMAKAIAN2"/>
      <sheetName val="List_PT2"/>
      <sheetName val="SKU_Inti2"/>
      <sheetName val="PHL_Inti_+_Borongan2"/>
      <sheetName val="SKU_-H_Plasma_2"/>
      <sheetName val="PHL_Plasma_+_Borongan2"/>
      <sheetName val="BPE1_vs_BNI2"/>
      <sheetName val="BPE1_vs_Mandiri2"/>
      <sheetName val="bantu_Tunai2"/>
      <sheetName val="Borongan_Pakai2"/>
      <sheetName val="A_Harian_&amp;_Bulanan2"/>
      <sheetName val="MASTER_KARYAWAN2"/>
      <sheetName val="JENIS_WS2"/>
      <sheetName val="1_Rollfwd2"/>
      <sheetName val="FFB-2003(_P_)_2"/>
      <sheetName val="Prod_&amp;_Sales2"/>
      <sheetName val="(43)9_12"/>
      <sheetName val="FA_sd_APRIL_072"/>
      <sheetName val="fa_SD_APRIL072"/>
      <sheetName val="BS_$2"/>
      <sheetName val="P&amp;L_$2"/>
      <sheetName val="POM_$2"/>
      <sheetName val="OP_$2"/>
      <sheetName val="Rub_$2"/>
      <sheetName val="Staff__Cost2"/>
      <sheetName val="TAX_LIST2"/>
      <sheetName val="data_(2)2"/>
      <sheetName val="CA_PROD_A-12"/>
      <sheetName val="Gaji_Bersih_GW2"/>
      <sheetName val="5_TE22"/>
      <sheetName val="Ketentuan_Rotasi1"/>
      <sheetName val="Tanda_Tangan1"/>
      <sheetName val="FOH_Details18191"/>
      <sheetName val="Update_CPS1"/>
      <sheetName val="Upadate_21_10_20191"/>
      <sheetName val="Stock_Take_19092019_30%1"/>
      <sheetName val="Press_KCP1"/>
      <sheetName val="Upadate_21_09_20191"/>
      <sheetName val="GS02_Summary1"/>
      <sheetName val="GS02_Distribution1"/>
      <sheetName val="VRA_Summ1"/>
      <sheetName val="Detail_Dist_TM771"/>
      <sheetName val="08_Jan_20058"/>
      <sheetName val="15_Jan_20058"/>
      <sheetName val="22_Jan_20058"/>
      <sheetName val="29_Jan_8"/>
      <sheetName val="05_Jan8"/>
      <sheetName val="16_Feb_048"/>
      <sheetName val="23_Feb_04_8"/>
      <sheetName val="01_Mar_048"/>
      <sheetName val="08_Mar_04_8"/>
      <sheetName val="15_Mar_048"/>
      <sheetName val="22__Mar_048"/>
      <sheetName val="28__Mar_048"/>
      <sheetName val="03_April_04_8"/>
      <sheetName val="10_April_04_8"/>
      <sheetName val="17_April_04__8"/>
      <sheetName val="17_April_04_edit8"/>
      <sheetName val="24_April_04_8"/>
      <sheetName val="24_April_04_edit8"/>
      <sheetName val="01_Mei_048"/>
      <sheetName val="08_Mei_048"/>
      <sheetName val="15_Mei_048"/>
      <sheetName val="22_Mei_04_8"/>
      <sheetName val="29_Mei_04_8"/>
      <sheetName val="05_Juni_048"/>
      <sheetName val="12_Juni_04_8"/>
      <sheetName val="19_Juni_04__8"/>
      <sheetName val="26_Juni_04_8"/>
      <sheetName val="_30_Juni_04_8"/>
      <sheetName val="_03_Juli_04__8"/>
      <sheetName val="_10_Juli_04___8"/>
      <sheetName val="_17_Juli_04_8"/>
      <sheetName val="10_Juli_04_Penyesuaian8"/>
      <sheetName val="17_Juli_04_Penyesuaian8"/>
      <sheetName val="_24_Juli_04____8"/>
      <sheetName val="_31_Juli_04_8"/>
      <sheetName val="07_Agustus_048"/>
      <sheetName val="14_Agustus_04_8"/>
      <sheetName val="22_Agustus_04_8"/>
      <sheetName val="28_Agustus_04__8"/>
      <sheetName val="K_025CPO-098"/>
      <sheetName val="WP_8"/>
      <sheetName val="K_002CPO8"/>
      <sheetName val="K_026CPO088"/>
      <sheetName val="MUTU_BUAH7"/>
      <sheetName val="INDIRECT_DETAIL7"/>
      <sheetName val="Pk_prod7"/>
      <sheetName val="DIRECT_COST7"/>
      <sheetName val="NK_Oct'117"/>
      <sheetName val="KGP_Thp_I6"/>
      <sheetName val="KGP_Thp_II6"/>
      <sheetName val="Daftar_Harga_Barang6"/>
      <sheetName val="INDRCT_DTL5"/>
      <sheetName val="WIL_15"/>
      <sheetName val="MM_PAGE-2_X5"/>
      <sheetName val="REKAP_EST_PROD_13_edt6"/>
      <sheetName val="Upah_SKUB6"/>
      <sheetName val="ocean_voyage5"/>
      <sheetName val="FISIK_RAB_20005"/>
      <sheetName val="Daftar_isi5"/>
      <sheetName val="Lbr_Sched_5"/>
      <sheetName val="SKU_BUL_5"/>
      <sheetName val="SKU-HAR_5"/>
      <sheetName val="SKU_KHT5"/>
      <sheetName val="LBR_SLR_DTL5"/>
      <sheetName val="LEMBUR_20075"/>
      <sheetName val="Prod_smry5"/>
      <sheetName val="Rekap_Biaya5"/>
      <sheetName val="Expens&amp;Rnue_(2)5"/>
      <sheetName val="DIRECT_SMR5"/>
      <sheetName val="DIRECT_DETAIL5"/>
      <sheetName val="INDIRECT_SMR5"/>
      <sheetName val="INDIRECT_COST5"/>
      <sheetName val="SE_SMR5"/>
      <sheetName val="SE_COST5"/>
      <sheetName val="SE_Detail5"/>
      <sheetName val="TRANS_PWR_5"/>
      <sheetName val="TRANS_VEHICL5"/>
      <sheetName val="TRANS_WATER5"/>
      <sheetName val="TRANS_WORKM&amp;R5"/>
      <sheetName val="TRANS_RMH5"/>
      <sheetName val="TRANS_ALT_BERAT5"/>
      <sheetName val="L_BA_blok6"/>
      <sheetName val="fin_pro_centers6"/>
      <sheetName val="KK_CFP_JAKARTA6"/>
      <sheetName val="Gaji_Non_Staff6"/>
      <sheetName val="CF_Konsol6"/>
      <sheetName val="_Penjelasan_RKB-PDO6"/>
      <sheetName val="Rekap__Total6"/>
      <sheetName val="CPO_16-9-TID_5"/>
      <sheetName val="Kualitas_TBS5"/>
      <sheetName val="Kesegaran_TBS5"/>
      <sheetName val="10__Summary_all5"/>
      <sheetName val="8_Upah_rata25"/>
      <sheetName val="LEMBUR_20065"/>
      <sheetName val="Prod__Stats5"/>
      <sheetName val="Hal-12_6"/>
      <sheetName val="Premi_Iuran6"/>
      <sheetName val="Penjelasan_SCK5"/>
      <sheetName val="HET_PBG35"/>
      <sheetName val="Fomat__14"/>
      <sheetName val="PABRIK_(2)6"/>
      <sheetName val="Trading_Statement4"/>
      <sheetName val="KODE_TRANS4"/>
      <sheetName val="Kas_Bank4"/>
      <sheetName val="CHART_SAMPLES_RECEIVED4"/>
      <sheetName val="Daftar_Blok4"/>
      <sheetName val="Kode_Barang4"/>
      <sheetName val="ACT_PROD4"/>
      <sheetName val="PLAN_PROD4"/>
      <sheetName val="Rincian_Iuran4"/>
      <sheetName val="Capex_Sum5"/>
      <sheetName val="2600_50_Rincian_Credit_Card(HO3"/>
      <sheetName val="TBM_34"/>
      <sheetName val="List_Rayon4"/>
      <sheetName val="List_Department4"/>
      <sheetName val="Palm_Prod4"/>
      <sheetName val="Data_Kar4"/>
      <sheetName val="Data_Rekon4"/>
      <sheetName val="renc__kerja_LC4"/>
      <sheetName val="SASARAN_4"/>
      <sheetName val="LOCAL_GOVT_TAX4"/>
      <sheetName val="Sheet1_(3)4"/>
      <sheetName val="BY_TM_99_4"/>
      <sheetName val="_45KVA-14"/>
      <sheetName val="DATA_LTW4"/>
      <sheetName val="WRKP_TM4"/>
      <sheetName val="Production_S24"/>
      <sheetName val="Production_S34"/>
      <sheetName val="COA_(3)4"/>
      <sheetName val="HK_Effektif_&amp;_Rate_Upah4"/>
      <sheetName val="Harga_20114"/>
      <sheetName val="UPDATE_KUOTA_(VERIFIKASI)3"/>
      <sheetName val="10_yr_val3"/>
      <sheetName val="REKAP_OMZET_KAPAL3"/>
      <sheetName val="FORM_X_COST3"/>
      <sheetName val="MASTER_PJCM4"/>
      <sheetName val="MASTER_MB4"/>
      <sheetName val="UMUR_KOMPLEK_PJCM4"/>
      <sheetName val="UMUR_KOMPLEK_IU_MB4"/>
      <sheetName val="IU_PJCM4"/>
      <sheetName val="IU_MB4"/>
      <sheetName val="DAFTAR_NAMA_KOMPLEK4"/>
      <sheetName val="1__Best_Best_Estate3"/>
      <sheetName val="1_Areal_Statemen3"/>
      <sheetName val="New_Position4"/>
      <sheetName val="NEW_POSITION_BD4"/>
      <sheetName val="Jenis_kendaraan4"/>
      <sheetName val="transport_method4"/>
      <sheetName val="4_14"/>
      <sheetName val="Company_Asset_Class_Pivot3"/>
      <sheetName val="Asset_Class_List3"/>
      <sheetName val="BIA_REKRUTMEN3"/>
      <sheetName val="DATA_BASE3"/>
      <sheetName val="HUTANG_DR_KBN3"/>
      <sheetName val="NOP_20103"/>
      <sheetName val="POT_TOKO3"/>
      <sheetName val="KETERANGAN_PEMAKAIAN3"/>
      <sheetName val="List_PT3"/>
      <sheetName val="SKU_Inti3"/>
      <sheetName val="PHL_Inti_+_Borongan3"/>
      <sheetName val="SKU_-H_Plasma_3"/>
      <sheetName val="PHL_Plasma_+_Borongan3"/>
      <sheetName val="BPE1_vs_BNI3"/>
      <sheetName val="BPE1_vs_Mandiri3"/>
      <sheetName val="bantu_Tunai3"/>
      <sheetName val="Borongan_Pakai3"/>
      <sheetName val="A_Harian_&amp;_Bulanan3"/>
      <sheetName val="MASTER_KARYAWAN3"/>
      <sheetName val="JENIS_WS3"/>
      <sheetName val="1_Rollfwd3"/>
      <sheetName val="FFB-2003(_P_)_3"/>
      <sheetName val="Prod_&amp;_Sales3"/>
      <sheetName val="(43)9_13"/>
      <sheetName val="FA_sd_APRIL_073"/>
      <sheetName val="fa_SD_APRIL073"/>
      <sheetName val="BS_$3"/>
      <sheetName val="P&amp;L_$3"/>
      <sheetName val="POM_$3"/>
      <sheetName val="OP_$3"/>
      <sheetName val="Rub_$3"/>
      <sheetName val="Staff__Cost3"/>
      <sheetName val="TAX_LIST3"/>
      <sheetName val="data_(2)3"/>
      <sheetName val="CA_PROD_A-13"/>
      <sheetName val="Gaji_Bersih_GW3"/>
      <sheetName val="5_TE23"/>
      <sheetName val="Ketentuan_Rotasi2"/>
      <sheetName val="Tanda_Tangan2"/>
      <sheetName val="FOH_Details18192"/>
      <sheetName val="Update_CPS2"/>
      <sheetName val="Upadate_21_10_20192"/>
      <sheetName val="Stock_Take_19092019_30%2"/>
      <sheetName val="Press_KCP2"/>
      <sheetName val="Upadate_21_09_20192"/>
      <sheetName val="GS02_Summary2"/>
      <sheetName val="GS02_Distribution2"/>
      <sheetName val="VRA_Summ2"/>
      <sheetName val="Detail_Dist_TM772"/>
      <sheetName val="MASTER_XJCM1"/>
      <sheetName val="2. Cost Center"/>
      <sheetName val="LKVL-CK-HT-GD1"/>
      <sheetName val="THPDMoi  (2)"/>
      <sheetName val="dongia (2)"/>
      <sheetName val="DONGIA"/>
      <sheetName val="lam-moi"/>
      <sheetName val="gtrinh"/>
      <sheetName val="thao-go"/>
      <sheetName val="CHITIET VL-NC-TT -1p"/>
      <sheetName val="chitiet"/>
      <sheetName val="SEX"/>
      <sheetName val="D &amp; W sizes"/>
      <sheetName val="data_val"/>
      <sheetName val="Form 1"/>
      <sheetName val="Nama Karyawan"/>
      <sheetName val="IO-list"/>
      <sheetName val="ZONA"/>
      <sheetName val="HARGA CONSUMABLE"/>
      <sheetName val="Update Juni"/>
      <sheetName val="Update Maret (2)"/>
      <sheetName val="mill"/>
      <sheetName val="sbe"/>
      <sheetName val="are"/>
      <sheetName val="Link"/>
      <sheetName val="GPMSB"/>
      <sheetName val="kap rinci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E3">
            <v>2002</v>
          </cell>
          <cell r="F3" t="str">
            <v>FEBRUARI</v>
          </cell>
          <cell r="G3" t="str">
            <v>MARET</v>
          </cell>
          <cell r="H3" t="str">
            <v>MARET</v>
          </cell>
          <cell r="I3" t="str">
            <v>MEI</v>
          </cell>
          <cell r="J3" t="str">
            <v>APRIL</v>
          </cell>
          <cell r="K3" t="str">
            <v>SubTotal</v>
          </cell>
          <cell r="L3" t="str">
            <v>MEI</v>
          </cell>
          <cell r="M3" t="str">
            <v>AGUSTUS</v>
          </cell>
          <cell r="N3" t="str">
            <v>JUNI</v>
          </cell>
          <cell r="O3" t="str">
            <v>OKTOBER</v>
          </cell>
          <cell r="P3" t="str">
            <v>SubTotal</v>
          </cell>
          <cell r="Q3" t="str">
            <v>DESEMBER</v>
          </cell>
          <cell r="R3" t="str">
            <v>JULI</v>
          </cell>
          <cell r="S3" t="str">
            <v>AGUSTUS</v>
          </cell>
          <cell r="T3" t="str">
            <v>AGUSTUS</v>
          </cell>
          <cell r="U3" t="str">
            <v>OKTOBER</v>
          </cell>
          <cell r="V3" t="str">
            <v>SEPTEMBER</v>
          </cell>
          <cell r="W3" t="str">
            <v>DESEMBER</v>
          </cell>
          <cell r="X3" t="str">
            <v>OKTOBER</v>
          </cell>
          <cell r="Y3">
            <v>0</v>
          </cell>
          <cell r="Z3" t="str">
            <v>NOPEMBER</v>
          </cell>
          <cell r="AA3">
            <v>0</v>
          </cell>
          <cell r="AB3" t="str">
            <v>DESEMBER</v>
          </cell>
        </row>
        <row r="8">
          <cell r="E8">
            <v>0</v>
          </cell>
          <cell r="F8">
            <v>0</v>
          </cell>
          <cell r="G8">
            <v>0</v>
          </cell>
          <cell r="H8">
            <v>387</v>
          </cell>
          <cell r="I8">
            <v>24</v>
          </cell>
          <cell r="J8">
            <v>292</v>
          </cell>
          <cell r="K8">
            <v>19</v>
          </cell>
          <cell r="L8">
            <v>107</v>
          </cell>
          <cell r="M8">
            <v>9</v>
          </cell>
          <cell r="N8">
            <v>228</v>
          </cell>
          <cell r="O8">
            <v>13</v>
          </cell>
          <cell r="P8">
            <v>1014</v>
          </cell>
          <cell r="Q8">
            <v>65</v>
          </cell>
          <cell r="R8">
            <v>119</v>
          </cell>
          <cell r="S8">
            <v>11</v>
          </cell>
          <cell r="T8">
            <v>55</v>
          </cell>
          <cell r="U8">
            <v>3</v>
          </cell>
          <cell r="V8">
            <v>52</v>
          </cell>
          <cell r="W8">
            <v>5</v>
          </cell>
          <cell r="X8">
            <v>347</v>
          </cell>
          <cell r="Y8">
            <v>19</v>
          </cell>
          <cell r="Z8">
            <v>333</v>
          </cell>
          <cell r="AA8">
            <v>14</v>
          </cell>
          <cell r="AB8">
            <v>141</v>
          </cell>
          <cell r="AC8">
            <v>9</v>
          </cell>
        </row>
        <row r="14">
          <cell r="E14">
            <v>16</v>
          </cell>
          <cell r="F14">
            <v>50</v>
          </cell>
          <cell r="G14">
            <v>2</v>
          </cell>
          <cell r="H14">
            <v>124</v>
          </cell>
          <cell r="I14">
            <v>6</v>
          </cell>
          <cell r="J14">
            <v>226</v>
          </cell>
          <cell r="K14">
            <v>12</v>
          </cell>
          <cell r="L14">
            <v>232</v>
          </cell>
          <cell r="M14">
            <v>14</v>
          </cell>
          <cell r="N14">
            <v>114</v>
          </cell>
          <cell r="O14">
            <v>12</v>
          </cell>
          <cell r="P14">
            <v>972</v>
          </cell>
          <cell r="Q14">
            <v>62</v>
          </cell>
          <cell r="R14">
            <v>135</v>
          </cell>
          <cell r="S14">
            <v>17</v>
          </cell>
          <cell r="T14">
            <v>68</v>
          </cell>
          <cell r="U14">
            <v>4</v>
          </cell>
          <cell r="V14">
            <v>149</v>
          </cell>
          <cell r="W14">
            <v>13</v>
          </cell>
          <cell r="X14">
            <v>265</v>
          </cell>
          <cell r="Y14">
            <v>13</v>
          </cell>
          <cell r="Z14">
            <v>277</v>
          </cell>
          <cell r="AA14">
            <v>18</v>
          </cell>
          <cell r="AB14">
            <v>292</v>
          </cell>
          <cell r="AC14">
            <v>17</v>
          </cell>
        </row>
        <row r="15">
          <cell r="E15">
            <v>14</v>
          </cell>
          <cell r="F15">
            <v>411</v>
          </cell>
          <cell r="G15">
            <v>17</v>
          </cell>
          <cell r="H15">
            <v>180</v>
          </cell>
          <cell r="I15">
            <v>14</v>
          </cell>
          <cell r="J15">
            <v>264</v>
          </cell>
          <cell r="K15">
            <v>13</v>
          </cell>
          <cell r="L15">
            <v>360</v>
          </cell>
          <cell r="M15">
            <v>19</v>
          </cell>
          <cell r="N15">
            <v>322</v>
          </cell>
          <cell r="O15">
            <v>16</v>
          </cell>
          <cell r="P15">
            <v>1858</v>
          </cell>
          <cell r="Q15">
            <v>93</v>
          </cell>
          <cell r="R15">
            <v>77</v>
          </cell>
          <cell r="S15">
            <v>7</v>
          </cell>
          <cell r="T15">
            <v>23</v>
          </cell>
          <cell r="U15">
            <v>1</v>
          </cell>
          <cell r="V15">
            <v>1</v>
          </cell>
          <cell r="W15">
            <v>1</v>
          </cell>
          <cell r="X15">
            <v>130</v>
          </cell>
          <cell r="Y15">
            <v>8</v>
          </cell>
          <cell r="Z15">
            <v>248</v>
          </cell>
          <cell r="AA15">
            <v>16</v>
          </cell>
          <cell r="AB15">
            <v>228</v>
          </cell>
          <cell r="AC15">
            <v>12</v>
          </cell>
        </row>
        <row r="16">
          <cell r="E16">
            <v>21</v>
          </cell>
          <cell r="F16">
            <v>210</v>
          </cell>
          <cell r="G16">
            <v>16</v>
          </cell>
          <cell r="H16">
            <v>286</v>
          </cell>
          <cell r="I16">
            <v>18</v>
          </cell>
          <cell r="J16">
            <v>165</v>
          </cell>
          <cell r="K16">
            <v>11</v>
          </cell>
          <cell r="L16">
            <v>222</v>
          </cell>
          <cell r="M16">
            <v>18</v>
          </cell>
          <cell r="N16">
            <v>327</v>
          </cell>
          <cell r="O16">
            <v>16</v>
          </cell>
          <cell r="P16">
            <v>1574</v>
          </cell>
          <cell r="Q16">
            <v>100</v>
          </cell>
          <cell r="R16">
            <v>134</v>
          </cell>
          <cell r="S16">
            <v>6</v>
          </cell>
          <cell r="T16">
            <v>82</v>
          </cell>
          <cell r="U16">
            <v>3</v>
          </cell>
          <cell r="V16">
            <v>7</v>
          </cell>
          <cell r="W16">
            <v>1</v>
          </cell>
          <cell r="X16">
            <v>54</v>
          </cell>
          <cell r="Y16">
            <v>4</v>
          </cell>
          <cell r="Z16">
            <v>95</v>
          </cell>
          <cell r="AA16">
            <v>7</v>
          </cell>
          <cell r="AB16">
            <v>197</v>
          </cell>
          <cell r="AC16">
            <v>14</v>
          </cell>
        </row>
        <row r="17">
          <cell r="E17">
            <v>18</v>
          </cell>
          <cell r="F17">
            <v>195</v>
          </cell>
          <cell r="G17">
            <v>13</v>
          </cell>
          <cell r="H17">
            <v>361</v>
          </cell>
          <cell r="I17">
            <v>18</v>
          </cell>
          <cell r="J17">
            <v>230</v>
          </cell>
          <cell r="K17">
            <v>17</v>
          </cell>
          <cell r="L17">
            <v>253</v>
          </cell>
          <cell r="M17">
            <v>15</v>
          </cell>
          <cell r="N17">
            <v>220</v>
          </cell>
          <cell r="O17">
            <v>20</v>
          </cell>
          <cell r="P17">
            <v>1556</v>
          </cell>
          <cell r="Q17">
            <v>101</v>
          </cell>
          <cell r="R17">
            <v>451</v>
          </cell>
          <cell r="S17">
            <v>16</v>
          </cell>
          <cell r="T17">
            <v>105</v>
          </cell>
          <cell r="U17">
            <v>12</v>
          </cell>
          <cell r="V17">
            <v>113</v>
          </cell>
          <cell r="W17">
            <v>9</v>
          </cell>
          <cell r="X17">
            <v>202</v>
          </cell>
          <cell r="Y17">
            <v>12</v>
          </cell>
          <cell r="Z17">
            <v>202</v>
          </cell>
          <cell r="AA17">
            <v>17</v>
          </cell>
          <cell r="AB17">
            <v>178</v>
          </cell>
          <cell r="AC17">
            <v>18</v>
          </cell>
        </row>
        <row r="18">
          <cell r="E18">
            <v>16</v>
          </cell>
          <cell r="F18">
            <v>264</v>
          </cell>
          <cell r="G18">
            <v>20</v>
          </cell>
          <cell r="H18">
            <v>165</v>
          </cell>
          <cell r="I18">
            <v>13</v>
          </cell>
          <cell r="J18">
            <v>155</v>
          </cell>
          <cell r="K18">
            <v>14</v>
          </cell>
        </row>
      </sheetData>
      <sheetData sheetId="5">
        <row r="3">
          <cell r="F3" t="str">
            <v>FEBRUARI</v>
          </cell>
        </row>
      </sheetData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3">
          <cell r="F3" t="str">
            <v>FEBRUARI</v>
          </cell>
        </row>
      </sheetData>
      <sheetData sheetId="113">
        <row r="3">
          <cell r="F3" t="str">
            <v>FEBRUARI</v>
          </cell>
        </row>
      </sheetData>
      <sheetData sheetId="114">
        <row r="3">
          <cell r="F3" t="str">
            <v>FEBRUARI</v>
          </cell>
        </row>
      </sheetData>
      <sheetData sheetId="115">
        <row r="3">
          <cell r="F3" t="str">
            <v>FEBRUARI</v>
          </cell>
        </row>
      </sheetData>
      <sheetData sheetId="116">
        <row r="3">
          <cell r="F3" t="str">
            <v>FEBRUARI</v>
          </cell>
        </row>
      </sheetData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>
        <row r="3">
          <cell r="F3" t="str">
            <v>FEBRUARI</v>
          </cell>
        </row>
      </sheetData>
      <sheetData sheetId="148">
        <row r="3">
          <cell r="F3" t="str">
            <v>FEBRUARI</v>
          </cell>
        </row>
      </sheetData>
      <sheetData sheetId="149">
        <row r="3">
          <cell r="F3" t="str">
            <v>FEBRUARI</v>
          </cell>
        </row>
      </sheetData>
      <sheetData sheetId="150">
        <row r="3">
          <cell r="F3" t="str">
            <v>FEBRUARI</v>
          </cell>
        </row>
      </sheetData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>
        <row r="3">
          <cell r="F3" t="str">
            <v>FEBRUARI</v>
          </cell>
        </row>
      </sheetData>
      <sheetData sheetId="158">
        <row r="3">
          <cell r="F3" t="str">
            <v>FEBRUARI</v>
          </cell>
        </row>
      </sheetData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>
        <row r="3">
          <cell r="E3">
            <v>2002</v>
          </cell>
        </row>
      </sheetData>
      <sheetData sheetId="345">
        <row r="3">
          <cell r="E3">
            <v>2002</v>
          </cell>
        </row>
      </sheetData>
      <sheetData sheetId="346">
        <row r="3">
          <cell r="E3">
            <v>2002</v>
          </cell>
        </row>
      </sheetData>
      <sheetData sheetId="347">
        <row r="3">
          <cell r="E3">
            <v>2002</v>
          </cell>
        </row>
      </sheetData>
      <sheetData sheetId="348">
        <row r="3">
          <cell r="E3">
            <v>2002</v>
          </cell>
        </row>
      </sheetData>
      <sheetData sheetId="349">
        <row r="3">
          <cell r="E3">
            <v>2002</v>
          </cell>
        </row>
      </sheetData>
      <sheetData sheetId="350">
        <row r="3">
          <cell r="E3">
            <v>2002</v>
          </cell>
        </row>
      </sheetData>
      <sheetData sheetId="351">
        <row r="3">
          <cell r="E3">
            <v>2002</v>
          </cell>
        </row>
      </sheetData>
      <sheetData sheetId="352">
        <row r="3">
          <cell r="E3">
            <v>2002</v>
          </cell>
        </row>
      </sheetData>
      <sheetData sheetId="353">
        <row r="3">
          <cell r="E3">
            <v>2002</v>
          </cell>
        </row>
      </sheetData>
      <sheetData sheetId="354">
        <row r="3">
          <cell r="E3">
            <v>2002</v>
          </cell>
        </row>
      </sheetData>
      <sheetData sheetId="355">
        <row r="3">
          <cell r="E3">
            <v>2002</v>
          </cell>
        </row>
      </sheetData>
      <sheetData sheetId="356">
        <row r="3">
          <cell r="E3">
            <v>2002</v>
          </cell>
        </row>
      </sheetData>
      <sheetData sheetId="357">
        <row r="3">
          <cell r="E3">
            <v>2002</v>
          </cell>
        </row>
      </sheetData>
      <sheetData sheetId="358">
        <row r="3">
          <cell r="E3">
            <v>2002</v>
          </cell>
        </row>
      </sheetData>
      <sheetData sheetId="359">
        <row r="3">
          <cell r="E3">
            <v>2002</v>
          </cell>
        </row>
      </sheetData>
      <sheetData sheetId="360">
        <row r="3">
          <cell r="E3">
            <v>2002</v>
          </cell>
        </row>
      </sheetData>
      <sheetData sheetId="361">
        <row r="3">
          <cell r="E3">
            <v>2002</v>
          </cell>
        </row>
      </sheetData>
      <sheetData sheetId="362">
        <row r="3">
          <cell r="E3">
            <v>2002</v>
          </cell>
        </row>
      </sheetData>
      <sheetData sheetId="363">
        <row r="3">
          <cell r="E3">
            <v>2002</v>
          </cell>
        </row>
      </sheetData>
      <sheetData sheetId="364">
        <row r="3">
          <cell r="E3">
            <v>2002</v>
          </cell>
        </row>
      </sheetData>
      <sheetData sheetId="365">
        <row r="3">
          <cell r="E3">
            <v>2002</v>
          </cell>
        </row>
      </sheetData>
      <sheetData sheetId="366">
        <row r="3">
          <cell r="E3">
            <v>2002</v>
          </cell>
        </row>
      </sheetData>
      <sheetData sheetId="367">
        <row r="3">
          <cell r="E3">
            <v>2002</v>
          </cell>
        </row>
      </sheetData>
      <sheetData sheetId="368">
        <row r="3">
          <cell r="E3">
            <v>2002</v>
          </cell>
        </row>
      </sheetData>
      <sheetData sheetId="369">
        <row r="3">
          <cell r="E3">
            <v>2002</v>
          </cell>
        </row>
      </sheetData>
      <sheetData sheetId="370">
        <row r="3">
          <cell r="E3">
            <v>2002</v>
          </cell>
        </row>
      </sheetData>
      <sheetData sheetId="371">
        <row r="3">
          <cell r="E3">
            <v>2002</v>
          </cell>
        </row>
      </sheetData>
      <sheetData sheetId="372">
        <row r="3">
          <cell r="E3">
            <v>2002</v>
          </cell>
        </row>
      </sheetData>
      <sheetData sheetId="373">
        <row r="3">
          <cell r="E3">
            <v>2002</v>
          </cell>
        </row>
      </sheetData>
      <sheetData sheetId="374">
        <row r="3">
          <cell r="E3">
            <v>2002</v>
          </cell>
        </row>
      </sheetData>
      <sheetData sheetId="375">
        <row r="3">
          <cell r="E3">
            <v>2002</v>
          </cell>
        </row>
      </sheetData>
      <sheetData sheetId="376">
        <row r="3">
          <cell r="E3">
            <v>2002</v>
          </cell>
        </row>
      </sheetData>
      <sheetData sheetId="377">
        <row r="3">
          <cell r="E3">
            <v>2002</v>
          </cell>
        </row>
      </sheetData>
      <sheetData sheetId="378">
        <row r="3">
          <cell r="E3">
            <v>2002</v>
          </cell>
        </row>
      </sheetData>
      <sheetData sheetId="379">
        <row r="3">
          <cell r="E3">
            <v>2002</v>
          </cell>
        </row>
      </sheetData>
      <sheetData sheetId="380">
        <row r="3">
          <cell r="E3">
            <v>2002</v>
          </cell>
        </row>
      </sheetData>
      <sheetData sheetId="381">
        <row r="3">
          <cell r="E3">
            <v>2002</v>
          </cell>
        </row>
      </sheetData>
      <sheetData sheetId="382">
        <row r="3">
          <cell r="E3">
            <v>2002</v>
          </cell>
        </row>
      </sheetData>
      <sheetData sheetId="383">
        <row r="3">
          <cell r="E3">
            <v>2002</v>
          </cell>
        </row>
      </sheetData>
      <sheetData sheetId="384">
        <row r="3">
          <cell r="E3">
            <v>2002</v>
          </cell>
        </row>
      </sheetData>
      <sheetData sheetId="385">
        <row r="3">
          <cell r="E3">
            <v>2002</v>
          </cell>
        </row>
      </sheetData>
      <sheetData sheetId="386">
        <row r="3">
          <cell r="E3">
            <v>2002</v>
          </cell>
        </row>
      </sheetData>
      <sheetData sheetId="387">
        <row r="3">
          <cell r="E3">
            <v>2002</v>
          </cell>
        </row>
      </sheetData>
      <sheetData sheetId="388">
        <row r="3">
          <cell r="E3">
            <v>2002</v>
          </cell>
        </row>
      </sheetData>
      <sheetData sheetId="389">
        <row r="3">
          <cell r="E3">
            <v>2002</v>
          </cell>
        </row>
      </sheetData>
      <sheetData sheetId="390">
        <row r="3">
          <cell r="E3">
            <v>2002</v>
          </cell>
        </row>
      </sheetData>
      <sheetData sheetId="391">
        <row r="3">
          <cell r="E3">
            <v>2002</v>
          </cell>
        </row>
      </sheetData>
      <sheetData sheetId="392">
        <row r="3">
          <cell r="E3">
            <v>2002</v>
          </cell>
        </row>
      </sheetData>
      <sheetData sheetId="393">
        <row r="3">
          <cell r="E3">
            <v>2002</v>
          </cell>
        </row>
      </sheetData>
      <sheetData sheetId="394">
        <row r="3">
          <cell r="E3">
            <v>2002</v>
          </cell>
        </row>
      </sheetData>
      <sheetData sheetId="395">
        <row r="3">
          <cell r="E3">
            <v>2002</v>
          </cell>
        </row>
      </sheetData>
      <sheetData sheetId="396">
        <row r="3">
          <cell r="E3">
            <v>2002</v>
          </cell>
        </row>
      </sheetData>
      <sheetData sheetId="397">
        <row r="3">
          <cell r="E3">
            <v>2002</v>
          </cell>
        </row>
      </sheetData>
      <sheetData sheetId="398">
        <row r="3">
          <cell r="E3">
            <v>2002</v>
          </cell>
        </row>
      </sheetData>
      <sheetData sheetId="399">
        <row r="3">
          <cell r="E3">
            <v>2002</v>
          </cell>
        </row>
      </sheetData>
      <sheetData sheetId="400">
        <row r="3">
          <cell r="E3">
            <v>2002</v>
          </cell>
        </row>
      </sheetData>
      <sheetData sheetId="401">
        <row r="3">
          <cell r="E3">
            <v>2002</v>
          </cell>
        </row>
      </sheetData>
      <sheetData sheetId="402">
        <row r="3">
          <cell r="E3">
            <v>2002</v>
          </cell>
        </row>
      </sheetData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>
        <row r="3">
          <cell r="E3">
            <v>2002</v>
          </cell>
        </row>
      </sheetData>
      <sheetData sheetId="458" refreshError="1"/>
      <sheetData sheetId="459" refreshError="1"/>
      <sheetData sheetId="460">
        <row r="3">
          <cell r="E3">
            <v>2002</v>
          </cell>
        </row>
      </sheetData>
      <sheetData sheetId="461">
        <row r="3">
          <cell r="E3">
            <v>2002</v>
          </cell>
        </row>
      </sheetData>
      <sheetData sheetId="462">
        <row r="3">
          <cell r="E3">
            <v>2002</v>
          </cell>
        </row>
      </sheetData>
      <sheetData sheetId="463">
        <row r="3">
          <cell r="E3">
            <v>2002</v>
          </cell>
        </row>
      </sheetData>
      <sheetData sheetId="464">
        <row r="3">
          <cell r="E3">
            <v>2002</v>
          </cell>
        </row>
      </sheetData>
      <sheetData sheetId="465">
        <row r="3">
          <cell r="E3">
            <v>2002</v>
          </cell>
        </row>
      </sheetData>
      <sheetData sheetId="466">
        <row r="3">
          <cell r="E3">
            <v>2002</v>
          </cell>
        </row>
      </sheetData>
      <sheetData sheetId="467">
        <row r="3">
          <cell r="E3">
            <v>2002</v>
          </cell>
        </row>
      </sheetData>
      <sheetData sheetId="468">
        <row r="3">
          <cell r="E3">
            <v>2002</v>
          </cell>
        </row>
      </sheetData>
      <sheetData sheetId="469">
        <row r="3">
          <cell r="E3">
            <v>2002</v>
          </cell>
        </row>
      </sheetData>
      <sheetData sheetId="470">
        <row r="3">
          <cell r="E3">
            <v>2002</v>
          </cell>
        </row>
      </sheetData>
      <sheetData sheetId="471">
        <row r="3">
          <cell r="E3">
            <v>2002</v>
          </cell>
        </row>
      </sheetData>
      <sheetData sheetId="472">
        <row r="3">
          <cell r="E3">
            <v>2002</v>
          </cell>
        </row>
      </sheetData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>
        <row r="3">
          <cell r="E3">
            <v>0</v>
          </cell>
        </row>
      </sheetData>
      <sheetData sheetId="643">
        <row r="3">
          <cell r="E3">
            <v>2002</v>
          </cell>
        </row>
      </sheetData>
      <sheetData sheetId="644">
        <row r="3">
          <cell r="E3">
            <v>0</v>
          </cell>
        </row>
      </sheetData>
      <sheetData sheetId="645">
        <row r="3">
          <cell r="E3">
            <v>0</v>
          </cell>
        </row>
      </sheetData>
      <sheetData sheetId="646">
        <row r="3">
          <cell r="E3">
            <v>0</v>
          </cell>
        </row>
      </sheetData>
      <sheetData sheetId="647">
        <row r="3">
          <cell r="E3">
            <v>0</v>
          </cell>
        </row>
      </sheetData>
      <sheetData sheetId="648">
        <row r="3">
          <cell r="E3">
            <v>0</v>
          </cell>
        </row>
      </sheetData>
      <sheetData sheetId="649">
        <row r="3">
          <cell r="E3">
            <v>0</v>
          </cell>
        </row>
      </sheetData>
      <sheetData sheetId="650">
        <row r="3">
          <cell r="E3">
            <v>2002</v>
          </cell>
        </row>
      </sheetData>
      <sheetData sheetId="651">
        <row r="3">
          <cell r="E3">
            <v>0</v>
          </cell>
        </row>
      </sheetData>
      <sheetData sheetId="652">
        <row r="3">
          <cell r="E3">
            <v>0</v>
          </cell>
        </row>
      </sheetData>
      <sheetData sheetId="653">
        <row r="3">
          <cell r="E3">
            <v>0</v>
          </cell>
        </row>
      </sheetData>
      <sheetData sheetId="654">
        <row r="3">
          <cell r="E3">
            <v>2002</v>
          </cell>
        </row>
      </sheetData>
      <sheetData sheetId="655">
        <row r="3">
          <cell r="E3">
            <v>0</v>
          </cell>
        </row>
      </sheetData>
      <sheetData sheetId="656">
        <row r="3">
          <cell r="E3">
            <v>0</v>
          </cell>
        </row>
      </sheetData>
      <sheetData sheetId="657">
        <row r="3">
          <cell r="E3">
            <v>0</v>
          </cell>
        </row>
      </sheetData>
      <sheetData sheetId="658">
        <row r="3">
          <cell r="E3">
            <v>0</v>
          </cell>
        </row>
      </sheetData>
      <sheetData sheetId="659">
        <row r="3">
          <cell r="E3">
            <v>0</v>
          </cell>
        </row>
      </sheetData>
      <sheetData sheetId="660">
        <row r="3">
          <cell r="E3">
            <v>0</v>
          </cell>
        </row>
      </sheetData>
      <sheetData sheetId="661">
        <row r="3">
          <cell r="E3">
            <v>2002</v>
          </cell>
        </row>
      </sheetData>
      <sheetData sheetId="662">
        <row r="3">
          <cell r="E3">
            <v>0</v>
          </cell>
        </row>
      </sheetData>
      <sheetData sheetId="663">
        <row r="3">
          <cell r="E3">
            <v>2002</v>
          </cell>
        </row>
      </sheetData>
      <sheetData sheetId="664">
        <row r="3">
          <cell r="E3">
            <v>2002</v>
          </cell>
        </row>
      </sheetData>
      <sheetData sheetId="665">
        <row r="3">
          <cell r="E3">
            <v>2002</v>
          </cell>
        </row>
      </sheetData>
      <sheetData sheetId="666">
        <row r="3">
          <cell r="E3">
            <v>0</v>
          </cell>
        </row>
      </sheetData>
      <sheetData sheetId="667">
        <row r="3">
          <cell r="E3">
            <v>2002</v>
          </cell>
        </row>
      </sheetData>
      <sheetData sheetId="668">
        <row r="3">
          <cell r="E3">
            <v>2002</v>
          </cell>
        </row>
      </sheetData>
      <sheetData sheetId="669">
        <row r="3">
          <cell r="E3">
            <v>0</v>
          </cell>
        </row>
      </sheetData>
      <sheetData sheetId="670">
        <row r="3">
          <cell r="E3">
            <v>2002</v>
          </cell>
        </row>
      </sheetData>
      <sheetData sheetId="671" refreshError="1"/>
      <sheetData sheetId="672" refreshError="1"/>
      <sheetData sheetId="673">
        <row r="3">
          <cell r="E3">
            <v>0</v>
          </cell>
        </row>
      </sheetData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>
        <row r="3">
          <cell r="E3">
            <v>2002</v>
          </cell>
        </row>
      </sheetData>
      <sheetData sheetId="682">
        <row r="3">
          <cell r="E3">
            <v>2002</v>
          </cell>
        </row>
      </sheetData>
      <sheetData sheetId="683">
        <row r="3">
          <cell r="E3">
            <v>2002</v>
          </cell>
        </row>
      </sheetData>
      <sheetData sheetId="684">
        <row r="3">
          <cell r="E3">
            <v>2002</v>
          </cell>
        </row>
      </sheetData>
      <sheetData sheetId="685">
        <row r="3">
          <cell r="E3">
            <v>2002</v>
          </cell>
        </row>
      </sheetData>
      <sheetData sheetId="686">
        <row r="3">
          <cell r="E3">
            <v>2002</v>
          </cell>
        </row>
      </sheetData>
      <sheetData sheetId="687">
        <row r="3">
          <cell r="E3">
            <v>2002</v>
          </cell>
        </row>
      </sheetData>
      <sheetData sheetId="688">
        <row r="3">
          <cell r="E3">
            <v>2002</v>
          </cell>
        </row>
      </sheetData>
      <sheetData sheetId="689">
        <row r="3">
          <cell r="E3">
            <v>2002</v>
          </cell>
        </row>
      </sheetData>
      <sheetData sheetId="690">
        <row r="3">
          <cell r="E3">
            <v>2002</v>
          </cell>
        </row>
      </sheetData>
      <sheetData sheetId="691">
        <row r="3">
          <cell r="E3">
            <v>2002</v>
          </cell>
        </row>
      </sheetData>
      <sheetData sheetId="692">
        <row r="3">
          <cell r="E3">
            <v>2002</v>
          </cell>
        </row>
      </sheetData>
      <sheetData sheetId="693">
        <row r="3">
          <cell r="E3">
            <v>2002</v>
          </cell>
        </row>
      </sheetData>
      <sheetData sheetId="694">
        <row r="3">
          <cell r="E3">
            <v>2002</v>
          </cell>
        </row>
      </sheetData>
      <sheetData sheetId="695">
        <row r="3">
          <cell r="E3">
            <v>2002</v>
          </cell>
        </row>
      </sheetData>
      <sheetData sheetId="696">
        <row r="3">
          <cell r="E3">
            <v>2002</v>
          </cell>
        </row>
      </sheetData>
      <sheetData sheetId="697">
        <row r="3">
          <cell r="E3">
            <v>2002</v>
          </cell>
        </row>
      </sheetData>
      <sheetData sheetId="698">
        <row r="3">
          <cell r="E3">
            <v>2002</v>
          </cell>
        </row>
      </sheetData>
      <sheetData sheetId="699">
        <row r="3">
          <cell r="E3">
            <v>2002</v>
          </cell>
        </row>
      </sheetData>
      <sheetData sheetId="700">
        <row r="3">
          <cell r="E3">
            <v>2002</v>
          </cell>
        </row>
      </sheetData>
      <sheetData sheetId="701">
        <row r="3">
          <cell r="E3">
            <v>2002</v>
          </cell>
        </row>
      </sheetData>
      <sheetData sheetId="702">
        <row r="3">
          <cell r="E3">
            <v>2002</v>
          </cell>
        </row>
      </sheetData>
      <sheetData sheetId="703">
        <row r="3">
          <cell r="E3">
            <v>2002</v>
          </cell>
        </row>
      </sheetData>
      <sheetData sheetId="704">
        <row r="3">
          <cell r="E3">
            <v>2002</v>
          </cell>
        </row>
      </sheetData>
      <sheetData sheetId="705">
        <row r="3">
          <cell r="E3">
            <v>2002</v>
          </cell>
        </row>
      </sheetData>
      <sheetData sheetId="706">
        <row r="3">
          <cell r="E3">
            <v>2002</v>
          </cell>
        </row>
      </sheetData>
      <sheetData sheetId="707">
        <row r="3">
          <cell r="E3">
            <v>2002</v>
          </cell>
        </row>
      </sheetData>
      <sheetData sheetId="708">
        <row r="3">
          <cell r="E3">
            <v>2002</v>
          </cell>
        </row>
      </sheetData>
      <sheetData sheetId="709">
        <row r="3">
          <cell r="E3">
            <v>2002</v>
          </cell>
        </row>
      </sheetData>
      <sheetData sheetId="710">
        <row r="3">
          <cell r="E3">
            <v>2002</v>
          </cell>
        </row>
      </sheetData>
      <sheetData sheetId="711">
        <row r="3">
          <cell r="E3">
            <v>2002</v>
          </cell>
        </row>
      </sheetData>
      <sheetData sheetId="712">
        <row r="3">
          <cell r="E3">
            <v>2002</v>
          </cell>
        </row>
      </sheetData>
      <sheetData sheetId="713">
        <row r="3">
          <cell r="E3">
            <v>2002</v>
          </cell>
        </row>
      </sheetData>
      <sheetData sheetId="714">
        <row r="3">
          <cell r="E3">
            <v>2002</v>
          </cell>
        </row>
      </sheetData>
      <sheetData sheetId="715">
        <row r="3">
          <cell r="E3">
            <v>2002</v>
          </cell>
        </row>
      </sheetData>
      <sheetData sheetId="716">
        <row r="3">
          <cell r="E3">
            <v>2002</v>
          </cell>
        </row>
      </sheetData>
      <sheetData sheetId="717">
        <row r="3">
          <cell r="E3">
            <v>2002</v>
          </cell>
        </row>
      </sheetData>
      <sheetData sheetId="718">
        <row r="3">
          <cell r="E3">
            <v>2002</v>
          </cell>
        </row>
      </sheetData>
      <sheetData sheetId="719">
        <row r="3">
          <cell r="E3">
            <v>2002</v>
          </cell>
        </row>
      </sheetData>
      <sheetData sheetId="720">
        <row r="3">
          <cell r="E3">
            <v>2002</v>
          </cell>
        </row>
      </sheetData>
      <sheetData sheetId="721">
        <row r="3">
          <cell r="E3">
            <v>2002</v>
          </cell>
        </row>
      </sheetData>
      <sheetData sheetId="722">
        <row r="3">
          <cell r="E3">
            <v>2002</v>
          </cell>
        </row>
      </sheetData>
      <sheetData sheetId="723">
        <row r="3">
          <cell r="E3">
            <v>2002</v>
          </cell>
        </row>
      </sheetData>
      <sheetData sheetId="724">
        <row r="3">
          <cell r="E3">
            <v>2002</v>
          </cell>
        </row>
      </sheetData>
      <sheetData sheetId="725">
        <row r="3">
          <cell r="E3">
            <v>2002</v>
          </cell>
        </row>
      </sheetData>
      <sheetData sheetId="726">
        <row r="3">
          <cell r="E3">
            <v>2002</v>
          </cell>
        </row>
      </sheetData>
      <sheetData sheetId="727">
        <row r="3">
          <cell r="E3">
            <v>2002</v>
          </cell>
        </row>
      </sheetData>
      <sheetData sheetId="728">
        <row r="3">
          <cell r="E3">
            <v>2002</v>
          </cell>
        </row>
      </sheetData>
      <sheetData sheetId="729">
        <row r="3">
          <cell r="E3">
            <v>2002</v>
          </cell>
        </row>
      </sheetData>
      <sheetData sheetId="730">
        <row r="3">
          <cell r="E3">
            <v>2002</v>
          </cell>
        </row>
      </sheetData>
      <sheetData sheetId="731">
        <row r="3">
          <cell r="E3">
            <v>2002</v>
          </cell>
        </row>
      </sheetData>
      <sheetData sheetId="732">
        <row r="3">
          <cell r="E3">
            <v>2002</v>
          </cell>
        </row>
      </sheetData>
      <sheetData sheetId="733">
        <row r="3">
          <cell r="E3">
            <v>2002</v>
          </cell>
        </row>
      </sheetData>
      <sheetData sheetId="734">
        <row r="3">
          <cell r="E3">
            <v>2002</v>
          </cell>
        </row>
      </sheetData>
      <sheetData sheetId="735">
        <row r="3">
          <cell r="E3">
            <v>2002</v>
          </cell>
        </row>
      </sheetData>
      <sheetData sheetId="736">
        <row r="3">
          <cell r="E3">
            <v>2002</v>
          </cell>
        </row>
      </sheetData>
      <sheetData sheetId="737">
        <row r="3">
          <cell r="E3">
            <v>2002</v>
          </cell>
        </row>
      </sheetData>
      <sheetData sheetId="738">
        <row r="3">
          <cell r="E3">
            <v>2002</v>
          </cell>
        </row>
      </sheetData>
      <sheetData sheetId="739">
        <row r="3">
          <cell r="E3">
            <v>2002</v>
          </cell>
        </row>
      </sheetData>
      <sheetData sheetId="740">
        <row r="3">
          <cell r="E3">
            <v>2002</v>
          </cell>
        </row>
      </sheetData>
      <sheetData sheetId="741">
        <row r="3">
          <cell r="E3">
            <v>2002</v>
          </cell>
        </row>
      </sheetData>
      <sheetData sheetId="742">
        <row r="3">
          <cell r="E3">
            <v>2002</v>
          </cell>
        </row>
      </sheetData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>
        <row r="3">
          <cell r="E3">
            <v>2002</v>
          </cell>
        </row>
      </sheetData>
      <sheetData sheetId="1001">
        <row r="3">
          <cell r="E3">
            <v>2002</v>
          </cell>
        </row>
      </sheetData>
      <sheetData sheetId="1002">
        <row r="3">
          <cell r="E3">
            <v>2002</v>
          </cell>
        </row>
      </sheetData>
      <sheetData sheetId="1003">
        <row r="3">
          <cell r="E3">
            <v>2002</v>
          </cell>
        </row>
      </sheetData>
      <sheetData sheetId="1004">
        <row r="3">
          <cell r="E3">
            <v>2002</v>
          </cell>
        </row>
      </sheetData>
      <sheetData sheetId="1005">
        <row r="3">
          <cell r="E3">
            <v>2002</v>
          </cell>
        </row>
      </sheetData>
      <sheetData sheetId="1006">
        <row r="3">
          <cell r="E3">
            <v>2002</v>
          </cell>
        </row>
      </sheetData>
      <sheetData sheetId="1007">
        <row r="3">
          <cell r="E3">
            <v>2002</v>
          </cell>
        </row>
      </sheetData>
      <sheetData sheetId="1008">
        <row r="3">
          <cell r="E3">
            <v>2002</v>
          </cell>
        </row>
      </sheetData>
      <sheetData sheetId="1009">
        <row r="3">
          <cell r="E3">
            <v>2002</v>
          </cell>
        </row>
      </sheetData>
      <sheetData sheetId="1010">
        <row r="3">
          <cell r="E3">
            <v>2002</v>
          </cell>
        </row>
      </sheetData>
      <sheetData sheetId="1011">
        <row r="3">
          <cell r="E3">
            <v>2002</v>
          </cell>
        </row>
      </sheetData>
      <sheetData sheetId="1012">
        <row r="3">
          <cell r="E3">
            <v>2002</v>
          </cell>
        </row>
      </sheetData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>
        <row r="6">
          <cell r="U6">
            <v>-26.700830980354233</v>
          </cell>
        </row>
      </sheetData>
      <sheetData sheetId="1062">
        <row r="6">
          <cell r="U6">
            <v>-26.700830980354233</v>
          </cell>
        </row>
      </sheetData>
      <sheetData sheetId="1063">
        <row r="6">
          <cell r="U6">
            <v>-26.700830980354233</v>
          </cell>
        </row>
      </sheetData>
      <sheetData sheetId="1064">
        <row r="6">
          <cell r="U6">
            <v>-26.700830980354233</v>
          </cell>
        </row>
      </sheetData>
      <sheetData sheetId="1065">
        <row r="6">
          <cell r="U6">
            <v>-26.700830980354233</v>
          </cell>
        </row>
      </sheetData>
      <sheetData sheetId="1066">
        <row r="6">
          <cell r="U6">
            <v>-26.700830980354233</v>
          </cell>
        </row>
      </sheetData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>
        <row r="3">
          <cell r="E3">
            <v>0</v>
          </cell>
        </row>
      </sheetData>
      <sheetData sheetId="1188">
        <row r="3">
          <cell r="E3">
            <v>0</v>
          </cell>
        </row>
      </sheetData>
      <sheetData sheetId="1189">
        <row r="3">
          <cell r="E3">
            <v>0</v>
          </cell>
        </row>
      </sheetData>
      <sheetData sheetId="1190">
        <row r="3">
          <cell r="E3">
            <v>0</v>
          </cell>
        </row>
      </sheetData>
      <sheetData sheetId="1191">
        <row r="3">
          <cell r="E3">
            <v>0</v>
          </cell>
        </row>
      </sheetData>
      <sheetData sheetId="1192">
        <row r="3">
          <cell r="E3">
            <v>0</v>
          </cell>
        </row>
      </sheetData>
      <sheetData sheetId="1193">
        <row r="3">
          <cell r="E3">
            <v>0</v>
          </cell>
        </row>
      </sheetData>
      <sheetData sheetId="1194">
        <row r="3">
          <cell r="E3">
            <v>0</v>
          </cell>
        </row>
      </sheetData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>
        <row r="3">
          <cell r="E3">
            <v>0</v>
          </cell>
        </row>
      </sheetData>
      <sheetData sheetId="1202">
        <row r="3">
          <cell r="E3">
            <v>0</v>
          </cell>
        </row>
      </sheetData>
      <sheetData sheetId="1203">
        <row r="3">
          <cell r="E3">
            <v>0</v>
          </cell>
        </row>
      </sheetData>
      <sheetData sheetId="1204">
        <row r="3">
          <cell r="E3">
            <v>0</v>
          </cell>
        </row>
      </sheetData>
      <sheetData sheetId="1205">
        <row r="3">
          <cell r="E3">
            <v>0</v>
          </cell>
        </row>
      </sheetData>
      <sheetData sheetId="1206">
        <row r="3">
          <cell r="E3">
            <v>0</v>
          </cell>
        </row>
      </sheetData>
      <sheetData sheetId="1207">
        <row r="3">
          <cell r="E3">
            <v>0</v>
          </cell>
        </row>
      </sheetData>
      <sheetData sheetId="1208">
        <row r="3">
          <cell r="E3">
            <v>0</v>
          </cell>
        </row>
      </sheetData>
      <sheetData sheetId="1209">
        <row r="3">
          <cell r="E3">
            <v>0</v>
          </cell>
        </row>
      </sheetData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>
        <row r="3">
          <cell r="E3">
            <v>0</v>
          </cell>
        </row>
      </sheetData>
      <sheetData sheetId="1233">
        <row r="3">
          <cell r="E3">
            <v>0</v>
          </cell>
        </row>
      </sheetData>
      <sheetData sheetId="1234">
        <row r="3">
          <cell r="E3">
            <v>0</v>
          </cell>
        </row>
      </sheetData>
      <sheetData sheetId="1235">
        <row r="3">
          <cell r="E3">
            <v>0</v>
          </cell>
        </row>
      </sheetData>
      <sheetData sheetId="1236">
        <row r="3">
          <cell r="E3">
            <v>0</v>
          </cell>
        </row>
      </sheetData>
      <sheetData sheetId="1237">
        <row r="3">
          <cell r="E3">
            <v>0</v>
          </cell>
        </row>
      </sheetData>
      <sheetData sheetId="1238">
        <row r="3">
          <cell r="E3">
            <v>0</v>
          </cell>
        </row>
      </sheetData>
      <sheetData sheetId="1239">
        <row r="3">
          <cell r="E3">
            <v>0</v>
          </cell>
        </row>
      </sheetData>
      <sheetData sheetId="1240">
        <row r="3">
          <cell r="E3">
            <v>0</v>
          </cell>
        </row>
      </sheetData>
      <sheetData sheetId="1241">
        <row r="3">
          <cell r="E3">
            <v>0</v>
          </cell>
        </row>
      </sheetData>
      <sheetData sheetId="1242">
        <row r="3">
          <cell r="E3">
            <v>0</v>
          </cell>
        </row>
      </sheetData>
      <sheetData sheetId="1243">
        <row r="3">
          <cell r="E3">
            <v>0</v>
          </cell>
        </row>
      </sheetData>
      <sheetData sheetId="1244">
        <row r="3">
          <cell r="E3">
            <v>0</v>
          </cell>
        </row>
      </sheetData>
      <sheetData sheetId="1245">
        <row r="3">
          <cell r="E3">
            <v>0</v>
          </cell>
        </row>
      </sheetData>
      <sheetData sheetId="1246">
        <row r="3">
          <cell r="E3">
            <v>0</v>
          </cell>
        </row>
      </sheetData>
      <sheetData sheetId="1247">
        <row r="3">
          <cell r="E3">
            <v>0</v>
          </cell>
        </row>
      </sheetData>
      <sheetData sheetId="1248">
        <row r="3">
          <cell r="E3">
            <v>0</v>
          </cell>
        </row>
      </sheetData>
      <sheetData sheetId="1249">
        <row r="3">
          <cell r="E3">
            <v>0</v>
          </cell>
        </row>
      </sheetData>
      <sheetData sheetId="1250">
        <row r="3">
          <cell r="E3">
            <v>0</v>
          </cell>
        </row>
      </sheetData>
      <sheetData sheetId="1251">
        <row r="3">
          <cell r="E3">
            <v>0</v>
          </cell>
        </row>
      </sheetData>
      <sheetData sheetId="1252">
        <row r="3">
          <cell r="E3">
            <v>0</v>
          </cell>
        </row>
      </sheetData>
      <sheetData sheetId="1253">
        <row r="3">
          <cell r="E3">
            <v>0</v>
          </cell>
        </row>
      </sheetData>
      <sheetData sheetId="1254">
        <row r="3">
          <cell r="E3">
            <v>0</v>
          </cell>
        </row>
      </sheetData>
      <sheetData sheetId="1255">
        <row r="3">
          <cell r="E3">
            <v>0</v>
          </cell>
        </row>
      </sheetData>
      <sheetData sheetId="1256">
        <row r="3">
          <cell r="E3">
            <v>0</v>
          </cell>
        </row>
      </sheetData>
      <sheetData sheetId="1257">
        <row r="3">
          <cell r="E3">
            <v>0</v>
          </cell>
        </row>
      </sheetData>
      <sheetData sheetId="1258">
        <row r="3">
          <cell r="E3">
            <v>0</v>
          </cell>
        </row>
      </sheetData>
      <sheetData sheetId="1259">
        <row r="3">
          <cell r="E3">
            <v>0</v>
          </cell>
        </row>
      </sheetData>
      <sheetData sheetId="1260">
        <row r="3">
          <cell r="E3">
            <v>0</v>
          </cell>
        </row>
      </sheetData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/>
      <sheetData sheetId="1327"/>
      <sheetData sheetId="1328"/>
      <sheetData sheetId="1329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>
        <row r="3">
          <cell r="F3" t="str">
            <v>FEBRUARI</v>
          </cell>
        </row>
      </sheetData>
      <sheetData sheetId="1341">
        <row r="3">
          <cell r="F3" t="str">
            <v>FEBRUARI</v>
          </cell>
        </row>
      </sheetData>
      <sheetData sheetId="1342">
        <row r="3">
          <cell r="F3" t="str">
            <v>FEBRUARI</v>
          </cell>
        </row>
      </sheetData>
      <sheetData sheetId="1343">
        <row r="3">
          <cell r="F3" t="str">
            <v>FEBRUARI</v>
          </cell>
        </row>
      </sheetData>
      <sheetData sheetId="1344">
        <row r="3">
          <cell r="F3" t="str">
            <v>FEBRUARI</v>
          </cell>
        </row>
      </sheetData>
      <sheetData sheetId="1345">
        <row r="3">
          <cell r="F3" t="str">
            <v>FEBRUARI</v>
          </cell>
        </row>
      </sheetData>
      <sheetData sheetId="1346">
        <row r="3">
          <cell r="F3" t="str">
            <v>FEBRUARI</v>
          </cell>
        </row>
      </sheetData>
      <sheetData sheetId="1347">
        <row r="3">
          <cell r="F3" t="str">
            <v>FEBRUARI</v>
          </cell>
        </row>
      </sheetData>
      <sheetData sheetId="1348">
        <row r="3">
          <cell r="F3" t="str">
            <v>FEBRUARI</v>
          </cell>
        </row>
      </sheetData>
      <sheetData sheetId="1349">
        <row r="3">
          <cell r="F3" t="str">
            <v>FEBRUARI</v>
          </cell>
        </row>
      </sheetData>
      <sheetData sheetId="1350">
        <row r="3">
          <cell r="F3" t="str">
            <v>FEBRUARI</v>
          </cell>
        </row>
      </sheetData>
      <sheetData sheetId="1351">
        <row r="3">
          <cell r="F3" t="str">
            <v>FEBRUARI</v>
          </cell>
        </row>
      </sheetData>
      <sheetData sheetId="1352">
        <row r="3">
          <cell r="F3" t="str">
            <v>FEBRUARI</v>
          </cell>
        </row>
      </sheetData>
      <sheetData sheetId="1353">
        <row r="3">
          <cell r="F3" t="str">
            <v>FEBRUARI</v>
          </cell>
        </row>
      </sheetData>
      <sheetData sheetId="1354">
        <row r="3">
          <cell r="F3" t="str">
            <v>FEBRUARI</v>
          </cell>
        </row>
      </sheetData>
      <sheetData sheetId="1355">
        <row r="3">
          <cell r="F3" t="str">
            <v>FEBRUARI</v>
          </cell>
        </row>
      </sheetData>
      <sheetData sheetId="1356">
        <row r="3">
          <cell r="F3" t="str">
            <v>FEBRUARI</v>
          </cell>
        </row>
      </sheetData>
      <sheetData sheetId="1357">
        <row r="3">
          <cell r="F3" t="str">
            <v>FEBRUARI</v>
          </cell>
        </row>
      </sheetData>
      <sheetData sheetId="1358">
        <row r="3">
          <cell r="F3" t="str">
            <v>FEBRUARI</v>
          </cell>
        </row>
      </sheetData>
      <sheetData sheetId="1359">
        <row r="3">
          <cell r="F3" t="str">
            <v>FEBRUARI</v>
          </cell>
        </row>
      </sheetData>
      <sheetData sheetId="1360">
        <row r="3">
          <cell r="F3" t="str">
            <v>FEBRUARI</v>
          </cell>
        </row>
      </sheetData>
      <sheetData sheetId="1361">
        <row r="3">
          <cell r="F3" t="str">
            <v>FEBRUARI</v>
          </cell>
        </row>
      </sheetData>
      <sheetData sheetId="1362">
        <row r="3">
          <cell r="F3" t="str">
            <v>FEBRUARI</v>
          </cell>
        </row>
      </sheetData>
      <sheetData sheetId="1363">
        <row r="3">
          <cell r="F3" t="str">
            <v>FEBRUARI</v>
          </cell>
        </row>
      </sheetData>
      <sheetData sheetId="1364">
        <row r="3">
          <cell r="F3" t="str">
            <v>FEBRUARI</v>
          </cell>
        </row>
      </sheetData>
      <sheetData sheetId="1365">
        <row r="3">
          <cell r="F3" t="str">
            <v>FEBRUARI</v>
          </cell>
        </row>
      </sheetData>
      <sheetData sheetId="1366">
        <row r="3">
          <cell r="F3" t="str">
            <v>FEBRUARI</v>
          </cell>
        </row>
      </sheetData>
      <sheetData sheetId="1367">
        <row r="3">
          <cell r="F3" t="str">
            <v>FEBRUARI</v>
          </cell>
        </row>
      </sheetData>
      <sheetData sheetId="1368">
        <row r="3">
          <cell r="F3" t="str">
            <v>FEBRUARI</v>
          </cell>
        </row>
      </sheetData>
      <sheetData sheetId="1369">
        <row r="3">
          <cell r="F3" t="str">
            <v>FEBRUARI</v>
          </cell>
        </row>
      </sheetData>
      <sheetData sheetId="1370">
        <row r="3">
          <cell r="F3" t="str">
            <v>FEBRUARI</v>
          </cell>
        </row>
      </sheetData>
      <sheetData sheetId="1371"/>
      <sheetData sheetId="1372">
        <row r="3">
          <cell r="F3" t="str">
            <v>FEBRUARI</v>
          </cell>
        </row>
      </sheetData>
      <sheetData sheetId="1373">
        <row r="3">
          <cell r="F3" t="str">
            <v>FEBRUARI</v>
          </cell>
        </row>
      </sheetData>
      <sheetData sheetId="1374">
        <row r="3">
          <cell r="F3" t="str">
            <v>FEBRUARI</v>
          </cell>
        </row>
      </sheetData>
      <sheetData sheetId="1375">
        <row r="3">
          <cell r="F3" t="str">
            <v>FEBRUARI</v>
          </cell>
        </row>
      </sheetData>
      <sheetData sheetId="1376">
        <row r="3">
          <cell r="F3" t="str">
            <v>FEBRUARI</v>
          </cell>
        </row>
      </sheetData>
      <sheetData sheetId="1377">
        <row r="3">
          <cell r="F3" t="str">
            <v>FEBRUARI</v>
          </cell>
        </row>
      </sheetData>
      <sheetData sheetId="1378">
        <row r="3">
          <cell r="F3" t="str">
            <v>FEBRUARI</v>
          </cell>
        </row>
      </sheetData>
      <sheetData sheetId="1379">
        <row r="3">
          <cell r="F3" t="str">
            <v>FEBRUARI</v>
          </cell>
        </row>
      </sheetData>
      <sheetData sheetId="1380">
        <row r="3">
          <cell r="F3" t="str">
            <v>FEBRUARI</v>
          </cell>
        </row>
      </sheetData>
      <sheetData sheetId="1381">
        <row r="3">
          <cell r="F3" t="str">
            <v>FEBRUARI</v>
          </cell>
        </row>
      </sheetData>
      <sheetData sheetId="1382">
        <row r="3">
          <cell r="F3" t="str">
            <v>FEBRUARI</v>
          </cell>
        </row>
      </sheetData>
      <sheetData sheetId="1383">
        <row r="3">
          <cell r="F3" t="str">
            <v>FEBRUARI</v>
          </cell>
        </row>
      </sheetData>
      <sheetData sheetId="1384">
        <row r="3">
          <cell r="F3" t="str">
            <v>FEBRUARI</v>
          </cell>
        </row>
      </sheetData>
      <sheetData sheetId="1385">
        <row r="3">
          <cell r="F3" t="str">
            <v>FEBRUARI</v>
          </cell>
        </row>
      </sheetData>
      <sheetData sheetId="1386">
        <row r="3">
          <cell r="F3" t="str">
            <v>FEBRUARI</v>
          </cell>
        </row>
      </sheetData>
      <sheetData sheetId="1387">
        <row r="3">
          <cell r="F3" t="str">
            <v>FEBRUARI</v>
          </cell>
        </row>
      </sheetData>
      <sheetData sheetId="1388">
        <row r="3">
          <cell r="F3" t="str">
            <v>FEBRUARI</v>
          </cell>
        </row>
      </sheetData>
      <sheetData sheetId="1389">
        <row r="3">
          <cell r="F3" t="str">
            <v>FEBRUARI</v>
          </cell>
        </row>
      </sheetData>
      <sheetData sheetId="1390">
        <row r="3">
          <cell r="F3" t="str">
            <v>FEBRUARI</v>
          </cell>
        </row>
      </sheetData>
      <sheetData sheetId="1391">
        <row r="3">
          <cell r="F3" t="str">
            <v>FEBRUARI</v>
          </cell>
        </row>
      </sheetData>
      <sheetData sheetId="1392">
        <row r="3">
          <cell r="F3" t="str">
            <v>FEBRUARI</v>
          </cell>
        </row>
      </sheetData>
      <sheetData sheetId="1393">
        <row r="3">
          <cell r="F3" t="str">
            <v>FEBRUARI</v>
          </cell>
        </row>
      </sheetData>
      <sheetData sheetId="1394">
        <row r="3">
          <cell r="F3" t="str">
            <v>FEBRUARI</v>
          </cell>
        </row>
      </sheetData>
      <sheetData sheetId="1395">
        <row r="3">
          <cell r="F3" t="str">
            <v>FEBRUARI</v>
          </cell>
        </row>
      </sheetData>
      <sheetData sheetId="1396">
        <row r="3">
          <cell r="F3" t="str">
            <v>FEBRUARI</v>
          </cell>
        </row>
      </sheetData>
      <sheetData sheetId="1397">
        <row r="3">
          <cell r="F3" t="str">
            <v>FEBRUARI</v>
          </cell>
        </row>
      </sheetData>
      <sheetData sheetId="1398">
        <row r="3">
          <cell r="F3" t="str">
            <v>FEBRUARI</v>
          </cell>
        </row>
      </sheetData>
      <sheetData sheetId="1399">
        <row r="3">
          <cell r="F3" t="str">
            <v>FEBRUARI</v>
          </cell>
        </row>
      </sheetData>
      <sheetData sheetId="1400">
        <row r="3">
          <cell r="F3" t="str">
            <v>FEBRUARI</v>
          </cell>
        </row>
      </sheetData>
      <sheetData sheetId="1401">
        <row r="3">
          <cell r="F3" t="str">
            <v>FEBRUARI</v>
          </cell>
        </row>
      </sheetData>
      <sheetData sheetId="1402">
        <row r="3">
          <cell r="F3" t="str">
            <v>FEBRUARI</v>
          </cell>
        </row>
      </sheetData>
      <sheetData sheetId="1403">
        <row r="3">
          <cell r="F3" t="str">
            <v>FEBRUARI</v>
          </cell>
        </row>
      </sheetData>
      <sheetData sheetId="1404">
        <row r="6">
          <cell r="U6">
            <v>-26.700830980354233</v>
          </cell>
        </row>
      </sheetData>
      <sheetData sheetId="1405">
        <row r="3">
          <cell r="F3" t="str">
            <v>FEBRUARI</v>
          </cell>
        </row>
      </sheetData>
      <sheetData sheetId="1406">
        <row r="6">
          <cell r="U6">
            <v>-26.700830980354233</v>
          </cell>
        </row>
      </sheetData>
      <sheetData sheetId="1407">
        <row r="3">
          <cell r="F3" t="str">
            <v>FEBRUARI</v>
          </cell>
        </row>
      </sheetData>
      <sheetData sheetId="1408">
        <row r="3">
          <cell r="E3">
            <v>2002</v>
          </cell>
        </row>
      </sheetData>
      <sheetData sheetId="1409">
        <row r="3">
          <cell r="E3">
            <v>2002</v>
          </cell>
        </row>
      </sheetData>
      <sheetData sheetId="1410">
        <row r="3">
          <cell r="E3">
            <v>2002</v>
          </cell>
        </row>
      </sheetData>
      <sheetData sheetId="1411">
        <row r="3">
          <cell r="E3">
            <v>2002</v>
          </cell>
        </row>
      </sheetData>
      <sheetData sheetId="1412">
        <row r="3">
          <cell r="E3">
            <v>2002</v>
          </cell>
        </row>
      </sheetData>
      <sheetData sheetId="1413">
        <row r="3">
          <cell r="E3">
            <v>2002</v>
          </cell>
        </row>
      </sheetData>
      <sheetData sheetId="1414">
        <row r="3">
          <cell r="E3">
            <v>2002</v>
          </cell>
        </row>
      </sheetData>
      <sheetData sheetId="1415">
        <row r="3">
          <cell r="E3">
            <v>2002</v>
          </cell>
        </row>
      </sheetData>
      <sheetData sheetId="1416">
        <row r="3">
          <cell r="E3">
            <v>2002</v>
          </cell>
        </row>
      </sheetData>
      <sheetData sheetId="1417">
        <row r="3">
          <cell r="E3">
            <v>2002</v>
          </cell>
        </row>
      </sheetData>
      <sheetData sheetId="1418">
        <row r="3">
          <cell r="E3">
            <v>2002</v>
          </cell>
        </row>
      </sheetData>
      <sheetData sheetId="1419">
        <row r="3">
          <cell r="E3">
            <v>2002</v>
          </cell>
        </row>
      </sheetData>
      <sheetData sheetId="1420">
        <row r="3">
          <cell r="E3">
            <v>2002</v>
          </cell>
        </row>
      </sheetData>
      <sheetData sheetId="1421">
        <row r="3">
          <cell r="E3">
            <v>2002</v>
          </cell>
        </row>
      </sheetData>
      <sheetData sheetId="1422">
        <row r="3">
          <cell r="E3">
            <v>2002</v>
          </cell>
        </row>
      </sheetData>
      <sheetData sheetId="1423">
        <row r="3">
          <cell r="E3">
            <v>2002</v>
          </cell>
        </row>
      </sheetData>
      <sheetData sheetId="1424">
        <row r="3">
          <cell r="E3">
            <v>2002</v>
          </cell>
        </row>
      </sheetData>
      <sheetData sheetId="1425">
        <row r="3">
          <cell r="E3">
            <v>2002</v>
          </cell>
        </row>
      </sheetData>
      <sheetData sheetId="1426">
        <row r="3">
          <cell r="E3">
            <v>2002</v>
          </cell>
        </row>
      </sheetData>
      <sheetData sheetId="1427">
        <row r="3">
          <cell r="E3">
            <v>2002</v>
          </cell>
        </row>
      </sheetData>
      <sheetData sheetId="1428">
        <row r="3">
          <cell r="E3">
            <v>2002</v>
          </cell>
        </row>
      </sheetData>
      <sheetData sheetId="1429">
        <row r="3">
          <cell r="E3">
            <v>2002</v>
          </cell>
        </row>
      </sheetData>
      <sheetData sheetId="1430">
        <row r="3">
          <cell r="E3">
            <v>2002</v>
          </cell>
        </row>
      </sheetData>
      <sheetData sheetId="1431">
        <row r="3">
          <cell r="E3">
            <v>2002</v>
          </cell>
        </row>
      </sheetData>
      <sheetData sheetId="1432">
        <row r="3">
          <cell r="E3">
            <v>0</v>
          </cell>
        </row>
      </sheetData>
      <sheetData sheetId="1433">
        <row r="3">
          <cell r="E3">
            <v>0</v>
          </cell>
        </row>
      </sheetData>
      <sheetData sheetId="1434">
        <row r="3">
          <cell r="E3">
            <v>0</v>
          </cell>
        </row>
      </sheetData>
      <sheetData sheetId="1435">
        <row r="3">
          <cell r="E3">
            <v>0</v>
          </cell>
        </row>
      </sheetData>
      <sheetData sheetId="1436">
        <row r="3">
          <cell r="E3">
            <v>0</v>
          </cell>
        </row>
      </sheetData>
      <sheetData sheetId="1437">
        <row r="3">
          <cell r="E3">
            <v>0</v>
          </cell>
        </row>
      </sheetData>
      <sheetData sheetId="1438">
        <row r="3">
          <cell r="E3">
            <v>0</v>
          </cell>
        </row>
      </sheetData>
      <sheetData sheetId="1439">
        <row r="3">
          <cell r="E3">
            <v>0</v>
          </cell>
        </row>
      </sheetData>
      <sheetData sheetId="1440">
        <row r="3">
          <cell r="E3">
            <v>0</v>
          </cell>
        </row>
      </sheetData>
      <sheetData sheetId="1441">
        <row r="3">
          <cell r="E3">
            <v>0</v>
          </cell>
        </row>
      </sheetData>
      <sheetData sheetId="1442">
        <row r="3">
          <cell r="E3">
            <v>0</v>
          </cell>
        </row>
      </sheetData>
      <sheetData sheetId="1443">
        <row r="3">
          <cell r="E3">
            <v>0</v>
          </cell>
        </row>
      </sheetData>
      <sheetData sheetId="1444">
        <row r="3">
          <cell r="E3">
            <v>0</v>
          </cell>
        </row>
      </sheetData>
      <sheetData sheetId="1445">
        <row r="3">
          <cell r="E3">
            <v>0</v>
          </cell>
        </row>
      </sheetData>
      <sheetData sheetId="1446">
        <row r="3">
          <cell r="E3">
            <v>0</v>
          </cell>
        </row>
      </sheetData>
      <sheetData sheetId="1447">
        <row r="3">
          <cell r="E3">
            <v>0</v>
          </cell>
        </row>
      </sheetData>
      <sheetData sheetId="1448">
        <row r="3">
          <cell r="E3">
            <v>0</v>
          </cell>
        </row>
      </sheetData>
      <sheetData sheetId="1449">
        <row r="3">
          <cell r="E3">
            <v>0</v>
          </cell>
        </row>
      </sheetData>
      <sheetData sheetId="1450">
        <row r="3">
          <cell r="E3">
            <v>0</v>
          </cell>
        </row>
      </sheetData>
      <sheetData sheetId="1451">
        <row r="3">
          <cell r="E3">
            <v>0</v>
          </cell>
        </row>
      </sheetData>
      <sheetData sheetId="1452">
        <row r="3">
          <cell r="E3">
            <v>0</v>
          </cell>
        </row>
      </sheetData>
      <sheetData sheetId="1453">
        <row r="3">
          <cell r="E3">
            <v>0</v>
          </cell>
        </row>
      </sheetData>
      <sheetData sheetId="1454">
        <row r="3">
          <cell r="E3">
            <v>0</v>
          </cell>
        </row>
      </sheetData>
      <sheetData sheetId="1455">
        <row r="3">
          <cell r="E3">
            <v>2002</v>
          </cell>
        </row>
      </sheetData>
      <sheetData sheetId="1456">
        <row r="3">
          <cell r="E3">
            <v>0</v>
          </cell>
        </row>
      </sheetData>
      <sheetData sheetId="1457">
        <row r="3">
          <cell r="E3">
            <v>0</v>
          </cell>
        </row>
      </sheetData>
      <sheetData sheetId="1458">
        <row r="3">
          <cell r="E3">
            <v>0</v>
          </cell>
        </row>
      </sheetData>
      <sheetData sheetId="1459">
        <row r="3">
          <cell r="E3">
            <v>0</v>
          </cell>
        </row>
      </sheetData>
      <sheetData sheetId="1460">
        <row r="3">
          <cell r="E3">
            <v>0</v>
          </cell>
        </row>
      </sheetData>
      <sheetData sheetId="1461">
        <row r="3">
          <cell r="E3">
            <v>0</v>
          </cell>
        </row>
      </sheetData>
      <sheetData sheetId="1462">
        <row r="3">
          <cell r="E3">
            <v>0</v>
          </cell>
        </row>
      </sheetData>
      <sheetData sheetId="1463">
        <row r="3">
          <cell r="E3">
            <v>0</v>
          </cell>
        </row>
      </sheetData>
      <sheetData sheetId="1464">
        <row r="3">
          <cell r="E3">
            <v>0</v>
          </cell>
        </row>
      </sheetData>
      <sheetData sheetId="1465">
        <row r="3">
          <cell r="E3">
            <v>0</v>
          </cell>
        </row>
      </sheetData>
      <sheetData sheetId="1466">
        <row r="3">
          <cell r="E3">
            <v>0</v>
          </cell>
        </row>
      </sheetData>
      <sheetData sheetId="1467">
        <row r="3">
          <cell r="E3">
            <v>0</v>
          </cell>
        </row>
      </sheetData>
      <sheetData sheetId="1468">
        <row r="3">
          <cell r="E3">
            <v>0</v>
          </cell>
        </row>
      </sheetData>
      <sheetData sheetId="1469">
        <row r="3">
          <cell r="E3">
            <v>0</v>
          </cell>
        </row>
      </sheetData>
      <sheetData sheetId="1470">
        <row r="3">
          <cell r="E3">
            <v>0</v>
          </cell>
        </row>
      </sheetData>
      <sheetData sheetId="1471">
        <row r="3">
          <cell r="E3">
            <v>0</v>
          </cell>
        </row>
      </sheetData>
      <sheetData sheetId="1472">
        <row r="3">
          <cell r="E3">
            <v>0</v>
          </cell>
        </row>
      </sheetData>
      <sheetData sheetId="1473">
        <row r="3">
          <cell r="E3">
            <v>0</v>
          </cell>
        </row>
      </sheetData>
      <sheetData sheetId="1474">
        <row r="3">
          <cell r="E3">
            <v>0</v>
          </cell>
        </row>
      </sheetData>
      <sheetData sheetId="1475">
        <row r="3">
          <cell r="E3">
            <v>0</v>
          </cell>
        </row>
      </sheetData>
      <sheetData sheetId="1476">
        <row r="3">
          <cell r="E3">
            <v>0</v>
          </cell>
        </row>
      </sheetData>
      <sheetData sheetId="1477">
        <row r="3">
          <cell r="E3">
            <v>0</v>
          </cell>
        </row>
      </sheetData>
      <sheetData sheetId="1478">
        <row r="3">
          <cell r="E3">
            <v>0</v>
          </cell>
        </row>
      </sheetData>
      <sheetData sheetId="1479">
        <row r="3">
          <cell r="E3">
            <v>0</v>
          </cell>
        </row>
      </sheetData>
      <sheetData sheetId="1480">
        <row r="3">
          <cell r="E3">
            <v>0</v>
          </cell>
        </row>
      </sheetData>
      <sheetData sheetId="1481">
        <row r="3">
          <cell r="E3">
            <v>0</v>
          </cell>
        </row>
      </sheetData>
      <sheetData sheetId="1482">
        <row r="3">
          <cell r="E3">
            <v>0</v>
          </cell>
        </row>
      </sheetData>
      <sheetData sheetId="1483">
        <row r="3">
          <cell r="E3">
            <v>0</v>
          </cell>
        </row>
      </sheetData>
      <sheetData sheetId="1484">
        <row r="3">
          <cell r="E3">
            <v>0</v>
          </cell>
        </row>
      </sheetData>
      <sheetData sheetId="1485">
        <row r="3">
          <cell r="E3">
            <v>0</v>
          </cell>
        </row>
      </sheetData>
      <sheetData sheetId="1486" refreshError="1"/>
      <sheetData sheetId="1487" refreshError="1"/>
      <sheetData sheetId="1488">
        <row r="3">
          <cell r="E3">
            <v>0</v>
          </cell>
        </row>
      </sheetData>
      <sheetData sheetId="1489">
        <row r="3">
          <cell r="E3">
            <v>0</v>
          </cell>
        </row>
      </sheetData>
      <sheetData sheetId="1490">
        <row r="3">
          <cell r="E3">
            <v>0</v>
          </cell>
        </row>
      </sheetData>
      <sheetData sheetId="1491">
        <row r="3">
          <cell r="E3">
            <v>0</v>
          </cell>
        </row>
      </sheetData>
      <sheetData sheetId="1492">
        <row r="3">
          <cell r="E3">
            <v>0</v>
          </cell>
        </row>
      </sheetData>
      <sheetData sheetId="1493">
        <row r="3">
          <cell r="E3">
            <v>0</v>
          </cell>
        </row>
      </sheetData>
      <sheetData sheetId="1494">
        <row r="3">
          <cell r="E3">
            <v>0</v>
          </cell>
        </row>
      </sheetData>
      <sheetData sheetId="1495">
        <row r="3">
          <cell r="E3">
            <v>0</v>
          </cell>
        </row>
      </sheetData>
      <sheetData sheetId="1496">
        <row r="3">
          <cell r="E3">
            <v>0</v>
          </cell>
        </row>
      </sheetData>
      <sheetData sheetId="1497">
        <row r="3">
          <cell r="E3">
            <v>0</v>
          </cell>
        </row>
      </sheetData>
      <sheetData sheetId="1498">
        <row r="3">
          <cell r="E3">
            <v>0</v>
          </cell>
        </row>
      </sheetData>
      <sheetData sheetId="1499">
        <row r="3">
          <cell r="E3">
            <v>0</v>
          </cell>
        </row>
      </sheetData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>
        <row r="3">
          <cell r="E3">
            <v>0</v>
          </cell>
        </row>
      </sheetData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>
        <row r="3">
          <cell r="E3">
            <v>0</v>
          </cell>
        </row>
      </sheetData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>
        <row r="3">
          <cell r="E3">
            <v>0</v>
          </cell>
        </row>
      </sheetData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>
        <row r="3">
          <cell r="E3">
            <v>0</v>
          </cell>
        </row>
      </sheetData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>
        <row r="3">
          <cell r="E3">
            <v>2002</v>
          </cell>
        </row>
      </sheetData>
      <sheetData sheetId="1708">
        <row r="3">
          <cell r="E3">
            <v>2002</v>
          </cell>
        </row>
      </sheetData>
      <sheetData sheetId="1709">
        <row r="3">
          <cell r="E3">
            <v>2002</v>
          </cell>
        </row>
      </sheetData>
      <sheetData sheetId="1710">
        <row r="3">
          <cell r="E3">
            <v>2002</v>
          </cell>
        </row>
      </sheetData>
      <sheetData sheetId="1711">
        <row r="3">
          <cell r="E3">
            <v>2002</v>
          </cell>
        </row>
      </sheetData>
      <sheetData sheetId="1712">
        <row r="3">
          <cell r="E3">
            <v>2002</v>
          </cell>
        </row>
      </sheetData>
      <sheetData sheetId="1713">
        <row r="3">
          <cell r="E3">
            <v>2002</v>
          </cell>
        </row>
      </sheetData>
      <sheetData sheetId="1714">
        <row r="3">
          <cell r="E3">
            <v>2002</v>
          </cell>
        </row>
      </sheetData>
      <sheetData sheetId="1715">
        <row r="3">
          <cell r="E3">
            <v>0</v>
          </cell>
        </row>
      </sheetData>
      <sheetData sheetId="1716">
        <row r="3">
          <cell r="E3">
            <v>0</v>
          </cell>
        </row>
      </sheetData>
      <sheetData sheetId="1717">
        <row r="3">
          <cell r="E3">
            <v>0</v>
          </cell>
        </row>
      </sheetData>
      <sheetData sheetId="1718">
        <row r="3">
          <cell r="E3">
            <v>0</v>
          </cell>
        </row>
      </sheetData>
      <sheetData sheetId="1719">
        <row r="3">
          <cell r="E3">
            <v>0</v>
          </cell>
        </row>
      </sheetData>
      <sheetData sheetId="1720">
        <row r="3">
          <cell r="E3">
            <v>0</v>
          </cell>
        </row>
      </sheetData>
      <sheetData sheetId="1721">
        <row r="3">
          <cell r="E3">
            <v>0</v>
          </cell>
        </row>
      </sheetData>
      <sheetData sheetId="1722">
        <row r="3">
          <cell r="E3">
            <v>0</v>
          </cell>
        </row>
      </sheetData>
      <sheetData sheetId="1723">
        <row r="3">
          <cell r="E3">
            <v>0</v>
          </cell>
        </row>
      </sheetData>
      <sheetData sheetId="1724">
        <row r="3">
          <cell r="E3">
            <v>0</v>
          </cell>
        </row>
      </sheetData>
      <sheetData sheetId="1725">
        <row r="3">
          <cell r="E3">
            <v>0</v>
          </cell>
        </row>
      </sheetData>
      <sheetData sheetId="1726">
        <row r="3">
          <cell r="E3">
            <v>0</v>
          </cell>
        </row>
      </sheetData>
      <sheetData sheetId="1727">
        <row r="3">
          <cell r="E3">
            <v>0</v>
          </cell>
        </row>
      </sheetData>
      <sheetData sheetId="1728">
        <row r="3">
          <cell r="E3">
            <v>0</v>
          </cell>
        </row>
      </sheetData>
      <sheetData sheetId="1729">
        <row r="3">
          <cell r="E3">
            <v>0</v>
          </cell>
        </row>
      </sheetData>
      <sheetData sheetId="1730">
        <row r="3">
          <cell r="E3">
            <v>0</v>
          </cell>
        </row>
      </sheetData>
      <sheetData sheetId="1731">
        <row r="3">
          <cell r="E3">
            <v>0</v>
          </cell>
        </row>
      </sheetData>
      <sheetData sheetId="1732">
        <row r="3">
          <cell r="E3">
            <v>0</v>
          </cell>
        </row>
      </sheetData>
      <sheetData sheetId="1733">
        <row r="3">
          <cell r="E3">
            <v>0</v>
          </cell>
        </row>
      </sheetData>
      <sheetData sheetId="1734">
        <row r="3">
          <cell r="E3">
            <v>0</v>
          </cell>
        </row>
      </sheetData>
      <sheetData sheetId="1735">
        <row r="3">
          <cell r="E3">
            <v>0</v>
          </cell>
        </row>
      </sheetData>
      <sheetData sheetId="1736">
        <row r="3">
          <cell r="E3">
            <v>0</v>
          </cell>
        </row>
      </sheetData>
      <sheetData sheetId="1737">
        <row r="3">
          <cell r="E3">
            <v>0</v>
          </cell>
        </row>
      </sheetData>
      <sheetData sheetId="1738">
        <row r="3">
          <cell r="E3">
            <v>0</v>
          </cell>
        </row>
      </sheetData>
      <sheetData sheetId="1739">
        <row r="3">
          <cell r="E3">
            <v>0</v>
          </cell>
        </row>
      </sheetData>
      <sheetData sheetId="1740">
        <row r="3">
          <cell r="E3">
            <v>0</v>
          </cell>
        </row>
      </sheetData>
      <sheetData sheetId="1741">
        <row r="3">
          <cell r="E3">
            <v>0</v>
          </cell>
        </row>
      </sheetData>
      <sheetData sheetId="1742">
        <row r="3">
          <cell r="E3">
            <v>0</v>
          </cell>
        </row>
      </sheetData>
      <sheetData sheetId="1743">
        <row r="3">
          <cell r="E3">
            <v>0</v>
          </cell>
        </row>
      </sheetData>
      <sheetData sheetId="1744">
        <row r="3">
          <cell r="E3">
            <v>0</v>
          </cell>
        </row>
      </sheetData>
      <sheetData sheetId="1745">
        <row r="3">
          <cell r="E3">
            <v>0</v>
          </cell>
        </row>
      </sheetData>
      <sheetData sheetId="1746">
        <row r="3">
          <cell r="E3">
            <v>0</v>
          </cell>
        </row>
      </sheetData>
      <sheetData sheetId="1747">
        <row r="3">
          <cell r="E3">
            <v>0</v>
          </cell>
        </row>
      </sheetData>
      <sheetData sheetId="1748">
        <row r="3">
          <cell r="E3">
            <v>0</v>
          </cell>
        </row>
      </sheetData>
      <sheetData sheetId="1749">
        <row r="3">
          <cell r="E3">
            <v>0</v>
          </cell>
        </row>
      </sheetData>
      <sheetData sheetId="1750">
        <row r="3">
          <cell r="E3">
            <v>0</v>
          </cell>
        </row>
      </sheetData>
      <sheetData sheetId="1751">
        <row r="3">
          <cell r="E3">
            <v>0</v>
          </cell>
        </row>
      </sheetData>
      <sheetData sheetId="1752">
        <row r="3">
          <cell r="E3">
            <v>0</v>
          </cell>
        </row>
      </sheetData>
      <sheetData sheetId="1753">
        <row r="3">
          <cell r="E3">
            <v>0</v>
          </cell>
        </row>
      </sheetData>
      <sheetData sheetId="1754">
        <row r="3">
          <cell r="E3">
            <v>0</v>
          </cell>
        </row>
      </sheetData>
      <sheetData sheetId="1755">
        <row r="3">
          <cell r="E3">
            <v>0</v>
          </cell>
        </row>
      </sheetData>
      <sheetData sheetId="1756">
        <row r="3">
          <cell r="E3">
            <v>0</v>
          </cell>
        </row>
      </sheetData>
      <sheetData sheetId="1757">
        <row r="3">
          <cell r="E3">
            <v>0</v>
          </cell>
        </row>
      </sheetData>
      <sheetData sheetId="1758">
        <row r="3">
          <cell r="E3">
            <v>0</v>
          </cell>
        </row>
      </sheetData>
      <sheetData sheetId="1759">
        <row r="3">
          <cell r="E3">
            <v>0</v>
          </cell>
        </row>
      </sheetData>
      <sheetData sheetId="1760">
        <row r="3">
          <cell r="E3">
            <v>0</v>
          </cell>
        </row>
      </sheetData>
      <sheetData sheetId="1761">
        <row r="3">
          <cell r="E3">
            <v>0</v>
          </cell>
        </row>
      </sheetData>
      <sheetData sheetId="1762">
        <row r="3">
          <cell r="E3">
            <v>0</v>
          </cell>
        </row>
      </sheetData>
      <sheetData sheetId="1763">
        <row r="3">
          <cell r="E3">
            <v>0</v>
          </cell>
        </row>
      </sheetData>
      <sheetData sheetId="1764">
        <row r="3">
          <cell r="E3">
            <v>0</v>
          </cell>
        </row>
      </sheetData>
      <sheetData sheetId="1765">
        <row r="3">
          <cell r="E3">
            <v>0</v>
          </cell>
        </row>
      </sheetData>
      <sheetData sheetId="1766">
        <row r="3">
          <cell r="E3">
            <v>0</v>
          </cell>
        </row>
      </sheetData>
      <sheetData sheetId="1767">
        <row r="3">
          <cell r="E3">
            <v>0</v>
          </cell>
        </row>
      </sheetData>
      <sheetData sheetId="1768">
        <row r="3">
          <cell r="E3">
            <v>0</v>
          </cell>
        </row>
      </sheetData>
      <sheetData sheetId="1769">
        <row r="3">
          <cell r="E3">
            <v>0</v>
          </cell>
        </row>
      </sheetData>
      <sheetData sheetId="1770">
        <row r="3">
          <cell r="E3">
            <v>0</v>
          </cell>
        </row>
      </sheetData>
      <sheetData sheetId="1771">
        <row r="3">
          <cell r="E3">
            <v>0</v>
          </cell>
        </row>
      </sheetData>
      <sheetData sheetId="1772">
        <row r="3">
          <cell r="E3">
            <v>0</v>
          </cell>
        </row>
      </sheetData>
      <sheetData sheetId="1773">
        <row r="3">
          <cell r="E3">
            <v>0</v>
          </cell>
        </row>
      </sheetData>
      <sheetData sheetId="1774">
        <row r="3">
          <cell r="E3">
            <v>0</v>
          </cell>
        </row>
      </sheetData>
      <sheetData sheetId="1775">
        <row r="3">
          <cell r="E3">
            <v>0</v>
          </cell>
        </row>
      </sheetData>
      <sheetData sheetId="1776">
        <row r="3">
          <cell r="E3">
            <v>0</v>
          </cell>
        </row>
      </sheetData>
      <sheetData sheetId="1777">
        <row r="3">
          <cell r="E3">
            <v>0</v>
          </cell>
        </row>
      </sheetData>
      <sheetData sheetId="1778">
        <row r="3">
          <cell r="E3">
            <v>0</v>
          </cell>
        </row>
      </sheetData>
      <sheetData sheetId="1779">
        <row r="3">
          <cell r="E3">
            <v>0</v>
          </cell>
        </row>
      </sheetData>
      <sheetData sheetId="1780">
        <row r="3">
          <cell r="E3">
            <v>0</v>
          </cell>
        </row>
      </sheetData>
      <sheetData sheetId="1781">
        <row r="3">
          <cell r="E3">
            <v>0</v>
          </cell>
        </row>
      </sheetData>
      <sheetData sheetId="1782">
        <row r="3">
          <cell r="E3">
            <v>0</v>
          </cell>
        </row>
      </sheetData>
      <sheetData sheetId="1783">
        <row r="3">
          <cell r="E3">
            <v>0</v>
          </cell>
        </row>
      </sheetData>
      <sheetData sheetId="1784">
        <row r="3">
          <cell r="E3">
            <v>0</v>
          </cell>
        </row>
      </sheetData>
      <sheetData sheetId="1785">
        <row r="3">
          <cell r="E3">
            <v>0</v>
          </cell>
        </row>
      </sheetData>
      <sheetData sheetId="1786">
        <row r="3">
          <cell r="E3">
            <v>0</v>
          </cell>
        </row>
      </sheetData>
      <sheetData sheetId="1787">
        <row r="3">
          <cell r="E3">
            <v>0</v>
          </cell>
        </row>
      </sheetData>
      <sheetData sheetId="1788">
        <row r="3">
          <cell r="E3">
            <v>0</v>
          </cell>
        </row>
      </sheetData>
      <sheetData sheetId="1789">
        <row r="3">
          <cell r="E3">
            <v>0</v>
          </cell>
        </row>
      </sheetData>
      <sheetData sheetId="1790">
        <row r="3">
          <cell r="E3">
            <v>0</v>
          </cell>
        </row>
      </sheetData>
      <sheetData sheetId="1791">
        <row r="3">
          <cell r="E3">
            <v>0</v>
          </cell>
        </row>
      </sheetData>
      <sheetData sheetId="1792">
        <row r="3">
          <cell r="E3">
            <v>0</v>
          </cell>
        </row>
      </sheetData>
      <sheetData sheetId="1793">
        <row r="3">
          <cell r="E3">
            <v>0</v>
          </cell>
        </row>
      </sheetData>
      <sheetData sheetId="1794">
        <row r="3">
          <cell r="E3">
            <v>0</v>
          </cell>
        </row>
      </sheetData>
      <sheetData sheetId="1795">
        <row r="3">
          <cell r="E3">
            <v>0</v>
          </cell>
        </row>
      </sheetData>
      <sheetData sheetId="1796">
        <row r="3">
          <cell r="E3">
            <v>0</v>
          </cell>
        </row>
      </sheetData>
      <sheetData sheetId="1797">
        <row r="3">
          <cell r="E3">
            <v>0</v>
          </cell>
        </row>
      </sheetData>
      <sheetData sheetId="1798">
        <row r="3">
          <cell r="E3">
            <v>0</v>
          </cell>
        </row>
      </sheetData>
      <sheetData sheetId="1799">
        <row r="3">
          <cell r="E3">
            <v>0</v>
          </cell>
        </row>
      </sheetData>
      <sheetData sheetId="1800">
        <row r="3">
          <cell r="E3">
            <v>0</v>
          </cell>
        </row>
      </sheetData>
      <sheetData sheetId="1801">
        <row r="3">
          <cell r="E3">
            <v>0</v>
          </cell>
        </row>
      </sheetData>
      <sheetData sheetId="1802">
        <row r="3">
          <cell r="E3">
            <v>0</v>
          </cell>
        </row>
      </sheetData>
      <sheetData sheetId="1803">
        <row r="3">
          <cell r="E3">
            <v>0</v>
          </cell>
        </row>
      </sheetData>
      <sheetData sheetId="1804">
        <row r="3">
          <cell r="E3">
            <v>0</v>
          </cell>
        </row>
      </sheetData>
      <sheetData sheetId="1805">
        <row r="3">
          <cell r="E3">
            <v>0</v>
          </cell>
        </row>
      </sheetData>
      <sheetData sheetId="1806">
        <row r="3">
          <cell r="E3">
            <v>0</v>
          </cell>
        </row>
      </sheetData>
      <sheetData sheetId="1807">
        <row r="3">
          <cell r="E3">
            <v>0</v>
          </cell>
        </row>
      </sheetData>
      <sheetData sheetId="1808">
        <row r="3">
          <cell r="E3">
            <v>0</v>
          </cell>
        </row>
      </sheetData>
      <sheetData sheetId="1809">
        <row r="3">
          <cell r="E3">
            <v>0</v>
          </cell>
        </row>
      </sheetData>
      <sheetData sheetId="1810">
        <row r="3">
          <cell r="E3">
            <v>0</v>
          </cell>
        </row>
      </sheetData>
      <sheetData sheetId="1811">
        <row r="3">
          <cell r="E3">
            <v>0</v>
          </cell>
        </row>
      </sheetData>
      <sheetData sheetId="1812">
        <row r="3">
          <cell r="E3">
            <v>0</v>
          </cell>
        </row>
      </sheetData>
      <sheetData sheetId="1813">
        <row r="3">
          <cell r="E3">
            <v>0</v>
          </cell>
        </row>
      </sheetData>
      <sheetData sheetId="1814">
        <row r="3">
          <cell r="E3">
            <v>2002</v>
          </cell>
        </row>
      </sheetData>
      <sheetData sheetId="1815">
        <row r="3">
          <cell r="E3">
            <v>2002</v>
          </cell>
        </row>
      </sheetData>
      <sheetData sheetId="1816">
        <row r="3">
          <cell r="E3">
            <v>2002</v>
          </cell>
        </row>
      </sheetData>
      <sheetData sheetId="1817">
        <row r="3">
          <cell r="E3">
            <v>2002</v>
          </cell>
        </row>
      </sheetData>
      <sheetData sheetId="1818">
        <row r="3">
          <cell r="E3">
            <v>2002</v>
          </cell>
        </row>
      </sheetData>
      <sheetData sheetId="1819">
        <row r="3">
          <cell r="E3">
            <v>2002</v>
          </cell>
        </row>
      </sheetData>
      <sheetData sheetId="1820">
        <row r="3">
          <cell r="E3">
            <v>2002</v>
          </cell>
        </row>
      </sheetData>
      <sheetData sheetId="1821">
        <row r="3">
          <cell r="E3">
            <v>2002</v>
          </cell>
        </row>
      </sheetData>
      <sheetData sheetId="1822">
        <row r="3">
          <cell r="E3">
            <v>2002</v>
          </cell>
        </row>
      </sheetData>
      <sheetData sheetId="1823">
        <row r="3">
          <cell r="E3">
            <v>2002</v>
          </cell>
        </row>
      </sheetData>
      <sheetData sheetId="1824">
        <row r="3">
          <cell r="E3">
            <v>2002</v>
          </cell>
        </row>
      </sheetData>
      <sheetData sheetId="1825">
        <row r="3">
          <cell r="E3">
            <v>2002</v>
          </cell>
        </row>
      </sheetData>
      <sheetData sheetId="1826">
        <row r="3">
          <cell r="E3">
            <v>2002</v>
          </cell>
        </row>
      </sheetData>
      <sheetData sheetId="1827">
        <row r="3">
          <cell r="E3">
            <v>2002</v>
          </cell>
        </row>
      </sheetData>
      <sheetData sheetId="1828">
        <row r="3">
          <cell r="E3">
            <v>2002</v>
          </cell>
        </row>
      </sheetData>
      <sheetData sheetId="1829">
        <row r="3">
          <cell r="E3">
            <v>2002</v>
          </cell>
        </row>
      </sheetData>
      <sheetData sheetId="1830">
        <row r="3">
          <cell r="E3">
            <v>2002</v>
          </cell>
        </row>
      </sheetData>
      <sheetData sheetId="1831">
        <row r="3">
          <cell r="E3">
            <v>2002</v>
          </cell>
        </row>
      </sheetData>
      <sheetData sheetId="1832">
        <row r="3">
          <cell r="E3">
            <v>2002</v>
          </cell>
        </row>
      </sheetData>
      <sheetData sheetId="1833">
        <row r="3">
          <cell r="E3">
            <v>2002</v>
          </cell>
        </row>
      </sheetData>
      <sheetData sheetId="1834">
        <row r="3">
          <cell r="E3">
            <v>2002</v>
          </cell>
        </row>
      </sheetData>
      <sheetData sheetId="1835">
        <row r="3">
          <cell r="E3">
            <v>2002</v>
          </cell>
        </row>
      </sheetData>
      <sheetData sheetId="1836">
        <row r="3">
          <cell r="E3">
            <v>2002</v>
          </cell>
        </row>
      </sheetData>
      <sheetData sheetId="1837">
        <row r="3">
          <cell r="E3">
            <v>2002</v>
          </cell>
        </row>
      </sheetData>
      <sheetData sheetId="1838">
        <row r="3">
          <cell r="E3">
            <v>2002</v>
          </cell>
        </row>
      </sheetData>
      <sheetData sheetId="1839">
        <row r="3">
          <cell r="E3">
            <v>2002</v>
          </cell>
        </row>
      </sheetData>
      <sheetData sheetId="1840">
        <row r="3">
          <cell r="E3">
            <v>2002</v>
          </cell>
        </row>
      </sheetData>
      <sheetData sheetId="1841">
        <row r="3">
          <cell r="E3">
            <v>2002</v>
          </cell>
        </row>
      </sheetData>
      <sheetData sheetId="1842">
        <row r="3">
          <cell r="E3">
            <v>2002</v>
          </cell>
        </row>
      </sheetData>
      <sheetData sheetId="1843">
        <row r="3">
          <cell r="E3">
            <v>2002</v>
          </cell>
        </row>
      </sheetData>
      <sheetData sheetId="1844">
        <row r="3">
          <cell r="E3">
            <v>2002</v>
          </cell>
        </row>
      </sheetData>
      <sheetData sheetId="1845">
        <row r="3">
          <cell r="E3">
            <v>2002</v>
          </cell>
        </row>
      </sheetData>
      <sheetData sheetId="1846">
        <row r="3">
          <cell r="E3">
            <v>2002</v>
          </cell>
        </row>
      </sheetData>
      <sheetData sheetId="1847">
        <row r="3">
          <cell r="E3">
            <v>2002</v>
          </cell>
        </row>
      </sheetData>
      <sheetData sheetId="1848">
        <row r="3">
          <cell r="E3">
            <v>2002</v>
          </cell>
        </row>
      </sheetData>
      <sheetData sheetId="1849">
        <row r="3">
          <cell r="E3">
            <v>2002</v>
          </cell>
        </row>
      </sheetData>
      <sheetData sheetId="1850">
        <row r="3">
          <cell r="E3">
            <v>2002</v>
          </cell>
        </row>
      </sheetData>
      <sheetData sheetId="1851">
        <row r="3">
          <cell r="E3">
            <v>2002</v>
          </cell>
        </row>
      </sheetData>
      <sheetData sheetId="1852">
        <row r="3">
          <cell r="E3">
            <v>2002</v>
          </cell>
        </row>
      </sheetData>
      <sheetData sheetId="1853">
        <row r="3">
          <cell r="E3">
            <v>0</v>
          </cell>
        </row>
      </sheetData>
      <sheetData sheetId="1854">
        <row r="3">
          <cell r="E3">
            <v>0</v>
          </cell>
        </row>
      </sheetData>
      <sheetData sheetId="1855">
        <row r="3">
          <cell r="E3">
            <v>0</v>
          </cell>
        </row>
      </sheetData>
      <sheetData sheetId="1856">
        <row r="3">
          <cell r="E3">
            <v>0</v>
          </cell>
        </row>
      </sheetData>
      <sheetData sheetId="1857">
        <row r="3">
          <cell r="E3">
            <v>0</v>
          </cell>
        </row>
      </sheetData>
      <sheetData sheetId="1858">
        <row r="3">
          <cell r="E3">
            <v>0</v>
          </cell>
        </row>
      </sheetData>
      <sheetData sheetId="1859">
        <row r="3">
          <cell r="E3">
            <v>0</v>
          </cell>
        </row>
      </sheetData>
      <sheetData sheetId="1860">
        <row r="3">
          <cell r="E3">
            <v>0</v>
          </cell>
        </row>
      </sheetData>
      <sheetData sheetId="1861">
        <row r="3">
          <cell r="E3">
            <v>0</v>
          </cell>
        </row>
      </sheetData>
      <sheetData sheetId="1862">
        <row r="3">
          <cell r="E3">
            <v>0</v>
          </cell>
        </row>
      </sheetData>
      <sheetData sheetId="1863">
        <row r="3">
          <cell r="E3">
            <v>0</v>
          </cell>
        </row>
      </sheetData>
      <sheetData sheetId="1864">
        <row r="3">
          <cell r="E3">
            <v>0</v>
          </cell>
        </row>
      </sheetData>
      <sheetData sheetId="1865">
        <row r="3">
          <cell r="E3">
            <v>0</v>
          </cell>
        </row>
      </sheetData>
      <sheetData sheetId="1866">
        <row r="3">
          <cell r="E3">
            <v>0</v>
          </cell>
        </row>
      </sheetData>
      <sheetData sheetId="1867">
        <row r="3">
          <cell r="E3">
            <v>0</v>
          </cell>
        </row>
      </sheetData>
      <sheetData sheetId="1868">
        <row r="3">
          <cell r="E3">
            <v>0</v>
          </cell>
        </row>
      </sheetData>
      <sheetData sheetId="1869">
        <row r="3">
          <cell r="E3">
            <v>0</v>
          </cell>
        </row>
      </sheetData>
      <sheetData sheetId="1870">
        <row r="3">
          <cell r="E3">
            <v>0</v>
          </cell>
        </row>
      </sheetData>
      <sheetData sheetId="1871">
        <row r="3">
          <cell r="E3">
            <v>0</v>
          </cell>
        </row>
      </sheetData>
      <sheetData sheetId="1872">
        <row r="3">
          <cell r="E3">
            <v>0</v>
          </cell>
        </row>
      </sheetData>
      <sheetData sheetId="1873">
        <row r="3">
          <cell r="E3">
            <v>0</v>
          </cell>
        </row>
      </sheetData>
      <sheetData sheetId="1874">
        <row r="3">
          <cell r="E3">
            <v>0</v>
          </cell>
        </row>
      </sheetData>
      <sheetData sheetId="1875">
        <row r="3">
          <cell r="E3">
            <v>0</v>
          </cell>
        </row>
      </sheetData>
      <sheetData sheetId="1876">
        <row r="3">
          <cell r="E3">
            <v>0</v>
          </cell>
        </row>
      </sheetData>
      <sheetData sheetId="1877">
        <row r="3">
          <cell r="E3">
            <v>0</v>
          </cell>
        </row>
      </sheetData>
      <sheetData sheetId="1878">
        <row r="3">
          <cell r="E3">
            <v>0</v>
          </cell>
        </row>
      </sheetData>
      <sheetData sheetId="1879">
        <row r="3">
          <cell r="E3">
            <v>0</v>
          </cell>
        </row>
      </sheetData>
      <sheetData sheetId="1880">
        <row r="3">
          <cell r="E3">
            <v>0</v>
          </cell>
        </row>
      </sheetData>
      <sheetData sheetId="1881">
        <row r="3">
          <cell r="E3">
            <v>0</v>
          </cell>
        </row>
      </sheetData>
      <sheetData sheetId="1882">
        <row r="3">
          <cell r="E3">
            <v>0</v>
          </cell>
        </row>
      </sheetData>
      <sheetData sheetId="1883">
        <row r="3">
          <cell r="E3">
            <v>0</v>
          </cell>
        </row>
      </sheetData>
      <sheetData sheetId="1884">
        <row r="3">
          <cell r="E3">
            <v>0</v>
          </cell>
        </row>
      </sheetData>
      <sheetData sheetId="1885">
        <row r="3">
          <cell r="E3">
            <v>0</v>
          </cell>
        </row>
      </sheetData>
      <sheetData sheetId="1886">
        <row r="3">
          <cell r="E3">
            <v>0</v>
          </cell>
        </row>
      </sheetData>
      <sheetData sheetId="1887">
        <row r="3">
          <cell r="E3">
            <v>0</v>
          </cell>
        </row>
      </sheetData>
      <sheetData sheetId="1888">
        <row r="3">
          <cell r="E3">
            <v>0</v>
          </cell>
        </row>
      </sheetData>
      <sheetData sheetId="1889">
        <row r="3">
          <cell r="E3">
            <v>0</v>
          </cell>
        </row>
      </sheetData>
      <sheetData sheetId="1890">
        <row r="3">
          <cell r="E3">
            <v>0</v>
          </cell>
        </row>
      </sheetData>
      <sheetData sheetId="1891">
        <row r="3">
          <cell r="E3">
            <v>0</v>
          </cell>
        </row>
      </sheetData>
      <sheetData sheetId="1892">
        <row r="3">
          <cell r="E3">
            <v>0</v>
          </cell>
        </row>
      </sheetData>
      <sheetData sheetId="1893">
        <row r="3">
          <cell r="E3">
            <v>0</v>
          </cell>
        </row>
      </sheetData>
      <sheetData sheetId="1894">
        <row r="3">
          <cell r="E3">
            <v>0</v>
          </cell>
        </row>
      </sheetData>
      <sheetData sheetId="1895">
        <row r="3">
          <cell r="E3">
            <v>0</v>
          </cell>
        </row>
      </sheetData>
      <sheetData sheetId="1896">
        <row r="3">
          <cell r="E3">
            <v>0</v>
          </cell>
        </row>
      </sheetData>
      <sheetData sheetId="1897">
        <row r="3">
          <cell r="E3">
            <v>0</v>
          </cell>
        </row>
      </sheetData>
      <sheetData sheetId="1898">
        <row r="3">
          <cell r="E3">
            <v>0</v>
          </cell>
        </row>
      </sheetData>
      <sheetData sheetId="1899">
        <row r="3">
          <cell r="E3">
            <v>0</v>
          </cell>
        </row>
      </sheetData>
      <sheetData sheetId="1900">
        <row r="3">
          <cell r="E3">
            <v>0</v>
          </cell>
        </row>
      </sheetData>
      <sheetData sheetId="1901">
        <row r="3">
          <cell r="E3">
            <v>0</v>
          </cell>
        </row>
      </sheetData>
      <sheetData sheetId="1902">
        <row r="3">
          <cell r="E3">
            <v>0</v>
          </cell>
        </row>
      </sheetData>
      <sheetData sheetId="1903">
        <row r="3">
          <cell r="E3">
            <v>0</v>
          </cell>
        </row>
      </sheetData>
      <sheetData sheetId="1904">
        <row r="3">
          <cell r="E3">
            <v>0</v>
          </cell>
        </row>
      </sheetData>
      <sheetData sheetId="1905">
        <row r="3">
          <cell r="E3">
            <v>0</v>
          </cell>
        </row>
      </sheetData>
      <sheetData sheetId="1906">
        <row r="3">
          <cell r="E3">
            <v>0</v>
          </cell>
        </row>
      </sheetData>
      <sheetData sheetId="1907">
        <row r="3">
          <cell r="E3">
            <v>0</v>
          </cell>
        </row>
      </sheetData>
      <sheetData sheetId="1908">
        <row r="3">
          <cell r="E3">
            <v>0</v>
          </cell>
        </row>
      </sheetData>
      <sheetData sheetId="1909">
        <row r="3">
          <cell r="E3">
            <v>0</v>
          </cell>
        </row>
      </sheetData>
      <sheetData sheetId="1910">
        <row r="3">
          <cell r="E3">
            <v>0</v>
          </cell>
        </row>
      </sheetData>
      <sheetData sheetId="1911">
        <row r="3">
          <cell r="E3">
            <v>0</v>
          </cell>
        </row>
      </sheetData>
      <sheetData sheetId="1912">
        <row r="3">
          <cell r="E3">
            <v>0</v>
          </cell>
        </row>
      </sheetData>
      <sheetData sheetId="1913">
        <row r="3">
          <cell r="E3">
            <v>0</v>
          </cell>
        </row>
      </sheetData>
      <sheetData sheetId="1914">
        <row r="3">
          <cell r="E3">
            <v>0</v>
          </cell>
        </row>
      </sheetData>
      <sheetData sheetId="1915">
        <row r="3">
          <cell r="E3">
            <v>0</v>
          </cell>
        </row>
      </sheetData>
      <sheetData sheetId="1916">
        <row r="3">
          <cell r="E3">
            <v>0</v>
          </cell>
        </row>
      </sheetData>
      <sheetData sheetId="1917">
        <row r="3">
          <cell r="E3">
            <v>0</v>
          </cell>
        </row>
      </sheetData>
      <sheetData sheetId="1918">
        <row r="3">
          <cell r="E3">
            <v>0</v>
          </cell>
        </row>
      </sheetData>
      <sheetData sheetId="1919">
        <row r="3">
          <cell r="E3">
            <v>0</v>
          </cell>
        </row>
      </sheetData>
      <sheetData sheetId="1920">
        <row r="3">
          <cell r="E3">
            <v>0</v>
          </cell>
        </row>
      </sheetData>
      <sheetData sheetId="1921"/>
      <sheetData sheetId="1922"/>
      <sheetData sheetId="1923"/>
      <sheetData sheetId="1924">
        <row r="3">
          <cell r="E3">
            <v>0</v>
          </cell>
        </row>
      </sheetData>
      <sheetData sheetId="1925">
        <row r="6">
          <cell r="U6">
            <v>-26.700830980354233</v>
          </cell>
        </row>
      </sheetData>
      <sheetData sheetId="1926">
        <row r="3">
          <cell r="E3">
            <v>0</v>
          </cell>
        </row>
      </sheetData>
      <sheetData sheetId="1927">
        <row r="3">
          <cell r="E3">
            <v>0</v>
          </cell>
        </row>
      </sheetData>
      <sheetData sheetId="1928">
        <row r="3">
          <cell r="E3">
            <v>0</v>
          </cell>
        </row>
      </sheetData>
      <sheetData sheetId="1929">
        <row r="3">
          <cell r="E3">
            <v>0</v>
          </cell>
        </row>
      </sheetData>
      <sheetData sheetId="1930">
        <row r="3">
          <cell r="E3">
            <v>0</v>
          </cell>
        </row>
      </sheetData>
      <sheetData sheetId="1931">
        <row r="3">
          <cell r="E3">
            <v>0</v>
          </cell>
        </row>
      </sheetData>
      <sheetData sheetId="1932">
        <row r="3">
          <cell r="E3">
            <v>0</v>
          </cell>
        </row>
      </sheetData>
      <sheetData sheetId="1933">
        <row r="3">
          <cell r="E3">
            <v>0</v>
          </cell>
        </row>
      </sheetData>
      <sheetData sheetId="1934">
        <row r="3">
          <cell r="E3">
            <v>0</v>
          </cell>
        </row>
      </sheetData>
      <sheetData sheetId="1935">
        <row r="3">
          <cell r="E3">
            <v>0</v>
          </cell>
        </row>
      </sheetData>
      <sheetData sheetId="1936">
        <row r="3">
          <cell r="E3">
            <v>0</v>
          </cell>
        </row>
      </sheetData>
      <sheetData sheetId="1937">
        <row r="3">
          <cell r="E3">
            <v>0</v>
          </cell>
        </row>
      </sheetData>
      <sheetData sheetId="1938">
        <row r="3">
          <cell r="E3">
            <v>0</v>
          </cell>
        </row>
      </sheetData>
      <sheetData sheetId="1939">
        <row r="3">
          <cell r="E3">
            <v>0</v>
          </cell>
        </row>
      </sheetData>
      <sheetData sheetId="1940">
        <row r="3">
          <cell r="E3">
            <v>0</v>
          </cell>
        </row>
      </sheetData>
      <sheetData sheetId="1941">
        <row r="3">
          <cell r="E3">
            <v>0</v>
          </cell>
        </row>
      </sheetData>
      <sheetData sheetId="1942">
        <row r="3">
          <cell r="E3">
            <v>0</v>
          </cell>
        </row>
      </sheetData>
      <sheetData sheetId="1943">
        <row r="3">
          <cell r="E3">
            <v>0</v>
          </cell>
        </row>
      </sheetData>
      <sheetData sheetId="1944">
        <row r="3">
          <cell r="E3">
            <v>0</v>
          </cell>
        </row>
      </sheetData>
      <sheetData sheetId="1945">
        <row r="3">
          <cell r="E3">
            <v>0</v>
          </cell>
        </row>
      </sheetData>
      <sheetData sheetId="1946">
        <row r="3">
          <cell r="E3">
            <v>0</v>
          </cell>
        </row>
      </sheetData>
      <sheetData sheetId="1947">
        <row r="3">
          <cell r="E3">
            <v>0</v>
          </cell>
        </row>
      </sheetData>
      <sheetData sheetId="1948">
        <row r="3">
          <cell r="E3">
            <v>2002</v>
          </cell>
        </row>
      </sheetData>
      <sheetData sheetId="1949">
        <row r="3">
          <cell r="E3">
            <v>2002</v>
          </cell>
        </row>
      </sheetData>
      <sheetData sheetId="1950">
        <row r="3">
          <cell r="E3">
            <v>2002</v>
          </cell>
        </row>
      </sheetData>
      <sheetData sheetId="1951">
        <row r="3">
          <cell r="E3">
            <v>2002</v>
          </cell>
        </row>
      </sheetData>
      <sheetData sheetId="1952">
        <row r="3">
          <cell r="E3">
            <v>2002</v>
          </cell>
        </row>
      </sheetData>
      <sheetData sheetId="1953">
        <row r="3">
          <cell r="E3">
            <v>2002</v>
          </cell>
        </row>
      </sheetData>
      <sheetData sheetId="1954">
        <row r="3">
          <cell r="E3">
            <v>2002</v>
          </cell>
        </row>
      </sheetData>
      <sheetData sheetId="1955">
        <row r="3">
          <cell r="E3">
            <v>2002</v>
          </cell>
        </row>
      </sheetData>
      <sheetData sheetId="1956">
        <row r="3">
          <cell r="E3">
            <v>2002</v>
          </cell>
        </row>
      </sheetData>
      <sheetData sheetId="1957">
        <row r="3">
          <cell r="E3">
            <v>2002</v>
          </cell>
        </row>
      </sheetData>
      <sheetData sheetId="1958">
        <row r="3">
          <cell r="E3">
            <v>2002</v>
          </cell>
        </row>
      </sheetData>
      <sheetData sheetId="1959">
        <row r="3">
          <cell r="E3">
            <v>2002</v>
          </cell>
        </row>
      </sheetData>
      <sheetData sheetId="1960">
        <row r="3">
          <cell r="E3">
            <v>2002</v>
          </cell>
        </row>
      </sheetData>
      <sheetData sheetId="1961">
        <row r="3">
          <cell r="E3">
            <v>2002</v>
          </cell>
        </row>
      </sheetData>
      <sheetData sheetId="1962">
        <row r="3">
          <cell r="E3">
            <v>2002</v>
          </cell>
        </row>
      </sheetData>
      <sheetData sheetId="1963">
        <row r="3">
          <cell r="E3">
            <v>2002</v>
          </cell>
        </row>
      </sheetData>
      <sheetData sheetId="1964">
        <row r="3">
          <cell r="E3">
            <v>2002</v>
          </cell>
        </row>
      </sheetData>
      <sheetData sheetId="1965">
        <row r="3">
          <cell r="E3">
            <v>2002</v>
          </cell>
        </row>
      </sheetData>
      <sheetData sheetId="1966">
        <row r="3">
          <cell r="E3">
            <v>2002</v>
          </cell>
        </row>
      </sheetData>
      <sheetData sheetId="1967">
        <row r="3">
          <cell r="E3">
            <v>2002</v>
          </cell>
        </row>
      </sheetData>
      <sheetData sheetId="1968">
        <row r="3">
          <cell r="E3">
            <v>2002</v>
          </cell>
        </row>
      </sheetData>
      <sheetData sheetId="1969">
        <row r="3">
          <cell r="E3">
            <v>2002</v>
          </cell>
        </row>
      </sheetData>
      <sheetData sheetId="1970">
        <row r="3">
          <cell r="E3">
            <v>2002</v>
          </cell>
        </row>
      </sheetData>
      <sheetData sheetId="1971">
        <row r="3">
          <cell r="E3">
            <v>2002</v>
          </cell>
        </row>
      </sheetData>
      <sheetData sheetId="1972">
        <row r="3">
          <cell r="E3">
            <v>2002</v>
          </cell>
        </row>
      </sheetData>
      <sheetData sheetId="1973">
        <row r="3">
          <cell r="E3">
            <v>2002</v>
          </cell>
        </row>
      </sheetData>
      <sheetData sheetId="1974">
        <row r="3">
          <cell r="E3">
            <v>2002</v>
          </cell>
        </row>
      </sheetData>
      <sheetData sheetId="1975">
        <row r="3">
          <cell r="E3">
            <v>2002</v>
          </cell>
        </row>
      </sheetData>
      <sheetData sheetId="1976">
        <row r="3">
          <cell r="E3">
            <v>2002</v>
          </cell>
        </row>
      </sheetData>
      <sheetData sheetId="1977">
        <row r="3">
          <cell r="E3">
            <v>2002</v>
          </cell>
        </row>
      </sheetData>
      <sheetData sheetId="1978">
        <row r="3">
          <cell r="E3">
            <v>2002</v>
          </cell>
        </row>
      </sheetData>
      <sheetData sheetId="1979">
        <row r="3">
          <cell r="E3">
            <v>2002</v>
          </cell>
        </row>
      </sheetData>
      <sheetData sheetId="1980">
        <row r="3">
          <cell r="E3">
            <v>2002</v>
          </cell>
        </row>
      </sheetData>
      <sheetData sheetId="1981">
        <row r="3">
          <cell r="E3">
            <v>2002</v>
          </cell>
        </row>
      </sheetData>
      <sheetData sheetId="1982">
        <row r="3">
          <cell r="E3">
            <v>2002</v>
          </cell>
        </row>
      </sheetData>
      <sheetData sheetId="1983">
        <row r="3">
          <cell r="E3">
            <v>2002</v>
          </cell>
        </row>
      </sheetData>
      <sheetData sheetId="1984">
        <row r="3">
          <cell r="E3">
            <v>2002</v>
          </cell>
        </row>
      </sheetData>
      <sheetData sheetId="1985">
        <row r="3">
          <cell r="E3">
            <v>2002</v>
          </cell>
        </row>
      </sheetData>
      <sheetData sheetId="1986">
        <row r="3">
          <cell r="E3">
            <v>2002</v>
          </cell>
        </row>
      </sheetData>
      <sheetData sheetId="1987">
        <row r="3">
          <cell r="E3">
            <v>0</v>
          </cell>
        </row>
      </sheetData>
      <sheetData sheetId="1988">
        <row r="3">
          <cell r="E3">
            <v>2002</v>
          </cell>
        </row>
      </sheetData>
      <sheetData sheetId="1989">
        <row r="3">
          <cell r="E3">
            <v>2002</v>
          </cell>
        </row>
      </sheetData>
      <sheetData sheetId="1990">
        <row r="3">
          <cell r="E3">
            <v>0</v>
          </cell>
        </row>
      </sheetData>
      <sheetData sheetId="1991">
        <row r="3">
          <cell r="E3">
            <v>0</v>
          </cell>
        </row>
      </sheetData>
      <sheetData sheetId="1992">
        <row r="3">
          <cell r="E3">
            <v>0</v>
          </cell>
        </row>
      </sheetData>
      <sheetData sheetId="1993">
        <row r="3">
          <cell r="E3">
            <v>0</v>
          </cell>
        </row>
      </sheetData>
      <sheetData sheetId="1994">
        <row r="3">
          <cell r="E3">
            <v>0</v>
          </cell>
        </row>
      </sheetData>
      <sheetData sheetId="1995">
        <row r="3">
          <cell r="E3">
            <v>0</v>
          </cell>
        </row>
      </sheetData>
      <sheetData sheetId="1996">
        <row r="3">
          <cell r="E3">
            <v>0</v>
          </cell>
        </row>
      </sheetData>
      <sheetData sheetId="1997">
        <row r="3">
          <cell r="E3">
            <v>0</v>
          </cell>
        </row>
      </sheetData>
      <sheetData sheetId="1998">
        <row r="3">
          <cell r="E3">
            <v>0</v>
          </cell>
        </row>
      </sheetData>
      <sheetData sheetId="1999">
        <row r="3">
          <cell r="E3">
            <v>0</v>
          </cell>
        </row>
      </sheetData>
      <sheetData sheetId="2000">
        <row r="3">
          <cell r="E3">
            <v>0</v>
          </cell>
        </row>
      </sheetData>
      <sheetData sheetId="2001">
        <row r="3">
          <cell r="E3">
            <v>0</v>
          </cell>
        </row>
      </sheetData>
      <sheetData sheetId="2002">
        <row r="3">
          <cell r="E3">
            <v>0</v>
          </cell>
        </row>
      </sheetData>
      <sheetData sheetId="2003">
        <row r="3">
          <cell r="E3">
            <v>0</v>
          </cell>
        </row>
      </sheetData>
      <sheetData sheetId="2004">
        <row r="3">
          <cell r="E3">
            <v>0</v>
          </cell>
        </row>
      </sheetData>
      <sheetData sheetId="2005">
        <row r="3">
          <cell r="E3">
            <v>0</v>
          </cell>
        </row>
      </sheetData>
      <sheetData sheetId="2006">
        <row r="3">
          <cell r="E3">
            <v>0</v>
          </cell>
        </row>
      </sheetData>
      <sheetData sheetId="2007">
        <row r="3">
          <cell r="E3">
            <v>0</v>
          </cell>
        </row>
      </sheetData>
      <sheetData sheetId="2008">
        <row r="3">
          <cell r="E3">
            <v>0</v>
          </cell>
        </row>
      </sheetData>
      <sheetData sheetId="2009">
        <row r="3">
          <cell r="E3">
            <v>0</v>
          </cell>
        </row>
      </sheetData>
      <sheetData sheetId="2010">
        <row r="3">
          <cell r="E3">
            <v>0</v>
          </cell>
        </row>
      </sheetData>
      <sheetData sheetId="2011">
        <row r="3">
          <cell r="E3">
            <v>0</v>
          </cell>
        </row>
      </sheetData>
      <sheetData sheetId="2012">
        <row r="3">
          <cell r="E3">
            <v>0</v>
          </cell>
        </row>
      </sheetData>
      <sheetData sheetId="2013">
        <row r="3">
          <cell r="E3">
            <v>0</v>
          </cell>
        </row>
      </sheetData>
      <sheetData sheetId="2014">
        <row r="3">
          <cell r="E3">
            <v>0</v>
          </cell>
        </row>
      </sheetData>
      <sheetData sheetId="2015">
        <row r="3">
          <cell r="E3">
            <v>0</v>
          </cell>
        </row>
      </sheetData>
      <sheetData sheetId="2016">
        <row r="3">
          <cell r="E3">
            <v>0</v>
          </cell>
        </row>
      </sheetData>
      <sheetData sheetId="2017">
        <row r="3">
          <cell r="E3">
            <v>0</v>
          </cell>
        </row>
      </sheetData>
      <sheetData sheetId="2018">
        <row r="3">
          <cell r="E3">
            <v>0</v>
          </cell>
        </row>
      </sheetData>
      <sheetData sheetId="2019">
        <row r="3">
          <cell r="E3">
            <v>0</v>
          </cell>
        </row>
      </sheetData>
      <sheetData sheetId="2020">
        <row r="3">
          <cell r="E3">
            <v>0</v>
          </cell>
        </row>
      </sheetData>
      <sheetData sheetId="2021">
        <row r="3">
          <cell r="E3">
            <v>0</v>
          </cell>
        </row>
      </sheetData>
      <sheetData sheetId="2022">
        <row r="3">
          <cell r="E3">
            <v>0</v>
          </cell>
        </row>
      </sheetData>
      <sheetData sheetId="2023">
        <row r="3">
          <cell r="E3">
            <v>0</v>
          </cell>
        </row>
      </sheetData>
      <sheetData sheetId="2024">
        <row r="3">
          <cell r="E3">
            <v>0</v>
          </cell>
        </row>
      </sheetData>
      <sheetData sheetId="2025">
        <row r="3">
          <cell r="E3">
            <v>0</v>
          </cell>
        </row>
      </sheetData>
      <sheetData sheetId="2026">
        <row r="3">
          <cell r="E3">
            <v>0</v>
          </cell>
        </row>
      </sheetData>
      <sheetData sheetId="2027">
        <row r="3">
          <cell r="E3">
            <v>0</v>
          </cell>
        </row>
      </sheetData>
      <sheetData sheetId="2028">
        <row r="3">
          <cell r="E3">
            <v>0</v>
          </cell>
        </row>
      </sheetData>
      <sheetData sheetId="2029">
        <row r="3">
          <cell r="E3">
            <v>0</v>
          </cell>
        </row>
      </sheetData>
      <sheetData sheetId="2030">
        <row r="3">
          <cell r="E3">
            <v>0</v>
          </cell>
        </row>
      </sheetData>
      <sheetData sheetId="2031">
        <row r="3">
          <cell r="E3">
            <v>0</v>
          </cell>
        </row>
      </sheetData>
      <sheetData sheetId="2032">
        <row r="3">
          <cell r="E3">
            <v>0</v>
          </cell>
        </row>
      </sheetData>
      <sheetData sheetId="2033">
        <row r="3">
          <cell r="E3">
            <v>0</v>
          </cell>
        </row>
      </sheetData>
      <sheetData sheetId="2034">
        <row r="3">
          <cell r="E3">
            <v>0</v>
          </cell>
        </row>
      </sheetData>
      <sheetData sheetId="2035">
        <row r="3">
          <cell r="E3">
            <v>0</v>
          </cell>
        </row>
      </sheetData>
      <sheetData sheetId="2036">
        <row r="3">
          <cell r="E3">
            <v>0</v>
          </cell>
        </row>
      </sheetData>
      <sheetData sheetId="2037">
        <row r="3">
          <cell r="E3">
            <v>0</v>
          </cell>
        </row>
      </sheetData>
      <sheetData sheetId="2038">
        <row r="3">
          <cell r="E3">
            <v>0</v>
          </cell>
        </row>
      </sheetData>
      <sheetData sheetId="2039">
        <row r="3">
          <cell r="E3">
            <v>0</v>
          </cell>
        </row>
      </sheetData>
      <sheetData sheetId="2040">
        <row r="3">
          <cell r="E3">
            <v>0</v>
          </cell>
        </row>
      </sheetData>
      <sheetData sheetId="2041">
        <row r="3">
          <cell r="E3">
            <v>0</v>
          </cell>
        </row>
      </sheetData>
      <sheetData sheetId="2042"/>
      <sheetData sheetId="2043"/>
      <sheetData sheetId="2044"/>
      <sheetData sheetId="2045">
        <row r="6">
          <cell r="U6">
            <v>-26.700830980354233</v>
          </cell>
        </row>
      </sheetData>
      <sheetData sheetId="2046">
        <row r="3">
          <cell r="E3">
            <v>0</v>
          </cell>
        </row>
      </sheetData>
      <sheetData sheetId="2047">
        <row r="3">
          <cell r="E3">
            <v>0</v>
          </cell>
        </row>
      </sheetData>
      <sheetData sheetId="2048">
        <row r="3">
          <cell r="E3">
            <v>0</v>
          </cell>
        </row>
      </sheetData>
      <sheetData sheetId="2049">
        <row r="3">
          <cell r="E3">
            <v>0</v>
          </cell>
        </row>
      </sheetData>
      <sheetData sheetId="2050">
        <row r="3">
          <cell r="E3">
            <v>0</v>
          </cell>
        </row>
      </sheetData>
      <sheetData sheetId="2051">
        <row r="3">
          <cell r="E3">
            <v>0</v>
          </cell>
        </row>
      </sheetData>
      <sheetData sheetId="2052">
        <row r="3">
          <cell r="E3">
            <v>0</v>
          </cell>
        </row>
      </sheetData>
      <sheetData sheetId="2053">
        <row r="3">
          <cell r="E3">
            <v>0</v>
          </cell>
        </row>
      </sheetData>
      <sheetData sheetId="2054">
        <row r="3">
          <cell r="E3">
            <v>0</v>
          </cell>
        </row>
      </sheetData>
      <sheetData sheetId="2055">
        <row r="3">
          <cell r="E3">
            <v>0</v>
          </cell>
        </row>
      </sheetData>
      <sheetData sheetId="2056">
        <row r="3">
          <cell r="E3">
            <v>0</v>
          </cell>
        </row>
      </sheetData>
      <sheetData sheetId="2057">
        <row r="3">
          <cell r="E3">
            <v>0</v>
          </cell>
        </row>
      </sheetData>
      <sheetData sheetId="2058">
        <row r="3">
          <cell r="E3">
            <v>0</v>
          </cell>
        </row>
      </sheetData>
      <sheetData sheetId="2059">
        <row r="3">
          <cell r="E3">
            <v>0</v>
          </cell>
        </row>
      </sheetData>
      <sheetData sheetId="2060">
        <row r="3">
          <cell r="E3">
            <v>0</v>
          </cell>
        </row>
      </sheetData>
      <sheetData sheetId="2061">
        <row r="3">
          <cell r="E3">
            <v>0</v>
          </cell>
        </row>
      </sheetData>
      <sheetData sheetId="2062">
        <row r="3">
          <cell r="E3">
            <v>0</v>
          </cell>
        </row>
      </sheetData>
      <sheetData sheetId="2063">
        <row r="3">
          <cell r="E3">
            <v>0</v>
          </cell>
        </row>
      </sheetData>
      <sheetData sheetId="2064">
        <row r="3">
          <cell r="E3">
            <v>0</v>
          </cell>
        </row>
      </sheetData>
      <sheetData sheetId="2065">
        <row r="3">
          <cell r="E3">
            <v>0</v>
          </cell>
        </row>
      </sheetData>
      <sheetData sheetId="2066">
        <row r="3">
          <cell r="E3">
            <v>0</v>
          </cell>
        </row>
      </sheetData>
      <sheetData sheetId="2067">
        <row r="3">
          <cell r="E3">
            <v>0</v>
          </cell>
        </row>
      </sheetData>
      <sheetData sheetId="2068">
        <row r="3">
          <cell r="E3">
            <v>0</v>
          </cell>
        </row>
      </sheetData>
      <sheetData sheetId="2069">
        <row r="3">
          <cell r="E3">
            <v>0</v>
          </cell>
        </row>
      </sheetData>
      <sheetData sheetId="2070">
        <row r="3">
          <cell r="E3">
            <v>0</v>
          </cell>
        </row>
      </sheetData>
      <sheetData sheetId="2071">
        <row r="3">
          <cell r="E3">
            <v>0</v>
          </cell>
        </row>
      </sheetData>
      <sheetData sheetId="2072">
        <row r="3">
          <cell r="E3">
            <v>0</v>
          </cell>
        </row>
      </sheetData>
      <sheetData sheetId="2073">
        <row r="3">
          <cell r="E3">
            <v>0</v>
          </cell>
        </row>
      </sheetData>
      <sheetData sheetId="2074">
        <row r="3">
          <cell r="E3">
            <v>0</v>
          </cell>
        </row>
      </sheetData>
      <sheetData sheetId="2075">
        <row r="6">
          <cell r="U6">
            <v>-26.700830980354233</v>
          </cell>
        </row>
      </sheetData>
      <sheetData sheetId="2076">
        <row r="6">
          <cell r="U6">
            <v>-26.700830980354233</v>
          </cell>
        </row>
      </sheetData>
      <sheetData sheetId="2077">
        <row r="6">
          <cell r="U6">
            <v>-26.700830980354233</v>
          </cell>
        </row>
      </sheetData>
      <sheetData sheetId="2078">
        <row r="3">
          <cell r="E3">
            <v>2002</v>
          </cell>
        </row>
      </sheetData>
      <sheetData sheetId="2079">
        <row r="3">
          <cell r="E3">
            <v>2002</v>
          </cell>
        </row>
      </sheetData>
      <sheetData sheetId="2080">
        <row r="3">
          <cell r="E3">
            <v>2002</v>
          </cell>
        </row>
      </sheetData>
      <sheetData sheetId="2081">
        <row r="3">
          <cell r="E3">
            <v>2002</v>
          </cell>
        </row>
      </sheetData>
      <sheetData sheetId="2082">
        <row r="3">
          <cell r="E3">
            <v>2002</v>
          </cell>
        </row>
      </sheetData>
      <sheetData sheetId="2083">
        <row r="3">
          <cell r="E3">
            <v>2002</v>
          </cell>
        </row>
      </sheetData>
      <sheetData sheetId="2084">
        <row r="3">
          <cell r="E3">
            <v>2002</v>
          </cell>
        </row>
      </sheetData>
      <sheetData sheetId="2085">
        <row r="3">
          <cell r="E3">
            <v>2002</v>
          </cell>
        </row>
      </sheetData>
      <sheetData sheetId="2086">
        <row r="3">
          <cell r="E3">
            <v>2002</v>
          </cell>
        </row>
      </sheetData>
      <sheetData sheetId="2087">
        <row r="3">
          <cell r="E3">
            <v>2002</v>
          </cell>
        </row>
      </sheetData>
      <sheetData sheetId="2088">
        <row r="3">
          <cell r="E3">
            <v>2002</v>
          </cell>
        </row>
      </sheetData>
      <sheetData sheetId="2089">
        <row r="3">
          <cell r="E3">
            <v>2002</v>
          </cell>
        </row>
      </sheetData>
      <sheetData sheetId="2090">
        <row r="3">
          <cell r="E3">
            <v>2002</v>
          </cell>
        </row>
      </sheetData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/>
      <sheetData sheetId="2111"/>
      <sheetData sheetId="2112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>
        <row r="3">
          <cell r="E3">
            <v>2002</v>
          </cell>
        </row>
      </sheetData>
      <sheetData sheetId="2123" refreshError="1"/>
      <sheetData sheetId="2124" refreshError="1"/>
      <sheetData sheetId="2125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KUNJUNGAN"/>
      <sheetName val="Grafik"/>
      <sheetName val="D.slect"/>
      <sheetName val="Data Prep"/>
      <sheetName val="Shee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em "/>
      <sheetName val="tt"/>
      <sheetName val="as"/>
      <sheetName val="populasi"/>
      <sheetName val="tunas"/>
      <sheetName val="piringan"/>
      <sheetName val="gawangan"/>
      <sheetName val="Sheet1"/>
      <sheetName val="lalang"/>
      <sheetName val="jem"/>
      <sheetName val="buat_jem"/>
      <sheetName val="hal_8"/>
      <sheetName val="CH"/>
      <sheetName val="LANSIR ST1 KE 2 BIBITAN 1"/>
      <sheetName val="LANSIR ST3 KE TTK TNM BBTN1"/>
      <sheetName val="LANSIR ST1 KE 2 BIBITAN2"/>
      <sheetName val="LANSIR ST2 KE 3 BIBITAN2"/>
      <sheetName val="LANSIR ST3 KE TTK TANAM BBITAN2"/>
      <sheetName val="LANSIR BIBIT SULAM BIBITAN2"/>
      <sheetName val="LANSIR BIBIT SISIP BIBITAN2"/>
      <sheetName val="LANSIR BIBITAN 2 KE ST1"/>
      <sheetName val="LANSIR BIBITAN 1"/>
      <sheetName val="kap rinci"/>
      <sheetName val="12"/>
      <sheetName val="Master"/>
      <sheetName val="Daftar Blok"/>
      <sheetName val="Refer"/>
      <sheetName val="jem_"/>
      <sheetName val="Daftar_Blok"/>
      <sheetName val="Sum"/>
      <sheetName val="komputer"/>
      <sheetName val="rkp-sup"/>
      <sheetName val="unit"/>
      <sheetName val="Actvty"/>
      <sheetName val="Sheet10"/>
      <sheetName val="Master Bahan SAP"/>
      <sheetName val="HJD"/>
      <sheetName val="DCF Inputs"/>
      <sheetName val="Financials"/>
      <sheetName val="Calcs for Sensitivy"/>
      <sheetName val="Performance"/>
      <sheetName val="ProjGraph"/>
      <sheetName val="Summary"/>
      <sheetName val="List"/>
      <sheetName val="C"/>
      <sheetName val="Prod &amp; Sales"/>
      <sheetName val="Perc. Pemupukan"/>
      <sheetName val="0701 Lembur"/>
      <sheetName val="0702 Lembur"/>
      <sheetName val="0703 Lembur - Palsu"/>
      <sheetName val="Peta Lay Out Bgn"/>
      <sheetName val="Peta Th Tnm"/>
      <sheetName val="Activity"/>
      <sheetName val="KB"/>
      <sheetName val="mList"/>
      <sheetName val="Permanent info"/>
      <sheetName val="Trading Statement"/>
      <sheetName val="BPB"/>
      <sheetName val="data-hujan"/>
      <sheetName val="Links"/>
      <sheetName val="PPh 21 Parameter"/>
      <sheetName val="SOURCE"/>
      <sheetName val="MGR-12"/>
      <sheetName val="data&amp;dummy"/>
      <sheetName val="PER PART (IX.2)"/>
      <sheetName val="Tabel-kalibrasi"/>
      <sheetName val="Budget"/>
      <sheetName val="MUTU BUAH"/>
      <sheetName val="jem_1"/>
      <sheetName val="Daftar_Blok1"/>
      <sheetName val="Master_Bahan_SAP"/>
      <sheetName val="DCF_Inputs"/>
      <sheetName val="Calcs_for_Sensitivy"/>
      <sheetName val="Prod_&amp;_Sales"/>
      <sheetName val="Perc__Pemupukan"/>
      <sheetName val="Peta_Lay_Out_Bgn"/>
      <sheetName val="Peta_Th_Tnm"/>
      <sheetName val="0701_Lembur"/>
      <sheetName val="0702_Lembur"/>
      <sheetName val="0703_Lembur_-_Palsu"/>
      <sheetName val="MB (2)"/>
      <sheetName val="MB"/>
      <sheetName val="BJ &amp; Koreksi"/>
      <sheetName val="Input Sheet"/>
      <sheetName val="PREMI"/>
      <sheetName val="rkp-bgt"/>
      <sheetName val="Kend"/>
      <sheetName val="HAL10"/>
      <sheetName val="Akomodasi"/>
      <sheetName val="0801 Lembur"/>
      <sheetName val="0802 Lembur"/>
      <sheetName val="Data SRL"/>
      <sheetName val="Data Prod_Gr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12">
          <cell r="Z12">
            <v>149</v>
          </cell>
          <cell r="AA12">
            <v>111</v>
          </cell>
          <cell r="AB12">
            <v>294</v>
          </cell>
          <cell r="AC12">
            <v>318</v>
          </cell>
          <cell r="AD12">
            <v>140</v>
          </cell>
          <cell r="AF12" t="str">
            <v xml:space="preserve"> Jan</v>
          </cell>
        </row>
        <row r="13">
          <cell r="Z13">
            <v>46</v>
          </cell>
          <cell r="AA13">
            <v>197</v>
          </cell>
          <cell r="AB13">
            <v>237</v>
          </cell>
          <cell r="AC13">
            <v>173</v>
          </cell>
          <cell r="AD13">
            <v>119</v>
          </cell>
          <cell r="AF13" t="str">
            <v xml:space="preserve"> Feb</v>
          </cell>
        </row>
        <row r="14">
          <cell r="Z14">
            <v>239</v>
          </cell>
          <cell r="AA14">
            <v>127</v>
          </cell>
          <cell r="AB14">
            <v>121</v>
          </cell>
          <cell r="AC14">
            <v>191</v>
          </cell>
          <cell r="AD14">
            <v>280</v>
          </cell>
          <cell r="AF14" t="str">
            <v xml:space="preserve"> Mar</v>
          </cell>
        </row>
        <row r="15">
          <cell r="Z15">
            <v>156</v>
          </cell>
          <cell r="AA15">
            <v>127</v>
          </cell>
          <cell r="AB15">
            <v>138</v>
          </cell>
          <cell r="AC15">
            <v>138</v>
          </cell>
          <cell r="AD15">
            <v>104</v>
          </cell>
          <cell r="AF15" t="str">
            <v xml:space="preserve"> Apr</v>
          </cell>
        </row>
        <row r="16">
          <cell r="Z16">
            <v>80</v>
          </cell>
          <cell r="AA16">
            <v>111</v>
          </cell>
          <cell r="AB16">
            <v>458</v>
          </cell>
          <cell r="AC16">
            <v>128</v>
          </cell>
          <cell r="AD16">
            <v>83</v>
          </cell>
          <cell r="AF16" t="str">
            <v xml:space="preserve"> Mei</v>
          </cell>
        </row>
        <row r="17">
          <cell r="Z17">
            <v>32</v>
          </cell>
          <cell r="AA17">
            <v>217</v>
          </cell>
          <cell r="AB17">
            <v>104</v>
          </cell>
          <cell r="AC17">
            <v>465</v>
          </cell>
          <cell r="AD17">
            <v>14</v>
          </cell>
          <cell r="AF17" t="str">
            <v xml:space="preserve"> Jun</v>
          </cell>
        </row>
        <row r="18">
          <cell r="Z18">
            <v>111</v>
          </cell>
          <cell r="AA18">
            <v>208</v>
          </cell>
          <cell r="AB18">
            <v>120</v>
          </cell>
          <cell r="AC18">
            <v>295</v>
          </cell>
          <cell r="AD18">
            <v>55</v>
          </cell>
          <cell r="AF18" t="str">
            <v xml:space="preserve"> Jul</v>
          </cell>
        </row>
        <row r="19">
          <cell r="Z19">
            <v>0</v>
          </cell>
          <cell r="AA19">
            <v>512</v>
          </cell>
          <cell r="AB19">
            <v>101</v>
          </cell>
          <cell r="AC19">
            <v>122</v>
          </cell>
          <cell r="AD19">
            <v>0</v>
          </cell>
          <cell r="AF19" t="str">
            <v xml:space="preserve"> Aug</v>
          </cell>
        </row>
        <row r="20">
          <cell r="Z20">
            <v>0</v>
          </cell>
          <cell r="AA20">
            <v>265</v>
          </cell>
          <cell r="AB20">
            <v>246</v>
          </cell>
          <cell r="AC20">
            <v>185</v>
          </cell>
          <cell r="AD20">
            <v>188</v>
          </cell>
          <cell r="AF20" t="str">
            <v xml:space="preserve"> Sep</v>
          </cell>
        </row>
        <row r="21">
          <cell r="Z21">
            <v>0</v>
          </cell>
          <cell r="AA21">
            <v>30</v>
          </cell>
          <cell r="AB21">
            <v>232</v>
          </cell>
          <cell r="AC21">
            <v>99</v>
          </cell>
          <cell r="AD21">
            <v>130</v>
          </cell>
          <cell r="AF21" t="str">
            <v xml:space="preserve"> Okt</v>
          </cell>
        </row>
        <row r="22">
          <cell r="Z22">
            <v>146</v>
          </cell>
          <cell r="AA22">
            <v>240</v>
          </cell>
          <cell r="AB22">
            <v>192</v>
          </cell>
          <cell r="AC22">
            <v>235</v>
          </cell>
          <cell r="AD22">
            <v>118</v>
          </cell>
          <cell r="AF22" t="str">
            <v xml:space="preserve"> Nov</v>
          </cell>
        </row>
        <row r="23">
          <cell r="Z23">
            <v>155</v>
          </cell>
          <cell r="AA23">
            <v>119</v>
          </cell>
          <cell r="AB23">
            <v>159</v>
          </cell>
          <cell r="AC23">
            <v>127</v>
          </cell>
          <cell r="AD23">
            <v>0</v>
          </cell>
          <cell r="AF23" t="str">
            <v xml:space="preserve"> Des</v>
          </cell>
        </row>
      </sheetData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_Kbn"/>
      <sheetName val="ulasan manajer _1_"/>
      <sheetName val="ulasan manajer _2_"/>
      <sheetName val="ulasan manajer _3_"/>
      <sheetName val="Daftar Isi"/>
      <sheetName val="Stat"/>
      <sheetName val="Renprod Ton"/>
      <sheetName val="Renprod TonHa"/>
      <sheetName val="Prod Afd"/>
      <sheetName val="Prod Afd TonHa"/>
      <sheetName val="Sebrn TBS"/>
      <sheetName val="Riw Prod"/>
      <sheetName val="Riw Prod2"/>
      <sheetName val="Rkp Ton"/>
      <sheetName val="Riw BJR"/>
      <sheetName val="Riw Prod Pmn"/>
      <sheetName val="Riw Rot"/>
      <sheetName val="Riw PPK"/>
      <sheetName val="Riw PPK _2_"/>
      <sheetName val="Riw CH"/>
      <sheetName val="Graf Prod"/>
      <sheetName val="Anals Unit TBS"/>
      <sheetName val="Evals Unit TBS"/>
      <sheetName val="Anals RunAcc"/>
      <sheetName val="SO"/>
      <sheetName val="KEB_TK"/>
      <sheetName val="KEB_RMH"/>
      <sheetName val="Kel Kap"/>
      <sheetName val="Rkp Kapital"/>
      <sheetName val="Kap Rinci"/>
      <sheetName val="Kapital 1"/>
      <sheetName val="Kapital 2"/>
      <sheetName val="Kapital 3"/>
      <sheetName val="Kapital 4"/>
      <sheetName val="Kapital 5"/>
      <sheetName val="PrevMain"/>
      <sheetName val="peta tahun tanam"/>
      <sheetName val="peta kondisi awal"/>
      <sheetName val="Inti TT"/>
      <sheetName val="P1 TT"/>
      <sheetName val="P2 TT"/>
      <sheetName val="Inti Kondisi"/>
      <sheetName val="P1 Kondisi"/>
      <sheetName val="P2 Kondisi"/>
      <sheetName val="Lamp Bangun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_Kbn"/>
      <sheetName val="ulasan manajer _1_"/>
      <sheetName val="ulasan manajer _2_"/>
      <sheetName val="ulasan manajer _3_"/>
      <sheetName val="Daftar Isi"/>
      <sheetName val="Stat"/>
      <sheetName val="Renprod Ton"/>
      <sheetName val="Renprod TonHa"/>
      <sheetName val="Prod Afd"/>
      <sheetName val="Prod Afd TonHa"/>
      <sheetName val="Sebrn TBS"/>
      <sheetName val="Riw Prod"/>
      <sheetName val="Riw Prod2"/>
      <sheetName val="Rkp Ton"/>
      <sheetName val="Riw BJR"/>
      <sheetName val="Riw Prod Pmn"/>
      <sheetName val="Riw Rot"/>
      <sheetName val="Riw PPK"/>
      <sheetName val="Riw PPK _2_"/>
      <sheetName val="Riw CH"/>
      <sheetName val="Graf Prod"/>
      <sheetName val="Anals Unit TBS"/>
      <sheetName val="Evals Unit TBS"/>
      <sheetName val="Anals RunAcc"/>
      <sheetName val="SO"/>
      <sheetName val="KEB_TK"/>
      <sheetName val="KEB_RMH"/>
      <sheetName val="Kel Kap"/>
      <sheetName val="Rkp Kapital"/>
      <sheetName val="Kap Rinci"/>
      <sheetName val="Kapital 1"/>
      <sheetName val="Kapital 2"/>
      <sheetName val="Kapital 3"/>
      <sheetName val="Kapital 4"/>
      <sheetName val="Kapital 5"/>
      <sheetName val="PrevMain"/>
      <sheetName val="peta tahun tanam"/>
      <sheetName val="peta kondisi awal"/>
      <sheetName val="Inti TT"/>
      <sheetName val="P1 TT"/>
      <sheetName val="P2 TT"/>
      <sheetName val="Inti Kondisi"/>
      <sheetName val="P1 Kondisi"/>
      <sheetName val="P2 Kondisi"/>
      <sheetName val="Lamp Bangun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_Kbn"/>
      <sheetName val="ulasan manajer _1_"/>
      <sheetName val="ulasan manajer _2_"/>
      <sheetName val="ulasan manajer _3_"/>
      <sheetName val="Daftar Isi"/>
      <sheetName val="Stat"/>
      <sheetName val="Renprod Ton"/>
      <sheetName val="Renprod TonHa"/>
      <sheetName val="Prod Afd"/>
      <sheetName val="Prod Afd TonHa"/>
      <sheetName val="Sebrn TBS"/>
      <sheetName val="Riw Prod"/>
      <sheetName val="Riw Prod2"/>
      <sheetName val="Rkp Ton"/>
      <sheetName val="Riw BJR"/>
      <sheetName val="Riw Prod Pmn"/>
      <sheetName val="Riw Rot"/>
      <sheetName val="Riw PPK"/>
      <sheetName val="Riw PPK _2_"/>
      <sheetName val="Riw CH"/>
      <sheetName val="Graf Prod"/>
      <sheetName val="Anals Unit TBS"/>
      <sheetName val="Evals Unit TBS"/>
      <sheetName val="Anals RunAcc"/>
      <sheetName val="SO"/>
      <sheetName val="KEB_TK"/>
      <sheetName val="KEB_RMH"/>
      <sheetName val="Kel Kap"/>
      <sheetName val="Rkp Kapital"/>
      <sheetName val="Kap Rinci"/>
      <sheetName val="Kapital 1"/>
      <sheetName val="Kapital 2"/>
      <sheetName val="Kapital 3"/>
      <sheetName val="Kapital 4"/>
      <sheetName val="Kapital 5"/>
      <sheetName val="PrevMain"/>
      <sheetName val="peta tahun tanam"/>
      <sheetName val="peta kondisi awal"/>
      <sheetName val="Inti TT"/>
      <sheetName val="P1 TT"/>
      <sheetName val="P2 TT"/>
      <sheetName val="Inti Kondisi"/>
      <sheetName val="P1 Kondisi"/>
      <sheetName val="P2 Kondisi"/>
      <sheetName val="Lamp Bangun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 SKUH"/>
      <sheetName val="Rata2 Upah SKUB"/>
      <sheetName val="Upah SKUB"/>
      <sheetName val="XXXXXXXXXXXX"/>
      <sheetName val="CALE"/>
      <sheetName val="GOL"/>
      <sheetName val="UPAH STAF"/>
      <sheetName val="1-SKUH"/>
      <sheetName val="1-SKUB"/>
      <sheetName val="1-KB"/>
      <sheetName val="1-TRK"/>
      <sheetName val="1-AFD"/>
      <sheetName val="2-SKUH"/>
      <sheetName val="2-SKUB"/>
      <sheetName val="2-KB"/>
      <sheetName val="2-TRK"/>
      <sheetName val="2-AFD"/>
      <sheetName val="RUN-RTE1"/>
      <sheetName val="EX-1"/>
      <sheetName val="ALK1"/>
      <sheetName val="R-RTE2"/>
      <sheetName val="EX-2"/>
      <sheetName val="ALK2"/>
      <sheetName val="MDR1"/>
      <sheetName val="MDR2"/>
      <sheetName val="GRFK BJR_TT_00"/>
      <sheetName val="GRFK BJR_TT_01"/>
      <sheetName val="GRFK BJR_TT_02"/>
      <sheetName val="GRFK BJR_TT_03"/>
      <sheetName val="GRFK BJR_TT_04"/>
      <sheetName val="GRFK BJR_SBB_00"/>
      <sheetName val="GRFK BJR_SBB_01"/>
      <sheetName val="GRFK BJR_SBB_02"/>
      <sheetName val="GRFK BJR_TGS_01"/>
      <sheetName val="GRFK BJR_TGS_02"/>
      <sheetName val="GRFK BJR_TGS_03"/>
      <sheetName val="GRFK BJR_SK1_01"/>
      <sheetName val="GRFK BJR_SKB_03"/>
      <sheetName val="GRFK BJR_SKC_03"/>
      <sheetName val="GRFK BJR_MTL_02"/>
      <sheetName val="GRFK BJR_SBH_02"/>
      <sheetName val="GRFK BJR_SBH_03"/>
      <sheetName val="GRFK BJR_TNB_04"/>
      <sheetName val="GRFK BJR_SBU_04"/>
      <sheetName val="tonper Ha_TT 2000"/>
      <sheetName val="DATA _TM _2_"/>
      <sheetName val="DATA TAHUN TANAM"/>
      <sheetName val="Pk prod"/>
      <sheetName val="INPUT-12"/>
      <sheetName val="Curah hujan"/>
      <sheetName val="MGR-12"/>
      <sheetName val="P-12"/>
      <sheetName val="data-hujan"/>
      <sheetName val="Upah_SKUH"/>
      <sheetName val="Rata2_Upah_SKUB"/>
      <sheetName val="Upah_SKUB"/>
      <sheetName val="UPAH_STAF"/>
      <sheetName val="Curah_hujan"/>
      <sheetName val="Upah_SKUH1"/>
      <sheetName val="Rata2_Upah_SKUB1"/>
      <sheetName val="Upah_SKUB1"/>
      <sheetName val="UPAH_STAF1"/>
      <sheetName val="Curah_hujan1"/>
      <sheetName val="Sheet3"/>
      <sheetName val="Sheet2"/>
      <sheetName val="Mgr_02"/>
      <sheetName val="BPE"/>
      <sheetName val="SPE"/>
      <sheetName val="LPE"/>
      <sheetName val="RJE"/>
      <sheetName val="KRE"/>
      <sheetName val="MJE"/>
      <sheetName val="SJE"/>
      <sheetName val="Upah_SKUH2"/>
      <sheetName val="Rata2_Upah_SKUB2"/>
      <sheetName val="Upah_SKUB2"/>
      <sheetName val="UPAH_STAF2"/>
      <sheetName val="Curah_hujan2"/>
      <sheetName val="BJR-JJ"/>
      <sheetName val="Sources"/>
      <sheetName val="12"/>
      <sheetName val="Permanent info"/>
      <sheetName val="Marshal"/>
      <sheetName val="GeneralInfo"/>
      <sheetName val="DAT_1"/>
      <sheetName val="Permanent_info"/>
      <sheetName val="Dumtk"/>
      <sheetName val="Upah_SKUH3"/>
      <sheetName val="Rata2_Upah_SKUB3"/>
      <sheetName val="Upah_SKUB3"/>
      <sheetName val="UPAH_STAF3"/>
      <sheetName val="Curah_hujan3"/>
      <sheetName val="Permanent_info1"/>
      <sheetName val="Upah_SKUH4"/>
      <sheetName val="Rata2_Upah_SKUB4"/>
      <sheetName val="Upah_SKUB4"/>
      <sheetName val="UPAH_STAF4"/>
      <sheetName val="Curah_hujan4"/>
      <sheetName val="Permanent_info2"/>
      <sheetName val="Upah_SKUH6"/>
      <sheetName val="Rata2_Upah_SKUB6"/>
      <sheetName val="Upah_SKUB6"/>
      <sheetName val="UPAH_STAF6"/>
      <sheetName val="Curah_hujan6"/>
      <sheetName val="Permanent_info4"/>
      <sheetName val="Upah_SKUH5"/>
      <sheetName val="Rata2_Upah_SKUB5"/>
      <sheetName val="Upah_SKUB5"/>
      <sheetName val="UPAH_STAF5"/>
      <sheetName val="Curah_hujan5"/>
      <sheetName val="Permanent_info3"/>
      <sheetName val="Upah_SKUH7"/>
      <sheetName val="Rata2_Upah_SKUB7"/>
      <sheetName val="Upah_SKUB7"/>
      <sheetName val="UPAH_STAF7"/>
      <sheetName val="Curah_hujan7"/>
      <sheetName val="Permanent_info5"/>
      <sheetName val="Upah_SKUH9"/>
      <sheetName val="Rata2_Upah_SKUB9"/>
      <sheetName val="Upah_SKUB9"/>
      <sheetName val="UPAH_STAF9"/>
      <sheetName val="Curah_hujan9"/>
      <sheetName val="Permanent_info7"/>
      <sheetName val="Upah_SKUH8"/>
      <sheetName val="Rata2_Upah_SKUB8"/>
      <sheetName val="Upah_SKUB8"/>
      <sheetName val="UPAH_STAF8"/>
      <sheetName val="Curah_hujan8"/>
      <sheetName val="Permanent_info6"/>
      <sheetName val="Upah_SKUH10"/>
      <sheetName val="Rata2_Upah_SKUB10"/>
      <sheetName val="Upah_SKUB10"/>
      <sheetName val="UPAH_STAF10"/>
      <sheetName val="Curah_hujan10"/>
      <sheetName val="Permanent_info8"/>
      <sheetName val="Upah_SKUH12"/>
      <sheetName val="Rata2_Upah_SKUB12"/>
      <sheetName val="Upah_SKUB12"/>
      <sheetName val="UPAH_STAF12"/>
      <sheetName val="Curah_hujan12"/>
      <sheetName val="Permanent_info10"/>
      <sheetName val="Upah_SKUH11"/>
      <sheetName val="Rata2_Upah_SKUB11"/>
      <sheetName val="Upah_SKUB11"/>
      <sheetName val="UPAH_STAF11"/>
      <sheetName val="Curah_hujan11"/>
      <sheetName val="Permanent_info9"/>
      <sheetName val="III.9"/>
      <sheetName val="XXXXXXXXX"/>
      <sheetName val="Hal-12 "/>
      <sheetName val="Hal-13"/>
      <sheetName val="Hal-14 "/>
      <sheetName val="Hal 14a "/>
      <sheetName val="14 b "/>
      <sheetName val="BUdget Kg TBS"/>
      <sheetName val="BUdget Premi"/>
      <sheetName val="Hal-15"/>
      <sheetName val="Hal-16"/>
      <sheetName val="Hal-16a"/>
      <sheetName val="Hal-17 "/>
      <sheetName val="Hal-17a "/>
      <sheetName val="Hal-17b "/>
      <sheetName val="Hal-17c "/>
      <sheetName val="ppk TM"/>
      <sheetName val="org TM"/>
      <sheetName val="ppk TBM "/>
      <sheetName val="org TBM "/>
      <sheetName val="RkpTBM I "/>
      <sheetName val="RkpTBM  (2)"/>
      <sheetName val="(TBM)"/>
      <sheetName val="Pemel(actual)"/>
      <sheetName val="Pemel (Kondisi)"/>
      <sheetName val="Hal-18"/>
      <sheetName val="Upah_SKUH13"/>
      <sheetName val="Rata2_Upah_SKUB13"/>
      <sheetName val="Upah_SKUB13"/>
      <sheetName val="UPAH_STAF13"/>
      <sheetName val="Curah_hujan13"/>
      <sheetName val="Permanent_info11"/>
      <sheetName val="Hal-12_"/>
      <sheetName val="Hal-14_"/>
      <sheetName val="Hal_14a_"/>
      <sheetName val="14_b_"/>
      <sheetName val="BUdget_Kg_TBS"/>
      <sheetName val="BUdget_Premi"/>
      <sheetName val="Hal-17_"/>
      <sheetName val="Hal-17a_"/>
      <sheetName val="Hal-17b_"/>
      <sheetName val="Hal-17c_"/>
      <sheetName val="ppk_TM"/>
      <sheetName val="org_TM"/>
      <sheetName val="ppk_TBM_"/>
      <sheetName val="org_TBM_"/>
      <sheetName val="RkpTBM_I_"/>
      <sheetName val="RkpTBM__(2)"/>
      <sheetName val="Pemel_(Kondisi)"/>
      <sheetName val="III_9"/>
      <sheetName val="Populasi"/>
      <sheetName val="2007"/>
      <sheetName val=" 45KVA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-hujan"/>
      <sheetName val="data_hujan"/>
      <sheetName val="GRFK BJR_TT_02"/>
      <sheetName val="GRFK BJR_TT_00"/>
      <sheetName val="GRFK BJR_TT_01"/>
      <sheetName val="GRFK BJR_TT_03"/>
      <sheetName val="GRFK BJR_TT_04"/>
      <sheetName val="GRFK BJR_SBB_00"/>
      <sheetName val="GRFK BJR_SBB_01"/>
      <sheetName val="GRFK BJR_SBB_02"/>
      <sheetName val="GRFK BJR_TGS_01"/>
      <sheetName val="GRFK BJR_TGS_02"/>
      <sheetName val="GRFK BJR_TGS_03"/>
      <sheetName val="GRFK BJR_SK1_01"/>
      <sheetName val="GRFK BJR_SKB_03"/>
      <sheetName val="GRFK BJR_SKC_03"/>
      <sheetName val="GRFK BJR_MTL_02"/>
      <sheetName val="GRFK BJR_SBH_02"/>
      <sheetName val="GRFK BJR_SBH_03"/>
      <sheetName val="GRFK BJR_TNB_04"/>
      <sheetName val="GRFK BJR_SBU_04"/>
      <sheetName val="tonper Ha_TT 2000"/>
      <sheetName val="DATA _TM _2_"/>
      <sheetName val="DATA TAHUN TANAM"/>
      <sheetName val="XXXXXXXXXXXX"/>
      <sheetName val="Master"/>
      <sheetName val="Index"/>
      <sheetName val="BS-PL Indo 2006"/>
      <sheetName val="Kode Barang"/>
      <sheetName val="MUTU BUAH"/>
      <sheetName val="RPT"/>
      <sheetName val="MGR-12"/>
      <sheetName val="2002"/>
      <sheetName val="Upah SKUB"/>
      <sheetName val="36"/>
      <sheetName val="General"/>
      <sheetName val="Capex Sum"/>
      <sheetName val="AAL"/>
      <sheetName val="IIS"/>
      <sheetName val="AARJ"/>
      <sheetName val="BJR-JJ"/>
      <sheetName val="grafik-2000"/>
      <sheetName val="grafik-99"/>
      <sheetName val="grafik-98"/>
      <sheetName val="grafik-97"/>
      <sheetName val="NK Oct'11"/>
      <sheetName val="MUTU_BUAH"/>
      <sheetName val="NK_Oct'11"/>
      <sheetName val="Bahasa"/>
      <sheetName val="Pk prod"/>
      <sheetName val="MrTong"/>
      <sheetName val="1"/>
      <sheetName val="Hal-12 "/>
      <sheetName val="MUTU_BUAH1"/>
      <sheetName val="NK_Oct'111"/>
      <sheetName val="Pk_prod"/>
      <sheetName val="Hal-12_"/>
      <sheetName val="BA"/>
      <sheetName val="TBSv"/>
      <sheetName val="INDIRECT DETAIL"/>
      <sheetName val="DIRECT COST"/>
      <sheetName val="Analisa"/>
      <sheetName val="MASTER PJCM"/>
      <sheetName val="MASTER MB"/>
      <sheetName val="UMUR KOMPLEK PJCM"/>
      <sheetName val="UMUR KOMPLEK IU MB"/>
      <sheetName val="IU PJCM"/>
      <sheetName val="IU MB"/>
      <sheetName val="DAFTAR NAMA KOMPLEK"/>
      <sheetName val="Master Bahan SAP"/>
      <sheetName val="Nomenclature CF-Agro"/>
      <sheetName val="Budget"/>
      <sheetName val="97EST120-ok"/>
      <sheetName val="12"/>
      <sheetName val="PT"/>
      <sheetName val="Dkg-16"/>
      <sheetName val="CH"/>
      <sheetName val="keb-bbm"/>
      <sheetName val="Sheet1"/>
      <sheetName val="08 Jan 2005"/>
      <sheetName val="15 Jan 2005"/>
      <sheetName val="22 Jan 2005"/>
      <sheetName val="29 Jan "/>
      <sheetName val="05 Jan"/>
      <sheetName val="16 Feb 04"/>
      <sheetName val="23 Feb 04 "/>
      <sheetName val="01 Mar 04"/>
      <sheetName val="08 Mar 04 "/>
      <sheetName val="15 Mar 04"/>
      <sheetName val="22  Mar 04"/>
      <sheetName val="28  Mar 04"/>
      <sheetName val="03 April 04 "/>
      <sheetName val="10 April 04 "/>
      <sheetName val="17 April 04  "/>
      <sheetName val="17 April 04 edit"/>
      <sheetName val="24 April 04 "/>
      <sheetName val="24 April 04 edit"/>
      <sheetName val="01 Mei 04"/>
      <sheetName val="08 Mei 04"/>
      <sheetName val="15 Mei 04"/>
      <sheetName val="22 Mei 04 "/>
      <sheetName val="29 Mei 04 "/>
      <sheetName val="05 Juni 04"/>
      <sheetName val="12 Juni 04 "/>
      <sheetName val="19 Juni 04  "/>
      <sheetName val="26 Juni 04 "/>
      <sheetName val=" 30 Juni 04 "/>
      <sheetName val=" 03 Juli 04  "/>
      <sheetName val=" 10 Juli 04   "/>
      <sheetName val=" 17 Juli 04 "/>
      <sheetName val="10 Juli 04 Penyesuaian"/>
      <sheetName val="17 Juli 04 Penyesuaian"/>
      <sheetName val=" 24 Juli 04    "/>
      <sheetName val=" 31 Juli 04 "/>
      <sheetName val="07 Agustus 04"/>
      <sheetName val="14 Agustus 04 "/>
      <sheetName val="22 Agustus 04 "/>
      <sheetName val="28 Agustus 04  "/>
      <sheetName val="Progres"/>
      <sheetName val="DAT_1"/>
      <sheetName val="April"/>
      <sheetName val="TBM"/>
      <sheetName val="K.025CPO-09"/>
      <sheetName val="WP "/>
      <sheetName val="K001-PK-09"/>
      <sheetName val="K.002CPO"/>
      <sheetName val="K.026CPO08"/>
      <sheetName val="Dumtk"/>
      <sheetName val="08_Jan_2005"/>
      <sheetName val="15_Jan_2005"/>
      <sheetName val="22_Jan_2005"/>
      <sheetName val="29_Jan_"/>
      <sheetName val="05_Jan"/>
      <sheetName val="16_Feb_04"/>
      <sheetName val="23_Feb_04_"/>
      <sheetName val="01_Mar_04"/>
      <sheetName val="08_Mar_04_"/>
      <sheetName val="15_Mar_04"/>
      <sheetName val="22__Mar_04"/>
      <sheetName val="28__Mar_04"/>
      <sheetName val="03_April_04_"/>
      <sheetName val="10_April_04_"/>
      <sheetName val="17_April_04__"/>
      <sheetName val="17_April_04_edit"/>
      <sheetName val="24_April_04_"/>
      <sheetName val="24_April_04_edit"/>
      <sheetName val="01_Mei_04"/>
      <sheetName val="08_Mei_04"/>
      <sheetName val="15_Mei_04"/>
      <sheetName val="22_Mei_04_"/>
      <sheetName val="29_Mei_04_"/>
      <sheetName val="05_Juni_04"/>
      <sheetName val="12_Juni_04_"/>
      <sheetName val="19_Juni_04__"/>
      <sheetName val="26_Juni_04_"/>
      <sheetName val="_30_Juni_04_"/>
      <sheetName val="_03_Juli_04__"/>
      <sheetName val="_10_Juli_04___"/>
      <sheetName val="_17_Juli_04_"/>
      <sheetName val="10_Juli_04_Penyesuaian"/>
      <sheetName val="17_Juli_04_Penyesuaian"/>
      <sheetName val="_24_Juli_04____"/>
      <sheetName val="_31_Juli_04_"/>
      <sheetName val="07_Agustus_04"/>
      <sheetName val="14_Agustus_04_"/>
      <sheetName val="22_Agustus_04_"/>
      <sheetName val="28_Agustus_04__"/>
      <sheetName val="K_025CPO-09"/>
      <sheetName val="WP_"/>
      <sheetName val="K_002CPO"/>
      <sheetName val="K_026CPO08"/>
      <sheetName val="97EST021"/>
      <sheetName val="Premi Iuran"/>
      <sheetName val="OPR-99"/>
      <sheetName val="JSiar"/>
      <sheetName val="Ex_Rate"/>
      <sheetName val="08_Jan_20051"/>
      <sheetName val="15_Jan_20051"/>
      <sheetName val="22_Jan_20051"/>
      <sheetName val="29_Jan_1"/>
      <sheetName val="05_Jan1"/>
      <sheetName val="16_Feb_041"/>
      <sheetName val="23_Feb_04_1"/>
      <sheetName val="01_Mar_041"/>
      <sheetName val="08_Mar_04_1"/>
      <sheetName val="15_Mar_041"/>
      <sheetName val="22__Mar_041"/>
      <sheetName val="28__Mar_041"/>
      <sheetName val="03_April_04_1"/>
      <sheetName val="10_April_04_1"/>
      <sheetName val="17_April_04__1"/>
      <sheetName val="17_April_04_edit1"/>
      <sheetName val="24_April_04_1"/>
      <sheetName val="24_April_04_edit1"/>
      <sheetName val="01_Mei_041"/>
      <sheetName val="08_Mei_041"/>
      <sheetName val="15_Mei_041"/>
      <sheetName val="22_Mei_04_1"/>
      <sheetName val="29_Mei_04_1"/>
      <sheetName val="05_Juni_041"/>
      <sheetName val="12_Juni_04_1"/>
      <sheetName val="19_Juni_04__1"/>
      <sheetName val="26_Juni_04_1"/>
      <sheetName val="_30_Juni_04_1"/>
      <sheetName val="_03_Juli_04__1"/>
      <sheetName val="_10_Juli_04___1"/>
      <sheetName val="_17_Juli_04_1"/>
      <sheetName val="10_Juli_04_Penyesuaian1"/>
      <sheetName val="17_Juli_04_Penyesuaian1"/>
      <sheetName val="_24_Juli_04____1"/>
      <sheetName val="_31_Juli_04_1"/>
      <sheetName val="07_Agustus_041"/>
      <sheetName val="14_Agustus_04_1"/>
      <sheetName val="22_Agustus_04_1"/>
      <sheetName val="28_Agustus_04__1"/>
      <sheetName val="K_025CPO-091"/>
      <sheetName val="WP_1"/>
      <sheetName val="K_002CPO1"/>
      <sheetName val="K_026CPO081"/>
      <sheetName val="INDIRECT_DETAIL"/>
      <sheetName val="DIRECT_COST"/>
      <sheetName val="KGP Thp I"/>
      <sheetName val="KGP Thp II"/>
      <sheetName val="Book1"/>
      <sheetName val="DETAIL"/>
      <sheetName val="#REF"/>
      <sheetName val="Akomodasi"/>
      <sheetName val="PBG_2"/>
      <sheetName val="#REF!"/>
      <sheetName val="L.BA blok"/>
      <sheetName val="_43_9_1"/>
      <sheetName val="TB"/>
      <sheetName val="kki"/>
      <sheetName val="fin pro centers"/>
      <sheetName val="SUMMARY"/>
      <sheetName val="Valuation"/>
      <sheetName val="JADI"/>
      <sheetName val="DAT-1"/>
      <sheetName val="KK CFP JAKARTA"/>
      <sheetName val="Gaji Non Staff"/>
      <sheetName val="Add-trans"/>
      <sheetName val="S-2"/>
      <sheetName val="Pro-Base"/>
      <sheetName val="S-1"/>
      <sheetName val="Revenue"/>
      <sheetName val="Add-rev"/>
      <sheetName val="Exist"/>
      <sheetName val="Tot"/>
      <sheetName val="Tranponder"/>
      <sheetName val="Asumsi"/>
      <sheetName val="CF Konsol"/>
      <sheetName val="Ulasan"/>
      <sheetName val=" Penjelasan RKB-PDO"/>
      <sheetName val="Rekap  Total"/>
      <sheetName val="SAK"/>
      <sheetName val="BPTL"/>
      <sheetName val="PABRIK (2)"/>
      <sheetName val="BAB-1"/>
      <sheetName val="REKAP EST PROD 13 edt"/>
      <sheetName val="aktual"/>
      <sheetName val="Daftar Harga Barang"/>
      <sheetName val="Pk_prod1"/>
      <sheetName val="08_Jan_20052"/>
      <sheetName val="15_Jan_20052"/>
      <sheetName val="22_Jan_20052"/>
      <sheetName val="29_Jan_2"/>
      <sheetName val="05_Jan2"/>
      <sheetName val="16_Feb_042"/>
      <sheetName val="23_Feb_04_2"/>
      <sheetName val="01_Mar_042"/>
      <sheetName val="08_Mar_04_2"/>
      <sheetName val="15_Mar_042"/>
      <sheetName val="22__Mar_042"/>
      <sheetName val="28__Mar_042"/>
      <sheetName val="03_April_04_2"/>
      <sheetName val="10_April_04_2"/>
      <sheetName val="17_April_04__2"/>
      <sheetName val="17_April_04_edit2"/>
      <sheetName val="24_April_04_2"/>
      <sheetName val="24_April_04_edit2"/>
      <sheetName val="01_Mei_042"/>
      <sheetName val="08_Mei_042"/>
      <sheetName val="15_Mei_042"/>
      <sheetName val="22_Mei_04_2"/>
      <sheetName val="29_Mei_04_2"/>
      <sheetName val="05_Juni_042"/>
      <sheetName val="12_Juni_04_2"/>
      <sheetName val="19_Juni_04__2"/>
      <sheetName val="26_Juni_04_2"/>
      <sheetName val="_30_Juni_04_2"/>
      <sheetName val="_03_Juli_04__2"/>
      <sheetName val="_10_Juli_04___2"/>
      <sheetName val="_17_Juli_04_2"/>
      <sheetName val="10_Juli_04_Penyesuaian2"/>
      <sheetName val="17_Juli_04_Penyesuaian2"/>
      <sheetName val="_24_Juli_04____2"/>
      <sheetName val="_31_Juli_04_2"/>
      <sheetName val="07_Agustus_042"/>
      <sheetName val="14_Agustus_04_2"/>
      <sheetName val="22_Agustus_04_2"/>
      <sheetName val="28_Agustus_04__2"/>
      <sheetName val="K_025CPO-092"/>
      <sheetName val="WP_2"/>
      <sheetName val="K_002CPO2"/>
      <sheetName val="K_026CPO082"/>
      <sheetName val="INDIRECT_DETAIL1"/>
      <sheetName val="DIRECT_COST1"/>
      <sheetName val="Premi_Iuran"/>
      <sheetName val="KGP_Thp_I"/>
      <sheetName val="KGP_Thp_II"/>
      <sheetName val="L_BA_blok"/>
      <sheetName val="fin_pro_centers"/>
      <sheetName val="KK_CFP_JAKARTA"/>
      <sheetName val="Gaji_Non_Staff"/>
      <sheetName val="CF_Konsol"/>
      <sheetName val="_Penjelasan_RKB-PDO"/>
      <sheetName val="Rekap__Total"/>
      <sheetName val="PABRIK_(2)"/>
      <sheetName val="REKAP_EST_PROD_13_edt"/>
      <sheetName val="Upah_SKUB"/>
      <sheetName val="Daftar_Harga_Barang"/>
      <sheetName val="87013611"/>
      <sheetName val="KURS"/>
      <sheetName val="Actvty"/>
      <sheetName val="Rekap"/>
      <sheetName val="INDRCT DTL"/>
      <sheetName val="F"/>
      <sheetName val="WIL 1"/>
      <sheetName val="AKTIVA"/>
      <sheetName val="MM.PAGE-2.X"/>
      <sheetName val="HAL10"/>
      <sheetName val="Cover"/>
      <sheetName val="Daftar isi"/>
      <sheetName val="Libur"/>
      <sheetName val="MPP"/>
      <sheetName val="Lbr Sched."/>
      <sheetName val="SKU BUL."/>
      <sheetName val="SKU-HAR."/>
      <sheetName val="SKU KHT"/>
      <sheetName val="LBR SLR DTL"/>
      <sheetName val="LEMBUR 2007"/>
      <sheetName val="Prod.smry"/>
      <sheetName val="Rekap Biaya"/>
      <sheetName val="Expens&amp;Rnue (2)"/>
      <sheetName val="DIRECT SMR"/>
      <sheetName val="DIRECT DETAIL"/>
      <sheetName val="INDIRECT SMR"/>
      <sheetName val="INDIRECT COST"/>
      <sheetName val="SE SMR"/>
      <sheetName val="SE COST"/>
      <sheetName val="SE Detail"/>
      <sheetName val="CAPITAL2007"/>
      <sheetName val="TRANS PWR "/>
      <sheetName val="TRANS VEHICL"/>
      <sheetName val="TRANS WATER"/>
      <sheetName val="TRANS WORKM&amp;R"/>
      <sheetName val="TRANS RMH"/>
      <sheetName val="TRANS ALT BERAT"/>
      <sheetName val="Global"/>
      <sheetName val="ocean voyage"/>
      <sheetName val="PO"/>
      <sheetName val="FISIK RAB 2000"/>
      <sheetName val="Karung"/>
      <sheetName val="Data"/>
      <sheetName val="list"/>
      <sheetName val="CPO 16-9-TID "/>
      <sheetName val="Bantu"/>
      <sheetName val="Sheet2"/>
      <sheetName val="Sheet3"/>
      <sheetName val="Kualitas TBS"/>
      <sheetName val="Kesegaran TBS"/>
      <sheetName val="GeneralInfo"/>
      <sheetName val="3"/>
      <sheetName val="PK"/>
      <sheetName val="12-06-ins"/>
      <sheetName val="10  Summary all"/>
      <sheetName val="14"/>
      <sheetName val="20"/>
      <sheetName val="26"/>
      <sheetName val="28"/>
      <sheetName val="Sheet8"/>
      <sheetName val="Perhitungan"/>
      <sheetName val="8.Upah rata2"/>
      <sheetName val="LEMBUR 2006"/>
      <sheetName val="Prod. Stats"/>
      <sheetName val="Capital"/>
      <sheetName val="mst_akun"/>
      <sheetName val="Rin1"/>
      <sheetName val="MGR_12"/>
      <sheetName val="Penjelasan SCK"/>
      <sheetName val="HET PBG3"/>
      <sheetName val="A"/>
      <sheetName val="Trip"/>
      <sheetName val="HARVEST02"/>
      <sheetName val="Sat. Pek."/>
      <sheetName val="RBSB"/>
      <sheetName val="List Rayon"/>
      <sheetName val="List Department"/>
      <sheetName val="Palm Prod"/>
      <sheetName val="MILL-EXP"/>
      <sheetName val="Data Kar"/>
      <sheetName val="Data Rekon"/>
      <sheetName val="renc. kerja LC"/>
      <sheetName val="SASARAN "/>
      <sheetName val="LOCAL GOVT TAX"/>
      <sheetName val="Sheet1 (3)"/>
      <sheetName val="1-AFD"/>
      <sheetName val="MANU"/>
      <sheetName val="BY TM 99 "/>
      <sheetName val="PL"/>
      <sheetName val=" 45KVA-1"/>
      <sheetName val="DATA LTW"/>
      <sheetName val="Sheet10"/>
      <sheetName val="Harga"/>
      <sheetName val="0508"/>
      <sheetName val="BELI"/>
      <sheetName val="N-ASII"/>
      <sheetName val="ANTMN"/>
      <sheetName val="BBCA"/>
      <sheetName val="BBRI-J"/>
      <sheetName val="BBRI-N"/>
      <sheetName val="BMRI"/>
      <sheetName val="N-CTRS"/>
      <sheetName val="IDSR"/>
      <sheetName val="INTP"/>
      <sheetName val="ISAT-N"/>
      <sheetName val="N-KLBF"/>
      <sheetName val="PTBA"/>
      <sheetName val="N-TLKM"/>
      <sheetName val="N-UNTR"/>
      <sheetName val="N-UNVR"/>
      <sheetName val="DATA_KARY"/>
      <sheetName val="TABEL"/>
      <sheetName val="TbGaji"/>
      <sheetName val="Local travel"/>
      <sheetName val="BHL"/>
      <sheetName val="grafi聫-98"/>
      <sheetName val="COA (3)"/>
      <sheetName val="AL08"/>
      <sheetName val="BB08"/>
      <sheetName val="PP08"/>
      <sheetName val="TG08"/>
      <sheetName val="LB08"/>
      <sheetName val="MP08"/>
      <sheetName val="NL08"/>
      <sheetName val="REKOP08"/>
      <sheetName val="SG08"/>
      <sheetName val="SL08"/>
      <sheetName val="SY08"/>
      <sheetName val="cogs"/>
      <sheetName val="Fomat  1"/>
      <sheetName val="04NPE025"/>
      <sheetName val="04NPE008F"/>
      <sheetName val="04NPEII"/>
      <sheetName val="Form"/>
      <sheetName val="WRKP TM"/>
      <sheetName val="Production S2"/>
      <sheetName val="Production S3"/>
      <sheetName val="97EST120_ok"/>
      <sheetName val="HK Effektif &amp; Rate Upah"/>
      <sheetName val="Harga 2011"/>
      <sheetName val="Kend"/>
      <sheetName val="TRAIL"/>
      <sheetName val="SOURCE"/>
      <sheetName val="Trading Statement"/>
      <sheetName val="0220"/>
      <sheetName val="Cash-print"/>
      <sheetName val="Tanaman"/>
      <sheetName val="21s"/>
      <sheetName val="2"/>
      <sheetName val="5"/>
      <sheetName val="6"/>
      <sheetName val="7"/>
      <sheetName val="9"/>
      <sheetName val="11"/>
      <sheetName val="10"/>
      <sheetName val="15"/>
      <sheetName val="22"/>
      <sheetName val="23"/>
      <sheetName val="24b"/>
      <sheetName val="25"/>
      <sheetName val="27"/>
      <sheetName val="29"/>
      <sheetName val="30"/>
      <sheetName val="31"/>
      <sheetName val="32"/>
      <sheetName val="33"/>
      <sheetName val="4"/>
      <sheetName val="Biaya-Inv"/>
      <sheetName val="As"/>
      <sheetName val="kud"/>
      <sheetName val="JL_BEL"/>
      <sheetName val="DATA_JUALAN"/>
      <sheetName val="PPH1298S"/>
      <sheetName val="KODE TRANS"/>
      <sheetName val="Kas Bank"/>
      <sheetName val="may'03"/>
      <sheetName val="Rinci-Biaya"/>
      <sheetName val="Rinci-Pendapatan"/>
      <sheetName val="LR"/>
      <sheetName val="BTL"/>
      <sheetName val="CHART SAMPLES RECEIVED"/>
      <sheetName val="TBM 3"/>
      <sheetName val="TBM 0"/>
      <sheetName val="BJ &amp; Koreksi"/>
      <sheetName val="III"/>
      <sheetName val="PAGE 1.X"/>
      <sheetName val="PREMI"/>
      <sheetName val="Rumus"/>
      <sheetName val="Div01"/>
      <sheetName val="Div02"/>
      <sheetName val="Div03"/>
      <sheetName val="New Position"/>
      <sheetName val="prod"/>
      <sheetName val="MUTU_BUAH2"/>
      <sheetName val="NK_Oct'112"/>
      <sheetName val="Pk_prod2"/>
      <sheetName val="Hal-12_1"/>
      <sheetName val="08_Jan_20053"/>
      <sheetName val="15_Jan_20053"/>
      <sheetName val="22_Jan_20053"/>
      <sheetName val="29_Jan_3"/>
      <sheetName val="05_Jan3"/>
      <sheetName val="16_Feb_043"/>
      <sheetName val="23_Feb_04_3"/>
      <sheetName val="01_Mar_043"/>
      <sheetName val="08_Mar_04_3"/>
      <sheetName val="15_Mar_043"/>
      <sheetName val="22__Mar_043"/>
      <sheetName val="28__Mar_043"/>
      <sheetName val="03_April_04_3"/>
      <sheetName val="10_April_04_3"/>
      <sheetName val="17_April_04__3"/>
      <sheetName val="17_April_04_edit3"/>
      <sheetName val="24_April_04_3"/>
      <sheetName val="24_April_04_edit3"/>
      <sheetName val="01_Mei_043"/>
      <sheetName val="08_Mei_043"/>
      <sheetName val="15_Mei_043"/>
      <sheetName val="22_Mei_04_3"/>
      <sheetName val="29_Mei_04_3"/>
      <sheetName val="05_Juni_043"/>
      <sheetName val="12_Juni_04_3"/>
      <sheetName val="19_Juni_04__3"/>
      <sheetName val="26_Juni_04_3"/>
      <sheetName val="_30_Juni_04_3"/>
      <sheetName val="_03_Juli_04__3"/>
      <sheetName val="_10_Juli_04___3"/>
      <sheetName val="_17_Juli_04_3"/>
      <sheetName val="10_Juli_04_Penyesuaian3"/>
      <sheetName val="17_Juli_04_Penyesuaian3"/>
      <sheetName val="_24_Juli_04____3"/>
      <sheetName val="_31_Juli_04_3"/>
      <sheetName val="07_Agustus_043"/>
      <sheetName val="14_Agustus_04_3"/>
      <sheetName val="22_Agustus_04_3"/>
      <sheetName val="28_Agustus_04__3"/>
      <sheetName val="K_025CPO-093"/>
      <sheetName val="WP_3"/>
      <sheetName val="K_002CPO3"/>
      <sheetName val="K_026CPO083"/>
      <sheetName val="INDIRECT_DETAIL2"/>
      <sheetName val="DIRECT_COST2"/>
      <sheetName val="Premi_Iuran1"/>
      <sheetName val="KGP_Thp_I1"/>
      <sheetName val="KGP_Thp_II1"/>
      <sheetName val="L_BA_blok1"/>
      <sheetName val="fin_pro_centers1"/>
      <sheetName val="KK_CFP_JAKARTA1"/>
      <sheetName val="Gaji_Non_Staff1"/>
      <sheetName val="CF_Konsol1"/>
      <sheetName val="_Penjelasan_RKB-PDO1"/>
      <sheetName val="Rekap__Total1"/>
      <sheetName val="PABRIK_(2)1"/>
      <sheetName val="REKAP_EST_PROD_13_edt1"/>
      <sheetName val="Upah_SKUB1"/>
      <sheetName val="Daftar_Harga_Barang1"/>
      <sheetName val="Capex_Sum"/>
      <sheetName val="INDRCT_DTL"/>
      <sheetName val="WIL_1"/>
      <sheetName val="MM_PAGE-2_X"/>
      <sheetName val="Daftar_isi"/>
      <sheetName val="Lbr_Sched_"/>
      <sheetName val="SKU_BUL_"/>
      <sheetName val="SKU-HAR_"/>
      <sheetName val="SKU_KHT"/>
      <sheetName val="LBR_SLR_DTL"/>
      <sheetName val="LEMBUR_2007"/>
      <sheetName val="Prod_smry"/>
      <sheetName val="Rekap_Biaya"/>
      <sheetName val="Expens&amp;Rnue_(2)"/>
      <sheetName val="DIRECT_SMR"/>
      <sheetName val="DIRECT_DETAIL"/>
      <sheetName val="INDIRECT_SMR"/>
      <sheetName val="INDIRECT_COST"/>
      <sheetName val="SE_SMR"/>
      <sheetName val="SE_COST"/>
      <sheetName val="SE_Detail"/>
      <sheetName val="TRANS_PWR_"/>
      <sheetName val="TRANS_VEHICL"/>
      <sheetName val="TRANS_WATER"/>
      <sheetName val="TRANS_WORKM&amp;R"/>
      <sheetName val="TRANS_RMH"/>
      <sheetName val="TRANS_ALT_BERAT"/>
      <sheetName val="ocean_voyage"/>
      <sheetName val="FISIK_RAB_2000"/>
      <sheetName val="CPO_16-9-TID_"/>
      <sheetName val="Kualitas_TBS"/>
      <sheetName val="Kesegaran_TBS"/>
      <sheetName val="10__Summary_all"/>
      <sheetName val="8_Upah_rata2"/>
      <sheetName val="LEMBUR_2006"/>
      <sheetName val="Prod__Stats"/>
      <sheetName val="Penjelasan_SCK"/>
      <sheetName val="HET_PBG3"/>
      <sheetName val="NEW POSITION BD"/>
      <sheetName val="Jenis kendaraan"/>
      <sheetName val="JK"/>
      <sheetName val="UOM-primary"/>
      <sheetName val="Sheet6"/>
      <sheetName val="transport method"/>
      <sheetName val="1999"/>
      <sheetName val="KOMP"/>
      <sheetName val="Kode_Barang"/>
      <sheetName val="MASTER_PJCM"/>
      <sheetName val="MASTER_MB"/>
      <sheetName val="UMUR_KOMPLEK_PJCM"/>
      <sheetName val="UMUR_KOMPLEK_IU_MB"/>
      <sheetName val="IU_PJCM"/>
      <sheetName val="IU_MB"/>
      <sheetName val="DAFTAR_NAMA_KOMPLEK"/>
      <sheetName val="Master_Bahan_SAP"/>
      <sheetName val="BS-PL_Indo_2006"/>
      <sheetName val="Nomenclature_CF-Agro"/>
      <sheetName val="List_Rayon"/>
      <sheetName val="List_Department"/>
      <sheetName val="Palm_Prod"/>
      <sheetName val="Data_Kar"/>
      <sheetName val="Data_Rekon"/>
      <sheetName val="renc__kerja_LC"/>
      <sheetName val="SASARAN_"/>
      <sheetName val="LOCAL_GOVT_TAX"/>
      <sheetName val="Sheet1_(3)"/>
      <sheetName val="BY_TM_99_"/>
      <sheetName val="_45KVA-1"/>
      <sheetName val="DATA_LTW"/>
      <sheetName val="Sat__Pek_"/>
      <sheetName val="Local_travel"/>
      <sheetName val="Capex_Sum1"/>
      <sheetName val="MUTU_BUAH3"/>
      <sheetName val="Upah_SKUB2"/>
      <sheetName val="INDIRECT_DETAIL3"/>
      <sheetName val="DIRECT_COST3"/>
      <sheetName val="NK_Oct'113"/>
      <sheetName val="Pk_prod3"/>
      <sheetName val="Hal-12_2"/>
      <sheetName val="08_Jan_20054"/>
      <sheetName val="15_Jan_20054"/>
      <sheetName val="22_Jan_20054"/>
      <sheetName val="29_Jan_4"/>
      <sheetName val="05_Jan4"/>
      <sheetName val="16_Feb_044"/>
      <sheetName val="23_Feb_04_4"/>
      <sheetName val="01_Mar_044"/>
      <sheetName val="08_Mar_04_4"/>
      <sheetName val="15_Mar_044"/>
      <sheetName val="22__Mar_044"/>
      <sheetName val="28__Mar_044"/>
      <sheetName val="03_April_04_4"/>
      <sheetName val="10_April_04_4"/>
      <sheetName val="17_April_04__4"/>
      <sheetName val="17_April_04_edit4"/>
      <sheetName val="24_April_04_4"/>
      <sheetName val="24_April_04_edit4"/>
      <sheetName val="01_Mei_044"/>
      <sheetName val="08_Mei_044"/>
      <sheetName val="15_Mei_044"/>
      <sheetName val="22_Mei_04_4"/>
      <sheetName val="29_Mei_04_4"/>
      <sheetName val="05_Juni_044"/>
      <sheetName val="12_Juni_04_4"/>
      <sheetName val="19_Juni_04__4"/>
      <sheetName val="26_Juni_04_4"/>
      <sheetName val="_30_Juni_04_4"/>
      <sheetName val="_03_Juli_04__4"/>
      <sheetName val="_10_Juli_04___4"/>
      <sheetName val="_17_Juli_04_4"/>
      <sheetName val="10_Juli_04_Penyesuaian4"/>
      <sheetName val="17_Juli_04_Penyesuaian4"/>
      <sheetName val="_24_Juli_04____4"/>
      <sheetName val="_31_Juli_04_4"/>
      <sheetName val="07_Agustus_044"/>
      <sheetName val="14_Agustus_04_4"/>
      <sheetName val="22_Agustus_04_4"/>
      <sheetName val="28_Agustus_04__4"/>
      <sheetName val="K_025CPO-094"/>
      <sheetName val="WP_4"/>
      <sheetName val="K_002CPO4"/>
      <sheetName val="K_026CPO084"/>
      <sheetName val="Premi_Iuran2"/>
      <sheetName val="KGP_Thp_I2"/>
      <sheetName val="KGP_Thp_II2"/>
      <sheetName val="L_BA_blok2"/>
      <sheetName val="fin_pro_centers2"/>
      <sheetName val="KK_CFP_JAKARTA2"/>
      <sheetName val="Gaji_Non_Staff2"/>
      <sheetName val="CF_Konsol2"/>
      <sheetName val="_Penjelasan_RKB-PDO2"/>
      <sheetName val="Rekap__Total2"/>
      <sheetName val="PABRIK_(2)2"/>
      <sheetName val="REKAP_EST_PROD_13_edt2"/>
      <sheetName val="Daftar_Harga_Barang2"/>
      <sheetName val="INDRCT_DTL1"/>
      <sheetName val="WIL_11"/>
      <sheetName val="MM_PAGE-2_X1"/>
      <sheetName val="Daftar_isi1"/>
      <sheetName val="Lbr_Sched_1"/>
      <sheetName val="SKU_BUL_1"/>
      <sheetName val="SKU-HAR_1"/>
      <sheetName val="SKU_KHT1"/>
      <sheetName val="LBR_SLR_DTL1"/>
      <sheetName val="LEMBUR_20071"/>
      <sheetName val="Prod_smry1"/>
      <sheetName val="Rekap_Biaya1"/>
      <sheetName val="Expens&amp;Rnue_(2)1"/>
      <sheetName val="DIRECT_SMR1"/>
      <sheetName val="DIRECT_DETAIL1"/>
      <sheetName val="INDIRECT_SMR1"/>
      <sheetName val="INDIRECT_COST1"/>
      <sheetName val="SE_SMR1"/>
      <sheetName val="SE_COST1"/>
      <sheetName val="SE_Detail1"/>
      <sheetName val="TRANS_PWR_1"/>
      <sheetName val="TRANS_VEHICL1"/>
      <sheetName val="TRANS_WATER1"/>
      <sheetName val="TRANS_WORKM&amp;R1"/>
      <sheetName val="TRANS_RMH1"/>
      <sheetName val="TRANS_ALT_BERAT1"/>
      <sheetName val="ocean_voyage1"/>
      <sheetName val="FISIK_RAB_20001"/>
      <sheetName val="CPO_16-9-TID_1"/>
      <sheetName val="Kualitas_TBS1"/>
      <sheetName val="Kesegaran_TBS1"/>
      <sheetName val="10__Summary_all1"/>
      <sheetName val="8_Upah_rata21"/>
      <sheetName val="LEMBUR_20061"/>
      <sheetName val="Prod__Stats1"/>
      <sheetName val="Penjelasan_SCK1"/>
      <sheetName val="HET_PBG31"/>
      <sheetName val="COA_(3)"/>
      <sheetName val="Fomat__1"/>
      <sheetName val="WRKP_TM"/>
      <sheetName val="Production_S2"/>
      <sheetName val="Production_S3"/>
      <sheetName val="HK_Effektif_&amp;_Rate_Upah"/>
      <sheetName val="Harga_2011"/>
      <sheetName val="Trading_Statement"/>
      <sheetName val="KODE_TRANS"/>
      <sheetName val="Kas_Bank"/>
      <sheetName val="CHART_SAMPLES_RECEIVED"/>
      <sheetName val="TBM_3"/>
      <sheetName val="TBM_0"/>
      <sheetName val="BJ_&amp;_Koreksi"/>
      <sheetName val="PAGE_1_X"/>
      <sheetName val="New_Position"/>
      <sheetName val="NEW_POSITION_BD"/>
      <sheetName val="Jenis_kendaraan"/>
      <sheetName val="transport_method"/>
      <sheetName val="Kode_Barang1"/>
      <sheetName val="MUTU_BUAH4"/>
      <sheetName val="Upah_SKUB3"/>
      <sheetName val="Capex_Sum2"/>
      <sheetName val="NK_Oct'114"/>
      <sheetName val="Pk_prod4"/>
      <sheetName val="Hal-12_3"/>
      <sheetName val="INDIRECT_DETAIL4"/>
      <sheetName val="DIRECT_COST4"/>
      <sheetName val="MASTER_PJCM1"/>
      <sheetName val="MASTER_MB1"/>
      <sheetName val="UMUR_KOMPLEK_PJCM1"/>
      <sheetName val="UMUR_KOMPLEK_IU_MB1"/>
      <sheetName val="IU_PJCM1"/>
      <sheetName val="IU_MB1"/>
      <sheetName val="DAFTAR_NAMA_KOMPLEK1"/>
      <sheetName val="BS-PL_Indo_20061"/>
      <sheetName val="Master_Bahan_SAP1"/>
      <sheetName val="Nomenclature_CF-Agro1"/>
      <sheetName val="08_Jan_20055"/>
      <sheetName val="15_Jan_20055"/>
      <sheetName val="22_Jan_20055"/>
      <sheetName val="29_Jan_5"/>
      <sheetName val="05_Jan5"/>
      <sheetName val="16_Feb_045"/>
      <sheetName val="23_Feb_04_5"/>
      <sheetName val="01_Mar_045"/>
      <sheetName val="08_Mar_04_5"/>
      <sheetName val="15_Mar_045"/>
      <sheetName val="22__Mar_045"/>
      <sheetName val="28__Mar_045"/>
      <sheetName val="03_April_04_5"/>
      <sheetName val="10_April_04_5"/>
      <sheetName val="17_April_04__5"/>
      <sheetName val="17_April_04_edit5"/>
      <sheetName val="24_April_04_5"/>
      <sheetName val="24_April_04_edit5"/>
      <sheetName val="01_Mei_045"/>
      <sheetName val="08_Mei_045"/>
      <sheetName val="15_Mei_045"/>
      <sheetName val="22_Mei_04_5"/>
      <sheetName val="29_Mei_04_5"/>
      <sheetName val="05_Juni_045"/>
      <sheetName val="12_Juni_04_5"/>
      <sheetName val="19_Juni_04__5"/>
      <sheetName val="26_Juni_04_5"/>
      <sheetName val="_30_Juni_04_5"/>
      <sheetName val="_03_Juli_04__5"/>
      <sheetName val="_10_Juli_04___5"/>
      <sheetName val="_17_Juli_04_5"/>
      <sheetName val="10_Juli_04_Penyesuaian5"/>
      <sheetName val="17_Juli_04_Penyesuaian5"/>
      <sheetName val="_24_Juli_04____5"/>
      <sheetName val="_31_Juli_04_5"/>
      <sheetName val="07_Agustus_045"/>
      <sheetName val="14_Agustus_04_5"/>
      <sheetName val="22_Agustus_04_5"/>
      <sheetName val="28_Agustus_04__5"/>
      <sheetName val="K_025CPO-095"/>
      <sheetName val="WP_5"/>
      <sheetName val="K_002CPO5"/>
      <sheetName val="K_026CPO085"/>
      <sheetName val="Premi_Iuran3"/>
      <sheetName val="KGP_Thp_I3"/>
      <sheetName val="KGP_Thp_II3"/>
      <sheetName val="L_BA_blok3"/>
      <sheetName val="fin_pro_centers3"/>
      <sheetName val="KK_CFP_JAKARTA3"/>
      <sheetName val="Gaji_Non_Staff3"/>
      <sheetName val="CF_Konsol3"/>
      <sheetName val="_Penjelasan_RKB-PDO3"/>
      <sheetName val="Rekap__Total3"/>
      <sheetName val="PABRIK_(2)3"/>
      <sheetName val="REKAP_EST_PROD_13_edt3"/>
      <sheetName val="Daftar_Harga_Barang3"/>
      <sheetName val="INDRCT_DTL2"/>
      <sheetName val="WIL_12"/>
      <sheetName val="MM_PAGE-2_X2"/>
      <sheetName val="Daftar_isi2"/>
      <sheetName val="Lbr_Sched_2"/>
      <sheetName val="SKU_BUL_2"/>
      <sheetName val="SKU-HAR_2"/>
      <sheetName val="SKU_KHT2"/>
      <sheetName val="LBR_SLR_DTL2"/>
      <sheetName val="LEMBUR_20072"/>
      <sheetName val="Prod_smry2"/>
      <sheetName val="Rekap_Biaya2"/>
      <sheetName val="Expens&amp;Rnue_(2)2"/>
      <sheetName val="DIRECT_SMR2"/>
      <sheetName val="DIRECT_DETAIL2"/>
      <sheetName val="INDIRECT_SMR2"/>
      <sheetName val="INDIRECT_COST2"/>
      <sheetName val="SE_SMR2"/>
      <sheetName val="SE_COST2"/>
      <sheetName val="SE_Detail2"/>
      <sheetName val="TRANS_PWR_2"/>
      <sheetName val="TRANS_VEHICL2"/>
      <sheetName val="TRANS_WATER2"/>
      <sheetName val="TRANS_WORKM&amp;R2"/>
      <sheetName val="TRANS_RMH2"/>
      <sheetName val="TRANS_ALT_BERAT2"/>
      <sheetName val="ocean_voyage2"/>
      <sheetName val="FISIK_RAB_20002"/>
      <sheetName val="CPO_16-9-TID_2"/>
      <sheetName val="Kualitas_TBS2"/>
      <sheetName val="Kesegaran_TBS2"/>
      <sheetName val="10__Summary_all2"/>
      <sheetName val="8_Upah_rata22"/>
      <sheetName val="LEMBUR_20062"/>
      <sheetName val="Prod__Stats2"/>
      <sheetName val="Penjelasan_SCK2"/>
      <sheetName val="HET_PBG32"/>
      <sheetName val="Sat__Pek_1"/>
      <sheetName val="List_Rayon1"/>
      <sheetName val="List_Department1"/>
      <sheetName val="Palm_Prod1"/>
      <sheetName val="Data_Kar1"/>
      <sheetName val="Data_Rekon1"/>
      <sheetName val="renc__kerja_LC1"/>
      <sheetName val="SASARAN_1"/>
      <sheetName val="LOCAL_GOVT_TAX1"/>
      <sheetName val="Sheet1_(3)1"/>
      <sheetName val="BY_TM_99_1"/>
      <sheetName val="_45KVA-11"/>
      <sheetName val="DATA_LTW1"/>
      <sheetName val="Local_travel1"/>
      <sheetName val="COA_(3)1"/>
      <sheetName val="Fomat__11"/>
      <sheetName val="WRKP_TM1"/>
      <sheetName val="Production_S21"/>
      <sheetName val="Production_S31"/>
      <sheetName val="HK_Effektif_&amp;_Rate_Upah1"/>
      <sheetName val="Harga_20111"/>
      <sheetName val="Trading_Statement1"/>
      <sheetName val="KODE_TRANS1"/>
      <sheetName val="Kas_Bank1"/>
      <sheetName val="CHART_SAMPLES_RECEIVED1"/>
      <sheetName val="TBM_31"/>
      <sheetName val="TBM_01"/>
      <sheetName val="BJ_&amp;_Koreksi1"/>
      <sheetName val="PAGE_1_X1"/>
      <sheetName val="New_Position1"/>
      <sheetName val="NEW_POSITION_BD1"/>
      <sheetName val="Jenis_kendaraan1"/>
      <sheetName val="transport_method1"/>
      <sheetName val="Harga Spare Part"/>
      <sheetName val="KOMEN"/>
      <sheetName val="ALAT1"/>
      <sheetName val="ALAT"/>
      <sheetName val="ANA-HRG"/>
      <sheetName val="Kap Rinci"/>
      <sheetName val="Transp2"/>
      <sheetName val="Running_Acc"/>
      <sheetName val="MUTU_BUAH5"/>
      <sheetName val="NK_Oct'115"/>
      <sheetName val="Pk_prod5"/>
      <sheetName val="Hal-12_4"/>
      <sheetName val="08_Jan_20056"/>
      <sheetName val="15_Jan_20056"/>
      <sheetName val="22_Jan_20056"/>
      <sheetName val="29_Jan_6"/>
      <sheetName val="05_Jan6"/>
      <sheetName val="16_Feb_046"/>
      <sheetName val="23_Feb_04_6"/>
      <sheetName val="01_Mar_046"/>
      <sheetName val="08_Mar_04_6"/>
      <sheetName val="15_Mar_046"/>
      <sheetName val="22__Mar_046"/>
      <sheetName val="28__Mar_046"/>
      <sheetName val="03_April_04_6"/>
      <sheetName val="10_April_04_6"/>
      <sheetName val="17_April_04__6"/>
      <sheetName val="17_April_04_edit6"/>
      <sheetName val="24_April_04_6"/>
      <sheetName val="24_April_04_edit6"/>
      <sheetName val="01_Mei_046"/>
      <sheetName val="08_Mei_046"/>
      <sheetName val="15_Mei_046"/>
      <sheetName val="22_Mei_04_6"/>
      <sheetName val="29_Mei_04_6"/>
      <sheetName val="05_Juni_046"/>
      <sheetName val="12_Juni_04_6"/>
      <sheetName val="19_Juni_04__6"/>
      <sheetName val="26_Juni_04_6"/>
      <sheetName val="_30_Juni_04_6"/>
      <sheetName val="_03_Juli_04__6"/>
      <sheetName val="_10_Juli_04___6"/>
      <sheetName val="_17_Juli_04_6"/>
      <sheetName val="10_Juli_04_Penyesuaian6"/>
      <sheetName val="17_Juli_04_Penyesuaian6"/>
      <sheetName val="_24_Juli_04____6"/>
      <sheetName val="_31_Juli_04_6"/>
      <sheetName val="07_Agustus_046"/>
      <sheetName val="14_Agustus_04_6"/>
      <sheetName val="22_Agustus_04_6"/>
      <sheetName val="28_Agustus_04__6"/>
      <sheetName val="K_025CPO-096"/>
      <sheetName val="WP_6"/>
      <sheetName val="K_002CPO6"/>
      <sheetName val="K_026CPO086"/>
      <sheetName val="INDIRECT_DETAIL5"/>
      <sheetName val="DIRECT_COST5"/>
      <sheetName val="Premi_Iuran4"/>
      <sheetName val="KGP_Thp_I4"/>
      <sheetName val="KGP_Thp_II4"/>
      <sheetName val="L_BA_blok4"/>
      <sheetName val="fin_pro_centers4"/>
      <sheetName val="KK_CFP_JAKARTA4"/>
      <sheetName val="Gaji_Non_Staff4"/>
      <sheetName val="CF_Konsol4"/>
      <sheetName val="_Penjelasan_RKB-PDO4"/>
      <sheetName val="Rekap__Total4"/>
      <sheetName val="PABRIK_(2)4"/>
      <sheetName val="REKAP_EST_PROD_13_edt4"/>
      <sheetName val="Upah_SKUB4"/>
      <sheetName val="Daftar_Harga_Barang4"/>
      <sheetName val="Capex_Sum3"/>
      <sheetName val="INDRCT_DTL3"/>
      <sheetName val="WIL_13"/>
      <sheetName val="MM_PAGE-2_X3"/>
      <sheetName val="Daftar_isi3"/>
      <sheetName val="Lbr_Sched_3"/>
      <sheetName val="SKU_BUL_3"/>
      <sheetName val="SKU-HAR_3"/>
      <sheetName val="SKU_KHT3"/>
      <sheetName val="LBR_SLR_DTL3"/>
      <sheetName val="LEMBUR_20073"/>
      <sheetName val="Prod_smry3"/>
      <sheetName val="Rekap_Biaya3"/>
      <sheetName val="Expens&amp;Rnue_(2)3"/>
      <sheetName val="DIRECT_SMR3"/>
      <sheetName val="DIRECT_DETAIL3"/>
      <sheetName val="INDIRECT_SMR3"/>
      <sheetName val="INDIRECT_COST3"/>
      <sheetName val="SE_SMR3"/>
      <sheetName val="SE_COST3"/>
      <sheetName val="SE_Detail3"/>
      <sheetName val="TRANS_PWR_3"/>
      <sheetName val="TRANS_VEHICL3"/>
      <sheetName val="TRANS_WATER3"/>
      <sheetName val="TRANS_WORKM&amp;R3"/>
      <sheetName val="TRANS_RMH3"/>
      <sheetName val="TRANS_ALT_BERAT3"/>
      <sheetName val="ocean_voyage3"/>
      <sheetName val="FISIK_RAB_20003"/>
      <sheetName val="CPO_16-9-TID_3"/>
      <sheetName val="Kualitas_TBS3"/>
      <sheetName val="Kesegaran_TBS3"/>
      <sheetName val="10__Summary_all3"/>
      <sheetName val="8_Upah_rata23"/>
      <sheetName val="LEMBUR_20063"/>
      <sheetName val="Prod__Stats3"/>
      <sheetName val="Penjelasan_SCK3"/>
      <sheetName val="HET_PBG33"/>
      <sheetName val="Kode_Barang2"/>
      <sheetName val="MASTER_PJCM2"/>
      <sheetName val="MASTER_MB2"/>
      <sheetName val="UMUR_KOMPLEK_PJCM2"/>
      <sheetName val="UMUR_KOMPLEK_IU_MB2"/>
      <sheetName val="IU_PJCM2"/>
      <sheetName val="IU_MB2"/>
      <sheetName val="DAFTAR_NAMA_KOMPLEK2"/>
      <sheetName val="Master_Bahan_SAP2"/>
      <sheetName val="BS-PL_Indo_20062"/>
      <sheetName val="Nomenclature_CF-Agro2"/>
      <sheetName val="List_Rayon2"/>
      <sheetName val="List_Department2"/>
      <sheetName val="Palm_Prod2"/>
      <sheetName val="Data_Kar2"/>
      <sheetName val="Data_Rekon2"/>
      <sheetName val="renc__kerja_LC2"/>
      <sheetName val="SASARAN_2"/>
      <sheetName val="LOCAL_GOVT_TAX2"/>
      <sheetName val="Sheet1_(3)2"/>
      <sheetName val="BY_TM_99_2"/>
      <sheetName val="_45KVA-12"/>
      <sheetName val="DATA_LTW2"/>
      <sheetName val="Sat__Pek_2"/>
      <sheetName val="Local_travel2"/>
      <sheetName val="COA_(3)2"/>
      <sheetName val="Fomat__12"/>
      <sheetName val="WRKP_TM2"/>
      <sheetName val="Production_S22"/>
      <sheetName val="Production_S32"/>
      <sheetName val="HK_Effektif_&amp;_Rate_Upah2"/>
      <sheetName val="Harga_20112"/>
      <sheetName val="Trading_Statement2"/>
      <sheetName val="KODE_TRANS2"/>
      <sheetName val="Kas_Bank2"/>
      <sheetName val="CHART_SAMPLES_RECEIVED2"/>
      <sheetName val="TBM_32"/>
      <sheetName val="TBM_02"/>
      <sheetName val="BJ_&amp;_Koreksi2"/>
      <sheetName val="PAGE_1_X2"/>
      <sheetName val="New_Position2"/>
      <sheetName val="NEW_POSITION_BD2"/>
      <sheetName val="Jenis_kendaraan2"/>
      <sheetName val="transport_method2"/>
      <sheetName val="Kap_Rinci"/>
      <sheetName val="Harga Spare Part-revisi"/>
      <sheetName val="MN"/>
      <sheetName val="PN"/>
      <sheetName val="Rincian Iuran"/>
      <sheetName val="Curah hujan"/>
      <sheetName val="Sheet20"/>
      <sheetName val="List Jabatan"/>
      <sheetName val="5b.Pemupukan"/>
      <sheetName val="L-PCR08"/>
      <sheetName val="L-PCR03"/>
      <sheetName val="L-PCR04"/>
      <sheetName val="L-PCR05"/>
      <sheetName val="L-PCR06"/>
      <sheetName val="L-PCR09"/>
      <sheetName val="L-PCR02"/>
      <sheetName val="Fisik"/>
      <sheetName val="Astek"/>
      <sheetName val="Angkutan"/>
      <sheetName val="Panen"/>
      <sheetName val="RPS"/>
      <sheetName val="DP Volume"/>
      <sheetName val="4-09"/>
      <sheetName val="Jun"/>
      <sheetName val="Biaya"/>
      <sheetName val="Diagram"/>
      <sheetName val="Std-Prod KS"/>
      <sheetName val="Sheet19"/>
      <sheetName val=""/>
      <sheetName val="CROP"/>
      <sheetName val="RKB1"/>
      <sheetName val="RKB2"/>
      <sheetName val="RKB3"/>
      <sheetName val="RKB4"/>
      <sheetName val="KEB_RMH"/>
      <sheetName val="0507"/>
      <sheetName val="0506"/>
      <sheetName val="0510"/>
      <sheetName val="0509"/>
      <sheetName val="0801 Lembur"/>
      <sheetName val="0802 Lembur"/>
    </sheetNames>
    <sheetDataSet>
      <sheetData sheetId="0" refreshError="1">
        <row r="14">
          <cell r="E14">
            <v>16</v>
          </cell>
          <cell r="F14">
            <v>50</v>
          </cell>
          <cell r="G14">
            <v>2</v>
          </cell>
          <cell r="H14">
            <v>124</v>
          </cell>
          <cell r="I14">
            <v>6</v>
          </cell>
          <cell r="J14">
            <v>226</v>
          </cell>
          <cell r="K14">
            <v>12</v>
          </cell>
          <cell r="L14">
            <v>232</v>
          </cell>
          <cell r="M14">
            <v>14</v>
          </cell>
          <cell r="N14">
            <v>114</v>
          </cell>
          <cell r="O14">
            <v>12</v>
          </cell>
          <cell r="P14">
            <v>972</v>
          </cell>
          <cell r="Q14">
            <v>62</v>
          </cell>
          <cell r="R14">
            <v>135</v>
          </cell>
          <cell r="S14">
            <v>17</v>
          </cell>
          <cell r="T14">
            <v>68</v>
          </cell>
          <cell r="U14">
            <v>4</v>
          </cell>
          <cell r="V14">
            <v>149</v>
          </cell>
          <cell r="W14">
            <v>13</v>
          </cell>
          <cell r="X14">
            <v>265</v>
          </cell>
          <cell r="Y14">
            <v>13</v>
          </cell>
          <cell r="Z14">
            <v>277</v>
          </cell>
          <cell r="AA14">
            <v>18</v>
          </cell>
          <cell r="AB14">
            <v>292</v>
          </cell>
          <cell r="AC14">
            <v>17</v>
          </cell>
        </row>
        <row r="15">
          <cell r="E15">
            <v>14</v>
          </cell>
          <cell r="F15">
            <v>411</v>
          </cell>
          <cell r="G15">
            <v>17</v>
          </cell>
          <cell r="H15">
            <v>180</v>
          </cell>
          <cell r="I15">
            <v>14</v>
          </cell>
          <cell r="J15">
            <v>264</v>
          </cell>
          <cell r="K15">
            <v>13</v>
          </cell>
          <cell r="L15">
            <v>360</v>
          </cell>
          <cell r="M15">
            <v>19</v>
          </cell>
          <cell r="N15">
            <v>322</v>
          </cell>
          <cell r="O15">
            <v>16</v>
          </cell>
          <cell r="P15">
            <v>1858</v>
          </cell>
          <cell r="Q15">
            <v>93</v>
          </cell>
          <cell r="R15">
            <v>77</v>
          </cell>
          <cell r="S15">
            <v>7</v>
          </cell>
          <cell r="T15">
            <v>23</v>
          </cell>
          <cell r="U15">
            <v>1</v>
          </cell>
          <cell r="V15">
            <v>1</v>
          </cell>
          <cell r="W15">
            <v>1</v>
          </cell>
          <cell r="X15">
            <v>130</v>
          </cell>
          <cell r="Y15">
            <v>8</v>
          </cell>
          <cell r="Z15">
            <v>248</v>
          </cell>
          <cell r="AA15">
            <v>16</v>
          </cell>
          <cell r="AB15">
            <v>228</v>
          </cell>
          <cell r="AC15">
            <v>12</v>
          </cell>
        </row>
        <row r="17">
          <cell r="E17">
            <v>18</v>
          </cell>
          <cell r="F17">
            <v>195</v>
          </cell>
          <cell r="G17">
            <v>13</v>
          </cell>
          <cell r="H17">
            <v>361</v>
          </cell>
          <cell r="I17">
            <v>18</v>
          </cell>
          <cell r="J17">
            <v>230</v>
          </cell>
          <cell r="K17">
            <v>17</v>
          </cell>
          <cell r="L17">
            <v>253</v>
          </cell>
          <cell r="M17">
            <v>15</v>
          </cell>
          <cell r="N17">
            <v>220</v>
          </cell>
          <cell r="O17">
            <v>20</v>
          </cell>
          <cell r="P17">
            <v>1556</v>
          </cell>
          <cell r="Q17">
            <v>101</v>
          </cell>
          <cell r="R17">
            <v>451</v>
          </cell>
          <cell r="S17">
            <v>16</v>
          </cell>
          <cell r="T17">
            <v>105</v>
          </cell>
          <cell r="U17">
            <v>12</v>
          </cell>
          <cell r="V17">
            <v>113</v>
          </cell>
          <cell r="W17">
            <v>9</v>
          </cell>
          <cell r="X17">
            <v>202</v>
          </cell>
          <cell r="Y17">
            <v>12</v>
          </cell>
          <cell r="Z17">
            <v>202</v>
          </cell>
          <cell r="AA17">
            <v>17</v>
          </cell>
          <cell r="AB17">
            <v>178</v>
          </cell>
          <cell r="AC17">
            <v>18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 refreshError="1"/>
      <sheetData sheetId="774"/>
      <sheetData sheetId="775"/>
      <sheetData sheetId="776"/>
      <sheetData sheetId="777"/>
      <sheetData sheetId="778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/>
      <sheetData sheetId="1071"/>
      <sheetData sheetId="1072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k prod"/>
      <sheetName val="it ttl"/>
      <sheetName val="p1-ttl"/>
      <sheetName val="p2-ttl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ARSTAT"/>
      <sheetName val="ARSTAT _2_"/>
      <sheetName val="PETA PEMBAGIAN AFD"/>
      <sheetName val="PETA TAHUN TANAM"/>
      <sheetName val="TRGT _ REAL TANAM"/>
      <sheetName val="DATA TAHUN TANAM"/>
      <sheetName val="GRFK PRODUKSI"/>
      <sheetName val="GRFK PRODUKSI SBB"/>
      <sheetName val="GRFK PRODUKSI TGS"/>
      <sheetName val="GRFK PRODUKSI SK1"/>
      <sheetName val="GRFK PRODUKSI SKB"/>
      <sheetName val="GRFK PRODUKSI SKC"/>
      <sheetName val="GRFK PRODUKSI MTL"/>
      <sheetName val="GRFK PRODUKSI SBH"/>
      <sheetName val="GRFK PRODUKSI TNB"/>
      <sheetName val="GRFK PRODUKSI SBU"/>
      <sheetName val="GRFK BJR_TT_00"/>
      <sheetName val="GRFK BJR_TT_01"/>
      <sheetName val="GRFK BJR_TT_02"/>
      <sheetName val="GRFK BJR_TT_03"/>
      <sheetName val="GRFK BJR_TT_04"/>
      <sheetName val="GRFK BJR_SBB_00"/>
      <sheetName val="GRFK BJR_SBB_01"/>
      <sheetName val="GRFK BJR_SBB_02"/>
      <sheetName val="GRFK BJR_TGS_01"/>
      <sheetName val="GRFK BJR_TGS_02"/>
      <sheetName val="GRFK BJR_TGS_03"/>
      <sheetName val="GRFK BJR_SK1_01"/>
      <sheetName val="GRFK BJR_SKB_03"/>
      <sheetName val="GRFK BJR_SKC_03"/>
      <sheetName val="GRFK BJR_MTL_02"/>
      <sheetName val="GRFK BJR_SBH_02"/>
      <sheetName val="GRFK BJR_SBH_03"/>
      <sheetName val="GRFK BJR_TNB_04"/>
      <sheetName val="GRFK BJR_SBU_04"/>
      <sheetName val="GRFK TON PER HA PER THN"/>
      <sheetName val="tonper Ha-TT 2000"/>
      <sheetName val="tonper Ha-TT 2001"/>
      <sheetName val="tonper Ha-TT 2002"/>
      <sheetName val="tonper Ha-TT 2003"/>
      <sheetName val="tonper Ha-TT 2004"/>
      <sheetName val="Rekap TBS"/>
      <sheetName val="TT 2000"/>
      <sheetName val="TT 2001"/>
      <sheetName val="TT 2002"/>
      <sheetName val="TT 2003"/>
      <sheetName val="TT 2004"/>
      <sheetName val="SBB"/>
      <sheetName val="TGS"/>
      <sheetName val="SK1"/>
      <sheetName val="MTL"/>
      <sheetName val="SBH"/>
      <sheetName val="TNB"/>
      <sheetName val="SBU"/>
      <sheetName val="SKB"/>
      <sheetName val="SKC"/>
      <sheetName val="DATA PROD PLASMA1_2006"/>
      <sheetName val="Rekap Plasma 1"/>
      <sheetName val="OUTPUT_REKAP"/>
      <sheetName val="OUTPUT"/>
      <sheetName val="PETAKONDISI_DATA"/>
      <sheetName val="RKP KPSS BIAYA"/>
      <sheetName val="ANAL KOMP BITOT _2_"/>
      <sheetName val="AN B PNN"/>
      <sheetName val="B_TM"/>
      <sheetName val="PANEN"/>
      <sheetName val="TUNAS"/>
      <sheetName val="_BY_PIRINGAN"/>
      <sheetName val="BY_PSR_RINTIS _ TPH"/>
      <sheetName val="BY_GAWANGAN"/>
      <sheetName val="TT_ PANEN"/>
      <sheetName val="BY_LALANG"/>
      <sheetName val="SEN_ PRODUKSI"/>
      <sheetName val="BY_ PUPUK"/>
      <sheetName val="HAMA_1"/>
      <sheetName val="HAMA_2"/>
      <sheetName val="SEN_ POKOK"/>
      <sheetName val="SISIP"/>
      <sheetName val="GL_API"/>
      <sheetName val="TAPAK KUDA_TIMBUN"/>
      <sheetName val="Sanitasi"/>
      <sheetName val="Analisa Daun"/>
      <sheetName val="INFRASTRUKTUR"/>
      <sheetName val="DATA _TBM "/>
      <sheetName val="DATA _TBM  _2_"/>
      <sheetName val="DATA PER POKOK_TBM"/>
      <sheetName val="DATA _TM"/>
      <sheetName val="DATA _TM _2_"/>
      <sheetName val="DATA PER POKOK_TM"/>
      <sheetName val="STANDPROD"/>
      <sheetName val="PROPROD"/>
      <sheetName val="Inti 1 Proy Produksi"/>
      <sheetName val="Inti 1 BTL Proy prod"/>
      <sheetName val="Inti 2 PH Proy Prod"/>
      <sheetName val="LCSCHEDULE"/>
      <sheetName val="Land Apl"/>
      <sheetName val="Yield _ Bjr Inti"/>
      <sheetName val="Yield _ Bjr"/>
      <sheetName val="Ton per Ha"/>
      <sheetName val="Kg per Jjg"/>
      <sheetName val="Prod Kg Inti"/>
      <sheetName val="Prod Kg Plasma 1"/>
      <sheetName val="Prod Kg Plasma 2"/>
      <sheetName val="Kg Jjg Inti"/>
      <sheetName val="Ton Ha Inti"/>
      <sheetName val="Yield _ Bjr Plasma 1"/>
      <sheetName val="Kg Jjg Plasma 1"/>
      <sheetName val="Ton Ha Plasma 1"/>
      <sheetName val="Yield _ Bjr Plasma 2"/>
      <sheetName val="Kg Jjg Plasma 2"/>
      <sheetName val="Ton Ha Plasma 2"/>
      <sheetName val="Pk prod"/>
      <sheetName val="Kap Rinci"/>
      <sheetName val="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ARSTAT"/>
      <sheetName val="ARSTAT _2_"/>
      <sheetName val="PETA PEMBAGIAN AFD"/>
      <sheetName val="PETA TAHUN TANAM"/>
      <sheetName val="TRGT _ REAL TANAM"/>
      <sheetName val="DATA TAHUN TANAM"/>
      <sheetName val="GRFK PRODUKSI"/>
      <sheetName val="GRFK PRODUKSI SBB"/>
      <sheetName val="GRFK PRODUKSI TGS"/>
      <sheetName val="GRFK PRODUKSI SK1"/>
      <sheetName val="GRFK PRODUKSI SKB"/>
      <sheetName val="GRFK PRODUKSI SKC"/>
      <sheetName val="GRFK PRODUKSI MTL"/>
      <sheetName val="GRFK PRODUKSI SBH"/>
      <sheetName val="GRFK PRODUKSI TNB"/>
      <sheetName val="GRFK PRODUKSI SBU"/>
      <sheetName val="GRFK BJR_TT_00"/>
      <sheetName val="GRFK BJR_TT_01"/>
      <sheetName val="GRFK BJR_TT_02"/>
      <sheetName val="GRFK BJR_TT_03"/>
      <sheetName val="GRFK BJR_TT_04"/>
      <sheetName val="GRFK BJR_SBB_00"/>
      <sheetName val="GRFK BJR_SBB_01"/>
      <sheetName val="GRFK BJR_SBB_02"/>
      <sheetName val="GRFK BJR_TGS_01"/>
      <sheetName val="GRFK BJR_TGS_02"/>
      <sheetName val="GRFK BJR_TGS_03"/>
      <sheetName val="GRFK BJR_SK1_01"/>
      <sheetName val="GRFK BJR_SKB_03"/>
      <sheetName val="GRFK BJR_SKC_03"/>
      <sheetName val="GRFK BJR_MTL_02"/>
      <sheetName val="GRFK BJR_SBH_02"/>
      <sheetName val="GRFK BJR_SBH_03"/>
      <sheetName val="GRFK BJR_TNB_04"/>
      <sheetName val="GRFK BJR_SBU_04"/>
      <sheetName val="GRFK TON PER HA PER THN"/>
      <sheetName val="tonper Ha-TT 2000"/>
      <sheetName val="tonper Ha-TT 2001"/>
      <sheetName val="tonper Ha-TT 2002"/>
      <sheetName val="tonper Ha-TT 2003"/>
      <sheetName val="tonper Ha-TT 2004"/>
      <sheetName val="Rekap TBS"/>
      <sheetName val="TT 2000"/>
      <sheetName val="TT 2001"/>
      <sheetName val="TT 2002"/>
      <sheetName val="TT 2003"/>
      <sheetName val="TT 2004"/>
      <sheetName val="SBB"/>
      <sheetName val="TGS"/>
      <sheetName val="SK1"/>
      <sheetName val="MTL"/>
      <sheetName val="SBH"/>
      <sheetName val="TNB"/>
      <sheetName val="SBU"/>
      <sheetName val="SKB"/>
      <sheetName val="SKC"/>
      <sheetName val="DATA PROD PLASMA1_2006"/>
      <sheetName val="Rekap Plasma 1"/>
      <sheetName val="OUTPUT_REKAP"/>
      <sheetName val="OUTPUT"/>
      <sheetName val="PETAKONDISI_DATA"/>
      <sheetName val="RKP KPSS BIAYA"/>
      <sheetName val="ANAL KOMP BITOT _2_"/>
      <sheetName val="AN B PNN"/>
      <sheetName val="B_TM"/>
      <sheetName val="PANEN"/>
      <sheetName val="TUNAS"/>
      <sheetName val="_BY_PIRINGAN"/>
      <sheetName val="BY_PSR_RINTIS _ TPH"/>
      <sheetName val="BY_GAWANGAN"/>
      <sheetName val="TT_ PANEN"/>
      <sheetName val="BY_LALANG"/>
      <sheetName val="SEN_ PRODUKSI"/>
      <sheetName val="BY_ PUPUK"/>
      <sheetName val="HAMA_1"/>
      <sheetName val="HAMA_2"/>
      <sheetName val="SEN_ POKOK"/>
      <sheetName val="SISIP"/>
      <sheetName val="GL_API"/>
      <sheetName val="TAPAK KUDA_TIMBUN"/>
      <sheetName val="Sanitasi"/>
      <sheetName val="Analisa Daun"/>
      <sheetName val="INFRASTRUKTUR"/>
      <sheetName val="DATA _TBM "/>
      <sheetName val="DATA _TBM  _2_"/>
      <sheetName val="DATA PER POKOK_TBM"/>
      <sheetName val="DATA _TM"/>
      <sheetName val="DATA _TM _2_"/>
      <sheetName val="DATA PER POKOK_TM"/>
      <sheetName val="STANDPROD"/>
      <sheetName val="PROPROD"/>
      <sheetName val="Inti 1 Proy Produksi"/>
      <sheetName val="Inti 1 BTL Proy prod"/>
      <sheetName val="Inti 2 PH Proy Prod"/>
      <sheetName val="LCSCHEDULE"/>
      <sheetName val="Land Apl"/>
      <sheetName val="Yield _ Bjr Inti"/>
      <sheetName val="Yield _ Bjr"/>
      <sheetName val="Ton per Ha"/>
      <sheetName val="Kg per Jjg"/>
      <sheetName val="Prod Kg Inti"/>
      <sheetName val="Prod Kg Plasma 1"/>
      <sheetName val="Prod Kg Plasma 2"/>
      <sheetName val="Kg Jjg Inti"/>
      <sheetName val="Ton Ha Inti"/>
      <sheetName val="Yield _ Bjr Plasma 1"/>
      <sheetName val="Kg Jjg Plasma 1"/>
      <sheetName val="Ton Ha Plasma 1"/>
      <sheetName val="Yield _ Bjr Plasma 2"/>
      <sheetName val="Kg Jjg Plasma 2"/>
      <sheetName val="Ton Ha Plasma 2"/>
      <sheetName val="tonper Ha_TT 2000"/>
      <sheetName val="Pk pr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  <sheetName val="Rekap"/>
      <sheetName val="Rekap2"/>
      <sheetName val="Rekap2 vs 2009"/>
      <sheetName val="Umum"/>
      <sheetName val="Umum2"/>
      <sheetName val="Umum_Rinci"/>
      <sheetName val="Umum_Rinci2"/>
      <sheetName val="Qty ATK"/>
      <sheetName val="Kapital1"/>
      <sheetName val="Kapital2"/>
      <sheetName val="Qty Kap"/>
      <sheetName val="1_CBC"/>
      <sheetName val="2_CBC"/>
      <sheetName val="3_CBC"/>
      <sheetName val="4_CBC"/>
      <sheetName val="Sheet1"/>
      <sheetName val="Sheet2 Edit"/>
      <sheetName val="Sheet3"/>
      <sheetName val="CA"/>
      <sheetName val="Hrg"/>
      <sheetName val="Jual-Beli"/>
      <sheetName val="1_acct"/>
      <sheetName val="2_acct"/>
      <sheetName val="3_acct"/>
      <sheetName val="4_acct"/>
      <sheetName val="1_CCD"/>
      <sheetName val="2_CCD"/>
      <sheetName val="3_CCD"/>
      <sheetName val="4_CCD"/>
      <sheetName val="1_HRD"/>
      <sheetName val="2_HRD"/>
      <sheetName val="3_HRD"/>
      <sheetName val="4_HRD"/>
      <sheetName val="1_KEU"/>
      <sheetName val="2_KEU"/>
      <sheetName val="3_KEU"/>
      <sheetName val="4_KEU"/>
      <sheetName val="Sheet31_KEU"/>
      <sheetName val="1_PO"/>
      <sheetName val="2_PO"/>
      <sheetName val="3_PO"/>
      <sheetName val="4_PO"/>
      <sheetName val="5_DL&amp;Konsultan"/>
      <sheetName val="1_LGL"/>
      <sheetName val="2_LGL"/>
      <sheetName val="3_LGL"/>
      <sheetName val="4_LGL"/>
      <sheetName val="1_PUR"/>
      <sheetName val="2_PUR"/>
      <sheetName val="3_PUR"/>
      <sheetName val="4_PUR"/>
      <sheetName val="1_SEKR"/>
      <sheetName val="2_SEKR"/>
      <sheetName val="3_SEKR"/>
      <sheetName val="4_SEKR"/>
      <sheetName val="5_Sheet31"/>
      <sheetName val="1_JKT"/>
      <sheetName val="2_JKT"/>
      <sheetName val="3_JKT"/>
      <sheetName val="4_JK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ARSTAT"/>
      <sheetName val="ARSTAT _2_"/>
      <sheetName val="PETA PEMBAGIAN AFD"/>
      <sheetName val="PETA TAHUN TANAM"/>
      <sheetName val="TRGT _ REAL TANAM"/>
      <sheetName val="DATA TAHUN TANAM"/>
      <sheetName val="GRFK PRODUKSI"/>
      <sheetName val="GRFK PRODUKSI SBB"/>
      <sheetName val="GRFK PRODUKSI TGS"/>
      <sheetName val="GRFK PRODUKSI SK1"/>
      <sheetName val="GRFK PRODUKSI SKB"/>
      <sheetName val="GRFK PRODUKSI SKC"/>
      <sheetName val="GRFK PRODUKSI MTL"/>
      <sheetName val="GRFK PRODUKSI SBH"/>
      <sheetName val="GRFK PRODUKSI TNB"/>
      <sheetName val="GRFK PRODUKSI SBU"/>
      <sheetName val="GRFK BJR_TT_00"/>
      <sheetName val="GRFK BJR_TT_01"/>
      <sheetName val="GRFK BJR_TT_02"/>
      <sheetName val="GRFK BJR_TT_03"/>
      <sheetName val="GRFK BJR_TT_04"/>
      <sheetName val="GRFK BJR_SBB_00"/>
      <sheetName val="GRFK BJR_SBB_01"/>
      <sheetName val="GRFK BJR_SBB_02"/>
      <sheetName val="GRFK BJR_TGS_01"/>
      <sheetName val="GRFK BJR_TGS_02"/>
      <sheetName val="GRFK BJR_TGS_03"/>
      <sheetName val="GRFK BJR_SK1_01"/>
      <sheetName val="GRFK BJR_SKB_03"/>
      <sheetName val="GRFK BJR_SKC_03"/>
      <sheetName val="GRFK BJR_MTL_02"/>
      <sheetName val="GRFK BJR_SBH_02"/>
      <sheetName val="GRFK BJR_SBH_03"/>
      <sheetName val="GRFK BJR_TNB_04"/>
      <sheetName val="GRFK BJR_SBU_04"/>
      <sheetName val="GRFK TON PER HA PER THN"/>
      <sheetName val="tonper Ha-TT 2000"/>
      <sheetName val="tonper Ha-TT 2001"/>
      <sheetName val="tonper Ha-TT 2002"/>
      <sheetName val="tonper Ha-TT 2003"/>
      <sheetName val="tonper Ha-TT 2004"/>
      <sheetName val="Rekap TBS"/>
      <sheetName val="TT 2000"/>
      <sheetName val="TT 2001"/>
      <sheetName val="TT 2002"/>
      <sheetName val="TT 2003"/>
      <sheetName val="TT 2004"/>
      <sheetName val="SBB"/>
      <sheetName val="TGS"/>
      <sheetName val="SK1"/>
      <sheetName val="MTL"/>
      <sheetName val="SBH"/>
      <sheetName val="TNB"/>
      <sheetName val="SBU"/>
      <sheetName val="SKB"/>
      <sheetName val="SKC"/>
      <sheetName val="DATA PROD PLASMA1_2006"/>
      <sheetName val="Rekap Plasma 1"/>
      <sheetName val="OUTPUT_REKAP"/>
      <sheetName val="OUTPUT"/>
      <sheetName val="PETAKONDISI_DATA"/>
      <sheetName val="RKP KPSS BIAYA"/>
      <sheetName val="ANAL KOMP BITOT _2_"/>
      <sheetName val="AN B PNN"/>
      <sheetName val="B_TM"/>
      <sheetName val="PANEN"/>
      <sheetName val="TUNAS"/>
      <sheetName val="_BY_PIRINGAN"/>
      <sheetName val="BY_PSR_RINTIS _ TPH"/>
      <sheetName val="BY_GAWANGAN"/>
      <sheetName val="TT_ PANEN"/>
      <sheetName val="BY_LALANG"/>
      <sheetName val="SEN_ PRODUKSI"/>
      <sheetName val="BY_ PUPUK"/>
      <sheetName val="HAMA_1"/>
      <sheetName val="HAMA_2"/>
      <sheetName val="SEN_ POKOK"/>
      <sheetName val="SISIP"/>
      <sheetName val="GL_API"/>
      <sheetName val="TAPAK KUDA_TIMBUN"/>
      <sheetName val="Sanitasi"/>
      <sheetName val="Analisa Daun"/>
      <sheetName val="INFRASTRUKTUR"/>
      <sheetName val="DATA _TBM "/>
      <sheetName val="DATA _TBM  _2_"/>
      <sheetName val="DATA PER POKOK_TBM"/>
      <sheetName val="DATA _TM"/>
      <sheetName val="DATA _TM _2_"/>
      <sheetName val="DATA PER POKOK_TM"/>
      <sheetName val="STANDPROD"/>
      <sheetName val="PROPROD"/>
      <sheetName val="Inti 1 Proy Produksi"/>
      <sheetName val="Inti 1 BTL Proy prod"/>
      <sheetName val="Inti 2 PH Proy Prod"/>
      <sheetName val="LCSCHEDULE"/>
      <sheetName val="Land Apl"/>
      <sheetName val="Yield _ Bjr Inti"/>
      <sheetName val="Yield _ Bjr"/>
      <sheetName val="Ton per Ha"/>
      <sheetName val="Kg per Jjg"/>
      <sheetName val="Prod Kg Inti"/>
      <sheetName val="Prod Kg Plasma 1"/>
      <sheetName val="Prod Kg Plasma 2"/>
      <sheetName val="Kg Jjg Inti"/>
      <sheetName val="Ton Ha Inti"/>
      <sheetName val="Yield _ Bjr Plasma 1"/>
      <sheetName val="Kg Jjg Plasma 1"/>
      <sheetName val="Ton Ha Plasma 1"/>
      <sheetName val="Yield _ Bjr Plasma 2"/>
      <sheetName val="Kg Jjg Plasma 2"/>
      <sheetName val="Ton Ha Plasma 2"/>
      <sheetName val="PEMEL TBM 2008"/>
      <sheetName val="Kap Rinci"/>
      <sheetName val="KEB_RMH"/>
      <sheetName val="Produksi CPO"/>
      <sheetName val="Ulas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"/>
      <sheetName val="Ulasan"/>
      <sheetName val="tonper Ha-TT 2000"/>
    </sheetNames>
    <sheetDataSet>
      <sheetData sheetId="0"/>
      <sheetData sheetId="1" refreshError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ARSTAT"/>
      <sheetName val="ARSTAT _2_"/>
      <sheetName val="PETA PEMBAGIAN AFD"/>
      <sheetName val="PETA TAHUN TANAM"/>
      <sheetName val="TRGT _ REAL TANAM"/>
      <sheetName val="DATA TAHUN TANAM"/>
      <sheetName val="GRFK PRODUKSI"/>
      <sheetName val="GRFK PRODUKSI SBB"/>
      <sheetName val="GRFK PRODUKSI TGS"/>
      <sheetName val="GRFK PRODUKSI SK1"/>
      <sheetName val="GRFK PRODUKSI SKB"/>
      <sheetName val="GRFK PRODUKSI SKC"/>
      <sheetName val="GRFK PRODUKSI MTL"/>
      <sheetName val="GRFK PRODUKSI SBH"/>
      <sheetName val="GRFK PRODUKSI TNB"/>
      <sheetName val="GRFK PRODUKSI SBU"/>
      <sheetName val="GRFK BJR_TT_00"/>
      <sheetName val="GRFK BJR_TT_01"/>
      <sheetName val="GRFK BJR_TT_02"/>
      <sheetName val="GRFK BJR_TT_03"/>
      <sheetName val="GRFK BJR_TT_04"/>
      <sheetName val="GRFK BJR_SBB_00"/>
      <sheetName val="GRFK BJR_SBB_01"/>
      <sheetName val="GRFK BJR_SBB_02"/>
      <sheetName val="GRFK BJR_TGS_01"/>
      <sheetName val="GRFK BJR_TGS_02"/>
      <sheetName val="GRFK BJR_TGS_03"/>
      <sheetName val="GRFK BJR_SK1_01"/>
      <sheetName val="GRFK BJR_SKB_03"/>
      <sheetName val="GRFK BJR_SKC_03"/>
      <sheetName val="GRFK BJR_MTL_02"/>
      <sheetName val="GRFK BJR_SBH_02"/>
      <sheetName val="GRFK BJR_SBH_03"/>
      <sheetName val="GRFK BJR_TNB_04"/>
      <sheetName val="GRFK BJR_SBU_04"/>
      <sheetName val="GRFK TON PER HA PER THN"/>
      <sheetName val="tonper Ha-TT 2000"/>
      <sheetName val="tonper Ha-TT 2001"/>
      <sheetName val="tonper Ha-TT 2002"/>
      <sheetName val="tonper Ha-TT 2003"/>
      <sheetName val="tonper Ha-TT 2004"/>
      <sheetName val="Rekap TBS"/>
      <sheetName val="TT 2000"/>
      <sheetName val="TT 2001"/>
      <sheetName val="TT 2002"/>
      <sheetName val="TT 2003"/>
      <sheetName val="TT 2004"/>
      <sheetName val="SBB"/>
      <sheetName val="TGS"/>
      <sheetName val="SK1"/>
      <sheetName val="MTL"/>
      <sheetName val="SBH"/>
      <sheetName val="TNB"/>
      <sheetName val="SBU"/>
      <sheetName val="SKB"/>
      <sheetName val="SKC"/>
      <sheetName val="DATA PROD PLASMA1_2006"/>
      <sheetName val="Rekap Plasma 1"/>
      <sheetName val="OUTPUT_REKAP"/>
      <sheetName val="OUTPUT"/>
      <sheetName val="PETAKONDISI_DATA"/>
      <sheetName val="RKP KPSS BIAYA"/>
      <sheetName val="ANAL KOMP BITOT _2_"/>
      <sheetName val="AN B PNN"/>
      <sheetName val="B_TM"/>
      <sheetName val="PANEN"/>
      <sheetName val="TUNAS"/>
      <sheetName val="_BY_PIRINGAN"/>
      <sheetName val="BY_PSR_RINTIS _ TPH"/>
      <sheetName val="BY_GAWANGAN"/>
      <sheetName val="TT_ PANEN"/>
      <sheetName val="BY_LALANG"/>
      <sheetName val="SEN_ PRODUKSI"/>
      <sheetName val="BY_ PUPUK"/>
      <sheetName val="HAMA_1"/>
      <sheetName val="HAMA_2"/>
      <sheetName val="SEN_ POKOK"/>
      <sheetName val="SISIP"/>
      <sheetName val="GL_API"/>
      <sheetName val="TAPAK KUDA_TIMBUN"/>
      <sheetName val="Sanitasi"/>
      <sheetName val="Analisa Daun"/>
      <sheetName val="INFRASTRUKTUR"/>
      <sheetName val="DATA _TBM "/>
      <sheetName val="DATA _TBM  _2_"/>
      <sheetName val="DATA PER POKOK_TBM"/>
      <sheetName val="DATA _TM"/>
      <sheetName val="DATA _TM _2_"/>
      <sheetName val="DATA PER POKOK_TM"/>
      <sheetName val="STANDPROD"/>
      <sheetName val="PROPROD"/>
      <sheetName val="Inti 1 Proy Produksi"/>
      <sheetName val="Inti 1 BTL Proy prod"/>
      <sheetName val="Inti 2 PH Proy Prod"/>
      <sheetName val="LCSCHEDULE"/>
      <sheetName val="Land Apl"/>
      <sheetName val="Yield _ Bjr Inti"/>
      <sheetName val="Yield _ Bjr"/>
      <sheetName val="Ton per Ha"/>
      <sheetName val="Kg per Jjg"/>
      <sheetName val="Prod Kg Inti"/>
      <sheetName val="Prod Kg Plasma 1"/>
      <sheetName val="Prod Kg Plasma 2"/>
      <sheetName val="Kg Jjg Inti"/>
      <sheetName val="Ton Ha Inti"/>
      <sheetName val="Yield _ Bjr Plasma 1"/>
      <sheetName val="Kg Jjg Plasma 1"/>
      <sheetName val="Ton Ha Plasma 1"/>
      <sheetName val="Yield _ Bjr Plasma 2"/>
      <sheetName val="Kg Jjg Plasma 2"/>
      <sheetName val="Ton Ha Plasma 2"/>
      <sheetName val="tonper Ha_TT 2000"/>
      <sheetName val="Kap Rinci"/>
      <sheetName val="KEB_RMH"/>
      <sheetName val="CH"/>
      <sheetName val="Produksi C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_Kbn"/>
      <sheetName val="ulasan manajer _1_"/>
      <sheetName val="ulasan manajer _2_"/>
      <sheetName val="ulasan manajer _3_"/>
      <sheetName val="Daftar Isi"/>
      <sheetName val="Stat"/>
      <sheetName val="Renprod Ton"/>
      <sheetName val="Renprod TonHa"/>
      <sheetName val="Prod Afd"/>
      <sheetName val="Prod Afd TonHa"/>
      <sheetName val="Sebrn TBS"/>
      <sheetName val="Riw Prod"/>
      <sheetName val="Riw Prod2"/>
      <sheetName val="Rkp Ton"/>
      <sheetName val="Riw BJR"/>
      <sheetName val="Riw Prod Pmn"/>
      <sheetName val="Riw Rot"/>
      <sheetName val="Riw PPK"/>
      <sheetName val="Riw PPK _2_"/>
      <sheetName val="Riw CH"/>
      <sheetName val="Graf Prod"/>
      <sheetName val="Anals Unit TBS"/>
      <sheetName val="Evals Unit TBS"/>
      <sheetName val="Anals RunAcc"/>
      <sheetName val="SO"/>
      <sheetName val="KEB_TK"/>
      <sheetName val="KEB_RMH"/>
      <sheetName val="Kel Kap"/>
      <sheetName val="Rkp Kapital"/>
      <sheetName val="Kap Rinci"/>
      <sheetName val="Kapital 1"/>
      <sheetName val="Kapital 2"/>
      <sheetName val="Kapital 3"/>
      <sheetName val="Kapital 4"/>
      <sheetName val="Kapital 5"/>
      <sheetName val="PrevMain"/>
      <sheetName val="peta tahun tanam"/>
      <sheetName val="peta kondisi awal"/>
      <sheetName val="Inti TT"/>
      <sheetName val="P1 TT"/>
      <sheetName val="P2 TT"/>
      <sheetName val="Inti Kondisi"/>
      <sheetName val="P1 Kondisi"/>
      <sheetName val="P2 Kondisi"/>
      <sheetName val="Lamp Bangunan"/>
      <sheetName val="GRFK BJR_TT_00"/>
      <sheetName val="GRFK BJR_TT_01"/>
      <sheetName val="GRFK BJR_TT_02"/>
      <sheetName val="GRFK BJR_TT_03"/>
      <sheetName val="GRFK BJR_TT_04"/>
      <sheetName val="GRFK BJR_SBB_00"/>
      <sheetName val="GRFK BJR_SBB_01"/>
      <sheetName val="GRFK BJR_SBB_02"/>
      <sheetName val="GRFK BJR_TGS_01"/>
      <sheetName val="GRFK BJR_TGS_02"/>
      <sheetName val="GRFK BJR_TGS_03"/>
      <sheetName val="GRFK BJR_SK1_01"/>
      <sheetName val="GRFK BJR_SKB_03"/>
      <sheetName val="GRFK BJR_SKC_03"/>
      <sheetName val="GRFK BJR_MTL_02"/>
      <sheetName val="GRFK BJR_SBH_02"/>
      <sheetName val="GRFK BJR_SBH_03"/>
      <sheetName val="GRFK BJR_TNB_04"/>
      <sheetName val="GRFK BJR_SBU_04"/>
      <sheetName val="tonper Ha-TT 2000"/>
      <sheetName val="DATA _TM _2_"/>
      <sheetName val="DATA TAHUN TAN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">
          <cell r="B1" t="str">
            <v>PT.BUANA KARYA BHAKTI</v>
          </cell>
        </row>
        <row r="2">
          <cell r="B2" t="str">
            <v>KEBUN PLASMA 1</v>
          </cell>
        </row>
        <row r="4">
          <cell r="B4" t="str">
            <v xml:space="preserve">KEBUTUHAN  PERUMAHAN dan BANGUNAN PERMANEN LAINNYA   </v>
          </cell>
        </row>
        <row r="6">
          <cell r="P6" t="str">
            <v>Satuan :  Unit</v>
          </cell>
        </row>
        <row r="7">
          <cell r="B7" t="str">
            <v>TIPE dan JENIS BANGUNAN</v>
          </cell>
          <cell r="H7" t="str">
            <v>Aktual 2006</v>
          </cell>
          <cell r="I7" t="str">
            <v>Posisi Tahun 2007</v>
          </cell>
          <cell r="N7" t="str">
            <v>Budget 2008</v>
          </cell>
          <cell r="O7" t="str">
            <v>Expected           Sd.              Des. 2008</v>
          </cell>
          <cell r="P7" t="str">
            <v>Total</v>
          </cell>
        </row>
        <row r="8">
          <cell r="I8" t="str">
            <v>Aktual Jan - Jun</v>
          </cell>
          <cell r="J8" t="str">
            <v>Expected Jul - Des</v>
          </cell>
          <cell r="K8" t="str">
            <v>Total   Jan - Des</v>
          </cell>
          <cell r="L8" t="str">
            <v>Budget Tahun</v>
          </cell>
          <cell r="M8" t="str">
            <v>Expected</v>
          </cell>
          <cell r="P8" t="str">
            <v>Kebutuhan</v>
          </cell>
        </row>
        <row r="9">
          <cell r="M9" t="str">
            <v xml:space="preserve">Sd. Desember </v>
          </cell>
          <cell r="P9" t="str">
            <v>(Standar)</v>
          </cell>
        </row>
        <row r="11">
          <cell r="C11" t="str">
            <v>A.</v>
          </cell>
          <cell r="D11" t="str">
            <v>Perumahan Staf / Karyawan</v>
          </cell>
          <cell r="H11">
            <v>26</v>
          </cell>
          <cell r="I11">
            <v>0</v>
          </cell>
          <cell r="J11">
            <v>1</v>
          </cell>
          <cell r="K11">
            <v>1</v>
          </cell>
          <cell r="L11">
            <v>6</v>
          </cell>
          <cell r="M11">
            <v>27</v>
          </cell>
          <cell r="N11">
            <v>7</v>
          </cell>
          <cell r="O11">
            <v>34</v>
          </cell>
          <cell r="P11">
            <v>41</v>
          </cell>
        </row>
        <row r="12">
          <cell r="D12" t="str">
            <v>1.</v>
          </cell>
          <cell r="E12" t="str">
            <v>G 1 Beton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D13" t="str">
            <v>2.</v>
          </cell>
          <cell r="E13" t="str">
            <v>G 1 Kayu</v>
          </cell>
          <cell r="H13">
            <v>4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4</v>
          </cell>
          <cell r="N13">
            <v>0</v>
          </cell>
          <cell r="O13">
            <v>4</v>
          </cell>
          <cell r="P13">
            <v>4</v>
          </cell>
        </row>
        <row r="14">
          <cell r="D14" t="str">
            <v>3.</v>
          </cell>
          <cell r="E14" t="str">
            <v>G 2 Beton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0</v>
          </cell>
          <cell r="N14">
            <v>1</v>
          </cell>
          <cell r="O14">
            <v>1</v>
          </cell>
          <cell r="P14">
            <v>2</v>
          </cell>
        </row>
        <row r="15">
          <cell r="D15" t="str">
            <v>4.</v>
          </cell>
          <cell r="E15" t="str">
            <v>G 2 Kayu</v>
          </cell>
          <cell r="H15">
            <v>5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5</v>
          </cell>
          <cell r="N15">
            <v>0</v>
          </cell>
          <cell r="O15">
            <v>5</v>
          </cell>
          <cell r="P15">
            <v>5</v>
          </cell>
        </row>
        <row r="16">
          <cell r="D16" t="str">
            <v>5.</v>
          </cell>
          <cell r="E16" t="str">
            <v xml:space="preserve">G 10 Beton Type A ( 6 x 60 ) 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2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 t="str">
            <v>6.</v>
          </cell>
          <cell r="E17" t="str">
            <v>G 10 Beton Type B ( 6 x 60 )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4</v>
          </cell>
          <cell r="O17">
            <v>4</v>
          </cell>
          <cell r="P17">
            <v>8</v>
          </cell>
        </row>
        <row r="18">
          <cell r="D18" t="str">
            <v>7.</v>
          </cell>
          <cell r="E18" t="str">
            <v>G 10 Beton Type C ( 5 x 60 )</v>
          </cell>
          <cell r="H18">
            <v>11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11</v>
          </cell>
          <cell r="N18">
            <v>2</v>
          </cell>
          <cell r="O18">
            <v>13</v>
          </cell>
          <cell r="P18">
            <v>15</v>
          </cell>
        </row>
        <row r="19">
          <cell r="D19" t="str">
            <v>8.</v>
          </cell>
          <cell r="E19" t="str">
            <v>G 10 Kayu ( 5 x 60 )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1</v>
          </cell>
          <cell r="N19">
            <v>0</v>
          </cell>
          <cell r="O19">
            <v>1</v>
          </cell>
          <cell r="P19">
            <v>1</v>
          </cell>
        </row>
        <row r="20">
          <cell r="D20" t="str">
            <v>9.</v>
          </cell>
          <cell r="E20" t="str">
            <v>G 7 Kayu ( 5 x 60 )</v>
          </cell>
          <cell r="H20">
            <v>1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</v>
          </cell>
          <cell r="N20">
            <v>0</v>
          </cell>
          <cell r="O20">
            <v>1</v>
          </cell>
          <cell r="P20">
            <v>1</v>
          </cell>
        </row>
        <row r="21">
          <cell r="D21" t="str">
            <v>10.</v>
          </cell>
          <cell r="E21" t="str">
            <v>G 6 Kayu ( 5 x 60 )</v>
          </cell>
          <cell r="H21">
            <v>1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1</v>
          </cell>
          <cell r="N21">
            <v>0</v>
          </cell>
          <cell r="O21">
            <v>1</v>
          </cell>
          <cell r="P21">
            <v>1</v>
          </cell>
        </row>
        <row r="22">
          <cell r="D22" t="str">
            <v>11.</v>
          </cell>
          <cell r="E22" t="str">
            <v>G 5 Kayu ( 5 x 60 )</v>
          </cell>
          <cell r="H22">
            <v>2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</v>
          </cell>
          <cell r="N22">
            <v>0</v>
          </cell>
          <cell r="O22">
            <v>2</v>
          </cell>
          <cell r="P22">
            <v>2</v>
          </cell>
        </row>
        <row r="23">
          <cell r="D23" t="str">
            <v>12.</v>
          </cell>
          <cell r="E23" t="str">
            <v>G 4 Kayu ( 5 x 60 )</v>
          </cell>
          <cell r="H23">
            <v>2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2</v>
          </cell>
          <cell r="N23">
            <v>0</v>
          </cell>
          <cell r="O23">
            <v>2</v>
          </cell>
          <cell r="P23">
            <v>2</v>
          </cell>
        </row>
        <row r="24">
          <cell r="C24" t="str">
            <v>B.</v>
          </cell>
          <cell r="D24" t="str">
            <v>Bangunan Prasarana Lainnya</v>
          </cell>
          <cell r="H24">
            <v>16</v>
          </cell>
          <cell r="I24">
            <v>3</v>
          </cell>
          <cell r="J24">
            <v>1</v>
          </cell>
          <cell r="K24">
            <v>4</v>
          </cell>
          <cell r="L24">
            <v>5</v>
          </cell>
          <cell r="M24">
            <v>20</v>
          </cell>
          <cell r="N24">
            <v>18</v>
          </cell>
          <cell r="O24">
            <v>38</v>
          </cell>
          <cell r="P24">
            <v>56</v>
          </cell>
        </row>
        <row r="25">
          <cell r="D25" t="str">
            <v>1.</v>
          </cell>
          <cell r="E25" t="str">
            <v>Gudang ( 4 x 6  )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D26" t="str">
            <v>2.</v>
          </cell>
          <cell r="E26" t="str">
            <v>Gudang ( 6 x 8  )</v>
          </cell>
          <cell r="H26">
            <v>3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3</v>
          </cell>
          <cell r="N26">
            <v>0</v>
          </cell>
          <cell r="O26">
            <v>3</v>
          </cell>
          <cell r="P26">
            <v>3</v>
          </cell>
        </row>
        <row r="27">
          <cell r="D27" t="str">
            <v>3.</v>
          </cell>
          <cell r="E27" t="str">
            <v>Gudang ( 8 x 12 )</v>
          </cell>
          <cell r="H27">
            <v>1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1</v>
          </cell>
          <cell r="N27">
            <v>3</v>
          </cell>
          <cell r="O27">
            <v>4</v>
          </cell>
          <cell r="P27">
            <v>7</v>
          </cell>
        </row>
        <row r="28">
          <cell r="D28" t="str">
            <v>4.</v>
          </cell>
          <cell r="E28" t="str">
            <v>Gudang ( 10 x 12 )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D29" t="str">
            <v>5.</v>
          </cell>
          <cell r="E29" t="str">
            <v>Gudang ( 7 x 15 )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D30" t="str">
            <v>6.</v>
          </cell>
          <cell r="E30" t="str">
            <v>Gudang SENTRAL ( 20 x 10 )</v>
          </cell>
          <cell r="H30">
            <v>0</v>
          </cell>
          <cell r="I30">
            <v>0</v>
          </cell>
          <cell r="J30">
            <v>1</v>
          </cell>
          <cell r="K30">
            <v>1</v>
          </cell>
          <cell r="L30">
            <v>1</v>
          </cell>
          <cell r="M30">
            <v>1</v>
          </cell>
          <cell r="N30">
            <v>1</v>
          </cell>
          <cell r="O30">
            <v>2</v>
          </cell>
          <cell r="P30">
            <v>3</v>
          </cell>
        </row>
        <row r="31">
          <cell r="D31" t="str">
            <v>7.</v>
          </cell>
          <cell r="E31" t="str">
            <v>Instalasi Air dalam Rumah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</row>
        <row r="32">
          <cell r="D32" t="str">
            <v>8.</v>
          </cell>
          <cell r="E32" t="str">
            <v>Kantor ( 6 x 8 )</v>
          </cell>
          <cell r="H32">
            <v>1</v>
          </cell>
          <cell r="I32">
            <v>0</v>
          </cell>
          <cell r="J32">
            <v>0</v>
          </cell>
          <cell r="K32">
            <v>0</v>
          </cell>
          <cell r="L32">
            <v>2</v>
          </cell>
          <cell r="M32">
            <v>1</v>
          </cell>
          <cell r="N32">
            <v>3</v>
          </cell>
          <cell r="O32">
            <v>4</v>
          </cell>
          <cell r="P32">
            <v>7</v>
          </cell>
        </row>
        <row r="33">
          <cell r="D33" t="str">
            <v>9.</v>
          </cell>
          <cell r="E33" t="str">
            <v>Garasi</v>
          </cell>
          <cell r="H33">
            <v>1</v>
          </cell>
          <cell r="I33">
            <v>1</v>
          </cell>
          <cell r="J33">
            <v>0</v>
          </cell>
          <cell r="K33">
            <v>1</v>
          </cell>
          <cell r="L33">
            <v>0</v>
          </cell>
          <cell r="M33">
            <v>2</v>
          </cell>
          <cell r="N33">
            <v>1</v>
          </cell>
          <cell r="O33">
            <v>3</v>
          </cell>
          <cell r="P33">
            <v>4</v>
          </cell>
        </row>
        <row r="34">
          <cell r="D34" t="str">
            <v>10.</v>
          </cell>
          <cell r="E34" t="str">
            <v>MCK ( 1,5 x 2 )</v>
          </cell>
          <cell r="H34">
            <v>3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3</v>
          </cell>
          <cell r="N34">
            <v>0</v>
          </cell>
          <cell r="O34">
            <v>3</v>
          </cell>
          <cell r="P34">
            <v>3</v>
          </cell>
        </row>
        <row r="35">
          <cell r="D35" t="str">
            <v>11.</v>
          </cell>
          <cell r="E35" t="str">
            <v>Musholla</v>
          </cell>
          <cell r="H35">
            <v>1</v>
          </cell>
          <cell r="I35">
            <v>0</v>
          </cell>
          <cell r="J35">
            <v>0</v>
          </cell>
          <cell r="K35">
            <v>0</v>
          </cell>
          <cell r="L35">
            <v>2</v>
          </cell>
          <cell r="M35">
            <v>1</v>
          </cell>
          <cell r="N35">
            <v>3</v>
          </cell>
          <cell r="O35">
            <v>4</v>
          </cell>
          <cell r="P35">
            <v>7</v>
          </cell>
        </row>
        <row r="36">
          <cell r="D36" t="str">
            <v>12.</v>
          </cell>
          <cell r="E36" t="str">
            <v>Rumah Genset (4 x 6 m)</v>
          </cell>
          <cell r="H36">
            <v>1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1</v>
          </cell>
          <cell r="N36">
            <v>1</v>
          </cell>
          <cell r="O36">
            <v>2</v>
          </cell>
          <cell r="P36">
            <v>3</v>
          </cell>
        </row>
        <row r="37">
          <cell r="D37" t="str">
            <v>13.</v>
          </cell>
          <cell r="E37" t="str">
            <v>Rumah Genset (4 x 4 m)</v>
          </cell>
          <cell r="H37">
            <v>0</v>
          </cell>
          <cell r="I37">
            <v>2</v>
          </cell>
          <cell r="J37">
            <v>0</v>
          </cell>
          <cell r="K37">
            <v>2</v>
          </cell>
          <cell r="L37">
            <v>0</v>
          </cell>
          <cell r="M37">
            <v>2</v>
          </cell>
          <cell r="N37">
            <v>0</v>
          </cell>
          <cell r="O37">
            <v>2</v>
          </cell>
          <cell r="P37">
            <v>2</v>
          </cell>
        </row>
        <row r="38">
          <cell r="D38" t="str">
            <v>14.</v>
          </cell>
          <cell r="E38" t="str">
            <v>Rumah Genset (3 x 4 m)</v>
          </cell>
          <cell r="H38">
            <v>4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4</v>
          </cell>
          <cell r="N38">
            <v>0</v>
          </cell>
          <cell r="O38">
            <v>4</v>
          </cell>
          <cell r="P38">
            <v>4</v>
          </cell>
        </row>
        <row r="39">
          <cell r="D39" t="str">
            <v>15.</v>
          </cell>
          <cell r="E39" t="str">
            <v>Tempat Pencucian Mobil</v>
          </cell>
          <cell r="H39">
            <v>1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1</v>
          </cell>
          <cell r="N39">
            <v>0</v>
          </cell>
          <cell r="O39">
            <v>1</v>
          </cell>
          <cell r="P39">
            <v>1</v>
          </cell>
        </row>
        <row r="40">
          <cell r="D40" t="str">
            <v>16.</v>
          </cell>
          <cell r="E40" t="str">
            <v>Sumur Bor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6</v>
          </cell>
          <cell r="O40">
            <v>6</v>
          </cell>
          <cell r="P40">
            <v>12</v>
          </cell>
        </row>
        <row r="41">
          <cell r="P41">
            <v>0</v>
          </cell>
        </row>
        <row r="42">
          <cell r="D42" t="str">
            <v>Total ( A + B )</v>
          </cell>
          <cell r="H42">
            <v>42</v>
          </cell>
          <cell r="I42">
            <v>3</v>
          </cell>
          <cell r="J42">
            <v>2</v>
          </cell>
          <cell r="K42">
            <v>5</v>
          </cell>
          <cell r="L42">
            <v>11</v>
          </cell>
          <cell r="M42">
            <v>47</v>
          </cell>
          <cell r="N42">
            <v>25</v>
          </cell>
          <cell r="O42">
            <v>72</v>
          </cell>
          <cell r="P42">
            <v>97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B_RMH"/>
      <sheetName val="Kap Rinci"/>
    </sheetNames>
    <sheetDataSet>
      <sheetData sheetId="0" refreshError="1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-hujan"/>
      <sheetName val="data_hujan"/>
      <sheetName val="tonper Ha-TT 2000"/>
      <sheetName val="1999"/>
      <sheetName val="Ex_Rate"/>
      <sheetName val="Dkg-16"/>
      <sheetName val="DAFISI"/>
      <sheetName val="2002"/>
      <sheetName val="Pk prod"/>
      <sheetName val="NoPrint2"/>
      <sheetName val="ACT PROD"/>
      <sheetName val="PLAN PROD"/>
      <sheetName val="MGR-12"/>
      <sheetName val="FISIK RAB 2000"/>
      <sheetName val="9"/>
      <sheetName val="16"/>
      <sheetName val="grafik-2000"/>
      <sheetName val="grafik-99"/>
      <sheetName val="grafik-98"/>
      <sheetName val="grafik-97"/>
      <sheetName val="08 Jan 2005"/>
      <sheetName val="15 Jan 2005"/>
      <sheetName val="22 Jan 2005"/>
      <sheetName val="29 Jan "/>
      <sheetName val="05 Jan"/>
      <sheetName val="16 Feb 04"/>
      <sheetName val="23 Feb 04 "/>
      <sheetName val="01 Mar 04"/>
      <sheetName val="08 Mar 04 "/>
      <sheetName val="15 Mar 04"/>
      <sheetName val="22  Mar 04"/>
      <sheetName val="28  Mar 04"/>
      <sheetName val="03 April 04 "/>
      <sheetName val="10 April 04 "/>
      <sheetName val="17 April 04  "/>
      <sheetName val="17 April 04 edit"/>
      <sheetName val="24 April 04 "/>
      <sheetName val="24 April 04 edit"/>
      <sheetName val="01 Mei 04"/>
      <sheetName val="08 Mei 04"/>
      <sheetName val="15 Mei 04"/>
      <sheetName val="22 Mei 04 "/>
      <sheetName val="29 Mei 04 "/>
      <sheetName val="05 Juni 04"/>
      <sheetName val="12 Juni 04 "/>
      <sheetName val="19 Juni 04  "/>
      <sheetName val="26 Juni 04 "/>
      <sheetName val=" 30 Juni 04 "/>
      <sheetName val=" 03 Juli 04  "/>
      <sheetName val=" 10 Juli 04   "/>
      <sheetName val=" 17 Juli 04 "/>
      <sheetName val="10 Juli 04 Penyesuaian"/>
      <sheetName val="17 Juli 04 Penyesuaian"/>
      <sheetName val=" 24 Juli 04    "/>
      <sheetName val=" 31 Juli 04 "/>
      <sheetName val="07 Agustus 04"/>
      <sheetName val="14 Agustus 04 "/>
      <sheetName val="22 Agustus 04 "/>
      <sheetName val="28 Agustus 04  "/>
      <sheetName val="Progres"/>
      <sheetName val="DAT_1"/>
      <sheetName val="April"/>
      <sheetName val="TBM"/>
      <sheetName val="K.025CPO-09"/>
      <sheetName val="WP "/>
      <sheetName val="K001-PK-09"/>
      <sheetName val="K.002CPO"/>
      <sheetName val="K.026CPO08"/>
      <sheetName val="12"/>
      <sheetName val="08_Jan_2005"/>
      <sheetName val="15_Jan_2005"/>
      <sheetName val="22_Jan_2005"/>
      <sheetName val="29_Jan_"/>
      <sheetName val="05_Jan"/>
      <sheetName val="16_Feb_04"/>
      <sheetName val="23_Feb_04_"/>
      <sheetName val="01_Mar_04"/>
      <sheetName val="08_Mar_04_"/>
      <sheetName val="15_Mar_04"/>
      <sheetName val="22__Mar_04"/>
      <sheetName val="28__Mar_04"/>
      <sheetName val="03_April_04_"/>
      <sheetName val="10_April_04_"/>
      <sheetName val="17_April_04__"/>
      <sheetName val="17_April_04_edit"/>
      <sheetName val="24_April_04_"/>
      <sheetName val="24_April_04_edit"/>
      <sheetName val="01_Mei_04"/>
      <sheetName val="08_Mei_04"/>
      <sheetName val="15_Mei_04"/>
      <sheetName val="22_Mei_04_"/>
      <sheetName val="29_Mei_04_"/>
      <sheetName val="05_Juni_04"/>
      <sheetName val="12_Juni_04_"/>
      <sheetName val="19_Juni_04__"/>
      <sheetName val="26_Juni_04_"/>
      <sheetName val="_30_Juni_04_"/>
      <sheetName val="_03_Juli_04__"/>
      <sheetName val="_10_Juli_04___"/>
      <sheetName val="_17_Juli_04_"/>
      <sheetName val="10_Juli_04_Penyesuaian"/>
      <sheetName val="17_Juli_04_Penyesuaian"/>
      <sheetName val="_24_Juli_04____"/>
      <sheetName val="_31_Juli_04_"/>
      <sheetName val="07_Agustus_04"/>
      <sheetName val="14_Agustus_04_"/>
      <sheetName val="22_Agustus_04_"/>
      <sheetName val="28_Agustus_04__"/>
      <sheetName val="K_025CPO-09"/>
      <sheetName val="WP_"/>
      <sheetName val="K_002CPO"/>
      <sheetName val="K_026CPO08"/>
      <sheetName val="INDIRECT DETAIL"/>
      <sheetName val="DIRECT COST"/>
      <sheetName val="OPR-99"/>
      <sheetName val="JSiar"/>
      <sheetName val="Global"/>
      <sheetName val="MUTU BUAH"/>
      <sheetName val="Dumtk"/>
      <sheetName val="F"/>
      <sheetName val="97EST021"/>
      <sheetName val="NK Oct'11"/>
      <sheetName val="BHL"/>
      <sheetName val="grafi聫-98"/>
      <sheetName val="08_Jan_20051"/>
      <sheetName val="15_Jan_20051"/>
      <sheetName val="22_Jan_20051"/>
      <sheetName val="29_Jan_1"/>
      <sheetName val="05_Jan1"/>
      <sheetName val="16_Feb_041"/>
      <sheetName val="23_Feb_04_1"/>
      <sheetName val="01_Mar_041"/>
      <sheetName val="08_Mar_04_1"/>
      <sheetName val="15_Mar_041"/>
      <sheetName val="22__Mar_041"/>
      <sheetName val="28__Mar_041"/>
      <sheetName val="03_April_04_1"/>
      <sheetName val="10_April_04_1"/>
      <sheetName val="17_April_04__1"/>
      <sheetName val="17_April_04_edit1"/>
      <sheetName val="24_April_04_1"/>
      <sheetName val="24_April_04_edit1"/>
      <sheetName val="01_Mei_041"/>
      <sheetName val="08_Mei_041"/>
      <sheetName val="15_Mei_041"/>
      <sheetName val="22_Mei_04_1"/>
      <sheetName val="29_Mei_04_1"/>
      <sheetName val="05_Juni_041"/>
      <sheetName val="12_Juni_04_1"/>
      <sheetName val="19_Juni_04__1"/>
      <sheetName val="26_Juni_04_1"/>
      <sheetName val="_30_Juni_04_1"/>
      <sheetName val="_03_Juli_04__1"/>
      <sheetName val="_10_Juli_04___1"/>
      <sheetName val="_17_Juli_04_1"/>
      <sheetName val="10_Juli_04_Penyesuaian1"/>
      <sheetName val="17_Juli_04_Penyesuaian1"/>
      <sheetName val="_24_Juli_04____1"/>
      <sheetName val="_31_Juli_04_1"/>
      <sheetName val="07_Agustus_041"/>
      <sheetName val="14_Agustus_04_1"/>
      <sheetName val="22_Agustus_04_1"/>
      <sheetName val="28_Agustus_04__1"/>
      <sheetName val="K_025CPO-091"/>
      <sheetName val="WP_1"/>
      <sheetName val="K_002CPO1"/>
      <sheetName val="K_026CPO081"/>
      <sheetName val="MUTU_BUAH"/>
      <sheetName val="INDIRECT_DETAIL"/>
      <sheetName val="Pk_prod"/>
      <sheetName val="DIRECT_COST"/>
      <sheetName val="KGP Thp I"/>
      <sheetName val="KGP Thp II"/>
      <sheetName val="Book1"/>
      <sheetName val="DETAIL"/>
      <sheetName val="#REF"/>
      <sheetName val="Akomodasi"/>
      <sheetName val="Sheet1"/>
      <sheetName val="Daftar Harga Barang"/>
      <sheetName val="INDRCT DTL"/>
      <sheetName val="WIL 1"/>
      <sheetName val="AKTIVA"/>
      <sheetName val="MM.PAGE-2.X"/>
      <sheetName val="HAL10"/>
      <sheetName val="BAB-1"/>
      <sheetName val="REKAP EST PROD 13 edt"/>
      <sheetName val="36"/>
      <sheetName val="aktual"/>
      <sheetName val="Upah SKUB"/>
      <sheetName val="Asumsi"/>
      <sheetName val="ocean voyage"/>
      <sheetName val="PO"/>
      <sheetName val="Karung"/>
      <sheetName val="PBG_2"/>
      <sheetName val="Cover"/>
      <sheetName val="Daftar isi"/>
      <sheetName val="Libur"/>
      <sheetName val="MPP"/>
      <sheetName val="Lbr Sched."/>
      <sheetName val="SKU BUL."/>
      <sheetName val="SKU-HAR."/>
      <sheetName val="SKU KHT"/>
      <sheetName val="LBR SLR DTL"/>
      <sheetName val="LEMBUR 2007"/>
      <sheetName val="Prod.smry"/>
      <sheetName val="Rekap Biaya"/>
      <sheetName val="Expens&amp;Rnue (2)"/>
      <sheetName val="DIRECT SMR"/>
      <sheetName val="DIRECT DETAIL"/>
      <sheetName val="INDIRECT SMR"/>
      <sheetName val="INDIRECT COST"/>
      <sheetName val="SE SMR"/>
      <sheetName val="SE COST"/>
      <sheetName val="SE Detail"/>
      <sheetName val="CAPITAL2007"/>
      <sheetName val="TRANS PWR "/>
      <sheetName val="TRANS VEHICL"/>
      <sheetName val="TRANS WATER"/>
      <sheetName val="TRANS WORKM&amp;R"/>
      <sheetName val="TRANS RMH"/>
      <sheetName val="TRANS ALT BERAT"/>
      <sheetName val="COA (3)"/>
      <sheetName val="#REF!"/>
      <sheetName val="L.BA blok"/>
      <sheetName val="_43_9_1"/>
      <sheetName val="TB"/>
      <sheetName val="kki"/>
      <sheetName val="fin pro centers"/>
      <sheetName val="SUMMARY"/>
      <sheetName val="Valuation"/>
      <sheetName val="JADI"/>
      <sheetName val="DAT-1"/>
      <sheetName val="KK CFP JAKARTA"/>
      <sheetName val="Gaji Non Staff"/>
      <sheetName val="Add-trans"/>
      <sheetName val="S-2"/>
      <sheetName val="Pro-Base"/>
      <sheetName val="S-1"/>
      <sheetName val="Revenue"/>
      <sheetName val="Add-rev"/>
      <sheetName val="Exist"/>
      <sheetName val="Tot"/>
      <sheetName val="Tranponder"/>
      <sheetName val="CF Konsol"/>
      <sheetName val="Ulasan"/>
      <sheetName val=" Penjelasan RKB-PDO"/>
      <sheetName val="Rekap  Total"/>
      <sheetName val="SAK"/>
      <sheetName val="BPTL"/>
      <sheetName val="PABRIK (2)"/>
      <sheetName val="Premi Iuran"/>
      <sheetName val="III"/>
      <sheetName val="A"/>
      <sheetName val="NK_Oct'11"/>
      <sheetName val="Data"/>
      <sheetName val="list"/>
      <sheetName val="CPO 16-9-TID "/>
      <sheetName val="Bantu"/>
      <sheetName val="Sheet2"/>
      <sheetName val="Sheet3"/>
      <sheetName val="8.Upah rata2"/>
      <sheetName val="LEMBUR 2006"/>
      <sheetName val="Prod. Stats"/>
      <sheetName val="Capital"/>
      <sheetName val="Kualitas TBS"/>
      <sheetName val="Kesegaran TBS"/>
      <sheetName val="GeneralInfo"/>
      <sheetName val="3"/>
      <sheetName val="PK"/>
      <sheetName val="12-06-ins"/>
      <sheetName val="10  Summary all"/>
      <sheetName val="14"/>
      <sheetName val="20"/>
      <sheetName val="26"/>
      <sheetName val="28"/>
      <sheetName val="Sheet8"/>
      <sheetName val="Perhitungan"/>
      <sheetName val="WIL_1"/>
      <sheetName val="MM_PAGE-2_X"/>
      <sheetName val="ocean_voyage"/>
      <sheetName val="FISIK_RAB_2000"/>
      <sheetName val="REKAP_EST_PROD_13_edt"/>
      <sheetName val="General"/>
      <sheetName val="Capex Sum"/>
      <sheetName val="AAL"/>
      <sheetName val="IIS"/>
      <sheetName val="AARJ"/>
      <sheetName val="XXXXXXXXXXXX"/>
      <sheetName val="BJR-JJ"/>
      <sheetName val="BA"/>
      <sheetName val="TBSv"/>
      <sheetName val="MASTER_INPUT"/>
      <sheetName val="PREMI"/>
      <sheetName val="Budget"/>
      <sheetName val="Analisa"/>
      <sheetName val="MASTER PJCM"/>
      <sheetName val="MASTER MB"/>
      <sheetName val="UMUR KOMPLEK PJCM"/>
      <sheetName val="UMUR KOMPLEK IU MB"/>
      <sheetName val="IU PJCM"/>
      <sheetName val="IU MB"/>
      <sheetName val="DAFTAR NAMA KOMPLEK"/>
      <sheetName val="KOMP"/>
      <sheetName val="97EST120-ok"/>
      <sheetName val="Hal-12 "/>
      <sheetName val="PT"/>
      <sheetName val="Bahasa"/>
      <sheetName val="CH"/>
      <sheetName val="keb-bbm"/>
      <sheetName val="MrTong"/>
      <sheetName val="MGR_12"/>
      <sheetName val="Penjelasan SCK"/>
      <sheetName val="Rin1"/>
      <sheetName val="HET PBG3"/>
      <sheetName val="SOURCE"/>
      <sheetName val="Trading Statement"/>
      <sheetName val="0220"/>
      <sheetName val="Cash-print"/>
      <sheetName val="Tanaman"/>
      <sheetName val="21s"/>
      <sheetName val="2"/>
      <sheetName val="5"/>
      <sheetName val="6"/>
      <sheetName val="7"/>
      <sheetName val="11"/>
      <sheetName val="10"/>
      <sheetName val="15"/>
      <sheetName val="22"/>
      <sheetName val="23"/>
      <sheetName val="24b"/>
      <sheetName val="25"/>
      <sheetName val="27"/>
      <sheetName val="29"/>
      <sheetName val="30"/>
      <sheetName val="31"/>
      <sheetName val="32"/>
      <sheetName val="33"/>
      <sheetName val="1"/>
      <sheetName val="4"/>
      <sheetName val="Biaya-Inv"/>
      <sheetName val="As"/>
      <sheetName val="kud"/>
      <sheetName val="JL_BEL"/>
      <sheetName val="DATA_JUALAN"/>
      <sheetName val="PPH1298S"/>
      <sheetName val="KODE TRANS"/>
      <sheetName val="Kas Bank"/>
      <sheetName val="may'03"/>
      <sheetName val="08_Jan_20052"/>
      <sheetName val="15_Jan_20052"/>
      <sheetName val="22_Jan_20052"/>
      <sheetName val="29_Jan_2"/>
      <sheetName val="05_Jan2"/>
      <sheetName val="16_Feb_042"/>
      <sheetName val="23_Feb_04_2"/>
      <sheetName val="01_Mar_042"/>
      <sheetName val="08_Mar_04_2"/>
      <sheetName val="15_Mar_042"/>
      <sheetName val="22__Mar_042"/>
      <sheetName val="28__Mar_042"/>
      <sheetName val="03_April_04_2"/>
      <sheetName val="10_April_04_2"/>
      <sheetName val="17_April_04__2"/>
      <sheetName val="17_April_04_edit2"/>
      <sheetName val="24_April_04_2"/>
      <sheetName val="24_April_04_edit2"/>
      <sheetName val="01_Mei_042"/>
      <sheetName val="08_Mei_042"/>
      <sheetName val="15_Mei_042"/>
      <sheetName val="22_Mei_04_2"/>
      <sheetName val="29_Mei_04_2"/>
      <sheetName val="05_Juni_042"/>
      <sheetName val="12_Juni_04_2"/>
      <sheetName val="19_Juni_04__2"/>
      <sheetName val="26_Juni_04_2"/>
      <sheetName val="_30_Juni_04_2"/>
      <sheetName val="_03_Juli_04__2"/>
      <sheetName val="_10_Juli_04___2"/>
      <sheetName val="_17_Juli_04_2"/>
      <sheetName val="10_Juli_04_Penyesuaian2"/>
      <sheetName val="17_Juli_04_Penyesuaian2"/>
      <sheetName val="_24_Juli_04____2"/>
      <sheetName val="_31_Juli_04_2"/>
      <sheetName val="07_Agustus_042"/>
      <sheetName val="14_Agustus_04_2"/>
      <sheetName val="22_Agustus_04_2"/>
      <sheetName val="28_Agustus_04__2"/>
      <sheetName val="K_025CPO-092"/>
      <sheetName val="WP_2"/>
      <sheetName val="K_002CPO2"/>
      <sheetName val="K_026CPO082"/>
      <sheetName val="INDIRECT_DETAIL1"/>
      <sheetName val="DIRECT_COST1"/>
      <sheetName val="MUTU_BUAH1"/>
      <sheetName val="Pk_prod1"/>
      <sheetName val="NK_Oct'111"/>
      <sheetName val="KGP_Thp_I"/>
      <sheetName val="KGP_Thp_II"/>
      <sheetName val="Daftar_Harga_Barang"/>
      <sheetName val="INDRCT_DTL"/>
      <sheetName val="WIL_11"/>
      <sheetName val="MM_PAGE-2_X1"/>
      <sheetName val="REKAP_EST_PROD_13_edt1"/>
      <sheetName val="Upah_SKUB"/>
      <sheetName val="ocean_voyage1"/>
      <sheetName val="FISIK_RAB_20001"/>
      <sheetName val="Daftar_isi"/>
      <sheetName val="Lbr_Sched_"/>
      <sheetName val="SKU_BUL_"/>
      <sheetName val="SKU-HAR_"/>
      <sheetName val="SKU_KHT"/>
      <sheetName val="LBR_SLR_DTL"/>
      <sheetName val="LEMBUR_2007"/>
      <sheetName val="Prod_smry"/>
      <sheetName val="Rekap_Biaya"/>
      <sheetName val="Expens&amp;Rnue_(2)"/>
      <sheetName val="DIRECT_SMR"/>
      <sheetName val="DIRECT_DETAIL"/>
      <sheetName val="INDIRECT_SMR"/>
      <sheetName val="INDIRECT_COST"/>
      <sheetName val="SE_SMR"/>
      <sheetName val="SE_COST"/>
      <sheetName val="SE_Detail"/>
      <sheetName val="TRANS_PWR_"/>
      <sheetName val="TRANS_VEHICL"/>
      <sheetName val="TRANS_WATER"/>
      <sheetName val="TRANS_WORKM&amp;R"/>
      <sheetName val="TRANS_RMH"/>
      <sheetName val="TRANS_ALT_BERAT"/>
      <sheetName val="COA_(3)"/>
      <sheetName val="L_BA_blok"/>
      <sheetName val="fin_pro_centers"/>
      <sheetName val="KK_CFP_JAKARTA"/>
      <sheetName val="Gaji_Non_Staff"/>
      <sheetName val="CF_Konsol"/>
      <sheetName val="_Penjelasan_RKB-PDO"/>
      <sheetName val="Rekap__Total"/>
      <sheetName val="PABRIK_(2)"/>
      <sheetName val="Premi_Iuran"/>
      <sheetName val="CPO_16-9-TID_"/>
      <sheetName val="8_Upah_rata2"/>
      <sheetName val="LEMBUR_2006"/>
      <sheetName val="Prod__Stats"/>
      <sheetName val="Kualitas_TBS"/>
      <sheetName val="Kesegaran_TBS"/>
      <sheetName val="10__Summary_all"/>
      <sheetName val="Capex_Sum"/>
      <sheetName val="MASTER_PJCM"/>
      <sheetName val="MASTER_MB"/>
      <sheetName val="UMUR_KOMPLEK_PJCM"/>
      <sheetName val="UMUR_KOMPLEK_IU_MB"/>
      <sheetName val="IU_PJCM"/>
      <sheetName val="IU_MB"/>
      <sheetName val="DAFTAR_NAMA_KOMPLEK"/>
      <sheetName val="2600.50 Rincian Credit Card(HO)"/>
      <sheetName val="Fomat  1"/>
      <sheetName val="04NPE025"/>
      <sheetName val="04NPE008F"/>
      <sheetName val="04NPEII"/>
      <sheetName val="Atur"/>
      <sheetName val="Account"/>
      <sheetName val="CC_New"/>
      <sheetName val="FA sd APRIL 07"/>
      <sheetName val="fa SD APRIL07"/>
      <sheetName val="Daftar Blok"/>
      <sheetName val="RPT"/>
      <sheetName val="Astek"/>
      <sheetName val="Angkutan"/>
      <sheetName val="Panen"/>
      <sheetName val="RPS"/>
      <sheetName val="Kode Barang"/>
      <sheetName val="Blok"/>
      <sheetName val="39"/>
      <sheetName val=""/>
      <sheetName val="Rinci-Biaya"/>
      <sheetName val="Rinci-Pendapatan"/>
      <sheetName val="LR"/>
      <sheetName val="BTL"/>
      <sheetName val="PT AAM AKT"/>
      <sheetName val="CV.UM-MO"/>
      <sheetName val="CV.UM-RAMP"/>
      <sheetName val="mst_akun"/>
      <sheetName val="MASTER"/>
      <sheetName val="CHART SAMPLES RECEIVED"/>
      <sheetName val="材料汇总表"/>
      <sheetName val="Rincian Iuran"/>
      <sheetName val="dft bns"/>
      <sheetName val="4.1"/>
      <sheetName val="Daftar_Barang"/>
      <sheetName val="Master_Akun"/>
      <sheetName val="HO"/>
      <sheetName val="TBM 3"/>
      <sheetName val="MILL-EXP"/>
      <sheetName val="RBSB"/>
      <sheetName val="List Rayon"/>
      <sheetName val="List Department"/>
      <sheetName val="Palm Prod"/>
      <sheetName val="Data Kar"/>
      <sheetName val="Data Rekon"/>
      <sheetName val="renc. kerja LC"/>
      <sheetName val="SASARAN "/>
      <sheetName val="LOCAL GOVT TAX"/>
      <sheetName val="Sheet1 (3)"/>
      <sheetName val="cogs"/>
      <sheetName val="1-AFD"/>
      <sheetName val="MANU"/>
      <sheetName val="BY TM 99 "/>
      <sheetName val="PL"/>
      <sheetName val=" 45KVA-1"/>
      <sheetName val="DATA LTW"/>
      <sheetName val="97EST120_ok"/>
      <sheetName val="Form"/>
      <sheetName val="WRKP TM"/>
      <sheetName val="Production S2"/>
      <sheetName val="Production S3"/>
      <sheetName val="Rawat"/>
      <sheetName val="Lookup"/>
      <sheetName val="(43)9.1"/>
      <sheetName val="HK Effektif &amp; Rate Upah"/>
      <sheetName val="Harga 2011"/>
      <sheetName val="Kend"/>
      <sheetName val="TRAIL"/>
      <sheetName val="Tabel"/>
      <sheetName val="TBM 0"/>
      <sheetName val="BJ &amp; Koreksi"/>
      <sheetName val="Air Limbah"/>
      <sheetName val="Water Analisis"/>
      <sheetName val="PAGE 1.X"/>
      <sheetName val="Peralatan"/>
      <sheetName val="Basic Price"/>
      <sheetName val="Perhitungan Penalty"/>
      <sheetName val="Rekap Bulanan"/>
      <sheetName val="Program Pupuk Inti"/>
      <sheetName val="RKP 1"/>
      <sheetName val="KOMEN"/>
      <sheetName val="ALAT1"/>
      <sheetName val="ALAT"/>
      <sheetName val="ANA-HRG"/>
      <sheetName val="prod"/>
      <sheetName val="2001"/>
      <sheetName val="CSH12"/>
      <sheetName val="CSH7A"/>
      <sheetName val="SD"/>
      <sheetName val="L-PCR08"/>
      <sheetName val="L-PCR03"/>
      <sheetName val="L-PCR04"/>
      <sheetName val="L-PCR05"/>
      <sheetName val="L-PCR06"/>
      <sheetName val="L-PCR09"/>
      <sheetName val="L-PCR02"/>
      <sheetName val="SUM"/>
      <sheetName val="SUM-INTI"/>
      <sheetName val="SUM-PERBLN"/>
      <sheetName val="cov"/>
      <sheetName val="daftar"/>
      <sheetName val="pss-KB"/>
      <sheetName val="YMHB"/>
      <sheetName val="rekap"/>
      <sheetName val="SKU Inti"/>
      <sheetName val="PHL Inti + Borongan"/>
      <sheetName val="SKU -H Plasma "/>
      <sheetName val="PHL Plasma + Borongan"/>
      <sheetName val="Tunaii"/>
      <sheetName val="Supplier"/>
      <sheetName val="Kontraktor"/>
      <sheetName val="cash"/>
      <sheetName val="Bank"/>
      <sheetName val="BPE1 vs BNI"/>
      <sheetName val="BPE1 vs Mandiri"/>
      <sheetName val="bantu Tunai"/>
      <sheetName val="UPAH"/>
      <sheetName val="DIPAKAI"/>
      <sheetName val="Borongan Pakai"/>
      <sheetName val="Rekapitulasi"/>
      <sheetName val="A.Harian &amp; Bulanan"/>
      <sheetName val="MASTER KARYAWAN"/>
      <sheetName val="Langsir"/>
      <sheetName val="LTW"/>
      <sheetName val="asmp1"/>
      <sheetName val="CIP_USD"/>
      <sheetName val="SUMMFA-USD"/>
      <sheetName val="Investment"/>
      <sheetName val="A3_USD_PL02"/>
      <sheetName val="Inventories"/>
      <sheetName val="Ex-Rate"/>
      <sheetName val="BS"/>
      <sheetName val="P&amp;L"/>
      <sheetName val="POM"/>
      <sheetName val="OP"/>
      <sheetName val="Rub"/>
      <sheetName val="BS $"/>
      <sheetName val="P&amp;L $"/>
      <sheetName val="POM $"/>
      <sheetName val="OP $"/>
      <sheetName val="Rub $"/>
      <sheetName val="B"/>
      <sheetName val="C"/>
      <sheetName val="3a"/>
      <sheetName val="3b"/>
      <sheetName val="3c"/>
      <sheetName val="11Rp"/>
      <sheetName val="11$"/>
      <sheetName val="13a"/>
      <sheetName val="13b"/>
      <sheetName val="13c"/>
      <sheetName val="17"/>
      <sheetName val="18"/>
      <sheetName val="19"/>
      <sheetName val="Interest"/>
      <sheetName val="Staff  Cost"/>
      <sheetName val="Opening"/>
      <sheetName val="TAX LIST"/>
      <sheetName val="Detail_FA"/>
      <sheetName val="rate"/>
      <sheetName val="P3"/>
      <sheetName val="data (2)"/>
      <sheetName val="Marshal"/>
      <sheetName val="CA PROD.A-1"/>
      <sheetName val="IS"/>
      <sheetName val="Gaji Bersih GW"/>
      <sheetName val="Dosis"/>
      <sheetName val="Lookup2"/>
      <sheetName val="Attn"/>
      <sheetName val="AGING"/>
      <sheetName val="ISI"/>
      <sheetName val="% Lbr vs GP"/>
      <sheetName val="UPDATE KUOTA (VERIFIKASI)"/>
      <sheetName val="Financials"/>
      <sheetName val="10 yr val"/>
      <sheetName val="Input"/>
      <sheetName val="Gaji"/>
      <sheetName val="REKAP OMZET KAPAL"/>
      <sheetName val="PB(B)"/>
      <sheetName val="FORM X COST"/>
      <sheetName val="Trip"/>
      <sheetName val="Data SRL"/>
      <sheetName val="Data Prod_Graf"/>
      <sheetName val="PK RM"/>
      <sheetName val="Dbase TK"/>
      <sheetName val="Dbase AP"/>
      <sheetName val="NEG02"/>
      <sheetName val="HA"/>
      <sheetName val="DPO"/>
      <sheetName val="LHA P"/>
      <sheetName val="BPKM PN"/>
      <sheetName val="Prestasi"/>
      <sheetName val="Denda"/>
      <sheetName val="LHP"/>
      <sheetName val="Gaji PNN &amp; RWT"/>
      <sheetName val="II"/>
      <sheetName val="Pk_prod2"/>
      <sheetName val="ACT_PROD"/>
      <sheetName val="PLAN_PROD"/>
      <sheetName val="FISIK_RAB_20002"/>
      <sheetName val="08_Jan_20053"/>
      <sheetName val="15_Jan_20053"/>
      <sheetName val="22_Jan_20053"/>
      <sheetName val="29_Jan_3"/>
      <sheetName val="05_Jan3"/>
      <sheetName val="16_Feb_043"/>
      <sheetName val="23_Feb_04_3"/>
      <sheetName val="01_Mar_043"/>
      <sheetName val="08_Mar_04_3"/>
      <sheetName val="15_Mar_043"/>
      <sheetName val="22__Mar_043"/>
      <sheetName val="28__Mar_043"/>
      <sheetName val="03_April_04_3"/>
      <sheetName val="10_April_04_3"/>
      <sheetName val="17_April_04__3"/>
      <sheetName val="17_April_04_edit3"/>
      <sheetName val="24_April_04_3"/>
      <sheetName val="24_April_04_edit3"/>
      <sheetName val="01_Mei_043"/>
      <sheetName val="08_Mei_043"/>
      <sheetName val="15_Mei_043"/>
      <sheetName val="22_Mei_04_3"/>
      <sheetName val="29_Mei_04_3"/>
      <sheetName val="05_Juni_043"/>
      <sheetName val="12_Juni_04_3"/>
      <sheetName val="19_Juni_04__3"/>
      <sheetName val="26_Juni_04_3"/>
      <sheetName val="_30_Juni_04_3"/>
      <sheetName val="_03_Juli_04__3"/>
      <sheetName val="_10_Juli_04___3"/>
      <sheetName val="_17_Juli_04_3"/>
      <sheetName val="10_Juli_04_Penyesuaian3"/>
      <sheetName val="17_Juli_04_Penyesuaian3"/>
      <sheetName val="_24_Juli_04____3"/>
      <sheetName val="_31_Juli_04_3"/>
      <sheetName val="07_Agustus_043"/>
      <sheetName val="14_Agustus_04_3"/>
      <sheetName val="22_Agustus_04_3"/>
      <sheetName val="28_Agustus_04__3"/>
      <sheetName val="K_025CPO-093"/>
      <sheetName val="WP_3"/>
      <sheetName val="K_002CPO3"/>
      <sheetName val="K_026CPO083"/>
      <sheetName val="INDIRECT_DETAIL2"/>
      <sheetName val="DIRECT_COST2"/>
      <sheetName val="MUTU_BUAH2"/>
      <sheetName val="NK_Oct'112"/>
      <sheetName val="KGP_Thp_I1"/>
      <sheetName val="KGP_Thp_II1"/>
      <sheetName val="Daftar_Harga_Barang1"/>
      <sheetName val="INDRCT_DTL1"/>
      <sheetName val="WIL_12"/>
      <sheetName val="MM_PAGE-2_X2"/>
      <sheetName val="REKAP_EST_PROD_13_edt2"/>
      <sheetName val="Upah_SKUB1"/>
      <sheetName val="ocean_voyage2"/>
      <sheetName val="Daftar_isi1"/>
      <sheetName val="Lbr_Sched_1"/>
      <sheetName val="SKU_BUL_1"/>
      <sheetName val="SKU-HAR_1"/>
      <sheetName val="SKU_KHT1"/>
      <sheetName val="LBR_SLR_DTL1"/>
      <sheetName val="LEMBUR_20071"/>
      <sheetName val="Prod_smry1"/>
      <sheetName val="Rekap_Biaya1"/>
      <sheetName val="Expens&amp;Rnue_(2)1"/>
      <sheetName val="DIRECT_SMR1"/>
      <sheetName val="DIRECT_DETAIL1"/>
      <sheetName val="INDIRECT_SMR1"/>
      <sheetName val="INDIRECT_COST1"/>
      <sheetName val="SE_SMR1"/>
      <sheetName val="SE_COST1"/>
      <sheetName val="SE_Detail1"/>
      <sheetName val="TRANS_PWR_1"/>
      <sheetName val="TRANS_VEHICL1"/>
      <sheetName val="TRANS_WATER1"/>
      <sheetName val="TRANS_WORKM&amp;R1"/>
      <sheetName val="TRANS_RMH1"/>
      <sheetName val="TRANS_ALT_BERAT1"/>
      <sheetName val="COA_(3)1"/>
      <sheetName val="L_BA_blok1"/>
      <sheetName val="fin_pro_centers1"/>
      <sheetName val="KK_CFP_JAKARTA1"/>
      <sheetName val="Gaji_Non_Staff1"/>
      <sheetName val="CF_Konsol1"/>
      <sheetName val="_Penjelasan_RKB-PDO1"/>
      <sheetName val="Rekap__Total1"/>
      <sheetName val="PABRIK_(2)1"/>
      <sheetName val="Premi_Iuran1"/>
      <sheetName val="CPO_16-9-TID_1"/>
      <sheetName val="8_Upah_rata21"/>
      <sheetName val="LEMBUR_20061"/>
      <sheetName val="Prod__Stats1"/>
      <sheetName val="Kualitas_TBS1"/>
      <sheetName val="Kesegaran_TBS1"/>
      <sheetName val="10__Summary_all1"/>
      <sheetName val="Capex_Sum1"/>
      <sheetName val="MASTER_PJCM1"/>
      <sheetName val="MASTER_MB1"/>
      <sheetName val="UMUR_KOMPLEK_PJCM1"/>
      <sheetName val="UMUR_KOMPLEK_IU_MB1"/>
      <sheetName val="IU_PJCM1"/>
      <sheetName val="IU_MB1"/>
      <sheetName val="DAFTAR_NAMA_KOMPLEK1"/>
      <sheetName val="Hal-12_"/>
      <sheetName val="Penjelasan_SCK"/>
      <sheetName val="HET_PBG3"/>
      <sheetName val="Trading_Statement"/>
      <sheetName val="KODE_TRANS"/>
      <sheetName val="Kas_Bank"/>
      <sheetName val="2600_50_Rincian_Credit_Card(HO)"/>
      <sheetName val="Fomat__1"/>
      <sheetName val="FA_sd_APRIL_07"/>
      <sheetName val="fa_SD_APRIL07"/>
      <sheetName val="Daftar_Blok"/>
      <sheetName val="Kode_Barang"/>
      <sheetName val="PT_AAM_AKT"/>
      <sheetName val="CV_UM-MO"/>
      <sheetName val="CV_UM-RAMP"/>
      <sheetName val="CHART_SAMPLES_RECEIVED"/>
      <sheetName val="Rincian_Iuran"/>
      <sheetName val="dft_bns"/>
      <sheetName val="4_1"/>
      <sheetName val="TBM_3"/>
      <sheetName val="List_Rayon"/>
      <sheetName val="List_Department"/>
      <sheetName val="Palm_Prod"/>
      <sheetName val="Data_Kar"/>
      <sheetName val="Data_Rekon"/>
      <sheetName val="renc__kerja_LC"/>
      <sheetName val="SASARAN_"/>
      <sheetName val="LOCAL_GOVT_TAX"/>
      <sheetName val="Sheet1_(3)"/>
      <sheetName val="BY_TM_99_"/>
      <sheetName val="_45KVA-1"/>
      <sheetName val="DATA_LTW"/>
      <sheetName val="WRKP_TM"/>
      <sheetName val="Production_S2"/>
      <sheetName val="Production_S3"/>
      <sheetName val="(43)9_1"/>
      <sheetName val="HK_Effektif_&amp;_Rate_Upah"/>
      <sheetName val="Harga_2011"/>
      <sheetName val="TBM_0"/>
      <sheetName val="BJ_&amp;_Koreksi"/>
      <sheetName val="Air_Limbah"/>
      <sheetName val="Water_Analisis"/>
      <sheetName val="PAGE_1_X"/>
      <sheetName val="Basic_Price"/>
      <sheetName val="Perhitungan_Penalty"/>
      <sheetName val="Rekap_Bulanan"/>
      <sheetName val="Program_Pupuk_Inti"/>
      <sheetName val="RKP_1"/>
      <sheetName val="SKU_Inti"/>
      <sheetName val="PHL_Inti_+_Borongan"/>
      <sheetName val="SKU_-H_Plasma_"/>
      <sheetName val="PHL_Plasma_+_Borongan"/>
      <sheetName val="BPE1_vs_BNI"/>
      <sheetName val="BPE1_vs_Mandiri"/>
      <sheetName val="bantu_Tunai"/>
      <sheetName val="Borongan_Pakai"/>
      <sheetName val="A_Harian_&amp;_Bulanan"/>
      <sheetName val="MASTER_KARYAWAN"/>
      <sheetName val="BS_$"/>
      <sheetName val="P&amp;L_$"/>
      <sheetName val="POM_$"/>
      <sheetName val="OP_$"/>
      <sheetName val="Rub_$"/>
      <sheetName val="Staff__Cost"/>
      <sheetName val="TAX_LIST"/>
      <sheetName val="data_(2)"/>
      <sheetName val="CA_PROD_A-1"/>
      <sheetName val="Gaji_Bersih_GW"/>
      <sheetName val="%_Lbr_vs_GP"/>
      <sheetName val="UPDATE_KUOTA_(VERIFIKASI)"/>
      <sheetName val="10_yr_val"/>
      <sheetName val="REKAP_OMZET_KAPAL"/>
      <sheetName val="FORM_X_COST"/>
      <sheetName val="tonper_Ha-TT_2000"/>
      <sheetName val="Data_SRL"/>
      <sheetName val="Data_Prod_Graf"/>
      <sheetName val="PK_RM"/>
      <sheetName val="Dbase_TK"/>
      <sheetName val="Dbase_AP"/>
      <sheetName val="LHA_P"/>
      <sheetName val="BPKM_PN"/>
      <sheetName val="Gaji_PNN_&amp;_RWT"/>
      <sheetName val="2f"/>
      <sheetName val="A5 _ii_"/>
      <sheetName val="CODE BAHAN"/>
      <sheetName val="TRIAL"/>
      <sheetName val="BS final"/>
      <sheetName val="III.9"/>
      <sheetName val="9.3 Transit3"/>
      <sheetName val="fisik 94"/>
      <sheetName val="LUK(B)-KTR12"/>
      <sheetName val="Group C of A"/>
      <sheetName val="TB - BS"/>
      <sheetName val="PAN"/>
      <sheetName val="kap rinci"/>
      <sheetName val="Rkp-Bgt"/>
      <sheetName val="Input Sheet"/>
      <sheetName val="KEB_RMH"/>
      <sheetName val="87013611"/>
      <sheetName val="Rumus"/>
      <sheetName val="Div01"/>
      <sheetName val="Div02"/>
      <sheetName val="Div03"/>
      <sheetName val="New Position"/>
      <sheetName val="NEW POSITION BD"/>
      <sheetName val="Hal-12_1"/>
      <sheetName val="Jenis kendaraan"/>
      <sheetName val="JK"/>
      <sheetName val="UOM-primary"/>
      <sheetName val="Sheet6"/>
      <sheetName val="transport method"/>
      <sheetName val="00MM-COS"/>
      <sheetName val="CODE_BAHAN"/>
      <sheetName val="BS_final"/>
      <sheetName val="Input_Sheet"/>
      <sheetName val="Bulanan"/>
      <sheetName val="08_Jan_20054"/>
      <sheetName val="15_Jan_20054"/>
      <sheetName val="22_Jan_20054"/>
      <sheetName val="29_Jan_4"/>
      <sheetName val="05_Jan4"/>
      <sheetName val="16_Feb_044"/>
      <sheetName val="23_Feb_04_4"/>
      <sheetName val="01_Mar_044"/>
      <sheetName val="08_Mar_04_4"/>
      <sheetName val="15_Mar_044"/>
      <sheetName val="22__Mar_044"/>
      <sheetName val="28__Mar_044"/>
      <sheetName val="03_April_04_4"/>
      <sheetName val="10_April_04_4"/>
      <sheetName val="17_April_04__4"/>
      <sheetName val="17_April_04_edit4"/>
      <sheetName val="24_April_04_4"/>
      <sheetName val="24_April_04_edit4"/>
      <sheetName val="01_Mei_044"/>
      <sheetName val="08_Mei_044"/>
      <sheetName val="15_Mei_044"/>
      <sheetName val="22_Mei_04_4"/>
      <sheetName val="29_Mei_04_4"/>
      <sheetName val="05_Juni_044"/>
      <sheetName val="12_Juni_04_4"/>
      <sheetName val="19_Juni_04__4"/>
      <sheetName val="26_Juni_04_4"/>
      <sheetName val="_30_Juni_04_4"/>
      <sheetName val="_03_Juli_04__4"/>
      <sheetName val="_10_Juli_04___4"/>
      <sheetName val="_17_Juli_04_4"/>
      <sheetName val="10_Juli_04_Penyesuaian4"/>
      <sheetName val="17_Juli_04_Penyesuaian4"/>
      <sheetName val="_24_Juli_04____4"/>
      <sheetName val="_31_Juli_04_4"/>
      <sheetName val="07_Agustus_044"/>
      <sheetName val="14_Agustus_04_4"/>
      <sheetName val="22_Agustus_04_4"/>
      <sheetName val="28_Agustus_04__4"/>
      <sheetName val="K_025CPO-094"/>
      <sheetName val="WP_4"/>
      <sheetName val="K_002CPO4"/>
      <sheetName val="K_026CPO084"/>
      <sheetName val="MUTU_BUAH3"/>
      <sheetName val="NK_Oct'113"/>
      <sheetName val="Pk_prod3"/>
      <sheetName val="Upah_SKUB2"/>
      <sheetName val="INDIRECT_DETAIL3"/>
      <sheetName val="Hal-12_2"/>
      <sheetName val="DIRECT_COST3"/>
      <sheetName val="Premi_Iuran2"/>
      <sheetName val="KGP_Thp_I2"/>
      <sheetName val="KGP_Thp_II2"/>
      <sheetName val="L_BA_blok2"/>
      <sheetName val="fin_pro_centers2"/>
      <sheetName val="KK_CFP_JAKARTA2"/>
      <sheetName val="Gaji_Non_Staff2"/>
      <sheetName val="CF_Konsol2"/>
      <sheetName val="_Penjelasan_RKB-PDO2"/>
      <sheetName val="Rekap__Total2"/>
      <sheetName val="PABRIK_(2)2"/>
      <sheetName val="Daftar_Harga_Barang2"/>
      <sheetName val="Penjelasan_SCK1"/>
      <sheetName val="HET_PBG31"/>
      <sheetName val="New_Position"/>
      <sheetName val="NEW_POSITION_BD"/>
      <sheetName val="Jenis_kendaraan"/>
      <sheetName val="transport_method"/>
      <sheetName val="Transp2"/>
      <sheetName val="tonper_Ha-TT_20001"/>
      <sheetName val="08_Jan_20055"/>
      <sheetName val="15_Jan_20055"/>
      <sheetName val="22_Jan_20055"/>
      <sheetName val="29_Jan_5"/>
      <sheetName val="05_Jan5"/>
      <sheetName val="16_Feb_045"/>
      <sheetName val="23_Feb_04_5"/>
      <sheetName val="01_Mar_045"/>
      <sheetName val="08_Mar_04_5"/>
      <sheetName val="15_Mar_045"/>
      <sheetName val="22__Mar_045"/>
      <sheetName val="28__Mar_045"/>
      <sheetName val="03_April_04_5"/>
      <sheetName val="10_April_04_5"/>
      <sheetName val="17_April_04__5"/>
      <sheetName val="17_April_04_edit5"/>
      <sheetName val="24_April_04_5"/>
      <sheetName val="24_April_04_edit5"/>
      <sheetName val="01_Mei_045"/>
      <sheetName val="08_Mei_045"/>
      <sheetName val="15_Mei_045"/>
      <sheetName val="22_Mei_04_5"/>
      <sheetName val="29_Mei_04_5"/>
      <sheetName val="05_Juni_045"/>
      <sheetName val="12_Juni_04_5"/>
      <sheetName val="19_Juni_04__5"/>
      <sheetName val="26_Juni_04_5"/>
      <sheetName val="_30_Juni_04_5"/>
      <sheetName val="_03_Juli_04__5"/>
      <sheetName val="_10_Juli_04___5"/>
      <sheetName val="_17_Juli_04_5"/>
      <sheetName val="10_Juli_04_Penyesuaian5"/>
      <sheetName val="17_Juli_04_Penyesuaian5"/>
      <sheetName val="_24_Juli_04____5"/>
      <sheetName val="_31_Juli_04_5"/>
      <sheetName val="07_Agustus_045"/>
      <sheetName val="14_Agustus_04_5"/>
      <sheetName val="22_Agustus_04_5"/>
      <sheetName val="28_Agustus_04__5"/>
      <sheetName val="K_025CPO-095"/>
      <sheetName val="WP_5"/>
      <sheetName val="K_002CPO5"/>
      <sheetName val="K_026CPO085"/>
      <sheetName val="MUTU_BUAH4"/>
      <sheetName val="NK_Oct'114"/>
      <sheetName val="Pk_prod4"/>
      <sheetName val="REKAP_EST_PROD_13_edt3"/>
      <sheetName val="Upah_SKUB3"/>
      <sheetName val="Daftar_Blok1"/>
      <sheetName val="Kode_Barang1"/>
      <sheetName val="ACT_PROD1"/>
      <sheetName val="PLAN_PROD1"/>
      <sheetName val="INDIRECT_DETAIL4"/>
      <sheetName val="CODE_BAHAN1"/>
      <sheetName val="Hal-12_3"/>
      <sheetName val="DIRECT_COST4"/>
      <sheetName val="Premi_Iuran3"/>
      <sheetName val="KGP_Thp_I3"/>
      <sheetName val="KGP_Thp_II3"/>
      <sheetName val="L_BA_blok3"/>
      <sheetName val="fin_pro_centers3"/>
      <sheetName val="KK_CFP_JAKARTA3"/>
      <sheetName val="Gaji_Non_Staff3"/>
      <sheetName val="CF_Konsol3"/>
      <sheetName val="_Penjelasan_RKB-PDO3"/>
      <sheetName val="Rekap__Total3"/>
      <sheetName val="PABRIK_(2)3"/>
      <sheetName val="Daftar_Harga_Barang3"/>
      <sheetName val="BS_final1"/>
      <sheetName val="Input_Sheet1"/>
      <sheetName val="INDRCT_DTL2"/>
      <sheetName val="Daftar_isi2"/>
      <sheetName val="Lbr_Sched_2"/>
      <sheetName val="SKU_BUL_2"/>
      <sheetName val="SKU-HAR_2"/>
      <sheetName val="SKU_KHT2"/>
      <sheetName val="LBR_SLR_DTL2"/>
      <sheetName val="LEMBUR_20072"/>
      <sheetName val="Prod_smry2"/>
      <sheetName val="Rekap_Biaya2"/>
      <sheetName val="Expens&amp;Rnue_(2)2"/>
      <sheetName val="DIRECT_SMR2"/>
      <sheetName val="DIRECT_DETAIL2"/>
      <sheetName val="INDIRECT_SMR2"/>
      <sheetName val="INDIRECT_COST2"/>
      <sheetName val="SE_SMR2"/>
      <sheetName val="SE_COST2"/>
      <sheetName val="SE_Detail2"/>
      <sheetName val="TRANS_PWR_2"/>
      <sheetName val="TRANS_VEHICL2"/>
      <sheetName val="TRANS_WATER2"/>
      <sheetName val="TRANS_WORKM&amp;R2"/>
      <sheetName val="TRANS_RMH2"/>
      <sheetName val="TRANS_ALT_BERAT2"/>
      <sheetName val="CPO_16-9-TID_2"/>
      <sheetName val="Kualitas_TBS2"/>
      <sheetName val="Kesegaran_TBS2"/>
      <sheetName val="10__Summary_all2"/>
      <sheetName val="8_Upah_rata22"/>
      <sheetName val="LEMBUR_20062"/>
      <sheetName val="Prod__Stats2"/>
      <sheetName val="Capex_Sum2"/>
      <sheetName val="Penjelasan_SCK2"/>
      <sheetName val="HET_PBG32"/>
      <sheetName val="New_Position1"/>
      <sheetName val="NEW_POSITION_BD1"/>
      <sheetName val="Jenis_kendaraan1"/>
      <sheetName val="transport_method1"/>
      <sheetName val="DIV-1"/>
      <sheetName val="tonper_Ha-TT_20002"/>
      <sheetName val="08_Jan_20056"/>
      <sheetName val="15_Jan_20056"/>
      <sheetName val="22_Jan_20056"/>
      <sheetName val="29_Jan_6"/>
      <sheetName val="05_Jan6"/>
      <sheetName val="16_Feb_046"/>
      <sheetName val="23_Feb_04_6"/>
      <sheetName val="01_Mar_046"/>
      <sheetName val="08_Mar_04_6"/>
      <sheetName val="15_Mar_046"/>
      <sheetName val="22__Mar_046"/>
      <sheetName val="28__Mar_046"/>
      <sheetName val="03_April_04_6"/>
      <sheetName val="10_April_04_6"/>
      <sheetName val="17_April_04__6"/>
      <sheetName val="17_April_04_edit6"/>
      <sheetName val="24_April_04_6"/>
      <sheetName val="24_April_04_edit6"/>
      <sheetName val="01_Mei_046"/>
      <sheetName val="08_Mei_046"/>
      <sheetName val="15_Mei_046"/>
      <sheetName val="22_Mei_04_6"/>
      <sheetName val="29_Mei_04_6"/>
      <sheetName val="05_Juni_046"/>
      <sheetName val="12_Juni_04_6"/>
      <sheetName val="19_Juni_04__6"/>
      <sheetName val="26_Juni_04_6"/>
      <sheetName val="_30_Juni_04_6"/>
      <sheetName val="_03_Juli_04__6"/>
      <sheetName val="_10_Juli_04___6"/>
      <sheetName val="_17_Juli_04_6"/>
      <sheetName val="10_Juli_04_Penyesuaian6"/>
      <sheetName val="17_Juli_04_Penyesuaian6"/>
      <sheetName val="_24_Juli_04____6"/>
      <sheetName val="_31_Juli_04_6"/>
      <sheetName val="07_Agustus_046"/>
      <sheetName val="14_Agustus_04_6"/>
      <sheetName val="22_Agustus_04_6"/>
      <sheetName val="28_Agustus_04__6"/>
      <sheetName val="K_025CPO-096"/>
      <sheetName val="WP_6"/>
      <sheetName val="K_002CPO6"/>
      <sheetName val="K_026CPO086"/>
      <sheetName val="MUTU_BUAH5"/>
      <sheetName val="NK_Oct'115"/>
      <sheetName val="Pk_prod5"/>
      <sheetName val="REKAP_EST_PROD_13_edt4"/>
      <sheetName val="Upah_SKUB4"/>
      <sheetName val="Daftar_Blok2"/>
      <sheetName val="Kode_Barang2"/>
      <sheetName val="ACT_PROD2"/>
      <sheetName val="PLAN_PROD2"/>
      <sheetName val="INDIRECT_DETAIL5"/>
      <sheetName val="CODE_BAHAN2"/>
      <sheetName val="Hal-12_4"/>
      <sheetName val="DIRECT_COST5"/>
      <sheetName val="Premi_Iuran4"/>
      <sheetName val="KGP_Thp_I4"/>
      <sheetName val="KGP_Thp_II4"/>
      <sheetName val="L_BA_blok4"/>
      <sheetName val="fin_pro_centers4"/>
      <sheetName val="KK_CFP_JAKARTA4"/>
      <sheetName val="Gaji_Non_Staff4"/>
      <sheetName val="CF_Konsol4"/>
      <sheetName val="_Penjelasan_RKB-PDO4"/>
      <sheetName val="Rekap__Total4"/>
      <sheetName val="PABRIK_(2)4"/>
      <sheetName val="Daftar_Harga_Barang4"/>
      <sheetName val="BS_final2"/>
      <sheetName val="Input_Sheet2"/>
      <sheetName val="INDRCT_DTL3"/>
      <sheetName val="WIL_13"/>
      <sheetName val="MM_PAGE-2_X3"/>
      <sheetName val="Daftar_isi3"/>
      <sheetName val="Lbr_Sched_3"/>
      <sheetName val="SKU_BUL_3"/>
      <sheetName val="SKU-HAR_3"/>
      <sheetName val="SKU_KHT3"/>
      <sheetName val="LBR_SLR_DTL3"/>
      <sheetName val="LEMBUR_20073"/>
      <sheetName val="Prod_smry3"/>
      <sheetName val="Rekap_Biaya3"/>
      <sheetName val="Expens&amp;Rnue_(2)3"/>
      <sheetName val="DIRECT_SMR3"/>
      <sheetName val="DIRECT_DETAIL3"/>
      <sheetName val="INDIRECT_SMR3"/>
      <sheetName val="INDIRECT_COST3"/>
      <sheetName val="SE_SMR3"/>
      <sheetName val="SE_COST3"/>
      <sheetName val="SE_Detail3"/>
      <sheetName val="TRANS_PWR_3"/>
      <sheetName val="TRANS_VEHICL3"/>
      <sheetName val="TRANS_WATER3"/>
      <sheetName val="TRANS_WORKM&amp;R3"/>
      <sheetName val="TRANS_RMH3"/>
      <sheetName val="TRANS_ALT_BERAT3"/>
      <sheetName val="ocean_voyage3"/>
      <sheetName val="FISIK_RAB_20003"/>
      <sheetName val="CPO_16-9-TID_3"/>
      <sheetName val="Kualitas_TBS3"/>
      <sheetName val="Kesegaran_TBS3"/>
      <sheetName val="10__Summary_all3"/>
      <sheetName val="8_Upah_rata23"/>
      <sheetName val="LEMBUR_20063"/>
      <sheetName val="Prod__Stats3"/>
      <sheetName val="Capex_Sum3"/>
      <sheetName val="Penjelasan_SCK3"/>
      <sheetName val="HET_PBG33"/>
      <sheetName val="New_Position2"/>
      <sheetName val="NEW_POSITION_BD2"/>
      <sheetName val="Jenis_kendaraan2"/>
      <sheetName val="transport_method2"/>
      <sheetName val="GAJI - MLGE I"/>
      <sheetName val="Alber"/>
      <sheetName val="hal_8"/>
      <sheetName val="Sanggau"/>
      <sheetName val="Tabel-kalibrasi"/>
      <sheetName val="Sat. Pek."/>
      <sheetName val="1a"/>
      <sheetName val="1c"/>
      <sheetName val="T155"/>
      <sheetName val="T230"/>
      <sheetName val="G45&amp;65"/>
      <sheetName val="G10"/>
      <sheetName val="G15"/>
      <sheetName val="JeP"/>
      <sheetName val="FORD2"/>
      <sheetName val="FORD4"/>
      <sheetName val="TLB"/>
      <sheetName val="EV"/>
      <sheetName val="L3"/>
      <sheetName val="TRK"/>
      <sheetName val="WL"/>
      <sheetName val="EBS"/>
      <sheetName val="GR"/>
      <sheetName val="TRL"/>
    </sheetNames>
    <sheetDataSet>
      <sheetData sheetId="0" refreshError="1">
        <row r="3">
          <cell r="E3">
            <v>2002</v>
          </cell>
        </row>
        <row r="17">
          <cell r="E17">
            <v>18</v>
          </cell>
          <cell r="F17">
            <v>195</v>
          </cell>
          <cell r="G17">
            <v>13</v>
          </cell>
          <cell r="H17">
            <v>361</v>
          </cell>
          <cell r="I17">
            <v>18</v>
          </cell>
          <cell r="J17">
            <v>230</v>
          </cell>
          <cell r="K17">
            <v>17</v>
          </cell>
          <cell r="L17">
            <v>253</v>
          </cell>
          <cell r="M17">
            <v>15</v>
          </cell>
          <cell r="N17">
            <v>220</v>
          </cell>
          <cell r="O17">
            <v>20</v>
          </cell>
          <cell r="P17">
            <v>1556</v>
          </cell>
          <cell r="Q17">
            <v>101</v>
          </cell>
          <cell r="R17">
            <v>451</v>
          </cell>
          <cell r="S17">
            <v>16</v>
          </cell>
          <cell r="T17">
            <v>105</v>
          </cell>
          <cell r="U17">
            <v>12</v>
          </cell>
          <cell r="V17">
            <v>113</v>
          </cell>
          <cell r="W17">
            <v>9</v>
          </cell>
          <cell r="X17">
            <v>202</v>
          </cell>
          <cell r="Y17">
            <v>12</v>
          </cell>
          <cell r="Z17">
            <v>202</v>
          </cell>
          <cell r="AA17">
            <v>17</v>
          </cell>
          <cell r="AB17">
            <v>178</v>
          </cell>
          <cell r="AC17">
            <v>18</v>
          </cell>
        </row>
      </sheetData>
      <sheetData sheetId="1">
        <row r="3">
          <cell r="F3" t="str">
            <v>FEBRUARI</v>
          </cell>
        </row>
      </sheetData>
      <sheetData sheetId="2" refreshError="1"/>
      <sheetData sheetId="3" refreshError="1"/>
      <sheetData sheetId="4">
        <row r="3">
          <cell r="F3" t="str">
            <v>FEBRUARI</v>
          </cell>
        </row>
      </sheetData>
      <sheetData sheetId="5">
        <row r="3">
          <cell r="F3" t="str">
            <v>FEBRUARI</v>
          </cell>
        </row>
      </sheetData>
      <sheetData sheetId="6">
        <row r="3">
          <cell r="F3" t="str">
            <v>FEBRUARI</v>
          </cell>
        </row>
      </sheetData>
      <sheetData sheetId="7">
        <row r="7">
          <cell r="C7" t="str">
            <v>NIK</v>
          </cell>
        </row>
      </sheetData>
      <sheetData sheetId="8">
        <row r="7">
          <cell r="C7" t="str">
            <v>NIK</v>
          </cell>
        </row>
      </sheetData>
      <sheetData sheetId="9">
        <row r="7">
          <cell r="C7" t="str">
            <v>NIK</v>
          </cell>
        </row>
      </sheetData>
      <sheetData sheetId="10">
        <row r="7">
          <cell r="C7" t="str">
            <v>NIK</v>
          </cell>
        </row>
      </sheetData>
      <sheetData sheetId="11">
        <row r="7">
          <cell r="C7" t="str">
            <v>NIK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>
        <row r="7">
          <cell r="C7" t="str">
            <v>NIK</v>
          </cell>
        </row>
      </sheetData>
      <sheetData sheetId="645">
        <row r="7">
          <cell r="C7" t="str">
            <v>NIK</v>
          </cell>
        </row>
      </sheetData>
      <sheetData sheetId="646" refreshError="1"/>
      <sheetData sheetId="647" refreshError="1"/>
      <sheetData sheetId="648">
        <row r="6">
          <cell r="AA6" t="str">
            <v xml:space="preserve">Upah Bersih </v>
          </cell>
        </row>
      </sheetData>
      <sheetData sheetId="649" refreshError="1"/>
      <sheetData sheetId="650">
        <row r="7">
          <cell r="C7" t="str">
            <v>NIK</v>
          </cell>
        </row>
      </sheetData>
      <sheetData sheetId="651">
        <row r="7">
          <cell r="C7" t="str">
            <v>NIK</v>
          </cell>
        </row>
      </sheetData>
      <sheetData sheetId="652">
        <row r="7">
          <cell r="C7" t="str">
            <v>NIK</v>
          </cell>
        </row>
      </sheetData>
      <sheetData sheetId="653"/>
      <sheetData sheetId="654">
        <row r="3">
          <cell r="F3" t="str">
            <v>FEBRUARI</v>
          </cell>
        </row>
      </sheetData>
      <sheetData sheetId="655">
        <row r="3">
          <cell r="F3" t="str">
            <v>FEBRUARI</v>
          </cell>
        </row>
      </sheetData>
      <sheetData sheetId="656">
        <row r="3">
          <cell r="F3" t="str">
            <v>FEBRUARI</v>
          </cell>
        </row>
      </sheetData>
      <sheetData sheetId="657">
        <row r="3">
          <cell r="F3" t="str">
            <v>FEBRUARI</v>
          </cell>
        </row>
      </sheetData>
      <sheetData sheetId="658"/>
      <sheetData sheetId="659"/>
      <sheetData sheetId="660"/>
      <sheetData sheetId="661"/>
      <sheetData sheetId="662"/>
      <sheetData sheetId="663">
        <row r="3">
          <cell r="F3" t="str">
            <v>FEBRUARI</v>
          </cell>
        </row>
      </sheetData>
      <sheetData sheetId="664">
        <row r="3">
          <cell r="F3" t="str">
            <v>FEBRUARI</v>
          </cell>
        </row>
      </sheetData>
      <sheetData sheetId="665">
        <row r="3">
          <cell r="F3" t="str">
            <v>FEBRUARI</v>
          </cell>
        </row>
      </sheetData>
      <sheetData sheetId="666">
        <row r="3">
          <cell r="F3" t="str">
            <v>FEBRUARI</v>
          </cell>
        </row>
      </sheetData>
      <sheetData sheetId="667"/>
      <sheetData sheetId="668"/>
      <sheetData sheetId="669"/>
      <sheetData sheetId="670"/>
      <sheetData sheetId="671"/>
      <sheetData sheetId="672">
        <row r="3">
          <cell r="F3" t="str">
            <v>FEBRUARI</v>
          </cell>
        </row>
      </sheetData>
      <sheetData sheetId="673">
        <row r="3">
          <cell r="F3" t="str">
            <v>FEBRUARI</v>
          </cell>
        </row>
      </sheetData>
      <sheetData sheetId="674">
        <row r="3">
          <cell r="F3" t="str">
            <v>FEBRUARI</v>
          </cell>
        </row>
      </sheetData>
      <sheetData sheetId="675">
        <row r="3">
          <cell r="F3" t="str">
            <v>FEBRUARI</v>
          </cell>
        </row>
      </sheetData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>
        <row r="3">
          <cell r="F3" t="str">
            <v>FEBRUARI</v>
          </cell>
        </row>
      </sheetData>
      <sheetData sheetId="740">
        <row r="3">
          <cell r="F3" t="str">
            <v>FEBRUARI</v>
          </cell>
        </row>
      </sheetData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>
        <row r="3">
          <cell r="F3" t="str">
            <v>FEBRUARI</v>
          </cell>
        </row>
      </sheetData>
      <sheetData sheetId="759">
        <row r="3">
          <cell r="F3" t="str">
            <v>FEBRUARI</v>
          </cell>
        </row>
      </sheetData>
      <sheetData sheetId="760">
        <row r="3">
          <cell r="F3" t="str">
            <v>FEBRUARI</v>
          </cell>
        </row>
      </sheetData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>
        <row r="7">
          <cell r="C7" t="str">
            <v>NIK</v>
          </cell>
        </row>
      </sheetData>
      <sheetData sheetId="838">
        <row r="6">
          <cell r="AA6" t="str">
            <v xml:space="preserve">Upah Bersih </v>
          </cell>
        </row>
      </sheetData>
      <sheetData sheetId="839">
        <row r="6">
          <cell r="AA6" t="str">
            <v xml:space="preserve">Upah Bersih </v>
          </cell>
        </row>
      </sheetData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/>
      <sheetData sheetId="870" refreshError="1"/>
      <sheetData sheetId="871" refreshError="1"/>
      <sheetData sheetId="872" refreshError="1"/>
      <sheetData sheetId="873" refreshError="1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>
        <row r="3">
          <cell r="F3" t="str">
            <v>FEBRUARI</v>
          </cell>
        </row>
      </sheetData>
      <sheetData sheetId="1053">
        <row r="3">
          <cell r="F3" t="str">
            <v>FEBRUARI</v>
          </cell>
        </row>
      </sheetData>
      <sheetData sheetId="1054">
        <row r="3">
          <cell r="F3" t="str">
            <v>FEBRUARI</v>
          </cell>
        </row>
      </sheetData>
      <sheetData sheetId="1055">
        <row r="3">
          <cell r="F3" t="str">
            <v>FEBRUARI</v>
          </cell>
        </row>
      </sheetData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 refreshError="1"/>
      <sheetData sheetId="1167" refreshError="1"/>
      <sheetData sheetId="1168" refreshError="1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Ulasan"/>
      <sheetName val="B. Total &amp; Kpss"/>
      <sheetName val="B.Total"/>
      <sheetName val="B.Umum"/>
      <sheetName val="B.Panen"/>
      <sheetName val="B.TM"/>
      <sheetName val="B.LC+PTP"/>
      <sheetName val="Cost To Maturity"/>
      <sheetName val="B.Bibit"/>
      <sheetName val="Run-Acc"/>
      <sheetName val="kap rinci"/>
    </sheetNames>
    <sheetDataSet>
      <sheetData sheetId="0" refreshError="1"/>
      <sheetData sheetId="1" refreshError="1">
        <row r="4">
          <cell r="B4" t="str">
            <v xml:space="preserve">1.  ULASAN  SINGKAT   </v>
          </cell>
          <cell r="L4">
            <v>1</v>
          </cell>
        </row>
        <row r="7">
          <cell r="C7" t="str">
            <v>*</v>
          </cell>
          <cell r="D7" t="str">
            <v>Penjelasan Mengenai Areal Statemen</v>
          </cell>
          <cell r="G7">
            <v>0</v>
          </cell>
        </row>
        <row r="9">
          <cell r="C9" t="str">
            <v>*</v>
          </cell>
          <cell r="D9" t="str">
            <v>Penjelasan Mengenai Kondisi dan Situasi Tanaman (pokok/hektar)</v>
          </cell>
        </row>
        <row r="11">
          <cell r="C11" t="str">
            <v>*</v>
          </cell>
          <cell r="D11" t="str">
            <v>Penjelasan Mengenai Karyawan (kecukupan, kekurangan dan upaya pengadaan)</v>
          </cell>
        </row>
        <row r="13">
          <cell r="C13" t="str">
            <v>*</v>
          </cell>
          <cell r="D13" t="str">
            <v>Penjelasan Mengenai Perumahan</v>
          </cell>
        </row>
        <row r="15">
          <cell r="C15" t="str">
            <v>*</v>
          </cell>
          <cell r="D15" t="str">
            <v>Penjelasan Mengenai Total Biaya Anggaran Belanja Kebun 2007, dibandingkan dengan tahun berjalan dan tahun sebelumnya</v>
          </cell>
        </row>
        <row r="17">
          <cell r="C17" t="str">
            <v>*</v>
          </cell>
          <cell r="D17" t="str">
            <v>Penjelasan Mengenai Analisa Biaya Aktual 2005, Estimasi 2006 dan Anggaran 2007 (umum, panen, pemeliharaan)</v>
          </cell>
        </row>
        <row r="19">
          <cell r="C19" t="str">
            <v>*</v>
          </cell>
          <cell r="D19" t="str">
            <v>Penjelasan Mengenai Anggaran Produksi 2007 dan Analisa Produksi Aktual 2005 dan Estimasi 2006</v>
          </cell>
        </row>
        <row r="21">
          <cell r="C21" t="str">
            <v>*</v>
          </cell>
          <cell r="D21" t="str">
            <v>Penjelasan Mengenai Biaya Operasional Unit Transit (Running Account)</v>
          </cell>
        </row>
        <row r="23">
          <cell r="C23" t="str">
            <v>*</v>
          </cell>
          <cell r="D23" t="str">
            <v>Strategi Pencapaian Target 2007 sesuai Anggaran yang Diajukan</v>
          </cell>
        </row>
        <row r="31">
          <cell r="L31" t="str">
            <v xml:space="preserve">       Presentasi Anggaran 2005/Minamas Plantation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lasan"/>
      <sheetName val="sampul"/>
      <sheetName val="B. Total &amp; Kpss"/>
      <sheetName val="B.Total"/>
      <sheetName val="B.Umum"/>
      <sheetName val="B.Panen"/>
      <sheetName val="B.TM"/>
      <sheetName val="B.LC+PTP"/>
      <sheetName val="Cost To Maturity"/>
      <sheetName val="B.Bibit"/>
      <sheetName val="Run-Acc"/>
      <sheetName val="B_LC_PTP"/>
      <sheetName val="Kap Rinci"/>
      <sheetName val="KEB_RMH"/>
      <sheetName val="JJG-BJR-2"/>
      <sheetName val="GRFK BJR_TGS_01"/>
      <sheetName val="GRFK BJR_SKC_03"/>
      <sheetName val="Master"/>
      <sheetName val="Actual &amp; Valuation by PY"/>
      <sheetName val="Kend"/>
      <sheetName val="FRYPROD"/>
      <sheetName val="Activity Ok"/>
      <sheetName val="TRIAL"/>
      <sheetName val="B__Total_&amp;_Kpss"/>
      <sheetName val="B_Total"/>
      <sheetName val="B_Umum"/>
      <sheetName val="B_Panen"/>
      <sheetName val="B_TM"/>
      <sheetName val="B_LC+PTP"/>
      <sheetName val="Cost_To_Maturity"/>
      <sheetName val="B_Bibit"/>
      <sheetName val="Kap_Rinci"/>
      <sheetName val="GRFK_BJR_TGS_01"/>
      <sheetName val="GRFK_BJR_SKC_03"/>
      <sheetName val="Actual_&amp;_Valuation_by_PY"/>
      <sheetName val="BAB-1"/>
      <sheetName val="TANAM HISTORY"/>
      <sheetName val="Pk prod"/>
      <sheetName val="Site progress"/>
      <sheetName val="GRFK BJR_TT_00"/>
      <sheetName val="GRFK BJR_TT_01"/>
      <sheetName val="GRFK BJR_TT_02"/>
      <sheetName val="GRFK BJR_TT_03"/>
      <sheetName val="GRFK BJR_TT_04"/>
      <sheetName val="GRFK BJR_SBB_00"/>
      <sheetName val="GRFK BJR_SBB_01"/>
      <sheetName val="GRFK BJR_SBB_02"/>
      <sheetName val="GRFK BJR_TGS_02"/>
      <sheetName val="GRFK BJR_TGS_03"/>
      <sheetName val="GRFK BJR_SK1_01"/>
      <sheetName val="GRFK BJR_SKB_03"/>
      <sheetName val="GRFK BJR_MTL_02"/>
      <sheetName val="GRFK BJR_SBH_02"/>
      <sheetName val="GRFK BJR_SBH_03"/>
      <sheetName val="GRFK BJR_TNB_04"/>
      <sheetName val="GRFK BJR_SBU_04"/>
      <sheetName val="tonper Ha-TT 2000"/>
      <sheetName val="DATA _TM _2_"/>
      <sheetName val="DATA TAHUN TANAM"/>
      <sheetName val="data-hujan"/>
      <sheetName val="DIV-1"/>
      <sheetName val="BSWM"/>
      <sheetName val="Base"/>
    </sheetNames>
    <sheetDataSet>
      <sheetData sheetId="0" refreshError="1">
        <row r="4">
          <cell r="B4" t="str">
            <v xml:space="preserve">1.  ULASAN  SINGKAT   </v>
          </cell>
          <cell r="L4">
            <v>1</v>
          </cell>
        </row>
        <row r="7">
          <cell r="C7" t="str">
            <v>*</v>
          </cell>
          <cell r="D7" t="str">
            <v>Penjelasan Mengenai Areal Statemen</v>
          </cell>
          <cell r="G7" t="str">
            <v/>
          </cell>
        </row>
        <row r="9">
          <cell r="C9" t="str">
            <v>*</v>
          </cell>
          <cell r="D9" t="str">
            <v>Penjelasan Mengenai Kondisi dan Situasi Tanaman (pokok/hektar)</v>
          </cell>
        </row>
        <row r="11">
          <cell r="C11" t="str">
            <v>*</v>
          </cell>
          <cell r="D11" t="str">
            <v>Penjelasan Mengenai Karyawan (kecukupan, kekurangan dan upaya pengadaan)</v>
          </cell>
        </row>
        <row r="13">
          <cell r="C13" t="str">
            <v>*</v>
          </cell>
          <cell r="D13" t="str">
            <v>Penjelasan Mengenai Perumahan</v>
          </cell>
        </row>
        <row r="15">
          <cell r="C15" t="str">
            <v>*</v>
          </cell>
          <cell r="D15" t="str">
            <v>Penjelasan Mengenai Total Biaya Anggaran Belanja Kebun 2007, dibandingkan dengan tahun berjalan dan tahun sebelumnya</v>
          </cell>
        </row>
        <row r="17">
          <cell r="C17" t="str">
            <v>*</v>
          </cell>
          <cell r="D17" t="str">
            <v>Penjelasan Mengenai Analisa Biaya Aktual 2005, Estimasi 2006 dan Anggaran 2007 (umum, panen, pemeliharaan)</v>
          </cell>
        </row>
        <row r="19">
          <cell r="C19" t="str">
            <v>*</v>
          </cell>
          <cell r="D19" t="str">
            <v>Penjelasan Mengenai Anggaran Produksi 2007 dan Analisa Produksi Aktual 2005 dan Estimasi 2006</v>
          </cell>
        </row>
        <row r="21">
          <cell r="C21" t="str">
            <v>*</v>
          </cell>
          <cell r="D21" t="str">
            <v>Penjelasan Mengenai Biaya Operasional Unit Transit (Running Account)</v>
          </cell>
        </row>
        <row r="23">
          <cell r="C23" t="str">
            <v>*</v>
          </cell>
          <cell r="D23" t="str">
            <v>Strategi Pencapaian Target 2007 sesuai Anggaran yang Diajukan</v>
          </cell>
        </row>
        <row r="31">
          <cell r="L31" t="str">
            <v xml:space="preserve">       Presentasi Anggaran 2005/Minamas Plantation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oh Hit LA"/>
      <sheetName val="RKP (2)"/>
      <sheetName val="RKP Print"/>
      <sheetName val="SAMPUL UTAMA"/>
      <sheetName val="Analisa"/>
      <sheetName val="Forecast Pendapatan TBS"/>
      <sheetName val="Forcast Biaya TM"/>
      <sheetName val="Potensi Prod &amp; Harga TBS"/>
      <sheetName val="Estimasi Biaya TM"/>
      <sheetName val="COVER"/>
      <sheetName val="Staff"/>
      <sheetName val="Non Tanaman"/>
      <sheetName val="Rekap Non Tanaman"/>
      <sheetName val="Lampiran"/>
      <sheetName val="PN"/>
      <sheetName val="MN"/>
      <sheetName val="LC-RENDAHAN"/>
      <sheetName val="LCC"/>
      <sheetName val="TB"/>
      <sheetName val="TBM1"/>
      <sheetName val="TBM2"/>
      <sheetName val="TBM3"/>
      <sheetName val="Rekapitulasi Biaya-Minreal"/>
      <sheetName val="Rekapitulasi Biaya-rendahan"/>
      <sheetName val="DATA RE PLANTING"/>
      <sheetName val="Instalasi Air"/>
      <sheetName val="Kapita"/>
      <sheetName val="SARANA PRASARAN"/>
      <sheetName val="KECAMBAH"/>
      <sheetName val="SI BBT"/>
      <sheetName val="Master Harga"/>
      <sheetName val="RKP"/>
      <sheetName val="ASUMSI SEWA AB"/>
      <sheetName val="REKAP PUPUK TB-TBM3"/>
      <sheetName val="REKAP BIAYA"/>
      <sheetName val="Sheet3"/>
      <sheetName val="S1 BBT"/>
      <sheetName val="SI TB LC"/>
      <sheetName val="SI TB SERAK"/>
      <sheetName val="SI TB Rev 2"/>
      <sheetName val="LC-MINERAL"/>
      <sheetName val="SI TB"/>
      <sheetName val="S1 TBM 1"/>
      <sheetName val="S1 TBM 2"/>
      <sheetName val="S1 TBM 3"/>
      <sheetName val="INFRASTRUKTUR"/>
      <sheetName val="AREAL STATEMENT"/>
      <sheetName val="TERASAN"/>
      <sheetName val="REKOM PUPUK"/>
      <sheetName val="GANODERMA"/>
      <sheetName val="METODE TU&amp;BIAYA"/>
      <sheetName val="SCHEDULE 2026"/>
      <sheetName val="SCHEDULE 2025"/>
      <sheetName val="PETA KERJA"/>
      <sheetName val="AUGER"/>
      <sheetName val="CECT System"/>
      <sheetName val="RC FT 120 HP"/>
      <sheetName val=" TB FT120"/>
      <sheetName val="WAKER"/>
      <sheetName val="SI TB Coretan"/>
      <sheetName val="SI TBM 1"/>
      <sheetName val="SI TBM 2"/>
      <sheetName val="SI TBM 3"/>
      <sheetName val="Sheet5"/>
      <sheetName val="TB-SMM"/>
      <sheetName val="TBM1-SMM"/>
      <sheetName val="TBM2-SMM"/>
      <sheetName val="TBM3-SMM"/>
      <sheetName val="SKEMA LC"/>
      <sheetName val="Sheet1"/>
      <sheetName val="Sheet2"/>
      <sheetName val="SI TB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34">
          <cell r="D34">
            <v>681487.17873333325</v>
          </cell>
          <cell r="E34">
            <v>720338.0730320001</v>
          </cell>
          <cell r="F34">
            <v>761671.70213055995</v>
          </cell>
          <cell r="G34">
            <v>805655.39686222153</v>
          </cell>
          <cell r="H34">
            <v>852474.70050243323</v>
          </cell>
          <cell r="I34">
            <v>902328.93337107846</v>
          </cell>
          <cell r="J34">
            <v>955432.25201940176</v>
          </cell>
          <cell r="K34">
            <v>1012014.7914199303</v>
          </cell>
          <cell r="L34">
            <v>1072323.8967298316</v>
          </cell>
        </row>
        <row r="54">
          <cell r="D54">
            <v>993170.32971428568</v>
          </cell>
          <cell r="E54">
            <v>1051433.6840914285</v>
          </cell>
          <cell r="F54">
            <v>1113470.7641787431</v>
          </cell>
          <cell r="G54">
            <v>1179581.0828030505</v>
          </cell>
          <cell r="H54">
            <v>1250054.6430141497</v>
          </cell>
          <cell r="I54">
            <v>1325203.2031076876</v>
          </cell>
          <cell r="J54">
            <v>1405361.9588114</v>
          </cell>
          <cell r="K54">
            <v>1490891.3576994499</v>
          </cell>
          <cell r="L54">
            <v>1582179.0563185243</v>
          </cell>
        </row>
        <row r="73">
          <cell r="D73">
            <v>647269.96874999988</v>
          </cell>
          <cell r="E73">
            <v>680210.06624999992</v>
          </cell>
          <cell r="F73">
            <v>715015.96154999989</v>
          </cell>
          <cell r="G73">
            <v>751814.04771000007</v>
          </cell>
          <cell r="H73">
            <v>790731.69185593445</v>
          </cell>
          <cell r="I73">
            <v>831905.15735484066</v>
          </cell>
          <cell r="J73">
            <v>875480.26327173668</v>
          </cell>
          <cell r="K73">
            <v>921613.09447245637</v>
          </cell>
          <cell r="L73">
            <v>970470.76633884839</v>
          </cell>
        </row>
        <row r="93">
          <cell r="D93">
            <v>630976.61249999993</v>
          </cell>
          <cell r="E93">
            <v>662748.2415</v>
          </cell>
          <cell r="F93">
            <v>696305.06082000001</v>
          </cell>
          <cell r="G93">
            <v>731761.67591280001</v>
          </cell>
          <cell r="H93">
            <v>769238.4293293847</v>
          </cell>
          <cell r="I93">
            <v>808864.01525522838</v>
          </cell>
          <cell r="J93">
            <v>850776.09620202484</v>
          </cell>
          <cell r="K93">
            <v>895121.96696073259</v>
          </cell>
          <cell r="L93">
            <v>942059.26951321901</v>
          </cell>
        </row>
        <row r="112">
          <cell r="D112">
            <v>680610.48749999993</v>
          </cell>
          <cell r="E112">
            <v>715047.82649999985</v>
          </cell>
          <cell r="F112">
            <v>751428.66536999994</v>
          </cell>
          <cell r="G112">
            <v>789879.97204393509</v>
          </cell>
          <cell r="H112">
            <v>830533.49837412941</v>
          </cell>
          <cell r="I112">
            <v>873530.16941711912</v>
          </cell>
          <cell r="J112">
            <v>919020.76214746921</v>
          </cell>
          <cell r="K112">
            <v>967166.63624424662</v>
          </cell>
          <cell r="L112">
            <v>1018140.5210262281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7"/>
  <sheetViews>
    <sheetView showGridLines="0" tabSelected="1" zoomScale="85" zoomScaleNormal="85" workbookViewId="0"/>
  </sheetViews>
  <sheetFormatPr defaultColWidth="9.1796875" defaultRowHeight="12.5" x14ac:dyDescent="0.25"/>
  <cols>
    <col min="1" max="1" width="9.1796875" style="28"/>
    <col min="2" max="2" width="9.1796875" style="28" customWidth="1"/>
    <col min="3" max="10" width="12.7265625" style="28" customWidth="1"/>
    <col min="11" max="257" width="9.1796875" style="28"/>
    <col min="258" max="258" width="9.1796875" style="28" customWidth="1"/>
    <col min="259" max="266" width="10.7265625" style="28" customWidth="1"/>
    <col min="267" max="513" width="9.1796875" style="28"/>
    <col min="514" max="514" width="9.1796875" style="28" customWidth="1"/>
    <col min="515" max="522" width="10.7265625" style="28" customWidth="1"/>
    <col min="523" max="769" width="9.1796875" style="28"/>
    <col min="770" max="770" width="9.1796875" style="28" customWidth="1"/>
    <col min="771" max="778" width="10.7265625" style="28" customWidth="1"/>
    <col min="779" max="1025" width="9.1796875" style="28"/>
    <col min="1026" max="1026" width="9.1796875" style="28" customWidth="1"/>
    <col min="1027" max="1034" width="10.7265625" style="28" customWidth="1"/>
    <col min="1035" max="1281" width="9.1796875" style="28"/>
    <col min="1282" max="1282" width="9.1796875" style="28" customWidth="1"/>
    <col min="1283" max="1290" width="10.7265625" style="28" customWidth="1"/>
    <col min="1291" max="1537" width="9.1796875" style="28"/>
    <col min="1538" max="1538" width="9.1796875" style="28" customWidth="1"/>
    <col min="1539" max="1546" width="10.7265625" style="28" customWidth="1"/>
    <col min="1547" max="1793" width="9.1796875" style="28"/>
    <col min="1794" max="1794" width="9.1796875" style="28" customWidth="1"/>
    <col min="1795" max="1802" width="10.7265625" style="28" customWidth="1"/>
    <col min="1803" max="2049" width="9.1796875" style="28"/>
    <col min="2050" max="2050" width="9.1796875" style="28" customWidth="1"/>
    <col min="2051" max="2058" width="10.7265625" style="28" customWidth="1"/>
    <col min="2059" max="2305" width="9.1796875" style="28"/>
    <col min="2306" max="2306" width="9.1796875" style="28" customWidth="1"/>
    <col min="2307" max="2314" width="10.7265625" style="28" customWidth="1"/>
    <col min="2315" max="2561" width="9.1796875" style="28"/>
    <col min="2562" max="2562" width="9.1796875" style="28" customWidth="1"/>
    <col min="2563" max="2570" width="10.7265625" style="28" customWidth="1"/>
    <col min="2571" max="2817" width="9.1796875" style="28"/>
    <col min="2818" max="2818" width="9.1796875" style="28" customWidth="1"/>
    <col min="2819" max="2826" width="10.7265625" style="28" customWidth="1"/>
    <col min="2827" max="3073" width="9.1796875" style="28"/>
    <col min="3074" max="3074" width="9.1796875" style="28" customWidth="1"/>
    <col min="3075" max="3082" width="10.7265625" style="28" customWidth="1"/>
    <col min="3083" max="3329" width="9.1796875" style="28"/>
    <col min="3330" max="3330" width="9.1796875" style="28" customWidth="1"/>
    <col min="3331" max="3338" width="10.7265625" style="28" customWidth="1"/>
    <col min="3339" max="3585" width="9.1796875" style="28"/>
    <col min="3586" max="3586" width="9.1796875" style="28" customWidth="1"/>
    <col min="3587" max="3594" width="10.7265625" style="28" customWidth="1"/>
    <col min="3595" max="3841" width="9.1796875" style="28"/>
    <col min="3842" max="3842" width="9.1796875" style="28" customWidth="1"/>
    <col min="3843" max="3850" width="10.7265625" style="28" customWidth="1"/>
    <col min="3851" max="4097" width="9.1796875" style="28"/>
    <col min="4098" max="4098" width="9.1796875" style="28" customWidth="1"/>
    <col min="4099" max="4106" width="10.7265625" style="28" customWidth="1"/>
    <col min="4107" max="4353" width="9.1796875" style="28"/>
    <col min="4354" max="4354" width="9.1796875" style="28" customWidth="1"/>
    <col min="4355" max="4362" width="10.7265625" style="28" customWidth="1"/>
    <col min="4363" max="4609" width="9.1796875" style="28"/>
    <col min="4610" max="4610" width="9.1796875" style="28" customWidth="1"/>
    <col min="4611" max="4618" width="10.7265625" style="28" customWidth="1"/>
    <col min="4619" max="4865" width="9.1796875" style="28"/>
    <col min="4866" max="4866" width="9.1796875" style="28" customWidth="1"/>
    <col min="4867" max="4874" width="10.7265625" style="28" customWidth="1"/>
    <col min="4875" max="5121" width="9.1796875" style="28"/>
    <col min="5122" max="5122" width="9.1796875" style="28" customWidth="1"/>
    <col min="5123" max="5130" width="10.7265625" style="28" customWidth="1"/>
    <col min="5131" max="5377" width="9.1796875" style="28"/>
    <col min="5378" max="5378" width="9.1796875" style="28" customWidth="1"/>
    <col min="5379" max="5386" width="10.7265625" style="28" customWidth="1"/>
    <col min="5387" max="5633" width="9.1796875" style="28"/>
    <col min="5634" max="5634" width="9.1796875" style="28" customWidth="1"/>
    <col min="5635" max="5642" width="10.7265625" style="28" customWidth="1"/>
    <col min="5643" max="5889" width="9.1796875" style="28"/>
    <col min="5890" max="5890" width="9.1796875" style="28" customWidth="1"/>
    <col min="5891" max="5898" width="10.7265625" style="28" customWidth="1"/>
    <col min="5899" max="6145" width="9.1796875" style="28"/>
    <col min="6146" max="6146" width="9.1796875" style="28" customWidth="1"/>
    <col min="6147" max="6154" width="10.7265625" style="28" customWidth="1"/>
    <col min="6155" max="6401" width="9.1796875" style="28"/>
    <col min="6402" max="6402" width="9.1796875" style="28" customWidth="1"/>
    <col min="6403" max="6410" width="10.7265625" style="28" customWidth="1"/>
    <col min="6411" max="6657" width="9.1796875" style="28"/>
    <col min="6658" max="6658" width="9.1796875" style="28" customWidth="1"/>
    <col min="6659" max="6666" width="10.7265625" style="28" customWidth="1"/>
    <col min="6667" max="6913" width="9.1796875" style="28"/>
    <col min="6914" max="6914" width="9.1796875" style="28" customWidth="1"/>
    <col min="6915" max="6922" width="10.7265625" style="28" customWidth="1"/>
    <col min="6923" max="7169" width="9.1796875" style="28"/>
    <col min="7170" max="7170" width="9.1796875" style="28" customWidth="1"/>
    <col min="7171" max="7178" width="10.7265625" style="28" customWidth="1"/>
    <col min="7179" max="7425" width="9.1796875" style="28"/>
    <col min="7426" max="7426" width="9.1796875" style="28" customWidth="1"/>
    <col min="7427" max="7434" width="10.7265625" style="28" customWidth="1"/>
    <col min="7435" max="7681" width="9.1796875" style="28"/>
    <col min="7682" max="7682" width="9.1796875" style="28" customWidth="1"/>
    <col min="7683" max="7690" width="10.7265625" style="28" customWidth="1"/>
    <col min="7691" max="7937" width="9.1796875" style="28"/>
    <col min="7938" max="7938" width="9.1796875" style="28" customWidth="1"/>
    <col min="7939" max="7946" width="10.7265625" style="28" customWidth="1"/>
    <col min="7947" max="8193" width="9.1796875" style="28"/>
    <col min="8194" max="8194" width="9.1796875" style="28" customWidth="1"/>
    <col min="8195" max="8202" width="10.7265625" style="28" customWidth="1"/>
    <col min="8203" max="8449" width="9.1796875" style="28"/>
    <col min="8450" max="8450" width="9.1796875" style="28" customWidth="1"/>
    <col min="8451" max="8458" width="10.7265625" style="28" customWidth="1"/>
    <col min="8459" max="8705" width="9.1796875" style="28"/>
    <col min="8706" max="8706" width="9.1796875" style="28" customWidth="1"/>
    <col min="8707" max="8714" width="10.7265625" style="28" customWidth="1"/>
    <col min="8715" max="8961" width="9.1796875" style="28"/>
    <col min="8962" max="8962" width="9.1796875" style="28" customWidth="1"/>
    <col min="8963" max="8970" width="10.7265625" style="28" customWidth="1"/>
    <col min="8971" max="9217" width="9.1796875" style="28"/>
    <col min="9218" max="9218" width="9.1796875" style="28" customWidth="1"/>
    <col min="9219" max="9226" width="10.7265625" style="28" customWidth="1"/>
    <col min="9227" max="9473" width="9.1796875" style="28"/>
    <col min="9474" max="9474" width="9.1796875" style="28" customWidth="1"/>
    <col min="9475" max="9482" width="10.7265625" style="28" customWidth="1"/>
    <col min="9483" max="9729" width="9.1796875" style="28"/>
    <col min="9730" max="9730" width="9.1796875" style="28" customWidth="1"/>
    <col min="9731" max="9738" width="10.7265625" style="28" customWidth="1"/>
    <col min="9739" max="9985" width="9.1796875" style="28"/>
    <col min="9986" max="9986" width="9.1796875" style="28" customWidth="1"/>
    <col min="9987" max="9994" width="10.7265625" style="28" customWidth="1"/>
    <col min="9995" max="10241" width="9.1796875" style="28"/>
    <col min="10242" max="10242" width="9.1796875" style="28" customWidth="1"/>
    <col min="10243" max="10250" width="10.7265625" style="28" customWidth="1"/>
    <col min="10251" max="10497" width="9.1796875" style="28"/>
    <col min="10498" max="10498" width="9.1796875" style="28" customWidth="1"/>
    <col min="10499" max="10506" width="10.7265625" style="28" customWidth="1"/>
    <col min="10507" max="10753" width="9.1796875" style="28"/>
    <col min="10754" max="10754" width="9.1796875" style="28" customWidth="1"/>
    <col min="10755" max="10762" width="10.7265625" style="28" customWidth="1"/>
    <col min="10763" max="11009" width="9.1796875" style="28"/>
    <col min="11010" max="11010" width="9.1796875" style="28" customWidth="1"/>
    <col min="11011" max="11018" width="10.7265625" style="28" customWidth="1"/>
    <col min="11019" max="11265" width="9.1796875" style="28"/>
    <col min="11266" max="11266" width="9.1796875" style="28" customWidth="1"/>
    <col min="11267" max="11274" width="10.7265625" style="28" customWidth="1"/>
    <col min="11275" max="11521" width="9.1796875" style="28"/>
    <col min="11522" max="11522" width="9.1796875" style="28" customWidth="1"/>
    <col min="11523" max="11530" width="10.7265625" style="28" customWidth="1"/>
    <col min="11531" max="11777" width="9.1796875" style="28"/>
    <col min="11778" max="11778" width="9.1796875" style="28" customWidth="1"/>
    <col min="11779" max="11786" width="10.7265625" style="28" customWidth="1"/>
    <col min="11787" max="12033" width="9.1796875" style="28"/>
    <col min="12034" max="12034" width="9.1796875" style="28" customWidth="1"/>
    <col min="12035" max="12042" width="10.7265625" style="28" customWidth="1"/>
    <col min="12043" max="12289" width="9.1796875" style="28"/>
    <col min="12290" max="12290" width="9.1796875" style="28" customWidth="1"/>
    <col min="12291" max="12298" width="10.7265625" style="28" customWidth="1"/>
    <col min="12299" max="12545" width="9.1796875" style="28"/>
    <col min="12546" max="12546" width="9.1796875" style="28" customWidth="1"/>
    <col min="12547" max="12554" width="10.7265625" style="28" customWidth="1"/>
    <col min="12555" max="12801" width="9.1796875" style="28"/>
    <col min="12802" max="12802" width="9.1796875" style="28" customWidth="1"/>
    <col min="12803" max="12810" width="10.7265625" style="28" customWidth="1"/>
    <col min="12811" max="13057" width="9.1796875" style="28"/>
    <col min="13058" max="13058" width="9.1796875" style="28" customWidth="1"/>
    <col min="13059" max="13066" width="10.7265625" style="28" customWidth="1"/>
    <col min="13067" max="13313" width="9.1796875" style="28"/>
    <col min="13314" max="13314" width="9.1796875" style="28" customWidth="1"/>
    <col min="13315" max="13322" width="10.7265625" style="28" customWidth="1"/>
    <col min="13323" max="13569" width="9.1796875" style="28"/>
    <col min="13570" max="13570" width="9.1796875" style="28" customWidth="1"/>
    <col min="13571" max="13578" width="10.7265625" style="28" customWidth="1"/>
    <col min="13579" max="13825" width="9.1796875" style="28"/>
    <col min="13826" max="13826" width="9.1796875" style="28" customWidth="1"/>
    <col min="13827" max="13834" width="10.7265625" style="28" customWidth="1"/>
    <col min="13835" max="14081" width="9.1796875" style="28"/>
    <col min="14082" max="14082" width="9.1796875" style="28" customWidth="1"/>
    <col min="14083" max="14090" width="10.7265625" style="28" customWidth="1"/>
    <col min="14091" max="14337" width="9.1796875" style="28"/>
    <col min="14338" max="14338" width="9.1796875" style="28" customWidth="1"/>
    <col min="14339" max="14346" width="10.7265625" style="28" customWidth="1"/>
    <col min="14347" max="14593" width="9.1796875" style="28"/>
    <col min="14594" max="14594" width="9.1796875" style="28" customWidth="1"/>
    <col min="14595" max="14602" width="10.7265625" style="28" customWidth="1"/>
    <col min="14603" max="14849" width="9.1796875" style="28"/>
    <col min="14850" max="14850" width="9.1796875" style="28" customWidth="1"/>
    <col min="14851" max="14858" width="10.7265625" style="28" customWidth="1"/>
    <col min="14859" max="15105" width="9.1796875" style="28"/>
    <col min="15106" max="15106" width="9.1796875" style="28" customWidth="1"/>
    <col min="15107" max="15114" width="10.7265625" style="28" customWidth="1"/>
    <col min="15115" max="15361" width="9.1796875" style="28"/>
    <col min="15362" max="15362" width="9.1796875" style="28" customWidth="1"/>
    <col min="15363" max="15370" width="10.7265625" style="28" customWidth="1"/>
    <col min="15371" max="15617" width="9.1796875" style="28"/>
    <col min="15618" max="15618" width="9.1796875" style="28" customWidth="1"/>
    <col min="15619" max="15626" width="10.7265625" style="28" customWidth="1"/>
    <col min="15627" max="15873" width="9.1796875" style="28"/>
    <col min="15874" max="15874" width="9.1796875" style="28" customWidth="1"/>
    <col min="15875" max="15882" width="10.7265625" style="28" customWidth="1"/>
    <col min="15883" max="16129" width="9.1796875" style="28"/>
    <col min="16130" max="16130" width="9.1796875" style="28" customWidth="1"/>
    <col min="16131" max="16138" width="10.7265625" style="28" customWidth="1"/>
    <col min="16139" max="16384" width="9.1796875" style="28"/>
  </cols>
  <sheetData>
    <row r="1" spans="2:14" ht="13" thickBot="1" x14ac:dyDescent="0.3"/>
    <row r="2" spans="2:14" ht="13" thickTop="1" x14ac:dyDescent="0.25">
      <c r="B2" s="29"/>
      <c r="C2" s="30"/>
      <c r="D2" s="30"/>
      <c r="E2" s="30"/>
      <c r="F2" s="30"/>
      <c r="G2" s="30"/>
      <c r="H2" s="30"/>
      <c r="I2" s="30"/>
      <c r="J2" s="30"/>
      <c r="K2" s="31"/>
    </row>
    <row r="3" spans="2:14" x14ac:dyDescent="0.25">
      <c r="B3" s="32"/>
      <c r="C3" s="33"/>
      <c r="D3" s="33"/>
      <c r="E3" s="33"/>
      <c r="F3" s="33"/>
      <c r="G3" s="33"/>
      <c r="H3" s="33"/>
      <c r="I3" s="33"/>
      <c r="J3" s="33"/>
      <c r="K3" s="34"/>
    </row>
    <row r="4" spans="2:14" x14ac:dyDescent="0.25">
      <c r="B4" s="32"/>
      <c r="C4" s="33"/>
      <c r="D4" s="33"/>
      <c r="E4" s="33"/>
      <c r="F4" s="33"/>
      <c r="G4" s="33"/>
      <c r="H4" s="33"/>
      <c r="I4" s="33"/>
      <c r="J4" s="33"/>
      <c r="K4" s="34"/>
    </row>
    <row r="5" spans="2:14" x14ac:dyDescent="0.25">
      <c r="B5" s="32"/>
      <c r="C5" s="33"/>
      <c r="D5" s="33"/>
      <c r="E5" s="33"/>
      <c r="F5" s="33"/>
      <c r="G5" s="33"/>
      <c r="H5" s="33"/>
      <c r="I5" s="33"/>
      <c r="J5" s="33"/>
      <c r="K5" s="34"/>
    </row>
    <row r="6" spans="2:14" ht="44.5" x14ac:dyDescent="0.85">
      <c r="B6" s="32"/>
      <c r="C6" s="448" t="s">
        <v>566</v>
      </c>
      <c r="D6" s="448"/>
      <c r="E6" s="448"/>
      <c r="F6" s="448"/>
      <c r="G6" s="448"/>
      <c r="H6" s="448"/>
      <c r="I6" s="448"/>
      <c r="J6" s="448"/>
      <c r="K6" s="34"/>
    </row>
    <row r="7" spans="2:14" ht="20" x14ac:dyDescent="0.4">
      <c r="B7" s="32"/>
      <c r="C7" s="449" t="s">
        <v>884</v>
      </c>
      <c r="D7" s="449"/>
      <c r="E7" s="449"/>
      <c r="F7" s="449"/>
      <c r="G7" s="449"/>
      <c r="H7" s="449"/>
      <c r="I7" s="449"/>
      <c r="J7" s="449"/>
      <c r="K7" s="34"/>
    </row>
    <row r="8" spans="2:14" ht="39" x14ac:dyDescent="0.85">
      <c r="B8" s="32"/>
      <c r="C8" s="445"/>
      <c r="D8" s="445"/>
      <c r="E8" s="445"/>
      <c r="F8" s="445"/>
      <c r="G8" s="445"/>
      <c r="H8" s="445"/>
      <c r="I8" s="445"/>
      <c r="J8" s="445"/>
      <c r="K8" s="34"/>
    </row>
    <row r="9" spans="2:14" x14ac:dyDescent="0.25">
      <c r="B9" s="32"/>
      <c r="C9" s="33"/>
      <c r="D9" s="33"/>
      <c r="E9" s="33"/>
      <c r="F9" s="33"/>
      <c r="G9" s="33"/>
      <c r="H9" s="33"/>
      <c r="I9" s="33"/>
      <c r="J9" s="33"/>
      <c r="K9" s="34"/>
    </row>
    <row r="10" spans="2:14" ht="12.75" customHeight="1" x14ac:dyDescent="0.85">
      <c r="B10" s="32"/>
      <c r="C10" s="450"/>
      <c r="D10" s="450"/>
      <c r="E10" s="450"/>
      <c r="F10" s="450"/>
      <c r="G10" s="450"/>
      <c r="H10" s="450"/>
      <c r="I10" s="450"/>
      <c r="J10" s="450"/>
      <c r="K10" s="34"/>
    </row>
    <row r="11" spans="2:14" ht="12.75" customHeight="1" x14ac:dyDescent="0.85">
      <c r="B11" s="32"/>
      <c r="C11" s="450"/>
      <c r="D11" s="450"/>
      <c r="E11" s="450"/>
      <c r="F11" s="450"/>
      <c r="G11" s="450"/>
      <c r="H11" s="450"/>
      <c r="I11" s="450"/>
      <c r="J11" s="450"/>
      <c r="K11" s="34"/>
    </row>
    <row r="12" spans="2:14" ht="12.75" customHeight="1" x14ac:dyDescent="0.45">
      <c r="B12" s="32"/>
      <c r="C12" s="451"/>
      <c r="D12" s="451"/>
      <c r="E12" s="451"/>
      <c r="F12" s="451"/>
      <c r="G12" s="451"/>
      <c r="H12" s="451"/>
      <c r="I12" s="451"/>
      <c r="J12" s="451"/>
      <c r="K12" s="34"/>
    </row>
    <row r="13" spans="2:14" ht="12.75" customHeight="1" x14ac:dyDescent="0.45">
      <c r="B13" s="32"/>
      <c r="C13" s="451"/>
      <c r="D13" s="451"/>
      <c r="E13" s="451"/>
      <c r="F13" s="451"/>
      <c r="G13" s="451"/>
      <c r="H13" s="451"/>
      <c r="I13" s="451"/>
      <c r="J13" s="451"/>
      <c r="K13" s="34"/>
    </row>
    <row r="14" spans="2:14" ht="12.75" customHeight="1" x14ac:dyDescent="0.35">
      <c r="B14" s="32"/>
      <c r="C14" s="452"/>
      <c r="D14" s="452"/>
      <c r="E14" s="452"/>
      <c r="F14" s="452"/>
      <c r="G14" s="452"/>
      <c r="H14" s="452"/>
      <c r="I14" s="452"/>
      <c r="J14" s="452"/>
      <c r="K14" s="34"/>
      <c r="N14"/>
    </row>
    <row r="15" spans="2:14" x14ac:dyDescent="0.25">
      <c r="B15" s="32"/>
      <c r="C15" s="33"/>
      <c r="D15" s="33"/>
      <c r="E15" s="33"/>
      <c r="F15" s="33"/>
      <c r="G15" s="33"/>
      <c r="H15" s="33"/>
      <c r="I15" s="33"/>
      <c r="J15" s="33"/>
      <c r="K15" s="34"/>
    </row>
    <row r="16" spans="2:14" x14ac:dyDescent="0.25">
      <c r="B16" s="32"/>
      <c r="C16" s="33"/>
      <c r="D16" s="33"/>
      <c r="E16" s="33"/>
      <c r="F16" s="33"/>
      <c r="G16" s="33"/>
      <c r="H16" s="33"/>
      <c r="I16" s="33"/>
      <c r="J16" s="33"/>
      <c r="K16" s="34"/>
    </row>
    <row r="17" spans="2:11" x14ac:dyDescent="0.25">
      <c r="B17" s="32"/>
      <c r="C17" s="33"/>
      <c r="D17" s="33"/>
      <c r="E17" s="33"/>
      <c r="F17" s="33"/>
      <c r="G17" s="33"/>
      <c r="H17" s="33"/>
      <c r="I17" s="33"/>
      <c r="J17" s="33"/>
      <c r="K17" s="34"/>
    </row>
    <row r="18" spans="2:11" ht="12.75" customHeight="1" x14ac:dyDescent="1">
      <c r="B18" s="32"/>
      <c r="C18" s="40"/>
      <c r="D18" s="40"/>
      <c r="E18" s="40"/>
      <c r="F18" s="40"/>
      <c r="G18" s="40"/>
      <c r="H18" s="40"/>
      <c r="I18" s="40"/>
      <c r="J18" s="40"/>
      <c r="K18" s="34"/>
    </row>
    <row r="19" spans="2:11" ht="12.75" customHeight="1" x14ac:dyDescent="0.45">
      <c r="B19" s="32"/>
      <c r="C19" s="447"/>
      <c r="D19" s="447"/>
      <c r="E19" s="447"/>
      <c r="F19" s="447"/>
      <c r="G19" s="447"/>
      <c r="H19" s="447"/>
      <c r="I19" s="447"/>
      <c r="J19" s="447"/>
      <c r="K19" s="34"/>
    </row>
    <row r="20" spans="2:11" ht="39" x14ac:dyDescent="0.85">
      <c r="B20" s="32"/>
      <c r="C20" s="445" t="s">
        <v>880</v>
      </c>
      <c r="D20" s="445"/>
      <c r="E20" s="445"/>
      <c r="F20" s="445"/>
      <c r="G20" s="445"/>
      <c r="H20" s="445"/>
      <c r="I20" s="445"/>
      <c r="J20" s="445"/>
      <c r="K20" s="34"/>
    </row>
    <row r="21" spans="2:11" ht="39" x14ac:dyDescent="0.85">
      <c r="B21" s="32"/>
      <c r="C21" s="445"/>
      <c r="D21" s="445"/>
      <c r="E21" s="445"/>
      <c r="F21" s="445"/>
      <c r="G21" s="445"/>
      <c r="H21" s="445"/>
      <c r="I21" s="445"/>
      <c r="J21" s="445"/>
      <c r="K21" s="34"/>
    </row>
    <row r="22" spans="2:11" ht="31" x14ac:dyDescent="0.65">
      <c r="B22" s="32"/>
      <c r="C22" s="446" t="s">
        <v>875</v>
      </c>
      <c r="D22" s="446"/>
      <c r="E22" s="446"/>
      <c r="F22" s="446"/>
      <c r="G22" s="446"/>
      <c r="H22" s="446"/>
      <c r="I22" s="446"/>
      <c r="J22" s="446"/>
      <c r="K22" s="34"/>
    </row>
    <row r="23" spans="2:11" x14ac:dyDescent="0.25">
      <c r="B23" s="32"/>
      <c r="C23" s="33"/>
      <c r="D23" s="33"/>
      <c r="E23" s="33"/>
      <c r="F23" s="33"/>
      <c r="G23" s="33"/>
      <c r="H23" s="33"/>
      <c r="I23" s="33"/>
      <c r="J23" s="33"/>
      <c r="K23" s="34"/>
    </row>
    <row r="24" spans="2:11" x14ac:dyDescent="0.25">
      <c r="B24" s="32"/>
      <c r="C24" s="33"/>
      <c r="D24" s="33"/>
      <c r="E24" s="33"/>
      <c r="F24" s="33"/>
      <c r="G24" s="33"/>
      <c r="H24" s="33"/>
      <c r="I24" s="33"/>
      <c r="J24" s="33"/>
      <c r="K24" s="34"/>
    </row>
    <row r="25" spans="2:11" ht="13.5" x14ac:dyDescent="0.35">
      <c r="B25" s="32"/>
      <c r="C25" s="33"/>
      <c r="D25" s="33"/>
      <c r="E25" s="33"/>
      <c r="F25" s="33"/>
      <c r="G25" s="33"/>
      <c r="H25" s="33"/>
      <c r="I25" s="35"/>
      <c r="J25" s="35"/>
      <c r="K25" s="36"/>
    </row>
    <row r="26" spans="2:11" ht="13" thickBot="1" x14ac:dyDescent="0.3">
      <c r="B26" s="37"/>
      <c r="C26" s="38"/>
      <c r="D26" s="38"/>
      <c r="E26" s="38"/>
      <c r="F26" s="38"/>
      <c r="G26" s="38"/>
      <c r="H26" s="38"/>
      <c r="I26" s="38"/>
      <c r="J26" s="38"/>
      <c r="K26" s="39"/>
    </row>
    <row r="27" spans="2:11" ht="13" thickTop="1" x14ac:dyDescent="0.25"/>
  </sheetData>
  <mergeCells count="12">
    <mergeCell ref="C21:J21"/>
    <mergeCell ref="C22:J22"/>
    <mergeCell ref="C19:J19"/>
    <mergeCell ref="C20:J20"/>
    <mergeCell ref="C6:J6"/>
    <mergeCell ref="C7:J7"/>
    <mergeCell ref="C10:J10"/>
    <mergeCell ref="C11:J11"/>
    <mergeCell ref="C12:J12"/>
    <mergeCell ref="C13:J13"/>
    <mergeCell ref="C14:J14"/>
    <mergeCell ref="C8:J8"/>
  </mergeCells>
  <printOptions horizontalCentered="1"/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2:L35"/>
  <sheetViews>
    <sheetView zoomScale="110" zoomScaleNormal="110" workbookViewId="0">
      <selection activeCell="N32" sqref="N32"/>
    </sheetView>
  </sheetViews>
  <sheetFormatPr defaultRowHeight="14.5" x14ac:dyDescent="0.35"/>
  <cols>
    <col min="1" max="1" width="5" bestFit="1" customWidth="1"/>
    <col min="2" max="2" width="18.7265625" bestFit="1" customWidth="1"/>
    <col min="3" max="3" width="14" bestFit="1" customWidth="1"/>
    <col min="4" max="4" width="14" customWidth="1"/>
    <col min="5" max="5" width="13.7265625" bestFit="1" customWidth="1"/>
    <col min="6" max="6" width="15.26953125" bestFit="1" customWidth="1"/>
    <col min="7" max="7" width="17.54296875" bestFit="1" customWidth="1"/>
    <col min="9" max="9" width="16.81640625" bestFit="1" customWidth="1"/>
    <col min="12" max="12" width="13.7265625" bestFit="1" customWidth="1"/>
    <col min="257" max="257" width="5" bestFit="1" customWidth="1"/>
    <col min="258" max="258" width="18.7265625" bestFit="1" customWidth="1"/>
    <col min="259" max="259" width="14" bestFit="1" customWidth="1"/>
    <col min="260" max="260" width="14" customWidth="1"/>
    <col min="261" max="261" width="13.7265625" bestFit="1" customWidth="1"/>
    <col min="262" max="262" width="14.81640625" bestFit="1" customWidth="1"/>
    <col min="263" max="263" width="17.54296875" bestFit="1" customWidth="1"/>
    <col min="265" max="265" width="13.54296875" bestFit="1" customWidth="1"/>
    <col min="268" max="268" width="13.7265625" bestFit="1" customWidth="1"/>
    <col min="513" max="513" width="5" bestFit="1" customWidth="1"/>
    <col min="514" max="514" width="18.7265625" bestFit="1" customWidth="1"/>
    <col min="515" max="515" width="14" bestFit="1" customWidth="1"/>
    <col min="516" max="516" width="14" customWidth="1"/>
    <col min="517" max="517" width="13.7265625" bestFit="1" customWidth="1"/>
    <col min="518" max="518" width="14.81640625" bestFit="1" customWidth="1"/>
    <col min="519" max="519" width="17.54296875" bestFit="1" customWidth="1"/>
    <col min="521" max="521" width="13.54296875" bestFit="1" customWidth="1"/>
    <col min="524" max="524" width="13.7265625" bestFit="1" customWidth="1"/>
    <col min="769" max="769" width="5" bestFit="1" customWidth="1"/>
    <col min="770" max="770" width="18.7265625" bestFit="1" customWidth="1"/>
    <col min="771" max="771" width="14" bestFit="1" customWidth="1"/>
    <col min="772" max="772" width="14" customWidth="1"/>
    <col min="773" max="773" width="13.7265625" bestFit="1" customWidth="1"/>
    <col min="774" max="774" width="14.81640625" bestFit="1" customWidth="1"/>
    <col min="775" max="775" width="17.54296875" bestFit="1" customWidth="1"/>
    <col min="777" max="777" width="13.54296875" bestFit="1" customWidth="1"/>
    <col min="780" max="780" width="13.7265625" bestFit="1" customWidth="1"/>
    <col min="1025" max="1025" width="5" bestFit="1" customWidth="1"/>
    <col min="1026" max="1026" width="18.7265625" bestFit="1" customWidth="1"/>
    <col min="1027" max="1027" width="14" bestFit="1" customWidth="1"/>
    <col min="1028" max="1028" width="14" customWidth="1"/>
    <col min="1029" max="1029" width="13.7265625" bestFit="1" customWidth="1"/>
    <col min="1030" max="1030" width="14.81640625" bestFit="1" customWidth="1"/>
    <col min="1031" max="1031" width="17.54296875" bestFit="1" customWidth="1"/>
    <col min="1033" max="1033" width="13.54296875" bestFit="1" customWidth="1"/>
    <col min="1036" max="1036" width="13.7265625" bestFit="1" customWidth="1"/>
    <col min="1281" max="1281" width="5" bestFit="1" customWidth="1"/>
    <col min="1282" max="1282" width="18.7265625" bestFit="1" customWidth="1"/>
    <col min="1283" max="1283" width="14" bestFit="1" customWidth="1"/>
    <col min="1284" max="1284" width="14" customWidth="1"/>
    <col min="1285" max="1285" width="13.7265625" bestFit="1" customWidth="1"/>
    <col min="1286" max="1286" width="14.81640625" bestFit="1" customWidth="1"/>
    <col min="1287" max="1287" width="17.54296875" bestFit="1" customWidth="1"/>
    <col min="1289" max="1289" width="13.54296875" bestFit="1" customWidth="1"/>
    <col min="1292" max="1292" width="13.7265625" bestFit="1" customWidth="1"/>
    <col min="1537" max="1537" width="5" bestFit="1" customWidth="1"/>
    <col min="1538" max="1538" width="18.7265625" bestFit="1" customWidth="1"/>
    <col min="1539" max="1539" width="14" bestFit="1" customWidth="1"/>
    <col min="1540" max="1540" width="14" customWidth="1"/>
    <col min="1541" max="1541" width="13.7265625" bestFit="1" customWidth="1"/>
    <col min="1542" max="1542" width="14.81640625" bestFit="1" customWidth="1"/>
    <col min="1543" max="1543" width="17.54296875" bestFit="1" customWidth="1"/>
    <col min="1545" max="1545" width="13.54296875" bestFit="1" customWidth="1"/>
    <col min="1548" max="1548" width="13.7265625" bestFit="1" customWidth="1"/>
    <col min="1793" max="1793" width="5" bestFit="1" customWidth="1"/>
    <col min="1794" max="1794" width="18.7265625" bestFit="1" customWidth="1"/>
    <col min="1795" max="1795" width="14" bestFit="1" customWidth="1"/>
    <col min="1796" max="1796" width="14" customWidth="1"/>
    <col min="1797" max="1797" width="13.7265625" bestFit="1" customWidth="1"/>
    <col min="1798" max="1798" width="14.81640625" bestFit="1" customWidth="1"/>
    <col min="1799" max="1799" width="17.54296875" bestFit="1" customWidth="1"/>
    <col min="1801" max="1801" width="13.54296875" bestFit="1" customWidth="1"/>
    <col min="1804" max="1804" width="13.7265625" bestFit="1" customWidth="1"/>
    <col min="2049" max="2049" width="5" bestFit="1" customWidth="1"/>
    <col min="2050" max="2050" width="18.7265625" bestFit="1" customWidth="1"/>
    <col min="2051" max="2051" width="14" bestFit="1" customWidth="1"/>
    <col min="2052" max="2052" width="14" customWidth="1"/>
    <col min="2053" max="2053" width="13.7265625" bestFit="1" customWidth="1"/>
    <col min="2054" max="2054" width="14.81640625" bestFit="1" customWidth="1"/>
    <col min="2055" max="2055" width="17.54296875" bestFit="1" customWidth="1"/>
    <col min="2057" max="2057" width="13.54296875" bestFit="1" customWidth="1"/>
    <col min="2060" max="2060" width="13.7265625" bestFit="1" customWidth="1"/>
    <col min="2305" max="2305" width="5" bestFit="1" customWidth="1"/>
    <col min="2306" max="2306" width="18.7265625" bestFit="1" customWidth="1"/>
    <col min="2307" max="2307" width="14" bestFit="1" customWidth="1"/>
    <col min="2308" max="2308" width="14" customWidth="1"/>
    <col min="2309" max="2309" width="13.7265625" bestFit="1" customWidth="1"/>
    <col min="2310" max="2310" width="14.81640625" bestFit="1" customWidth="1"/>
    <col min="2311" max="2311" width="17.54296875" bestFit="1" customWidth="1"/>
    <col min="2313" max="2313" width="13.54296875" bestFit="1" customWidth="1"/>
    <col min="2316" max="2316" width="13.7265625" bestFit="1" customWidth="1"/>
    <col min="2561" max="2561" width="5" bestFit="1" customWidth="1"/>
    <col min="2562" max="2562" width="18.7265625" bestFit="1" customWidth="1"/>
    <col min="2563" max="2563" width="14" bestFit="1" customWidth="1"/>
    <col min="2564" max="2564" width="14" customWidth="1"/>
    <col min="2565" max="2565" width="13.7265625" bestFit="1" customWidth="1"/>
    <col min="2566" max="2566" width="14.81640625" bestFit="1" customWidth="1"/>
    <col min="2567" max="2567" width="17.54296875" bestFit="1" customWidth="1"/>
    <col min="2569" max="2569" width="13.54296875" bestFit="1" customWidth="1"/>
    <col min="2572" max="2572" width="13.7265625" bestFit="1" customWidth="1"/>
    <col min="2817" max="2817" width="5" bestFit="1" customWidth="1"/>
    <col min="2818" max="2818" width="18.7265625" bestFit="1" customWidth="1"/>
    <col min="2819" max="2819" width="14" bestFit="1" customWidth="1"/>
    <col min="2820" max="2820" width="14" customWidth="1"/>
    <col min="2821" max="2821" width="13.7265625" bestFit="1" customWidth="1"/>
    <col min="2822" max="2822" width="14.81640625" bestFit="1" customWidth="1"/>
    <col min="2823" max="2823" width="17.54296875" bestFit="1" customWidth="1"/>
    <col min="2825" max="2825" width="13.54296875" bestFit="1" customWidth="1"/>
    <col min="2828" max="2828" width="13.7265625" bestFit="1" customWidth="1"/>
    <col min="3073" max="3073" width="5" bestFit="1" customWidth="1"/>
    <col min="3074" max="3074" width="18.7265625" bestFit="1" customWidth="1"/>
    <col min="3075" max="3075" width="14" bestFit="1" customWidth="1"/>
    <col min="3076" max="3076" width="14" customWidth="1"/>
    <col min="3077" max="3077" width="13.7265625" bestFit="1" customWidth="1"/>
    <col min="3078" max="3078" width="14.81640625" bestFit="1" customWidth="1"/>
    <col min="3079" max="3079" width="17.54296875" bestFit="1" customWidth="1"/>
    <col min="3081" max="3081" width="13.54296875" bestFit="1" customWidth="1"/>
    <col min="3084" max="3084" width="13.7265625" bestFit="1" customWidth="1"/>
    <col min="3329" max="3329" width="5" bestFit="1" customWidth="1"/>
    <col min="3330" max="3330" width="18.7265625" bestFit="1" customWidth="1"/>
    <col min="3331" max="3331" width="14" bestFit="1" customWidth="1"/>
    <col min="3332" max="3332" width="14" customWidth="1"/>
    <col min="3333" max="3333" width="13.7265625" bestFit="1" customWidth="1"/>
    <col min="3334" max="3334" width="14.81640625" bestFit="1" customWidth="1"/>
    <col min="3335" max="3335" width="17.54296875" bestFit="1" customWidth="1"/>
    <col min="3337" max="3337" width="13.54296875" bestFit="1" customWidth="1"/>
    <col min="3340" max="3340" width="13.7265625" bestFit="1" customWidth="1"/>
    <col min="3585" max="3585" width="5" bestFit="1" customWidth="1"/>
    <col min="3586" max="3586" width="18.7265625" bestFit="1" customWidth="1"/>
    <col min="3587" max="3587" width="14" bestFit="1" customWidth="1"/>
    <col min="3588" max="3588" width="14" customWidth="1"/>
    <col min="3589" max="3589" width="13.7265625" bestFit="1" customWidth="1"/>
    <col min="3590" max="3590" width="14.81640625" bestFit="1" customWidth="1"/>
    <col min="3591" max="3591" width="17.54296875" bestFit="1" customWidth="1"/>
    <col min="3593" max="3593" width="13.54296875" bestFit="1" customWidth="1"/>
    <col min="3596" max="3596" width="13.7265625" bestFit="1" customWidth="1"/>
    <col min="3841" max="3841" width="5" bestFit="1" customWidth="1"/>
    <col min="3842" max="3842" width="18.7265625" bestFit="1" customWidth="1"/>
    <col min="3843" max="3843" width="14" bestFit="1" customWidth="1"/>
    <col min="3844" max="3844" width="14" customWidth="1"/>
    <col min="3845" max="3845" width="13.7265625" bestFit="1" customWidth="1"/>
    <col min="3846" max="3846" width="14.81640625" bestFit="1" customWidth="1"/>
    <col min="3847" max="3847" width="17.54296875" bestFit="1" customWidth="1"/>
    <col min="3849" max="3849" width="13.54296875" bestFit="1" customWidth="1"/>
    <col min="3852" max="3852" width="13.7265625" bestFit="1" customWidth="1"/>
    <col min="4097" max="4097" width="5" bestFit="1" customWidth="1"/>
    <col min="4098" max="4098" width="18.7265625" bestFit="1" customWidth="1"/>
    <col min="4099" max="4099" width="14" bestFit="1" customWidth="1"/>
    <col min="4100" max="4100" width="14" customWidth="1"/>
    <col min="4101" max="4101" width="13.7265625" bestFit="1" customWidth="1"/>
    <col min="4102" max="4102" width="14.81640625" bestFit="1" customWidth="1"/>
    <col min="4103" max="4103" width="17.54296875" bestFit="1" customWidth="1"/>
    <col min="4105" max="4105" width="13.54296875" bestFit="1" customWidth="1"/>
    <col min="4108" max="4108" width="13.7265625" bestFit="1" customWidth="1"/>
    <col min="4353" max="4353" width="5" bestFit="1" customWidth="1"/>
    <col min="4354" max="4354" width="18.7265625" bestFit="1" customWidth="1"/>
    <col min="4355" max="4355" width="14" bestFit="1" customWidth="1"/>
    <col min="4356" max="4356" width="14" customWidth="1"/>
    <col min="4357" max="4357" width="13.7265625" bestFit="1" customWidth="1"/>
    <col min="4358" max="4358" width="14.81640625" bestFit="1" customWidth="1"/>
    <col min="4359" max="4359" width="17.54296875" bestFit="1" customWidth="1"/>
    <col min="4361" max="4361" width="13.54296875" bestFit="1" customWidth="1"/>
    <col min="4364" max="4364" width="13.7265625" bestFit="1" customWidth="1"/>
    <col min="4609" max="4609" width="5" bestFit="1" customWidth="1"/>
    <col min="4610" max="4610" width="18.7265625" bestFit="1" customWidth="1"/>
    <col min="4611" max="4611" width="14" bestFit="1" customWidth="1"/>
    <col min="4612" max="4612" width="14" customWidth="1"/>
    <col min="4613" max="4613" width="13.7265625" bestFit="1" customWidth="1"/>
    <col min="4614" max="4614" width="14.81640625" bestFit="1" customWidth="1"/>
    <col min="4615" max="4615" width="17.54296875" bestFit="1" customWidth="1"/>
    <col min="4617" max="4617" width="13.54296875" bestFit="1" customWidth="1"/>
    <col min="4620" max="4620" width="13.7265625" bestFit="1" customWidth="1"/>
    <col min="4865" max="4865" width="5" bestFit="1" customWidth="1"/>
    <col min="4866" max="4866" width="18.7265625" bestFit="1" customWidth="1"/>
    <col min="4867" max="4867" width="14" bestFit="1" customWidth="1"/>
    <col min="4868" max="4868" width="14" customWidth="1"/>
    <col min="4869" max="4869" width="13.7265625" bestFit="1" customWidth="1"/>
    <col min="4870" max="4870" width="14.81640625" bestFit="1" customWidth="1"/>
    <col min="4871" max="4871" width="17.54296875" bestFit="1" customWidth="1"/>
    <col min="4873" max="4873" width="13.54296875" bestFit="1" customWidth="1"/>
    <col min="4876" max="4876" width="13.7265625" bestFit="1" customWidth="1"/>
    <col min="5121" max="5121" width="5" bestFit="1" customWidth="1"/>
    <col min="5122" max="5122" width="18.7265625" bestFit="1" customWidth="1"/>
    <col min="5123" max="5123" width="14" bestFit="1" customWidth="1"/>
    <col min="5124" max="5124" width="14" customWidth="1"/>
    <col min="5125" max="5125" width="13.7265625" bestFit="1" customWidth="1"/>
    <col min="5126" max="5126" width="14.81640625" bestFit="1" customWidth="1"/>
    <col min="5127" max="5127" width="17.54296875" bestFit="1" customWidth="1"/>
    <col min="5129" max="5129" width="13.54296875" bestFit="1" customWidth="1"/>
    <col min="5132" max="5132" width="13.7265625" bestFit="1" customWidth="1"/>
    <col min="5377" max="5377" width="5" bestFit="1" customWidth="1"/>
    <col min="5378" max="5378" width="18.7265625" bestFit="1" customWidth="1"/>
    <col min="5379" max="5379" width="14" bestFit="1" customWidth="1"/>
    <col min="5380" max="5380" width="14" customWidth="1"/>
    <col min="5381" max="5381" width="13.7265625" bestFit="1" customWidth="1"/>
    <col min="5382" max="5382" width="14.81640625" bestFit="1" customWidth="1"/>
    <col min="5383" max="5383" width="17.54296875" bestFit="1" customWidth="1"/>
    <col min="5385" max="5385" width="13.54296875" bestFit="1" customWidth="1"/>
    <col min="5388" max="5388" width="13.7265625" bestFit="1" customWidth="1"/>
    <col min="5633" max="5633" width="5" bestFit="1" customWidth="1"/>
    <col min="5634" max="5634" width="18.7265625" bestFit="1" customWidth="1"/>
    <col min="5635" max="5635" width="14" bestFit="1" customWidth="1"/>
    <col min="5636" max="5636" width="14" customWidth="1"/>
    <col min="5637" max="5637" width="13.7265625" bestFit="1" customWidth="1"/>
    <col min="5638" max="5638" width="14.81640625" bestFit="1" customWidth="1"/>
    <col min="5639" max="5639" width="17.54296875" bestFit="1" customWidth="1"/>
    <col min="5641" max="5641" width="13.54296875" bestFit="1" customWidth="1"/>
    <col min="5644" max="5644" width="13.7265625" bestFit="1" customWidth="1"/>
    <col min="5889" max="5889" width="5" bestFit="1" customWidth="1"/>
    <col min="5890" max="5890" width="18.7265625" bestFit="1" customWidth="1"/>
    <col min="5891" max="5891" width="14" bestFit="1" customWidth="1"/>
    <col min="5892" max="5892" width="14" customWidth="1"/>
    <col min="5893" max="5893" width="13.7265625" bestFit="1" customWidth="1"/>
    <col min="5894" max="5894" width="14.81640625" bestFit="1" customWidth="1"/>
    <col min="5895" max="5895" width="17.54296875" bestFit="1" customWidth="1"/>
    <col min="5897" max="5897" width="13.54296875" bestFit="1" customWidth="1"/>
    <col min="5900" max="5900" width="13.7265625" bestFit="1" customWidth="1"/>
    <col min="6145" max="6145" width="5" bestFit="1" customWidth="1"/>
    <col min="6146" max="6146" width="18.7265625" bestFit="1" customWidth="1"/>
    <col min="6147" max="6147" width="14" bestFit="1" customWidth="1"/>
    <col min="6148" max="6148" width="14" customWidth="1"/>
    <col min="6149" max="6149" width="13.7265625" bestFit="1" customWidth="1"/>
    <col min="6150" max="6150" width="14.81640625" bestFit="1" customWidth="1"/>
    <col min="6151" max="6151" width="17.54296875" bestFit="1" customWidth="1"/>
    <col min="6153" max="6153" width="13.54296875" bestFit="1" customWidth="1"/>
    <col min="6156" max="6156" width="13.7265625" bestFit="1" customWidth="1"/>
    <col min="6401" max="6401" width="5" bestFit="1" customWidth="1"/>
    <col min="6402" max="6402" width="18.7265625" bestFit="1" customWidth="1"/>
    <col min="6403" max="6403" width="14" bestFit="1" customWidth="1"/>
    <col min="6404" max="6404" width="14" customWidth="1"/>
    <col min="6405" max="6405" width="13.7265625" bestFit="1" customWidth="1"/>
    <col min="6406" max="6406" width="14.81640625" bestFit="1" customWidth="1"/>
    <col min="6407" max="6407" width="17.54296875" bestFit="1" customWidth="1"/>
    <col min="6409" max="6409" width="13.54296875" bestFit="1" customWidth="1"/>
    <col min="6412" max="6412" width="13.7265625" bestFit="1" customWidth="1"/>
    <col min="6657" max="6657" width="5" bestFit="1" customWidth="1"/>
    <col min="6658" max="6658" width="18.7265625" bestFit="1" customWidth="1"/>
    <col min="6659" max="6659" width="14" bestFit="1" customWidth="1"/>
    <col min="6660" max="6660" width="14" customWidth="1"/>
    <col min="6661" max="6661" width="13.7265625" bestFit="1" customWidth="1"/>
    <col min="6662" max="6662" width="14.81640625" bestFit="1" customWidth="1"/>
    <col min="6663" max="6663" width="17.54296875" bestFit="1" customWidth="1"/>
    <col min="6665" max="6665" width="13.54296875" bestFit="1" customWidth="1"/>
    <col min="6668" max="6668" width="13.7265625" bestFit="1" customWidth="1"/>
    <col min="6913" max="6913" width="5" bestFit="1" customWidth="1"/>
    <col min="6914" max="6914" width="18.7265625" bestFit="1" customWidth="1"/>
    <col min="6915" max="6915" width="14" bestFit="1" customWidth="1"/>
    <col min="6916" max="6916" width="14" customWidth="1"/>
    <col min="6917" max="6917" width="13.7265625" bestFit="1" customWidth="1"/>
    <col min="6918" max="6918" width="14.81640625" bestFit="1" customWidth="1"/>
    <col min="6919" max="6919" width="17.54296875" bestFit="1" customWidth="1"/>
    <col min="6921" max="6921" width="13.54296875" bestFit="1" customWidth="1"/>
    <col min="6924" max="6924" width="13.7265625" bestFit="1" customWidth="1"/>
    <col min="7169" max="7169" width="5" bestFit="1" customWidth="1"/>
    <col min="7170" max="7170" width="18.7265625" bestFit="1" customWidth="1"/>
    <col min="7171" max="7171" width="14" bestFit="1" customWidth="1"/>
    <col min="7172" max="7172" width="14" customWidth="1"/>
    <col min="7173" max="7173" width="13.7265625" bestFit="1" customWidth="1"/>
    <col min="7174" max="7174" width="14.81640625" bestFit="1" customWidth="1"/>
    <col min="7175" max="7175" width="17.54296875" bestFit="1" customWidth="1"/>
    <col min="7177" max="7177" width="13.54296875" bestFit="1" customWidth="1"/>
    <col min="7180" max="7180" width="13.7265625" bestFit="1" customWidth="1"/>
    <col min="7425" max="7425" width="5" bestFit="1" customWidth="1"/>
    <col min="7426" max="7426" width="18.7265625" bestFit="1" customWidth="1"/>
    <col min="7427" max="7427" width="14" bestFit="1" customWidth="1"/>
    <col min="7428" max="7428" width="14" customWidth="1"/>
    <col min="7429" max="7429" width="13.7265625" bestFit="1" customWidth="1"/>
    <col min="7430" max="7430" width="14.81640625" bestFit="1" customWidth="1"/>
    <col min="7431" max="7431" width="17.54296875" bestFit="1" customWidth="1"/>
    <col min="7433" max="7433" width="13.54296875" bestFit="1" customWidth="1"/>
    <col min="7436" max="7436" width="13.7265625" bestFit="1" customWidth="1"/>
    <col min="7681" max="7681" width="5" bestFit="1" customWidth="1"/>
    <col min="7682" max="7682" width="18.7265625" bestFit="1" customWidth="1"/>
    <col min="7683" max="7683" width="14" bestFit="1" customWidth="1"/>
    <col min="7684" max="7684" width="14" customWidth="1"/>
    <col min="7685" max="7685" width="13.7265625" bestFit="1" customWidth="1"/>
    <col min="7686" max="7686" width="14.81640625" bestFit="1" customWidth="1"/>
    <col min="7687" max="7687" width="17.54296875" bestFit="1" customWidth="1"/>
    <col min="7689" max="7689" width="13.54296875" bestFit="1" customWidth="1"/>
    <col min="7692" max="7692" width="13.7265625" bestFit="1" customWidth="1"/>
    <col min="7937" max="7937" width="5" bestFit="1" customWidth="1"/>
    <col min="7938" max="7938" width="18.7265625" bestFit="1" customWidth="1"/>
    <col min="7939" max="7939" width="14" bestFit="1" customWidth="1"/>
    <col min="7940" max="7940" width="14" customWidth="1"/>
    <col min="7941" max="7941" width="13.7265625" bestFit="1" customWidth="1"/>
    <col min="7942" max="7942" width="14.81640625" bestFit="1" customWidth="1"/>
    <col min="7943" max="7943" width="17.54296875" bestFit="1" customWidth="1"/>
    <col min="7945" max="7945" width="13.54296875" bestFit="1" customWidth="1"/>
    <col min="7948" max="7948" width="13.7265625" bestFit="1" customWidth="1"/>
    <col min="8193" max="8193" width="5" bestFit="1" customWidth="1"/>
    <col min="8194" max="8194" width="18.7265625" bestFit="1" customWidth="1"/>
    <col min="8195" max="8195" width="14" bestFit="1" customWidth="1"/>
    <col min="8196" max="8196" width="14" customWidth="1"/>
    <col min="8197" max="8197" width="13.7265625" bestFit="1" customWidth="1"/>
    <col min="8198" max="8198" width="14.81640625" bestFit="1" customWidth="1"/>
    <col min="8199" max="8199" width="17.54296875" bestFit="1" customWidth="1"/>
    <col min="8201" max="8201" width="13.54296875" bestFit="1" customWidth="1"/>
    <col min="8204" max="8204" width="13.7265625" bestFit="1" customWidth="1"/>
    <col min="8449" max="8449" width="5" bestFit="1" customWidth="1"/>
    <col min="8450" max="8450" width="18.7265625" bestFit="1" customWidth="1"/>
    <col min="8451" max="8451" width="14" bestFit="1" customWidth="1"/>
    <col min="8452" max="8452" width="14" customWidth="1"/>
    <col min="8453" max="8453" width="13.7265625" bestFit="1" customWidth="1"/>
    <col min="8454" max="8454" width="14.81640625" bestFit="1" customWidth="1"/>
    <col min="8455" max="8455" width="17.54296875" bestFit="1" customWidth="1"/>
    <col min="8457" max="8457" width="13.54296875" bestFit="1" customWidth="1"/>
    <col min="8460" max="8460" width="13.7265625" bestFit="1" customWidth="1"/>
    <col min="8705" max="8705" width="5" bestFit="1" customWidth="1"/>
    <col min="8706" max="8706" width="18.7265625" bestFit="1" customWidth="1"/>
    <col min="8707" max="8707" width="14" bestFit="1" customWidth="1"/>
    <col min="8708" max="8708" width="14" customWidth="1"/>
    <col min="8709" max="8709" width="13.7265625" bestFit="1" customWidth="1"/>
    <col min="8710" max="8710" width="14.81640625" bestFit="1" customWidth="1"/>
    <col min="8711" max="8711" width="17.54296875" bestFit="1" customWidth="1"/>
    <col min="8713" max="8713" width="13.54296875" bestFit="1" customWidth="1"/>
    <col min="8716" max="8716" width="13.7265625" bestFit="1" customWidth="1"/>
    <col min="8961" max="8961" width="5" bestFit="1" customWidth="1"/>
    <col min="8962" max="8962" width="18.7265625" bestFit="1" customWidth="1"/>
    <col min="8963" max="8963" width="14" bestFit="1" customWidth="1"/>
    <col min="8964" max="8964" width="14" customWidth="1"/>
    <col min="8965" max="8965" width="13.7265625" bestFit="1" customWidth="1"/>
    <col min="8966" max="8966" width="14.81640625" bestFit="1" customWidth="1"/>
    <col min="8967" max="8967" width="17.54296875" bestFit="1" customWidth="1"/>
    <col min="8969" max="8969" width="13.54296875" bestFit="1" customWidth="1"/>
    <col min="8972" max="8972" width="13.7265625" bestFit="1" customWidth="1"/>
    <col min="9217" max="9217" width="5" bestFit="1" customWidth="1"/>
    <col min="9218" max="9218" width="18.7265625" bestFit="1" customWidth="1"/>
    <col min="9219" max="9219" width="14" bestFit="1" customWidth="1"/>
    <col min="9220" max="9220" width="14" customWidth="1"/>
    <col min="9221" max="9221" width="13.7265625" bestFit="1" customWidth="1"/>
    <col min="9222" max="9222" width="14.81640625" bestFit="1" customWidth="1"/>
    <col min="9223" max="9223" width="17.54296875" bestFit="1" customWidth="1"/>
    <col min="9225" max="9225" width="13.54296875" bestFit="1" customWidth="1"/>
    <col min="9228" max="9228" width="13.7265625" bestFit="1" customWidth="1"/>
    <col min="9473" max="9473" width="5" bestFit="1" customWidth="1"/>
    <col min="9474" max="9474" width="18.7265625" bestFit="1" customWidth="1"/>
    <col min="9475" max="9475" width="14" bestFit="1" customWidth="1"/>
    <col min="9476" max="9476" width="14" customWidth="1"/>
    <col min="9477" max="9477" width="13.7265625" bestFit="1" customWidth="1"/>
    <col min="9478" max="9478" width="14.81640625" bestFit="1" customWidth="1"/>
    <col min="9479" max="9479" width="17.54296875" bestFit="1" customWidth="1"/>
    <col min="9481" max="9481" width="13.54296875" bestFit="1" customWidth="1"/>
    <col min="9484" max="9484" width="13.7265625" bestFit="1" customWidth="1"/>
    <col min="9729" max="9729" width="5" bestFit="1" customWidth="1"/>
    <col min="9730" max="9730" width="18.7265625" bestFit="1" customWidth="1"/>
    <col min="9731" max="9731" width="14" bestFit="1" customWidth="1"/>
    <col min="9732" max="9732" width="14" customWidth="1"/>
    <col min="9733" max="9733" width="13.7265625" bestFit="1" customWidth="1"/>
    <col min="9734" max="9734" width="14.81640625" bestFit="1" customWidth="1"/>
    <col min="9735" max="9735" width="17.54296875" bestFit="1" customWidth="1"/>
    <col min="9737" max="9737" width="13.54296875" bestFit="1" customWidth="1"/>
    <col min="9740" max="9740" width="13.7265625" bestFit="1" customWidth="1"/>
    <col min="9985" max="9985" width="5" bestFit="1" customWidth="1"/>
    <col min="9986" max="9986" width="18.7265625" bestFit="1" customWidth="1"/>
    <col min="9987" max="9987" width="14" bestFit="1" customWidth="1"/>
    <col min="9988" max="9988" width="14" customWidth="1"/>
    <col min="9989" max="9989" width="13.7265625" bestFit="1" customWidth="1"/>
    <col min="9990" max="9990" width="14.81640625" bestFit="1" customWidth="1"/>
    <col min="9991" max="9991" width="17.54296875" bestFit="1" customWidth="1"/>
    <col min="9993" max="9993" width="13.54296875" bestFit="1" customWidth="1"/>
    <col min="9996" max="9996" width="13.7265625" bestFit="1" customWidth="1"/>
    <col min="10241" max="10241" width="5" bestFit="1" customWidth="1"/>
    <col min="10242" max="10242" width="18.7265625" bestFit="1" customWidth="1"/>
    <col min="10243" max="10243" width="14" bestFit="1" customWidth="1"/>
    <col min="10244" max="10244" width="14" customWidth="1"/>
    <col min="10245" max="10245" width="13.7265625" bestFit="1" customWidth="1"/>
    <col min="10246" max="10246" width="14.81640625" bestFit="1" customWidth="1"/>
    <col min="10247" max="10247" width="17.54296875" bestFit="1" customWidth="1"/>
    <col min="10249" max="10249" width="13.54296875" bestFit="1" customWidth="1"/>
    <col min="10252" max="10252" width="13.7265625" bestFit="1" customWidth="1"/>
    <col min="10497" max="10497" width="5" bestFit="1" customWidth="1"/>
    <col min="10498" max="10498" width="18.7265625" bestFit="1" customWidth="1"/>
    <col min="10499" max="10499" width="14" bestFit="1" customWidth="1"/>
    <col min="10500" max="10500" width="14" customWidth="1"/>
    <col min="10501" max="10501" width="13.7265625" bestFit="1" customWidth="1"/>
    <col min="10502" max="10502" width="14.81640625" bestFit="1" customWidth="1"/>
    <col min="10503" max="10503" width="17.54296875" bestFit="1" customWidth="1"/>
    <col min="10505" max="10505" width="13.54296875" bestFit="1" customWidth="1"/>
    <col min="10508" max="10508" width="13.7265625" bestFit="1" customWidth="1"/>
    <col min="10753" max="10753" width="5" bestFit="1" customWidth="1"/>
    <col min="10754" max="10754" width="18.7265625" bestFit="1" customWidth="1"/>
    <col min="10755" max="10755" width="14" bestFit="1" customWidth="1"/>
    <col min="10756" max="10756" width="14" customWidth="1"/>
    <col min="10757" max="10757" width="13.7265625" bestFit="1" customWidth="1"/>
    <col min="10758" max="10758" width="14.81640625" bestFit="1" customWidth="1"/>
    <col min="10759" max="10759" width="17.54296875" bestFit="1" customWidth="1"/>
    <col min="10761" max="10761" width="13.54296875" bestFit="1" customWidth="1"/>
    <col min="10764" max="10764" width="13.7265625" bestFit="1" customWidth="1"/>
    <col min="11009" max="11009" width="5" bestFit="1" customWidth="1"/>
    <col min="11010" max="11010" width="18.7265625" bestFit="1" customWidth="1"/>
    <col min="11011" max="11011" width="14" bestFit="1" customWidth="1"/>
    <col min="11012" max="11012" width="14" customWidth="1"/>
    <col min="11013" max="11013" width="13.7265625" bestFit="1" customWidth="1"/>
    <col min="11014" max="11014" width="14.81640625" bestFit="1" customWidth="1"/>
    <col min="11015" max="11015" width="17.54296875" bestFit="1" customWidth="1"/>
    <col min="11017" max="11017" width="13.54296875" bestFit="1" customWidth="1"/>
    <col min="11020" max="11020" width="13.7265625" bestFit="1" customWidth="1"/>
    <col min="11265" max="11265" width="5" bestFit="1" customWidth="1"/>
    <col min="11266" max="11266" width="18.7265625" bestFit="1" customWidth="1"/>
    <col min="11267" max="11267" width="14" bestFit="1" customWidth="1"/>
    <col min="11268" max="11268" width="14" customWidth="1"/>
    <col min="11269" max="11269" width="13.7265625" bestFit="1" customWidth="1"/>
    <col min="11270" max="11270" width="14.81640625" bestFit="1" customWidth="1"/>
    <col min="11271" max="11271" width="17.54296875" bestFit="1" customWidth="1"/>
    <col min="11273" max="11273" width="13.54296875" bestFit="1" customWidth="1"/>
    <col min="11276" max="11276" width="13.7265625" bestFit="1" customWidth="1"/>
    <col min="11521" max="11521" width="5" bestFit="1" customWidth="1"/>
    <col min="11522" max="11522" width="18.7265625" bestFit="1" customWidth="1"/>
    <col min="11523" max="11523" width="14" bestFit="1" customWidth="1"/>
    <col min="11524" max="11524" width="14" customWidth="1"/>
    <col min="11525" max="11525" width="13.7265625" bestFit="1" customWidth="1"/>
    <col min="11526" max="11526" width="14.81640625" bestFit="1" customWidth="1"/>
    <col min="11527" max="11527" width="17.54296875" bestFit="1" customWidth="1"/>
    <col min="11529" max="11529" width="13.54296875" bestFit="1" customWidth="1"/>
    <col min="11532" max="11532" width="13.7265625" bestFit="1" customWidth="1"/>
    <col min="11777" max="11777" width="5" bestFit="1" customWidth="1"/>
    <col min="11778" max="11778" width="18.7265625" bestFit="1" customWidth="1"/>
    <col min="11779" max="11779" width="14" bestFit="1" customWidth="1"/>
    <col min="11780" max="11780" width="14" customWidth="1"/>
    <col min="11781" max="11781" width="13.7265625" bestFit="1" customWidth="1"/>
    <col min="11782" max="11782" width="14.81640625" bestFit="1" customWidth="1"/>
    <col min="11783" max="11783" width="17.54296875" bestFit="1" customWidth="1"/>
    <col min="11785" max="11785" width="13.54296875" bestFit="1" customWidth="1"/>
    <col min="11788" max="11788" width="13.7265625" bestFit="1" customWidth="1"/>
    <col min="12033" max="12033" width="5" bestFit="1" customWidth="1"/>
    <col min="12034" max="12034" width="18.7265625" bestFit="1" customWidth="1"/>
    <col min="12035" max="12035" width="14" bestFit="1" customWidth="1"/>
    <col min="12036" max="12036" width="14" customWidth="1"/>
    <col min="12037" max="12037" width="13.7265625" bestFit="1" customWidth="1"/>
    <col min="12038" max="12038" width="14.81640625" bestFit="1" customWidth="1"/>
    <col min="12039" max="12039" width="17.54296875" bestFit="1" customWidth="1"/>
    <col min="12041" max="12041" width="13.54296875" bestFit="1" customWidth="1"/>
    <col min="12044" max="12044" width="13.7265625" bestFit="1" customWidth="1"/>
    <col min="12289" max="12289" width="5" bestFit="1" customWidth="1"/>
    <col min="12290" max="12290" width="18.7265625" bestFit="1" customWidth="1"/>
    <col min="12291" max="12291" width="14" bestFit="1" customWidth="1"/>
    <col min="12292" max="12292" width="14" customWidth="1"/>
    <col min="12293" max="12293" width="13.7265625" bestFit="1" customWidth="1"/>
    <col min="12294" max="12294" width="14.81640625" bestFit="1" customWidth="1"/>
    <col min="12295" max="12295" width="17.54296875" bestFit="1" customWidth="1"/>
    <col min="12297" max="12297" width="13.54296875" bestFit="1" customWidth="1"/>
    <col min="12300" max="12300" width="13.7265625" bestFit="1" customWidth="1"/>
    <col min="12545" max="12545" width="5" bestFit="1" customWidth="1"/>
    <col min="12546" max="12546" width="18.7265625" bestFit="1" customWidth="1"/>
    <col min="12547" max="12547" width="14" bestFit="1" customWidth="1"/>
    <col min="12548" max="12548" width="14" customWidth="1"/>
    <col min="12549" max="12549" width="13.7265625" bestFit="1" customWidth="1"/>
    <col min="12550" max="12550" width="14.81640625" bestFit="1" customWidth="1"/>
    <col min="12551" max="12551" width="17.54296875" bestFit="1" customWidth="1"/>
    <col min="12553" max="12553" width="13.54296875" bestFit="1" customWidth="1"/>
    <col min="12556" max="12556" width="13.7265625" bestFit="1" customWidth="1"/>
    <col min="12801" max="12801" width="5" bestFit="1" customWidth="1"/>
    <col min="12802" max="12802" width="18.7265625" bestFit="1" customWidth="1"/>
    <col min="12803" max="12803" width="14" bestFit="1" customWidth="1"/>
    <col min="12804" max="12804" width="14" customWidth="1"/>
    <col min="12805" max="12805" width="13.7265625" bestFit="1" customWidth="1"/>
    <col min="12806" max="12806" width="14.81640625" bestFit="1" customWidth="1"/>
    <col min="12807" max="12807" width="17.54296875" bestFit="1" customWidth="1"/>
    <col min="12809" max="12809" width="13.54296875" bestFit="1" customWidth="1"/>
    <col min="12812" max="12812" width="13.7265625" bestFit="1" customWidth="1"/>
    <col min="13057" max="13057" width="5" bestFit="1" customWidth="1"/>
    <col min="13058" max="13058" width="18.7265625" bestFit="1" customWidth="1"/>
    <col min="13059" max="13059" width="14" bestFit="1" customWidth="1"/>
    <col min="13060" max="13060" width="14" customWidth="1"/>
    <col min="13061" max="13061" width="13.7265625" bestFit="1" customWidth="1"/>
    <col min="13062" max="13062" width="14.81640625" bestFit="1" customWidth="1"/>
    <col min="13063" max="13063" width="17.54296875" bestFit="1" customWidth="1"/>
    <col min="13065" max="13065" width="13.54296875" bestFit="1" customWidth="1"/>
    <col min="13068" max="13068" width="13.7265625" bestFit="1" customWidth="1"/>
    <col min="13313" max="13313" width="5" bestFit="1" customWidth="1"/>
    <col min="13314" max="13314" width="18.7265625" bestFit="1" customWidth="1"/>
    <col min="13315" max="13315" width="14" bestFit="1" customWidth="1"/>
    <col min="13316" max="13316" width="14" customWidth="1"/>
    <col min="13317" max="13317" width="13.7265625" bestFit="1" customWidth="1"/>
    <col min="13318" max="13318" width="14.81640625" bestFit="1" customWidth="1"/>
    <col min="13319" max="13319" width="17.54296875" bestFit="1" customWidth="1"/>
    <col min="13321" max="13321" width="13.54296875" bestFit="1" customWidth="1"/>
    <col min="13324" max="13324" width="13.7265625" bestFit="1" customWidth="1"/>
    <col min="13569" max="13569" width="5" bestFit="1" customWidth="1"/>
    <col min="13570" max="13570" width="18.7265625" bestFit="1" customWidth="1"/>
    <col min="13571" max="13571" width="14" bestFit="1" customWidth="1"/>
    <col min="13572" max="13572" width="14" customWidth="1"/>
    <col min="13573" max="13573" width="13.7265625" bestFit="1" customWidth="1"/>
    <col min="13574" max="13574" width="14.81640625" bestFit="1" customWidth="1"/>
    <col min="13575" max="13575" width="17.54296875" bestFit="1" customWidth="1"/>
    <col min="13577" max="13577" width="13.54296875" bestFit="1" customWidth="1"/>
    <col min="13580" max="13580" width="13.7265625" bestFit="1" customWidth="1"/>
    <col min="13825" max="13825" width="5" bestFit="1" customWidth="1"/>
    <col min="13826" max="13826" width="18.7265625" bestFit="1" customWidth="1"/>
    <col min="13827" max="13827" width="14" bestFit="1" customWidth="1"/>
    <col min="13828" max="13828" width="14" customWidth="1"/>
    <col min="13829" max="13829" width="13.7265625" bestFit="1" customWidth="1"/>
    <col min="13830" max="13830" width="14.81640625" bestFit="1" customWidth="1"/>
    <col min="13831" max="13831" width="17.54296875" bestFit="1" customWidth="1"/>
    <col min="13833" max="13833" width="13.54296875" bestFit="1" customWidth="1"/>
    <col min="13836" max="13836" width="13.7265625" bestFit="1" customWidth="1"/>
    <col min="14081" max="14081" width="5" bestFit="1" customWidth="1"/>
    <col min="14082" max="14082" width="18.7265625" bestFit="1" customWidth="1"/>
    <col min="14083" max="14083" width="14" bestFit="1" customWidth="1"/>
    <col min="14084" max="14084" width="14" customWidth="1"/>
    <col min="14085" max="14085" width="13.7265625" bestFit="1" customWidth="1"/>
    <col min="14086" max="14086" width="14.81640625" bestFit="1" customWidth="1"/>
    <col min="14087" max="14087" width="17.54296875" bestFit="1" customWidth="1"/>
    <col min="14089" max="14089" width="13.54296875" bestFit="1" customWidth="1"/>
    <col min="14092" max="14092" width="13.7265625" bestFit="1" customWidth="1"/>
    <col min="14337" max="14337" width="5" bestFit="1" customWidth="1"/>
    <col min="14338" max="14338" width="18.7265625" bestFit="1" customWidth="1"/>
    <col min="14339" max="14339" width="14" bestFit="1" customWidth="1"/>
    <col min="14340" max="14340" width="14" customWidth="1"/>
    <col min="14341" max="14341" width="13.7265625" bestFit="1" customWidth="1"/>
    <col min="14342" max="14342" width="14.81640625" bestFit="1" customWidth="1"/>
    <col min="14343" max="14343" width="17.54296875" bestFit="1" customWidth="1"/>
    <col min="14345" max="14345" width="13.54296875" bestFit="1" customWidth="1"/>
    <col min="14348" max="14348" width="13.7265625" bestFit="1" customWidth="1"/>
    <col min="14593" max="14593" width="5" bestFit="1" customWidth="1"/>
    <col min="14594" max="14594" width="18.7265625" bestFit="1" customWidth="1"/>
    <col min="14595" max="14595" width="14" bestFit="1" customWidth="1"/>
    <col min="14596" max="14596" width="14" customWidth="1"/>
    <col min="14597" max="14597" width="13.7265625" bestFit="1" customWidth="1"/>
    <col min="14598" max="14598" width="14.81640625" bestFit="1" customWidth="1"/>
    <col min="14599" max="14599" width="17.54296875" bestFit="1" customWidth="1"/>
    <col min="14601" max="14601" width="13.54296875" bestFit="1" customWidth="1"/>
    <col min="14604" max="14604" width="13.7265625" bestFit="1" customWidth="1"/>
    <col min="14849" max="14849" width="5" bestFit="1" customWidth="1"/>
    <col min="14850" max="14850" width="18.7265625" bestFit="1" customWidth="1"/>
    <col min="14851" max="14851" width="14" bestFit="1" customWidth="1"/>
    <col min="14852" max="14852" width="14" customWidth="1"/>
    <col min="14853" max="14853" width="13.7265625" bestFit="1" customWidth="1"/>
    <col min="14854" max="14854" width="14.81640625" bestFit="1" customWidth="1"/>
    <col min="14855" max="14855" width="17.54296875" bestFit="1" customWidth="1"/>
    <col min="14857" max="14857" width="13.54296875" bestFit="1" customWidth="1"/>
    <col min="14860" max="14860" width="13.7265625" bestFit="1" customWidth="1"/>
    <col min="15105" max="15105" width="5" bestFit="1" customWidth="1"/>
    <col min="15106" max="15106" width="18.7265625" bestFit="1" customWidth="1"/>
    <col min="15107" max="15107" width="14" bestFit="1" customWidth="1"/>
    <col min="15108" max="15108" width="14" customWidth="1"/>
    <col min="15109" max="15109" width="13.7265625" bestFit="1" customWidth="1"/>
    <col min="15110" max="15110" width="14.81640625" bestFit="1" customWidth="1"/>
    <col min="15111" max="15111" width="17.54296875" bestFit="1" customWidth="1"/>
    <col min="15113" max="15113" width="13.54296875" bestFit="1" customWidth="1"/>
    <col min="15116" max="15116" width="13.7265625" bestFit="1" customWidth="1"/>
    <col min="15361" max="15361" width="5" bestFit="1" customWidth="1"/>
    <col min="15362" max="15362" width="18.7265625" bestFit="1" customWidth="1"/>
    <col min="15363" max="15363" width="14" bestFit="1" customWidth="1"/>
    <col min="15364" max="15364" width="14" customWidth="1"/>
    <col min="15365" max="15365" width="13.7265625" bestFit="1" customWidth="1"/>
    <col min="15366" max="15366" width="14.81640625" bestFit="1" customWidth="1"/>
    <col min="15367" max="15367" width="17.54296875" bestFit="1" customWidth="1"/>
    <col min="15369" max="15369" width="13.54296875" bestFit="1" customWidth="1"/>
    <col min="15372" max="15372" width="13.7265625" bestFit="1" customWidth="1"/>
    <col min="15617" max="15617" width="5" bestFit="1" customWidth="1"/>
    <col min="15618" max="15618" width="18.7265625" bestFit="1" customWidth="1"/>
    <col min="15619" max="15619" width="14" bestFit="1" customWidth="1"/>
    <col min="15620" max="15620" width="14" customWidth="1"/>
    <col min="15621" max="15621" width="13.7265625" bestFit="1" customWidth="1"/>
    <col min="15622" max="15622" width="14.81640625" bestFit="1" customWidth="1"/>
    <col min="15623" max="15623" width="17.54296875" bestFit="1" customWidth="1"/>
    <col min="15625" max="15625" width="13.54296875" bestFit="1" customWidth="1"/>
    <col min="15628" max="15628" width="13.7265625" bestFit="1" customWidth="1"/>
    <col min="15873" max="15873" width="5" bestFit="1" customWidth="1"/>
    <col min="15874" max="15874" width="18.7265625" bestFit="1" customWidth="1"/>
    <col min="15875" max="15875" width="14" bestFit="1" customWidth="1"/>
    <col min="15876" max="15876" width="14" customWidth="1"/>
    <col min="15877" max="15877" width="13.7265625" bestFit="1" customWidth="1"/>
    <col min="15878" max="15878" width="14.81640625" bestFit="1" customWidth="1"/>
    <col min="15879" max="15879" width="17.54296875" bestFit="1" customWidth="1"/>
    <col min="15881" max="15881" width="13.54296875" bestFit="1" customWidth="1"/>
    <col min="15884" max="15884" width="13.7265625" bestFit="1" customWidth="1"/>
    <col min="16129" max="16129" width="5" bestFit="1" customWidth="1"/>
    <col min="16130" max="16130" width="18.7265625" bestFit="1" customWidth="1"/>
    <col min="16131" max="16131" width="14" bestFit="1" customWidth="1"/>
    <col min="16132" max="16132" width="14" customWidth="1"/>
    <col min="16133" max="16133" width="13.7265625" bestFit="1" customWidth="1"/>
    <col min="16134" max="16134" width="14.81640625" bestFit="1" customWidth="1"/>
    <col min="16135" max="16135" width="17.54296875" bestFit="1" customWidth="1"/>
    <col min="16137" max="16137" width="13.54296875" bestFit="1" customWidth="1"/>
    <col min="16140" max="16140" width="13.7265625" bestFit="1" customWidth="1"/>
  </cols>
  <sheetData>
    <row r="2" spans="1:12" ht="18.5" x14ac:dyDescent="0.45">
      <c r="A2" s="453" t="s">
        <v>538</v>
      </c>
      <c r="B2" s="453"/>
      <c r="C2" s="453"/>
      <c r="D2" s="453"/>
      <c r="E2" s="453"/>
      <c r="F2" s="453"/>
      <c r="H2">
        <v>35</v>
      </c>
    </row>
    <row r="3" spans="1:12" x14ac:dyDescent="0.35">
      <c r="A3" s="23" t="s">
        <v>500</v>
      </c>
      <c r="B3" s="23" t="s">
        <v>129</v>
      </c>
      <c r="C3" s="23" t="s">
        <v>539</v>
      </c>
      <c r="D3" s="23" t="s">
        <v>0</v>
      </c>
      <c r="E3" s="23" t="s">
        <v>221</v>
      </c>
      <c r="F3" s="23" t="s">
        <v>501</v>
      </c>
      <c r="G3" s="24" t="s">
        <v>540</v>
      </c>
    </row>
    <row r="4" spans="1:12" x14ac:dyDescent="0.35">
      <c r="A4" s="25">
        <v>1</v>
      </c>
      <c r="B4" s="26" t="s">
        <v>541</v>
      </c>
      <c r="C4" s="26">
        <v>32</v>
      </c>
      <c r="D4" s="26" t="s">
        <v>542</v>
      </c>
      <c r="E4" s="26">
        <v>650000</v>
      </c>
      <c r="F4" s="26">
        <f>E4*C4</f>
        <v>20800000</v>
      </c>
      <c r="G4" s="21">
        <f>F4*$H$2</f>
        <v>728000000</v>
      </c>
    </row>
    <row r="5" spans="1:12" x14ac:dyDescent="0.35">
      <c r="A5" s="25">
        <v>2</v>
      </c>
      <c r="B5" s="26" t="s">
        <v>543</v>
      </c>
      <c r="C5" s="26">
        <v>1</v>
      </c>
      <c r="D5" s="26" t="s">
        <v>60</v>
      </c>
      <c r="E5" s="26">
        <v>690030</v>
      </c>
      <c r="F5" s="26">
        <f>E5*C5</f>
        <v>690030</v>
      </c>
      <c r="G5" s="21">
        <f>F5*$H$2</f>
        <v>24151050</v>
      </c>
    </row>
    <row r="6" spans="1:12" x14ac:dyDescent="0.35">
      <c r="A6" s="25">
        <v>2</v>
      </c>
      <c r="B6" s="26" t="s">
        <v>544</v>
      </c>
      <c r="C6" s="26">
        <v>25</v>
      </c>
      <c r="D6" s="26" t="s">
        <v>60</v>
      </c>
      <c r="E6" s="26">
        <v>332729</v>
      </c>
      <c r="F6" s="26">
        <f t="shared" ref="F6:F15" si="0">E6*C6</f>
        <v>8318225</v>
      </c>
      <c r="G6" s="21">
        <f>F6*$H$2</f>
        <v>291137875</v>
      </c>
    </row>
    <row r="7" spans="1:12" x14ac:dyDescent="0.35">
      <c r="A7" s="25">
        <v>3</v>
      </c>
      <c r="B7" s="26" t="s">
        <v>545</v>
      </c>
      <c r="C7" s="26">
        <v>20</v>
      </c>
      <c r="D7" s="26" t="s">
        <v>60</v>
      </c>
      <c r="E7" s="26">
        <v>97614</v>
      </c>
      <c r="F7" s="26">
        <f t="shared" si="0"/>
        <v>1952280</v>
      </c>
      <c r="G7" s="21">
        <f t="shared" ref="G7:G15" si="1">F7*$H$2</f>
        <v>68329800</v>
      </c>
      <c r="L7" s="27"/>
    </row>
    <row r="8" spans="1:12" x14ac:dyDescent="0.35">
      <c r="A8" s="25">
        <v>4</v>
      </c>
      <c r="B8" s="26" t="s">
        <v>546</v>
      </c>
      <c r="C8" s="26">
        <v>1</v>
      </c>
      <c r="D8" s="26" t="s">
        <v>60</v>
      </c>
      <c r="E8" s="26">
        <v>31416</v>
      </c>
      <c r="F8" s="26">
        <f t="shared" si="0"/>
        <v>31416</v>
      </c>
      <c r="G8" s="21">
        <f t="shared" si="1"/>
        <v>1099560</v>
      </c>
    </row>
    <row r="9" spans="1:12" x14ac:dyDescent="0.35">
      <c r="A9" s="25">
        <v>5</v>
      </c>
      <c r="B9" s="26" t="s">
        <v>547</v>
      </c>
      <c r="C9" s="26">
        <v>6</v>
      </c>
      <c r="D9" s="26" t="s">
        <v>535</v>
      </c>
      <c r="E9" s="26">
        <v>95370</v>
      </c>
      <c r="F9" s="26">
        <f t="shared" si="0"/>
        <v>572220</v>
      </c>
      <c r="G9" s="21">
        <f t="shared" si="1"/>
        <v>20027700</v>
      </c>
    </row>
    <row r="10" spans="1:12" x14ac:dyDescent="0.35">
      <c r="A10" s="25">
        <v>6</v>
      </c>
      <c r="B10" s="26" t="s">
        <v>548</v>
      </c>
      <c r="C10" s="26">
        <v>6</v>
      </c>
      <c r="D10" s="26" t="s">
        <v>535</v>
      </c>
      <c r="E10" s="26">
        <v>17952</v>
      </c>
      <c r="F10" s="26">
        <f t="shared" si="0"/>
        <v>107712</v>
      </c>
      <c r="G10" s="21">
        <f t="shared" si="1"/>
        <v>3769920</v>
      </c>
    </row>
    <row r="11" spans="1:12" x14ac:dyDescent="0.35">
      <c r="A11" s="25">
        <v>7</v>
      </c>
      <c r="B11" s="26" t="s">
        <v>549</v>
      </c>
      <c r="C11" s="26">
        <v>32</v>
      </c>
      <c r="D11" s="26" t="s">
        <v>535</v>
      </c>
      <c r="E11" s="26">
        <v>12342</v>
      </c>
      <c r="F11" s="26">
        <f t="shared" si="0"/>
        <v>394944</v>
      </c>
      <c r="G11" s="21">
        <f t="shared" si="1"/>
        <v>13823040</v>
      </c>
    </row>
    <row r="12" spans="1:12" x14ac:dyDescent="0.35">
      <c r="A12" s="25">
        <v>8</v>
      </c>
      <c r="B12" s="26" t="s">
        <v>550</v>
      </c>
      <c r="C12" s="26">
        <v>6</v>
      </c>
      <c r="D12" s="26" t="s">
        <v>535</v>
      </c>
      <c r="E12" s="26">
        <v>1142196</v>
      </c>
      <c r="F12" s="26">
        <f t="shared" si="0"/>
        <v>6853176</v>
      </c>
      <c r="G12" s="21">
        <f t="shared" si="1"/>
        <v>239861160</v>
      </c>
    </row>
    <row r="13" spans="1:12" x14ac:dyDescent="0.35">
      <c r="A13" s="25">
        <v>9</v>
      </c>
      <c r="B13" s="26" t="s">
        <v>551</v>
      </c>
      <c r="C13" s="26">
        <v>12</v>
      </c>
      <c r="D13" s="26" t="s">
        <v>535</v>
      </c>
      <c r="E13" s="26">
        <v>40000</v>
      </c>
      <c r="F13" s="26">
        <f t="shared" si="0"/>
        <v>480000</v>
      </c>
      <c r="G13" s="21">
        <f t="shared" si="1"/>
        <v>16800000</v>
      </c>
    </row>
    <row r="14" spans="1:12" x14ac:dyDescent="0.35">
      <c r="A14" s="25">
        <v>10</v>
      </c>
      <c r="B14" s="26" t="s">
        <v>552</v>
      </c>
      <c r="C14" s="26">
        <v>32</v>
      </c>
      <c r="D14" s="26" t="s">
        <v>535</v>
      </c>
      <c r="E14" s="26">
        <v>1100</v>
      </c>
      <c r="F14" s="26">
        <f t="shared" si="0"/>
        <v>35200</v>
      </c>
      <c r="G14" s="21">
        <f t="shared" si="1"/>
        <v>1232000</v>
      </c>
    </row>
    <row r="15" spans="1:12" x14ac:dyDescent="0.35">
      <c r="A15" s="25">
        <v>11</v>
      </c>
      <c r="B15" s="26" t="s">
        <v>553</v>
      </c>
      <c r="C15" s="26">
        <v>1</v>
      </c>
      <c r="D15" s="26" t="s">
        <v>554</v>
      </c>
      <c r="E15" s="26">
        <v>30000</v>
      </c>
      <c r="F15" s="26">
        <f t="shared" si="0"/>
        <v>30000</v>
      </c>
      <c r="G15" s="21">
        <f t="shared" si="1"/>
        <v>1050000</v>
      </c>
    </row>
    <row r="16" spans="1:12" x14ac:dyDescent="0.35">
      <c r="A16" s="25">
        <v>12</v>
      </c>
      <c r="B16" s="43" t="s">
        <v>558</v>
      </c>
      <c r="C16" s="26">
        <v>2</v>
      </c>
      <c r="D16" s="26" t="s">
        <v>44</v>
      </c>
      <c r="E16" s="26">
        <v>3000000</v>
      </c>
      <c r="F16" s="26"/>
      <c r="G16" s="21">
        <f>E16*C16</f>
        <v>6000000</v>
      </c>
    </row>
    <row r="17" spans="1:12" x14ac:dyDescent="0.35">
      <c r="A17" s="25">
        <v>13</v>
      </c>
      <c r="B17" s="26" t="s">
        <v>543</v>
      </c>
      <c r="C17" s="26">
        <f>500/4</f>
        <v>125</v>
      </c>
      <c r="D17" s="26" t="s">
        <v>494</v>
      </c>
      <c r="E17" s="26">
        <v>690030</v>
      </c>
      <c r="F17" s="26"/>
      <c r="G17" s="21">
        <f>E17*C17</f>
        <v>86253750</v>
      </c>
    </row>
    <row r="18" spans="1:12" x14ac:dyDescent="0.35">
      <c r="A18" s="25">
        <v>14</v>
      </c>
      <c r="B18" s="26" t="s">
        <v>559</v>
      </c>
      <c r="C18" s="26">
        <v>10</v>
      </c>
      <c r="D18" s="26" t="s">
        <v>479</v>
      </c>
      <c r="E18" s="26">
        <v>213180</v>
      </c>
      <c r="F18" s="26"/>
      <c r="G18" s="21">
        <f>E18*C18</f>
        <v>2131800</v>
      </c>
    </row>
    <row r="19" spans="1:12" x14ac:dyDescent="0.35">
      <c r="A19" s="25"/>
      <c r="B19" s="26"/>
      <c r="C19" s="26"/>
      <c r="D19" s="26"/>
      <c r="E19" s="26"/>
      <c r="F19" s="26"/>
      <c r="G19" s="21"/>
    </row>
    <row r="20" spans="1:12" x14ac:dyDescent="0.35">
      <c r="A20" s="2"/>
      <c r="B20" s="2" t="s">
        <v>540</v>
      </c>
      <c r="C20" s="2"/>
      <c r="D20" s="2"/>
      <c r="E20" s="2"/>
      <c r="F20" s="21">
        <f>SUM(F4:F16)</f>
        <v>40265203</v>
      </c>
      <c r="G20" s="21">
        <f>SUM(G4:G16)</f>
        <v>1415282105</v>
      </c>
      <c r="I20" s="4"/>
    </row>
    <row r="21" spans="1:12" x14ac:dyDescent="0.35">
      <c r="F21" t="s">
        <v>555</v>
      </c>
      <c r="G21" s="4">
        <f>G20/H2</f>
        <v>40436631.571428575</v>
      </c>
      <c r="I21" t="e">
        <f>#REF!</f>
        <v>#REF!</v>
      </c>
      <c r="J21" s="4" t="e">
        <f>G21/I21</f>
        <v>#REF!</v>
      </c>
      <c r="L21" s="4" t="e">
        <f>J21*1000</f>
        <v>#REF!</v>
      </c>
    </row>
    <row r="22" spans="1:12" x14ac:dyDescent="0.35">
      <c r="F22" t="s">
        <v>556</v>
      </c>
      <c r="G22" s="27"/>
      <c r="I22" t="e">
        <f>1000/I21</f>
        <v>#REF!</v>
      </c>
    </row>
    <row r="23" spans="1:12" x14ac:dyDescent="0.35">
      <c r="F23" t="s">
        <v>2</v>
      </c>
      <c r="G23" s="27"/>
    </row>
    <row r="24" spans="1:12" x14ac:dyDescent="0.35">
      <c r="F24" t="s">
        <v>557</v>
      </c>
      <c r="G24" s="27">
        <f>G23+G22</f>
        <v>0</v>
      </c>
    </row>
    <row r="25" spans="1:12" x14ac:dyDescent="0.35">
      <c r="F25" t="s">
        <v>555</v>
      </c>
      <c r="G25" s="27">
        <f>G24/20</f>
        <v>0</v>
      </c>
    </row>
    <row r="26" spans="1:12" x14ac:dyDescent="0.35">
      <c r="F26" t="s">
        <v>502</v>
      </c>
      <c r="G26" s="27">
        <f>6000000*20</f>
        <v>120000000</v>
      </c>
    </row>
    <row r="27" spans="1:12" x14ac:dyDescent="0.35">
      <c r="G27" s="4">
        <f>G26+G24</f>
        <v>120000000</v>
      </c>
    </row>
    <row r="28" spans="1:12" x14ac:dyDescent="0.35">
      <c r="G28" s="4">
        <f>G27/400000</f>
        <v>300</v>
      </c>
    </row>
    <row r="31" spans="1:12" x14ac:dyDescent="0.35">
      <c r="B31" s="26" t="s">
        <v>558</v>
      </c>
      <c r="C31" s="26">
        <v>2</v>
      </c>
      <c r="D31" s="26" t="s">
        <v>44</v>
      </c>
      <c r="E31" s="26">
        <v>3000000</v>
      </c>
      <c r="F31" s="26"/>
      <c r="G31" s="5">
        <f>E31*C31</f>
        <v>6000000</v>
      </c>
    </row>
    <row r="32" spans="1:12" x14ac:dyDescent="0.35">
      <c r="B32" s="26" t="s">
        <v>543</v>
      </c>
      <c r="C32" s="26">
        <f>500/4</f>
        <v>125</v>
      </c>
      <c r="D32" s="26" t="s">
        <v>494</v>
      </c>
      <c r="E32" s="26">
        <v>690030</v>
      </c>
      <c r="F32" s="26"/>
      <c r="G32" s="5">
        <f>E32*C32</f>
        <v>86253750</v>
      </c>
    </row>
    <row r="33" spans="2:7" x14ac:dyDescent="0.35">
      <c r="B33" s="26" t="s">
        <v>559</v>
      </c>
      <c r="C33" s="26">
        <v>10</v>
      </c>
      <c r="D33" s="26" t="s">
        <v>479</v>
      </c>
      <c r="E33" s="26">
        <v>213180</v>
      </c>
      <c r="F33" s="26"/>
      <c r="G33" s="5">
        <f>E33*C33</f>
        <v>2131800</v>
      </c>
    </row>
    <row r="34" spans="2:7" x14ac:dyDescent="0.35">
      <c r="F34" s="4">
        <f>G34/35</f>
        <v>2696730</v>
      </c>
      <c r="G34" s="4">
        <f>SUM(G31:G33)</f>
        <v>94385550</v>
      </c>
    </row>
    <row r="35" spans="2:7" x14ac:dyDescent="0.35">
      <c r="G35" s="4"/>
    </row>
  </sheetData>
  <mergeCells count="1"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ABF8A-CC4C-4AFF-A1DF-F70F59F76198}">
  <sheetPr>
    <pageSetUpPr fitToPage="1"/>
  </sheetPr>
  <dimension ref="A1:H99"/>
  <sheetViews>
    <sheetView showGridLines="0" zoomScale="130" zoomScaleNormal="130" workbookViewId="0">
      <pane xSplit="4" ySplit="8" topLeftCell="F25" activePane="bottomRight" state="frozen"/>
      <selection pane="topRight" activeCell="F1" sqref="F1"/>
      <selection pane="bottomLeft" activeCell="A10" sqref="A10"/>
      <selection pane="bottomRight" activeCell="F25" sqref="F25:G25"/>
    </sheetView>
  </sheetViews>
  <sheetFormatPr defaultRowHeight="14" x14ac:dyDescent="0.3"/>
  <cols>
    <col min="1" max="1" width="12.26953125" style="338" customWidth="1"/>
    <col min="2" max="2" width="3.81640625" style="338" customWidth="1"/>
    <col min="3" max="3" width="43" style="338" customWidth="1"/>
    <col min="4" max="4" width="15.6328125" style="338" customWidth="1"/>
    <col min="5" max="6" width="22.7265625" style="338" customWidth="1"/>
    <col min="7" max="7" width="11" style="338" customWidth="1"/>
    <col min="8" max="8" width="9.26953125" style="338"/>
    <col min="9" max="170" width="9.26953125" style="41"/>
    <col min="171" max="171" width="2.7265625" style="41" customWidth="1"/>
    <col min="172" max="172" width="3.54296875" style="41" customWidth="1"/>
    <col min="173" max="173" width="7" style="41" customWidth="1"/>
    <col min="174" max="174" width="23" style="41" customWidth="1"/>
    <col min="175" max="175" width="13.26953125" style="41" customWidth="1"/>
    <col min="176" max="176" width="17.36328125" style="41" bestFit="1" customWidth="1"/>
    <col min="177" max="177" width="11.54296875" style="41" bestFit="1" customWidth="1"/>
    <col min="178" max="178" width="7.81640625" style="41" customWidth="1"/>
    <col min="179" max="179" width="11.54296875" style="41" bestFit="1" customWidth="1"/>
    <col min="180" max="180" width="7" style="41" customWidth="1"/>
    <col min="181" max="181" width="18.1796875" style="41" customWidth="1"/>
    <col min="182" max="182" width="7" style="41" customWidth="1"/>
    <col min="183" max="183" width="15.54296875" style="41" customWidth="1"/>
    <col min="184" max="184" width="7.81640625" style="41" customWidth="1"/>
    <col min="185" max="185" width="15.54296875" style="41" customWidth="1"/>
    <col min="186" max="186" width="7.81640625" style="41" bestFit="1" customWidth="1"/>
    <col min="187" max="187" width="15.7265625" style="41" bestFit="1" customWidth="1"/>
    <col min="188" max="188" width="7.54296875" style="41" customWidth="1"/>
    <col min="189" max="189" width="14" style="41" customWidth="1"/>
    <col min="190" max="190" width="7.81640625" style="41" customWidth="1"/>
    <col min="191" max="191" width="14" style="41" customWidth="1"/>
    <col min="192" max="192" width="7.81640625" style="41" customWidth="1"/>
    <col min="193" max="193" width="14" style="41" customWidth="1"/>
    <col min="194" max="194" width="9" style="41" customWidth="1"/>
    <col min="195" max="195" width="15.1796875" style="41" customWidth="1"/>
    <col min="196" max="196" width="13" style="41" bestFit="1" customWidth="1"/>
    <col min="197" max="197" width="15.1796875" style="41" bestFit="1" customWidth="1"/>
    <col min="198" max="198" width="7.54296875" style="41" customWidth="1"/>
    <col min="199" max="199" width="14" style="41" customWidth="1"/>
    <col min="200" max="200" width="7.81640625" style="41" customWidth="1"/>
    <col min="201" max="201" width="14" style="41" customWidth="1"/>
    <col min="202" max="202" width="7.81640625" style="41" customWidth="1"/>
    <col min="203" max="203" width="14" style="41" customWidth="1"/>
    <col min="204" max="204" width="9" style="41" bestFit="1" customWidth="1"/>
    <col min="205" max="205" width="15.1796875" style="41" bestFit="1" customWidth="1"/>
    <col min="206" max="206" width="9" style="41" bestFit="1" customWidth="1"/>
    <col min="207" max="207" width="15.1796875" style="41" bestFit="1" customWidth="1"/>
    <col min="208" max="208" width="6.36328125" style="41" customWidth="1"/>
    <col min="209" max="209" width="12.7265625" style="41" customWidth="1"/>
    <col min="210" max="210" width="6.36328125" style="41" customWidth="1"/>
    <col min="211" max="211" width="12.7265625" style="41" customWidth="1"/>
    <col min="212" max="212" width="6" style="41" customWidth="1"/>
    <col min="213" max="213" width="12.7265625" style="41" customWidth="1"/>
    <col min="214" max="214" width="9.54296875" style="41" customWidth="1"/>
    <col min="215" max="215" width="14" style="41" bestFit="1" customWidth="1"/>
    <col min="216" max="216" width="9.26953125" style="41"/>
    <col min="217" max="217" width="13.54296875" style="41" customWidth="1"/>
    <col min="218" max="218" width="6" style="41" customWidth="1"/>
    <col min="219" max="219" width="13.7265625" style="41" customWidth="1"/>
    <col min="220" max="220" width="6" style="41" customWidth="1"/>
    <col min="221" max="221" width="12.7265625" style="41" customWidth="1"/>
    <col min="222" max="222" width="6.81640625" style="41" customWidth="1"/>
    <col min="223" max="223" width="12.7265625" style="41" customWidth="1"/>
    <col min="224" max="224" width="6.81640625" style="41" customWidth="1"/>
    <col min="225" max="225" width="15.7265625" style="41" bestFit="1" customWidth="1"/>
    <col min="226" max="226" width="8.54296875" style="41" bestFit="1" customWidth="1"/>
    <col min="227" max="227" width="13.54296875" style="41" customWidth="1"/>
    <col min="228" max="228" width="6" style="41" customWidth="1"/>
    <col min="229" max="229" width="13.7265625" style="41" customWidth="1"/>
    <col min="230" max="230" width="6" style="41" customWidth="1"/>
    <col min="231" max="231" width="12.7265625" style="41" customWidth="1"/>
    <col min="232" max="232" width="6.81640625" style="41" customWidth="1"/>
    <col min="233" max="233" width="12.7265625" style="41" customWidth="1"/>
    <col min="234" max="234" width="6.81640625" style="41" customWidth="1"/>
    <col min="235" max="235" width="16.36328125" style="41" bestFit="1" customWidth="1"/>
    <col min="236" max="236" width="9.54296875" style="41" bestFit="1" customWidth="1"/>
    <col min="237" max="237" width="17.36328125" style="41" bestFit="1" customWidth="1"/>
    <col min="238" max="238" width="6" style="41" customWidth="1"/>
    <col min="239" max="239" width="13.7265625" style="41" customWidth="1"/>
    <col min="240" max="240" width="6" style="41" customWidth="1"/>
    <col min="241" max="241" width="12.7265625" style="41" customWidth="1"/>
    <col min="242" max="242" width="6.81640625" style="41" customWidth="1"/>
    <col min="243" max="243" width="12.7265625" style="41" customWidth="1"/>
    <col min="244" max="244" width="6.81640625" style="41" customWidth="1"/>
    <col min="245" max="245" width="15.36328125" style="41" bestFit="1" customWidth="1"/>
    <col min="246" max="246" width="9.54296875" style="41" bestFit="1" customWidth="1"/>
    <col min="247" max="247" width="17.36328125" style="41" bestFit="1" customWidth="1"/>
    <col min="248" max="248" width="8" style="41" customWidth="1"/>
    <col min="249" max="249" width="12.1796875" style="41" customWidth="1"/>
    <col min="250" max="250" width="8" style="41" customWidth="1"/>
    <col min="251" max="251" width="20" style="41" customWidth="1"/>
    <col min="252" max="252" width="15.26953125" style="41" bestFit="1" customWidth="1"/>
    <col min="253" max="253" width="14.26953125" style="41" bestFit="1" customWidth="1"/>
    <col min="254" max="254" width="13" style="41" bestFit="1" customWidth="1"/>
    <col min="255" max="426" width="9.26953125" style="41"/>
    <col min="427" max="427" width="2.7265625" style="41" customWidth="1"/>
    <col min="428" max="428" width="3.54296875" style="41" customWidth="1"/>
    <col min="429" max="429" width="7" style="41" customWidth="1"/>
    <col min="430" max="430" width="23" style="41" customWidth="1"/>
    <col min="431" max="431" width="13.26953125" style="41" customWidth="1"/>
    <col min="432" max="432" width="17.36328125" style="41" bestFit="1" customWidth="1"/>
    <col min="433" max="433" width="11.54296875" style="41" bestFit="1" customWidth="1"/>
    <col min="434" max="434" width="7.81640625" style="41" customWidth="1"/>
    <col min="435" max="435" width="11.54296875" style="41" bestFit="1" customWidth="1"/>
    <col min="436" max="436" width="7" style="41" customWidth="1"/>
    <col min="437" max="437" width="18.1796875" style="41" customWidth="1"/>
    <col min="438" max="438" width="7" style="41" customWidth="1"/>
    <col min="439" max="439" width="15.54296875" style="41" customWidth="1"/>
    <col min="440" max="440" width="7.81640625" style="41" customWidth="1"/>
    <col min="441" max="441" width="15.54296875" style="41" customWidth="1"/>
    <col min="442" max="442" width="7.81640625" style="41" bestFit="1" customWidth="1"/>
    <col min="443" max="443" width="15.7265625" style="41" bestFit="1" customWidth="1"/>
    <col min="444" max="444" width="7.54296875" style="41" customWidth="1"/>
    <col min="445" max="445" width="14" style="41" customWidth="1"/>
    <col min="446" max="446" width="7.81640625" style="41" customWidth="1"/>
    <col min="447" max="447" width="14" style="41" customWidth="1"/>
    <col min="448" max="448" width="7.81640625" style="41" customWidth="1"/>
    <col min="449" max="449" width="14" style="41" customWidth="1"/>
    <col min="450" max="450" width="9" style="41" customWidth="1"/>
    <col min="451" max="451" width="15.1796875" style="41" customWidth="1"/>
    <col min="452" max="452" width="13" style="41" bestFit="1" customWidth="1"/>
    <col min="453" max="453" width="15.1796875" style="41" bestFit="1" customWidth="1"/>
    <col min="454" max="454" width="7.54296875" style="41" customWidth="1"/>
    <col min="455" max="455" width="14" style="41" customWidth="1"/>
    <col min="456" max="456" width="7.81640625" style="41" customWidth="1"/>
    <col min="457" max="457" width="14" style="41" customWidth="1"/>
    <col min="458" max="458" width="7.81640625" style="41" customWidth="1"/>
    <col min="459" max="459" width="14" style="41" customWidth="1"/>
    <col min="460" max="460" width="9" style="41" bestFit="1" customWidth="1"/>
    <col min="461" max="461" width="15.1796875" style="41" bestFit="1" customWidth="1"/>
    <col min="462" max="462" width="9" style="41" bestFit="1" customWidth="1"/>
    <col min="463" max="463" width="15.1796875" style="41" bestFit="1" customWidth="1"/>
    <col min="464" max="464" width="6.36328125" style="41" customWidth="1"/>
    <col min="465" max="465" width="12.7265625" style="41" customWidth="1"/>
    <col min="466" max="466" width="6.36328125" style="41" customWidth="1"/>
    <col min="467" max="467" width="12.7265625" style="41" customWidth="1"/>
    <col min="468" max="468" width="6" style="41" customWidth="1"/>
    <col min="469" max="469" width="12.7265625" style="41" customWidth="1"/>
    <col min="470" max="470" width="9.54296875" style="41" customWidth="1"/>
    <col min="471" max="471" width="14" style="41" bestFit="1" customWidth="1"/>
    <col min="472" max="472" width="9.26953125" style="41"/>
    <col min="473" max="473" width="13.54296875" style="41" customWidth="1"/>
    <col min="474" max="474" width="6" style="41" customWidth="1"/>
    <col min="475" max="475" width="13.7265625" style="41" customWidth="1"/>
    <col min="476" max="476" width="6" style="41" customWidth="1"/>
    <col min="477" max="477" width="12.7265625" style="41" customWidth="1"/>
    <col min="478" max="478" width="6.81640625" style="41" customWidth="1"/>
    <col min="479" max="479" width="12.7265625" style="41" customWidth="1"/>
    <col min="480" max="480" width="6.81640625" style="41" customWidth="1"/>
    <col min="481" max="481" width="15.7265625" style="41" bestFit="1" customWidth="1"/>
    <col min="482" max="482" width="8.54296875" style="41" bestFit="1" customWidth="1"/>
    <col min="483" max="483" width="13.54296875" style="41" customWidth="1"/>
    <col min="484" max="484" width="6" style="41" customWidth="1"/>
    <col min="485" max="485" width="13.7265625" style="41" customWidth="1"/>
    <col min="486" max="486" width="6" style="41" customWidth="1"/>
    <col min="487" max="487" width="12.7265625" style="41" customWidth="1"/>
    <col min="488" max="488" width="6.81640625" style="41" customWidth="1"/>
    <col min="489" max="489" width="12.7265625" style="41" customWidth="1"/>
    <col min="490" max="490" width="6.81640625" style="41" customWidth="1"/>
    <col min="491" max="491" width="16.36328125" style="41" bestFit="1" customWidth="1"/>
    <col min="492" max="492" width="9.54296875" style="41" bestFit="1" customWidth="1"/>
    <col min="493" max="493" width="17.36328125" style="41" bestFit="1" customWidth="1"/>
    <col min="494" max="494" width="6" style="41" customWidth="1"/>
    <col min="495" max="495" width="13.7265625" style="41" customWidth="1"/>
    <col min="496" max="496" width="6" style="41" customWidth="1"/>
    <col min="497" max="497" width="12.7265625" style="41" customWidth="1"/>
    <col min="498" max="498" width="6.81640625" style="41" customWidth="1"/>
    <col min="499" max="499" width="12.7265625" style="41" customWidth="1"/>
    <col min="500" max="500" width="6.81640625" style="41" customWidth="1"/>
    <col min="501" max="501" width="15.36328125" style="41" bestFit="1" customWidth="1"/>
    <col min="502" max="502" width="9.54296875" style="41" bestFit="1" customWidth="1"/>
    <col min="503" max="503" width="17.36328125" style="41" bestFit="1" customWidth="1"/>
    <col min="504" max="504" width="8" style="41" customWidth="1"/>
    <col min="505" max="505" width="12.1796875" style="41" customWidth="1"/>
    <col min="506" max="506" width="8" style="41" customWidth="1"/>
    <col min="507" max="507" width="20" style="41" customWidth="1"/>
    <col min="508" max="508" width="15.26953125" style="41" bestFit="1" customWidth="1"/>
    <col min="509" max="509" width="14.26953125" style="41" bestFit="1" customWidth="1"/>
    <col min="510" max="510" width="13" style="41" bestFit="1" customWidth="1"/>
    <col min="511" max="682" width="9.26953125" style="41"/>
    <col min="683" max="683" width="2.7265625" style="41" customWidth="1"/>
    <col min="684" max="684" width="3.54296875" style="41" customWidth="1"/>
    <col min="685" max="685" width="7" style="41" customWidth="1"/>
    <col min="686" max="686" width="23" style="41" customWidth="1"/>
    <col min="687" max="687" width="13.26953125" style="41" customWidth="1"/>
    <col min="688" max="688" width="17.36328125" style="41" bestFit="1" customWidth="1"/>
    <col min="689" max="689" width="11.54296875" style="41" bestFit="1" customWidth="1"/>
    <col min="690" max="690" width="7.81640625" style="41" customWidth="1"/>
    <col min="691" max="691" width="11.54296875" style="41" bestFit="1" customWidth="1"/>
    <col min="692" max="692" width="7" style="41" customWidth="1"/>
    <col min="693" max="693" width="18.1796875" style="41" customWidth="1"/>
    <col min="694" max="694" width="7" style="41" customWidth="1"/>
    <col min="695" max="695" width="15.54296875" style="41" customWidth="1"/>
    <col min="696" max="696" width="7.81640625" style="41" customWidth="1"/>
    <col min="697" max="697" width="15.54296875" style="41" customWidth="1"/>
    <col min="698" max="698" width="7.81640625" style="41" bestFit="1" customWidth="1"/>
    <col min="699" max="699" width="15.7265625" style="41" bestFit="1" customWidth="1"/>
    <col min="700" max="700" width="7.54296875" style="41" customWidth="1"/>
    <col min="701" max="701" width="14" style="41" customWidth="1"/>
    <col min="702" max="702" width="7.81640625" style="41" customWidth="1"/>
    <col min="703" max="703" width="14" style="41" customWidth="1"/>
    <col min="704" max="704" width="7.81640625" style="41" customWidth="1"/>
    <col min="705" max="705" width="14" style="41" customWidth="1"/>
    <col min="706" max="706" width="9" style="41" customWidth="1"/>
    <col min="707" max="707" width="15.1796875" style="41" customWidth="1"/>
    <col min="708" max="708" width="13" style="41" bestFit="1" customWidth="1"/>
    <col min="709" max="709" width="15.1796875" style="41" bestFit="1" customWidth="1"/>
    <col min="710" max="710" width="7.54296875" style="41" customWidth="1"/>
    <col min="711" max="711" width="14" style="41" customWidth="1"/>
    <col min="712" max="712" width="7.81640625" style="41" customWidth="1"/>
    <col min="713" max="713" width="14" style="41" customWidth="1"/>
    <col min="714" max="714" width="7.81640625" style="41" customWidth="1"/>
    <col min="715" max="715" width="14" style="41" customWidth="1"/>
    <col min="716" max="716" width="9" style="41" bestFit="1" customWidth="1"/>
    <col min="717" max="717" width="15.1796875" style="41" bestFit="1" customWidth="1"/>
    <col min="718" max="718" width="9" style="41" bestFit="1" customWidth="1"/>
    <col min="719" max="719" width="15.1796875" style="41" bestFit="1" customWidth="1"/>
    <col min="720" max="720" width="6.36328125" style="41" customWidth="1"/>
    <col min="721" max="721" width="12.7265625" style="41" customWidth="1"/>
    <col min="722" max="722" width="6.36328125" style="41" customWidth="1"/>
    <col min="723" max="723" width="12.7265625" style="41" customWidth="1"/>
    <col min="724" max="724" width="6" style="41" customWidth="1"/>
    <col min="725" max="725" width="12.7265625" style="41" customWidth="1"/>
    <col min="726" max="726" width="9.54296875" style="41" customWidth="1"/>
    <col min="727" max="727" width="14" style="41" bestFit="1" customWidth="1"/>
    <col min="728" max="728" width="9.26953125" style="41"/>
    <col min="729" max="729" width="13.54296875" style="41" customWidth="1"/>
    <col min="730" max="730" width="6" style="41" customWidth="1"/>
    <col min="731" max="731" width="13.7265625" style="41" customWidth="1"/>
    <col min="732" max="732" width="6" style="41" customWidth="1"/>
    <col min="733" max="733" width="12.7265625" style="41" customWidth="1"/>
    <col min="734" max="734" width="6.81640625" style="41" customWidth="1"/>
    <col min="735" max="735" width="12.7265625" style="41" customWidth="1"/>
    <col min="736" max="736" width="6.81640625" style="41" customWidth="1"/>
    <col min="737" max="737" width="15.7265625" style="41" bestFit="1" customWidth="1"/>
    <col min="738" max="738" width="8.54296875" style="41" bestFit="1" customWidth="1"/>
    <col min="739" max="739" width="13.54296875" style="41" customWidth="1"/>
    <col min="740" max="740" width="6" style="41" customWidth="1"/>
    <col min="741" max="741" width="13.7265625" style="41" customWidth="1"/>
    <col min="742" max="742" width="6" style="41" customWidth="1"/>
    <col min="743" max="743" width="12.7265625" style="41" customWidth="1"/>
    <col min="744" max="744" width="6.81640625" style="41" customWidth="1"/>
    <col min="745" max="745" width="12.7265625" style="41" customWidth="1"/>
    <col min="746" max="746" width="6.81640625" style="41" customWidth="1"/>
    <col min="747" max="747" width="16.36328125" style="41" bestFit="1" customWidth="1"/>
    <col min="748" max="748" width="9.54296875" style="41" bestFit="1" customWidth="1"/>
    <col min="749" max="749" width="17.36328125" style="41" bestFit="1" customWidth="1"/>
    <col min="750" max="750" width="6" style="41" customWidth="1"/>
    <col min="751" max="751" width="13.7265625" style="41" customWidth="1"/>
    <col min="752" max="752" width="6" style="41" customWidth="1"/>
    <col min="753" max="753" width="12.7265625" style="41" customWidth="1"/>
    <col min="754" max="754" width="6.81640625" style="41" customWidth="1"/>
    <col min="755" max="755" width="12.7265625" style="41" customWidth="1"/>
    <col min="756" max="756" width="6.81640625" style="41" customWidth="1"/>
    <col min="757" max="757" width="15.36328125" style="41" bestFit="1" customWidth="1"/>
    <col min="758" max="758" width="9.54296875" style="41" bestFit="1" customWidth="1"/>
    <col min="759" max="759" width="17.36328125" style="41" bestFit="1" customWidth="1"/>
    <col min="760" max="760" width="8" style="41" customWidth="1"/>
    <col min="761" max="761" width="12.1796875" style="41" customWidth="1"/>
    <col min="762" max="762" width="8" style="41" customWidth="1"/>
    <col min="763" max="763" width="20" style="41" customWidth="1"/>
    <col min="764" max="764" width="15.26953125" style="41" bestFit="1" customWidth="1"/>
    <col min="765" max="765" width="14.26953125" style="41" bestFit="1" customWidth="1"/>
    <col min="766" max="766" width="13" style="41" bestFit="1" customWidth="1"/>
    <col min="767" max="938" width="9.26953125" style="41"/>
    <col min="939" max="939" width="2.7265625" style="41" customWidth="1"/>
    <col min="940" max="940" width="3.54296875" style="41" customWidth="1"/>
    <col min="941" max="941" width="7" style="41" customWidth="1"/>
    <col min="942" max="942" width="23" style="41" customWidth="1"/>
    <col min="943" max="943" width="13.26953125" style="41" customWidth="1"/>
    <col min="944" max="944" width="17.36328125" style="41" bestFit="1" customWidth="1"/>
    <col min="945" max="945" width="11.54296875" style="41" bestFit="1" customWidth="1"/>
    <col min="946" max="946" width="7.81640625" style="41" customWidth="1"/>
    <col min="947" max="947" width="11.54296875" style="41" bestFit="1" customWidth="1"/>
    <col min="948" max="948" width="7" style="41" customWidth="1"/>
    <col min="949" max="949" width="18.1796875" style="41" customWidth="1"/>
    <col min="950" max="950" width="7" style="41" customWidth="1"/>
    <col min="951" max="951" width="15.54296875" style="41" customWidth="1"/>
    <col min="952" max="952" width="7.81640625" style="41" customWidth="1"/>
    <col min="953" max="953" width="15.54296875" style="41" customWidth="1"/>
    <col min="954" max="954" width="7.81640625" style="41" bestFit="1" customWidth="1"/>
    <col min="955" max="955" width="15.7265625" style="41" bestFit="1" customWidth="1"/>
    <col min="956" max="956" width="7.54296875" style="41" customWidth="1"/>
    <col min="957" max="957" width="14" style="41" customWidth="1"/>
    <col min="958" max="958" width="7.81640625" style="41" customWidth="1"/>
    <col min="959" max="959" width="14" style="41" customWidth="1"/>
    <col min="960" max="960" width="7.81640625" style="41" customWidth="1"/>
    <col min="961" max="961" width="14" style="41" customWidth="1"/>
    <col min="962" max="962" width="9" style="41" customWidth="1"/>
    <col min="963" max="963" width="15.1796875" style="41" customWidth="1"/>
    <col min="964" max="964" width="13" style="41" bestFit="1" customWidth="1"/>
    <col min="965" max="965" width="15.1796875" style="41" bestFit="1" customWidth="1"/>
    <col min="966" max="966" width="7.54296875" style="41" customWidth="1"/>
    <col min="967" max="967" width="14" style="41" customWidth="1"/>
    <col min="968" max="968" width="7.81640625" style="41" customWidth="1"/>
    <col min="969" max="969" width="14" style="41" customWidth="1"/>
    <col min="970" max="970" width="7.81640625" style="41" customWidth="1"/>
    <col min="971" max="971" width="14" style="41" customWidth="1"/>
    <col min="972" max="972" width="9" style="41" bestFit="1" customWidth="1"/>
    <col min="973" max="973" width="15.1796875" style="41" bestFit="1" customWidth="1"/>
    <col min="974" max="974" width="9" style="41" bestFit="1" customWidth="1"/>
    <col min="975" max="975" width="15.1796875" style="41" bestFit="1" customWidth="1"/>
    <col min="976" max="976" width="6.36328125" style="41" customWidth="1"/>
    <col min="977" max="977" width="12.7265625" style="41" customWidth="1"/>
    <col min="978" max="978" width="6.36328125" style="41" customWidth="1"/>
    <col min="979" max="979" width="12.7265625" style="41" customWidth="1"/>
    <col min="980" max="980" width="6" style="41" customWidth="1"/>
    <col min="981" max="981" width="12.7265625" style="41" customWidth="1"/>
    <col min="982" max="982" width="9.54296875" style="41" customWidth="1"/>
    <col min="983" max="983" width="14" style="41" bestFit="1" customWidth="1"/>
    <col min="984" max="984" width="9.26953125" style="41"/>
    <col min="985" max="985" width="13.54296875" style="41" customWidth="1"/>
    <col min="986" max="986" width="6" style="41" customWidth="1"/>
    <col min="987" max="987" width="13.7265625" style="41" customWidth="1"/>
    <col min="988" max="988" width="6" style="41" customWidth="1"/>
    <col min="989" max="989" width="12.7265625" style="41" customWidth="1"/>
    <col min="990" max="990" width="6.81640625" style="41" customWidth="1"/>
    <col min="991" max="991" width="12.7265625" style="41" customWidth="1"/>
    <col min="992" max="992" width="6.81640625" style="41" customWidth="1"/>
    <col min="993" max="993" width="15.7265625" style="41" bestFit="1" customWidth="1"/>
    <col min="994" max="994" width="8.54296875" style="41" bestFit="1" customWidth="1"/>
    <col min="995" max="995" width="13.54296875" style="41" customWidth="1"/>
    <col min="996" max="996" width="6" style="41" customWidth="1"/>
    <col min="997" max="997" width="13.7265625" style="41" customWidth="1"/>
    <col min="998" max="998" width="6" style="41" customWidth="1"/>
    <col min="999" max="999" width="12.7265625" style="41" customWidth="1"/>
    <col min="1000" max="1000" width="6.81640625" style="41" customWidth="1"/>
    <col min="1001" max="1001" width="12.7265625" style="41" customWidth="1"/>
    <col min="1002" max="1002" width="6.81640625" style="41" customWidth="1"/>
    <col min="1003" max="1003" width="16.36328125" style="41" bestFit="1" customWidth="1"/>
    <col min="1004" max="1004" width="9.54296875" style="41" bestFit="1" customWidth="1"/>
    <col min="1005" max="1005" width="17.36328125" style="41" bestFit="1" customWidth="1"/>
    <col min="1006" max="1006" width="6" style="41" customWidth="1"/>
    <col min="1007" max="1007" width="13.7265625" style="41" customWidth="1"/>
    <col min="1008" max="1008" width="6" style="41" customWidth="1"/>
    <col min="1009" max="1009" width="12.7265625" style="41" customWidth="1"/>
    <col min="1010" max="1010" width="6.81640625" style="41" customWidth="1"/>
    <col min="1011" max="1011" width="12.7265625" style="41" customWidth="1"/>
    <col min="1012" max="1012" width="6.81640625" style="41" customWidth="1"/>
    <col min="1013" max="1013" width="15.36328125" style="41" bestFit="1" customWidth="1"/>
    <col min="1014" max="1014" width="9.54296875" style="41" bestFit="1" customWidth="1"/>
    <col min="1015" max="1015" width="17.36328125" style="41" bestFit="1" customWidth="1"/>
    <col min="1016" max="1016" width="8" style="41" customWidth="1"/>
    <col min="1017" max="1017" width="12.1796875" style="41" customWidth="1"/>
    <col min="1018" max="1018" width="8" style="41" customWidth="1"/>
    <col min="1019" max="1019" width="20" style="41" customWidth="1"/>
    <col min="1020" max="1020" width="15.26953125" style="41" bestFit="1" customWidth="1"/>
    <col min="1021" max="1021" width="14.26953125" style="41" bestFit="1" customWidth="1"/>
    <col min="1022" max="1022" width="13" style="41" bestFit="1" customWidth="1"/>
    <col min="1023" max="1194" width="9.26953125" style="41"/>
    <col min="1195" max="1195" width="2.7265625" style="41" customWidth="1"/>
    <col min="1196" max="1196" width="3.54296875" style="41" customWidth="1"/>
    <col min="1197" max="1197" width="7" style="41" customWidth="1"/>
    <col min="1198" max="1198" width="23" style="41" customWidth="1"/>
    <col min="1199" max="1199" width="13.26953125" style="41" customWidth="1"/>
    <col min="1200" max="1200" width="17.36328125" style="41" bestFit="1" customWidth="1"/>
    <col min="1201" max="1201" width="11.54296875" style="41" bestFit="1" customWidth="1"/>
    <col min="1202" max="1202" width="7.81640625" style="41" customWidth="1"/>
    <col min="1203" max="1203" width="11.54296875" style="41" bestFit="1" customWidth="1"/>
    <col min="1204" max="1204" width="7" style="41" customWidth="1"/>
    <col min="1205" max="1205" width="18.1796875" style="41" customWidth="1"/>
    <col min="1206" max="1206" width="7" style="41" customWidth="1"/>
    <col min="1207" max="1207" width="15.54296875" style="41" customWidth="1"/>
    <col min="1208" max="1208" width="7.81640625" style="41" customWidth="1"/>
    <col min="1209" max="1209" width="15.54296875" style="41" customWidth="1"/>
    <col min="1210" max="1210" width="7.81640625" style="41" bestFit="1" customWidth="1"/>
    <col min="1211" max="1211" width="15.7265625" style="41" bestFit="1" customWidth="1"/>
    <col min="1212" max="1212" width="7.54296875" style="41" customWidth="1"/>
    <col min="1213" max="1213" width="14" style="41" customWidth="1"/>
    <col min="1214" max="1214" width="7.81640625" style="41" customWidth="1"/>
    <col min="1215" max="1215" width="14" style="41" customWidth="1"/>
    <col min="1216" max="1216" width="7.81640625" style="41" customWidth="1"/>
    <col min="1217" max="1217" width="14" style="41" customWidth="1"/>
    <col min="1218" max="1218" width="9" style="41" customWidth="1"/>
    <col min="1219" max="1219" width="15.1796875" style="41" customWidth="1"/>
    <col min="1220" max="1220" width="13" style="41" bestFit="1" customWidth="1"/>
    <col min="1221" max="1221" width="15.1796875" style="41" bestFit="1" customWidth="1"/>
    <col min="1222" max="1222" width="7.54296875" style="41" customWidth="1"/>
    <col min="1223" max="1223" width="14" style="41" customWidth="1"/>
    <col min="1224" max="1224" width="7.81640625" style="41" customWidth="1"/>
    <col min="1225" max="1225" width="14" style="41" customWidth="1"/>
    <col min="1226" max="1226" width="7.81640625" style="41" customWidth="1"/>
    <col min="1227" max="1227" width="14" style="41" customWidth="1"/>
    <col min="1228" max="1228" width="9" style="41" bestFit="1" customWidth="1"/>
    <col min="1229" max="1229" width="15.1796875" style="41" bestFit="1" customWidth="1"/>
    <col min="1230" max="1230" width="9" style="41" bestFit="1" customWidth="1"/>
    <col min="1231" max="1231" width="15.1796875" style="41" bestFit="1" customWidth="1"/>
    <col min="1232" max="1232" width="6.36328125" style="41" customWidth="1"/>
    <col min="1233" max="1233" width="12.7265625" style="41" customWidth="1"/>
    <col min="1234" max="1234" width="6.36328125" style="41" customWidth="1"/>
    <col min="1235" max="1235" width="12.7265625" style="41" customWidth="1"/>
    <col min="1236" max="1236" width="6" style="41" customWidth="1"/>
    <col min="1237" max="1237" width="12.7265625" style="41" customWidth="1"/>
    <col min="1238" max="1238" width="9.54296875" style="41" customWidth="1"/>
    <col min="1239" max="1239" width="14" style="41" bestFit="1" customWidth="1"/>
    <col min="1240" max="1240" width="9.26953125" style="41"/>
    <col min="1241" max="1241" width="13.54296875" style="41" customWidth="1"/>
    <col min="1242" max="1242" width="6" style="41" customWidth="1"/>
    <col min="1243" max="1243" width="13.7265625" style="41" customWidth="1"/>
    <col min="1244" max="1244" width="6" style="41" customWidth="1"/>
    <col min="1245" max="1245" width="12.7265625" style="41" customWidth="1"/>
    <col min="1246" max="1246" width="6.81640625" style="41" customWidth="1"/>
    <col min="1247" max="1247" width="12.7265625" style="41" customWidth="1"/>
    <col min="1248" max="1248" width="6.81640625" style="41" customWidth="1"/>
    <col min="1249" max="1249" width="15.7265625" style="41" bestFit="1" customWidth="1"/>
    <col min="1250" max="1250" width="8.54296875" style="41" bestFit="1" customWidth="1"/>
    <col min="1251" max="1251" width="13.54296875" style="41" customWidth="1"/>
    <col min="1252" max="1252" width="6" style="41" customWidth="1"/>
    <col min="1253" max="1253" width="13.7265625" style="41" customWidth="1"/>
    <col min="1254" max="1254" width="6" style="41" customWidth="1"/>
    <col min="1255" max="1255" width="12.7265625" style="41" customWidth="1"/>
    <col min="1256" max="1256" width="6.81640625" style="41" customWidth="1"/>
    <col min="1257" max="1257" width="12.7265625" style="41" customWidth="1"/>
    <col min="1258" max="1258" width="6.81640625" style="41" customWidth="1"/>
    <col min="1259" max="1259" width="16.36328125" style="41" bestFit="1" customWidth="1"/>
    <col min="1260" max="1260" width="9.54296875" style="41" bestFit="1" customWidth="1"/>
    <col min="1261" max="1261" width="17.36328125" style="41" bestFit="1" customWidth="1"/>
    <col min="1262" max="1262" width="6" style="41" customWidth="1"/>
    <col min="1263" max="1263" width="13.7265625" style="41" customWidth="1"/>
    <col min="1264" max="1264" width="6" style="41" customWidth="1"/>
    <col min="1265" max="1265" width="12.7265625" style="41" customWidth="1"/>
    <col min="1266" max="1266" width="6.81640625" style="41" customWidth="1"/>
    <col min="1267" max="1267" width="12.7265625" style="41" customWidth="1"/>
    <col min="1268" max="1268" width="6.81640625" style="41" customWidth="1"/>
    <col min="1269" max="1269" width="15.36328125" style="41" bestFit="1" customWidth="1"/>
    <col min="1270" max="1270" width="9.54296875" style="41" bestFit="1" customWidth="1"/>
    <col min="1271" max="1271" width="17.36328125" style="41" bestFit="1" customWidth="1"/>
    <col min="1272" max="1272" width="8" style="41" customWidth="1"/>
    <col min="1273" max="1273" width="12.1796875" style="41" customWidth="1"/>
    <col min="1274" max="1274" width="8" style="41" customWidth="1"/>
    <col min="1275" max="1275" width="20" style="41" customWidth="1"/>
    <col min="1276" max="1276" width="15.26953125" style="41" bestFit="1" customWidth="1"/>
    <col min="1277" max="1277" width="14.26953125" style="41" bestFit="1" customWidth="1"/>
    <col min="1278" max="1278" width="13" style="41" bestFit="1" customWidth="1"/>
    <col min="1279" max="1450" width="9.26953125" style="41"/>
    <col min="1451" max="1451" width="2.7265625" style="41" customWidth="1"/>
    <col min="1452" max="1452" width="3.54296875" style="41" customWidth="1"/>
    <col min="1453" max="1453" width="7" style="41" customWidth="1"/>
    <col min="1454" max="1454" width="23" style="41" customWidth="1"/>
    <col min="1455" max="1455" width="13.26953125" style="41" customWidth="1"/>
    <col min="1456" max="1456" width="17.36328125" style="41" bestFit="1" customWidth="1"/>
    <col min="1457" max="1457" width="11.54296875" style="41" bestFit="1" customWidth="1"/>
    <col min="1458" max="1458" width="7.81640625" style="41" customWidth="1"/>
    <col min="1459" max="1459" width="11.54296875" style="41" bestFit="1" customWidth="1"/>
    <col min="1460" max="1460" width="7" style="41" customWidth="1"/>
    <col min="1461" max="1461" width="18.1796875" style="41" customWidth="1"/>
    <col min="1462" max="1462" width="7" style="41" customWidth="1"/>
    <col min="1463" max="1463" width="15.54296875" style="41" customWidth="1"/>
    <col min="1464" max="1464" width="7.81640625" style="41" customWidth="1"/>
    <col min="1465" max="1465" width="15.54296875" style="41" customWidth="1"/>
    <col min="1466" max="1466" width="7.81640625" style="41" bestFit="1" customWidth="1"/>
    <col min="1467" max="1467" width="15.7265625" style="41" bestFit="1" customWidth="1"/>
    <col min="1468" max="1468" width="7.54296875" style="41" customWidth="1"/>
    <col min="1469" max="1469" width="14" style="41" customWidth="1"/>
    <col min="1470" max="1470" width="7.81640625" style="41" customWidth="1"/>
    <col min="1471" max="1471" width="14" style="41" customWidth="1"/>
    <col min="1472" max="1472" width="7.81640625" style="41" customWidth="1"/>
    <col min="1473" max="1473" width="14" style="41" customWidth="1"/>
    <col min="1474" max="1474" width="9" style="41" customWidth="1"/>
    <col min="1475" max="1475" width="15.1796875" style="41" customWidth="1"/>
    <col min="1476" max="1476" width="13" style="41" bestFit="1" customWidth="1"/>
    <col min="1477" max="1477" width="15.1796875" style="41" bestFit="1" customWidth="1"/>
    <col min="1478" max="1478" width="7.54296875" style="41" customWidth="1"/>
    <col min="1479" max="1479" width="14" style="41" customWidth="1"/>
    <col min="1480" max="1480" width="7.81640625" style="41" customWidth="1"/>
    <col min="1481" max="1481" width="14" style="41" customWidth="1"/>
    <col min="1482" max="1482" width="7.81640625" style="41" customWidth="1"/>
    <col min="1483" max="1483" width="14" style="41" customWidth="1"/>
    <col min="1484" max="1484" width="9" style="41" bestFit="1" customWidth="1"/>
    <col min="1485" max="1485" width="15.1796875" style="41" bestFit="1" customWidth="1"/>
    <col min="1486" max="1486" width="9" style="41" bestFit="1" customWidth="1"/>
    <col min="1487" max="1487" width="15.1796875" style="41" bestFit="1" customWidth="1"/>
    <col min="1488" max="1488" width="6.36328125" style="41" customWidth="1"/>
    <col min="1489" max="1489" width="12.7265625" style="41" customWidth="1"/>
    <col min="1490" max="1490" width="6.36328125" style="41" customWidth="1"/>
    <col min="1491" max="1491" width="12.7265625" style="41" customWidth="1"/>
    <col min="1492" max="1492" width="6" style="41" customWidth="1"/>
    <col min="1493" max="1493" width="12.7265625" style="41" customWidth="1"/>
    <col min="1494" max="1494" width="9.54296875" style="41" customWidth="1"/>
    <col min="1495" max="1495" width="14" style="41" bestFit="1" customWidth="1"/>
    <col min="1496" max="1496" width="9.26953125" style="41"/>
    <col min="1497" max="1497" width="13.54296875" style="41" customWidth="1"/>
    <col min="1498" max="1498" width="6" style="41" customWidth="1"/>
    <col min="1499" max="1499" width="13.7265625" style="41" customWidth="1"/>
    <col min="1500" max="1500" width="6" style="41" customWidth="1"/>
    <col min="1501" max="1501" width="12.7265625" style="41" customWidth="1"/>
    <col min="1502" max="1502" width="6.81640625" style="41" customWidth="1"/>
    <col min="1503" max="1503" width="12.7265625" style="41" customWidth="1"/>
    <col min="1504" max="1504" width="6.81640625" style="41" customWidth="1"/>
    <col min="1505" max="1505" width="15.7265625" style="41" bestFit="1" customWidth="1"/>
    <col min="1506" max="1506" width="8.54296875" style="41" bestFit="1" customWidth="1"/>
    <col min="1507" max="1507" width="13.54296875" style="41" customWidth="1"/>
    <col min="1508" max="1508" width="6" style="41" customWidth="1"/>
    <col min="1509" max="1509" width="13.7265625" style="41" customWidth="1"/>
    <col min="1510" max="1510" width="6" style="41" customWidth="1"/>
    <col min="1511" max="1511" width="12.7265625" style="41" customWidth="1"/>
    <col min="1512" max="1512" width="6.81640625" style="41" customWidth="1"/>
    <col min="1513" max="1513" width="12.7265625" style="41" customWidth="1"/>
    <col min="1514" max="1514" width="6.81640625" style="41" customWidth="1"/>
    <col min="1515" max="1515" width="16.36328125" style="41" bestFit="1" customWidth="1"/>
    <col min="1516" max="1516" width="9.54296875" style="41" bestFit="1" customWidth="1"/>
    <col min="1517" max="1517" width="17.36328125" style="41" bestFit="1" customWidth="1"/>
    <col min="1518" max="1518" width="6" style="41" customWidth="1"/>
    <col min="1519" max="1519" width="13.7265625" style="41" customWidth="1"/>
    <col min="1520" max="1520" width="6" style="41" customWidth="1"/>
    <col min="1521" max="1521" width="12.7265625" style="41" customWidth="1"/>
    <col min="1522" max="1522" width="6.81640625" style="41" customWidth="1"/>
    <col min="1523" max="1523" width="12.7265625" style="41" customWidth="1"/>
    <col min="1524" max="1524" width="6.81640625" style="41" customWidth="1"/>
    <col min="1525" max="1525" width="15.36328125" style="41" bestFit="1" customWidth="1"/>
    <col min="1526" max="1526" width="9.54296875" style="41" bestFit="1" customWidth="1"/>
    <col min="1527" max="1527" width="17.36328125" style="41" bestFit="1" customWidth="1"/>
    <col min="1528" max="1528" width="8" style="41" customWidth="1"/>
    <col min="1529" max="1529" width="12.1796875" style="41" customWidth="1"/>
    <col min="1530" max="1530" width="8" style="41" customWidth="1"/>
    <col min="1531" max="1531" width="20" style="41" customWidth="1"/>
    <col min="1532" max="1532" width="15.26953125" style="41" bestFit="1" customWidth="1"/>
    <col min="1533" max="1533" width="14.26953125" style="41" bestFit="1" customWidth="1"/>
    <col min="1534" max="1534" width="13" style="41" bestFit="1" customWidth="1"/>
    <col min="1535" max="1706" width="9.26953125" style="41"/>
    <col min="1707" max="1707" width="2.7265625" style="41" customWidth="1"/>
    <col min="1708" max="1708" width="3.54296875" style="41" customWidth="1"/>
    <col min="1709" max="1709" width="7" style="41" customWidth="1"/>
    <col min="1710" max="1710" width="23" style="41" customWidth="1"/>
    <col min="1711" max="1711" width="13.26953125" style="41" customWidth="1"/>
    <col min="1712" max="1712" width="17.36328125" style="41" bestFit="1" customWidth="1"/>
    <col min="1713" max="1713" width="11.54296875" style="41" bestFit="1" customWidth="1"/>
    <col min="1714" max="1714" width="7.81640625" style="41" customWidth="1"/>
    <col min="1715" max="1715" width="11.54296875" style="41" bestFit="1" customWidth="1"/>
    <col min="1716" max="1716" width="7" style="41" customWidth="1"/>
    <col min="1717" max="1717" width="18.1796875" style="41" customWidth="1"/>
    <col min="1718" max="1718" width="7" style="41" customWidth="1"/>
    <col min="1719" max="1719" width="15.54296875" style="41" customWidth="1"/>
    <col min="1720" max="1720" width="7.81640625" style="41" customWidth="1"/>
    <col min="1721" max="1721" width="15.54296875" style="41" customWidth="1"/>
    <col min="1722" max="1722" width="7.81640625" style="41" bestFit="1" customWidth="1"/>
    <col min="1723" max="1723" width="15.7265625" style="41" bestFit="1" customWidth="1"/>
    <col min="1724" max="1724" width="7.54296875" style="41" customWidth="1"/>
    <col min="1725" max="1725" width="14" style="41" customWidth="1"/>
    <col min="1726" max="1726" width="7.81640625" style="41" customWidth="1"/>
    <col min="1727" max="1727" width="14" style="41" customWidth="1"/>
    <col min="1728" max="1728" width="7.81640625" style="41" customWidth="1"/>
    <col min="1729" max="1729" width="14" style="41" customWidth="1"/>
    <col min="1730" max="1730" width="9" style="41" customWidth="1"/>
    <col min="1731" max="1731" width="15.1796875" style="41" customWidth="1"/>
    <col min="1732" max="1732" width="13" style="41" bestFit="1" customWidth="1"/>
    <col min="1733" max="1733" width="15.1796875" style="41" bestFit="1" customWidth="1"/>
    <col min="1734" max="1734" width="7.54296875" style="41" customWidth="1"/>
    <col min="1735" max="1735" width="14" style="41" customWidth="1"/>
    <col min="1736" max="1736" width="7.81640625" style="41" customWidth="1"/>
    <col min="1737" max="1737" width="14" style="41" customWidth="1"/>
    <col min="1738" max="1738" width="7.81640625" style="41" customWidth="1"/>
    <col min="1739" max="1739" width="14" style="41" customWidth="1"/>
    <col min="1740" max="1740" width="9" style="41" bestFit="1" customWidth="1"/>
    <col min="1741" max="1741" width="15.1796875" style="41" bestFit="1" customWidth="1"/>
    <col min="1742" max="1742" width="9" style="41" bestFit="1" customWidth="1"/>
    <col min="1743" max="1743" width="15.1796875" style="41" bestFit="1" customWidth="1"/>
    <col min="1744" max="1744" width="6.36328125" style="41" customWidth="1"/>
    <col min="1745" max="1745" width="12.7265625" style="41" customWidth="1"/>
    <col min="1746" max="1746" width="6.36328125" style="41" customWidth="1"/>
    <col min="1747" max="1747" width="12.7265625" style="41" customWidth="1"/>
    <col min="1748" max="1748" width="6" style="41" customWidth="1"/>
    <col min="1749" max="1749" width="12.7265625" style="41" customWidth="1"/>
    <col min="1750" max="1750" width="9.54296875" style="41" customWidth="1"/>
    <col min="1751" max="1751" width="14" style="41" bestFit="1" customWidth="1"/>
    <col min="1752" max="1752" width="9.26953125" style="41"/>
    <col min="1753" max="1753" width="13.54296875" style="41" customWidth="1"/>
    <col min="1754" max="1754" width="6" style="41" customWidth="1"/>
    <col min="1755" max="1755" width="13.7265625" style="41" customWidth="1"/>
    <col min="1756" max="1756" width="6" style="41" customWidth="1"/>
    <col min="1757" max="1757" width="12.7265625" style="41" customWidth="1"/>
    <col min="1758" max="1758" width="6.81640625" style="41" customWidth="1"/>
    <col min="1759" max="1759" width="12.7265625" style="41" customWidth="1"/>
    <col min="1760" max="1760" width="6.81640625" style="41" customWidth="1"/>
    <col min="1761" max="1761" width="15.7265625" style="41" bestFit="1" customWidth="1"/>
    <col min="1762" max="1762" width="8.54296875" style="41" bestFit="1" customWidth="1"/>
    <col min="1763" max="1763" width="13.54296875" style="41" customWidth="1"/>
    <col min="1764" max="1764" width="6" style="41" customWidth="1"/>
    <col min="1765" max="1765" width="13.7265625" style="41" customWidth="1"/>
    <col min="1766" max="1766" width="6" style="41" customWidth="1"/>
    <col min="1767" max="1767" width="12.7265625" style="41" customWidth="1"/>
    <col min="1768" max="1768" width="6.81640625" style="41" customWidth="1"/>
    <col min="1769" max="1769" width="12.7265625" style="41" customWidth="1"/>
    <col min="1770" max="1770" width="6.81640625" style="41" customWidth="1"/>
    <col min="1771" max="1771" width="16.36328125" style="41" bestFit="1" customWidth="1"/>
    <col min="1772" max="1772" width="9.54296875" style="41" bestFit="1" customWidth="1"/>
    <col min="1773" max="1773" width="17.36328125" style="41" bestFit="1" customWidth="1"/>
    <col min="1774" max="1774" width="6" style="41" customWidth="1"/>
    <col min="1775" max="1775" width="13.7265625" style="41" customWidth="1"/>
    <col min="1776" max="1776" width="6" style="41" customWidth="1"/>
    <col min="1777" max="1777" width="12.7265625" style="41" customWidth="1"/>
    <col min="1778" max="1778" width="6.81640625" style="41" customWidth="1"/>
    <col min="1779" max="1779" width="12.7265625" style="41" customWidth="1"/>
    <col min="1780" max="1780" width="6.81640625" style="41" customWidth="1"/>
    <col min="1781" max="1781" width="15.36328125" style="41" bestFit="1" customWidth="1"/>
    <col min="1782" max="1782" width="9.54296875" style="41" bestFit="1" customWidth="1"/>
    <col min="1783" max="1783" width="17.36328125" style="41" bestFit="1" customWidth="1"/>
    <col min="1784" max="1784" width="8" style="41" customWidth="1"/>
    <col min="1785" max="1785" width="12.1796875" style="41" customWidth="1"/>
    <col min="1786" max="1786" width="8" style="41" customWidth="1"/>
    <col min="1787" max="1787" width="20" style="41" customWidth="1"/>
    <col min="1788" max="1788" width="15.26953125" style="41" bestFit="1" customWidth="1"/>
    <col min="1789" max="1789" width="14.26953125" style="41" bestFit="1" customWidth="1"/>
    <col min="1790" max="1790" width="13" style="41" bestFit="1" customWidth="1"/>
    <col min="1791" max="1962" width="9.26953125" style="41"/>
    <col min="1963" max="1963" width="2.7265625" style="41" customWidth="1"/>
    <col min="1964" max="1964" width="3.54296875" style="41" customWidth="1"/>
    <col min="1965" max="1965" width="7" style="41" customWidth="1"/>
    <col min="1966" max="1966" width="23" style="41" customWidth="1"/>
    <col min="1967" max="1967" width="13.26953125" style="41" customWidth="1"/>
    <col min="1968" max="1968" width="17.36328125" style="41" bestFit="1" customWidth="1"/>
    <col min="1969" max="1969" width="11.54296875" style="41" bestFit="1" customWidth="1"/>
    <col min="1970" max="1970" width="7.81640625" style="41" customWidth="1"/>
    <col min="1971" max="1971" width="11.54296875" style="41" bestFit="1" customWidth="1"/>
    <col min="1972" max="1972" width="7" style="41" customWidth="1"/>
    <col min="1973" max="1973" width="18.1796875" style="41" customWidth="1"/>
    <col min="1974" max="1974" width="7" style="41" customWidth="1"/>
    <col min="1975" max="1975" width="15.54296875" style="41" customWidth="1"/>
    <col min="1976" max="1976" width="7.81640625" style="41" customWidth="1"/>
    <col min="1977" max="1977" width="15.54296875" style="41" customWidth="1"/>
    <col min="1978" max="1978" width="7.81640625" style="41" bestFit="1" customWidth="1"/>
    <col min="1979" max="1979" width="15.7265625" style="41" bestFit="1" customWidth="1"/>
    <col min="1980" max="1980" width="7.54296875" style="41" customWidth="1"/>
    <col min="1981" max="1981" width="14" style="41" customWidth="1"/>
    <col min="1982" max="1982" width="7.81640625" style="41" customWidth="1"/>
    <col min="1983" max="1983" width="14" style="41" customWidth="1"/>
    <col min="1984" max="1984" width="7.81640625" style="41" customWidth="1"/>
    <col min="1985" max="1985" width="14" style="41" customWidth="1"/>
    <col min="1986" max="1986" width="9" style="41" customWidth="1"/>
    <col min="1987" max="1987" width="15.1796875" style="41" customWidth="1"/>
    <col min="1988" max="1988" width="13" style="41" bestFit="1" customWidth="1"/>
    <col min="1989" max="1989" width="15.1796875" style="41" bestFit="1" customWidth="1"/>
    <col min="1990" max="1990" width="7.54296875" style="41" customWidth="1"/>
    <col min="1991" max="1991" width="14" style="41" customWidth="1"/>
    <col min="1992" max="1992" width="7.81640625" style="41" customWidth="1"/>
    <col min="1993" max="1993" width="14" style="41" customWidth="1"/>
    <col min="1994" max="1994" width="7.81640625" style="41" customWidth="1"/>
    <col min="1995" max="1995" width="14" style="41" customWidth="1"/>
    <col min="1996" max="1996" width="9" style="41" bestFit="1" customWidth="1"/>
    <col min="1997" max="1997" width="15.1796875" style="41" bestFit="1" customWidth="1"/>
    <col min="1998" max="1998" width="9" style="41" bestFit="1" customWidth="1"/>
    <col min="1999" max="1999" width="15.1796875" style="41" bestFit="1" customWidth="1"/>
    <col min="2000" max="2000" width="6.36328125" style="41" customWidth="1"/>
    <col min="2001" max="2001" width="12.7265625" style="41" customWidth="1"/>
    <col min="2002" max="2002" width="6.36328125" style="41" customWidth="1"/>
    <col min="2003" max="2003" width="12.7265625" style="41" customWidth="1"/>
    <col min="2004" max="2004" width="6" style="41" customWidth="1"/>
    <col min="2005" max="2005" width="12.7265625" style="41" customWidth="1"/>
    <col min="2006" max="2006" width="9.54296875" style="41" customWidth="1"/>
    <col min="2007" max="2007" width="14" style="41" bestFit="1" customWidth="1"/>
    <col min="2008" max="2008" width="9.26953125" style="41"/>
    <col min="2009" max="2009" width="13.54296875" style="41" customWidth="1"/>
    <col min="2010" max="2010" width="6" style="41" customWidth="1"/>
    <col min="2011" max="2011" width="13.7265625" style="41" customWidth="1"/>
    <col min="2012" max="2012" width="6" style="41" customWidth="1"/>
    <col min="2013" max="2013" width="12.7265625" style="41" customWidth="1"/>
    <col min="2014" max="2014" width="6.81640625" style="41" customWidth="1"/>
    <col min="2015" max="2015" width="12.7265625" style="41" customWidth="1"/>
    <col min="2016" max="2016" width="6.81640625" style="41" customWidth="1"/>
    <col min="2017" max="2017" width="15.7265625" style="41" bestFit="1" customWidth="1"/>
    <col min="2018" max="2018" width="8.54296875" style="41" bestFit="1" customWidth="1"/>
    <col min="2019" max="2019" width="13.54296875" style="41" customWidth="1"/>
    <col min="2020" max="2020" width="6" style="41" customWidth="1"/>
    <col min="2021" max="2021" width="13.7265625" style="41" customWidth="1"/>
    <col min="2022" max="2022" width="6" style="41" customWidth="1"/>
    <col min="2023" max="2023" width="12.7265625" style="41" customWidth="1"/>
    <col min="2024" max="2024" width="6.81640625" style="41" customWidth="1"/>
    <col min="2025" max="2025" width="12.7265625" style="41" customWidth="1"/>
    <col min="2026" max="2026" width="6.81640625" style="41" customWidth="1"/>
    <col min="2027" max="2027" width="16.36328125" style="41" bestFit="1" customWidth="1"/>
    <col min="2028" max="2028" width="9.54296875" style="41" bestFit="1" customWidth="1"/>
    <col min="2029" max="2029" width="17.36328125" style="41" bestFit="1" customWidth="1"/>
    <col min="2030" max="2030" width="6" style="41" customWidth="1"/>
    <col min="2031" max="2031" width="13.7265625" style="41" customWidth="1"/>
    <col min="2032" max="2032" width="6" style="41" customWidth="1"/>
    <col min="2033" max="2033" width="12.7265625" style="41" customWidth="1"/>
    <col min="2034" max="2034" width="6.81640625" style="41" customWidth="1"/>
    <col min="2035" max="2035" width="12.7265625" style="41" customWidth="1"/>
    <col min="2036" max="2036" width="6.81640625" style="41" customWidth="1"/>
    <col min="2037" max="2037" width="15.36328125" style="41" bestFit="1" customWidth="1"/>
    <col min="2038" max="2038" width="9.54296875" style="41" bestFit="1" customWidth="1"/>
    <col min="2039" max="2039" width="17.36328125" style="41" bestFit="1" customWidth="1"/>
    <col min="2040" max="2040" width="8" style="41" customWidth="1"/>
    <col min="2041" max="2041" width="12.1796875" style="41" customWidth="1"/>
    <col min="2042" max="2042" width="8" style="41" customWidth="1"/>
    <col min="2043" max="2043" width="20" style="41" customWidth="1"/>
    <col min="2044" max="2044" width="15.26953125" style="41" bestFit="1" customWidth="1"/>
    <col min="2045" max="2045" width="14.26953125" style="41" bestFit="1" customWidth="1"/>
    <col min="2046" max="2046" width="13" style="41" bestFit="1" customWidth="1"/>
    <col min="2047" max="2218" width="9.26953125" style="41"/>
    <col min="2219" max="2219" width="2.7265625" style="41" customWidth="1"/>
    <col min="2220" max="2220" width="3.54296875" style="41" customWidth="1"/>
    <col min="2221" max="2221" width="7" style="41" customWidth="1"/>
    <col min="2222" max="2222" width="23" style="41" customWidth="1"/>
    <col min="2223" max="2223" width="13.26953125" style="41" customWidth="1"/>
    <col min="2224" max="2224" width="17.36328125" style="41" bestFit="1" customWidth="1"/>
    <col min="2225" max="2225" width="11.54296875" style="41" bestFit="1" customWidth="1"/>
    <col min="2226" max="2226" width="7.81640625" style="41" customWidth="1"/>
    <col min="2227" max="2227" width="11.54296875" style="41" bestFit="1" customWidth="1"/>
    <col min="2228" max="2228" width="7" style="41" customWidth="1"/>
    <col min="2229" max="2229" width="18.1796875" style="41" customWidth="1"/>
    <col min="2230" max="2230" width="7" style="41" customWidth="1"/>
    <col min="2231" max="2231" width="15.54296875" style="41" customWidth="1"/>
    <col min="2232" max="2232" width="7.81640625" style="41" customWidth="1"/>
    <col min="2233" max="2233" width="15.54296875" style="41" customWidth="1"/>
    <col min="2234" max="2234" width="7.81640625" style="41" bestFit="1" customWidth="1"/>
    <col min="2235" max="2235" width="15.7265625" style="41" bestFit="1" customWidth="1"/>
    <col min="2236" max="2236" width="7.54296875" style="41" customWidth="1"/>
    <col min="2237" max="2237" width="14" style="41" customWidth="1"/>
    <col min="2238" max="2238" width="7.81640625" style="41" customWidth="1"/>
    <col min="2239" max="2239" width="14" style="41" customWidth="1"/>
    <col min="2240" max="2240" width="7.81640625" style="41" customWidth="1"/>
    <col min="2241" max="2241" width="14" style="41" customWidth="1"/>
    <col min="2242" max="2242" width="9" style="41" customWidth="1"/>
    <col min="2243" max="2243" width="15.1796875" style="41" customWidth="1"/>
    <col min="2244" max="2244" width="13" style="41" bestFit="1" customWidth="1"/>
    <col min="2245" max="2245" width="15.1796875" style="41" bestFit="1" customWidth="1"/>
    <col min="2246" max="2246" width="7.54296875" style="41" customWidth="1"/>
    <col min="2247" max="2247" width="14" style="41" customWidth="1"/>
    <col min="2248" max="2248" width="7.81640625" style="41" customWidth="1"/>
    <col min="2249" max="2249" width="14" style="41" customWidth="1"/>
    <col min="2250" max="2250" width="7.81640625" style="41" customWidth="1"/>
    <col min="2251" max="2251" width="14" style="41" customWidth="1"/>
    <col min="2252" max="2252" width="9" style="41" bestFit="1" customWidth="1"/>
    <col min="2253" max="2253" width="15.1796875" style="41" bestFit="1" customWidth="1"/>
    <col min="2254" max="2254" width="9" style="41" bestFit="1" customWidth="1"/>
    <col min="2255" max="2255" width="15.1796875" style="41" bestFit="1" customWidth="1"/>
    <col min="2256" max="2256" width="6.36328125" style="41" customWidth="1"/>
    <col min="2257" max="2257" width="12.7265625" style="41" customWidth="1"/>
    <col min="2258" max="2258" width="6.36328125" style="41" customWidth="1"/>
    <col min="2259" max="2259" width="12.7265625" style="41" customWidth="1"/>
    <col min="2260" max="2260" width="6" style="41" customWidth="1"/>
    <col min="2261" max="2261" width="12.7265625" style="41" customWidth="1"/>
    <col min="2262" max="2262" width="9.54296875" style="41" customWidth="1"/>
    <col min="2263" max="2263" width="14" style="41" bestFit="1" customWidth="1"/>
    <col min="2264" max="2264" width="9.26953125" style="41"/>
    <col min="2265" max="2265" width="13.54296875" style="41" customWidth="1"/>
    <col min="2266" max="2266" width="6" style="41" customWidth="1"/>
    <col min="2267" max="2267" width="13.7265625" style="41" customWidth="1"/>
    <col min="2268" max="2268" width="6" style="41" customWidth="1"/>
    <col min="2269" max="2269" width="12.7265625" style="41" customWidth="1"/>
    <col min="2270" max="2270" width="6.81640625" style="41" customWidth="1"/>
    <col min="2271" max="2271" width="12.7265625" style="41" customWidth="1"/>
    <col min="2272" max="2272" width="6.81640625" style="41" customWidth="1"/>
    <col min="2273" max="2273" width="15.7265625" style="41" bestFit="1" customWidth="1"/>
    <col min="2274" max="2274" width="8.54296875" style="41" bestFit="1" customWidth="1"/>
    <col min="2275" max="2275" width="13.54296875" style="41" customWidth="1"/>
    <col min="2276" max="2276" width="6" style="41" customWidth="1"/>
    <col min="2277" max="2277" width="13.7265625" style="41" customWidth="1"/>
    <col min="2278" max="2278" width="6" style="41" customWidth="1"/>
    <col min="2279" max="2279" width="12.7265625" style="41" customWidth="1"/>
    <col min="2280" max="2280" width="6.81640625" style="41" customWidth="1"/>
    <col min="2281" max="2281" width="12.7265625" style="41" customWidth="1"/>
    <col min="2282" max="2282" width="6.81640625" style="41" customWidth="1"/>
    <col min="2283" max="2283" width="16.36328125" style="41" bestFit="1" customWidth="1"/>
    <col min="2284" max="2284" width="9.54296875" style="41" bestFit="1" customWidth="1"/>
    <col min="2285" max="2285" width="17.36328125" style="41" bestFit="1" customWidth="1"/>
    <col min="2286" max="2286" width="6" style="41" customWidth="1"/>
    <col min="2287" max="2287" width="13.7265625" style="41" customWidth="1"/>
    <col min="2288" max="2288" width="6" style="41" customWidth="1"/>
    <col min="2289" max="2289" width="12.7265625" style="41" customWidth="1"/>
    <col min="2290" max="2290" width="6.81640625" style="41" customWidth="1"/>
    <col min="2291" max="2291" width="12.7265625" style="41" customWidth="1"/>
    <col min="2292" max="2292" width="6.81640625" style="41" customWidth="1"/>
    <col min="2293" max="2293" width="15.36328125" style="41" bestFit="1" customWidth="1"/>
    <col min="2294" max="2294" width="9.54296875" style="41" bestFit="1" customWidth="1"/>
    <col min="2295" max="2295" width="17.36328125" style="41" bestFit="1" customWidth="1"/>
    <col min="2296" max="2296" width="8" style="41" customWidth="1"/>
    <col min="2297" max="2297" width="12.1796875" style="41" customWidth="1"/>
    <col min="2298" max="2298" width="8" style="41" customWidth="1"/>
    <col min="2299" max="2299" width="20" style="41" customWidth="1"/>
    <col min="2300" max="2300" width="15.26953125" style="41" bestFit="1" customWidth="1"/>
    <col min="2301" max="2301" width="14.26953125" style="41" bestFit="1" customWidth="1"/>
    <col min="2302" max="2302" width="13" style="41" bestFit="1" customWidth="1"/>
    <col min="2303" max="2474" width="9.26953125" style="41"/>
    <col min="2475" max="2475" width="2.7265625" style="41" customWidth="1"/>
    <col min="2476" max="2476" width="3.54296875" style="41" customWidth="1"/>
    <col min="2477" max="2477" width="7" style="41" customWidth="1"/>
    <col min="2478" max="2478" width="23" style="41" customWidth="1"/>
    <col min="2479" max="2479" width="13.26953125" style="41" customWidth="1"/>
    <col min="2480" max="2480" width="17.36328125" style="41" bestFit="1" customWidth="1"/>
    <col min="2481" max="2481" width="11.54296875" style="41" bestFit="1" customWidth="1"/>
    <col min="2482" max="2482" width="7.81640625" style="41" customWidth="1"/>
    <col min="2483" max="2483" width="11.54296875" style="41" bestFit="1" customWidth="1"/>
    <col min="2484" max="2484" width="7" style="41" customWidth="1"/>
    <col min="2485" max="2485" width="18.1796875" style="41" customWidth="1"/>
    <col min="2486" max="2486" width="7" style="41" customWidth="1"/>
    <col min="2487" max="2487" width="15.54296875" style="41" customWidth="1"/>
    <col min="2488" max="2488" width="7.81640625" style="41" customWidth="1"/>
    <col min="2489" max="2489" width="15.54296875" style="41" customWidth="1"/>
    <col min="2490" max="2490" width="7.81640625" style="41" bestFit="1" customWidth="1"/>
    <col min="2491" max="2491" width="15.7265625" style="41" bestFit="1" customWidth="1"/>
    <col min="2492" max="2492" width="7.54296875" style="41" customWidth="1"/>
    <col min="2493" max="2493" width="14" style="41" customWidth="1"/>
    <col min="2494" max="2494" width="7.81640625" style="41" customWidth="1"/>
    <col min="2495" max="2495" width="14" style="41" customWidth="1"/>
    <col min="2496" max="2496" width="7.81640625" style="41" customWidth="1"/>
    <col min="2497" max="2497" width="14" style="41" customWidth="1"/>
    <col min="2498" max="2498" width="9" style="41" customWidth="1"/>
    <col min="2499" max="2499" width="15.1796875" style="41" customWidth="1"/>
    <col min="2500" max="2500" width="13" style="41" bestFit="1" customWidth="1"/>
    <col min="2501" max="2501" width="15.1796875" style="41" bestFit="1" customWidth="1"/>
    <col min="2502" max="2502" width="7.54296875" style="41" customWidth="1"/>
    <col min="2503" max="2503" width="14" style="41" customWidth="1"/>
    <col min="2504" max="2504" width="7.81640625" style="41" customWidth="1"/>
    <col min="2505" max="2505" width="14" style="41" customWidth="1"/>
    <col min="2506" max="2506" width="7.81640625" style="41" customWidth="1"/>
    <col min="2507" max="2507" width="14" style="41" customWidth="1"/>
    <col min="2508" max="2508" width="9" style="41" bestFit="1" customWidth="1"/>
    <col min="2509" max="2509" width="15.1796875" style="41" bestFit="1" customWidth="1"/>
    <col min="2510" max="2510" width="9" style="41" bestFit="1" customWidth="1"/>
    <col min="2511" max="2511" width="15.1796875" style="41" bestFit="1" customWidth="1"/>
    <col min="2512" max="2512" width="6.36328125" style="41" customWidth="1"/>
    <col min="2513" max="2513" width="12.7265625" style="41" customWidth="1"/>
    <col min="2514" max="2514" width="6.36328125" style="41" customWidth="1"/>
    <col min="2515" max="2515" width="12.7265625" style="41" customWidth="1"/>
    <col min="2516" max="2516" width="6" style="41" customWidth="1"/>
    <col min="2517" max="2517" width="12.7265625" style="41" customWidth="1"/>
    <col min="2518" max="2518" width="9.54296875" style="41" customWidth="1"/>
    <col min="2519" max="2519" width="14" style="41" bestFit="1" customWidth="1"/>
    <col min="2520" max="2520" width="9.26953125" style="41"/>
    <col min="2521" max="2521" width="13.54296875" style="41" customWidth="1"/>
    <col min="2522" max="2522" width="6" style="41" customWidth="1"/>
    <col min="2523" max="2523" width="13.7265625" style="41" customWidth="1"/>
    <col min="2524" max="2524" width="6" style="41" customWidth="1"/>
    <col min="2525" max="2525" width="12.7265625" style="41" customWidth="1"/>
    <col min="2526" max="2526" width="6.81640625" style="41" customWidth="1"/>
    <col min="2527" max="2527" width="12.7265625" style="41" customWidth="1"/>
    <col min="2528" max="2528" width="6.81640625" style="41" customWidth="1"/>
    <col min="2529" max="2529" width="15.7265625" style="41" bestFit="1" customWidth="1"/>
    <col min="2530" max="2530" width="8.54296875" style="41" bestFit="1" customWidth="1"/>
    <col min="2531" max="2531" width="13.54296875" style="41" customWidth="1"/>
    <col min="2532" max="2532" width="6" style="41" customWidth="1"/>
    <col min="2533" max="2533" width="13.7265625" style="41" customWidth="1"/>
    <col min="2534" max="2534" width="6" style="41" customWidth="1"/>
    <col min="2535" max="2535" width="12.7265625" style="41" customWidth="1"/>
    <col min="2536" max="2536" width="6.81640625" style="41" customWidth="1"/>
    <col min="2537" max="2537" width="12.7265625" style="41" customWidth="1"/>
    <col min="2538" max="2538" width="6.81640625" style="41" customWidth="1"/>
    <col min="2539" max="2539" width="16.36328125" style="41" bestFit="1" customWidth="1"/>
    <col min="2540" max="2540" width="9.54296875" style="41" bestFit="1" customWidth="1"/>
    <col min="2541" max="2541" width="17.36328125" style="41" bestFit="1" customWidth="1"/>
    <col min="2542" max="2542" width="6" style="41" customWidth="1"/>
    <col min="2543" max="2543" width="13.7265625" style="41" customWidth="1"/>
    <col min="2544" max="2544" width="6" style="41" customWidth="1"/>
    <col min="2545" max="2545" width="12.7265625" style="41" customWidth="1"/>
    <col min="2546" max="2546" width="6.81640625" style="41" customWidth="1"/>
    <col min="2547" max="2547" width="12.7265625" style="41" customWidth="1"/>
    <col min="2548" max="2548" width="6.81640625" style="41" customWidth="1"/>
    <col min="2549" max="2549" width="15.36328125" style="41" bestFit="1" customWidth="1"/>
    <col min="2550" max="2550" width="9.54296875" style="41" bestFit="1" customWidth="1"/>
    <col min="2551" max="2551" width="17.36328125" style="41" bestFit="1" customWidth="1"/>
    <col min="2552" max="2552" width="8" style="41" customWidth="1"/>
    <col min="2553" max="2553" width="12.1796875" style="41" customWidth="1"/>
    <col min="2554" max="2554" width="8" style="41" customWidth="1"/>
    <col min="2555" max="2555" width="20" style="41" customWidth="1"/>
    <col min="2556" max="2556" width="15.26953125" style="41" bestFit="1" customWidth="1"/>
    <col min="2557" max="2557" width="14.26953125" style="41" bestFit="1" customWidth="1"/>
    <col min="2558" max="2558" width="13" style="41" bestFit="1" customWidth="1"/>
    <col min="2559" max="2730" width="9.26953125" style="41"/>
    <col min="2731" max="2731" width="2.7265625" style="41" customWidth="1"/>
    <col min="2732" max="2732" width="3.54296875" style="41" customWidth="1"/>
    <col min="2733" max="2733" width="7" style="41" customWidth="1"/>
    <col min="2734" max="2734" width="23" style="41" customWidth="1"/>
    <col min="2735" max="2735" width="13.26953125" style="41" customWidth="1"/>
    <col min="2736" max="2736" width="17.36328125" style="41" bestFit="1" customWidth="1"/>
    <col min="2737" max="2737" width="11.54296875" style="41" bestFit="1" customWidth="1"/>
    <col min="2738" max="2738" width="7.81640625" style="41" customWidth="1"/>
    <col min="2739" max="2739" width="11.54296875" style="41" bestFit="1" customWidth="1"/>
    <col min="2740" max="2740" width="7" style="41" customWidth="1"/>
    <col min="2741" max="2741" width="18.1796875" style="41" customWidth="1"/>
    <col min="2742" max="2742" width="7" style="41" customWidth="1"/>
    <col min="2743" max="2743" width="15.54296875" style="41" customWidth="1"/>
    <col min="2744" max="2744" width="7.81640625" style="41" customWidth="1"/>
    <col min="2745" max="2745" width="15.54296875" style="41" customWidth="1"/>
    <col min="2746" max="2746" width="7.81640625" style="41" bestFit="1" customWidth="1"/>
    <col min="2747" max="2747" width="15.7265625" style="41" bestFit="1" customWidth="1"/>
    <col min="2748" max="2748" width="7.54296875" style="41" customWidth="1"/>
    <col min="2749" max="2749" width="14" style="41" customWidth="1"/>
    <col min="2750" max="2750" width="7.81640625" style="41" customWidth="1"/>
    <col min="2751" max="2751" width="14" style="41" customWidth="1"/>
    <col min="2752" max="2752" width="7.81640625" style="41" customWidth="1"/>
    <col min="2753" max="2753" width="14" style="41" customWidth="1"/>
    <col min="2754" max="2754" width="9" style="41" customWidth="1"/>
    <col min="2755" max="2755" width="15.1796875" style="41" customWidth="1"/>
    <col min="2756" max="2756" width="13" style="41" bestFit="1" customWidth="1"/>
    <col min="2757" max="2757" width="15.1796875" style="41" bestFit="1" customWidth="1"/>
    <col min="2758" max="2758" width="7.54296875" style="41" customWidth="1"/>
    <col min="2759" max="2759" width="14" style="41" customWidth="1"/>
    <col min="2760" max="2760" width="7.81640625" style="41" customWidth="1"/>
    <col min="2761" max="2761" width="14" style="41" customWidth="1"/>
    <col min="2762" max="2762" width="7.81640625" style="41" customWidth="1"/>
    <col min="2763" max="2763" width="14" style="41" customWidth="1"/>
    <col min="2764" max="2764" width="9" style="41" bestFit="1" customWidth="1"/>
    <col min="2765" max="2765" width="15.1796875" style="41" bestFit="1" customWidth="1"/>
    <col min="2766" max="2766" width="9" style="41" bestFit="1" customWidth="1"/>
    <col min="2767" max="2767" width="15.1796875" style="41" bestFit="1" customWidth="1"/>
    <col min="2768" max="2768" width="6.36328125" style="41" customWidth="1"/>
    <col min="2769" max="2769" width="12.7265625" style="41" customWidth="1"/>
    <col min="2770" max="2770" width="6.36328125" style="41" customWidth="1"/>
    <col min="2771" max="2771" width="12.7265625" style="41" customWidth="1"/>
    <col min="2772" max="2772" width="6" style="41" customWidth="1"/>
    <col min="2773" max="2773" width="12.7265625" style="41" customWidth="1"/>
    <col min="2774" max="2774" width="9.54296875" style="41" customWidth="1"/>
    <col min="2775" max="2775" width="14" style="41" bestFit="1" customWidth="1"/>
    <col min="2776" max="2776" width="9.26953125" style="41"/>
    <col min="2777" max="2777" width="13.54296875" style="41" customWidth="1"/>
    <col min="2778" max="2778" width="6" style="41" customWidth="1"/>
    <col min="2779" max="2779" width="13.7265625" style="41" customWidth="1"/>
    <col min="2780" max="2780" width="6" style="41" customWidth="1"/>
    <col min="2781" max="2781" width="12.7265625" style="41" customWidth="1"/>
    <col min="2782" max="2782" width="6.81640625" style="41" customWidth="1"/>
    <col min="2783" max="2783" width="12.7265625" style="41" customWidth="1"/>
    <col min="2784" max="2784" width="6.81640625" style="41" customWidth="1"/>
    <col min="2785" max="2785" width="15.7265625" style="41" bestFit="1" customWidth="1"/>
    <col min="2786" max="2786" width="8.54296875" style="41" bestFit="1" customWidth="1"/>
    <col min="2787" max="2787" width="13.54296875" style="41" customWidth="1"/>
    <col min="2788" max="2788" width="6" style="41" customWidth="1"/>
    <col min="2789" max="2789" width="13.7265625" style="41" customWidth="1"/>
    <col min="2790" max="2790" width="6" style="41" customWidth="1"/>
    <col min="2791" max="2791" width="12.7265625" style="41" customWidth="1"/>
    <col min="2792" max="2792" width="6.81640625" style="41" customWidth="1"/>
    <col min="2793" max="2793" width="12.7265625" style="41" customWidth="1"/>
    <col min="2794" max="2794" width="6.81640625" style="41" customWidth="1"/>
    <col min="2795" max="2795" width="16.36328125" style="41" bestFit="1" customWidth="1"/>
    <col min="2796" max="2796" width="9.54296875" style="41" bestFit="1" customWidth="1"/>
    <col min="2797" max="2797" width="17.36328125" style="41" bestFit="1" customWidth="1"/>
    <col min="2798" max="2798" width="6" style="41" customWidth="1"/>
    <col min="2799" max="2799" width="13.7265625" style="41" customWidth="1"/>
    <col min="2800" max="2800" width="6" style="41" customWidth="1"/>
    <col min="2801" max="2801" width="12.7265625" style="41" customWidth="1"/>
    <col min="2802" max="2802" width="6.81640625" style="41" customWidth="1"/>
    <col min="2803" max="2803" width="12.7265625" style="41" customWidth="1"/>
    <col min="2804" max="2804" width="6.81640625" style="41" customWidth="1"/>
    <col min="2805" max="2805" width="15.36328125" style="41" bestFit="1" customWidth="1"/>
    <col min="2806" max="2806" width="9.54296875" style="41" bestFit="1" customWidth="1"/>
    <col min="2807" max="2807" width="17.36328125" style="41" bestFit="1" customWidth="1"/>
    <col min="2808" max="2808" width="8" style="41" customWidth="1"/>
    <col min="2809" max="2809" width="12.1796875" style="41" customWidth="1"/>
    <col min="2810" max="2810" width="8" style="41" customWidth="1"/>
    <col min="2811" max="2811" width="20" style="41" customWidth="1"/>
    <col min="2812" max="2812" width="15.26953125" style="41" bestFit="1" customWidth="1"/>
    <col min="2813" max="2813" width="14.26953125" style="41" bestFit="1" customWidth="1"/>
    <col min="2814" max="2814" width="13" style="41" bestFit="1" customWidth="1"/>
    <col min="2815" max="2986" width="9.26953125" style="41"/>
    <col min="2987" max="2987" width="2.7265625" style="41" customWidth="1"/>
    <col min="2988" max="2988" width="3.54296875" style="41" customWidth="1"/>
    <col min="2989" max="2989" width="7" style="41" customWidth="1"/>
    <col min="2990" max="2990" width="23" style="41" customWidth="1"/>
    <col min="2991" max="2991" width="13.26953125" style="41" customWidth="1"/>
    <col min="2992" max="2992" width="17.36328125" style="41" bestFit="1" customWidth="1"/>
    <col min="2993" max="2993" width="11.54296875" style="41" bestFit="1" customWidth="1"/>
    <col min="2994" max="2994" width="7.81640625" style="41" customWidth="1"/>
    <col min="2995" max="2995" width="11.54296875" style="41" bestFit="1" customWidth="1"/>
    <col min="2996" max="2996" width="7" style="41" customWidth="1"/>
    <col min="2997" max="2997" width="18.1796875" style="41" customWidth="1"/>
    <col min="2998" max="2998" width="7" style="41" customWidth="1"/>
    <col min="2999" max="2999" width="15.54296875" style="41" customWidth="1"/>
    <col min="3000" max="3000" width="7.81640625" style="41" customWidth="1"/>
    <col min="3001" max="3001" width="15.54296875" style="41" customWidth="1"/>
    <col min="3002" max="3002" width="7.81640625" style="41" bestFit="1" customWidth="1"/>
    <col min="3003" max="3003" width="15.7265625" style="41" bestFit="1" customWidth="1"/>
    <col min="3004" max="3004" width="7.54296875" style="41" customWidth="1"/>
    <col min="3005" max="3005" width="14" style="41" customWidth="1"/>
    <col min="3006" max="3006" width="7.81640625" style="41" customWidth="1"/>
    <col min="3007" max="3007" width="14" style="41" customWidth="1"/>
    <col min="3008" max="3008" width="7.81640625" style="41" customWidth="1"/>
    <col min="3009" max="3009" width="14" style="41" customWidth="1"/>
    <col min="3010" max="3010" width="9" style="41" customWidth="1"/>
    <col min="3011" max="3011" width="15.1796875" style="41" customWidth="1"/>
    <col min="3012" max="3012" width="13" style="41" bestFit="1" customWidth="1"/>
    <col min="3013" max="3013" width="15.1796875" style="41" bestFit="1" customWidth="1"/>
    <col min="3014" max="3014" width="7.54296875" style="41" customWidth="1"/>
    <col min="3015" max="3015" width="14" style="41" customWidth="1"/>
    <col min="3016" max="3016" width="7.81640625" style="41" customWidth="1"/>
    <col min="3017" max="3017" width="14" style="41" customWidth="1"/>
    <col min="3018" max="3018" width="7.81640625" style="41" customWidth="1"/>
    <col min="3019" max="3019" width="14" style="41" customWidth="1"/>
    <col min="3020" max="3020" width="9" style="41" bestFit="1" customWidth="1"/>
    <col min="3021" max="3021" width="15.1796875" style="41" bestFit="1" customWidth="1"/>
    <col min="3022" max="3022" width="9" style="41" bestFit="1" customWidth="1"/>
    <col min="3023" max="3023" width="15.1796875" style="41" bestFit="1" customWidth="1"/>
    <col min="3024" max="3024" width="6.36328125" style="41" customWidth="1"/>
    <col min="3025" max="3025" width="12.7265625" style="41" customWidth="1"/>
    <col min="3026" max="3026" width="6.36328125" style="41" customWidth="1"/>
    <col min="3027" max="3027" width="12.7265625" style="41" customWidth="1"/>
    <col min="3028" max="3028" width="6" style="41" customWidth="1"/>
    <col min="3029" max="3029" width="12.7265625" style="41" customWidth="1"/>
    <col min="3030" max="3030" width="9.54296875" style="41" customWidth="1"/>
    <col min="3031" max="3031" width="14" style="41" bestFit="1" customWidth="1"/>
    <col min="3032" max="3032" width="9.26953125" style="41"/>
    <col min="3033" max="3033" width="13.54296875" style="41" customWidth="1"/>
    <col min="3034" max="3034" width="6" style="41" customWidth="1"/>
    <col min="3035" max="3035" width="13.7265625" style="41" customWidth="1"/>
    <col min="3036" max="3036" width="6" style="41" customWidth="1"/>
    <col min="3037" max="3037" width="12.7265625" style="41" customWidth="1"/>
    <col min="3038" max="3038" width="6.81640625" style="41" customWidth="1"/>
    <col min="3039" max="3039" width="12.7265625" style="41" customWidth="1"/>
    <col min="3040" max="3040" width="6.81640625" style="41" customWidth="1"/>
    <col min="3041" max="3041" width="15.7265625" style="41" bestFit="1" customWidth="1"/>
    <col min="3042" max="3042" width="8.54296875" style="41" bestFit="1" customWidth="1"/>
    <col min="3043" max="3043" width="13.54296875" style="41" customWidth="1"/>
    <col min="3044" max="3044" width="6" style="41" customWidth="1"/>
    <col min="3045" max="3045" width="13.7265625" style="41" customWidth="1"/>
    <col min="3046" max="3046" width="6" style="41" customWidth="1"/>
    <col min="3047" max="3047" width="12.7265625" style="41" customWidth="1"/>
    <col min="3048" max="3048" width="6.81640625" style="41" customWidth="1"/>
    <col min="3049" max="3049" width="12.7265625" style="41" customWidth="1"/>
    <col min="3050" max="3050" width="6.81640625" style="41" customWidth="1"/>
    <col min="3051" max="3051" width="16.36328125" style="41" bestFit="1" customWidth="1"/>
    <col min="3052" max="3052" width="9.54296875" style="41" bestFit="1" customWidth="1"/>
    <col min="3053" max="3053" width="17.36328125" style="41" bestFit="1" customWidth="1"/>
    <col min="3054" max="3054" width="6" style="41" customWidth="1"/>
    <col min="3055" max="3055" width="13.7265625" style="41" customWidth="1"/>
    <col min="3056" max="3056" width="6" style="41" customWidth="1"/>
    <col min="3057" max="3057" width="12.7265625" style="41" customWidth="1"/>
    <col min="3058" max="3058" width="6.81640625" style="41" customWidth="1"/>
    <col min="3059" max="3059" width="12.7265625" style="41" customWidth="1"/>
    <col min="3060" max="3060" width="6.81640625" style="41" customWidth="1"/>
    <col min="3061" max="3061" width="15.36328125" style="41" bestFit="1" customWidth="1"/>
    <col min="3062" max="3062" width="9.54296875" style="41" bestFit="1" customWidth="1"/>
    <col min="3063" max="3063" width="17.36328125" style="41" bestFit="1" customWidth="1"/>
    <col min="3064" max="3064" width="8" style="41" customWidth="1"/>
    <col min="3065" max="3065" width="12.1796875" style="41" customWidth="1"/>
    <col min="3066" max="3066" width="8" style="41" customWidth="1"/>
    <col min="3067" max="3067" width="20" style="41" customWidth="1"/>
    <col min="3068" max="3068" width="15.26953125" style="41" bestFit="1" customWidth="1"/>
    <col min="3069" max="3069" width="14.26953125" style="41" bestFit="1" customWidth="1"/>
    <col min="3070" max="3070" width="13" style="41" bestFit="1" customWidth="1"/>
    <col min="3071" max="3242" width="9.26953125" style="41"/>
    <col min="3243" max="3243" width="2.7265625" style="41" customWidth="1"/>
    <col min="3244" max="3244" width="3.54296875" style="41" customWidth="1"/>
    <col min="3245" max="3245" width="7" style="41" customWidth="1"/>
    <col min="3246" max="3246" width="23" style="41" customWidth="1"/>
    <col min="3247" max="3247" width="13.26953125" style="41" customWidth="1"/>
    <col min="3248" max="3248" width="17.36328125" style="41" bestFit="1" customWidth="1"/>
    <col min="3249" max="3249" width="11.54296875" style="41" bestFit="1" customWidth="1"/>
    <col min="3250" max="3250" width="7.81640625" style="41" customWidth="1"/>
    <col min="3251" max="3251" width="11.54296875" style="41" bestFit="1" customWidth="1"/>
    <col min="3252" max="3252" width="7" style="41" customWidth="1"/>
    <col min="3253" max="3253" width="18.1796875" style="41" customWidth="1"/>
    <col min="3254" max="3254" width="7" style="41" customWidth="1"/>
    <col min="3255" max="3255" width="15.54296875" style="41" customWidth="1"/>
    <col min="3256" max="3256" width="7.81640625" style="41" customWidth="1"/>
    <col min="3257" max="3257" width="15.54296875" style="41" customWidth="1"/>
    <col min="3258" max="3258" width="7.81640625" style="41" bestFit="1" customWidth="1"/>
    <col min="3259" max="3259" width="15.7265625" style="41" bestFit="1" customWidth="1"/>
    <col min="3260" max="3260" width="7.54296875" style="41" customWidth="1"/>
    <col min="3261" max="3261" width="14" style="41" customWidth="1"/>
    <col min="3262" max="3262" width="7.81640625" style="41" customWidth="1"/>
    <col min="3263" max="3263" width="14" style="41" customWidth="1"/>
    <col min="3264" max="3264" width="7.81640625" style="41" customWidth="1"/>
    <col min="3265" max="3265" width="14" style="41" customWidth="1"/>
    <col min="3266" max="3266" width="9" style="41" customWidth="1"/>
    <col min="3267" max="3267" width="15.1796875" style="41" customWidth="1"/>
    <col min="3268" max="3268" width="13" style="41" bestFit="1" customWidth="1"/>
    <col min="3269" max="3269" width="15.1796875" style="41" bestFit="1" customWidth="1"/>
    <col min="3270" max="3270" width="7.54296875" style="41" customWidth="1"/>
    <col min="3271" max="3271" width="14" style="41" customWidth="1"/>
    <col min="3272" max="3272" width="7.81640625" style="41" customWidth="1"/>
    <col min="3273" max="3273" width="14" style="41" customWidth="1"/>
    <col min="3274" max="3274" width="7.81640625" style="41" customWidth="1"/>
    <col min="3275" max="3275" width="14" style="41" customWidth="1"/>
    <col min="3276" max="3276" width="9" style="41" bestFit="1" customWidth="1"/>
    <col min="3277" max="3277" width="15.1796875" style="41" bestFit="1" customWidth="1"/>
    <col min="3278" max="3278" width="9" style="41" bestFit="1" customWidth="1"/>
    <col min="3279" max="3279" width="15.1796875" style="41" bestFit="1" customWidth="1"/>
    <col min="3280" max="3280" width="6.36328125" style="41" customWidth="1"/>
    <col min="3281" max="3281" width="12.7265625" style="41" customWidth="1"/>
    <col min="3282" max="3282" width="6.36328125" style="41" customWidth="1"/>
    <col min="3283" max="3283" width="12.7265625" style="41" customWidth="1"/>
    <col min="3284" max="3284" width="6" style="41" customWidth="1"/>
    <col min="3285" max="3285" width="12.7265625" style="41" customWidth="1"/>
    <col min="3286" max="3286" width="9.54296875" style="41" customWidth="1"/>
    <col min="3287" max="3287" width="14" style="41" bestFit="1" customWidth="1"/>
    <col min="3288" max="3288" width="9.26953125" style="41"/>
    <col min="3289" max="3289" width="13.54296875" style="41" customWidth="1"/>
    <col min="3290" max="3290" width="6" style="41" customWidth="1"/>
    <col min="3291" max="3291" width="13.7265625" style="41" customWidth="1"/>
    <col min="3292" max="3292" width="6" style="41" customWidth="1"/>
    <col min="3293" max="3293" width="12.7265625" style="41" customWidth="1"/>
    <col min="3294" max="3294" width="6.81640625" style="41" customWidth="1"/>
    <col min="3295" max="3295" width="12.7265625" style="41" customWidth="1"/>
    <col min="3296" max="3296" width="6.81640625" style="41" customWidth="1"/>
    <col min="3297" max="3297" width="15.7265625" style="41" bestFit="1" customWidth="1"/>
    <col min="3298" max="3298" width="8.54296875" style="41" bestFit="1" customWidth="1"/>
    <col min="3299" max="3299" width="13.54296875" style="41" customWidth="1"/>
    <col min="3300" max="3300" width="6" style="41" customWidth="1"/>
    <col min="3301" max="3301" width="13.7265625" style="41" customWidth="1"/>
    <col min="3302" max="3302" width="6" style="41" customWidth="1"/>
    <col min="3303" max="3303" width="12.7265625" style="41" customWidth="1"/>
    <col min="3304" max="3304" width="6.81640625" style="41" customWidth="1"/>
    <col min="3305" max="3305" width="12.7265625" style="41" customWidth="1"/>
    <col min="3306" max="3306" width="6.81640625" style="41" customWidth="1"/>
    <col min="3307" max="3307" width="16.36328125" style="41" bestFit="1" customWidth="1"/>
    <col min="3308" max="3308" width="9.54296875" style="41" bestFit="1" customWidth="1"/>
    <col min="3309" max="3309" width="17.36328125" style="41" bestFit="1" customWidth="1"/>
    <col min="3310" max="3310" width="6" style="41" customWidth="1"/>
    <col min="3311" max="3311" width="13.7265625" style="41" customWidth="1"/>
    <col min="3312" max="3312" width="6" style="41" customWidth="1"/>
    <col min="3313" max="3313" width="12.7265625" style="41" customWidth="1"/>
    <col min="3314" max="3314" width="6.81640625" style="41" customWidth="1"/>
    <col min="3315" max="3315" width="12.7265625" style="41" customWidth="1"/>
    <col min="3316" max="3316" width="6.81640625" style="41" customWidth="1"/>
    <col min="3317" max="3317" width="15.36328125" style="41" bestFit="1" customWidth="1"/>
    <col min="3318" max="3318" width="9.54296875" style="41" bestFit="1" customWidth="1"/>
    <col min="3319" max="3319" width="17.36328125" style="41" bestFit="1" customWidth="1"/>
    <col min="3320" max="3320" width="8" style="41" customWidth="1"/>
    <col min="3321" max="3321" width="12.1796875" style="41" customWidth="1"/>
    <col min="3322" max="3322" width="8" style="41" customWidth="1"/>
    <col min="3323" max="3323" width="20" style="41" customWidth="1"/>
    <col min="3324" max="3324" width="15.26953125" style="41" bestFit="1" customWidth="1"/>
    <col min="3325" max="3325" width="14.26953125" style="41" bestFit="1" customWidth="1"/>
    <col min="3326" max="3326" width="13" style="41" bestFit="1" customWidth="1"/>
    <col min="3327" max="3498" width="9.26953125" style="41"/>
    <col min="3499" max="3499" width="2.7265625" style="41" customWidth="1"/>
    <col min="3500" max="3500" width="3.54296875" style="41" customWidth="1"/>
    <col min="3501" max="3501" width="7" style="41" customWidth="1"/>
    <col min="3502" max="3502" width="23" style="41" customWidth="1"/>
    <col min="3503" max="3503" width="13.26953125" style="41" customWidth="1"/>
    <col min="3504" max="3504" width="17.36328125" style="41" bestFit="1" customWidth="1"/>
    <col min="3505" max="3505" width="11.54296875" style="41" bestFit="1" customWidth="1"/>
    <col min="3506" max="3506" width="7.81640625" style="41" customWidth="1"/>
    <col min="3507" max="3507" width="11.54296875" style="41" bestFit="1" customWidth="1"/>
    <col min="3508" max="3508" width="7" style="41" customWidth="1"/>
    <col min="3509" max="3509" width="18.1796875" style="41" customWidth="1"/>
    <col min="3510" max="3510" width="7" style="41" customWidth="1"/>
    <col min="3511" max="3511" width="15.54296875" style="41" customWidth="1"/>
    <col min="3512" max="3512" width="7.81640625" style="41" customWidth="1"/>
    <col min="3513" max="3513" width="15.54296875" style="41" customWidth="1"/>
    <col min="3514" max="3514" width="7.81640625" style="41" bestFit="1" customWidth="1"/>
    <col min="3515" max="3515" width="15.7265625" style="41" bestFit="1" customWidth="1"/>
    <col min="3516" max="3516" width="7.54296875" style="41" customWidth="1"/>
    <col min="3517" max="3517" width="14" style="41" customWidth="1"/>
    <col min="3518" max="3518" width="7.81640625" style="41" customWidth="1"/>
    <col min="3519" max="3519" width="14" style="41" customWidth="1"/>
    <col min="3520" max="3520" width="7.81640625" style="41" customWidth="1"/>
    <col min="3521" max="3521" width="14" style="41" customWidth="1"/>
    <col min="3522" max="3522" width="9" style="41" customWidth="1"/>
    <col min="3523" max="3523" width="15.1796875" style="41" customWidth="1"/>
    <col min="3524" max="3524" width="13" style="41" bestFit="1" customWidth="1"/>
    <col min="3525" max="3525" width="15.1796875" style="41" bestFit="1" customWidth="1"/>
    <col min="3526" max="3526" width="7.54296875" style="41" customWidth="1"/>
    <col min="3527" max="3527" width="14" style="41" customWidth="1"/>
    <col min="3528" max="3528" width="7.81640625" style="41" customWidth="1"/>
    <col min="3529" max="3529" width="14" style="41" customWidth="1"/>
    <col min="3530" max="3530" width="7.81640625" style="41" customWidth="1"/>
    <col min="3531" max="3531" width="14" style="41" customWidth="1"/>
    <col min="3532" max="3532" width="9" style="41" bestFit="1" customWidth="1"/>
    <col min="3533" max="3533" width="15.1796875" style="41" bestFit="1" customWidth="1"/>
    <col min="3534" max="3534" width="9" style="41" bestFit="1" customWidth="1"/>
    <col min="3535" max="3535" width="15.1796875" style="41" bestFit="1" customWidth="1"/>
    <col min="3536" max="3536" width="6.36328125" style="41" customWidth="1"/>
    <col min="3537" max="3537" width="12.7265625" style="41" customWidth="1"/>
    <col min="3538" max="3538" width="6.36328125" style="41" customWidth="1"/>
    <col min="3539" max="3539" width="12.7265625" style="41" customWidth="1"/>
    <col min="3540" max="3540" width="6" style="41" customWidth="1"/>
    <col min="3541" max="3541" width="12.7265625" style="41" customWidth="1"/>
    <col min="3542" max="3542" width="9.54296875" style="41" customWidth="1"/>
    <col min="3543" max="3543" width="14" style="41" bestFit="1" customWidth="1"/>
    <col min="3544" max="3544" width="9.26953125" style="41"/>
    <col min="3545" max="3545" width="13.54296875" style="41" customWidth="1"/>
    <col min="3546" max="3546" width="6" style="41" customWidth="1"/>
    <col min="3547" max="3547" width="13.7265625" style="41" customWidth="1"/>
    <col min="3548" max="3548" width="6" style="41" customWidth="1"/>
    <col min="3549" max="3549" width="12.7265625" style="41" customWidth="1"/>
    <col min="3550" max="3550" width="6.81640625" style="41" customWidth="1"/>
    <col min="3551" max="3551" width="12.7265625" style="41" customWidth="1"/>
    <col min="3552" max="3552" width="6.81640625" style="41" customWidth="1"/>
    <col min="3553" max="3553" width="15.7265625" style="41" bestFit="1" customWidth="1"/>
    <col min="3554" max="3554" width="8.54296875" style="41" bestFit="1" customWidth="1"/>
    <col min="3555" max="3555" width="13.54296875" style="41" customWidth="1"/>
    <col min="3556" max="3556" width="6" style="41" customWidth="1"/>
    <col min="3557" max="3557" width="13.7265625" style="41" customWidth="1"/>
    <col min="3558" max="3558" width="6" style="41" customWidth="1"/>
    <col min="3559" max="3559" width="12.7265625" style="41" customWidth="1"/>
    <col min="3560" max="3560" width="6.81640625" style="41" customWidth="1"/>
    <col min="3561" max="3561" width="12.7265625" style="41" customWidth="1"/>
    <col min="3562" max="3562" width="6.81640625" style="41" customWidth="1"/>
    <col min="3563" max="3563" width="16.36328125" style="41" bestFit="1" customWidth="1"/>
    <col min="3564" max="3564" width="9.54296875" style="41" bestFit="1" customWidth="1"/>
    <col min="3565" max="3565" width="17.36328125" style="41" bestFit="1" customWidth="1"/>
    <col min="3566" max="3566" width="6" style="41" customWidth="1"/>
    <col min="3567" max="3567" width="13.7265625" style="41" customWidth="1"/>
    <col min="3568" max="3568" width="6" style="41" customWidth="1"/>
    <col min="3569" max="3569" width="12.7265625" style="41" customWidth="1"/>
    <col min="3570" max="3570" width="6.81640625" style="41" customWidth="1"/>
    <col min="3571" max="3571" width="12.7265625" style="41" customWidth="1"/>
    <col min="3572" max="3572" width="6.81640625" style="41" customWidth="1"/>
    <col min="3573" max="3573" width="15.36328125" style="41" bestFit="1" customWidth="1"/>
    <col min="3574" max="3574" width="9.54296875" style="41" bestFit="1" customWidth="1"/>
    <col min="3575" max="3575" width="17.36328125" style="41" bestFit="1" customWidth="1"/>
    <col min="3576" max="3576" width="8" style="41" customWidth="1"/>
    <col min="3577" max="3577" width="12.1796875" style="41" customWidth="1"/>
    <col min="3578" max="3578" width="8" style="41" customWidth="1"/>
    <col min="3579" max="3579" width="20" style="41" customWidth="1"/>
    <col min="3580" max="3580" width="15.26953125" style="41" bestFit="1" customWidth="1"/>
    <col min="3581" max="3581" width="14.26953125" style="41" bestFit="1" customWidth="1"/>
    <col min="3582" max="3582" width="13" style="41" bestFit="1" customWidth="1"/>
    <col min="3583" max="3754" width="9.26953125" style="41"/>
    <col min="3755" max="3755" width="2.7265625" style="41" customWidth="1"/>
    <col min="3756" max="3756" width="3.54296875" style="41" customWidth="1"/>
    <col min="3757" max="3757" width="7" style="41" customWidth="1"/>
    <col min="3758" max="3758" width="23" style="41" customWidth="1"/>
    <col min="3759" max="3759" width="13.26953125" style="41" customWidth="1"/>
    <col min="3760" max="3760" width="17.36328125" style="41" bestFit="1" customWidth="1"/>
    <col min="3761" max="3761" width="11.54296875" style="41" bestFit="1" customWidth="1"/>
    <col min="3762" max="3762" width="7.81640625" style="41" customWidth="1"/>
    <col min="3763" max="3763" width="11.54296875" style="41" bestFit="1" customWidth="1"/>
    <col min="3764" max="3764" width="7" style="41" customWidth="1"/>
    <col min="3765" max="3765" width="18.1796875" style="41" customWidth="1"/>
    <col min="3766" max="3766" width="7" style="41" customWidth="1"/>
    <col min="3767" max="3767" width="15.54296875" style="41" customWidth="1"/>
    <col min="3768" max="3768" width="7.81640625" style="41" customWidth="1"/>
    <col min="3769" max="3769" width="15.54296875" style="41" customWidth="1"/>
    <col min="3770" max="3770" width="7.81640625" style="41" bestFit="1" customWidth="1"/>
    <col min="3771" max="3771" width="15.7265625" style="41" bestFit="1" customWidth="1"/>
    <col min="3772" max="3772" width="7.54296875" style="41" customWidth="1"/>
    <col min="3773" max="3773" width="14" style="41" customWidth="1"/>
    <col min="3774" max="3774" width="7.81640625" style="41" customWidth="1"/>
    <col min="3775" max="3775" width="14" style="41" customWidth="1"/>
    <col min="3776" max="3776" width="7.81640625" style="41" customWidth="1"/>
    <col min="3777" max="3777" width="14" style="41" customWidth="1"/>
    <col min="3778" max="3778" width="9" style="41" customWidth="1"/>
    <col min="3779" max="3779" width="15.1796875" style="41" customWidth="1"/>
    <col min="3780" max="3780" width="13" style="41" bestFit="1" customWidth="1"/>
    <col min="3781" max="3781" width="15.1796875" style="41" bestFit="1" customWidth="1"/>
    <col min="3782" max="3782" width="7.54296875" style="41" customWidth="1"/>
    <col min="3783" max="3783" width="14" style="41" customWidth="1"/>
    <col min="3784" max="3784" width="7.81640625" style="41" customWidth="1"/>
    <col min="3785" max="3785" width="14" style="41" customWidth="1"/>
    <col min="3786" max="3786" width="7.81640625" style="41" customWidth="1"/>
    <col min="3787" max="3787" width="14" style="41" customWidth="1"/>
    <col min="3788" max="3788" width="9" style="41" bestFit="1" customWidth="1"/>
    <col min="3789" max="3789" width="15.1796875" style="41" bestFit="1" customWidth="1"/>
    <col min="3790" max="3790" width="9" style="41" bestFit="1" customWidth="1"/>
    <col min="3791" max="3791" width="15.1796875" style="41" bestFit="1" customWidth="1"/>
    <col min="3792" max="3792" width="6.36328125" style="41" customWidth="1"/>
    <col min="3793" max="3793" width="12.7265625" style="41" customWidth="1"/>
    <col min="3794" max="3794" width="6.36328125" style="41" customWidth="1"/>
    <col min="3795" max="3795" width="12.7265625" style="41" customWidth="1"/>
    <col min="3796" max="3796" width="6" style="41" customWidth="1"/>
    <col min="3797" max="3797" width="12.7265625" style="41" customWidth="1"/>
    <col min="3798" max="3798" width="9.54296875" style="41" customWidth="1"/>
    <col min="3799" max="3799" width="14" style="41" bestFit="1" customWidth="1"/>
    <col min="3800" max="3800" width="9.26953125" style="41"/>
    <col min="3801" max="3801" width="13.54296875" style="41" customWidth="1"/>
    <col min="3802" max="3802" width="6" style="41" customWidth="1"/>
    <col min="3803" max="3803" width="13.7265625" style="41" customWidth="1"/>
    <col min="3804" max="3804" width="6" style="41" customWidth="1"/>
    <col min="3805" max="3805" width="12.7265625" style="41" customWidth="1"/>
    <col min="3806" max="3806" width="6.81640625" style="41" customWidth="1"/>
    <col min="3807" max="3807" width="12.7265625" style="41" customWidth="1"/>
    <col min="3808" max="3808" width="6.81640625" style="41" customWidth="1"/>
    <col min="3809" max="3809" width="15.7265625" style="41" bestFit="1" customWidth="1"/>
    <col min="3810" max="3810" width="8.54296875" style="41" bestFit="1" customWidth="1"/>
    <col min="3811" max="3811" width="13.54296875" style="41" customWidth="1"/>
    <col min="3812" max="3812" width="6" style="41" customWidth="1"/>
    <col min="3813" max="3813" width="13.7265625" style="41" customWidth="1"/>
    <col min="3814" max="3814" width="6" style="41" customWidth="1"/>
    <col min="3815" max="3815" width="12.7265625" style="41" customWidth="1"/>
    <col min="3816" max="3816" width="6.81640625" style="41" customWidth="1"/>
    <col min="3817" max="3817" width="12.7265625" style="41" customWidth="1"/>
    <col min="3818" max="3818" width="6.81640625" style="41" customWidth="1"/>
    <col min="3819" max="3819" width="16.36328125" style="41" bestFit="1" customWidth="1"/>
    <col min="3820" max="3820" width="9.54296875" style="41" bestFit="1" customWidth="1"/>
    <col min="3821" max="3821" width="17.36328125" style="41" bestFit="1" customWidth="1"/>
    <col min="3822" max="3822" width="6" style="41" customWidth="1"/>
    <col min="3823" max="3823" width="13.7265625" style="41" customWidth="1"/>
    <col min="3824" max="3824" width="6" style="41" customWidth="1"/>
    <col min="3825" max="3825" width="12.7265625" style="41" customWidth="1"/>
    <col min="3826" max="3826" width="6.81640625" style="41" customWidth="1"/>
    <col min="3827" max="3827" width="12.7265625" style="41" customWidth="1"/>
    <col min="3828" max="3828" width="6.81640625" style="41" customWidth="1"/>
    <col min="3829" max="3829" width="15.36328125" style="41" bestFit="1" customWidth="1"/>
    <col min="3830" max="3830" width="9.54296875" style="41" bestFit="1" customWidth="1"/>
    <col min="3831" max="3831" width="17.36328125" style="41" bestFit="1" customWidth="1"/>
    <col min="3832" max="3832" width="8" style="41" customWidth="1"/>
    <col min="3833" max="3833" width="12.1796875" style="41" customWidth="1"/>
    <col min="3834" max="3834" width="8" style="41" customWidth="1"/>
    <col min="3835" max="3835" width="20" style="41" customWidth="1"/>
    <col min="3836" max="3836" width="15.26953125" style="41" bestFit="1" customWidth="1"/>
    <col min="3837" max="3837" width="14.26953125" style="41" bestFit="1" customWidth="1"/>
    <col min="3838" max="3838" width="13" style="41" bestFit="1" customWidth="1"/>
    <col min="3839" max="4010" width="9.26953125" style="41"/>
    <col min="4011" max="4011" width="2.7265625" style="41" customWidth="1"/>
    <col min="4012" max="4012" width="3.54296875" style="41" customWidth="1"/>
    <col min="4013" max="4013" width="7" style="41" customWidth="1"/>
    <col min="4014" max="4014" width="23" style="41" customWidth="1"/>
    <col min="4015" max="4015" width="13.26953125" style="41" customWidth="1"/>
    <col min="4016" max="4016" width="17.36328125" style="41" bestFit="1" customWidth="1"/>
    <col min="4017" max="4017" width="11.54296875" style="41" bestFit="1" customWidth="1"/>
    <col min="4018" max="4018" width="7.81640625" style="41" customWidth="1"/>
    <col min="4019" max="4019" width="11.54296875" style="41" bestFit="1" customWidth="1"/>
    <col min="4020" max="4020" width="7" style="41" customWidth="1"/>
    <col min="4021" max="4021" width="18.1796875" style="41" customWidth="1"/>
    <col min="4022" max="4022" width="7" style="41" customWidth="1"/>
    <col min="4023" max="4023" width="15.54296875" style="41" customWidth="1"/>
    <col min="4024" max="4024" width="7.81640625" style="41" customWidth="1"/>
    <col min="4025" max="4025" width="15.54296875" style="41" customWidth="1"/>
    <col min="4026" max="4026" width="7.81640625" style="41" bestFit="1" customWidth="1"/>
    <col min="4027" max="4027" width="15.7265625" style="41" bestFit="1" customWidth="1"/>
    <col min="4028" max="4028" width="7.54296875" style="41" customWidth="1"/>
    <col min="4029" max="4029" width="14" style="41" customWidth="1"/>
    <col min="4030" max="4030" width="7.81640625" style="41" customWidth="1"/>
    <col min="4031" max="4031" width="14" style="41" customWidth="1"/>
    <col min="4032" max="4032" width="7.81640625" style="41" customWidth="1"/>
    <col min="4033" max="4033" width="14" style="41" customWidth="1"/>
    <col min="4034" max="4034" width="9" style="41" customWidth="1"/>
    <col min="4035" max="4035" width="15.1796875" style="41" customWidth="1"/>
    <col min="4036" max="4036" width="13" style="41" bestFit="1" customWidth="1"/>
    <col min="4037" max="4037" width="15.1796875" style="41" bestFit="1" customWidth="1"/>
    <col min="4038" max="4038" width="7.54296875" style="41" customWidth="1"/>
    <col min="4039" max="4039" width="14" style="41" customWidth="1"/>
    <col min="4040" max="4040" width="7.81640625" style="41" customWidth="1"/>
    <col min="4041" max="4041" width="14" style="41" customWidth="1"/>
    <col min="4042" max="4042" width="7.81640625" style="41" customWidth="1"/>
    <col min="4043" max="4043" width="14" style="41" customWidth="1"/>
    <col min="4044" max="4044" width="9" style="41" bestFit="1" customWidth="1"/>
    <col min="4045" max="4045" width="15.1796875" style="41" bestFit="1" customWidth="1"/>
    <col min="4046" max="4046" width="9" style="41" bestFit="1" customWidth="1"/>
    <col min="4047" max="4047" width="15.1796875" style="41" bestFit="1" customWidth="1"/>
    <col min="4048" max="4048" width="6.36328125" style="41" customWidth="1"/>
    <col min="4049" max="4049" width="12.7265625" style="41" customWidth="1"/>
    <col min="4050" max="4050" width="6.36328125" style="41" customWidth="1"/>
    <col min="4051" max="4051" width="12.7265625" style="41" customWidth="1"/>
    <col min="4052" max="4052" width="6" style="41" customWidth="1"/>
    <col min="4053" max="4053" width="12.7265625" style="41" customWidth="1"/>
    <col min="4054" max="4054" width="9.54296875" style="41" customWidth="1"/>
    <col min="4055" max="4055" width="14" style="41" bestFit="1" customWidth="1"/>
    <col min="4056" max="4056" width="9.26953125" style="41"/>
    <col min="4057" max="4057" width="13.54296875" style="41" customWidth="1"/>
    <col min="4058" max="4058" width="6" style="41" customWidth="1"/>
    <col min="4059" max="4059" width="13.7265625" style="41" customWidth="1"/>
    <col min="4060" max="4060" width="6" style="41" customWidth="1"/>
    <col min="4061" max="4061" width="12.7265625" style="41" customWidth="1"/>
    <col min="4062" max="4062" width="6.81640625" style="41" customWidth="1"/>
    <col min="4063" max="4063" width="12.7265625" style="41" customWidth="1"/>
    <col min="4064" max="4064" width="6.81640625" style="41" customWidth="1"/>
    <col min="4065" max="4065" width="15.7265625" style="41" bestFit="1" customWidth="1"/>
    <col min="4066" max="4066" width="8.54296875" style="41" bestFit="1" customWidth="1"/>
    <col min="4067" max="4067" width="13.54296875" style="41" customWidth="1"/>
    <col min="4068" max="4068" width="6" style="41" customWidth="1"/>
    <col min="4069" max="4069" width="13.7265625" style="41" customWidth="1"/>
    <col min="4070" max="4070" width="6" style="41" customWidth="1"/>
    <col min="4071" max="4071" width="12.7265625" style="41" customWidth="1"/>
    <col min="4072" max="4072" width="6.81640625" style="41" customWidth="1"/>
    <col min="4073" max="4073" width="12.7265625" style="41" customWidth="1"/>
    <col min="4074" max="4074" width="6.81640625" style="41" customWidth="1"/>
    <col min="4075" max="4075" width="16.36328125" style="41" bestFit="1" customWidth="1"/>
    <col min="4076" max="4076" width="9.54296875" style="41" bestFit="1" customWidth="1"/>
    <col min="4077" max="4077" width="17.36328125" style="41" bestFit="1" customWidth="1"/>
    <col min="4078" max="4078" width="6" style="41" customWidth="1"/>
    <col min="4079" max="4079" width="13.7265625" style="41" customWidth="1"/>
    <col min="4080" max="4080" width="6" style="41" customWidth="1"/>
    <col min="4081" max="4081" width="12.7265625" style="41" customWidth="1"/>
    <col min="4082" max="4082" width="6.81640625" style="41" customWidth="1"/>
    <col min="4083" max="4083" width="12.7265625" style="41" customWidth="1"/>
    <col min="4084" max="4084" width="6.81640625" style="41" customWidth="1"/>
    <col min="4085" max="4085" width="15.36328125" style="41" bestFit="1" customWidth="1"/>
    <col min="4086" max="4086" width="9.54296875" style="41" bestFit="1" customWidth="1"/>
    <col min="4087" max="4087" width="17.36328125" style="41" bestFit="1" customWidth="1"/>
    <col min="4088" max="4088" width="8" style="41" customWidth="1"/>
    <col min="4089" max="4089" width="12.1796875" style="41" customWidth="1"/>
    <col min="4090" max="4090" width="8" style="41" customWidth="1"/>
    <col min="4091" max="4091" width="20" style="41" customWidth="1"/>
    <col min="4092" max="4092" width="15.26953125" style="41" bestFit="1" customWidth="1"/>
    <col min="4093" max="4093" width="14.26953125" style="41" bestFit="1" customWidth="1"/>
    <col min="4094" max="4094" width="13" style="41" bestFit="1" customWidth="1"/>
    <col min="4095" max="4266" width="9.26953125" style="41"/>
    <col min="4267" max="4267" width="2.7265625" style="41" customWidth="1"/>
    <col min="4268" max="4268" width="3.54296875" style="41" customWidth="1"/>
    <col min="4269" max="4269" width="7" style="41" customWidth="1"/>
    <col min="4270" max="4270" width="23" style="41" customWidth="1"/>
    <col min="4271" max="4271" width="13.26953125" style="41" customWidth="1"/>
    <col min="4272" max="4272" width="17.36328125" style="41" bestFit="1" customWidth="1"/>
    <col min="4273" max="4273" width="11.54296875" style="41" bestFit="1" customWidth="1"/>
    <col min="4274" max="4274" width="7.81640625" style="41" customWidth="1"/>
    <col min="4275" max="4275" width="11.54296875" style="41" bestFit="1" customWidth="1"/>
    <col min="4276" max="4276" width="7" style="41" customWidth="1"/>
    <col min="4277" max="4277" width="18.1796875" style="41" customWidth="1"/>
    <col min="4278" max="4278" width="7" style="41" customWidth="1"/>
    <col min="4279" max="4279" width="15.54296875" style="41" customWidth="1"/>
    <col min="4280" max="4280" width="7.81640625" style="41" customWidth="1"/>
    <col min="4281" max="4281" width="15.54296875" style="41" customWidth="1"/>
    <col min="4282" max="4282" width="7.81640625" style="41" bestFit="1" customWidth="1"/>
    <col min="4283" max="4283" width="15.7265625" style="41" bestFit="1" customWidth="1"/>
    <col min="4284" max="4284" width="7.54296875" style="41" customWidth="1"/>
    <col min="4285" max="4285" width="14" style="41" customWidth="1"/>
    <col min="4286" max="4286" width="7.81640625" style="41" customWidth="1"/>
    <col min="4287" max="4287" width="14" style="41" customWidth="1"/>
    <col min="4288" max="4288" width="7.81640625" style="41" customWidth="1"/>
    <col min="4289" max="4289" width="14" style="41" customWidth="1"/>
    <col min="4290" max="4290" width="9" style="41" customWidth="1"/>
    <col min="4291" max="4291" width="15.1796875" style="41" customWidth="1"/>
    <col min="4292" max="4292" width="13" style="41" bestFit="1" customWidth="1"/>
    <col min="4293" max="4293" width="15.1796875" style="41" bestFit="1" customWidth="1"/>
    <col min="4294" max="4294" width="7.54296875" style="41" customWidth="1"/>
    <col min="4295" max="4295" width="14" style="41" customWidth="1"/>
    <col min="4296" max="4296" width="7.81640625" style="41" customWidth="1"/>
    <col min="4297" max="4297" width="14" style="41" customWidth="1"/>
    <col min="4298" max="4298" width="7.81640625" style="41" customWidth="1"/>
    <col min="4299" max="4299" width="14" style="41" customWidth="1"/>
    <col min="4300" max="4300" width="9" style="41" bestFit="1" customWidth="1"/>
    <col min="4301" max="4301" width="15.1796875" style="41" bestFit="1" customWidth="1"/>
    <col min="4302" max="4302" width="9" style="41" bestFit="1" customWidth="1"/>
    <col min="4303" max="4303" width="15.1796875" style="41" bestFit="1" customWidth="1"/>
    <col min="4304" max="4304" width="6.36328125" style="41" customWidth="1"/>
    <col min="4305" max="4305" width="12.7265625" style="41" customWidth="1"/>
    <col min="4306" max="4306" width="6.36328125" style="41" customWidth="1"/>
    <col min="4307" max="4307" width="12.7265625" style="41" customWidth="1"/>
    <col min="4308" max="4308" width="6" style="41" customWidth="1"/>
    <col min="4309" max="4309" width="12.7265625" style="41" customWidth="1"/>
    <col min="4310" max="4310" width="9.54296875" style="41" customWidth="1"/>
    <col min="4311" max="4311" width="14" style="41" bestFit="1" customWidth="1"/>
    <col min="4312" max="4312" width="9.26953125" style="41"/>
    <col min="4313" max="4313" width="13.54296875" style="41" customWidth="1"/>
    <col min="4314" max="4314" width="6" style="41" customWidth="1"/>
    <col min="4315" max="4315" width="13.7265625" style="41" customWidth="1"/>
    <col min="4316" max="4316" width="6" style="41" customWidth="1"/>
    <col min="4317" max="4317" width="12.7265625" style="41" customWidth="1"/>
    <col min="4318" max="4318" width="6.81640625" style="41" customWidth="1"/>
    <col min="4319" max="4319" width="12.7265625" style="41" customWidth="1"/>
    <col min="4320" max="4320" width="6.81640625" style="41" customWidth="1"/>
    <col min="4321" max="4321" width="15.7265625" style="41" bestFit="1" customWidth="1"/>
    <col min="4322" max="4322" width="8.54296875" style="41" bestFit="1" customWidth="1"/>
    <col min="4323" max="4323" width="13.54296875" style="41" customWidth="1"/>
    <col min="4324" max="4324" width="6" style="41" customWidth="1"/>
    <col min="4325" max="4325" width="13.7265625" style="41" customWidth="1"/>
    <col min="4326" max="4326" width="6" style="41" customWidth="1"/>
    <col min="4327" max="4327" width="12.7265625" style="41" customWidth="1"/>
    <col min="4328" max="4328" width="6.81640625" style="41" customWidth="1"/>
    <col min="4329" max="4329" width="12.7265625" style="41" customWidth="1"/>
    <col min="4330" max="4330" width="6.81640625" style="41" customWidth="1"/>
    <col min="4331" max="4331" width="16.36328125" style="41" bestFit="1" customWidth="1"/>
    <col min="4332" max="4332" width="9.54296875" style="41" bestFit="1" customWidth="1"/>
    <col min="4333" max="4333" width="17.36328125" style="41" bestFit="1" customWidth="1"/>
    <col min="4334" max="4334" width="6" style="41" customWidth="1"/>
    <col min="4335" max="4335" width="13.7265625" style="41" customWidth="1"/>
    <col min="4336" max="4336" width="6" style="41" customWidth="1"/>
    <col min="4337" max="4337" width="12.7265625" style="41" customWidth="1"/>
    <col min="4338" max="4338" width="6.81640625" style="41" customWidth="1"/>
    <col min="4339" max="4339" width="12.7265625" style="41" customWidth="1"/>
    <col min="4340" max="4340" width="6.81640625" style="41" customWidth="1"/>
    <col min="4341" max="4341" width="15.36328125" style="41" bestFit="1" customWidth="1"/>
    <col min="4342" max="4342" width="9.54296875" style="41" bestFit="1" customWidth="1"/>
    <col min="4343" max="4343" width="17.36328125" style="41" bestFit="1" customWidth="1"/>
    <col min="4344" max="4344" width="8" style="41" customWidth="1"/>
    <col min="4345" max="4345" width="12.1796875" style="41" customWidth="1"/>
    <col min="4346" max="4346" width="8" style="41" customWidth="1"/>
    <col min="4347" max="4347" width="20" style="41" customWidth="1"/>
    <col min="4348" max="4348" width="15.26953125" style="41" bestFit="1" customWidth="1"/>
    <col min="4349" max="4349" width="14.26953125" style="41" bestFit="1" customWidth="1"/>
    <col min="4350" max="4350" width="13" style="41" bestFit="1" customWidth="1"/>
    <col min="4351" max="4522" width="9.26953125" style="41"/>
    <col min="4523" max="4523" width="2.7265625" style="41" customWidth="1"/>
    <col min="4524" max="4524" width="3.54296875" style="41" customWidth="1"/>
    <col min="4525" max="4525" width="7" style="41" customWidth="1"/>
    <col min="4526" max="4526" width="23" style="41" customWidth="1"/>
    <col min="4527" max="4527" width="13.26953125" style="41" customWidth="1"/>
    <col min="4528" max="4528" width="17.36328125" style="41" bestFit="1" customWidth="1"/>
    <col min="4529" max="4529" width="11.54296875" style="41" bestFit="1" customWidth="1"/>
    <col min="4530" max="4530" width="7.81640625" style="41" customWidth="1"/>
    <col min="4531" max="4531" width="11.54296875" style="41" bestFit="1" customWidth="1"/>
    <col min="4532" max="4532" width="7" style="41" customWidth="1"/>
    <col min="4533" max="4533" width="18.1796875" style="41" customWidth="1"/>
    <col min="4534" max="4534" width="7" style="41" customWidth="1"/>
    <col min="4535" max="4535" width="15.54296875" style="41" customWidth="1"/>
    <col min="4536" max="4536" width="7.81640625" style="41" customWidth="1"/>
    <col min="4537" max="4537" width="15.54296875" style="41" customWidth="1"/>
    <col min="4538" max="4538" width="7.81640625" style="41" bestFit="1" customWidth="1"/>
    <col min="4539" max="4539" width="15.7265625" style="41" bestFit="1" customWidth="1"/>
    <col min="4540" max="4540" width="7.54296875" style="41" customWidth="1"/>
    <col min="4541" max="4541" width="14" style="41" customWidth="1"/>
    <col min="4542" max="4542" width="7.81640625" style="41" customWidth="1"/>
    <col min="4543" max="4543" width="14" style="41" customWidth="1"/>
    <col min="4544" max="4544" width="7.81640625" style="41" customWidth="1"/>
    <col min="4545" max="4545" width="14" style="41" customWidth="1"/>
    <col min="4546" max="4546" width="9" style="41" customWidth="1"/>
    <col min="4547" max="4547" width="15.1796875" style="41" customWidth="1"/>
    <col min="4548" max="4548" width="13" style="41" bestFit="1" customWidth="1"/>
    <col min="4549" max="4549" width="15.1796875" style="41" bestFit="1" customWidth="1"/>
    <col min="4550" max="4550" width="7.54296875" style="41" customWidth="1"/>
    <col min="4551" max="4551" width="14" style="41" customWidth="1"/>
    <col min="4552" max="4552" width="7.81640625" style="41" customWidth="1"/>
    <col min="4553" max="4553" width="14" style="41" customWidth="1"/>
    <col min="4554" max="4554" width="7.81640625" style="41" customWidth="1"/>
    <col min="4555" max="4555" width="14" style="41" customWidth="1"/>
    <col min="4556" max="4556" width="9" style="41" bestFit="1" customWidth="1"/>
    <col min="4557" max="4557" width="15.1796875" style="41" bestFit="1" customWidth="1"/>
    <col min="4558" max="4558" width="9" style="41" bestFit="1" customWidth="1"/>
    <col min="4559" max="4559" width="15.1796875" style="41" bestFit="1" customWidth="1"/>
    <col min="4560" max="4560" width="6.36328125" style="41" customWidth="1"/>
    <col min="4561" max="4561" width="12.7265625" style="41" customWidth="1"/>
    <col min="4562" max="4562" width="6.36328125" style="41" customWidth="1"/>
    <col min="4563" max="4563" width="12.7265625" style="41" customWidth="1"/>
    <col min="4564" max="4564" width="6" style="41" customWidth="1"/>
    <col min="4565" max="4565" width="12.7265625" style="41" customWidth="1"/>
    <col min="4566" max="4566" width="9.54296875" style="41" customWidth="1"/>
    <col min="4567" max="4567" width="14" style="41" bestFit="1" customWidth="1"/>
    <col min="4568" max="4568" width="9.26953125" style="41"/>
    <col min="4569" max="4569" width="13.54296875" style="41" customWidth="1"/>
    <col min="4570" max="4570" width="6" style="41" customWidth="1"/>
    <col min="4571" max="4571" width="13.7265625" style="41" customWidth="1"/>
    <col min="4572" max="4572" width="6" style="41" customWidth="1"/>
    <col min="4573" max="4573" width="12.7265625" style="41" customWidth="1"/>
    <col min="4574" max="4574" width="6.81640625" style="41" customWidth="1"/>
    <col min="4575" max="4575" width="12.7265625" style="41" customWidth="1"/>
    <col min="4576" max="4576" width="6.81640625" style="41" customWidth="1"/>
    <col min="4577" max="4577" width="15.7265625" style="41" bestFit="1" customWidth="1"/>
    <col min="4578" max="4578" width="8.54296875" style="41" bestFit="1" customWidth="1"/>
    <col min="4579" max="4579" width="13.54296875" style="41" customWidth="1"/>
    <col min="4580" max="4580" width="6" style="41" customWidth="1"/>
    <col min="4581" max="4581" width="13.7265625" style="41" customWidth="1"/>
    <col min="4582" max="4582" width="6" style="41" customWidth="1"/>
    <col min="4583" max="4583" width="12.7265625" style="41" customWidth="1"/>
    <col min="4584" max="4584" width="6.81640625" style="41" customWidth="1"/>
    <col min="4585" max="4585" width="12.7265625" style="41" customWidth="1"/>
    <col min="4586" max="4586" width="6.81640625" style="41" customWidth="1"/>
    <col min="4587" max="4587" width="16.36328125" style="41" bestFit="1" customWidth="1"/>
    <col min="4588" max="4588" width="9.54296875" style="41" bestFit="1" customWidth="1"/>
    <col min="4589" max="4589" width="17.36328125" style="41" bestFit="1" customWidth="1"/>
    <col min="4590" max="4590" width="6" style="41" customWidth="1"/>
    <col min="4591" max="4591" width="13.7265625" style="41" customWidth="1"/>
    <col min="4592" max="4592" width="6" style="41" customWidth="1"/>
    <col min="4593" max="4593" width="12.7265625" style="41" customWidth="1"/>
    <col min="4594" max="4594" width="6.81640625" style="41" customWidth="1"/>
    <col min="4595" max="4595" width="12.7265625" style="41" customWidth="1"/>
    <col min="4596" max="4596" width="6.81640625" style="41" customWidth="1"/>
    <col min="4597" max="4597" width="15.36328125" style="41" bestFit="1" customWidth="1"/>
    <col min="4598" max="4598" width="9.54296875" style="41" bestFit="1" customWidth="1"/>
    <col min="4599" max="4599" width="17.36328125" style="41" bestFit="1" customWidth="1"/>
    <col min="4600" max="4600" width="8" style="41" customWidth="1"/>
    <col min="4601" max="4601" width="12.1796875" style="41" customWidth="1"/>
    <col min="4602" max="4602" width="8" style="41" customWidth="1"/>
    <col min="4603" max="4603" width="20" style="41" customWidth="1"/>
    <col min="4604" max="4604" width="15.26953125" style="41" bestFit="1" customWidth="1"/>
    <col min="4605" max="4605" width="14.26953125" style="41" bestFit="1" customWidth="1"/>
    <col min="4606" max="4606" width="13" style="41" bestFit="1" customWidth="1"/>
    <col min="4607" max="4778" width="9.26953125" style="41"/>
    <col min="4779" max="4779" width="2.7265625" style="41" customWidth="1"/>
    <col min="4780" max="4780" width="3.54296875" style="41" customWidth="1"/>
    <col min="4781" max="4781" width="7" style="41" customWidth="1"/>
    <col min="4782" max="4782" width="23" style="41" customWidth="1"/>
    <col min="4783" max="4783" width="13.26953125" style="41" customWidth="1"/>
    <col min="4784" max="4784" width="17.36328125" style="41" bestFit="1" customWidth="1"/>
    <col min="4785" max="4785" width="11.54296875" style="41" bestFit="1" customWidth="1"/>
    <col min="4786" max="4786" width="7.81640625" style="41" customWidth="1"/>
    <col min="4787" max="4787" width="11.54296875" style="41" bestFit="1" customWidth="1"/>
    <col min="4788" max="4788" width="7" style="41" customWidth="1"/>
    <col min="4789" max="4789" width="18.1796875" style="41" customWidth="1"/>
    <col min="4790" max="4790" width="7" style="41" customWidth="1"/>
    <col min="4791" max="4791" width="15.54296875" style="41" customWidth="1"/>
    <col min="4792" max="4792" width="7.81640625" style="41" customWidth="1"/>
    <col min="4793" max="4793" width="15.54296875" style="41" customWidth="1"/>
    <col min="4794" max="4794" width="7.81640625" style="41" bestFit="1" customWidth="1"/>
    <col min="4795" max="4795" width="15.7265625" style="41" bestFit="1" customWidth="1"/>
    <col min="4796" max="4796" width="7.54296875" style="41" customWidth="1"/>
    <col min="4797" max="4797" width="14" style="41" customWidth="1"/>
    <col min="4798" max="4798" width="7.81640625" style="41" customWidth="1"/>
    <col min="4799" max="4799" width="14" style="41" customWidth="1"/>
    <col min="4800" max="4800" width="7.81640625" style="41" customWidth="1"/>
    <col min="4801" max="4801" width="14" style="41" customWidth="1"/>
    <col min="4802" max="4802" width="9" style="41" customWidth="1"/>
    <col min="4803" max="4803" width="15.1796875" style="41" customWidth="1"/>
    <col min="4804" max="4804" width="13" style="41" bestFit="1" customWidth="1"/>
    <col min="4805" max="4805" width="15.1796875" style="41" bestFit="1" customWidth="1"/>
    <col min="4806" max="4806" width="7.54296875" style="41" customWidth="1"/>
    <col min="4807" max="4807" width="14" style="41" customWidth="1"/>
    <col min="4808" max="4808" width="7.81640625" style="41" customWidth="1"/>
    <col min="4809" max="4809" width="14" style="41" customWidth="1"/>
    <col min="4810" max="4810" width="7.81640625" style="41" customWidth="1"/>
    <col min="4811" max="4811" width="14" style="41" customWidth="1"/>
    <col min="4812" max="4812" width="9" style="41" bestFit="1" customWidth="1"/>
    <col min="4813" max="4813" width="15.1796875" style="41" bestFit="1" customWidth="1"/>
    <col min="4814" max="4814" width="9" style="41" bestFit="1" customWidth="1"/>
    <col min="4815" max="4815" width="15.1796875" style="41" bestFit="1" customWidth="1"/>
    <col min="4816" max="4816" width="6.36328125" style="41" customWidth="1"/>
    <col min="4817" max="4817" width="12.7265625" style="41" customWidth="1"/>
    <col min="4818" max="4818" width="6.36328125" style="41" customWidth="1"/>
    <col min="4819" max="4819" width="12.7265625" style="41" customWidth="1"/>
    <col min="4820" max="4820" width="6" style="41" customWidth="1"/>
    <col min="4821" max="4821" width="12.7265625" style="41" customWidth="1"/>
    <col min="4822" max="4822" width="9.54296875" style="41" customWidth="1"/>
    <col min="4823" max="4823" width="14" style="41" bestFit="1" customWidth="1"/>
    <col min="4824" max="4824" width="9.26953125" style="41"/>
    <col min="4825" max="4825" width="13.54296875" style="41" customWidth="1"/>
    <col min="4826" max="4826" width="6" style="41" customWidth="1"/>
    <col min="4827" max="4827" width="13.7265625" style="41" customWidth="1"/>
    <col min="4828" max="4828" width="6" style="41" customWidth="1"/>
    <col min="4829" max="4829" width="12.7265625" style="41" customWidth="1"/>
    <col min="4830" max="4830" width="6.81640625" style="41" customWidth="1"/>
    <col min="4831" max="4831" width="12.7265625" style="41" customWidth="1"/>
    <col min="4832" max="4832" width="6.81640625" style="41" customWidth="1"/>
    <col min="4833" max="4833" width="15.7265625" style="41" bestFit="1" customWidth="1"/>
    <col min="4834" max="4834" width="8.54296875" style="41" bestFit="1" customWidth="1"/>
    <col min="4835" max="4835" width="13.54296875" style="41" customWidth="1"/>
    <col min="4836" max="4836" width="6" style="41" customWidth="1"/>
    <col min="4837" max="4837" width="13.7265625" style="41" customWidth="1"/>
    <col min="4838" max="4838" width="6" style="41" customWidth="1"/>
    <col min="4839" max="4839" width="12.7265625" style="41" customWidth="1"/>
    <col min="4840" max="4840" width="6.81640625" style="41" customWidth="1"/>
    <col min="4841" max="4841" width="12.7265625" style="41" customWidth="1"/>
    <col min="4842" max="4842" width="6.81640625" style="41" customWidth="1"/>
    <col min="4843" max="4843" width="16.36328125" style="41" bestFit="1" customWidth="1"/>
    <col min="4844" max="4844" width="9.54296875" style="41" bestFit="1" customWidth="1"/>
    <col min="4845" max="4845" width="17.36328125" style="41" bestFit="1" customWidth="1"/>
    <col min="4846" max="4846" width="6" style="41" customWidth="1"/>
    <col min="4847" max="4847" width="13.7265625" style="41" customWidth="1"/>
    <col min="4848" max="4848" width="6" style="41" customWidth="1"/>
    <col min="4849" max="4849" width="12.7265625" style="41" customWidth="1"/>
    <col min="4850" max="4850" width="6.81640625" style="41" customWidth="1"/>
    <col min="4851" max="4851" width="12.7265625" style="41" customWidth="1"/>
    <col min="4852" max="4852" width="6.81640625" style="41" customWidth="1"/>
    <col min="4853" max="4853" width="15.36328125" style="41" bestFit="1" customWidth="1"/>
    <col min="4854" max="4854" width="9.54296875" style="41" bestFit="1" customWidth="1"/>
    <col min="4855" max="4855" width="17.36328125" style="41" bestFit="1" customWidth="1"/>
    <col min="4856" max="4856" width="8" style="41" customWidth="1"/>
    <col min="4857" max="4857" width="12.1796875" style="41" customWidth="1"/>
    <col min="4858" max="4858" width="8" style="41" customWidth="1"/>
    <col min="4859" max="4859" width="20" style="41" customWidth="1"/>
    <col min="4860" max="4860" width="15.26953125" style="41" bestFit="1" customWidth="1"/>
    <col min="4861" max="4861" width="14.26953125" style="41" bestFit="1" customWidth="1"/>
    <col min="4862" max="4862" width="13" style="41" bestFit="1" customWidth="1"/>
    <col min="4863" max="5034" width="9.26953125" style="41"/>
    <col min="5035" max="5035" width="2.7265625" style="41" customWidth="1"/>
    <col min="5036" max="5036" width="3.54296875" style="41" customWidth="1"/>
    <col min="5037" max="5037" width="7" style="41" customWidth="1"/>
    <col min="5038" max="5038" width="23" style="41" customWidth="1"/>
    <col min="5039" max="5039" width="13.26953125" style="41" customWidth="1"/>
    <col min="5040" max="5040" width="17.36328125" style="41" bestFit="1" customWidth="1"/>
    <col min="5041" max="5041" width="11.54296875" style="41" bestFit="1" customWidth="1"/>
    <col min="5042" max="5042" width="7.81640625" style="41" customWidth="1"/>
    <col min="5043" max="5043" width="11.54296875" style="41" bestFit="1" customWidth="1"/>
    <col min="5044" max="5044" width="7" style="41" customWidth="1"/>
    <col min="5045" max="5045" width="18.1796875" style="41" customWidth="1"/>
    <col min="5046" max="5046" width="7" style="41" customWidth="1"/>
    <col min="5047" max="5047" width="15.54296875" style="41" customWidth="1"/>
    <col min="5048" max="5048" width="7.81640625" style="41" customWidth="1"/>
    <col min="5049" max="5049" width="15.54296875" style="41" customWidth="1"/>
    <col min="5050" max="5050" width="7.81640625" style="41" bestFit="1" customWidth="1"/>
    <col min="5051" max="5051" width="15.7265625" style="41" bestFit="1" customWidth="1"/>
    <col min="5052" max="5052" width="7.54296875" style="41" customWidth="1"/>
    <col min="5053" max="5053" width="14" style="41" customWidth="1"/>
    <col min="5054" max="5054" width="7.81640625" style="41" customWidth="1"/>
    <col min="5055" max="5055" width="14" style="41" customWidth="1"/>
    <col min="5056" max="5056" width="7.81640625" style="41" customWidth="1"/>
    <col min="5057" max="5057" width="14" style="41" customWidth="1"/>
    <col min="5058" max="5058" width="9" style="41" customWidth="1"/>
    <col min="5059" max="5059" width="15.1796875" style="41" customWidth="1"/>
    <col min="5060" max="5060" width="13" style="41" bestFit="1" customWidth="1"/>
    <col min="5061" max="5061" width="15.1796875" style="41" bestFit="1" customWidth="1"/>
    <col min="5062" max="5062" width="7.54296875" style="41" customWidth="1"/>
    <col min="5063" max="5063" width="14" style="41" customWidth="1"/>
    <col min="5064" max="5064" width="7.81640625" style="41" customWidth="1"/>
    <col min="5065" max="5065" width="14" style="41" customWidth="1"/>
    <col min="5066" max="5066" width="7.81640625" style="41" customWidth="1"/>
    <col min="5067" max="5067" width="14" style="41" customWidth="1"/>
    <col min="5068" max="5068" width="9" style="41" bestFit="1" customWidth="1"/>
    <col min="5069" max="5069" width="15.1796875" style="41" bestFit="1" customWidth="1"/>
    <col min="5070" max="5070" width="9" style="41" bestFit="1" customWidth="1"/>
    <col min="5071" max="5071" width="15.1796875" style="41" bestFit="1" customWidth="1"/>
    <col min="5072" max="5072" width="6.36328125" style="41" customWidth="1"/>
    <col min="5073" max="5073" width="12.7265625" style="41" customWidth="1"/>
    <col min="5074" max="5074" width="6.36328125" style="41" customWidth="1"/>
    <col min="5075" max="5075" width="12.7265625" style="41" customWidth="1"/>
    <col min="5076" max="5076" width="6" style="41" customWidth="1"/>
    <col min="5077" max="5077" width="12.7265625" style="41" customWidth="1"/>
    <col min="5078" max="5078" width="9.54296875" style="41" customWidth="1"/>
    <col min="5079" max="5079" width="14" style="41" bestFit="1" customWidth="1"/>
    <col min="5080" max="5080" width="9.26953125" style="41"/>
    <col min="5081" max="5081" width="13.54296875" style="41" customWidth="1"/>
    <col min="5082" max="5082" width="6" style="41" customWidth="1"/>
    <col min="5083" max="5083" width="13.7265625" style="41" customWidth="1"/>
    <col min="5084" max="5084" width="6" style="41" customWidth="1"/>
    <col min="5085" max="5085" width="12.7265625" style="41" customWidth="1"/>
    <col min="5086" max="5086" width="6.81640625" style="41" customWidth="1"/>
    <col min="5087" max="5087" width="12.7265625" style="41" customWidth="1"/>
    <col min="5088" max="5088" width="6.81640625" style="41" customWidth="1"/>
    <col min="5089" max="5089" width="15.7265625" style="41" bestFit="1" customWidth="1"/>
    <col min="5090" max="5090" width="8.54296875" style="41" bestFit="1" customWidth="1"/>
    <col min="5091" max="5091" width="13.54296875" style="41" customWidth="1"/>
    <col min="5092" max="5092" width="6" style="41" customWidth="1"/>
    <col min="5093" max="5093" width="13.7265625" style="41" customWidth="1"/>
    <col min="5094" max="5094" width="6" style="41" customWidth="1"/>
    <col min="5095" max="5095" width="12.7265625" style="41" customWidth="1"/>
    <col min="5096" max="5096" width="6.81640625" style="41" customWidth="1"/>
    <col min="5097" max="5097" width="12.7265625" style="41" customWidth="1"/>
    <col min="5098" max="5098" width="6.81640625" style="41" customWidth="1"/>
    <col min="5099" max="5099" width="16.36328125" style="41" bestFit="1" customWidth="1"/>
    <col min="5100" max="5100" width="9.54296875" style="41" bestFit="1" customWidth="1"/>
    <col min="5101" max="5101" width="17.36328125" style="41" bestFit="1" customWidth="1"/>
    <col min="5102" max="5102" width="6" style="41" customWidth="1"/>
    <col min="5103" max="5103" width="13.7265625" style="41" customWidth="1"/>
    <col min="5104" max="5104" width="6" style="41" customWidth="1"/>
    <col min="5105" max="5105" width="12.7265625" style="41" customWidth="1"/>
    <col min="5106" max="5106" width="6.81640625" style="41" customWidth="1"/>
    <col min="5107" max="5107" width="12.7265625" style="41" customWidth="1"/>
    <col min="5108" max="5108" width="6.81640625" style="41" customWidth="1"/>
    <col min="5109" max="5109" width="15.36328125" style="41" bestFit="1" customWidth="1"/>
    <col min="5110" max="5110" width="9.54296875" style="41" bestFit="1" customWidth="1"/>
    <col min="5111" max="5111" width="17.36328125" style="41" bestFit="1" customWidth="1"/>
    <col min="5112" max="5112" width="8" style="41" customWidth="1"/>
    <col min="5113" max="5113" width="12.1796875" style="41" customWidth="1"/>
    <col min="5114" max="5114" width="8" style="41" customWidth="1"/>
    <col min="5115" max="5115" width="20" style="41" customWidth="1"/>
    <col min="5116" max="5116" width="15.26953125" style="41" bestFit="1" customWidth="1"/>
    <col min="5117" max="5117" width="14.26953125" style="41" bestFit="1" customWidth="1"/>
    <col min="5118" max="5118" width="13" style="41" bestFit="1" customWidth="1"/>
    <col min="5119" max="5290" width="9.26953125" style="41"/>
    <col min="5291" max="5291" width="2.7265625" style="41" customWidth="1"/>
    <col min="5292" max="5292" width="3.54296875" style="41" customWidth="1"/>
    <col min="5293" max="5293" width="7" style="41" customWidth="1"/>
    <col min="5294" max="5294" width="23" style="41" customWidth="1"/>
    <col min="5295" max="5295" width="13.26953125" style="41" customWidth="1"/>
    <col min="5296" max="5296" width="17.36328125" style="41" bestFit="1" customWidth="1"/>
    <col min="5297" max="5297" width="11.54296875" style="41" bestFit="1" customWidth="1"/>
    <col min="5298" max="5298" width="7.81640625" style="41" customWidth="1"/>
    <col min="5299" max="5299" width="11.54296875" style="41" bestFit="1" customWidth="1"/>
    <col min="5300" max="5300" width="7" style="41" customWidth="1"/>
    <col min="5301" max="5301" width="18.1796875" style="41" customWidth="1"/>
    <col min="5302" max="5302" width="7" style="41" customWidth="1"/>
    <col min="5303" max="5303" width="15.54296875" style="41" customWidth="1"/>
    <col min="5304" max="5304" width="7.81640625" style="41" customWidth="1"/>
    <col min="5305" max="5305" width="15.54296875" style="41" customWidth="1"/>
    <col min="5306" max="5306" width="7.81640625" style="41" bestFit="1" customWidth="1"/>
    <col min="5307" max="5307" width="15.7265625" style="41" bestFit="1" customWidth="1"/>
    <col min="5308" max="5308" width="7.54296875" style="41" customWidth="1"/>
    <col min="5309" max="5309" width="14" style="41" customWidth="1"/>
    <col min="5310" max="5310" width="7.81640625" style="41" customWidth="1"/>
    <col min="5311" max="5311" width="14" style="41" customWidth="1"/>
    <col min="5312" max="5312" width="7.81640625" style="41" customWidth="1"/>
    <col min="5313" max="5313" width="14" style="41" customWidth="1"/>
    <col min="5314" max="5314" width="9" style="41" customWidth="1"/>
    <col min="5315" max="5315" width="15.1796875" style="41" customWidth="1"/>
    <col min="5316" max="5316" width="13" style="41" bestFit="1" customWidth="1"/>
    <col min="5317" max="5317" width="15.1796875" style="41" bestFit="1" customWidth="1"/>
    <col min="5318" max="5318" width="7.54296875" style="41" customWidth="1"/>
    <col min="5319" max="5319" width="14" style="41" customWidth="1"/>
    <col min="5320" max="5320" width="7.81640625" style="41" customWidth="1"/>
    <col min="5321" max="5321" width="14" style="41" customWidth="1"/>
    <col min="5322" max="5322" width="7.81640625" style="41" customWidth="1"/>
    <col min="5323" max="5323" width="14" style="41" customWidth="1"/>
    <col min="5324" max="5324" width="9" style="41" bestFit="1" customWidth="1"/>
    <col min="5325" max="5325" width="15.1796875" style="41" bestFit="1" customWidth="1"/>
    <col min="5326" max="5326" width="9" style="41" bestFit="1" customWidth="1"/>
    <col min="5327" max="5327" width="15.1796875" style="41" bestFit="1" customWidth="1"/>
    <col min="5328" max="5328" width="6.36328125" style="41" customWidth="1"/>
    <col min="5329" max="5329" width="12.7265625" style="41" customWidth="1"/>
    <col min="5330" max="5330" width="6.36328125" style="41" customWidth="1"/>
    <col min="5331" max="5331" width="12.7265625" style="41" customWidth="1"/>
    <col min="5332" max="5332" width="6" style="41" customWidth="1"/>
    <col min="5333" max="5333" width="12.7265625" style="41" customWidth="1"/>
    <col min="5334" max="5334" width="9.54296875" style="41" customWidth="1"/>
    <col min="5335" max="5335" width="14" style="41" bestFit="1" customWidth="1"/>
    <col min="5336" max="5336" width="9.26953125" style="41"/>
    <col min="5337" max="5337" width="13.54296875" style="41" customWidth="1"/>
    <col min="5338" max="5338" width="6" style="41" customWidth="1"/>
    <col min="5339" max="5339" width="13.7265625" style="41" customWidth="1"/>
    <col min="5340" max="5340" width="6" style="41" customWidth="1"/>
    <col min="5341" max="5341" width="12.7265625" style="41" customWidth="1"/>
    <col min="5342" max="5342" width="6.81640625" style="41" customWidth="1"/>
    <col min="5343" max="5343" width="12.7265625" style="41" customWidth="1"/>
    <col min="5344" max="5344" width="6.81640625" style="41" customWidth="1"/>
    <col min="5345" max="5345" width="15.7265625" style="41" bestFit="1" customWidth="1"/>
    <col min="5346" max="5346" width="8.54296875" style="41" bestFit="1" customWidth="1"/>
    <col min="5347" max="5347" width="13.54296875" style="41" customWidth="1"/>
    <col min="5348" max="5348" width="6" style="41" customWidth="1"/>
    <col min="5349" max="5349" width="13.7265625" style="41" customWidth="1"/>
    <col min="5350" max="5350" width="6" style="41" customWidth="1"/>
    <col min="5351" max="5351" width="12.7265625" style="41" customWidth="1"/>
    <col min="5352" max="5352" width="6.81640625" style="41" customWidth="1"/>
    <col min="5353" max="5353" width="12.7265625" style="41" customWidth="1"/>
    <col min="5354" max="5354" width="6.81640625" style="41" customWidth="1"/>
    <col min="5355" max="5355" width="16.36328125" style="41" bestFit="1" customWidth="1"/>
    <col min="5356" max="5356" width="9.54296875" style="41" bestFit="1" customWidth="1"/>
    <col min="5357" max="5357" width="17.36328125" style="41" bestFit="1" customWidth="1"/>
    <col min="5358" max="5358" width="6" style="41" customWidth="1"/>
    <col min="5359" max="5359" width="13.7265625" style="41" customWidth="1"/>
    <col min="5360" max="5360" width="6" style="41" customWidth="1"/>
    <col min="5361" max="5361" width="12.7265625" style="41" customWidth="1"/>
    <col min="5362" max="5362" width="6.81640625" style="41" customWidth="1"/>
    <col min="5363" max="5363" width="12.7265625" style="41" customWidth="1"/>
    <col min="5364" max="5364" width="6.81640625" style="41" customWidth="1"/>
    <col min="5365" max="5365" width="15.36328125" style="41" bestFit="1" customWidth="1"/>
    <col min="5366" max="5366" width="9.54296875" style="41" bestFit="1" customWidth="1"/>
    <col min="5367" max="5367" width="17.36328125" style="41" bestFit="1" customWidth="1"/>
    <col min="5368" max="5368" width="8" style="41" customWidth="1"/>
    <col min="5369" max="5369" width="12.1796875" style="41" customWidth="1"/>
    <col min="5370" max="5370" width="8" style="41" customWidth="1"/>
    <col min="5371" max="5371" width="20" style="41" customWidth="1"/>
    <col min="5372" max="5372" width="15.26953125" style="41" bestFit="1" customWidth="1"/>
    <col min="5373" max="5373" width="14.26953125" style="41" bestFit="1" customWidth="1"/>
    <col min="5374" max="5374" width="13" style="41" bestFit="1" customWidth="1"/>
    <col min="5375" max="5546" width="9.26953125" style="41"/>
    <col min="5547" max="5547" width="2.7265625" style="41" customWidth="1"/>
    <col min="5548" max="5548" width="3.54296875" style="41" customWidth="1"/>
    <col min="5549" max="5549" width="7" style="41" customWidth="1"/>
    <col min="5550" max="5550" width="23" style="41" customWidth="1"/>
    <col min="5551" max="5551" width="13.26953125" style="41" customWidth="1"/>
    <col min="5552" max="5552" width="17.36328125" style="41" bestFit="1" customWidth="1"/>
    <col min="5553" max="5553" width="11.54296875" style="41" bestFit="1" customWidth="1"/>
    <col min="5554" max="5554" width="7.81640625" style="41" customWidth="1"/>
    <col min="5555" max="5555" width="11.54296875" style="41" bestFit="1" customWidth="1"/>
    <col min="5556" max="5556" width="7" style="41" customWidth="1"/>
    <col min="5557" max="5557" width="18.1796875" style="41" customWidth="1"/>
    <col min="5558" max="5558" width="7" style="41" customWidth="1"/>
    <col min="5559" max="5559" width="15.54296875" style="41" customWidth="1"/>
    <col min="5560" max="5560" width="7.81640625" style="41" customWidth="1"/>
    <col min="5561" max="5561" width="15.54296875" style="41" customWidth="1"/>
    <col min="5562" max="5562" width="7.81640625" style="41" bestFit="1" customWidth="1"/>
    <col min="5563" max="5563" width="15.7265625" style="41" bestFit="1" customWidth="1"/>
    <col min="5564" max="5564" width="7.54296875" style="41" customWidth="1"/>
    <col min="5565" max="5565" width="14" style="41" customWidth="1"/>
    <col min="5566" max="5566" width="7.81640625" style="41" customWidth="1"/>
    <col min="5567" max="5567" width="14" style="41" customWidth="1"/>
    <col min="5568" max="5568" width="7.81640625" style="41" customWidth="1"/>
    <col min="5569" max="5569" width="14" style="41" customWidth="1"/>
    <col min="5570" max="5570" width="9" style="41" customWidth="1"/>
    <col min="5571" max="5571" width="15.1796875" style="41" customWidth="1"/>
    <col min="5572" max="5572" width="13" style="41" bestFit="1" customWidth="1"/>
    <col min="5573" max="5573" width="15.1796875" style="41" bestFit="1" customWidth="1"/>
    <col min="5574" max="5574" width="7.54296875" style="41" customWidth="1"/>
    <col min="5575" max="5575" width="14" style="41" customWidth="1"/>
    <col min="5576" max="5576" width="7.81640625" style="41" customWidth="1"/>
    <col min="5577" max="5577" width="14" style="41" customWidth="1"/>
    <col min="5578" max="5578" width="7.81640625" style="41" customWidth="1"/>
    <col min="5579" max="5579" width="14" style="41" customWidth="1"/>
    <col min="5580" max="5580" width="9" style="41" bestFit="1" customWidth="1"/>
    <col min="5581" max="5581" width="15.1796875" style="41" bestFit="1" customWidth="1"/>
    <col min="5582" max="5582" width="9" style="41" bestFit="1" customWidth="1"/>
    <col min="5583" max="5583" width="15.1796875" style="41" bestFit="1" customWidth="1"/>
    <col min="5584" max="5584" width="6.36328125" style="41" customWidth="1"/>
    <col min="5585" max="5585" width="12.7265625" style="41" customWidth="1"/>
    <col min="5586" max="5586" width="6.36328125" style="41" customWidth="1"/>
    <col min="5587" max="5587" width="12.7265625" style="41" customWidth="1"/>
    <col min="5588" max="5588" width="6" style="41" customWidth="1"/>
    <col min="5589" max="5589" width="12.7265625" style="41" customWidth="1"/>
    <col min="5590" max="5590" width="9.54296875" style="41" customWidth="1"/>
    <col min="5591" max="5591" width="14" style="41" bestFit="1" customWidth="1"/>
    <col min="5592" max="5592" width="9.26953125" style="41"/>
    <col min="5593" max="5593" width="13.54296875" style="41" customWidth="1"/>
    <col min="5594" max="5594" width="6" style="41" customWidth="1"/>
    <col min="5595" max="5595" width="13.7265625" style="41" customWidth="1"/>
    <col min="5596" max="5596" width="6" style="41" customWidth="1"/>
    <col min="5597" max="5597" width="12.7265625" style="41" customWidth="1"/>
    <col min="5598" max="5598" width="6.81640625" style="41" customWidth="1"/>
    <col min="5599" max="5599" width="12.7265625" style="41" customWidth="1"/>
    <col min="5600" max="5600" width="6.81640625" style="41" customWidth="1"/>
    <col min="5601" max="5601" width="15.7265625" style="41" bestFit="1" customWidth="1"/>
    <col min="5602" max="5602" width="8.54296875" style="41" bestFit="1" customWidth="1"/>
    <col min="5603" max="5603" width="13.54296875" style="41" customWidth="1"/>
    <col min="5604" max="5604" width="6" style="41" customWidth="1"/>
    <col min="5605" max="5605" width="13.7265625" style="41" customWidth="1"/>
    <col min="5606" max="5606" width="6" style="41" customWidth="1"/>
    <col min="5607" max="5607" width="12.7265625" style="41" customWidth="1"/>
    <col min="5608" max="5608" width="6.81640625" style="41" customWidth="1"/>
    <col min="5609" max="5609" width="12.7265625" style="41" customWidth="1"/>
    <col min="5610" max="5610" width="6.81640625" style="41" customWidth="1"/>
    <col min="5611" max="5611" width="16.36328125" style="41" bestFit="1" customWidth="1"/>
    <col min="5612" max="5612" width="9.54296875" style="41" bestFit="1" customWidth="1"/>
    <col min="5613" max="5613" width="17.36328125" style="41" bestFit="1" customWidth="1"/>
    <col min="5614" max="5614" width="6" style="41" customWidth="1"/>
    <col min="5615" max="5615" width="13.7265625" style="41" customWidth="1"/>
    <col min="5616" max="5616" width="6" style="41" customWidth="1"/>
    <col min="5617" max="5617" width="12.7265625" style="41" customWidth="1"/>
    <col min="5618" max="5618" width="6.81640625" style="41" customWidth="1"/>
    <col min="5619" max="5619" width="12.7265625" style="41" customWidth="1"/>
    <col min="5620" max="5620" width="6.81640625" style="41" customWidth="1"/>
    <col min="5621" max="5621" width="15.36328125" style="41" bestFit="1" customWidth="1"/>
    <col min="5622" max="5622" width="9.54296875" style="41" bestFit="1" customWidth="1"/>
    <col min="5623" max="5623" width="17.36328125" style="41" bestFit="1" customWidth="1"/>
    <col min="5624" max="5624" width="8" style="41" customWidth="1"/>
    <col min="5625" max="5625" width="12.1796875" style="41" customWidth="1"/>
    <col min="5626" max="5626" width="8" style="41" customWidth="1"/>
    <col min="5627" max="5627" width="20" style="41" customWidth="1"/>
    <col min="5628" max="5628" width="15.26953125" style="41" bestFit="1" customWidth="1"/>
    <col min="5629" max="5629" width="14.26953125" style="41" bestFit="1" customWidth="1"/>
    <col min="5630" max="5630" width="13" style="41" bestFit="1" customWidth="1"/>
    <col min="5631" max="5802" width="9.26953125" style="41"/>
    <col min="5803" max="5803" width="2.7265625" style="41" customWidth="1"/>
    <col min="5804" max="5804" width="3.54296875" style="41" customWidth="1"/>
    <col min="5805" max="5805" width="7" style="41" customWidth="1"/>
    <col min="5806" max="5806" width="23" style="41" customWidth="1"/>
    <col min="5807" max="5807" width="13.26953125" style="41" customWidth="1"/>
    <col min="5808" max="5808" width="17.36328125" style="41" bestFit="1" customWidth="1"/>
    <col min="5809" max="5809" width="11.54296875" style="41" bestFit="1" customWidth="1"/>
    <col min="5810" max="5810" width="7.81640625" style="41" customWidth="1"/>
    <col min="5811" max="5811" width="11.54296875" style="41" bestFit="1" customWidth="1"/>
    <col min="5812" max="5812" width="7" style="41" customWidth="1"/>
    <col min="5813" max="5813" width="18.1796875" style="41" customWidth="1"/>
    <col min="5814" max="5814" width="7" style="41" customWidth="1"/>
    <col min="5815" max="5815" width="15.54296875" style="41" customWidth="1"/>
    <col min="5816" max="5816" width="7.81640625" style="41" customWidth="1"/>
    <col min="5817" max="5817" width="15.54296875" style="41" customWidth="1"/>
    <col min="5818" max="5818" width="7.81640625" style="41" bestFit="1" customWidth="1"/>
    <col min="5819" max="5819" width="15.7265625" style="41" bestFit="1" customWidth="1"/>
    <col min="5820" max="5820" width="7.54296875" style="41" customWidth="1"/>
    <col min="5821" max="5821" width="14" style="41" customWidth="1"/>
    <col min="5822" max="5822" width="7.81640625" style="41" customWidth="1"/>
    <col min="5823" max="5823" width="14" style="41" customWidth="1"/>
    <col min="5824" max="5824" width="7.81640625" style="41" customWidth="1"/>
    <col min="5825" max="5825" width="14" style="41" customWidth="1"/>
    <col min="5826" max="5826" width="9" style="41" customWidth="1"/>
    <col min="5827" max="5827" width="15.1796875" style="41" customWidth="1"/>
    <col min="5828" max="5828" width="13" style="41" bestFit="1" customWidth="1"/>
    <col min="5829" max="5829" width="15.1796875" style="41" bestFit="1" customWidth="1"/>
    <col min="5830" max="5830" width="7.54296875" style="41" customWidth="1"/>
    <col min="5831" max="5831" width="14" style="41" customWidth="1"/>
    <col min="5832" max="5832" width="7.81640625" style="41" customWidth="1"/>
    <col min="5833" max="5833" width="14" style="41" customWidth="1"/>
    <col min="5834" max="5834" width="7.81640625" style="41" customWidth="1"/>
    <col min="5835" max="5835" width="14" style="41" customWidth="1"/>
    <col min="5836" max="5836" width="9" style="41" bestFit="1" customWidth="1"/>
    <col min="5837" max="5837" width="15.1796875" style="41" bestFit="1" customWidth="1"/>
    <col min="5838" max="5838" width="9" style="41" bestFit="1" customWidth="1"/>
    <col min="5839" max="5839" width="15.1796875" style="41" bestFit="1" customWidth="1"/>
    <col min="5840" max="5840" width="6.36328125" style="41" customWidth="1"/>
    <col min="5841" max="5841" width="12.7265625" style="41" customWidth="1"/>
    <col min="5842" max="5842" width="6.36328125" style="41" customWidth="1"/>
    <col min="5843" max="5843" width="12.7265625" style="41" customWidth="1"/>
    <col min="5844" max="5844" width="6" style="41" customWidth="1"/>
    <col min="5845" max="5845" width="12.7265625" style="41" customWidth="1"/>
    <col min="5846" max="5846" width="9.54296875" style="41" customWidth="1"/>
    <col min="5847" max="5847" width="14" style="41" bestFit="1" customWidth="1"/>
    <col min="5848" max="5848" width="9.26953125" style="41"/>
    <col min="5849" max="5849" width="13.54296875" style="41" customWidth="1"/>
    <col min="5850" max="5850" width="6" style="41" customWidth="1"/>
    <col min="5851" max="5851" width="13.7265625" style="41" customWidth="1"/>
    <col min="5852" max="5852" width="6" style="41" customWidth="1"/>
    <col min="5853" max="5853" width="12.7265625" style="41" customWidth="1"/>
    <col min="5854" max="5854" width="6.81640625" style="41" customWidth="1"/>
    <col min="5855" max="5855" width="12.7265625" style="41" customWidth="1"/>
    <col min="5856" max="5856" width="6.81640625" style="41" customWidth="1"/>
    <col min="5857" max="5857" width="15.7265625" style="41" bestFit="1" customWidth="1"/>
    <col min="5858" max="5858" width="8.54296875" style="41" bestFit="1" customWidth="1"/>
    <col min="5859" max="5859" width="13.54296875" style="41" customWidth="1"/>
    <col min="5860" max="5860" width="6" style="41" customWidth="1"/>
    <col min="5861" max="5861" width="13.7265625" style="41" customWidth="1"/>
    <col min="5862" max="5862" width="6" style="41" customWidth="1"/>
    <col min="5863" max="5863" width="12.7265625" style="41" customWidth="1"/>
    <col min="5864" max="5864" width="6.81640625" style="41" customWidth="1"/>
    <col min="5865" max="5865" width="12.7265625" style="41" customWidth="1"/>
    <col min="5866" max="5866" width="6.81640625" style="41" customWidth="1"/>
    <col min="5867" max="5867" width="16.36328125" style="41" bestFit="1" customWidth="1"/>
    <col min="5868" max="5868" width="9.54296875" style="41" bestFit="1" customWidth="1"/>
    <col min="5869" max="5869" width="17.36328125" style="41" bestFit="1" customWidth="1"/>
    <col min="5870" max="5870" width="6" style="41" customWidth="1"/>
    <col min="5871" max="5871" width="13.7265625" style="41" customWidth="1"/>
    <col min="5872" max="5872" width="6" style="41" customWidth="1"/>
    <col min="5873" max="5873" width="12.7265625" style="41" customWidth="1"/>
    <col min="5874" max="5874" width="6.81640625" style="41" customWidth="1"/>
    <col min="5875" max="5875" width="12.7265625" style="41" customWidth="1"/>
    <col min="5876" max="5876" width="6.81640625" style="41" customWidth="1"/>
    <col min="5877" max="5877" width="15.36328125" style="41" bestFit="1" customWidth="1"/>
    <col min="5878" max="5878" width="9.54296875" style="41" bestFit="1" customWidth="1"/>
    <col min="5879" max="5879" width="17.36328125" style="41" bestFit="1" customWidth="1"/>
    <col min="5880" max="5880" width="8" style="41" customWidth="1"/>
    <col min="5881" max="5881" width="12.1796875" style="41" customWidth="1"/>
    <col min="5882" max="5882" width="8" style="41" customWidth="1"/>
    <col min="5883" max="5883" width="20" style="41" customWidth="1"/>
    <col min="5884" max="5884" width="15.26953125" style="41" bestFit="1" customWidth="1"/>
    <col min="5885" max="5885" width="14.26953125" style="41" bestFit="1" customWidth="1"/>
    <col min="5886" max="5886" width="13" style="41" bestFit="1" customWidth="1"/>
    <col min="5887" max="6058" width="9.26953125" style="41"/>
    <col min="6059" max="6059" width="2.7265625" style="41" customWidth="1"/>
    <col min="6060" max="6060" width="3.54296875" style="41" customWidth="1"/>
    <col min="6061" max="6061" width="7" style="41" customWidth="1"/>
    <col min="6062" max="6062" width="23" style="41" customWidth="1"/>
    <col min="6063" max="6063" width="13.26953125" style="41" customWidth="1"/>
    <col min="6064" max="6064" width="17.36328125" style="41" bestFit="1" customWidth="1"/>
    <col min="6065" max="6065" width="11.54296875" style="41" bestFit="1" customWidth="1"/>
    <col min="6066" max="6066" width="7.81640625" style="41" customWidth="1"/>
    <col min="6067" max="6067" width="11.54296875" style="41" bestFit="1" customWidth="1"/>
    <col min="6068" max="6068" width="7" style="41" customWidth="1"/>
    <col min="6069" max="6069" width="18.1796875" style="41" customWidth="1"/>
    <col min="6070" max="6070" width="7" style="41" customWidth="1"/>
    <col min="6071" max="6071" width="15.54296875" style="41" customWidth="1"/>
    <col min="6072" max="6072" width="7.81640625" style="41" customWidth="1"/>
    <col min="6073" max="6073" width="15.54296875" style="41" customWidth="1"/>
    <col min="6074" max="6074" width="7.81640625" style="41" bestFit="1" customWidth="1"/>
    <col min="6075" max="6075" width="15.7265625" style="41" bestFit="1" customWidth="1"/>
    <col min="6076" max="6076" width="7.54296875" style="41" customWidth="1"/>
    <col min="6077" max="6077" width="14" style="41" customWidth="1"/>
    <col min="6078" max="6078" width="7.81640625" style="41" customWidth="1"/>
    <col min="6079" max="6079" width="14" style="41" customWidth="1"/>
    <col min="6080" max="6080" width="7.81640625" style="41" customWidth="1"/>
    <col min="6081" max="6081" width="14" style="41" customWidth="1"/>
    <col min="6082" max="6082" width="9" style="41" customWidth="1"/>
    <col min="6083" max="6083" width="15.1796875" style="41" customWidth="1"/>
    <col min="6084" max="6084" width="13" style="41" bestFit="1" customWidth="1"/>
    <col min="6085" max="6085" width="15.1796875" style="41" bestFit="1" customWidth="1"/>
    <col min="6086" max="6086" width="7.54296875" style="41" customWidth="1"/>
    <col min="6087" max="6087" width="14" style="41" customWidth="1"/>
    <col min="6088" max="6088" width="7.81640625" style="41" customWidth="1"/>
    <col min="6089" max="6089" width="14" style="41" customWidth="1"/>
    <col min="6090" max="6090" width="7.81640625" style="41" customWidth="1"/>
    <col min="6091" max="6091" width="14" style="41" customWidth="1"/>
    <col min="6092" max="6092" width="9" style="41" bestFit="1" customWidth="1"/>
    <col min="6093" max="6093" width="15.1796875" style="41" bestFit="1" customWidth="1"/>
    <col min="6094" max="6094" width="9" style="41" bestFit="1" customWidth="1"/>
    <col min="6095" max="6095" width="15.1796875" style="41" bestFit="1" customWidth="1"/>
    <col min="6096" max="6096" width="6.36328125" style="41" customWidth="1"/>
    <col min="6097" max="6097" width="12.7265625" style="41" customWidth="1"/>
    <col min="6098" max="6098" width="6.36328125" style="41" customWidth="1"/>
    <col min="6099" max="6099" width="12.7265625" style="41" customWidth="1"/>
    <col min="6100" max="6100" width="6" style="41" customWidth="1"/>
    <col min="6101" max="6101" width="12.7265625" style="41" customWidth="1"/>
    <col min="6102" max="6102" width="9.54296875" style="41" customWidth="1"/>
    <col min="6103" max="6103" width="14" style="41" bestFit="1" customWidth="1"/>
    <col min="6104" max="6104" width="9.26953125" style="41"/>
    <col min="6105" max="6105" width="13.54296875" style="41" customWidth="1"/>
    <col min="6106" max="6106" width="6" style="41" customWidth="1"/>
    <col min="6107" max="6107" width="13.7265625" style="41" customWidth="1"/>
    <col min="6108" max="6108" width="6" style="41" customWidth="1"/>
    <col min="6109" max="6109" width="12.7265625" style="41" customWidth="1"/>
    <col min="6110" max="6110" width="6.81640625" style="41" customWidth="1"/>
    <col min="6111" max="6111" width="12.7265625" style="41" customWidth="1"/>
    <col min="6112" max="6112" width="6.81640625" style="41" customWidth="1"/>
    <col min="6113" max="6113" width="15.7265625" style="41" bestFit="1" customWidth="1"/>
    <col min="6114" max="6114" width="8.54296875" style="41" bestFit="1" customWidth="1"/>
    <col min="6115" max="6115" width="13.54296875" style="41" customWidth="1"/>
    <col min="6116" max="6116" width="6" style="41" customWidth="1"/>
    <col min="6117" max="6117" width="13.7265625" style="41" customWidth="1"/>
    <col min="6118" max="6118" width="6" style="41" customWidth="1"/>
    <col min="6119" max="6119" width="12.7265625" style="41" customWidth="1"/>
    <col min="6120" max="6120" width="6.81640625" style="41" customWidth="1"/>
    <col min="6121" max="6121" width="12.7265625" style="41" customWidth="1"/>
    <col min="6122" max="6122" width="6.81640625" style="41" customWidth="1"/>
    <col min="6123" max="6123" width="16.36328125" style="41" bestFit="1" customWidth="1"/>
    <col min="6124" max="6124" width="9.54296875" style="41" bestFit="1" customWidth="1"/>
    <col min="6125" max="6125" width="17.36328125" style="41" bestFit="1" customWidth="1"/>
    <col min="6126" max="6126" width="6" style="41" customWidth="1"/>
    <col min="6127" max="6127" width="13.7265625" style="41" customWidth="1"/>
    <col min="6128" max="6128" width="6" style="41" customWidth="1"/>
    <col min="6129" max="6129" width="12.7265625" style="41" customWidth="1"/>
    <col min="6130" max="6130" width="6.81640625" style="41" customWidth="1"/>
    <col min="6131" max="6131" width="12.7265625" style="41" customWidth="1"/>
    <col min="6132" max="6132" width="6.81640625" style="41" customWidth="1"/>
    <col min="6133" max="6133" width="15.36328125" style="41" bestFit="1" customWidth="1"/>
    <col min="6134" max="6134" width="9.54296875" style="41" bestFit="1" customWidth="1"/>
    <col min="6135" max="6135" width="17.36328125" style="41" bestFit="1" customWidth="1"/>
    <col min="6136" max="6136" width="8" style="41" customWidth="1"/>
    <col min="6137" max="6137" width="12.1796875" style="41" customWidth="1"/>
    <col min="6138" max="6138" width="8" style="41" customWidth="1"/>
    <col min="6139" max="6139" width="20" style="41" customWidth="1"/>
    <col min="6140" max="6140" width="15.26953125" style="41" bestFit="1" customWidth="1"/>
    <col min="6141" max="6141" width="14.26953125" style="41" bestFit="1" customWidth="1"/>
    <col min="6142" max="6142" width="13" style="41" bestFit="1" customWidth="1"/>
    <col min="6143" max="6314" width="9.26953125" style="41"/>
    <col min="6315" max="6315" width="2.7265625" style="41" customWidth="1"/>
    <col min="6316" max="6316" width="3.54296875" style="41" customWidth="1"/>
    <col min="6317" max="6317" width="7" style="41" customWidth="1"/>
    <col min="6318" max="6318" width="23" style="41" customWidth="1"/>
    <col min="6319" max="6319" width="13.26953125" style="41" customWidth="1"/>
    <col min="6320" max="6320" width="17.36328125" style="41" bestFit="1" customWidth="1"/>
    <col min="6321" max="6321" width="11.54296875" style="41" bestFit="1" customWidth="1"/>
    <col min="6322" max="6322" width="7.81640625" style="41" customWidth="1"/>
    <col min="6323" max="6323" width="11.54296875" style="41" bestFit="1" customWidth="1"/>
    <col min="6324" max="6324" width="7" style="41" customWidth="1"/>
    <col min="6325" max="6325" width="18.1796875" style="41" customWidth="1"/>
    <col min="6326" max="6326" width="7" style="41" customWidth="1"/>
    <col min="6327" max="6327" width="15.54296875" style="41" customWidth="1"/>
    <col min="6328" max="6328" width="7.81640625" style="41" customWidth="1"/>
    <col min="6329" max="6329" width="15.54296875" style="41" customWidth="1"/>
    <col min="6330" max="6330" width="7.81640625" style="41" bestFit="1" customWidth="1"/>
    <col min="6331" max="6331" width="15.7265625" style="41" bestFit="1" customWidth="1"/>
    <col min="6332" max="6332" width="7.54296875" style="41" customWidth="1"/>
    <col min="6333" max="6333" width="14" style="41" customWidth="1"/>
    <col min="6334" max="6334" width="7.81640625" style="41" customWidth="1"/>
    <col min="6335" max="6335" width="14" style="41" customWidth="1"/>
    <col min="6336" max="6336" width="7.81640625" style="41" customWidth="1"/>
    <col min="6337" max="6337" width="14" style="41" customWidth="1"/>
    <col min="6338" max="6338" width="9" style="41" customWidth="1"/>
    <col min="6339" max="6339" width="15.1796875" style="41" customWidth="1"/>
    <col min="6340" max="6340" width="13" style="41" bestFit="1" customWidth="1"/>
    <col min="6341" max="6341" width="15.1796875" style="41" bestFit="1" customWidth="1"/>
    <col min="6342" max="6342" width="7.54296875" style="41" customWidth="1"/>
    <col min="6343" max="6343" width="14" style="41" customWidth="1"/>
    <col min="6344" max="6344" width="7.81640625" style="41" customWidth="1"/>
    <col min="6345" max="6345" width="14" style="41" customWidth="1"/>
    <col min="6346" max="6346" width="7.81640625" style="41" customWidth="1"/>
    <col min="6347" max="6347" width="14" style="41" customWidth="1"/>
    <col min="6348" max="6348" width="9" style="41" bestFit="1" customWidth="1"/>
    <col min="6349" max="6349" width="15.1796875" style="41" bestFit="1" customWidth="1"/>
    <col min="6350" max="6350" width="9" style="41" bestFit="1" customWidth="1"/>
    <col min="6351" max="6351" width="15.1796875" style="41" bestFit="1" customWidth="1"/>
    <col min="6352" max="6352" width="6.36328125" style="41" customWidth="1"/>
    <col min="6353" max="6353" width="12.7265625" style="41" customWidth="1"/>
    <col min="6354" max="6354" width="6.36328125" style="41" customWidth="1"/>
    <col min="6355" max="6355" width="12.7265625" style="41" customWidth="1"/>
    <col min="6356" max="6356" width="6" style="41" customWidth="1"/>
    <col min="6357" max="6357" width="12.7265625" style="41" customWidth="1"/>
    <col min="6358" max="6358" width="9.54296875" style="41" customWidth="1"/>
    <col min="6359" max="6359" width="14" style="41" bestFit="1" customWidth="1"/>
    <col min="6360" max="6360" width="9.26953125" style="41"/>
    <col min="6361" max="6361" width="13.54296875" style="41" customWidth="1"/>
    <col min="6362" max="6362" width="6" style="41" customWidth="1"/>
    <col min="6363" max="6363" width="13.7265625" style="41" customWidth="1"/>
    <col min="6364" max="6364" width="6" style="41" customWidth="1"/>
    <col min="6365" max="6365" width="12.7265625" style="41" customWidth="1"/>
    <col min="6366" max="6366" width="6.81640625" style="41" customWidth="1"/>
    <col min="6367" max="6367" width="12.7265625" style="41" customWidth="1"/>
    <col min="6368" max="6368" width="6.81640625" style="41" customWidth="1"/>
    <col min="6369" max="6369" width="15.7265625" style="41" bestFit="1" customWidth="1"/>
    <col min="6370" max="6370" width="8.54296875" style="41" bestFit="1" customWidth="1"/>
    <col min="6371" max="6371" width="13.54296875" style="41" customWidth="1"/>
    <col min="6372" max="6372" width="6" style="41" customWidth="1"/>
    <col min="6373" max="6373" width="13.7265625" style="41" customWidth="1"/>
    <col min="6374" max="6374" width="6" style="41" customWidth="1"/>
    <col min="6375" max="6375" width="12.7265625" style="41" customWidth="1"/>
    <col min="6376" max="6376" width="6.81640625" style="41" customWidth="1"/>
    <col min="6377" max="6377" width="12.7265625" style="41" customWidth="1"/>
    <col min="6378" max="6378" width="6.81640625" style="41" customWidth="1"/>
    <col min="6379" max="6379" width="16.36328125" style="41" bestFit="1" customWidth="1"/>
    <col min="6380" max="6380" width="9.54296875" style="41" bestFit="1" customWidth="1"/>
    <col min="6381" max="6381" width="17.36328125" style="41" bestFit="1" customWidth="1"/>
    <col min="6382" max="6382" width="6" style="41" customWidth="1"/>
    <col min="6383" max="6383" width="13.7265625" style="41" customWidth="1"/>
    <col min="6384" max="6384" width="6" style="41" customWidth="1"/>
    <col min="6385" max="6385" width="12.7265625" style="41" customWidth="1"/>
    <col min="6386" max="6386" width="6.81640625" style="41" customWidth="1"/>
    <col min="6387" max="6387" width="12.7265625" style="41" customWidth="1"/>
    <col min="6388" max="6388" width="6.81640625" style="41" customWidth="1"/>
    <col min="6389" max="6389" width="15.36328125" style="41" bestFit="1" customWidth="1"/>
    <col min="6390" max="6390" width="9.54296875" style="41" bestFit="1" customWidth="1"/>
    <col min="6391" max="6391" width="17.36328125" style="41" bestFit="1" customWidth="1"/>
    <col min="6392" max="6392" width="8" style="41" customWidth="1"/>
    <col min="6393" max="6393" width="12.1796875" style="41" customWidth="1"/>
    <col min="6394" max="6394" width="8" style="41" customWidth="1"/>
    <col min="6395" max="6395" width="20" style="41" customWidth="1"/>
    <col min="6396" max="6396" width="15.26953125" style="41" bestFit="1" customWidth="1"/>
    <col min="6397" max="6397" width="14.26953125" style="41" bestFit="1" customWidth="1"/>
    <col min="6398" max="6398" width="13" style="41" bestFit="1" customWidth="1"/>
    <col min="6399" max="6570" width="9.26953125" style="41"/>
    <col min="6571" max="6571" width="2.7265625" style="41" customWidth="1"/>
    <col min="6572" max="6572" width="3.54296875" style="41" customWidth="1"/>
    <col min="6573" max="6573" width="7" style="41" customWidth="1"/>
    <col min="6574" max="6574" width="23" style="41" customWidth="1"/>
    <col min="6575" max="6575" width="13.26953125" style="41" customWidth="1"/>
    <col min="6576" max="6576" width="17.36328125" style="41" bestFit="1" customWidth="1"/>
    <col min="6577" max="6577" width="11.54296875" style="41" bestFit="1" customWidth="1"/>
    <col min="6578" max="6578" width="7.81640625" style="41" customWidth="1"/>
    <col min="6579" max="6579" width="11.54296875" style="41" bestFit="1" customWidth="1"/>
    <col min="6580" max="6580" width="7" style="41" customWidth="1"/>
    <col min="6581" max="6581" width="18.1796875" style="41" customWidth="1"/>
    <col min="6582" max="6582" width="7" style="41" customWidth="1"/>
    <col min="6583" max="6583" width="15.54296875" style="41" customWidth="1"/>
    <col min="6584" max="6584" width="7.81640625" style="41" customWidth="1"/>
    <col min="6585" max="6585" width="15.54296875" style="41" customWidth="1"/>
    <col min="6586" max="6586" width="7.81640625" style="41" bestFit="1" customWidth="1"/>
    <col min="6587" max="6587" width="15.7265625" style="41" bestFit="1" customWidth="1"/>
    <col min="6588" max="6588" width="7.54296875" style="41" customWidth="1"/>
    <col min="6589" max="6589" width="14" style="41" customWidth="1"/>
    <col min="6590" max="6590" width="7.81640625" style="41" customWidth="1"/>
    <col min="6591" max="6591" width="14" style="41" customWidth="1"/>
    <col min="6592" max="6592" width="7.81640625" style="41" customWidth="1"/>
    <col min="6593" max="6593" width="14" style="41" customWidth="1"/>
    <col min="6594" max="6594" width="9" style="41" customWidth="1"/>
    <col min="6595" max="6595" width="15.1796875" style="41" customWidth="1"/>
    <col min="6596" max="6596" width="13" style="41" bestFit="1" customWidth="1"/>
    <col min="6597" max="6597" width="15.1796875" style="41" bestFit="1" customWidth="1"/>
    <col min="6598" max="6598" width="7.54296875" style="41" customWidth="1"/>
    <col min="6599" max="6599" width="14" style="41" customWidth="1"/>
    <col min="6600" max="6600" width="7.81640625" style="41" customWidth="1"/>
    <col min="6601" max="6601" width="14" style="41" customWidth="1"/>
    <col min="6602" max="6602" width="7.81640625" style="41" customWidth="1"/>
    <col min="6603" max="6603" width="14" style="41" customWidth="1"/>
    <col min="6604" max="6604" width="9" style="41" bestFit="1" customWidth="1"/>
    <col min="6605" max="6605" width="15.1796875" style="41" bestFit="1" customWidth="1"/>
    <col min="6606" max="6606" width="9" style="41" bestFit="1" customWidth="1"/>
    <col min="6607" max="6607" width="15.1796875" style="41" bestFit="1" customWidth="1"/>
    <col min="6608" max="6608" width="6.36328125" style="41" customWidth="1"/>
    <col min="6609" max="6609" width="12.7265625" style="41" customWidth="1"/>
    <col min="6610" max="6610" width="6.36328125" style="41" customWidth="1"/>
    <col min="6611" max="6611" width="12.7265625" style="41" customWidth="1"/>
    <col min="6612" max="6612" width="6" style="41" customWidth="1"/>
    <col min="6613" max="6613" width="12.7265625" style="41" customWidth="1"/>
    <col min="6614" max="6614" width="9.54296875" style="41" customWidth="1"/>
    <col min="6615" max="6615" width="14" style="41" bestFit="1" customWidth="1"/>
    <col min="6616" max="6616" width="9.26953125" style="41"/>
    <col min="6617" max="6617" width="13.54296875" style="41" customWidth="1"/>
    <col min="6618" max="6618" width="6" style="41" customWidth="1"/>
    <col min="6619" max="6619" width="13.7265625" style="41" customWidth="1"/>
    <col min="6620" max="6620" width="6" style="41" customWidth="1"/>
    <col min="6621" max="6621" width="12.7265625" style="41" customWidth="1"/>
    <col min="6622" max="6622" width="6.81640625" style="41" customWidth="1"/>
    <col min="6623" max="6623" width="12.7265625" style="41" customWidth="1"/>
    <col min="6624" max="6624" width="6.81640625" style="41" customWidth="1"/>
    <col min="6625" max="6625" width="15.7265625" style="41" bestFit="1" customWidth="1"/>
    <col min="6626" max="6626" width="8.54296875" style="41" bestFit="1" customWidth="1"/>
    <col min="6627" max="6627" width="13.54296875" style="41" customWidth="1"/>
    <col min="6628" max="6628" width="6" style="41" customWidth="1"/>
    <col min="6629" max="6629" width="13.7265625" style="41" customWidth="1"/>
    <col min="6630" max="6630" width="6" style="41" customWidth="1"/>
    <col min="6631" max="6631" width="12.7265625" style="41" customWidth="1"/>
    <col min="6632" max="6632" width="6.81640625" style="41" customWidth="1"/>
    <col min="6633" max="6633" width="12.7265625" style="41" customWidth="1"/>
    <col min="6634" max="6634" width="6.81640625" style="41" customWidth="1"/>
    <col min="6635" max="6635" width="16.36328125" style="41" bestFit="1" customWidth="1"/>
    <col min="6636" max="6636" width="9.54296875" style="41" bestFit="1" customWidth="1"/>
    <col min="6637" max="6637" width="17.36328125" style="41" bestFit="1" customWidth="1"/>
    <col min="6638" max="6638" width="6" style="41" customWidth="1"/>
    <col min="6639" max="6639" width="13.7265625" style="41" customWidth="1"/>
    <col min="6640" max="6640" width="6" style="41" customWidth="1"/>
    <col min="6641" max="6641" width="12.7265625" style="41" customWidth="1"/>
    <col min="6642" max="6642" width="6.81640625" style="41" customWidth="1"/>
    <col min="6643" max="6643" width="12.7265625" style="41" customWidth="1"/>
    <col min="6644" max="6644" width="6.81640625" style="41" customWidth="1"/>
    <col min="6645" max="6645" width="15.36328125" style="41" bestFit="1" customWidth="1"/>
    <col min="6646" max="6646" width="9.54296875" style="41" bestFit="1" customWidth="1"/>
    <col min="6647" max="6647" width="17.36328125" style="41" bestFit="1" customWidth="1"/>
    <col min="6648" max="6648" width="8" style="41" customWidth="1"/>
    <col min="6649" max="6649" width="12.1796875" style="41" customWidth="1"/>
    <col min="6650" max="6650" width="8" style="41" customWidth="1"/>
    <col min="6651" max="6651" width="20" style="41" customWidth="1"/>
    <col min="6652" max="6652" width="15.26953125" style="41" bestFit="1" customWidth="1"/>
    <col min="6653" max="6653" width="14.26953125" style="41" bestFit="1" customWidth="1"/>
    <col min="6654" max="6654" width="13" style="41" bestFit="1" customWidth="1"/>
    <col min="6655" max="6826" width="9.26953125" style="41"/>
    <col min="6827" max="6827" width="2.7265625" style="41" customWidth="1"/>
    <col min="6828" max="6828" width="3.54296875" style="41" customWidth="1"/>
    <col min="6829" max="6829" width="7" style="41" customWidth="1"/>
    <col min="6830" max="6830" width="23" style="41" customWidth="1"/>
    <col min="6831" max="6831" width="13.26953125" style="41" customWidth="1"/>
    <col min="6832" max="6832" width="17.36328125" style="41" bestFit="1" customWidth="1"/>
    <col min="6833" max="6833" width="11.54296875" style="41" bestFit="1" customWidth="1"/>
    <col min="6834" max="6834" width="7.81640625" style="41" customWidth="1"/>
    <col min="6835" max="6835" width="11.54296875" style="41" bestFit="1" customWidth="1"/>
    <col min="6836" max="6836" width="7" style="41" customWidth="1"/>
    <col min="6837" max="6837" width="18.1796875" style="41" customWidth="1"/>
    <col min="6838" max="6838" width="7" style="41" customWidth="1"/>
    <col min="6839" max="6839" width="15.54296875" style="41" customWidth="1"/>
    <col min="6840" max="6840" width="7.81640625" style="41" customWidth="1"/>
    <col min="6841" max="6841" width="15.54296875" style="41" customWidth="1"/>
    <col min="6842" max="6842" width="7.81640625" style="41" bestFit="1" customWidth="1"/>
    <col min="6843" max="6843" width="15.7265625" style="41" bestFit="1" customWidth="1"/>
    <col min="6844" max="6844" width="7.54296875" style="41" customWidth="1"/>
    <col min="6845" max="6845" width="14" style="41" customWidth="1"/>
    <col min="6846" max="6846" width="7.81640625" style="41" customWidth="1"/>
    <col min="6847" max="6847" width="14" style="41" customWidth="1"/>
    <col min="6848" max="6848" width="7.81640625" style="41" customWidth="1"/>
    <col min="6849" max="6849" width="14" style="41" customWidth="1"/>
    <col min="6850" max="6850" width="9" style="41" customWidth="1"/>
    <col min="6851" max="6851" width="15.1796875" style="41" customWidth="1"/>
    <col min="6852" max="6852" width="13" style="41" bestFit="1" customWidth="1"/>
    <col min="6853" max="6853" width="15.1796875" style="41" bestFit="1" customWidth="1"/>
    <col min="6854" max="6854" width="7.54296875" style="41" customWidth="1"/>
    <col min="6855" max="6855" width="14" style="41" customWidth="1"/>
    <col min="6856" max="6856" width="7.81640625" style="41" customWidth="1"/>
    <col min="6857" max="6857" width="14" style="41" customWidth="1"/>
    <col min="6858" max="6858" width="7.81640625" style="41" customWidth="1"/>
    <col min="6859" max="6859" width="14" style="41" customWidth="1"/>
    <col min="6860" max="6860" width="9" style="41" bestFit="1" customWidth="1"/>
    <col min="6861" max="6861" width="15.1796875" style="41" bestFit="1" customWidth="1"/>
    <col min="6862" max="6862" width="9" style="41" bestFit="1" customWidth="1"/>
    <col min="6863" max="6863" width="15.1796875" style="41" bestFit="1" customWidth="1"/>
    <col min="6864" max="6864" width="6.36328125" style="41" customWidth="1"/>
    <col min="6865" max="6865" width="12.7265625" style="41" customWidth="1"/>
    <col min="6866" max="6866" width="6.36328125" style="41" customWidth="1"/>
    <col min="6867" max="6867" width="12.7265625" style="41" customWidth="1"/>
    <col min="6868" max="6868" width="6" style="41" customWidth="1"/>
    <col min="6869" max="6869" width="12.7265625" style="41" customWidth="1"/>
    <col min="6870" max="6870" width="9.54296875" style="41" customWidth="1"/>
    <col min="6871" max="6871" width="14" style="41" bestFit="1" customWidth="1"/>
    <col min="6872" max="6872" width="9.26953125" style="41"/>
    <col min="6873" max="6873" width="13.54296875" style="41" customWidth="1"/>
    <col min="6874" max="6874" width="6" style="41" customWidth="1"/>
    <col min="6875" max="6875" width="13.7265625" style="41" customWidth="1"/>
    <col min="6876" max="6876" width="6" style="41" customWidth="1"/>
    <col min="6877" max="6877" width="12.7265625" style="41" customWidth="1"/>
    <col min="6878" max="6878" width="6.81640625" style="41" customWidth="1"/>
    <col min="6879" max="6879" width="12.7265625" style="41" customWidth="1"/>
    <col min="6880" max="6880" width="6.81640625" style="41" customWidth="1"/>
    <col min="6881" max="6881" width="15.7265625" style="41" bestFit="1" customWidth="1"/>
    <col min="6882" max="6882" width="8.54296875" style="41" bestFit="1" customWidth="1"/>
    <col min="6883" max="6883" width="13.54296875" style="41" customWidth="1"/>
    <col min="6884" max="6884" width="6" style="41" customWidth="1"/>
    <col min="6885" max="6885" width="13.7265625" style="41" customWidth="1"/>
    <col min="6886" max="6886" width="6" style="41" customWidth="1"/>
    <col min="6887" max="6887" width="12.7265625" style="41" customWidth="1"/>
    <col min="6888" max="6888" width="6.81640625" style="41" customWidth="1"/>
    <col min="6889" max="6889" width="12.7265625" style="41" customWidth="1"/>
    <col min="6890" max="6890" width="6.81640625" style="41" customWidth="1"/>
    <col min="6891" max="6891" width="16.36328125" style="41" bestFit="1" customWidth="1"/>
    <col min="6892" max="6892" width="9.54296875" style="41" bestFit="1" customWidth="1"/>
    <col min="6893" max="6893" width="17.36328125" style="41" bestFit="1" customWidth="1"/>
    <col min="6894" max="6894" width="6" style="41" customWidth="1"/>
    <col min="6895" max="6895" width="13.7265625" style="41" customWidth="1"/>
    <col min="6896" max="6896" width="6" style="41" customWidth="1"/>
    <col min="6897" max="6897" width="12.7265625" style="41" customWidth="1"/>
    <col min="6898" max="6898" width="6.81640625" style="41" customWidth="1"/>
    <col min="6899" max="6899" width="12.7265625" style="41" customWidth="1"/>
    <col min="6900" max="6900" width="6.81640625" style="41" customWidth="1"/>
    <col min="6901" max="6901" width="15.36328125" style="41" bestFit="1" customWidth="1"/>
    <col min="6902" max="6902" width="9.54296875" style="41" bestFit="1" customWidth="1"/>
    <col min="6903" max="6903" width="17.36328125" style="41" bestFit="1" customWidth="1"/>
    <col min="6904" max="6904" width="8" style="41" customWidth="1"/>
    <col min="6905" max="6905" width="12.1796875" style="41" customWidth="1"/>
    <col min="6906" max="6906" width="8" style="41" customWidth="1"/>
    <col min="6907" max="6907" width="20" style="41" customWidth="1"/>
    <col min="6908" max="6908" width="15.26953125" style="41" bestFit="1" customWidth="1"/>
    <col min="6909" max="6909" width="14.26953125" style="41" bestFit="1" customWidth="1"/>
    <col min="6910" max="6910" width="13" style="41" bestFit="1" customWidth="1"/>
    <col min="6911" max="7082" width="9.26953125" style="41"/>
    <col min="7083" max="7083" width="2.7265625" style="41" customWidth="1"/>
    <col min="7084" max="7084" width="3.54296875" style="41" customWidth="1"/>
    <col min="7085" max="7085" width="7" style="41" customWidth="1"/>
    <col min="7086" max="7086" width="23" style="41" customWidth="1"/>
    <col min="7087" max="7087" width="13.26953125" style="41" customWidth="1"/>
    <col min="7088" max="7088" width="17.36328125" style="41" bestFit="1" customWidth="1"/>
    <col min="7089" max="7089" width="11.54296875" style="41" bestFit="1" customWidth="1"/>
    <col min="7090" max="7090" width="7.81640625" style="41" customWidth="1"/>
    <col min="7091" max="7091" width="11.54296875" style="41" bestFit="1" customWidth="1"/>
    <col min="7092" max="7092" width="7" style="41" customWidth="1"/>
    <col min="7093" max="7093" width="18.1796875" style="41" customWidth="1"/>
    <col min="7094" max="7094" width="7" style="41" customWidth="1"/>
    <col min="7095" max="7095" width="15.54296875" style="41" customWidth="1"/>
    <col min="7096" max="7096" width="7.81640625" style="41" customWidth="1"/>
    <col min="7097" max="7097" width="15.54296875" style="41" customWidth="1"/>
    <col min="7098" max="7098" width="7.81640625" style="41" bestFit="1" customWidth="1"/>
    <col min="7099" max="7099" width="15.7265625" style="41" bestFit="1" customWidth="1"/>
    <col min="7100" max="7100" width="7.54296875" style="41" customWidth="1"/>
    <col min="7101" max="7101" width="14" style="41" customWidth="1"/>
    <col min="7102" max="7102" width="7.81640625" style="41" customWidth="1"/>
    <col min="7103" max="7103" width="14" style="41" customWidth="1"/>
    <col min="7104" max="7104" width="7.81640625" style="41" customWidth="1"/>
    <col min="7105" max="7105" width="14" style="41" customWidth="1"/>
    <col min="7106" max="7106" width="9" style="41" customWidth="1"/>
    <col min="7107" max="7107" width="15.1796875" style="41" customWidth="1"/>
    <col min="7108" max="7108" width="13" style="41" bestFit="1" customWidth="1"/>
    <col min="7109" max="7109" width="15.1796875" style="41" bestFit="1" customWidth="1"/>
    <col min="7110" max="7110" width="7.54296875" style="41" customWidth="1"/>
    <col min="7111" max="7111" width="14" style="41" customWidth="1"/>
    <col min="7112" max="7112" width="7.81640625" style="41" customWidth="1"/>
    <col min="7113" max="7113" width="14" style="41" customWidth="1"/>
    <col min="7114" max="7114" width="7.81640625" style="41" customWidth="1"/>
    <col min="7115" max="7115" width="14" style="41" customWidth="1"/>
    <col min="7116" max="7116" width="9" style="41" bestFit="1" customWidth="1"/>
    <col min="7117" max="7117" width="15.1796875" style="41" bestFit="1" customWidth="1"/>
    <col min="7118" max="7118" width="9" style="41" bestFit="1" customWidth="1"/>
    <col min="7119" max="7119" width="15.1796875" style="41" bestFit="1" customWidth="1"/>
    <col min="7120" max="7120" width="6.36328125" style="41" customWidth="1"/>
    <col min="7121" max="7121" width="12.7265625" style="41" customWidth="1"/>
    <col min="7122" max="7122" width="6.36328125" style="41" customWidth="1"/>
    <col min="7123" max="7123" width="12.7265625" style="41" customWidth="1"/>
    <col min="7124" max="7124" width="6" style="41" customWidth="1"/>
    <col min="7125" max="7125" width="12.7265625" style="41" customWidth="1"/>
    <col min="7126" max="7126" width="9.54296875" style="41" customWidth="1"/>
    <col min="7127" max="7127" width="14" style="41" bestFit="1" customWidth="1"/>
    <col min="7128" max="7128" width="9.26953125" style="41"/>
    <col min="7129" max="7129" width="13.54296875" style="41" customWidth="1"/>
    <col min="7130" max="7130" width="6" style="41" customWidth="1"/>
    <col min="7131" max="7131" width="13.7265625" style="41" customWidth="1"/>
    <col min="7132" max="7132" width="6" style="41" customWidth="1"/>
    <col min="7133" max="7133" width="12.7265625" style="41" customWidth="1"/>
    <col min="7134" max="7134" width="6.81640625" style="41" customWidth="1"/>
    <col min="7135" max="7135" width="12.7265625" style="41" customWidth="1"/>
    <col min="7136" max="7136" width="6.81640625" style="41" customWidth="1"/>
    <col min="7137" max="7137" width="15.7265625" style="41" bestFit="1" customWidth="1"/>
    <col min="7138" max="7138" width="8.54296875" style="41" bestFit="1" customWidth="1"/>
    <col min="7139" max="7139" width="13.54296875" style="41" customWidth="1"/>
    <col min="7140" max="7140" width="6" style="41" customWidth="1"/>
    <col min="7141" max="7141" width="13.7265625" style="41" customWidth="1"/>
    <col min="7142" max="7142" width="6" style="41" customWidth="1"/>
    <col min="7143" max="7143" width="12.7265625" style="41" customWidth="1"/>
    <col min="7144" max="7144" width="6.81640625" style="41" customWidth="1"/>
    <col min="7145" max="7145" width="12.7265625" style="41" customWidth="1"/>
    <col min="7146" max="7146" width="6.81640625" style="41" customWidth="1"/>
    <col min="7147" max="7147" width="16.36328125" style="41" bestFit="1" customWidth="1"/>
    <col min="7148" max="7148" width="9.54296875" style="41" bestFit="1" customWidth="1"/>
    <col min="7149" max="7149" width="17.36328125" style="41" bestFit="1" customWidth="1"/>
    <col min="7150" max="7150" width="6" style="41" customWidth="1"/>
    <col min="7151" max="7151" width="13.7265625" style="41" customWidth="1"/>
    <col min="7152" max="7152" width="6" style="41" customWidth="1"/>
    <col min="7153" max="7153" width="12.7265625" style="41" customWidth="1"/>
    <col min="7154" max="7154" width="6.81640625" style="41" customWidth="1"/>
    <col min="7155" max="7155" width="12.7265625" style="41" customWidth="1"/>
    <col min="7156" max="7156" width="6.81640625" style="41" customWidth="1"/>
    <col min="7157" max="7157" width="15.36328125" style="41" bestFit="1" customWidth="1"/>
    <col min="7158" max="7158" width="9.54296875" style="41" bestFit="1" customWidth="1"/>
    <col min="7159" max="7159" width="17.36328125" style="41" bestFit="1" customWidth="1"/>
    <col min="7160" max="7160" width="8" style="41" customWidth="1"/>
    <col min="7161" max="7161" width="12.1796875" style="41" customWidth="1"/>
    <col min="7162" max="7162" width="8" style="41" customWidth="1"/>
    <col min="7163" max="7163" width="20" style="41" customWidth="1"/>
    <col min="7164" max="7164" width="15.26953125" style="41" bestFit="1" customWidth="1"/>
    <col min="7165" max="7165" width="14.26953125" style="41" bestFit="1" customWidth="1"/>
    <col min="7166" max="7166" width="13" style="41" bestFit="1" customWidth="1"/>
    <col min="7167" max="7338" width="9.26953125" style="41"/>
    <col min="7339" max="7339" width="2.7265625" style="41" customWidth="1"/>
    <col min="7340" max="7340" width="3.54296875" style="41" customWidth="1"/>
    <col min="7341" max="7341" width="7" style="41" customWidth="1"/>
    <col min="7342" max="7342" width="23" style="41" customWidth="1"/>
    <col min="7343" max="7343" width="13.26953125" style="41" customWidth="1"/>
    <col min="7344" max="7344" width="17.36328125" style="41" bestFit="1" customWidth="1"/>
    <col min="7345" max="7345" width="11.54296875" style="41" bestFit="1" customWidth="1"/>
    <col min="7346" max="7346" width="7.81640625" style="41" customWidth="1"/>
    <col min="7347" max="7347" width="11.54296875" style="41" bestFit="1" customWidth="1"/>
    <col min="7348" max="7348" width="7" style="41" customWidth="1"/>
    <col min="7349" max="7349" width="18.1796875" style="41" customWidth="1"/>
    <col min="7350" max="7350" width="7" style="41" customWidth="1"/>
    <col min="7351" max="7351" width="15.54296875" style="41" customWidth="1"/>
    <col min="7352" max="7352" width="7.81640625" style="41" customWidth="1"/>
    <col min="7353" max="7353" width="15.54296875" style="41" customWidth="1"/>
    <col min="7354" max="7354" width="7.81640625" style="41" bestFit="1" customWidth="1"/>
    <col min="7355" max="7355" width="15.7265625" style="41" bestFit="1" customWidth="1"/>
    <col min="7356" max="7356" width="7.54296875" style="41" customWidth="1"/>
    <col min="7357" max="7357" width="14" style="41" customWidth="1"/>
    <col min="7358" max="7358" width="7.81640625" style="41" customWidth="1"/>
    <col min="7359" max="7359" width="14" style="41" customWidth="1"/>
    <col min="7360" max="7360" width="7.81640625" style="41" customWidth="1"/>
    <col min="7361" max="7361" width="14" style="41" customWidth="1"/>
    <col min="7362" max="7362" width="9" style="41" customWidth="1"/>
    <col min="7363" max="7363" width="15.1796875" style="41" customWidth="1"/>
    <col min="7364" max="7364" width="13" style="41" bestFit="1" customWidth="1"/>
    <col min="7365" max="7365" width="15.1796875" style="41" bestFit="1" customWidth="1"/>
    <col min="7366" max="7366" width="7.54296875" style="41" customWidth="1"/>
    <col min="7367" max="7367" width="14" style="41" customWidth="1"/>
    <col min="7368" max="7368" width="7.81640625" style="41" customWidth="1"/>
    <col min="7369" max="7369" width="14" style="41" customWidth="1"/>
    <col min="7370" max="7370" width="7.81640625" style="41" customWidth="1"/>
    <col min="7371" max="7371" width="14" style="41" customWidth="1"/>
    <col min="7372" max="7372" width="9" style="41" bestFit="1" customWidth="1"/>
    <col min="7373" max="7373" width="15.1796875" style="41" bestFit="1" customWidth="1"/>
    <col min="7374" max="7374" width="9" style="41" bestFit="1" customWidth="1"/>
    <col min="7375" max="7375" width="15.1796875" style="41" bestFit="1" customWidth="1"/>
    <col min="7376" max="7376" width="6.36328125" style="41" customWidth="1"/>
    <col min="7377" max="7377" width="12.7265625" style="41" customWidth="1"/>
    <col min="7378" max="7378" width="6.36328125" style="41" customWidth="1"/>
    <col min="7379" max="7379" width="12.7265625" style="41" customWidth="1"/>
    <col min="7380" max="7380" width="6" style="41" customWidth="1"/>
    <col min="7381" max="7381" width="12.7265625" style="41" customWidth="1"/>
    <col min="7382" max="7382" width="9.54296875" style="41" customWidth="1"/>
    <col min="7383" max="7383" width="14" style="41" bestFit="1" customWidth="1"/>
    <col min="7384" max="7384" width="9.26953125" style="41"/>
    <col min="7385" max="7385" width="13.54296875" style="41" customWidth="1"/>
    <col min="7386" max="7386" width="6" style="41" customWidth="1"/>
    <col min="7387" max="7387" width="13.7265625" style="41" customWidth="1"/>
    <col min="7388" max="7388" width="6" style="41" customWidth="1"/>
    <col min="7389" max="7389" width="12.7265625" style="41" customWidth="1"/>
    <col min="7390" max="7390" width="6.81640625" style="41" customWidth="1"/>
    <col min="7391" max="7391" width="12.7265625" style="41" customWidth="1"/>
    <col min="7392" max="7392" width="6.81640625" style="41" customWidth="1"/>
    <col min="7393" max="7393" width="15.7265625" style="41" bestFit="1" customWidth="1"/>
    <col min="7394" max="7394" width="8.54296875" style="41" bestFit="1" customWidth="1"/>
    <col min="7395" max="7395" width="13.54296875" style="41" customWidth="1"/>
    <col min="7396" max="7396" width="6" style="41" customWidth="1"/>
    <col min="7397" max="7397" width="13.7265625" style="41" customWidth="1"/>
    <col min="7398" max="7398" width="6" style="41" customWidth="1"/>
    <col min="7399" max="7399" width="12.7265625" style="41" customWidth="1"/>
    <col min="7400" max="7400" width="6.81640625" style="41" customWidth="1"/>
    <col min="7401" max="7401" width="12.7265625" style="41" customWidth="1"/>
    <col min="7402" max="7402" width="6.81640625" style="41" customWidth="1"/>
    <col min="7403" max="7403" width="16.36328125" style="41" bestFit="1" customWidth="1"/>
    <col min="7404" max="7404" width="9.54296875" style="41" bestFit="1" customWidth="1"/>
    <col min="7405" max="7405" width="17.36328125" style="41" bestFit="1" customWidth="1"/>
    <col min="7406" max="7406" width="6" style="41" customWidth="1"/>
    <col min="7407" max="7407" width="13.7265625" style="41" customWidth="1"/>
    <col min="7408" max="7408" width="6" style="41" customWidth="1"/>
    <col min="7409" max="7409" width="12.7265625" style="41" customWidth="1"/>
    <col min="7410" max="7410" width="6.81640625" style="41" customWidth="1"/>
    <col min="7411" max="7411" width="12.7265625" style="41" customWidth="1"/>
    <col min="7412" max="7412" width="6.81640625" style="41" customWidth="1"/>
    <col min="7413" max="7413" width="15.36328125" style="41" bestFit="1" customWidth="1"/>
    <col min="7414" max="7414" width="9.54296875" style="41" bestFit="1" customWidth="1"/>
    <col min="7415" max="7415" width="17.36328125" style="41" bestFit="1" customWidth="1"/>
    <col min="7416" max="7416" width="8" style="41" customWidth="1"/>
    <col min="7417" max="7417" width="12.1796875" style="41" customWidth="1"/>
    <col min="7418" max="7418" width="8" style="41" customWidth="1"/>
    <col min="7419" max="7419" width="20" style="41" customWidth="1"/>
    <col min="7420" max="7420" width="15.26953125" style="41" bestFit="1" customWidth="1"/>
    <col min="7421" max="7421" width="14.26953125" style="41" bestFit="1" customWidth="1"/>
    <col min="7422" max="7422" width="13" style="41" bestFit="1" customWidth="1"/>
    <col min="7423" max="7594" width="9.26953125" style="41"/>
    <col min="7595" max="7595" width="2.7265625" style="41" customWidth="1"/>
    <col min="7596" max="7596" width="3.54296875" style="41" customWidth="1"/>
    <col min="7597" max="7597" width="7" style="41" customWidth="1"/>
    <col min="7598" max="7598" width="23" style="41" customWidth="1"/>
    <col min="7599" max="7599" width="13.26953125" style="41" customWidth="1"/>
    <col min="7600" max="7600" width="17.36328125" style="41" bestFit="1" customWidth="1"/>
    <col min="7601" max="7601" width="11.54296875" style="41" bestFit="1" customWidth="1"/>
    <col min="7602" max="7602" width="7.81640625" style="41" customWidth="1"/>
    <col min="7603" max="7603" width="11.54296875" style="41" bestFit="1" customWidth="1"/>
    <col min="7604" max="7604" width="7" style="41" customWidth="1"/>
    <col min="7605" max="7605" width="18.1796875" style="41" customWidth="1"/>
    <col min="7606" max="7606" width="7" style="41" customWidth="1"/>
    <col min="7607" max="7607" width="15.54296875" style="41" customWidth="1"/>
    <col min="7608" max="7608" width="7.81640625" style="41" customWidth="1"/>
    <col min="7609" max="7609" width="15.54296875" style="41" customWidth="1"/>
    <col min="7610" max="7610" width="7.81640625" style="41" bestFit="1" customWidth="1"/>
    <col min="7611" max="7611" width="15.7265625" style="41" bestFit="1" customWidth="1"/>
    <col min="7612" max="7612" width="7.54296875" style="41" customWidth="1"/>
    <col min="7613" max="7613" width="14" style="41" customWidth="1"/>
    <col min="7614" max="7614" width="7.81640625" style="41" customWidth="1"/>
    <col min="7615" max="7615" width="14" style="41" customWidth="1"/>
    <col min="7616" max="7616" width="7.81640625" style="41" customWidth="1"/>
    <col min="7617" max="7617" width="14" style="41" customWidth="1"/>
    <col min="7618" max="7618" width="9" style="41" customWidth="1"/>
    <col min="7619" max="7619" width="15.1796875" style="41" customWidth="1"/>
    <col min="7620" max="7620" width="13" style="41" bestFit="1" customWidth="1"/>
    <col min="7621" max="7621" width="15.1796875" style="41" bestFit="1" customWidth="1"/>
    <col min="7622" max="7622" width="7.54296875" style="41" customWidth="1"/>
    <col min="7623" max="7623" width="14" style="41" customWidth="1"/>
    <col min="7624" max="7624" width="7.81640625" style="41" customWidth="1"/>
    <col min="7625" max="7625" width="14" style="41" customWidth="1"/>
    <col min="7626" max="7626" width="7.81640625" style="41" customWidth="1"/>
    <col min="7627" max="7627" width="14" style="41" customWidth="1"/>
    <col min="7628" max="7628" width="9" style="41" bestFit="1" customWidth="1"/>
    <col min="7629" max="7629" width="15.1796875" style="41" bestFit="1" customWidth="1"/>
    <col min="7630" max="7630" width="9" style="41" bestFit="1" customWidth="1"/>
    <col min="7631" max="7631" width="15.1796875" style="41" bestFit="1" customWidth="1"/>
    <col min="7632" max="7632" width="6.36328125" style="41" customWidth="1"/>
    <col min="7633" max="7633" width="12.7265625" style="41" customWidth="1"/>
    <col min="7634" max="7634" width="6.36328125" style="41" customWidth="1"/>
    <col min="7635" max="7635" width="12.7265625" style="41" customWidth="1"/>
    <col min="7636" max="7636" width="6" style="41" customWidth="1"/>
    <col min="7637" max="7637" width="12.7265625" style="41" customWidth="1"/>
    <col min="7638" max="7638" width="9.54296875" style="41" customWidth="1"/>
    <col min="7639" max="7639" width="14" style="41" bestFit="1" customWidth="1"/>
    <col min="7640" max="7640" width="9.26953125" style="41"/>
    <col min="7641" max="7641" width="13.54296875" style="41" customWidth="1"/>
    <col min="7642" max="7642" width="6" style="41" customWidth="1"/>
    <col min="7643" max="7643" width="13.7265625" style="41" customWidth="1"/>
    <col min="7644" max="7644" width="6" style="41" customWidth="1"/>
    <col min="7645" max="7645" width="12.7265625" style="41" customWidth="1"/>
    <col min="7646" max="7646" width="6.81640625" style="41" customWidth="1"/>
    <col min="7647" max="7647" width="12.7265625" style="41" customWidth="1"/>
    <col min="7648" max="7648" width="6.81640625" style="41" customWidth="1"/>
    <col min="7649" max="7649" width="15.7265625" style="41" bestFit="1" customWidth="1"/>
    <col min="7650" max="7650" width="8.54296875" style="41" bestFit="1" customWidth="1"/>
    <col min="7651" max="7651" width="13.54296875" style="41" customWidth="1"/>
    <col min="7652" max="7652" width="6" style="41" customWidth="1"/>
    <col min="7653" max="7653" width="13.7265625" style="41" customWidth="1"/>
    <col min="7654" max="7654" width="6" style="41" customWidth="1"/>
    <col min="7655" max="7655" width="12.7265625" style="41" customWidth="1"/>
    <col min="7656" max="7656" width="6.81640625" style="41" customWidth="1"/>
    <col min="7657" max="7657" width="12.7265625" style="41" customWidth="1"/>
    <col min="7658" max="7658" width="6.81640625" style="41" customWidth="1"/>
    <col min="7659" max="7659" width="16.36328125" style="41" bestFit="1" customWidth="1"/>
    <col min="7660" max="7660" width="9.54296875" style="41" bestFit="1" customWidth="1"/>
    <col min="7661" max="7661" width="17.36328125" style="41" bestFit="1" customWidth="1"/>
    <col min="7662" max="7662" width="6" style="41" customWidth="1"/>
    <col min="7663" max="7663" width="13.7265625" style="41" customWidth="1"/>
    <col min="7664" max="7664" width="6" style="41" customWidth="1"/>
    <col min="7665" max="7665" width="12.7265625" style="41" customWidth="1"/>
    <col min="7666" max="7666" width="6.81640625" style="41" customWidth="1"/>
    <col min="7667" max="7667" width="12.7265625" style="41" customWidth="1"/>
    <col min="7668" max="7668" width="6.81640625" style="41" customWidth="1"/>
    <col min="7669" max="7669" width="15.36328125" style="41" bestFit="1" customWidth="1"/>
    <col min="7670" max="7670" width="9.54296875" style="41" bestFit="1" customWidth="1"/>
    <col min="7671" max="7671" width="17.36328125" style="41" bestFit="1" customWidth="1"/>
    <col min="7672" max="7672" width="8" style="41" customWidth="1"/>
    <col min="7673" max="7673" width="12.1796875" style="41" customWidth="1"/>
    <col min="7674" max="7674" width="8" style="41" customWidth="1"/>
    <col min="7675" max="7675" width="20" style="41" customWidth="1"/>
    <col min="7676" max="7676" width="15.26953125" style="41" bestFit="1" customWidth="1"/>
    <col min="7677" max="7677" width="14.26953125" style="41" bestFit="1" customWidth="1"/>
    <col min="7678" max="7678" width="13" style="41" bestFit="1" customWidth="1"/>
    <col min="7679" max="7850" width="9.26953125" style="41"/>
    <col min="7851" max="7851" width="2.7265625" style="41" customWidth="1"/>
    <col min="7852" max="7852" width="3.54296875" style="41" customWidth="1"/>
    <col min="7853" max="7853" width="7" style="41" customWidth="1"/>
    <col min="7854" max="7854" width="23" style="41" customWidth="1"/>
    <col min="7855" max="7855" width="13.26953125" style="41" customWidth="1"/>
    <col min="7856" max="7856" width="17.36328125" style="41" bestFit="1" customWidth="1"/>
    <col min="7857" max="7857" width="11.54296875" style="41" bestFit="1" customWidth="1"/>
    <col min="7858" max="7858" width="7.81640625" style="41" customWidth="1"/>
    <col min="7859" max="7859" width="11.54296875" style="41" bestFit="1" customWidth="1"/>
    <col min="7860" max="7860" width="7" style="41" customWidth="1"/>
    <col min="7861" max="7861" width="18.1796875" style="41" customWidth="1"/>
    <col min="7862" max="7862" width="7" style="41" customWidth="1"/>
    <col min="7863" max="7863" width="15.54296875" style="41" customWidth="1"/>
    <col min="7864" max="7864" width="7.81640625" style="41" customWidth="1"/>
    <col min="7865" max="7865" width="15.54296875" style="41" customWidth="1"/>
    <col min="7866" max="7866" width="7.81640625" style="41" bestFit="1" customWidth="1"/>
    <col min="7867" max="7867" width="15.7265625" style="41" bestFit="1" customWidth="1"/>
    <col min="7868" max="7868" width="7.54296875" style="41" customWidth="1"/>
    <col min="7869" max="7869" width="14" style="41" customWidth="1"/>
    <col min="7870" max="7870" width="7.81640625" style="41" customWidth="1"/>
    <col min="7871" max="7871" width="14" style="41" customWidth="1"/>
    <col min="7872" max="7872" width="7.81640625" style="41" customWidth="1"/>
    <col min="7873" max="7873" width="14" style="41" customWidth="1"/>
    <col min="7874" max="7874" width="9" style="41" customWidth="1"/>
    <col min="7875" max="7875" width="15.1796875" style="41" customWidth="1"/>
    <col min="7876" max="7876" width="13" style="41" bestFit="1" customWidth="1"/>
    <col min="7877" max="7877" width="15.1796875" style="41" bestFit="1" customWidth="1"/>
    <col min="7878" max="7878" width="7.54296875" style="41" customWidth="1"/>
    <col min="7879" max="7879" width="14" style="41" customWidth="1"/>
    <col min="7880" max="7880" width="7.81640625" style="41" customWidth="1"/>
    <col min="7881" max="7881" width="14" style="41" customWidth="1"/>
    <col min="7882" max="7882" width="7.81640625" style="41" customWidth="1"/>
    <col min="7883" max="7883" width="14" style="41" customWidth="1"/>
    <col min="7884" max="7884" width="9" style="41" bestFit="1" customWidth="1"/>
    <col min="7885" max="7885" width="15.1796875" style="41" bestFit="1" customWidth="1"/>
    <col min="7886" max="7886" width="9" style="41" bestFit="1" customWidth="1"/>
    <col min="7887" max="7887" width="15.1796875" style="41" bestFit="1" customWidth="1"/>
    <col min="7888" max="7888" width="6.36328125" style="41" customWidth="1"/>
    <col min="7889" max="7889" width="12.7265625" style="41" customWidth="1"/>
    <col min="7890" max="7890" width="6.36328125" style="41" customWidth="1"/>
    <col min="7891" max="7891" width="12.7265625" style="41" customWidth="1"/>
    <col min="7892" max="7892" width="6" style="41" customWidth="1"/>
    <col min="7893" max="7893" width="12.7265625" style="41" customWidth="1"/>
    <col min="7894" max="7894" width="9.54296875" style="41" customWidth="1"/>
    <col min="7895" max="7895" width="14" style="41" bestFit="1" customWidth="1"/>
    <col min="7896" max="7896" width="9.26953125" style="41"/>
    <col min="7897" max="7897" width="13.54296875" style="41" customWidth="1"/>
    <col min="7898" max="7898" width="6" style="41" customWidth="1"/>
    <col min="7899" max="7899" width="13.7265625" style="41" customWidth="1"/>
    <col min="7900" max="7900" width="6" style="41" customWidth="1"/>
    <col min="7901" max="7901" width="12.7265625" style="41" customWidth="1"/>
    <col min="7902" max="7902" width="6.81640625" style="41" customWidth="1"/>
    <col min="7903" max="7903" width="12.7265625" style="41" customWidth="1"/>
    <col min="7904" max="7904" width="6.81640625" style="41" customWidth="1"/>
    <col min="7905" max="7905" width="15.7265625" style="41" bestFit="1" customWidth="1"/>
    <col min="7906" max="7906" width="8.54296875" style="41" bestFit="1" customWidth="1"/>
    <col min="7907" max="7907" width="13.54296875" style="41" customWidth="1"/>
    <col min="7908" max="7908" width="6" style="41" customWidth="1"/>
    <col min="7909" max="7909" width="13.7265625" style="41" customWidth="1"/>
    <col min="7910" max="7910" width="6" style="41" customWidth="1"/>
    <col min="7911" max="7911" width="12.7265625" style="41" customWidth="1"/>
    <col min="7912" max="7912" width="6.81640625" style="41" customWidth="1"/>
    <col min="7913" max="7913" width="12.7265625" style="41" customWidth="1"/>
    <col min="7914" max="7914" width="6.81640625" style="41" customWidth="1"/>
    <col min="7915" max="7915" width="16.36328125" style="41" bestFit="1" customWidth="1"/>
    <col min="7916" max="7916" width="9.54296875" style="41" bestFit="1" customWidth="1"/>
    <col min="7917" max="7917" width="17.36328125" style="41" bestFit="1" customWidth="1"/>
    <col min="7918" max="7918" width="6" style="41" customWidth="1"/>
    <col min="7919" max="7919" width="13.7265625" style="41" customWidth="1"/>
    <col min="7920" max="7920" width="6" style="41" customWidth="1"/>
    <col min="7921" max="7921" width="12.7265625" style="41" customWidth="1"/>
    <col min="7922" max="7922" width="6.81640625" style="41" customWidth="1"/>
    <col min="7923" max="7923" width="12.7265625" style="41" customWidth="1"/>
    <col min="7924" max="7924" width="6.81640625" style="41" customWidth="1"/>
    <col min="7925" max="7925" width="15.36328125" style="41" bestFit="1" customWidth="1"/>
    <col min="7926" max="7926" width="9.54296875" style="41" bestFit="1" customWidth="1"/>
    <col min="7927" max="7927" width="17.36328125" style="41" bestFit="1" customWidth="1"/>
    <col min="7928" max="7928" width="8" style="41" customWidth="1"/>
    <col min="7929" max="7929" width="12.1796875" style="41" customWidth="1"/>
    <col min="7930" max="7930" width="8" style="41" customWidth="1"/>
    <col min="7931" max="7931" width="20" style="41" customWidth="1"/>
    <col min="7932" max="7932" width="15.26953125" style="41" bestFit="1" customWidth="1"/>
    <col min="7933" max="7933" width="14.26953125" style="41" bestFit="1" customWidth="1"/>
    <col min="7934" max="7934" width="13" style="41" bestFit="1" customWidth="1"/>
    <col min="7935" max="8106" width="9.26953125" style="41"/>
    <col min="8107" max="8107" width="2.7265625" style="41" customWidth="1"/>
    <col min="8108" max="8108" width="3.54296875" style="41" customWidth="1"/>
    <col min="8109" max="8109" width="7" style="41" customWidth="1"/>
    <col min="8110" max="8110" width="23" style="41" customWidth="1"/>
    <col min="8111" max="8111" width="13.26953125" style="41" customWidth="1"/>
    <col min="8112" max="8112" width="17.36328125" style="41" bestFit="1" customWidth="1"/>
    <col min="8113" max="8113" width="11.54296875" style="41" bestFit="1" customWidth="1"/>
    <col min="8114" max="8114" width="7.81640625" style="41" customWidth="1"/>
    <col min="8115" max="8115" width="11.54296875" style="41" bestFit="1" customWidth="1"/>
    <col min="8116" max="8116" width="7" style="41" customWidth="1"/>
    <col min="8117" max="8117" width="18.1796875" style="41" customWidth="1"/>
    <col min="8118" max="8118" width="7" style="41" customWidth="1"/>
    <col min="8119" max="8119" width="15.54296875" style="41" customWidth="1"/>
    <col min="8120" max="8120" width="7.81640625" style="41" customWidth="1"/>
    <col min="8121" max="8121" width="15.54296875" style="41" customWidth="1"/>
    <col min="8122" max="8122" width="7.81640625" style="41" bestFit="1" customWidth="1"/>
    <col min="8123" max="8123" width="15.7265625" style="41" bestFit="1" customWidth="1"/>
    <col min="8124" max="8124" width="7.54296875" style="41" customWidth="1"/>
    <col min="8125" max="8125" width="14" style="41" customWidth="1"/>
    <col min="8126" max="8126" width="7.81640625" style="41" customWidth="1"/>
    <col min="8127" max="8127" width="14" style="41" customWidth="1"/>
    <col min="8128" max="8128" width="7.81640625" style="41" customWidth="1"/>
    <col min="8129" max="8129" width="14" style="41" customWidth="1"/>
    <col min="8130" max="8130" width="9" style="41" customWidth="1"/>
    <col min="8131" max="8131" width="15.1796875" style="41" customWidth="1"/>
    <col min="8132" max="8132" width="13" style="41" bestFit="1" customWidth="1"/>
    <col min="8133" max="8133" width="15.1796875" style="41" bestFit="1" customWidth="1"/>
    <col min="8134" max="8134" width="7.54296875" style="41" customWidth="1"/>
    <col min="8135" max="8135" width="14" style="41" customWidth="1"/>
    <col min="8136" max="8136" width="7.81640625" style="41" customWidth="1"/>
    <col min="8137" max="8137" width="14" style="41" customWidth="1"/>
    <col min="8138" max="8138" width="7.81640625" style="41" customWidth="1"/>
    <col min="8139" max="8139" width="14" style="41" customWidth="1"/>
    <col min="8140" max="8140" width="9" style="41" bestFit="1" customWidth="1"/>
    <col min="8141" max="8141" width="15.1796875" style="41" bestFit="1" customWidth="1"/>
    <col min="8142" max="8142" width="9" style="41" bestFit="1" customWidth="1"/>
    <col min="8143" max="8143" width="15.1796875" style="41" bestFit="1" customWidth="1"/>
    <col min="8144" max="8144" width="6.36328125" style="41" customWidth="1"/>
    <col min="8145" max="8145" width="12.7265625" style="41" customWidth="1"/>
    <col min="8146" max="8146" width="6.36328125" style="41" customWidth="1"/>
    <col min="8147" max="8147" width="12.7265625" style="41" customWidth="1"/>
    <col min="8148" max="8148" width="6" style="41" customWidth="1"/>
    <col min="8149" max="8149" width="12.7265625" style="41" customWidth="1"/>
    <col min="8150" max="8150" width="9.54296875" style="41" customWidth="1"/>
    <col min="8151" max="8151" width="14" style="41" bestFit="1" customWidth="1"/>
    <col min="8152" max="8152" width="9.26953125" style="41"/>
    <col min="8153" max="8153" width="13.54296875" style="41" customWidth="1"/>
    <col min="8154" max="8154" width="6" style="41" customWidth="1"/>
    <col min="8155" max="8155" width="13.7265625" style="41" customWidth="1"/>
    <col min="8156" max="8156" width="6" style="41" customWidth="1"/>
    <col min="8157" max="8157" width="12.7265625" style="41" customWidth="1"/>
    <col min="8158" max="8158" width="6.81640625" style="41" customWidth="1"/>
    <col min="8159" max="8159" width="12.7265625" style="41" customWidth="1"/>
    <col min="8160" max="8160" width="6.81640625" style="41" customWidth="1"/>
    <col min="8161" max="8161" width="15.7265625" style="41" bestFit="1" customWidth="1"/>
    <col min="8162" max="8162" width="8.54296875" style="41" bestFit="1" customWidth="1"/>
    <col min="8163" max="8163" width="13.54296875" style="41" customWidth="1"/>
    <col min="8164" max="8164" width="6" style="41" customWidth="1"/>
    <col min="8165" max="8165" width="13.7265625" style="41" customWidth="1"/>
    <col min="8166" max="8166" width="6" style="41" customWidth="1"/>
    <col min="8167" max="8167" width="12.7265625" style="41" customWidth="1"/>
    <col min="8168" max="8168" width="6.81640625" style="41" customWidth="1"/>
    <col min="8169" max="8169" width="12.7265625" style="41" customWidth="1"/>
    <col min="8170" max="8170" width="6.81640625" style="41" customWidth="1"/>
    <col min="8171" max="8171" width="16.36328125" style="41" bestFit="1" customWidth="1"/>
    <col min="8172" max="8172" width="9.54296875" style="41" bestFit="1" customWidth="1"/>
    <col min="8173" max="8173" width="17.36328125" style="41" bestFit="1" customWidth="1"/>
    <col min="8174" max="8174" width="6" style="41" customWidth="1"/>
    <col min="8175" max="8175" width="13.7265625" style="41" customWidth="1"/>
    <col min="8176" max="8176" width="6" style="41" customWidth="1"/>
    <col min="8177" max="8177" width="12.7265625" style="41" customWidth="1"/>
    <col min="8178" max="8178" width="6.81640625" style="41" customWidth="1"/>
    <col min="8179" max="8179" width="12.7265625" style="41" customWidth="1"/>
    <col min="8180" max="8180" width="6.81640625" style="41" customWidth="1"/>
    <col min="8181" max="8181" width="15.36328125" style="41" bestFit="1" customWidth="1"/>
    <col min="8182" max="8182" width="9.54296875" style="41" bestFit="1" customWidth="1"/>
    <col min="8183" max="8183" width="17.36328125" style="41" bestFit="1" customWidth="1"/>
    <col min="8184" max="8184" width="8" style="41" customWidth="1"/>
    <col min="8185" max="8185" width="12.1796875" style="41" customWidth="1"/>
    <col min="8186" max="8186" width="8" style="41" customWidth="1"/>
    <col min="8187" max="8187" width="20" style="41" customWidth="1"/>
    <col min="8188" max="8188" width="15.26953125" style="41" bestFit="1" customWidth="1"/>
    <col min="8189" max="8189" width="14.26953125" style="41" bestFit="1" customWidth="1"/>
    <col min="8190" max="8190" width="13" style="41" bestFit="1" customWidth="1"/>
    <col min="8191" max="8362" width="9.26953125" style="41"/>
    <col min="8363" max="8363" width="2.7265625" style="41" customWidth="1"/>
    <col min="8364" max="8364" width="3.54296875" style="41" customWidth="1"/>
    <col min="8365" max="8365" width="7" style="41" customWidth="1"/>
    <col min="8366" max="8366" width="23" style="41" customWidth="1"/>
    <col min="8367" max="8367" width="13.26953125" style="41" customWidth="1"/>
    <col min="8368" max="8368" width="17.36328125" style="41" bestFit="1" customWidth="1"/>
    <col min="8369" max="8369" width="11.54296875" style="41" bestFit="1" customWidth="1"/>
    <col min="8370" max="8370" width="7.81640625" style="41" customWidth="1"/>
    <col min="8371" max="8371" width="11.54296875" style="41" bestFit="1" customWidth="1"/>
    <col min="8372" max="8372" width="7" style="41" customWidth="1"/>
    <col min="8373" max="8373" width="18.1796875" style="41" customWidth="1"/>
    <col min="8374" max="8374" width="7" style="41" customWidth="1"/>
    <col min="8375" max="8375" width="15.54296875" style="41" customWidth="1"/>
    <col min="8376" max="8376" width="7.81640625" style="41" customWidth="1"/>
    <col min="8377" max="8377" width="15.54296875" style="41" customWidth="1"/>
    <col min="8378" max="8378" width="7.81640625" style="41" bestFit="1" customWidth="1"/>
    <col min="8379" max="8379" width="15.7265625" style="41" bestFit="1" customWidth="1"/>
    <col min="8380" max="8380" width="7.54296875" style="41" customWidth="1"/>
    <col min="8381" max="8381" width="14" style="41" customWidth="1"/>
    <col min="8382" max="8382" width="7.81640625" style="41" customWidth="1"/>
    <col min="8383" max="8383" width="14" style="41" customWidth="1"/>
    <col min="8384" max="8384" width="7.81640625" style="41" customWidth="1"/>
    <col min="8385" max="8385" width="14" style="41" customWidth="1"/>
    <col min="8386" max="8386" width="9" style="41" customWidth="1"/>
    <col min="8387" max="8387" width="15.1796875" style="41" customWidth="1"/>
    <col min="8388" max="8388" width="13" style="41" bestFit="1" customWidth="1"/>
    <col min="8389" max="8389" width="15.1796875" style="41" bestFit="1" customWidth="1"/>
    <col min="8390" max="8390" width="7.54296875" style="41" customWidth="1"/>
    <col min="8391" max="8391" width="14" style="41" customWidth="1"/>
    <col min="8392" max="8392" width="7.81640625" style="41" customWidth="1"/>
    <col min="8393" max="8393" width="14" style="41" customWidth="1"/>
    <col min="8394" max="8394" width="7.81640625" style="41" customWidth="1"/>
    <col min="8395" max="8395" width="14" style="41" customWidth="1"/>
    <col min="8396" max="8396" width="9" style="41" bestFit="1" customWidth="1"/>
    <col min="8397" max="8397" width="15.1796875" style="41" bestFit="1" customWidth="1"/>
    <col min="8398" max="8398" width="9" style="41" bestFit="1" customWidth="1"/>
    <col min="8399" max="8399" width="15.1796875" style="41" bestFit="1" customWidth="1"/>
    <col min="8400" max="8400" width="6.36328125" style="41" customWidth="1"/>
    <col min="8401" max="8401" width="12.7265625" style="41" customWidth="1"/>
    <col min="8402" max="8402" width="6.36328125" style="41" customWidth="1"/>
    <col min="8403" max="8403" width="12.7265625" style="41" customWidth="1"/>
    <col min="8404" max="8404" width="6" style="41" customWidth="1"/>
    <col min="8405" max="8405" width="12.7265625" style="41" customWidth="1"/>
    <col min="8406" max="8406" width="9.54296875" style="41" customWidth="1"/>
    <col min="8407" max="8407" width="14" style="41" bestFit="1" customWidth="1"/>
    <col min="8408" max="8408" width="9.26953125" style="41"/>
    <col min="8409" max="8409" width="13.54296875" style="41" customWidth="1"/>
    <col min="8410" max="8410" width="6" style="41" customWidth="1"/>
    <col min="8411" max="8411" width="13.7265625" style="41" customWidth="1"/>
    <col min="8412" max="8412" width="6" style="41" customWidth="1"/>
    <col min="8413" max="8413" width="12.7265625" style="41" customWidth="1"/>
    <col min="8414" max="8414" width="6.81640625" style="41" customWidth="1"/>
    <col min="8415" max="8415" width="12.7265625" style="41" customWidth="1"/>
    <col min="8416" max="8416" width="6.81640625" style="41" customWidth="1"/>
    <col min="8417" max="8417" width="15.7265625" style="41" bestFit="1" customWidth="1"/>
    <col min="8418" max="8418" width="8.54296875" style="41" bestFit="1" customWidth="1"/>
    <col min="8419" max="8419" width="13.54296875" style="41" customWidth="1"/>
    <col min="8420" max="8420" width="6" style="41" customWidth="1"/>
    <col min="8421" max="8421" width="13.7265625" style="41" customWidth="1"/>
    <col min="8422" max="8422" width="6" style="41" customWidth="1"/>
    <col min="8423" max="8423" width="12.7265625" style="41" customWidth="1"/>
    <col min="8424" max="8424" width="6.81640625" style="41" customWidth="1"/>
    <col min="8425" max="8425" width="12.7265625" style="41" customWidth="1"/>
    <col min="8426" max="8426" width="6.81640625" style="41" customWidth="1"/>
    <col min="8427" max="8427" width="16.36328125" style="41" bestFit="1" customWidth="1"/>
    <col min="8428" max="8428" width="9.54296875" style="41" bestFit="1" customWidth="1"/>
    <col min="8429" max="8429" width="17.36328125" style="41" bestFit="1" customWidth="1"/>
    <col min="8430" max="8430" width="6" style="41" customWidth="1"/>
    <col min="8431" max="8431" width="13.7265625" style="41" customWidth="1"/>
    <col min="8432" max="8432" width="6" style="41" customWidth="1"/>
    <col min="8433" max="8433" width="12.7265625" style="41" customWidth="1"/>
    <col min="8434" max="8434" width="6.81640625" style="41" customWidth="1"/>
    <col min="8435" max="8435" width="12.7265625" style="41" customWidth="1"/>
    <col min="8436" max="8436" width="6.81640625" style="41" customWidth="1"/>
    <col min="8437" max="8437" width="15.36328125" style="41" bestFit="1" customWidth="1"/>
    <col min="8438" max="8438" width="9.54296875" style="41" bestFit="1" customWidth="1"/>
    <col min="8439" max="8439" width="17.36328125" style="41" bestFit="1" customWidth="1"/>
    <col min="8440" max="8440" width="8" style="41" customWidth="1"/>
    <col min="8441" max="8441" width="12.1796875" style="41" customWidth="1"/>
    <col min="8442" max="8442" width="8" style="41" customWidth="1"/>
    <col min="8443" max="8443" width="20" style="41" customWidth="1"/>
    <col min="8444" max="8444" width="15.26953125" style="41" bestFit="1" customWidth="1"/>
    <col min="8445" max="8445" width="14.26953125" style="41" bestFit="1" customWidth="1"/>
    <col min="8446" max="8446" width="13" style="41" bestFit="1" customWidth="1"/>
    <col min="8447" max="8618" width="9.26953125" style="41"/>
    <col min="8619" max="8619" width="2.7265625" style="41" customWidth="1"/>
    <col min="8620" max="8620" width="3.54296875" style="41" customWidth="1"/>
    <col min="8621" max="8621" width="7" style="41" customWidth="1"/>
    <col min="8622" max="8622" width="23" style="41" customWidth="1"/>
    <col min="8623" max="8623" width="13.26953125" style="41" customWidth="1"/>
    <col min="8624" max="8624" width="17.36328125" style="41" bestFit="1" customWidth="1"/>
    <col min="8625" max="8625" width="11.54296875" style="41" bestFit="1" customWidth="1"/>
    <col min="8626" max="8626" width="7.81640625" style="41" customWidth="1"/>
    <col min="8627" max="8627" width="11.54296875" style="41" bestFit="1" customWidth="1"/>
    <col min="8628" max="8628" width="7" style="41" customWidth="1"/>
    <col min="8629" max="8629" width="18.1796875" style="41" customWidth="1"/>
    <col min="8630" max="8630" width="7" style="41" customWidth="1"/>
    <col min="8631" max="8631" width="15.54296875" style="41" customWidth="1"/>
    <col min="8632" max="8632" width="7.81640625" style="41" customWidth="1"/>
    <col min="8633" max="8633" width="15.54296875" style="41" customWidth="1"/>
    <col min="8634" max="8634" width="7.81640625" style="41" bestFit="1" customWidth="1"/>
    <col min="8635" max="8635" width="15.7265625" style="41" bestFit="1" customWidth="1"/>
    <col min="8636" max="8636" width="7.54296875" style="41" customWidth="1"/>
    <col min="8637" max="8637" width="14" style="41" customWidth="1"/>
    <col min="8638" max="8638" width="7.81640625" style="41" customWidth="1"/>
    <col min="8639" max="8639" width="14" style="41" customWidth="1"/>
    <col min="8640" max="8640" width="7.81640625" style="41" customWidth="1"/>
    <col min="8641" max="8641" width="14" style="41" customWidth="1"/>
    <col min="8642" max="8642" width="9" style="41" customWidth="1"/>
    <col min="8643" max="8643" width="15.1796875" style="41" customWidth="1"/>
    <col min="8644" max="8644" width="13" style="41" bestFit="1" customWidth="1"/>
    <col min="8645" max="8645" width="15.1796875" style="41" bestFit="1" customWidth="1"/>
    <col min="8646" max="8646" width="7.54296875" style="41" customWidth="1"/>
    <col min="8647" max="8647" width="14" style="41" customWidth="1"/>
    <col min="8648" max="8648" width="7.81640625" style="41" customWidth="1"/>
    <col min="8649" max="8649" width="14" style="41" customWidth="1"/>
    <col min="8650" max="8650" width="7.81640625" style="41" customWidth="1"/>
    <col min="8651" max="8651" width="14" style="41" customWidth="1"/>
    <col min="8652" max="8652" width="9" style="41" bestFit="1" customWidth="1"/>
    <col min="8653" max="8653" width="15.1796875" style="41" bestFit="1" customWidth="1"/>
    <col min="8654" max="8654" width="9" style="41" bestFit="1" customWidth="1"/>
    <col min="8655" max="8655" width="15.1796875" style="41" bestFit="1" customWidth="1"/>
    <col min="8656" max="8656" width="6.36328125" style="41" customWidth="1"/>
    <col min="8657" max="8657" width="12.7265625" style="41" customWidth="1"/>
    <col min="8658" max="8658" width="6.36328125" style="41" customWidth="1"/>
    <col min="8659" max="8659" width="12.7265625" style="41" customWidth="1"/>
    <col min="8660" max="8660" width="6" style="41" customWidth="1"/>
    <col min="8661" max="8661" width="12.7265625" style="41" customWidth="1"/>
    <col min="8662" max="8662" width="9.54296875" style="41" customWidth="1"/>
    <col min="8663" max="8663" width="14" style="41" bestFit="1" customWidth="1"/>
    <col min="8664" max="8664" width="9.26953125" style="41"/>
    <col min="8665" max="8665" width="13.54296875" style="41" customWidth="1"/>
    <col min="8666" max="8666" width="6" style="41" customWidth="1"/>
    <col min="8667" max="8667" width="13.7265625" style="41" customWidth="1"/>
    <col min="8668" max="8668" width="6" style="41" customWidth="1"/>
    <col min="8669" max="8669" width="12.7265625" style="41" customWidth="1"/>
    <col min="8670" max="8670" width="6.81640625" style="41" customWidth="1"/>
    <col min="8671" max="8671" width="12.7265625" style="41" customWidth="1"/>
    <col min="8672" max="8672" width="6.81640625" style="41" customWidth="1"/>
    <col min="8673" max="8673" width="15.7265625" style="41" bestFit="1" customWidth="1"/>
    <col min="8674" max="8674" width="8.54296875" style="41" bestFit="1" customWidth="1"/>
    <col min="8675" max="8675" width="13.54296875" style="41" customWidth="1"/>
    <col min="8676" max="8676" width="6" style="41" customWidth="1"/>
    <col min="8677" max="8677" width="13.7265625" style="41" customWidth="1"/>
    <col min="8678" max="8678" width="6" style="41" customWidth="1"/>
    <col min="8679" max="8679" width="12.7265625" style="41" customWidth="1"/>
    <col min="8680" max="8680" width="6.81640625" style="41" customWidth="1"/>
    <col min="8681" max="8681" width="12.7265625" style="41" customWidth="1"/>
    <col min="8682" max="8682" width="6.81640625" style="41" customWidth="1"/>
    <col min="8683" max="8683" width="16.36328125" style="41" bestFit="1" customWidth="1"/>
    <col min="8684" max="8684" width="9.54296875" style="41" bestFit="1" customWidth="1"/>
    <col min="8685" max="8685" width="17.36328125" style="41" bestFit="1" customWidth="1"/>
    <col min="8686" max="8686" width="6" style="41" customWidth="1"/>
    <col min="8687" max="8687" width="13.7265625" style="41" customWidth="1"/>
    <col min="8688" max="8688" width="6" style="41" customWidth="1"/>
    <col min="8689" max="8689" width="12.7265625" style="41" customWidth="1"/>
    <col min="8690" max="8690" width="6.81640625" style="41" customWidth="1"/>
    <col min="8691" max="8691" width="12.7265625" style="41" customWidth="1"/>
    <col min="8692" max="8692" width="6.81640625" style="41" customWidth="1"/>
    <col min="8693" max="8693" width="15.36328125" style="41" bestFit="1" customWidth="1"/>
    <col min="8694" max="8694" width="9.54296875" style="41" bestFit="1" customWidth="1"/>
    <col min="8695" max="8695" width="17.36328125" style="41" bestFit="1" customWidth="1"/>
    <col min="8696" max="8696" width="8" style="41" customWidth="1"/>
    <col min="8697" max="8697" width="12.1796875" style="41" customWidth="1"/>
    <col min="8698" max="8698" width="8" style="41" customWidth="1"/>
    <col min="8699" max="8699" width="20" style="41" customWidth="1"/>
    <col min="8700" max="8700" width="15.26953125" style="41" bestFit="1" customWidth="1"/>
    <col min="8701" max="8701" width="14.26953125" style="41" bestFit="1" customWidth="1"/>
    <col min="8702" max="8702" width="13" style="41" bestFit="1" customWidth="1"/>
    <col min="8703" max="8874" width="9.26953125" style="41"/>
    <col min="8875" max="8875" width="2.7265625" style="41" customWidth="1"/>
    <col min="8876" max="8876" width="3.54296875" style="41" customWidth="1"/>
    <col min="8877" max="8877" width="7" style="41" customWidth="1"/>
    <col min="8878" max="8878" width="23" style="41" customWidth="1"/>
    <col min="8879" max="8879" width="13.26953125" style="41" customWidth="1"/>
    <col min="8880" max="8880" width="17.36328125" style="41" bestFit="1" customWidth="1"/>
    <col min="8881" max="8881" width="11.54296875" style="41" bestFit="1" customWidth="1"/>
    <col min="8882" max="8882" width="7.81640625" style="41" customWidth="1"/>
    <col min="8883" max="8883" width="11.54296875" style="41" bestFit="1" customWidth="1"/>
    <col min="8884" max="8884" width="7" style="41" customWidth="1"/>
    <col min="8885" max="8885" width="18.1796875" style="41" customWidth="1"/>
    <col min="8886" max="8886" width="7" style="41" customWidth="1"/>
    <col min="8887" max="8887" width="15.54296875" style="41" customWidth="1"/>
    <col min="8888" max="8888" width="7.81640625" style="41" customWidth="1"/>
    <col min="8889" max="8889" width="15.54296875" style="41" customWidth="1"/>
    <col min="8890" max="8890" width="7.81640625" style="41" bestFit="1" customWidth="1"/>
    <col min="8891" max="8891" width="15.7265625" style="41" bestFit="1" customWidth="1"/>
    <col min="8892" max="8892" width="7.54296875" style="41" customWidth="1"/>
    <col min="8893" max="8893" width="14" style="41" customWidth="1"/>
    <col min="8894" max="8894" width="7.81640625" style="41" customWidth="1"/>
    <col min="8895" max="8895" width="14" style="41" customWidth="1"/>
    <col min="8896" max="8896" width="7.81640625" style="41" customWidth="1"/>
    <col min="8897" max="8897" width="14" style="41" customWidth="1"/>
    <col min="8898" max="8898" width="9" style="41" customWidth="1"/>
    <col min="8899" max="8899" width="15.1796875" style="41" customWidth="1"/>
    <col min="8900" max="8900" width="13" style="41" bestFit="1" customWidth="1"/>
    <col min="8901" max="8901" width="15.1796875" style="41" bestFit="1" customWidth="1"/>
    <col min="8902" max="8902" width="7.54296875" style="41" customWidth="1"/>
    <col min="8903" max="8903" width="14" style="41" customWidth="1"/>
    <col min="8904" max="8904" width="7.81640625" style="41" customWidth="1"/>
    <col min="8905" max="8905" width="14" style="41" customWidth="1"/>
    <col min="8906" max="8906" width="7.81640625" style="41" customWidth="1"/>
    <col min="8907" max="8907" width="14" style="41" customWidth="1"/>
    <col min="8908" max="8908" width="9" style="41" bestFit="1" customWidth="1"/>
    <col min="8909" max="8909" width="15.1796875" style="41" bestFit="1" customWidth="1"/>
    <col min="8910" max="8910" width="9" style="41" bestFit="1" customWidth="1"/>
    <col min="8911" max="8911" width="15.1796875" style="41" bestFit="1" customWidth="1"/>
    <col min="8912" max="8912" width="6.36328125" style="41" customWidth="1"/>
    <col min="8913" max="8913" width="12.7265625" style="41" customWidth="1"/>
    <col min="8914" max="8914" width="6.36328125" style="41" customWidth="1"/>
    <col min="8915" max="8915" width="12.7265625" style="41" customWidth="1"/>
    <col min="8916" max="8916" width="6" style="41" customWidth="1"/>
    <col min="8917" max="8917" width="12.7265625" style="41" customWidth="1"/>
    <col min="8918" max="8918" width="9.54296875" style="41" customWidth="1"/>
    <col min="8919" max="8919" width="14" style="41" bestFit="1" customWidth="1"/>
    <col min="8920" max="8920" width="9.26953125" style="41"/>
    <col min="8921" max="8921" width="13.54296875" style="41" customWidth="1"/>
    <col min="8922" max="8922" width="6" style="41" customWidth="1"/>
    <col min="8923" max="8923" width="13.7265625" style="41" customWidth="1"/>
    <col min="8924" max="8924" width="6" style="41" customWidth="1"/>
    <col min="8925" max="8925" width="12.7265625" style="41" customWidth="1"/>
    <col min="8926" max="8926" width="6.81640625" style="41" customWidth="1"/>
    <col min="8927" max="8927" width="12.7265625" style="41" customWidth="1"/>
    <col min="8928" max="8928" width="6.81640625" style="41" customWidth="1"/>
    <col min="8929" max="8929" width="15.7265625" style="41" bestFit="1" customWidth="1"/>
    <col min="8930" max="8930" width="8.54296875" style="41" bestFit="1" customWidth="1"/>
    <col min="8931" max="8931" width="13.54296875" style="41" customWidth="1"/>
    <col min="8932" max="8932" width="6" style="41" customWidth="1"/>
    <col min="8933" max="8933" width="13.7265625" style="41" customWidth="1"/>
    <col min="8934" max="8934" width="6" style="41" customWidth="1"/>
    <col min="8935" max="8935" width="12.7265625" style="41" customWidth="1"/>
    <col min="8936" max="8936" width="6.81640625" style="41" customWidth="1"/>
    <col min="8937" max="8937" width="12.7265625" style="41" customWidth="1"/>
    <col min="8938" max="8938" width="6.81640625" style="41" customWidth="1"/>
    <col min="8939" max="8939" width="16.36328125" style="41" bestFit="1" customWidth="1"/>
    <col min="8940" max="8940" width="9.54296875" style="41" bestFit="1" customWidth="1"/>
    <col min="8941" max="8941" width="17.36328125" style="41" bestFit="1" customWidth="1"/>
    <col min="8942" max="8942" width="6" style="41" customWidth="1"/>
    <col min="8943" max="8943" width="13.7265625" style="41" customWidth="1"/>
    <col min="8944" max="8944" width="6" style="41" customWidth="1"/>
    <col min="8945" max="8945" width="12.7265625" style="41" customWidth="1"/>
    <col min="8946" max="8946" width="6.81640625" style="41" customWidth="1"/>
    <col min="8947" max="8947" width="12.7265625" style="41" customWidth="1"/>
    <col min="8948" max="8948" width="6.81640625" style="41" customWidth="1"/>
    <col min="8949" max="8949" width="15.36328125" style="41" bestFit="1" customWidth="1"/>
    <col min="8950" max="8950" width="9.54296875" style="41" bestFit="1" customWidth="1"/>
    <col min="8951" max="8951" width="17.36328125" style="41" bestFit="1" customWidth="1"/>
    <col min="8952" max="8952" width="8" style="41" customWidth="1"/>
    <col min="8953" max="8953" width="12.1796875" style="41" customWidth="1"/>
    <col min="8954" max="8954" width="8" style="41" customWidth="1"/>
    <col min="8955" max="8955" width="20" style="41" customWidth="1"/>
    <col min="8956" max="8956" width="15.26953125" style="41" bestFit="1" customWidth="1"/>
    <col min="8957" max="8957" width="14.26953125" style="41" bestFit="1" customWidth="1"/>
    <col min="8958" max="8958" width="13" style="41" bestFit="1" customWidth="1"/>
    <col min="8959" max="9130" width="9.26953125" style="41"/>
    <col min="9131" max="9131" width="2.7265625" style="41" customWidth="1"/>
    <col min="9132" max="9132" width="3.54296875" style="41" customWidth="1"/>
    <col min="9133" max="9133" width="7" style="41" customWidth="1"/>
    <col min="9134" max="9134" width="23" style="41" customWidth="1"/>
    <col min="9135" max="9135" width="13.26953125" style="41" customWidth="1"/>
    <col min="9136" max="9136" width="17.36328125" style="41" bestFit="1" customWidth="1"/>
    <col min="9137" max="9137" width="11.54296875" style="41" bestFit="1" customWidth="1"/>
    <col min="9138" max="9138" width="7.81640625" style="41" customWidth="1"/>
    <col min="9139" max="9139" width="11.54296875" style="41" bestFit="1" customWidth="1"/>
    <col min="9140" max="9140" width="7" style="41" customWidth="1"/>
    <col min="9141" max="9141" width="18.1796875" style="41" customWidth="1"/>
    <col min="9142" max="9142" width="7" style="41" customWidth="1"/>
    <col min="9143" max="9143" width="15.54296875" style="41" customWidth="1"/>
    <col min="9144" max="9144" width="7.81640625" style="41" customWidth="1"/>
    <col min="9145" max="9145" width="15.54296875" style="41" customWidth="1"/>
    <col min="9146" max="9146" width="7.81640625" style="41" bestFit="1" customWidth="1"/>
    <col min="9147" max="9147" width="15.7265625" style="41" bestFit="1" customWidth="1"/>
    <col min="9148" max="9148" width="7.54296875" style="41" customWidth="1"/>
    <col min="9149" max="9149" width="14" style="41" customWidth="1"/>
    <col min="9150" max="9150" width="7.81640625" style="41" customWidth="1"/>
    <col min="9151" max="9151" width="14" style="41" customWidth="1"/>
    <col min="9152" max="9152" width="7.81640625" style="41" customWidth="1"/>
    <col min="9153" max="9153" width="14" style="41" customWidth="1"/>
    <col min="9154" max="9154" width="9" style="41" customWidth="1"/>
    <col min="9155" max="9155" width="15.1796875" style="41" customWidth="1"/>
    <col min="9156" max="9156" width="13" style="41" bestFit="1" customWidth="1"/>
    <col min="9157" max="9157" width="15.1796875" style="41" bestFit="1" customWidth="1"/>
    <col min="9158" max="9158" width="7.54296875" style="41" customWidth="1"/>
    <col min="9159" max="9159" width="14" style="41" customWidth="1"/>
    <col min="9160" max="9160" width="7.81640625" style="41" customWidth="1"/>
    <col min="9161" max="9161" width="14" style="41" customWidth="1"/>
    <col min="9162" max="9162" width="7.81640625" style="41" customWidth="1"/>
    <col min="9163" max="9163" width="14" style="41" customWidth="1"/>
    <col min="9164" max="9164" width="9" style="41" bestFit="1" customWidth="1"/>
    <col min="9165" max="9165" width="15.1796875" style="41" bestFit="1" customWidth="1"/>
    <col min="9166" max="9166" width="9" style="41" bestFit="1" customWidth="1"/>
    <col min="9167" max="9167" width="15.1796875" style="41" bestFit="1" customWidth="1"/>
    <col min="9168" max="9168" width="6.36328125" style="41" customWidth="1"/>
    <col min="9169" max="9169" width="12.7265625" style="41" customWidth="1"/>
    <col min="9170" max="9170" width="6.36328125" style="41" customWidth="1"/>
    <col min="9171" max="9171" width="12.7265625" style="41" customWidth="1"/>
    <col min="9172" max="9172" width="6" style="41" customWidth="1"/>
    <col min="9173" max="9173" width="12.7265625" style="41" customWidth="1"/>
    <col min="9174" max="9174" width="9.54296875" style="41" customWidth="1"/>
    <col min="9175" max="9175" width="14" style="41" bestFit="1" customWidth="1"/>
    <col min="9176" max="9176" width="9.26953125" style="41"/>
    <col min="9177" max="9177" width="13.54296875" style="41" customWidth="1"/>
    <col min="9178" max="9178" width="6" style="41" customWidth="1"/>
    <col min="9179" max="9179" width="13.7265625" style="41" customWidth="1"/>
    <col min="9180" max="9180" width="6" style="41" customWidth="1"/>
    <col min="9181" max="9181" width="12.7265625" style="41" customWidth="1"/>
    <col min="9182" max="9182" width="6.81640625" style="41" customWidth="1"/>
    <col min="9183" max="9183" width="12.7265625" style="41" customWidth="1"/>
    <col min="9184" max="9184" width="6.81640625" style="41" customWidth="1"/>
    <col min="9185" max="9185" width="15.7265625" style="41" bestFit="1" customWidth="1"/>
    <col min="9186" max="9186" width="8.54296875" style="41" bestFit="1" customWidth="1"/>
    <col min="9187" max="9187" width="13.54296875" style="41" customWidth="1"/>
    <col min="9188" max="9188" width="6" style="41" customWidth="1"/>
    <col min="9189" max="9189" width="13.7265625" style="41" customWidth="1"/>
    <col min="9190" max="9190" width="6" style="41" customWidth="1"/>
    <col min="9191" max="9191" width="12.7265625" style="41" customWidth="1"/>
    <col min="9192" max="9192" width="6.81640625" style="41" customWidth="1"/>
    <col min="9193" max="9193" width="12.7265625" style="41" customWidth="1"/>
    <col min="9194" max="9194" width="6.81640625" style="41" customWidth="1"/>
    <col min="9195" max="9195" width="16.36328125" style="41" bestFit="1" customWidth="1"/>
    <col min="9196" max="9196" width="9.54296875" style="41" bestFit="1" customWidth="1"/>
    <col min="9197" max="9197" width="17.36328125" style="41" bestFit="1" customWidth="1"/>
    <col min="9198" max="9198" width="6" style="41" customWidth="1"/>
    <col min="9199" max="9199" width="13.7265625" style="41" customWidth="1"/>
    <col min="9200" max="9200" width="6" style="41" customWidth="1"/>
    <col min="9201" max="9201" width="12.7265625" style="41" customWidth="1"/>
    <col min="9202" max="9202" width="6.81640625" style="41" customWidth="1"/>
    <col min="9203" max="9203" width="12.7265625" style="41" customWidth="1"/>
    <col min="9204" max="9204" width="6.81640625" style="41" customWidth="1"/>
    <col min="9205" max="9205" width="15.36328125" style="41" bestFit="1" customWidth="1"/>
    <col min="9206" max="9206" width="9.54296875" style="41" bestFit="1" customWidth="1"/>
    <col min="9207" max="9207" width="17.36328125" style="41" bestFit="1" customWidth="1"/>
    <col min="9208" max="9208" width="8" style="41" customWidth="1"/>
    <col min="9209" max="9209" width="12.1796875" style="41" customWidth="1"/>
    <col min="9210" max="9210" width="8" style="41" customWidth="1"/>
    <col min="9211" max="9211" width="20" style="41" customWidth="1"/>
    <col min="9212" max="9212" width="15.26953125" style="41" bestFit="1" customWidth="1"/>
    <col min="9213" max="9213" width="14.26953125" style="41" bestFit="1" customWidth="1"/>
    <col min="9214" max="9214" width="13" style="41" bestFit="1" customWidth="1"/>
    <col min="9215" max="9386" width="9.26953125" style="41"/>
    <col min="9387" max="9387" width="2.7265625" style="41" customWidth="1"/>
    <col min="9388" max="9388" width="3.54296875" style="41" customWidth="1"/>
    <col min="9389" max="9389" width="7" style="41" customWidth="1"/>
    <col min="9390" max="9390" width="23" style="41" customWidth="1"/>
    <col min="9391" max="9391" width="13.26953125" style="41" customWidth="1"/>
    <col min="9392" max="9392" width="17.36328125" style="41" bestFit="1" customWidth="1"/>
    <col min="9393" max="9393" width="11.54296875" style="41" bestFit="1" customWidth="1"/>
    <col min="9394" max="9394" width="7.81640625" style="41" customWidth="1"/>
    <col min="9395" max="9395" width="11.54296875" style="41" bestFit="1" customWidth="1"/>
    <col min="9396" max="9396" width="7" style="41" customWidth="1"/>
    <col min="9397" max="9397" width="18.1796875" style="41" customWidth="1"/>
    <col min="9398" max="9398" width="7" style="41" customWidth="1"/>
    <col min="9399" max="9399" width="15.54296875" style="41" customWidth="1"/>
    <col min="9400" max="9400" width="7.81640625" style="41" customWidth="1"/>
    <col min="9401" max="9401" width="15.54296875" style="41" customWidth="1"/>
    <col min="9402" max="9402" width="7.81640625" style="41" bestFit="1" customWidth="1"/>
    <col min="9403" max="9403" width="15.7265625" style="41" bestFit="1" customWidth="1"/>
    <col min="9404" max="9404" width="7.54296875" style="41" customWidth="1"/>
    <col min="9405" max="9405" width="14" style="41" customWidth="1"/>
    <col min="9406" max="9406" width="7.81640625" style="41" customWidth="1"/>
    <col min="9407" max="9407" width="14" style="41" customWidth="1"/>
    <col min="9408" max="9408" width="7.81640625" style="41" customWidth="1"/>
    <col min="9409" max="9409" width="14" style="41" customWidth="1"/>
    <col min="9410" max="9410" width="9" style="41" customWidth="1"/>
    <col min="9411" max="9411" width="15.1796875" style="41" customWidth="1"/>
    <col min="9412" max="9412" width="13" style="41" bestFit="1" customWidth="1"/>
    <col min="9413" max="9413" width="15.1796875" style="41" bestFit="1" customWidth="1"/>
    <col min="9414" max="9414" width="7.54296875" style="41" customWidth="1"/>
    <col min="9415" max="9415" width="14" style="41" customWidth="1"/>
    <col min="9416" max="9416" width="7.81640625" style="41" customWidth="1"/>
    <col min="9417" max="9417" width="14" style="41" customWidth="1"/>
    <col min="9418" max="9418" width="7.81640625" style="41" customWidth="1"/>
    <col min="9419" max="9419" width="14" style="41" customWidth="1"/>
    <col min="9420" max="9420" width="9" style="41" bestFit="1" customWidth="1"/>
    <col min="9421" max="9421" width="15.1796875" style="41" bestFit="1" customWidth="1"/>
    <col min="9422" max="9422" width="9" style="41" bestFit="1" customWidth="1"/>
    <col min="9423" max="9423" width="15.1796875" style="41" bestFit="1" customWidth="1"/>
    <col min="9424" max="9424" width="6.36328125" style="41" customWidth="1"/>
    <col min="9425" max="9425" width="12.7265625" style="41" customWidth="1"/>
    <col min="9426" max="9426" width="6.36328125" style="41" customWidth="1"/>
    <col min="9427" max="9427" width="12.7265625" style="41" customWidth="1"/>
    <col min="9428" max="9428" width="6" style="41" customWidth="1"/>
    <col min="9429" max="9429" width="12.7265625" style="41" customWidth="1"/>
    <col min="9430" max="9430" width="9.54296875" style="41" customWidth="1"/>
    <col min="9431" max="9431" width="14" style="41" bestFit="1" customWidth="1"/>
    <col min="9432" max="9432" width="9.26953125" style="41"/>
    <col min="9433" max="9433" width="13.54296875" style="41" customWidth="1"/>
    <col min="9434" max="9434" width="6" style="41" customWidth="1"/>
    <col min="9435" max="9435" width="13.7265625" style="41" customWidth="1"/>
    <col min="9436" max="9436" width="6" style="41" customWidth="1"/>
    <col min="9437" max="9437" width="12.7265625" style="41" customWidth="1"/>
    <col min="9438" max="9438" width="6.81640625" style="41" customWidth="1"/>
    <col min="9439" max="9439" width="12.7265625" style="41" customWidth="1"/>
    <col min="9440" max="9440" width="6.81640625" style="41" customWidth="1"/>
    <col min="9441" max="9441" width="15.7265625" style="41" bestFit="1" customWidth="1"/>
    <col min="9442" max="9442" width="8.54296875" style="41" bestFit="1" customWidth="1"/>
    <col min="9443" max="9443" width="13.54296875" style="41" customWidth="1"/>
    <col min="9444" max="9444" width="6" style="41" customWidth="1"/>
    <col min="9445" max="9445" width="13.7265625" style="41" customWidth="1"/>
    <col min="9446" max="9446" width="6" style="41" customWidth="1"/>
    <col min="9447" max="9447" width="12.7265625" style="41" customWidth="1"/>
    <col min="9448" max="9448" width="6.81640625" style="41" customWidth="1"/>
    <col min="9449" max="9449" width="12.7265625" style="41" customWidth="1"/>
    <col min="9450" max="9450" width="6.81640625" style="41" customWidth="1"/>
    <col min="9451" max="9451" width="16.36328125" style="41" bestFit="1" customWidth="1"/>
    <col min="9452" max="9452" width="9.54296875" style="41" bestFit="1" customWidth="1"/>
    <col min="9453" max="9453" width="17.36328125" style="41" bestFit="1" customWidth="1"/>
    <col min="9454" max="9454" width="6" style="41" customWidth="1"/>
    <col min="9455" max="9455" width="13.7265625" style="41" customWidth="1"/>
    <col min="9456" max="9456" width="6" style="41" customWidth="1"/>
    <col min="9457" max="9457" width="12.7265625" style="41" customWidth="1"/>
    <col min="9458" max="9458" width="6.81640625" style="41" customWidth="1"/>
    <col min="9459" max="9459" width="12.7265625" style="41" customWidth="1"/>
    <col min="9460" max="9460" width="6.81640625" style="41" customWidth="1"/>
    <col min="9461" max="9461" width="15.36328125" style="41" bestFit="1" customWidth="1"/>
    <col min="9462" max="9462" width="9.54296875" style="41" bestFit="1" customWidth="1"/>
    <col min="9463" max="9463" width="17.36328125" style="41" bestFit="1" customWidth="1"/>
    <col min="9464" max="9464" width="8" style="41" customWidth="1"/>
    <col min="9465" max="9465" width="12.1796875" style="41" customWidth="1"/>
    <col min="9466" max="9466" width="8" style="41" customWidth="1"/>
    <col min="9467" max="9467" width="20" style="41" customWidth="1"/>
    <col min="9468" max="9468" width="15.26953125" style="41" bestFit="1" customWidth="1"/>
    <col min="9469" max="9469" width="14.26953125" style="41" bestFit="1" customWidth="1"/>
    <col min="9470" max="9470" width="13" style="41" bestFit="1" customWidth="1"/>
    <col min="9471" max="9642" width="9.26953125" style="41"/>
    <col min="9643" max="9643" width="2.7265625" style="41" customWidth="1"/>
    <col min="9644" max="9644" width="3.54296875" style="41" customWidth="1"/>
    <col min="9645" max="9645" width="7" style="41" customWidth="1"/>
    <col min="9646" max="9646" width="23" style="41" customWidth="1"/>
    <col min="9647" max="9647" width="13.26953125" style="41" customWidth="1"/>
    <col min="9648" max="9648" width="17.36328125" style="41" bestFit="1" customWidth="1"/>
    <col min="9649" max="9649" width="11.54296875" style="41" bestFit="1" customWidth="1"/>
    <col min="9650" max="9650" width="7.81640625" style="41" customWidth="1"/>
    <col min="9651" max="9651" width="11.54296875" style="41" bestFit="1" customWidth="1"/>
    <col min="9652" max="9652" width="7" style="41" customWidth="1"/>
    <col min="9653" max="9653" width="18.1796875" style="41" customWidth="1"/>
    <col min="9654" max="9654" width="7" style="41" customWidth="1"/>
    <col min="9655" max="9655" width="15.54296875" style="41" customWidth="1"/>
    <col min="9656" max="9656" width="7.81640625" style="41" customWidth="1"/>
    <col min="9657" max="9657" width="15.54296875" style="41" customWidth="1"/>
    <col min="9658" max="9658" width="7.81640625" style="41" bestFit="1" customWidth="1"/>
    <col min="9659" max="9659" width="15.7265625" style="41" bestFit="1" customWidth="1"/>
    <col min="9660" max="9660" width="7.54296875" style="41" customWidth="1"/>
    <col min="9661" max="9661" width="14" style="41" customWidth="1"/>
    <col min="9662" max="9662" width="7.81640625" style="41" customWidth="1"/>
    <col min="9663" max="9663" width="14" style="41" customWidth="1"/>
    <col min="9664" max="9664" width="7.81640625" style="41" customWidth="1"/>
    <col min="9665" max="9665" width="14" style="41" customWidth="1"/>
    <col min="9666" max="9666" width="9" style="41" customWidth="1"/>
    <col min="9667" max="9667" width="15.1796875" style="41" customWidth="1"/>
    <col min="9668" max="9668" width="13" style="41" bestFit="1" customWidth="1"/>
    <col min="9669" max="9669" width="15.1796875" style="41" bestFit="1" customWidth="1"/>
    <col min="9670" max="9670" width="7.54296875" style="41" customWidth="1"/>
    <col min="9671" max="9671" width="14" style="41" customWidth="1"/>
    <col min="9672" max="9672" width="7.81640625" style="41" customWidth="1"/>
    <col min="9673" max="9673" width="14" style="41" customWidth="1"/>
    <col min="9674" max="9674" width="7.81640625" style="41" customWidth="1"/>
    <col min="9675" max="9675" width="14" style="41" customWidth="1"/>
    <col min="9676" max="9676" width="9" style="41" bestFit="1" customWidth="1"/>
    <col min="9677" max="9677" width="15.1796875" style="41" bestFit="1" customWidth="1"/>
    <col min="9678" max="9678" width="9" style="41" bestFit="1" customWidth="1"/>
    <col min="9679" max="9679" width="15.1796875" style="41" bestFit="1" customWidth="1"/>
    <col min="9680" max="9680" width="6.36328125" style="41" customWidth="1"/>
    <col min="9681" max="9681" width="12.7265625" style="41" customWidth="1"/>
    <col min="9682" max="9682" width="6.36328125" style="41" customWidth="1"/>
    <col min="9683" max="9683" width="12.7265625" style="41" customWidth="1"/>
    <col min="9684" max="9684" width="6" style="41" customWidth="1"/>
    <col min="9685" max="9685" width="12.7265625" style="41" customWidth="1"/>
    <col min="9686" max="9686" width="9.54296875" style="41" customWidth="1"/>
    <col min="9687" max="9687" width="14" style="41" bestFit="1" customWidth="1"/>
    <col min="9688" max="9688" width="9.26953125" style="41"/>
    <col min="9689" max="9689" width="13.54296875" style="41" customWidth="1"/>
    <col min="9690" max="9690" width="6" style="41" customWidth="1"/>
    <col min="9691" max="9691" width="13.7265625" style="41" customWidth="1"/>
    <col min="9692" max="9692" width="6" style="41" customWidth="1"/>
    <col min="9693" max="9693" width="12.7265625" style="41" customWidth="1"/>
    <col min="9694" max="9694" width="6.81640625" style="41" customWidth="1"/>
    <col min="9695" max="9695" width="12.7265625" style="41" customWidth="1"/>
    <col min="9696" max="9696" width="6.81640625" style="41" customWidth="1"/>
    <col min="9697" max="9697" width="15.7265625" style="41" bestFit="1" customWidth="1"/>
    <col min="9698" max="9698" width="8.54296875" style="41" bestFit="1" customWidth="1"/>
    <col min="9699" max="9699" width="13.54296875" style="41" customWidth="1"/>
    <col min="9700" max="9700" width="6" style="41" customWidth="1"/>
    <col min="9701" max="9701" width="13.7265625" style="41" customWidth="1"/>
    <col min="9702" max="9702" width="6" style="41" customWidth="1"/>
    <col min="9703" max="9703" width="12.7265625" style="41" customWidth="1"/>
    <col min="9704" max="9704" width="6.81640625" style="41" customWidth="1"/>
    <col min="9705" max="9705" width="12.7265625" style="41" customWidth="1"/>
    <col min="9706" max="9706" width="6.81640625" style="41" customWidth="1"/>
    <col min="9707" max="9707" width="16.36328125" style="41" bestFit="1" customWidth="1"/>
    <col min="9708" max="9708" width="9.54296875" style="41" bestFit="1" customWidth="1"/>
    <col min="9709" max="9709" width="17.36328125" style="41" bestFit="1" customWidth="1"/>
    <col min="9710" max="9710" width="6" style="41" customWidth="1"/>
    <col min="9711" max="9711" width="13.7265625" style="41" customWidth="1"/>
    <col min="9712" max="9712" width="6" style="41" customWidth="1"/>
    <col min="9713" max="9713" width="12.7265625" style="41" customWidth="1"/>
    <col min="9714" max="9714" width="6.81640625" style="41" customWidth="1"/>
    <col min="9715" max="9715" width="12.7265625" style="41" customWidth="1"/>
    <col min="9716" max="9716" width="6.81640625" style="41" customWidth="1"/>
    <col min="9717" max="9717" width="15.36328125" style="41" bestFit="1" customWidth="1"/>
    <col min="9718" max="9718" width="9.54296875" style="41" bestFit="1" customWidth="1"/>
    <col min="9719" max="9719" width="17.36328125" style="41" bestFit="1" customWidth="1"/>
    <col min="9720" max="9720" width="8" style="41" customWidth="1"/>
    <col min="9721" max="9721" width="12.1796875" style="41" customWidth="1"/>
    <col min="9722" max="9722" width="8" style="41" customWidth="1"/>
    <col min="9723" max="9723" width="20" style="41" customWidth="1"/>
    <col min="9724" max="9724" width="15.26953125" style="41" bestFit="1" customWidth="1"/>
    <col min="9725" max="9725" width="14.26953125" style="41" bestFit="1" customWidth="1"/>
    <col min="9726" max="9726" width="13" style="41" bestFit="1" customWidth="1"/>
    <col min="9727" max="9898" width="9.26953125" style="41"/>
    <col min="9899" max="9899" width="2.7265625" style="41" customWidth="1"/>
    <col min="9900" max="9900" width="3.54296875" style="41" customWidth="1"/>
    <col min="9901" max="9901" width="7" style="41" customWidth="1"/>
    <col min="9902" max="9902" width="23" style="41" customWidth="1"/>
    <col min="9903" max="9903" width="13.26953125" style="41" customWidth="1"/>
    <col min="9904" max="9904" width="17.36328125" style="41" bestFit="1" customWidth="1"/>
    <col min="9905" max="9905" width="11.54296875" style="41" bestFit="1" customWidth="1"/>
    <col min="9906" max="9906" width="7.81640625" style="41" customWidth="1"/>
    <col min="9907" max="9907" width="11.54296875" style="41" bestFit="1" customWidth="1"/>
    <col min="9908" max="9908" width="7" style="41" customWidth="1"/>
    <col min="9909" max="9909" width="18.1796875" style="41" customWidth="1"/>
    <col min="9910" max="9910" width="7" style="41" customWidth="1"/>
    <col min="9911" max="9911" width="15.54296875" style="41" customWidth="1"/>
    <col min="9912" max="9912" width="7.81640625" style="41" customWidth="1"/>
    <col min="9913" max="9913" width="15.54296875" style="41" customWidth="1"/>
    <col min="9914" max="9914" width="7.81640625" style="41" bestFit="1" customWidth="1"/>
    <col min="9915" max="9915" width="15.7265625" style="41" bestFit="1" customWidth="1"/>
    <col min="9916" max="9916" width="7.54296875" style="41" customWidth="1"/>
    <col min="9917" max="9917" width="14" style="41" customWidth="1"/>
    <col min="9918" max="9918" width="7.81640625" style="41" customWidth="1"/>
    <col min="9919" max="9919" width="14" style="41" customWidth="1"/>
    <col min="9920" max="9920" width="7.81640625" style="41" customWidth="1"/>
    <col min="9921" max="9921" width="14" style="41" customWidth="1"/>
    <col min="9922" max="9922" width="9" style="41" customWidth="1"/>
    <col min="9923" max="9923" width="15.1796875" style="41" customWidth="1"/>
    <col min="9924" max="9924" width="13" style="41" bestFit="1" customWidth="1"/>
    <col min="9925" max="9925" width="15.1796875" style="41" bestFit="1" customWidth="1"/>
    <col min="9926" max="9926" width="7.54296875" style="41" customWidth="1"/>
    <col min="9927" max="9927" width="14" style="41" customWidth="1"/>
    <col min="9928" max="9928" width="7.81640625" style="41" customWidth="1"/>
    <col min="9929" max="9929" width="14" style="41" customWidth="1"/>
    <col min="9930" max="9930" width="7.81640625" style="41" customWidth="1"/>
    <col min="9931" max="9931" width="14" style="41" customWidth="1"/>
    <col min="9932" max="9932" width="9" style="41" bestFit="1" customWidth="1"/>
    <col min="9933" max="9933" width="15.1796875" style="41" bestFit="1" customWidth="1"/>
    <col min="9934" max="9934" width="9" style="41" bestFit="1" customWidth="1"/>
    <col min="9935" max="9935" width="15.1796875" style="41" bestFit="1" customWidth="1"/>
    <col min="9936" max="9936" width="6.36328125" style="41" customWidth="1"/>
    <col min="9937" max="9937" width="12.7265625" style="41" customWidth="1"/>
    <col min="9938" max="9938" width="6.36328125" style="41" customWidth="1"/>
    <col min="9939" max="9939" width="12.7265625" style="41" customWidth="1"/>
    <col min="9940" max="9940" width="6" style="41" customWidth="1"/>
    <col min="9941" max="9941" width="12.7265625" style="41" customWidth="1"/>
    <col min="9942" max="9942" width="9.54296875" style="41" customWidth="1"/>
    <col min="9943" max="9943" width="14" style="41" bestFit="1" customWidth="1"/>
    <col min="9944" max="9944" width="9.26953125" style="41"/>
    <col min="9945" max="9945" width="13.54296875" style="41" customWidth="1"/>
    <col min="9946" max="9946" width="6" style="41" customWidth="1"/>
    <col min="9947" max="9947" width="13.7265625" style="41" customWidth="1"/>
    <col min="9948" max="9948" width="6" style="41" customWidth="1"/>
    <col min="9949" max="9949" width="12.7265625" style="41" customWidth="1"/>
    <col min="9950" max="9950" width="6.81640625" style="41" customWidth="1"/>
    <col min="9951" max="9951" width="12.7265625" style="41" customWidth="1"/>
    <col min="9952" max="9952" width="6.81640625" style="41" customWidth="1"/>
    <col min="9953" max="9953" width="15.7265625" style="41" bestFit="1" customWidth="1"/>
    <col min="9954" max="9954" width="8.54296875" style="41" bestFit="1" customWidth="1"/>
    <col min="9955" max="9955" width="13.54296875" style="41" customWidth="1"/>
    <col min="9956" max="9956" width="6" style="41" customWidth="1"/>
    <col min="9957" max="9957" width="13.7265625" style="41" customWidth="1"/>
    <col min="9958" max="9958" width="6" style="41" customWidth="1"/>
    <col min="9959" max="9959" width="12.7265625" style="41" customWidth="1"/>
    <col min="9960" max="9960" width="6.81640625" style="41" customWidth="1"/>
    <col min="9961" max="9961" width="12.7265625" style="41" customWidth="1"/>
    <col min="9962" max="9962" width="6.81640625" style="41" customWidth="1"/>
    <col min="9963" max="9963" width="16.36328125" style="41" bestFit="1" customWidth="1"/>
    <col min="9964" max="9964" width="9.54296875" style="41" bestFit="1" customWidth="1"/>
    <col min="9965" max="9965" width="17.36328125" style="41" bestFit="1" customWidth="1"/>
    <col min="9966" max="9966" width="6" style="41" customWidth="1"/>
    <col min="9967" max="9967" width="13.7265625" style="41" customWidth="1"/>
    <col min="9968" max="9968" width="6" style="41" customWidth="1"/>
    <col min="9969" max="9969" width="12.7265625" style="41" customWidth="1"/>
    <col min="9970" max="9970" width="6.81640625" style="41" customWidth="1"/>
    <col min="9971" max="9971" width="12.7265625" style="41" customWidth="1"/>
    <col min="9972" max="9972" width="6.81640625" style="41" customWidth="1"/>
    <col min="9973" max="9973" width="15.36328125" style="41" bestFit="1" customWidth="1"/>
    <col min="9974" max="9974" width="9.54296875" style="41" bestFit="1" customWidth="1"/>
    <col min="9975" max="9975" width="17.36328125" style="41" bestFit="1" customWidth="1"/>
    <col min="9976" max="9976" width="8" style="41" customWidth="1"/>
    <col min="9977" max="9977" width="12.1796875" style="41" customWidth="1"/>
    <col min="9978" max="9978" width="8" style="41" customWidth="1"/>
    <col min="9979" max="9979" width="20" style="41" customWidth="1"/>
    <col min="9980" max="9980" width="15.26953125" style="41" bestFit="1" customWidth="1"/>
    <col min="9981" max="9981" width="14.26953125" style="41" bestFit="1" customWidth="1"/>
    <col min="9982" max="9982" width="13" style="41" bestFit="1" customWidth="1"/>
    <col min="9983" max="10154" width="9.26953125" style="41"/>
    <col min="10155" max="10155" width="2.7265625" style="41" customWidth="1"/>
    <col min="10156" max="10156" width="3.54296875" style="41" customWidth="1"/>
    <col min="10157" max="10157" width="7" style="41" customWidth="1"/>
    <col min="10158" max="10158" width="23" style="41" customWidth="1"/>
    <col min="10159" max="10159" width="13.26953125" style="41" customWidth="1"/>
    <col min="10160" max="10160" width="17.36328125" style="41" bestFit="1" customWidth="1"/>
    <col min="10161" max="10161" width="11.54296875" style="41" bestFit="1" customWidth="1"/>
    <col min="10162" max="10162" width="7.81640625" style="41" customWidth="1"/>
    <col min="10163" max="10163" width="11.54296875" style="41" bestFit="1" customWidth="1"/>
    <col min="10164" max="10164" width="7" style="41" customWidth="1"/>
    <col min="10165" max="10165" width="18.1796875" style="41" customWidth="1"/>
    <col min="10166" max="10166" width="7" style="41" customWidth="1"/>
    <col min="10167" max="10167" width="15.54296875" style="41" customWidth="1"/>
    <col min="10168" max="10168" width="7.81640625" style="41" customWidth="1"/>
    <col min="10169" max="10169" width="15.54296875" style="41" customWidth="1"/>
    <col min="10170" max="10170" width="7.81640625" style="41" bestFit="1" customWidth="1"/>
    <col min="10171" max="10171" width="15.7265625" style="41" bestFit="1" customWidth="1"/>
    <col min="10172" max="10172" width="7.54296875" style="41" customWidth="1"/>
    <col min="10173" max="10173" width="14" style="41" customWidth="1"/>
    <col min="10174" max="10174" width="7.81640625" style="41" customWidth="1"/>
    <col min="10175" max="10175" width="14" style="41" customWidth="1"/>
    <col min="10176" max="10176" width="7.81640625" style="41" customWidth="1"/>
    <col min="10177" max="10177" width="14" style="41" customWidth="1"/>
    <col min="10178" max="10178" width="9" style="41" customWidth="1"/>
    <col min="10179" max="10179" width="15.1796875" style="41" customWidth="1"/>
    <col min="10180" max="10180" width="13" style="41" bestFit="1" customWidth="1"/>
    <col min="10181" max="10181" width="15.1796875" style="41" bestFit="1" customWidth="1"/>
    <col min="10182" max="10182" width="7.54296875" style="41" customWidth="1"/>
    <col min="10183" max="10183" width="14" style="41" customWidth="1"/>
    <col min="10184" max="10184" width="7.81640625" style="41" customWidth="1"/>
    <col min="10185" max="10185" width="14" style="41" customWidth="1"/>
    <col min="10186" max="10186" width="7.81640625" style="41" customWidth="1"/>
    <col min="10187" max="10187" width="14" style="41" customWidth="1"/>
    <col min="10188" max="10188" width="9" style="41" bestFit="1" customWidth="1"/>
    <col min="10189" max="10189" width="15.1796875" style="41" bestFit="1" customWidth="1"/>
    <col min="10190" max="10190" width="9" style="41" bestFit="1" customWidth="1"/>
    <col min="10191" max="10191" width="15.1796875" style="41" bestFit="1" customWidth="1"/>
    <col min="10192" max="10192" width="6.36328125" style="41" customWidth="1"/>
    <col min="10193" max="10193" width="12.7265625" style="41" customWidth="1"/>
    <col min="10194" max="10194" width="6.36328125" style="41" customWidth="1"/>
    <col min="10195" max="10195" width="12.7265625" style="41" customWidth="1"/>
    <col min="10196" max="10196" width="6" style="41" customWidth="1"/>
    <col min="10197" max="10197" width="12.7265625" style="41" customWidth="1"/>
    <col min="10198" max="10198" width="9.54296875" style="41" customWidth="1"/>
    <col min="10199" max="10199" width="14" style="41" bestFit="1" customWidth="1"/>
    <col min="10200" max="10200" width="9.26953125" style="41"/>
    <col min="10201" max="10201" width="13.54296875" style="41" customWidth="1"/>
    <col min="10202" max="10202" width="6" style="41" customWidth="1"/>
    <col min="10203" max="10203" width="13.7265625" style="41" customWidth="1"/>
    <col min="10204" max="10204" width="6" style="41" customWidth="1"/>
    <col min="10205" max="10205" width="12.7265625" style="41" customWidth="1"/>
    <col min="10206" max="10206" width="6.81640625" style="41" customWidth="1"/>
    <col min="10207" max="10207" width="12.7265625" style="41" customWidth="1"/>
    <col min="10208" max="10208" width="6.81640625" style="41" customWidth="1"/>
    <col min="10209" max="10209" width="15.7265625" style="41" bestFit="1" customWidth="1"/>
    <col min="10210" max="10210" width="8.54296875" style="41" bestFit="1" customWidth="1"/>
    <col min="10211" max="10211" width="13.54296875" style="41" customWidth="1"/>
    <col min="10212" max="10212" width="6" style="41" customWidth="1"/>
    <col min="10213" max="10213" width="13.7265625" style="41" customWidth="1"/>
    <col min="10214" max="10214" width="6" style="41" customWidth="1"/>
    <col min="10215" max="10215" width="12.7265625" style="41" customWidth="1"/>
    <col min="10216" max="10216" width="6.81640625" style="41" customWidth="1"/>
    <col min="10217" max="10217" width="12.7265625" style="41" customWidth="1"/>
    <col min="10218" max="10218" width="6.81640625" style="41" customWidth="1"/>
    <col min="10219" max="10219" width="16.36328125" style="41" bestFit="1" customWidth="1"/>
    <col min="10220" max="10220" width="9.54296875" style="41" bestFit="1" customWidth="1"/>
    <col min="10221" max="10221" width="17.36328125" style="41" bestFit="1" customWidth="1"/>
    <col min="10222" max="10222" width="6" style="41" customWidth="1"/>
    <col min="10223" max="10223" width="13.7265625" style="41" customWidth="1"/>
    <col min="10224" max="10224" width="6" style="41" customWidth="1"/>
    <col min="10225" max="10225" width="12.7265625" style="41" customWidth="1"/>
    <col min="10226" max="10226" width="6.81640625" style="41" customWidth="1"/>
    <col min="10227" max="10227" width="12.7265625" style="41" customWidth="1"/>
    <col min="10228" max="10228" width="6.81640625" style="41" customWidth="1"/>
    <col min="10229" max="10229" width="15.36328125" style="41" bestFit="1" customWidth="1"/>
    <col min="10230" max="10230" width="9.54296875" style="41" bestFit="1" customWidth="1"/>
    <col min="10231" max="10231" width="17.36328125" style="41" bestFit="1" customWidth="1"/>
    <col min="10232" max="10232" width="8" style="41" customWidth="1"/>
    <col min="10233" max="10233" width="12.1796875" style="41" customWidth="1"/>
    <col min="10234" max="10234" width="8" style="41" customWidth="1"/>
    <col min="10235" max="10235" width="20" style="41" customWidth="1"/>
    <col min="10236" max="10236" width="15.26953125" style="41" bestFit="1" customWidth="1"/>
    <col min="10237" max="10237" width="14.26953125" style="41" bestFit="1" customWidth="1"/>
    <col min="10238" max="10238" width="13" style="41" bestFit="1" customWidth="1"/>
    <col min="10239" max="10410" width="9.26953125" style="41"/>
    <col min="10411" max="10411" width="2.7265625" style="41" customWidth="1"/>
    <col min="10412" max="10412" width="3.54296875" style="41" customWidth="1"/>
    <col min="10413" max="10413" width="7" style="41" customWidth="1"/>
    <col min="10414" max="10414" width="23" style="41" customWidth="1"/>
    <col min="10415" max="10415" width="13.26953125" style="41" customWidth="1"/>
    <col min="10416" max="10416" width="17.36328125" style="41" bestFit="1" customWidth="1"/>
    <col min="10417" max="10417" width="11.54296875" style="41" bestFit="1" customWidth="1"/>
    <col min="10418" max="10418" width="7.81640625" style="41" customWidth="1"/>
    <col min="10419" max="10419" width="11.54296875" style="41" bestFit="1" customWidth="1"/>
    <col min="10420" max="10420" width="7" style="41" customWidth="1"/>
    <col min="10421" max="10421" width="18.1796875" style="41" customWidth="1"/>
    <col min="10422" max="10422" width="7" style="41" customWidth="1"/>
    <col min="10423" max="10423" width="15.54296875" style="41" customWidth="1"/>
    <col min="10424" max="10424" width="7.81640625" style="41" customWidth="1"/>
    <col min="10425" max="10425" width="15.54296875" style="41" customWidth="1"/>
    <col min="10426" max="10426" width="7.81640625" style="41" bestFit="1" customWidth="1"/>
    <col min="10427" max="10427" width="15.7265625" style="41" bestFit="1" customWidth="1"/>
    <col min="10428" max="10428" width="7.54296875" style="41" customWidth="1"/>
    <col min="10429" max="10429" width="14" style="41" customWidth="1"/>
    <col min="10430" max="10430" width="7.81640625" style="41" customWidth="1"/>
    <col min="10431" max="10431" width="14" style="41" customWidth="1"/>
    <col min="10432" max="10432" width="7.81640625" style="41" customWidth="1"/>
    <col min="10433" max="10433" width="14" style="41" customWidth="1"/>
    <col min="10434" max="10434" width="9" style="41" customWidth="1"/>
    <col min="10435" max="10435" width="15.1796875" style="41" customWidth="1"/>
    <col min="10436" max="10436" width="13" style="41" bestFit="1" customWidth="1"/>
    <col min="10437" max="10437" width="15.1796875" style="41" bestFit="1" customWidth="1"/>
    <col min="10438" max="10438" width="7.54296875" style="41" customWidth="1"/>
    <col min="10439" max="10439" width="14" style="41" customWidth="1"/>
    <col min="10440" max="10440" width="7.81640625" style="41" customWidth="1"/>
    <col min="10441" max="10441" width="14" style="41" customWidth="1"/>
    <col min="10442" max="10442" width="7.81640625" style="41" customWidth="1"/>
    <col min="10443" max="10443" width="14" style="41" customWidth="1"/>
    <col min="10444" max="10444" width="9" style="41" bestFit="1" customWidth="1"/>
    <col min="10445" max="10445" width="15.1796875" style="41" bestFit="1" customWidth="1"/>
    <col min="10446" max="10446" width="9" style="41" bestFit="1" customWidth="1"/>
    <col min="10447" max="10447" width="15.1796875" style="41" bestFit="1" customWidth="1"/>
    <col min="10448" max="10448" width="6.36328125" style="41" customWidth="1"/>
    <col min="10449" max="10449" width="12.7265625" style="41" customWidth="1"/>
    <col min="10450" max="10450" width="6.36328125" style="41" customWidth="1"/>
    <col min="10451" max="10451" width="12.7265625" style="41" customWidth="1"/>
    <col min="10452" max="10452" width="6" style="41" customWidth="1"/>
    <col min="10453" max="10453" width="12.7265625" style="41" customWidth="1"/>
    <col min="10454" max="10454" width="9.54296875" style="41" customWidth="1"/>
    <col min="10455" max="10455" width="14" style="41" bestFit="1" customWidth="1"/>
    <col min="10456" max="10456" width="9.26953125" style="41"/>
    <col min="10457" max="10457" width="13.54296875" style="41" customWidth="1"/>
    <col min="10458" max="10458" width="6" style="41" customWidth="1"/>
    <col min="10459" max="10459" width="13.7265625" style="41" customWidth="1"/>
    <col min="10460" max="10460" width="6" style="41" customWidth="1"/>
    <col min="10461" max="10461" width="12.7265625" style="41" customWidth="1"/>
    <col min="10462" max="10462" width="6.81640625" style="41" customWidth="1"/>
    <col min="10463" max="10463" width="12.7265625" style="41" customWidth="1"/>
    <col min="10464" max="10464" width="6.81640625" style="41" customWidth="1"/>
    <col min="10465" max="10465" width="15.7265625" style="41" bestFit="1" customWidth="1"/>
    <col min="10466" max="10466" width="8.54296875" style="41" bestFit="1" customWidth="1"/>
    <col min="10467" max="10467" width="13.54296875" style="41" customWidth="1"/>
    <col min="10468" max="10468" width="6" style="41" customWidth="1"/>
    <col min="10469" max="10469" width="13.7265625" style="41" customWidth="1"/>
    <col min="10470" max="10470" width="6" style="41" customWidth="1"/>
    <col min="10471" max="10471" width="12.7265625" style="41" customWidth="1"/>
    <col min="10472" max="10472" width="6.81640625" style="41" customWidth="1"/>
    <col min="10473" max="10473" width="12.7265625" style="41" customWidth="1"/>
    <col min="10474" max="10474" width="6.81640625" style="41" customWidth="1"/>
    <col min="10475" max="10475" width="16.36328125" style="41" bestFit="1" customWidth="1"/>
    <col min="10476" max="10476" width="9.54296875" style="41" bestFit="1" customWidth="1"/>
    <col min="10477" max="10477" width="17.36328125" style="41" bestFit="1" customWidth="1"/>
    <col min="10478" max="10478" width="6" style="41" customWidth="1"/>
    <col min="10479" max="10479" width="13.7265625" style="41" customWidth="1"/>
    <col min="10480" max="10480" width="6" style="41" customWidth="1"/>
    <col min="10481" max="10481" width="12.7265625" style="41" customWidth="1"/>
    <col min="10482" max="10482" width="6.81640625" style="41" customWidth="1"/>
    <col min="10483" max="10483" width="12.7265625" style="41" customWidth="1"/>
    <col min="10484" max="10484" width="6.81640625" style="41" customWidth="1"/>
    <col min="10485" max="10485" width="15.36328125" style="41" bestFit="1" customWidth="1"/>
    <col min="10486" max="10486" width="9.54296875" style="41" bestFit="1" customWidth="1"/>
    <col min="10487" max="10487" width="17.36328125" style="41" bestFit="1" customWidth="1"/>
    <col min="10488" max="10488" width="8" style="41" customWidth="1"/>
    <col min="10489" max="10489" width="12.1796875" style="41" customWidth="1"/>
    <col min="10490" max="10490" width="8" style="41" customWidth="1"/>
    <col min="10491" max="10491" width="20" style="41" customWidth="1"/>
    <col min="10492" max="10492" width="15.26953125" style="41" bestFit="1" customWidth="1"/>
    <col min="10493" max="10493" width="14.26953125" style="41" bestFit="1" customWidth="1"/>
    <col min="10494" max="10494" width="13" style="41" bestFit="1" customWidth="1"/>
    <col min="10495" max="10666" width="9.26953125" style="41"/>
    <col min="10667" max="10667" width="2.7265625" style="41" customWidth="1"/>
    <col min="10668" max="10668" width="3.54296875" style="41" customWidth="1"/>
    <col min="10669" max="10669" width="7" style="41" customWidth="1"/>
    <col min="10670" max="10670" width="23" style="41" customWidth="1"/>
    <col min="10671" max="10671" width="13.26953125" style="41" customWidth="1"/>
    <col min="10672" max="10672" width="17.36328125" style="41" bestFit="1" customWidth="1"/>
    <col min="10673" max="10673" width="11.54296875" style="41" bestFit="1" customWidth="1"/>
    <col min="10674" max="10674" width="7.81640625" style="41" customWidth="1"/>
    <col min="10675" max="10675" width="11.54296875" style="41" bestFit="1" customWidth="1"/>
    <col min="10676" max="10676" width="7" style="41" customWidth="1"/>
    <col min="10677" max="10677" width="18.1796875" style="41" customWidth="1"/>
    <col min="10678" max="10678" width="7" style="41" customWidth="1"/>
    <col min="10679" max="10679" width="15.54296875" style="41" customWidth="1"/>
    <col min="10680" max="10680" width="7.81640625" style="41" customWidth="1"/>
    <col min="10681" max="10681" width="15.54296875" style="41" customWidth="1"/>
    <col min="10682" max="10682" width="7.81640625" style="41" bestFit="1" customWidth="1"/>
    <col min="10683" max="10683" width="15.7265625" style="41" bestFit="1" customWidth="1"/>
    <col min="10684" max="10684" width="7.54296875" style="41" customWidth="1"/>
    <col min="10685" max="10685" width="14" style="41" customWidth="1"/>
    <col min="10686" max="10686" width="7.81640625" style="41" customWidth="1"/>
    <col min="10687" max="10687" width="14" style="41" customWidth="1"/>
    <col min="10688" max="10688" width="7.81640625" style="41" customWidth="1"/>
    <col min="10689" max="10689" width="14" style="41" customWidth="1"/>
    <col min="10690" max="10690" width="9" style="41" customWidth="1"/>
    <col min="10691" max="10691" width="15.1796875" style="41" customWidth="1"/>
    <col min="10692" max="10692" width="13" style="41" bestFit="1" customWidth="1"/>
    <col min="10693" max="10693" width="15.1796875" style="41" bestFit="1" customWidth="1"/>
    <col min="10694" max="10694" width="7.54296875" style="41" customWidth="1"/>
    <col min="10695" max="10695" width="14" style="41" customWidth="1"/>
    <col min="10696" max="10696" width="7.81640625" style="41" customWidth="1"/>
    <col min="10697" max="10697" width="14" style="41" customWidth="1"/>
    <col min="10698" max="10698" width="7.81640625" style="41" customWidth="1"/>
    <col min="10699" max="10699" width="14" style="41" customWidth="1"/>
    <col min="10700" max="10700" width="9" style="41" bestFit="1" customWidth="1"/>
    <col min="10701" max="10701" width="15.1796875" style="41" bestFit="1" customWidth="1"/>
    <col min="10702" max="10702" width="9" style="41" bestFit="1" customWidth="1"/>
    <col min="10703" max="10703" width="15.1796875" style="41" bestFit="1" customWidth="1"/>
    <col min="10704" max="10704" width="6.36328125" style="41" customWidth="1"/>
    <col min="10705" max="10705" width="12.7265625" style="41" customWidth="1"/>
    <col min="10706" max="10706" width="6.36328125" style="41" customWidth="1"/>
    <col min="10707" max="10707" width="12.7265625" style="41" customWidth="1"/>
    <col min="10708" max="10708" width="6" style="41" customWidth="1"/>
    <col min="10709" max="10709" width="12.7265625" style="41" customWidth="1"/>
    <col min="10710" max="10710" width="9.54296875" style="41" customWidth="1"/>
    <col min="10711" max="10711" width="14" style="41" bestFit="1" customWidth="1"/>
    <col min="10712" max="10712" width="9.26953125" style="41"/>
    <col min="10713" max="10713" width="13.54296875" style="41" customWidth="1"/>
    <col min="10714" max="10714" width="6" style="41" customWidth="1"/>
    <col min="10715" max="10715" width="13.7265625" style="41" customWidth="1"/>
    <col min="10716" max="10716" width="6" style="41" customWidth="1"/>
    <col min="10717" max="10717" width="12.7265625" style="41" customWidth="1"/>
    <col min="10718" max="10718" width="6.81640625" style="41" customWidth="1"/>
    <col min="10719" max="10719" width="12.7265625" style="41" customWidth="1"/>
    <col min="10720" max="10720" width="6.81640625" style="41" customWidth="1"/>
    <col min="10721" max="10721" width="15.7265625" style="41" bestFit="1" customWidth="1"/>
    <col min="10722" max="10722" width="8.54296875" style="41" bestFit="1" customWidth="1"/>
    <col min="10723" max="10723" width="13.54296875" style="41" customWidth="1"/>
    <col min="10724" max="10724" width="6" style="41" customWidth="1"/>
    <col min="10725" max="10725" width="13.7265625" style="41" customWidth="1"/>
    <col min="10726" max="10726" width="6" style="41" customWidth="1"/>
    <col min="10727" max="10727" width="12.7265625" style="41" customWidth="1"/>
    <col min="10728" max="10728" width="6.81640625" style="41" customWidth="1"/>
    <col min="10729" max="10729" width="12.7265625" style="41" customWidth="1"/>
    <col min="10730" max="10730" width="6.81640625" style="41" customWidth="1"/>
    <col min="10731" max="10731" width="16.36328125" style="41" bestFit="1" customWidth="1"/>
    <col min="10732" max="10732" width="9.54296875" style="41" bestFit="1" customWidth="1"/>
    <col min="10733" max="10733" width="17.36328125" style="41" bestFit="1" customWidth="1"/>
    <col min="10734" max="10734" width="6" style="41" customWidth="1"/>
    <col min="10735" max="10735" width="13.7265625" style="41" customWidth="1"/>
    <col min="10736" max="10736" width="6" style="41" customWidth="1"/>
    <col min="10737" max="10737" width="12.7265625" style="41" customWidth="1"/>
    <col min="10738" max="10738" width="6.81640625" style="41" customWidth="1"/>
    <col min="10739" max="10739" width="12.7265625" style="41" customWidth="1"/>
    <col min="10740" max="10740" width="6.81640625" style="41" customWidth="1"/>
    <col min="10741" max="10741" width="15.36328125" style="41" bestFit="1" customWidth="1"/>
    <col min="10742" max="10742" width="9.54296875" style="41" bestFit="1" customWidth="1"/>
    <col min="10743" max="10743" width="17.36328125" style="41" bestFit="1" customWidth="1"/>
    <col min="10744" max="10744" width="8" style="41" customWidth="1"/>
    <col min="10745" max="10745" width="12.1796875" style="41" customWidth="1"/>
    <col min="10746" max="10746" width="8" style="41" customWidth="1"/>
    <col min="10747" max="10747" width="20" style="41" customWidth="1"/>
    <col min="10748" max="10748" width="15.26953125" style="41" bestFit="1" customWidth="1"/>
    <col min="10749" max="10749" width="14.26953125" style="41" bestFit="1" customWidth="1"/>
    <col min="10750" max="10750" width="13" style="41" bestFit="1" customWidth="1"/>
    <col min="10751" max="10922" width="9.26953125" style="41"/>
    <col min="10923" max="10923" width="2.7265625" style="41" customWidth="1"/>
    <col min="10924" max="10924" width="3.54296875" style="41" customWidth="1"/>
    <col min="10925" max="10925" width="7" style="41" customWidth="1"/>
    <col min="10926" max="10926" width="23" style="41" customWidth="1"/>
    <col min="10927" max="10927" width="13.26953125" style="41" customWidth="1"/>
    <col min="10928" max="10928" width="17.36328125" style="41" bestFit="1" customWidth="1"/>
    <col min="10929" max="10929" width="11.54296875" style="41" bestFit="1" customWidth="1"/>
    <col min="10930" max="10930" width="7.81640625" style="41" customWidth="1"/>
    <col min="10931" max="10931" width="11.54296875" style="41" bestFit="1" customWidth="1"/>
    <col min="10932" max="10932" width="7" style="41" customWidth="1"/>
    <col min="10933" max="10933" width="18.1796875" style="41" customWidth="1"/>
    <col min="10934" max="10934" width="7" style="41" customWidth="1"/>
    <col min="10935" max="10935" width="15.54296875" style="41" customWidth="1"/>
    <col min="10936" max="10936" width="7.81640625" style="41" customWidth="1"/>
    <col min="10937" max="10937" width="15.54296875" style="41" customWidth="1"/>
    <col min="10938" max="10938" width="7.81640625" style="41" bestFit="1" customWidth="1"/>
    <col min="10939" max="10939" width="15.7265625" style="41" bestFit="1" customWidth="1"/>
    <col min="10940" max="10940" width="7.54296875" style="41" customWidth="1"/>
    <col min="10941" max="10941" width="14" style="41" customWidth="1"/>
    <col min="10942" max="10942" width="7.81640625" style="41" customWidth="1"/>
    <col min="10943" max="10943" width="14" style="41" customWidth="1"/>
    <col min="10944" max="10944" width="7.81640625" style="41" customWidth="1"/>
    <col min="10945" max="10945" width="14" style="41" customWidth="1"/>
    <col min="10946" max="10946" width="9" style="41" customWidth="1"/>
    <col min="10947" max="10947" width="15.1796875" style="41" customWidth="1"/>
    <col min="10948" max="10948" width="13" style="41" bestFit="1" customWidth="1"/>
    <col min="10949" max="10949" width="15.1796875" style="41" bestFit="1" customWidth="1"/>
    <col min="10950" max="10950" width="7.54296875" style="41" customWidth="1"/>
    <col min="10951" max="10951" width="14" style="41" customWidth="1"/>
    <col min="10952" max="10952" width="7.81640625" style="41" customWidth="1"/>
    <col min="10953" max="10953" width="14" style="41" customWidth="1"/>
    <col min="10954" max="10954" width="7.81640625" style="41" customWidth="1"/>
    <col min="10955" max="10955" width="14" style="41" customWidth="1"/>
    <col min="10956" max="10956" width="9" style="41" bestFit="1" customWidth="1"/>
    <col min="10957" max="10957" width="15.1796875" style="41" bestFit="1" customWidth="1"/>
    <col min="10958" max="10958" width="9" style="41" bestFit="1" customWidth="1"/>
    <col min="10959" max="10959" width="15.1796875" style="41" bestFit="1" customWidth="1"/>
    <col min="10960" max="10960" width="6.36328125" style="41" customWidth="1"/>
    <col min="10961" max="10961" width="12.7265625" style="41" customWidth="1"/>
    <col min="10962" max="10962" width="6.36328125" style="41" customWidth="1"/>
    <col min="10963" max="10963" width="12.7265625" style="41" customWidth="1"/>
    <col min="10964" max="10964" width="6" style="41" customWidth="1"/>
    <col min="10965" max="10965" width="12.7265625" style="41" customWidth="1"/>
    <col min="10966" max="10966" width="9.54296875" style="41" customWidth="1"/>
    <col min="10967" max="10967" width="14" style="41" bestFit="1" customWidth="1"/>
    <col min="10968" max="10968" width="9.26953125" style="41"/>
    <col min="10969" max="10969" width="13.54296875" style="41" customWidth="1"/>
    <col min="10970" max="10970" width="6" style="41" customWidth="1"/>
    <col min="10971" max="10971" width="13.7265625" style="41" customWidth="1"/>
    <col min="10972" max="10972" width="6" style="41" customWidth="1"/>
    <col min="10973" max="10973" width="12.7265625" style="41" customWidth="1"/>
    <col min="10974" max="10974" width="6.81640625" style="41" customWidth="1"/>
    <col min="10975" max="10975" width="12.7265625" style="41" customWidth="1"/>
    <col min="10976" max="10976" width="6.81640625" style="41" customWidth="1"/>
    <col min="10977" max="10977" width="15.7265625" style="41" bestFit="1" customWidth="1"/>
    <col min="10978" max="10978" width="8.54296875" style="41" bestFit="1" customWidth="1"/>
    <col min="10979" max="10979" width="13.54296875" style="41" customWidth="1"/>
    <col min="10980" max="10980" width="6" style="41" customWidth="1"/>
    <col min="10981" max="10981" width="13.7265625" style="41" customWidth="1"/>
    <col min="10982" max="10982" width="6" style="41" customWidth="1"/>
    <col min="10983" max="10983" width="12.7265625" style="41" customWidth="1"/>
    <col min="10984" max="10984" width="6.81640625" style="41" customWidth="1"/>
    <col min="10985" max="10985" width="12.7265625" style="41" customWidth="1"/>
    <col min="10986" max="10986" width="6.81640625" style="41" customWidth="1"/>
    <col min="10987" max="10987" width="16.36328125" style="41" bestFit="1" customWidth="1"/>
    <col min="10988" max="10988" width="9.54296875" style="41" bestFit="1" customWidth="1"/>
    <col min="10989" max="10989" width="17.36328125" style="41" bestFit="1" customWidth="1"/>
    <col min="10990" max="10990" width="6" style="41" customWidth="1"/>
    <col min="10991" max="10991" width="13.7265625" style="41" customWidth="1"/>
    <col min="10992" max="10992" width="6" style="41" customWidth="1"/>
    <col min="10993" max="10993" width="12.7265625" style="41" customWidth="1"/>
    <col min="10994" max="10994" width="6.81640625" style="41" customWidth="1"/>
    <col min="10995" max="10995" width="12.7265625" style="41" customWidth="1"/>
    <col min="10996" max="10996" width="6.81640625" style="41" customWidth="1"/>
    <col min="10997" max="10997" width="15.36328125" style="41" bestFit="1" customWidth="1"/>
    <col min="10998" max="10998" width="9.54296875" style="41" bestFit="1" customWidth="1"/>
    <col min="10999" max="10999" width="17.36328125" style="41" bestFit="1" customWidth="1"/>
    <col min="11000" max="11000" width="8" style="41" customWidth="1"/>
    <col min="11001" max="11001" width="12.1796875" style="41" customWidth="1"/>
    <col min="11002" max="11002" width="8" style="41" customWidth="1"/>
    <col min="11003" max="11003" width="20" style="41" customWidth="1"/>
    <col min="11004" max="11004" width="15.26953125" style="41" bestFit="1" customWidth="1"/>
    <col min="11005" max="11005" width="14.26953125" style="41" bestFit="1" customWidth="1"/>
    <col min="11006" max="11006" width="13" style="41" bestFit="1" customWidth="1"/>
    <col min="11007" max="11178" width="9.26953125" style="41"/>
    <col min="11179" max="11179" width="2.7265625" style="41" customWidth="1"/>
    <col min="11180" max="11180" width="3.54296875" style="41" customWidth="1"/>
    <col min="11181" max="11181" width="7" style="41" customWidth="1"/>
    <col min="11182" max="11182" width="23" style="41" customWidth="1"/>
    <col min="11183" max="11183" width="13.26953125" style="41" customWidth="1"/>
    <col min="11184" max="11184" width="17.36328125" style="41" bestFit="1" customWidth="1"/>
    <col min="11185" max="11185" width="11.54296875" style="41" bestFit="1" customWidth="1"/>
    <col min="11186" max="11186" width="7.81640625" style="41" customWidth="1"/>
    <col min="11187" max="11187" width="11.54296875" style="41" bestFit="1" customWidth="1"/>
    <col min="11188" max="11188" width="7" style="41" customWidth="1"/>
    <col min="11189" max="11189" width="18.1796875" style="41" customWidth="1"/>
    <col min="11190" max="11190" width="7" style="41" customWidth="1"/>
    <col min="11191" max="11191" width="15.54296875" style="41" customWidth="1"/>
    <col min="11192" max="11192" width="7.81640625" style="41" customWidth="1"/>
    <col min="11193" max="11193" width="15.54296875" style="41" customWidth="1"/>
    <col min="11194" max="11194" width="7.81640625" style="41" bestFit="1" customWidth="1"/>
    <col min="11195" max="11195" width="15.7265625" style="41" bestFit="1" customWidth="1"/>
    <col min="11196" max="11196" width="7.54296875" style="41" customWidth="1"/>
    <col min="11197" max="11197" width="14" style="41" customWidth="1"/>
    <col min="11198" max="11198" width="7.81640625" style="41" customWidth="1"/>
    <col min="11199" max="11199" width="14" style="41" customWidth="1"/>
    <col min="11200" max="11200" width="7.81640625" style="41" customWidth="1"/>
    <col min="11201" max="11201" width="14" style="41" customWidth="1"/>
    <col min="11202" max="11202" width="9" style="41" customWidth="1"/>
    <col min="11203" max="11203" width="15.1796875" style="41" customWidth="1"/>
    <col min="11204" max="11204" width="13" style="41" bestFit="1" customWidth="1"/>
    <col min="11205" max="11205" width="15.1796875" style="41" bestFit="1" customWidth="1"/>
    <col min="11206" max="11206" width="7.54296875" style="41" customWidth="1"/>
    <col min="11207" max="11207" width="14" style="41" customWidth="1"/>
    <col min="11208" max="11208" width="7.81640625" style="41" customWidth="1"/>
    <col min="11209" max="11209" width="14" style="41" customWidth="1"/>
    <col min="11210" max="11210" width="7.81640625" style="41" customWidth="1"/>
    <col min="11211" max="11211" width="14" style="41" customWidth="1"/>
    <col min="11212" max="11212" width="9" style="41" bestFit="1" customWidth="1"/>
    <col min="11213" max="11213" width="15.1796875" style="41" bestFit="1" customWidth="1"/>
    <col min="11214" max="11214" width="9" style="41" bestFit="1" customWidth="1"/>
    <col min="11215" max="11215" width="15.1796875" style="41" bestFit="1" customWidth="1"/>
    <col min="11216" max="11216" width="6.36328125" style="41" customWidth="1"/>
    <col min="11217" max="11217" width="12.7265625" style="41" customWidth="1"/>
    <col min="11218" max="11218" width="6.36328125" style="41" customWidth="1"/>
    <col min="11219" max="11219" width="12.7265625" style="41" customWidth="1"/>
    <col min="11220" max="11220" width="6" style="41" customWidth="1"/>
    <col min="11221" max="11221" width="12.7265625" style="41" customWidth="1"/>
    <col min="11222" max="11222" width="9.54296875" style="41" customWidth="1"/>
    <col min="11223" max="11223" width="14" style="41" bestFit="1" customWidth="1"/>
    <col min="11224" max="11224" width="9.26953125" style="41"/>
    <col min="11225" max="11225" width="13.54296875" style="41" customWidth="1"/>
    <col min="11226" max="11226" width="6" style="41" customWidth="1"/>
    <col min="11227" max="11227" width="13.7265625" style="41" customWidth="1"/>
    <col min="11228" max="11228" width="6" style="41" customWidth="1"/>
    <col min="11229" max="11229" width="12.7265625" style="41" customWidth="1"/>
    <col min="11230" max="11230" width="6.81640625" style="41" customWidth="1"/>
    <col min="11231" max="11231" width="12.7265625" style="41" customWidth="1"/>
    <col min="11232" max="11232" width="6.81640625" style="41" customWidth="1"/>
    <col min="11233" max="11233" width="15.7265625" style="41" bestFit="1" customWidth="1"/>
    <col min="11234" max="11234" width="8.54296875" style="41" bestFit="1" customWidth="1"/>
    <col min="11235" max="11235" width="13.54296875" style="41" customWidth="1"/>
    <col min="11236" max="11236" width="6" style="41" customWidth="1"/>
    <col min="11237" max="11237" width="13.7265625" style="41" customWidth="1"/>
    <col min="11238" max="11238" width="6" style="41" customWidth="1"/>
    <col min="11239" max="11239" width="12.7265625" style="41" customWidth="1"/>
    <col min="11240" max="11240" width="6.81640625" style="41" customWidth="1"/>
    <col min="11241" max="11241" width="12.7265625" style="41" customWidth="1"/>
    <col min="11242" max="11242" width="6.81640625" style="41" customWidth="1"/>
    <col min="11243" max="11243" width="16.36328125" style="41" bestFit="1" customWidth="1"/>
    <col min="11244" max="11244" width="9.54296875" style="41" bestFit="1" customWidth="1"/>
    <col min="11245" max="11245" width="17.36328125" style="41" bestFit="1" customWidth="1"/>
    <col min="11246" max="11246" width="6" style="41" customWidth="1"/>
    <col min="11247" max="11247" width="13.7265625" style="41" customWidth="1"/>
    <col min="11248" max="11248" width="6" style="41" customWidth="1"/>
    <col min="11249" max="11249" width="12.7265625" style="41" customWidth="1"/>
    <col min="11250" max="11250" width="6.81640625" style="41" customWidth="1"/>
    <col min="11251" max="11251" width="12.7265625" style="41" customWidth="1"/>
    <col min="11252" max="11252" width="6.81640625" style="41" customWidth="1"/>
    <col min="11253" max="11253" width="15.36328125" style="41" bestFit="1" customWidth="1"/>
    <col min="11254" max="11254" width="9.54296875" style="41" bestFit="1" customWidth="1"/>
    <col min="11255" max="11255" width="17.36328125" style="41" bestFit="1" customWidth="1"/>
    <col min="11256" max="11256" width="8" style="41" customWidth="1"/>
    <col min="11257" max="11257" width="12.1796875" style="41" customWidth="1"/>
    <col min="11258" max="11258" width="8" style="41" customWidth="1"/>
    <col min="11259" max="11259" width="20" style="41" customWidth="1"/>
    <col min="11260" max="11260" width="15.26953125" style="41" bestFit="1" customWidth="1"/>
    <col min="11261" max="11261" width="14.26953125" style="41" bestFit="1" customWidth="1"/>
    <col min="11262" max="11262" width="13" style="41" bestFit="1" customWidth="1"/>
    <col min="11263" max="11434" width="9.26953125" style="41"/>
    <col min="11435" max="11435" width="2.7265625" style="41" customWidth="1"/>
    <col min="11436" max="11436" width="3.54296875" style="41" customWidth="1"/>
    <col min="11437" max="11437" width="7" style="41" customWidth="1"/>
    <col min="11438" max="11438" width="23" style="41" customWidth="1"/>
    <col min="11439" max="11439" width="13.26953125" style="41" customWidth="1"/>
    <col min="11440" max="11440" width="17.36328125" style="41" bestFit="1" customWidth="1"/>
    <col min="11441" max="11441" width="11.54296875" style="41" bestFit="1" customWidth="1"/>
    <col min="11442" max="11442" width="7.81640625" style="41" customWidth="1"/>
    <col min="11443" max="11443" width="11.54296875" style="41" bestFit="1" customWidth="1"/>
    <col min="11444" max="11444" width="7" style="41" customWidth="1"/>
    <col min="11445" max="11445" width="18.1796875" style="41" customWidth="1"/>
    <col min="11446" max="11446" width="7" style="41" customWidth="1"/>
    <col min="11447" max="11447" width="15.54296875" style="41" customWidth="1"/>
    <col min="11448" max="11448" width="7.81640625" style="41" customWidth="1"/>
    <col min="11449" max="11449" width="15.54296875" style="41" customWidth="1"/>
    <col min="11450" max="11450" width="7.81640625" style="41" bestFit="1" customWidth="1"/>
    <col min="11451" max="11451" width="15.7265625" style="41" bestFit="1" customWidth="1"/>
    <col min="11452" max="11452" width="7.54296875" style="41" customWidth="1"/>
    <col min="11453" max="11453" width="14" style="41" customWidth="1"/>
    <col min="11454" max="11454" width="7.81640625" style="41" customWidth="1"/>
    <col min="11455" max="11455" width="14" style="41" customWidth="1"/>
    <col min="11456" max="11456" width="7.81640625" style="41" customWidth="1"/>
    <col min="11457" max="11457" width="14" style="41" customWidth="1"/>
    <col min="11458" max="11458" width="9" style="41" customWidth="1"/>
    <col min="11459" max="11459" width="15.1796875" style="41" customWidth="1"/>
    <col min="11460" max="11460" width="13" style="41" bestFit="1" customWidth="1"/>
    <col min="11461" max="11461" width="15.1796875" style="41" bestFit="1" customWidth="1"/>
    <col min="11462" max="11462" width="7.54296875" style="41" customWidth="1"/>
    <col min="11463" max="11463" width="14" style="41" customWidth="1"/>
    <col min="11464" max="11464" width="7.81640625" style="41" customWidth="1"/>
    <col min="11465" max="11465" width="14" style="41" customWidth="1"/>
    <col min="11466" max="11466" width="7.81640625" style="41" customWidth="1"/>
    <col min="11467" max="11467" width="14" style="41" customWidth="1"/>
    <col min="11468" max="11468" width="9" style="41" bestFit="1" customWidth="1"/>
    <col min="11469" max="11469" width="15.1796875" style="41" bestFit="1" customWidth="1"/>
    <col min="11470" max="11470" width="9" style="41" bestFit="1" customWidth="1"/>
    <col min="11471" max="11471" width="15.1796875" style="41" bestFit="1" customWidth="1"/>
    <col min="11472" max="11472" width="6.36328125" style="41" customWidth="1"/>
    <col min="11473" max="11473" width="12.7265625" style="41" customWidth="1"/>
    <col min="11474" max="11474" width="6.36328125" style="41" customWidth="1"/>
    <col min="11475" max="11475" width="12.7265625" style="41" customWidth="1"/>
    <col min="11476" max="11476" width="6" style="41" customWidth="1"/>
    <col min="11477" max="11477" width="12.7265625" style="41" customWidth="1"/>
    <col min="11478" max="11478" width="9.54296875" style="41" customWidth="1"/>
    <col min="11479" max="11479" width="14" style="41" bestFit="1" customWidth="1"/>
    <col min="11480" max="11480" width="9.26953125" style="41"/>
    <col min="11481" max="11481" width="13.54296875" style="41" customWidth="1"/>
    <col min="11482" max="11482" width="6" style="41" customWidth="1"/>
    <col min="11483" max="11483" width="13.7265625" style="41" customWidth="1"/>
    <col min="11484" max="11484" width="6" style="41" customWidth="1"/>
    <col min="11485" max="11485" width="12.7265625" style="41" customWidth="1"/>
    <col min="11486" max="11486" width="6.81640625" style="41" customWidth="1"/>
    <col min="11487" max="11487" width="12.7265625" style="41" customWidth="1"/>
    <col min="11488" max="11488" width="6.81640625" style="41" customWidth="1"/>
    <col min="11489" max="11489" width="15.7265625" style="41" bestFit="1" customWidth="1"/>
    <col min="11490" max="11490" width="8.54296875" style="41" bestFit="1" customWidth="1"/>
    <col min="11491" max="11491" width="13.54296875" style="41" customWidth="1"/>
    <col min="11492" max="11492" width="6" style="41" customWidth="1"/>
    <col min="11493" max="11493" width="13.7265625" style="41" customWidth="1"/>
    <col min="11494" max="11494" width="6" style="41" customWidth="1"/>
    <col min="11495" max="11495" width="12.7265625" style="41" customWidth="1"/>
    <col min="11496" max="11496" width="6.81640625" style="41" customWidth="1"/>
    <col min="11497" max="11497" width="12.7265625" style="41" customWidth="1"/>
    <col min="11498" max="11498" width="6.81640625" style="41" customWidth="1"/>
    <col min="11499" max="11499" width="16.36328125" style="41" bestFit="1" customWidth="1"/>
    <col min="11500" max="11500" width="9.54296875" style="41" bestFit="1" customWidth="1"/>
    <col min="11501" max="11501" width="17.36328125" style="41" bestFit="1" customWidth="1"/>
    <col min="11502" max="11502" width="6" style="41" customWidth="1"/>
    <col min="11503" max="11503" width="13.7265625" style="41" customWidth="1"/>
    <col min="11504" max="11504" width="6" style="41" customWidth="1"/>
    <col min="11505" max="11505" width="12.7265625" style="41" customWidth="1"/>
    <col min="11506" max="11506" width="6.81640625" style="41" customWidth="1"/>
    <col min="11507" max="11507" width="12.7265625" style="41" customWidth="1"/>
    <col min="11508" max="11508" width="6.81640625" style="41" customWidth="1"/>
    <col min="11509" max="11509" width="15.36328125" style="41" bestFit="1" customWidth="1"/>
    <col min="11510" max="11510" width="9.54296875" style="41" bestFit="1" customWidth="1"/>
    <col min="11511" max="11511" width="17.36328125" style="41" bestFit="1" customWidth="1"/>
    <col min="11512" max="11512" width="8" style="41" customWidth="1"/>
    <col min="11513" max="11513" width="12.1796875" style="41" customWidth="1"/>
    <col min="11514" max="11514" width="8" style="41" customWidth="1"/>
    <col min="11515" max="11515" width="20" style="41" customWidth="1"/>
    <col min="11516" max="11516" width="15.26953125" style="41" bestFit="1" customWidth="1"/>
    <col min="11517" max="11517" width="14.26953125" style="41" bestFit="1" customWidth="1"/>
    <col min="11518" max="11518" width="13" style="41" bestFit="1" customWidth="1"/>
    <col min="11519" max="11690" width="9.26953125" style="41"/>
    <col min="11691" max="11691" width="2.7265625" style="41" customWidth="1"/>
    <col min="11692" max="11692" width="3.54296875" style="41" customWidth="1"/>
    <col min="11693" max="11693" width="7" style="41" customWidth="1"/>
    <col min="11694" max="11694" width="23" style="41" customWidth="1"/>
    <col min="11695" max="11695" width="13.26953125" style="41" customWidth="1"/>
    <col min="11696" max="11696" width="17.36328125" style="41" bestFit="1" customWidth="1"/>
    <col min="11697" max="11697" width="11.54296875" style="41" bestFit="1" customWidth="1"/>
    <col min="11698" max="11698" width="7.81640625" style="41" customWidth="1"/>
    <col min="11699" max="11699" width="11.54296875" style="41" bestFit="1" customWidth="1"/>
    <col min="11700" max="11700" width="7" style="41" customWidth="1"/>
    <col min="11701" max="11701" width="18.1796875" style="41" customWidth="1"/>
    <col min="11702" max="11702" width="7" style="41" customWidth="1"/>
    <col min="11703" max="11703" width="15.54296875" style="41" customWidth="1"/>
    <col min="11704" max="11704" width="7.81640625" style="41" customWidth="1"/>
    <col min="11705" max="11705" width="15.54296875" style="41" customWidth="1"/>
    <col min="11706" max="11706" width="7.81640625" style="41" bestFit="1" customWidth="1"/>
    <col min="11707" max="11707" width="15.7265625" style="41" bestFit="1" customWidth="1"/>
    <col min="11708" max="11708" width="7.54296875" style="41" customWidth="1"/>
    <col min="11709" max="11709" width="14" style="41" customWidth="1"/>
    <col min="11710" max="11710" width="7.81640625" style="41" customWidth="1"/>
    <col min="11711" max="11711" width="14" style="41" customWidth="1"/>
    <col min="11712" max="11712" width="7.81640625" style="41" customWidth="1"/>
    <col min="11713" max="11713" width="14" style="41" customWidth="1"/>
    <col min="11714" max="11714" width="9" style="41" customWidth="1"/>
    <col min="11715" max="11715" width="15.1796875" style="41" customWidth="1"/>
    <col min="11716" max="11716" width="13" style="41" bestFit="1" customWidth="1"/>
    <col min="11717" max="11717" width="15.1796875" style="41" bestFit="1" customWidth="1"/>
    <col min="11718" max="11718" width="7.54296875" style="41" customWidth="1"/>
    <col min="11719" max="11719" width="14" style="41" customWidth="1"/>
    <col min="11720" max="11720" width="7.81640625" style="41" customWidth="1"/>
    <col min="11721" max="11721" width="14" style="41" customWidth="1"/>
    <col min="11722" max="11722" width="7.81640625" style="41" customWidth="1"/>
    <col min="11723" max="11723" width="14" style="41" customWidth="1"/>
    <col min="11724" max="11724" width="9" style="41" bestFit="1" customWidth="1"/>
    <col min="11725" max="11725" width="15.1796875" style="41" bestFit="1" customWidth="1"/>
    <col min="11726" max="11726" width="9" style="41" bestFit="1" customWidth="1"/>
    <col min="11727" max="11727" width="15.1796875" style="41" bestFit="1" customWidth="1"/>
    <col min="11728" max="11728" width="6.36328125" style="41" customWidth="1"/>
    <col min="11729" max="11729" width="12.7265625" style="41" customWidth="1"/>
    <col min="11730" max="11730" width="6.36328125" style="41" customWidth="1"/>
    <col min="11731" max="11731" width="12.7265625" style="41" customWidth="1"/>
    <col min="11732" max="11732" width="6" style="41" customWidth="1"/>
    <col min="11733" max="11733" width="12.7265625" style="41" customWidth="1"/>
    <col min="11734" max="11734" width="9.54296875" style="41" customWidth="1"/>
    <col min="11735" max="11735" width="14" style="41" bestFit="1" customWidth="1"/>
    <col min="11736" max="11736" width="9.26953125" style="41"/>
    <col min="11737" max="11737" width="13.54296875" style="41" customWidth="1"/>
    <col min="11738" max="11738" width="6" style="41" customWidth="1"/>
    <col min="11739" max="11739" width="13.7265625" style="41" customWidth="1"/>
    <col min="11740" max="11740" width="6" style="41" customWidth="1"/>
    <col min="11741" max="11741" width="12.7265625" style="41" customWidth="1"/>
    <col min="11742" max="11742" width="6.81640625" style="41" customWidth="1"/>
    <col min="11743" max="11743" width="12.7265625" style="41" customWidth="1"/>
    <col min="11744" max="11744" width="6.81640625" style="41" customWidth="1"/>
    <col min="11745" max="11745" width="15.7265625" style="41" bestFit="1" customWidth="1"/>
    <col min="11746" max="11746" width="8.54296875" style="41" bestFit="1" customWidth="1"/>
    <col min="11747" max="11747" width="13.54296875" style="41" customWidth="1"/>
    <col min="11748" max="11748" width="6" style="41" customWidth="1"/>
    <col min="11749" max="11749" width="13.7265625" style="41" customWidth="1"/>
    <col min="11750" max="11750" width="6" style="41" customWidth="1"/>
    <col min="11751" max="11751" width="12.7265625" style="41" customWidth="1"/>
    <col min="11752" max="11752" width="6.81640625" style="41" customWidth="1"/>
    <col min="11753" max="11753" width="12.7265625" style="41" customWidth="1"/>
    <col min="11754" max="11754" width="6.81640625" style="41" customWidth="1"/>
    <col min="11755" max="11755" width="16.36328125" style="41" bestFit="1" customWidth="1"/>
    <col min="11756" max="11756" width="9.54296875" style="41" bestFit="1" customWidth="1"/>
    <col min="11757" max="11757" width="17.36328125" style="41" bestFit="1" customWidth="1"/>
    <col min="11758" max="11758" width="6" style="41" customWidth="1"/>
    <col min="11759" max="11759" width="13.7265625" style="41" customWidth="1"/>
    <col min="11760" max="11760" width="6" style="41" customWidth="1"/>
    <col min="11761" max="11761" width="12.7265625" style="41" customWidth="1"/>
    <col min="11762" max="11762" width="6.81640625" style="41" customWidth="1"/>
    <col min="11763" max="11763" width="12.7265625" style="41" customWidth="1"/>
    <col min="11764" max="11764" width="6.81640625" style="41" customWidth="1"/>
    <col min="11765" max="11765" width="15.36328125" style="41" bestFit="1" customWidth="1"/>
    <col min="11766" max="11766" width="9.54296875" style="41" bestFit="1" customWidth="1"/>
    <col min="11767" max="11767" width="17.36328125" style="41" bestFit="1" customWidth="1"/>
    <col min="11768" max="11768" width="8" style="41" customWidth="1"/>
    <col min="11769" max="11769" width="12.1796875" style="41" customWidth="1"/>
    <col min="11770" max="11770" width="8" style="41" customWidth="1"/>
    <col min="11771" max="11771" width="20" style="41" customWidth="1"/>
    <col min="11772" max="11772" width="15.26953125" style="41" bestFit="1" customWidth="1"/>
    <col min="11773" max="11773" width="14.26953125" style="41" bestFit="1" customWidth="1"/>
    <col min="11774" max="11774" width="13" style="41" bestFit="1" customWidth="1"/>
    <col min="11775" max="11946" width="9.26953125" style="41"/>
    <col min="11947" max="11947" width="2.7265625" style="41" customWidth="1"/>
    <col min="11948" max="11948" width="3.54296875" style="41" customWidth="1"/>
    <col min="11949" max="11949" width="7" style="41" customWidth="1"/>
    <col min="11950" max="11950" width="23" style="41" customWidth="1"/>
    <col min="11951" max="11951" width="13.26953125" style="41" customWidth="1"/>
    <col min="11952" max="11952" width="17.36328125" style="41" bestFit="1" customWidth="1"/>
    <col min="11953" max="11953" width="11.54296875" style="41" bestFit="1" customWidth="1"/>
    <col min="11954" max="11954" width="7.81640625" style="41" customWidth="1"/>
    <col min="11955" max="11955" width="11.54296875" style="41" bestFit="1" customWidth="1"/>
    <col min="11956" max="11956" width="7" style="41" customWidth="1"/>
    <col min="11957" max="11957" width="18.1796875" style="41" customWidth="1"/>
    <col min="11958" max="11958" width="7" style="41" customWidth="1"/>
    <col min="11959" max="11959" width="15.54296875" style="41" customWidth="1"/>
    <col min="11960" max="11960" width="7.81640625" style="41" customWidth="1"/>
    <col min="11961" max="11961" width="15.54296875" style="41" customWidth="1"/>
    <col min="11962" max="11962" width="7.81640625" style="41" bestFit="1" customWidth="1"/>
    <col min="11963" max="11963" width="15.7265625" style="41" bestFit="1" customWidth="1"/>
    <col min="11964" max="11964" width="7.54296875" style="41" customWidth="1"/>
    <col min="11965" max="11965" width="14" style="41" customWidth="1"/>
    <col min="11966" max="11966" width="7.81640625" style="41" customWidth="1"/>
    <col min="11967" max="11967" width="14" style="41" customWidth="1"/>
    <col min="11968" max="11968" width="7.81640625" style="41" customWidth="1"/>
    <col min="11969" max="11969" width="14" style="41" customWidth="1"/>
    <col min="11970" max="11970" width="9" style="41" customWidth="1"/>
    <col min="11971" max="11971" width="15.1796875" style="41" customWidth="1"/>
    <col min="11972" max="11972" width="13" style="41" bestFit="1" customWidth="1"/>
    <col min="11973" max="11973" width="15.1796875" style="41" bestFit="1" customWidth="1"/>
    <col min="11974" max="11974" width="7.54296875" style="41" customWidth="1"/>
    <col min="11975" max="11975" width="14" style="41" customWidth="1"/>
    <col min="11976" max="11976" width="7.81640625" style="41" customWidth="1"/>
    <col min="11977" max="11977" width="14" style="41" customWidth="1"/>
    <col min="11978" max="11978" width="7.81640625" style="41" customWidth="1"/>
    <col min="11979" max="11979" width="14" style="41" customWidth="1"/>
    <col min="11980" max="11980" width="9" style="41" bestFit="1" customWidth="1"/>
    <col min="11981" max="11981" width="15.1796875" style="41" bestFit="1" customWidth="1"/>
    <col min="11982" max="11982" width="9" style="41" bestFit="1" customWidth="1"/>
    <col min="11983" max="11983" width="15.1796875" style="41" bestFit="1" customWidth="1"/>
    <col min="11984" max="11984" width="6.36328125" style="41" customWidth="1"/>
    <col min="11985" max="11985" width="12.7265625" style="41" customWidth="1"/>
    <col min="11986" max="11986" width="6.36328125" style="41" customWidth="1"/>
    <col min="11987" max="11987" width="12.7265625" style="41" customWidth="1"/>
    <col min="11988" max="11988" width="6" style="41" customWidth="1"/>
    <col min="11989" max="11989" width="12.7265625" style="41" customWidth="1"/>
    <col min="11990" max="11990" width="9.54296875" style="41" customWidth="1"/>
    <col min="11991" max="11991" width="14" style="41" bestFit="1" customWidth="1"/>
    <col min="11992" max="11992" width="9.26953125" style="41"/>
    <col min="11993" max="11993" width="13.54296875" style="41" customWidth="1"/>
    <col min="11994" max="11994" width="6" style="41" customWidth="1"/>
    <col min="11995" max="11995" width="13.7265625" style="41" customWidth="1"/>
    <col min="11996" max="11996" width="6" style="41" customWidth="1"/>
    <col min="11997" max="11997" width="12.7265625" style="41" customWidth="1"/>
    <col min="11998" max="11998" width="6.81640625" style="41" customWidth="1"/>
    <col min="11999" max="11999" width="12.7265625" style="41" customWidth="1"/>
    <col min="12000" max="12000" width="6.81640625" style="41" customWidth="1"/>
    <col min="12001" max="12001" width="15.7265625" style="41" bestFit="1" customWidth="1"/>
    <col min="12002" max="12002" width="8.54296875" style="41" bestFit="1" customWidth="1"/>
    <col min="12003" max="12003" width="13.54296875" style="41" customWidth="1"/>
    <col min="12004" max="12004" width="6" style="41" customWidth="1"/>
    <col min="12005" max="12005" width="13.7265625" style="41" customWidth="1"/>
    <col min="12006" max="12006" width="6" style="41" customWidth="1"/>
    <col min="12007" max="12007" width="12.7265625" style="41" customWidth="1"/>
    <col min="12008" max="12008" width="6.81640625" style="41" customWidth="1"/>
    <col min="12009" max="12009" width="12.7265625" style="41" customWidth="1"/>
    <col min="12010" max="12010" width="6.81640625" style="41" customWidth="1"/>
    <col min="12011" max="12011" width="16.36328125" style="41" bestFit="1" customWidth="1"/>
    <col min="12012" max="12012" width="9.54296875" style="41" bestFit="1" customWidth="1"/>
    <col min="12013" max="12013" width="17.36328125" style="41" bestFit="1" customWidth="1"/>
    <col min="12014" max="12014" width="6" style="41" customWidth="1"/>
    <col min="12015" max="12015" width="13.7265625" style="41" customWidth="1"/>
    <col min="12016" max="12016" width="6" style="41" customWidth="1"/>
    <col min="12017" max="12017" width="12.7265625" style="41" customWidth="1"/>
    <col min="12018" max="12018" width="6.81640625" style="41" customWidth="1"/>
    <col min="12019" max="12019" width="12.7265625" style="41" customWidth="1"/>
    <col min="12020" max="12020" width="6.81640625" style="41" customWidth="1"/>
    <col min="12021" max="12021" width="15.36328125" style="41" bestFit="1" customWidth="1"/>
    <col min="12022" max="12022" width="9.54296875" style="41" bestFit="1" customWidth="1"/>
    <col min="12023" max="12023" width="17.36328125" style="41" bestFit="1" customWidth="1"/>
    <col min="12024" max="12024" width="8" style="41" customWidth="1"/>
    <col min="12025" max="12025" width="12.1796875" style="41" customWidth="1"/>
    <col min="12026" max="12026" width="8" style="41" customWidth="1"/>
    <col min="12027" max="12027" width="20" style="41" customWidth="1"/>
    <col min="12028" max="12028" width="15.26953125" style="41" bestFit="1" customWidth="1"/>
    <col min="12029" max="12029" width="14.26953125" style="41" bestFit="1" customWidth="1"/>
    <col min="12030" max="12030" width="13" style="41" bestFit="1" customWidth="1"/>
    <col min="12031" max="12202" width="9.26953125" style="41"/>
    <col min="12203" max="12203" width="2.7265625" style="41" customWidth="1"/>
    <col min="12204" max="12204" width="3.54296875" style="41" customWidth="1"/>
    <col min="12205" max="12205" width="7" style="41" customWidth="1"/>
    <col min="12206" max="12206" width="23" style="41" customWidth="1"/>
    <col min="12207" max="12207" width="13.26953125" style="41" customWidth="1"/>
    <col min="12208" max="12208" width="17.36328125" style="41" bestFit="1" customWidth="1"/>
    <col min="12209" max="12209" width="11.54296875" style="41" bestFit="1" customWidth="1"/>
    <col min="12210" max="12210" width="7.81640625" style="41" customWidth="1"/>
    <col min="12211" max="12211" width="11.54296875" style="41" bestFit="1" customWidth="1"/>
    <col min="12212" max="12212" width="7" style="41" customWidth="1"/>
    <col min="12213" max="12213" width="18.1796875" style="41" customWidth="1"/>
    <col min="12214" max="12214" width="7" style="41" customWidth="1"/>
    <col min="12215" max="12215" width="15.54296875" style="41" customWidth="1"/>
    <col min="12216" max="12216" width="7.81640625" style="41" customWidth="1"/>
    <col min="12217" max="12217" width="15.54296875" style="41" customWidth="1"/>
    <col min="12218" max="12218" width="7.81640625" style="41" bestFit="1" customWidth="1"/>
    <col min="12219" max="12219" width="15.7265625" style="41" bestFit="1" customWidth="1"/>
    <col min="12220" max="12220" width="7.54296875" style="41" customWidth="1"/>
    <col min="12221" max="12221" width="14" style="41" customWidth="1"/>
    <col min="12222" max="12222" width="7.81640625" style="41" customWidth="1"/>
    <col min="12223" max="12223" width="14" style="41" customWidth="1"/>
    <col min="12224" max="12224" width="7.81640625" style="41" customWidth="1"/>
    <col min="12225" max="12225" width="14" style="41" customWidth="1"/>
    <col min="12226" max="12226" width="9" style="41" customWidth="1"/>
    <col min="12227" max="12227" width="15.1796875" style="41" customWidth="1"/>
    <col min="12228" max="12228" width="13" style="41" bestFit="1" customWidth="1"/>
    <col min="12229" max="12229" width="15.1796875" style="41" bestFit="1" customWidth="1"/>
    <col min="12230" max="12230" width="7.54296875" style="41" customWidth="1"/>
    <col min="12231" max="12231" width="14" style="41" customWidth="1"/>
    <col min="12232" max="12232" width="7.81640625" style="41" customWidth="1"/>
    <col min="12233" max="12233" width="14" style="41" customWidth="1"/>
    <col min="12234" max="12234" width="7.81640625" style="41" customWidth="1"/>
    <col min="12235" max="12235" width="14" style="41" customWidth="1"/>
    <col min="12236" max="12236" width="9" style="41" bestFit="1" customWidth="1"/>
    <col min="12237" max="12237" width="15.1796875" style="41" bestFit="1" customWidth="1"/>
    <col min="12238" max="12238" width="9" style="41" bestFit="1" customWidth="1"/>
    <col min="12239" max="12239" width="15.1796875" style="41" bestFit="1" customWidth="1"/>
    <col min="12240" max="12240" width="6.36328125" style="41" customWidth="1"/>
    <col min="12241" max="12241" width="12.7265625" style="41" customWidth="1"/>
    <col min="12242" max="12242" width="6.36328125" style="41" customWidth="1"/>
    <col min="12243" max="12243" width="12.7265625" style="41" customWidth="1"/>
    <col min="12244" max="12244" width="6" style="41" customWidth="1"/>
    <col min="12245" max="12245" width="12.7265625" style="41" customWidth="1"/>
    <col min="12246" max="12246" width="9.54296875" style="41" customWidth="1"/>
    <col min="12247" max="12247" width="14" style="41" bestFit="1" customWidth="1"/>
    <col min="12248" max="12248" width="9.26953125" style="41"/>
    <col min="12249" max="12249" width="13.54296875" style="41" customWidth="1"/>
    <col min="12250" max="12250" width="6" style="41" customWidth="1"/>
    <col min="12251" max="12251" width="13.7265625" style="41" customWidth="1"/>
    <col min="12252" max="12252" width="6" style="41" customWidth="1"/>
    <col min="12253" max="12253" width="12.7265625" style="41" customWidth="1"/>
    <col min="12254" max="12254" width="6.81640625" style="41" customWidth="1"/>
    <col min="12255" max="12255" width="12.7265625" style="41" customWidth="1"/>
    <col min="12256" max="12256" width="6.81640625" style="41" customWidth="1"/>
    <col min="12257" max="12257" width="15.7265625" style="41" bestFit="1" customWidth="1"/>
    <col min="12258" max="12258" width="8.54296875" style="41" bestFit="1" customWidth="1"/>
    <col min="12259" max="12259" width="13.54296875" style="41" customWidth="1"/>
    <col min="12260" max="12260" width="6" style="41" customWidth="1"/>
    <col min="12261" max="12261" width="13.7265625" style="41" customWidth="1"/>
    <col min="12262" max="12262" width="6" style="41" customWidth="1"/>
    <col min="12263" max="12263" width="12.7265625" style="41" customWidth="1"/>
    <col min="12264" max="12264" width="6.81640625" style="41" customWidth="1"/>
    <col min="12265" max="12265" width="12.7265625" style="41" customWidth="1"/>
    <col min="12266" max="12266" width="6.81640625" style="41" customWidth="1"/>
    <col min="12267" max="12267" width="16.36328125" style="41" bestFit="1" customWidth="1"/>
    <col min="12268" max="12268" width="9.54296875" style="41" bestFit="1" customWidth="1"/>
    <col min="12269" max="12269" width="17.36328125" style="41" bestFit="1" customWidth="1"/>
    <col min="12270" max="12270" width="6" style="41" customWidth="1"/>
    <col min="12271" max="12271" width="13.7265625" style="41" customWidth="1"/>
    <col min="12272" max="12272" width="6" style="41" customWidth="1"/>
    <col min="12273" max="12273" width="12.7265625" style="41" customWidth="1"/>
    <col min="12274" max="12274" width="6.81640625" style="41" customWidth="1"/>
    <col min="12275" max="12275" width="12.7265625" style="41" customWidth="1"/>
    <col min="12276" max="12276" width="6.81640625" style="41" customWidth="1"/>
    <col min="12277" max="12277" width="15.36328125" style="41" bestFit="1" customWidth="1"/>
    <col min="12278" max="12278" width="9.54296875" style="41" bestFit="1" customWidth="1"/>
    <col min="12279" max="12279" width="17.36328125" style="41" bestFit="1" customWidth="1"/>
    <col min="12280" max="12280" width="8" style="41" customWidth="1"/>
    <col min="12281" max="12281" width="12.1796875" style="41" customWidth="1"/>
    <col min="12282" max="12282" width="8" style="41" customWidth="1"/>
    <col min="12283" max="12283" width="20" style="41" customWidth="1"/>
    <col min="12284" max="12284" width="15.26953125" style="41" bestFit="1" customWidth="1"/>
    <col min="12285" max="12285" width="14.26953125" style="41" bestFit="1" customWidth="1"/>
    <col min="12286" max="12286" width="13" style="41" bestFit="1" customWidth="1"/>
    <col min="12287" max="12458" width="9.26953125" style="41"/>
    <col min="12459" max="12459" width="2.7265625" style="41" customWidth="1"/>
    <col min="12460" max="12460" width="3.54296875" style="41" customWidth="1"/>
    <col min="12461" max="12461" width="7" style="41" customWidth="1"/>
    <col min="12462" max="12462" width="23" style="41" customWidth="1"/>
    <col min="12463" max="12463" width="13.26953125" style="41" customWidth="1"/>
    <col min="12464" max="12464" width="17.36328125" style="41" bestFit="1" customWidth="1"/>
    <col min="12465" max="12465" width="11.54296875" style="41" bestFit="1" customWidth="1"/>
    <col min="12466" max="12466" width="7.81640625" style="41" customWidth="1"/>
    <col min="12467" max="12467" width="11.54296875" style="41" bestFit="1" customWidth="1"/>
    <col min="12468" max="12468" width="7" style="41" customWidth="1"/>
    <col min="12469" max="12469" width="18.1796875" style="41" customWidth="1"/>
    <col min="12470" max="12470" width="7" style="41" customWidth="1"/>
    <col min="12471" max="12471" width="15.54296875" style="41" customWidth="1"/>
    <col min="12472" max="12472" width="7.81640625" style="41" customWidth="1"/>
    <col min="12473" max="12473" width="15.54296875" style="41" customWidth="1"/>
    <col min="12474" max="12474" width="7.81640625" style="41" bestFit="1" customWidth="1"/>
    <col min="12475" max="12475" width="15.7265625" style="41" bestFit="1" customWidth="1"/>
    <col min="12476" max="12476" width="7.54296875" style="41" customWidth="1"/>
    <col min="12477" max="12477" width="14" style="41" customWidth="1"/>
    <col min="12478" max="12478" width="7.81640625" style="41" customWidth="1"/>
    <col min="12479" max="12479" width="14" style="41" customWidth="1"/>
    <col min="12480" max="12480" width="7.81640625" style="41" customWidth="1"/>
    <col min="12481" max="12481" width="14" style="41" customWidth="1"/>
    <col min="12482" max="12482" width="9" style="41" customWidth="1"/>
    <col min="12483" max="12483" width="15.1796875" style="41" customWidth="1"/>
    <col min="12484" max="12484" width="13" style="41" bestFit="1" customWidth="1"/>
    <col min="12485" max="12485" width="15.1796875" style="41" bestFit="1" customWidth="1"/>
    <col min="12486" max="12486" width="7.54296875" style="41" customWidth="1"/>
    <col min="12487" max="12487" width="14" style="41" customWidth="1"/>
    <col min="12488" max="12488" width="7.81640625" style="41" customWidth="1"/>
    <col min="12489" max="12489" width="14" style="41" customWidth="1"/>
    <col min="12490" max="12490" width="7.81640625" style="41" customWidth="1"/>
    <col min="12491" max="12491" width="14" style="41" customWidth="1"/>
    <col min="12492" max="12492" width="9" style="41" bestFit="1" customWidth="1"/>
    <col min="12493" max="12493" width="15.1796875" style="41" bestFit="1" customWidth="1"/>
    <col min="12494" max="12494" width="9" style="41" bestFit="1" customWidth="1"/>
    <col min="12495" max="12495" width="15.1796875" style="41" bestFit="1" customWidth="1"/>
    <col min="12496" max="12496" width="6.36328125" style="41" customWidth="1"/>
    <col min="12497" max="12497" width="12.7265625" style="41" customWidth="1"/>
    <col min="12498" max="12498" width="6.36328125" style="41" customWidth="1"/>
    <col min="12499" max="12499" width="12.7265625" style="41" customWidth="1"/>
    <col min="12500" max="12500" width="6" style="41" customWidth="1"/>
    <col min="12501" max="12501" width="12.7265625" style="41" customWidth="1"/>
    <col min="12502" max="12502" width="9.54296875" style="41" customWidth="1"/>
    <col min="12503" max="12503" width="14" style="41" bestFit="1" customWidth="1"/>
    <col min="12504" max="12504" width="9.26953125" style="41"/>
    <col min="12505" max="12505" width="13.54296875" style="41" customWidth="1"/>
    <col min="12506" max="12506" width="6" style="41" customWidth="1"/>
    <col min="12507" max="12507" width="13.7265625" style="41" customWidth="1"/>
    <col min="12508" max="12508" width="6" style="41" customWidth="1"/>
    <col min="12509" max="12509" width="12.7265625" style="41" customWidth="1"/>
    <col min="12510" max="12510" width="6.81640625" style="41" customWidth="1"/>
    <col min="12511" max="12511" width="12.7265625" style="41" customWidth="1"/>
    <col min="12512" max="12512" width="6.81640625" style="41" customWidth="1"/>
    <col min="12513" max="12513" width="15.7265625" style="41" bestFit="1" customWidth="1"/>
    <col min="12514" max="12514" width="8.54296875" style="41" bestFit="1" customWidth="1"/>
    <col min="12515" max="12515" width="13.54296875" style="41" customWidth="1"/>
    <col min="12516" max="12516" width="6" style="41" customWidth="1"/>
    <col min="12517" max="12517" width="13.7265625" style="41" customWidth="1"/>
    <col min="12518" max="12518" width="6" style="41" customWidth="1"/>
    <col min="12519" max="12519" width="12.7265625" style="41" customWidth="1"/>
    <col min="12520" max="12520" width="6.81640625" style="41" customWidth="1"/>
    <col min="12521" max="12521" width="12.7265625" style="41" customWidth="1"/>
    <col min="12522" max="12522" width="6.81640625" style="41" customWidth="1"/>
    <col min="12523" max="12523" width="16.36328125" style="41" bestFit="1" customWidth="1"/>
    <col min="12524" max="12524" width="9.54296875" style="41" bestFit="1" customWidth="1"/>
    <col min="12525" max="12525" width="17.36328125" style="41" bestFit="1" customWidth="1"/>
    <col min="12526" max="12526" width="6" style="41" customWidth="1"/>
    <col min="12527" max="12527" width="13.7265625" style="41" customWidth="1"/>
    <col min="12528" max="12528" width="6" style="41" customWidth="1"/>
    <col min="12529" max="12529" width="12.7265625" style="41" customWidth="1"/>
    <col min="12530" max="12530" width="6.81640625" style="41" customWidth="1"/>
    <col min="12531" max="12531" width="12.7265625" style="41" customWidth="1"/>
    <col min="12532" max="12532" width="6.81640625" style="41" customWidth="1"/>
    <col min="12533" max="12533" width="15.36328125" style="41" bestFit="1" customWidth="1"/>
    <col min="12534" max="12534" width="9.54296875" style="41" bestFit="1" customWidth="1"/>
    <col min="12535" max="12535" width="17.36328125" style="41" bestFit="1" customWidth="1"/>
    <col min="12536" max="12536" width="8" style="41" customWidth="1"/>
    <col min="12537" max="12537" width="12.1796875" style="41" customWidth="1"/>
    <col min="12538" max="12538" width="8" style="41" customWidth="1"/>
    <col min="12539" max="12539" width="20" style="41" customWidth="1"/>
    <col min="12540" max="12540" width="15.26953125" style="41" bestFit="1" customWidth="1"/>
    <col min="12541" max="12541" width="14.26953125" style="41" bestFit="1" customWidth="1"/>
    <col min="12542" max="12542" width="13" style="41" bestFit="1" customWidth="1"/>
    <col min="12543" max="12714" width="9.26953125" style="41"/>
    <col min="12715" max="12715" width="2.7265625" style="41" customWidth="1"/>
    <col min="12716" max="12716" width="3.54296875" style="41" customWidth="1"/>
    <col min="12717" max="12717" width="7" style="41" customWidth="1"/>
    <col min="12718" max="12718" width="23" style="41" customWidth="1"/>
    <col min="12719" max="12719" width="13.26953125" style="41" customWidth="1"/>
    <col min="12720" max="12720" width="17.36328125" style="41" bestFit="1" customWidth="1"/>
    <col min="12721" max="12721" width="11.54296875" style="41" bestFit="1" customWidth="1"/>
    <col min="12722" max="12722" width="7.81640625" style="41" customWidth="1"/>
    <col min="12723" max="12723" width="11.54296875" style="41" bestFit="1" customWidth="1"/>
    <col min="12724" max="12724" width="7" style="41" customWidth="1"/>
    <col min="12725" max="12725" width="18.1796875" style="41" customWidth="1"/>
    <col min="12726" max="12726" width="7" style="41" customWidth="1"/>
    <col min="12727" max="12727" width="15.54296875" style="41" customWidth="1"/>
    <col min="12728" max="12728" width="7.81640625" style="41" customWidth="1"/>
    <col min="12729" max="12729" width="15.54296875" style="41" customWidth="1"/>
    <col min="12730" max="12730" width="7.81640625" style="41" bestFit="1" customWidth="1"/>
    <col min="12731" max="12731" width="15.7265625" style="41" bestFit="1" customWidth="1"/>
    <col min="12732" max="12732" width="7.54296875" style="41" customWidth="1"/>
    <col min="12733" max="12733" width="14" style="41" customWidth="1"/>
    <col min="12734" max="12734" width="7.81640625" style="41" customWidth="1"/>
    <col min="12735" max="12735" width="14" style="41" customWidth="1"/>
    <col min="12736" max="12736" width="7.81640625" style="41" customWidth="1"/>
    <col min="12737" max="12737" width="14" style="41" customWidth="1"/>
    <col min="12738" max="12738" width="9" style="41" customWidth="1"/>
    <col min="12739" max="12739" width="15.1796875" style="41" customWidth="1"/>
    <col min="12740" max="12740" width="13" style="41" bestFit="1" customWidth="1"/>
    <col min="12741" max="12741" width="15.1796875" style="41" bestFit="1" customWidth="1"/>
    <col min="12742" max="12742" width="7.54296875" style="41" customWidth="1"/>
    <col min="12743" max="12743" width="14" style="41" customWidth="1"/>
    <col min="12744" max="12744" width="7.81640625" style="41" customWidth="1"/>
    <col min="12745" max="12745" width="14" style="41" customWidth="1"/>
    <col min="12746" max="12746" width="7.81640625" style="41" customWidth="1"/>
    <col min="12747" max="12747" width="14" style="41" customWidth="1"/>
    <col min="12748" max="12748" width="9" style="41" bestFit="1" customWidth="1"/>
    <col min="12749" max="12749" width="15.1796875" style="41" bestFit="1" customWidth="1"/>
    <col min="12750" max="12750" width="9" style="41" bestFit="1" customWidth="1"/>
    <col min="12751" max="12751" width="15.1796875" style="41" bestFit="1" customWidth="1"/>
    <col min="12752" max="12752" width="6.36328125" style="41" customWidth="1"/>
    <col min="12753" max="12753" width="12.7265625" style="41" customWidth="1"/>
    <col min="12754" max="12754" width="6.36328125" style="41" customWidth="1"/>
    <col min="12755" max="12755" width="12.7265625" style="41" customWidth="1"/>
    <col min="12756" max="12756" width="6" style="41" customWidth="1"/>
    <col min="12757" max="12757" width="12.7265625" style="41" customWidth="1"/>
    <col min="12758" max="12758" width="9.54296875" style="41" customWidth="1"/>
    <col min="12759" max="12759" width="14" style="41" bestFit="1" customWidth="1"/>
    <col min="12760" max="12760" width="9.26953125" style="41"/>
    <col min="12761" max="12761" width="13.54296875" style="41" customWidth="1"/>
    <col min="12762" max="12762" width="6" style="41" customWidth="1"/>
    <col min="12763" max="12763" width="13.7265625" style="41" customWidth="1"/>
    <col min="12764" max="12764" width="6" style="41" customWidth="1"/>
    <col min="12765" max="12765" width="12.7265625" style="41" customWidth="1"/>
    <col min="12766" max="12766" width="6.81640625" style="41" customWidth="1"/>
    <col min="12767" max="12767" width="12.7265625" style="41" customWidth="1"/>
    <col min="12768" max="12768" width="6.81640625" style="41" customWidth="1"/>
    <col min="12769" max="12769" width="15.7265625" style="41" bestFit="1" customWidth="1"/>
    <col min="12770" max="12770" width="8.54296875" style="41" bestFit="1" customWidth="1"/>
    <col min="12771" max="12771" width="13.54296875" style="41" customWidth="1"/>
    <col min="12772" max="12772" width="6" style="41" customWidth="1"/>
    <col min="12773" max="12773" width="13.7265625" style="41" customWidth="1"/>
    <col min="12774" max="12774" width="6" style="41" customWidth="1"/>
    <col min="12775" max="12775" width="12.7265625" style="41" customWidth="1"/>
    <col min="12776" max="12776" width="6.81640625" style="41" customWidth="1"/>
    <col min="12777" max="12777" width="12.7265625" style="41" customWidth="1"/>
    <col min="12778" max="12778" width="6.81640625" style="41" customWidth="1"/>
    <col min="12779" max="12779" width="16.36328125" style="41" bestFit="1" customWidth="1"/>
    <col min="12780" max="12780" width="9.54296875" style="41" bestFit="1" customWidth="1"/>
    <col min="12781" max="12781" width="17.36328125" style="41" bestFit="1" customWidth="1"/>
    <col min="12782" max="12782" width="6" style="41" customWidth="1"/>
    <col min="12783" max="12783" width="13.7265625" style="41" customWidth="1"/>
    <col min="12784" max="12784" width="6" style="41" customWidth="1"/>
    <col min="12785" max="12785" width="12.7265625" style="41" customWidth="1"/>
    <col min="12786" max="12786" width="6.81640625" style="41" customWidth="1"/>
    <col min="12787" max="12787" width="12.7265625" style="41" customWidth="1"/>
    <col min="12788" max="12788" width="6.81640625" style="41" customWidth="1"/>
    <col min="12789" max="12789" width="15.36328125" style="41" bestFit="1" customWidth="1"/>
    <col min="12790" max="12790" width="9.54296875" style="41" bestFit="1" customWidth="1"/>
    <col min="12791" max="12791" width="17.36328125" style="41" bestFit="1" customWidth="1"/>
    <col min="12792" max="12792" width="8" style="41" customWidth="1"/>
    <col min="12793" max="12793" width="12.1796875" style="41" customWidth="1"/>
    <col min="12794" max="12794" width="8" style="41" customWidth="1"/>
    <col min="12795" max="12795" width="20" style="41" customWidth="1"/>
    <col min="12796" max="12796" width="15.26953125" style="41" bestFit="1" customWidth="1"/>
    <col min="12797" max="12797" width="14.26953125" style="41" bestFit="1" customWidth="1"/>
    <col min="12798" max="12798" width="13" style="41" bestFit="1" customWidth="1"/>
    <col min="12799" max="12970" width="9.26953125" style="41"/>
    <col min="12971" max="12971" width="2.7265625" style="41" customWidth="1"/>
    <col min="12972" max="12972" width="3.54296875" style="41" customWidth="1"/>
    <col min="12973" max="12973" width="7" style="41" customWidth="1"/>
    <col min="12974" max="12974" width="23" style="41" customWidth="1"/>
    <col min="12975" max="12975" width="13.26953125" style="41" customWidth="1"/>
    <col min="12976" max="12976" width="17.36328125" style="41" bestFit="1" customWidth="1"/>
    <col min="12977" max="12977" width="11.54296875" style="41" bestFit="1" customWidth="1"/>
    <col min="12978" max="12978" width="7.81640625" style="41" customWidth="1"/>
    <col min="12979" max="12979" width="11.54296875" style="41" bestFit="1" customWidth="1"/>
    <col min="12980" max="12980" width="7" style="41" customWidth="1"/>
    <col min="12981" max="12981" width="18.1796875" style="41" customWidth="1"/>
    <col min="12982" max="12982" width="7" style="41" customWidth="1"/>
    <col min="12983" max="12983" width="15.54296875" style="41" customWidth="1"/>
    <col min="12984" max="12984" width="7.81640625" style="41" customWidth="1"/>
    <col min="12985" max="12985" width="15.54296875" style="41" customWidth="1"/>
    <col min="12986" max="12986" width="7.81640625" style="41" bestFit="1" customWidth="1"/>
    <col min="12987" max="12987" width="15.7265625" style="41" bestFit="1" customWidth="1"/>
    <col min="12988" max="12988" width="7.54296875" style="41" customWidth="1"/>
    <col min="12989" max="12989" width="14" style="41" customWidth="1"/>
    <col min="12990" max="12990" width="7.81640625" style="41" customWidth="1"/>
    <col min="12991" max="12991" width="14" style="41" customWidth="1"/>
    <col min="12992" max="12992" width="7.81640625" style="41" customWidth="1"/>
    <col min="12993" max="12993" width="14" style="41" customWidth="1"/>
    <col min="12994" max="12994" width="9" style="41" customWidth="1"/>
    <col min="12995" max="12995" width="15.1796875" style="41" customWidth="1"/>
    <col min="12996" max="12996" width="13" style="41" bestFit="1" customWidth="1"/>
    <col min="12997" max="12997" width="15.1796875" style="41" bestFit="1" customWidth="1"/>
    <col min="12998" max="12998" width="7.54296875" style="41" customWidth="1"/>
    <col min="12999" max="12999" width="14" style="41" customWidth="1"/>
    <col min="13000" max="13000" width="7.81640625" style="41" customWidth="1"/>
    <col min="13001" max="13001" width="14" style="41" customWidth="1"/>
    <col min="13002" max="13002" width="7.81640625" style="41" customWidth="1"/>
    <col min="13003" max="13003" width="14" style="41" customWidth="1"/>
    <col min="13004" max="13004" width="9" style="41" bestFit="1" customWidth="1"/>
    <col min="13005" max="13005" width="15.1796875" style="41" bestFit="1" customWidth="1"/>
    <col min="13006" max="13006" width="9" style="41" bestFit="1" customWidth="1"/>
    <col min="13007" max="13007" width="15.1796875" style="41" bestFit="1" customWidth="1"/>
    <col min="13008" max="13008" width="6.36328125" style="41" customWidth="1"/>
    <col min="13009" max="13009" width="12.7265625" style="41" customWidth="1"/>
    <col min="13010" max="13010" width="6.36328125" style="41" customWidth="1"/>
    <col min="13011" max="13011" width="12.7265625" style="41" customWidth="1"/>
    <col min="13012" max="13012" width="6" style="41" customWidth="1"/>
    <col min="13013" max="13013" width="12.7265625" style="41" customWidth="1"/>
    <col min="13014" max="13014" width="9.54296875" style="41" customWidth="1"/>
    <col min="13015" max="13015" width="14" style="41" bestFit="1" customWidth="1"/>
    <col min="13016" max="13016" width="9.26953125" style="41"/>
    <col min="13017" max="13017" width="13.54296875" style="41" customWidth="1"/>
    <col min="13018" max="13018" width="6" style="41" customWidth="1"/>
    <col min="13019" max="13019" width="13.7265625" style="41" customWidth="1"/>
    <col min="13020" max="13020" width="6" style="41" customWidth="1"/>
    <col min="13021" max="13021" width="12.7265625" style="41" customWidth="1"/>
    <col min="13022" max="13022" width="6.81640625" style="41" customWidth="1"/>
    <col min="13023" max="13023" width="12.7265625" style="41" customWidth="1"/>
    <col min="13024" max="13024" width="6.81640625" style="41" customWidth="1"/>
    <col min="13025" max="13025" width="15.7265625" style="41" bestFit="1" customWidth="1"/>
    <col min="13026" max="13026" width="8.54296875" style="41" bestFit="1" customWidth="1"/>
    <col min="13027" max="13027" width="13.54296875" style="41" customWidth="1"/>
    <col min="13028" max="13028" width="6" style="41" customWidth="1"/>
    <col min="13029" max="13029" width="13.7265625" style="41" customWidth="1"/>
    <col min="13030" max="13030" width="6" style="41" customWidth="1"/>
    <col min="13031" max="13031" width="12.7265625" style="41" customWidth="1"/>
    <col min="13032" max="13032" width="6.81640625" style="41" customWidth="1"/>
    <col min="13033" max="13033" width="12.7265625" style="41" customWidth="1"/>
    <col min="13034" max="13034" width="6.81640625" style="41" customWidth="1"/>
    <col min="13035" max="13035" width="16.36328125" style="41" bestFit="1" customWidth="1"/>
    <col min="13036" max="13036" width="9.54296875" style="41" bestFit="1" customWidth="1"/>
    <col min="13037" max="13037" width="17.36328125" style="41" bestFit="1" customWidth="1"/>
    <col min="13038" max="13038" width="6" style="41" customWidth="1"/>
    <col min="13039" max="13039" width="13.7265625" style="41" customWidth="1"/>
    <col min="13040" max="13040" width="6" style="41" customWidth="1"/>
    <col min="13041" max="13041" width="12.7265625" style="41" customWidth="1"/>
    <col min="13042" max="13042" width="6.81640625" style="41" customWidth="1"/>
    <col min="13043" max="13043" width="12.7265625" style="41" customWidth="1"/>
    <col min="13044" max="13044" width="6.81640625" style="41" customWidth="1"/>
    <col min="13045" max="13045" width="15.36328125" style="41" bestFit="1" customWidth="1"/>
    <col min="13046" max="13046" width="9.54296875" style="41" bestFit="1" customWidth="1"/>
    <col min="13047" max="13047" width="17.36328125" style="41" bestFit="1" customWidth="1"/>
    <col min="13048" max="13048" width="8" style="41" customWidth="1"/>
    <col min="13049" max="13049" width="12.1796875" style="41" customWidth="1"/>
    <col min="13050" max="13050" width="8" style="41" customWidth="1"/>
    <col min="13051" max="13051" width="20" style="41" customWidth="1"/>
    <col min="13052" max="13052" width="15.26953125" style="41" bestFit="1" customWidth="1"/>
    <col min="13053" max="13053" width="14.26953125" style="41" bestFit="1" customWidth="1"/>
    <col min="13054" max="13054" width="13" style="41" bestFit="1" customWidth="1"/>
    <col min="13055" max="13226" width="9.26953125" style="41"/>
    <col min="13227" max="13227" width="2.7265625" style="41" customWidth="1"/>
    <col min="13228" max="13228" width="3.54296875" style="41" customWidth="1"/>
    <col min="13229" max="13229" width="7" style="41" customWidth="1"/>
    <col min="13230" max="13230" width="23" style="41" customWidth="1"/>
    <col min="13231" max="13231" width="13.26953125" style="41" customWidth="1"/>
    <col min="13232" max="13232" width="17.36328125" style="41" bestFit="1" customWidth="1"/>
    <col min="13233" max="13233" width="11.54296875" style="41" bestFit="1" customWidth="1"/>
    <col min="13234" max="13234" width="7.81640625" style="41" customWidth="1"/>
    <col min="13235" max="13235" width="11.54296875" style="41" bestFit="1" customWidth="1"/>
    <col min="13236" max="13236" width="7" style="41" customWidth="1"/>
    <col min="13237" max="13237" width="18.1796875" style="41" customWidth="1"/>
    <col min="13238" max="13238" width="7" style="41" customWidth="1"/>
    <col min="13239" max="13239" width="15.54296875" style="41" customWidth="1"/>
    <col min="13240" max="13240" width="7.81640625" style="41" customWidth="1"/>
    <col min="13241" max="13241" width="15.54296875" style="41" customWidth="1"/>
    <col min="13242" max="13242" width="7.81640625" style="41" bestFit="1" customWidth="1"/>
    <col min="13243" max="13243" width="15.7265625" style="41" bestFit="1" customWidth="1"/>
    <col min="13244" max="13244" width="7.54296875" style="41" customWidth="1"/>
    <col min="13245" max="13245" width="14" style="41" customWidth="1"/>
    <col min="13246" max="13246" width="7.81640625" style="41" customWidth="1"/>
    <col min="13247" max="13247" width="14" style="41" customWidth="1"/>
    <col min="13248" max="13248" width="7.81640625" style="41" customWidth="1"/>
    <col min="13249" max="13249" width="14" style="41" customWidth="1"/>
    <col min="13250" max="13250" width="9" style="41" customWidth="1"/>
    <col min="13251" max="13251" width="15.1796875" style="41" customWidth="1"/>
    <col min="13252" max="13252" width="13" style="41" bestFit="1" customWidth="1"/>
    <col min="13253" max="13253" width="15.1796875" style="41" bestFit="1" customWidth="1"/>
    <col min="13254" max="13254" width="7.54296875" style="41" customWidth="1"/>
    <col min="13255" max="13255" width="14" style="41" customWidth="1"/>
    <col min="13256" max="13256" width="7.81640625" style="41" customWidth="1"/>
    <col min="13257" max="13257" width="14" style="41" customWidth="1"/>
    <col min="13258" max="13258" width="7.81640625" style="41" customWidth="1"/>
    <col min="13259" max="13259" width="14" style="41" customWidth="1"/>
    <col min="13260" max="13260" width="9" style="41" bestFit="1" customWidth="1"/>
    <col min="13261" max="13261" width="15.1796875" style="41" bestFit="1" customWidth="1"/>
    <col min="13262" max="13262" width="9" style="41" bestFit="1" customWidth="1"/>
    <col min="13263" max="13263" width="15.1796875" style="41" bestFit="1" customWidth="1"/>
    <col min="13264" max="13264" width="6.36328125" style="41" customWidth="1"/>
    <col min="13265" max="13265" width="12.7265625" style="41" customWidth="1"/>
    <col min="13266" max="13266" width="6.36328125" style="41" customWidth="1"/>
    <col min="13267" max="13267" width="12.7265625" style="41" customWidth="1"/>
    <col min="13268" max="13268" width="6" style="41" customWidth="1"/>
    <col min="13269" max="13269" width="12.7265625" style="41" customWidth="1"/>
    <col min="13270" max="13270" width="9.54296875" style="41" customWidth="1"/>
    <col min="13271" max="13271" width="14" style="41" bestFit="1" customWidth="1"/>
    <col min="13272" max="13272" width="9.26953125" style="41"/>
    <col min="13273" max="13273" width="13.54296875" style="41" customWidth="1"/>
    <col min="13274" max="13274" width="6" style="41" customWidth="1"/>
    <col min="13275" max="13275" width="13.7265625" style="41" customWidth="1"/>
    <col min="13276" max="13276" width="6" style="41" customWidth="1"/>
    <col min="13277" max="13277" width="12.7265625" style="41" customWidth="1"/>
    <col min="13278" max="13278" width="6.81640625" style="41" customWidth="1"/>
    <col min="13279" max="13279" width="12.7265625" style="41" customWidth="1"/>
    <col min="13280" max="13280" width="6.81640625" style="41" customWidth="1"/>
    <col min="13281" max="13281" width="15.7265625" style="41" bestFit="1" customWidth="1"/>
    <col min="13282" max="13282" width="8.54296875" style="41" bestFit="1" customWidth="1"/>
    <col min="13283" max="13283" width="13.54296875" style="41" customWidth="1"/>
    <col min="13284" max="13284" width="6" style="41" customWidth="1"/>
    <col min="13285" max="13285" width="13.7265625" style="41" customWidth="1"/>
    <col min="13286" max="13286" width="6" style="41" customWidth="1"/>
    <col min="13287" max="13287" width="12.7265625" style="41" customWidth="1"/>
    <col min="13288" max="13288" width="6.81640625" style="41" customWidth="1"/>
    <col min="13289" max="13289" width="12.7265625" style="41" customWidth="1"/>
    <col min="13290" max="13290" width="6.81640625" style="41" customWidth="1"/>
    <col min="13291" max="13291" width="16.36328125" style="41" bestFit="1" customWidth="1"/>
    <col min="13292" max="13292" width="9.54296875" style="41" bestFit="1" customWidth="1"/>
    <col min="13293" max="13293" width="17.36328125" style="41" bestFit="1" customWidth="1"/>
    <col min="13294" max="13294" width="6" style="41" customWidth="1"/>
    <col min="13295" max="13295" width="13.7265625" style="41" customWidth="1"/>
    <col min="13296" max="13296" width="6" style="41" customWidth="1"/>
    <col min="13297" max="13297" width="12.7265625" style="41" customWidth="1"/>
    <col min="13298" max="13298" width="6.81640625" style="41" customWidth="1"/>
    <col min="13299" max="13299" width="12.7265625" style="41" customWidth="1"/>
    <col min="13300" max="13300" width="6.81640625" style="41" customWidth="1"/>
    <col min="13301" max="13301" width="15.36328125" style="41" bestFit="1" customWidth="1"/>
    <col min="13302" max="13302" width="9.54296875" style="41" bestFit="1" customWidth="1"/>
    <col min="13303" max="13303" width="17.36328125" style="41" bestFit="1" customWidth="1"/>
    <col min="13304" max="13304" width="8" style="41" customWidth="1"/>
    <col min="13305" max="13305" width="12.1796875" style="41" customWidth="1"/>
    <col min="13306" max="13306" width="8" style="41" customWidth="1"/>
    <col min="13307" max="13307" width="20" style="41" customWidth="1"/>
    <col min="13308" max="13308" width="15.26953125" style="41" bestFit="1" customWidth="1"/>
    <col min="13309" max="13309" width="14.26953125" style="41" bestFit="1" customWidth="1"/>
    <col min="13310" max="13310" width="13" style="41" bestFit="1" customWidth="1"/>
    <col min="13311" max="13482" width="9.26953125" style="41"/>
    <col min="13483" max="13483" width="2.7265625" style="41" customWidth="1"/>
    <col min="13484" max="13484" width="3.54296875" style="41" customWidth="1"/>
    <col min="13485" max="13485" width="7" style="41" customWidth="1"/>
    <col min="13486" max="13486" width="23" style="41" customWidth="1"/>
    <col min="13487" max="13487" width="13.26953125" style="41" customWidth="1"/>
    <col min="13488" max="13488" width="17.36328125" style="41" bestFit="1" customWidth="1"/>
    <col min="13489" max="13489" width="11.54296875" style="41" bestFit="1" customWidth="1"/>
    <col min="13490" max="13490" width="7.81640625" style="41" customWidth="1"/>
    <col min="13491" max="13491" width="11.54296875" style="41" bestFit="1" customWidth="1"/>
    <col min="13492" max="13492" width="7" style="41" customWidth="1"/>
    <col min="13493" max="13493" width="18.1796875" style="41" customWidth="1"/>
    <col min="13494" max="13494" width="7" style="41" customWidth="1"/>
    <col min="13495" max="13495" width="15.54296875" style="41" customWidth="1"/>
    <col min="13496" max="13496" width="7.81640625" style="41" customWidth="1"/>
    <col min="13497" max="13497" width="15.54296875" style="41" customWidth="1"/>
    <col min="13498" max="13498" width="7.81640625" style="41" bestFit="1" customWidth="1"/>
    <col min="13499" max="13499" width="15.7265625" style="41" bestFit="1" customWidth="1"/>
    <col min="13500" max="13500" width="7.54296875" style="41" customWidth="1"/>
    <col min="13501" max="13501" width="14" style="41" customWidth="1"/>
    <col min="13502" max="13502" width="7.81640625" style="41" customWidth="1"/>
    <col min="13503" max="13503" width="14" style="41" customWidth="1"/>
    <col min="13504" max="13504" width="7.81640625" style="41" customWidth="1"/>
    <col min="13505" max="13505" width="14" style="41" customWidth="1"/>
    <col min="13506" max="13506" width="9" style="41" customWidth="1"/>
    <col min="13507" max="13507" width="15.1796875" style="41" customWidth="1"/>
    <col min="13508" max="13508" width="13" style="41" bestFit="1" customWidth="1"/>
    <col min="13509" max="13509" width="15.1796875" style="41" bestFit="1" customWidth="1"/>
    <col min="13510" max="13510" width="7.54296875" style="41" customWidth="1"/>
    <col min="13511" max="13511" width="14" style="41" customWidth="1"/>
    <col min="13512" max="13512" width="7.81640625" style="41" customWidth="1"/>
    <col min="13513" max="13513" width="14" style="41" customWidth="1"/>
    <col min="13514" max="13514" width="7.81640625" style="41" customWidth="1"/>
    <col min="13515" max="13515" width="14" style="41" customWidth="1"/>
    <col min="13516" max="13516" width="9" style="41" bestFit="1" customWidth="1"/>
    <col min="13517" max="13517" width="15.1796875" style="41" bestFit="1" customWidth="1"/>
    <col min="13518" max="13518" width="9" style="41" bestFit="1" customWidth="1"/>
    <col min="13519" max="13519" width="15.1796875" style="41" bestFit="1" customWidth="1"/>
    <col min="13520" max="13520" width="6.36328125" style="41" customWidth="1"/>
    <col min="13521" max="13521" width="12.7265625" style="41" customWidth="1"/>
    <col min="13522" max="13522" width="6.36328125" style="41" customWidth="1"/>
    <col min="13523" max="13523" width="12.7265625" style="41" customWidth="1"/>
    <col min="13524" max="13524" width="6" style="41" customWidth="1"/>
    <col min="13525" max="13525" width="12.7265625" style="41" customWidth="1"/>
    <col min="13526" max="13526" width="9.54296875" style="41" customWidth="1"/>
    <col min="13527" max="13527" width="14" style="41" bestFit="1" customWidth="1"/>
    <col min="13528" max="13528" width="9.26953125" style="41"/>
    <col min="13529" max="13529" width="13.54296875" style="41" customWidth="1"/>
    <col min="13530" max="13530" width="6" style="41" customWidth="1"/>
    <col min="13531" max="13531" width="13.7265625" style="41" customWidth="1"/>
    <col min="13532" max="13532" width="6" style="41" customWidth="1"/>
    <col min="13533" max="13533" width="12.7265625" style="41" customWidth="1"/>
    <col min="13534" max="13534" width="6.81640625" style="41" customWidth="1"/>
    <col min="13535" max="13535" width="12.7265625" style="41" customWidth="1"/>
    <col min="13536" max="13536" width="6.81640625" style="41" customWidth="1"/>
    <col min="13537" max="13537" width="15.7265625" style="41" bestFit="1" customWidth="1"/>
    <col min="13538" max="13538" width="8.54296875" style="41" bestFit="1" customWidth="1"/>
    <col min="13539" max="13539" width="13.54296875" style="41" customWidth="1"/>
    <col min="13540" max="13540" width="6" style="41" customWidth="1"/>
    <col min="13541" max="13541" width="13.7265625" style="41" customWidth="1"/>
    <col min="13542" max="13542" width="6" style="41" customWidth="1"/>
    <col min="13543" max="13543" width="12.7265625" style="41" customWidth="1"/>
    <col min="13544" max="13544" width="6.81640625" style="41" customWidth="1"/>
    <col min="13545" max="13545" width="12.7265625" style="41" customWidth="1"/>
    <col min="13546" max="13546" width="6.81640625" style="41" customWidth="1"/>
    <col min="13547" max="13547" width="16.36328125" style="41" bestFit="1" customWidth="1"/>
    <col min="13548" max="13548" width="9.54296875" style="41" bestFit="1" customWidth="1"/>
    <col min="13549" max="13549" width="17.36328125" style="41" bestFit="1" customWidth="1"/>
    <col min="13550" max="13550" width="6" style="41" customWidth="1"/>
    <col min="13551" max="13551" width="13.7265625" style="41" customWidth="1"/>
    <col min="13552" max="13552" width="6" style="41" customWidth="1"/>
    <col min="13553" max="13553" width="12.7265625" style="41" customWidth="1"/>
    <col min="13554" max="13554" width="6.81640625" style="41" customWidth="1"/>
    <col min="13555" max="13555" width="12.7265625" style="41" customWidth="1"/>
    <col min="13556" max="13556" width="6.81640625" style="41" customWidth="1"/>
    <col min="13557" max="13557" width="15.36328125" style="41" bestFit="1" customWidth="1"/>
    <col min="13558" max="13558" width="9.54296875" style="41" bestFit="1" customWidth="1"/>
    <col min="13559" max="13559" width="17.36328125" style="41" bestFit="1" customWidth="1"/>
    <col min="13560" max="13560" width="8" style="41" customWidth="1"/>
    <col min="13561" max="13561" width="12.1796875" style="41" customWidth="1"/>
    <col min="13562" max="13562" width="8" style="41" customWidth="1"/>
    <col min="13563" max="13563" width="20" style="41" customWidth="1"/>
    <col min="13564" max="13564" width="15.26953125" style="41" bestFit="1" customWidth="1"/>
    <col min="13565" max="13565" width="14.26953125" style="41" bestFit="1" customWidth="1"/>
    <col min="13566" max="13566" width="13" style="41" bestFit="1" customWidth="1"/>
    <col min="13567" max="13738" width="9.26953125" style="41"/>
    <col min="13739" max="13739" width="2.7265625" style="41" customWidth="1"/>
    <col min="13740" max="13740" width="3.54296875" style="41" customWidth="1"/>
    <col min="13741" max="13741" width="7" style="41" customWidth="1"/>
    <col min="13742" max="13742" width="23" style="41" customWidth="1"/>
    <col min="13743" max="13743" width="13.26953125" style="41" customWidth="1"/>
    <col min="13744" max="13744" width="17.36328125" style="41" bestFit="1" customWidth="1"/>
    <col min="13745" max="13745" width="11.54296875" style="41" bestFit="1" customWidth="1"/>
    <col min="13746" max="13746" width="7.81640625" style="41" customWidth="1"/>
    <col min="13747" max="13747" width="11.54296875" style="41" bestFit="1" customWidth="1"/>
    <col min="13748" max="13748" width="7" style="41" customWidth="1"/>
    <col min="13749" max="13749" width="18.1796875" style="41" customWidth="1"/>
    <col min="13750" max="13750" width="7" style="41" customWidth="1"/>
    <col min="13751" max="13751" width="15.54296875" style="41" customWidth="1"/>
    <col min="13752" max="13752" width="7.81640625" style="41" customWidth="1"/>
    <col min="13753" max="13753" width="15.54296875" style="41" customWidth="1"/>
    <col min="13754" max="13754" width="7.81640625" style="41" bestFit="1" customWidth="1"/>
    <col min="13755" max="13755" width="15.7265625" style="41" bestFit="1" customWidth="1"/>
    <col min="13756" max="13756" width="7.54296875" style="41" customWidth="1"/>
    <col min="13757" max="13757" width="14" style="41" customWidth="1"/>
    <col min="13758" max="13758" width="7.81640625" style="41" customWidth="1"/>
    <col min="13759" max="13759" width="14" style="41" customWidth="1"/>
    <col min="13760" max="13760" width="7.81640625" style="41" customWidth="1"/>
    <col min="13761" max="13761" width="14" style="41" customWidth="1"/>
    <col min="13762" max="13762" width="9" style="41" customWidth="1"/>
    <col min="13763" max="13763" width="15.1796875" style="41" customWidth="1"/>
    <col min="13764" max="13764" width="13" style="41" bestFit="1" customWidth="1"/>
    <col min="13765" max="13765" width="15.1796875" style="41" bestFit="1" customWidth="1"/>
    <col min="13766" max="13766" width="7.54296875" style="41" customWidth="1"/>
    <col min="13767" max="13767" width="14" style="41" customWidth="1"/>
    <col min="13768" max="13768" width="7.81640625" style="41" customWidth="1"/>
    <col min="13769" max="13769" width="14" style="41" customWidth="1"/>
    <col min="13770" max="13770" width="7.81640625" style="41" customWidth="1"/>
    <col min="13771" max="13771" width="14" style="41" customWidth="1"/>
    <col min="13772" max="13772" width="9" style="41" bestFit="1" customWidth="1"/>
    <col min="13773" max="13773" width="15.1796875" style="41" bestFit="1" customWidth="1"/>
    <col min="13774" max="13774" width="9" style="41" bestFit="1" customWidth="1"/>
    <col min="13775" max="13775" width="15.1796875" style="41" bestFit="1" customWidth="1"/>
    <col min="13776" max="13776" width="6.36328125" style="41" customWidth="1"/>
    <col min="13777" max="13777" width="12.7265625" style="41" customWidth="1"/>
    <col min="13778" max="13778" width="6.36328125" style="41" customWidth="1"/>
    <col min="13779" max="13779" width="12.7265625" style="41" customWidth="1"/>
    <col min="13780" max="13780" width="6" style="41" customWidth="1"/>
    <col min="13781" max="13781" width="12.7265625" style="41" customWidth="1"/>
    <col min="13782" max="13782" width="9.54296875" style="41" customWidth="1"/>
    <col min="13783" max="13783" width="14" style="41" bestFit="1" customWidth="1"/>
    <col min="13784" max="13784" width="9.26953125" style="41"/>
    <col min="13785" max="13785" width="13.54296875" style="41" customWidth="1"/>
    <col min="13786" max="13786" width="6" style="41" customWidth="1"/>
    <col min="13787" max="13787" width="13.7265625" style="41" customWidth="1"/>
    <col min="13788" max="13788" width="6" style="41" customWidth="1"/>
    <col min="13789" max="13789" width="12.7265625" style="41" customWidth="1"/>
    <col min="13790" max="13790" width="6.81640625" style="41" customWidth="1"/>
    <col min="13791" max="13791" width="12.7265625" style="41" customWidth="1"/>
    <col min="13792" max="13792" width="6.81640625" style="41" customWidth="1"/>
    <col min="13793" max="13793" width="15.7265625" style="41" bestFit="1" customWidth="1"/>
    <col min="13794" max="13794" width="8.54296875" style="41" bestFit="1" customWidth="1"/>
    <col min="13795" max="13795" width="13.54296875" style="41" customWidth="1"/>
    <col min="13796" max="13796" width="6" style="41" customWidth="1"/>
    <col min="13797" max="13797" width="13.7265625" style="41" customWidth="1"/>
    <col min="13798" max="13798" width="6" style="41" customWidth="1"/>
    <col min="13799" max="13799" width="12.7265625" style="41" customWidth="1"/>
    <col min="13800" max="13800" width="6.81640625" style="41" customWidth="1"/>
    <col min="13801" max="13801" width="12.7265625" style="41" customWidth="1"/>
    <col min="13802" max="13802" width="6.81640625" style="41" customWidth="1"/>
    <col min="13803" max="13803" width="16.36328125" style="41" bestFit="1" customWidth="1"/>
    <col min="13804" max="13804" width="9.54296875" style="41" bestFit="1" customWidth="1"/>
    <col min="13805" max="13805" width="17.36328125" style="41" bestFit="1" customWidth="1"/>
    <col min="13806" max="13806" width="6" style="41" customWidth="1"/>
    <col min="13807" max="13807" width="13.7265625" style="41" customWidth="1"/>
    <col min="13808" max="13808" width="6" style="41" customWidth="1"/>
    <col min="13809" max="13809" width="12.7265625" style="41" customWidth="1"/>
    <col min="13810" max="13810" width="6.81640625" style="41" customWidth="1"/>
    <col min="13811" max="13811" width="12.7265625" style="41" customWidth="1"/>
    <col min="13812" max="13812" width="6.81640625" style="41" customWidth="1"/>
    <col min="13813" max="13813" width="15.36328125" style="41" bestFit="1" customWidth="1"/>
    <col min="13814" max="13814" width="9.54296875" style="41" bestFit="1" customWidth="1"/>
    <col min="13815" max="13815" width="17.36328125" style="41" bestFit="1" customWidth="1"/>
    <col min="13816" max="13816" width="8" style="41" customWidth="1"/>
    <col min="13817" max="13817" width="12.1796875" style="41" customWidth="1"/>
    <col min="13818" max="13818" width="8" style="41" customWidth="1"/>
    <col min="13819" max="13819" width="20" style="41" customWidth="1"/>
    <col min="13820" max="13820" width="15.26953125" style="41" bestFit="1" customWidth="1"/>
    <col min="13821" max="13821" width="14.26953125" style="41" bestFit="1" customWidth="1"/>
    <col min="13822" max="13822" width="13" style="41" bestFit="1" customWidth="1"/>
    <col min="13823" max="13994" width="9.26953125" style="41"/>
    <col min="13995" max="13995" width="2.7265625" style="41" customWidth="1"/>
    <col min="13996" max="13996" width="3.54296875" style="41" customWidth="1"/>
    <col min="13997" max="13997" width="7" style="41" customWidth="1"/>
    <col min="13998" max="13998" width="23" style="41" customWidth="1"/>
    <col min="13999" max="13999" width="13.26953125" style="41" customWidth="1"/>
    <col min="14000" max="14000" width="17.36328125" style="41" bestFit="1" customWidth="1"/>
    <col min="14001" max="14001" width="11.54296875" style="41" bestFit="1" customWidth="1"/>
    <col min="14002" max="14002" width="7.81640625" style="41" customWidth="1"/>
    <col min="14003" max="14003" width="11.54296875" style="41" bestFit="1" customWidth="1"/>
    <col min="14004" max="14004" width="7" style="41" customWidth="1"/>
    <col min="14005" max="14005" width="18.1796875" style="41" customWidth="1"/>
    <col min="14006" max="14006" width="7" style="41" customWidth="1"/>
    <col min="14007" max="14007" width="15.54296875" style="41" customWidth="1"/>
    <col min="14008" max="14008" width="7.81640625" style="41" customWidth="1"/>
    <col min="14009" max="14009" width="15.54296875" style="41" customWidth="1"/>
    <col min="14010" max="14010" width="7.81640625" style="41" bestFit="1" customWidth="1"/>
    <col min="14011" max="14011" width="15.7265625" style="41" bestFit="1" customWidth="1"/>
    <col min="14012" max="14012" width="7.54296875" style="41" customWidth="1"/>
    <col min="14013" max="14013" width="14" style="41" customWidth="1"/>
    <col min="14014" max="14014" width="7.81640625" style="41" customWidth="1"/>
    <col min="14015" max="14015" width="14" style="41" customWidth="1"/>
    <col min="14016" max="14016" width="7.81640625" style="41" customWidth="1"/>
    <col min="14017" max="14017" width="14" style="41" customWidth="1"/>
    <col min="14018" max="14018" width="9" style="41" customWidth="1"/>
    <col min="14019" max="14019" width="15.1796875" style="41" customWidth="1"/>
    <col min="14020" max="14020" width="13" style="41" bestFit="1" customWidth="1"/>
    <col min="14021" max="14021" width="15.1796875" style="41" bestFit="1" customWidth="1"/>
    <col min="14022" max="14022" width="7.54296875" style="41" customWidth="1"/>
    <col min="14023" max="14023" width="14" style="41" customWidth="1"/>
    <col min="14024" max="14024" width="7.81640625" style="41" customWidth="1"/>
    <col min="14025" max="14025" width="14" style="41" customWidth="1"/>
    <col min="14026" max="14026" width="7.81640625" style="41" customWidth="1"/>
    <col min="14027" max="14027" width="14" style="41" customWidth="1"/>
    <col min="14028" max="14028" width="9" style="41" bestFit="1" customWidth="1"/>
    <col min="14029" max="14029" width="15.1796875" style="41" bestFit="1" customWidth="1"/>
    <col min="14030" max="14030" width="9" style="41" bestFit="1" customWidth="1"/>
    <col min="14031" max="14031" width="15.1796875" style="41" bestFit="1" customWidth="1"/>
    <col min="14032" max="14032" width="6.36328125" style="41" customWidth="1"/>
    <col min="14033" max="14033" width="12.7265625" style="41" customWidth="1"/>
    <col min="14034" max="14034" width="6.36328125" style="41" customWidth="1"/>
    <col min="14035" max="14035" width="12.7265625" style="41" customWidth="1"/>
    <col min="14036" max="14036" width="6" style="41" customWidth="1"/>
    <col min="14037" max="14037" width="12.7265625" style="41" customWidth="1"/>
    <col min="14038" max="14038" width="9.54296875" style="41" customWidth="1"/>
    <col min="14039" max="14039" width="14" style="41" bestFit="1" customWidth="1"/>
    <col min="14040" max="14040" width="9.26953125" style="41"/>
    <col min="14041" max="14041" width="13.54296875" style="41" customWidth="1"/>
    <col min="14042" max="14042" width="6" style="41" customWidth="1"/>
    <col min="14043" max="14043" width="13.7265625" style="41" customWidth="1"/>
    <col min="14044" max="14044" width="6" style="41" customWidth="1"/>
    <col min="14045" max="14045" width="12.7265625" style="41" customWidth="1"/>
    <col min="14046" max="14046" width="6.81640625" style="41" customWidth="1"/>
    <col min="14047" max="14047" width="12.7265625" style="41" customWidth="1"/>
    <col min="14048" max="14048" width="6.81640625" style="41" customWidth="1"/>
    <col min="14049" max="14049" width="15.7265625" style="41" bestFit="1" customWidth="1"/>
    <col min="14050" max="14050" width="8.54296875" style="41" bestFit="1" customWidth="1"/>
    <col min="14051" max="14051" width="13.54296875" style="41" customWidth="1"/>
    <col min="14052" max="14052" width="6" style="41" customWidth="1"/>
    <col min="14053" max="14053" width="13.7265625" style="41" customWidth="1"/>
    <col min="14054" max="14054" width="6" style="41" customWidth="1"/>
    <col min="14055" max="14055" width="12.7265625" style="41" customWidth="1"/>
    <col min="14056" max="14056" width="6.81640625" style="41" customWidth="1"/>
    <col min="14057" max="14057" width="12.7265625" style="41" customWidth="1"/>
    <col min="14058" max="14058" width="6.81640625" style="41" customWidth="1"/>
    <col min="14059" max="14059" width="16.36328125" style="41" bestFit="1" customWidth="1"/>
    <col min="14060" max="14060" width="9.54296875" style="41" bestFit="1" customWidth="1"/>
    <col min="14061" max="14061" width="17.36328125" style="41" bestFit="1" customWidth="1"/>
    <col min="14062" max="14062" width="6" style="41" customWidth="1"/>
    <col min="14063" max="14063" width="13.7265625" style="41" customWidth="1"/>
    <col min="14064" max="14064" width="6" style="41" customWidth="1"/>
    <col min="14065" max="14065" width="12.7265625" style="41" customWidth="1"/>
    <col min="14066" max="14066" width="6.81640625" style="41" customWidth="1"/>
    <col min="14067" max="14067" width="12.7265625" style="41" customWidth="1"/>
    <col min="14068" max="14068" width="6.81640625" style="41" customWidth="1"/>
    <col min="14069" max="14069" width="15.36328125" style="41" bestFit="1" customWidth="1"/>
    <col min="14070" max="14070" width="9.54296875" style="41" bestFit="1" customWidth="1"/>
    <col min="14071" max="14071" width="17.36328125" style="41" bestFit="1" customWidth="1"/>
    <col min="14072" max="14072" width="8" style="41" customWidth="1"/>
    <col min="14073" max="14073" width="12.1796875" style="41" customWidth="1"/>
    <col min="14074" max="14074" width="8" style="41" customWidth="1"/>
    <col min="14075" max="14075" width="20" style="41" customWidth="1"/>
    <col min="14076" max="14076" width="15.26953125" style="41" bestFit="1" customWidth="1"/>
    <col min="14077" max="14077" width="14.26953125" style="41" bestFit="1" customWidth="1"/>
    <col min="14078" max="14078" width="13" style="41" bestFit="1" customWidth="1"/>
    <col min="14079" max="14250" width="9.26953125" style="41"/>
    <col min="14251" max="14251" width="2.7265625" style="41" customWidth="1"/>
    <col min="14252" max="14252" width="3.54296875" style="41" customWidth="1"/>
    <col min="14253" max="14253" width="7" style="41" customWidth="1"/>
    <col min="14254" max="14254" width="23" style="41" customWidth="1"/>
    <col min="14255" max="14255" width="13.26953125" style="41" customWidth="1"/>
    <col min="14256" max="14256" width="17.36328125" style="41" bestFit="1" customWidth="1"/>
    <col min="14257" max="14257" width="11.54296875" style="41" bestFit="1" customWidth="1"/>
    <col min="14258" max="14258" width="7.81640625" style="41" customWidth="1"/>
    <col min="14259" max="14259" width="11.54296875" style="41" bestFit="1" customWidth="1"/>
    <col min="14260" max="14260" width="7" style="41" customWidth="1"/>
    <col min="14261" max="14261" width="18.1796875" style="41" customWidth="1"/>
    <col min="14262" max="14262" width="7" style="41" customWidth="1"/>
    <col min="14263" max="14263" width="15.54296875" style="41" customWidth="1"/>
    <col min="14264" max="14264" width="7.81640625" style="41" customWidth="1"/>
    <col min="14265" max="14265" width="15.54296875" style="41" customWidth="1"/>
    <col min="14266" max="14266" width="7.81640625" style="41" bestFit="1" customWidth="1"/>
    <col min="14267" max="14267" width="15.7265625" style="41" bestFit="1" customWidth="1"/>
    <col min="14268" max="14268" width="7.54296875" style="41" customWidth="1"/>
    <col min="14269" max="14269" width="14" style="41" customWidth="1"/>
    <col min="14270" max="14270" width="7.81640625" style="41" customWidth="1"/>
    <col min="14271" max="14271" width="14" style="41" customWidth="1"/>
    <col min="14272" max="14272" width="7.81640625" style="41" customWidth="1"/>
    <col min="14273" max="14273" width="14" style="41" customWidth="1"/>
    <col min="14274" max="14274" width="9" style="41" customWidth="1"/>
    <col min="14275" max="14275" width="15.1796875" style="41" customWidth="1"/>
    <col min="14276" max="14276" width="13" style="41" bestFit="1" customWidth="1"/>
    <col min="14277" max="14277" width="15.1796875" style="41" bestFit="1" customWidth="1"/>
    <col min="14278" max="14278" width="7.54296875" style="41" customWidth="1"/>
    <col min="14279" max="14279" width="14" style="41" customWidth="1"/>
    <col min="14280" max="14280" width="7.81640625" style="41" customWidth="1"/>
    <col min="14281" max="14281" width="14" style="41" customWidth="1"/>
    <col min="14282" max="14282" width="7.81640625" style="41" customWidth="1"/>
    <col min="14283" max="14283" width="14" style="41" customWidth="1"/>
    <col min="14284" max="14284" width="9" style="41" bestFit="1" customWidth="1"/>
    <col min="14285" max="14285" width="15.1796875" style="41" bestFit="1" customWidth="1"/>
    <col min="14286" max="14286" width="9" style="41" bestFit="1" customWidth="1"/>
    <col min="14287" max="14287" width="15.1796875" style="41" bestFit="1" customWidth="1"/>
    <col min="14288" max="14288" width="6.36328125" style="41" customWidth="1"/>
    <col min="14289" max="14289" width="12.7265625" style="41" customWidth="1"/>
    <col min="14290" max="14290" width="6.36328125" style="41" customWidth="1"/>
    <col min="14291" max="14291" width="12.7265625" style="41" customWidth="1"/>
    <col min="14292" max="14292" width="6" style="41" customWidth="1"/>
    <col min="14293" max="14293" width="12.7265625" style="41" customWidth="1"/>
    <col min="14294" max="14294" width="9.54296875" style="41" customWidth="1"/>
    <col min="14295" max="14295" width="14" style="41" bestFit="1" customWidth="1"/>
    <col min="14296" max="14296" width="9.26953125" style="41"/>
    <col min="14297" max="14297" width="13.54296875" style="41" customWidth="1"/>
    <col min="14298" max="14298" width="6" style="41" customWidth="1"/>
    <col min="14299" max="14299" width="13.7265625" style="41" customWidth="1"/>
    <col min="14300" max="14300" width="6" style="41" customWidth="1"/>
    <col min="14301" max="14301" width="12.7265625" style="41" customWidth="1"/>
    <col min="14302" max="14302" width="6.81640625" style="41" customWidth="1"/>
    <col min="14303" max="14303" width="12.7265625" style="41" customWidth="1"/>
    <col min="14304" max="14304" width="6.81640625" style="41" customWidth="1"/>
    <col min="14305" max="14305" width="15.7265625" style="41" bestFit="1" customWidth="1"/>
    <col min="14306" max="14306" width="8.54296875" style="41" bestFit="1" customWidth="1"/>
    <col min="14307" max="14307" width="13.54296875" style="41" customWidth="1"/>
    <col min="14308" max="14308" width="6" style="41" customWidth="1"/>
    <col min="14309" max="14309" width="13.7265625" style="41" customWidth="1"/>
    <col min="14310" max="14310" width="6" style="41" customWidth="1"/>
    <col min="14311" max="14311" width="12.7265625" style="41" customWidth="1"/>
    <col min="14312" max="14312" width="6.81640625" style="41" customWidth="1"/>
    <col min="14313" max="14313" width="12.7265625" style="41" customWidth="1"/>
    <col min="14314" max="14314" width="6.81640625" style="41" customWidth="1"/>
    <col min="14315" max="14315" width="16.36328125" style="41" bestFit="1" customWidth="1"/>
    <col min="14316" max="14316" width="9.54296875" style="41" bestFit="1" customWidth="1"/>
    <col min="14317" max="14317" width="17.36328125" style="41" bestFit="1" customWidth="1"/>
    <col min="14318" max="14318" width="6" style="41" customWidth="1"/>
    <col min="14319" max="14319" width="13.7265625" style="41" customWidth="1"/>
    <col min="14320" max="14320" width="6" style="41" customWidth="1"/>
    <col min="14321" max="14321" width="12.7265625" style="41" customWidth="1"/>
    <col min="14322" max="14322" width="6.81640625" style="41" customWidth="1"/>
    <col min="14323" max="14323" width="12.7265625" style="41" customWidth="1"/>
    <col min="14324" max="14324" width="6.81640625" style="41" customWidth="1"/>
    <col min="14325" max="14325" width="15.36328125" style="41" bestFit="1" customWidth="1"/>
    <col min="14326" max="14326" width="9.54296875" style="41" bestFit="1" customWidth="1"/>
    <col min="14327" max="14327" width="17.36328125" style="41" bestFit="1" customWidth="1"/>
    <col min="14328" max="14328" width="8" style="41" customWidth="1"/>
    <col min="14329" max="14329" width="12.1796875" style="41" customWidth="1"/>
    <col min="14330" max="14330" width="8" style="41" customWidth="1"/>
    <col min="14331" max="14331" width="20" style="41" customWidth="1"/>
    <col min="14332" max="14332" width="15.26953125" style="41" bestFit="1" customWidth="1"/>
    <col min="14333" max="14333" width="14.26953125" style="41" bestFit="1" customWidth="1"/>
    <col min="14334" max="14334" width="13" style="41" bestFit="1" customWidth="1"/>
    <col min="14335" max="14506" width="9.26953125" style="41"/>
    <col min="14507" max="14507" width="2.7265625" style="41" customWidth="1"/>
    <col min="14508" max="14508" width="3.54296875" style="41" customWidth="1"/>
    <col min="14509" max="14509" width="7" style="41" customWidth="1"/>
    <col min="14510" max="14510" width="23" style="41" customWidth="1"/>
    <col min="14511" max="14511" width="13.26953125" style="41" customWidth="1"/>
    <col min="14512" max="14512" width="17.36328125" style="41" bestFit="1" customWidth="1"/>
    <col min="14513" max="14513" width="11.54296875" style="41" bestFit="1" customWidth="1"/>
    <col min="14514" max="14514" width="7.81640625" style="41" customWidth="1"/>
    <col min="14515" max="14515" width="11.54296875" style="41" bestFit="1" customWidth="1"/>
    <col min="14516" max="14516" width="7" style="41" customWidth="1"/>
    <col min="14517" max="14517" width="18.1796875" style="41" customWidth="1"/>
    <col min="14518" max="14518" width="7" style="41" customWidth="1"/>
    <col min="14519" max="14519" width="15.54296875" style="41" customWidth="1"/>
    <col min="14520" max="14520" width="7.81640625" style="41" customWidth="1"/>
    <col min="14521" max="14521" width="15.54296875" style="41" customWidth="1"/>
    <col min="14522" max="14522" width="7.81640625" style="41" bestFit="1" customWidth="1"/>
    <col min="14523" max="14523" width="15.7265625" style="41" bestFit="1" customWidth="1"/>
    <col min="14524" max="14524" width="7.54296875" style="41" customWidth="1"/>
    <col min="14525" max="14525" width="14" style="41" customWidth="1"/>
    <col min="14526" max="14526" width="7.81640625" style="41" customWidth="1"/>
    <col min="14527" max="14527" width="14" style="41" customWidth="1"/>
    <col min="14528" max="14528" width="7.81640625" style="41" customWidth="1"/>
    <col min="14529" max="14529" width="14" style="41" customWidth="1"/>
    <col min="14530" max="14530" width="9" style="41" customWidth="1"/>
    <col min="14531" max="14531" width="15.1796875" style="41" customWidth="1"/>
    <col min="14532" max="14532" width="13" style="41" bestFit="1" customWidth="1"/>
    <col min="14533" max="14533" width="15.1796875" style="41" bestFit="1" customWidth="1"/>
    <col min="14534" max="14534" width="7.54296875" style="41" customWidth="1"/>
    <col min="14535" max="14535" width="14" style="41" customWidth="1"/>
    <col min="14536" max="14536" width="7.81640625" style="41" customWidth="1"/>
    <col min="14537" max="14537" width="14" style="41" customWidth="1"/>
    <col min="14538" max="14538" width="7.81640625" style="41" customWidth="1"/>
    <col min="14539" max="14539" width="14" style="41" customWidth="1"/>
    <col min="14540" max="14540" width="9" style="41" bestFit="1" customWidth="1"/>
    <col min="14541" max="14541" width="15.1796875" style="41" bestFit="1" customWidth="1"/>
    <col min="14542" max="14542" width="9" style="41" bestFit="1" customWidth="1"/>
    <col min="14543" max="14543" width="15.1796875" style="41" bestFit="1" customWidth="1"/>
    <col min="14544" max="14544" width="6.36328125" style="41" customWidth="1"/>
    <col min="14545" max="14545" width="12.7265625" style="41" customWidth="1"/>
    <col min="14546" max="14546" width="6.36328125" style="41" customWidth="1"/>
    <col min="14547" max="14547" width="12.7265625" style="41" customWidth="1"/>
    <col min="14548" max="14548" width="6" style="41" customWidth="1"/>
    <col min="14549" max="14549" width="12.7265625" style="41" customWidth="1"/>
    <col min="14550" max="14550" width="9.54296875" style="41" customWidth="1"/>
    <col min="14551" max="14551" width="14" style="41" bestFit="1" customWidth="1"/>
    <col min="14552" max="14552" width="9.26953125" style="41"/>
    <col min="14553" max="14553" width="13.54296875" style="41" customWidth="1"/>
    <col min="14554" max="14554" width="6" style="41" customWidth="1"/>
    <col min="14555" max="14555" width="13.7265625" style="41" customWidth="1"/>
    <col min="14556" max="14556" width="6" style="41" customWidth="1"/>
    <col min="14557" max="14557" width="12.7265625" style="41" customWidth="1"/>
    <col min="14558" max="14558" width="6.81640625" style="41" customWidth="1"/>
    <col min="14559" max="14559" width="12.7265625" style="41" customWidth="1"/>
    <col min="14560" max="14560" width="6.81640625" style="41" customWidth="1"/>
    <col min="14561" max="14561" width="15.7265625" style="41" bestFit="1" customWidth="1"/>
    <col min="14562" max="14562" width="8.54296875" style="41" bestFit="1" customWidth="1"/>
    <col min="14563" max="14563" width="13.54296875" style="41" customWidth="1"/>
    <col min="14564" max="14564" width="6" style="41" customWidth="1"/>
    <col min="14565" max="14565" width="13.7265625" style="41" customWidth="1"/>
    <col min="14566" max="14566" width="6" style="41" customWidth="1"/>
    <col min="14567" max="14567" width="12.7265625" style="41" customWidth="1"/>
    <col min="14568" max="14568" width="6.81640625" style="41" customWidth="1"/>
    <col min="14569" max="14569" width="12.7265625" style="41" customWidth="1"/>
    <col min="14570" max="14570" width="6.81640625" style="41" customWidth="1"/>
    <col min="14571" max="14571" width="16.36328125" style="41" bestFit="1" customWidth="1"/>
    <col min="14572" max="14572" width="9.54296875" style="41" bestFit="1" customWidth="1"/>
    <col min="14573" max="14573" width="17.36328125" style="41" bestFit="1" customWidth="1"/>
    <col min="14574" max="14574" width="6" style="41" customWidth="1"/>
    <col min="14575" max="14575" width="13.7265625" style="41" customWidth="1"/>
    <col min="14576" max="14576" width="6" style="41" customWidth="1"/>
    <col min="14577" max="14577" width="12.7265625" style="41" customWidth="1"/>
    <col min="14578" max="14578" width="6.81640625" style="41" customWidth="1"/>
    <col min="14579" max="14579" width="12.7265625" style="41" customWidth="1"/>
    <col min="14580" max="14580" width="6.81640625" style="41" customWidth="1"/>
    <col min="14581" max="14581" width="15.36328125" style="41" bestFit="1" customWidth="1"/>
    <col min="14582" max="14582" width="9.54296875" style="41" bestFit="1" customWidth="1"/>
    <col min="14583" max="14583" width="17.36328125" style="41" bestFit="1" customWidth="1"/>
    <col min="14584" max="14584" width="8" style="41" customWidth="1"/>
    <col min="14585" max="14585" width="12.1796875" style="41" customWidth="1"/>
    <col min="14586" max="14586" width="8" style="41" customWidth="1"/>
    <col min="14587" max="14587" width="20" style="41" customWidth="1"/>
    <col min="14588" max="14588" width="15.26953125" style="41" bestFit="1" customWidth="1"/>
    <col min="14589" max="14589" width="14.26953125" style="41" bestFit="1" customWidth="1"/>
    <col min="14590" max="14590" width="13" style="41" bestFit="1" customWidth="1"/>
    <col min="14591" max="14762" width="9.26953125" style="41"/>
    <col min="14763" max="14763" width="2.7265625" style="41" customWidth="1"/>
    <col min="14764" max="14764" width="3.54296875" style="41" customWidth="1"/>
    <col min="14765" max="14765" width="7" style="41" customWidth="1"/>
    <col min="14766" max="14766" width="23" style="41" customWidth="1"/>
    <col min="14767" max="14767" width="13.26953125" style="41" customWidth="1"/>
    <col min="14768" max="14768" width="17.36328125" style="41" bestFit="1" customWidth="1"/>
    <col min="14769" max="14769" width="11.54296875" style="41" bestFit="1" customWidth="1"/>
    <col min="14770" max="14770" width="7.81640625" style="41" customWidth="1"/>
    <col min="14771" max="14771" width="11.54296875" style="41" bestFit="1" customWidth="1"/>
    <col min="14772" max="14772" width="7" style="41" customWidth="1"/>
    <col min="14773" max="14773" width="18.1796875" style="41" customWidth="1"/>
    <col min="14774" max="14774" width="7" style="41" customWidth="1"/>
    <col min="14775" max="14775" width="15.54296875" style="41" customWidth="1"/>
    <col min="14776" max="14776" width="7.81640625" style="41" customWidth="1"/>
    <col min="14777" max="14777" width="15.54296875" style="41" customWidth="1"/>
    <col min="14778" max="14778" width="7.81640625" style="41" bestFit="1" customWidth="1"/>
    <col min="14779" max="14779" width="15.7265625" style="41" bestFit="1" customWidth="1"/>
    <col min="14780" max="14780" width="7.54296875" style="41" customWidth="1"/>
    <col min="14781" max="14781" width="14" style="41" customWidth="1"/>
    <col min="14782" max="14782" width="7.81640625" style="41" customWidth="1"/>
    <col min="14783" max="14783" width="14" style="41" customWidth="1"/>
    <col min="14784" max="14784" width="7.81640625" style="41" customWidth="1"/>
    <col min="14785" max="14785" width="14" style="41" customWidth="1"/>
    <col min="14786" max="14786" width="9" style="41" customWidth="1"/>
    <col min="14787" max="14787" width="15.1796875" style="41" customWidth="1"/>
    <col min="14788" max="14788" width="13" style="41" bestFit="1" customWidth="1"/>
    <col min="14789" max="14789" width="15.1796875" style="41" bestFit="1" customWidth="1"/>
    <col min="14790" max="14790" width="7.54296875" style="41" customWidth="1"/>
    <col min="14791" max="14791" width="14" style="41" customWidth="1"/>
    <col min="14792" max="14792" width="7.81640625" style="41" customWidth="1"/>
    <col min="14793" max="14793" width="14" style="41" customWidth="1"/>
    <col min="14794" max="14794" width="7.81640625" style="41" customWidth="1"/>
    <col min="14795" max="14795" width="14" style="41" customWidth="1"/>
    <col min="14796" max="14796" width="9" style="41" bestFit="1" customWidth="1"/>
    <col min="14797" max="14797" width="15.1796875" style="41" bestFit="1" customWidth="1"/>
    <col min="14798" max="14798" width="9" style="41" bestFit="1" customWidth="1"/>
    <col min="14799" max="14799" width="15.1796875" style="41" bestFit="1" customWidth="1"/>
    <col min="14800" max="14800" width="6.36328125" style="41" customWidth="1"/>
    <col min="14801" max="14801" width="12.7265625" style="41" customWidth="1"/>
    <col min="14802" max="14802" width="6.36328125" style="41" customWidth="1"/>
    <col min="14803" max="14803" width="12.7265625" style="41" customWidth="1"/>
    <col min="14804" max="14804" width="6" style="41" customWidth="1"/>
    <col min="14805" max="14805" width="12.7265625" style="41" customWidth="1"/>
    <col min="14806" max="14806" width="9.54296875" style="41" customWidth="1"/>
    <col min="14807" max="14807" width="14" style="41" bestFit="1" customWidth="1"/>
    <col min="14808" max="14808" width="9.26953125" style="41"/>
    <col min="14809" max="14809" width="13.54296875" style="41" customWidth="1"/>
    <col min="14810" max="14810" width="6" style="41" customWidth="1"/>
    <col min="14811" max="14811" width="13.7265625" style="41" customWidth="1"/>
    <col min="14812" max="14812" width="6" style="41" customWidth="1"/>
    <col min="14813" max="14813" width="12.7265625" style="41" customWidth="1"/>
    <col min="14814" max="14814" width="6.81640625" style="41" customWidth="1"/>
    <col min="14815" max="14815" width="12.7265625" style="41" customWidth="1"/>
    <col min="14816" max="14816" width="6.81640625" style="41" customWidth="1"/>
    <col min="14817" max="14817" width="15.7265625" style="41" bestFit="1" customWidth="1"/>
    <col min="14818" max="14818" width="8.54296875" style="41" bestFit="1" customWidth="1"/>
    <col min="14819" max="14819" width="13.54296875" style="41" customWidth="1"/>
    <col min="14820" max="14820" width="6" style="41" customWidth="1"/>
    <col min="14821" max="14821" width="13.7265625" style="41" customWidth="1"/>
    <col min="14822" max="14822" width="6" style="41" customWidth="1"/>
    <col min="14823" max="14823" width="12.7265625" style="41" customWidth="1"/>
    <col min="14824" max="14824" width="6.81640625" style="41" customWidth="1"/>
    <col min="14825" max="14825" width="12.7265625" style="41" customWidth="1"/>
    <col min="14826" max="14826" width="6.81640625" style="41" customWidth="1"/>
    <col min="14827" max="14827" width="16.36328125" style="41" bestFit="1" customWidth="1"/>
    <col min="14828" max="14828" width="9.54296875" style="41" bestFit="1" customWidth="1"/>
    <col min="14829" max="14829" width="17.36328125" style="41" bestFit="1" customWidth="1"/>
    <col min="14830" max="14830" width="6" style="41" customWidth="1"/>
    <col min="14831" max="14831" width="13.7265625" style="41" customWidth="1"/>
    <col min="14832" max="14832" width="6" style="41" customWidth="1"/>
    <col min="14833" max="14833" width="12.7265625" style="41" customWidth="1"/>
    <col min="14834" max="14834" width="6.81640625" style="41" customWidth="1"/>
    <col min="14835" max="14835" width="12.7265625" style="41" customWidth="1"/>
    <col min="14836" max="14836" width="6.81640625" style="41" customWidth="1"/>
    <col min="14837" max="14837" width="15.36328125" style="41" bestFit="1" customWidth="1"/>
    <col min="14838" max="14838" width="9.54296875" style="41" bestFit="1" customWidth="1"/>
    <col min="14839" max="14839" width="17.36328125" style="41" bestFit="1" customWidth="1"/>
    <col min="14840" max="14840" width="8" style="41" customWidth="1"/>
    <col min="14841" max="14841" width="12.1796875" style="41" customWidth="1"/>
    <col min="14842" max="14842" width="8" style="41" customWidth="1"/>
    <col min="14843" max="14843" width="20" style="41" customWidth="1"/>
    <col min="14844" max="14844" width="15.26953125" style="41" bestFit="1" customWidth="1"/>
    <col min="14845" max="14845" width="14.26953125" style="41" bestFit="1" customWidth="1"/>
    <col min="14846" max="14846" width="13" style="41" bestFit="1" customWidth="1"/>
    <col min="14847" max="15018" width="9.26953125" style="41"/>
    <col min="15019" max="15019" width="2.7265625" style="41" customWidth="1"/>
    <col min="15020" max="15020" width="3.54296875" style="41" customWidth="1"/>
    <col min="15021" max="15021" width="7" style="41" customWidth="1"/>
    <col min="15022" max="15022" width="23" style="41" customWidth="1"/>
    <col min="15023" max="15023" width="13.26953125" style="41" customWidth="1"/>
    <col min="15024" max="15024" width="17.36328125" style="41" bestFit="1" customWidth="1"/>
    <col min="15025" max="15025" width="11.54296875" style="41" bestFit="1" customWidth="1"/>
    <col min="15026" max="15026" width="7.81640625" style="41" customWidth="1"/>
    <col min="15027" max="15027" width="11.54296875" style="41" bestFit="1" customWidth="1"/>
    <col min="15028" max="15028" width="7" style="41" customWidth="1"/>
    <col min="15029" max="15029" width="18.1796875" style="41" customWidth="1"/>
    <col min="15030" max="15030" width="7" style="41" customWidth="1"/>
    <col min="15031" max="15031" width="15.54296875" style="41" customWidth="1"/>
    <col min="15032" max="15032" width="7.81640625" style="41" customWidth="1"/>
    <col min="15033" max="15033" width="15.54296875" style="41" customWidth="1"/>
    <col min="15034" max="15034" width="7.81640625" style="41" bestFit="1" customWidth="1"/>
    <col min="15035" max="15035" width="15.7265625" style="41" bestFit="1" customWidth="1"/>
    <col min="15036" max="15036" width="7.54296875" style="41" customWidth="1"/>
    <col min="15037" max="15037" width="14" style="41" customWidth="1"/>
    <col min="15038" max="15038" width="7.81640625" style="41" customWidth="1"/>
    <col min="15039" max="15039" width="14" style="41" customWidth="1"/>
    <col min="15040" max="15040" width="7.81640625" style="41" customWidth="1"/>
    <col min="15041" max="15041" width="14" style="41" customWidth="1"/>
    <col min="15042" max="15042" width="9" style="41" customWidth="1"/>
    <col min="15043" max="15043" width="15.1796875" style="41" customWidth="1"/>
    <col min="15044" max="15044" width="13" style="41" bestFit="1" customWidth="1"/>
    <col min="15045" max="15045" width="15.1796875" style="41" bestFit="1" customWidth="1"/>
    <col min="15046" max="15046" width="7.54296875" style="41" customWidth="1"/>
    <col min="15047" max="15047" width="14" style="41" customWidth="1"/>
    <col min="15048" max="15048" width="7.81640625" style="41" customWidth="1"/>
    <col min="15049" max="15049" width="14" style="41" customWidth="1"/>
    <col min="15050" max="15050" width="7.81640625" style="41" customWidth="1"/>
    <col min="15051" max="15051" width="14" style="41" customWidth="1"/>
    <col min="15052" max="15052" width="9" style="41" bestFit="1" customWidth="1"/>
    <col min="15053" max="15053" width="15.1796875" style="41" bestFit="1" customWidth="1"/>
    <col min="15054" max="15054" width="9" style="41" bestFit="1" customWidth="1"/>
    <col min="15055" max="15055" width="15.1796875" style="41" bestFit="1" customWidth="1"/>
    <col min="15056" max="15056" width="6.36328125" style="41" customWidth="1"/>
    <col min="15057" max="15057" width="12.7265625" style="41" customWidth="1"/>
    <col min="15058" max="15058" width="6.36328125" style="41" customWidth="1"/>
    <col min="15059" max="15059" width="12.7265625" style="41" customWidth="1"/>
    <col min="15060" max="15060" width="6" style="41" customWidth="1"/>
    <col min="15061" max="15061" width="12.7265625" style="41" customWidth="1"/>
    <col min="15062" max="15062" width="9.54296875" style="41" customWidth="1"/>
    <col min="15063" max="15063" width="14" style="41" bestFit="1" customWidth="1"/>
    <col min="15064" max="15064" width="9.26953125" style="41"/>
    <col min="15065" max="15065" width="13.54296875" style="41" customWidth="1"/>
    <col min="15066" max="15066" width="6" style="41" customWidth="1"/>
    <col min="15067" max="15067" width="13.7265625" style="41" customWidth="1"/>
    <col min="15068" max="15068" width="6" style="41" customWidth="1"/>
    <col min="15069" max="15069" width="12.7265625" style="41" customWidth="1"/>
    <col min="15070" max="15070" width="6.81640625" style="41" customWidth="1"/>
    <col min="15071" max="15071" width="12.7265625" style="41" customWidth="1"/>
    <col min="15072" max="15072" width="6.81640625" style="41" customWidth="1"/>
    <col min="15073" max="15073" width="15.7265625" style="41" bestFit="1" customWidth="1"/>
    <col min="15074" max="15074" width="8.54296875" style="41" bestFit="1" customWidth="1"/>
    <col min="15075" max="15075" width="13.54296875" style="41" customWidth="1"/>
    <col min="15076" max="15076" width="6" style="41" customWidth="1"/>
    <col min="15077" max="15077" width="13.7265625" style="41" customWidth="1"/>
    <col min="15078" max="15078" width="6" style="41" customWidth="1"/>
    <col min="15079" max="15079" width="12.7265625" style="41" customWidth="1"/>
    <col min="15080" max="15080" width="6.81640625" style="41" customWidth="1"/>
    <col min="15081" max="15081" width="12.7265625" style="41" customWidth="1"/>
    <col min="15082" max="15082" width="6.81640625" style="41" customWidth="1"/>
    <col min="15083" max="15083" width="16.36328125" style="41" bestFit="1" customWidth="1"/>
    <col min="15084" max="15084" width="9.54296875" style="41" bestFit="1" customWidth="1"/>
    <col min="15085" max="15085" width="17.36328125" style="41" bestFit="1" customWidth="1"/>
    <col min="15086" max="15086" width="6" style="41" customWidth="1"/>
    <col min="15087" max="15087" width="13.7265625" style="41" customWidth="1"/>
    <col min="15088" max="15088" width="6" style="41" customWidth="1"/>
    <col min="15089" max="15089" width="12.7265625" style="41" customWidth="1"/>
    <col min="15090" max="15090" width="6.81640625" style="41" customWidth="1"/>
    <col min="15091" max="15091" width="12.7265625" style="41" customWidth="1"/>
    <col min="15092" max="15092" width="6.81640625" style="41" customWidth="1"/>
    <col min="15093" max="15093" width="15.36328125" style="41" bestFit="1" customWidth="1"/>
    <col min="15094" max="15094" width="9.54296875" style="41" bestFit="1" customWidth="1"/>
    <col min="15095" max="15095" width="17.36328125" style="41" bestFit="1" customWidth="1"/>
    <col min="15096" max="15096" width="8" style="41" customWidth="1"/>
    <col min="15097" max="15097" width="12.1796875" style="41" customWidth="1"/>
    <col min="15098" max="15098" width="8" style="41" customWidth="1"/>
    <col min="15099" max="15099" width="20" style="41" customWidth="1"/>
    <col min="15100" max="15100" width="15.26953125" style="41" bestFit="1" customWidth="1"/>
    <col min="15101" max="15101" width="14.26953125" style="41" bestFit="1" customWidth="1"/>
    <col min="15102" max="15102" width="13" style="41" bestFit="1" customWidth="1"/>
    <col min="15103" max="15274" width="9.26953125" style="41"/>
    <col min="15275" max="15275" width="2.7265625" style="41" customWidth="1"/>
    <col min="15276" max="15276" width="3.54296875" style="41" customWidth="1"/>
    <col min="15277" max="15277" width="7" style="41" customWidth="1"/>
    <col min="15278" max="15278" width="23" style="41" customWidth="1"/>
    <col min="15279" max="15279" width="13.26953125" style="41" customWidth="1"/>
    <col min="15280" max="15280" width="17.36328125" style="41" bestFit="1" customWidth="1"/>
    <col min="15281" max="15281" width="11.54296875" style="41" bestFit="1" customWidth="1"/>
    <col min="15282" max="15282" width="7.81640625" style="41" customWidth="1"/>
    <col min="15283" max="15283" width="11.54296875" style="41" bestFit="1" customWidth="1"/>
    <col min="15284" max="15284" width="7" style="41" customWidth="1"/>
    <col min="15285" max="15285" width="18.1796875" style="41" customWidth="1"/>
    <col min="15286" max="15286" width="7" style="41" customWidth="1"/>
    <col min="15287" max="15287" width="15.54296875" style="41" customWidth="1"/>
    <col min="15288" max="15288" width="7.81640625" style="41" customWidth="1"/>
    <col min="15289" max="15289" width="15.54296875" style="41" customWidth="1"/>
    <col min="15290" max="15290" width="7.81640625" style="41" bestFit="1" customWidth="1"/>
    <col min="15291" max="15291" width="15.7265625" style="41" bestFit="1" customWidth="1"/>
    <col min="15292" max="15292" width="7.54296875" style="41" customWidth="1"/>
    <col min="15293" max="15293" width="14" style="41" customWidth="1"/>
    <col min="15294" max="15294" width="7.81640625" style="41" customWidth="1"/>
    <col min="15295" max="15295" width="14" style="41" customWidth="1"/>
    <col min="15296" max="15296" width="7.81640625" style="41" customWidth="1"/>
    <col min="15297" max="15297" width="14" style="41" customWidth="1"/>
    <col min="15298" max="15298" width="9" style="41" customWidth="1"/>
    <col min="15299" max="15299" width="15.1796875" style="41" customWidth="1"/>
    <col min="15300" max="15300" width="13" style="41" bestFit="1" customWidth="1"/>
    <col min="15301" max="15301" width="15.1796875" style="41" bestFit="1" customWidth="1"/>
    <col min="15302" max="15302" width="7.54296875" style="41" customWidth="1"/>
    <col min="15303" max="15303" width="14" style="41" customWidth="1"/>
    <col min="15304" max="15304" width="7.81640625" style="41" customWidth="1"/>
    <col min="15305" max="15305" width="14" style="41" customWidth="1"/>
    <col min="15306" max="15306" width="7.81640625" style="41" customWidth="1"/>
    <col min="15307" max="15307" width="14" style="41" customWidth="1"/>
    <col min="15308" max="15308" width="9" style="41" bestFit="1" customWidth="1"/>
    <col min="15309" max="15309" width="15.1796875" style="41" bestFit="1" customWidth="1"/>
    <col min="15310" max="15310" width="9" style="41" bestFit="1" customWidth="1"/>
    <col min="15311" max="15311" width="15.1796875" style="41" bestFit="1" customWidth="1"/>
    <col min="15312" max="15312" width="6.36328125" style="41" customWidth="1"/>
    <col min="15313" max="15313" width="12.7265625" style="41" customWidth="1"/>
    <col min="15314" max="15314" width="6.36328125" style="41" customWidth="1"/>
    <col min="15315" max="15315" width="12.7265625" style="41" customWidth="1"/>
    <col min="15316" max="15316" width="6" style="41" customWidth="1"/>
    <col min="15317" max="15317" width="12.7265625" style="41" customWidth="1"/>
    <col min="15318" max="15318" width="9.54296875" style="41" customWidth="1"/>
    <col min="15319" max="15319" width="14" style="41" bestFit="1" customWidth="1"/>
    <col min="15320" max="15320" width="9.26953125" style="41"/>
    <col min="15321" max="15321" width="13.54296875" style="41" customWidth="1"/>
    <col min="15322" max="15322" width="6" style="41" customWidth="1"/>
    <col min="15323" max="15323" width="13.7265625" style="41" customWidth="1"/>
    <col min="15324" max="15324" width="6" style="41" customWidth="1"/>
    <col min="15325" max="15325" width="12.7265625" style="41" customWidth="1"/>
    <col min="15326" max="15326" width="6.81640625" style="41" customWidth="1"/>
    <col min="15327" max="15327" width="12.7265625" style="41" customWidth="1"/>
    <col min="15328" max="15328" width="6.81640625" style="41" customWidth="1"/>
    <col min="15329" max="15329" width="15.7265625" style="41" bestFit="1" customWidth="1"/>
    <col min="15330" max="15330" width="8.54296875" style="41" bestFit="1" customWidth="1"/>
    <col min="15331" max="15331" width="13.54296875" style="41" customWidth="1"/>
    <col min="15332" max="15332" width="6" style="41" customWidth="1"/>
    <col min="15333" max="15333" width="13.7265625" style="41" customWidth="1"/>
    <col min="15334" max="15334" width="6" style="41" customWidth="1"/>
    <col min="15335" max="15335" width="12.7265625" style="41" customWidth="1"/>
    <col min="15336" max="15336" width="6.81640625" style="41" customWidth="1"/>
    <col min="15337" max="15337" width="12.7265625" style="41" customWidth="1"/>
    <col min="15338" max="15338" width="6.81640625" style="41" customWidth="1"/>
    <col min="15339" max="15339" width="16.36328125" style="41" bestFit="1" customWidth="1"/>
    <col min="15340" max="15340" width="9.54296875" style="41" bestFit="1" customWidth="1"/>
    <col min="15341" max="15341" width="17.36328125" style="41" bestFit="1" customWidth="1"/>
    <col min="15342" max="15342" width="6" style="41" customWidth="1"/>
    <col min="15343" max="15343" width="13.7265625" style="41" customWidth="1"/>
    <col min="15344" max="15344" width="6" style="41" customWidth="1"/>
    <col min="15345" max="15345" width="12.7265625" style="41" customWidth="1"/>
    <col min="15346" max="15346" width="6.81640625" style="41" customWidth="1"/>
    <col min="15347" max="15347" width="12.7265625" style="41" customWidth="1"/>
    <col min="15348" max="15348" width="6.81640625" style="41" customWidth="1"/>
    <col min="15349" max="15349" width="15.36328125" style="41" bestFit="1" customWidth="1"/>
    <col min="15350" max="15350" width="9.54296875" style="41" bestFit="1" customWidth="1"/>
    <col min="15351" max="15351" width="17.36328125" style="41" bestFit="1" customWidth="1"/>
    <col min="15352" max="15352" width="8" style="41" customWidth="1"/>
    <col min="15353" max="15353" width="12.1796875" style="41" customWidth="1"/>
    <col min="15354" max="15354" width="8" style="41" customWidth="1"/>
    <col min="15355" max="15355" width="20" style="41" customWidth="1"/>
    <col min="15356" max="15356" width="15.26953125" style="41" bestFit="1" customWidth="1"/>
    <col min="15357" max="15357" width="14.26953125" style="41" bestFit="1" customWidth="1"/>
    <col min="15358" max="15358" width="13" style="41" bestFit="1" customWidth="1"/>
    <col min="15359" max="15530" width="9.26953125" style="41"/>
    <col min="15531" max="15531" width="2.7265625" style="41" customWidth="1"/>
    <col min="15532" max="15532" width="3.54296875" style="41" customWidth="1"/>
    <col min="15533" max="15533" width="7" style="41" customWidth="1"/>
    <col min="15534" max="15534" width="23" style="41" customWidth="1"/>
    <col min="15535" max="15535" width="13.26953125" style="41" customWidth="1"/>
    <col min="15536" max="15536" width="17.36328125" style="41" bestFit="1" customWidth="1"/>
    <col min="15537" max="15537" width="11.54296875" style="41" bestFit="1" customWidth="1"/>
    <col min="15538" max="15538" width="7.81640625" style="41" customWidth="1"/>
    <col min="15539" max="15539" width="11.54296875" style="41" bestFit="1" customWidth="1"/>
    <col min="15540" max="15540" width="7" style="41" customWidth="1"/>
    <col min="15541" max="15541" width="18.1796875" style="41" customWidth="1"/>
    <col min="15542" max="15542" width="7" style="41" customWidth="1"/>
    <col min="15543" max="15543" width="15.54296875" style="41" customWidth="1"/>
    <col min="15544" max="15544" width="7.81640625" style="41" customWidth="1"/>
    <col min="15545" max="15545" width="15.54296875" style="41" customWidth="1"/>
    <col min="15546" max="15546" width="7.81640625" style="41" bestFit="1" customWidth="1"/>
    <col min="15547" max="15547" width="15.7265625" style="41" bestFit="1" customWidth="1"/>
    <col min="15548" max="15548" width="7.54296875" style="41" customWidth="1"/>
    <col min="15549" max="15549" width="14" style="41" customWidth="1"/>
    <col min="15550" max="15550" width="7.81640625" style="41" customWidth="1"/>
    <col min="15551" max="15551" width="14" style="41" customWidth="1"/>
    <col min="15552" max="15552" width="7.81640625" style="41" customWidth="1"/>
    <col min="15553" max="15553" width="14" style="41" customWidth="1"/>
    <col min="15554" max="15554" width="9" style="41" customWidth="1"/>
    <col min="15555" max="15555" width="15.1796875" style="41" customWidth="1"/>
    <col min="15556" max="15556" width="13" style="41" bestFit="1" customWidth="1"/>
    <col min="15557" max="15557" width="15.1796875" style="41" bestFit="1" customWidth="1"/>
    <col min="15558" max="15558" width="7.54296875" style="41" customWidth="1"/>
    <col min="15559" max="15559" width="14" style="41" customWidth="1"/>
    <col min="15560" max="15560" width="7.81640625" style="41" customWidth="1"/>
    <col min="15561" max="15561" width="14" style="41" customWidth="1"/>
    <col min="15562" max="15562" width="7.81640625" style="41" customWidth="1"/>
    <col min="15563" max="15563" width="14" style="41" customWidth="1"/>
    <col min="15564" max="15564" width="9" style="41" bestFit="1" customWidth="1"/>
    <col min="15565" max="15565" width="15.1796875" style="41" bestFit="1" customWidth="1"/>
    <col min="15566" max="15566" width="9" style="41" bestFit="1" customWidth="1"/>
    <col min="15567" max="15567" width="15.1796875" style="41" bestFit="1" customWidth="1"/>
    <col min="15568" max="15568" width="6.36328125" style="41" customWidth="1"/>
    <col min="15569" max="15569" width="12.7265625" style="41" customWidth="1"/>
    <col min="15570" max="15570" width="6.36328125" style="41" customWidth="1"/>
    <col min="15571" max="15571" width="12.7265625" style="41" customWidth="1"/>
    <col min="15572" max="15572" width="6" style="41" customWidth="1"/>
    <col min="15573" max="15573" width="12.7265625" style="41" customWidth="1"/>
    <col min="15574" max="15574" width="9.54296875" style="41" customWidth="1"/>
    <col min="15575" max="15575" width="14" style="41" bestFit="1" customWidth="1"/>
    <col min="15576" max="15576" width="9.26953125" style="41"/>
    <col min="15577" max="15577" width="13.54296875" style="41" customWidth="1"/>
    <col min="15578" max="15578" width="6" style="41" customWidth="1"/>
    <col min="15579" max="15579" width="13.7265625" style="41" customWidth="1"/>
    <col min="15580" max="15580" width="6" style="41" customWidth="1"/>
    <col min="15581" max="15581" width="12.7265625" style="41" customWidth="1"/>
    <col min="15582" max="15582" width="6.81640625" style="41" customWidth="1"/>
    <col min="15583" max="15583" width="12.7265625" style="41" customWidth="1"/>
    <col min="15584" max="15584" width="6.81640625" style="41" customWidth="1"/>
    <col min="15585" max="15585" width="15.7265625" style="41" bestFit="1" customWidth="1"/>
    <col min="15586" max="15586" width="8.54296875" style="41" bestFit="1" customWidth="1"/>
    <col min="15587" max="15587" width="13.54296875" style="41" customWidth="1"/>
    <col min="15588" max="15588" width="6" style="41" customWidth="1"/>
    <col min="15589" max="15589" width="13.7265625" style="41" customWidth="1"/>
    <col min="15590" max="15590" width="6" style="41" customWidth="1"/>
    <col min="15591" max="15591" width="12.7265625" style="41" customWidth="1"/>
    <col min="15592" max="15592" width="6.81640625" style="41" customWidth="1"/>
    <col min="15593" max="15593" width="12.7265625" style="41" customWidth="1"/>
    <col min="15594" max="15594" width="6.81640625" style="41" customWidth="1"/>
    <col min="15595" max="15595" width="16.36328125" style="41" bestFit="1" customWidth="1"/>
    <col min="15596" max="15596" width="9.54296875" style="41" bestFit="1" customWidth="1"/>
    <col min="15597" max="15597" width="17.36328125" style="41" bestFit="1" customWidth="1"/>
    <col min="15598" max="15598" width="6" style="41" customWidth="1"/>
    <col min="15599" max="15599" width="13.7265625" style="41" customWidth="1"/>
    <col min="15600" max="15600" width="6" style="41" customWidth="1"/>
    <col min="15601" max="15601" width="12.7265625" style="41" customWidth="1"/>
    <col min="15602" max="15602" width="6.81640625" style="41" customWidth="1"/>
    <col min="15603" max="15603" width="12.7265625" style="41" customWidth="1"/>
    <col min="15604" max="15604" width="6.81640625" style="41" customWidth="1"/>
    <col min="15605" max="15605" width="15.36328125" style="41" bestFit="1" customWidth="1"/>
    <col min="15606" max="15606" width="9.54296875" style="41" bestFit="1" customWidth="1"/>
    <col min="15607" max="15607" width="17.36328125" style="41" bestFit="1" customWidth="1"/>
    <col min="15608" max="15608" width="8" style="41" customWidth="1"/>
    <col min="15609" max="15609" width="12.1796875" style="41" customWidth="1"/>
    <col min="15610" max="15610" width="8" style="41" customWidth="1"/>
    <col min="15611" max="15611" width="20" style="41" customWidth="1"/>
    <col min="15612" max="15612" width="15.26953125" style="41" bestFit="1" customWidth="1"/>
    <col min="15613" max="15613" width="14.26953125" style="41" bestFit="1" customWidth="1"/>
    <col min="15614" max="15614" width="13" style="41" bestFit="1" customWidth="1"/>
    <col min="15615" max="15786" width="9.26953125" style="41"/>
    <col min="15787" max="15787" width="2.7265625" style="41" customWidth="1"/>
    <col min="15788" max="15788" width="3.54296875" style="41" customWidth="1"/>
    <col min="15789" max="15789" width="7" style="41" customWidth="1"/>
    <col min="15790" max="15790" width="23" style="41" customWidth="1"/>
    <col min="15791" max="15791" width="13.26953125" style="41" customWidth="1"/>
    <col min="15792" max="15792" width="17.36328125" style="41" bestFit="1" customWidth="1"/>
    <col min="15793" max="15793" width="11.54296875" style="41" bestFit="1" customWidth="1"/>
    <col min="15794" max="15794" width="7.81640625" style="41" customWidth="1"/>
    <col min="15795" max="15795" width="11.54296875" style="41" bestFit="1" customWidth="1"/>
    <col min="15796" max="15796" width="7" style="41" customWidth="1"/>
    <col min="15797" max="15797" width="18.1796875" style="41" customWidth="1"/>
    <col min="15798" max="15798" width="7" style="41" customWidth="1"/>
    <col min="15799" max="15799" width="15.54296875" style="41" customWidth="1"/>
    <col min="15800" max="15800" width="7.81640625" style="41" customWidth="1"/>
    <col min="15801" max="15801" width="15.54296875" style="41" customWidth="1"/>
    <col min="15802" max="15802" width="7.81640625" style="41" bestFit="1" customWidth="1"/>
    <col min="15803" max="15803" width="15.7265625" style="41" bestFit="1" customWidth="1"/>
    <col min="15804" max="15804" width="7.54296875" style="41" customWidth="1"/>
    <col min="15805" max="15805" width="14" style="41" customWidth="1"/>
    <col min="15806" max="15806" width="7.81640625" style="41" customWidth="1"/>
    <col min="15807" max="15807" width="14" style="41" customWidth="1"/>
    <col min="15808" max="15808" width="7.81640625" style="41" customWidth="1"/>
    <col min="15809" max="15809" width="14" style="41" customWidth="1"/>
    <col min="15810" max="15810" width="9" style="41" customWidth="1"/>
    <col min="15811" max="15811" width="15.1796875" style="41" customWidth="1"/>
    <col min="15812" max="15812" width="13" style="41" bestFit="1" customWidth="1"/>
    <col min="15813" max="15813" width="15.1796875" style="41" bestFit="1" customWidth="1"/>
    <col min="15814" max="15814" width="7.54296875" style="41" customWidth="1"/>
    <col min="15815" max="15815" width="14" style="41" customWidth="1"/>
    <col min="15816" max="15816" width="7.81640625" style="41" customWidth="1"/>
    <col min="15817" max="15817" width="14" style="41" customWidth="1"/>
    <col min="15818" max="15818" width="7.81640625" style="41" customWidth="1"/>
    <col min="15819" max="15819" width="14" style="41" customWidth="1"/>
    <col min="15820" max="15820" width="9" style="41" bestFit="1" customWidth="1"/>
    <col min="15821" max="15821" width="15.1796875" style="41" bestFit="1" customWidth="1"/>
    <col min="15822" max="15822" width="9" style="41" bestFit="1" customWidth="1"/>
    <col min="15823" max="15823" width="15.1796875" style="41" bestFit="1" customWidth="1"/>
    <col min="15824" max="15824" width="6.36328125" style="41" customWidth="1"/>
    <col min="15825" max="15825" width="12.7265625" style="41" customWidth="1"/>
    <col min="15826" max="15826" width="6.36328125" style="41" customWidth="1"/>
    <col min="15827" max="15827" width="12.7265625" style="41" customWidth="1"/>
    <col min="15828" max="15828" width="6" style="41" customWidth="1"/>
    <col min="15829" max="15829" width="12.7265625" style="41" customWidth="1"/>
    <col min="15830" max="15830" width="9.54296875" style="41" customWidth="1"/>
    <col min="15831" max="15831" width="14" style="41" bestFit="1" customWidth="1"/>
    <col min="15832" max="15832" width="9.26953125" style="41"/>
    <col min="15833" max="15833" width="13.54296875" style="41" customWidth="1"/>
    <col min="15834" max="15834" width="6" style="41" customWidth="1"/>
    <col min="15835" max="15835" width="13.7265625" style="41" customWidth="1"/>
    <col min="15836" max="15836" width="6" style="41" customWidth="1"/>
    <col min="15837" max="15837" width="12.7265625" style="41" customWidth="1"/>
    <col min="15838" max="15838" width="6.81640625" style="41" customWidth="1"/>
    <col min="15839" max="15839" width="12.7265625" style="41" customWidth="1"/>
    <col min="15840" max="15840" width="6.81640625" style="41" customWidth="1"/>
    <col min="15841" max="15841" width="15.7265625" style="41" bestFit="1" customWidth="1"/>
    <col min="15842" max="15842" width="8.54296875" style="41" bestFit="1" customWidth="1"/>
    <col min="15843" max="15843" width="13.54296875" style="41" customWidth="1"/>
    <col min="15844" max="15844" width="6" style="41" customWidth="1"/>
    <col min="15845" max="15845" width="13.7265625" style="41" customWidth="1"/>
    <col min="15846" max="15846" width="6" style="41" customWidth="1"/>
    <col min="15847" max="15847" width="12.7265625" style="41" customWidth="1"/>
    <col min="15848" max="15848" width="6.81640625" style="41" customWidth="1"/>
    <col min="15849" max="15849" width="12.7265625" style="41" customWidth="1"/>
    <col min="15850" max="15850" width="6.81640625" style="41" customWidth="1"/>
    <col min="15851" max="15851" width="16.36328125" style="41" bestFit="1" customWidth="1"/>
    <col min="15852" max="15852" width="9.54296875" style="41" bestFit="1" customWidth="1"/>
    <col min="15853" max="15853" width="17.36328125" style="41" bestFit="1" customWidth="1"/>
    <col min="15854" max="15854" width="6" style="41" customWidth="1"/>
    <col min="15855" max="15855" width="13.7265625" style="41" customWidth="1"/>
    <col min="15856" max="15856" width="6" style="41" customWidth="1"/>
    <col min="15857" max="15857" width="12.7265625" style="41" customWidth="1"/>
    <col min="15858" max="15858" width="6.81640625" style="41" customWidth="1"/>
    <col min="15859" max="15859" width="12.7265625" style="41" customWidth="1"/>
    <col min="15860" max="15860" width="6.81640625" style="41" customWidth="1"/>
    <col min="15861" max="15861" width="15.36328125" style="41" bestFit="1" customWidth="1"/>
    <col min="15862" max="15862" width="9.54296875" style="41" bestFit="1" customWidth="1"/>
    <col min="15863" max="15863" width="17.36328125" style="41" bestFit="1" customWidth="1"/>
    <col min="15864" max="15864" width="8" style="41" customWidth="1"/>
    <col min="15865" max="15865" width="12.1796875" style="41" customWidth="1"/>
    <col min="15866" max="15866" width="8" style="41" customWidth="1"/>
    <col min="15867" max="15867" width="20" style="41" customWidth="1"/>
    <col min="15868" max="15868" width="15.26953125" style="41" bestFit="1" customWidth="1"/>
    <col min="15869" max="15869" width="14.26953125" style="41" bestFit="1" customWidth="1"/>
    <col min="15870" max="15870" width="13" style="41" bestFit="1" customWidth="1"/>
    <col min="15871" max="16042" width="9.26953125" style="41"/>
    <col min="16043" max="16043" width="2.7265625" style="41" customWidth="1"/>
    <col min="16044" max="16044" width="3.54296875" style="41" customWidth="1"/>
    <col min="16045" max="16045" width="7" style="41" customWidth="1"/>
    <col min="16046" max="16046" width="23" style="41" customWidth="1"/>
    <col min="16047" max="16047" width="13.26953125" style="41" customWidth="1"/>
    <col min="16048" max="16048" width="17.36328125" style="41" bestFit="1" customWidth="1"/>
    <col min="16049" max="16049" width="11.54296875" style="41" bestFit="1" customWidth="1"/>
    <col min="16050" max="16050" width="7.81640625" style="41" customWidth="1"/>
    <col min="16051" max="16051" width="11.54296875" style="41" bestFit="1" customWidth="1"/>
    <col min="16052" max="16052" width="7" style="41" customWidth="1"/>
    <col min="16053" max="16053" width="18.1796875" style="41" customWidth="1"/>
    <col min="16054" max="16054" width="7" style="41" customWidth="1"/>
    <col min="16055" max="16055" width="15.54296875" style="41" customWidth="1"/>
    <col min="16056" max="16056" width="7.81640625" style="41" customWidth="1"/>
    <col min="16057" max="16057" width="15.54296875" style="41" customWidth="1"/>
    <col min="16058" max="16058" width="7.81640625" style="41" bestFit="1" customWidth="1"/>
    <col min="16059" max="16059" width="15.7265625" style="41" bestFit="1" customWidth="1"/>
    <col min="16060" max="16060" width="7.54296875" style="41" customWidth="1"/>
    <col min="16061" max="16061" width="14" style="41" customWidth="1"/>
    <col min="16062" max="16062" width="7.81640625" style="41" customWidth="1"/>
    <col min="16063" max="16063" width="14" style="41" customWidth="1"/>
    <col min="16064" max="16064" width="7.81640625" style="41" customWidth="1"/>
    <col min="16065" max="16065" width="14" style="41" customWidth="1"/>
    <col min="16066" max="16066" width="9" style="41" customWidth="1"/>
    <col min="16067" max="16067" width="15.1796875" style="41" customWidth="1"/>
    <col min="16068" max="16068" width="13" style="41" bestFit="1" customWidth="1"/>
    <col min="16069" max="16069" width="15.1796875" style="41" bestFit="1" customWidth="1"/>
    <col min="16070" max="16070" width="7.54296875" style="41" customWidth="1"/>
    <col min="16071" max="16071" width="14" style="41" customWidth="1"/>
    <col min="16072" max="16072" width="7.81640625" style="41" customWidth="1"/>
    <col min="16073" max="16073" width="14" style="41" customWidth="1"/>
    <col min="16074" max="16074" width="7.81640625" style="41" customWidth="1"/>
    <col min="16075" max="16075" width="14" style="41" customWidth="1"/>
    <col min="16076" max="16076" width="9" style="41" bestFit="1" customWidth="1"/>
    <col min="16077" max="16077" width="15.1796875" style="41" bestFit="1" customWidth="1"/>
    <col min="16078" max="16078" width="9" style="41" bestFit="1" customWidth="1"/>
    <col min="16079" max="16079" width="15.1796875" style="41" bestFit="1" customWidth="1"/>
    <col min="16080" max="16080" width="6.36328125" style="41" customWidth="1"/>
    <col min="16081" max="16081" width="12.7265625" style="41" customWidth="1"/>
    <col min="16082" max="16082" width="6.36328125" style="41" customWidth="1"/>
    <col min="16083" max="16083" width="12.7265625" style="41" customWidth="1"/>
    <col min="16084" max="16084" width="6" style="41" customWidth="1"/>
    <col min="16085" max="16085" width="12.7265625" style="41" customWidth="1"/>
    <col min="16086" max="16086" width="9.54296875" style="41" customWidth="1"/>
    <col min="16087" max="16087" width="14" style="41" bestFit="1" customWidth="1"/>
    <col min="16088" max="16088" width="9.26953125" style="41"/>
    <col min="16089" max="16089" width="13.54296875" style="41" customWidth="1"/>
    <col min="16090" max="16090" width="6" style="41" customWidth="1"/>
    <col min="16091" max="16091" width="13.7265625" style="41" customWidth="1"/>
    <col min="16092" max="16092" width="6" style="41" customWidth="1"/>
    <col min="16093" max="16093" width="12.7265625" style="41" customWidth="1"/>
    <col min="16094" max="16094" width="6.81640625" style="41" customWidth="1"/>
    <col min="16095" max="16095" width="12.7265625" style="41" customWidth="1"/>
    <col min="16096" max="16096" width="6.81640625" style="41" customWidth="1"/>
    <col min="16097" max="16097" width="15.7265625" style="41" bestFit="1" customWidth="1"/>
    <col min="16098" max="16098" width="8.54296875" style="41" bestFit="1" customWidth="1"/>
    <col min="16099" max="16099" width="13.54296875" style="41" customWidth="1"/>
    <col min="16100" max="16100" width="6" style="41" customWidth="1"/>
    <col min="16101" max="16101" width="13.7265625" style="41" customWidth="1"/>
    <col min="16102" max="16102" width="6" style="41" customWidth="1"/>
    <col min="16103" max="16103" width="12.7265625" style="41" customWidth="1"/>
    <col min="16104" max="16104" width="6.81640625" style="41" customWidth="1"/>
    <col min="16105" max="16105" width="12.7265625" style="41" customWidth="1"/>
    <col min="16106" max="16106" width="6.81640625" style="41" customWidth="1"/>
    <col min="16107" max="16107" width="16.36328125" style="41" bestFit="1" customWidth="1"/>
    <col min="16108" max="16108" width="9.54296875" style="41" bestFit="1" customWidth="1"/>
    <col min="16109" max="16109" width="17.36328125" style="41" bestFit="1" customWidth="1"/>
    <col min="16110" max="16110" width="6" style="41" customWidth="1"/>
    <col min="16111" max="16111" width="13.7265625" style="41" customWidth="1"/>
    <col min="16112" max="16112" width="6" style="41" customWidth="1"/>
    <col min="16113" max="16113" width="12.7265625" style="41" customWidth="1"/>
    <col min="16114" max="16114" width="6.81640625" style="41" customWidth="1"/>
    <col min="16115" max="16115" width="12.7265625" style="41" customWidth="1"/>
    <col min="16116" max="16116" width="6.81640625" style="41" customWidth="1"/>
    <col min="16117" max="16117" width="15.36328125" style="41" bestFit="1" customWidth="1"/>
    <col min="16118" max="16118" width="9.54296875" style="41" bestFit="1" customWidth="1"/>
    <col min="16119" max="16119" width="17.36328125" style="41" bestFit="1" customWidth="1"/>
    <col min="16120" max="16120" width="8" style="41" customWidth="1"/>
    <col min="16121" max="16121" width="12.1796875" style="41" customWidth="1"/>
    <col min="16122" max="16122" width="8" style="41" customWidth="1"/>
    <col min="16123" max="16123" width="20" style="41" customWidth="1"/>
    <col min="16124" max="16124" width="15.26953125" style="41" bestFit="1" customWidth="1"/>
    <col min="16125" max="16125" width="14.26953125" style="41" bestFit="1" customWidth="1"/>
    <col min="16126" max="16126" width="13" style="41" bestFit="1" customWidth="1"/>
    <col min="16127" max="16367" width="9.26953125" style="41"/>
    <col min="16368" max="16384" width="8.7265625" style="41" customWidth="1"/>
  </cols>
  <sheetData>
    <row r="1" spans="1:8" ht="20.149999999999999" customHeight="1" x14ac:dyDescent="0.3">
      <c r="B1" s="455" t="s">
        <v>879</v>
      </c>
      <c r="C1" s="455"/>
      <c r="D1" s="455"/>
      <c r="E1" s="455"/>
      <c r="F1" s="455"/>
      <c r="G1" s="455"/>
    </row>
    <row r="2" spans="1:8" ht="21.5" customHeight="1" x14ac:dyDescent="0.3">
      <c r="B2" s="455" t="s">
        <v>880</v>
      </c>
      <c r="C2" s="455"/>
      <c r="D2" s="455"/>
      <c r="E2" s="455"/>
      <c r="F2" s="455"/>
      <c r="G2" s="455"/>
    </row>
    <row r="3" spans="1:8" ht="14.25" customHeight="1" x14ac:dyDescent="0.3">
      <c r="B3" s="456" t="s">
        <v>810</v>
      </c>
      <c r="C3" s="457"/>
      <c r="D3" s="350"/>
      <c r="E3" s="339" t="s">
        <v>809</v>
      </c>
      <c r="F3" s="339" t="s">
        <v>808</v>
      </c>
      <c r="G3" s="350"/>
    </row>
    <row r="4" spans="1:8" ht="14.25" customHeight="1" x14ac:dyDescent="0.3">
      <c r="B4" s="458"/>
      <c r="C4" s="459"/>
      <c r="D4" s="350" t="s">
        <v>804</v>
      </c>
      <c r="E4" s="360">
        <f>'SI TB LC Indigofera (FFD)'!E2</f>
        <v>27.8</v>
      </c>
      <c r="F4" s="360">
        <f>'SI TB LC Indigofera (FFD)'!AA2</f>
        <v>3058000</v>
      </c>
      <c r="G4" s="350" t="s">
        <v>7</v>
      </c>
    </row>
    <row r="5" spans="1:8" ht="14.25" customHeight="1" x14ac:dyDescent="0.3">
      <c r="B5" s="460"/>
      <c r="C5" s="461"/>
      <c r="D5" s="350" t="s">
        <v>805</v>
      </c>
      <c r="E5" s="360">
        <f>'SI TB LC Pakchong (FFD)'!E2</f>
        <v>31.159999999999997</v>
      </c>
      <c r="F5" s="360">
        <f>'SI TB LC Pakchong (FFD)'!AA2</f>
        <v>38139839.999999993</v>
      </c>
      <c r="G5" s="350" t="s">
        <v>7</v>
      </c>
    </row>
    <row r="6" spans="1:8" ht="14.25" customHeight="1" x14ac:dyDescent="0.3">
      <c r="B6" s="462" t="s">
        <v>567</v>
      </c>
      <c r="C6" s="464" t="s">
        <v>806</v>
      </c>
      <c r="D6" s="464" t="s">
        <v>568</v>
      </c>
      <c r="E6" s="464"/>
      <c r="F6" s="466" t="s">
        <v>807</v>
      </c>
      <c r="G6" s="467"/>
    </row>
    <row r="7" spans="1:8" ht="12.75" customHeight="1" x14ac:dyDescent="0.3">
      <c r="B7" s="463"/>
      <c r="C7" s="465"/>
      <c r="D7" s="352" t="s">
        <v>515</v>
      </c>
      <c r="E7" s="352" t="s">
        <v>562</v>
      </c>
      <c r="F7" s="468"/>
      <c r="G7" s="469"/>
    </row>
    <row r="8" spans="1:8" ht="14.25" customHeight="1" x14ac:dyDescent="0.3">
      <c r="B8" s="463"/>
      <c r="C8" s="465"/>
      <c r="D8" s="352" t="s">
        <v>569</v>
      </c>
      <c r="E8" s="352" t="s">
        <v>570</v>
      </c>
      <c r="F8" s="352" t="s">
        <v>5</v>
      </c>
      <c r="G8" s="352" t="s">
        <v>731</v>
      </c>
    </row>
    <row r="9" spans="1:8" ht="13.9" customHeight="1" x14ac:dyDescent="0.3">
      <c r="B9" s="340">
        <v>1</v>
      </c>
      <c r="C9" s="341" t="s">
        <v>207</v>
      </c>
      <c r="D9" s="342"/>
      <c r="E9" s="342"/>
      <c r="F9" s="342"/>
      <c r="G9" s="342"/>
    </row>
    <row r="10" spans="1:8" ht="13.9" customHeight="1" x14ac:dyDescent="0.3">
      <c r="B10" s="340"/>
      <c r="C10" s="343" t="s">
        <v>798</v>
      </c>
      <c r="D10" s="344">
        <f>$E$4</f>
        <v>27.8</v>
      </c>
      <c r="E10" s="342">
        <f>'SI TB LC Indigofera (FFD)'!Q34</f>
        <v>654740234.27638328</v>
      </c>
      <c r="F10" s="344">
        <f>E10/D10</f>
        <v>23551806.988359109</v>
      </c>
      <c r="G10" s="342">
        <f>E10/$F$4</f>
        <v>214.10733625781009</v>
      </c>
    </row>
    <row r="11" spans="1:8" ht="13.9" customHeight="1" x14ac:dyDescent="0.3">
      <c r="B11" s="340"/>
      <c r="C11" s="343" t="s">
        <v>799</v>
      </c>
      <c r="D11" s="345">
        <f>$E$5</f>
        <v>31.159999999999997</v>
      </c>
      <c r="E11" s="346">
        <f>'SI TB LC Pakchong (FFD)'!Q40</f>
        <v>473805061.31686103</v>
      </c>
      <c r="F11" s="344">
        <f>E11/D11</f>
        <v>15205553.957537262</v>
      </c>
      <c r="G11" s="346">
        <f>E11/$F$5</f>
        <v>12.422838200602339</v>
      </c>
    </row>
    <row r="12" spans="1:8" ht="13.9" customHeight="1" x14ac:dyDescent="0.3">
      <c r="B12" s="340">
        <v>2</v>
      </c>
      <c r="C12" s="341" t="s">
        <v>206</v>
      </c>
      <c r="D12" s="345"/>
      <c r="E12" s="346"/>
      <c r="F12" s="345"/>
      <c r="G12" s="346"/>
    </row>
    <row r="13" spans="1:8" s="42" customFormat="1" ht="13.9" customHeight="1" x14ac:dyDescent="0.3">
      <c r="A13" s="338"/>
      <c r="B13" s="340"/>
      <c r="C13" s="343" t="s">
        <v>800</v>
      </c>
      <c r="D13" s="344">
        <f>$E$4</f>
        <v>27.8</v>
      </c>
      <c r="E13" s="344">
        <f>'SI TB LC Indigofera (FFD)'!Q114</f>
        <v>113121063.25405382</v>
      </c>
      <c r="F13" s="344">
        <f t="shared" ref="F13:F14" si="0">E13/D13</f>
        <v>4069102.994750137</v>
      </c>
      <c r="G13" s="342">
        <f>E13/$F$4</f>
        <v>36.991845406819429</v>
      </c>
      <c r="H13" s="338"/>
    </row>
    <row r="14" spans="1:8" ht="13.9" customHeight="1" x14ac:dyDescent="0.3">
      <c r="B14" s="340"/>
      <c r="C14" s="343" t="s">
        <v>801</v>
      </c>
      <c r="D14" s="345">
        <f>$E$5</f>
        <v>31.159999999999997</v>
      </c>
      <c r="E14" s="347">
        <f>'SI TB LC Pakchong (FFD)'!Q120</f>
        <v>114474242.1474143</v>
      </c>
      <c r="F14" s="344">
        <f t="shared" si="0"/>
        <v>3673756.1664767107</v>
      </c>
      <c r="G14" s="346">
        <f>E14/$F$5</f>
        <v>3.0014347765332605</v>
      </c>
    </row>
    <row r="15" spans="1:8" ht="13.9" customHeight="1" x14ac:dyDescent="0.3">
      <c r="B15" s="340">
        <v>3</v>
      </c>
      <c r="C15" s="341" t="s">
        <v>215</v>
      </c>
      <c r="D15" s="344"/>
      <c r="E15" s="342"/>
      <c r="F15" s="344"/>
      <c r="G15" s="342"/>
    </row>
    <row r="16" spans="1:8" ht="13.9" customHeight="1" x14ac:dyDescent="0.3">
      <c r="B16" s="340"/>
      <c r="C16" s="343" t="s">
        <v>802</v>
      </c>
      <c r="D16" s="344">
        <f>$E$4</f>
        <v>27.8</v>
      </c>
      <c r="E16" s="346">
        <f>'SI TB LC Indigofera (FFD)'!Q207</f>
        <v>1049939830.0099102</v>
      </c>
      <c r="F16" s="344">
        <f t="shared" ref="F16:F17" si="1">E16/D16</f>
        <v>37767619.784529142</v>
      </c>
      <c r="G16" s="342">
        <f>E16/$F$4</f>
        <v>343.34199804117407</v>
      </c>
    </row>
    <row r="17" spans="2:7" ht="13.9" customHeight="1" x14ac:dyDescent="0.3">
      <c r="B17" s="340"/>
      <c r="C17" s="343" t="s">
        <v>803</v>
      </c>
      <c r="D17" s="345">
        <f>$E$5</f>
        <v>31.159999999999997</v>
      </c>
      <c r="E17" s="346">
        <f>'SI TB LC Pakchong (FFD)'!Q202</f>
        <v>860679521.78783989</v>
      </c>
      <c r="F17" s="344">
        <f t="shared" si="1"/>
        <v>27621294.024</v>
      </c>
      <c r="G17" s="346">
        <f>E17/$F$5</f>
        <v>22.566416686274511</v>
      </c>
    </row>
    <row r="18" spans="2:7" ht="13.9" customHeight="1" x14ac:dyDescent="0.3">
      <c r="B18" s="340">
        <v>4</v>
      </c>
      <c r="C18" s="348" t="s">
        <v>797</v>
      </c>
      <c r="D18" s="344"/>
      <c r="E18" s="349"/>
      <c r="F18" s="344"/>
      <c r="G18" s="349"/>
    </row>
    <row r="19" spans="2:7" ht="13.9" customHeight="1" x14ac:dyDescent="0.3">
      <c r="B19" s="340"/>
      <c r="C19" s="343" t="s">
        <v>802</v>
      </c>
      <c r="D19" s="344">
        <f>$E$4</f>
        <v>27.8</v>
      </c>
      <c r="E19" s="346">
        <f>'SI TB LC Indigofera (FFD)'!Q213</f>
        <v>619802023.03999996</v>
      </c>
      <c r="F19" s="344">
        <f t="shared" ref="F19:F22" si="2">E19/D19</f>
        <v>22295036.799999997</v>
      </c>
      <c r="G19" s="342">
        <f>E19/$F$4</f>
        <v>202.68215272727272</v>
      </c>
    </row>
    <row r="20" spans="2:7" ht="13.9" customHeight="1" x14ac:dyDescent="0.3">
      <c r="B20" s="340"/>
      <c r="C20" s="343" t="s">
        <v>803</v>
      </c>
      <c r="D20" s="345">
        <f>$E$5</f>
        <v>31.159999999999997</v>
      </c>
      <c r="E20" s="342">
        <f>'SI TB LC Pakchong (FFD)'!Q208</f>
        <v>380030281.56159997</v>
      </c>
      <c r="F20" s="344">
        <f t="shared" si="2"/>
        <v>12196093.76</v>
      </c>
      <c r="G20" s="346">
        <f>E20/$F$5</f>
        <v>9.9641288888888901</v>
      </c>
    </row>
    <row r="21" spans="2:7" ht="14.25" customHeight="1" x14ac:dyDescent="0.3">
      <c r="B21" s="353"/>
      <c r="C21" s="361" t="s">
        <v>811</v>
      </c>
      <c r="D21" s="354">
        <f>D19</f>
        <v>27.8</v>
      </c>
      <c r="E21" s="355">
        <f>E19+E16+E13+E10</f>
        <v>2437603150.5803471</v>
      </c>
      <c r="F21" s="354">
        <f t="shared" si="2"/>
        <v>87683566.567638382</v>
      </c>
      <c r="G21" s="355">
        <f>E21/$F$4</f>
        <v>797.12333243307626</v>
      </c>
    </row>
    <row r="22" spans="2:7" ht="14.25" customHeight="1" x14ac:dyDescent="0.3">
      <c r="B22" s="353"/>
      <c r="C22" s="361" t="s">
        <v>812</v>
      </c>
      <c r="D22" s="354">
        <f>D20</f>
        <v>31.159999999999997</v>
      </c>
      <c r="E22" s="355">
        <f>E20+E17+E14+E11</f>
        <v>1828989106.813715</v>
      </c>
      <c r="F22" s="354">
        <f t="shared" si="2"/>
        <v>58696697.90801397</v>
      </c>
      <c r="G22" s="355">
        <f>E22/$F$5</f>
        <v>47.954818552298995</v>
      </c>
    </row>
    <row r="23" spans="2:7" ht="14.25" customHeight="1" x14ac:dyDescent="0.3">
      <c r="B23" s="356"/>
      <c r="C23" s="357" t="s">
        <v>540</v>
      </c>
      <c r="D23" s="358"/>
      <c r="E23" s="359">
        <f>E22+E21</f>
        <v>4266592257.394062</v>
      </c>
      <c r="F23" s="358">
        <f>E23/(D21+D22)</f>
        <v>72364183.470048547</v>
      </c>
      <c r="G23" s="359">
        <f>E23/(F4+F5)</f>
        <v>103.56349404226199</v>
      </c>
    </row>
    <row r="24" spans="2:7" ht="14.25" customHeight="1" x14ac:dyDescent="0.3"/>
    <row r="25" spans="2:7" ht="14.25" customHeight="1" x14ac:dyDescent="0.3">
      <c r="F25" s="454" t="s">
        <v>890</v>
      </c>
      <c r="G25" s="454"/>
    </row>
    <row r="26" spans="2:7" ht="14.25" customHeight="1" x14ac:dyDescent="0.3">
      <c r="C26" s="362" t="s">
        <v>818</v>
      </c>
      <c r="D26" s="470" t="s">
        <v>814</v>
      </c>
      <c r="E26" s="470"/>
      <c r="F26" s="470" t="s">
        <v>813</v>
      </c>
      <c r="G26" s="470"/>
    </row>
    <row r="27" spans="2:7" ht="14.25" customHeight="1" x14ac:dyDescent="0.3">
      <c r="C27" s="362"/>
    </row>
    <row r="28" spans="2:7" ht="14.25" customHeight="1" x14ac:dyDescent="0.3">
      <c r="C28" s="362"/>
    </row>
    <row r="29" spans="2:7" ht="14.25" customHeight="1" x14ac:dyDescent="0.3">
      <c r="C29" s="362"/>
    </row>
    <row r="30" spans="2:7" ht="14.25" customHeight="1" x14ac:dyDescent="0.3">
      <c r="C30" s="362" t="s">
        <v>876</v>
      </c>
      <c r="D30" s="470" t="s">
        <v>815</v>
      </c>
      <c r="E30" s="470"/>
      <c r="F30" s="470" t="s">
        <v>819</v>
      </c>
      <c r="G30" s="470"/>
    </row>
    <row r="31" spans="2:7" ht="14.25" customHeight="1" x14ac:dyDescent="0.3">
      <c r="C31" s="351" t="s">
        <v>817</v>
      </c>
      <c r="D31" s="454" t="s">
        <v>816</v>
      </c>
      <c r="E31" s="454"/>
      <c r="F31" s="454" t="s">
        <v>889</v>
      </c>
      <c r="G31" s="454"/>
    </row>
    <row r="32" spans="2: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</sheetData>
  <mergeCells count="14">
    <mergeCell ref="D31:E31"/>
    <mergeCell ref="F31:G31"/>
    <mergeCell ref="B1:G1"/>
    <mergeCell ref="B2:G2"/>
    <mergeCell ref="B3:C5"/>
    <mergeCell ref="B6:B8"/>
    <mergeCell ref="C6:C8"/>
    <mergeCell ref="D6:E6"/>
    <mergeCell ref="F6:G7"/>
    <mergeCell ref="F25:G25"/>
    <mergeCell ref="D26:E26"/>
    <mergeCell ref="F26:G26"/>
    <mergeCell ref="D30:E30"/>
    <mergeCell ref="F30:G30"/>
  </mergeCells>
  <printOptions horizontalCentered="1"/>
  <pageMargins left="0.25" right="0.25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L36"/>
  <sheetViews>
    <sheetView showGridLines="0" zoomScale="90" zoomScaleNormal="90" workbookViewId="0"/>
  </sheetViews>
  <sheetFormatPr defaultRowHeight="14.5" x14ac:dyDescent="0.35"/>
  <cols>
    <col min="1" max="1" width="1.54296875" customWidth="1"/>
    <col min="2" max="3" width="9.26953125" style="44"/>
    <col min="4" max="4" width="10.54296875" style="44" customWidth="1"/>
    <col min="5" max="5" width="0" style="44" hidden="1" customWidth="1"/>
    <col min="6" max="6" width="10.54296875" style="44" hidden="1" customWidth="1"/>
    <col min="7" max="7" width="10.7265625" style="44" customWidth="1"/>
    <col min="8" max="8" width="12.7265625" style="44" customWidth="1"/>
    <col min="9" max="12" width="9.26953125" style="44"/>
  </cols>
  <sheetData>
    <row r="2" spans="2:8" ht="21.5" customHeight="1" x14ac:dyDescent="0.35">
      <c r="B2" s="481" t="s">
        <v>794</v>
      </c>
      <c r="C2" s="481"/>
      <c r="D2" s="481"/>
      <c r="E2" s="481"/>
      <c r="F2" s="481"/>
      <c r="G2" s="481"/>
      <c r="H2" s="481"/>
    </row>
    <row r="3" spans="2:8" x14ac:dyDescent="0.35">
      <c r="B3" s="480" t="s">
        <v>500</v>
      </c>
      <c r="C3" s="480" t="s">
        <v>142</v>
      </c>
      <c r="D3" s="474" t="s">
        <v>514</v>
      </c>
      <c r="E3" s="474" t="s">
        <v>612</v>
      </c>
      <c r="F3" s="482" t="s">
        <v>525</v>
      </c>
      <c r="G3" s="483"/>
      <c r="H3" s="475" t="s">
        <v>132</v>
      </c>
    </row>
    <row r="4" spans="2:8" x14ac:dyDescent="0.35">
      <c r="B4" s="480"/>
      <c r="C4" s="480"/>
      <c r="D4" s="474"/>
      <c r="E4" s="474"/>
      <c r="F4" s="421" t="s">
        <v>796</v>
      </c>
      <c r="G4" s="422" t="s">
        <v>795</v>
      </c>
      <c r="H4" s="476"/>
    </row>
    <row r="5" spans="2:8" x14ac:dyDescent="0.35">
      <c r="B5" s="311" t="s">
        <v>518</v>
      </c>
      <c r="C5" s="65" t="s">
        <v>718</v>
      </c>
      <c r="D5" s="171"/>
      <c r="E5" s="171"/>
      <c r="F5" s="171"/>
      <c r="G5" s="312"/>
      <c r="H5" s="313"/>
    </row>
    <row r="6" spans="2:8" x14ac:dyDescent="0.35">
      <c r="B6" s="50">
        <v>1</v>
      </c>
      <c r="C6" s="46" t="s">
        <v>691</v>
      </c>
      <c r="D6" s="171">
        <v>27.8</v>
      </c>
      <c r="E6" s="171" t="s">
        <v>641</v>
      </c>
      <c r="F6" s="314">
        <f t="shared" ref="F6" si="0">D6</f>
        <v>27.8</v>
      </c>
      <c r="G6" s="312">
        <f t="shared" ref="G6:G24" si="1">SUM(F6:F6)</f>
        <v>27.8</v>
      </c>
      <c r="H6" s="313"/>
    </row>
    <row r="7" spans="2:8" x14ac:dyDescent="0.35">
      <c r="B7" s="50">
        <v>2</v>
      </c>
      <c r="C7" s="301" t="s">
        <v>739</v>
      </c>
      <c r="D7" s="171">
        <v>14</v>
      </c>
      <c r="E7" s="171" t="s">
        <v>639</v>
      </c>
      <c r="F7" s="321">
        <f>D7</f>
        <v>14</v>
      </c>
      <c r="G7" s="312">
        <f t="shared" si="1"/>
        <v>14</v>
      </c>
      <c r="H7" s="313"/>
    </row>
    <row r="8" spans="2:8" x14ac:dyDescent="0.35">
      <c r="B8" s="478" t="s">
        <v>716</v>
      </c>
      <c r="C8" s="479"/>
      <c r="D8" s="315">
        <f>SUM(D6:D7)</f>
        <v>41.8</v>
      </c>
      <c r="E8" s="315"/>
      <c r="F8" s="315">
        <f>SUM(F6:F7)</f>
        <v>41.8</v>
      </c>
      <c r="G8" s="316">
        <f t="shared" si="1"/>
        <v>41.8</v>
      </c>
      <c r="H8" s="313"/>
    </row>
    <row r="9" spans="2:8" x14ac:dyDescent="0.35">
      <c r="B9" s="50">
        <v>3</v>
      </c>
      <c r="C9" s="46" t="s">
        <v>692</v>
      </c>
      <c r="D9" s="171">
        <f>(3.5*300)/10000</f>
        <v>0.105</v>
      </c>
      <c r="E9" s="171" t="s">
        <v>639</v>
      </c>
      <c r="F9" s="171">
        <f t="shared" ref="F9:F23" si="2">D9</f>
        <v>0.105</v>
      </c>
      <c r="G9" s="423">
        <f t="shared" si="1"/>
        <v>0.105</v>
      </c>
      <c r="H9" s="313"/>
    </row>
    <row r="10" spans="2:8" x14ac:dyDescent="0.35">
      <c r="B10" s="50">
        <v>4</v>
      </c>
      <c r="C10" s="46" t="s">
        <v>693</v>
      </c>
      <c r="D10" s="171">
        <f>(8*300)/10000</f>
        <v>0.24</v>
      </c>
      <c r="E10" s="171" t="s">
        <v>639</v>
      </c>
      <c r="F10" s="171">
        <f t="shared" si="2"/>
        <v>0.24</v>
      </c>
      <c r="G10" s="423">
        <f t="shared" si="1"/>
        <v>0.24</v>
      </c>
      <c r="H10" s="313"/>
    </row>
    <row r="11" spans="2:8" x14ac:dyDescent="0.35">
      <c r="B11" s="50">
        <v>5</v>
      </c>
      <c r="C11" s="46" t="s">
        <v>694</v>
      </c>
      <c r="D11" s="171">
        <f>(8.5*300)/10000</f>
        <v>0.255</v>
      </c>
      <c r="E11" s="171" t="s">
        <v>639</v>
      </c>
      <c r="F11" s="171">
        <f t="shared" si="2"/>
        <v>0.255</v>
      </c>
      <c r="G11" s="423">
        <f t="shared" si="1"/>
        <v>0.255</v>
      </c>
      <c r="H11" s="313"/>
    </row>
    <row r="12" spans="2:8" x14ac:dyDescent="0.35">
      <c r="B12" s="50">
        <v>6</v>
      </c>
      <c r="C12" s="46" t="s">
        <v>695</v>
      </c>
      <c r="D12" s="171">
        <f>(2.5*300)/10000</f>
        <v>7.4999999999999997E-2</v>
      </c>
      <c r="E12" s="171" t="s">
        <v>639</v>
      </c>
      <c r="F12" s="171">
        <f t="shared" si="2"/>
        <v>7.4999999999999997E-2</v>
      </c>
      <c r="G12" s="423">
        <f t="shared" si="1"/>
        <v>7.4999999999999997E-2</v>
      </c>
      <c r="H12" s="313"/>
    </row>
    <row r="13" spans="2:8" x14ac:dyDescent="0.35">
      <c r="B13" s="50">
        <v>7</v>
      </c>
      <c r="C13" s="46" t="s">
        <v>696</v>
      </c>
      <c r="D13" s="171">
        <f>(4*300)/10000</f>
        <v>0.12</v>
      </c>
      <c r="E13" s="171" t="s">
        <v>639</v>
      </c>
      <c r="F13" s="171">
        <f t="shared" si="2"/>
        <v>0.12</v>
      </c>
      <c r="G13" s="423">
        <f t="shared" si="1"/>
        <v>0.12</v>
      </c>
      <c r="H13" s="313"/>
    </row>
    <row r="14" spans="2:8" x14ac:dyDescent="0.35">
      <c r="B14" s="50">
        <v>8</v>
      </c>
      <c r="C14" s="46" t="s">
        <v>697</v>
      </c>
      <c r="D14" s="171">
        <f>(3*300)/10000</f>
        <v>0.09</v>
      </c>
      <c r="E14" s="171" t="s">
        <v>639</v>
      </c>
      <c r="F14" s="171">
        <f t="shared" si="2"/>
        <v>0.09</v>
      </c>
      <c r="G14" s="423">
        <f t="shared" si="1"/>
        <v>0.09</v>
      </c>
      <c r="H14" s="313"/>
    </row>
    <row r="15" spans="2:8" x14ac:dyDescent="0.35">
      <c r="B15" s="50">
        <v>9</v>
      </c>
      <c r="C15" s="46" t="s">
        <v>698</v>
      </c>
      <c r="D15" s="171">
        <f>(2*300)/10000</f>
        <v>0.06</v>
      </c>
      <c r="E15" s="171" t="s">
        <v>639</v>
      </c>
      <c r="F15" s="171">
        <f t="shared" si="2"/>
        <v>0.06</v>
      </c>
      <c r="G15" s="423">
        <f t="shared" si="1"/>
        <v>0.06</v>
      </c>
      <c r="H15" s="313"/>
    </row>
    <row r="16" spans="2:8" x14ac:dyDescent="0.35">
      <c r="B16" s="50">
        <v>10</v>
      </c>
      <c r="C16" s="46" t="s">
        <v>699</v>
      </c>
      <c r="D16" s="171">
        <f>(6*300)/10000</f>
        <v>0.18</v>
      </c>
      <c r="E16" s="171" t="s">
        <v>639</v>
      </c>
      <c r="F16" s="171">
        <f t="shared" si="2"/>
        <v>0.18</v>
      </c>
      <c r="G16" s="423">
        <f t="shared" si="1"/>
        <v>0.18</v>
      </c>
      <c r="H16" s="313"/>
    </row>
    <row r="17" spans="2:8" x14ac:dyDescent="0.35">
      <c r="B17" s="50">
        <v>11</v>
      </c>
      <c r="C17" s="46" t="s">
        <v>700</v>
      </c>
      <c r="D17" s="171">
        <f>(5*300)/10000</f>
        <v>0.15</v>
      </c>
      <c r="E17" s="171" t="s">
        <v>639</v>
      </c>
      <c r="F17" s="171">
        <f t="shared" si="2"/>
        <v>0.15</v>
      </c>
      <c r="G17" s="423">
        <f t="shared" si="1"/>
        <v>0.15</v>
      </c>
      <c r="H17" s="313"/>
    </row>
    <row r="18" spans="2:8" x14ac:dyDescent="0.35">
      <c r="B18" s="50">
        <v>12</v>
      </c>
      <c r="C18" s="46" t="s">
        <v>701</v>
      </c>
      <c r="D18" s="171">
        <f>(4*300)/10000</f>
        <v>0.12</v>
      </c>
      <c r="E18" s="171" t="s">
        <v>639</v>
      </c>
      <c r="F18" s="171">
        <f t="shared" si="2"/>
        <v>0.12</v>
      </c>
      <c r="G18" s="423">
        <f t="shared" si="1"/>
        <v>0.12</v>
      </c>
      <c r="H18" s="313"/>
    </row>
    <row r="19" spans="2:8" x14ac:dyDescent="0.35">
      <c r="B19" s="50">
        <v>13</v>
      </c>
      <c r="C19" s="46" t="s">
        <v>640</v>
      </c>
      <c r="D19" s="171">
        <v>6.5</v>
      </c>
      <c r="E19" s="171" t="s">
        <v>639</v>
      </c>
      <c r="F19" s="171">
        <f t="shared" si="2"/>
        <v>6.5</v>
      </c>
      <c r="G19" s="423">
        <f t="shared" si="1"/>
        <v>6.5</v>
      </c>
      <c r="H19" s="313"/>
    </row>
    <row r="20" spans="2:8" x14ac:dyDescent="0.35">
      <c r="B20" s="50">
        <v>14</v>
      </c>
      <c r="C20" s="46" t="s">
        <v>702</v>
      </c>
      <c r="D20" s="171">
        <f>(5.5*300)/10000</f>
        <v>0.16500000000000001</v>
      </c>
      <c r="E20" s="171" t="s">
        <v>639</v>
      </c>
      <c r="F20" s="171">
        <f t="shared" si="2"/>
        <v>0.16500000000000001</v>
      </c>
      <c r="G20" s="423">
        <f t="shared" si="1"/>
        <v>0.16500000000000001</v>
      </c>
      <c r="H20" s="313"/>
    </row>
    <row r="21" spans="2:8" x14ac:dyDescent="0.35">
      <c r="B21" s="50">
        <v>15</v>
      </c>
      <c r="C21" s="46" t="s">
        <v>703</v>
      </c>
      <c r="D21" s="171">
        <v>2.9</v>
      </c>
      <c r="E21" s="171" t="s">
        <v>639</v>
      </c>
      <c r="F21" s="171">
        <f t="shared" si="2"/>
        <v>2.9</v>
      </c>
      <c r="G21" s="423">
        <f t="shared" si="1"/>
        <v>2.9</v>
      </c>
      <c r="H21" s="313"/>
    </row>
    <row r="22" spans="2:8" x14ac:dyDescent="0.35">
      <c r="B22" s="50">
        <v>16</v>
      </c>
      <c r="C22" s="46" t="s">
        <v>704</v>
      </c>
      <c r="D22" s="171">
        <v>1.2</v>
      </c>
      <c r="E22" s="171" t="s">
        <v>639</v>
      </c>
      <c r="F22" s="171">
        <f t="shared" si="2"/>
        <v>1.2</v>
      </c>
      <c r="G22" s="423">
        <f t="shared" si="1"/>
        <v>1.2</v>
      </c>
      <c r="H22" s="313"/>
    </row>
    <row r="23" spans="2:8" x14ac:dyDescent="0.35">
      <c r="B23" s="50">
        <v>17</v>
      </c>
      <c r="C23" s="46" t="s">
        <v>705</v>
      </c>
      <c r="D23" s="171">
        <v>5</v>
      </c>
      <c r="E23" s="171" t="s">
        <v>639</v>
      </c>
      <c r="F23" s="171">
        <f t="shared" si="2"/>
        <v>5</v>
      </c>
      <c r="G23" s="423">
        <f t="shared" si="1"/>
        <v>5</v>
      </c>
      <c r="H23" s="313"/>
    </row>
    <row r="24" spans="2:8" x14ac:dyDescent="0.35">
      <c r="B24" s="478" t="s">
        <v>716</v>
      </c>
      <c r="C24" s="479"/>
      <c r="D24" s="315">
        <f>SUM(D9:D23)</f>
        <v>17.159999999999997</v>
      </c>
      <c r="E24" s="315"/>
      <c r="F24" s="315">
        <f>SUM(F9:F23)</f>
        <v>17.159999999999997</v>
      </c>
      <c r="G24" s="316">
        <f t="shared" si="1"/>
        <v>17.159999999999997</v>
      </c>
      <c r="H24" s="313"/>
    </row>
    <row r="25" spans="2:8" x14ac:dyDescent="0.35">
      <c r="B25" s="472" t="s">
        <v>501</v>
      </c>
      <c r="C25" s="473"/>
      <c r="D25" s="315">
        <f>D8+D24</f>
        <v>58.959999999999994</v>
      </c>
      <c r="E25" s="315">
        <f t="shared" ref="E25:G25" si="3">E8+E24</f>
        <v>0</v>
      </c>
      <c r="F25" s="315">
        <f t="shared" si="3"/>
        <v>58.959999999999994</v>
      </c>
      <c r="G25" s="315">
        <f t="shared" si="3"/>
        <v>58.959999999999994</v>
      </c>
      <c r="H25" s="313"/>
    </row>
    <row r="26" spans="2:8" x14ac:dyDescent="0.35">
      <c r="D26" s="246"/>
    </row>
    <row r="27" spans="2:8" x14ac:dyDescent="0.35">
      <c r="B27" s="44" t="s">
        <v>720</v>
      </c>
    </row>
    <row r="28" spans="2:8" x14ac:dyDescent="0.35">
      <c r="B28" s="480" t="s">
        <v>500</v>
      </c>
      <c r="C28" s="480" t="s">
        <v>142</v>
      </c>
      <c r="D28" s="474" t="s">
        <v>514</v>
      </c>
      <c r="E28" s="474" t="s">
        <v>612</v>
      </c>
      <c r="F28" s="318"/>
      <c r="G28" s="327"/>
      <c r="H28" s="475" t="s">
        <v>132</v>
      </c>
    </row>
    <row r="29" spans="2:8" x14ac:dyDescent="0.35">
      <c r="B29" s="480"/>
      <c r="C29" s="480"/>
      <c r="D29" s="474"/>
      <c r="E29" s="474"/>
      <c r="F29" s="319"/>
      <c r="G29" s="475" t="s">
        <v>638</v>
      </c>
      <c r="H29" s="476"/>
    </row>
    <row r="30" spans="2:8" x14ac:dyDescent="0.35">
      <c r="B30" s="480"/>
      <c r="C30" s="480"/>
      <c r="D30" s="474"/>
      <c r="E30" s="474"/>
      <c r="F30" s="320"/>
      <c r="G30" s="477"/>
      <c r="H30" s="477"/>
    </row>
    <row r="31" spans="2:8" x14ac:dyDescent="0.35">
      <c r="B31" s="46" t="s">
        <v>518</v>
      </c>
      <c r="C31" s="47" t="s">
        <v>717</v>
      </c>
      <c r="D31" s="47"/>
      <c r="E31" s="47"/>
      <c r="F31" s="47"/>
      <c r="G31" s="312"/>
      <c r="H31" s="47"/>
    </row>
    <row r="32" spans="2:8" x14ac:dyDescent="0.35">
      <c r="B32" s="47"/>
      <c r="C32" s="47" t="s">
        <v>718</v>
      </c>
      <c r="D32" s="182">
        <f>SUM(D6:D6)</f>
        <v>27.8</v>
      </c>
      <c r="E32" s="47"/>
      <c r="F32" s="182">
        <f>SUM(F6:F6)</f>
        <v>27.8</v>
      </c>
      <c r="G32" s="312">
        <f t="shared" ref="G32:G36" si="4">SUM(F32:F32)</f>
        <v>27.8</v>
      </c>
      <c r="H32" s="47"/>
    </row>
    <row r="33" spans="2:8" x14ac:dyDescent="0.35">
      <c r="B33" s="471" t="s">
        <v>716</v>
      </c>
      <c r="C33" s="471"/>
      <c r="D33" s="317">
        <f>SUM(D32:D32)</f>
        <v>27.8</v>
      </c>
      <c r="E33" s="47"/>
      <c r="F33" s="317">
        <f>SUM(F32:F32)</f>
        <v>27.8</v>
      </c>
      <c r="G33" s="316">
        <f t="shared" si="4"/>
        <v>27.8</v>
      </c>
      <c r="H33" s="47"/>
    </row>
    <row r="34" spans="2:8" x14ac:dyDescent="0.35">
      <c r="B34" s="46" t="s">
        <v>715</v>
      </c>
      <c r="C34" s="47" t="s">
        <v>719</v>
      </c>
      <c r="D34" s="47"/>
      <c r="E34" s="47"/>
      <c r="F34" s="47"/>
      <c r="G34" s="312"/>
      <c r="H34" s="47"/>
    </row>
    <row r="35" spans="2:8" x14ac:dyDescent="0.35">
      <c r="B35" s="47"/>
      <c r="C35" s="47" t="s">
        <v>718</v>
      </c>
      <c r="D35" s="182">
        <f>SUM(D9:D23)+D7</f>
        <v>31.159999999999997</v>
      </c>
      <c r="E35" s="47"/>
      <c r="F35" s="182">
        <f>SUM(F9:F23)+F7</f>
        <v>31.159999999999997</v>
      </c>
      <c r="G35" s="312">
        <f t="shared" si="4"/>
        <v>31.159999999999997</v>
      </c>
      <c r="H35" s="47"/>
    </row>
    <row r="36" spans="2:8" x14ac:dyDescent="0.35">
      <c r="B36" s="471" t="s">
        <v>716</v>
      </c>
      <c r="C36" s="471"/>
      <c r="D36" s="317">
        <f>SUM(D35:D35)</f>
        <v>31.159999999999997</v>
      </c>
      <c r="E36" s="47"/>
      <c r="F36" s="317">
        <f>SUM(F35:F35)</f>
        <v>31.159999999999997</v>
      </c>
      <c r="G36" s="316">
        <f t="shared" si="4"/>
        <v>31.159999999999997</v>
      </c>
      <c r="H36" s="47"/>
    </row>
  </sheetData>
  <mergeCells count="18">
    <mergeCell ref="B2:H2"/>
    <mergeCell ref="H3:H4"/>
    <mergeCell ref="B3:B4"/>
    <mergeCell ref="C3:C4"/>
    <mergeCell ref="D3:D4"/>
    <mergeCell ref="E3:E4"/>
    <mergeCell ref="F3:G3"/>
    <mergeCell ref="H28:H30"/>
    <mergeCell ref="G29:G30"/>
    <mergeCell ref="B8:C8"/>
    <mergeCell ref="B24:C24"/>
    <mergeCell ref="B28:B30"/>
    <mergeCell ref="C28:C30"/>
    <mergeCell ref="B33:C33"/>
    <mergeCell ref="B36:C36"/>
    <mergeCell ref="B25:C25"/>
    <mergeCell ref="D28:D30"/>
    <mergeCell ref="E28:E30"/>
  </mergeCells>
  <phoneticPr fontId="28" type="noConversion"/>
  <printOptions horizontalCentered="1"/>
  <pageMargins left="0.25" right="0.25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W34"/>
  <sheetViews>
    <sheetView showGridLines="0" topLeftCell="A7" workbookViewId="0">
      <selection activeCell="A7" sqref="A7"/>
    </sheetView>
  </sheetViews>
  <sheetFormatPr defaultRowHeight="14.5" x14ac:dyDescent="0.35"/>
  <cols>
    <col min="1" max="1" width="1.81640625" customWidth="1"/>
    <col min="2" max="2" width="4.81640625" style="44" customWidth="1"/>
    <col min="3" max="3" width="18.26953125" style="44" customWidth="1"/>
    <col min="4" max="4" width="52.26953125" style="44" customWidth="1"/>
    <col min="5" max="22" width="4.7265625" style="44" customWidth="1"/>
    <col min="23" max="23" width="12.7265625" style="44" customWidth="1"/>
  </cols>
  <sheetData>
    <row r="1" spans="2:23" hidden="1" x14ac:dyDescent="0.35"/>
    <row r="2" spans="2:23" hidden="1" x14ac:dyDescent="0.35">
      <c r="B2" s="490" t="s">
        <v>885</v>
      </c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0"/>
      <c r="P2" s="490"/>
      <c r="Q2" s="490"/>
      <c r="R2" s="490"/>
      <c r="S2" s="490"/>
      <c r="T2" s="490"/>
      <c r="U2" s="490"/>
      <c r="V2" s="490"/>
      <c r="W2" s="490"/>
    </row>
    <row r="3" spans="2:23" ht="6" hidden="1" customHeight="1" x14ac:dyDescent="0.35"/>
    <row r="4" spans="2:23" hidden="1" x14ac:dyDescent="0.35">
      <c r="C4" s="58" t="s">
        <v>886</v>
      </c>
      <c r="D4" s="49"/>
    </row>
    <row r="5" spans="2:23" hidden="1" x14ac:dyDescent="0.35">
      <c r="C5" s="59" t="s">
        <v>653</v>
      </c>
      <c r="D5" s="49" t="s">
        <v>887</v>
      </c>
    </row>
    <row r="6" spans="2:23" hidden="1" x14ac:dyDescent="0.35">
      <c r="C6" s="59" t="s">
        <v>654</v>
      </c>
      <c r="D6" s="49" t="s">
        <v>655</v>
      </c>
    </row>
    <row r="7" spans="2:23" ht="28.25" customHeight="1" x14ac:dyDescent="0.35">
      <c r="B7" s="498" t="s">
        <v>786</v>
      </c>
      <c r="C7" s="498"/>
      <c r="D7" s="498"/>
      <c r="E7" s="498"/>
      <c r="F7" s="498"/>
      <c r="G7" s="498"/>
      <c r="H7" s="498"/>
      <c r="I7" s="498"/>
      <c r="J7" s="498"/>
      <c r="K7" s="498"/>
      <c r="L7" s="498"/>
      <c r="M7" s="498"/>
      <c r="N7" s="498"/>
      <c r="O7" s="498"/>
      <c r="P7" s="498"/>
      <c r="Q7" s="498"/>
      <c r="R7" s="498"/>
      <c r="S7" s="498"/>
      <c r="T7" s="498"/>
      <c r="U7" s="498"/>
      <c r="V7" s="498"/>
      <c r="W7" s="498"/>
    </row>
    <row r="8" spans="2:23" ht="28.25" customHeight="1" thickBot="1" x14ac:dyDescent="0.4">
      <c r="B8" s="498" t="s">
        <v>888</v>
      </c>
      <c r="C8" s="498"/>
      <c r="D8" s="498"/>
      <c r="E8" s="498"/>
      <c r="F8" s="498"/>
      <c r="G8" s="498"/>
      <c r="H8" s="498"/>
      <c r="I8" s="498"/>
      <c r="J8" s="498"/>
      <c r="K8" s="498"/>
      <c r="L8" s="498"/>
      <c r="M8" s="498"/>
      <c r="N8" s="498"/>
      <c r="O8" s="498"/>
      <c r="P8" s="498"/>
      <c r="Q8" s="498"/>
      <c r="R8" s="498"/>
      <c r="S8" s="498"/>
      <c r="T8" s="498"/>
      <c r="U8" s="498"/>
      <c r="V8" s="498"/>
      <c r="W8" s="498"/>
    </row>
    <row r="9" spans="2:23" x14ac:dyDescent="0.35">
      <c r="B9" s="491" t="s">
        <v>500</v>
      </c>
      <c r="C9" s="491" t="s">
        <v>583</v>
      </c>
      <c r="D9" s="493"/>
      <c r="E9" s="495">
        <v>2026</v>
      </c>
      <c r="F9" s="495"/>
      <c r="G9" s="495"/>
      <c r="H9" s="495"/>
      <c r="I9" s="495"/>
      <c r="J9" s="495">
        <v>2027</v>
      </c>
      <c r="K9" s="495"/>
      <c r="L9" s="495"/>
      <c r="M9" s="495"/>
      <c r="N9" s="495"/>
      <c r="O9" s="495"/>
      <c r="P9" s="495"/>
      <c r="Q9" s="495"/>
      <c r="R9" s="495"/>
      <c r="S9" s="495"/>
      <c r="T9" s="495"/>
      <c r="U9" s="495"/>
      <c r="V9" s="495"/>
      <c r="W9" s="496" t="s">
        <v>132</v>
      </c>
    </row>
    <row r="10" spans="2:23" ht="15" thickBot="1" x14ac:dyDescent="0.4">
      <c r="B10" s="492"/>
      <c r="C10" s="492"/>
      <c r="D10" s="494"/>
      <c r="E10" s="60" t="s">
        <v>665</v>
      </c>
      <c r="F10" s="60" t="s">
        <v>666</v>
      </c>
      <c r="G10" s="60" t="s">
        <v>656</v>
      </c>
      <c r="H10" s="60" t="s">
        <v>657</v>
      </c>
      <c r="I10" s="60" t="s">
        <v>658</v>
      </c>
      <c r="J10" s="334" t="s">
        <v>659</v>
      </c>
      <c r="K10" s="334" t="s">
        <v>660</v>
      </c>
      <c r="L10" s="334" t="s">
        <v>661</v>
      </c>
      <c r="M10" s="334" t="s">
        <v>662</v>
      </c>
      <c r="N10" s="329" t="s">
        <v>516</v>
      </c>
      <c r="O10" s="334" t="s">
        <v>782</v>
      </c>
      <c r="P10" s="334" t="s">
        <v>663</v>
      </c>
      <c r="Q10" s="334" t="s">
        <v>664</v>
      </c>
      <c r="R10" s="334" t="s">
        <v>783</v>
      </c>
      <c r="S10" s="334" t="s">
        <v>666</v>
      </c>
      <c r="T10" s="334" t="s">
        <v>784</v>
      </c>
      <c r="U10" s="334" t="s">
        <v>742</v>
      </c>
      <c r="V10" s="334" t="s">
        <v>785</v>
      </c>
      <c r="W10" s="497"/>
    </row>
    <row r="11" spans="2:23" x14ac:dyDescent="0.35">
      <c r="B11" s="61">
        <v>1</v>
      </c>
      <c r="C11" s="61" t="s">
        <v>667</v>
      </c>
      <c r="D11" s="62" t="s">
        <v>668</v>
      </c>
      <c r="E11" s="332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4"/>
    </row>
    <row r="12" spans="2:23" x14ac:dyDescent="0.35">
      <c r="B12" s="484">
        <v>2</v>
      </c>
      <c r="C12" s="487" t="s">
        <v>533</v>
      </c>
      <c r="D12" s="330" t="s">
        <v>575</v>
      </c>
      <c r="E12" s="332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46" t="s">
        <v>669</v>
      </c>
    </row>
    <row r="13" spans="2:23" x14ac:dyDescent="0.35">
      <c r="B13" s="485"/>
      <c r="C13" s="488"/>
      <c r="D13" s="330" t="s">
        <v>774</v>
      </c>
      <c r="E13" s="332"/>
      <c r="F13" s="332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6" t="s">
        <v>669</v>
      </c>
    </row>
    <row r="14" spans="2:23" x14ac:dyDescent="0.35">
      <c r="B14" s="485"/>
      <c r="C14" s="488"/>
      <c r="D14" s="330" t="s">
        <v>775</v>
      </c>
      <c r="E14" s="47"/>
      <c r="F14" s="332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6" t="s">
        <v>669</v>
      </c>
    </row>
    <row r="15" spans="2:23" x14ac:dyDescent="0.35">
      <c r="B15" s="486"/>
      <c r="C15" s="489"/>
      <c r="D15" s="331" t="s">
        <v>631</v>
      </c>
      <c r="E15" s="47"/>
      <c r="F15" s="47"/>
      <c r="G15" s="332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50" t="s">
        <v>669</v>
      </c>
    </row>
    <row r="16" spans="2:23" x14ac:dyDescent="0.35">
      <c r="B16" s="484">
        <v>3</v>
      </c>
      <c r="C16" s="487" t="s">
        <v>670</v>
      </c>
      <c r="D16" s="331" t="s">
        <v>148</v>
      </c>
      <c r="E16" s="47"/>
      <c r="F16" s="332"/>
      <c r="G16" s="332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50"/>
    </row>
    <row r="17" spans="2:23" x14ac:dyDescent="0.35">
      <c r="B17" s="485"/>
      <c r="C17" s="488"/>
      <c r="D17" s="330" t="s">
        <v>671</v>
      </c>
      <c r="E17" s="47"/>
      <c r="F17" s="332"/>
      <c r="G17" s="332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6" t="s">
        <v>669</v>
      </c>
    </row>
    <row r="18" spans="2:23" x14ac:dyDescent="0.35">
      <c r="B18" s="485"/>
      <c r="C18" s="488"/>
      <c r="D18" s="330" t="s">
        <v>519</v>
      </c>
      <c r="E18" s="47"/>
      <c r="F18" s="332"/>
      <c r="G18" s="332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6" t="s">
        <v>669</v>
      </c>
    </row>
    <row r="19" spans="2:23" x14ac:dyDescent="0.35">
      <c r="B19" s="484">
        <v>4</v>
      </c>
      <c r="C19" s="487" t="s">
        <v>706</v>
      </c>
      <c r="D19" s="68" t="s">
        <v>572</v>
      </c>
      <c r="E19" s="47"/>
      <c r="F19" s="333"/>
      <c r="G19" s="332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6" t="s">
        <v>669</v>
      </c>
    </row>
    <row r="20" spans="2:23" x14ac:dyDescent="0.35">
      <c r="B20" s="485"/>
      <c r="C20" s="488"/>
      <c r="D20" s="68" t="s">
        <v>599</v>
      </c>
      <c r="E20" s="47"/>
      <c r="F20" s="333"/>
      <c r="G20" s="332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6" t="s">
        <v>669</v>
      </c>
    </row>
    <row r="21" spans="2:23" x14ac:dyDescent="0.35">
      <c r="B21" s="485"/>
      <c r="C21" s="488"/>
      <c r="D21" s="68" t="s">
        <v>776</v>
      </c>
      <c r="E21" s="47"/>
      <c r="F21" s="333"/>
      <c r="G21" s="332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6" t="s">
        <v>669</v>
      </c>
    </row>
    <row r="22" spans="2:23" x14ac:dyDescent="0.35">
      <c r="B22" s="485"/>
      <c r="C22" s="488"/>
      <c r="D22" s="68" t="s">
        <v>592</v>
      </c>
      <c r="E22" s="47"/>
      <c r="F22" s="333"/>
      <c r="G22" s="332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6" t="s">
        <v>669</v>
      </c>
    </row>
    <row r="23" spans="2:23" x14ac:dyDescent="0.35">
      <c r="B23" s="485"/>
      <c r="C23" s="488"/>
      <c r="D23" s="68" t="s">
        <v>599</v>
      </c>
      <c r="E23" s="47"/>
      <c r="F23" s="333"/>
      <c r="G23" s="332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6"/>
    </row>
    <row r="24" spans="2:23" x14ac:dyDescent="0.35">
      <c r="B24" s="485"/>
      <c r="C24" s="488"/>
      <c r="D24" s="68" t="s">
        <v>594</v>
      </c>
      <c r="E24" s="47"/>
      <c r="F24" s="333"/>
      <c r="G24" s="332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6" t="s">
        <v>669</v>
      </c>
    </row>
    <row r="25" spans="2:23" x14ac:dyDescent="0.35">
      <c r="B25" s="486"/>
      <c r="C25" s="489"/>
      <c r="D25" s="68" t="s">
        <v>677</v>
      </c>
      <c r="E25" s="47"/>
      <c r="F25" s="333"/>
      <c r="G25" s="332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6" t="s">
        <v>669</v>
      </c>
    </row>
    <row r="26" spans="2:23" x14ac:dyDescent="0.35">
      <c r="B26" s="499">
        <v>5</v>
      </c>
      <c r="C26" s="500" t="s">
        <v>707</v>
      </c>
      <c r="D26" s="47" t="s">
        <v>164</v>
      </c>
      <c r="E26" s="47"/>
      <c r="F26" s="47"/>
      <c r="G26" s="47"/>
      <c r="H26" s="332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6" t="s">
        <v>669</v>
      </c>
    </row>
    <row r="27" spans="2:23" x14ac:dyDescent="0.35">
      <c r="B27" s="499"/>
      <c r="C27" s="500"/>
      <c r="D27" s="47" t="s">
        <v>777</v>
      </c>
      <c r="E27" s="66"/>
      <c r="F27" s="66"/>
      <c r="G27" s="66"/>
      <c r="H27" s="332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46" t="s">
        <v>669</v>
      </c>
    </row>
    <row r="28" spans="2:23" x14ac:dyDescent="0.35">
      <c r="B28" s="499"/>
      <c r="C28" s="500"/>
      <c r="D28" s="47" t="s">
        <v>675</v>
      </c>
      <c r="E28" s="66"/>
      <c r="F28" s="66"/>
      <c r="G28" s="66"/>
      <c r="H28" s="332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46" t="s">
        <v>669</v>
      </c>
    </row>
    <row r="29" spans="2:23" x14ac:dyDescent="0.35">
      <c r="B29" s="484">
        <v>6</v>
      </c>
      <c r="C29" s="487" t="s">
        <v>708</v>
      </c>
      <c r="D29" s="47" t="s">
        <v>777</v>
      </c>
      <c r="E29" s="66"/>
      <c r="F29" s="66"/>
      <c r="G29" s="332"/>
      <c r="H29" s="332"/>
      <c r="I29" s="332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46"/>
    </row>
    <row r="30" spans="2:23" x14ac:dyDescent="0.35">
      <c r="B30" s="485"/>
      <c r="C30" s="488"/>
      <c r="D30" s="47" t="s">
        <v>779</v>
      </c>
      <c r="E30" s="66"/>
      <c r="F30" s="66"/>
      <c r="G30" s="66"/>
      <c r="H30" s="66"/>
      <c r="I30" s="332"/>
      <c r="J30" s="332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46" t="s">
        <v>672</v>
      </c>
    </row>
    <row r="31" spans="2:23" x14ac:dyDescent="0.35">
      <c r="B31" s="485"/>
      <c r="C31" s="488"/>
      <c r="D31" s="47" t="s">
        <v>780</v>
      </c>
      <c r="E31" s="66"/>
      <c r="F31" s="66"/>
      <c r="G31" s="66"/>
      <c r="H31" s="66"/>
      <c r="I31" s="66"/>
      <c r="J31" s="66"/>
      <c r="K31" s="332"/>
      <c r="L31" s="332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46" t="s">
        <v>669</v>
      </c>
    </row>
    <row r="32" spans="2:23" x14ac:dyDescent="0.35">
      <c r="B32" s="486"/>
      <c r="C32" s="489"/>
      <c r="D32" s="47" t="s">
        <v>173</v>
      </c>
      <c r="E32" s="66"/>
      <c r="F32" s="66"/>
      <c r="G32" s="66"/>
      <c r="H32" s="66"/>
      <c r="I32" s="66"/>
      <c r="J32" s="332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46"/>
    </row>
    <row r="33" spans="2:23" x14ac:dyDescent="0.35">
      <c r="B33" s="484">
        <v>7</v>
      </c>
      <c r="C33" s="487" t="s">
        <v>709</v>
      </c>
      <c r="D33" s="47" t="s">
        <v>710</v>
      </c>
      <c r="E33" s="66"/>
      <c r="F33" s="66"/>
      <c r="G33" s="66"/>
      <c r="H33" s="66"/>
      <c r="I33" s="66"/>
      <c r="J33" s="66"/>
      <c r="K33" s="66"/>
      <c r="L33" s="66"/>
      <c r="M33" s="66"/>
      <c r="N33" s="332"/>
      <c r="O33" s="333"/>
      <c r="P33" s="333"/>
      <c r="Q33" s="333"/>
      <c r="R33" s="333"/>
      <c r="S33" s="333"/>
      <c r="T33" s="333"/>
      <c r="U33" s="333"/>
      <c r="V33" s="333"/>
      <c r="W33" s="46" t="s">
        <v>669</v>
      </c>
    </row>
    <row r="34" spans="2:23" s="45" customFormat="1" x14ac:dyDescent="0.35">
      <c r="B34" s="486"/>
      <c r="C34" s="489"/>
      <c r="D34" s="69" t="s">
        <v>781</v>
      </c>
      <c r="E34" s="335"/>
      <c r="F34" s="335"/>
      <c r="G34" s="335"/>
      <c r="H34" s="335"/>
      <c r="I34" s="335"/>
      <c r="J34" s="335"/>
      <c r="K34" s="335"/>
      <c r="L34" s="335"/>
      <c r="M34" s="335"/>
      <c r="N34" s="335"/>
      <c r="O34" s="335"/>
      <c r="P34" s="337"/>
      <c r="Q34" s="336"/>
      <c r="R34" s="335"/>
      <c r="S34" s="335"/>
      <c r="T34" s="336"/>
      <c r="U34" s="335"/>
      <c r="V34" s="335"/>
      <c r="W34" s="328" t="s">
        <v>790</v>
      </c>
    </row>
  </sheetData>
  <mergeCells count="20">
    <mergeCell ref="C29:C32"/>
    <mergeCell ref="B26:B28"/>
    <mergeCell ref="C26:C28"/>
    <mergeCell ref="B33:B34"/>
    <mergeCell ref="C33:C34"/>
    <mergeCell ref="B29:B32"/>
    <mergeCell ref="B19:B25"/>
    <mergeCell ref="C19:C25"/>
    <mergeCell ref="B2:W2"/>
    <mergeCell ref="B9:B10"/>
    <mergeCell ref="C9:D10"/>
    <mergeCell ref="E9:I9"/>
    <mergeCell ref="W9:W10"/>
    <mergeCell ref="B12:B15"/>
    <mergeCell ref="C12:C15"/>
    <mergeCell ref="B16:B18"/>
    <mergeCell ref="J9:V9"/>
    <mergeCell ref="B7:W7"/>
    <mergeCell ref="C16:C18"/>
    <mergeCell ref="B8:W8"/>
  </mergeCells>
  <phoneticPr fontId="28" type="noConversion"/>
  <printOptions horizontalCentered="1"/>
  <pageMargins left="0.25" right="0.25" top="0.75" bottom="0.75" header="0.3" footer="0.3"/>
  <pageSetup paperSize="9" scale="8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D78C6-9111-425B-BF13-3D4E545ED1E7}">
  <sheetPr>
    <pageSetUpPr fitToPage="1"/>
  </sheetPr>
  <dimension ref="B1:W28"/>
  <sheetViews>
    <sheetView showGridLines="0" topLeftCell="A7" workbookViewId="0">
      <selection activeCell="A7" sqref="A7"/>
    </sheetView>
  </sheetViews>
  <sheetFormatPr defaultRowHeight="14.5" x14ac:dyDescent="0.35"/>
  <cols>
    <col min="1" max="1" width="1.81640625" customWidth="1"/>
    <col min="2" max="2" width="4.81640625" style="44" customWidth="1"/>
    <col min="3" max="3" width="18.26953125" style="44" customWidth="1"/>
    <col min="4" max="4" width="52.26953125" style="44" customWidth="1"/>
    <col min="5" max="22" width="4.7265625" style="44" customWidth="1"/>
    <col min="23" max="23" width="13.1796875" style="44" customWidth="1"/>
  </cols>
  <sheetData>
    <row r="1" spans="2:23" hidden="1" x14ac:dyDescent="0.35"/>
    <row r="2" spans="2:23" hidden="1" x14ac:dyDescent="0.35">
      <c r="B2" s="490" t="s">
        <v>652</v>
      </c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0"/>
      <c r="P2" s="490"/>
      <c r="Q2" s="490"/>
      <c r="R2" s="490"/>
      <c r="S2" s="490"/>
      <c r="T2" s="490"/>
      <c r="U2" s="490"/>
      <c r="V2" s="490"/>
      <c r="W2" s="490"/>
    </row>
    <row r="3" spans="2:23" ht="6" hidden="1" customHeight="1" x14ac:dyDescent="0.35"/>
    <row r="4" spans="2:23" hidden="1" x14ac:dyDescent="0.35">
      <c r="C4" s="58" t="s">
        <v>886</v>
      </c>
      <c r="D4" s="49"/>
    </row>
    <row r="5" spans="2:23" hidden="1" x14ac:dyDescent="0.35">
      <c r="C5" s="59" t="s">
        <v>653</v>
      </c>
      <c r="D5" s="49" t="s">
        <v>887</v>
      </c>
    </row>
    <row r="6" spans="2:23" hidden="1" x14ac:dyDescent="0.35">
      <c r="C6" s="59" t="s">
        <v>654</v>
      </c>
      <c r="D6" s="49" t="s">
        <v>655</v>
      </c>
    </row>
    <row r="7" spans="2:23" ht="28.25" customHeight="1" x14ac:dyDescent="0.35">
      <c r="B7" s="498" t="s">
        <v>791</v>
      </c>
      <c r="C7" s="498"/>
      <c r="D7" s="498"/>
      <c r="E7" s="498"/>
      <c r="F7" s="498"/>
      <c r="G7" s="498"/>
      <c r="H7" s="498"/>
      <c r="I7" s="498"/>
      <c r="J7" s="498"/>
      <c r="K7" s="498"/>
      <c r="L7" s="498"/>
      <c r="M7" s="498"/>
      <c r="N7" s="498"/>
      <c r="O7" s="498"/>
      <c r="P7" s="498"/>
      <c r="Q7" s="498"/>
      <c r="R7" s="498"/>
      <c r="S7" s="498"/>
      <c r="T7" s="498"/>
      <c r="U7" s="498"/>
      <c r="V7" s="498"/>
      <c r="W7" s="498"/>
    </row>
    <row r="8" spans="2:23" ht="28.25" customHeight="1" thickBot="1" x14ac:dyDescent="0.4">
      <c r="B8" s="498" t="s">
        <v>888</v>
      </c>
      <c r="C8" s="498"/>
      <c r="D8" s="498"/>
      <c r="E8" s="498"/>
      <c r="F8" s="498"/>
      <c r="G8" s="498"/>
      <c r="H8" s="498"/>
      <c r="I8" s="498"/>
      <c r="J8" s="498"/>
      <c r="K8" s="498"/>
      <c r="L8" s="498"/>
      <c r="M8" s="498"/>
      <c r="N8" s="498"/>
      <c r="O8" s="498"/>
      <c r="P8" s="498"/>
      <c r="Q8" s="498"/>
      <c r="R8" s="498"/>
      <c r="S8" s="498"/>
      <c r="T8" s="498"/>
      <c r="U8" s="498"/>
      <c r="V8" s="498"/>
      <c r="W8" s="498"/>
    </row>
    <row r="9" spans="2:23" ht="15" thickTop="1" x14ac:dyDescent="0.35">
      <c r="B9" s="501" t="s">
        <v>500</v>
      </c>
      <c r="C9" s="503" t="s">
        <v>583</v>
      </c>
      <c r="D9" s="493"/>
      <c r="E9" s="495">
        <v>2026</v>
      </c>
      <c r="F9" s="495"/>
      <c r="G9" s="495"/>
      <c r="H9" s="495"/>
      <c r="I9" s="495"/>
      <c r="J9" s="505">
        <v>2027</v>
      </c>
      <c r="K9" s="505"/>
      <c r="L9" s="505"/>
      <c r="M9" s="505"/>
      <c r="N9" s="505"/>
      <c r="O9" s="505"/>
      <c r="P9" s="505"/>
      <c r="Q9" s="505"/>
      <c r="R9" s="505"/>
      <c r="S9" s="505"/>
      <c r="T9" s="505"/>
      <c r="U9" s="505"/>
      <c r="V9" s="505"/>
      <c r="W9" s="506" t="s">
        <v>132</v>
      </c>
    </row>
    <row r="10" spans="2:23" ht="15" thickBot="1" x14ac:dyDescent="0.4">
      <c r="B10" s="502"/>
      <c r="C10" s="504"/>
      <c r="D10" s="494"/>
      <c r="E10" s="60" t="s">
        <v>665</v>
      </c>
      <c r="F10" s="60" t="s">
        <v>666</v>
      </c>
      <c r="G10" s="60" t="s">
        <v>656</v>
      </c>
      <c r="H10" s="60" t="s">
        <v>657</v>
      </c>
      <c r="I10" s="60" t="s">
        <v>658</v>
      </c>
      <c r="J10" s="334" t="s">
        <v>659</v>
      </c>
      <c r="K10" s="334" t="s">
        <v>660</v>
      </c>
      <c r="L10" s="334" t="s">
        <v>661</v>
      </c>
      <c r="M10" s="334" t="s">
        <v>662</v>
      </c>
      <c r="N10" s="329" t="s">
        <v>516</v>
      </c>
      <c r="O10" s="334" t="s">
        <v>782</v>
      </c>
      <c r="P10" s="334" t="s">
        <v>663</v>
      </c>
      <c r="Q10" s="334" t="s">
        <v>664</v>
      </c>
      <c r="R10" s="334" t="s">
        <v>783</v>
      </c>
      <c r="S10" s="334" t="s">
        <v>666</v>
      </c>
      <c r="T10" s="334" t="s">
        <v>784</v>
      </c>
      <c r="U10" s="334" t="s">
        <v>742</v>
      </c>
      <c r="V10" s="334" t="s">
        <v>785</v>
      </c>
      <c r="W10" s="497"/>
    </row>
    <row r="11" spans="2:23" x14ac:dyDescent="0.35">
      <c r="B11" s="61">
        <v>1</v>
      </c>
      <c r="C11" s="61" t="s">
        <v>667</v>
      </c>
      <c r="D11" s="62" t="s">
        <v>668</v>
      </c>
      <c r="E11" s="332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4"/>
    </row>
    <row r="12" spans="2:23" x14ac:dyDescent="0.35">
      <c r="B12" s="484">
        <v>2</v>
      </c>
      <c r="C12" s="487" t="s">
        <v>533</v>
      </c>
      <c r="D12" s="330" t="s">
        <v>575</v>
      </c>
      <c r="E12" s="332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46" t="s">
        <v>669</v>
      </c>
    </row>
    <row r="13" spans="2:23" x14ac:dyDescent="0.35">
      <c r="B13" s="485"/>
      <c r="C13" s="488"/>
      <c r="D13" s="330" t="s">
        <v>774</v>
      </c>
      <c r="E13" s="332"/>
      <c r="F13" s="332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6" t="s">
        <v>669</v>
      </c>
    </row>
    <row r="14" spans="2:23" x14ac:dyDescent="0.35">
      <c r="B14" s="485"/>
      <c r="C14" s="488"/>
      <c r="D14" s="330" t="s">
        <v>775</v>
      </c>
      <c r="E14" s="47"/>
      <c r="F14" s="332"/>
      <c r="G14" s="332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6" t="s">
        <v>669</v>
      </c>
    </row>
    <row r="15" spans="2:23" x14ac:dyDescent="0.35">
      <c r="B15" s="486"/>
      <c r="C15" s="489"/>
      <c r="D15" s="331" t="s">
        <v>631</v>
      </c>
      <c r="E15" s="47"/>
      <c r="F15" s="47"/>
      <c r="G15" s="332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50" t="s">
        <v>669</v>
      </c>
    </row>
    <row r="16" spans="2:23" x14ac:dyDescent="0.35">
      <c r="B16" s="484">
        <v>3</v>
      </c>
      <c r="C16" s="487" t="s">
        <v>670</v>
      </c>
      <c r="D16" s="331" t="s">
        <v>148</v>
      </c>
      <c r="E16" s="47"/>
      <c r="F16" s="332"/>
      <c r="G16" s="332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50"/>
    </row>
    <row r="17" spans="2:23" x14ac:dyDescent="0.35">
      <c r="B17" s="485"/>
      <c r="C17" s="488"/>
      <c r="D17" s="330" t="s">
        <v>671</v>
      </c>
      <c r="E17" s="47"/>
      <c r="F17" s="332"/>
      <c r="G17" s="332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6" t="s">
        <v>669</v>
      </c>
    </row>
    <row r="18" spans="2:23" x14ac:dyDescent="0.35">
      <c r="B18" s="485"/>
      <c r="C18" s="488"/>
      <c r="D18" s="330" t="s">
        <v>519</v>
      </c>
      <c r="E18" s="47"/>
      <c r="F18" s="332"/>
      <c r="G18" s="332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6" t="s">
        <v>669</v>
      </c>
    </row>
    <row r="19" spans="2:23" x14ac:dyDescent="0.35">
      <c r="B19" s="50">
        <v>4</v>
      </c>
      <c r="C19" s="328" t="s">
        <v>787</v>
      </c>
      <c r="D19" s="68" t="s">
        <v>594</v>
      </c>
      <c r="E19" s="47"/>
      <c r="F19" s="333"/>
      <c r="G19" s="332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6" t="s">
        <v>669</v>
      </c>
    </row>
    <row r="20" spans="2:23" x14ac:dyDescent="0.35">
      <c r="B20" s="499">
        <v>5</v>
      </c>
      <c r="C20" s="500" t="s">
        <v>792</v>
      </c>
      <c r="D20" s="47" t="s">
        <v>164</v>
      </c>
      <c r="E20" s="47"/>
      <c r="F20" s="47"/>
      <c r="G20" s="332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6" t="s">
        <v>669</v>
      </c>
    </row>
    <row r="21" spans="2:23" x14ac:dyDescent="0.35">
      <c r="B21" s="499"/>
      <c r="C21" s="500"/>
      <c r="D21" s="47" t="s">
        <v>777</v>
      </c>
      <c r="E21" s="66"/>
      <c r="F21" s="66"/>
      <c r="G21" s="332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47"/>
      <c r="U21" s="66"/>
      <c r="V21" s="66"/>
      <c r="W21" s="46" t="s">
        <v>669</v>
      </c>
    </row>
    <row r="22" spans="2:23" x14ac:dyDescent="0.35">
      <c r="B22" s="499"/>
      <c r="C22" s="500"/>
      <c r="D22" s="47" t="s">
        <v>758</v>
      </c>
      <c r="E22" s="66"/>
      <c r="F22" s="66"/>
      <c r="G22" s="332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47"/>
      <c r="U22" s="66"/>
      <c r="V22" s="66"/>
      <c r="W22" s="46" t="s">
        <v>669</v>
      </c>
    </row>
    <row r="23" spans="2:23" x14ac:dyDescent="0.35">
      <c r="B23" s="484">
        <v>6</v>
      </c>
      <c r="C23" s="487" t="s">
        <v>793</v>
      </c>
      <c r="D23" s="47" t="s">
        <v>777</v>
      </c>
      <c r="E23" s="66"/>
      <c r="F23" s="332"/>
      <c r="G23" s="332"/>
      <c r="H23" s="332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47"/>
      <c r="U23" s="66"/>
      <c r="V23" s="66"/>
      <c r="W23" s="46"/>
    </row>
    <row r="24" spans="2:23" x14ac:dyDescent="0.35">
      <c r="B24" s="485"/>
      <c r="C24" s="488"/>
      <c r="D24" s="47" t="s">
        <v>779</v>
      </c>
      <c r="E24" s="66"/>
      <c r="F24" s="66"/>
      <c r="G24" s="66"/>
      <c r="H24" s="332"/>
      <c r="I24" s="332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47"/>
      <c r="U24" s="66"/>
      <c r="V24" s="66"/>
      <c r="W24" s="46" t="s">
        <v>672</v>
      </c>
    </row>
    <row r="25" spans="2:23" x14ac:dyDescent="0.35">
      <c r="B25" s="485"/>
      <c r="C25" s="488"/>
      <c r="D25" s="47" t="s">
        <v>780</v>
      </c>
      <c r="E25" s="66"/>
      <c r="F25" s="66"/>
      <c r="G25" s="66"/>
      <c r="H25" s="66"/>
      <c r="I25" s="66"/>
      <c r="J25" s="332"/>
      <c r="K25" s="332"/>
      <c r="L25" s="333"/>
      <c r="M25" s="333"/>
      <c r="N25" s="333"/>
      <c r="O25" s="333"/>
      <c r="P25" s="333"/>
      <c r="Q25" s="333"/>
      <c r="R25" s="333"/>
      <c r="S25" s="333"/>
      <c r="T25" s="47"/>
      <c r="U25" s="333"/>
      <c r="V25" s="333"/>
      <c r="W25" s="46" t="s">
        <v>669</v>
      </c>
    </row>
    <row r="26" spans="2:23" x14ac:dyDescent="0.35">
      <c r="B26" s="486"/>
      <c r="C26" s="489"/>
      <c r="D26" s="47" t="s">
        <v>173</v>
      </c>
      <c r="E26" s="66"/>
      <c r="F26" s="66"/>
      <c r="G26" s="66"/>
      <c r="H26" s="66"/>
      <c r="I26" s="332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47"/>
      <c r="U26" s="66"/>
      <c r="V26" s="66"/>
      <c r="W26" s="46"/>
    </row>
    <row r="27" spans="2:23" x14ac:dyDescent="0.35">
      <c r="B27" s="484">
        <v>7</v>
      </c>
      <c r="C27" s="487" t="s">
        <v>772</v>
      </c>
      <c r="D27" s="47" t="s">
        <v>710</v>
      </c>
      <c r="E27" s="66"/>
      <c r="F27" s="66"/>
      <c r="G27" s="66"/>
      <c r="H27" s="66"/>
      <c r="I27" s="66"/>
      <c r="J27" s="332"/>
      <c r="K27" s="66"/>
      <c r="L27" s="66"/>
      <c r="M27" s="333"/>
      <c r="N27" s="333"/>
      <c r="O27" s="333"/>
      <c r="P27" s="333"/>
      <c r="Q27" s="333"/>
      <c r="R27" s="333"/>
      <c r="S27" s="333"/>
      <c r="T27" s="47"/>
      <c r="U27" s="333"/>
      <c r="V27" s="333"/>
      <c r="W27" s="46" t="s">
        <v>669</v>
      </c>
    </row>
    <row r="28" spans="2:23" s="45" customFormat="1" x14ac:dyDescent="0.3">
      <c r="B28" s="486"/>
      <c r="C28" s="489"/>
      <c r="D28" s="69" t="s">
        <v>788</v>
      </c>
      <c r="E28" s="335"/>
      <c r="F28" s="335"/>
      <c r="G28" s="335"/>
      <c r="H28" s="335"/>
      <c r="I28" s="335"/>
      <c r="J28" s="335"/>
      <c r="K28" s="335"/>
      <c r="L28" s="332"/>
      <c r="M28" s="335"/>
      <c r="N28" s="332"/>
      <c r="O28" s="337"/>
      <c r="P28" s="332"/>
      <c r="Q28" s="335"/>
      <c r="R28" s="332"/>
      <c r="S28" s="337"/>
      <c r="T28" s="332"/>
      <c r="U28" s="335"/>
      <c r="V28" s="332"/>
      <c r="W28" s="328" t="s">
        <v>789</v>
      </c>
    </row>
  </sheetData>
  <mergeCells count="18">
    <mergeCell ref="B20:B22"/>
    <mergeCell ref="C20:C22"/>
    <mergeCell ref="B23:B26"/>
    <mergeCell ref="C23:C26"/>
    <mergeCell ref="B27:B28"/>
    <mergeCell ref="C27:C28"/>
    <mergeCell ref="B12:B15"/>
    <mergeCell ref="C12:C15"/>
    <mergeCell ref="B16:B18"/>
    <mergeCell ref="C16:C18"/>
    <mergeCell ref="B2:W2"/>
    <mergeCell ref="B7:W7"/>
    <mergeCell ref="B9:B10"/>
    <mergeCell ref="C9:D10"/>
    <mergeCell ref="E9:I9"/>
    <mergeCell ref="J9:V9"/>
    <mergeCell ref="W9:W10"/>
    <mergeCell ref="B8:W8"/>
  </mergeCells>
  <printOptions horizontalCentered="1"/>
  <pageMargins left="0.25" right="0.25" top="0.75" bottom="0.75" header="0.3" footer="0.3"/>
  <pageSetup paperSize="9" scale="82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D7B6D-219A-4BA8-A224-7AB45CF43E95}">
  <dimension ref="A1:AG235"/>
  <sheetViews>
    <sheetView showGridLines="0" view="pageBreakPreview" topLeftCell="A72" zoomScale="59" zoomScaleNormal="80" zoomScaleSheetLayoutView="85" workbookViewId="0"/>
  </sheetViews>
  <sheetFormatPr defaultRowHeight="14.5" x14ac:dyDescent="0.35"/>
  <cols>
    <col min="1" max="1" width="2.1796875" style="44" customWidth="1"/>
    <col min="2" max="3" width="4.26953125" style="71" customWidth="1"/>
    <col min="4" max="4" width="14.1796875" style="71" customWidth="1"/>
    <col min="5" max="5" width="25.1796875" style="71" customWidth="1"/>
    <col min="6" max="6" width="24.54296875" style="71" customWidth="1"/>
    <col min="7" max="7" width="9.7265625" style="76" bestFit="1" customWidth="1"/>
    <col min="8" max="8" width="3.1796875" style="71" hidden="1" customWidth="1"/>
    <col min="9" max="9" width="3.54296875" style="71" hidden="1" customWidth="1"/>
    <col min="10" max="10" width="8.81640625" style="71" customWidth="1"/>
    <col min="11" max="11" width="8.81640625" style="75" customWidth="1"/>
    <col min="12" max="12" width="13.26953125" style="75" bestFit="1" customWidth="1"/>
    <col min="13" max="13" width="9.54296875" style="77" customWidth="1"/>
    <col min="14" max="14" width="7.453125" style="44" bestFit="1" customWidth="1"/>
    <col min="15" max="15" width="12.36328125" style="78" bestFit="1" customWidth="1"/>
    <col min="16" max="16" width="14.54296875" style="44" bestFit="1" customWidth="1"/>
    <col min="17" max="17" width="18.81640625" style="44" bestFit="1" customWidth="1"/>
    <col min="18" max="23" width="15.54296875" style="44" hidden="1" customWidth="1"/>
    <col min="24" max="24" width="50.54296875" style="44" hidden="1" customWidth="1"/>
    <col min="25" max="26" width="13.81640625" style="44" hidden="1" customWidth="1"/>
    <col min="27" max="27" width="16.54296875" style="44" bestFit="1" customWidth="1"/>
    <col min="28" max="28" width="11.1796875" style="44" customWidth="1"/>
    <col min="29" max="29" width="12.6328125" style="44" bestFit="1" customWidth="1"/>
    <col min="30" max="30" width="11.7265625" hidden="1" customWidth="1"/>
    <col min="31" max="31" width="7.08984375" hidden="1" customWidth="1"/>
    <col min="32" max="37" width="0" hidden="1" customWidth="1"/>
  </cols>
  <sheetData>
    <row r="1" spans="2:33" ht="30.9" customHeight="1" x14ac:dyDescent="0.35">
      <c r="B1" s="535" t="s">
        <v>756</v>
      </c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5"/>
      <c r="AA1" s="535"/>
      <c r="AB1" s="535"/>
    </row>
    <row r="2" spans="2:33" x14ac:dyDescent="0.35">
      <c r="D2" s="72" t="s">
        <v>644</v>
      </c>
      <c r="E2" s="73">
        <f>'Areal Stmt'!G32</f>
        <v>27.8</v>
      </c>
      <c r="F2" s="71" t="s">
        <v>728</v>
      </c>
      <c r="G2" s="74">
        <f>E2*5000</f>
        <v>139000</v>
      </c>
      <c r="L2" s="76"/>
      <c r="Q2" s="44" t="s">
        <v>714</v>
      </c>
      <c r="AA2" s="79">
        <f>11000*E2*AF11</f>
        <v>3058000</v>
      </c>
      <c r="AB2" s="78" t="s">
        <v>7</v>
      </c>
      <c r="AD2" t="s">
        <v>714</v>
      </c>
      <c r="AF2" t="s">
        <v>751</v>
      </c>
      <c r="AG2" t="s">
        <v>525</v>
      </c>
    </row>
    <row r="3" spans="2:33" ht="15" customHeight="1" x14ac:dyDescent="0.35">
      <c r="B3" s="536" t="s">
        <v>128</v>
      </c>
      <c r="C3" s="537"/>
      <c r="D3" s="537"/>
      <c r="E3" s="538"/>
      <c r="F3" s="545" t="s">
        <v>129</v>
      </c>
      <c r="G3" s="546"/>
      <c r="H3" s="547" t="s">
        <v>191</v>
      </c>
      <c r="I3" s="548"/>
      <c r="J3" s="553" t="s">
        <v>482</v>
      </c>
      <c r="K3" s="554"/>
      <c r="L3" s="554"/>
      <c r="M3" s="554"/>
      <c r="N3" s="554"/>
      <c r="O3" s="555"/>
      <c r="P3" s="556" t="s">
        <v>773</v>
      </c>
      <c r="Q3" s="557"/>
      <c r="R3" s="558">
        <v>2026</v>
      </c>
      <c r="S3" s="559"/>
      <c r="T3" s="560">
        <v>2027</v>
      </c>
      <c r="U3" s="561"/>
      <c r="V3" s="562" t="s">
        <v>203</v>
      </c>
      <c r="W3" s="563"/>
      <c r="X3" s="564" t="s">
        <v>132</v>
      </c>
      <c r="Y3" s="44" t="s">
        <v>585</v>
      </c>
      <c r="Z3" s="44" t="s">
        <v>586</v>
      </c>
      <c r="AA3" s="567" t="s">
        <v>5</v>
      </c>
      <c r="AB3" s="570" t="s">
        <v>630</v>
      </c>
      <c r="AD3" t="s">
        <v>750</v>
      </c>
      <c r="AE3" s="322">
        <v>46266</v>
      </c>
      <c r="AF3" s="323"/>
      <c r="AG3" s="323">
        <v>2026</v>
      </c>
    </row>
    <row r="4" spans="2:33" x14ac:dyDescent="0.35">
      <c r="B4" s="539"/>
      <c r="C4" s="540"/>
      <c r="D4" s="540"/>
      <c r="E4" s="541"/>
      <c r="F4" s="529" t="s">
        <v>480</v>
      </c>
      <c r="G4" s="529" t="s">
        <v>478</v>
      </c>
      <c r="H4" s="549"/>
      <c r="I4" s="550"/>
      <c r="J4" s="529" t="s">
        <v>478</v>
      </c>
      <c r="K4" s="545" t="s">
        <v>133</v>
      </c>
      <c r="L4" s="546"/>
      <c r="M4" s="527" t="s">
        <v>130</v>
      </c>
      <c r="N4" s="529" t="s">
        <v>131</v>
      </c>
      <c r="O4" s="531" t="s">
        <v>202</v>
      </c>
      <c r="P4" s="533" t="s">
        <v>195</v>
      </c>
      <c r="Q4" s="519" t="s">
        <v>196</v>
      </c>
      <c r="R4" s="521" t="s">
        <v>195</v>
      </c>
      <c r="S4" s="521" t="s">
        <v>196</v>
      </c>
      <c r="T4" s="523" t="s">
        <v>195</v>
      </c>
      <c r="U4" s="523" t="s">
        <v>196</v>
      </c>
      <c r="V4" s="525" t="s">
        <v>195</v>
      </c>
      <c r="W4" s="525" t="s">
        <v>196</v>
      </c>
      <c r="X4" s="565"/>
      <c r="AA4" s="568"/>
      <c r="AB4" s="568"/>
      <c r="AD4" t="s">
        <v>524</v>
      </c>
      <c r="AE4">
        <v>1</v>
      </c>
      <c r="AF4" s="323" t="s">
        <v>516</v>
      </c>
      <c r="AG4" s="323">
        <v>2027</v>
      </c>
    </row>
    <row r="5" spans="2:33" ht="28" x14ac:dyDescent="0.35">
      <c r="B5" s="542"/>
      <c r="C5" s="543"/>
      <c r="D5" s="543"/>
      <c r="E5" s="544"/>
      <c r="F5" s="530"/>
      <c r="G5" s="530"/>
      <c r="H5" s="551"/>
      <c r="I5" s="552"/>
      <c r="J5" s="530"/>
      <c r="K5" s="81" t="s">
        <v>477</v>
      </c>
      <c r="L5" s="80" t="s">
        <v>481</v>
      </c>
      <c r="M5" s="528"/>
      <c r="N5" s="530"/>
      <c r="O5" s="532"/>
      <c r="P5" s="534"/>
      <c r="Q5" s="520"/>
      <c r="R5" s="522"/>
      <c r="S5" s="522"/>
      <c r="T5" s="524"/>
      <c r="U5" s="524"/>
      <c r="V5" s="526"/>
      <c r="W5" s="526"/>
      <c r="X5" s="566"/>
      <c r="AA5" s="569"/>
      <c r="AB5" s="569"/>
      <c r="AE5">
        <v>2</v>
      </c>
      <c r="AF5" s="323" t="s">
        <v>517</v>
      </c>
      <c r="AG5" s="323">
        <v>20027</v>
      </c>
    </row>
    <row r="6" spans="2:33" x14ac:dyDescent="0.35">
      <c r="B6" s="82" t="s">
        <v>207</v>
      </c>
      <c r="C6" s="83"/>
      <c r="D6" s="83"/>
      <c r="E6" s="84"/>
      <c r="F6" s="85"/>
      <c r="G6" s="86"/>
      <c r="H6" s="87"/>
      <c r="I6" s="88"/>
      <c r="J6" s="89"/>
      <c r="K6" s="90"/>
      <c r="L6" s="90"/>
      <c r="M6" s="91"/>
      <c r="N6" s="47"/>
      <c r="O6" s="92"/>
      <c r="P6" s="92"/>
      <c r="Q6" s="92"/>
      <c r="R6" s="92"/>
      <c r="S6" s="92"/>
      <c r="T6" s="92"/>
      <c r="U6" s="92"/>
      <c r="V6" s="92"/>
      <c r="W6" s="92"/>
      <c r="X6" s="47"/>
      <c r="AA6" s="47"/>
      <c r="AB6" s="47"/>
      <c r="AE6">
        <v>3</v>
      </c>
      <c r="AF6" s="323" t="s">
        <v>740</v>
      </c>
      <c r="AG6" s="323">
        <v>20027</v>
      </c>
    </row>
    <row r="7" spans="2:33" x14ac:dyDescent="0.35">
      <c r="B7" s="93"/>
      <c r="C7" s="83" t="s">
        <v>209</v>
      </c>
      <c r="D7" s="83"/>
      <c r="E7" s="84"/>
      <c r="F7" s="85"/>
      <c r="G7" s="86"/>
      <c r="H7" s="87"/>
      <c r="I7" s="88"/>
      <c r="J7" s="89"/>
      <c r="K7" s="90"/>
      <c r="L7" s="90"/>
      <c r="M7" s="91"/>
      <c r="N7" s="47"/>
      <c r="O7" s="92"/>
      <c r="P7" s="94"/>
      <c r="Q7" s="92"/>
      <c r="R7" s="92"/>
      <c r="S7" s="92"/>
      <c r="T7" s="92"/>
      <c r="U7" s="92"/>
      <c r="V7" s="92"/>
      <c r="W7" s="92"/>
      <c r="X7" s="47"/>
      <c r="AA7" s="47"/>
      <c r="AB7" s="47"/>
      <c r="AE7">
        <v>4</v>
      </c>
      <c r="AF7" s="323" t="s">
        <v>657</v>
      </c>
      <c r="AG7" s="323">
        <v>20027</v>
      </c>
    </row>
    <row r="8" spans="2:33" x14ac:dyDescent="0.35">
      <c r="B8" s="95"/>
      <c r="C8" s="96"/>
      <c r="D8" s="96" t="s">
        <v>575</v>
      </c>
      <c r="E8" s="97"/>
      <c r="F8" s="85" t="s">
        <v>3</v>
      </c>
      <c r="G8" s="86" t="s">
        <v>2</v>
      </c>
      <c r="H8" s="87"/>
      <c r="I8" s="88"/>
      <c r="J8" s="89" t="s">
        <v>113</v>
      </c>
      <c r="K8" s="98">
        <v>1</v>
      </c>
      <c r="L8" s="99">
        <f>E2</f>
        <v>27.8</v>
      </c>
      <c r="M8" s="100">
        <v>0.25</v>
      </c>
      <c r="N8" s="94">
        <v>1</v>
      </c>
      <c r="O8" s="92">
        <f>K8*L8*M8*N8</f>
        <v>6.95</v>
      </c>
      <c r="P8" s="108">
        <f>VLOOKUP($F8,'Master Harga'!$E$5:$L$348,6,FALSE)</f>
        <v>151208.64000000001</v>
      </c>
      <c r="Q8" s="94">
        <f>P8*$O8</f>
        <v>1050900.0480000002</v>
      </c>
      <c r="R8" s="94">
        <f>VLOOKUP($F8,'Master Harga'!$E$5:$L$348,6,FALSE)</f>
        <v>151208.64000000001</v>
      </c>
      <c r="S8" s="94">
        <f>R8*$O8</f>
        <v>1050900.0480000002</v>
      </c>
      <c r="T8" s="94">
        <f>VLOOKUP($F8,'Master Harga'!$E$5:$L$348,7,FALSE)</f>
        <v>163305.33120000002</v>
      </c>
      <c r="U8" s="94">
        <f>T8*$O8</f>
        <v>1134972.0518400001</v>
      </c>
      <c r="V8" s="94">
        <f>W8/O8</f>
        <v>155240.87040000001</v>
      </c>
      <c r="W8" s="424">
        <f>AVERAGEIF($P$4:$U$4,W$4,$P8:$U8)</f>
        <v>1078924.0492800002</v>
      </c>
      <c r="X8" s="94"/>
      <c r="Y8" s="420"/>
      <c r="Z8" s="420"/>
      <c r="AA8" s="94">
        <f>Q8/$E$2</f>
        <v>37802.160000000003</v>
      </c>
      <c r="AB8" s="47"/>
      <c r="AE8">
        <v>5</v>
      </c>
      <c r="AF8" s="323" t="s">
        <v>752</v>
      </c>
      <c r="AG8" s="323">
        <v>2028</v>
      </c>
    </row>
    <row r="9" spans="2:33" x14ac:dyDescent="0.35">
      <c r="B9" s="102"/>
      <c r="C9" s="103"/>
      <c r="D9" s="103" t="s">
        <v>143</v>
      </c>
      <c r="E9" s="104" t="s">
        <v>144</v>
      </c>
      <c r="F9" s="85" t="s">
        <v>3</v>
      </c>
      <c r="G9" s="86" t="s">
        <v>2</v>
      </c>
      <c r="H9" s="87"/>
      <c r="I9" s="88"/>
      <c r="J9" s="89"/>
      <c r="K9" s="90"/>
      <c r="L9" s="99"/>
      <c r="M9" s="100">
        <v>10</v>
      </c>
      <c r="N9" s="94">
        <v>1</v>
      </c>
      <c r="O9" s="92"/>
      <c r="P9" s="94"/>
      <c r="Q9" s="94"/>
      <c r="R9" s="94"/>
      <c r="S9" s="94"/>
      <c r="T9" s="94"/>
      <c r="U9" s="94"/>
      <c r="V9" s="94"/>
      <c r="W9" s="94"/>
      <c r="X9" s="94" t="s">
        <v>174</v>
      </c>
      <c r="Y9" s="420"/>
      <c r="Z9" s="420"/>
      <c r="AA9" s="94"/>
      <c r="AB9" s="47"/>
      <c r="AF9" s="323"/>
      <c r="AG9" s="323"/>
    </row>
    <row r="10" spans="2:33" x14ac:dyDescent="0.35">
      <c r="B10" s="105"/>
      <c r="C10" s="106"/>
      <c r="D10" s="106"/>
      <c r="E10" s="107" t="s">
        <v>145</v>
      </c>
      <c r="F10" s="85" t="s">
        <v>3</v>
      </c>
      <c r="G10" s="86" t="s">
        <v>2</v>
      </c>
      <c r="H10" s="87"/>
      <c r="I10" s="88"/>
      <c r="J10" s="89"/>
      <c r="K10" s="90"/>
      <c r="L10" s="99"/>
      <c r="M10" s="100">
        <v>10</v>
      </c>
      <c r="N10" s="94">
        <v>1</v>
      </c>
      <c r="O10" s="92"/>
      <c r="P10" s="108">
        <v>0</v>
      </c>
      <c r="Q10" s="94"/>
      <c r="R10" s="94"/>
      <c r="S10" s="94"/>
      <c r="T10" s="94"/>
      <c r="U10" s="94"/>
      <c r="V10" s="94"/>
      <c r="W10" s="94"/>
      <c r="X10" s="94"/>
      <c r="Y10" s="420"/>
      <c r="Z10" s="420"/>
      <c r="AA10" s="94"/>
      <c r="AB10" s="47"/>
      <c r="AF10" s="323"/>
      <c r="AG10" s="323"/>
    </row>
    <row r="11" spans="2:33" x14ac:dyDescent="0.35">
      <c r="B11" s="109"/>
      <c r="C11" s="110"/>
      <c r="D11" s="110"/>
      <c r="E11" s="111" t="s">
        <v>146</v>
      </c>
      <c r="F11" s="85" t="s">
        <v>3</v>
      </c>
      <c r="G11" s="86" t="s">
        <v>2</v>
      </c>
      <c r="H11" s="87"/>
      <c r="I11" s="88"/>
      <c r="J11" s="89" t="s">
        <v>113</v>
      </c>
      <c r="K11" s="98">
        <v>0.4</v>
      </c>
      <c r="L11" s="99">
        <f>L8</f>
        <v>27.8</v>
      </c>
      <c r="M11" s="100">
        <v>7</v>
      </c>
      <c r="N11" s="94">
        <v>1</v>
      </c>
      <c r="O11" s="92">
        <f>K11*L11*M11*N11</f>
        <v>77.84</v>
      </c>
      <c r="P11" s="108">
        <f>VLOOKUP($F11,'Master Harga'!$E$5:$L$348,6,FALSE)</f>
        <v>151208.64000000001</v>
      </c>
      <c r="Q11" s="94">
        <f>P11*$O11</f>
        <v>11770080.537600001</v>
      </c>
      <c r="R11" s="94">
        <f>VLOOKUP($F11,'Master Harga'!$E$5:$L$348,6,FALSE)</f>
        <v>151208.64000000001</v>
      </c>
      <c r="S11" s="94">
        <f>R11*$O11</f>
        <v>11770080.537600001</v>
      </c>
      <c r="T11" s="94">
        <f>VLOOKUP($F11,'Master Harga'!$E$5:$L$348,7,FALSE)</f>
        <v>163305.33120000002</v>
      </c>
      <c r="U11" s="94">
        <f>T11*$O11</f>
        <v>12711686.980608001</v>
      </c>
      <c r="V11" s="94">
        <f>W11/O11</f>
        <v>155240.87040000004</v>
      </c>
      <c r="W11" s="424">
        <f>AVERAGEIF($P$4:$U$4,W$4,$P11:$U11)</f>
        <v>12083949.351936003</v>
      </c>
      <c r="X11" s="94"/>
      <c r="Y11" s="420"/>
      <c r="Z11" s="420"/>
      <c r="AA11" s="94">
        <f>Q11/$E$2</f>
        <v>423384.19200000004</v>
      </c>
      <c r="AB11" s="47"/>
      <c r="AE11" s="19" t="s">
        <v>501</v>
      </c>
      <c r="AF11" s="324">
        <f>((6*3)+4)-12</f>
        <v>10</v>
      </c>
      <c r="AG11" s="324" t="s">
        <v>754</v>
      </c>
    </row>
    <row r="12" spans="2:33" x14ac:dyDescent="0.35">
      <c r="B12" s="105"/>
      <c r="C12" s="106"/>
      <c r="D12" s="103" t="s">
        <v>147</v>
      </c>
      <c r="E12" s="112" t="s">
        <v>144</v>
      </c>
      <c r="F12" s="85" t="s">
        <v>122</v>
      </c>
      <c r="G12" s="86" t="s">
        <v>117</v>
      </c>
      <c r="H12" s="87"/>
      <c r="I12" s="88"/>
      <c r="J12" s="89" t="s">
        <v>113</v>
      </c>
      <c r="K12" s="98">
        <v>0.88800000000000001</v>
      </c>
      <c r="L12" s="99">
        <f>E2</f>
        <v>27.8</v>
      </c>
      <c r="M12" s="100">
        <v>8</v>
      </c>
      <c r="N12" s="94">
        <v>1</v>
      </c>
      <c r="O12" s="92">
        <f>K12*L12*M12*N12</f>
        <v>197.49120000000002</v>
      </c>
      <c r="P12" s="108">
        <f>VLOOKUP($F12,'Master Harga'!$E$5:$L$348,6,FALSE)</f>
        <v>1051433.6840914285</v>
      </c>
      <c r="Q12" s="108">
        <f>O12*P12</f>
        <v>207648899.99163714</v>
      </c>
      <c r="R12" s="94"/>
      <c r="S12" s="94"/>
      <c r="T12" s="94"/>
      <c r="U12" s="94"/>
      <c r="V12" s="94"/>
      <c r="W12" s="94"/>
      <c r="X12" s="94"/>
      <c r="Y12" s="420"/>
      <c r="Z12" s="420"/>
      <c r="AA12" s="94">
        <f t="shared" ref="AA12:AA33" si="0">Q12/$E$2</f>
        <v>7469384.891785508</v>
      </c>
      <c r="AB12" s="47"/>
    </row>
    <row r="13" spans="2:33" x14ac:dyDescent="0.35">
      <c r="B13" s="109"/>
      <c r="C13" s="110"/>
      <c r="D13" s="110"/>
      <c r="E13" s="111" t="s">
        <v>632</v>
      </c>
      <c r="F13" s="85" t="s">
        <v>118</v>
      </c>
      <c r="G13" s="86" t="s">
        <v>117</v>
      </c>
      <c r="H13" s="87"/>
      <c r="I13" s="88"/>
      <c r="J13" s="89" t="s">
        <v>117</v>
      </c>
      <c r="K13" s="113">
        <v>0.6</v>
      </c>
      <c r="L13" s="99">
        <f>L8</f>
        <v>27.8</v>
      </c>
      <c r="M13" s="100">
        <v>8</v>
      </c>
      <c r="N13" s="94">
        <v>1</v>
      </c>
      <c r="O13" s="108">
        <f>K13*L13*M13*N13</f>
        <v>133.44</v>
      </c>
      <c r="P13" s="108">
        <f>VLOOKUP($F13,'Master Harga'!$E$5:$L$348,6,FALSE)</f>
        <v>720338.0730320001</v>
      </c>
      <c r="Q13" s="108">
        <f>O13*P13</f>
        <v>96121912.465390086</v>
      </c>
      <c r="R13" s="94"/>
      <c r="S13" s="94"/>
      <c r="T13" s="94"/>
      <c r="U13" s="94"/>
      <c r="V13" s="94"/>
      <c r="W13" s="94"/>
      <c r="X13" s="94"/>
      <c r="Y13" s="420"/>
      <c r="Z13" s="420"/>
      <c r="AA13" s="94">
        <f t="shared" si="0"/>
        <v>3457622.7505536</v>
      </c>
      <c r="AB13" s="47"/>
    </row>
    <row r="14" spans="2:33" x14ac:dyDescent="0.35">
      <c r="B14" s="105"/>
      <c r="C14" s="106"/>
      <c r="D14" s="130" t="s">
        <v>724</v>
      </c>
      <c r="E14" s="112"/>
      <c r="F14" s="85" t="s">
        <v>3</v>
      </c>
      <c r="G14" s="86" t="s">
        <v>2</v>
      </c>
      <c r="H14" s="87"/>
      <c r="I14" s="88"/>
      <c r="J14" s="89" t="s">
        <v>534</v>
      </c>
      <c r="K14" s="98">
        <v>1</v>
      </c>
      <c r="L14" s="86">
        <f>E2</f>
        <v>27.8</v>
      </c>
      <c r="M14" s="92">
        <v>10</v>
      </c>
      <c r="N14" s="92">
        <v>1</v>
      </c>
      <c r="O14" s="92">
        <f t="shared" ref="O14:O15" si="1">K14*L14*M14*N14</f>
        <v>278</v>
      </c>
      <c r="P14" s="108">
        <f>VLOOKUP($F14,'Master Harga'!$E$5:$L$348,6,FALSE)</f>
        <v>151208.64000000001</v>
      </c>
      <c r="Q14" s="94">
        <f>P14*$O14</f>
        <v>42036001.920000002</v>
      </c>
      <c r="R14" s="94">
        <f>VLOOKUP($F14,'Master Harga'!$E$5:$L$348,6,FALSE)</f>
        <v>151208.64000000001</v>
      </c>
      <c r="S14" s="94">
        <f>R14*$O14</f>
        <v>42036001.920000002</v>
      </c>
      <c r="T14" s="94">
        <f>VLOOKUP($F14,'Master Harga'!$E$5:$L$348,7,FALSE)</f>
        <v>163305.33120000002</v>
      </c>
      <c r="U14" s="94">
        <f>T14*$O14</f>
        <v>45398882.073600002</v>
      </c>
      <c r="V14" s="94">
        <f>W14/O14</f>
        <v>155240.87039999999</v>
      </c>
      <c r="W14" s="424">
        <f>AVERAGEIF($P$4:$U$4,W$4,$P14:$U14)</f>
        <v>43156961.971199997</v>
      </c>
      <c r="X14" s="94" t="s">
        <v>598</v>
      </c>
      <c r="Y14" s="420"/>
      <c r="Z14" s="420">
        <f>W14</f>
        <v>43156961.971199997</v>
      </c>
      <c r="AA14" s="94">
        <f t="shared" si="0"/>
        <v>1512086.4000000001</v>
      </c>
      <c r="AB14" s="47"/>
    </row>
    <row r="15" spans="2:33" x14ac:dyDescent="0.35">
      <c r="B15" s="105"/>
      <c r="C15" s="106"/>
      <c r="D15" s="130"/>
      <c r="E15" s="131"/>
      <c r="F15" s="85" t="s">
        <v>643</v>
      </c>
      <c r="G15" s="86" t="s">
        <v>113</v>
      </c>
      <c r="H15" s="87"/>
      <c r="I15" s="88"/>
      <c r="J15" s="89" t="s">
        <v>8</v>
      </c>
      <c r="K15" s="98">
        <v>1</v>
      </c>
      <c r="L15" s="86">
        <f>E2</f>
        <v>27.8</v>
      </c>
      <c r="M15" s="92">
        <v>5</v>
      </c>
      <c r="N15" s="92">
        <v>1</v>
      </c>
      <c r="O15" s="92">
        <f t="shared" si="1"/>
        <v>139</v>
      </c>
      <c r="P15" s="108">
        <f>VLOOKUP($F15,'Master Harga'!$E$5:$L$348,6,FALSE)</f>
        <v>71700</v>
      </c>
      <c r="Q15" s="94">
        <f>P15*$O15</f>
        <v>9966300</v>
      </c>
      <c r="R15" s="94">
        <f>VLOOKUP($F15,'Master Harga'!$E$5:$L$348,6,FALSE)</f>
        <v>71700</v>
      </c>
      <c r="S15" s="94">
        <f>R15*$O15</f>
        <v>9966300</v>
      </c>
      <c r="T15" s="94">
        <f>VLOOKUP($F15,'Master Harga'!$E$5:$L$348,7,FALSE)</f>
        <v>81738</v>
      </c>
      <c r="U15" s="94">
        <f>T15*$O15</f>
        <v>11361582</v>
      </c>
      <c r="V15" s="94">
        <f>W15/O15</f>
        <v>75046</v>
      </c>
      <c r="W15" s="424">
        <f>AVERAGEIF($P$4:$U$4,W$4,$P15:$U15)</f>
        <v>10431394</v>
      </c>
      <c r="X15" s="94" t="s">
        <v>598</v>
      </c>
      <c r="Y15" s="420"/>
      <c r="Z15" s="420">
        <f>W15</f>
        <v>10431394</v>
      </c>
      <c r="AA15" s="94">
        <f t="shared" si="0"/>
        <v>358500</v>
      </c>
      <c r="AB15" s="47"/>
    </row>
    <row r="16" spans="2:33" ht="16.5" customHeight="1" x14ac:dyDescent="0.35">
      <c r="B16" s="102"/>
      <c r="C16" s="114"/>
      <c r="D16" s="114" t="s">
        <v>743</v>
      </c>
      <c r="E16" s="115"/>
      <c r="F16" s="85" t="s">
        <v>116</v>
      </c>
      <c r="G16" s="116" t="s">
        <v>117</v>
      </c>
      <c r="H16" s="117"/>
      <c r="I16" s="118"/>
      <c r="J16" s="119" t="s">
        <v>511</v>
      </c>
      <c r="K16" s="120">
        <v>1</v>
      </c>
      <c r="L16" s="121">
        <f>L13</f>
        <v>27.8</v>
      </c>
      <c r="M16" s="122">
        <v>3.5</v>
      </c>
      <c r="N16" s="108">
        <v>1</v>
      </c>
      <c r="O16" s="122">
        <f>K16*L16*M16*N16</f>
        <v>97.3</v>
      </c>
      <c r="P16" s="108">
        <f>VLOOKUP($F16,'Master Harga'!$E$5:$L$348,6,FALSE)</f>
        <v>369600.00000000006</v>
      </c>
      <c r="Q16" s="108">
        <f>O16*P16</f>
        <v>35962080.000000007</v>
      </c>
      <c r="R16" s="94"/>
      <c r="S16" s="94"/>
      <c r="T16" s="94"/>
      <c r="U16" s="94"/>
      <c r="V16" s="94"/>
      <c r="W16" s="94"/>
      <c r="X16" s="94"/>
      <c r="Y16" s="420"/>
      <c r="Z16" s="420"/>
      <c r="AA16" s="94">
        <f t="shared" si="0"/>
        <v>1293600.0000000002</v>
      </c>
      <c r="AB16" s="123"/>
      <c r="AD16" s="70"/>
    </row>
    <row r="17" spans="2:30" ht="16.5" customHeight="1" x14ac:dyDescent="0.35">
      <c r="B17" s="102"/>
      <c r="C17" s="114"/>
      <c r="D17" s="96" t="s">
        <v>748</v>
      </c>
      <c r="E17" s="104"/>
      <c r="F17" s="85" t="s">
        <v>3</v>
      </c>
      <c r="G17" s="86" t="s">
        <v>2</v>
      </c>
      <c r="H17" s="87"/>
      <c r="I17" s="88"/>
      <c r="J17" s="89" t="s">
        <v>534</v>
      </c>
      <c r="K17" s="98">
        <v>1</v>
      </c>
      <c r="L17" s="86">
        <f>E2</f>
        <v>27.8</v>
      </c>
      <c r="M17" s="92">
        <v>10</v>
      </c>
      <c r="N17" s="92">
        <v>1</v>
      </c>
      <c r="O17" s="92">
        <f t="shared" ref="O17:O33" si="2">K17*L17*M17*N17</f>
        <v>278</v>
      </c>
      <c r="P17" s="108">
        <f>VLOOKUP($F17,'Master Harga'!$E$5:$L$348,6,FALSE)</f>
        <v>151208.64000000001</v>
      </c>
      <c r="Q17" s="94">
        <f>P17*$O17</f>
        <v>42036001.920000002</v>
      </c>
      <c r="R17" s="94">
        <f>VLOOKUP($F17,'Master Harga'!$E$5:$L$348,6,FALSE)</f>
        <v>151208.64000000001</v>
      </c>
      <c r="S17" s="94">
        <f>R17*$O17</f>
        <v>42036001.920000002</v>
      </c>
      <c r="T17" s="94">
        <f>VLOOKUP($F17,'Master Harga'!$E$5:$L$348,7,FALSE)</f>
        <v>163305.33120000002</v>
      </c>
      <c r="U17" s="94">
        <f>T17*$O17</f>
        <v>45398882.073600002</v>
      </c>
      <c r="V17" s="94">
        <f>W17/O17</f>
        <v>155240.87039999999</v>
      </c>
      <c r="W17" s="424">
        <f>AVERAGEIF($P$4:$U$4,W$4,$P17:$U17)</f>
        <v>43156961.971199997</v>
      </c>
      <c r="X17" s="94" t="s">
        <v>598</v>
      </c>
      <c r="Y17" s="420"/>
      <c r="Z17" s="420">
        <f>W17</f>
        <v>43156961.971199997</v>
      </c>
      <c r="AA17" s="94">
        <f t="shared" si="0"/>
        <v>1512086.4000000001</v>
      </c>
      <c r="AB17" s="47"/>
      <c r="AD17" s="70"/>
    </row>
    <row r="18" spans="2:30" ht="16.5" customHeight="1" x14ac:dyDescent="0.35">
      <c r="B18" s="109"/>
      <c r="C18" s="325"/>
      <c r="D18" s="137"/>
      <c r="E18" s="143"/>
      <c r="F18" s="85" t="s">
        <v>749</v>
      </c>
      <c r="G18" s="86" t="s">
        <v>113</v>
      </c>
      <c r="H18" s="87"/>
      <c r="I18" s="88"/>
      <c r="J18" s="89" t="s">
        <v>8</v>
      </c>
      <c r="K18" s="98">
        <v>1</v>
      </c>
      <c r="L18" s="86">
        <f>E2</f>
        <v>27.8</v>
      </c>
      <c r="M18" s="92">
        <v>5</v>
      </c>
      <c r="N18" s="92">
        <v>1</v>
      </c>
      <c r="O18" s="92">
        <f t="shared" si="2"/>
        <v>139</v>
      </c>
      <c r="P18" s="108">
        <f>VLOOKUP($F18,'Master Harga'!$E$5:$L$348,6,FALSE)</f>
        <v>979999.99999999988</v>
      </c>
      <c r="Q18" s="94">
        <f>P18*$O18</f>
        <v>136219999.99999997</v>
      </c>
      <c r="R18" s="94">
        <f>VLOOKUP($F18,'Master Harga'!$E$5:$L$348,6,FALSE)</f>
        <v>979999.99999999988</v>
      </c>
      <c r="S18" s="94">
        <f>R18*$O18</f>
        <v>136219999.99999997</v>
      </c>
      <c r="T18" s="94">
        <f>VLOOKUP($F18,'Master Harga'!$E$5:$L$348,7,FALSE)</f>
        <v>1371999.9999999998</v>
      </c>
      <c r="U18" s="94">
        <f>T18*$O18</f>
        <v>190707999.99999997</v>
      </c>
      <c r="V18" s="94">
        <f>W18/O18</f>
        <v>1110666.6666666663</v>
      </c>
      <c r="W18" s="424">
        <f>AVERAGEIF($P$4:$U$4,W$4,$P18:$U18)</f>
        <v>154382666.66666663</v>
      </c>
      <c r="X18" s="94" t="s">
        <v>598</v>
      </c>
      <c r="Y18" s="420"/>
      <c r="Z18" s="420">
        <f>W18</f>
        <v>154382666.66666663</v>
      </c>
      <c r="AA18" s="94">
        <f t="shared" si="0"/>
        <v>4899999.9999999991</v>
      </c>
      <c r="AB18" s="47"/>
      <c r="AD18" s="70"/>
    </row>
    <row r="19" spans="2:30" ht="16.5" customHeight="1" x14ac:dyDescent="0.35">
      <c r="B19" s="102"/>
      <c r="C19" s="114"/>
      <c r="D19" s="114" t="s">
        <v>744</v>
      </c>
      <c r="E19" s="115"/>
      <c r="F19" s="85" t="s">
        <v>116</v>
      </c>
      <c r="G19" s="116" t="s">
        <v>117</v>
      </c>
      <c r="H19" s="117"/>
      <c r="I19" s="118"/>
      <c r="J19" s="119" t="s">
        <v>511</v>
      </c>
      <c r="K19" s="120">
        <v>1</v>
      </c>
      <c r="L19" s="121">
        <f>L16</f>
        <v>27.8</v>
      </c>
      <c r="M19" s="122">
        <v>3.5</v>
      </c>
      <c r="N19" s="108">
        <v>1</v>
      </c>
      <c r="O19" s="122">
        <f t="shared" si="2"/>
        <v>97.3</v>
      </c>
      <c r="P19" s="108">
        <f>VLOOKUP($F19,'Master Harga'!$E$5:$L$348,6,FALSE)</f>
        <v>369600.00000000006</v>
      </c>
      <c r="Q19" s="108">
        <f t="shared" ref="Q19:Q20" si="3">O19*P19</f>
        <v>35962080.000000007</v>
      </c>
      <c r="R19" s="94"/>
      <c r="S19" s="94"/>
      <c r="T19" s="94"/>
      <c r="U19" s="94"/>
      <c r="V19" s="94"/>
      <c r="W19" s="94"/>
      <c r="X19" s="94"/>
      <c r="Y19" s="420"/>
      <c r="Z19" s="420"/>
      <c r="AA19" s="94">
        <f t="shared" si="0"/>
        <v>1293600.0000000002</v>
      </c>
      <c r="AB19" s="123"/>
      <c r="AD19" s="70"/>
    </row>
    <row r="20" spans="2:30" ht="16.5" customHeight="1" x14ac:dyDescent="0.35">
      <c r="B20" s="102"/>
      <c r="C20" s="114"/>
      <c r="D20" s="114" t="s">
        <v>745</v>
      </c>
      <c r="E20" s="115"/>
      <c r="F20" s="85" t="s">
        <v>116</v>
      </c>
      <c r="G20" s="116" t="s">
        <v>117</v>
      </c>
      <c r="H20" s="117"/>
      <c r="I20" s="118"/>
      <c r="J20" s="119" t="s">
        <v>511</v>
      </c>
      <c r="K20" s="120">
        <v>1</v>
      </c>
      <c r="L20" s="121">
        <f t="shared" ref="L20" si="4">L19</f>
        <v>27.8</v>
      </c>
      <c r="M20" s="122">
        <v>2.5</v>
      </c>
      <c r="N20" s="108">
        <v>1</v>
      </c>
      <c r="O20" s="122">
        <f t="shared" si="2"/>
        <v>69.5</v>
      </c>
      <c r="P20" s="108">
        <f>VLOOKUP($F20,'Master Harga'!$E$5:$L$348,6,FALSE)</f>
        <v>369600.00000000006</v>
      </c>
      <c r="Q20" s="108">
        <f t="shared" si="3"/>
        <v>25687200.000000004</v>
      </c>
      <c r="R20" s="94"/>
      <c r="S20" s="94"/>
      <c r="T20" s="94"/>
      <c r="U20" s="94"/>
      <c r="V20" s="94"/>
      <c r="W20" s="94"/>
      <c r="X20" s="94"/>
      <c r="Y20" s="420"/>
      <c r="Z20" s="420"/>
      <c r="AA20" s="94">
        <f t="shared" si="0"/>
        <v>924000.00000000012</v>
      </c>
      <c r="AB20" s="123"/>
      <c r="AD20" s="70"/>
    </row>
    <row r="21" spans="2:30" x14ac:dyDescent="0.35">
      <c r="B21" s="102"/>
      <c r="C21" s="103"/>
      <c r="D21" s="103" t="s">
        <v>171</v>
      </c>
      <c r="E21" s="104"/>
      <c r="F21" s="124" t="s">
        <v>3</v>
      </c>
      <c r="G21" s="125" t="s">
        <v>2</v>
      </c>
      <c r="H21" s="126"/>
      <c r="I21" s="127"/>
      <c r="J21" s="67" t="s">
        <v>113</v>
      </c>
      <c r="K21" s="113">
        <v>1</v>
      </c>
      <c r="L21" s="128">
        <f>E2</f>
        <v>27.8</v>
      </c>
      <c r="M21" s="92">
        <v>1.5</v>
      </c>
      <c r="N21" s="92">
        <v>1</v>
      </c>
      <c r="O21" s="92">
        <f t="shared" si="2"/>
        <v>41.7</v>
      </c>
      <c r="P21" s="94">
        <f>VLOOKUP($F21,'Master Harga'!$E$5:$L$348,6,FALSE)</f>
        <v>151208.64000000001</v>
      </c>
      <c r="Q21" s="94">
        <f t="shared" ref="Q21:Q33" si="5">P21*$O21</f>
        <v>6305400.2880000006</v>
      </c>
      <c r="R21" s="94">
        <f>VLOOKUP($F21,'Master Harga'!$E$5:$L$348,6,FALSE)</f>
        <v>151208.64000000001</v>
      </c>
      <c r="S21" s="94">
        <f>R21*$O21</f>
        <v>6305400.2880000006</v>
      </c>
      <c r="T21" s="94">
        <f>VLOOKUP($F21,'Master Harga'!$E$5:$L$348,7,FALSE)</f>
        <v>163305.33120000002</v>
      </c>
      <c r="U21" s="94">
        <f>T21*$O21</f>
        <v>6809832.311040001</v>
      </c>
      <c r="V21" s="94">
        <f>W21/O21</f>
        <v>155240.87040000001</v>
      </c>
      <c r="W21" s="424">
        <f>AVERAGEIF($P$4:$U$4,W$4,$P21:$U21)</f>
        <v>6473544.2956800014</v>
      </c>
      <c r="X21" s="94"/>
      <c r="Y21" s="420"/>
      <c r="Z21" s="420"/>
      <c r="AA21" s="94">
        <f t="shared" si="0"/>
        <v>226812.96000000002</v>
      </c>
      <c r="AB21" s="47"/>
    </row>
    <row r="22" spans="2:30" x14ac:dyDescent="0.35">
      <c r="B22" s="105"/>
      <c r="C22" s="106"/>
      <c r="D22" s="106"/>
      <c r="E22" s="112"/>
      <c r="F22" s="124" t="s">
        <v>287</v>
      </c>
      <c r="G22" s="125" t="s">
        <v>19</v>
      </c>
      <c r="H22" s="126"/>
      <c r="I22" s="127"/>
      <c r="J22" s="67" t="s">
        <v>113</v>
      </c>
      <c r="K22" s="113">
        <v>1</v>
      </c>
      <c r="L22" s="128">
        <f t="shared" ref="L22:L33" si="6">L21</f>
        <v>27.8</v>
      </c>
      <c r="M22" s="92">
        <v>3.1E-2</v>
      </c>
      <c r="N22" s="92">
        <v>1</v>
      </c>
      <c r="O22" s="92">
        <f t="shared" si="2"/>
        <v>0.86180000000000001</v>
      </c>
      <c r="P22" s="94">
        <f>VLOOKUP($F22,'Master Harga'!$E$5:$L$348,6,FALSE)</f>
        <v>1530444.7200000002</v>
      </c>
      <c r="Q22" s="94">
        <f t="shared" si="5"/>
        <v>1318937.2596960003</v>
      </c>
      <c r="R22" s="94">
        <f>VLOOKUP($F22,'Master Harga'!$E$5:$L$348,6,FALSE)</f>
        <v>1530444.7200000002</v>
      </c>
      <c r="S22" s="94">
        <f>R22*$O22</f>
        <v>1318937.2596960003</v>
      </c>
      <c r="T22" s="94">
        <f>VLOOKUP($F22,'Master Harga'!$E$5:$L$348,7,FALSE)</f>
        <v>1714098.0864000004</v>
      </c>
      <c r="U22" s="94">
        <f>T22*$O22</f>
        <v>1477209.7308595204</v>
      </c>
      <c r="V22" s="94">
        <f>W22/O22</f>
        <v>1591662.5088000002</v>
      </c>
      <c r="W22" s="424">
        <f>AVERAGEIF($P$4:$U$4,W$4,$P22:$U22)</f>
        <v>1371694.7500838402</v>
      </c>
      <c r="X22" s="94"/>
      <c r="Y22" s="420"/>
      <c r="Z22" s="420"/>
      <c r="AA22" s="94">
        <f t="shared" si="0"/>
        <v>47443.786320000007</v>
      </c>
      <c r="AB22" s="47"/>
    </row>
    <row r="23" spans="2:30" x14ac:dyDescent="0.35">
      <c r="B23" s="129"/>
      <c r="C23" s="130"/>
      <c r="D23" s="130"/>
      <c r="E23" s="131"/>
      <c r="F23" s="85" t="s">
        <v>62</v>
      </c>
      <c r="G23" s="86" t="s">
        <v>63</v>
      </c>
      <c r="H23" s="87"/>
      <c r="I23" s="88"/>
      <c r="J23" s="89" t="s">
        <v>113</v>
      </c>
      <c r="K23" s="98">
        <v>0.23499999999999999</v>
      </c>
      <c r="L23" s="128">
        <f t="shared" si="6"/>
        <v>27.8</v>
      </c>
      <c r="M23" s="92">
        <v>0.9</v>
      </c>
      <c r="N23" s="92">
        <v>1</v>
      </c>
      <c r="O23" s="92">
        <f t="shared" si="2"/>
        <v>5.8796999999999997</v>
      </c>
      <c r="P23" s="94">
        <f>VLOOKUP($F23,'Master Harga'!$E$5:$L$348,6,FALSE)</f>
        <v>35343</v>
      </c>
      <c r="Q23" s="94">
        <f t="shared" si="5"/>
        <v>207806.2371</v>
      </c>
      <c r="R23" s="94"/>
      <c r="S23" s="94"/>
      <c r="T23" s="94"/>
      <c r="U23" s="94"/>
      <c r="V23" s="94"/>
      <c r="W23" s="94"/>
      <c r="X23" s="94"/>
      <c r="Y23" s="420"/>
      <c r="Z23" s="420"/>
      <c r="AA23" s="94">
        <f t="shared" si="0"/>
        <v>7475.0445</v>
      </c>
      <c r="AB23" s="47"/>
    </row>
    <row r="24" spans="2:30" x14ac:dyDescent="0.35">
      <c r="B24" s="129"/>
      <c r="C24" s="130"/>
      <c r="D24" s="130"/>
      <c r="E24" s="131"/>
      <c r="F24" s="85" t="s">
        <v>64</v>
      </c>
      <c r="G24" s="86" t="s">
        <v>7</v>
      </c>
      <c r="H24" s="87"/>
      <c r="I24" s="88"/>
      <c r="J24" s="89" t="s">
        <v>113</v>
      </c>
      <c r="K24" s="98">
        <v>0.74</v>
      </c>
      <c r="L24" s="128">
        <f t="shared" si="6"/>
        <v>27.8</v>
      </c>
      <c r="M24" s="92">
        <v>3.5999999999999997E-2</v>
      </c>
      <c r="N24" s="92">
        <v>1</v>
      </c>
      <c r="O24" s="92">
        <f t="shared" si="2"/>
        <v>0.74059199999999992</v>
      </c>
      <c r="P24" s="94">
        <f>VLOOKUP($F24,'Master Harga'!$E$5:$L$348,6,FALSE)</f>
        <v>96390</v>
      </c>
      <c r="Q24" s="94">
        <f t="shared" si="5"/>
        <v>71385.662879999989</v>
      </c>
      <c r="R24" s="94">
        <f>VLOOKUP($F24,'Master Harga'!$E$5:$L$348,6,FALSE)</f>
        <v>96390</v>
      </c>
      <c r="S24" s="94">
        <f t="shared" ref="S24:S33" si="7">R24*$O24</f>
        <v>71385.662879999989</v>
      </c>
      <c r="T24" s="94">
        <f>VLOOKUP($F24,'Master Harga'!$E$5:$L$348,7,FALSE)</f>
        <v>109884.59999999999</v>
      </c>
      <c r="U24" s="94">
        <f t="shared" ref="U24:U33" si="8">T24*$O24</f>
        <v>81379.655683199991</v>
      </c>
      <c r="V24" s="94">
        <f t="shared" ref="V24:V32" si="9">W24/O24</f>
        <v>100888.2</v>
      </c>
      <c r="W24" s="424">
        <f t="shared" ref="W24:W33" si="10">AVERAGEIF($P$4:$U$4,W$4,$P24:$U24)</f>
        <v>74716.99381439999</v>
      </c>
      <c r="X24" s="94"/>
      <c r="Y24" s="420"/>
      <c r="Z24" s="420"/>
      <c r="AA24" s="94">
        <f t="shared" si="0"/>
        <v>2567.8295999999996</v>
      </c>
      <c r="AB24" s="47"/>
    </row>
    <row r="25" spans="2:30" x14ac:dyDescent="0.35">
      <c r="B25" s="129"/>
      <c r="C25" s="130"/>
      <c r="D25" s="130"/>
      <c r="E25" s="131"/>
      <c r="F25" s="85" t="s">
        <v>66</v>
      </c>
      <c r="G25" s="86" t="s">
        <v>63</v>
      </c>
      <c r="H25" s="87"/>
      <c r="I25" s="88"/>
      <c r="J25" s="89" t="s">
        <v>113</v>
      </c>
      <c r="K25" s="98">
        <v>0.5</v>
      </c>
      <c r="L25" s="128">
        <f t="shared" si="6"/>
        <v>27.8</v>
      </c>
      <c r="M25" s="92">
        <v>0.9</v>
      </c>
      <c r="N25" s="92">
        <v>1</v>
      </c>
      <c r="O25" s="92">
        <f t="shared" si="2"/>
        <v>12.51</v>
      </c>
      <c r="P25" s="94">
        <f>VLOOKUP($F25,'Master Harga'!$E$5:$L$348,6,FALSE)</f>
        <v>28381.5</v>
      </c>
      <c r="Q25" s="94">
        <f t="shared" si="5"/>
        <v>355052.565</v>
      </c>
      <c r="R25" s="94">
        <f>VLOOKUP($F25,'Master Harga'!$E$5:$L$348,6,FALSE)</f>
        <v>28381.5</v>
      </c>
      <c r="S25" s="94">
        <f t="shared" si="7"/>
        <v>355052.565</v>
      </c>
      <c r="T25" s="94">
        <f>VLOOKUP($F25,'Master Harga'!$E$5:$L$348,7,FALSE)</f>
        <v>32354.909999999996</v>
      </c>
      <c r="U25" s="94">
        <f t="shared" si="8"/>
        <v>404759.92409999995</v>
      </c>
      <c r="V25" s="94">
        <f t="shared" si="9"/>
        <v>29705.969999999994</v>
      </c>
      <c r="W25" s="424">
        <f t="shared" si="10"/>
        <v>371621.68469999993</v>
      </c>
      <c r="X25" s="94"/>
      <c r="Y25" s="420"/>
      <c r="Z25" s="420"/>
      <c r="AA25" s="94">
        <f t="shared" si="0"/>
        <v>12771.674999999999</v>
      </c>
      <c r="AB25" s="47"/>
    </row>
    <row r="26" spans="2:30" x14ac:dyDescent="0.35">
      <c r="B26" s="129"/>
      <c r="C26" s="130"/>
      <c r="D26" s="130"/>
      <c r="E26" s="131"/>
      <c r="F26" s="85" t="s">
        <v>65</v>
      </c>
      <c r="G26" s="86" t="s">
        <v>63</v>
      </c>
      <c r="H26" s="87"/>
      <c r="I26" s="88"/>
      <c r="J26" s="89" t="s">
        <v>113</v>
      </c>
      <c r="K26" s="98">
        <v>0.74</v>
      </c>
      <c r="L26" s="128">
        <f t="shared" si="6"/>
        <v>27.8</v>
      </c>
      <c r="M26" s="92">
        <v>0.27</v>
      </c>
      <c r="N26" s="92">
        <v>1</v>
      </c>
      <c r="O26" s="92">
        <f t="shared" si="2"/>
        <v>5.5544400000000005</v>
      </c>
      <c r="P26" s="94">
        <f>VLOOKUP($F26,'Master Harga'!$E$5:$L$348,6,FALSE)</f>
        <v>44982</v>
      </c>
      <c r="Q26" s="94">
        <f t="shared" si="5"/>
        <v>249849.82008000003</v>
      </c>
      <c r="R26" s="94">
        <f>VLOOKUP($F26,'Master Harga'!$E$5:$L$348,6,FALSE)</f>
        <v>44982</v>
      </c>
      <c r="S26" s="94">
        <f t="shared" si="7"/>
        <v>249849.82008000003</v>
      </c>
      <c r="T26" s="94">
        <f>VLOOKUP($F26,'Master Harga'!$E$5:$L$348,7,FALSE)</f>
        <v>51279.479999999996</v>
      </c>
      <c r="U26" s="94">
        <f t="shared" si="8"/>
        <v>284828.79489120003</v>
      </c>
      <c r="V26" s="94">
        <f t="shared" si="9"/>
        <v>47081.16</v>
      </c>
      <c r="W26" s="424">
        <f t="shared" si="10"/>
        <v>261509.47835040002</v>
      </c>
      <c r="X26" s="94"/>
      <c r="Y26" s="420"/>
      <c r="Z26" s="420"/>
      <c r="AA26" s="94">
        <f t="shared" si="0"/>
        <v>8987.4036000000015</v>
      </c>
      <c r="AB26" s="47"/>
    </row>
    <row r="27" spans="2:30" x14ac:dyDescent="0.35">
      <c r="B27" s="129"/>
      <c r="C27" s="130"/>
      <c r="D27" s="130"/>
      <c r="E27" s="131"/>
      <c r="F27" s="85" t="s">
        <v>11</v>
      </c>
      <c r="G27" s="86" t="s">
        <v>2</v>
      </c>
      <c r="H27" s="87"/>
      <c r="I27" s="88"/>
      <c r="J27" s="89" t="s">
        <v>113</v>
      </c>
      <c r="K27" s="98">
        <v>1</v>
      </c>
      <c r="L27" s="128">
        <f t="shared" si="6"/>
        <v>27.8</v>
      </c>
      <c r="M27" s="92">
        <f>M21</f>
        <v>1.5</v>
      </c>
      <c r="N27" s="92">
        <v>1</v>
      </c>
      <c r="O27" s="92">
        <f t="shared" si="2"/>
        <v>41.7</v>
      </c>
      <c r="P27" s="94">
        <f>VLOOKUP($F27,'Master Harga'!$E$5:$L$348,6,FALSE)</f>
        <v>3996.0000000000005</v>
      </c>
      <c r="Q27" s="94">
        <f t="shared" si="5"/>
        <v>166633.20000000004</v>
      </c>
      <c r="R27" s="94">
        <f>VLOOKUP($F27,'Master Harga'!$E$5:$L$348,6,FALSE)</f>
        <v>3996.0000000000005</v>
      </c>
      <c r="S27" s="94">
        <f t="shared" si="7"/>
        <v>166633.20000000004</v>
      </c>
      <c r="T27" s="94">
        <f>VLOOKUP($F27,'Master Harga'!$E$5:$L$348,7,FALSE)</f>
        <v>4315.6800000000012</v>
      </c>
      <c r="U27" s="94">
        <f t="shared" si="8"/>
        <v>179963.85600000006</v>
      </c>
      <c r="V27" s="94">
        <f t="shared" si="9"/>
        <v>4102.5600000000013</v>
      </c>
      <c r="W27" s="424">
        <f t="shared" si="10"/>
        <v>171076.75200000007</v>
      </c>
      <c r="X27" s="94"/>
      <c r="Y27" s="420"/>
      <c r="Z27" s="420"/>
      <c r="AA27" s="94">
        <f t="shared" si="0"/>
        <v>5994.0000000000009</v>
      </c>
      <c r="AB27" s="47"/>
    </row>
    <row r="28" spans="2:30" x14ac:dyDescent="0.35">
      <c r="B28" s="129"/>
      <c r="C28" s="130"/>
      <c r="D28" s="130"/>
      <c r="E28" s="131"/>
      <c r="F28" s="47" t="s">
        <v>27</v>
      </c>
      <c r="G28" s="132" t="s">
        <v>19</v>
      </c>
      <c r="H28" s="133">
        <v>4</v>
      </c>
      <c r="I28" s="134" t="s">
        <v>190</v>
      </c>
      <c r="J28" s="89" t="s">
        <v>113</v>
      </c>
      <c r="K28" s="98">
        <v>1</v>
      </c>
      <c r="L28" s="128">
        <f t="shared" si="6"/>
        <v>27.8</v>
      </c>
      <c r="M28" s="135">
        <f>((M$21*N$21)/240*($H28/N28))</f>
        <v>2.5000000000000001E-2</v>
      </c>
      <c r="N28" s="92">
        <v>1</v>
      </c>
      <c r="O28" s="92">
        <f t="shared" si="2"/>
        <v>0.69500000000000006</v>
      </c>
      <c r="P28" s="94">
        <f>VLOOKUP($F28,'Master Harga'!$E$5:$L$348,6,FALSE)</f>
        <v>47980.800000000003</v>
      </c>
      <c r="Q28" s="94">
        <f t="shared" si="5"/>
        <v>33346.656000000003</v>
      </c>
      <c r="R28" s="94">
        <f>VLOOKUP($F28,'Master Harga'!$E$5:$L$348,6,FALSE)</f>
        <v>47980.800000000003</v>
      </c>
      <c r="S28" s="94">
        <f t="shared" si="7"/>
        <v>33346.656000000003</v>
      </c>
      <c r="T28" s="94">
        <f>VLOOKUP($F28,'Master Harga'!$E$5:$L$348,7,FALSE)</f>
        <v>53738.496000000006</v>
      </c>
      <c r="U28" s="94">
        <f t="shared" si="8"/>
        <v>37348.254720000004</v>
      </c>
      <c r="V28" s="94">
        <f t="shared" si="9"/>
        <v>49900.031999999992</v>
      </c>
      <c r="W28" s="424">
        <f t="shared" si="10"/>
        <v>34680.522239999998</v>
      </c>
      <c r="X28" s="94"/>
      <c r="Y28" s="420"/>
      <c r="Z28" s="420"/>
      <c r="AA28" s="94">
        <f t="shared" si="0"/>
        <v>1199.52</v>
      </c>
      <c r="AB28" s="47"/>
    </row>
    <row r="29" spans="2:30" x14ac:dyDescent="0.35">
      <c r="B29" s="129"/>
      <c r="C29" s="130"/>
      <c r="D29" s="130"/>
      <c r="E29" s="131"/>
      <c r="F29" s="47" t="s">
        <v>193</v>
      </c>
      <c r="G29" s="132" t="s">
        <v>19</v>
      </c>
      <c r="H29" s="133">
        <v>12</v>
      </c>
      <c r="I29" s="134" t="s">
        <v>190</v>
      </c>
      <c r="J29" s="89" t="s">
        <v>113</v>
      </c>
      <c r="K29" s="98">
        <v>1</v>
      </c>
      <c r="L29" s="128">
        <f t="shared" si="6"/>
        <v>27.8</v>
      </c>
      <c r="M29" s="135">
        <f>((M$21*N$21)/240*($H29/N29))</f>
        <v>7.5000000000000011E-2</v>
      </c>
      <c r="N29" s="92">
        <v>1</v>
      </c>
      <c r="O29" s="92">
        <f t="shared" si="2"/>
        <v>2.0850000000000004</v>
      </c>
      <c r="P29" s="94">
        <f>VLOOKUP($F29,'Master Harga'!$E$5:$L$348,6,FALSE)</f>
        <v>15680.000000000002</v>
      </c>
      <c r="Q29" s="94">
        <f t="shared" si="5"/>
        <v>32692.80000000001</v>
      </c>
      <c r="R29" s="94">
        <f>VLOOKUP($F29,'Master Harga'!$E$5:$L$348,6,FALSE)</f>
        <v>15680.000000000002</v>
      </c>
      <c r="S29" s="94">
        <f t="shared" si="7"/>
        <v>32692.80000000001</v>
      </c>
      <c r="T29" s="94">
        <f>VLOOKUP($F29,'Master Harga'!$E$5:$L$348,7,FALSE)</f>
        <v>17561.600000000002</v>
      </c>
      <c r="U29" s="94">
        <f t="shared" si="8"/>
        <v>36615.936000000009</v>
      </c>
      <c r="V29" s="94">
        <f t="shared" si="9"/>
        <v>16307.2</v>
      </c>
      <c r="W29" s="424">
        <f t="shared" si="10"/>
        <v>34000.51200000001</v>
      </c>
      <c r="X29" s="94"/>
      <c r="Y29" s="420"/>
      <c r="Z29" s="420"/>
      <c r="AA29" s="94">
        <f t="shared" si="0"/>
        <v>1176.0000000000002</v>
      </c>
      <c r="AB29" s="47"/>
    </row>
    <row r="30" spans="2:30" x14ac:dyDescent="0.35">
      <c r="B30" s="129"/>
      <c r="C30" s="130"/>
      <c r="D30" s="130"/>
      <c r="E30" s="131"/>
      <c r="F30" s="47" t="s">
        <v>138</v>
      </c>
      <c r="G30" s="132" t="s">
        <v>19</v>
      </c>
      <c r="H30" s="133">
        <v>1</v>
      </c>
      <c r="I30" s="134" t="s">
        <v>190</v>
      </c>
      <c r="J30" s="89" t="s">
        <v>113</v>
      </c>
      <c r="K30" s="98">
        <v>1</v>
      </c>
      <c r="L30" s="128">
        <f t="shared" si="6"/>
        <v>27.8</v>
      </c>
      <c r="M30" s="135">
        <f>((M$21*N$21)/240*($H30/N30))</f>
        <v>6.2500000000000003E-3</v>
      </c>
      <c r="N30" s="92">
        <v>1</v>
      </c>
      <c r="O30" s="92">
        <f t="shared" si="2"/>
        <v>0.17375000000000002</v>
      </c>
      <c r="P30" s="94">
        <f>VLOOKUP($F30,'Master Harga'!$E$5:$L$348,6,FALSE)</f>
        <v>41983.200000000004</v>
      </c>
      <c r="Q30" s="94">
        <f t="shared" si="5"/>
        <v>7294.581000000001</v>
      </c>
      <c r="R30" s="94">
        <f>VLOOKUP($F30,'Master Harga'!$E$5:$L$348,6,FALSE)</f>
        <v>41983.200000000004</v>
      </c>
      <c r="S30" s="94">
        <f t="shared" si="7"/>
        <v>7294.581000000001</v>
      </c>
      <c r="T30" s="94">
        <f>VLOOKUP($F30,'Master Harga'!$E$5:$L$348,7,FALSE)</f>
        <v>47021.184000000008</v>
      </c>
      <c r="U30" s="94">
        <f t="shared" si="8"/>
        <v>8169.9307200000021</v>
      </c>
      <c r="V30" s="94">
        <f t="shared" si="9"/>
        <v>43662.528000000006</v>
      </c>
      <c r="W30" s="424">
        <f t="shared" si="10"/>
        <v>7586.3642400000017</v>
      </c>
      <c r="X30" s="94"/>
      <c r="Y30" s="420"/>
      <c r="Z30" s="420"/>
      <c r="AA30" s="94">
        <f t="shared" si="0"/>
        <v>262.39500000000004</v>
      </c>
      <c r="AB30" s="47"/>
    </row>
    <row r="31" spans="2:30" x14ac:dyDescent="0.35">
      <c r="B31" s="129"/>
      <c r="C31" s="130"/>
      <c r="D31" s="130"/>
      <c r="E31" s="131"/>
      <c r="F31" s="47" t="s">
        <v>55</v>
      </c>
      <c r="G31" s="132" t="s">
        <v>19</v>
      </c>
      <c r="H31" s="133">
        <v>2</v>
      </c>
      <c r="I31" s="134" t="s">
        <v>190</v>
      </c>
      <c r="J31" s="89" t="s">
        <v>113</v>
      </c>
      <c r="K31" s="98">
        <v>1</v>
      </c>
      <c r="L31" s="128">
        <f t="shared" si="6"/>
        <v>27.8</v>
      </c>
      <c r="M31" s="135">
        <f>((M$21*N$21)/240*($H31/N31))</f>
        <v>1.2500000000000001E-2</v>
      </c>
      <c r="N31" s="92">
        <v>1</v>
      </c>
      <c r="O31" s="92">
        <f t="shared" si="2"/>
        <v>0.34750000000000003</v>
      </c>
      <c r="P31" s="94">
        <f>VLOOKUP($F31,'Master Harga'!$E$5:$L$348,6,FALSE)</f>
        <v>35985.600000000006</v>
      </c>
      <c r="Q31" s="94">
        <f t="shared" si="5"/>
        <v>12504.996000000003</v>
      </c>
      <c r="R31" s="94">
        <f>VLOOKUP($F31,'Master Harga'!$E$5:$L$348,6,FALSE)</f>
        <v>35985.600000000006</v>
      </c>
      <c r="S31" s="94">
        <f t="shared" si="7"/>
        <v>12504.996000000003</v>
      </c>
      <c r="T31" s="94">
        <f>VLOOKUP($F31,'Master Harga'!$E$5:$L$348,7,FALSE)</f>
        <v>40303.87200000001</v>
      </c>
      <c r="U31" s="94">
        <f t="shared" si="8"/>
        <v>14005.595520000004</v>
      </c>
      <c r="V31" s="94">
        <f t="shared" si="9"/>
        <v>37425.024000000005</v>
      </c>
      <c r="W31" s="424">
        <f t="shared" si="10"/>
        <v>13005.195840000002</v>
      </c>
      <c r="X31" s="94"/>
      <c r="Y31" s="420"/>
      <c r="Z31" s="420"/>
      <c r="AA31" s="94">
        <f t="shared" si="0"/>
        <v>449.82000000000011</v>
      </c>
      <c r="AB31" s="47"/>
    </row>
    <row r="32" spans="2:30" x14ac:dyDescent="0.35">
      <c r="B32" s="129"/>
      <c r="C32" s="130"/>
      <c r="D32" s="130"/>
      <c r="E32" s="131"/>
      <c r="F32" s="47" t="s">
        <v>56</v>
      </c>
      <c r="G32" s="132" t="s">
        <v>19</v>
      </c>
      <c r="H32" s="133">
        <v>1</v>
      </c>
      <c r="I32" s="134" t="s">
        <v>190</v>
      </c>
      <c r="J32" s="89" t="s">
        <v>113</v>
      </c>
      <c r="K32" s="98">
        <v>1</v>
      </c>
      <c r="L32" s="128">
        <f t="shared" si="6"/>
        <v>27.8</v>
      </c>
      <c r="M32" s="135">
        <f>((M$21*N$21)/240*($H32/N32))</f>
        <v>6.2500000000000003E-3</v>
      </c>
      <c r="N32" s="92">
        <v>1</v>
      </c>
      <c r="O32" s="92">
        <f t="shared" si="2"/>
        <v>0.17375000000000002</v>
      </c>
      <c r="P32" s="94">
        <f>VLOOKUP($F32,'Master Harga'!$E$5:$L$348,6,FALSE)</f>
        <v>95961.600000000006</v>
      </c>
      <c r="Q32" s="94">
        <f t="shared" si="5"/>
        <v>16673.328000000001</v>
      </c>
      <c r="R32" s="94">
        <f>VLOOKUP($F32,'Master Harga'!$E$5:$L$348,6,FALSE)</f>
        <v>95961.600000000006</v>
      </c>
      <c r="S32" s="94">
        <f t="shared" si="7"/>
        <v>16673.328000000001</v>
      </c>
      <c r="T32" s="94">
        <f>VLOOKUP($F32,'Master Harga'!$E$5:$L$348,7,FALSE)</f>
        <v>107476.99200000001</v>
      </c>
      <c r="U32" s="94">
        <f t="shared" si="8"/>
        <v>18674.127360000002</v>
      </c>
      <c r="V32" s="94">
        <f t="shared" si="9"/>
        <v>99800.063999999984</v>
      </c>
      <c r="W32" s="424">
        <f t="shared" si="10"/>
        <v>17340.261119999999</v>
      </c>
      <c r="X32" s="94"/>
      <c r="Y32" s="420"/>
      <c r="Z32" s="420"/>
      <c r="AA32" s="94">
        <f t="shared" si="0"/>
        <v>599.76</v>
      </c>
      <c r="AB32" s="47"/>
    </row>
    <row r="33" spans="2:29" x14ac:dyDescent="0.35">
      <c r="B33" s="87"/>
      <c r="C33" s="88"/>
      <c r="D33" s="444" t="s">
        <v>216</v>
      </c>
      <c r="E33" s="92"/>
      <c r="F33" s="394" t="s">
        <v>112</v>
      </c>
      <c r="G33" s="395" t="s">
        <v>127</v>
      </c>
      <c r="H33" s="396"/>
      <c r="I33" s="397"/>
      <c r="J33" s="398" t="s">
        <v>113</v>
      </c>
      <c r="K33" s="399">
        <v>1</v>
      </c>
      <c r="L33" s="400">
        <f t="shared" si="6"/>
        <v>27.8</v>
      </c>
      <c r="M33" s="401">
        <v>0.27</v>
      </c>
      <c r="N33" s="138">
        <v>1</v>
      </c>
      <c r="O33" s="138">
        <f t="shared" si="2"/>
        <v>7.5060000000000011</v>
      </c>
      <c r="P33" s="402">
        <f>200000</f>
        <v>200000</v>
      </c>
      <c r="Q33" s="402">
        <f t="shared" si="5"/>
        <v>1501200.0000000002</v>
      </c>
      <c r="R33" s="402">
        <f>VLOOKUP($F33,'Master Harga'!$E$5:$L$348,6,FALSE)</f>
        <v>75235.439999999988</v>
      </c>
      <c r="S33" s="402">
        <f t="shared" si="7"/>
        <v>564717.21264000004</v>
      </c>
      <c r="T33" s="402">
        <f>VLOOKUP($F33,'Master Harga'!$E$5:$L$348,7,FALSE)</f>
        <v>85768.401599999983</v>
      </c>
      <c r="U33" s="402">
        <f t="shared" si="8"/>
        <v>643777.62240959995</v>
      </c>
      <c r="V33" s="402">
        <f>W33/O33</f>
        <v>120334.61386666667</v>
      </c>
      <c r="W33" s="424">
        <f t="shared" si="10"/>
        <v>903231.61168320011</v>
      </c>
      <c r="X33" s="402"/>
      <c r="Y33" s="420"/>
      <c r="Z33" s="420"/>
      <c r="AA33" s="94">
        <f t="shared" si="0"/>
        <v>54000.000000000007</v>
      </c>
      <c r="AB33" s="403"/>
    </row>
    <row r="34" spans="2:29" x14ac:dyDescent="0.35">
      <c r="B34" s="150"/>
      <c r="C34" s="151"/>
      <c r="D34" s="414" t="s">
        <v>626</v>
      </c>
      <c r="E34" s="152"/>
      <c r="F34" s="148"/>
      <c r="G34" s="149"/>
      <c r="H34" s="152"/>
      <c r="I34" s="152"/>
      <c r="J34" s="152"/>
      <c r="K34" s="413"/>
      <c r="L34" s="413"/>
      <c r="M34" s="154"/>
      <c r="N34" s="155"/>
      <c r="O34" s="155"/>
      <c r="P34" s="179"/>
      <c r="Q34" s="156">
        <f>SUM(Q8:Q33)</f>
        <v>654740234.27638328</v>
      </c>
      <c r="R34" s="179"/>
      <c r="S34" s="179"/>
      <c r="T34" s="179"/>
      <c r="U34" s="179"/>
      <c r="V34" s="179"/>
      <c r="W34" s="179"/>
      <c r="X34" s="156"/>
      <c r="Y34" s="156"/>
      <c r="Z34" s="156"/>
      <c r="AA34" s="156">
        <f>Q34/$E$2</f>
        <v>23551806.988359109</v>
      </c>
      <c r="AB34" s="157">
        <f>Q34/$Q$214*100</f>
        <v>26.860001149920652</v>
      </c>
      <c r="AC34" s="78"/>
    </row>
    <row r="35" spans="2:29" x14ac:dyDescent="0.35">
      <c r="B35" s="404" t="s">
        <v>206</v>
      </c>
      <c r="C35" s="405"/>
      <c r="D35" s="137"/>
      <c r="E35" s="143"/>
      <c r="F35" s="406"/>
      <c r="G35" s="407"/>
      <c r="H35" s="136"/>
      <c r="I35" s="137"/>
      <c r="J35" s="408"/>
      <c r="K35" s="409"/>
      <c r="L35" s="409"/>
      <c r="M35" s="410"/>
      <c r="N35" s="411"/>
      <c r="O35" s="411"/>
      <c r="P35" s="425"/>
      <c r="Q35" s="425"/>
      <c r="R35" s="425"/>
      <c r="S35" s="425"/>
      <c r="T35" s="425"/>
      <c r="U35" s="425"/>
      <c r="V35" s="425"/>
      <c r="W35" s="425"/>
      <c r="X35" s="425"/>
      <c r="Y35" s="420"/>
      <c r="Z35" s="420"/>
      <c r="AA35" s="425"/>
      <c r="AB35" s="412"/>
    </row>
    <row r="36" spans="2:29" x14ac:dyDescent="0.35">
      <c r="B36" s="93"/>
      <c r="C36" s="83" t="s">
        <v>208</v>
      </c>
      <c r="D36" s="83"/>
      <c r="E36" s="160"/>
      <c r="F36" s="85"/>
      <c r="G36" s="86"/>
      <c r="H36" s="87"/>
      <c r="I36" s="88"/>
      <c r="J36" s="89"/>
      <c r="K36" s="90"/>
      <c r="L36" s="90"/>
      <c r="M36" s="91"/>
      <c r="N36" s="92"/>
      <c r="O36" s="92"/>
      <c r="P36" s="94"/>
      <c r="Q36" s="94"/>
      <c r="R36" s="94"/>
      <c r="S36" s="94"/>
      <c r="T36" s="94"/>
      <c r="U36" s="94"/>
      <c r="V36" s="94"/>
      <c r="W36" s="94"/>
      <c r="X36" s="94"/>
      <c r="Y36" s="420"/>
      <c r="Z36" s="420"/>
      <c r="AA36" s="94"/>
      <c r="AB36" s="47"/>
    </row>
    <row r="37" spans="2:29" x14ac:dyDescent="0.35">
      <c r="B37" s="95"/>
      <c r="C37" s="96"/>
      <c r="D37" s="96" t="s">
        <v>148</v>
      </c>
      <c r="E37" s="97"/>
      <c r="F37" s="85" t="s">
        <v>3</v>
      </c>
      <c r="G37" s="125" t="s">
        <v>2</v>
      </c>
      <c r="H37" s="126"/>
      <c r="I37" s="127"/>
      <c r="J37" s="67" t="s">
        <v>113</v>
      </c>
      <c r="K37" s="113">
        <v>0.25</v>
      </c>
      <c r="L37" s="128">
        <f>E2</f>
        <v>27.8</v>
      </c>
      <c r="M37" s="92">
        <v>1</v>
      </c>
      <c r="N37" s="92">
        <v>1</v>
      </c>
      <c r="O37" s="92">
        <f t="shared" ref="O37" si="11">K37*L37*M37*N37</f>
        <v>6.95</v>
      </c>
      <c r="P37" s="94">
        <f>VLOOKUP($F37,'Master Harga'!$E$5:$L$348,6,FALSE)</f>
        <v>151208.64000000001</v>
      </c>
      <c r="Q37" s="94">
        <f t="shared" ref="Q37:Q40" si="12">P37*$O37</f>
        <v>1050900.0480000002</v>
      </c>
      <c r="R37" s="94">
        <f>VLOOKUP($F37,'Master Harga'!$E$5:$L$348,6,FALSE)</f>
        <v>151208.64000000001</v>
      </c>
      <c r="S37" s="94">
        <f>R37*$O37</f>
        <v>1050900.0480000002</v>
      </c>
      <c r="T37" s="94">
        <f>VLOOKUP($F37,'Master Harga'!$E$5:$L$348,7,FALSE)</f>
        <v>163305.33120000002</v>
      </c>
      <c r="U37" s="94">
        <f>T37*$O37</f>
        <v>1134972.0518400001</v>
      </c>
      <c r="V37" s="94">
        <f>W37/O37</f>
        <v>155240.87040000001</v>
      </c>
      <c r="W37" s="424">
        <f>AVERAGEIF($P$4:$U$4,W$4,$P37:$U37)</f>
        <v>1078924.0492800002</v>
      </c>
      <c r="X37" s="94"/>
      <c r="Y37" s="420"/>
      <c r="Z37" s="420"/>
      <c r="AA37" s="94">
        <f t="shared" ref="AA37" si="13">Q37/$E$2</f>
        <v>37802.160000000003</v>
      </c>
      <c r="AB37" s="47"/>
    </row>
    <row r="38" spans="2:29" x14ac:dyDescent="0.35">
      <c r="B38" s="136"/>
      <c r="C38" s="137"/>
      <c r="D38" s="137"/>
      <c r="E38" s="143"/>
      <c r="F38" s="85" t="s">
        <v>120</v>
      </c>
      <c r="G38" s="86" t="s">
        <v>117</v>
      </c>
      <c r="H38" s="87"/>
      <c r="I38" s="88"/>
      <c r="J38" s="89" t="s">
        <v>117</v>
      </c>
      <c r="K38" s="98">
        <v>1</v>
      </c>
      <c r="L38" s="99">
        <f>E2*33.33</f>
        <v>926.57399999999996</v>
      </c>
      <c r="M38" s="91">
        <v>8.9999999999999993E-3</v>
      </c>
      <c r="N38" s="92">
        <v>1</v>
      </c>
      <c r="O38" s="92">
        <f>K38*L38*M38*N38</f>
        <v>8.3391659999999987</v>
      </c>
      <c r="P38" s="94">
        <f>VLOOKUP($F38,'Master Harga'!$E$5:$L$348,6,FALSE)</f>
        <v>715047.82649999985</v>
      </c>
      <c r="Q38" s="94">
        <f t="shared" si="12"/>
        <v>5962902.5231226971</v>
      </c>
      <c r="R38" s="94">
        <f>VLOOKUP($F38,'Master Harga'!$E$5:$L$348,6,FALSE)</f>
        <v>715047.82649999985</v>
      </c>
      <c r="S38" s="94">
        <f t="shared" ref="S38" si="14">R38*$O38</f>
        <v>5962902.5231226971</v>
      </c>
      <c r="T38" s="94">
        <f>VLOOKUP($F38,'Master Harga'!$E$5:$L$348,7,FALSE)</f>
        <v>751428.66536999994</v>
      </c>
      <c r="U38" s="94">
        <f t="shared" ref="U38" si="15">T38*$O38</f>
        <v>6266288.3776788805</v>
      </c>
      <c r="V38" s="94">
        <f t="shared" ref="V38" si="16">W38/O38</f>
        <v>727174.77278999996</v>
      </c>
      <c r="W38" s="424">
        <f t="shared" ref="W38" si="17">AVERAGEIF($P$4:$U$4,W$4,$P38:$U38)</f>
        <v>6064031.1413080916</v>
      </c>
      <c r="X38" s="94"/>
      <c r="Y38" s="420"/>
      <c r="Z38" s="420"/>
      <c r="AA38" s="94">
        <f>Q38/$E$2</f>
        <v>214492.89651520492</v>
      </c>
      <c r="AB38" s="47"/>
    </row>
    <row r="39" spans="2:29" x14ac:dyDescent="0.35">
      <c r="B39" s="95"/>
      <c r="C39" s="96"/>
      <c r="D39" s="96" t="s">
        <v>148</v>
      </c>
      <c r="E39" s="97"/>
      <c r="F39" s="85" t="s">
        <v>3</v>
      </c>
      <c r="G39" s="86" t="s">
        <v>2</v>
      </c>
      <c r="H39" s="87"/>
      <c r="I39" s="88"/>
      <c r="J39" s="67" t="s">
        <v>113</v>
      </c>
      <c r="K39" s="113">
        <v>0.25</v>
      </c>
      <c r="L39" s="128">
        <f>E2</f>
        <v>27.8</v>
      </c>
      <c r="M39" s="92">
        <v>1</v>
      </c>
      <c r="N39" s="92">
        <v>1</v>
      </c>
      <c r="O39" s="92">
        <f t="shared" ref="O39" si="18">K39*L39*M39*N39</f>
        <v>6.95</v>
      </c>
      <c r="P39" s="94">
        <f>VLOOKUP($F39,'Master Harga'!$E$5:$L$348,6,FALSE)</f>
        <v>151208.64000000001</v>
      </c>
      <c r="Q39" s="94">
        <f t="shared" si="12"/>
        <v>1050900.0480000002</v>
      </c>
      <c r="R39" s="94">
        <f>VLOOKUP($F39,'Master Harga'!$E$5:$L$348,6,FALSE)</f>
        <v>151208.64000000001</v>
      </c>
      <c r="S39" s="94">
        <f>R39*$O39</f>
        <v>1050900.0480000002</v>
      </c>
      <c r="T39" s="94">
        <f>VLOOKUP($F39,'Master Harga'!$E$5:$L$348,7,FALSE)</f>
        <v>163305.33120000002</v>
      </c>
      <c r="U39" s="94">
        <f>T39*$O39</f>
        <v>1134972.0518400001</v>
      </c>
      <c r="V39" s="94">
        <f>W39/O39</f>
        <v>155240.87040000001</v>
      </c>
      <c r="W39" s="424">
        <f>AVERAGEIF($P$4:$U$4,W$4,$P39:$U39)</f>
        <v>1078924.0492800002</v>
      </c>
      <c r="X39" s="94"/>
      <c r="Y39" s="420"/>
      <c r="Z39" s="420"/>
      <c r="AA39" s="94">
        <f t="shared" ref="AA39" si="19">Q39/$E$2</f>
        <v>37802.160000000003</v>
      </c>
      <c r="AB39" s="47"/>
    </row>
    <row r="40" spans="2:29" x14ac:dyDescent="0.35">
      <c r="B40" s="136"/>
      <c r="C40" s="137"/>
      <c r="D40" s="137"/>
      <c r="E40" s="143"/>
      <c r="F40" s="85" t="s">
        <v>116</v>
      </c>
      <c r="G40" s="86" t="s">
        <v>117</v>
      </c>
      <c r="H40" s="87"/>
      <c r="I40" s="88"/>
      <c r="J40" s="89" t="s">
        <v>117</v>
      </c>
      <c r="K40" s="98">
        <v>1</v>
      </c>
      <c r="L40" s="99">
        <f>E2</f>
        <v>27.8</v>
      </c>
      <c r="M40" s="92">
        <v>2</v>
      </c>
      <c r="N40" s="92">
        <v>1</v>
      </c>
      <c r="O40" s="92">
        <f>K40*L40*M40*N40</f>
        <v>55.6</v>
      </c>
      <c r="P40" s="94">
        <f>VLOOKUP($F40,'Master Harga'!$E$5:$L$348,6,FALSE)</f>
        <v>369600.00000000006</v>
      </c>
      <c r="Q40" s="94">
        <f t="shared" si="12"/>
        <v>20549760.000000004</v>
      </c>
      <c r="R40" s="94">
        <f>VLOOKUP($F40,'Master Harga'!$E$5:$L$348,6,FALSE)</f>
        <v>369600.00000000006</v>
      </c>
      <c r="S40" s="94">
        <f t="shared" ref="S40" si="20">R40*$O40</f>
        <v>20549760.000000004</v>
      </c>
      <c r="T40" s="94">
        <f>VLOOKUP($F40,'Master Harga'!$E$5:$L$348,7,FALSE)</f>
        <v>413952.00000000012</v>
      </c>
      <c r="U40" s="94">
        <f t="shared" ref="U40" si="21">T40*$O40</f>
        <v>23015731.200000007</v>
      </c>
      <c r="V40" s="94">
        <f t="shared" ref="V40" si="22">W40/O40</f>
        <v>384384.00000000012</v>
      </c>
      <c r="W40" s="424">
        <f t="shared" ref="W40" si="23">AVERAGEIF($P$4:$U$4,W$4,$P40:$U40)</f>
        <v>21371750.400000006</v>
      </c>
      <c r="X40" s="94"/>
      <c r="Y40" s="420"/>
      <c r="Z40" s="420"/>
      <c r="AA40" s="94">
        <f>Q40/$E$2</f>
        <v>739200.00000000012</v>
      </c>
      <c r="AB40" s="47"/>
    </row>
    <row r="41" spans="2:29" x14ac:dyDescent="0.35">
      <c r="B41" s="510" t="s">
        <v>618</v>
      </c>
      <c r="C41" s="511"/>
      <c r="D41" s="511"/>
      <c r="E41" s="512"/>
      <c r="F41" s="148"/>
      <c r="G41" s="149"/>
      <c r="H41" s="150"/>
      <c r="I41" s="151"/>
      <c r="J41" s="152"/>
      <c r="K41" s="153"/>
      <c r="L41" s="153"/>
      <c r="M41" s="154"/>
      <c r="N41" s="155"/>
      <c r="O41" s="155"/>
      <c r="P41" s="179"/>
      <c r="Q41" s="156">
        <f>SUM(Q37:Q40)</f>
        <v>28614462.619122703</v>
      </c>
      <c r="R41" s="156"/>
      <c r="S41" s="156"/>
      <c r="T41" s="156"/>
      <c r="U41" s="156"/>
      <c r="V41" s="156"/>
      <c r="W41" s="156"/>
      <c r="X41" s="156"/>
      <c r="Y41" s="426"/>
      <c r="Z41" s="426"/>
      <c r="AA41" s="156">
        <f>Q41/$E$2</f>
        <v>1029297.2165152051</v>
      </c>
      <c r="AB41" s="157">
        <f>Q41/$Q$214*100</f>
        <v>1.1738769952077779</v>
      </c>
      <c r="AC41" s="78"/>
    </row>
    <row r="42" spans="2:29" x14ac:dyDescent="0.35">
      <c r="B42" s="136"/>
      <c r="C42" s="83" t="s">
        <v>210</v>
      </c>
      <c r="D42" s="137"/>
      <c r="E42" s="143"/>
      <c r="F42" s="85"/>
      <c r="G42" s="86"/>
      <c r="H42" s="87"/>
      <c r="I42" s="88"/>
      <c r="J42" s="89"/>
      <c r="K42" s="90"/>
      <c r="L42" s="90"/>
      <c r="M42" s="91"/>
      <c r="N42" s="92"/>
      <c r="O42" s="92"/>
      <c r="P42" s="94"/>
      <c r="Q42" s="94"/>
      <c r="R42" s="94"/>
      <c r="S42" s="94"/>
      <c r="T42" s="94"/>
      <c r="U42" s="94"/>
      <c r="V42" s="94"/>
      <c r="W42" s="94"/>
      <c r="X42" s="94"/>
      <c r="Y42" s="420"/>
      <c r="Z42" s="420"/>
      <c r="AA42" s="94"/>
      <c r="AB42" s="47"/>
    </row>
    <row r="43" spans="2:29" hidden="1" x14ac:dyDescent="0.35">
      <c r="B43" s="95"/>
      <c r="C43" s="96"/>
      <c r="D43" s="96" t="s">
        <v>149</v>
      </c>
      <c r="E43" s="97"/>
      <c r="F43" s="85" t="s">
        <v>3</v>
      </c>
      <c r="G43" s="86" t="s">
        <v>2</v>
      </c>
      <c r="H43" s="87"/>
      <c r="I43" s="88"/>
      <c r="J43" s="89"/>
      <c r="K43" s="90"/>
      <c r="L43" s="90"/>
      <c r="M43" s="91"/>
      <c r="N43" s="92"/>
      <c r="O43" s="92"/>
      <c r="P43" s="94"/>
      <c r="Q43" s="94"/>
      <c r="R43" s="94"/>
      <c r="S43" s="94"/>
      <c r="T43" s="94"/>
      <c r="U43" s="94"/>
      <c r="V43" s="94"/>
      <c r="W43" s="94"/>
      <c r="X43" s="94"/>
      <c r="Y43" s="420"/>
      <c r="Z43" s="420"/>
      <c r="AA43" s="94"/>
      <c r="AB43" s="47"/>
    </row>
    <row r="44" spans="2:29" hidden="1" x14ac:dyDescent="0.35">
      <c r="B44" s="129"/>
      <c r="C44" s="130"/>
      <c r="D44" s="130"/>
      <c r="E44" s="131"/>
      <c r="F44" s="85" t="s">
        <v>89</v>
      </c>
      <c r="G44" s="86" t="s">
        <v>44</v>
      </c>
      <c r="H44" s="87"/>
      <c r="I44" s="88"/>
      <c r="J44" s="89"/>
      <c r="K44" s="90"/>
      <c r="L44" s="90"/>
      <c r="M44" s="91"/>
      <c r="N44" s="92"/>
      <c r="O44" s="92"/>
      <c r="P44" s="94"/>
      <c r="Q44" s="94"/>
      <c r="R44" s="94"/>
      <c r="S44" s="94"/>
      <c r="T44" s="94"/>
      <c r="U44" s="94"/>
      <c r="V44" s="94"/>
      <c r="W44" s="94"/>
      <c r="X44" s="94"/>
      <c r="Y44" s="420"/>
      <c r="Z44" s="420"/>
      <c r="AA44" s="94"/>
      <c r="AB44" s="47"/>
    </row>
    <row r="45" spans="2:29" hidden="1" x14ac:dyDescent="0.35">
      <c r="B45" s="136"/>
      <c r="C45" s="137"/>
      <c r="D45" s="137"/>
      <c r="E45" s="143"/>
      <c r="F45" s="85" t="s">
        <v>121</v>
      </c>
      <c r="G45" s="86" t="s">
        <v>117</v>
      </c>
      <c r="H45" s="87"/>
      <c r="I45" s="88"/>
      <c r="J45" s="89"/>
      <c r="K45" s="90"/>
      <c r="L45" s="90"/>
      <c r="M45" s="91"/>
      <c r="N45" s="92"/>
      <c r="O45" s="92"/>
      <c r="P45" s="94"/>
      <c r="Q45" s="94"/>
      <c r="R45" s="94"/>
      <c r="S45" s="94"/>
      <c r="T45" s="94"/>
      <c r="U45" s="94"/>
      <c r="V45" s="94"/>
      <c r="W45" s="94"/>
      <c r="X45" s="94"/>
      <c r="Y45" s="420"/>
      <c r="Z45" s="420"/>
      <c r="AA45" s="94"/>
      <c r="AB45" s="47"/>
    </row>
    <row r="46" spans="2:29" hidden="1" x14ac:dyDescent="0.35">
      <c r="B46" s="95"/>
      <c r="C46" s="96"/>
      <c r="D46" s="96" t="s">
        <v>150</v>
      </c>
      <c r="E46" s="97"/>
      <c r="F46" s="85" t="s">
        <v>3</v>
      </c>
      <c r="G46" s="86" t="s">
        <v>2</v>
      </c>
      <c r="H46" s="87"/>
      <c r="I46" s="88"/>
      <c r="J46" s="89"/>
      <c r="K46" s="90"/>
      <c r="L46" s="90"/>
      <c r="M46" s="91"/>
      <c r="N46" s="92"/>
      <c r="O46" s="92"/>
      <c r="P46" s="94"/>
      <c r="Q46" s="94"/>
      <c r="R46" s="94"/>
      <c r="S46" s="94"/>
      <c r="T46" s="94"/>
      <c r="U46" s="94"/>
      <c r="V46" s="94"/>
      <c r="W46" s="94"/>
      <c r="X46" s="94"/>
      <c r="Y46" s="420"/>
      <c r="Z46" s="420"/>
      <c r="AA46" s="94"/>
      <c r="AB46" s="47"/>
    </row>
    <row r="47" spans="2:29" hidden="1" x14ac:dyDescent="0.35">
      <c r="B47" s="129"/>
      <c r="C47" s="130"/>
      <c r="D47" s="130"/>
      <c r="E47" s="131"/>
      <c r="F47" s="85" t="s">
        <v>90</v>
      </c>
      <c r="G47" s="86" t="s">
        <v>44</v>
      </c>
      <c r="H47" s="87"/>
      <c r="I47" s="88"/>
      <c r="J47" s="89"/>
      <c r="K47" s="90"/>
      <c r="L47" s="90"/>
      <c r="M47" s="91"/>
      <c r="N47" s="92"/>
      <c r="O47" s="92"/>
      <c r="P47" s="94"/>
      <c r="Q47" s="94"/>
      <c r="R47" s="94"/>
      <c r="S47" s="94"/>
      <c r="T47" s="94"/>
      <c r="U47" s="94"/>
      <c r="V47" s="94"/>
      <c r="W47" s="94"/>
      <c r="X47" s="94"/>
      <c r="Y47" s="420"/>
      <c r="Z47" s="420"/>
      <c r="AA47" s="94"/>
      <c r="AB47" s="47"/>
    </row>
    <row r="48" spans="2:29" hidden="1" x14ac:dyDescent="0.35">
      <c r="B48" s="136"/>
      <c r="C48" s="137"/>
      <c r="D48" s="137"/>
      <c r="E48" s="143"/>
      <c r="F48" s="85" t="s">
        <v>121</v>
      </c>
      <c r="G48" s="86" t="s">
        <v>117</v>
      </c>
      <c r="H48" s="87"/>
      <c r="I48" s="88"/>
      <c r="J48" s="89"/>
      <c r="K48" s="90"/>
      <c r="L48" s="90"/>
      <c r="M48" s="91"/>
      <c r="N48" s="92"/>
      <c r="O48" s="92"/>
      <c r="P48" s="94"/>
      <c r="Q48" s="94"/>
      <c r="R48" s="94"/>
      <c r="S48" s="94"/>
      <c r="T48" s="94"/>
      <c r="U48" s="94"/>
      <c r="V48" s="94"/>
      <c r="W48" s="94"/>
      <c r="X48" s="94"/>
      <c r="Y48" s="420"/>
      <c r="Z48" s="420"/>
      <c r="AA48" s="94"/>
      <c r="AB48" s="47"/>
    </row>
    <row r="49" spans="1:29" hidden="1" x14ac:dyDescent="0.35">
      <c r="B49" s="95"/>
      <c r="C49" s="96"/>
      <c r="D49" s="96" t="s">
        <v>151</v>
      </c>
      <c r="E49" s="97"/>
      <c r="F49" s="85" t="s">
        <v>3</v>
      </c>
      <c r="G49" s="86" t="s">
        <v>2</v>
      </c>
      <c r="H49" s="87"/>
      <c r="I49" s="88"/>
      <c r="J49" s="89"/>
      <c r="K49" s="90"/>
      <c r="L49" s="90"/>
      <c r="M49" s="91"/>
      <c r="N49" s="92"/>
      <c r="O49" s="92"/>
      <c r="P49" s="94"/>
      <c r="Q49" s="94"/>
      <c r="R49" s="94"/>
      <c r="S49" s="94"/>
      <c r="T49" s="94"/>
      <c r="U49" s="94"/>
      <c r="V49" s="94"/>
      <c r="W49" s="94"/>
      <c r="X49" s="94"/>
      <c r="Y49" s="420"/>
      <c r="Z49" s="420"/>
      <c r="AA49" s="94"/>
      <c r="AB49" s="47"/>
    </row>
    <row r="50" spans="1:29" hidden="1" x14ac:dyDescent="0.35">
      <c r="B50" s="129"/>
      <c r="C50" s="130"/>
      <c r="D50" s="130"/>
      <c r="E50" s="131"/>
      <c r="F50" s="85" t="s">
        <v>91</v>
      </c>
      <c r="G50" s="86" t="s">
        <v>44</v>
      </c>
      <c r="H50" s="87"/>
      <c r="I50" s="88"/>
      <c r="J50" s="89"/>
      <c r="K50" s="90"/>
      <c r="L50" s="90"/>
      <c r="M50" s="91"/>
      <c r="N50" s="92"/>
      <c r="O50" s="92"/>
      <c r="P50" s="94"/>
      <c r="Q50" s="94"/>
      <c r="R50" s="94"/>
      <c r="S50" s="94"/>
      <c r="T50" s="94"/>
      <c r="U50" s="94"/>
      <c r="V50" s="94"/>
      <c r="W50" s="94"/>
      <c r="X50" s="94"/>
      <c r="Y50" s="420"/>
      <c r="Z50" s="420"/>
      <c r="AA50" s="94"/>
      <c r="AB50" s="47"/>
    </row>
    <row r="51" spans="1:29" hidden="1" x14ac:dyDescent="0.35">
      <c r="B51" s="136"/>
      <c r="C51" s="137"/>
      <c r="D51" s="137"/>
      <c r="E51" s="143"/>
      <c r="F51" s="85" t="s">
        <v>121</v>
      </c>
      <c r="G51" s="86" t="s">
        <v>117</v>
      </c>
      <c r="H51" s="87"/>
      <c r="I51" s="88"/>
      <c r="J51" s="89"/>
      <c r="K51" s="90"/>
      <c r="L51" s="90"/>
      <c r="M51" s="91"/>
      <c r="N51" s="92"/>
      <c r="O51" s="92"/>
      <c r="P51" s="94"/>
      <c r="Q51" s="94"/>
      <c r="R51" s="94"/>
      <c r="S51" s="94"/>
      <c r="T51" s="94"/>
      <c r="U51" s="94"/>
      <c r="V51" s="94"/>
      <c r="W51" s="94"/>
      <c r="X51" s="94"/>
      <c r="Y51" s="420"/>
      <c r="Z51" s="420"/>
      <c r="AA51" s="94"/>
      <c r="AB51" s="47"/>
    </row>
    <row r="52" spans="1:29" hidden="1" x14ac:dyDescent="0.35">
      <c r="B52" s="95"/>
      <c r="C52" s="96"/>
      <c r="D52" s="96" t="s">
        <v>152</v>
      </c>
      <c r="E52" s="97"/>
      <c r="F52" s="85" t="s">
        <v>3</v>
      </c>
      <c r="G52" s="86" t="s">
        <v>2</v>
      </c>
      <c r="H52" s="87"/>
      <c r="I52" s="88"/>
      <c r="J52" s="89"/>
      <c r="K52" s="90"/>
      <c r="L52" s="90"/>
      <c r="M52" s="91"/>
      <c r="N52" s="92"/>
      <c r="O52" s="92"/>
      <c r="P52" s="94"/>
      <c r="Q52" s="94"/>
      <c r="R52" s="94"/>
      <c r="S52" s="94"/>
      <c r="T52" s="94"/>
      <c r="U52" s="94"/>
      <c r="V52" s="94"/>
      <c r="W52" s="94"/>
      <c r="X52" s="94"/>
      <c r="Y52" s="420"/>
      <c r="Z52" s="420"/>
      <c r="AA52" s="94"/>
      <c r="AB52" s="47"/>
    </row>
    <row r="53" spans="1:29" hidden="1" x14ac:dyDescent="0.35">
      <c r="B53" s="129"/>
      <c r="C53" s="130"/>
      <c r="D53" s="130"/>
      <c r="E53" s="131"/>
      <c r="F53" s="85" t="s">
        <v>92</v>
      </c>
      <c r="G53" s="86" t="s">
        <v>44</v>
      </c>
      <c r="H53" s="87"/>
      <c r="I53" s="88"/>
      <c r="J53" s="89"/>
      <c r="K53" s="90"/>
      <c r="L53" s="90"/>
      <c r="M53" s="91">
        <v>1</v>
      </c>
      <c r="N53" s="92"/>
      <c r="O53" s="92"/>
      <c r="P53" s="94"/>
      <c r="Q53" s="94"/>
      <c r="R53" s="94"/>
      <c r="S53" s="94"/>
      <c r="T53" s="94"/>
      <c r="U53" s="94"/>
      <c r="V53" s="94"/>
      <c r="W53" s="94"/>
      <c r="X53" s="94"/>
      <c r="Y53" s="420"/>
      <c r="Z53" s="420"/>
      <c r="AA53" s="94"/>
      <c r="AB53" s="47"/>
    </row>
    <row r="54" spans="1:29" hidden="1" x14ac:dyDescent="0.35">
      <c r="B54" s="136"/>
      <c r="C54" s="137"/>
      <c r="D54" s="137"/>
      <c r="E54" s="143"/>
      <c r="F54" s="85" t="s">
        <v>118</v>
      </c>
      <c r="G54" s="86" t="s">
        <v>117</v>
      </c>
      <c r="H54" s="87"/>
      <c r="I54" s="88"/>
      <c r="J54" s="89"/>
      <c r="K54" s="90"/>
      <c r="L54" s="90"/>
      <c r="M54" s="91">
        <v>4</v>
      </c>
      <c r="N54" s="92"/>
      <c r="O54" s="92"/>
      <c r="P54" s="94"/>
      <c r="Q54" s="94"/>
      <c r="R54" s="94"/>
      <c r="S54" s="94"/>
      <c r="T54" s="94"/>
      <c r="U54" s="94"/>
      <c r="V54" s="94"/>
      <c r="W54" s="94"/>
      <c r="X54" s="94"/>
      <c r="Y54" s="420"/>
      <c r="Z54" s="420"/>
      <c r="AA54" s="94"/>
      <c r="AB54" s="47"/>
    </row>
    <row r="55" spans="1:29" ht="28" hidden="1" x14ac:dyDescent="0.35">
      <c r="B55" s="129"/>
      <c r="C55" s="106"/>
      <c r="D55" s="163"/>
      <c r="E55" s="164"/>
      <c r="F55" s="165" t="s">
        <v>3</v>
      </c>
      <c r="G55" s="116" t="s">
        <v>2</v>
      </c>
      <c r="H55" s="117"/>
      <c r="I55" s="118"/>
      <c r="J55" s="119"/>
      <c r="K55" s="166"/>
      <c r="L55" s="167"/>
      <c r="M55" s="168">
        <v>4</v>
      </c>
      <c r="N55" s="169">
        <v>1</v>
      </c>
      <c r="O55" s="122">
        <f>K55*L55*M55*N55</f>
        <v>0</v>
      </c>
      <c r="P55" s="108">
        <v>0</v>
      </c>
      <c r="Q55" s="108">
        <f>O55*P55</f>
        <v>0</v>
      </c>
      <c r="R55" s="108"/>
      <c r="S55" s="108"/>
      <c r="T55" s="108"/>
      <c r="U55" s="108"/>
      <c r="V55" s="108"/>
      <c r="W55" s="108"/>
      <c r="X55" s="427" t="s">
        <v>637</v>
      </c>
      <c r="Y55" s="420"/>
      <c r="Z55" s="420"/>
      <c r="AA55" s="108">
        <f t="shared" ref="AA55:AA57" si="24">Q55/$E$2</f>
        <v>0</v>
      </c>
      <c r="AB55" s="47"/>
    </row>
    <row r="56" spans="1:29" hidden="1" x14ac:dyDescent="0.35">
      <c r="B56" s="129"/>
      <c r="C56" s="106"/>
      <c r="D56" s="48" t="s">
        <v>134</v>
      </c>
      <c r="E56" s="112"/>
      <c r="F56" s="85" t="s">
        <v>121</v>
      </c>
      <c r="G56" s="86"/>
      <c r="H56" s="87"/>
      <c r="I56" s="88"/>
      <c r="J56" s="89"/>
      <c r="K56" s="98"/>
      <c r="L56" s="171"/>
      <c r="M56" s="172">
        <v>0.25</v>
      </c>
      <c r="N56" s="173">
        <v>1</v>
      </c>
      <c r="O56" s="92">
        <f>K56*L56*M56*N56</f>
        <v>0</v>
      </c>
      <c r="P56" s="108">
        <v>0</v>
      </c>
      <c r="Q56" s="94">
        <f>O56*P56</f>
        <v>0</v>
      </c>
      <c r="R56" s="94"/>
      <c r="S56" s="94"/>
      <c r="T56" s="94"/>
      <c r="U56" s="94"/>
      <c r="V56" s="94"/>
      <c r="W56" s="94"/>
      <c r="X56" s="94"/>
      <c r="Y56" s="420"/>
      <c r="Z56" s="420"/>
      <c r="AA56" s="94">
        <f t="shared" si="24"/>
        <v>0</v>
      </c>
      <c r="AB56" s="47"/>
    </row>
    <row r="57" spans="1:29" hidden="1" x14ac:dyDescent="0.35">
      <c r="B57" s="129"/>
      <c r="C57" s="106"/>
      <c r="D57" s="106"/>
      <c r="E57" s="112"/>
      <c r="F57" s="66" t="s">
        <v>609</v>
      </c>
      <c r="G57" s="86"/>
      <c r="H57" s="87"/>
      <c r="I57" s="88"/>
      <c r="J57" s="89"/>
      <c r="K57" s="98"/>
      <c r="L57" s="90"/>
      <c r="M57" s="91">
        <v>1</v>
      </c>
      <c r="N57" s="92">
        <v>1</v>
      </c>
      <c r="O57" s="92">
        <f>K57*L57*M57*N57</f>
        <v>0</v>
      </c>
      <c r="P57" s="94">
        <v>0</v>
      </c>
      <c r="Q57" s="94">
        <f>O57*P57</f>
        <v>0</v>
      </c>
      <c r="R57" s="94"/>
      <c r="S57" s="94"/>
      <c r="T57" s="94"/>
      <c r="U57" s="94"/>
      <c r="V57" s="94"/>
      <c r="W57" s="94"/>
      <c r="X57" s="94"/>
      <c r="Y57" s="420"/>
      <c r="Z57" s="420"/>
      <c r="AA57" s="94">
        <f t="shared" si="24"/>
        <v>0</v>
      </c>
      <c r="AB57" s="47"/>
    </row>
    <row r="58" spans="1:29" s="3" customFormat="1" hidden="1" x14ac:dyDescent="0.35">
      <c r="A58" s="48"/>
      <c r="B58" s="102"/>
      <c r="C58" s="103"/>
      <c r="D58" s="103" t="s">
        <v>153</v>
      </c>
      <c r="E58" s="104"/>
      <c r="F58" s="124" t="s">
        <v>3</v>
      </c>
      <c r="G58" s="125" t="s">
        <v>2</v>
      </c>
      <c r="H58" s="126"/>
      <c r="I58" s="127"/>
      <c r="J58" s="67"/>
      <c r="K58" s="139"/>
      <c r="L58" s="139"/>
      <c r="M58" s="172">
        <v>1</v>
      </c>
      <c r="N58" s="173">
        <v>1</v>
      </c>
      <c r="O58" s="173"/>
      <c r="P58" s="185"/>
      <c r="Q58" s="185"/>
      <c r="R58" s="185"/>
      <c r="S58" s="185"/>
      <c r="T58" s="185"/>
      <c r="U58" s="185"/>
      <c r="V58" s="185"/>
      <c r="W58" s="185"/>
      <c r="X58" s="185"/>
      <c r="Y58" s="428"/>
      <c r="Z58" s="428"/>
      <c r="AA58" s="185"/>
      <c r="AB58" s="66"/>
      <c r="AC58" s="48"/>
    </row>
    <row r="59" spans="1:29" s="3" customFormat="1" hidden="1" x14ac:dyDescent="0.35">
      <c r="A59" s="48"/>
      <c r="B59" s="105"/>
      <c r="C59" s="106"/>
      <c r="D59" s="106"/>
      <c r="E59" s="112"/>
      <c r="F59" s="124" t="s">
        <v>153</v>
      </c>
      <c r="G59" s="125" t="s">
        <v>44</v>
      </c>
      <c r="H59" s="126"/>
      <c r="I59" s="127"/>
      <c r="J59" s="67"/>
      <c r="K59" s="139"/>
      <c r="L59" s="139"/>
      <c r="M59" s="172">
        <v>7</v>
      </c>
      <c r="N59" s="173">
        <v>1</v>
      </c>
      <c r="O59" s="173"/>
      <c r="P59" s="185"/>
      <c r="Q59" s="185"/>
      <c r="R59" s="185"/>
      <c r="S59" s="185"/>
      <c r="T59" s="185"/>
      <c r="U59" s="185"/>
      <c r="V59" s="185"/>
      <c r="W59" s="185"/>
      <c r="X59" s="185"/>
      <c r="Y59" s="428"/>
      <c r="Z59" s="428"/>
      <c r="AA59" s="185"/>
      <c r="AB59" s="66"/>
      <c r="AC59" s="48"/>
    </row>
    <row r="60" spans="1:29" s="3" customFormat="1" hidden="1" x14ac:dyDescent="0.35">
      <c r="A60" s="48"/>
      <c r="B60" s="109"/>
      <c r="C60" s="110"/>
      <c r="D60" s="110"/>
      <c r="E60" s="111"/>
      <c r="F60" s="124" t="s">
        <v>121</v>
      </c>
      <c r="G60" s="125" t="s">
        <v>117</v>
      </c>
      <c r="H60" s="126"/>
      <c r="I60" s="127"/>
      <c r="J60" s="67"/>
      <c r="K60" s="139"/>
      <c r="L60" s="139"/>
      <c r="M60" s="172">
        <v>3</v>
      </c>
      <c r="N60" s="173">
        <v>1</v>
      </c>
      <c r="O60" s="173"/>
      <c r="P60" s="185"/>
      <c r="Q60" s="185"/>
      <c r="R60" s="185"/>
      <c r="S60" s="185"/>
      <c r="T60" s="185"/>
      <c r="U60" s="185"/>
      <c r="V60" s="185"/>
      <c r="W60" s="185"/>
      <c r="X60" s="185"/>
      <c r="Y60" s="428"/>
      <c r="Z60" s="428"/>
      <c r="AA60" s="185"/>
      <c r="AB60" s="66"/>
      <c r="AC60" s="48"/>
    </row>
    <row r="61" spans="1:29" s="3" customFormat="1" hidden="1" x14ac:dyDescent="0.35">
      <c r="A61" s="48"/>
      <c r="B61" s="102"/>
      <c r="C61" s="103"/>
      <c r="D61" s="103" t="s">
        <v>154</v>
      </c>
      <c r="E61" s="104"/>
      <c r="F61" s="124" t="s">
        <v>3</v>
      </c>
      <c r="G61" s="125" t="s">
        <v>2</v>
      </c>
      <c r="H61" s="126"/>
      <c r="I61" s="127"/>
      <c r="J61" s="67"/>
      <c r="K61" s="139"/>
      <c r="L61" s="139"/>
      <c r="M61" s="172">
        <v>1</v>
      </c>
      <c r="N61" s="173">
        <v>1</v>
      </c>
      <c r="O61" s="173"/>
      <c r="P61" s="185"/>
      <c r="Q61" s="185"/>
      <c r="R61" s="185"/>
      <c r="S61" s="185"/>
      <c r="T61" s="185"/>
      <c r="U61" s="185"/>
      <c r="V61" s="185"/>
      <c r="W61" s="185"/>
      <c r="X61" s="185"/>
      <c r="Y61" s="428"/>
      <c r="Z61" s="428"/>
      <c r="AA61" s="185"/>
      <c r="AB61" s="66"/>
      <c r="AC61" s="48"/>
    </row>
    <row r="62" spans="1:29" s="3" customFormat="1" hidden="1" x14ac:dyDescent="0.35">
      <c r="A62" s="48"/>
      <c r="B62" s="105"/>
      <c r="C62" s="106"/>
      <c r="D62" s="106"/>
      <c r="E62" s="112"/>
      <c r="F62" s="124" t="s">
        <v>154</v>
      </c>
      <c r="G62" s="125" t="s">
        <v>44</v>
      </c>
      <c r="H62" s="126"/>
      <c r="I62" s="127"/>
      <c r="J62" s="67"/>
      <c r="K62" s="139"/>
      <c r="L62" s="139"/>
      <c r="M62" s="172">
        <v>7</v>
      </c>
      <c r="N62" s="173">
        <v>1</v>
      </c>
      <c r="O62" s="173"/>
      <c r="P62" s="185"/>
      <c r="Q62" s="185"/>
      <c r="R62" s="185"/>
      <c r="S62" s="185"/>
      <c r="T62" s="185"/>
      <c r="U62" s="185"/>
      <c r="V62" s="185"/>
      <c r="W62" s="185"/>
      <c r="X62" s="185"/>
      <c r="Y62" s="428"/>
      <c r="Z62" s="428"/>
      <c r="AA62" s="185"/>
      <c r="AB62" s="66"/>
      <c r="AC62" s="48"/>
    </row>
    <row r="63" spans="1:29" s="3" customFormat="1" hidden="1" x14ac:dyDescent="0.35">
      <c r="A63" s="48"/>
      <c r="B63" s="109"/>
      <c r="C63" s="110"/>
      <c r="D63" s="110"/>
      <c r="E63" s="111"/>
      <c r="F63" s="124" t="s">
        <v>121</v>
      </c>
      <c r="G63" s="125" t="s">
        <v>117</v>
      </c>
      <c r="H63" s="126"/>
      <c r="I63" s="127"/>
      <c r="J63" s="67"/>
      <c r="K63" s="139"/>
      <c r="L63" s="139"/>
      <c r="M63" s="172">
        <v>3</v>
      </c>
      <c r="N63" s="173">
        <v>1</v>
      </c>
      <c r="O63" s="173"/>
      <c r="P63" s="185"/>
      <c r="Q63" s="185"/>
      <c r="R63" s="185"/>
      <c r="S63" s="185"/>
      <c r="T63" s="185"/>
      <c r="U63" s="185"/>
      <c r="V63" s="185"/>
      <c r="W63" s="185"/>
      <c r="X63" s="185"/>
      <c r="Y63" s="428"/>
      <c r="Z63" s="428"/>
      <c r="AA63" s="185"/>
      <c r="AB63" s="66"/>
      <c r="AC63" s="48"/>
    </row>
    <row r="64" spans="1:29" s="3" customFormat="1" x14ac:dyDescent="0.35">
      <c r="A64" s="48"/>
      <c r="B64" s="102"/>
      <c r="C64" s="103"/>
      <c r="D64" s="103" t="s">
        <v>155</v>
      </c>
      <c r="E64" s="104"/>
      <c r="F64" s="124" t="s">
        <v>3</v>
      </c>
      <c r="G64" s="125" t="s">
        <v>2</v>
      </c>
      <c r="H64" s="126"/>
      <c r="I64" s="127"/>
      <c r="J64" s="174" t="s">
        <v>2</v>
      </c>
      <c r="K64" s="166">
        <v>1</v>
      </c>
      <c r="L64" s="417">
        <v>1</v>
      </c>
      <c r="M64" s="172">
        <v>1</v>
      </c>
      <c r="N64" s="173">
        <v>1</v>
      </c>
      <c r="O64" s="92">
        <f>K64*L64*M64*N64</f>
        <v>1</v>
      </c>
      <c r="P64" s="108">
        <f>VLOOKUP($F64,'Master Harga'!$E$5:$L$348,6,FALSE)</f>
        <v>151208.64000000001</v>
      </c>
      <c r="Q64" s="94">
        <f>O64*P64</f>
        <v>151208.64000000001</v>
      </c>
      <c r="R64" s="94"/>
      <c r="S64" s="94"/>
      <c r="T64" s="94"/>
      <c r="U64" s="94"/>
      <c r="V64" s="94"/>
      <c r="W64" s="94"/>
      <c r="X64" s="94"/>
      <c r="Y64" s="420"/>
      <c r="Z64" s="420"/>
      <c r="AA64" s="94">
        <f t="shared" ref="AA64:AA66" si="25">Q64/$E$2</f>
        <v>5439.1597122302164</v>
      </c>
      <c r="AB64" s="66"/>
      <c r="AC64" s="48"/>
    </row>
    <row r="65" spans="1:29" s="3" customFormat="1" x14ac:dyDescent="0.35">
      <c r="A65" s="48"/>
      <c r="B65" s="105"/>
      <c r="C65" s="106"/>
      <c r="D65" s="106" t="s">
        <v>686</v>
      </c>
      <c r="E65" s="112"/>
      <c r="F65" s="124" t="s">
        <v>155</v>
      </c>
      <c r="G65" s="125" t="s">
        <v>44</v>
      </c>
      <c r="H65" s="126"/>
      <c r="I65" s="127"/>
      <c r="J65" s="174" t="s">
        <v>44</v>
      </c>
      <c r="K65" s="98">
        <v>1</v>
      </c>
      <c r="L65" s="417">
        <v>1</v>
      </c>
      <c r="M65" s="172">
        <v>6</v>
      </c>
      <c r="N65" s="173">
        <v>1</v>
      </c>
      <c r="O65" s="92">
        <f>K65*L65*M65*N65</f>
        <v>6</v>
      </c>
      <c r="P65" s="108">
        <f>VLOOKUP($F65,'Master Harga'!$E$5:$L$348,6,FALSE)</f>
        <v>740999.99999999988</v>
      </c>
      <c r="Q65" s="94">
        <f>O65*P65</f>
        <v>4445999.9999999991</v>
      </c>
      <c r="R65" s="94"/>
      <c r="S65" s="94"/>
      <c r="T65" s="94"/>
      <c r="U65" s="94"/>
      <c r="V65" s="94"/>
      <c r="W65" s="94"/>
      <c r="X65" s="94"/>
      <c r="Y65" s="420"/>
      <c r="Z65" s="420"/>
      <c r="AA65" s="94">
        <f t="shared" si="25"/>
        <v>159928.05755395681</v>
      </c>
      <c r="AB65" s="66"/>
      <c r="AC65" s="48"/>
    </row>
    <row r="66" spans="1:29" s="3" customFormat="1" x14ac:dyDescent="0.35">
      <c r="A66" s="48"/>
      <c r="B66" s="109"/>
      <c r="C66" s="110"/>
      <c r="D66" s="110"/>
      <c r="E66" s="111"/>
      <c r="F66" s="124" t="s">
        <v>121</v>
      </c>
      <c r="G66" s="125" t="s">
        <v>117</v>
      </c>
      <c r="H66" s="126"/>
      <c r="I66" s="127"/>
      <c r="J66" s="174" t="s">
        <v>117</v>
      </c>
      <c r="K66" s="98">
        <v>1</v>
      </c>
      <c r="L66" s="417">
        <v>1</v>
      </c>
      <c r="M66" s="172">
        <v>3</v>
      </c>
      <c r="N66" s="173">
        <v>1</v>
      </c>
      <c r="O66" s="92">
        <f>K66*L66*M66*N66</f>
        <v>3</v>
      </c>
      <c r="P66" s="108">
        <f>VLOOKUP($F66,'Master Harga'!$E$5:$L$348,6,FALSE)</f>
        <v>680210.06624999992</v>
      </c>
      <c r="Q66" s="94">
        <f>O66*P66</f>
        <v>2040630.1987499997</v>
      </c>
      <c r="R66" s="94"/>
      <c r="S66" s="94"/>
      <c r="T66" s="94"/>
      <c r="U66" s="94"/>
      <c r="V66" s="94"/>
      <c r="W66" s="94"/>
      <c r="X66" s="94"/>
      <c r="Y66" s="420"/>
      <c r="Z66" s="420"/>
      <c r="AA66" s="94">
        <f t="shared" si="25"/>
        <v>73403.963983812937</v>
      </c>
      <c r="AB66" s="66"/>
      <c r="AC66" s="48"/>
    </row>
    <row r="67" spans="1:29" s="3" customFormat="1" x14ac:dyDescent="0.35">
      <c r="A67" s="48"/>
      <c r="B67" s="144"/>
      <c r="C67" s="145"/>
      <c r="D67" s="146" t="s">
        <v>619</v>
      </c>
      <c r="E67" s="147"/>
      <c r="F67" s="148"/>
      <c r="G67" s="149"/>
      <c r="H67" s="150"/>
      <c r="I67" s="151"/>
      <c r="J67" s="152"/>
      <c r="K67" s="153"/>
      <c r="L67" s="153"/>
      <c r="M67" s="154"/>
      <c r="N67" s="155"/>
      <c r="O67" s="155"/>
      <c r="P67" s="179"/>
      <c r="Q67" s="156">
        <f>SUM(Q43:Q66)</f>
        <v>6637838.8387499982</v>
      </c>
      <c r="R67" s="156"/>
      <c r="S67" s="156"/>
      <c r="T67" s="156"/>
      <c r="U67" s="156"/>
      <c r="V67" s="156"/>
      <c r="W67" s="156"/>
      <c r="X67" s="156"/>
      <c r="Y67" s="426"/>
      <c r="Z67" s="426"/>
      <c r="AA67" s="156">
        <f>Q67/$E$2</f>
        <v>238771.18124999994</v>
      </c>
      <c r="AB67" s="157">
        <f>Q67/$Q$214*100</f>
        <v>0.27231006971621508</v>
      </c>
      <c r="AC67" s="78"/>
    </row>
    <row r="68" spans="1:29" s="3" customFormat="1" x14ac:dyDescent="0.35">
      <c r="A68" s="48"/>
      <c r="B68" s="126"/>
      <c r="C68" s="175" t="s">
        <v>211</v>
      </c>
      <c r="D68" s="127"/>
      <c r="E68" s="107"/>
      <c r="F68" s="124"/>
      <c r="G68" s="125"/>
      <c r="H68" s="126"/>
      <c r="I68" s="127"/>
      <c r="J68" s="67"/>
      <c r="K68" s="139"/>
      <c r="L68" s="139"/>
      <c r="M68" s="172"/>
      <c r="N68" s="173"/>
      <c r="O68" s="173"/>
      <c r="P68" s="185"/>
      <c r="Q68" s="185"/>
      <c r="R68" s="185"/>
      <c r="S68" s="185"/>
      <c r="T68" s="185"/>
      <c r="U68" s="185"/>
      <c r="V68" s="185"/>
      <c r="W68" s="185"/>
      <c r="X68" s="185"/>
      <c r="Y68" s="428"/>
      <c r="Z68" s="428"/>
      <c r="AA68" s="185"/>
      <c r="AB68" s="66"/>
      <c r="AC68" s="48"/>
    </row>
    <row r="69" spans="1:29" x14ac:dyDescent="0.35">
      <c r="B69" s="95"/>
      <c r="C69" s="96"/>
      <c r="D69" s="96" t="s">
        <v>156</v>
      </c>
      <c r="E69" s="97"/>
      <c r="F69" s="85" t="s">
        <v>3</v>
      </c>
      <c r="G69" s="86" t="s">
        <v>2</v>
      </c>
      <c r="H69" s="87"/>
      <c r="I69" s="88"/>
      <c r="J69" s="89"/>
      <c r="K69" s="90"/>
      <c r="L69" s="90"/>
      <c r="M69" s="91"/>
      <c r="N69" s="92">
        <v>1</v>
      </c>
      <c r="O69" s="92"/>
      <c r="P69" s="94"/>
      <c r="Q69" s="94"/>
      <c r="R69" s="94"/>
      <c r="S69" s="94"/>
      <c r="T69" s="94"/>
      <c r="U69" s="94"/>
      <c r="V69" s="94"/>
      <c r="W69" s="94"/>
      <c r="X69" s="94"/>
      <c r="Y69" s="420"/>
      <c r="Z69" s="420"/>
      <c r="AA69" s="94"/>
      <c r="AB69" s="47"/>
    </row>
    <row r="70" spans="1:29" x14ac:dyDescent="0.35">
      <c r="B70" s="136"/>
      <c r="C70" s="137"/>
      <c r="D70" s="137" t="s">
        <v>687</v>
      </c>
      <c r="E70" s="143"/>
      <c r="F70" s="85" t="s">
        <v>118</v>
      </c>
      <c r="G70" s="86" t="s">
        <v>117</v>
      </c>
      <c r="H70" s="87"/>
      <c r="I70" s="88"/>
      <c r="J70" s="89" t="s">
        <v>117</v>
      </c>
      <c r="K70" s="98">
        <v>1</v>
      </c>
      <c r="L70" s="99">
        <f>L38</f>
        <v>926.57399999999996</v>
      </c>
      <c r="M70" s="91">
        <f>1/10</f>
        <v>0.1</v>
      </c>
      <c r="N70" s="92">
        <v>1</v>
      </c>
      <c r="O70" s="92">
        <f>K70*L70*M70*N70</f>
        <v>92.657399999999996</v>
      </c>
      <c r="P70" s="108">
        <f>VLOOKUP($F70,'Master Harga'!$E$5:$L$348,6,FALSE)</f>
        <v>720338.0730320001</v>
      </c>
      <c r="Q70" s="94">
        <f>O70*P70</f>
        <v>66744652.968155243</v>
      </c>
      <c r="R70" s="94"/>
      <c r="S70" s="94"/>
      <c r="T70" s="94"/>
      <c r="U70" s="94"/>
      <c r="V70" s="94"/>
      <c r="W70" s="94"/>
      <c r="X70" s="94"/>
      <c r="Y70" s="420"/>
      <c r="Z70" s="420"/>
      <c r="AA70" s="94">
        <f t="shared" ref="AA70" si="26">Q70/$E$2</f>
        <v>2400886.797415656</v>
      </c>
      <c r="AB70" s="47"/>
    </row>
    <row r="71" spans="1:29" x14ac:dyDescent="0.35">
      <c r="B71" s="95"/>
      <c r="C71" s="96"/>
      <c r="D71" s="96" t="s">
        <v>157</v>
      </c>
      <c r="E71" s="97"/>
      <c r="F71" s="85" t="s">
        <v>3</v>
      </c>
      <c r="G71" s="86" t="s">
        <v>2</v>
      </c>
      <c r="H71" s="87"/>
      <c r="I71" s="88"/>
      <c r="J71" s="89"/>
      <c r="K71" s="90"/>
      <c r="L71" s="90"/>
      <c r="M71" s="91"/>
      <c r="N71" s="92">
        <v>1</v>
      </c>
      <c r="O71" s="92"/>
      <c r="P71" s="94"/>
      <c r="Q71" s="94"/>
      <c r="R71" s="94"/>
      <c r="S71" s="94"/>
      <c r="T71" s="94"/>
      <c r="U71" s="94"/>
      <c r="V71" s="94"/>
      <c r="W71" s="94"/>
      <c r="X71" s="94"/>
      <c r="Y71" s="420"/>
      <c r="Z71" s="420"/>
      <c r="AA71" s="94"/>
      <c r="AB71" s="47"/>
    </row>
    <row r="72" spans="1:29" x14ac:dyDescent="0.35">
      <c r="B72" s="136"/>
      <c r="C72" s="137"/>
      <c r="D72" s="137" t="s">
        <v>590</v>
      </c>
      <c r="E72" s="143"/>
      <c r="F72" s="85" t="s">
        <v>118</v>
      </c>
      <c r="G72" s="86" t="s">
        <v>117</v>
      </c>
      <c r="H72" s="87"/>
      <c r="I72" s="88"/>
      <c r="J72" s="89"/>
      <c r="K72" s="98"/>
      <c r="L72" s="90"/>
      <c r="M72" s="91">
        <f>1/30</f>
        <v>3.3333333333333333E-2</v>
      </c>
      <c r="N72" s="92">
        <v>1</v>
      </c>
      <c r="O72" s="92">
        <f>K72*L72*M72*N72</f>
        <v>0</v>
      </c>
      <c r="P72" s="94">
        <v>0</v>
      </c>
      <c r="Q72" s="94">
        <f>P72*$O72</f>
        <v>0</v>
      </c>
      <c r="R72" s="94"/>
      <c r="S72" s="94"/>
      <c r="T72" s="94"/>
      <c r="U72" s="94"/>
      <c r="V72" s="94"/>
      <c r="W72" s="94"/>
      <c r="X72" s="94"/>
      <c r="Y72" s="420"/>
      <c r="Z72" s="420"/>
      <c r="AA72" s="94"/>
      <c r="AB72" s="47"/>
    </row>
    <row r="73" spans="1:29" ht="19.899999999999999" customHeight="1" x14ac:dyDescent="0.35">
      <c r="B73" s="95"/>
      <c r="C73" s="103"/>
      <c r="D73" s="114" t="s">
        <v>158</v>
      </c>
      <c r="E73" s="115"/>
      <c r="F73" s="165" t="s">
        <v>3</v>
      </c>
      <c r="G73" s="116" t="s">
        <v>2</v>
      </c>
      <c r="H73" s="117"/>
      <c r="I73" s="118"/>
      <c r="J73" s="119"/>
      <c r="K73" s="120"/>
      <c r="L73" s="167"/>
      <c r="M73" s="176">
        <v>1</v>
      </c>
      <c r="N73" s="122">
        <v>1</v>
      </c>
      <c r="O73" s="177">
        <f>K73*L73*M73*N73</f>
        <v>0</v>
      </c>
      <c r="P73" s="108">
        <v>0</v>
      </c>
      <c r="Q73" s="108">
        <f>P73*$O73</f>
        <v>0</v>
      </c>
      <c r="R73" s="108"/>
      <c r="S73" s="108"/>
      <c r="T73" s="108"/>
      <c r="U73" s="108"/>
      <c r="V73" s="108"/>
      <c r="W73" s="108"/>
      <c r="X73" s="427" t="s">
        <v>635</v>
      </c>
      <c r="Y73" s="420"/>
      <c r="Z73" s="420"/>
      <c r="AA73" s="108">
        <f t="shared" ref="AA73:AA74" si="27">Q73/$E$2</f>
        <v>0</v>
      </c>
      <c r="AB73" s="47"/>
    </row>
    <row r="74" spans="1:29" x14ac:dyDescent="0.35">
      <c r="B74" s="136"/>
      <c r="C74" s="137"/>
      <c r="D74" s="110"/>
      <c r="E74" s="111"/>
      <c r="F74" s="124" t="s">
        <v>118</v>
      </c>
      <c r="G74" s="125" t="s">
        <v>117</v>
      </c>
      <c r="H74" s="126"/>
      <c r="I74" s="127"/>
      <c r="J74" s="67" t="s">
        <v>479</v>
      </c>
      <c r="K74" s="113">
        <v>1</v>
      </c>
      <c r="L74" s="128">
        <f>L70</f>
        <v>926.57399999999996</v>
      </c>
      <c r="M74" s="91">
        <f>1/60</f>
        <v>1.6666666666666666E-2</v>
      </c>
      <c r="N74" s="92">
        <v>1</v>
      </c>
      <c r="O74" s="94">
        <f>K74*L74*M74*N74</f>
        <v>15.4429</v>
      </c>
      <c r="P74" s="108">
        <f>VLOOKUP($F74,'Master Harga'!$E$5:$L$348,6,FALSE)</f>
        <v>720338.0730320001</v>
      </c>
      <c r="Q74" s="94">
        <f>P74*$O74</f>
        <v>11124108.828025874</v>
      </c>
      <c r="R74" s="94">
        <f>VLOOKUP($F74,'Master Harga'!$E$5:$L$348,6,FALSE)</f>
        <v>720338.0730320001</v>
      </c>
      <c r="S74" s="94">
        <f>R74*$O74</f>
        <v>11124108.828025874</v>
      </c>
      <c r="T74" s="94">
        <f>VLOOKUP($F74,'Master Harga'!$E$5:$L$348,7,FALSE)</f>
        <v>761671.70213055995</v>
      </c>
      <c r="U74" s="94">
        <f>T74*$O74</f>
        <v>11762419.928832024</v>
      </c>
      <c r="V74" s="94">
        <f>W74/O74</f>
        <v>734115.94939818676</v>
      </c>
      <c r="W74" s="424">
        <f>AVERAGEIF($P$4:$U$4,W$4,$P74:$U74)</f>
        <v>11336879.194961257</v>
      </c>
      <c r="X74" s="94"/>
      <c r="Y74" s="420"/>
      <c r="Z74" s="420"/>
      <c r="AA74" s="108">
        <f t="shared" si="27"/>
        <v>400147.79956927605</v>
      </c>
      <c r="AB74" s="47"/>
    </row>
    <row r="75" spans="1:29" x14ac:dyDescent="0.35">
      <c r="B75" s="510" t="s">
        <v>620</v>
      </c>
      <c r="C75" s="511"/>
      <c r="D75" s="511"/>
      <c r="E75" s="512"/>
      <c r="F75" s="148"/>
      <c r="G75" s="149"/>
      <c r="H75" s="150"/>
      <c r="I75" s="151"/>
      <c r="J75" s="152"/>
      <c r="K75" s="178"/>
      <c r="L75" s="153"/>
      <c r="M75" s="154"/>
      <c r="N75" s="155"/>
      <c r="O75" s="179"/>
      <c r="P75" s="179"/>
      <c r="Q75" s="156">
        <f>SUM(Q69:Q74)</f>
        <v>77868761.796181113</v>
      </c>
      <c r="R75" s="179"/>
      <c r="S75" s="179"/>
      <c r="T75" s="179"/>
      <c r="U75" s="179"/>
      <c r="V75" s="179"/>
      <c r="W75" s="429"/>
      <c r="X75" s="179"/>
      <c r="Y75" s="420"/>
      <c r="Z75" s="420"/>
      <c r="AA75" s="156">
        <f>Q75/$E$2</f>
        <v>2801034.5969849322</v>
      </c>
      <c r="AB75" s="157">
        <f>Q75/$Q$214*100</f>
        <v>3.1944806839309359</v>
      </c>
      <c r="AC75" s="78"/>
    </row>
    <row r="76" spans="1:29" x14ac:dyDescent="0.35">
      <c r="B76" s="126"/>
      <c r="C76" s="175" t="s">
        <v>212</v>
      </c>
      <c r="D76" s="127"/>
      <c r="E76" s="107"/>
      <c r="F76" s="124"/>
      <c r="G76" s="125"/>
      <c r="H76" s="126"/>
      <c r="I76" s="127"/>
      <c r="J76" s="67"/>
      <c r="K76" s="139"/>
      <c r="L76" s="139"/>
      <c r="M76" s="91"/>
      <c r="N76" s="92"/>
      <c r="O76" s="92"/>
      <c r="P76" s="94"/>
      <c r="Q76" s="94"/>
      <c r="R76" s="94"/>
      <c r="S76" s="94"/>
      <c r="T76" s="94"/>
      <c r="U76" s="94"/>
      <c r="V76" s="94"/>
      <c r="W76" s="94"/>
      <c r="X76" s="94"/>
      <c r="Y76" s="420"/>
      <c r="Z76" s="420"/>
      <c r="AA76" s="94"/>
      <c r="AB76" s="47"/>
    </row>
    <row r="77" spans="1:29" hidden="1" x14ac:dyDescent="0.35">
      <c r="B77" s="102"/>
      <c r="C77" s="103"/>
      <c r="D77" s="103" t="s">
        <v>204</v>
      </c>
      <c r="E77" s="104"/>
      <c r="F77" s="124" t="s">
        <v>3</v>
      </c>
      <c r="G77" s="125" t="s">
        <v>2</v>
      </c>
      <c r="H77" s="126"/>
      <c r="I77" s="127"/>
      <c r="J77" s="67"/>
      <c r="K77" s="139"/>
      <c r="L77" s="139"/>
      <c r="M77" s="91"/>
      <c r="N77" s="92">
        <v>1</v>
      </c>
      <c r="O77" s="92"/>
      <c r="P77" s="94"/>
      <c r="Q77" s="94"/>
      <c r="R77" s="94"/>
      <c r="S77" s="94"/>
      <c r="T77" s="94"/>
      <c r="U77" s="94"/>
      <c r="V77" s="94"/>
      <c r="W77" s="94"/>
      <c r="X77" s="94"/>
      <c r="Y77" s="420"/>
      <c r="Z77" s="420"/>
      <c r="AA77" s="94"/>
      <c r="AB77" s="47"/>
    </row>
    <row r="78" spans="1:29" hidden="1" x14ac:dyDescent="0.35">
      <c r="B78" s="109"/>
      <c r="C78" s="110"/>
      <c r="D78" s="110"/>
      <c r="E78" s="111"/>
      <c r="F78" s="124" t="s">
        <v>118</v>
      </c>
      <c r="G78" s="125" t="s">
        <v>117</v>
      </c>
      <c r="H78" s="126"/>
      <c r="I78" s="127"/>
      <c r="J78" s="67" t="s">
        <v>479</v>
      </c>
      <c r="K78" s="113">
        <v>1</v>
      </c>
      <c r="L78" s="139"/>
      <c r="M78" s="91">
        <f>1/10</f>
        <v>0.1</v>
      </c>
      <c r="N78" s="92">
        <v>1</v>
      </c>
      <c r="O78" s="173">
        <f>K78*L78*M78*N78</f>
        <v>0</v>
      </c>
      <c r="P78" s="94">
        <v>0</v>
      </c>
      <c r="Q78" s="94">
        <f>P78*$O78</f>
        <v>0</v>
      </c>
      <c r="R78" s="94">
        <f>VLOOKUP($F78,'Master Harga'!$E$5:$L$348,6,FALSE)</f>
        <v>720338.0730320001</v>
      </c>
      <c r="S78" s="94">
        <f>R78*$O78</f>
        <v>0</v>
      </c>
      <c r="T78" s="94">
        <f>VLOOKUP($F78,'Master Harga'!$E$5:$L$348,7,FALSE)</f>
        <v>761671.70213055995</v>
      </c>
      <c r="U78" s="94">
        <f>T78*$O78</f>
        <v>0</v>
      </c>
      <c r="V78" s="94" t="e">
        <f>W78/O78</f>
        <v>#DIV/0!</v>
      </c>
      <c r="W78" s="424">
        <f>AVERAGEIF($P$4:$U$4,W$4,$P78:$U78)</f>
        <v>0</v>
      </c>
      <c r="X78" s="94"/>
      <c r="Y78" s="420"/>
      <c r="Z78" s="420"/>
      <c r="AA78" s="94"/>
      <c r="AB78" s="47"/>
    </row>
    <row r="79" spans="1:29" hidden="1" x14ac:dyDescent="0.35">
      <c r="B79" s="102"/>
      <c r="C79" s="103"/>
      <c r="D79" s="103" t="s">
        <v>628</v>
      </c>
      <c r="E79" s="104"/>
      <c r="F79" s="124" t="s">
        <v>3</v>
      </c>
      <c r="G79" s="125" t="s">
        <v>2</v>
      </c>
      <c r="H79" s="126"/>
      <c r="I79" s="127"/>
      <c r="J79" s="67"/>
      <c r="K79" s="113">
        <v>0</v>
      </c>
      <c r="L79" s="139"/>
      <c r="M79" s="91">
        <v>1</v>
      </c>
      <c r="N79" s="92">
        <v>1</v>
      </c>
      <c r="O79" s="173">
        <f>K79*L79*M79*N79</f>
        <v>0</v>
      </c>
      <c r="P79" s="94">
        <v>0</v>
      </c>
      <c r="Q79" s="94">
        <f>P79*$O79</f>
        <v>0</v>
      </c>
      <c r="R79" s="94"/>
      <c r="S79" s="94"/>
      <c r="T79" s="94"/>
      <c r="U79" s="94"/>
      <c r="V79" s="94"/>
      <c r="W79" s="94"/>
      <c r="X79" s="94"/>
      <c r="Y79" s="420"/>
      <c r="Z79" s="420"/>
      <c r="AA79" s="94">
        <f>Q79/46.1</f>
        <v>0</v>
      </c>
      <c r="AB79" s="47"/>
    </row>
    <row r="80" spans="1:29" hidden="1" x14ac:dyDescent="0.35">
      <c r="B80" s="109"/>
      <c r="C80" s="110"/>
      <c r="D80" s="110"/>
      <c r="E80" s="111"/>
      <c r="F80" s="124" t="s">
        <v>118</v>
      </c>
      <c r="G80" s="125" t="s">
        <v>117</v>
      </c>
      <c r="H80" s="126"/>
      <c r="I80" s="127"/>
      <c r="J80" s="67" t="s">
        <v>479</v>
      </c>
      <c r="K80" s="113">
        <v>0</v>
      </c>
      <c r="L80" s="183"/>
      <c r="M80" s="172">
        <f>1/33</f>
        <v>3.0303030303030304E-2</v>
      </c>
      <c r="N80" s="92">
        <v>1</v>
      </c>
      <c r="O80" s="173">
        <f>K80*L80*M80*N80</f>
        <v>0</v>
      </c>
      <c r="P80" s="94">
        <v>0</v>
      </c>
      <c r="Q80" s="94">
        <f>P80*$O80</f>
        <v>0</v>
      </c>
      <c r="R80" s="94">
        <f>VLOOKUP($F80,'Master Harga'!$E$5:$L$348,6,FALSE)</f>
        <v>720338.0730320001</v>
      </c>
      <c r="S80" s="94">
        <f>R80*$O80</f>
        <v>0</v>
      </c>
      <c r="T80" s="94">
        <f>VLOOKUP($F80,'Master Harga'!$E$5:$L$348,7,FALSE)</f>
        <v>761671.70213055995</v>
      </c>
      <c r="U80" s="94">
        <f>T80*$O80</f>
        <v>0</v>
      </c>
      <c r="V80" s="94" t="e">
        <f>W80/O80</f>
        <v>#DIV/0!</v>
      </c>
      <c r="W80" s="424">
        <f>AVERAGEIF($P$4:$U$4,W$4,$P80:$U80)</f>
        <v>0</v>
      </c>
      <c r="X80" s="94"/>
      <c r="Y80" s="420"/>
      <c r="Z80" s="420"/>
      <c r="AA80" s="94">
        <f>Q80/46.1</f>
        <v>0</v>
      </c>
      <c r="AB80" s="47"/>
    </row>
    <row r="81" spans="2:28" ht="28" hidden="1" x14ac:dyDescent="0.35">
      <c r="B81" s="102"/>
      <c r="C81" s="103"/>
      <c r="D81" s="103" t="s">
        <v>205</v>
      </c>
      <c r="E81" s="115"/>
      <c r="F81" s="165" t="s">
        <v>3</v>
      </c>
      <c r="G81" s="116" t="s">
        <v>2</v>
      </c>
      <c r="H81" s="117"/>
      <c r="I81" s="118"/>
      <c r="J81" s="119"/>
      <c r="K81" s="120">
        <v>1</v>
      </c>
      <c r="L81" s="167"/>
      <c r="M81" s="122">
        <v>1</v>
      </c>
      <c r="N81" s="122">
        <v>1</v>
      </c>
      <c r="O81" s="169">
        <f>K81*L81*M81*N81</f>
        <v>0</v>
      </c>
      <c r="P81" s="108">
        <v>0</v>
      </c>
      <c r="Q81" s="108">
        <f>P81*$O81</f>
        <v>0</v>
      </c>
      <c r="R81" s="108"/>
      <c r="S81" s="108"/>
      <c r="T81" s="108"/>
      <c r="U81" s="108"/>
      <c r="V81" s="108"/>
      <c r="W81" s="108"/>
      <c r="X81" s="427" t="s">
        <v>636</v>
      </c>
      <c r="Y81" s="420"/>
      <c r="Z81" s="420"/>
      <c r="AA81" s="108">
        <f t="shared" ref="AA81:AA82" si="28">Q81/$E$2</f>
        <v>0</v>
      </c>
      <c r="AB81" s="47"/>
    </row>
    <row r="82" spans="2:28" hidden="1" x14ac:dyDescent="0.35">
      <c r="B82" s="109"/>
      <c r="C82" s="110"/>
      <c r="D82" s="110"/>
      <c r="E82" s="111"/>
      <c r="F82" s="124" t="s">
        <v>118</v>
      </c>
      <c r="G82" s="125" t="s">
        <v>117</v>
      </c>
      <c r="H82" s="126"/>
      <c r="I82" s="127"/>
      <c r="J82" s="67" t="s">
        <v>479</v>
      </c>
      <c r="K82" s="113">
        <v>1</v>
      </c>
      <c r="L82" s="183"/>
      <c r="M82" s="184">
        <f>1/60</f>
        <v>1.6666666666666666E-2</v>
      </c>
      <c r="N82" s="92">
        <v>1</v>
      </c>
      <c r="O82" s="185">
        <f>K82*L82*M82*N82</f>
        <v>0</v>
      </c>
      <c r="P82" s="108">
        <v>0</v>
      </c>
      <c r="Q82" s="94">
        <f>P82*$O82</f>
        <v>0</v>
      </c>
      <c r="R82" s="94">
        <f>VLOOKUP($F82,'Master Harga'!$E$5:$L$348,6,FALSE)</f>
        <v>720338.0730320001</v>
      </c>
      <c r="S82" s="94">
        <f>R82*$O82</f>
        <v>0</v>
      </c>
      <c r="T82" s="94">
        <f>VLOOKUP($F82,'Master Harga'!$E$5:$L$348,7,FALSE)</f>
        <v>761671.70213055995</v>
      </c>
      <c r="U82" s="94">
        <f>T82*$O82</f>
        <v>0</v>
      </c>
      <c r="V82" s="94" t="e">
        <f>W82/O82</f>
        <v>#DIV/0!</v>
      </c>
      <c r="W82" s="424">
        <f>AVERAGEIF($P$4:$U$4,W$4,$P82:$U82)</f>
        <v>0</v>
      </c>
      <c r="X82" s="94" t="s">
        <v>617</v>
      </c>
      <c r="Y82" s="420"/>
      <c r="Z82" s="420"/>
      <c r="AA82" s="108">
        <f t="shared" si="28"/>
        <v>0</v>
      </c>
      <c r="AB82" s="47"/>
    </row>
    <row r="83" spans="2:28" x14ac:dyDescent="0.35">
      <c r="B83" s="510" t="s">
        <v>625</v>
      </c>
      <c r="C83" s="511"/>
      <c r="D83" s="511"/>
      <c r="E83" s="512"/>
      <c r="F83" s="148"/>
      <c r="G83" s="149"/>
      <c r="H83" s="150"/>
      <c r="I83" s="151"/>
      <c r="J83" s="152"/>
      <c r="K83" s="178"/>
      <c r="L83" s="186"/>
      <c r="M83" s="187"/>
      <c r="N83" s="155"/>
      <c r="O83" s="155"/>
      <c r="P83" s="179"/>
      <c r="Q83" s="156">
        <f>SUM(Q77:Q82)</f>
        <v>0</v>
      </c>
      <c r="R83" s="179"/>
      <c r="S83" s="179"/>
      <c r="T83" s="179"/>
      <c r="U83" s="179"/>
      <c r="V83" s="179"/>
      <c r="W83" s="429"/>
      <c r="X83" s="179"/>
      <c r="Y83" s="420"/>
      <c r="Z83" s="420"/>
      <c r="AA83" s="156">
        <f>Q83/E2</f>
        <v>0</v>
      </c>
      <c r="AB83" s="157">
        <f>Q83/$Q$214*100</f>
        <v>0</v>
      </c>
    </row>
    <row r="84" spans="2:28" x14ac:dyDescent="0.35">
      <c r="B84" s="105"/>
      <c r="C84" s="188" t="s">
        <v>521</v>
      </c>
      <c r="D84" s="106"/>
      <c r="E84" s="112"/>
      <c r="F84" s="124"/>
      <c r="G84" s="125"/>
      <c r="H84" s="126"/>
      <c r="I84" s="127"/>
      <c r="J84" s="67"/>
      <c r="K84" s="139"/>
      <c r="L84" s="139"/>
      <c r="M84" s="91"/>
      <c r="N84" s="92"/>
      <c r="O84" s="92"/>
      <c r="P84" s="94"/>
      <c r="Q84" s="94"/>
      <c r="R84" s="94"/>
      <c r="S84" s="94"/>
      <c r="T84" s="94"/>
      <c r="U84" s="94"/>
      <c r="V84" s="94"/>
      <c r="W84" s="94"/>
      <c r="X84" s="94"/>
      <c r="Y84" s="420"/>
      <c r="Z84" s="420"/>
      <c r="AA84" s="94"/>
      <c r="AB84" s="47"/>
    </row>
    <row r="85" spans="2:28" hidden="1" x14ac:dyDescent="0.35">
      <c r="B85" s="105"/>
      <c r="C85" s="188"/>
      <c r="D85" s="106"/>
      <c r="E85" s="112"/>
      <c r="F85" s="124" t="s">
        <v>3</v>
      </c>
      <c r="G85" s="125" t="s">
        <v>2</v>
      </c>
      <c r="H85" s="126"/>
      <c r="I85" s="127"/>
      <c r="J85" s="67" t="s">
        <v>44</v>
      </c>
      <c r="K85" s="139"/>
      <c r="L85" s="139"/>
      <c r="M85" s="91">
        <v>3</v>
      </c>
      <c r="N85" s="92">
        <v>1</v>
      </c>
      <c r="O85" s="92"/>
      <c r="P85" s="94"/>
      <c r="Q85" s="94"/>
      <c r="R85" s="94"/>
      <c r="S85" s="94"/>
      <c r="T85" s="94"/>
      <c r="U85" s="94"/>
      <c r="V85" s="94"/>
      <c r="W85" s="94"/>
      <c r="X85" s="94"/>
      <c r="Y85" s="420"/>
      <c r="Z85" s="420"/>
      <c r="AA85" s="94"/>
      <c r="AB85" s="47"/>
    </row>
    <row r="86" spans="2:28" hidden="1" x14ac:dyDescent="0.35">
      <c r="B86" s="105"/>
      <c r="C86" s="106"/>
      <c r="D86" s="106"/>
      <c r="E86" s="112"/>
      <c r="F86" s="124" t="s">
        <v>94</v>
      </c>
      <c r="G86" s="125" t="s">
        <v>44</v>
      </c>
      <c r="H86" s="126"/>
      <c r="I86" s="127"/>
      <c r="J86" s="67"/>
      <c r="K86" s="139"/>
      <c r="L86" s="139"/>
      <c r="M86" s="91"/>
      <c r="N86" s="92">
        <v>1</v>
      </c>
      <c r="O86" s="92"/>
      <c r="P86" s="94"/>
      <c r="Q86" s="94"/>
      <c r="R86" s="94"/>
      <c r="S86" s="94"/>
      <c r="T86" s="94"/>
      <c r="U86" s="94"/>
      <c r="V86" s="94"/>
      <c r="W86" s="94"/>
      <c r="X86" s="94"/>
      <c r="Y86" s="420"/>
      <c r="Z86" s="420"/>
      <c r="AA86" s="94"/>
      <c r="AB86" s="47"/>
    </row>
    <row r="87" spans="2:28" hidden="1" x14ac:dyDescent="0.35">
      <c r="B87" s="109"/>
      <c r="C87" s="110"/>
      <c r="D87" s="110"/>
      <c r="E87" s="111"/>
      <c r="F87" s="124" t="s">
        <v>118</v>
      </c>
      <c r="G87" s="125" t="s">
        <v>117</v>
      </c>
      <c r="H87" s="126"/>
      <c r="I87" s="127"/>
      <c r="J87" s="67"/>
      <c r="K87" s="139"/>
      <c r="L87" s="139"/>
      <c r="M87" s="91">
        <v>3</v>
      </c>
      <c r="N87" s="92">
        <v>1</v>
      </c>
      <c r="O87" s="92"/>
      <c r="P87" s="94"/>
      <c r="Q87" s="94"/>
      <c r="R87" s="94"/>
      <c r="S87" s="94"/>
      <c r="T87" s="94"/>
      <c r="U87" s="94"/>
      <c r="V87" s="94"/>
      <c r="W87" s="94"/>
      <c r="X87" s="94"/>
      <c r="Y87" s="420"/>
      <c r="Z87" s="420"/>
      <c r="AA87" s="94"/>
      <c r="AB87" s="47"/>
    </row>
    <row r="88" spans="2:28" x14ac:dyDescent="0.35">
      <c r="B88" s="510" t="s">
        <v>622</v>
      </c>
      <c r="C88" s="511"/>
      <c r="D88" s="511"/>
      <c r="E88" s="512"/>
      <c r="F88" s="148"/>
      <c r="G88" s="149"/>
      <c r="H88" s="150"/>
      <c r="I88" s="151"/>
      <c r="J88" s="152"/>
      <c r="K88" s="153"/>
      <c r="L88" s="153"/>
      <c r="M88" s="154"/>
      <c r="N88" s="155"/>
      <c r="O88" s="155"/>
      <c r="P88" s="179"/>
      <c r="Q88" s="179">
        <f>SUM(Q84:Q87)</f>
        <v>0</v>
      </c>
      <c r="R88" s="179"/>
      <c r="S88" s="179"/>
      <c r="T88" s="179"/>
      <c r="U88" s="179"/>
      <c r="V88" s="179"/>
      <c r="W88" s="179"/>
      <c r="X88" s="179"/>
      <c r="Y88" s="420"/>
      <c r="Z88" s="420"/>
      <c r="AA88" s="179"/>
      <c r="AB88" s="181"/>
    </row>
    <row r="89" spans="2:28" x14ac:dyDescent="0.35">
      <c r="B89" s="126"/>
      <c r="C89" s="175" t="s">
        <v>213</v>
      </c>
      <c r="D89" s="127"/>
      <c r="E89" s="107"/>
      <c r="F89" s="124"/>
      <c r="G89" s="125"/>
      <c r="H89" s="126"/>
      <c r="I89" s="127"/>
      <c r="J89" s="67"/>
      <c r="K89" s="139"/>
      <c r="L89" s="139"/>
      <c r="M89" s="91"/>
      <c r="N89" s="92"/>
      <c r="O89" s="92"/>
      <c r="P89" s="94"/>
      <c r="Q89" s="94"/>
      <c r="R89" s="94"/>
      <c r="S89" s="94"/>
      <c r="T89" s="94"/>
      <c r="U89" s="94"/>
      <c r="V89" s="94"/>
      <c r="W89" s="94"/>
      <c r="X89" s="94"/>
      <c r="Y89" s="420"/>
      <c r="Z89" s="420"/>
      <c r="AA89" s="94"/>
      <c r="AB89" s="47"/>
    </row>
    <row r="90" spans="2:28" hidden="1" x14ac:dyDescent="0.35">
      <c r="B90" s="102"/>
      <c r="C90" s="103"/>
      <c r="D90" s="103" t="s">
        <v>140</v>
      </c>
      <c r="E90" s="104"/>
      <c r="F90" s="124" t="s">
        <v>3</v>
      </c>
      <c r="G90" s="125" t="s">
        <v>2</v>
      </c>
      <c r="H90" s="126"/>
      <c r="I90" s="127"/>
      <c r="J90" s="67"/>
      <c r="K90" s="189">
        <v>0.1</v>
      </c>
      <c r="L90" s="128"/>
      <c r="M90" s="91">
        <f>1/3</f>
        <v>0.33333333333333331</v>
      </c>
      <c r="N90" s="92">
        <v>1</v>
      </c>
      <c r="O90" s="94">
        <f>K90*L90*M90*N90</f>
        <v>0</v>
      </c>
      <c r="P90" s="108">
        <v>0</v>
      </c>
      <c r="Q90" s="94">
        <f>O90*P90</f>
        <v>0</v>
      </c>
      <c r="R90" s="94"/>
      <c r="S90" s="94"/>
      <c r="T90" s="94"/>
      <c r="U90" s="94"/>
      <c r="V90" s="94"/>
      <c r="W90" s="94"/>
      <c r="X90" s="94"/>
      <c r="Y90" s="420"/>
      <c r="Z90" s="420"/>
      <c r="AA90" s="108">
        <f t="shared" ref="AA90:AA91" si="29">Q90/$E$2</f>
        <v>0</v>
      </c>
      <c r="AB90" s="47"/>
    </row>
    <row r="91" spans="2:28" hidden="1" x14ac:dyDescent="0.35">
      <c r="B91" s="109"/>
      <c r="C91" s="110"/>
      <c r="D91" s="110"/>
      <c r="E91" s="111"/>
      <c r="F91" s="124" t="s">
        <v>25</v>
      </c>
      <c r="G91" s="125" t="s">
        <v>19</v>
      </c>
      <c r="H91" s="126"/>
      <c r="I91" s="127"/>
      <c r="J91" s="67"/>
      <c r="K91" s="189">
        <v>1</v>
      </c>
      <c r="L91" s="128"/>
      <c r="M91" s="91">
        <f>1/3</f>
        <v>0.33333333333333331</v>
      </c>
      <c r="N91" s="92">
        <v>1</v>
      </c>
      <c r="O91" s="94">
        <f>K91*L91*M91*N91</f>
        <v>0</v>
      </c>
      <c r="P91" s="108">
        <v>0</v>
      </c>
      <c r="Q91" s="94">
        <f>O91*P91</f>
        <v>0</v>
      </c>
      <c r="R91" s="94"/>
      <c r="S91" s="94"/>
      <c r="T91" s="94"/>
      <c r="U91" s="94"/>
      <c r="V91" s="94"/>
      <c r="W91" s="94"/>
      <c r="X91" s="94"/>
      <c r="Y91" s="420"/>
      <c r="Z91" s="420"/>
      <c r="AA91" s="108">
        <f t="shared" si="29"/>
        <v>0</v>
      </c>
      <c r="AB91" s="47"/>
    </row>
    <row r="92" spans="2:28" hidden="1" x14ac:dyDescent="0.35">
      <c r="B92" s="102"/>
      <c r="C92" s="103"/>
      <c r="D92" s="103" t="s">
        <v>135</v>
      </c>
      <c r="E92" s="104"/>
      <c r="F92" s="124" t="s">
        <v>3</v>
      </c>
      <c r="G92" s="125" t="s">
        <v>2</v>
      </c>
      <c r="H92" s="126"/>
      <c r="I92" s="127"/>
      <c r="J92" s="67"/>
      <c r="K92" s="139"/>
      <c r="L92" s="139"/>
      <c r="M92" s="91"/>
      <c r="N92" s="92"/>
      <c r="O92" s="92"/>
      <c r="P92" s="94">
        <v>0</v>
      </c>
      <c r="Q92" s="94"/>
      <c r="R92" s="94"/>
      <c r="S92" s="94"/>
      <c r="T92" s="94"/>
      <c r="U92" s="94"/>
      <c r="V92" s="94"/>
      <c r="W92" s="94"/>
      <c r="X92" s="94"/>
      <c r="Y92" s="420"/>
      <c r="Z92" s="420"/>
      <c r="AA92" s="94"/>
      <c r="AB92" s="47"/>
    </row>
    <row r="93" spans="2:28" hidden="1" x14ac:dyDescent="0.35">
      <c r="B93" s="109"/>
      <c r="C93" s="110"/>
      <c r="D93" s="110"/>
      <c r="E93" s="111"/>
      <c r="F93" s="124" t="s">
        <v>25</v>
      </c>
      <c r="G93" s="125" t="s">
        <v>19</v>
      </c>
      <c r="H93" s="126"/>
      <c r="I93" s="127"/>
      <c r="J93" s="67"/>
      <c r="K93" s="139"/>
      <c r="L93" s="139"/>
      <c r="M93" s="91"/>
      <c r="N93" s="92"/>
      <c r="O93" s="92"/>
      <c r="P93" s="94">
        <v>0</v>
      </c>
      <c r="Q93" s="94"/>
      <c r="R93" s="94"/>
      <c r="S93" s="94"/>
      <c r="T93" s="94"/>
      <c r="U93" s="94"/>
      <c r="V93" s="94"/>
      <c r="W93" s="94"/>
      <c r="X93" s="94"/>
      <c r="Y93" s="420"/>
      <c r="Z93" s="420"/>
      <c r="AA93" s="94"/>
      <c r="AB93" s="47"/>
    </row>
    <row r="94" spans="2:28" hidden="1" x14ac:dyDescent="0.35">
      <c r="B94" s="102"/>
      <c r="C94" s="103"/>
      <c r="D94" s="103" t="s">
        <v>159</v>
      </c>
      <c r="E94" s="104"/>
      <c r="F94" s="124" t="s">
        <v>3</v>
      </c>
      <c r="G94" s="125" t="s">
        <v>2</v>
      </c>
      <c r="H94" s="126"/>
      <c r="I94" s="127"/>
      <c r="J94" s="67" t="s">
        <v>113</v>
      </c>
      <c r="K94" s="189">
        <v>1</v>
      </c>
      <c r="L94" s="190"/>
      <c r="M94" s="100">
        <v>0.2</v>
      </c>
      <c r="N94" s="92">
        <v>1</v>
      </c>
      <c r="O94" s="94">
        <f>K94*L94*M94*N94</f>
        <v>0</v>
      </c>
      <c r="P94" s="94">
        <v>0</v>
      </c>
      <c r="Q94" s="94">
        <f>O94*P94</f>
        <v>0</v>
      </c>
      <c r="R94" s="94"/>
      <c r="S94" s="94"/>
      <c r="T94" s="94"/>
      <c r="U94" s="94"/>
      <c r="V94" s="94"/>
      <c r="W94" s="94"/>
      <c r="X94" s="94" t="s">
        <v>601</v>
      </c>
      <c r="Y94" s="420"/>
      <c r="Z94" s="420"/>
      <c r="AA94" s="94"/>
      <c r="AB94" s="47"/>
    </row>
    <row r="95" spans="2:28" hidden="1" x14ac:dyDescent="0.35">
      <c r="B95" s="105"/>
      <c r="C95" s="106"/>
      <c r="D95" s="106"/>
      <c r="E95" s="112"/>
      <c r="F95" s="124" t="s">
        <v>118</v>
      </c>
      <c r="G95" s="125" t="s">
        <v>117</v>
      </c>
      <c r="H95" s="126"/>
      <c r="I95" s="127"/>
      <c r="J95" s="67" t="s">
        <v>113</v>
      </c>
      <c r="K95" s="189">
        <v>1</v>
      </c>
      <c r="L95" s="190"/>
      <c r="M95" s="94">
        <v>20</v>
      </c>
      <c r="N95" s="92">
        <v>1</v>
      </c>
      <c r="O95" s="94">
        <f>K95*L95*M95*N95</f>
        <v>0</v>
      </c>
      <c r="P95" s="94">
        <v>0</v>
      </c>
      <c r="Q95" s="94">
        <f>O95*P95</f>
        <v>0</v>
      </c>
      <c r="R95" s="94"/>
      <c r="S95" s="94"/>
      <c r="T95" s="94"/>
      <c r="U95" s="94"/>
      <c r="V95" s="94"/>
      <c r="W95" s="94"/>
      <c r="X95" s="94"/>
      <c r="Y95" s="420"/>
      <c r="Z95" s="420"/>
      <c r="AA95" s="94"/>
      <c r="AB95" s="47"/>
    </row>
    <row r="96" spans="2:28" hidden="1" x14ac:dyDescent="0.35">
      <c r="B96" s="109"/>
      <c r="C96" s="110"/>
      <c r="D96" s="110" t="s">
        <v>217</v>
      </c>
      <c r="E96" s="111"/>
      <c r="F96" s="124" t="s">
        <v>118</v>
      </c>
      <c r="G96" s="125" t="s">
        <v>117</v>
      </c>
      <c r="H96" s="126"/>
      <c r="I96" s="127"/>
      <c r="J96" s="67" t="s">
        <v>611</v>
      </c>
      <c r="K96" s="189">
        <v>1</v>
      </c>
      <c r="L96" s="191"/>
      <c r="M96" s="192">
        <f>1/26</f>
        <v>3.8461538461538464E-2</v>
      </c>
      <c r="N96" s="92">
        <v>1</v>
      </c>
      <c r="O96" s="94">
        <f>K96*L96*M96*N96</f>
        <v>0</v>
      </c>
      <c r="P96" s="94">
        <v>0</v>
      </c>
      <c r="Q96" s="94">
        <f>O96*P96</f>
        <v>0</v>
      </c>
      <c r="R96" s="94"/>
      <c r="S96" s="94"/>
      <c r="T96" s="94"/>
      <c r="U96" s="94"/>
      <c r="V96" s="94"/>
      <c r="W96" s="94"/>
      <c r="X96" s="94"/>
      <c r="Y96" s="420"/>
      <c r="Z96" s="420"/>
      <c r="AA96" s="94"/>
      <c r="AB96" s="47"/>
    </row>
    <row r="97" spans="2:28" hidden="1" x14ac:dyDescent="0.35">
      <c r="B97" s="102"/>
      <c r="C97" s="103"/>
      <c r="D97" s="103" t="s">
        <v>141</v>
      </c>
      <c r="E97" s="104"/>
      <c r="F97" s="124" t="s">
        <v>3</v>
      </c>
      <c r="G97" s="125" t="s">
        <v>2</v>
      </c>
      <c r="H97" s="126"/>
      <c r="I97" s="127"/>
      <c r="J97" s="67"/>
      <c r="K97" s="189">
        <v>0.1</v>
      </c>
      <c r="L97" s="128"/>
      <c r="M97" s="91">
        <f>1/3</f>
        <v>0.33333333333333331</v>
      </c>
      <c r="N97" s="92">
        <v>1</v>
      </c>
      <c r="O97" s="94">
        <f>K97*L97*M97*N97</f>
        <v>0</v>
      </c>
      <c r="P97" s="108">
        <v>0</v>
      </c>
      <c r="Q97" s="94">
        <f>O97*P97</f>
        <v>0</v>
      </c>
      <c r="R97" s="94"/>
      <c r="S97" s="94"/>
      <c r="T97" s="94"/>
      <c r="U97" s="94"/>
      <c r="V97" s="94"/>
      <c r="W97" s="94"/>
      <c r="X97" s="94"/>
      <c r="Y97" s="420"/>
      <c r="Z97" s="420"/>
      <c r="AA97" s="108">
        <f t="shared" ref="AA97:AA99" si="30">Q97/$E$2</f>
        <v>0</v>
      </c>
      <c r="AB97" s="47"/>
    </row>
    <row r="98" spans="2:28" hidden="1" x14ac:dyDescent="0.35">
      <c r="B98" s="109"/>
      <c r="C98" s="110"/>
      <c r="D98" s="110"/>
      <c r="E98" s="111"/>
      <c r="F98" s="124" t="s">
        <v>25</v>
      </c>
      <c r="G98" s="125" t="s">
        <v>19</v>
      </c>
      <c r="H98" s="126"/>
      <c r="I98" s="127"/>
      <c r="J98" s="67"/>
      <c r="K98" s="189">
        <v>1</v>
      </c>
      <c r="L98" s="128"/>
      <c r="M98" s="91">
        <f>1/3</f>
        <v>0.33333333333333331</v>
      </c>
      <c r="N98" s="92">
        <v>1</v>
      </c>
      <c r="O98" s="94">
        <f>K98*L98*M98*N98</f>
        <v>0</v>
      </c>
      <c r="P98" s="108">
        <v>0</v>
      </c>
      <c r="Q98" s="94">
        <f>O98*P98</f>
        <v>0</v>
      </c>
      <c r="R98" s="94"/>
      <c r="S98" s="94"/>
      <c r="T98" s="94"/>
      <c r="U98" s="94"/>
      <c r="V98" s="94"/>
      <c r="W98" s="94"/>
      <c r="X98" s="94"/>
      <c r="Y98" s="420"/>
      <c r="Z98" s="420"/>
      <c r="AA98" s="108">
        <f t="shared" si="30"/>
        <v>0</v>
      </c>
      <c r="AB98" s="47"/>
    </row>
    <row r="99" spans="2:28" x14ac:dyDescent="0.35">
      <c r="B99" s="510" t="s">
        <v>621</v>
      </c>
      <c r="C99" s="511"/>
      <c r="D99" s="511"/>
      <c r="E99" s="512"/>
      <c r="F99" s="148"/>
      <c r="G99" s="149"/>
      <c r="H99" s="150"/>
      <c r="I99" s="151"/>
      <c r="J99" s="152"/>
      <c r="K99" s="153"/>
      <c r="L99" s="153"/>
      <c r="M99" s="154"/>
      <c r="N99" s="155"/>
      <c r="O99" s="155"/>
      <c r="P99" s="179"/>
      <c r="Q99" s="156">
        <f>SUM(Q90:Q98)</f>
        <v>0</v>
      </c>
      <c r="R99" s="179"/>
      <c r="S99" s="179"/>
      <c r="T99" s="179"/>
      <c r="U99" s="179"/>
      <c r="V99" s="179"/>
      <c r="W99" s="179"/>
      <c r="X99" s="179"/>
      <c r="Y99" s="430"/>
      <c r="Z99" s="430"/>
      <c r="AA99" s="194">
        <f t="shared" si="30"/>
        <v>0</v>
      </c>
      <c r="AB99" s="157">
        <f>Q99/$Q$214*100</f>
        <v>0</v>
      </c>
    </row>
    <row r="100" spans="2:28" x14ac:dyDescent="0.35">
      <c r="B100" s="126"/>
      <c r="C100" s="175" t="s">
        <v>214</v>
      </c>
      <c r="D100" s="127"/>
      <c r="E100" s="107"/>
      <c r="F100" s="124"/>
      <c r="G100" s="125"/>
      <c r="H100" s="126"/>
      <c r="I100" s="127"/>
      <c r="J100" s="67"/>
      <c r="K100" s="139"/>
      <c r="L100" s="139"/>
      <c r="M100" s="91"/>
      <c r="N100" s="92"/>
      <c r="O100" s="92"/>
      <c r="P100" s="94"/>
      <c r="Q100" s="94"/>
      <c r="R100" s="94"/>
      <c r="S100" s="94"/>
      <c r="T100" s="94"/>
      <c r="U100" s="94"/>
      <c r="V100" s="94"/>
      <c r="W100" s="94"/>
      <c r="X100" s="94"/>
      <c r="Y100" s="420"/>
      <c r="Z100" s="420"/>
      <c r="AA100" s="94"/>
      <c r="AB100" s="47"/>
    </row>
    <row r="101" spans="2:28" hidden="1" x14ac:dyDescent="0.35">
      <c r="B101" s="102"/>
      <c r="C101" s="103"/>
      <c r="D101" s="103" t="s">
        <v>160</v>
      </c>
      <c r="E101" s="104"/>
      <c r="F101" s="124" t="s">
        <v>3</v>
      </c>
      <c r="G101" s="125" t="s">
        <v>2</v>
      </c>
      <c r="H101" s="126"/>
      <c r="I101" s="127"/>
      <c r="J101" s="67"/>
      <c r="K101" s="139"/>
      <c r="L101" s="139"/>
      <c r="M101" s="91"/>
      <c r="N101" s="92">
        <v>1</v>
      </c>
      <c r="O101" s="92"/>
      <c r="P101" s="94"/>
      <c r="Q101" s="94"/>
      <c r="R101" s="94"/>
      <c r="S101" s="94"/>
      <c r="T101" s="94"/>
      <c r="U101" s="94"/>
      <c r="V101" s="94"/>
      <c r="W101" s="94"/>
      <c r="X101" s="94"/>
      <c r="Y101" s="420"/>
      <c r="Z101" s="420"/>
      <c r="AA101" s="94"/>
      <c r="AB101" s="47"/>
    </row>
    <row r="102" spans="2:28" hidden="1" x14ac:dyDescent="0.35">
      <c r="B102" s="109"/>
      <c r="C102" s="110"/>
      <c r="D102" s="110"/>
      <c r="E102" s="111"/>
      <c r="F102" s="124" t="s">
        <v>123</v>
      </c>
      <c r="G102" s="125" t="s">
        <v>44</v>
      </c>
      <c r="H102" s="126"/>
      <c r="I102" s="127"/>
      <c r="J102" s="67"/>
      <c r="K102" s="139"/>
      <c r="L102" s="139"/>
      <c r="M102" s="91"/>
      <c r="N102" s="92"/>
      <c r="O102" s="92"/>
      <c r="P102" s="94"/>
      <c r="Q102" s="94"/>
      <c r="R102" s="94"/>
      <c r="S102" s="94"/>
      <c r="T102" s="94"/>
      <c r="U102" s="94"/>
      <c r="V102" s="94"/>
      <c r="W102" s="94"/>
      <c r="X102" s="94"/>
      <c r="Y102" s="420"/>
      <c r="Z102" s="420"/>
      <c r="AA102" s="94"/>
      <c r="AB102" s="47"/>
    </row>
    <row r="103" spans="2:28" hidden="1" x14ac:dyDescent="0.35">
      <c r="B103" s="102"/>
      <c r="C103" s="103"/>
      <c r="D103" s="103" t="s">
        <v>161</v>
      </c>
      <c r="E103" s="104"/>
      <c r="F103" s="124" t="s">
        <v>3</v>
      </c>
      <c r="G103" s="125" t="s">
        <v>2</v>
      </c>
      <c r="H103" s="126"/>
      <c r="I103" s="127"/>
      <c r="J103" s="67"/>
      <c r="K103" s="139"/>
      <c r="L103" s="139"/>
      <c r="M103" s="91"/>
      <c r="N103" s="92"/>
      <c r="O103" s="92"/>
      <c r="P103" s="94"/>
      <c r="Q103" s="94"/>
      <c r="R103" s="94"/>
      <c r="S103" s="94"/>
      <c r="T103" s="94"/>
      <c r="U103" s="94"/>
      <c r="V103" s="94"/>
      <c r="W103" s="94"/>
      <c r="X103" s="94"/>
      <c r="Y103" s="420"/>
      <c r="Z103" s="420"/>
      <c r="AA103" s="94"/>
      <c r="AB103" s="47"/>
    </row>
    <row r="104" spans="2:28" hidden="1" x14ac:dyDescent="0.35">
      <c r="B104" s="109"/>
      <c r="C104" s="110"/>
      <c r="D104" s="110"/>
      <c r="E104" s="111"/>
      <c r="F104" s="124" t="s">
        <v>124</v>
      </c>
      <c r="G104" s="125" t="s">
        <v>44</v>
      </c>
      <c r="H104" s="126"/>
      <c r="I104" s="127"/>
      <c r="J104" s="67"/>
      <c r="K104" s="139"/>
      <c r="L104" s="139"/>
      <c r="M104" s="91"/>
      <c r="N104" s="92"/>
      <c r="O104" s="92"/>
      <c r="P104" s="94"/>
      <c r="Q104" s="94"/>
      <c r="R104" s="94"/>
      <c r="S104" s="94"/>
      <c r="T104" s="94"/>
      <c r="U104" s="94"/>
      <c r="V104" s="94"/>
      <c r="W104" s="94"/>
      <c r="X104" s="94"/>
      <c r="Y104" s="420"/>
      <c r="Z104" s="420"/>
      <c r="AA104" s="94"/>
      <c r="AB104" s="47"/>
    </row>
    <row r="105" spans="2:28" hidden="1" x14ac:dyDescent="0.35">
      <c r="B105" s="102"/>
      <c r="C105" s="103"/>
      <c r="D105" s="103" t="s">
        <v>162</v>
      </c>
      <c r="E105" s="104"/>
      <c r="F105" s="124" t="s">
        <v>3</v>
      </c>
      <c r="G105" s="125" t="s">
        <v>2</v>
      </c>
      <c r="H105" s="126"/>
      <c r="I105" s="127"/>
      <c r="J105" s="67"/>
      <c r="K105" s="139"/>
      <c r="L105" s="139"/>
      <c r="M105" s="91"/>
      <c r="N105" s="92"/>
      <c r="O105" s="92"/>
      <c r="P105" s="94"/>
      <c r="Q105" s="94"/>
      <c r="R105" s="94"/>
      <c r="S105" s="94"/>
      <c r="T105" s="94"/>
      <c r="U105" s="94"/>
      <c r="V105" s="94"/>
      <c r="W105" s="94"/>
      <c r="X105" s="94"/>
      <c r="Y105" s="420"/>
      <c r="Z105" s="420"/>
      <c r="AA105" s="94"/>
      <c r="AB105" s="47"/>
    </row>
    <row r="106" spans="2:28" hidden="1" x14ac:dyDescent="0.35">
      <c r="B106" s="109"/>
      <c r="C106" s="110"/>
      <c r="D106" s="110"/>
      <c r="E106" s="111"/>
      <c r="F106" s="124" t="s">
        <v>125</v>
      </c>
      <c r="G106" s="125" t="s">
        <v>44</v>
      </c>
      <c r="H106" s="126"/>
      <c r="I106" s="127"/>
      <c r="J106" s="67"/>
      <c r="K106" s="139"/>
      <c r="L106" s="139"/>
      <c r="M106" s="91"/>
      <c r="N106" s="92"/>
      <c r="O106" s="92"/>
      <c r="P106" s="94"/>
      <c r="Q106" s="94"/>
      <c r="R106" s="94"/>
      <c r="S106" s="94"/>
      <c r="T106" s="94"/>
      <c r="U106" s="94"/>
      <c r="V106" s="94"/>
      <c r="W106" s="94"/>
      <c r="X106" s="94"/>
      <c r="Y106" s="420"/>
      <c r="Z106" s="420"/>
      <c r="AA106" s="94"/>
      <c r="AB106" s="47"/>
    </row>
    <row r="107" spans="2:28" x14ac:dyDescent="0.35">
      <c r="B107" s="510" t="s">
        <v>623</v>
      </c>
      <c r="C107" s="511"/>
      <c r="D107" s="511"/>
      <c r="E107" s="512"/>
      <c r="F107" s="195"/>
      <c r="G107" s="196"/>
      <c r="H107" s="197"/>
      <c r="I107" s="198"/>
      <c r="J107" s="199"/>
      <c r="K107" s="200"/>
      <c r="L107" s="200"/>
      <c r="M107" s="201"/>
      <c r="N107" s="161"/>
      <c r="O107" s="161"/>
      <c r="P107" s="156"/>
      <c r="Q107" s="156">
        <f>SUM(Q101:Q106)</f>
        <v>0</v>
      </c>
      <c r="R107" s="156"/>
      <c r="S107" s="156"/>
      <c r="T107" s="156"/>
      <c r="U107" s="156"/>
      <c r="V107" s="156"/>
      <c r="W107" s="156"/>
      <c r="X107" s="156"/>
      <c r="Y107" s="430"/>
      <c r="Z107" s="430"/>
      <c r="AA107" s="179"/>
      <c r="AB107" s="181"/>
    </row>
    <row r="108" spans="2:28" x14ac:dyDescent="0.35">
      <c r="B108" s="105"/>
      <c r="C108" s="188" t="s">
        <v>522</v>
      </c>
      <c r="D108" s="106"/>
      <c r="E108" s="112"/>
      <c r="F108" s="124"/>
      <c r="G108" s="125"/>
      <c r="H108" s="126"/>
      <c r="I108" s="127"/>
      <c r="J108" s="67"/>
      <c r="K108" s="139"/>
      <c r="L108" s="139"/>
      <c r="M108" s="91"/>
      <c r="N108" s="92"/>
      <c r="O108" s="92"/>
      <c r="P108" s="94"/>
      <c r="Q108" s="94"/>
      <c r="R108" s="94"/>
      <c r="S108" s="94"/>
      <c r="T108" s="94"/>
      <c r="U108" s="94"/>
      <c r="V108" s="94"/>
      <c r="W108" s="94"/>
      <c r="X108" s="94"/>
      <c r="Y108" s="420"/>
      <c r="Z108" s="420"/>
      <c r="AA108" s="94"/>
      <c r="AB108" s="47"/>
    </row>
    <row r="109" spans="2:28" hidden="1" x14ac:dyDescent="0.35">
      <c r="B109" s="105"/>
      <c r="C109" s="188"/>
      <c r="D109" s="106"/>
      <c r="E109" s="112"/>
      <c r="F109" s="124" t="s">
        <v>3</v>
      </c>
      <c r="G109" s="125" t="s">
        <v>2</v>
      </c>
      <c r="H109" s="126"/>
      <c r="I109" s="127"/>
      <c r="J109" s="67"/>
      <c r="K109" s="139"/>
      <c r="L109" s="139"/>
      <c r="M109" s="91"/>
      <c r="N109" s="92">
        <v>1</v>
      </c>
      <c r="O109" s="92"/>
      <c r="P109" s="94"/>
      <c r="Q109" s="94"/>
      <c r="R109" s="94"/>
      <c r="S109" s="94"/>
      <c r="T109" s="94"/>
      <c r="U109" s="94"/>
      <c r="V109" s="94"/>
      <c r="W109" s="94"/>
      <c r="X109" s="94"/>
      <c r="Y109" s="420"/>
      <c r="Z109" s="420"/>
      <c r="AA109" s="94"/>
      <c r="AB109" s="47"/>
    </row>
    <row r="110" spans="2:28" hidden="1" x14ac:dyDescent="0.35">
      <c r="B110" s="105"/>
      <c r="C110" s="106"/>
      <c r="D110" s="106"/>
      <c r="E110" s="112"/>
      <c r="F110" s="124" t="s">
        <v>309</v>
      </c>
      <c r="G110" s="125" t="s">
        <v>44</v>
      </c>
      <c r="H110" s="126"/>
      <c r="I110" s="127"/>
      <c r="J110" s="67"/>
      <c r="K110" s="139"/>
      <c r="L110" s="139"/>
      <c r="M110" s="91"/>
      <c r="N110" s="92">
        <v>1</v>
      </c>
      <c r="O110" s="92"/>
      <c r="P110" s="94"/>
      <c r="Q110" s="94"/>
      <c r="R110" s="94"/>
      <c r="S110" s="94"/>
      <c r="T110" s="94"/>
      <c r="U110" s="94"/>
      <c r="V110" s="94"/>
      <c r="W110" s="94"/>
      <c r="X110" s="94"/>
      <c r="Y110" s="420"/>
      <c r="Z110" s="420"/>
      <c r="AA110" s="94"/>
      <c r="AB110" s="47"/>
    </row>
    <row r="111" spans="2:28" hidden="1" x14ac:dyDescent="0.35">
      <c r="B111" s="109"/>
      <c r="C111" s="110"/>
      <c r="D111" s="110"/>
      <c r="E111" s="111"/>
      <c r="F111" s="124" t="s">
        <v>121</v>
      </c>
      <c r="G111" s="125" t="s">
        <v>117</v>
      </c>
      <c r="H111" s="126"/>
      <c r="I111" s="127"/>
      <c r="J111" s="67"/>
      <c r="K111" s="139"/>
      <c r="L111" s="139"/>
      <c r="M111" s="91"/>
      <c r="N111" s="92">
        <v>1</v>
      </c>
      <c r="O111" s="92"/>
      <c r="P111" s="94"/>
      <c r="Q111" s="94"/>
      <c r="R111" s="94"/>
      <c r="S111" s="94"/>
      <c r="T111" s="94"/>
      <c r="U111" s="94"/>
      <c r="V111" s="94"/>
      <c r="W111" s="94"/>
      <c r="X111" s="94"/>
      <c r="Y111" s="420"/>
      <c r="Z111" s="420"/>
      <c r="AA111" s="94"/>
      <c r="AB111" s="47"/>
    </row>
    <row r="112" spans="2:28" x14ac:dyDescent="0.35">
      <c r="B112" s="109"/>
      <c r="C112" s="202" t="s">
        <v>576</v>
      </c>
      <c r="D112" s="110"/>
      <c r="E112" s="111"/>
      <c r="F112" s="124" t="s">
        <v>118</v>
      </c>
      <c r="G112" s="125"/>
      <c r="H112" s="126"/>
      <c r="I112" s="127"/>
      <c r="J112" s="67"/>
      <c r="K112" s="113"/>
      <c r="L112" s="139"/>
      <c r="M112" s="91">
        <f>1/120</f>
        <v>8.3333333333333332E-3</v>
      </c>
      <c r="N112" s="92">
        <v>1</v>
      </c>
      <c r="O112" s="92">
        <f>K112*M112*N112</f>
        <v>0</v>
      </c>
      <c r="P112" s="94">
        <v>0</v>
      </c>
      <c r="Q112" s="94">
        <f>P112*$O112</f>
        <v>0</v>
      </c>
      <c r="R112" s="94">
        <f>VLOOKUP($F112,'Master Harga'!$E$5:$L$348,6,FALSE)</f>
        <v>720338.0730320001</v>
      </c>
      <c r="S112" s="94">
        <f>R112*$O112</f>
        <v>0</v>
      </c>
      <c r="T112" s="94">
        <f>VLOOKUP($F112,'Master Harga'!$E$5:$L$348,7,FALSE)</f>
        <v>761671.70213055995</v>
      </c>
      <c r="U112" s="94">
        <f>T112*$O112</f>
        <v>0</v>
      </c>
      <c r="V112" s="94" t="e">
        <f>W112/O112</f>
        <v>#DIV/0!</v>
      </c>
      <c r="W112" s="424">
        <f>AVERAGEIF($P$4:$U$4,W$4,$P112:$U112)</f>
        <v>0</v>
      </c>
      <c r="X112" s="94"/>
      <c r="Y112" s="420"/>
      <c r="Z112" s="420"/>
      <c r="AA112" s="94"/>
      <c r="AB112" s="47"/>
    </row>
    <row r="113" spans="1:29" x14ac:dyDescent="0.35">
      <c r="B113" s="109"/>
      <c r="C113" s="202" t="s">
        <v>577</v>
      </c>
      <c r="D113" s="110"/>
      <c r="E113" s="111"/>
      <c r="F113" s="124" t="s">
        <v>118</v>
      </c>
      <c r="G113" s="125"/>
      <c r="H113" s="126"/>
      <c r="I113" s="127"/>
      <c r="J113" s="67"/>
      <c r="K113" s="113"/>
      <c r="L113" s="139"/>
      <c r="M113" s="91">
        <v>28</v>
      </c>
      <c r="N113" s="92">
        <v>1</v>
      </c>
      <c r="O113" s="92">
        <f>K113*M113*N113</f>
        <v>0</v>
      </c>
      <c r="P113" s="94">
        <v>0</v>
      </c>
      <c r="Q113" s="94">
        <f>P113*$O113</f>
        <v>0</v>
      </c>
      <c r="R113" s="94">
        <f>VLOOKUP($F113,'Master Harga'!$E$5:$L$348,6,FALSE)</f>
        <v>720338.0730320001</v>
      </c>
      <c r="S113" s="94">
        <f>R113*$O113</f>
        <v>0</v>
      </c>
      <c r="T113" s="94">
        <f>VLOOKUP($F113,'Master Harga'!$E$5:$L$348,7,FALSE)</f>
        <v>761671.70213055995</v>
      </c>
      <c r="U113" s="94">
        <f>T113*$O113</f>
        <v>0</v>
      </c>
      <c r="V113" s="94" t="e">
        <f>W113/O113</f>
        <v>#DIV/0!</v>
      </c>
      <c r="W113" s="424">
        <f>AVERAGEIF($P$4:$U$4,W$4,$P113:$U113)</f>
        <v>0</v>
      </c>
      <c r="X113" s="94"/>
      <c r="Y113" s="420"/>
      <c r="Z113" s="420"/>
      <c r="AA113" s="94"/>
      <c r="AB113" s="47"/>
    </row>
    <row r="114" spans="1:29" x14ac:dyDescent="0.35">
      <c r="B114" s="510" t="s">
        <v>624</v>
      </c>
      <c r="C114" s="511"/>
      <c r="D114" s="511"/>
      <c r="E114" s="512"/>
      <c r="F114" s="148"/>
      <c r="G114" s="149"/>
      <c r="H114" s="150"/>
      <c r="I114" s="151"/>
      <c r="J114" s="152"/>
      <c r="K114" s="153"/>
      <c r="L114" s="153"/>
      <c r="M114" s="154"/>
      <c r="N114" s="155"/>
      <c r="O114" s="155"/>
      <c r="P114" s="179"/>
      <c r="Q114" s="156">
        <f>Q107+Q99+Q88+Q83+Q75+Q67+Q41</f>
        <v>113121063.25405382</v>
      </c>
      <c r="R114" s="179"/>
      <c r="S114" s="179"/>
      <c r="T114" s="179"/>
      <c r="U114" s="179"/>
      <c r="V114" s="179"/>
      <c r="W114" s="179"/>
      <c r="X114" s="179"/>
      <c r="Y114" s="430"/>
      <c r="Z114" s="430"/>
      <c r="AA114" s="156">
        <f>Q114/E2</f>
        <v>4069102.994750137</v>
      </c>
      <c r="AB114" s="157">
        <f>Q114/$Q$214*100</f>
        <v>4.6406677488549288</v>
      </c>
      <c r="AC114" s="78"/>
    </row>
    <row r="115" spans="1:29" s="19" customFormat="1" x14ac:dyDescent="0.35">
      <c r="A115" s="49"/>
      <c r="B115" s="513" t="s">
        <v>627</v>
      </c>
      <c r="C115" s="514"/>
      <c r="D115" s="514"/>
      <c r="E115" s="515"/>
      <c r="F115" s="204"/>
      <c r="G115" s="205"/>
      <c r="H115" s="206"/>
      <c r="I115" s="207"/>
      <c r="J115" s="208"/>
      <c r="K115" s="209"/>
      <c r="L115" s="209"/>
      <c r="M115" s="210"/>
      <c r="N115" s="211"/>
      <c r="O115" s="211"/>
      <c r="P115" s="212"/>
      <c r="Q115" s="212">
        <f>Q114+Q34</f>
        <v>767861297.53043711</v>
      </c>
      <c r="R115" s="212"/>
      <c r="S115" s="212">
        <f>SUM(S6:S113)-S113-S112-S74</f>
        <v>280828235.41401869</v>
      </c>
      <c r="T115" s="212"/>
      <c r="U115" s="212">
        <f>SUM(U6:U113)-U113-U112-U74</f>
        <v>348262534.60031021</v>
      </c>
      <c r="V115" s="212"/>
      <c r="W115" s="212">
        <f>SUM(W6:W113)-W113-W112-W74</f>
        <v>303618496.07190251</v>
      </c>
      <c r="X115" s="212"/>
      <c r="Y115" s="431"/>
      <c r="Z115" s="431"/>
      <c r="AA115" s="281">
        <f>Q115/E2</f>
        <v>27620909.983109247</v>
      </c>
      <c r="AB115" s="215">
        <f>Q115/$Q$214*100</f>
        <v>31.500668898775579</v>
      </c>
      <c r="AC115" s="78">
        <f>Q115/$AA$2</f>
        <v>251.09918166462953</v>
      </c>
    </row>
    <row r="116" spans="1:29" s="19" customFormat="1" x14ac:dyDescent="0.35">
      <c r="A116" s="49"/>
      <c r="B116" s="513" t="s">
        <v>673</v>
      </c>
      <c r="C116" s="514"/>
      <c r="D116" s="514"/>
      <c r="E116" s="515"/>
      <c r="F116" s="204"/>
      <c r="G116" s="205"/>
      <c r="H116" s="206"/>
      <c r="I116" s="207"/>
      <c r="J116" s="208"/>
      <c r="K116" s="209"/>
      <c r="L116" s="209"/>
      <c r="M116" s="210"/>
      <c r="N116" s="211"/>
      <c r="O116" s="211"/>
      <c r="P116" s="212"/>
      <c r="Q116" s="212"/>
      <c r="R116" s="212"/>
      <c r="S116" s="212" t="e">
        <f>SUM(S6:S114)-#REF!-#REF!-#REF!-S16-#REF!-#REF!-#REF!</f>
        <v>#REF!</v>
      </c>
      <c r="T116" s="212"/>
      <c r="U116" s="212" t="e">
        <f>SUM(U6:U114)-#REF!-#REF!-#REF!-U16-#REF!-#REF!-#REF!</f>
        <v>#REF!</v>
      </c>
      <c r="V116" s="212"/>
      <c r="W116" s="212" t="e">
        <f>SUM(W6:W114)-#REF!-#REF!-#REF!-W16-#REF!-#REF!-#REF!</f>
        <v>#REF!</v>
      </c>
      <c r="X116" s="212"/>
      <c r="Y116" s="431"/>
      <c r="Z116" s="431"/>
      <c r="AA116" s="281"/>
      <c r="AB116" s="216"/>
      <c r="AC116" s="49"/>
    </row>
    <row r="117" spans="1:29" x14ac:dyDescent="0.35">
      <c r="B117" s="82" t="s">
        <v>215</v>
      </c>
      <c r="C117" s="88"/>
      <c r="D117" s="88"/>
      <c r="E117" s="160"/>
      <c r="F117" s="85"/>
      <c r="G117" s="86"/>
      <c r="H117" s="87"/>
      <c r="I117" s="88"/>
      <c r="J117" s="89"/>
      <c r="K117" s="90"/>
      <c r="L117" s="90"/>
      <c r="M117" s="91"/>
      <c r="N117" s="92"/>
      <c r="O117" s="92"/>
      <c r="P117" s="94"/>
      <c r="Q117" s="185"/>
      <c r="R117" s="94"/>
      <c r="S117" s="94"/>
      <c r="T117" s="94"/>
      <c r="U117" s="94"/>
      <c r="V117" s="94"/>
      <c r="W117" s="94"/>
      <c r="X117" s="94"/>
      <c r="Y117" s="420"/>
      <c r="Z117" s="420"/>
      <c r="AA117" s="94"/>
      <c r="AB117" s="47"/>
    </row>
    <row r="118" spans="1:29" x14ac:dyDescent="0.35">
      <c r="B118" s="87"/>
      <c r="C118" s="83" t="s">
        <v>680</v>
      </c>
      <c r="D118" s="88"/>
      <c r="E118" s="160"/>
      <c r="F118" s="85"/>
      <c r="G118" s="86"/>
      <c r="H118" s="87"/>
      <c r="I118" s="88"/>
      <c r="J118" s="89"/>
      <c r="K118" s="90"/>
      <c r="L118" s="90"/>
      <c r="M118" s="91"/>
      <c r="N118" s="92"/>
      <c r="O118" s="92"/>
      <c r="P118" s="94"/>
      <c r="Q118" s="185"/>
      <c r="R118" s="94"/>
      <c r="S118" s="94"/>
      <c r="T118" s="94"/>
      <c r="U118" s="94"/>
      <c r="V118" s="94"/>
      <c r="W118" s="94"/>
      <c r="X118" s="94"/>
      <c r="Y118" s="420"/>
      <c r="Z118" s="420"/>
      <c r="AA118" s="94"/>
      <c r="AB118" s="47"/>
    </row>
    <row r="119" spans="1:29" x14ac:dyDescent="0.35">
      <c r="B119" s="95"/>
      <c r="C119" s="96"/>
      <c r="D119" s="96" t="s">
        <v>675</v>
      </c>
      <c r="E119" s="97"/>
      <c r="F119" s="85" t="s">
        <v>3</v>
      </c>
      <c r="G119" s="86" t="s">
        <v>2</v>
      </c>
      <c r="H119" s="87"/>
      <c r="I119" s="88"/>
      <c r="J119" s="217"/>
      <c r="K119" s="98">
        <v>1</v>
      </c>
      <c r="L119" s="128">
        <f>L120</f>
        <v>3.1784666666666666</v>
      </c>
      <c r="M119" s="100">
        <v>2</v>
      </c>
      <c r="N119" s="92">
        <v>1</v>
      </c>
      <c r="O119" s="92">
        <f>K119*L119*M119*N119</f>
        <v>6.3569333333333331</v>
      </c>
      <c r="P119" s="108">
        <f>VLOOKUP($F119,'Master Harga'!$E$5:$L$348,6,FALSE)</f>
        <v>151208.64000000001</v>
      </c>
      <c r="Q119" s="185">
        <f>P119*$O119</f>
        <v>961223.24390400003</v>
      </c>
      <c r="R119" s="94">
        <f>VLOOKUP($F119,'Master Harga'!$E$5:$L$348,6,FALSE)</f>
        <v>151208.64000000001</v>
      </c>
      <c r="S119" s="94">
        <f>R119*$O119</f>
        <v>961223.24390400003</v>
      </c>
      <c r="T119" s="94">
        <f>VLOOKUP($F119,'Master Harga'!$E$5:$L$348,7,FALSE)</f>
        <v>163305.33120000002</v>
      </c>
      <c r="U119" s="94">
        <f>T119*$O119</f>
        <v>1038121.1034163201</v>
      </c>
      <c r="V119" s="94">
        <f>W119/O119</f>
        <v>155240.87040000001</v>
      </c>
      <c r="W119" s="424">
        <f>AVERAGEIF($P$4:$U$4,W$4,$P119:$U119)</f>
        <v>986855.86374144012</v>
      </c>
      <c r="X119" s="94" t="s">
        <v>602</v>
      </c>
      <c r="Y119" s="420"/>
      <c r="Z119" s="420" t="e">
        <f>W119+W134+#REF!</f>
        <v>#REF!</v>
      </c>
      <c r="AA119" s="94">
        <f>Q119/$E$2</f>
        <v>34576.375679999997</v>
      </c>
      <c r="AB119" s="47"/>
    </row>
    <row r="120" spans="1:29" x14ac:dyDescent="0.35">
      <c r="B120" s="129"/>
      <c r="C120" s="130"/>
      <c r="D120" s="130" t="s">
        <v>759</v>
      </c>
      <c r="E120" s="131"/>
      <c r="F120" s="85" t="s">
        <v>678</v>
      </c>
      <c r="G120" s="86" t="s">
        <v>7</v>
      </c>
      <c r="H120" s="87"/>
      <c r="I120" s="88"/>
      <c r="J120" s="217" t="s">
        <v>7</v>
      </c>
      <c r="K120" s="98">
        <v>1</v>
      </c>
      <c r="L120" s="99">
        <f>(L121/120000)*1.4</f>
        <v>3.1784666666666666</v>
      </c>
      <c r="M120" s="218">
        <v>1</v>
      </c>
      <c r="N120" s="173">
        <v>1</v>
      </c>
      <c r="O120" s="92">
        <f>K120*L120*M120*N120</f>
        <v>3.1784666666666666</v>
      </c>
      <c r="P120" s="94">
        <f>'Master Harga'!J185</f>
        <v>28499.999999999996</v>
      </c>
      <c r="Q120" s="185">
        <f>P120*$O120</f>
        <v>90586.299999999988</v>
      </c>
      <c r="R120" s="94"/>
      <c r="S120" s="94"/>
      <c r="T120" s="94"/>
      <c r="U120" s="94"/>
      <c r="V120" s="94"/>
      <c r="W120" s="94"/>
      <c r="X120" s="94"/>
      <c r="Y120" s="420"/>
      <c r="Z120" s="420"/>
      <c r="AA120" s="94">
        <f t="shared" ref="AA120" si="31">Q120/192.08</f>
        <v>471.60714285714278</v>
      </c>
      <c r="AB120" s="47"/>
    </row>
    <row r="121" spans="1:29" x14ac:dyDescent="0.35">
      <c r="B121" s="129"/>
      <c r="C121" s="130"/>
      <c r="D121" s="130" t="s">
        <v>676</v>
      </c>
      <c r="E121" s="131"/>
      <c r="F121" s="85" t="s">
        <v>763</v>
      </c>
      <c r="G121" s="86" t="s">
        <v>2</v>
      </c>
      <c r="H121" s="87"/>
      <c r="I121" s="88"/>
      <c r="J121" s="217" t="s">
        <v>2</v>
      </c>
      <c r="K121" s="98">
        <v>1</v>
      </c>
      <c r="L121" s="219">
        <f>E2*7000*1.4</f>
        <v>272440</v>
      </c>
      <c r="M121" s="172">
        <f>1/2000</f>
        <v>5.0000000000000001E-4</v>
      </c>
      <c r="N121" s="173">
        <v>1</v>
      </c>
      <c r="O121" s="92">
        <f>K121*L121*M121*N121</f>
        <v>136.22</v>
      </c>
      <c r="P121" s="94">
        <f>P119</f>
        <v>151208.64000000001</v>
      </c>
      <c r="Q121" s="185">
        <f>P121*$O121</f>
        <v>20597640.9408</v>
      </c>
      <c r="R121" s="94"/>
      <c r="S121" s="94"/>
      <c r="T121" s="94"/>
      <c r="U121" s="94"/>
      <c r="V121" s="94"/>
      <c r="W121" s="432"/>
      <c r="X121" s="94" t="s">
        <v>591</v>
      </c>
      <c r="Y121" s="420"/>
      <c r="Z121" s="420"/>
      <c r="AA121" s="94">
        <f t="shared" ref="AA121:AA132" si="32">Q121/$E$2</f>
        <v>740922.33600000001</v>
      </c>
      <c r="AB121" s="47"/>
    </row>
    <row r="122" spans="1:29" x14ac:dyDescent="0.35">
      <c r="B122" s="129"/>
      <c r="C122" s="130"/>
      <c r="D122" s="130" t="s">
        <v>721</v>
      </c>
      <c r="E122" s="131"/>
      <c r="F122" s="85" t="s">
        <v>589</v>
      </c>
      <c r="G122" s="86" t="s">
        <v>19</v>
      </c>
      <c r="H122" s="87"/>
      <c r="I122" s="88"/>
      <c r="J122" s="217" t="s">
        <v>19</v>
      </c>
      <c r="K122" s="221">
        <v>1</v>
      </c>
      <c r="L122" s="219">
        <f>L121</f>
        <v>272440</v>
      </c>
      <c r="M122" s="218">
        <v>1</v>
      </c>
      <c r="N122" s="173">
        <v>1</v>
      </c>
      <c r="O122" s="185">
        <f>K122*L122*M122*N122</f>
        <v>272440</v>
      </c>
      <c r="P122" s="94">
        <v>500</v>
      </c>
      <c r="Q122" s="185">
        <f t="shared" ref="Q122:Q134" si="33">P122*$O122</f>
        <v>136220000</v>
      </c>
      <c r="R122" s="94"/>
      <c r="S122" s="94"/>
      <c r="T122" s="94"/>
      <c r="U122" s="94"/>
      <c r="V122" s="94"/>
      <c r="W122" s="432"/>
      <c r="X122" s="94" t="s">
        <v>603</v>
      </c>
      <c r="Y122" s="420"/>
      <c r="Z122" s="420"/>
      <c r="AA122" s="94">
        <f t="shared" si="32"/>
        <v>4900000</v>
      </c>
      <c r="AB122" s="47"/>
    </row>
    <row r="123" spans="1:29" x14ac:dyDescent="0.35">
      <c r="B123" s="129"/>
      <c r="C123" s="130"/>
      <c r="D123" s="130" t="s">
        <v>722</v>
      </c>
      <c r="E123" s="131"/>
      <c r="F123" s="47" t="s">
        <v>79</v>
      </c>
      <c r="G123" s="132" t="s">
        <v>7</v>
      </c>
      <c r="H123" s="133"/>
      <c r="I123" s="134"/>
      <c r="J123" s="223" t="s">
        <v>7</v>
      </c>
      <c r="K123" s="221">
        <v>1</v>
      </c>
      <c r="L123" s="219">
        <f>L122</f>
        <v>272440</v>
      </c>
      <c r="M123" s="224">
        <f>5/1000</f>
        <v>5.0000000000000001E-3</v>
      </c>
      <c r="N123" s="92">
        <v>1</v>
      </c>
      <c r="O123" s="94">
        <f t="shared" ref="O123:O134" si="34">K123*L123*M123*N123</f>
        <v>1362.2</v>
      </c>
      <c r="P123" s="108">
        <f>VLOOKUP($F123,'Master Harga'!$E$5:$L$348,6,FALSE)</f>
        <v>3220</v>
      </c>
      <c r="Q123" s="185">
        <f t="shared" si="33"/>
        <v>4386284</v>
      </c>
      <c r="R123" s="94"/>
      <c r="S123" s="94"/>
      <c r="T123" s="94"/>
      <c r="U123" s="94"/>
      <c r="V123" s="94"/>
      <c r="W123" s="94"/>
      <c r="X123" s="94" t="s">
        <v>528</v>
      </c>
      <c r="Y123" s="420"/>
      <c r="Z123" s="420"/>
      <c r="AA123" s="94">
        <f t="shared" si="32"/>
        <v>157780</v>
      </c>
      <c r="AB123" s="47"/>
    </row>
    <row r="124" spans="1:29" x14ac:dyDescent="0.35">
      <c r="B124" s="129"/>
      <c r="C124" s="130"/>
      <c r="D124" s="130"/>
      <c r="E124" s="131"/>
      <c r="F124" s="85" t="s">
        <v>22</v>
      </c>
      <c r="G124" s="86" t="s">
        <v>535</v>
      </c>
      <c r="H124" s="87"/>
      <c r="I124" s="88"/>
      <c r="J124" s="217" t="s">
        <v>7</v>
      </c>
      <c r="K124" s="98">
        <v>1</v>
      </c>
      <c r="L124" s="185">
        <f>L122/1000</f>
        <v>272.44</v>
      </c>
      <c r="M124" s="218">
        <v>1</v>
      </c>
      <c r="N124" s="173">
        <v>1</v>
      </c>
      <c r="O124" s="185">
        <f t="shared" si="34"/>
        <v>272.44</v>
      </c>
      <c r="P124" s="108">
        <f>VLOOKUP($F124,'Master Harga'!$E$5:$L$348,6,FALSE)</f>
        <v>26345.760000000002</v>
      </c>
      <c r="Q124" s="185">
        <f t="shared" si="33"/>
        <v>7177638.8544000005</v>
      </c>
      <c r="R124" s="94"/>
      <c r="S124" s="94"/>
      <c r="T124" s="94"/>
      <c r="U124" s="94"/>
      <c r="V124" s="94"/>
      <c r="W124" s="94"/>
      <c r="X124" s="94" t="s">
        <v>528</v>
      </c>
      <c r="Y124" s="420"/>
      <c r="Z124" s="420"/>
      <c r="AA124" s="94">
        <f t="shared" si="32"/>
        <v>258188.448</v>
      </c>
      <c r="AB124" s="47"/>
    </row>
    <row r="125" spans="1:29" x14ac:dyDescent="0.35">
      <c r="B125" s="129"/>
      <c r="C125" s="130"/>
      <c r="D125" s="130"/>
      <c r="E125" s="131"/>
      <c r="F125" s="85" t="s">
        <v>593</v>
      </c>
      <c r="G125" s="86" t="s">
        <v>509</v>
      </c>
      <c r="H125" s="87"/>
      <c r="I125" s="88"/>
      <c r="J125" s="217" t="s">
        <v>509</v>
      </c>
      <c r="K125" s="98">
        <v>1</v>
      </c>
      <c r="L125" s="185">
        <f>L121</f>
        <v>272440</v>
      </c>
      <c r="M125" s="172">
        <f>1/3000</f>
        <v>3.3333333333333332E-4</v>
      </c>
      <c r="N125" s="173">
        <v>1</v>
      </c>
      <c r="O125" s="185">
        <f t="shared" si="34"/>
        <v>90.813333333333333</v>
      </c>
      <c r="P125" s="94">
        <v>200000</v>
      </c>
      <c r="Q125" s="185">
        <f t="shared" si="33"/>
        <v>18162666.666666668</v>
      </c>
      <c r="R125" s="94"/>
      <c r="S125" s="94"/>
      <c r="T125" s="94"/>
      <c r="U125" s="94"/>
      <c r="V125" s="94"/>
      <c r="W125" s="432"/>
      <c r="X125" s="94" t="s">
        <v>597</v>
      </c>
      <c r="Y125" s="420"/>
      <c r="Z125" s="420"/>
      <c r="AA125" s="94">
        <f t="shared" si="32"/>
        <v>653333.33333333337</v>
      </c>
      <c r="AB125" s="47"/>
    </row>
    <row r="126" spans="1:29" x14ac:dyDescent="0.35">
      <c r="B126" s="129"/>
      <c r="C126" s="130"/>
      <c r="D126" s="130"/>
      <c r="E126" s="131"/>
      <c r="F126" s="85" t="s">
        <v>526</v>
      </c>
      <c r="G126" s="86" t="s">
        <v>509</v>
      </c>
      <c r="H126" s="87"/>
      <c r="I126" s="88"/>
      <c r="J126" s="217" t="s">
        <v>509</v>
      </c>
      <c r="K126" s="98">
        <v>1</v>
      </c>
      <c r="L126" s="173">
        <f>2*L123/1400</f>
        <v>389.2</v>
      </c>
      <c r="M126" s="173">
        <f>1/5</f>
        <v>0.2</v>
      </c>
      <c r="N126" s="173">
        <v>1</v>
      </c>
      <c r="O126" s="218">
        <f t="shared" si="34"/>
        <v>77.84</v>
      </c>
      <c r="P126" s="108">
        <f>VLOOKUP($F126,'Master Harga'!$E$5:$L$348,6,FALSE)</f>
        <v>84360</v>
      </c>
      <c r="Q126" s="185">
        <f t="shared" si="33"/>
        <v>6566582.4000000004</v>
      </c>
      <c r="R126" s="94"/>
      <c r="S126" s="94"/>
      <c r="T126" s="94"/>
      <c r="U126" s="94"/>
      <c r="V126" s="94"/>
      <c r="W126" s="432"/>
      <c r="X126" s="94" t="s">
        <v>600</v>
      </c>
      <c r="Y126" s="420"/>
      <c r="Z126" s="420"/>
      <c r="AA126" s="94">
        <f t="shared" si="32"/>
        <v>236208</v>
      </c>
      <c r="AB126" s="47"/>
    </row>
    <row r="127" spans="1:29" x14ac:dyDescent="0.35">
      <c r="B127" s="129"/>
      <c r="C127" s="130"/>
      <c r="D127" s="130" t="s">
        <v>688</v>
      </c>
      <c r="E127" s="131"/>
      <c r="F127" s="85" t="s">
        <v>121</v>
      </c>
      <c r="G127" s="86" t="s">
        <v>117</v>
      </c>
      <c r="H127" s="87"/>
      <c r="I127" s="88"/>
      <c r="J127" s="217" t="s">
        <v>117</v>
      </c>
      <c r="K127" s="98">
        <v>1</v>
      </c>
      <c r="L127" s="185">
        <f>L122*0.3</f>
        <v>81732</v>
      </c>
      <c r="M127" s="172">
        <v>5.5999999999999995E-4</v>
      </c>
      <c r="N127" s="173">
        <v>1</v>
      </c>
      <c r="O127" s="218">
        <f>K127*L127*M127*N127</f>
        <v>45.769919999999999</v>
      </c>
      <c r="P127" s="108">
        <f>VLOOKUP($F127,'Master Harga'!$E$5:$L$348,6,FALSE)</f>
        <v>680210.06624999992</v>
      </c>
      <c r="Q127" s="185">
        <f t="shared" si="33"/>
        <v>31133160.315457195</v>
      </c>
      <c r="R127" s="94"/>
      <c r="S127" s="94"/>
      <c r="T127" s="94"/>
      <c r="U127" s="94"/>
      <c r="V127" s="94"/>
      <c r="W127" s="432"/>
      <c r="X127" s="94" t="s">
        <v>600</v>
      </c>
      <c r="Y127" s="420"/>
      <c r="Z127" s="420"/>
      <c r="AA127" s="94">
        <f t="shared" si="32"/>
        <v>1119897.8530739998</v>
      </c>
      <c r="AB127" s="47"/>
    </row>
    <row r="128" spans="1:29" x14ac:dyDescent="0.35">
      <c r="B128" s="225"/>
      <c r="C128" s="226"/>
      <c r="D128" s="226" t="s">
        <v>572</v>
      </c>
      <c r="E128" s="227"/>
      <c r="F128" s="85" t="s">
        <v>3</v>
      </c>
      <c r="G128" s="86" t="s">
        <v>2</v>
      </c>
      <c r="H128" s="87"/>
      <c r="I128" s="88"/>
      <c r="J128" s="217" t="s">
        <v>2</v>
      </c>
      <c r="K128" s="98">
        <v>1</v>
      </c>
      <c r="L128" s="185">
        <f>L122</f>
        <v>272440</v>
      </c>
      <c r="M128" s="172">
        <f>1/4500</f>
        <v>2.2222222222222223E-4</v>
      </c>
      <c r="N128" s="173">
        <v>1</v>
      </c>
      <c r="O128" s="92">
        <f t="shared" si="34"/>
        <v>60.542222222222222</v>
      </c>
      <c r="P128" s="108">
        <f>VLOOKUP($F128,'Master Harga'!$E$5:$L$348,6,FALSE)</f>
        <v>151208.64000000001</v>
      </c>
      <c r="Q128" s="185">
        <f t="shared" si="33"/>
        <v>9154507.0848000012</v>
      </c>
      <c r="R128" s="94"/>
      <c r="S128" s="94"/>
      <c r="T128" s="94"/>
      <c r="U128" s="94"/>
      <c r="V128" s="94"/>
      <c r="W128" s="424"/>
      <c r="X128" s="185"/>
      <c r="Y128" s="420"/>
      <c r="Z128" s="420"/>
      <c r="AA128" s="94">
        <f t="shared" si="32"/>
        <v>329298.81600000005</v>
      </c>
      <c r="AB128" s="47"/>
    </row>
    <row r="129" spans="2:28" x14ac:dyDescent="0.35">
      <c r="B129" s="228"/>
      <c r="C129" s="229"/>
      <c r="D129" s="229"/>
      <c r="E129" s="230"/>
      <c r="F129" s="85" t="s">
        <v>47</v>
      </c>
      <c r="G129" s="86" t="s">
        <v>104</v>
      </c>
      <c r="H129" s="87"/>
      <c r="I129" s="88"/>
      <c r="J129" s="89" t="s">
        <v>560</v>
      </c>
      <c r="K129" s="98">
        <v>1</v>
      </c>
      <c r="L129" s="99">
        <f>L121/5000</f>
        <v>54.488</v>
      </c>
      <c r="M129" s="184">
        <f>6/62</f>
        <v>9.6774193548387094E-2</v>
      </c>
      <c r="N129" s="173">
        <v>1</v>
      </c>
      <c r="O129" s="92">
        <f t="shared" si="34"/>
        <v>5.2730322580645161</v>
      </c>
      <c r="P129" s="108">
        <f>VLOOKUP($F129,'Master Harga'!$E$5:$L$348,6,FALSE)</f>
        <v>2268000</v>
      </c>
      <c r="Q129" s="185">
        <f t="shared" si="33"/>
        <v>11959237.161290323</v>
      </c>
      <c r="R129" s="94"/>
      <c r="S129" s="94"/>
      <c r="T129" s="94"/>
      <c r="U129" s="94"/>
      <c r="V129" s="94"/>
      <c r="W129" s="424"/>
      <c r="X129" s="185"/>
      <c r="Y129" s="420"/>
      <c r="Z129" s="420"/>
      <c r="AA129" s="94">
        <f t="shared" si="32"/>
        <v>430188.38709677418</v>
      </c>
      <c r="AB129" s="47"/>
    </row>
    <row r="130" spans="2:28" x14ac:dyDescent="0.35">
      <c r="B130" s="228" t="s">
        <v>689</v>
      </c>
      <c r="C130" s="229"/>
      <c r="D130" s="229"/>
      <c r="E130" s="229"/>
      <c r="F130" s="85" t="s">
        <v>3</v>
      </c>
      <c r="G130" s="86" t="s">
        <v>2</v>
      </c>
      <c r="H130" s="87"/>
      <c r="I130" s="88"/>
      <c r="J130" s="217" t="s">
        <v>2</v>
      </c>
      <c r="K130" s="98">
        <v>1</v>
      </c>
      <c r="L130" s="185">
        <f>L122</f>
        <v>272440</v>
      </c>
      <c r="M130" s="172">
        <f>1/5000</f>
        <v>2.0000000000000001E-4</v>
      </c>
      <c r="N130" s="173">
        <v>1</v>
      </c>
      <c r="O130" s="92">
        <f t="shared" si="34"/>
        <v>54.488</v>
      </c>
      <c r="P130" s="108">
        <f>VLOOKUP($F130,'Master Harga'!$E$5:$L$348,6,FALSE)</f>
        <v>151208.64000000001</v>
      </c>
      <c r="Q130" s="185">
        <f t="shared" si="33"/>
        <v>8239056.3763200007</v>
      </c>
      <c r="R130" s="94"/>
      <c r="S130" s="94"/>
      <c r="T130" s="94"/>
      <c r="U130" s="94"/>
      <c r="V130" s="94"/>
      <c r="W130" s="424"/>
      <c r="X130" s="185"/>
      <c r="Y130" s="420"/>
      <c r="Z130" s="420"/>
      <c r="AA130" s="94">
        <f t="shared" si="32"/>
        <v>296368.93440000003</v>
      </c>
      <c r="AB130" s="47"/>
    </row>
    <row r="131" spans="2:28" x14ac:dyDescent="0.35">
      <c r="B131" s="228" t="s">
        <v>594</v>
      </c>
      <c r="C131" s="229"/>
      <c r="D131" s="229"/>
      <c r="E131" s="229"/>
      <c r="F131" s="85" t="s">
        <v>3</v>
      </c>
      <c r="G131" s="86" t="s">
        <v>2</v>
      </c>
      <c r="H131" s="87"/>
      <c r="I131" s="88"/>
      <c r="J131" s="217" t="s">
        <v>2</v>
      </c>
      <c r="K131" s="98">
        <v>1</v>
      </c>
      <c r="L131" s="185">
        <f>L130</f>
        <v>272440</v>
      </c>
      <c r="M131" s="172">
        <f>1/5000</f>
        <v>2.0000000000000001E-4</v>
      </c>
      <c r="N131" s="173">
        <v>1</v>
      </c>
      <c r="O131" s="92">
        <f t="shared" si="34"/>
        <v>54.488</v>
      </c>
      <c r="P131" s="108">
        <f>VLOOKUP($F131,'Master Harga'!$E$5:$L$348,6,FALSE)</f>
        <v>151208.64000000001</v>
      </c>
      <c r="Q131" s="185">
        <f t="shared" si="33"/>
        <v>8239056.3763200007</v>
      </c>
      <c r="R131" s="94"/>
      <c r="S131" s="94"/>
      <c r="T131" s="94"/>
      <c r="U131" s="94"/>
      <c r="V131" s="94"/>
      <c r="W131" s="424"/>
      <c r="X131" s="185" t="s">
        <v>595</v>
      </c>
      <c r="Y131" s="420"/>
      <c r="Z131" s="420"/>
      <c r="AA131" s="94">
        <f t="shared" si="32"/>
        <v>296368.93440000003</v>
      </c>
      <c r="AB131" s="47"/>
    </row>
    <row r="132" spans="2:28" x14ac:dyDescent="0.35">
      <c r="B132" s="231" t="s">
        <v>599</v>
      </c>
      <c r="C132" s="232"/>
      <c r="D132" s="232"/>
      <c r="E132" s="232"/>
      <c r="F132" s="85" t="s">
        <v>3</v>
      </c>
      <c r="G132" s="86" t="s">
        <v>2</v>
      </c>
      <c r="H132" s="87"/>
      <c r="I132" s="88"/>
      <c r="J132" s="217" t="s">
        <v>2</v>
      </c>
      <c r="K132" s="98">
        <v>1</v>
      </c>
      <c r="L132" s="185">
        <f>L131</f>
        <v>272440</v>
      </c>
      <c r="M132" s="233">
        <f>1/50000</f>
        <v>2.0000000000000002E-5</v>
      </c>
      <c r="N132" s="173">
        <v>1</v>
      </c>
      <c r="O132" s="92">
        <f t="shared" si="34"/>
        <v>5.4488000000000003</v>
      </c>
      <c r="P132" s="108">
        <f>VLOOKUP($F132,'Master Harga'!$E$5:$L$348,6,FALSE)</f>
        <v>151208.64000000001</v>
      </c>
      <c r="Q132" s="185">
        <f t="shared" si="33"/>
        <v>823905.63763200014</v>
      </c>
      <c r="R132" s="94"/>
      <c r="S132" s="94"/>
      <c r="T132" s="94"/>
      <c r="U132" s="94"/>
      <c r="V132" s="94"/>
      <c r="W132" s="424"/>
      <c r="X132" s="185"/>
      <c r="Y132" s="420"/>
      <c r="Z132" s="420"/>
      <c r="AA132" s="94">
        <f t="shared" si="32"/>
        <v>29636.893440000003</v>
      </c>
      <c r="AB132" s="47"/>
    </row>
    <row r="133" spans="2:28" ht="14.25" customHeight="1" x14ac:dyDescent="0.35">
      <c r="B133" s="228"/>
      <c r="C133" s="229"/>
      <c r="D133" s="229"/>
      <c r="E133" s="230"/>
      <c r="F133" s="234" t="s">
        <v>565</v>
      </c>
      <c r="G133" s="235" t="s">
        <v>17</v>
      </c>
      <c r="H133" s="236"/>
      <c r="I133" s="237"/>
      <c r="J133" s="238" t="s">
        <v>17</v>
      </c>
      <c r="K133" s="166">
        <v>1</v>
      </c>
      <c r="L133" s="239">
        <v>1</v>
      </c>
      <c r="M133" s="177">
        <v>1</v>
      </c>
      <c r="N133" s="169">
        <v>1</v>
      </c>
      <c r="O133" s="122">
        <f t="shared" si="34"/>
        <v>1</v>
      </c>
      <c r="P133" s="108">
        <v>5592015</v>
      </c>
      <c r="Q133" s="177">
        <f t="shared" si="33"/>
        <v>5592015</v>
      </c>
      <c r="R133" s="108"/>
      <c r="S133" s="108"/>
      <c r="T133" s="108"/>
      <c r="U133" s="108"/>
      <c r="V133" s="108"/>
      <c r="W133" s="424"/>
      <c r="X133" s="433" t="s">
        <v>596</v>
      </c>
      <c r="Y133" s="420"/>
      <c r="Z133" s="420"/>
      <c r="AA133" s="108">
        <f>Q133/$E$2</f>
        <v>201151.61870503597</v>
      </c>
      <c r="AB133" s="47"/>
    </row>
    <row r="134" spans="2:28" x14ac:dyDescent="0.35">
      <c r="B134" s="87"/>
      <c r="C134" s="88"/>
      <c r="D134" s="88" t="s">
        <v>677</v>
      </c>
      <c r="E134" s="160"/>
      <c r="F134" s="85" t="s">
        <v>3</v>
      </c>
      <c r="G134" s="86" t="s">
        <v>2</v>
      </c>
      <c r="H134" s="87"/>
      <c r="I134" s="88"/>
      <c r="J134" s="89" t="s">
        <v>113</v>
      </c>
      <c r="K134" s="98">
        <v>1</v>
      </c>
      <c r="L134" s="99">
        <f>E2</f>
        <v>27.8</v>
      </c>
      <c r="M134" s="218">
        <v>5</v>
      </c>
      <c r="N134" s="173">
        <v>1</v>
      </c>
      <c r="O134" s="173">
        <f t="shared" si="34"/>
        <v>139</v>
      </c>
      <c r="P134" s="108">
        <f>VLOOKUP($F134,'Master Harga'!$E$5:$L$348,6,FALSE)</f>
        <v>151208.64000000001</v>
      </c>
      <c r="Q134" s="94">
        <f t="shared" si="33"/>
        <v>21018000.960000001</v>
      </c>
      <c r="R134" s="94">
        <f>VLOOKUP($F134,'Master Harga'!$E$5:$L$348,6,FALSE)</f>
        <v>151208.64000000001</v>
      </c>
      <c r="S134" s="94">
        <f>R134*$O134</f>
        <v>21018000.960000001</v>
      </c>
      <c r="T134" s="94">
        <f>VLOOKUP($F134,'Master Harga'!$E$5:$L$348,7,FALSE)</f>
        <v>163305.33120000002</v>
      </c>
      <c r="U134" s="94">
        <f>T134*$O134</f>
        <v>22699441.036800001</v>
      </c>
      <c r="V134" s="94">
        <f>W134/O134</f>
        <v>155240.87039999999</v>
      </c>
      <c r="W134" s="424">
        <f>AVERAGEIF($P$4:$U$4,W$4,$P134:$U134)</f>
        <v>21578480.985599998</v>
      </c>
      <c r="X134" s="94" t="s">
        <v>584</v>
      </c>
      <c r="Y134" s="420"/>
      <c r="Z134" s="420"/>
      <c r="AA134" s="108">
        <f>Q134/$E$2</f>
        <v>756043.20000000007</v>
      </c>
      <c r="AB134" s="47"/>
    </row>
    <row r="135" spans="2:28" hidden="1" x14ac:dyDescent="0.35">
      <c r="B135" s="95"/>
      <c r="C135" s="96"/>
      <c r="D135" s="96" t="s">
        <v>163</v>
      </c>
      <c r="E135" s="97"/>
      <c r="F135" s="85" t="s">
        <v>3</v>
      </c>
      <c r="G135" s="86" t="s">
        <v>2</v>
      </c>
      <c r="H135" s="87"/>
      <c r="I135" s="88"/>
      <c r="J135" s="89"/>
      <c r="K135" s="90"/>
      <c r="L135" s="90"/>
      <c r="M135" s="91">
        <v>1</v>
      </c>
      <c r="N135" s="92">
        <v>1</v>
      </c>
      <c r="O135" s="92"/>
      <c r="P135" s="94"/>
      <c r="Q135" s="94"/>
      <c r="R135" s="94"/>
      <c r="S135" s="94"/>
      <c r="T135" s="94"/>
      <c r="U135" s="94"/>
      <c r="V135" s="94"/>
      <c r="W135" s="94"/>
      <c r="X135" s="94"/>
      <c r="Y135" s="420"/>
      <c r="Z135" s="420"/>
      <c r="AA135" s="94"/>
      <c r="AB135" s="47"/>
    </row>
    <row r="136" spans="2:28" hidden="1" x14ac:dyDescent="0.35">
      <c r="B136" s="129"/>
      <c r="C136" s="130"/>
      <c r="D136" s="130"/>
      <c r="E136" s="131"/>
      <c r="F136" s="85" t="s">
        <v>62</v>
      </c>
      <c r="G136" s="86" t="s">
        <v>63</v>
      </c>
      <c r="H136" s="87"/>
      <c r="I136" s="88"/>
      <c r="J136" s="89"/>
      <c r="K136" s="90"/>
      <c r="L136" s="90"/>
      <c r="M136" s="91">
        <v>0.6</v>
      </c>
      <c r="N136" s="92">
        <v>1</v>
      </c>
      <c r="O136" s="92"/>
      <c r="P136" s="94"/>
      <c r="Q136" s="94"/>
      <c r="R136" s="94"/>
      <c r="S136" s="94"/>
      <c r="T136" s="94"/>
      <c r="U136" s="94"/>
      <c r="V136" s="94"/>
      <c r="W136" s="94"/>
      <c r="X136" s="94"/>
      <c r="Y136" s="420"/>
      <c r="Z136" s="420"/>
      <c r="AA136" s="94"/>
      <c r="AB136" s="47"/>
    </row>
    <row r="137" spans="2:28" hidden="1" x14ac:dyDescent="0.35">
      <c r="B137" s="129"/>
      <c r="C137" s="130"/>
      <c r="D137" s="130"/>
      <c r="E137" s="131"/>
      <c r="F137" s="85" t="s">
        <v>64</v>
      </c>
      <c r="G137" s="86" t="s">
        <v>7</v>
      </c>
      <c r="H137" s="87"/>
      <c r="I137" s="88"/>
      <c r="J137" s="89"/>
      <c r="K137" s="90"/>
      <c r="L137" s="90"/>
      <c r="M137" s="91">
        <f>24/1000</f>
        <v>2.4E-2</v>
      </c>
      <c r="N137" s="92">
        <v>1</v>
      </c>
      <c r="O137" s="92"/>
      <c r="P137" s="94"/>
      <c r="Q137" s="94"/>
      <c r="R137" s="94"/>
      <c r="S137" s="94"/>
      <c r="T137" s="94"/>
      <c r="U137" s="94"/>
      <c r="V137" s="94"/>
      <c r="W137" s="94"/>
      <c r="X137" s="94"/>
      <c r="Y137" s="420"/>
      <c r="Z137" s="420"/>
      <c r="AA137" s="94"/>
      <c r="AB137" s="47"/>
    </row>
    <row r="138" spans="2:28" hidden="1" x14ac:dyDescent="0.35">
      <c r="B138" s="129"/>
      <c r="C138" s="130"/>
      <c r="D138" s="130"/>
      <c r="E138" s="131"/>
      <c r="F138" s="85" t="s">
        <v>65</v>
      </c>
      <c r="G138" s="86" t="s">
        <v>63</v>
      </c>
      <c r="H138" s="87"/>
      <c r="I138" s="88"/>
      <c r="J138" s="89"/>
      <c r="K138" s="90"/>
      <c r="L138" s="90"/>
      <c r="M138" s="91">
        <v>0.18</v>
      </c>
      <c r="N138" s="92">
        <v>1</v>
      </c>
      <c r="O138" s="92"/>
      <c r="P138" s="94"/>
      <c r="Q138" s="94"/>
      <c r="R138" s="94"/>
      <c r="S138" s="94"/>
      <c r="T138" s="94"/>
      <c r="U138" s="94"/>
      <c r="V138" s="94"/>
      <c r="W138" s="94"/>
      <c r="X138" s="94"/>
      <c r="Y138" s="420"/>
      <c r="Z138" s="420"/>
      <c r="AA138" s="94"/>
      <c r="AB138" s="47"/>
    </row>
    <row r="139" spans="2:28" hidden="1" x14ac:dyDescent="0.35">
      <c r="B139" s="129"/>
      <c r="C139" s="130"/>
      <c r="D139" s="130"/>
      <c r="E139" s="131"/>
      <c r="F139" s="85" t="s">
        <v>287</v>
      </c>
      <c r="G139" s="86" t="s">
        <v>19</v>
      </c>
      <c r="H139" s="87"/>
      <c r="I139" s="88"/>
      <c r="J139" s="89"/>
      <c r="K139" s="90"/>
      <c r="L139" s="90"/>
      <c r="M139" s="91">
        <v>0.01</v>
      </c>
      <c r="N139" s="92">
        <v>1</v>
      </c>
      <c r="O139" s="92"/>
      <c r="P139" s="94"/>
      <c r="Q139" s="94"/>
      <c r="R139" s="94"/>
      <c r="S139" s="94"/>
      <c r="T139" s="94"/>
      <c r="U139" s="94"/>
      <c r="V139" s="94"/>
      <c r="W139" s="94"/>
      <c r="X139" s="94"/>
      <c r="Y139" s="420"/>
      <c r="Z139" s="420"/>
      <c r="AA139" s="94"/>
      <c r="AB139" s="47"/>
    </row>
    <row r="140" spans="2:28" hidden="1" x14ac:dyDescent="0.35">
      <c r="B140" s="129"/>
      <c r="C140" s="130"/>
      <c r="D140" s="130"/>
      <c r="E140" s="131"/>
      <c r="F140" s="85" t="s">
        <v>11</v>
      </c>
      <c r="G140" s="86" t="s">
        <v>2</v>
      </c>
      <c r="H140" s="87"/>
      <c r="I140" s="88"/>
      <c r="J140" s="89"/>
      <c r="K140" s="90"/>
      <c r="L140" s="90"/>
      <c r="M140" s="91">
        <v>1</v>
      </c>
      <c r="N140" s="92">
        <v>1</v>
      </c>
      <c r="O140" s="92"/>
      <c r="P140" s="94"/>
      <c r="Q140" s="94"/>
      <c r="R140" s="94"/>
      <c r="S140" s="94"/>
      <c r="T140" s="94"/>
      <c r="U140" s="94"/>
      <c r="V140" s="94"/>
      <c r="W140" s="94"/>
      <c r="X140" s="94"/>
      <c r="Y140" s="420"/>
      <c r="Z140" s="420"/>
      <c r="AA140" s="94"/>
      <c r="AB140" s="47"/>
    </row>
    <row r="141" spans="2:28" hidden="1" x14ac:dyDescent="0.35">
      <c r="B141" s="129"/>
      <c r="C141" s="130"/>
      <c r="D141" s="130"/>
      <c r="E141" s="131"/>
      <c r="F141" s="47" t="s">
        <v>27</v>
      </c>
      <c r="G141" s="132" t="s">
        <v>19</v>
      </c>
      <c r="H141" s="133">
        <v>4</v>
      </c>
      <c r="I141" s="134" t="s">
        <v>190</v>
      </c>
      <c r="J141" s="47"/>
      <c r="K141" s="241"/>
      <c r="L141" s="241"/>
      <c r="M141" s="154">
        <f>((M$135*N$135)/240*($H141/N141))</f>
        <v>1.6666666666666666E-2</v>
      </c>
      <c r="N141" s="92">
        <v>1</v>
      </c>
      <c r="O141" s="92"/>
      <c r="P141" s="94"/>
      <c r="Q141" s="94"/>
      <c r="R141" s="94"/>
      <c r="S141" s="94"/>
      <c r="T141" s="94"/>
      <c r="U141" s="94"/>
      <c r="V141" s="94"/>
      <c r="W141" s="94"/>
      <c r="X141" s="94"/>
      <c r="Y141" s="420"/>
      <c r="Z141" s="420"/>
      <c r="AA141" s="94"/>
      <c r="AB141" s="47"/>
    </row>
    <row r="142" spans="2:28" hidden="1" x14ac:dyDescent="0.35">
      <c r="B142" s="129"/>
      <c r="C142" s="130"/>
      <c r="D142" s="130"/>
      <c r="E142" s="131"/>
      <c r="F142" s="47" t="s">
        <v>193</v>
      </c>
      <c r="G142" s="132" t="s">
        <v>19</v>
      </c>
      <c r="H142" s="133">
        <v>12</v>
      </c>
      <c r="I142" s="134" t="s">
        <v>190</v>
      </c>
      <c r="J142" s="47"/>
      <c r="K142" s="241"/>
      <c r="L142" s="241"/>
      <c r="M142" s="154">
        <f>((M$135*N$135)/240*($H142/N142))</f>
        <v>0.05</v>
      </c>
      <c r="N142" s="92">
        <v>1</v>
      </c>
      <c r="O142" s="92"/>
      <c r="P142" s="94"/>
      <c r="Q142" s="94"/>
      <c r="R142" s="94"/>
      <c r="S142" s="94"/>
      <c r="T142" s="94"/>
      <c r="U142" s="94"/>
      <c r="V142" s="94"/>
      <c r="W142" s="94"/>
      <c r="X142" s="94"/>
      <c r="Y142" s="420"/>
      <c r="Z142" s="420"/>
      <c r="AA142" s="94"/>
      <c r="AB142" s="47"/>
    </row>
    <row r="143" spans="2:28" hidden="1" x14ac:dyDescent="0.35">
      <c r="B143" s="129"/>
      <c r="C143" s="130"/>
      <c r="D143" s="130"/>
      <c r="E143" s="131"/>
      <c r="F143" s="47" t="s">
        <v>138</v>
      </c>
      <c r="G143" s="132" t="s">
        <v>19</v>
      </c>
      <c r="H143" s="133">
        <v>1</v>
      </c>
      <c r="I143" s="134" t="s">
        <v>190</v>
      </c>
      <c r="J143" s="47"/>
      <c r="K143" s="241"/>
      <c r="L143" s="241"/>
      <c r="M143" s="154">
        <f>((M$135*N$135)/240*($H143/N143))</f>
        <v>4.1666666666666666E-3</v>
      </c>
      <c r="N143" s="92">
        <v>1</v>
      </c>
      <c r="O143" s="92"/>
      <c r="P143" s="94"/>
      <c r="Q143" s="94"/>
      <c r="R143" s="94"/>
      <c r="S143" s="94"/>
      <c r="T143" s="94"/>
      <c r="U143" s="94"/>
      <c r="V143" s="94"/>
      <c r="W143" s="94"/>
      <c r="X143" s="94"/>
      <c r="Y143" s="420"/>
      <c r="Z143" s="420"/>
      <c r="AA143" s="94"/>
      <c r="AB143" s="47"/>
    </row>
    <row r="144" spans="2:28" hidden="1" x14ac:dyDescent="0.35">
      <c r="B144" s="129"/>
      <c r="C144" s="130"/>
      <c r="D144" s="130"/>
      <c r="E144" s="131"/>
      <c r="F144" s="47" t="s">
        <v>55</v>
      </c>
      <c r="G144" s="132" t="s">
        <v>19</v>
      </c>
      <c r="H144" s="133">
        <v>2</v>
      </c>
      <c r="I144" s="134" t="s">
        <v>190</v>
      </c>
      <c r="J144" s="47"/>
      <c r="K144" s="241"/>
      <c r="L144" s="241"/>
      <c r="M144" s="154">
        <f>((M$135*N$135)/240*($H144/N144))</f>
        <v>8.3333333333333332E-3</v>
      </c>
      <c r="N144" s="92">
        <v>1</v>
      </c>
      <c r="O144" s="92"/>
      <c r="P144" s="94"/>
      <c r="Q144" s="94"/>
      <c r="R144" s="94"/>
      <c r="S144" s="94"/>
      <c r="T144" s="94"/>
      <c r="U144" s="94"/>
      <c r="V144" s="94"/>
      <c r="W144" s="94"/>
      <c r="X144" s="94"/>
      <c r="Y144" s="420"/>
      <c r="Z144" s="420"/>
      <c r="AA144" s="94"/>
      <c r="AB144" s="47"/>
    </row>
    <row r="145" spans="2:29" hidden="1" x14ac:dyDescent="0.35">
      <c r="B145" s="136"/>
      <c r="C145" s="137"/>
      <c r="D145" s="137"/>
      <c r="E145" s="143"/>
      <c r="F145" s="47" t="s">
        <v>56</v>
      </c>
      <c r="G145" s="132" t="s">
        <v>19</v>
      </c>
      <c r="H145" s="133">
        <v>1</v>
      </c>
      <c r="I145" s="134" t="s">
        <v>190</v>
      </c>
      <c r="J145" s="47"/>
      <c r="K145" s="241"/>
      <c r="L145" s="241"/>
      <c r="M145" s="154">
        <f>((M$135*N$135)/240*($H145/N145))</f>
        <v>4.1666666666666666E-3</v>
      </c>
      <c r="N145" s="92">
        <v>1</v>
      </c>
      <c r="O145" s="92"/>
      <c r="P145" s="94"/>
      <c r="Q145" s="94"/>
      <c r="R145" s="94"/>
      <c r="S145" s="94"/>
      <c r="T145" s="94"/>
      <c r="U145" s="94"/>
      <c r="V145" s="94"/>
      <c r="W145" s="94"/>
      <c r="X145" s="94"/>
      <c r="Y145" s="420"/>
      <c r="Z145" s="420"/>
      <c r="AA145" s="94"/>
      <c r="AB145" s="47"/>
    </row>
    <row r="146" spans="2:29" hidden="1" x14ac:dyDescent="0.35">
      <c r="B146" s="95"/>
      <c r="C146" s="96"/>
      <c r="D146" s="96" t="s">
        <v>139</v>
      </c>
      <c r="E146" s="97"/>
      <c r="F146" s="85" t="s">
        <v>3</v>
      </c>
      <c r="G146" s="86" t="s">
        <v>2</v>
      </c>
      <c r="H146" s="87"/>
      <c r="I146" s="88"/>
      <c r="J146" s="89"/>
      <c r="K146" s="98"/>
      <c r="L146" s="90">
        <v>1</v>
      </c>
      <c r="M146" s="91">
        <v>1.5</v>
      </c>
      <c r="N146" s="92">
        <v>1</v>
      </c>
      <c r="O146" s="92">
        <f>K146*L146*M146*N146</f>
        <v>0</v>
      </c>
      <c r="P146" s="94">
        <f>VLOOKUP($F146,'Master Harga'!$E$5:$L$348,5,FALSE)</f>
        <v>140008</v>
      </c>
      <c r="Q146" s="94">
        <f>P146*$O146</f>
        <v>0</v>
      </c>
      <c r="R146" s="94">
        <f>VLOOKUP($F146,'Master Harga'!$E$5:$L$348,6,FALSE)</f>
        <v>151208.64000000001</v>
      </c>
      <c r="S146" s="94">
        <f>R146*$O146</f>
        <v>0</v>
      </c>
      <c r="T146" s="94">
        <f>VLOOKUP($F146,'Master Harga'!$E$5:$L$348,7,FALSE)</f>
        <v>163305.33120000002</v>
      </c>
      <c r="U146" s="94">
        <f>T146*$O146</f>
        <v>0</v>
      </c>
      <c r="V146" s="94" t="e">
        <f>W146/O146</f>
        <v>#DIV/0!</v>
      </c>
      <c r="W146" s="424">
        <f>AVERAGEIF($P$4:$U$4,W$4,$P146:$U146)</f>
        <v>0</v>
      </c>
      <c r="X146" s="94"/>
      <c r="Y146" s="420"/>
      <c r="Z146" s="420"/>
      <c r="AA146" s="94"/>
      <c r="AB146" s="47"/>
    </row>
    <row r="147" spans="2:29" hidden="1" x14ac:dyDescent="0.35">
      <c r="B147" s="129"/>
      <c r="C147" s="130"/>
      <c r="D147" s="130"/>
      <c r="E147" s="131"/>
      <c r="F147" s="85" t="s">
        <v>62</v>
      </c>
      <c r="G147" s="86" t="s">
        <v>63</v>
      </c>
      <c r="H147" s="87"/>
      <c r="I147" s="88"/>
      <c r="J147" s="89"/>
      <c r="K147" s="98"/>
      <c r="L147" s="90">
        <v>1</v>
      </c>
      <c r="M147" s="91">
        <v>1.5</v>
      </c>
      <c r="N147" s="92">
        <v>2</v>
      </c>
      <c r="O147" s="92">
        <f t="shared" ref="O147:O155" si="35">K147*L147*M147*N147</f>
        <v>0</v>
      </c>
      <c r="P147" s="94">
        <f>VLOOKUP($F147,'Master Harga'!$E$5:$L$348,5,FALSE)</f>
        <v>36352.800000000003</v>
      </c>
      <c r="Q147" s="94">
        <f t="shared" ref="Q147:Q155" si="36">P147*$O147</f>
        <v>0</v>
      </c>
      <c r="R147" s="94">
        <f>VLOOKUP($F147,'Master Harga'!$E$5:$L$348,6,FALSE)</f>
        <v>35343</v>
      </c>
      <c r="S147" s="94">
        <f t="shared" ref="S147:S155" si="37">R147*$O147</f>
        <v>0</v>
      </c>
      <c r="T147" s="94">
        <f>VLOOKUP($F147,'Master Harga'!$E$5:$L$348,7,FALSE)</f>
        <v>40291.019999999997</v>
      </c>
      <c r="U147" s="94">
        <f t="shared" ref="U147:U155" si="38">T147*$O147</f>
        <v>0</v>
      </c>
      <c r="V147" s="94" t="e">
        <f t="shared" ref="V147:V155" si="39">W147/O147</f>
        <v>#DIV/0!</v>
      </c>
      <c r="W147" s="424">
        <f t="shared" ref="W147:W155" si="40">AVERAGEIF($P$4:$U$4,W$4,$P147:$U147)</f>
        <v>0</v>
      </c>
      <c r="X147" s="94"/>
      <c r="Y147" s="420"/>
      <c r="Z147" s="420"/>
      <c r="AA147" s="94"/>
      <c r="AB147" s="47"/>
    </row>
    <row r="148" spans="2:29" hidden="1" x14ac:dyDescent="0.35">
      <c r="B148" s="129"/>
      <c r="C148" s="130"/>
      <c r="D148" s="130"/>
      <c r="E148" s="131"/>
      <c r="F148" s="85" t="s">
        <v>65</v>
      </c>
      <c r="G148" s="86" t="s">
        <v>63</v>
      </c>
      <c r="H148" s="87"/>
      <c r="I148" s="88"/>
      <c r="J148" s="89"/>
      <c r="K148" s="98"/>
      <c r="L148" s="90">
        <v>1</v>
      </c>
      <c r="M148" s="91">
        <v>2.7E-2</v>
      </c>
      <c r="N148" s="92">
        <v>2</v>
      </c>
      <c r="O148" s="92">
        <f t="shared" si="35"/>
        <v>0</v>
      </c>
      <c r="P148" s="94">
        <f>VLOOKUP($F148,'Master Harga'!$E$5:$L$348,5,FALSE)</f>
        <v>46267.199999999997</v>
      </c>
      <c r="Q148" s="94">
        <f t="shared" si="36"/>
        <v>0</v>
      </c>
      <c r="R148" s="94">
        <f>VLOOKUP($F148,'Master Harga'!$E$5:$L$348,6,FALSE)</f>
        <v>44982</v>
      </c>
      <c r="S148" s="94">
        <f t="shared" si="37"/>
        <v>0</v>
      </c>
      <c r="T148" s="94">
        <f>VLOOKUP($F148,'Master Harga'!$E$5:$L$348,7,FALSE)</f>
        <v>51279.479999999996</v>
      </c>
      <c r="U148" s="94">
        <f t="shared" si="38"/>
        <v>0</v>
      </c>
      <c r="V148" s="94" t="e">
        <f t="shared" si="39"/>
        <v>#DIV/0!</v>
      </c>
      <c r="W148" s="424">
        <f t="shared" si="40"/>
        <v>0</v>
      </c>
      <c r="X148" s="94"/>
      <c r="Y148" s="420"/>
      <c r="Z148" s="420"/>
      <c r="AA148" s="94"/>
      <c r="AB148" s="47"/>
    </row>
    <row r="149" spans="2:29" hidden="1" x14ac:dyDescent="0.35">
      <c r="B149" s="129"/>
      <c r="C149" s="130"/>
      <c r="D149" s="130"/>
      <c r="E149" s="131"/>
      <c r="F149" s="85" t="s">
        <v>287</v>
      </c>
      <c r="G149" s="86" t="s">
        <v>19</v>
      </c>
      <c r="H149" s="87"/>
      <c r="I149" s="88"/>
      <c r="J149" s="89"/>
      <c r="K149" s="98"/>
      <c r="L149" s="90">
        <v>1</v>
      </c>
      <c r="M149" s="91">
        <v>0.01</v>
      </c>
      <c r="N149" s="92">
        <v>1</v>
      </c>
      <c r="O149" s="92">
        <f t="shared" si="35"/>
        <v>0</v>
      </c>
      <c r="P149" s="94">
        <f>VLOOKUP($F149,'Master Harga'!$E$5:$L$348,5,FALSE)</f>
        <v>1366468.5</v>
      </c>
      <c r="Q149" s="94">
        <f t="shared" si="36"/>
        <v>0</v>
      </c>
      <c r="R149" s="94">
        <f>VLOOKUP($F149,'Master Harga'!$E$5:$L$348,6,FALSE)</f>
        <v>1530444.7200000002</v>
      </c>
      <c r="S149" s="94">
        <f t="shared" si="37"/>
        <v>0</v>
      </c>
      <c r="T149" s="94">
        <f>VLOOKUP($F149,'Master Harga'!$E$5:$L$348,7,FALSE)</f>
        <v>1714098.0864000004</v>
      </c>
      <c r="U149" s="94">
        <f t="shared" si="38"/>
        <v>0</v>
      </c>
      <c r="V149" s="94" t="e">
        <f t="shared" si="39"/>
        <v>#DIV/0!</v>
      </c>
      <c r="W149" s="424">
        <f t="shared" si="40"/>
        <v>0</v>
      </c>
      <c r="X149" s="94"/>
      <c r="Y149" s="420"/>
      <c r="Z149" s="420"/>
      <c r="AA149" s="94"/>
      <c r="AB149" s="47"/>
    </row>
    <row r="150" spans="2:29" hidden="1" x14ac:dyDescent="0.35">
      <c r="B150" s="129"/>
      <c r="C150" s="130"/>
      <c r="D150" s="130"/>
      <c r="E150" s="131"/>
      <c r="F150" s="85" t="s">
        <v>11</v>
      </c>
      <c r="G150" s="86" t="s">
        <v>2</v>
      </c>
      <c r="H150" s="87"/>
      <c r="I150" s="88"/>
      <c r="J150" s="89"/>
      <c r="K150" s="98"/>
      <c r="L150" s="90">
        <v>1</v>
      </c>
      <c r="M150" s="91">
        <v>1</v>
      </c>
      <c r="N150" s="92">
        <v>2</v>
      </c>
      <c r="O150" s="92">
        <f t="shared" si="35"/>
        <v>0</v>
      </c>
      <c r="P150" s="94">
        <f>VLOOKUP($F150,'Master Harga'!$E$5:$L$348,5,FALSE)</f>
        <v>3700</v>
      </c>
      <c r="Q150" s="94">
        <f t="shared" si="36"/>
        <v>0</v>
      </c>
      <c r="R150" s="94">
        <f>VLOOKUP($F150,'Master Harga'!$E$5:$L$348,6,FALSE)</f>
        <v>3996.0000000000005</v>
      </c>
      <c r="S150" s="94">
        <f t="shared" si="37"/>
        <v>0</v>
      </c>
      <c r="T150" s="94">
        <f>VLOOKUP($F150,'Master Harga'!$E$5:$L$348,7,FALSE)</f>
        <v>4315.6800000000012</v>
      </c>
      <c r="U150" s="94">
        <f t="shared" si="38"/>
        <v>0</v>
      </c>
      <c r="V150" s="94" t="e">
        <f t="shared" si="39"/>
        <v>#DIV/0!</v>
      </c>
      <c r="W150" s="424">
        <f t="shared" si="40"/>
        <v>0</v>
      </c>
      <c r="X150" s="94"/>
      <c r="Y150" s="420"/>
      <c r="Z150" s="420"/>
      <c r="AA150" s="94"/>
      <c r="AB150" s="47"/>
    </row>
    <row r="151" spans="2:29" hidden="1" x14ac:dyDescent="0.35">
      <c r="B151" s="129"/>
      <c r="C151" s="130"/>
      <c r="D151" s="130"/>
      <c r="E151" s="131"/>
      <c r="F151" s="47" t="s">
        <v>27</v>
      </c>
      <c r="G151" s="132" t="s">
        <v>19</v>
      </c>
      <c r="H151" s="133">
        <v>4</v>
      </c>
      <c r="I151" s="134" t="s">
        <v>190</v>
      </c>
      <c r="J151" s="47"/>
      <c r="K151" s="98"/>
      <c r="L151" s="90">
        <v>1</v>
      </c>
      <c r="M151" s="154">
        <f>((M$146*N$146)/240*($H151/N151))</f>
        <v>2.5000000000000001E-2</v>
      </c>
      <c r="N151" s="92">
        <v>1</v>
      </c>
      <c r="O151" s="92">
        <f t="shared" si="35"/>
        <v>0</v>
      </c>
      <c r="P151" s="94">
        <f>VLOOKUP($F151,'Master Harga'!$E$5:$L$348,5,FALSE)</f>
        <v>42840</v>
      </c>
      <c r="Q151" s="94">
        <f t="shared" si="36"/>
        <v>0</v>
      </c>
      <c r="R151" s="94">
        <f>VLOOKUP($F151,'Master Harga'!$E$5:$L$348,6,FALSE)</f>
        <v>47980.800000000003</v>
      </c>
      <c r="S151" s="94">
        <f t="shared" si="37"/>
        <v>0</v>
      </c>
      <c r="T151" s="94">
        <f>VLOOKUP($F151,'Master Harga'!$E$5:$L$348,7,FALSE)</f>
        <v>53738.496000000006</v>
      </c>
      <c r="U151" s="94">
        <f t="shared" si="38"/>
        <v>0</v>
      </c>
      <c r="V151" s="94" t="e">
        <f t="shared" si="39"/>
        <v>#DIV/0!</v>
      </c>
      <c r="W151" s="424">
        <f t="shared" si="40"/>
        <v>0</v>
      </c>
      <c r="X151" s="94"/>
      <c r="Y151" s="420"/>
      <c r="Z151" s="420"/>
      <c r="AA151" s="94"/>
      <c r="AB151" s="47"/>
    </row>
    <row r="152" spans="2:29" hidden="1" x14ac:dyDescent="0.35">
      <c r="B152" s="129"/>
      <c r="C152" s="130"/>
      <c r="D152" s="130"/>
      <c r="E152" s="131"/>
      <c r="F152" s="47" t="s">
        <v>193</v>
      </c>
      <c r="G152" s="132" t="s">
        <v>19</v>
      </c>
      <c r="H152" s="133">
        <v>12</v>
      </c>
      <c r="I152" s="134" t="s">
        <v>190</v>
      </c>
      <c r="J152" s="47"/>
      <c r="K152" s="98"/>
      <c r="L152" s="90">
        <v>1</v>
      </c>
      <c r="M152" s="154">
        <f>((M$146*N$146)/240*($H152/N152))</f>
        <v>7.5000000000000011E-2</v>
      </c>
      <c r="N152" s="92">
        <v>1</v>
      </c>
      <c r="O152" s="92">
        <f t="shared" si="35"/>
        <v>0</v>
      </c>
      <c r="P152" s="94">
        <f>VLOOKUP($F152,'Master Harga'!$E$5:$L$348,5,FALSE)</f>
        <v>14000</v>
      </c>
      <c r="Q152" s="94">
        <f t="shared" si="36"/>
        <v>0</v>
      </c>
      <c r="R152" s="94">
        <f>VLOOKUP($F152,'Master Harga'!$E$5:$L$348,6,FALSE)</f>
        <v>15680.000000000002</v>
      </c>
      <c r="S152" s="94">
        <f t="shared" si="37"/>
        <v>0</v>
      </c>
      <c r="T152" s="94">
        <f>VLOOKUP($F152,'Master Harga'!$E$5:$L$348,7,FALSE)</f>
        <v>17561.600000000002</v>
      </c>
      <c r="U152" s="94">
        <f t="shared" si="38"/>
        <v>0</v>
      </c>
      <c r="V152" s="94" t="e">
        <f t="shared" si="39"/>
        <v>#DIV/0!</v>
      </c>
      <c r="W152" s="424">
        <f t="shared" si="40"/>
        <v>0</v>
      </c>
      <c r="X152" s="94"/>
      <c r="Y152" s="420"/>
      <c r="Z152" s="420"/>
      <c r="AA152" s="94"/>
      <c r="AB152" s="47"/>
    </row>
    <row r="153" spans="2:29" hidden="1" x14ac:dyDescent="0.35">
      <c r="B153" s="129"/>
      <c r="C153" s="130"/>
      <c r="D153" s="130"/>
      <c r="E153" s="131"/>
      <c r="F153" s="47" t="s">
        <v>138</v>
      </c>
      <c r="G153" s="132" t="s">
        <v>19</v>
      </c>
      <c r="H153" s="133">
        <v>1</v>
      </c>
      <c r="I153" s="134" t="s">
        <v>190</v>
      </c>
      <c r="J153" s="47"/>
      <c r="K153" s="98"/>
      <c r="L153" s="90">
        <v>1</v>
      </c>
      <c r="M153" s="154">
        <f>((M$146*N$146)/240*($H153/N153))</f>
        <v>6.2500000000000003E-3</v>
      </c>
      <c r="N153" s="92">
        <v>1</v>
      </c>
      <c r="O153" s="92">
        <f t="shared" si="35"/>
        <v>0</v>
      </c>
      <c r="P153" s="94">
        <f>VLOOKUP($F153,'Master Harga'!$E$5:$L$348,5,FALSE)</f>
        <v>37485</v>
      </c>
      <c r="Q153" s="94">
        <f t="shared" si="36"/>
        <v>0</v>
      </c>
      <c r="R153" s="94">
        <f>VLOOKUP($F153,'Master Harga'!$E$5:$L$348,6,FALSE)</f>
        <v>41983.200000000004</v>
      </c>
      <c r="S153" s="94">
        <f t="shared" si="37"/>
        <v>0</v>
      </c>
      <c r="T153" s="94">
        <f>VLOOKUP($F153,'Master Harga'!$E$5:$L$348,7,FALSE)</f>
        <v>47021.184000000008</v>
      </c>
      <c r="U153" s="94">
        <f t="shared" si="38"/>
        <v>0</v>
      </c>
      <c r="V153" s="94" t="e">
        <f t="shared" si="39"/>
        <v>#DIV/0!</v>
      </c>
      <c r="W153" s="424">
        <f t="shared" si="40"/>
        <v>0</v>
      </c>
      <c r="X153" s="94"/>
      <c r="Y153" s="420"/>
      <c r="Z153" s="420"/>
      <c r="AA153" s="94"/>
      <c r="AB153" s="47"/>
    </row>
    <row r="154" spans="2:29" hidden="1" x14ac:dyDescent="0.35">
      <c r="B154" s="129"/>
      <c r="C154" s="130"/>
      <c r="D154" s="130"/>
      <c r="E154" s="131"/>
      <c r="F154" s="47" t="s">
        <v>55</v>
      </c>
      <c r="G154" s="132" t="s">
        <v>19</v>
      </c>
      <c r="H154" s="133">
        <v>2</v>
      </c>
      <c r="I154" s="134" t="s">
        <v>190</v>
      </c>
      <c r="J154" s="47"/>
      <c r="K154" s="98"/>
      <c r="L154" s="90">
        <v>1</v>
      </c>
      <c r="M154" s="154">
        <f>((M$146*N$146)/240*($H154/N154))</f>
        <v>1.2500000000000001E-2</v>
      </c>
      <c r="N154" s="92">
        <v>1</v>
      </c>
      <c r="O154" s="92">
        <f t="shared" si="35"/>
        <v>0</v>
      </c>
      <c r="P154" s="94">
        <f>VLOOKUP($F154,'Master Harga'!$E$5:$L$348,5,FALSE)</f>
        <v>32130</v>
      </c>
      <c r="Q154" s="94">
        <f t="shared" si="36"/>
        <v>0</v>
      </c>
      <c r="R154" s="94">
        <f>VLOOKUP($F154,'Master Harga'!$E$5:$L$348,6,FALSE)</f>
        <v>35985.600000000006</v>
      </c>
      <c r="S154" s="94">
        <f t="shared" si="37"/>
        <v>0</v>
      </c>
      <c r="T154" s="94">
        <f>VLOOKUP($F154,'Master Harga'!$E$5:$L$348,7,FALSE)</f>
        <v>40303.87200000001</v>
      </c>
      <c r="U154" s="94">
        <f t="shared" si="38"/>
        <v>0</v>
      </c>
      <c r="V154" s="94" t="e">
        <f t="shared" si="39"/>
        <v>#DIV/0!</v>
      </c>
      <c r="W154" s="424">
        <f t="shared" si="40"/>
        <v>0</v>
      </c>
      <c r="X154" s="94"/>
      <c r="Y154" s="420"/>
      <c r="Z154" s="420"/>
      <c r="AA154" s="94"/>
      <c r="AB154" s="47"/>
    </row>
    <row r="155" spans="2:29" hidden="1" x14ac:dyDescent="0.35">
      <c r="B155" s="136"/>
      <c r="C155" s="137"/>
      <c r="D155" s="137"/>
      <c r="E155" s="143"/>
      <c r="F155" s="47" t="s">
        <v>56</v>
      </c>
      <c r="G155" s="132" t="s">
        <v>19</v>
      </c>
      <c r="H155" s="133">
        <v>1</v>
      </c>
      <c r="I155" s="134" t="s">
        <v>190</v>
      </c>
      <c r="J155" s="47"/>
      <c r="K155" s="98"/>
      <c r="L155" s="90">
        <v>1</v>
      </c>
      <c r="M155" s="154">
        <f>((M$146*N$146)/240*($H155/N155))</f>
        <v>6.2500000000000003E-3</v>
      </c>
      <c r="N155" s="92">
        <v>1</v>
      </c>
      <c r="O155" s="92">
        <f t="shared" si="35"/>
        <v>0</v>
      </c>
      <c r="P155" s="94">
        <f>VLOOKUP($F155,'Master Harga'!$E$5:$L$348,5,FALSE)</f>
        <v>85680</v>
      </c>
      <c r="Q155" s="94">
        <f t="shared" si="36"/>
        <v>0</v>
      </c>
      <c r="R155" s="94">
        <f>VLOOKUP($F155,'Master Harga'!$E$5:$L$348,6,FALSE)</f>
        <v>95961.600000000006</v>
      </c>
      <c r="S155" s="94">
        <f t="shared" si="37"/>
        <v>0</v>
      </c>
      <c r="T155" s="94">
        <f>VLOOKUP($F155,'Master Harga'!$E$5:$L$348,7,FALSE)</f>
        <v>107476.99200000001</v>
      </c>
      <c r="U155" s="94">
        <f t="shared" si="38"/>
        <v>0</v>
      </c>
      <c r="V155" s="94" t="e">
        <f t="shared" si="39"/>
        <v>#DIV/0!</v>
      </c>
      <c r="W155" s="424">
        <f t="shared" si="40"/>
        <v>0</v>
      </c>
      <c r="X155" s="94"/>
      <c r="Y155" s="420"/>
      <c r="Z155" s="420"/>
      <c r="AA155" s="94"/>
      <c r="AB155" s="47"/>
    </row>
    <row r="156" spans="2:29" x14ac:dyDescent="0.35">
      <c r="B156" s="510" t="s">
        <v>681</v>
      </c>
      <c r="C156" s="511"/>
      <c r="D156" s="511"/>
      <c r="E156" s="512"/>
      <c r="F156" s="181"/>
      <c r="G156" s="242"/>
      <c r="H156" s="243"/>
      <c r="I156" s="244"/>
      <c r="J156" s="181"/>
      <c r="K156" s="178"/>
      <c r="L156" s="153"/>
      <c r="M156" s="154"/>
      <c r="N156" s="155"/>
      <c r="O156" s="155"/>
      <c r="P156" s="179"/>
      <c r="Q156" s="156">
        <f>SUM(Q119:Q134)</f>
        <v>290321561.31759018</v>
      </c>
      <c r="R156" s="156"/>
      <c r="S156" s="156"/>
      <c r="T156" s="156"/>
      <c r="U156" s="156"/>
      <c r="V156" s="156"/>
      <c r="W156" s="156"/>
      <c r="X156" s="156"/>
      <c r="Y156" s="156"/>
      <c r="Z156" s="156"/>
      <c r="AA156" s="156">
        <f>Q156/$E$2</f>
        <v>10443221.630129144</v>
      </c>
      <c r="AB156" s="157">
        <f>Q156/$Q$214*100</f>
        <v>11.910124141760734</v>
      </c>
      <c r="AC156" s="78"/>
    </row>
    <row r="157" spans="2:29" x14ac:dyDescent="0.35">
      <c r="B157" s="87"/>
      <c r="C157" s="83" t="s">
        <v>674</v>
      </c>
      <c r="D157" s="88"/>
      <c r="E157" s="160"/>
      <c r="F157" s="85"/>
      <c r="G157" s="86"/>
      <c r="H157" s="87"/>
      <c r="I157" s="88"/>
      <c r="J157" s="89"/>
      <c r="K157" s="90"/>
      <c r="L157" s="90"/>
      <c r="M157" s="91"/>
      <c r="N157" s="92"/>
      <c r="O157" s="92"/>
      <c r="P157" s="94"/>
      <c r="Q157" s="94"/>
      <c r="R157" s="94"/>
      <c r="S157" s="94"/>
      <c r="T157" s="94"/>
      <c r="U157" s="94"/>
      <c r="V157" s="94"/>
      <c r="W157" s="94"/>
      <c r="X157" s="94"/>
      <c r="Y157" s="420"/>
      <c r="Z157" s="420"/>
      <c r="AA157" s="94"/>
      <c r="AB157" s="47"/>
    </row>
    <row r="158" spans="2:29" x14ac:dyDescent="0.35">
      <c r="B158" s="95"/>
      <c r="C158" s="96"/>
      <c r="D158" s="96" t="s">
        <v>164</v>
      </c>
      <c r="E158" s="97"/>
      <c r="F158" s="85" t="s">
        <v>3</v>
      </c>
      <c r="G158" s="86" t="s">
        <v>2</v>
      </c>
      <c r="H158" s="87"/>
      <c r="I158" s="88"/>
      <c r="J158" s="89"/>
      <c r="K158" s="98">
        <v>1</v>
      </c>
      <c r="L158" s="99">
        <f>E2</f>
        <v>27.8</v>
      </c>
      <c r="M158" s="94">
        <v>3</v>
      </c>
      <c r="N158" s="92">
        <v>1</v>
      </c>
      <c r="O158" s="92">
        <f t="shared" ref="O158:O165" si="41">K158*L158*M158*N158</f>
        <v>83.4</v>
      </c>
      <c r="P158" s="108">
        <f>VLOOKUP($F158,'Master Harga'!$E$5:$L$348,6,FALSE)</f>
        <v>151208.64000000001</v>
      </c>
      <c r="Q158" s="94">
        <f t="shared" ref="Q158:Q161" si="42">P158*$O158</f>
        <v>12610800.576000001</v>
      </c>
      <c r="R158" s="94">
        <f>VLOOKUP($F158,'Master Harga'!$E$5:$L$348,6,FALSE)</f>
        <v>151208.64000000001</v>
      </c>
      <c r="S158" s="94">
        <f>R158*$O158</f>
        <v>12610800.576000001</v>
      </c>
      <c r="T158" s="94">
        <f>VLOOKUP($F158,'Master Harga'!$E$5:$L$348,7,FALSE)</f>
        <v>163305.33120000002</v>
      </c>
      <c r="U158" s="94">
        <f>T158*$O158</f>
        <v>13619664.622080002</v>
      </c>
      <c r="V158" s="94">
        <f>W158/O158</f>
        <v>155240.87040000001</v>
      </c>
      <c r="W158" s="424">
        <f>AVERAGEIF($P$4:$U$4,W$4,$P158:$U158)</f>
        <v>12947088.591360003</v>
      </c>
      <c r="X158" s="434"/>
      <c r="Y158" s="420">
        <f>Q158/L158</f>
        <v>453625.92000000004</v>
      </c>
      <c r="Z158" s="420">
        <f>Y158/136</f>
        <v>3335.4847058823534</v>
      </c>
      <c r="AA158" s="108">
        <f t="shared" ref="AA158:AA165" si="43">Q158/$E$2</f>
        <v>453625.92000000004</v>
      </c>
      <c r="AB158" s="47"/>
      <c r="AC158" s="247"/>
    </row>
    <row r="159" spans="2:29" x14ac:dyDescent="0.35">
      <c r="B159" s="136"/>
      <c r="C159" s="137"/>
      <c r="D159" s="137"/>
      <c r="E159" s="143" t="s">
        <v>723</v>
      </c>
      <c r="F159" s="85" t="s">
        <v>18</v>
      </c>
      <c r="G159" s="86" t="s">
        <v>19</v>
      </c>
      <c r="H159" s="87"/>
      <c r="I159" s="88"/>
      <c r="J159" s="89"/>
      <c r="K159" s="98">
        <v>1</v>
      </c>
      <c r="L159" s="99">
        <f>8000*L158</f>
        <v>222400</v>
      </c>
      <c r="M159" s="94">
        <v>1</v>
      </c>
      <c r="N159" s="92">
        <v>1</v>
      </c>
      <c r="O159" s="94">
        <f t="shared" si="41"/>
        <v>222400</v>
      </c>
      <c r="P159" s="108">
        <v>50</v>
      </c>
      <c r="Q159" s="94">
        <f t="shared" si="42"/>
        <v>11120000</v>
      </c>
      <c r="R159" s="94">
        <f>VLOOKUP($F159,'Master Harga'!$E$5:$L$348,6,FALSE)</f>
        <v>112.00000000000001</v>
      </c>
      <c r="S159" s="94">
        <f>R159*$O159</f>
        <v>24908800.000000004</v>
      </c>
      <c r="T159" s="94">
        <f>VLOOKUP($F159,'Master Harga'!$E$5:$L$348,7,FALSE)</f>
        <v>125.44000000000003</v>
      </c>
      <c r="U159" s="94">
        <f>T159*$O159</f>
        <v>27897856.000000007</v>
      </c>
      <c r="V159" s="94">
        <f>W159/O159</f>
        <v>95.813333333333347</v>
      </c>
      <c r="W159" s="424">
        <f>AVERAGEIF($P$4:$U$4,W$4,$P159:$U159)</f>
        <v>21308885.333333336</v>
      </c>
      <c r="X159" s="435"/>
      <c r="Y159" s="420">
        <f>Q159/L159</f>
        <v>50</v>
      </c>
      <c r="Z159" s="420">
        <f>Y159/136</f>
        <v>0.36764705882352944</v>
      </c>
      <c r="AA159" s="108">
        <f t="shared" si="43"/>
        <v>400000</v>
      </c>
      <c r="AB159" s="47"/>
      <c r="AC159" s="78"/>
    </row>
    <row r="160" spans="2:29" ht="13.5" customHeight="1" x14ac:dyDescent="0.35">
      <c r="B160" s="105"/>
      <c r="C160" s="106"/>
      <c r="D160" s="163" t="s">
        <v>725</v>
      </c>
      <c r="E160" s="164"/>
      <c r="F160" s="85" t="s">
        <v>3</v>
      </c>
      <c r="G160" s="86" t="s">
        <v>2</v>
      </c>
      <c r="H160" s="87"/>
      <c r="I160" s="88"/>
      <c r="J160" s="89"/>
      <c r="K160" s="98">
        <v>1</v>
      </c>
      <c r="L160" s="99">
        <f>E2</f>
        <v>27.8</v>
      </c>
      <c r="M160" s="92">
        <v>45.34</v>
      </c>
      <c r="N160" s="92">
        <v>1</v>
      </c>
      <c r="O160" s="92">
        <f t="shared" si="41"/>
        <v>1260.4520000000002</v>
      </c>
      <c r="P160" s="94">
        <f>VLOOKUP($F160,'Master Harga'!$E$5:$L$348,6,FALSE)</f>
        <v>151208.64000000001</v>
      </c>
      <c r="Q160" s="94">
        <f t="shared" si="42"/>
        <v>190591232.70528007</v>
      </c>
      <c r="R160" s="94"/>
      <c r="S160" s="94"/>
      <c r="T160" s="94"/>
      <c r="U160" s="94"/>
      <c r="V160" s="94"/>
      <c r="W160" s="424"/>
      <c r="X160" s="436" t="s">
        <v>634</v>
      </c>
      <c r="Y160" s="420"/>
      <c r="Z160" s="420"/>
      <c r="AA160" s="108">
        <f t="shared" si="43"/>
        <v>6855799.7376000024</v>
      </c>
      <c r="AB160" s="47"/>
      <c r="AC160" s="78"/>
    </row>
    <row r="161" spans="1:29" ht="13.5" customHeight="1" x14ac:dyDescent="0.35">
      <c r="B161" s="105"/>
      <c r="C161" s="106"/>
      <c r="D161" s="250" t="s">
        <v>588</v>
      </c>
      <c r="E161" s="164"/>
      <c r="F161" s="85" t="s">
        <v>3</v>
      </c>
      <c r="G161" s="86" t="s">
        <v>534</v>
      </c>
      <c r="H161" s="87"/>
      <c r="I161" s="88"/>
      <c r="J161" s="89"/>
      <c r="K161" s="98">
        <v>1</v>
      </c>
      <c r="L161" s="99">
        <f>E2</f>
        <v>27.8</v>
      </c>
      <c r="M161" s="92">
        <v>10.07</v>
      </c>
      <c r="N161" s="92">
        <v>1</v>
      </c>
      <c r="O161" s="251">
        <f t="shared" si="41"/>
        <v>279.94600000000003</v>
      </c>
      <c r="P161" s="94">
        <f>VLOOKUP($F161,'Master Harga'!$E$5:$L$348,6,FALSE)</f>
        <v>151208.64000000001</v>
      </c>
      <c r="Q161" s="94">
        <f t="shared" si="42"/>
        <v>42330253.933440007</v>
      </c>
      <c r="R161" s="94"/>
      <c r="S161" s="94"/>
      <c r="T161" s="94"/>
      <c r="U161" s="94"/>
      <c r="V161" s="94"/>
      <c r="W161" s="424"/>
      <c r="X161" s="436" t="s">
        <v>634</v>
      </c>
      <c r="Y161" s="420"/>
      <c r="Z161" s="420"/>
      <c r="AA161" s="108">
        <f t="shared" si="43"/>
        <v>1522671.0048000002</v>
      </c>
      <c r="AB161" s="182"/>
      <c r="AC161" s="78"/>
    </row>
    <row r="162" spans="1:29" ht="13.5" customHeight="1" x14ac:dyDescent="0.35">
      <c r="B162" s="105"/>
      <c r="C162" s="106"/>
      <c r="D162" s="106" t="s">
        <v>732</v>
      </c>
      <c r="E162" s="112"/>
      <c r="F162" s="85" t="s">
        <v>106</v>
      </c>
      <c r="G162" s="86" t="s">
        <v>117</v>
      </c>
      <c r="H162" s="87"/>
      <c r="I162" s="88"/>
      <c r="J162" s="89" t="s">
        <v>8</v>
      </c>
      <c r="K162" s="98">
        <v>1</v>
      </c>
      <c r="L162" s="99">
        <f>O163/1000</f>
        <v>5.56</v>
      </c>
      <c r="M162" s="92">
        <v>1</v>
      </c>
      <c r="N162" s="92">
        <v>1</v>
      </c>
      <c r="O162" s="92">
        <f t="shared" si="41"/>
        <v>5.56</v>
      </c>
      <c r="P162" s="108">
        <v>75000</v>
      </c>
      <c r="Q162" s="94">
        <f>P162*$O162</f>
        <v>416999.99999999994</v>
      </c>
      <c r="R162" s="94">
        <f>VLOOKUP($F162,'Master Harga'!$E$5:$L$348,6,FALSE)</f>
        <v>72400</v>
      </c>
      <c r="S162" s="94">
        <f>R162*$O162</f>
        <v>402544</v>
      </c>
      <c r="T162" s="94">
        <f>VLOOKUP($F162,'Master Harga'!$E$5:$L$348,7,FALSE)</f>
        <v>82536</v>
      </c>
      <c r="U162" s="94">
        <f>T162*$O162</f>
        <v>458900.16</v>
      </c>
      <c r="V162" s="94">
        <f>W162/O162</f>
        <v>76645.333333333328</v>
      </c>
      <c r="W162" s="424">
        <f>AVERAGEIF($P$4:$U$4,W$4,$P162:$U162)</f>
        <v>426148.05333333329</v>
      </c>
      <c r="X162" s="94"/>
      <c r="Y162" s="420"/>
      <c r="Z162" s="420">
        <f>W162</f>
        <v>426148.05333333329</v>
      </c>
      <c r="AA162" s="108">
        <f t="shared" si="43"/>
        <v>14999.999999999998</v>
      </c>
      <c r="AB162" s="47"/>
      <c r="AC162" s="78"/>
    </row>
    <row r="163" spans="1:29" ht="13.5" customHeight="1" x14ac:dyDescent="0.35">
      <c r="B163" s="105"/>
      <c r="C163" s="106"/>
      <c r="D163" s="163"/>
      <c r="E163" s="164"/>
      <c r="F163" s="85" t="s">
        <v>79</v>
      </c>
      <c r="G163" s="86" t="s">
        <v>7</v>
      </c>
      <c r="H163" s="87"/>
      <c r="I163" s="88"/>
      <c r="J163" s="89" t="s">
        <v>7</v>
      </c>
      <c r="K163" s="98">
        <v>1</v>
      </c>
      <c r="L163" s="252">
        <f>8000*E2</f>
        <v>222400</v>
      </c>
      <c r="M163" s="92">
        <f>25/1000</f>
        <v>2.5000000000000001E-2</v>
      </c>
      <c r="N163" s="92">
        <v>1</v>
      </c>
      <c r="O163" s="92">
        <f t="shared" si="41"/>
        <v>5560</v>
      </c>
      <c r="P163" s="94">
        <f>VLOOKUP($F163,'Master Harga'!$E$5:$L$348,6,FALSE)</f>
        <v>3220</v>
      </c>
      <c r="Q163" s="94">
        <f t="shared" ref="Q163" si="44">P163*$O163</f>
        <v>17903200</v>
      </c>
      <c r="R163" s="94">
        <f>VLOOKUP($F163,'Master Harga'!$E$5:$L$348,6,FALSE)</f>
        <v>3220</v>
      </c>
      <c r="S163" s="94">
        <f t="shared" ref="S163" si="45">R163*$O163</f>
        <v>17903200</v>
      </c>
      <c r="T163" s="94">
        <f>VLOOKUP($F163,'Master Harga'!$E$5:$L$348,7,FALSE)</f>
        <v>4508</v>
      </c>
      <c r="U163" s="94">
        <f t="shared" ref="U163" si="46">T163*$O163</f>
        <v>25064480</v>
      </c>
      <c r="V163" s="94">
        <f t="shared" ref="V163" si="47">W163/O163</f>
        <v>3649.333333333333</v>
      </c>
      <c r="W163" s="424">
        <f t="shared" ref="W163" si="48">AVERAGEIF($P$4:$U$4,W$4,$P163:$U163)</f>
        <v>20290293.333333332</v>
      </c>
      <c r="X163" s="94" t="s">
        <v>605</v>
      </c>
      <c r="Y163" s="420"/>
      <c r="Z163" s="420"/>
      <c r="AA163" s="108">
        <f t="shared" si="43"/>
        <v>644000</v>
      </c>
      <c r="AB163" s="47"/>
      <c r="AC163" s="78"/>
    </row>
    <row r="164" spans="1:29" x14ac:dyDescent="0.35">
      <c r="B164" s="95"/>
      <c r="C164" s="96"/>
      <c r="D164" s="103" t="s">
        <v>690</v>
      </c>
      <c r="E164" s="104"/>
      <c r="F164" s="85" t="s">
        <v>3</v>
      </c>
      <c r="G164" s="86" t="s">
        <v>2</v>
      </c>
      <c r="H164" s="87"/>
      <c r="I164" s="88"/>
      <c r="J164" s="89" t="s">
        <v>534</v>
      </c>
      <c r="K164" s="98">
        <v>1</v>
      </c>
      <c r="L164" s="86">
        <f>L165</f>
        <v>278</v>
      </c>
      <c r="M164" s="92">
        <v>2.84</v>
      </c>
      <c r="N164" s="92">
        <v>1</v>
      </c>
      <c r="O164" s="92">
        <f t="shared" si="41"/>
        <v>789.52</v>
      </c>
      <c r="P164" s="108">
        <f>VLOOKUP($F164,'Master Harga'!$E$5:$L$348,6,FALSE)</f>
        <v>151208.64000000001</v>
      </c>
      <c r="Q164" s="94">
        <f>P164*$O164</f>
        <v>119382245.45280001</v>
      </c>
      <c r="R164" s="94">
        <f>VLOOKUP($F164,'Master Harga'!$E$5:$L$348,6,FALSE)</f>
        <v>151208.64000000001</v>
      </c>
      <c r="S164" s="94">
        <f>R164*$O164</f>
        <v>119382245.45280001</v>
      </c>
      <c r="T164" s="94">
        <f>VLOOKUP($F164,'Master Harga'!$E$5:$L$348,7,FALSE)</f>
        <v>163305.33120000002</v>
      </c>
      <c r="U164" s="94">
        <f>T164*$O164</f>
        <v>128932825.08902401</v>
      </c>
      <c r="V164" s="94">
        <f>W164/O164</f>
        <v>155240.87040000001</v>
      </c>
      <c r="W164" s="424">
        <f>AVERAGEIF($P$4:$U$4,W$4,$P164:$U164)</f>
        <v>122565771.998208</v>
      </c>
      <c r="X164" s="94" t="s">
        <v>598</v>
      </c>
      <c r="Y164" s="420"/>
      <c r="Z164" s="420">
        <f>W164</f>
        <v>122565771.998208</v>
      </c>
      <c r="AA164" s="108">
        <f t="shared" si="43"/>
        <v>4294325.3760000002</v>
      </c>
      <c r="AB164" s="47"/>
      <c r="AC164" s="246"/>
    </row>
    <row r="165" spans="1:29" x14ac:dyDescent="0.35">
      <c r="B165" s="129"/>
      <c r="C165" s="130"/>
      <c r="D165" s="106" t="s">
        <v>733</v>
      </c>
      <c r="E165" s="112"/>
      <c r="F165" s="85" t="s">
        <v>105</v>
      </c>
      <c r="G165" s="89" t="s">
        <v>8</v>
      </c>
      <c r="H165" s="87"/>
      <c r="I165" s="88"/>
      <c r="J165" s="89" t="s">
        <v>8</v>
      </c>
      <c r="K165" s="98">
        <v>1</v>
      </c>
      <c r="L165" s="86">
        <f>10*E2</f>
        <v>278</v>
      </c>
      <c r="M165" s="92">
        <v>1</v>
      </c>
      <c r="N165" s="92">
        <v>1</v>
      </c>
      <c r="O165" s="92">
        <f t="shared" si="41"/>
        <v>278</v>
      </c>
      <c r="P165" s="108">
        <f>VLOOKUP($F165,'Master Harga'!$E$5:$L$348,6,FALSE)</f>
        <v>71700</v>
      </c>
      <c r="Q165" s="94">
        <f>P165*$O165</f>
        <v>19932600</v>
      </c>
      <c r="R165" s="94">
        <f>VLOOKUP($F165,'Master Harga'!$E$5:$L$348,6,FALSE)</f>
        <v>71700</v>
      </c>
      <c r="S165" s="94">
        <f>R165*$O165</f>
        <v>19932600</v>
      </c>
      <c r="T165" s="94">
        <f>VLOOKUP($F165,'Master Harga'!$E$5:$L$348,7,FALSE)</f>
        <v>81738</v>
      </c>
      <c r="U165" s="94">
        <f>T165*$O165</f>
        <v>22723164</v>
      </c>
      <c r="V165" s="94">
        <f>W165/O165</f>
        <v>75046</v>
      </c>
      <c r="W165" s="424">
        <f>AVERAGEIF($P$4:$U$4,W$4,$P165:$U165)</f>
        <v>20862788</v>
      </c>
      <c r="X165" s="94" t="s">
        <v>598</v>
      </c>
      <c r="Y165" s="420"/>
      <c r="Z165" s="420">
        <f>W165</f>
        <v>20862788</v>
      </c>
      <c r="AA165" s="108">
        <f t="shared" si="43"/>
        <v>717000</v>
      </c>
      <c r="AB165" s="47"/>
    </row>
    <row r="166" spans="1:29" s="19" customFormat="1" x14ac:dyDescent="0.35">
      <c r="A166" s="49"/>
      <c r="B166" s="510" t="s">
        <v>683</v>
      </c>
      <c r="C166" s="511"/>
      <c r="D166" s="511"/>
      <c r="E166" s="512"/>
      <c r="F166" s="195"/>
      <c r="G166" s="196"/>
      <c r="H166" s="197"/>
      <c r="I166" s="198"/>
      <c r="J166" s="199"/>
      <c r="K166" s="200"/>
      <c r="L166" s="200"/>
      <c r="M166" s="201"/>
      <c r="N166" s="161"/>
      <c r="O166" s="161"/>
      <c r="P166" s="156"/>
      <c r="Q166" s="156">
        <f>SUM(Q158:Q165)</f>
        <v>414287332.66752005</v>
      </c>
      <c r="R166" s="156"/>
      <c r="S166" s="156">
        <f>SUM(S131:S165)</f>
        <v>216158190.98879999</v>
      </c>
      <c r="T166" s="156"/>
      <c r="U166" s="156">
        <f>SUM(U131:U165)</f>
        <v>241396330.90790403</v>
      </c>
      <c r="V166" s="156"/>
      <c r="W166" s="156">
        <f>SUM(W131:W165)</f>
        <v>219979456.29516798</v>
      </c>
      <c r="X166" s="156"/>
      <c r="Y166" s="156"/>
      <c r="Z166" s="156"/>
      <c r="AA166" s="156">
        <f>Q166/$E$2</f>
        <v>14902422.038400002</v>
      </c>
      <c r="AB166" s="157">
        <f>Q166/$Q$214*100</f>
        <v>16.995684164950561</v>
      </c>
      <c r="AC166" s="78"/>
    </row>
    <row r="167" spans="1:29" x14ac:dyDescent="0.35">
      <c r="B167" s="87"/>
      <c r="C167" s="83" t="s">
        <v>684</v>
      </c>
      <c r="D167" s="88"/>
      <c r="E167" s="160"/>
      <c r="F167" s="85"/>
      <c r="G167" s="86"/>
      <c r="H167" s="87"/>
      <c r="I167" s="88"/>
      <c r="J167" s="89"/>
      <c r="K167" s="90"/>
      <c r="L167" s="90"/>
      <c r="M167" s="91"/>
      <c r="N167" s="92"/>
      <c r="O167" s="92"/>
      <c r="P167" s="94"/>
      <c r="Q167" s="94"/>
      <c r="R167" s="94"/>
      <c r="S167" s="94"/>
      <c r="T167" s="94"/>
      <c r="U167" s="94"/>
      <c r="V167" s="94"/>
      <c r="W167" s="94"/>
      <c r="X167" s="94"/>
      <c r="Y167" s="420"/>
      <c r="Z167" s="420"/>
      <c r="AA167" s="94"/>
      <c r="AB167" s="47"/>
    </row>
    <row r="168" spans="1:29" hidden="1" x14ac:dyDescent="0.35">
      <c r="B168" s="87"/>
      <c r="C168" s="83"/>
      <c r="D168" s="88" t="s">
        <v>172</v>
      </c>
      <c r="E168" s="160"/>
      <c r="F168" s="85"/>
      <c r="G168" s="86"/>
      <c r="H168" s="87"/>
      <c r="I168" s="88"/>
      <c r="J168" s="89"/>
      <c r="K168" s="90"/>
      <c r="L168" s="90"/>
      <c r="M168" s="91"/>
      <c r="N168" s="92"/>
      <c r="O168" s="92"/>
      <c r="P168" s="94"/>
      <c r="Q168" s="94"/>
      <c r="R168" s="94"/>
      <c r="S168" s="94"/>
      <c r="T168" s="94"/>
      <c r="U168" s="94"/>
      <c r="V168" s="94"/>
      <c r="W168" s="94"/>
      <c r="X168" s="94"/>
      <c r="Y168" s="420"/>
      <c r="Z168" s="420"/>
      <c r="AA168" s="94"/>
      <c r="AB168" s="47"/>
    </row>
    <row r="169" spans="1:29" hidden="1" x14ac:dyDescent="0.35">
      <c r="B169" s="95"/>
      <c r="C169" s="96"/>
      <c r="D169" s="96"/>
      <c r="E169" s="97" t="s">
        <v>137</v>
      </c>
      <c r="F169" s="85" t="s">
        <v>3</v>
      </c>
      <c r="G169" s="86" t="s">
        <v>2</v>
      </c>
      <c r="H169" s="87"/>
      <c r="I169" s="88"/>
      <c r="J169" s="89"/>
      <c r="K169" s="90"/>
      <c r="L169" s="90"/>
      <c r="M169" s="91"/>
      <c r="N169" s="92"/>
      <c r="O169" s="92"/>
      <c r="P169" s="94"/>
      <c r="Q169" s="94"/>
      <c r="R169" s="94"/>
      <c r="S169" s="94"/>
      <c r="T169" s="94"/>
      <c r="U169" s="94"/>
      <c r="V169" s="94"/>
      <c r="W169" s="94"/>
      <c r="X169" s="94"/>
      <c r="Y169" s="420"/>
      <c r="Z169" s="420"/>
      <c r="AA169" s="94"/>
      <c r="AB169" s="47"/>
    </row>
    <row r="170" spans="1:29" hidden="1" x14ac:dyDescent="0.35">
      <c r="B170" s="129"/>
      <c r="C170" s="130"/>
      <c r="D170" s="130"/>
      <c r="E170" s="131"/>
      <c r="F170" s="85" t="s">
        <v>69</v>
      </c>
      <c r="G170" s="86" t="s">
        <v>63</v>
      </c>
      <c r="H170" s="87"/>
      <c r="I170" s="88"/>
      <c r="J170" s="89"/>
      <c r="K170" s="90"/>
      <c r="L170" s="90"/>
      <c r="M170" s="91"/>
      <c r="N170" s="92"/>
      <c r="O170" s="92"/>
      <c r="P170" s="94"/>
      <c r="Q170" s="94"/>
      <c r="R170" s="94"/>
      <c r="S170" s="94"/>
      <c r="T170" s="94"/>
      <c r="U170" s="94"/>
      <c r="V170" s="94"/>
      <c r="W170" s="94"/>
      <c r="X170" s="94"/>
      <c r="Y170" s="420"/>
      <c r="Z170" s="420"/>
      <c r="AA170" s="94"/>
      <c r="AB170" s="47"/>
    </row>
    <row r="171" spans="1:29" hidden="1" x14ac:dyDescent="0.35">
      <c r="B171" s="136"/>
      <c r="C171" s="137"/>
      <c r="D171" s="137"/>
      <c r="E171" s="143"/>
      <c r="F171" s="85" t="s">
        <v>175</v>
      </c>
      <c r="G171" s="86" t="s">
        <v>19</v>
      </c>
      <c r="H171" s="87"/>
      <c r="I171" s="88"/>
      <c r="J171" s="89"/>
      <c r="K171" s="90"/>
      <c r="L171" s="90"/>
      <c r="M171" s="91"/>
      <c r="N171" s="92"/>
      <c r="O171" s="92"/>
      <c r="P171" s="94"/>
      <c r="Q171" s="94"/>
      <c r="R171" s="94"/>
      <c r="S171" s="94"/>
      <c r="T171" s="94"/>
      <c r="U171" s="94"/>
      <c r="V171" s="94"/>
      <c r="W171" s="94"/>
      <c r="X171" s="94"/>
      <c r="Y171" s="420"/>
      <c r="Z171" s="420"/>
      <c r="AA171" s="94"/>
      <c r="AB171" s="47"/>
    </row>
    <row r="172" spans="1:29" hidden="1" x14ac:dyDescent="0.35">
      <c r="B172" s="95"/>
      <c r="C172" s="96"/>
      <c r="D172" s="96"/>
      <c r="E172" s="97" t="s">
        <v>136</v>
      </c>
      <c r="F172" s="85" t="s">
        <v>3</v>
      </c>
      <c r="G172" s="86" t="s">
        <v>2</v>
      </c>
      <c r="H172" s="87"/>
      <c r="I172" s="88"/>
      <c r="J172" s="89"/>
      <c r="K172" s="98"/>
      <c r="L172" s="90"/>
      <c r="M172" s="92">
        <v>0.25</v>
      </c>
      <c r="N172" s="92">
        <v>2</v>
      </c>
      <c r="O172" s="92">
        <f>K172*L172*M172*N172</f>
        <v>0</v>
      </c>
      <c r="P172" s="108">
        <f>VLOOKUP($F172,'Master Harga'!$E$5:$L$348,6,FALSE)</f>
        <v>151208.64000000001</v>
      </c>
      <c r="Q172" s="94">
        <f>P172*$O172</f>
        <v>0</v>
      </c>
      <c r="R172" s="94">
        <f>VLOOKUP($F172,'Master Harga'!$E$5:$L$348,6,FALSE)</f>
        <v>151208.64000000001</v>
      </c>
      <c r="S172" s="94">
        <f>R172*$O172</f>
        <v>0</v>
      </c>
      <c r="T172" s="94">
        <f>VLOOKUP($F172,'Master Harga'!$E$5:$L$348,7,FALSE)</f>
        <v>163305.33120000002</v>
      </c>
      <c r="U172" s="94">
        <f>T172*$O172</f>
        <v>0</v>
      </c>
      <c r="V172" s="94" t="e">
        <f>W172/O172</f>
        <v>#DIV/0!</v>
      </c>
      <c r="W172" s="424">
        <f>AVERAGEIF($P$4:$U$4,W$4,$P172:$U172)</f>
        <v>0</v>
      </c>
      <c r="X172" s="94"/>
      <c r="Y172" s="420"/>
      <c r="Z172" s="420"/>
      <c r="AA172" s="108">
        <f t="shared" ref="AA172:AA175" si="49">Q172/$E$2</f>
        <v>0</v>
      </c>
      <c r="AB172" s="47"/>
    </row>
    <row r="173" spans="1:29" hidden="1" x14ac:dyDescent="0.35">
      <c r="B173" s="136"/>
      <c r="C173" s="137"/>
      <c r="D173" s="137"/>
      <c r="E173" s="143"/>
      <c r="F173" s="85" t="s">
        <v>68</v>
      </c>
      <c r="G173" s="86" t="s">
        <v>7</v>
      </c>
      <c r="H173" s="87"/>
      <c r="I173" s="88"/>
      <c r="J173" s="89"/>
      <c r="K173" s="98"/>
      <c r="L173" s="90"/>
      <c r="M173" s="192">
        <v>1.0880000000000001</v>
      </c>
      <c r="N173" s="92">
        <v>2</v>
      </c>
      <c r="O173" s="92">
        <f>K173*L173*M173*N173</f>
        <v>0</v>
      </c>
      <c r="P173" s="108">
        <f>VLOOKUP($F173,'Master Harga'!$E$5:$L$348,6,FALSE)</f>
        <v>34272</v>
      </c>
      <c r="Q173" s="94">
        <f>P173*$O173</f>
        <v>0</v>
      </c>
      <c r="R173" s="94">
        <f>VLOOKUP($F173,'Master Harga'!$E$5:$L$348,6,FALSE)</f>
        <v>34272</v>
      </c>
      <c r="S173" s="94">
        <f>R173*$O173</f>
        <v>0</v>
      </c>
      <c r="T173" s="94">
        <f>VLOOKUP($F173,'Master Harga'!$E$5:$L$348,7,FALSE)</f>
        <v>39070.079999999994</v>
      </c>
      <c r="U173" s="94">
        <f>T173*$O173</f>
        <v>0</v>
      </c>
      <c r="V173" s="94" t="e">
        <f>W173/O173</f>
        <v>#DIV/0!</v>
      </c>
      <c r="W173" s="424">
        <f>AVERAGEIF($P$4:$U$4,W$4,$P173:$U173)</f>
        <v>0</v>
      </c>
      <c r="X173" s="94"/>
      <c r="Y173" s="420"/>
      <c r="Z173" s="420"/>
      <c r="AA173" s="108">
        <f t="shared" si="49"/>
        <v>0</v>
      </c>
      <c r="AB173" s="47"/>
    </row>
    <row r="174" spans="1:29" hidden="1" x14ac:dyDescent="0.35">
      <c r="B174" s="95"/>
      <c r="C174" s="96"/>
      <c r="D174" s="103"/>
      <c r="E174" s="104" t="s">
        <v>165</v>
      </c>
      <c r="F174" s="85" t="s">
        <v>3</v>
      </c>
      <c r="G174" s="86" t="s">
        <v>2</v>
      </c>
      <c r="H174" s="87"/>
      <c r="I174" s="88"/>
      <c r="J174" s="89"/>
      <c r="K174" s="98"/>
      <c r="L174" s="90"/>
      <c r="M174" s="92">
        <v>0.25</v>
      </c>
      <c r="N174" s="92">
        <v>3</v>
      </c>
      <c r="O174" s="92">
        <f>K174*L174*M174*N174</f>
        <v>0</v>
      </c>
      <c r="P174" s="108">
        <f>VLOOKUP($F174,'Master Harga'!$E$5:$L$348,6,FALSE)</f>
        <v>151208.64000000001</v>
      </c>
      <c r="Q174" s="94">
        <f>P174*$O174</f>
        <v>0</v>
      </c>
      <c r="R174" s="94"/>
      <c r="S174" s="94"/>
      <c r="T174" s="94"/>
      <c r="U174" s="94"/>
      <c r="V174" s="94"/>
      <c r="W174" s="94"/>
      <c r="X174" s="94"/>
      <c r="Y174" s="420"/>
      <c r="Z174" s="420"/>
      <c r="AA174" s="108">
        <f t="shared" si="49"/>
        <v>0</v>
      </c>
      <c r="AB174" s="47"/>
    </row>
    <row r="175" spans="1:29" hidden="1" x14ac:dyDescent="0.35">
      <c r="B175" s="129"/>
      <c r="C175" s="130"/>
      <c r="D175" s="130"/>
      <c r="E175" s="131"/>
      <c r="F175" s="85" t="s">
        <v>73</v>
      </c>
      <c r="G175" s="86" t="s">
        <v>604</v>
      </c>
      <c r="H175" s="87"/>
      <c r="I175" s="88"/>
      <c r="J175" s="89"/>
      <c r="K175" s="98"/>
      <c r="L175" s="90"/>
      <c r="M175" s="92">
        <f>5*136/1000</f>
        <v>0.68</v>
      </c>
      <c r="N175" s="92">
        <v>3</v>
      </c>
      <c r="O175" s="92">
        <f>K175*L175*M175*N175</f>
        <v>0</v>
      </c>
      <c r="P175" s="108">
        <f>VLOOKUP($F175,'Master Harga'!$E$5:$L$348,6,FALSE)</f>
        <v>34546.175999999999</v>
      </c>
      <c r="Q175" s="94">
        <f>P175*$O175</f>
        <v>0</v>
      </c>
      <c r="R175" s="94"/>
      <c r="S175" s="94"/>
      <c r="T175" s="94"/>
      <c r="U175" s="94"/>
      <c r="V175" s="94"/>
      <c r="W175" s="94"/>
      <c r="X175" s="94" t="s">
        <v>598</v>
      </c>
      <c r="Y175" s="420"/>
      <c r="Z175" s="420"/>
      <c r="AA175" s="108">
        <f t="shared" si="49"/>
        <v>0</v>
      </c>
      <c r="AB175" s="47"/>
    </row>
    <row r="176" spans="1:29" hidden="1" x14ac:dyDescent="0.35">
      <c r="B176" s="129"/>
      <c r="C176" s="130"/>
      <c r="D176" s="130"/>
      <c r="E176" s="131"/>
      <c r="F176" s="85" t="s">
        <v>76</v>
      </c>
      <c r="G176" s="86" t="s">
        <v>77</v>
      </c>
      <c r="H176" s="87"/>
      <c r="I176" s="88"/>
      <c r="J176" s="89"/>
      <c r="K176" s="90"/>
      <c r="L176" s="90"/>
      <c r="M176" s="91"/>
      <c r="N176" s="92"/>
      <c r="O176" s="92"/>
      <c r="P176" s="94"/>
      <c r="Q176" s="94"/>
      <c r="R176" s="94"/>
      <c r="S176" s="94"/>
      <c r="T176" s="94"/>
      <c r="U176" s="94"/>
      <c r="V176" s="94"/>
      <c r="W176" s="94"/>
      <c r="X176" s="94"/>
      <c r="Y176" s="420"/>
      <c r="Z176" s="420"/>
      <c r="AA176" s="94"/>
      <c r="AB176" s="47"/>
    </row>
    <row r="177" spans="1:29" hidden="1" x14ac:dyDescent="0.35">
      <c r="B177" s="129"/>
      <c r="C177" s="130"/>
      <c r="D177" s="130"/>
      <c r="E177" s="131"/>
      <c r="F177" s="85" t="s">
        <v>71</v>
      </c>
      <c r="G177" s="86" t="s">
        <v>7</v>
      </c>
      <c r="H177" s="87"/>
      <c r="I177" s="88"/>
      <c r="J177" s="89"/>
      <c r="K177" s="90"/>
      <c r="L177" s="90"/>
      <c r="M177" s="91"/>
      <c r="N177" s="92"/>
      <c r="O177" s="92"/>
      <c r="P177" s="94"/>
      <c r="Q177" s="94"/>
      <c r="R177" s="94"/>
      <c r="S177" s="94"/>
      <c r="T177" s="94"/>
      <c r="U177" s="94"/>
      <c r="V177" s="94"/>
      <c r="W177" s="94"/>
      <c r="X177" s="94"/>
      <c r="Y177" s="420"/>
      <c r="Z177" s="420"/>
      <c r="AA177" s="94"/>
      <c r="AB177" s="47"/>
    </row>
    <row r="178" spans="1:29" hidden="1" x14ac:dyDescent="0.35">
      <c r="B178" s="136"/>
      <c r="C178" s="137"/>
      <c r="D178" s="137"/>
      <c r="E178" s="143"/>
      <c r="F178" s="85" t="s">
        <v>30</v>
      </c>
      <c r="G178" s="86" t="s">
        <v>19</v>
      </c>
      <c r="H178" s="87"/>
      <c r="I178" s="88"/>
      <c r="J178" s="89"/>
      <c r="K178" s="98"/>
      <c r="L178" s="90"/>
      <c r="M178" s="92">
        <v>1</v>
      </c>
      <c r="N178" s="92">
        <v>1</v>
      </c>
      <c r="O178" s="94">
        <f>K178*L178*M178*N178</f>
        <v>0</v>
      </c>
      <c r="P178" s="94">
        <v>25000</v>
      </c>
      <c r="Q178" s="94">
        <f>P178*$O178</f>
        <v>0</v>
      </c>
      <c r="R178" s="94"/>
      <c r="S178" s="94"/>
      <c r="T178" s="94"/>
      <c r="U178" s="94"/>
      <c r="V178" s="94"/>
      <c r="W178" s="94"/>
      <c r="X178" s="94"/>
      <c r="Y178" s="420"/>
      <c r="Z178" s="420"/>
      <c r="AA178" s="94"/>
      <c r="AB178" s="47"/>
    </row>
    <row r="179" spans="1:29" hidden="1" x14ac:dyDescent="0.35">
      <c r="B179" s="95"/>
      <c r="C179" s="96"/>
      <c r="D179" s="96"/>
      <c r="E179" s="97" t="s">
        <v>613</v>
      </c>
      <c r="F179" s="85" t="s">
        <v>3</v>
      </c>
      <c r="G179" s="86" t="s">
        <v>2</v>
      </c>
      <c r="H179" s="87"/>
      <c r="I179" s="88"/>
      <c r="J179" s="89"/>
      <c r="K179" s="98"/>
      <c r="L179" s="253"/>
      <c r="M179" s="100">
        <v>3</v>
      </c>
      <c r="N179" s="92">
        <v>1</v>
      </c>
      <c r="O179" s="92">
        <f>K179*L179*M179*N179</f>
        <v>0</v>
      </c>
      <c r="P179" s="94">
        <v>140008</v>
      </c>
      <c r="Q179" s="94">
        <f>P179*$O179</f>
        <v>0</v>
      </c>
      <c r="R179" s="94"/>
      <c r="S179" s="94"/>
      <c r="T179" s="94"/>
      <c r="U179" s="94"/>
      <c r="V179" s="94"/>
      <c r="W179" s="94"/>
      <c r="X179" s="94" t="s">
        <v>616</v>
      </c>
      <c r="Y179" s="420"/>
      <c r="Z179" s="420"/>
      <c r="AA179" s="94">
        <v>0</v>
      </c>
      <c r="AB179" s="47"/>
    </row>
    <row r="180" spans="1:29" hidden="1" x14ac:dyDescent="0.35">
      <c r="B180" s="129"/>
      <c r="C180" s="130"/>
      <c r="D180" s="130"/>
      <c r="E180" s="131"/>
      <c r="F180" s="85" t="s">
        <v>512</v>
      </c>
      <c r="G180" s="86" t="s">
        <v>7</v>
      </c>
      <c r="H180" s="87"/>
      <c r="I180" s="88"/>
      <c r="J180" s="89"/>
      <c r="K180" s="98"/>
      <c r="L180" s="253"/>
      <c r="M180" s="94">
        <f>0.5*136</f>
        <v>68</v>
      </c>
      <c r="N180" s="94">
        <v>1</v>
      </c>
      <c r="O180" s="92">
        <f>K180*L180*M180*N180</f>
        <v>0</v>
      </c>
      <c r="P180" s="94">
        <f>VLOOKUP($F180,'Master Harga'!$E$5:$L$348,5,FALSE)</f>
        <v>24786</v>
      </c>
      <c r="Q180" s="94">
        <f>P180*$O180</f>
        <v>0</v>
      </c>
      <c r="R180" s="94"/>
      <c r="S180" s="94"/>
      <c r="T180" s="94"/>
      <c r="U180" s="94"/>
      <c r="V180" s="94"/>
      <c r="W180" s="94"/>
      <c r="X180" s="94" t="s">
        <v>614</v>
      </c>
      <c r="Y180" s="420"/>
      <c r="Z180" s="420"/>
      <c r="AA180" s="94">
        <v>0</v>
      </c>
      <c r="AB180" s="47"/>
    </row>
    <row r="181" spans="1:29" hidden="1" x14ac:dyDescent="0.35">
      <c r="B181" s="136"/>
      <c r="C181" s="137"/>
      <c r="D181" s="137"/>
      <c r="E181" s="143"/>
      <c r="F181" s="85" t="s">
        <v>608</v>
      </c>
      <c r="G181" s="86" t="s">
        <v>7</v>
      </c>
      <c r="H181" s="87"/>
      <c r="I181" s="88"/>
      <c r="J181" s="89"/>
      <c r="K181" s="98"/>
      <c r="L181" s="253"/>
      <c r="M181" s="94">
        <f>0.2*136</f>
        <v>27.200000000000003</v>
      </c>
      <c r="N181" s="94">
        <v>1</v>
      </c>
      <c r="O181" s="92">
        <f>K181*L181*M181*N181</f>
        <v>0</v>
      </c>
      <c r="P181" s="94">
        <f>VLOOKUP($F181,'Master Harga'!$E$5:$L$348,5,FALSE)</f>
        <v>42220</v>
      </c>
      <c r="Q181" s="94">
        <f>P181*$O181</f>
        <v>0</v>
      </c>
      <c r="R181" s="94"/>
      <c r="S181" s="94"/>
      <c r="T181" s="94"/>
      <c r="U181" s="94"/>
      <c r="V181" s="94"/>
      <c r="W181" s="94"/>
      <c r="X181" s="94" t="s">
        <v>615</v>
      </c>
      <c r="Y181" s="420"/>
      <c r="Z181" s="420"/>
      <c r="AA181" s="94">
        <v>0</v>
      </c>
      <c r="AB181" s="47"/>
    </row>
    <row r="182" spans="1:29" hidden="1" x14ac:dyDescent="0.35">
      <c r="B182" s="95"/>
      <c r="C182" s="96"/>
      <c r="D182" s="96"/>
      <c r="E182" s="97" t="s">
        <v>166</v>
      </c>
      <c r="F182" s="85" t="s">
        <v>3</v>
      </c>
      <c r="G182" s="86" t="s">
        <v>2</v>
      </c>
      <c r="H182" s="87"/>
      <c r="I182" s="88"/>
      <c r="J182" s="89"/>
      <c r="K182" s="90"/>
      <c r="L182" s="90"/>
      <c r="M182" s="100">
        <v>22.5</v>
      </c>
      <c r="N182" s="100">
        <v>1</v>
      </c>
      <c r="O182" s="92"/>
      <c r="P182" s="94"/>
      <c r="Q182" s="94"/>
      <c r="R182" s="94"/>
      <c r="S182" s="94"/>
      <c r="T182" s="94"/>
      <c r="U182" s="94"/>
      <c r="V182" s="94"/>
      <c r="W182" s="94"/>
      <c r="X182" s="94"/>
      <c r="Y182" s="420"/>
      <c r="Z182" s="420"/>
      <c r="AA182" s="94"/>
      <c r="AB182" s="47"/>
    </row>
    <row r="183" spans="1:29" hidden="1" x14ac:dyDescent="0.35">
      <c r="B183" s="129"/>
      <c r="C183" s="130"/>
      <c r="D183" s="130"/>
      <c r="E183" s="131"/>
      <c r="F183" s="85" t="s">
        <v>179</v>
      </c>
      <c r="G183" s="86" t="s">
        <v>181</v>
      </c>
      <c r="H183" s="87"/>
      <c r="I183" s="88"/>
      <c r="J183" s="89"/>
      <c r="K183" s="90"/>
      <c r="L183" s="90"/>
      <c r="M183" s="100">
        <v>0.27200000000000002</v>
      </c>
      <c r="N183" s="100">
        <v>1</v>
      </c>
      <c r="O183" s="92"/>
      <c r="P183" s="94"/>
      <c r="Q183" s="94"/>
      <c r="R183" s="94"/>
      <c r="S183" s="94"/>
      <c r="T183" s="94"/>
      <c r="U183" s="94"/>
      <c r="V183" s="94"/>
      <c r="W183" s="432"/>
      <c r="X183" s="437"/>
      <c r="Y183" s="420"/>
      <c r="Z183" s="420"/>
      <c r="AA183" s="94"/>
      <c r="AB183" s="47"/>
    </row>
    <row r="184" spans="1:29" hidden="1" x14ac:dyDescent="0.35">
      <c r="B184" s="129"/>
      <c r="C184" s="130"/>
      <c r="D184" s="130"/>
      <c r="E184" s="131"/>
      <c r="F184" s="85" t="s">
        <v>180</v>
      </c>
      <c r="G184" s="86" t="s">
        <v>7</v>
      </c>
      <c r="H184" s="87"/>
      <c r="I184" s="88"/>
      <c r="J184" s="89"/>
      <c r="K184" s="90"/>
      <c r="L184" s="90"/>
      <c r="M184" s="100">
        <v>0.13600000000000001</v>
      </c>
      <c r="N184" s="100">
        <v>1</v>
      </c>
      <c r="O184" s="92"/>
      <c r="P184" s="94"/>
      <c r="Q184" s="94"/>
      <c r="R184" s="94"/>
      <c r="S184" s="94"/>
      <c r="T184" s="94"/>
      <c r="U184" s="94"/>
      <c r="V184" s="94"/>
      <c r="W184" s="432"/>
      <c r="X184" s="437"/>
      <c r="Y184" s="420"/>
      <c r="Z184" s="420"/>
      <c r="AA184" s="94"/>
      <c r="AB184" s="47"/>
    </row>
    <row r="185" spans="1:29" x14ac:dyDescent="0.35">
      <c r="B185" s="95"/>
      <c r="C185" s="96"/>
      <c r="D185" s="96" t="s">
        <v>167</v>
      </c>
      <c r="E185" s="97"/>
      <c r="F185" s="85" t="s">
        <v>3</v>
      </c>
      <c r="G185" s="86" t="s">
        <v>2</v>
      </c>
      <c r="H185" s="87"/>
      <c r="I185" s="88"/>
      <c r="J185" s="89" t="s">
        <v>113</v>
      </c>
      <c r="K185" s="98">
        <v>0.2</v>
      </c>
      <c r="L185" s="99">
        <f>E2</f>
        <v>27.8</v>
      </c>
      <c r="M185" s="94">
        <v>5</v>
      </c>
      <c r="N185" s="92">
        <v>3</v>
      </c>
      <c r="O185" s="94">
        <f>K185*L185*M185*N185</f>
        <v>83.4</v>
      </c>
      <c r="P185" s="108">
        <f>VLOOKUP($F185,'Master Harga'!$E$5:$L$348,6,FALSE)</f>
        <v>151208.64000000001</v>
      </c>
      <c r="Q185" s="94">
        <f>P185*$O185</f>
        <v>12610800.576000001</v>
      </c>
      <c r="R185" s="94">
        <f>VLOOKUP($F185,'Master Harga'!$E$5:$L$348,6,FALSE)</f>
        <v>151208.64000000001</v>
      </c>
      <c r="S185" s="94">
        <f>R185*$O185</f>
        <v>12610800.576000001</v>
      </c>
      <c r="T185" s="94">
        <f>VLOOKUP($F185,'Master Harga'!$E$5:$L$348,7,FALSE)</f>
        <v>163305.33120000002</v>
      </c>
      <c r="U185" s="94">
        <f>T185*$O185</f>
        <v>13619664.622080002</v>
      </c>
      <c r="V185" s="94">
        <f>W185/O185</f>
        <v>155240.87040000001</v>
      </c>
      <c r="W185" s="424">
        <f>AVERAGEIF($P$4:$U$4,W$4,$P185:$U185)</f>
        <v>12947088.591360003</v>
      </c>
      <c r="X185" s="438"/>
      <c r="Y185" s="420"/>
      <c r="Z185" s="420"/>
      <c r="AA185" s="108">
        <f t="shared" ref="AA185:AA188" si="50">Q185/$E$2</f>
        <v>453625.92000000004</v>
      </c>
      <c r="AB185" s="47"/>
      <c r="AC185" s="222"/>
    </row>
    <row r="186" spans="1:29" x14ac:dyDescent="0.35">
      <c r="B186" s="136"/>
      <c r="C186" s="137"/>
      <c r="D186" s="137"/>
      <c r="E186" s="143"/>
      <c r="F186" s="85" t="s">
        <v>25</v>
      </c>
      <c r="G186" s="86" t="s">
        <v>19</v>
      </c>
      <c r="H186" s="87"/>
      <c r="I186" s="88"/>
      <c r="J186" s="89"/>
      <c r="K186" s="98">
        <v>0.2</v>
      </c>
      <c r="L186" s="99">
        <f>E2</f>
        <v>27.8</v>
      </c>
      <c r="M186" s="92">
        <v>0.1</v>
      </c>
      <c r="N186" s="92">
        <v>3</v>
      </c>
      <c r="O186" s="94">
        <f>K186*L186*M186*N186</f>
        <v>1.6680000000000001</v>
      </c>
      <c r="P186" s="108">
        <f>VLOOKUP($F186,'Master Harga'!$E$5:$L$348,6,FALSE)</f>
        <v>84894.6</v>
      </c>
      <c r="Q186" s="94">
        <f>P186*$O186</f>
        <v>141604.19280000002</v>
      </c>
      <c r="R186" s="437"/>
      <c r="S186" s="437"/>
      <c r="T186" s="437"/>
      <c r="U186" s="437"/>
      <c r="V186" s="437"/>
      <c r="W186" s="437"/>
      <c r="X186" s="438"/>
      <c r="Y186" s="420"/>
      <c r="Z186" s="420"/>
      <c r="AA186" s="108">
        <f t="shared" si="50"/>
        <v>5093.6760000000004</v>
      </c>
      <c r="AB186" s="47"/>
    </row>
    <row r="187" spans="1:29" x14ac:dyDescent="0.35">
      <c r="B187" s="95"/>
      <c r="C187" s="96"/>
      <c r="D187" s="96" t="s">
        <v>778</v>
      </c>
      <c r="E187" s="97"/>
      <c r="F187" s="85" t="s">
        <v>3</v>
      </c>
      <c r="G187" s="86" t="s">
        <v>2</v>
      </c>
      <c r="H187" s="87"/>
      <c r="I187" s="88"/>
      <c r="J187" s="89" t="s">
        <v>113</v>
      </c>
      <c r="K187" s="98">
        <v>1</v>
      </c>
      <c r="L187" s="99">
        <f>E2</f>
        <v>27.8</v>
      </c>
      <c r="M187" s="94">
        <v>8</v>
      </c>
      <c r="N187" s="92">
        <v>4</v>
      </c>
      <c r="O187" s="94">
        <f>K187*L187*M187*N187</f>
        <v>889.6</v>
      </c>
      <c r="P187" s="94">
        <f>VLOOKUP($F187,'Master Harga'!$E$5:$L$348,6,FALSE)</f>
        <v>151208.64000000001</v>
      </c>
      <c r="Q187" s="94">
        <f>P187*$O187</f>
        <v>134515206.14400002</v>
      </c>
      <c r="R187" s="94"/>
      <c r="S187" s="94"/>
      <c r="T187" s="94"/>
      <c r="U187" s="94"/>
      <c r="V187" s="94"/>
      <c r="W187" s="94"/>
      <c r="X187" s="94" t="s">
        <v>606</v>
      </c>
      <c r="Y187" s="420"/>
      <c r="Z187" s="420"/>
      <c r="AA187" s="108">
        <f t="shared" si="50"/>
        <v>4838676.4800000004</v>
      </c>
      <c r="AB187" s="47"/>
    </row>
    <row r="188" spans="1:29" x14ac:dyDescent="0.35">
      <c r="B188" s="136"/>
      <c r="C188" s="137"/>
      <c r="D188" s="137"/>
      <c r="E188" s="143"/>
      <c r="F188" s="85" t="s">
        <v>25</v>
      </c>
      <c r="G188" s="86" t="s">
        <v>19</v>
      </c>
      <c r="H188" s="87"/>
      <c r="I188" s="88"/>
      <c r="J188" s="89"/>
      <c r="K188" s="98">
        <v>1</v>
      </c>
      <c r="L188" s="99">
        <f>E2</f>
        <v>27.8</v>
      </c>
      <c r="M188" s="92">
        <v>0.1</v>
      </c>
      <c r="N188" s="92">
        <v>4</v>
      </c>
      <c r="O188" s="94">
        <f>K188*L188*M188*N188</f>
        <v>11.120000000000001</v>
      </c>
      <c r="P188" s="94">
        <f>VLOOKUP($F188,'Master Harga'!$E$5:$L$348,6,FALSE)</f>
        <v>84894.6</v>
      </c>
      <c r="Q188" s="94">
        <f>P188*$O188</f>
        <v>944027.95200000016</v>
      </c>
      <c r="R188" s="94"/>
      <c r="S188" s="94"/>
      <c r="T188" s="94"/>
      <c r="U188" s="94"/>
      <c r="V188" s="94"/>
      <c r="W188" s="94"/>
      <c r="X188" s="94" t="s">
        <v>606</v>
      </c>
      <c r="Y188" s="420"/>
      <c r="Z188" s="420"/>
      <c r="AA188" s="108">
        <f t="shared" si="50"/>
        <v>33957.840000000004</v>
      </c>
      <c r="AB188" s="47"/>
    </row>
    <row r="189" spans="1:29" s="19" customFormat="1" x14ac:dyDescent="0.35">
      <c r="A189" s="49"/>
      <c r="B189" s="510" t="s">
        <v>685</v>
      </c>
      <c r="C189" s="511"/>
      <c r="D189" s="511"/>
      <c r="E189" s="512"/>
      <c r="F189" s="195"/>
      <c r="G189" s="196"/>
      <c r="H189" s="197"/>
      <c r="I189" s="198"/>
      <c r="J189" s="199"/>
      <c r="K189" s="200"/>
      <c r="L189" s="200"/>
      <c r="M189" s="201"/>
      <c r="N189" s="161"/>
      <c r="O189" s="161"/>
      <c r="P189" s="156"/>
      <c r="Q189" s="156">
        <f>SUM(Q169:Q188)</f>
        <v>148211638.86480001</v>
      </c>
      <c r="R189" s="156"/>
      <c r="S189" s="156">
        <f>SUM(S147:S188)</f>
        <v>423909181.59359998</v>
      </c>
      <c r="T189" s="156"/>
      <c r="U189" s="156">
        <f>SUM(U147:U188)</f>
        <v>473712885.40108806</v>
      </c>
      <c r="V189" s="156"/>
      <c r="W189" s="156">
        <f>SUM(W147:W188)</f>
        <v>431327520.19609594</v>
      </c>
      <c r="X189" s="156"/>
      <c r="Y189" s="156"/>
      <c r="Z189" s="156"/>
      <c r="AA189" s="156">
        <f>Q189/$E$2</f>
        <v>5331353.9160000002</v>
      </c>
      <c r="AB189" s="157">
        <f>Q189/$Q$214*100</f>
        <v>6.0802201879954758</v>
      </c>
      <c r="AC189" s="78"/>
    </row>
    <row r="190" spans="1:29" x14ac:dyDescent="0.35">
      <c r="B190" s="87"/>
      <c r="C190" s="83" t="s">
        <v>679</v>
      </c>
      <c r="D190" s="88"/>
      <c r="E190" s="160"/>
      <c r="F190" s="85"/>
      <c r="G190" s="86"/>
      <c r="H190" s="87"/>
      <c r="I190" s="88"/>
      <c r="J190" s="89"/>
      <c r="K190" s="90"/>
      <c r="L190" s="139"/>
      <c r="M190" s="172"/>
      <c r="N190" s="173"/>
      <c r="O190" s="173"/>
      <c r="P190" s="94"/>
      <c r="Q190" s="94"/>
      <c r="R190" s="94"/>
      <c r="S190" s="94"/>
      <c r="T190" s="94"/>
      <c r="U190" s="94"/>
      <c r="V190" s="94"/>
      <c r="W190" s="94"/>
      <c r="X190" s="94"/>
      <c r="Y190" s="420"/>
      <c r="Z190" s="420"/>
      <c r="AA190" s="94"/>
      <c r="AB190" s="47"/>
    </row>
    <row r="191" spans="1:29" ht="16.5" customHeight="1" x14ac:dyDescent="0.35">
      <c r="B191" s="95"/>
      <c r="C191" s="96"/>
      <c r="D191" s="97" t="s">
        <v>189</v>
      </c>
      <c r="E191" s="97"/>
      <c r="F191" s="47" t="s">
        <v>3</v>
      </c>
      <c r="G191" s="86" t="s">
        <v>2</v>
      </c>
      <c r="H191" s="87"/>
      <c r="I191" s="88"/>
      <c r="J191" s="89"/>
      <c r="K191" s="98">
        <v>1</v>
      </c>
      <c r="L191" s="99">
        <f>E2</f>
        <v>27.8</v>
      </c>
      <c r="M191" s="92">
        <v>0.5</v>
      </c>
      <c r="N191" s="92">
        <f>AF11</f>
        <v>10</v>
      </c>
      <c r="O191" s="92">
        <f t="shared" ref="O191" si="51">K191*L191*M191*N191</f>
        <v>139</v>
      </c>
      <c r="P191" s="94">
        <f>VLOOKUP($F191,'Master Harga'!$E$5:$L$348,6,FALSE)</f>
        <v>151208.64000000001</v>
      </c>
      <c r="Q191" s="94">
        <f t="shared" ref="Q191" si="52">P191*$O191</f>
        <v>21018000.960000001</v>
      </c>
      <c r="R191" s="94"/>
      <c r="S191" s="94"/>
      <c r="T191" s="94"/>
      <c r="U191" s="94"/>
      <c r="V191" s="94"/>
      <c r="W191" s="424"/>
      <c r="X191" s="436" t="s">
        <v>634</v>
      </c>
      <c r="Y191" s="420"/>
      <c r="Z191" s="420"/>
      <c r="AA191" s="108">
        <f t="shared" ref="AA191" si="53">Q191/$E$2</f>
        <v>756043.20000000007</v>
      </c>
      <c r="AB191" s="47"/>
    </row>
    <row r="192" spans="1:29" x14ac:dyDescent="0.35">
      <c r="B192" s="129"/>
      <c r="C192" s="130"/>
      <c r="D192" s="130" t="s">
        <v>727</v>
      </c>
      <c r="E192" s="131"/>
      <c r="F192" s="47" t="s">
        <v>192</v>
      </c>
      <c r="G192" s="46" t="s">
        <v>2</v>
      </c>
      <c r="H192" s="133"/>
      <c r="I192" s="134"/>
      <c r="J192" s="47"/>
      <c r="K192" s="46"/>
      <c r="L192" s="46"/>
      <c r="M192" s="256"/>
      <c r="N192" s="135"/>
      <c r="O192" s="92"/>
      <c r="P192" s="94"/>
      <c r="Q192" s="94"/>
      <c r="R192" s="94"/>
      <c r="S192" s="94"/>
      <c r="T192" s="94"/>
      <c r="U192" s="94"/>
      <c r="V192" s="94"/>
      <c r="W192" s="94"/>
      <c r="X192" s="94"/>
      <c r="Y192" s="420"/>
      <c r="Z192" s="420"/>
      <c r="AA192" s="94"/>
      <c r="AB192" s="47"/>
    </row>
    <row r="193" spans="1:29" x14ac:dyDescent="0.35">
      <c r="B193" s="129"/>
      <c r="C193" s="130"/>
      <c r="D193" s="130"/>
      <c r="E193" s="131"/>
      <c r="F193" s="47" t="s">
        <v>11</v>
      </c>
      <c r="G193" s="46" t="s">
        <v>2</v>
      </c>
      <c r="H193" s="133"/>
      <c r="I193" s="134"/>
      <c r="J193" s="47"/>
      <c r="K193" s="46"/>
      <c r="L193" s="46"/>
      <c r="M193" s="256"/>
      <c r="N193" s="135"/>
      <c r="O193" s="92"/>
      <c r="P193" s="94"/>
      <c r="Q193" s="94"/>
      <c r="R193" s="94"/>
      <c r="S193" s="94"/>
      <c r="T193" s="94"/>
      <c r="U193" s="94"/>
      <c r="V193" s="94"/>
      <c r="W193" s="94"/>
      <c r="X193" s="94"/>
      <c r="Y193" s="420"/>
      <c r="Z193" s="420"/>
      <c r="AA193" s="94"/>
      <c r="AB193" s="47"/>
    </row>
    <row r="194" spans="1:29" x14ac:dyDescent="0.35">
      <c r="B194" s="129"/>
      <c r="C194" s="130"/>
      <c r="D194" s="130"/>
      <c r="E194" s="131"/>
      <c r="F194" s="47" t="s">
        <v>58</v>
      </c>
      <c r="G194" s="46" t="s">
        <v>19</v>
      </c>
      <c r="H194" s="133">
        <v>1</v>
      </c>
      <c r="I194" s="134" t="s">
        <v>190</v>
      </c>
      <c r="J194" s="47"/>
      <c r="K194" s="46"/>
      <c r="L194" s="46"/>
      <c r="M194" s="256"/>
      <c r="N194" s="135"/>
      <c r="O194" s="92"/>
      <c r="P194" s="94"/>
      <c r="Q194" s="94"/>
      <c r="R194" s="94"/>
      <c r="S194" s="94"/>
      <c r="T194" s="94"/>
      <c r="U194" s="94"/>
      <c r="V194" s="94"/>
      <c r="W194" s="94"/>
      <c r="X194" s="94"/>
      <c r="Y194" s="420"/>
      <c r="Z194" s="420"/>
      <c r="AA194" s="94"/>
      <c r="AB194" s="47"/>
    </row>
    <row r="195" spans="1:29" x14ac:dyDescent="0.35">
      <c r="B195" s="129"/>
      <c r="C195" s="130"/>
      <c r="D195" s="130"/>
      <c r="E195" s="131"/>
      <c r="F195" s="47" t="s">
        <v>27</v>
      </c>
      <c r="G195" s="46" t="s">
        <v>19</v>
      </c>
      <c r="H195" s="133">
        <v>4</v>
      </c>
      <c r="I195" s="134" t="s">
        <v>190</v>
      </c>
      <c r="J195" s="47"/>
      <c r="K195" s="46"/>
      <c r="L195" s="46"/>
      <c r="M195" s="256"/>
      <c r="N195" s="135"/>
      <c r="O195" s="92"/>
      <c r="P195" s="94"/>
      <c r="Q195" s="94"/>
      <c r="R195" s="94"/>
      <c r="S195" s="94"/>
      <c r="T195" s="94"/>
      <c r="U195" s="94"/>
      <c r="V195" s="94"/>
      <c r="W195" s="94"/>
      <c r="X195" s="94"/>
      <c r="Y195" s="420"/>
      <c r="Z195" s="420"/>
      <c r="AA195" s="94"/>
      <c r="AB195" s="47"/>
    </row>
    <row r="196" spans="1:29" x14ac:dyDescent="0.35">
      <c r="B196" s="129"/>
      <c r="C196" s="130"/>
      <c r="D196" s="130"/>
      <c r="E196" s="131"/>
      <c r="F196" s="47" t="s">
        <v>193</v>
      </c>
      <c r="G196" s="46" t="s">
        <v>19</v>
      </c>
      <c r="H196" s="133">
        <v>12</v>
      </c>
      <c r="I196" s="134" t="s">
        <v>190</v>
      </c>
      <c r="J196" s="47"/>
      <c r="K196" s="46"/>
      <c r="L196" s="46"/>
      <c r="M196" s="256"/>
      <c r="N196" s="135"/>
      <c r="O196" s="92"/>
      <c r="P196" s="94"/>
      <c r="Q196" s="94"/>
      <c r="R196" s="94"/>
      <c r="S196" s="94"/>
      <c r="T196" s="94"/>
      <c r="U196" s="94"/>
      <c r="V196" s="94"/>
      <c r="W196" s="94"/>
      <c r="X196" s="94"/>
      <c r="Y196" s="420"/>
      <c r="Z196" s="420"/>
      <c r="AA196" s="94"/>
      <c r="AB196" s="47"/>
    </row>
    <row r="197" spans="1:29" x14ac:dyDescent="0.35">
      <c r="B197" s="129"/>
      <c r="C197" s="130"/>
      <c r="D197" s="130"/>
      <c r="E197" s="131"/>
      <c r="F197" s="47" t="s">
        <v>55</v>
      </c>
      <c r="G197" s="46" t="s">
        <v>19</v>
      </c>
      <c r="H197" s="133">
        <v>2</v>
      </c>
      <c r="I197" s="134" t="s">
        <v>190</v>
      </c>
      <c r="J197" s="47"/>
      <c r="K197" s="46"/>
      <c r="L197" s="46"/>
      <c r="M197" s="256"/>
      <c r="N197" s="135"/>
      <c r="O197" s="92"/>
      <c r="P197" s="94"/>
      <c r="Q197" s="94"/>
      <c r="R197" s="94"/>
      <c r="S197" s="94"/>
      <c r="T197" s="94"/>
      <c r="U197" s="94"/>
      <c r="V197" s="94"/>
      <c r="W197" s="94"/>
      <c r="X197" s="94"/>
      <c r="Y197" s="420"/>
      <c r="Z197" s="420"/>
      <c r="AA197" s="94"/>
      <c r="AB197" s="47"/>
    </row>
    <row r="198" spans="1:29" x14ac:dyDescent="0.35">
      <c r="B198" s="129"/>
      <c r="C198" s="130"/>
      <c r="D198" s="130"/>
      <c r="E198" s="131"/>
      <c r="F198" s="47" t="s">
        <v>56</v>
      </c>
      <c r="G198" s="46" t="s">
        <v>19</v>
      </c>
      <c r="H198" s="133">
        <v>1</v>
      </c>
      <c r="I198" s="134" t="s">
        <v>190</v>
      </c>
      <c r="J198" s="47"/>
      <c r="K198" s="46"/>
      <c r="L198" s="46"/>
      <c r="M198" s="256"/>
      <c r="N198" s="135"/>
      <c r="O198" s="92"/>
      <c r="P198" s="94"/>
      <c r="Q198" s="94"/>
      <c r="R198" s="94"/>
      <c r="S198" s="94"/>
      <c r="T198" s="94"/>
      <c r="U198" s="94"/>
      <c r="V198" s="94"/>
      <c r="W198" s="94"/>
      <c r="X198" s="94"/>
      <c r="Y198" s="420"/>
      <c r="Z198" s="420"/>
      <c r="AA198" s="94"/>
      <c r="AB198" s="47"/>
    </row>
    <row r="199" spans="1:29" ht="18.75" customHeight="1" x14ac:dyDescent="0.35">
      <c r="B199" s="136"/>
      <c r="C199" s="137"/>
      <c r="D199" s="137"/>
      <c r="E199" s="143"/>
      <c r="F199" s="257" t="s">
        <v>574</v>
      </c>
      <c r="G199" s="46" t="s">
        <v>7</v>
      </c>
      <c r="H199" s="133"/>
      <c r="I199" s="134"/>
      <c r="J199" s="47" t="s">
        <v>7</v>
      </c>
      <c r="K199" s="98">
        <v>1</v>
      </c>
      <c r="L199" s="99">
        <f>G2</f>
        <v>139000</v>
      </c>
      <c r="M199" s="192">
        <f>5/1000</f>
        <v>5.0000000000000001E-3</v>
      </c>
      <c r="N199" s="92">
        <f>N191</f>
        <v>10</v>
      </c>
      <c r="O199" s="92">
        <f>K199*L199*M199*N199</f>
        <v>6950</v>
      </c>
      <c r="P199" s="94">
        <f>VLOOKUP($F199,'Master Harga'!$E$5:$L$348,6,FALSE)</f>
        <v>8338.3159999999989</v>
      </c>
      <c r="Q199" s="94">
        <f t="shared" ref="Q199" si="54">P199*$O199</f>
        <v>57951296.199999996</v>
      </c>
      <c r="R199" s="94"/>
      <c r="S199" s="94"/>
      <c r="T199" s="94"/>
      <c r="U199" s="94"/>
      <c r="V199" s="94"/>
      <c r="W199" s="424"/>
      <c r="X199" s="436" t="s">
        <v>634</v>
      </c>
      <c r="Y199" s="420"/>
      <c r="Z199" s="420"/>
      <c r="AA199" s="108">
        <f t="shared" ref="AA199" si="55">Q199/$E$2</f>
        <v>2084578.9999999998</v>
      </c>
      <c r="AB199" s="47"/>
    </row>
    <row r="200" spans="1:29" x14ac:dyDescent="0.35">
      <c r="B200" s="87"/>
      <c r="C200" s="88"/>
      <c r="D200" s="88" t="s">
        <v>168</v>
      </c>
      <c r="E200" s="160"/>
      <c r="F200" s="85"/>
      <c r="G200" s="86"/>
      <c r="H200" s="87"/>
      <c r="I200" s="88"/>
      <c r="J200" s="89"/>
      <c r="K200" s="90"/>
      <c r="L200" s="90"/>
      <c r="M200" s="91"/>
      <c r="N200" s="92"/>
      <c r="O200" s="92"/>
      <c r="P200" s="94"/>
      <c r="Q200" s="94"/>
      <c r="R200" s="94"/>
      <c r="S200" s="94"/>
      <c r="T200" s="94"/>
      <c r="U200" s="94"/>
      <c r="V200" s="94"/>
      <c r="W200" s="94"/>
      <c r="X200" s="94"/>
      <c r="Y200" s="420"/>
      <c r="Z200" s="420"/>
      <c r="AA200" s="94"/>
      <c r="AB200" s="47"/>
    </row>
    <row r="201" spans="1:29" x14ac:dyDescent="0.35">
      <c r="B201" s="95"/>
      <c r="C201" s="96"/>
      <c r="D201" s="96"/>
      <c r="E201" s="97" t="s">
        <v>169</v>
      </c>
      <c r="F201" s="85" t="s">
        <v>182</v>
      </c>
      <c r="G201" s="86" t="s">
        <v>8</v>
      </c>
      <c r="H201" s="87"/>
      <c r="I201" s="88"/>
      <c r="J201" s="89"/>
      <c r="K201" s="258"/>
      <c r="L201" s="258"/>
      <c r="M201" s="141">
        <v>1</v>
      </c>
      <c r="N201" s="135">
        <f>N199</f>
        <v>10</v>
      </c>
      <c r="O201" s="173"/>
      <c r="P201" s="185"/>
      <c r="Q201" s="185"/>
      <c r="R201" s="185"/>
      <c r="S201" s="185"/>
      <c r="T201" s="185"/>
      <c r="U201" s="185"/>
      <c r="V201" s="185"/>
      <c r="W201" s="185"/>
      <c r="X201" s="94"/>
      <c r="Y201" s="420"/>
      <c r="Z201" s="420"/>
      <c r="AA201" s="94"/>
      <c r="AB201" s="47"/>
    </row>
    <row r="202" spans="1:29" x14ac:dyDescent="0.35">
      <c r="B202" s="129"/>
      <c r="C202" s="130"/>
      <c r="D202" s="130"/>
      <c r="E202" s="131"/>
      <c r="F202" s="85" t="s">
        <v>116</v>
      </c>
      <c r="G202" s="86" t="s">
        <v>117</v>
      </c>
      <c r="H202" s="87"/>
      <c r="I202" s="88"/>
      <c r="J202" s="89"/>
      <c r="K202" s="258"/>
      <c r="L202" s="258"/>
      <c r="M202" s="141">
        <v>5.0000000000000001E-3</v>
      </c>
      <c r="N202" s="135">
        <f>N201</f>
        <v>10</v>
      </c>
      <c r="O202" s="92"/>
      <c r="P202" s="94"/>
      <c r="Q202" s="94"/>
      <c r="R202" s="94"/>
      <c r="S202" s="94"/>
      <c r="T202" s="94"/>
      <c r="U202" s="94"/>
      <c r="V202" s="94"/>
      <c r="W202" s="94"/>
      <c r="X202" s="94"/>
      <c r="Y202" s="420"/>
      <c r="Z202" s="420"/>
      <c r="AA202" s="94"/>
      <c r="AB202" s="47"/>
    </row>
    <row r="203" spans="1:29" x14ac:dyDescent="0.35">
      <c r="B203" s="136"/>
      <c r="C203" s="137"/>
      <c r="D203" s="137"/>
      <c r="E203" s="143"/>
      <c r="F203" s="47" t="s">
        <v>106</v>
      </c>
      <c r="G203" s="46" t="s">
        <v>8</v>
      </c>
      <c r="H203" s="133"/>
      <c r="I203" s="134"/>
      <c r="J203" s="47"/>
      <c r="K203" s="258"/>
      <c r="L203" s="258"/>
      <c r="M203" s="141">
        <v>1</v>
      </c>
      <c r="N203" s="135">
        <f>N202</f>
        <v>10</v>
      </c>
      <c r="O203" s="92"/>
      <c r="P203" s="94"/>
      <c r="Q203" s="94"/>
      <c r="R203" s="94"/>
      <c r="S203" s="94"/>
      <c r="T203" s="94"/>
      <c r="U203" s="94"/>
      <c r="V203" s="94"/>
      <c r="W203" s="94"/>
      <c r="X203" s="94"/>
      <c r="Y203" s="420"/>
      <c r="Z203" s="420"/>
      <c r="AA203" s="94"/>
      <c r="AB203" s="47"/>
    </row>
    <row r="204" spans="1:29" ht="14.25" customHeight="1" x14ac:dyDescent="0.35">
      <c r="B204" s="95"/>
      <c r="C204" s="96"/>
      <c r="D204" s="96"/>
      <c r="E204" s="97" t="s">
        <v>170</v>
      </c>
      <c r="F204" s="85" t="s">
        <v>183</v>
      </c>
      <c r="G204" s="86" t="s">
        <v>8</v>
      </c>
      <c r="H204" s="87"/>
      <c r="I204" s="88"/>
      <c r="J204" s="89" t="s">
        <v>8</v>
      </c>
      <c r="K204" s="259">
        <v>1</v>
      </c>
      <c r="L204" s="260">
        <f>O199</f>
        <v>6950</v>
      </c>
      <c r="M204" s="141">
        <v>1</v>
      </c>
      <c r="N204" s="135">
        <v>1</v>
      </c>
      <c r="O204" s="94">
        <f t="shared" ref="O204:O205" si="56">K204*L204*M204*N204</f>
        <v>6950</v>
      </c>
      <c r="P204" s="94">
        <v>17000</v>
      </c>
      <c r="Q204" s="94">
        <f t="shared" ref="Q204:Q205" si="57">P204*$O204</f>
        <v>118150000</v>
      </c>
      <c r="R204" s="94"/>
      <c r="S204" s="94"/>
      <c r="T204" s="94"/>
      <c r="U204" s="94"/>
      <c r="V204" s="94"/>
      <c r="W204" s="424"/>
      <c r="X204" s="436" t="s">
        <v>634</v>
      </c>
      <c r="Y204" s="420"/>
      <c r="Z204" s="420"/>
      <c r="AA204" s="108">
        <f t="shared" ref="AA204:AA205" si="58">Q204/$E$2</f>
        <v>4250000</v>
      </c>
      <c r="AB204" s="47"/>
    </row>
    <row r="205" spans="1:29" ht="16.5" customHeight="1" x14ac:dyDescent="0.35">
      <c r="B205" s="136"/>
      <c r="C205" s="137"/>
      <c r="D205" s="137"/>
      <c r="E205" s="143"/>
      <c r="F205" s="85" t="s">
        <v>387</v>
      </c>
      <c r="G205" s="86" t="s">
        <v>7</v>
      </c>
      <c r="H205" s="87"/>
      <c r="I205" s="88"/>
      <c r="J205" s="89"/>
      <c r="K205" s="259"/>
      <c r="L205" s="260"/>
      <c r="M205" s="141">
        <v>1</v>
      </c>
      <c r="N205" s="135">
        <f>N204</f>
        <v>1</v>
      </c>
      <c r="O205" s="94">
        <f t="shared" si="56"/>
        <v>0</v>
      </c>
      <c r="P205" s="94">
        <f>VLOOKUP($F205,'Master Harga'!$E$5:$L$348,7,FALSE)</f>
        <v>0</v>
      </c>
      <c r="Q205" s="94">
        <f t="shared" si="57"/>
        <v>0</v>
      </c>
      <c r="R205" s="94"/>
      <c r="S205" s="94"/>
      <c r="T205" s="94"/>
      <c r="U205" s="94"/>
      <c r="V205" s="94"/>
      <c r="W205" s="424"/>
      <c r="X205" s="436" t="s">
        <v>634</v>
      </c>
      <c r="Y205" s="420"/>
      <c r="Z205" s="420"/>
      <c r="AA205" s="108">
        <f t="shared" si="58"/>
        <v>0</v>
      </c>
      <c r="AB205" s="47"/>
    </row>
    <row r="206" spans="1:29" s="19" customFormat="1" x14ac:dyDescent="0.35">
      <c r="A206" s="49"/>
      <c r="B206" s="510" t="s">
        <v>682</v>
      </c>
      <c r="C206" s="511"/>
      <c r="D206" s="511"/>
      <c r="E206" s="512"/>
      <c r="F206" s="195"/>
      <c r="G206" s="196"/>
      <c r="H206" s="197"/>
      <c r="I206" s="198"/>
      <c r="J206" s="199"/>
      <c r="K206" s="200"/>
      <c r="L206" s="200"/>
      <c r="M206" s="201"/>
      <c r="N206" s="161"/>
      <c r="O206" s="161"/>
      <c r="P206" s="156"/>
      <c r="Q206" s="156">
        <f>SUM(Q191:Q205)</f>
        <v>197119297.16</v>
      </c>
      <c r="R206" s="156"/>
      <c r="S206" s="156">
        <f>SUM(S166:S205)</f>
        <v>652678173.15839994</v>
      </c>
      <c r="T206" s="156"/>
      <c r="U206" s="156">
        <f>SUM(U166:U205)</f>
        <v>728728880.93107212</v>
      </c>
      <c r="V206" s="156"/>
      <c r="W206" s="156">
        <f>SUM(W166:W205)</f>
        <v>664254065.08262396</v>
      </c>
      <c r="X206" s="156"/>
      <c r="Y206" s="431"/>
      <c r="Z206" s="431"/>
      <c r="AA206" s="156">
        <f>Q206/E2</f>
        <v>7090622.1999999993</v>
      </c>
      <c r="AB206" s="157">
        <f>Q206/$Q$214*100</f>
        <v>8.0866033141231224</v>
      </c>
      <c r="AC206" s="78"/>
    </row>
    <row r="207" spans="1:29" s="19" customFormat="1" x14ac:dyDescent="0.35">
      <c r="A207" s="49"/>
      <c r="B207" s="513" t="s">
        <v>529</v>
      </c>
      <c r="C207" s="514"/>
      <c r="D207" s="514"/>
      <c r="E207" s="515"/>
      <c r="F207" s="204"/>
      <c r="G207" s="205"/>
      <c r="H207" s="206"/>
      <c r="I207" s="207"/>
      <c r="J207" s="208"/>
      <c r="K207" s="209"/>
      <c r="L207" s="209"/>
      <c r="M207" s="210"/>
      <c r="N207" s="211"/>
      <c r="O207" s="211"/>
      <c r="P207" s="212"/>
      <c r="Q207" s="212">
        <f>Q156+Q166+Q189+Q206</f>
        <v>1049939830.0099102</v>
      </c>
      <c r="R207" s="212"/>
      <c r="S207" s="212">
        <f>SUM(S158:S205)</f>
        <v>847818363.18719995</v>
      </c>
      <c r="T207" s="212"/>
      <c r="U207" s="212">
        <f>SUM(U158:U205)</f>
        <v>947425770.80217612</v>
      </c>
      <c r="V207" s="212"/>
      <c r="W207" s="212">
        <f>SUM(W158:W205)</f>
        <v>862655040.39219189</v>
      </c>
      <c r="X207" s="281"/>
      <c r="Y207" s="439"/>
      <c r="Z207" s="439"/>
      <c r="AA207" s="281">
        <f>Q207/E2</f>
        <v>37767619.784529142</v>
      </c>
      <c r="AB207" s="215">
        <f>Q207/$Q$214*100</f>
        <v>43.07263180882989</v>
      </c>
      <c r="AC207" s="78">
        <f>Q207/$AA$2</f>
        <v>343.34199804117407</v>
      </c>
    </row>
    <row r="208" spans="1:29" x14ac:dyDescent="0.35">
      <c r="B208" s="87"/>
      <c r="C208" s="83" t="s">
        <v>711</v>
      </c>
      <c r="D208" s="88"/>
      <c r="E208" s="160"/>
      <c r="F208" s="85"/>
      <c r="G208" s="86" t="s">
        <v>113</v>
      </c>
      <c r="H208" s="87"/>
      <c r="I208" s="88"/>
      <c r="J208" s="89"/>
      <c r="K208" s="90"/>
      <c r="L208" s="90"/>
      <c r="M208" s="91"/>
      <c r="N208" s="92"/>
      <c r="O208" s="92"/>
      <c r="P208" s="94"/>
      <c r="Q208" s="94"/>
      <c r="R208" s="94"/>
      <c r="S208" s="94"/>
      <c r="T208" s="94"/>
      <c r="U208" s="94"/>
      <c r="V208" s="94"/>
      <c r="W208" s="94"/>
      <c r="X208" s="94"/>
      <c r="Y208" s="420"/>
      <c r="Z208" s="420"/>
      <c r="AA208" s="94"/>
      <c r="AB208" s="47"/>
    </row>
    <row r="209" spans="2:29" x14ac:dyDescent="0.35">
      <c r="B209" s="95"/>
      <c r="C209" s="96"/>
      <c r="D209" s="96" t="s">
        <v>709</v>
      </c>
      <c r="E209" s="104"/>
      <c r="F209" s="124" t="s">
        <v>3</v>
      </c>
      <c r="G209" s="125" t="s">
        <v>2</v>
      </c>
      <c r="H209" s="126"/>
      <c r="I209" s="127"/>
      <c r="J209" s="67" t="s">
        <v>534</v>
      </c>
      <c r="K209" s="113">
        <v>1</v>
      </c>
      <c r="L209" s="99">
        <f>E2</f>
        <v>27.8</v>
      </c>
      <c r="M209" s="92">
        <v>12</v>
      </c>
      <c r="N209" s="94">
        <f>N191</f>
        <v>10</v>
      </c>
      <c r="O209" s="92">
        <f>K209*M209*L209*N209</f>
        <v>3336</v>
      </c>
      <c r="P209" s="108">
        <f>VLOOKUP($F209,'Master Harga'!$E$5:$L$348,6,FALSE)</f>
        <v>151208.64000000001</v>
      </c>
      <c r="Q209" s="94">
        <f>O209*P209</f>
        <v>504432023.04000002</v>
      </c>
      <c r="R209" s="94">
        <f>VLOOKUP($F209,'Master Harga'!$E$5:$L$348,6,FALSE)</f>
        <v>151208.64000000001</v>
      </c>
      <c r="S209" s="94">
        <f>R209*O209</f>
        <v>504432023.04000002</v>
      </c>
      <c r="T209" s="94">
        <f>VLOOKUP($F209,'Master Harga'!$E$5:$L$348,7,FALSE)</f>
        <v>163305.33120000002</v>
      </c>
      <c r="U209" s="94">
        <f>T209*O209</f>
        <v>544786584.88320005</v>
      </c>
      <c r="V209" s="94">
        <f>W209/O209</f>
        <v>155240.87040000001</v>
      </c>
      <c r="W209" s="94">
        <f>(Q209+S209+U209)/3</f>
        <v>517883543.65440005</v>
      </c>
      <c r="X209" s="94"/>
      <c r="Y209" s="420"/>
      <c r="Z209" s="420">
        <f>W209*1000</f>
        <v>517883543654.40002</v>
      </c>
      <c r="AA209" s="108">
        <f t="shared" ref="AA209:AA212" si="59">Q209/$E$2</f>
        <v>18145036.800000001</v>
      </c>
      <c r="AB209" s="47"/>
    </row>
    <row r="210" spans="2:29" x14ac:dyDescent="0.35">
      <c r="B210" s="129"/>
      <c r="C210" s="130"/>
      <c r="D210" s="130" t="s">
        <v>729</v>
      </c>
      <c r="E210" s="112"/>
      <c r="F210" s="124" t="s">
        <v>629</v>
      </c>
      <c r="G210" s="125" t="s">
        <v>8</v>
      </c>
      <c r="H210" s="126"/>
      <c r="I210" s="127"/>
      <c r="J210" s="67" t="s">
        <v>8</v>
      </c>
      <c r="K210" s="113">
        <v>1</v>
      </c>
      <c r="L210" s="99">
        <f>12*E2</f>
        <v>333.6</v>
      </c>
      <c r="M210" s="92">
        <v>6</v>
      </c>
      <c r="N210" s="94">
        <f>N191</f>
        <v>10</v>
      </c>
      <c r="O210" s="92">
        <f>K210*L210*N210/M210</f>
        <v>556</v>
      </c>
      <c r="P210" s="108">
        <f>VLOOKUP($F210,'Master Harga'!$E$5:$L$348,6,FALSE)</f>
        <v>207500</v>
      </c>
      <c r="Q210" s="94">
        <f>O210*P210</f>
        <v>115370000</v>
      </c>
      <c r="R210" s="94">
        <f>VLOOKUP($F210,'Master Harga'!$E$5:$L$348,6,FALSE)</f>
        <v>207500</v>
      </c>
      <c r="S210" s="94">
        <f>R210*O210</f>
        <v>115370000</v>
      </c>
      <c r="T210" s="94">
        <f>VLOOKUP($F210,'Master Harga'!$E$5:$L$348,7,FALSE)</f>
        <v>236549.99999999997</v>
      </c>
      <c r="U210" s="94">
        <f>T210*O210</f>
        <v>131521799.99999999</v>
      </c>
      <c r="V210" s="94">
        <f>W210/O210</f>
        <v>217183.33333333331</v>
      </c>
      <c r="W210" s="94">
        <f>(Q210+S210+U210)/3</f>
        <v>120753933.33333333</v>
      </c>
      <c r="X210" s="94"/>
      <c r="Y210" s="420"/>
      <c r="Z210" s="420"/>
      <c r="AA210" s="108">
        <f t="shared" si="59"/>
        <v>4150000</v>
      </c>
      <c r="AB210" s="47"/>
    </row>
    <row r="211" spans="2:29" x14ac:dyDescent="0.35">
      <c r="B211" s="129"/>
      <c r="C211" s="130"/>
      <c r="D211" s="130" t="s">
        <v>730</v>
      </c>
      <c r="E211" s="112"/>
      <c r="F211" s="124" t="s">
        <v>645</v>
      </c>
      <c r="G211" s="125"/>
      <c r="H211" s="126"/>
      <c r="I211" s="127"/>
      <c r="J211" s="67"/>
      <c r="K211" s="113"/>
      <c r="L211" s="90"/>
      <c r="M211" s="94">
        <v>1</v>
      </c>
      <c r="N211" s="94">
        <v>1</v>
      </c>
      <c r="O211" s="92">
        <f>K211*M211*L211*N211</f>
        <v>0</v>
      </c>
      <c r="P211" s="108">
        <v>350000</v>
      </c>
      <c r="Q211" s="94">
        <f>O211*P211</f>
        <v>0</v>
      </c>
      <c r="R211" s="94"/>
      <c r="S211" s="94"/>
      <c r="T211" s="94"/>
      <c r="U211" s="94"/>
      <c r="V211" s="94"/>
      <c r="W211" s="94"/>
      <c r="X211" s="94"/>
      <c r="Y211" s="420"/>
      <c r="Z211" s="420"/>
      <c r="AA211" s="108">
        <f t="shared" si="59"/>
        <v>0</v>
      </c>
      <c r="AB211" s="47"/>
    </row>
    <row r="212" spans="2:29" x14ac:dyDescent="0.35">
      <c r="B212" s="136"/>
      <c r="C212" s="137"/>
      <c r="D212" s="137"/>
      <c r="E212" s="111"/>
      <c r="F212" s="124" t="s">
        <v>109</v>
      </c>
      <c r="G212" s="125" t="s">
        <v>108</v>
      </c>
      <c r="H212" s="126"/>
      <c r="I212" s="127"/>
      <c r="J212" s="67"/>
      <c r="K212" s="113"/>
      <c r="L212" s="90"/>
      <c r="M212" s="94">
        <v>12</v>
      </c>
      <c r="N212" s="94">
        <v>12</v>
      </c>
      <c r="O212" s="92">
        <f>K212*M212*L212*N212</f>
        <v>0</v>
      </c>
      <c r="P212" s="108">
        <f>VLOOKUP($F212,'Master Harga'!$E$5:$L$348,6,FALSE)</f>
        <v>1382.8541999999998</v>
      </c>
      <c r="Q212" s="94">
        <f>O212*P212</f>
        <v>0</v>
      </c>
      <c r="R212" s="94">
        <f>VLOOKUP($F212,'Master Harga'!$E$5:$L$348,6,FALSE)</f>
        <v>1382.8541999999998</v>
      </c>
      <c r="S212" s="94">
        <f>R212*O212</f>
        <v>0</v>
      </c>
      <c r="T212" s="94">
        <f>VLOOKUP($F212,'Master Harga'!$E$5:$L$348,7,FALSE)</f>
        <v>1576.4537879999996</v>
      </c>
      <c r="U212" s="94">
        <f>T212*O212</f>
        <v>0</v>
      </c>
      <c r="V212" s="94" t="e">
        <f>W212/O212</f>
        <v>#DIV/0!</v>
      </c>
      <c r="W212" s="94">
        <f>(Q212+S212+U212)/3</f>
        <v>0</v>
      </c>
      <c r="X212" s="94"/>
      <c r="Y212" s="420"/>
      <c r="Z212" s="420"/>
      <c r="AA212" s="108">
        <f t="shared" si="59"/>
        <v>0</v>
      </c>
      <c r="AB212" s="47"/>
    </row>
    <row r="213" spans="2:29" x14ac:dyDescent="0.35">
      <c r="B213" s="513" t="s">
        <v>712</v>
      </c>
      <c r="C213" s="514"/>
      <c r="D213" s="514"/>
      <c r="E213" s="515"/>
      <c r="F213" s="263"/>
      <c r="G213" s="264"/>
      <c r="H213" s="265"/>
      <c r="I213" s="266"/>
      <c r="J213" s="267"/>
      <c r="K213" s="268"/>
      <c r="L213" s="268"/>
      <c r="M213" s="269"/>
      <c r="N213" s="270"/>
      <c r="O213" s="270"/>
      <c r="P213" s="440"/>
      <c r="Q213" s="212">
        <f>SUM(Q209:Q212)</f>
        <v>619802023.03999996</v>
      </c>
      <c r="R213" s="440"/>
      <c r="S213" s="212">
        <f>SUM(S209:S212)</f>
        <v>619802023.03999996</v>
      </c>
      <c r="T213" s="440"/>
      <c r="U213" s="212">
        <f>SUM(U209:U212)</f>
        <v>676308384.88320005</v>
      </c>
      <c r="V213" s="440"/>
      <c r="W213" s="212">
        <f>SUM(W209:W212)</f>
        <v>638637476.98773336</v>
      </c>
      <c r="X213" s="441"/>
      <c r="Y213" s="442"/>
      <c r="Z213" s="442"/>
      <c r="AA213" s="281">
        <f>Q213/E2</f>
        <v>22295036.799999997</v>
      </c>
      <c r="AB213" s="215">
        <f>Q213/$Q$214*100</f>
        <v>25.426699292394535</v>
      </c>
      <c r="AC213" s="78">
        <f>Q213/$AA$2</f>
        <v>202.68215272727272</v>
      </c>
    </row>
    <row r="214" spans="2:29" ht="14.25" customHeight="1" x14ac:dyDescent="0.35">
      <c r="B214" s="516" t="s">
        <v>713</v>
      </c>
      <c r="C214" s="517"/>
      <c r="D214" s="517"/>
      <c r="E214" s="518"/>
      <c r="F214" s="273"/>
      <c r="G214" s="274"/>
      <c r="H214" s="275"/>
      <c r="I214" s="276"/>
      <c r="J214" s="277"/>
      <c r="K214" s="278"/>
      <c r="L214" s="278"/>
      <c r="M214" s="279"/>
      <c r="N214" s="280"/>
      <c r="O214" s="280"/>
      <c r="P214" s="441"/>
      <c r="Q214" s="281">
        <f>Q115+Q207+Q213</f>
        <v>2437603150.5803471</v>
      </c>
      <c r="R214" s="94"/>
      <c r="S214" s="443" t="e">
        <f>S115+#REF!+S207+S213</f>
        <v>#REF!</v>
      </c>
      <c r="T214" s="94"/>
      <c r="U214" s="443" t="e">
        <f>U115+#REF!+U207+U213</f>
        <v>#REF!</v>
      </c>
      <c r="V214" s="94"/>
      <c r="W214" s="443" t="e">
        <f>W115+#REF!+W207+W213</f>
        <v>#REF!</v>
      </c>
      <c r="X214" s="441"/>
      <c r="Y214" s="442"/>
      <c r="Z214" s="442"/>
      <c r="AA214" s="281">
        <f>Q214/E2</f>
        <v>87683566.567638382</v>
      </c>
      <c r="AB214" s="262">
        <f>Q214/Q214*100</f>
        <v>100</v>
      </c>
    </row>
    <row r="215" spans="2:29" ht="14.25" customHeight="1" x14ac:dyDescent="0.35">
      <c r="B215" s="507" t="s">
        <v>731</v>
      </c>
      <c r="C215" s="508"/>
      <c r="D215" s="508"/>
      <c r="E215" s="509"/>
      <c r="F215" s="287"/>
      <c r="G215" s="288"/>
      <c r="H215" s="289"/>
      <c r="I215" s="290"/>
      <c r="J215" s="291"/>
      <c r="K215" s="292"/>
      <c r="L215" s="292"/>
      <c r="M215" s="293"/>
      <c r="N215" s="294"/>
      <c r="O215" s="294"/>
      <c r="P215" s="294"/>
      <c r="Q215" s="295">
        <f>Q116+Q208+Q214</f>
        <v>2437603150.5803471</v>
      </c>
      <c r="R215" s="294"/>
      <c r="S215" s="296"/>
      <c r="T215" s="294"/>
      <c r="U215" s="296"/>
      <c r="V215" s="294"/>
      <c r="W215" s="296"/>
      <c r="X215" s="297"/>
      <c r="Y215" s="298"/>
      <c r="Z215" s="298"/>
      <c r="AA215" s="299">
        <f>Q215/AA2</f>
        <v>797.12333243307626</v>
      </c>
      <c r="AB215" s="300"/>
      <c r="AC215" s="78">
        <f>Q215/$AA$2</f>
        <v>797.12333243307626</v>
      </c>
    </row>
    <row r="217" spans="2:29" hidden="1" x14ac:dyDescent="0.35">
      <c r="B217" s="71" t="s">
        <v>578</v>
      </c>
      <c r="E217" s="71" t="s">
        <v>502</v>
      </c>
      <c r="Q217" s="79">
        <f>Q115</f>
        <v>767861297.53043711</v>
      </c>
      <c r="S217" s="79">
        <f>S115</f>
        <v>280828235.41401869</v>
      </c>
      <c r="U217" s="79">
        <f>U115</f>
        <v>348262534.60031021</v>
      </c>
      <c r="W217" s="79">
        <f>W115</f>
        <v>303618496.07190251</v>
      </c>
      <c r="X217" s="283">
        <v>4403451913</v>
      </c>
    </row>
    <row r="218" spans="2:29" hidden="1" x14ac:dyDescent="0.35">
      <c r="E218" s="71" t="s">
        <v>530</v>
      </c>
      <c r="Q218" s="79" t="e">
        <f>#REF!</f>
        <v>#REF!</v>
      </c>
      <c r="S218" s="79" t="e">
        <f>#REF!</f>
        <v>#REF!</v>
      </c>
      <c r="U218" s="79" t="e">
        <f>#REF!</f>
        <v>#REF!</v>
      </c>
      <c r="W218" s="79" t="e">
        <f>#REF!</f>
        <v>#REF!</v>
      </c>
      <c r="X218" s="44">
        <v>192.08</v>
      </c>
    </row>
    <row r="219" spans="2:29" hidden="1" x14ac:dyDescent="0.35">
      <c r="E219" s="71" t="s">
        <v>505</v>
      </c>
      <c r="Q219" s="79">
        <f>Q207+Q213</f>
        <v>1669741853.0499101</v>
      </c>
      <c r="S219" s="79">
        <f>S207+S213</f>
        <v>1467620386.2272</v>
      </c>
      <c r="U219" s="79">
        <f>U207+U213</f>
        <v>1623734155.6853762</v>
      </c>
      <c r="W219" s="79">
        <f>W207+W213</f>
        <v>1501292517.3799253</v>
      </c>
      <c r="X219" s="284">
        <f>X217/X218</f>
        <v>22925093.258017492</v>
      </c>
    </row>
    <row r="220" spans="2:29" hidden="1" x14ac:dyDescent="0.35">
      <c r="D220" s="285"/>
      <c r="E220" s="285" t="s">
        <v>531</v>
      </c>
      <c r="Q220" s="286" t="e">
        <f>SUM(Q217:Q219)</f>
        <v>#REF!</v>
      </c>
      <c r="S220" s="286" t="e">
        <f>SUM(S217:S219)</f>
        <v>#REF!</v>
      </c>
      <c r="U220" s="286" t="e">
        <f>SUM(U217:U219)</f>
        <v>#REF!</v>
      </c>
      <c r="W220" s="286" t="e">
        <f>SUM(W217:W219)</f>
        <v>#REF!</v>
      </c>
    </row>
    <row r="221" spans="2:29" hidden="1" x14ac:dyDescent="0.35">
      <c r="E221" s="71" t="s">
        <v>506</v>
      </c>
      <c r="Q221" s="79" t="e">
        <f>#REF!</f>
        <v>#REF!</v>
      </c>
      <c r="S221" s="79" t="e">
        <f>#REF!</f>
        <v>#REF!</v>
      </c>
      <c r="U221" s="79" t="e">
        <f>#REF!</f>
        <v>#REF!</v>
      </c>
      <c r="W221" s="79" t="e">
        <f>#REF!</f>
        <v>#REF!</v>
      </c>
    </row>
    <row r="222" spans="2:29" hidden="1" x14ac:dyDescent="0.35">
      <c r="E222" s="71" t="s">
        <v>507</v>
      </c>
      <c r="Q222" s="79" t="e">
        <f>#REF!</f>
        <v>#REF!</v>
      </c>
      <c r="S222" s="79" t="e">
        <f>#REF!</f>
        <v>#REF!</v>
      </c>
      <c r="U222" s="79" t="e">
        <f>#REF!</f>
        <v>#REF!</v>
      </c>
      <c r="W222" s="79" t="e">
        <f>#REF!</f>
        <v>#REF!</v>
      </c>
    </row>
    <row r="223" spans="2:29" hidden="1" x14ac:dyDescent="0.35">
      <c r="E223" s="71" t="s">
        <v>532</v>
      </c>
      <c r="Q223" s="79" t="e">
        <f>#REF!</f>
        <v>#REF!</v>
      </c>
      <c r="S223" s="79" t="e">
        <f>#REF!</f>
        <v>#REF!</v>
      </c>
      <c r="U223" s="79" t="e">
        <f>#REF!</f>
        <v>#REF!</v>
      </c>
      <c r="W223" s="79" t="e">
        <f>#REF!</f>
        <v>#REF!</v>
      </c>
    </row>
    <row r="224" spans="2:29" hidden="1" x14ac:dyDescent="0.35">
      <c r="Q224" s="286" t="e">
        <f>SUM(Q221:Q223)</f>
        <v>#REF!</v>
      </c>
      <c r="S224" s="286" t="e">
        <f>SUM(S221:S223)</f>
        <v>#REF!</v>
      </c>
      <c r="U224" s="286" t="e">
        <f>SUM(U221:U223)</f>
        <v>#REF!</v>
      </c>
      <c r="W224" s="286" t="e">
        <f>SUM(W221:W223)</f>
        <v>#REF!</v>
      </c>
    </row>
    <row r="225" spans="2:23" hidden="1" x14ac:dyDescent="0.35">
      <c r="E225" s="285" t="s">
        <v>580</v>
      </c>
      <c r="Q225" s="286" t="e">
        <f>Q224+Q220</f>
        <v>#REF!</v>
      </c>
      <c r="S225" s="286" t="e">
        <f>S224+S220</f>
        <v>#REF!</v>
      </c>
      <c r="U225" s="286" t="e">
        <f>U224+U220</f>
        <v>#REF!</v>
      </c>
      <c r="W225" s="286" t="e">
        <f>W224+W220</f>
        <v>#REF!</v>
      </c>
    </row>
    <row r="226" spans="2:23" hidden="1" x14ac:dyDescent="0.35"/>
    <row r="227" spans="2:23" hidden="1" x14ac:dyDescent="0.35">
      <c r="B227" s="71" t="s">
        <v>579</v>
      </c>
      <c r="E227" s="71" t="s">
        <v>502</v>
      </c>
      <c r="Q227" s="79">
        <f>Q116</f>
        <v>0</v>
      </c>
      <c r="S227" s="79" t="e">
        <f>S116</f>
        <v>#REF!</v>
      </c>
      <c r="U227" s="79" t="e">
        <f>U116</f>
        <v>#REF!</v>
      </c>
      <c r="W227" s="79" t="e">
        <f>W116</f>
        <v>#REF!</v>
      </c>
    </row>
    <row r="228" spans="2:23" hidden="1" x14ac:dyDescent="0.35">
      <c r="E228" s="71" t="s">
        <v>530</v>
      </c>
      <c r="Q228" s="79" t="e">
        <f>#REF!</f>
        <v>#REF!</v>
      </c>
      <c r="S228" s="79" t="e">
        <f>#REF!</f>
        <v>#REF!</v>
      </c>
      <c r="U228" s="79" t="e">
        <f>#REF!</f>
        <v>#REF!</v>
      </c>
      <c r="W228" s="79" t="e">
        <f>#REF!</f>
        <v>#REF!</v>
      </c>
    </row>
    <row r="229" spans="2:23" hidden="1" x14ac:dyDescent="0.35">
      <c r="E229" s="71" t="s">
        <v>505</v>
      </c>
      <c r="Q229" s="79">
        <f>Q207+Q213</f>
        <v>1669741853.0499101</v>
      </c>
      <c r="S229" s="79">
        <f>S207+S213</f>
        <v>1467620386.2272</v>
      </c>
      <c r="U229" s="79">
        <f>U207+U213</f>
        <v>1623734155.6853762</v>
      </c>
      <c r="W229" s="79">
        <f>W207+W213</f>
        <v>1501292517.3799253</v>
      </c>
    </row>
    <row r="230" spans="2:23" hidden="1" x14ac:dyDescent="0.35">
      <c r="E230" s="285" t="s">
        <v>531</v>
      </c>
      <c r="Q230" s="286" t="e">
        <f>SUM(Q227:Q229)</f>
        <v>#REF!</v>
      </c>
      <c r="S230" s="286" t="e">
        <f>SUM(S227:S229)</f>
        <v>#REF!</v>
      </c>
      <c r="U230" s="286" t="e">
        <f>SUM(U227:U229)</f>
        <v>#REF!</v>
      </c>
      <c r="W230" s="286" t="e">
        <f>SUM(W227:W229)</f>
        <v>#REF!</v>
      </c>
    </row>
    <row r="231" spans="2:23" hidden="1" x14ac:dyDescent="0.35">
      <c r="E231" s="71" t="s">
        <v>506</v>
      </c>
      <c r="Q231" s="79" t="e">
        <f>Q221</f>
        <v>#REF!</v>
      </c>
      <c r="S231" s="79" t="e">
        <f>S221</f>
        <v>#REF!</v>
      </c>
      <c r="U231" s="79" t="e">
        <f>U221</f>
        <v>#REF!</v>
      </c>
      <c r="W231" s="79" t="e">
        <f>W221</f>
        <v>#REF!</v>
      </c>
    </row>
    <row r="232" spans="2:23" hidden="1" x14ac:dyDescent="0.35">
      <c r="E232" s="71" t="s">
        <v>507</v>
      </c>
      <c r="Q232" s="79" t="e">
        <f>Q222</f>
        <v>#REF!</v>
      </c>
      <c r="S232" s="79" t="e">
        <f>S222</f>
        <v>#REF!</v>
      </c>
      <c r="U232" s="79" t="e">
        <f t="shared" ref="U232:W233" si="60">U222</f>
        <v>#REF!</v>
      </c>
      <c r="W232" s="79" t="e">
        <f t="shared" si="60"/>
        <v>#REF!</v>
      </c>
    </row>
    <row r="233" spans="2:23" hidden="1" x14ac:dyDescent="0.35">
      <c r="E233" s="71" t="s">
        <v>532</v>
      </c>
      <c r="Q233" s="79" t="e">
        <f>Q223</f>
        <v>#REF!</v>
      </c>
      <c r="S233" s="79" t="e">
        <f>S223</f>
        <v>#REF!</v>
      </c>
      <c r="U233" s="79" t="e">
        <f t="shared" si="60"/>
        <v>#REF!</v>
      </c>
      <c r="W233" s="79" t="e">
        <f t="shared" si="60"/>
        <v>#REF!</v>
      </c>
    </row>
    <row r="234" spans="2:23" hidden="1" x14ac:dyDescent="0.35">
      <c r="Q234" s="286" t="e">
        <f>SUM(Q231:Q233)</f>
        <v>#REF!</v>
      </c>
      <c r="S234" s="286" t="e">
        <f>SUM(S231:S233)</f>
        <v>#REF!</v>
      </c>
      <c r="U234" s="286" t="e">
        <f>SUM(U231:U233)</f>
        <v>#REF!</v>
      </c>
      <c r="W234" s="286" t="e">
        <f>SUM(W231:W233)</f>
        <v>#REF!</v>
      </c>
    </row>
    <row r="235" spans="2:23" hidden="1" x14ac:dyDescent="0.35">
      <c r="E235" s="285" t="s">
        <v>581</v>
      </c>
      <c r="Q235" s="286" t="e">
        <f>Q234+Q230</f>
        <v>#REF!</v>
      </c>
      <c r="S235" s="286" t="e">
        <f>S234+S230</f>
        <v>#REF!</v>
      </c>
      <c r="U235" s="286" t="e">
        <f>U234+U230</f>
        <v>#REF!</v>
      </c>
      <c r="W235" s="286" t="e">
        <f>W234+W230</f>
        <v>#REF!</v>
      </c>
    </row>
  </sheetData>
  <mergeCells count="44">
    <mergeCell ref="B1:AB1"/>
    <mergeCell ref="B3:E5"/>
    <mergeCell ref="F3:G3"/>
    <mergeCell ref="H3:I5"/>
    <mergeCell ref="J3:O3"/>
    <mergeCell ref="P3:Q3"/>
    <mergeCell ref="R3:S3"/>
    <mergeCell ref="T3:U3"/>
    <mergeCell ref="V3:W3"/>
    <mergeCell ref="X3:X5"/>
    <mergeCell ref="AA3:AA5"/>
    <mergeCell ref="AB3:AB5"/>
    <mergeCell ref="F4:F5"/>
    <mergeCell ref="G4:G5"/>
    <mergeCell ref="J4:J5"/>
    <mergeCell ref="K4:L4"/>
    <mergeCell ref="M4:M5"/>
    <mergeCell ref="N4:N5"/>
    <mergeCell ref="O4:O5"/>
    <mergeCell ref="P4:P5"/>
    <mergeCell ref="B99:E99"/>
    <mergeCell ref="B41:E41"/>
    <mergeCell ref="B75:E75"/>
    <mergeCell ref="B83:E83"/>
    <mergeCell ref="B88:E88"/>
    <mergeCell ref="Q4:Q5"/>
    <mergeCell ref="R4:R5"/>
    <mergeCell ref="S4:S5"/>
    <mergeCell ref="T4:T5"/>
    <mergeCell ref="W4:W5"/>
    <mergeCell ref="U4:U5"/>
    <mergeCell ref="V4:V5"/>
    <mergeCell ref="B215:E215"/>
    <mergeCell ref="B107:E107"/>
    <mergeCell ref="B114:E114"/>
    <mergeCell ref="B115:E115"/>
    <mergeCell ref="B116:E116"/>
    <mergeCell ref="B156:E156"/>
    <mergeCell ref="B166:E166"/>
    <mergeCell ref="B189:E189"/>
    <mergeCell ref="B206:E206"/>
    <mergeCell ref="B207:E207"/>
    <mergeCell ref="B213:E213"/>
    <mergeCell ref="B214:E214"/>
  </mergeCells>
  <printOptions horizontalCentered="1"/>
  <pageMargins left="0.25" right="0.25" top="0.75" bottom="0.75" header="0.3" footer="0.3"/>
  <pageSetup paperSize="9" scale="60" orientation="landscape" r:id="rId1"/>
  <rowBreaks count="2" manualBreakCount="2">
    <brk id="67" max="27" man="1"/>
    <brk id="166" max="27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63CC-01D5-4711-B10A-FB63A05C1D58}">
  <dimension ref="A1:AG230"/>
  <sheetViews>
    <sheetView showGridLines="0" view="pageBreakPreview" zoomScale="70" zoomScaleNormal="80" zoomScaleSheetLayoutView="85" workbookViewId="0"/>
  </sheetViews>
  <sheetFormatPr defaultRowHeight="14.5" x14ac:dyDescent="0.35"/>
  <cols>
    <col min="1" max="1" width="2.1796875" style="44" customWidth="1"/>
    <col min="2" max="3" width="4.26953125" style="71" customWidth="1"/>
    <col min="4" max="4" width="14.1796875" style="71" customWidth="1"/>
    <col min="5" max="5" width="27.453125" style="71" customWidth="1"/>
    <col min="6" max="6" width="24.54296875" style="71" customWidth="1"/>
    <col min="7" max="7" width="9.7265625" style="76" bestFit="1" customWidth="1"/>
    <col min="8" max="8" width="3.1796875" style="71" hidden="1" customWidth="1"/>
    <col min="9" max="9" width="3.54296875" style="71" hidden="1" customWidth="1"/>
    <col min="10" max="10" width="8.81640625" style="71" customWidth="1"/>
    <col min="11" max="11" width="8.81640625" style="75" customWidth="1"/>
    <col min="12" max="12" width="13.26953125" style="75" bestFit="1" customWidth="1"/>
    <col min="13" max="13" width="10.08984375" style="77" bestFit="1" customWidth="1"/>
    <col min="14" max="14" width="7.453125" style="44" bestFit="1" customWidth="1"/>
    <col min="15" max="15" width="12.36328125" style="78" bestFit="1" customWidth="1"/>
    <col min="16" max="16" width="14" style="44" bestFit="1" customWidth="1"/>
    <col min="17" max="17" width="18" style="44" bestFit="1" customWidth="1"/>
    <col min="18" max="23" width="15.54296875" style="44" hidden="1" customWidth="1"/>
    <col min="24" max="24" width="50.54296875" style="44" hidden="1" customWidth="1"/>
    <col min="25" max="26" width="13.81640625" style="44" hidden="1" customWidth="1"/>
    <col min="27" max="27" width="18.54296875" style="44" bestFit="1" customWidth="1"/>
    <col min="28" max="28" width="11.1796875" style="44" customWidth="1"/>
    <col min="29" max="29" width="12.6328125" style="44" bestFit="1" customWidth="1"/>
    <col min="30" max="30" width="11.7265625" customWidth="1"/>
    <col min="31" max="31" width="7.08984375" customWidth="1"/>
    <col min="32" max="32" width="13" bestFit="1" customWidth="1"/>
  </cols>
  <sheetData>
    <row r="1" spans="2:33" ht="30.9" customHeight="1" x14ac:dyDescent="0.35">
      <c r="B1" s="535" t="s">
        <v>755</v>
      </c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5"/>
      <c r="AA1" s="535"/>
      <c r="AB1" s="535"/>
    </row>
    <row r="2" spans="2:33" x14ac:dyDescent="0.35">
      <c r="D2" s="72" t="s">
        <v>644</v>
      </c>
      <c r="E2" s="73">
        <f>'Areal Stmt'!G35</f>
        <v>31.159999999999997</v>
      </c>
      <c r="F2" s="71" t="s">
        <v>728</v>
      </c>
      <c r="G2" s="74">
        <f>E2*5000</f>
        <v>155799.99999999997</v>
      </c>
      <c r="L2" s="76"/>
      <c r="Q2" s="44" t="s">
        <v>714</v>
      </c>
      <c r="AA2" s="79">
        <f>E2*72000*AF8</f>
        <v>38139839.999999993</v>
      </c>
      <c r="AB2" s="78" t="s">
        <v>7</v>
      </c>
      <c r="AD2" t="s">
        <v>714</v>
      </c>
      <c r="AF2" t="s">
        <v>751</v>
      </c>
      <c r="AG2" t="s">
        <v>525</v>
      </c>
    </row>
    <row r="3" spans="2:33" ht="15" customHeight="1" x14ac:dyDescent="0.35">
      <c r="B3" s="536" t="s">
        <v>128</v>
      </c>
      <c r="C3" s="537"/>
      <c r="D3" s="537"/>
      <c r="E3" s="538"/>
      <c r="F3" s="545" t="s">
        <v>129</v>
      </c>
      <c r="G3" s="546"/>
      <c r="H3" s="547" t="s">
        <v>191</v>
      </c>
      <c r="I3" s="548"/>
      <c r="J3" s="553" t="s">
        <v>482</v>
      </c>
      <c r="K3" s="554"/>
      <c r="L3" s="554"/>
      <c r="M3" s="554"/>
      <c r="N3" s="554"/>
      <c r="O3" s="555"/>
      <c r="P3" s="556" t="s">
        <v>773</v>
      </c>
      <c r="Q3" s="557"/>
      <c r="R3" s="558">
        <v>2026</v>
      </c>
      <c r="S3" s="559"/>
      <c r="T3" s="560">
        <v>2027</v>
      </c>
      <c r="U3" s="561"/>
      <c r="V3" s="562" t="s">
        <v>203</v>
      </c>
      <c r="W3" s="563"/>
      <c r="X3" s="564" t="s">
        <v>132</v>
      </c>
      <c r="Y3" s="44" t="s">
        <v>585</v>
      </c>
      <c r="Z3" s="44" t="s">
        <v>586</v>
      </c>
      <c r="AA3" s="567" t="s">
        <v>5</v>
      </c>
      <c r="AB3" s="570" t="s">
        <v>630</v>
      </c>
      <c r="AD3" t="s">
        <v>750</v>
      </c>
      <c r="AE3" s="322">
        <v>46266</v>
      </c>
      <c r="AF3" s="323" t="s">
        <v>658</v>
      </c>
      <c r="AG3" s="323">
        <v>2026</v>
      </c>
    </row>
    <row r="4" spans="2:33" x14ac:dyDescent="0.35">
      <c r="B4" s="539"/>
      <c r="C4" s="540"/>
      <c r="D4" s="540"/>
      <c r="E4" s="541"/>
      <c r="F4" s="529" t="s">
        <v>480</v>
      </c>
      <c r="G4" s="529" t="s">
        <v>478</v>
      </c>
      <c r="H4" s="549"/>
      <c r="I4" s="550"/>
      <c r="J4" s="529" t="s">
        <v>478</v>
      </c>
      <c r="K4" s="545" t="s">
        <v>133</v>
      </c>
      <c r="L4" s="546"/>
      <c r="M4" s="527" t="s">
        <v>130</v>
      </c>
      <c r="N4" s="529" t="s">
        <v>131</v>
      </c>
      <c r="O4" s="531" t="s">
        <v>202</v>
      </c>
      <c r="P4" s="533" t="s">
        <v>195</v>
      </c>
      <c r="Q4" s="519" t="s">
        <v>196</v>
      </c>
      <c r="R4" s="521" t="s">
        <v>195</v>
      </c>
      <c r="S4" s="521" t="s">
        <v>196</v>
      </c>
      <c r="T4" s="523" t="s">
        <v>195</v>
      </c>
      <c r="U4" s="523" t="s">
        <v>196</v>
      </c>
      <c r="V4" s="525" t="s">
        <v>195</v>
      </c>
      <c r="W4" s="525" t="s">
        <v>196</v>
      </c>
      <c r="X4" s="565"/>
      <c r="AA4" s="568"/>
      <c r="AB4" s="568"/>
      <c r="AD4" t="s">
        <v>524</v>
      </c>
      <c r="AE4">
        <v>1</v>
      </c>
      <c r="AF4" s="323" t="s">
        <v>753</v>
      </c>
      <c r="AG4" s="323">
        <v>2027</v>
      </c>
    </row>
    <row r="5" spans="2:33" ht="28" x14ac:dyDescent="0.35">
      <c r="B5" s="542"/>
      <c r="C5" s="543"/>
      <c r="D5" s="543"/>
      <c r="E5" s="544"/>
      <c r="F5" s="530"/>
      <c r="G5" s="530"/>
      <c r="H5" s="551"/>
      <c r="I5" s="552"/>
      <c r="J5" s="530"/>
      <c r="K5" s="81" t="s">
        <v>477</v>
      </c>
      <c r="L5" s="80" t="s">
        <v>481</v>
      </c>
      <c r="M5" s="528"/>
      <c r="N5" s="530"/>
      <c r="O5" s="532"/>
      <c r="P5" s="534"/>
      <c r="Q5" s="520"/>
      <c r="R5" s="522"/>
      <c r="S5" s="522"/>
      <c r="T5" s="524"/>
      <c r="U5" s="524"/>
      <c r="V5" s="526"/>
      <c r="W5" s="526"/>
      <c r="X5" s="566"/>
      <c r="AA5" s="569"/>
      <c r="AB5" s="569"/>
      <c r="AE5">
        <v>2</v>
      </c>
      <c r="AF5" s="323" t="s">
        <v>753</v>
      </c>
      <c r="AG5" s="323">
        <v>2028</v>
      </c>
    </row>
    <row r="6" spans="2:33" x14ac:dyDescent="0.35">
      <c r="B6" s="82" t="s">
        <v>207</v>
      </c>
      <c r="C6" s="83"/>
      <c r="D6" s="83"/>
      <c r="E6" s="84"/>
      <c r="F6" s="85"/>
      <c r="G6" s="86"/>
      <c r="H6" s="87"/>
      <c r="I6" s="88"/>
      <c r="J6" s="89"/>
      <c r="K6" s="90"/>
      <c r="L6" s="90"/>
      <c r="M6" s="91"/>
      <c r="N6" s="47"/>
      <c r="O6" s="92"/>
      <c r="P6" s="92"/>
      <c r="Q6" s="92"/>
      <c r="R6" s="92"/>
      <c r="S6" s="92"/>
      <c r="T6" s="92"/>
      <c r="U6" s="92"/>
      <c r="V6" s="92"/>
      <c r="W6" s="92"/>
      <c r="X6" s="47"/>
      <c r="AA6" s="47"/>
      <c r="AB6" s="47"/>
      <c r="AF6" s="323"/>
      <c r="AG6" s="323"/>
    </row>
    <row r="7" spans="2:33" x14ac:dyDescent="0.35">
      <c r="B7" s="93"/>
      <c r="C7" s="83" t="s">
        <v>209</v>
      </c>
      <c r="D7" s="83"/>
      <c r="E7" s="84"/>
      <c r="F7" s="85"/>
      <c r="G7" s="86"/>
      <c r="H7" s="87"/>
      <c r="I7" s="88"/>
      <c r="J7" s="89"/>
      <c r="K7" s="90"/>
      <c r="L7" s="90"/>
      <c r="M7" s="91"/>
      <c r="N7" s="47"/>
      <c r="O7" s="92"/>
      <c r="P7" s="94"/>
      <c r="Q7" s="92"/>
      <c r="R7" s="92"/>
      <c r="S7" s="92"/>
      <c r="T7" s="92"/>
      <c r="U7" s="92"/>
      <c r="V7" s="92"/>
      <c r="W7" s="92"/>
      <c r="X7" s="47"/>
      <c r="AA7" s="47"/>
      <c r="AB7" s="47"/>
      <c r="AF7" s="323"/>
      <c r="AG7" s="323"/>
    </row>
    <row r="8" spans="2:33" x14ac:dyDescent="0.35">
      <c r="B8" s="95"/>
      <c r="C8" s="96"/>
      <c r="D8" s="96" t="s">
        <v>575</v>
      </c>
      <c r="E8" s="97"/>
      <c r="F8" s="85" t="s">
        <v>3</v>
      </c>
      <c r="G8" s="86" t="s">
        <v>2</v>
      </c>
      <c r="H8" s="87"/>
      <c r="I8" s="88"/>
      <c r="J8" s="89" t="s">
        <v>113</v>
      </c>
      <c r="K8" s="98">
        <v>1</v>
      </c>
      <c r="L8" s="99">
        <f>E2</f>
        <v>31.159999999999997</v>
      </c>
      <c r="M8" s="100">
        <v>0.25</v>
      </c>
      <c r="N8" s="94">
        <v>1</v>
      </c>
      <c r="O8" s="92">
        <f>K8*L8*M8*N8</f>
        <v>7.7899999999999991</v>
      </c>
      <c r="P8" s="108">
        <f>VLOOKUP($F8,'Master Harga'!$E$5:$L$348,6,FALSE)</f>
        <v>151208.64000000001</v>
      </c>
      <c r="Q8" s="94">
        <f>P8*$O8</f>
        <v>1177915.3056000001</v>
      </c>
      <c r="R8" s="92">
        <f>VLOOKUP($F8,'Master Harga'!$E$5:$L$348,6,FALSE)</f>
        <v>151208.64000000001</v>
      </c>
      <c r="S8" s="92">
        <f>R8*$O8</f>
        <v>1177915.3056000001</v>
      </c>
      <c r="T8" s="92">
        <f>VLOOKUP($F8,'Master Harga'!$E$5:$L$348,7,FALSE)</f>
        <v>163305.33120000002</v>
      </c>
      <c r="U8" s="92">
        <f>T8*$O8</f>
        <v>1272148.5300479999</v>
      </c>
      <c r="V8" s="92">
        <f>W8/O8</f>
        <v>155240.87040000001</v>
      </c>
      <c r="W8" s="101">
        <f>AVERAGEIF($P$4:$U$4,W$4,$P8:$U8)</f>
        <v>1209326.380416</v>
      </c>
      <c r="X8" s="47"/>
      <c r="AA8" s="94">
        <f>Q8/$E$2</f>
        <v>37802.160000000003</v>
      </c>
      <c r="AB8" s="47"/>
      <c r="AE8" s="19" t="s">
        <v>501</v>
      </c>
      <c r="AF8" s="324">
        <v>17</v>
      </c>
      <c r="AG8" s="324" t="s">
        <v>754</v>
      </c>
    </row>
    <row r="9" spans="2:33" x14ac:dyDescent="0.35">
      <c r="B9" s="102"/>
      <c r="C9" s="103"/>
      <c r="D9" s="103" t="s">
        <v>143</v>
      </c>
      <c r="E9" s="104" t="s">
        <v>144</v>
      </c>
      <c r="F9" s="85" t="s">
        <v>3</v>
      </c>
      <c r="G9" s="86" t="s">
        <v>2</v>
      </c>
      <c r="H9" s="87"/>
      <c r="I9" s="88"/>
      <c r="J9" s="89"/>
      <c r="K9" s="90"/>
      <c r="L9" s="99"/>
      <c r="M9" s="100">
        <v>10</v>
      </c>
      <c r="N9" s="94">
        <v>1</v>
      </c>
      <c r="O9" s="92"/>
      <c r="P9" s="94"/>
      <c r="Q9" s="94"/>
      <c r="R9" s="92"/>
      <c r="S9" s="92"/>
      <c r="T9" s="92"/>
      <c r="U9" s="92"/>
      <c r="V9" s="92"/>
      <c r="W9" s="92"/>
      <c r="X9" s="47" t="s">
        <v>174</v>
      </c>
      <c r="AA9" s="47"/>
      <c r="AB9" s="47"/>
    </row>
    <row r="10" spans="2:33" x14ac:dyDescent="0.35">
      <c r="B10" s="105"/>
      <c r="C10" s="106"/>
      <c r="D10" s="106"/>
      <c r="E10" s="107" t="s">
        <v>145</v>
      </c>
      <c r="F10" s="85" t="s">
        <v>3</v>
      </c>
      <c r="G10" s="86" t="s">
        <v>2</v>
      </c>
      <c r="H10" s="87"/>
      <c r="I10" s="88"/>
      <c r="J10" s="89"/>
      <c r="K10" s="90"/>
      <c r="L10" s="99"/>
      <c r="M10" s="100">
        <v>10</v>
      </c>
      <c r="N10" s="94">
        <v>1</v>
      </c>
      <c r="O10" s="92"/>
      <c r="P10" s="108">
        <v>0</v>
      </c>
      <c r="Q10" s="94"/>
      <c r="R10" s="92"/>
      <c r="S10" s="92"/>
      <c r="T10" s="92"/>
      <c r="U10" s="92"/>
      <c r="V10" s="92"/>
      <c r="W10" s="92"/>
      <c r="X10" s="47"/>
      <c r="AA10" s="47"/>
      <c r="AB10" s="47"/>
      <c r="AF10" s="323"/>
      <c r="AG10" s="323"/>
    </row>
    <row r="11" spans="2:33" x14ac:dyDescent="0.35">
      <c r="B11" s="109"/>
      <c r="C11" s="110"/>
      <c r="D11" s="110"/>
      <c r="E11" s="111" t="s">
        <v>146</v>
      </c>
      <c r="F11" s="85" t="s">
        <v>3</v>
      </c>
      <c r="G11" s="86" t="s">
        <v>2</v>
      </c>
      <c r="H11" s="87"/>
      <c r="I11" s="88"/>
      <c r="J11" s="89" t="s">
        <v>113</v>
      </c>
      <c r="K11" s="98">
        <v>0.4</v>
      </c>
      <c r="L11" s="99">
        <f>L8</f>
        <v>31.159999999999997</v>
      </c>
      <c r="M11" s="100">
        <v>10</v>
      </c>
      <c r="N11" s="94">
        <v>1</v>
      </c>
      <c r="O11" s="92">
        <f>K11*L11*M11*N11</f>
        <v>124.63999999999999</v>
      </c>
      <c r="P11" s="108">
        <f>VLOOKUP($F11,'Master Harga'!$E$5:$L$348,6,FALSE)</f>
        <v>151208.64000000001</v>
      </c>
      <c r="Q11" s="94">
        <f>P11*$O11</f>
        <v>18846644.889600001</v>
      </c>
      <c r="R11" s="92">
        <f>VLOOKUP($F11,'Master Harga'!$E$5:$L$348,6,FALSE)</f>
        <v>151208.64000000001</v>
      </c>
      <c r="S11" s="92">
        <f>R11*$O11</f>
        <v>18846644.889600001</v>
      </c>
      <c r="T11" s="92">
        <f>VLOOKUP($F11,'Master Harga'!$E$5:$L$348,7,FALSE)</f>
        <v>163305.33120000002</v>
      </c>
      <c r="U11" s="92">
        <f>T11*$O11</f>
        <v>20354376.480767999</v>
      </c>
      <c r="V11" s="92">
        <f>W11/O11</f>
        <v>155240.87040000001</v>
      </c>
      <c r="W11" s="101">
        <f>AVERAGEIF($P$4:$U$4,W$4,$P11:$U11)</f>
        <v>19349222.086656</v>
      </c>
      <c r="X11" s="47"/>
      <c r="AA11" s="94">
        <f>Q11/$E$2</f>
        <v>604834.56000000006</v>
      </c>
      <c r="AB11" s="47"/>
      <c r="AE11" s="19"/>
      <c r="AF11" s="324"/>
      <c r="AG11" s="324"/>
    </row>
    <row r="12" spans="2:33" x14ac:dyDescent="0.35">
      <c r="B12" s="105"/>
      <c r="C12" s="106"/>
      <c r="D12" s="103" t="s">
        <v>147</v>
      </c>
      <c r="E12" s="112" t="s">
        <v>144</v>
      </c>
      <c r="F12" s="85" t="s">
        <v>122</v>
      </c>
      <c r="G12" s="86" t="s">
        <v>117</v>
      </c>
      <c r="H12" s="87"/>
      <c r="I12" s="88"/>
      <c r="J12" s="89" t="s">
        <v>113</v>
      </c>
      <c r="K12" s="98">
        <v>0.08</v>
      </c>
      <c r="L12" s="99">
        <f>E2</f>
        <v>31.159999999999997</v>
      </c>
      <c r="M12" s="100">
        <v>18</v>
      </c>
      <c r="N12" s="94">
        <v>1</v>
      </c>
      <c r="O12" s="92">
        <f>K12*L12*M12*N12</f>
        <v>44.870399999999997</v>
      </c>
      <c r="P12" s="108">
        <f>VLOOKUP($F12,'Master Harga'!$E$5:$L$348,6,FALSE)</f>
        <v>1051433.6840914285</v>
      </c>
      <c r="Q12" s="94">
        <f t="shared" ref="Q12:Q39" si="0">P12*$O12</f>
        <v>47178249.978656031</v>
      </c>
      <c r="R12" s="92"/>
      <c r="S12" s="92"/>
      <c r="T12" s="92"/>
      <c r="U12" s="92"/>
      <c r="V12" s="92"/>
      <c r="W12" s="92"/>
      <c r="X12" s="47"/>
      <c r="AA12" s="94">
        <f>Q12/$E$2</f>
        <v>1514064.5050916572</v>
      </c>
      <c r="AB12" s="47"/>
    </row>
    <row r="13" spans="2:33" x14ac:dyDescent="0.35">
      <c r="B13" s="109"/>
      <c r="C13" s="110"/>
      <c r="D13" s="110"/>
      <c r="E13" s="111" t="s">
        <v>632</v>
      </c>
      <c r="F13" s="85" t="s">
        <v>118</v>
      </c>
      <c r="G13" s="86" t="s">
        <v>117</v>
      </c>
      <c r="H13" s="87"/>
      <c r="I13" s="88"/>
      <c r="J13" s="89" t="s">
        <v>117</v>
      </c>
      <c r="K13" s="113">
        <v>0.1</v>
      </c>
      <c r="L13" s="99">
        <f>L8</f>
        <v>31.159999999999997</v>
      </c>
      <c r="M13" s="100">
        <v>8</v>
      </c>
      <c r="N13" s="94">
        <v>1</v>
      </c>
      <c r="O13" s="108">
        <f>K13*L13*M13*N13</f>
        <v>24.927999999999997</v>
      </c>
      <c r="P13" s="108">
        <f>VLOOKUP($F13,'Master Harga'!$E$5:$L$348,6,FALSE)</f>
        <v>720338.0730320001</v>
      </c>
      <c r="Q13" s="94">
        <f t="shared" si="0"/>
        <v>17956587.484541696</v>
      </c>
      <c r="R13" s="92"/>
      <c r="S13" s="92"/>
      <c r="T13" s="92"/>
      <c r="U13" s="92"/>
      <c r="V13" s="92"/>
      <c r="W13" s="92"/>
      <c r="X13" s="47"/>
      <c r="AA13" s="94">
        <f>Q13/$E$2</f>
        <v>576270.45842560008</v>
      </c>
      <c r="AB13" s="47"/>
    </row>
    <row r="14" spans="2:33" x14ac:dyDescent="0.35">
      <c r="B14" s="105"/>
      <c r="C14" s="106"/>
      <c r="D14" s="130" t="s">
        <v>724</v>
      </c>
      <c r="E14" s="112"/>
      <c r="F14" s="85" t="s">
        <v>3</v>
      </c>
      <c r="G14" s="86" t="s">
        <v>2</v>
      </c>
      <c r="H14" s="87"/>
      <c r="I14" s="88"/>
      <c r="J14" s="89" t="s">
        <v>534</v>
      </c>
      <c r="K14" s="98">
        <v>1</v>
      </c>
      <c r="L14" s="86">
        <f>E2</f>
        <v>31.159999999999997</v>
      </c>
      <c r="M14" s="92">
        <v>10</v>
      </c>
      <c r="N14" s="92">
        <v>1</v>
      </c>
      <c r="O14" s="92">
        <f t="shared" ref="O14:O15" si="1">K14*L14*M14*N14</f>
        <v>311.59999999999997</v>
      </c>
      <c r="P14" s="108">
        <f>VLOOKUP($F14,'Master Harga'!$E$5:$L$348,6,FALSE)</f>
        <v>151208.64000000001</v>
      </c>
      <c r="Q14" s="94">
        <f t="shared" si="0"/>
        <v>47116612.223999999</v>
      </c>
      <c r="R14" s="92">
        <f>VLOOKUP($F14,'Master Harga'!$E$5:$L$348,6,FALSE)</f>
        <v>151208.64000000001</v>
      </c>
      <c r="S14" s="92">
        <f>R14*$O14</f>
        <v>47116612.223999999</v>
      </c>
      <c r="T14" s="92">
        <f>VLOOKUP($F14,'Master Harga'!$E$5:$L$348,7,FALSE)</f>
        <v>163305.33120000002</v>
      </c>
      <c r="U14" s="92">
        <f>T14*$O14</f>
        <v>50885941.201920003</v>
      </c>
      <c r="V14" s="92">
        <f>W14/O14</f>
        <v>155240.87040000001</v>
      </c>
      <c r="W14" s="101">
        <f>AVERAGEIF($P$4:$U$4,W$4,$P14:$U14)</f>
        <v>48373055.216639996</v>
      </c>
      <c r="X14" s="47" t="s">
        <v>598</v>
      </c>
      <c r="Z14" s="79">
        <f>W14</f>
        <v>48373055.216639996</v>
      </c>
      <c r="AA14" s="240">
        <f t="shared" ref="AA14:AA15" si="2">Q14/$E$2</f>
        <v>1512086.4000000001</v>
      </c>
      <c r="AB14" s="47"/>
    </row>
    <row r="15" spans="2:33" x14ac:dyDescent="0.35">
      <c r="B15" s="105"/>
      <c r="C15" s="106"/>
      <c r="D15" s="130"/>
      <c r="E15" s="131"/>
      <c r="F15" s="85" t="s">
        <v>643</v>
      </c>
      <c r="G15" s="86" t="s">
        <v>113</v>
      </c>
      <c r="H15" s="87"/>
      <c r="I15" s="88"/>
      <c r="J15" s="89" t="s">
        <v>8</v>
      </c>
      <c r="K15" s="98">
        <v>1</v>
      </c>
      <c r="L15" s="86">
        <f>E2</f>
        <v>31.159999999999997</v>
      </c>
      <c r="M15" s="92">
        <v>5</v>
      </c>
      <c r="N15" s="92">
        <v>1</v>
      </c>
      <c r="O15" s="92">
        <f t="shared" si="1"/>
        <v>155.79999999999998</v>
      </c>
      <c r="P15" s="108">
        <f>VLOOKUP($F15,'Master Harga'!$E$5:$L$348,6,FALSE)</f>
        <v>71700</v>
      </c>
      <c r="Q15" s="94">
        <f t="shared" si="0"/>
        <v>11170859.999999998</v>
      </c>
      <c r="R15" s="92">
        <f>VLOOKUP($F15,'Master Harga'!$E$5:$L$348,6,FALSE)</f>
        <v>71700</v>
      </c>
      <c r="S15" s="92">
        <f>R15*$O15</f>
        <v>11170859.999999998</v>
      </c>
      <c r="T15" s="92">
        <f>VLOOKUP($F15,'Master Harga'!$E$5:$L$348,7,FALSE)</f>
        <v>81738</v>
      </c>
      <c r="U15" s="92">
        <f>T15*$O15</f>
        <v>12734780.399999999</v>
      </c>
      <c r="V15" s="92">
        <f>W15/O15</f>
        <v>75045.999999999985</v>
      </c>
      <c r="W15" s="101">
        <f>AVERAGEIF($P$4:$U$4,W$4,$P15:$U15)</f>
        <v>11692166.799999997</v>
      </c>
      <c r="X15" s="47" t="s">
        <v>598</v>
      </c>
      <c r="Z15" s="79">
        <f>W15</f>
        <v>11692166.799999997</v>
      </c>
      <c r="AA15" s="240">
        <f t="shared" si="2"/>
        <v>358500</v>
      </c>
      <c r="AB15" s="47"/>
    </row>
    <row r="16" spans="2:33" ht="16.5" customHeight="1" x14ac:dyDescent="0.35">
      <c r="B16" s="102"/>
      <c r="C16" s="114"/>
      <c r="D16" s="114" t="s">
        <v>743</v>
      </c>
      <c r="E16" s="115"/>
      <c r="F16" s="85" t="s">
        <v>116</v>
      </c>
      <c r="G16" s="116" t="s">
        <v>117</v>
      </c>
      <c r="H16" s="117"/>
      <c r="I16" s="118"/>
      <c r="J16" s="119" t="s">
        <v>511</v>
      </c>
      <c r="K16" s="120">
        <v>1</v>
      </c>
      <c r="L16" s="121">
        <f>L13</f>
        <v>31.159999999999997</v>
      </c>
      <c r="M16" s="122">
        <v>3.5</v>
      </c>
      <c r="N16" s="108">
        <v>1</v>
      </c>
      <c r="O16" s="122">
        <f>K16*L16*M16*N16</f>
        <v>109.05999999999999</v>
      </c>
      <c r="P16" s="108">
        <f>VLOOKUP($F16,'Master Harga'!$E$5:$L$348,6,FALSE)</f>
        <v>369600.00000000006</v>
      </c>
      <c r="Q16" s="94">
        <f t="shared" si="0"/>
        <v>40308576</v>
      </c>
      <c r="R16" s="92"/>
      <c r="S16" s="92"/>
      <c r="T16" s="92"/>
      <c r="U16" s="92"/>
      <c r="V16" s="92"/>
      <c r="W16" s="92"/>
      <c r="X16" s="47"/>
      <c r="AA16" s="94">
        <f>Q16/$E$2</f>
        <v>1293600.0000000002</v>
      </c>
      <c r="AB16" s="123"/>
      <c r="AD16" s="70"/>
    </row>
    <row r="17" spans="2:30" ht="16.5" customHeight="1" x14ac:dyDescent="0.35">
      <c r="B17" s="102"/>
      <c r="C17" s="114"/>
      <c r="D17" s="96" t="s">
        <v>748</v>
      </c>
      <c r="E17" s="104"/>
      <c r="F17" s="85" t="s">
        <v>3</v>
      </c>
      <c r="G17" s="86" t="s">
        <v>2</v>
      </c>
      <c r="H17" s="87"/>
      <c r="I17" s="88"/>
      <c r="J17" s="89" t="s">
        <v>534</v>
      </c>
      <c r="K17" s="98">
        <v>1</v>
      </c>
      <c r="L17" s="86">
        <f>E2</f>
        <v>31.159999999999997</v>
      </c>
      <c r="M17" s="92">
        <v>10</v>
      </c>
      <c r="N17" s="92">
        <v>1</v>
      </c>
      <c r="O17" s="92">
        <f t="shared" ref="O17:O39" si="3">K17*L17*M17*N17</f>
        <v>311.59999999999997</v>
      </c>
      <c r="P17" s="108">
        <f>VLOOKUP($F17,'Master Harga'!$E$5:$L$348,6,FALSE)</f>
        <v>151208.64000000001</v>
      </c>
      <c r="Q17" s="94">
        <f t="shared" si="0"/>
        <v>47116612.223999999</v>
      </c>
      <c r="R17" s="92">
        <f>VLOOKUP($F17,'Master Harga'!$E$5:$L$348,6,FALSE)</f>
        <v>151208.64000000001</v>
      </c>
      <c r="S17" s="92">
        <f>R17*$O17</f>
        <v>47116612.223999999</v>
      </c>
      <c r="T17" s="92">
        <f>VLOOKUP($F17,'Master Harga'!$E$5:$L$348,7,FALSE)</f>
        <v>163305.33120000002</v>
      </c>
      <c r="U17" s="92">
        <f>T17*$O17</f>
        <v>50885941.201920003</v>
      </c>
      <c r="V17" s="92">
        <f>W17/O17</f>
        <v>155240.87040000001</v>
      </c>
      <c r="W17" s="101">
        <f>AVERAGEIF($P$4:$U$4,W$4,$P17:$U17)</f>
        <v>48373055.216639996</v>
      </c>
      <c r="X17" s="47" t="s">
        <v>598</v>
      </c>
      <c r="Z17" s="79">
        <f>W17</f>
        <v>48373055.216639996</v>
      </c>
      <c r="AA17" s="240">
        <f t="shared" ref="AA17:AA39" si="4">Q17/$E$2</f>
        <v>1512086.4000000001</v>
      </c>
      <c r="AB17" s="47"/>
      <c r="AD17" s="70"/>
    </row>
    <row r="18" spans="2:30" ht="16.5" customHeight="1" x14ac:dyDescent="0.35">
      <c r="B18" s="110"/>
      <c r="C18" s="325"/>
      <c r="D18" s="130"/>
      <c r="E18" s="131"/>
      <c r="F18" s="85" t="s">
        <v>749</v>
      </c>
      <c r="G18" s="86" t="s">
        <v>113</v>
      </c>
      <c r="H18" s="87"/>
      <c r="I18" s="88"/>
      <c r="J18" s="89" t="s">
        <v>8</v>
      </c>
      <c r="K18" s="98">
        <v>1</v>
      </c>
      <c r="L18" s="86">
        <f>E2</f>
        <v>31.159999999999997</v>
      </c>
      <c r="M18" s="92">
        <v>5</v>
      </c>
      <c r="N18" s="92">
        <v>1</v>
      </c>
      <c r="O18" s="92">
        <f t="shared" si="3"/>
        <v>155.79999999999998</v>
      </c>
      <c r="P18" s="108">
        <f>VLOOKUP($F18,'Master Harga'!$E$5:$L$348,6,FALSE)</f>
        <v>979999.99999999988</v>
      </c>
      <c r="Q18" s="94">
        <f t="shared" si="0"/>
        <v>152683999.99999997</v>
      </c>
      <c r="R18" s="92">
        <f>VLOOKUP($F18,'Master Harga'!$E$5:$L$348,6,FALSE)</f>
        <v>979999.99999999988</v>
      </c>
      <c r="S18" s="92">
        <f>R18*$O18</f>
        <v>152683999.99999997</v>
      </c>
      <c r="T18" s="92">
        <f>VLOOKUP($F18,'Master Harga'!$E$5:$L$348,7,FALSE)</f>
        <v>1371999.9999999998</v>
      </c>
      <c r="U18" s="92">
        <f>T18*$O18</f>
        <v>213757599.99999994</v>
      </c>
      <c r="V18" s="92">
        <f>W18/O18</f>
        <v>1110666.6666666665</v>
      </c>
      <c r="W18" s="101">
        <f>AVERAGEIF($P$4:$U$4,W$4,$P18:$U18)</f>
        <v>173041866.66666663</v>
      </c>
      <c r="X18" s="47" t="s">
        <v>598</v>
      </c>
      <c r="Z18" s="79">
        <f>W18</f>
        <v>173041866.66666663</v>
      </c>
      <c r="AA18" s="240">
        <f t="shared" si="4"/>
        <v>4900000</v>
      </c>
      <c r="AB18" s="47"/>
      <c r="AD18" s="70"/>
    </row>
    <row r="19" spans="2:30" ht="16.5" customHeight="1" x14ac:dyDescent="0.35">
      <c r="B19" s="105"/>
      <c r="C19" s="163"/>
      <c r="D19" s="114" t="s">
        <v>744</v>
      </c>
      <c r="E19" s="115"/>
      <c r="F19" s="85" t="s">
        <v>116</v>
      </c>
      <c r="G19" s="116" t="s">
        <v>117</v>
      </c>
      <c r="H19" s="117"/>
      <c r="I19" s="118"/>
      <c r="J19" s="119" t="s">
        <v>511</v>
      </c>
      <c r="K19" s="120">
        <v>1</v>
      </c>
      <c r="L19" s="121">
        <f>L16</f>
        <v>31.159999999999997</v>
      </c>
      <c r="M19" s="122">
        <v>3.5</v>
      </c>
      <c r="N19" s="108">
        <v>1</v>
      </c>
      <c r="O19" s="122">
        <f t="shared" si="3"/>
        <v>109.05999999999999</v>
      </c>
      <c r="P19" s="108">
        <f>VLOOKUP($F19,'Master Harga'!$E$5:$L$348,6,FALSE)</f>
        <v>369600.00000000006</v>
      </c>
      <c r="Q19" s="94">
        <f t="shared" si="0"/>
        <v>40308576</v>
      </c>
      <c r="R19" s="92"/>
      <c r="S19" s="92"/>
      <c r="T19" s="92"/>
      <c r="U19" s="92"/>
      <c r="V19" s="92"/>
      <c r="W19" s="92"/>
      <c r="X19" s="47"/>
      <c r="AA19" s="94">
        <f t="shared" si="4"/>
        <v>1293600.0000000002</v>
      </c>
      <c r="AB19" s="123"/>
      <c r="AD19" s="70"/>
    </row>
    <row r="20" spans="2:30" ht="16.5" customHeight="1" x14ac:dyDescent="0.35">
      <c r="B20" s="102"/>
      <c r="C20" s="114"/>
      <c r="D20" s="114" t="s">
        <v>745</v>
      </c>
      <c r="E20" s="115"/>
      <c r="F20" s="85" t="s">
        <v>116</v>
      </c>
      <c r="G20" s="116" t="s">
        <v>117</v>
      </c>
      <c r="H20" s="117"/>
      <c r="I20" s="118"/>
      <c r="J20" s="119" t="s">
        <v>511</v>
      </c>
      <c r="K20" s="120">
        <v>1</v>
      </c>
      <c r="L20" s="121">
        <f t="shared" ref="L20:L26" si="5">L19</f>
        <v>31.159999999999997</v>
      </c>
      <c r="M20" s="122">
        <v>2.5</v>
      </c>
      <c r="N20" s="108">
        <v>1</v>
      </c>
      <c r="O20" s="122">
        <f t="shared" si="3"/>
        <v>77.899999999999991</v>
      </c>
      <c r="P20" s="108">
        <f>VLOOKUP($F20,'Master Harga'!$E$5:$L$348,6,FALSE)</f>
        <v>369600.00000000006</v>
      </c>
      <c r="Q20" s="94">
        <f t="shared" si="0"/>
        <v>28791840</v>
      </c>
      <c r="R20" s="92"/>
      <c r="S20" s="92"/>
      <c r="T20" s="92"/>
      <c r="U20" s="92"/>
      <c r="V20" s="92"/>
      <c r="W20" s="92"/>
      <c r="X20" s="47"/>
      <c r="AA20" s="94">
        <f t="shared" si="4"/>
        <v>924000.00000000012</v>
      </c>
      <c r="AB20" s="123"/>
      <c r="AD20" s="70"/>
    </row>
    <row r="21" spans="2:30" ht="16.5" customHeight="1" x14ac:dyDescent="0.35">
      <c r="B21" s="102"/>
      <c r="C21" s="114"/>
      <c r="D21" s="571" t="s">
        <v>734</v>
      </c>
      <c r="E21" s="572"/>
      <c r="F21" s="85" t="s">
        <v>3</v>
      </c>
      <c r="G21" s="302" t="s">
        <v>2</v>
      </c>
      <c r="H21" s="303"/>
      <c r="I21" s="304"/>
      <c r="J21" s="305" t="s">
        <v>735</v>
      </c>
      <c r="K21" s="306">
        <v>1</v>
      </c>
      <c r="L21" s="121">
        <f t="shared" si="5"/>
        <v>31.159999999999997</v>
      </c>
      <c r="M21" s="326">
        <v>2</v>
      </c>
      <c r="N21" s="307">
        <v>1</v>
      </c>
      <c r="O21" s="310">
        <f>K21*L21*M21*N21</f>
        <v>62.319999999999993</v>
      </c>
      <c r="P21" s="108">
        <f>VLOOKUP($F21,'Master Harga'!$E$5:$L$348,6,FALSE)</f>
        <v>151208.64000000001</v>
      </c>
      <c r="Q21" s="94">
        <f t="shared" si="0"/>
        <v>9423322.4448000006</v>
      </c>
      <c r="R21" s="92"/>
      <c r="S21" s="92"/>
      <c r="T21" s="92"/>
      <c r="U21" s="92"/>
      <c r="V21" s="92"/>
      <c r="W21" s="92"/>
      <c r="X21" s="47"/>
      <c r="AA21" s="94">
        <f t="shared" si="4"/>
        <v>302417.28000000003</v>
      </c>
      <c r="AB21" s="123"/>
      <c r="AD21" s="70"/>
    </row>
    <row r="22" spans="2:30" ht="16.5" customHeight="1" x14ac:dyDescent="0.35">
      <c r="B22" s="105"/>
      <c r="C22" s="163"/>
      <c r="D22" s="163"/>
      <c r="E22" s="308"/>
      <c r="F22" s="85" t="s">
        <v>489</v>
      </c>
      <c r="G22" s="302" t="s">
        <v>479</v>
      </c>
      <c r="H22" s="303"/>
      <c r="I22" s="304"/>
      <c r="J22" s="305" t="s">
        <v>736</v>
      </c>
      <c r="K22" s="306">
        <v>1</v>
      </c>
      <c r="L22" s="121">
        <f t="shared" si="5"/>
        <v>31.159999999999997</v>
      </c>
      <c r="M22" s="326">
        <v>1.95</v>
      </c>
      <c r="N22" s="307">
        <v>1</v>
      </c>
      <c r="O22" s="310">
        <f t="shared" ref="O22:O26" si="6">K22*L22*M22*N22</f>
        <v>60.761999999999993</v>
      </c>
      <c r="P22" s="108">
        <f>VLOOKUP($F22,'Master Harga'!$E$5:$L$348,6,FALSE)</f>
        <v>3360.0000000000005</v>
      </c>
      <c r="Q22" s="94">
        <f t="shared" si="0"/>
        <v>204160.32</v>
      </c>
      <c r="R22" s="92"/>
      <c r="S22" s="92"/>
      <c r="T22" s="92"/>
      <c r="U22" s="92"/>
      <c r="V22" s="92"/>
      <c r="W22" s="92"/>
      <c r="X22" s="47"/>
      <c r="AA22" s="94">
        <f t="shared" si="4"/>
        <v>6552.0000000000009</v>
      </c>
      <c r="AB22" s="123"/>
      <c r="AD22" s="70"/>
    </row>
    <row r="23" spans="2:30" ht="16.5" customHeight="1" x14ac:dyDescent="0.35">
      <c r="B23" s="105"/>
      <c r="C23" s="163"/>
      <c r="D23" s="163"/>
      <c r="E23" s="308"/>
      <c r="F23" s="85" t="s">
        <v>490</v>
      </c>
      <c r="G23" s="302" t="s">
        <v>494</v>
      </c>
      <c r="H23" s="303"/>
      <c r="I23" s="304"/>
      <c r="J23" s="305" t="s">
        <v>737</v>
      </c>
      <c r="K23" s="306">
        <v>1</v>
      </c>
      <c r="L23" s="121">
        <v>0</v>
      </c>
      <c r="M23" s="326">
        <v>0.75060000000000004</v>
      </c>
      <c r="N23" s="307">
        <v>1</v>
      </c>
      <c r="O23" s="310">
        <f>K23*L23*M23*N23</f>
        <v>0</v>
      </c>
      <c r="P23" s="108">
        <f>VLOOKUP($F23,'Master Harga'!$E$5:$L$348,6,FALSE)</f>
        <v>22400.000000000004</v>
      </c>
      <c r="Q23" s="94">
        <f t="shared" si="0"/>
        <v>0</v>
      </c>
      <c r="R23" s="92"/>
      <c r="S23" s="92"/>
      <c r="T23" s="92"/>
      <c r="U23" s="92"/>
      <c r="V23" s="92"/>
      <c r="W23" s="92"/>
      <c r="X23" s="47"/>
      <c r="AA23" s="94">
        <f t="shared" si="4"/>
        <v>0</v>
      </c>
      <c r="AB23" s="123"/>
      <c r="AD23" s="70"/>
    </row>
    <row r="24" spans="2:30" ht="16.5" customHeight="1" x14ac:dyDescent="0.35">
      <c r="B24" s="105"/>
      <c r="C24" s="163"/>
      <c r="D24" s="163"/>
      <c r="E24" s="308"/>
      <c r="F24" s="85" t="s">
        <v>491</v>
      </c>
      <c r="G24" s="302" t="s">
        <v>49</v>
      </c>
      <c r="H24" s="303"/>
      <c r="I24" s="304"/>
      <c r="J24" s="305" t="s">
        <v>736</v>
      </c>
      <c r="K24" s="306">
        <v>1</v>
      </c>
      <c r="L24" s="121">
        <f t="shared" si="5"/>
        <v>0</v>
      </c>
      <c r="M24" s="326">
        <v>0.34300000000000003</v>
      </c>
      <c r="N24" s="307">
        <v>1</v>
      </c>
      <c r="O24" s="310">
        <f>K24*L24*M24*N24</f>
        <v>0</v>
      </c>
      <c r="P24" s="108">
        <f>VLOOKUP($F24,'Master Harga'!$E$5:$L$348,6,FALSE)</f>
        <v>178071.6</v>
      </c>
      <c r="Q24" s="94">
        <f t="shared" si="0"/>
        <v>0</v>
      </c>
      <c r="R24" s="92"/>
      <c r="S24" s="92"/>
      <c r="T24" s="92"/>
      <c r="U24" s="92"/>
      <c r="V24" s="92"/>
      <c r="W24" s="92"/>
      <c r="X24" s="47"/>
      <c r="AA24" s="94">
        <f t="shared" si="4"/>
        <v>0</v>
      </c>
      <c r="AB24" s="123"/>
      <c r="AD24" s="70"/>
    </row>
    <row r="25" spans="2:30" ht="16.5" customHeight="1" x14ac:dyDescent="0.35">
      <c r="B25" s="105"/>
      <c r="C25" s="163"/>
      <c r="D25" s="163"/>
      <c r="E25" s="308"/>
      <c r="F25" s="85" t="s">
        <v>492</v>
      </c>
      <c r="G25" s="302" t="s">
        <v>7</v>
      </c>
      <c r="H25" s="303"/>
      <c r="I25" s="304"/>
      <c r="J25" s="305" t="s">
        <v>738</v>
      </c>
      <c r="K25" s="306">
        <v>1</v>
      </c>
      <c r="L25" s="121">
        <f t="shared" si="5"/>
        <v>0</v>
      </c>
      <c r="M25" s="326">
        <v>0.15</v>
      </c>
      <c r="N25" s="307">
        <v>1</v>
      </c>
      <c r="O25" s="310">
        <f t="shared" si="6"/>
        <v>0</v>
      </c>
      <c r="P25" s="108">
        <f>VLOOKUP($F25,'Master Harga'!$E$5:$L$348,6,FALSE)</f>
        <v>20263.320000000003</v>
      </c>
      <c r="Q25" s="94">
        <f t="shared" si="0"/>
        <v>0</v>
      </c>
      <c r="R25" s="92"/>
      <c r="S25" s="92"/>
      <c r="T25" s="92"/>
      <c r="U25" s="92"/>
      <c r="V25" s="92"/>
      <c r="W25" s="92"/>
      <c r="X25" s="47"/>
      <c r="AA25" s="94">
        <f t="shared" si="4"/>
        <v>0</v>
      </c>
      <c r="AB25" s="123"/>
      <c r="AD25" s="70"/>
    </row>
    <row r="26" spans="2:30" ht="16.5" customHeight="1" x14ac:dyDescent="0.35">
      <c r="B26" s="109"/>
      <c r="C26" s="325"/>
      <c r="D26" s="325"/>
      <c r="E26" s="309"/>
      <c r="F26" s="85" t="s">
        <v>493</v>
      </c>
      <c r="G26" s="302" t="s">
        <v>7</v>
      </c>
      <c r="H26" s="303"/>
      <c r="I26" s="304"/>
      <c r="J26" s="305" t="s">
        <v>738</v>
      </c>
      <c r="K26" s="306">
        <v>1</v>
      </c>
      <c r="L26" s="121">
        <f t="shared" si="5"/>
        <v>0</v>
      </c>
      <c r="M26" s="326">
        <v>0.15</v>
      </c>
      <c r="N26" s="307">
        <v>1</v>
      </c>
      <c r="O26" s="310">
        <f t="shared" si="6"/>
        <v>0</v>
      </c>
      <c r="P26" s="108">
        <f>VLOOKUP($F26,'Master Harga'!$E$5:$L$348,6,FALSE)</f>
        <v>18421.2</v>
      </c>
      <c r="Q26" s="94">
        <f t="shared" si="0"/>
        <v>0</v>
      </c>
      <c r="R26" s="92"/>
      <c r="S26" s="92"/>
      <c r="T26" s="92"/>
      <c r="U26" s="92"/>
      <c r="V26" s="92"/>
      <c r="W26" s="92"/>
      <c r="X26" s="47"/>
      <c r="AA26" s="94">
        <f t="shared" si="4"/>
        <v>0</v>
      </c>
      <c r="AB26" s="123"/>
      <c r="AD26" s="70"/>
    </row>
    <row r="27" spans="2:30" x14ac:dyDescent="0.35">
      <c r="B27" s="102"/>
      <c r="C27" s="103"/>
      <c r="D27" s="103" t="s">
        <v>171</v>
      </c>
      <c r="E27" s="104"/>
      <c r="F27" s="124" t="s">
        <v>3</v>
      </c>
      <c r="G27" s="125" t="s">
        <v>2</v>
      </c>
      <c r="H27" s="126"/>
      <c r="I27" s="127"/>
      <c r="J27" s="67" t="s">
        <v>113</v>
      </c>
      <c r="K27" s="113">
        <v>1</v>
      </c>
      <c r="L27" s="128">
        <f>E2</f>
        <v>31.159999999999997</v>
      </c>
      <c r="M27" s="92">
        <v>1.5</v>
      </c>
      <c r="N27" s="92">
        <v>1</v>
      </c>
      <c r="O27" s="92">
        <f t="shared" si="3"/>
        <v>46.739999999999995</v>
      </c>
      <c r="P27" s="92">
        <f>VLOOKUP($F27,'Master Harga'!$E$5:$L$348,6,FALSE)</f>
        <v>151208.64000000001</v>
      </c>
      <c r="Q27" s="94">
        <f t="shared" si="0"/>
        <v>7067491.8335999995</v>
      </c>
      <c r="R27" s="92">
        <f>VLOOKUP($F27,'Master Harga'!$E$5:$L$348,6,FALSE)</f>
        <v>151208.64000000001</v>
      </c>
      <c r="S27" s="92">
        <f>R27*$O27</f>
        <v>7067491.8335999995</v>
      </c>
      <c r="T27" s="92">
        <f>VLOOKUP($F27,'Master Harga'!$E$5:$L$348,7,FALSE)</f>
        <v>163305.33120000002</v>
      </c>
      <c r="U27" s="92">
        <f>T27*$O27</f>
        <v>7632891.180288</v>
      </c>
      <c r="V27" s="92">
        <f>W27/O27</f>
        <v>155240.87040000004</v>
      </c>
      <c r="W27" s="101">
        <f>AVERAGEIF($P$4:$U$4,W$4,$P27:$U27)</f>
        <v>7255958.2824960006</v>
      </c>
      <c r="X27" s="47"/>
      <c r="AA27" s="94">
        <f t="shared" si="4"/>
        <v>226812.96000000002</v>
      </c>
      <c r="AB27" s="47"/>
    </row>
    <row r="28" spans="2:30" x14ac:dyDescent="0.35">
      <c r="B28" s="105"/>
      <c r="C28" s="106"/>
      <c r="D28" s="106"/>
      <c r="E28" s="112"/>
      <c r="F28" s="124" t="s">
        <v>287</v>
      </c>
      <c r="G28" s="125" t="s">
        <v>19</v>
      </c>
      <c r="H28" s="126"/>
      <c r="I28" s="127"/>
      <c r="J28" s="67" t="s">
        <v>113</v>
      </c>
      <c r="K28" s="113">
        <v>1</v>
      </c>
      <c r="L28" s="128">
        <f t="shared" ref="L28:L39" si="7">L27</f>
        <v>31.159999999999997</v>
      </c>
      <c r="M28" s="92">
        <v>3.1E-2</v>
      </c>
      <c r="N28" s="92">
        <v>1</v>
      </c>
      <c r="O28" s="92">
        <f t="shared" si="3"/>
        <v>0.96595999999999993</v>
      </c>
      <c r="P28" s="92">
        <f>VLOOKUP($F28,'Master Harga'!$E$5:$L$348,6,FALSE)</f>
        <v>1530444.7200000002</v>
      </c>
      <c r="Q28" s="94">
        <f t="shared" si="0"/>
        <v>1478348.3817312</v>
      </c>
      <c r="R28" s="92">
        <f>VLOOKUP($F28,'Master Harga'!$E$5:$L$348,6,FALSE)</f>
        <v>1530444.7200000002</v>
      </c>
      <c r="S28" s="92">
        <f>R28*$O28</f>
        <v>1478348.3817312</v>
      </c>
      <c r="T28" s="92">
        <f>VLOOKUP($F28,'Master Harga'!$E$5:$L$348,7,FALSE)</f>
        <v>1714098.0864000004</v>
      </c>
      <c r="U28" s="92">
        <f>T28*$O28</f>
        <v>1655750.1875389442</v>
      </c>
      <c r="V28" s="92">
        <f>W28/O28</f>
        <v>1591662.5088000002</v>
      </c>
      <c r="W28" s="101">
        <f>AVERAGEIF($P$4:$U$4,W$4,$P28:$U28)</f>
        <v>1537482.317000448</v>
      </c>
      <c r="X28" s="47"/>
      <c r="AA28" s="94">
        <f t="shared" si="4"/>
        <v>47443.786320000007</v>
      </c>
      <c r="AB28" s="47"/>
    </row>
    <row r="29" spans="2:30" x14ac:dyDescent="0.35">
      <c r="B29" s="129"/>
      <c r="C29" s="130"/>
      <c r="D29" s="130"/>
      <c r="E29" s="131"/>
      <c r="F29" s="85" t="s">
        <v>62</v>
      </c>
      <c r="G29" s="86" t="s">
        <v>63</v>
      </c>
      <c r="H29" s="87"/>
      <c r="I29" s="88"/>
      <c r="J29" s="89" t="s">
        <v>113</v>
      </c>
      <c r="K29" s="98">
        <v>0.23499999999999999</v>
      </c>
      <c r="L29" s="128">
        <f t="shared" si="7"/>
        <v>31.159999999999997</v>
      </c>
      <c r="M29" s="92">
        <v>0.9</v>
      </c>
      <c r="N29" s="92">
        <v>1</v>
      </c>
      <c r="O29" s="92">
        <f t="shared" si="3"/>
        <v>6.5903399999999985</v>
      </c>
      <c r="P29" s="92">
        <f>VLOOKUP($F29,'Master Harga'!$E$5:$L$348,6,FALSE)</f>
        <v>35343</v>
      </c>
      <c r="Q29" s="94">
        <f t="shared" si="0"/>
        <v>232922.38661999995</v>
      </c>
      <c r="R29" s="92"/>
      <c r="S29" s="92"/>
      <c r="T29" s="92"/>
      <c r="U29" s="92"/>
      <c r="V29" s="92"/>
      <c r="W29" s="92"/>
      <c r="X29" s="47"/>
      <c r="AA29" s="94">
        <f t="shared" si="4"/>
        <v>7475.0444999999991</v>
      </c>
      <c r="AB29" s="47"/>
    </row>
    <row r="30" spans="2:30" x14ac:dyDescent="0.35">
      <c r="B30" s="129"/>
      <c r="C30" s="130"/>
      <c r="D30" s="130"/>
      <c r="E30" s="131"/>
      <c r="F30" s="85" t="s">
        <v>64</v>
      </c>
      <c r="G30" s="86" t="s">
        <v>7</v>
      </c>
      <c r="H30" s="87"/>
      <c r="I30" s="88"/>
      <c r="J30" s="89" t="s">
        <v>113</v>
      </c>
      <c r="K30" s="98">
        <v>0.74</v>
      </c>
      <c r="L30" s="128">
        <f t="shared" si="7"/>
        <v>31.159999999999997</v>
      </c>
      <c r="M30" s="92">
        <v>3.5999999999999997E-2</v>
      </c>
      <c r="N30" s="92">
        <v>1</v>
      </c>
      <c r="O30" s="92">
        <f t="shared" si="3"/>
        <v>0.83010239999999991</v>
      </c>
      <c r="P30" s="92">
        <f>VLOOKUP($F30,'Master Harga'!$E$5:$L$348,6,FALSE)</f>
        <v>96390</v>
      </c>
      <c r="Q30" s="94">
        <f t="shared" si="0"/>
        <v>80013.57033599999</v>
      </c>
      <c r="R30" s="92">
        <f>VLOOKUP($F30,'Master Harga'!$E$5:$L$348,6,FALSE)</f>
        <v>96390</v>
      </c>
      <c r="S30" s="92">
        <f t="shared" ref="S30:S39" si="8">R30*$O30</f>
        <v>80013.57033599999</v>
      </c>
      <c r="T30" s="92">
        <f>VLOOKUP($F30,'Master Harga'!$E$5:$L$348,7,FALSE)</f>
        <v>109884.59999999999</v>
      </c>
      <c r="U30" s="92">
        <f t="shared" ref="U30:U39" si="9">T30*$O30</f>
        <v>91215.470183039986</v>
      </c>
      <c r="V30" s="92">
        <f t="shared" ref="V30:V38" si="10">W30/O30</f>
        <v>100888.2</v>
      </c>
      <c r="W30" s="101">
        <f t="shared" ref="W30:W39" si="11">AVERAGEIF($P$4:$U$4,W$4,$P30:$U30)</f>
        <v>83747.536951679984</v>
      </c>
      <c r="X30" s="47"/>
      <c r="AA30" s="94">
        <f t="shared" si="4"/>
        <v>2567.8296</v>
      </c>
      <c r="AB30" s="47"/>
    </row>
    <row r="31" spans="2:30" x14ac:dyDescent="0.35">
      <c r="B31" s="129"/>
      <c r="C31" s="130"/>
      <c r="D31" s="130"/>
      <c r="E31" s="131"/>
      <c r="F31" s="85" t="s">
        <v>66</v>
      </c>
      <c r="G31" s="86" t="s">
        <v>63</v>
      </c>
      <c r="H31" s="87"/>
      <c r="I31" s="88"/>
      <c r="J31" s="89" t="s">
        <v>113</v>
      </c>
      <c r="K31" s="98">
        <v>0.5</v>
      </c>
      <c r="L31" s="128">
        <f t="shared" si="7"/>
        <v>31.159999999999997</v>
      </c>
      <c r="M31" s="92">
        <v>0.9</v>
      </c>
      <c r="N31" s="92">
        <v>1</v>
      </c>
      <c r="O31" s="92">
        <f t="shared" si="3"/>
        <v>14.021999999999998</v>
      </c>
      <c r="P31" s="92">
        <f>VLOOKUP($F31,'Master Harga'!$E$5:$L$348,6,FALSE)</f>
        <v>28381.5</v>
      </c>
      <c r="Q31" s="94">
        <f t="shared" si="0"/>
        <v>397965.39299999998</v>
      </c>
      <c r="R31" s="92">
        <f>VLOOKUP($F31,'Master Harga'!$E$5:$L$348,6,FALSE)</f>
        <v>28381.5</v>
      </c>
      <c r="S31" s="92">
        <f t="shared" si="8"/>
        <v>397965.39299999998</v>
      </c>
      <c r="T31" s="92">
        <f>VLOOKUP($F31,'Master Harga'!$E$5:$L$348,7,FALSE)</f>
        <v>32354.909999999996</v>
      </c>
      <c r="U31" s="92">
        <f t="shared" si="9"/>
        <v>453680.54801999987</v>
      </c>
      <c r="V31" s="92">
        <f t="shared" si="10"/>
        <v>29705.970000000005</v>
      </c>
      <c r="W31" s="101">
        <f t="shared" si="11"/>
        <v>416537.11134</v>
      </c>
      <c r="X31" s="47"/>
      <c r="AA31" s="94">
        <f t="shared" si="4"/>
        <v>12771.675000000001</v>
      </c>
      <c r="AB31" s="47"/>
    </row>
    <row r="32" spans="2:30" x14ac:dyDescent="0.35">
      <c r="B32" s="129"/>
      <c r="C32" s="130"/>
      <c r="D32" s="130"/>
      <c r="E32" s="131"/>
      <c r="F32" s="85" t="s">
        <v>65</v>
      </c>
      <c r="G32" s="86" t="s">
        <v>63</v>
      </c>
      <c r="H32" s="87"/>
      <c r="I32" s="88"/>
      <c r="J32" s="89" t="s">
        <v>113</v>
      </c>
      <c r="K32" s="98">
        <v>0.74</v>
      </c>
      <c r="L32" s="128">
        <f t="shared" si="7"/>
        <v>31.159999999999997</v>
      </c>
      <c r="M32" s="92">
        <v>0.27</v>
      </c>
      <c r="N32" s="92">
        <v>1</v>
      </c>
      <c r="O32" s="92">
        <f t="shared" si="3"/>
        <v>6.2257680000000004</v>
      </c>
      <c r="P32" s="92">
        <f>VLOOKUP($F32,'Master Harga'!$E$5:$L$348,6,FALSE)</f>
        <v>44982</v>
      </c>
      <c r="Q32" s="94">
        <f t="shared" si="0"/>
        <v>280047.49617600004</v>
      </c>
      <c r="R32" s="92">
        <f>VLOOKUP($F32,'Master Harga'!$E$5:$L$348,6,FALSE)</f>
        <v>44982</v>
      </c>
      <c r="S32" s="92">
        <f t="shared" si="8"/>
        <v>280047.49617600004</v>
      </c>
      <c r="T32" s="92">
        <f>VLOOKUP($F32,'Master Harga'!$E$5:$L$348,7,FALSE)</f>
        <v>51279.479999999996</v>
      </c>
      <c r="U32" s="92">
        <f t="shared" si="9"/>
        <v>319254.14564064</v>
      </c>
      <c r="V32" s="92">
        <f t="shared" si="10"/>
        <v>47081.159999999996</v>
      </c>
      <c r="W32" s="101">
        <f t="shared" si="11"/>
        <v>293116.37933088001</v>
      </c>
      <c r="X32" s="47"/>
      <c r="AA32" s="94">
        <f t="shared" si="4"/>
        <v>8987.4036000000033</v>
      </c>
      <c r="AB32" s="47"/>
    </row>
    <row r="33" spans="2:33" x14ac:dyDescent="0.35">
      <c r="B33" s="129"/>
      <c r="C33" s="130"/>
      <c r="D33" s="130"/>
      <c r="E33" s="131"/>
      <c r="F33" s="85" t="s">
        <v>11</v>
      </c>
      <c r="G33" s="86" t="s">
        <v>2</v>
      </c>
      <c r="H33" s="87"/>
      <c r="I33" s="88"/>
      <c r="J33" s="89" t="s">
        <v>113</v>
      </c>
      <c r="K33" s="98">
        <v>1</v>
      </c>
      <c r="L33" s="128">
        <f t="shared" si="7"/>
        <v>31.159999999999997</v>
      </c>
      <c r="M33" s="92">
        <f>M27</f>
        <v>1.5</v>
      </c>
      <c r="N33" s="92">
        <v>1</v>
      </c>
      <c r="O33" s="92">
        <f t="shared" si="3"/>
        <v>46.739999999999995</v>
      </c>
      <c r="P33" s="92">
        <f>VLOOKUP($F33,'Master Harga'!$E$5:$L$348,6,FALSE)</f>
        <v>3996.0000000000005</v>
      </c>
      <c r="Q33" s="94">
        <f t="shared" si="0"/>
        <v>186773.04</v>
      </c>
      <c r="R33" s="92">
        <f>VLOOKUP($F33,'Master Harga'!$E$5:$L$348,6,FALSE)</f>
        <v>3996.0000000000005</v>
      </c>
      <c r="S33" s="92">
        <f t="shared" si="8"/>
        <v>186773.04</v>
      </c>
      <c r="T33" s="92">
        <f>VLOOKUP($F33,'Master Harga'!$E$5:$L$348,7,FALSE)</f>
        <v>4315.6800000000012</v>
      </c>
      <c r="U33" s="92">
        <f t="shared" si="9"/>
        <v>201714.88320000004</v>
      </c>
      <c r="V33" s="92">
        <f t="shared" si="10"/>
        <v>4102.5600000000013</v>
      </c>
      <c r="W33" s="101">
        <f t="shared" si="11"/>
        <v>191753.65440000003</v>
      </c>
      <c r="X33" s="47"/>
      <c r="AA33" s="94">
        <f t="shared" si="4"/>
        <v>5994.0000000000009</v>
      </c>
      <c r="AB33" s="47"/>
    </row>
    <row r="34" spans="2:33" x14ac:dyDescent="0.35">
      <c r="B34" s="129"/>
      <c r="C34" s="130"/>
      <c r="D34" s="130"/>
      <c r="E34" s="131"/>
      <c r="F34" s="47" t="s">
        <v>27</v>
      </c>
      <c r="G34" s="132" t="s">
        <v>19</v>
      </c>
      <c r="H34" s="133">
        <v>4</v>
      </c>
      <c r="I34" s="134" t="s">
        <v>190</v>
      </c>
      <c r="J34" s="89" t="s">
        <v>113</v>
      </c>
      <c r="K34" s="98">
        <v>1</v>
      </c>
      <c r="L34" s="128">
        <f t="shared" si="7"/>
        <v>31.159999999999997</v>
      </c>
      <c r="M34" s="135">
        <f>((M$27*N$27)/240*($H34/N34))</f>
        <v>2.5000000000000001E-2</v>
      </c>
      <c r="N34" s="92">
        <v>1</v>
      </c>
      <c r="O34" s="92">
        <f t="shared" si="3"/>
        <v>0.77899999999999991</v>
      </c>
      <c r="P34" s="92">
        <f>VLOOKUP($F34,'Master Harga'!$E$5:$L$348,6,FALSE)</f>
        <v>47980.800000000003</v>
      </c>
      <c r="Q34" s="94">
        <f t="shared" si="0"/>
        <v>37377.0432</v>
      </c>
      <c r="R34" s="92">
        <f>VLOOKUP($F34,'Master Harga'!$E$5:$L$348,6,FALSE)</f>
        <v>47980.800000000003</v>
      </c>
      <c r="S34" s="92">
        <f t="shared" si="8"/>
        <v>37377.0432</v>
      </c>
      <c r="T34" s="92">
        <f>VLOOKUP($F34,'Master Harga'!$E$5:$L$348,7,FALSE)</f>
        <v>53738.496000000006</v>
      </c>
      <c r="U34" s="92">
        <f t="shared" si="9"/>
        <v>41862.288383999999</v>
      </c>
      <c r="V34" s="92">
        <f t="shared" si="10"/>
        <v>49900.031999999999</v>
      </c>
      <c r="W34" s="101">
        <f t="shared" si="11"/>
        <v>38872.124927999997</v>
      </c>
      <c r="X34" s="47"/>
      <c r="AA34" s="94">
        <f t="shared" si="4"/>
        <v>1199.5200000000002</v>
      </c>
      <c r="AB34" s="47"/>
    </row>
    <row r="35" spans="2:33" x14ac:dyDescent="0.35">
      <c r="B35" s="129"/>
      <c r="C35" s="130"/>
      <c r="D35" s="130"/>
      <c r="E35" s="131"/>
      <c r="F35" s="47" t="s">
        <v>193</v>
      </c>
      <c r="G35" s="132" t="s">
        <v>19</v>
      </c>
      <c r="H35" s="133">
        <v>12</v>
      </c>
      <c r="I35" s="134" t="s">
        <v>190</v>
      </c>
      <c r="J35" s="89" t="s">
        <v>113</v>
      </c>
      <c r="K35" s="98">
        <v>1</v>
      </c>
      <c r="L35" s="128">
        <f t="shared" si="7"/>
        <v>31.159999999999997</v>
      </c>
      <c r="M35" s="135">
        <f>((M$27*N$27)/240*($H35/N35))</f>
        <v>7.5000000000000011E-2</v>
      </c>
      <c r="N35" s="92">
        <v>1</v>
      </c>
      <c r="O35" s="92">
        <f t="shared" si="3"/>
        <v>2.3370000000000002</v>
      </c>
      <c r="P35" s="92">
        <f>VLOOKUP($F35,'Master Harga'!$E$5:$L$348,6,FALSE)</f>
        <v>15680.000000000002</v>
      </c>
      <c r="Q35" s="94">
        <f t="shared" si="0"/>
        <v>36644.160000000011</v>
      </c>
      <c r="R35" s="92">
        <f>VLOOKUP($F35,'Master Harga'!$E$5:$L$348,6,FALSE)</f>
        <v>15680.000000000002</v>
      </c>
      <c r="S35" s="92">
        <f t="shared" si="8"/>
        <v>36644.160000000011</v>
      </c>
      <c r="T35" s="92">
        <f>VLOOKUP($F35,'Master Harga'!$E$5:$L$348,7,FALSE)</f>
        <v>17561.600000000002</v>
      </c>
      <c r="U35" s="92">
        <f t="shared" si="9"/>
        <v>41041.459200000005</v>
      </c>
      <c r="V35" s="92">
        <f t="shared" si="10"/>
        <v>16307.2</v>
      </c>
      <c r="W35" s="101">
        <f t="shared" si="11"/>
        <v>38109.926400000004</v>
      </c>
      <c r="X35" s="47"/>
      <c r="AA35" s="94">
        <f t="shared" si="4"/>
        <v>1176.0000000000005</v>
      </c>
      <c r="AB35" s="47"/>
    </row>
    <row r="36" spans="2:33" x14ac:dyDescent="0.35">
      <c r="B36" s="129"/>
      <c r="C36" s="130"/>
      <c r="D36" s="130"/>
      <c r="E36" s="131"/>
      <c r="F36" s="47" t="s">
        <v>138</v>
      </c>
      <c r="G36" s="132" t="s">
        <v>19</v>
      </c>
      <c r="H36" s="133">
        <v>1</v>
      </c>
      <c r="I36" s="134" t="s">
        <v>190</v>
      </c>
      <c r="J36" s="89" t="s">
        <v>113</v>
      </c>
      <c r="K36" s="98">
        <v>1</v>
      </c>
      <c r="L36" s="128">
        <f t="shared" si="7"/>
        <v>31.159999999999997</v>
      </c>
      <c r="M36" s="135">
        <f>((M$27*N$27)/240*($H36/N36))</f>
        <v>6.2500000000000003E-3</v>
      </c>
      <c r="N36" s="92">
        <v>1</v>
      </c>
      <c r="O36" s="92">
        <f t="shared" si="3"/>
        <v>0.19474999999999998</v>
      </c>
      <c r="P36" s="92">
        <f>VLOOKUP($F36,'Master Harga'!$E$5:$L$348,6,FALSE)</f>
        <v>41983.200000000004</v>
      </c>
      <c r="Q36" s="94">
        <f t="shared" si="0"/>
        <v>8176.2281999999996</v>
      </c>
      <c r="R36" s="92">
        <f>VLOOKUP($F36,'Master Harga'!$E$5:$L$348,6,FALSE)</f>
        <v>41983.200000000004</v>
      </c>
      <c r="S36" s="92">
        <f t="shared" si="8"/>
        <v>8176.2281999999996</v>
      </c>
      <c r="T36" s="92">
        <f>VLOOKUP($F36,'Master Harga'!$E$5:$L$348,7,FALSE)</f>
        <v>47021.184000000008</v>
      </c>
      <c r="U36" s="92">
        <f t="shared" si="9"/>
        <v>9157.3755840000013</v>
      </c>
      <c r="V36" s="92">
        <f t="shared" si="10"/>
        <v>43662.528000000006</v>
      </c>
      <c r="W36" s="101">
        <f t="shared" si="11"/>
        <v>8503.2773280000001</v>
      </c>
      <c r="X36" s="47"/>
      <c r="AA36" s="94">
        <f t="shared" si="4"/>
        <v>262.39500000000004</v>
      </c>
      <c r="AB36" s="47"/>
    </row>
    <row r="37" spans="2:33" x14ac:dyDescent="0.35">
      <c r="B37" s="129"/>
      <c r="C37" s="130"/>
      <c r="D37" s="130"/>
      <c r="E37" s="131"/>
      <c r="F37" s="47" t="s">
        <v>55</v>
      </c>
      <c r="G37" s="132" t="s">
        <v>19</v>
      </c>
      <c r="H37" s="133">
        <v>2</v>
      </c>
      <c r="I37" s="134" t="s">
        <v>190</v>
      </c>
      <c r="J37" s="89" t="s">
        <v>113</v>
      </c>
      <c r="K37" s="98">
        <v>1</v>
      </c>
      <c r="L37" s="128">
        <f t="shared" si="7"/>
        <v>31.159999999999997</v>
      </c>
      <c r="M37" s="135">
        <f>((M$27*N$27)/240*($H37/N37))</f>
        <v>1.2500000000000001E-2</v>
      </c>
      <c r="N37" s="92">
        <v>1</v>
      </c>
      <c r="O37" s="92">
        <f t="shared" si="3"/>
        <v>0.38949999999999996</v>
      </c>
      <c r="P37" s="92">
        <f>VLOOKUP($F37,'Master Harga'!$E$5:$L$348,6,FALSE)</f>
        <v>35985.600000000006</v>
      </c>
      <c r="Q37" s="94">
        <f t="shared" si="0"/>
        <v>14016.3912</v>
      </c>
      <c r="R37" s="92">
        <f>VLOOKUP($F37,'Master Harga'!$E$5:$L$348,6,FALSE)</f>
        <v>35985.600000000006</v>
      </c>
      <c r="S37" s="92">
        <f t="shared" si="8"/>
        <v>14016.3912</v>
      </c>
      <c r="T37" s="92">
        <f>VLOOKUP($F37,'Master Harga'!$E$5:$L$348,7,FALSE)</f>
        <v>40303.87200000001</v>
      </c>
      <c r="U37" s="92">
        <f t="shared" si="9"/>
        <v>15698.358144000002</v>
      </c>
      <c r="V37" s="92">
        <f t="shared" si="10"/>
        <v>37425.024000000005</v>
      </c>
      <c r="W37" s="101">
        <f t="shared" si="11"/>
        <v>14577.046848</v>
      </c>
      <c r="X37" s="47"/>
      <c r="AA37" s="94">
        <f t="shared" si="4"/>
        <v>449.82000000000005</v>
      </c>
      <c r="AB37" s="47"/>
    </row>
    <row r="38" spans="2:33" x14ac:dyDescent="0.35">
      <c r="B38" s="129"/>
      <c r="C38" s="130"/>
      <c r="D38" s="130"/>
      <c r="E38" s="131"/>
      <c r="F38" s="47" t="s">
        <v>56</v>
      </c>
      <c r="G38" s="132" t="s">
        <v>19</v>
      </c>
      <c r="H38" s="133">
        <v>1</v>
      </c>
      <c r="I38" s="134" t="s">
        <v>190</v>
      </c>
      <c r="J38" s="89" t="s">
        <v>113</v>
      </c>
      <c r="K38" s="98">
        <v>1</v>
      </c>
      <c r="L38" s="128">
        <f t="shared" si="7"/>
        <v>31.159999999999997</v>
      </c>
      <c r="M38" s="135">
        <f>((M$27*N$27)/240*($H38/N38))</f>
        <v>6.2500000000000003E-3</v>
      </c>
      <c r="N38" s="92">
        <v>1</v>
      </c>
      <c r="O38" s="92">
        <f t="shared" si="3"/>
        <v>0.19474999999999998</v>
      </c>
      <c r="P38" s="92">
        <f>VLOOKUP($F38,'Master Harga'!$E$5:$L$348,6,FALSE)</f>
        <v>95961.600000000006</v>
      </c>
      <c r="Q38" s="94">
        <f t="shared" si="0"/>
        <v>18688.5216</v>
      </c>
      <c r="R38" s="92">
        <f>VLOOKUP($F38,'Master Harga'!$E$5:$L$348,6,FALSE)</f>
        <v>95961.600000000006</v>
      </c>
      <c r="S38" s="92">
        <f t="shared" si="8"/>
        <v>18688.5216</v>
      </c>
      <c r="T38" s="92">
        <f>VLOOKUP($F38,'Master Harga'!$E$5:$L$348,7,FALSE)</f>
        <v>107476.99200000001</v>
      </c>
      <c r="U38" s="92">
        <f t="shared" si="9"/>
        <v>20931.144192</v>
      </c>
      <c r="V38" s="92">
        <f t="shared" si="10"/>
        <v>99800.063999999998</v>
      </c>
      <c r="W38" s="101">
        <f t="shared" si="11"/>
        <v>19436.062463999999</v>
      </c>
      <c r="X38" s="47"/>
      <c r="AA38" s="94">
        <f t="shared" si="4"/>
        <v>599.7600000000001</v>
      </c>
      <c r="AB38" s="47"/>
    </row>
    <row r="39" spans="2:33" s="44" customFormat="1" x14ac:dyDescent="0.35">
      <c r="B39" s="129"/>
      <c r="C39" s="130"/>
      <c r="D39" s="130"/>
      <c r="E39" s="138" t="s">
        <v>216</v>
      </c>
      <c r="F39" s="394" t="s">
        <v>112</v>
      </c>
      <c r="G39" s="395" t="s">
        <v>127</v>
      </c>
      <c r="H39" s="396"/>
      <c r="I39" s="397"/>
      <c r="J39" s="398" t="s">
        <v>113</v>
      </c>
      <c r="K39" s="399">
        <v>1</v>
      </c>
      <c r="L39" s="400">
        <f t="shared" si="7"/>
        <v>31.159999999999997</v>
      </c>
      <c r="M39" s="401">
        <v>0.27</v>
      </c>
      <c r="N39" s="138">
        <v>1</v>
      </c>
      <c r="O39" s="138">
        <f t="shared" si="3"/>
        <v>8.4131999999999998</v>
      </c>
      <c r="P39" s="402">
        <f>200000</f>
        <v>200000</v>
      </c>
      <c r="Q39" s="94">
        <f t="shared" si="0"/>
        <v>1682640</v>
      </c>
      <c r="R39" s="138">
        <f>VLOOKUP($F39,'Master Harga'!$E$5:$L$348,6,FALSE)</f>
        <v>75235.439999999988</v>
      </c>
      <c r="S39" s="138">
        <f t="shared" si="8"/>
        <v>632970.80380799994</v>
      </c>
      <c r="T39" s="138">
        <f>VLOOKUP($F39,'Master Harga'!$E$5:$L$348,7,FALSE)</f>
        <v>85768.401599999983</v>
      </c>
      <c r="U39" s="138">
        <f t="shared" si="9"/>
        <v>721586.71634111984</v>
      </c>
      <c r="V39" s="138">
        <f>W39/O39</f>
        <v>120334.61386666665</v>
      </c>
      <c r="W39" s="101">
        <f t="shared" si="11"/>
        <v>1012399.1733830399</v>
      </c>
      <c r="X39" s="403"/>
      <c r="AA39" s="402">
        <f t="shared" si="4"/>
        <v>54000.000000000007</v>
      </c>
      <c r="AB39" s="403"/>
      <c r="AD39"/>
      <c r="AE39"/>
      <c r="AF39"/>
      <c r="AG39"/>
    </row>
    <row r="40" spans="2:33" x14ac:dyDescent="0.35">
      <c r="B40" s="150"/>
      <c r="C40" s="151"/>
      <c r="D40" s="198" t="s">
        <v>626</v>
      </c>
      <c r="E40" s="415"/>
      <c r="F40" s="148"/>
      <c r="G40" s="149"/>
      <c r="H40" s="150"/>
      <c r="I40" s="151"/>
      <c r="J40" s="152"/>
      <c r="K40" s="153"/>
      <c r="L40" s="153"/>
      <c r="M40" s="154"/>
      <c r="N40" s="155"/>
      <c r="O40" s="155"/>
      <c r="P40" s="155"/>
      <c r="Q40" s="156">
        <f>SUM(Q8:Q39)</f>
        <v>473805061.31686103</v>
      </c>
      <c r="R40" s="155"/>
      <c r="S40" s="155"/>
      <c r="T40" s="155"/>
      <c r="U40" s="155"/>
      <c r="V40" s="155"/>
      <c r="W40" s="155"/>
      <c r="X40" s="157"/>
      <c r="Y40" s="416"/>
      <c r="Z40" s="416"/>
      <c r="AA40" s="159">
        <f>Q40/$E$2</f>
        <v>15205553.957537262</v>
      </c>
      <c r="AB40" s="157">
        <f>Q40/$Q$209*100</f>
        <v>25.905297060094444</v>
      </c>
      <c r="AC40" s="78"/>
    </row>
    <row r="41" spans="2:33" x14ac:dyDescent="0.35">
      <c r="B41" s="404" t="s">
        <v>206</v>
      </c>
      <c r="C41" s="405"/>
      <c r="D41" s="137"/>
      <c r="E41" s="143"/>
      <c r="F41" s="406"/>
      <c r="G41" s="407"/>
      <c r="H41" s="136"/>
      <c r="I41" s="137"/>
      <c r="J41" s="408"/>
      <c r="K41" s="409"/>
      <c r="L41" s="409"/>
      <c r="M41" s="410"/>
      <c r="N41" s="411"/>
      <c r="O41" s="411"/>
      <c r="P41" s="411"/>
      <c r="Q41" s="411"/>
      <c r="R41" s="411"/>
      <c r="S41" s="411"/>
      <c r="T41" s="411"/>
      <c r="U41" s="411"/>
      <c r="V41" s="411"/>
      <c r="W41" s="411"/>
      <c r="X41" s="412"/>
      <c r="AA41" s="412"/>
      <c r="AB41" s="412"/>
    </row>
    <row r="42" spans="2:33" x14ac:dyDescent="0.35">
      <c r="B42" s="93"/>
      <c r="C42" s="83" t="s">
        <v>208</v>
      </c>
      <c r="D42" s="83"/>
      <c r="E42" s="160"/>
      <c r="F42" s="85"/>
      <c r="G42" s="86"/>
      <c r="H42" s="87"/>
      <c r="I42" s="88"/>
      <c r="J42" s="89"/>
      <c r="K42" s="90"/>
      <c r="L42" s="90"/>
      <c r="M42" s="91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47"/>
      <c r="AA42" s="47"/>
      <c r="AB42" s="47"/>
    </row>
    <row r="43" spans="2:33" x14ac:dyDescent="0.35">
      <c r="B43" s="95"/>
      <c r="C43" s="96"/>
      <c r="D43" s="96" t="s">
        <v>148</v>
      </c>
      <c r="E43" s="97"/>
      <c r="F43" s="85" t="s">
        <v>3</v>
      </c>
      <c r="G43" s="125" t="s">
        <v>2</v>
      </c>
      <c r="H43" s="126"/>
      <c r="I43" s="127"/>
      <c r="J43" s="67" t="s">
        <v>113</v>
      </c>
      <c r="K43" s="113">
        <v>0.25</v>
      </c>
      <c r="L43" s="128">
        <f>E2</f>
        <v>31.159999999999997</v>
      </c>
      <c r="M43" s="92">
        <v>1</v>
      </c>
      <c r="N43" s="92">
        <v>1</v>
      </c>
      <c r="O43" s="92">
        <f t="shared" ref="O43" si="12">K43*L43*M43*N43</f>
        <v>7.7899999999999991</v>
      </c>
      <c r="P43" s="92">
        <f>VLOOKUP($F43,'Master Harga'!$E$5:$L$348,6,FALSE)</f>
        <v>151208.64000000001</v>
      </c>
      <c r="Q43" s="94">
        <f t="shared" ref="Q43:Q46" si="13">P43*$O43</f>
        <v>1177915.3056000001</v>
      </c>
      <c r="R43" s="92">
        <f>VLOOKUP($F43,'Master Harga'!$E$5:$L$348,6,FALSE)</f>
        <v>151208.64000000001</v>
      </c>
      <c r="S43" s="92">
        <f>R43*$O43</f>
        <v>1177915.3056000001</v>
      </c>
      <c r="T43" s="92">
        <f>VLOOKUP($F43,'Master Harga'!$E$5:$L$348,7,FALSE)</f>
        <v>163305.33120000002</v>
      </c>
      <c r="U43" s="92">
        <f>T43*$O43</f>
        <v>1272148.5300479999</v>
      </c>
      <c r="V43" s="92">
        <f>W43/O43</f>
        <v>155240.87040000001</v>
      </c>
      <c r="W43" s="101">
        <f>AVERAGEIF($P$4:$U$4,W$4,$P43:$U43)</f>
        <v>1209326.380416</v>
      </c>
      <c r="X43" s="47"/>
      <c r="AA43" s="94">
        <f t="shared" ref="AA43" si="14">Q43/$E$2</f>
        <v>37802.160000000003</v>
      </c>
      <c r="AB43" s="47"/>
    </row>
    <row r="44" spans="2:33" x14ac:dyDescent="0.35">
      <c r="B44" s="136"/>
      <c r="C44" s="137"/>
      <c r="D44" s="137"/>
      <c r="E44" s="143"/>
      <c r="F44" s="85" t="s">
        <v>120</v>
      </c>
      <c r="G44" s="86" t="s">
        <v>117</v>
      </c>
      <c r="H44" s="87"/>
      <c r="I44" s="88"/>
      <c r="J44" s="89" t="s">
        <v>117</v>
      </c>
      <c r="K44" s="98">
        <v>1</v>
      </c>
      <c r="L44" s="99">
        <f>E2*33.33</f>
        <v>1038.5627999999999</v>
      </c>
      <c r="M44" s="91">
        <v>8.9999999999999993E-3</v>
      </c>
      <c r="N44" s="92">
        <v>1</v>
      </c>
      <c r="O44" s="92">
        <f>K44*L44*M44*N44</f>
        <v>9.3470651999999994</v>
      </c>
      <c r="P44" s="92">
        <f>VLOOKUP($F44,'Master Harga'!$E$5:$L$348,6,FALSE)</f>
        <v>715047.82649999985</v>
      </c>
      <c r="Q44" s="94">
        <f t="shared" si="13"/>
        <v>6683598.6554137859</v>
      </c>
      <c r="R44" s="92">
        <f>VLOOKUP($F44,'Master Harga'!$E$5:$L$348,6,FALSE)</f>
        <v>715047.82649999985</v>
      </c>
      <c r="S44" s="92">
        <f t="shared" ref="S44" si="15">R44*$O44</f>
        <v>6683598.6554137859</v>
      </c>
      <c r="T44" s="92">
        <f>VLOOKUP($F44,'Master Harga'!$E$5:$L$348,7,FALSE)</f>
        <v>751428.66536999994</v>
      </c>
      <c r="U44" s="92">
        <f t="shared" ref="U44" si="16">T44*$O44</f>
        <v>7023652.7283623712</v>
      </c>
      <c r="V44" s="92">
        <f t="shared" ref="V44" si="17">W44/O44</f>
        <v>727174.77278999984</v>
      </c>
      <c r="W44" s="101">
        <f t="shared" ref="W44" si="18">AVERAGEIF($P$4:$U$4,W$4,$P44:$U44)</f>
        <v>6796950.0130633144</v>
      </c>
      <c r="X44" s="47"/>
      <c r="AA44" s="94">
        <f>Q44/$E$2</f>
        <v>214492.89651520498</v>
      </c>
      <c r="AB44" s="47"/>
    </row>
    <row r="45" spans="2:33" x14ac:dyDescent="0.35">
      <c r="B45" s="95"/>
      <c r="C45" s="96"/>
      <c r="D45" s="96" t="s">
        <v>148</v>
      </c>
      <c r="E45" s="97"/>
      <c r="F45" s="85" t="s">
        <v>3</v>
      </c>
      <c r="G45" s="86" t="s">
        <v>2</v>
      </c>
      <c r="H45" s="87"/>
      <c r="I45" s="88"/>
      <c r="J45" s="67" t="s">
        <v>113</v>
      </c>
      <c r="K45" s="113">
        <v>0.25</v>
      </c>
      <c r="L45" s="128">
        <f>E2</f>
        <v>31.159999999999997</v>
      </c>
      <c r="M45" s="92">
        <v>1</v>
      </c>
      <c r="N45" s="92">
        <v>1</v>
      </c>
      <c r="O45" s="92">
        <f t="shared" ref="O45" si="19">K45*L45*M45*N45</f>
        <v>7.7899999999999991</v>
      </c>
      <c r="P45" s="92">
        <f>VLOOKUP($F45,'Master Harga'!$E$5:$L$348,6,FALSE)</f>
        <v>151208.64000000001</v>
      </c>
      <c r="Q45" s="94">
        <f t="shared" si="13"/>
        <v>1177915.3056000001</v>
      </c>
      <c r="R45" s="92">
        <f>VLOOKUP($F45,'Master Harga'!$E$5:$L$348,6,FALSE)</f>
        <v>151208.64000000001</v>
      </c>
      <c r="S45" s="92">
        <f>R45*$O45</f>
        <v>1177915.3056000001</v>
      </c>
      <c r="T45" s="92">
        <f>VLOOKUP($F45,'Master Harga'!$E$5:$L$348,7,FALSE)</f>
        <v>163305.33120000002</v>
      </c>
      <c r="U45" s="92">
        <f>T45*$O45</f>
        <v>1272148.5300479999</v>
      </c>
      <c r="V45" s="92">
        <f>W45/O45</f>
        <v>155240.87040000001</v>
      </c>
      <c r="W45" s="101">
        <f>AVERAGEIF($P$4:$U$4,W$4,$P45:$U45)</f>
        <v>1209326.380416</v>
      </c>
      <c r="X45" s="47"/>
      <c r="AA45" s="94">
        <f t="shared" ref="AA45" si="20">Q45/$E$2</f>
        <v>37802.160000000003</v>
      </c>
      <c r="AB45" s="47"/>
    </row>
    <row r="46" spans="2:33" x14ac:dyDescent="0.35">
      <c r="B46" s="136"/>
      <c r="C46" s="137"/>
      <c r="D46" s="137"/>
      <c r="E46" s="143"/>
      <c r="F46" s="85" t="s">
        <v>116</v>
      </c>
      <c r="G46" s="86" t="s">
        <v>117</v>
      </c>
      <c r="H46" s="87"/>
      <c r="I46" s="88"/>
      <c r="J46" s="89" t="s">
        <v>117</v>
      </c>
      <c r="K46" s="98">
        <v>1</v>
      </c>
      <c r="L46" s="99">
        <f>E2</f>
        <v>31.159999999999997</v>
      </c>
      <c r="M46" s="92">
        <v>1</v>
      </c>
      <c r="N46" s="92">
        <v>1</v>
      </c>
      <c r="O46" s="92">
        <f>K46*L46*M46*N46</f>
        <v>31.159999999999997</v>
      </c>
      <c r="P46" s="92">
        <f>VLOOKUP($F46,'Master Harga'!$E$5:$L$348,6,FALSE)</f>
        <v>369600.00000000006</v>
      </c>
      <c r="Q46" s="94">
        <f t="shared" si="13"/>
        <v>11516736</v>
      </c>
      <c r="R46" s="92">
        <f>VLOOKUP($F46,'Master Harga'!$E$5:$L$348,6,FALSE)</f>
        <v>369600.00000000006</v>
      </c>
      <c r="S46" s="92">
        <f t="shared" ref="S46" si="21">R46*$O46</f>
        <v>11516736</v>
      </c>
      <c r="T46" s="92">
        <f>VLOOKUP($F46,'Master Harga'!$E$5:$L$348,7,FALSE)</f>
        <v>413952.00000000012</v>
      </c>
      <c r="U46" s="92">
        <f t="shared" ref="U46" si="22">T46*$O46</f>
        <v>12898744.320000002</v>
      </c>
      <c r="V46" s="92">
        <f t="shared" ref="V46" si="23">W46/O46</f>
        <v>384384</v>
      </c>
      <c r="W46" s="101">
        <f t="shared" ref="W46" si="24">AVERAGEIF($P$4:$U$4,W$4,$P46:$U46)</f>
        <v>11977405.439999999</v>
      </c>
      <c r="X46" s="47"/>
      <c r="AA46" s="94">
        <f>Q46/$E$2</f>
        <v>369600.00000000006</v>
      </c>
      <c r="AB46" s="47"/>
    </row>
    <row r="47" spans="2:33" x14ac:dyDescent="0.35">
      <c r="B47" s="510" t="s">
        <v>618</v>
      </c>
      <c r="C47" s="511"/>
      <c r="D47" s="511"/>
      <c r="E47" s="512"/>
      <c r="F47" s="148"/>
      <c r="G47" s="149"/>
      <c r="H47" s="150"/>
      <c r="I47" s="151"/>
      <c r="J47" s="152"/>
      <c r="K47" s="153"/>
      <c r="L47" s="153"/>
      <c r="M47" s="154"/>
      <c r="N47" s="155"/>
      <c r="O47" s="155"/>
      <c r="P47" s="155"/>
      <c r="Q47" s="161">
        <f>SUM(Q43:Q46)</f>
        <v>20556165.266613789</v>
      </c>
      <c r="R47" s="161"/>
      <c r="S47" s="161"/>
      <c r="T47" s="161"/>
      <c r="U47" s="161"/>
      <c r="V47" s="161"/>
      <c r="W47" s="161"/>
      <c r="X47" s="162"/>
      <c r="Y47" s="158"/>
      <c r="Z47" s="158"/>
      <c r="AA47" s="159">
        <f>Q47/$E$2</f>
        <v>659697.2165152051</v>
      </c>
      <c r="AB47" s="157">
        <f>Q47/$Q$209*100</f>
        <v>1.1239085673082394</v>
      </c>
      <c r="AC47" s="78"/>
    </row>
    <row r="48" spans="2:33" x14ac:dyDescent="0.35">
      <c r="B48" s="136"/>
      <c r="C48" s="83" t="s">
        <v>210</v>
      </c>
      <c r="D48" s="137"/>
      <c r="E48" s="143"/>
      <c r="F48" s="85"/>
      <c r="G48" s="86"/>
      <c r="H48" s="87"/>
      <c r="I48" s="88"/>
      <c r="J48" s="89"/>
      <c r="K48" s="90"/>
      <c r="L48" s="90"/>
      <c r="M48" s="91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47"/>
      <c r="AA48" s="47"/>
      <c r="AB48" s="47"/>
    </row>
    <row r="49" spans="1:29" hidden="1" x14ac:dyDescent="0.35">
      <c r="B49" s="95"/>
      <c r="C49" s="96"/>
      <c r="D49" s="96" t="s">
        <v>149</v>
      </c>
      <c r="E49" s="97"/>
      <c r="F49" s="85" t="s">
        <v>3</v>
      </c>
      <c r="G49" s="86" t="s">
        <v>2</v>
      </c>
      <c r="H49" s="87"/>
      <c r="I49" s="88"/>
      <c r="J49" s="89"/>
      <c r="K49" s="90"/>
      <c r="L49" s="90"/>
      <c r="M49" s="91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47"/>
      <c r="AA49" s="47"/>
      <c r="AB49" s="47"/>
    </row>
    <row r="50" spans="1:29" hidden="1" x14ac:dyDescent="0.35">
      <c r="B50" s="129"/>
      <c r="C50" s="130"/>
      <c r="D50" s="130"/>
      <c r="E50" s="131"/>
      <c r="F50" s="85" t="s">
        <v>89</v>
      </c>
      <c r="G50" s="86" t="s">
        <v>44</v>
      </c>
      <c r="H50" s="87"/>
      <c r="I50" s="88"/>
      <c r="J50" s="89"/>
      <c r="K50" s="90"/>
      <c r="L50" s="90"/>
      <c r="M50" s="91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47"/>
      <c r="AA50" s="47"/>
      <c r="AB50" s="47"/>
    </row>
    <row r="51" spans="1:29" hidden="1" x14ac:dyDescent="0.35">
      <c r="B51" s="136"/>
      <c r="C51" s="137"/>
      <c r="D51" s="137"/>
      <c r="E51" s="143"/>
      <c r="F51" s="85" t="s">
        <v>121</v>
      </c>
      <c r="G51" s="86" t="s">
        <v>117</v>
      </c>
      <c r="H51" s="87"/>
      <c r="I51" s="88"/>
      <c r="J51" s="89"/>
      <c r="K51" s="90"/>
      <c r="L51" s="90"/>
      <c r="M51" s="91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47"/>
      <c r="AA51" s="47"/>
      <c r="AB51" s="47"/>
    </row>
    <row r="52" spans="1:29" hidden="1" x14ac:dyDescent="0.35">
      <c r="B52" s="95"/>
      <c r="C52" s="96"/>
      <c r="D52" s="96" t="s">
        <v>150</v>
      </c>
      <c r="E52" s="97"/>
      <c r="F52" s="85" t="s">
        <v>3</v>
      </c>
      <c r="G52" s="86" t="s">
        <v>2</v>
      </c>
      <c r="H52" s="87"/>
      <c r="I52" s="88"/>
      <c r="J52" s="89"/>
      <c r="K52" s="90"/>
      <c r="L52" s="90"/>
      <c r="M52" s="91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47"/>
      <c r="AA52" s="47"/>
      <c r="AB52" s="47"/>
    </row>
    <row r="53" spans="1:29" hidden="1" x14ac:dyDescent="0.35">
      <c r="B53" s="129"/>
      <c r="C53" s="130"/>
      <c r="D53" s="130"/>
      <c r="E53" s="131"/>
      <c r="F53" s="85" t="s">
        <v>90</v>
      </c>
      <c r="G53" s="86" t="s">
        <v>44</v>
      </c>
      <c r="H53" s="87"/>
      <c r="I53" s="88"/>
      <c r="J53" s="89"/>
      <c r="K53" s="90"/>
      <c r="L53" s="90"/>
      <c r="M53" s="91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47"/>
      <c r="AA53" s="47"/>
      <c r="AB53" s="47"/>
    </row>
    <row r="54" spans="1:29" hidden="1" x14ac:dyDescent="0.35">
      <c r="B54" s="136"/>
      <c r="C54" s="137"/>
      <c r="D54" s="137"/>
      <c r="E54" s="143"/>
      <c r="F54" s="85" t="s">
        <v>121</v>
      </c>
      <c r="G54" s="86" t="s">
        <v>117</v>
      </c>
      <c r="H54" s="87"/>
      <c r="I54" s="88"/>
      <c r="J54" s="89"/>
      <c r="K54" s="90"/>
      <c r="L54" s="90"/>
      <c r="M54" s="91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47"/>
      <c r="AA54" s="47"/>
      <c r="AB54" s="47"/>
    </row>
    <row r="55" spans="1:29" hidden="1" x14ac:dyDescent="0.35">
      <c r="B55" s="95"/>
      <c r="C55" s="96"/>
      <c r="D55" s="96" t="s">
        <v>151</v>
      </c>
      <c r="E55" s="97"/>
      <c r="F55" s="85" t="s">
        <v>3</v>
      </c>
      <c r="G55" s="86" t="s">
        <v>2</v>
      </c>
      <c r="H55" s="87"/>
      <c r="I55" s="88"/>
      <c r="J55" s="89"/>
      <c r="K55" s="90"/>
      <c r="L55" s="90"/>
      <c r="M55" s="91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47"/>
      <c r="AA55" s="47"/>
      <c r="AB55" s="47"/>
    </row>
    <row r="56" spans="1:29" hidden="1" x14ac:dyDescent="0.35">
      <c r="B56" s="129"/>
      <c r="C56" s="130"/>
      <c r="D56" s="130"/>
      <c r="E56" s="131"/>
      <c r="F56" s="85" t="s">
        <v>91</v>
      </c>
      <c r="G56" s="86" t="s">
        <v>44</v>
      </c>
      <c r="H56" s="87"/>
      <c r="I56" s="88"/>
      <c r="J56" s="89"/>
      <c r="K56" s="90"/>
      <c r="L56" s="90"/>
      <c r="M56" s="91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47"/>
      <c r="AA56" s="47"/>
      <c r="AB56" s="47"/>
    </row>
    <row r="57" spans="1:29" hidden="1" x14ac:dyDescent="0.35">
      <c r="B57" s="136"/>
      <c r="C57" s="137"/>
      <c r="D57" s="137"/>
      <c r="E57" s="143"/>
      <c r="F57" s="85" t="s">
        <v>121</v>
      </c>
      <c r="G57" s="86" t="s">
        <v>117</v>
      </c>
      <c r="H57" s="87"/>
      <c r="I57" s="88"/>
      <c r="J57" s="89"/>
      <c r="K57" s="90"/>
      <c r="L57" s="90"/>
      <c r="M57" s="91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47"/>
      <c r="AA57" s="47"/>
      <c r="AB57" s="47"/>
    </row>
    <row r="58" spans="1:29" hidden="1" x14ac:dyDescent="0.35">
      <c r="B58" s="95"/>
      <c r="C58" s="96"/>
      <c r="D58" s="96" t="s">
        <v>152</v>
      </c>
      <c r="E58" s="97"/>
      <c r="F58" s="85" t="s">
        <v>3</v>
      </c>
      <c r="G58" s="86" t="s">
        <v>2</v>
      </c>
      <c r="H58" s="87"/>
      <c r="I58" s="88"/>
      <c r="J58" s="89"/>
      <c r="K58" s="90"/>
      <c r="L58" s="90"/>
      <c r="M58" s="91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47"/>
      <c r="AA58" s="47"/>
      <c r="AB58" s="47"/>
    </row>
    <row r="59" spans="1:29" hidden="1" x14ac:dyDescent="0.35">
      <c r="B59" s="129"/>
      <c r="C59" s="130"/>
      <c r="D59" s="130"/>
      <c r="E59" s="131"/>
      <c r="F59" s="85" t="s">
        <v>92</v>
      </c>
      <c r="G59" s="86" t="s">
        <v>44</v>
      </c>
      <c r="H59" s="87"/>
      <c r="I59" s="88"/>
      <c r="J59" s="89"/>
      <c r="K59" s="90"/>
      <c r="L59" s="90"/>
      <c r="M59" s="91">
        <v>1</v>
      </c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47"/>
      <c r="AA59" s="47"/>
      <c r="AB59" s="47"/>
    </row>
    <row r="60" spans="1:29" hidden="1" x14ac:dyDescent="0.35">
      <c r="B60" s="136"/>
      <c r="C60" s="137"/>
      <c r="D60" s="137"/>
      <c r="E60" s="143"/>
      <c r="F60" s="85" t="s">
        <v>118</v>
      </c>
      <c r="G60" s="86" t="s">
        <v>117</v>
      </c>
      <c r="H60" s="87"/>
      <c r="I60" s="88"/>
      <c r="J60" s="89"/>
      <c r="K60" s="90"/>
      <c r="L60" s="90"/>
      <c r="M60" s="91">
        <v>4</v>
      </c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47"/>
      <c r="AA60" s="47"/>
      <c r="AB60" s="47"/>
    </row>
    <row r="61" spans="1:29" ht="28" hidden="1" x14ac:dyDescent="0.35">
      <c r="B61" s="129"/>
      <c r="C61" s="106"/>
      <c r="D61" s="163"/>
      <c r="E61" s="164"/>
      <c r="F61" s="165" t="s">
        <v>3</v>
      </c>
      <c r="G61" s="116" t="s">
        <v>2</v>
      </c>
      <c r="H61" s="117"/>
      <c r="I61" s="118"/>
      <c r="J61" s="119"/>
      <c r="K61" s="166"/>
      <c r="L61" s="167"/>
      <c r="M61" s="168">
        <v>4</v>
      </c>
      <c r="N61" s="169">
        <v>1</v>
      </c>
      <c r="O61" s="122">
        <f>K61*L61*M61*N61</f>
        <v>0</v>
      </c>
      <c r="P61" s="122">
        <v>0</v>
      </c>
      <c r="Q61" s="108">
        <f>O61*P61</f>
        <v>0</v>
      </c>
      <c r="R61" s="122"/>
      <c r="S61" s="122"/>
      <c r="T61" s="122"/>
      <c r="U61" s="122"/>
      <c r="V61" s="122"/>
      <c r="W61" s="122"/>
      <c r="X61" s="170" t="s">
        <v>637</v>
      </c>
      <c r="AA61" s="108">
        <f t="shared" ref="AA61:AA63" si="25">Q61/$E$2</f>
        <v>0</v>
      </c>
      <c r="AB61" s="47"/>
    </row>
    <row r="62" spans="1:29" hidden="1" x14ac:dyDescent="0.35">
      <c r="B62" s="129"/>
      <c r="C62" s="106"/>
      <c r="D62" s="48" t="s">
        <v>134</v>
      </c>
      <c r="E62" s="112"/>
      <c r="F62" s="85" t="s">
        <v>121</v>
      </c>
      <c r="G62" s="86"/>
      <c r="H62" s="87"/>
      <c r="I62" s="88"/>
      <c r="J62" s="89"/>
      <c r="K62" s="98"/>
      <c r="L62" s="171"/>
      <c r="M62" s="172">
        <v>0.25</v>
      </c>
      <c r="N62" s="173">
        <v>1</v>
      </c>
      <c r="O62" s="92">
        <f>K62*L62*M62*N62</f>
        <v>0</v>
      </c>
      <c r="P62" s="122">
        <v>0</v>
      </c>
      <c r="Q62" s="94">
        <f>O62*P62</f>
        <v>0</v>
      </c>
      <c r="R62" s="92"/>
      <c r="S62" s="92"/>
      <c r="T62" s="92"/>
      <c r="U62" s="92"/>
      <c r="V62" s="92"/>
      <c r="W62" s="92"/>
      <c r="X62" s="47"/>
      <c r="AA62" s="94">
        <f t="shared" si="25"/>
        <v>0</v>
      </c>
      <c r="AB62" s="47"/>
    </row>
    <row r="63" spans="1:29" hidden="1" x14ac:dyDescent="0.35">
      <c r="B63" s="129"/>
      <c r="C63" s="106"/>
      <c r="D63" s="106"/>
      <c r="E63" s="112"/>
      <c r="F63" s="66" t="s">
        <v>609</v>
      </c>
      <c r="G63" s="86"/>
      <c r="H63" s="87"/>
      <c r="I63" s="88"/>
      <c r="J63" s="89"/>
      <c r="K63" s="98"/>
      <c r="L63" s="90"/>
      <c r="M63" s="91">
        <v>1</v>
      </c>
      <c r="N63" s="92">
        <v>1</v>
      </c>
      <c r="O63" s="92">
        <f>K63*L63*M63*N63</f>
        <v>0</v>
      </c>
      <c r="P63" s="94">
        <v>0</v>
      </c>
      <c r="Q63" s="94">
        <f>O63*P63</f>
        <v>0</v>
      </c>
      <c r="R63" s="92"/>
      <c r="S63" s="92"/>
      <c r="T63" s="92"/>
      <c r="U63" s="92"/>
      <c r="V63" s="92"/>
      <c r="W63" s="92"/>
      <c r="X63" s="47"/>
      <c r="AA63" s="94">
        <f t="shared" si="25"/>
        <v>0</v>
      </c>
      <c r="AB63" s="47"/>
    </row>
    <row r="64" spans="1:29" s="3" customFormat="1" hidden="1" x14ac:dyDescent="0.35">
      <c r="A64" s="48"/>
      <c r="B64" s="102"/>
      <c r="C64" s="103"/>
      <c r="D64" s="103" t="s">
        <v>153</v>
      </c>
      <c r="E64" s="104"/>
      <c r="F64" s="124" t="s">
        <v>3</v>
      </c>
      <c r="G64" s="125" t="s">
        <v>2</v>
      </c>
      <c r="H64" s="126"/>
      <c r="I64" s="127"/>
      <c r="J64" s="67"/>
      <c r="K64" s="139"/>
      <c r="L64" s="139"/>
      <c r="M64" s="172">
        <v>1</v>
      </c>
      <c r="N64" s="173">
        <v>1</v>
      </c>
      <c r="O64" s="173"/>
      <c r="P64" s="173"/>
      <c r="Q64" s="173"/>
      <c r="R64" s="173"/>
      <c r="S64" s="173"/>
      <c r="T64" s="173"/>
      <c r="U64" s="173"/>
      <c r="V64" s="173"/>
      <c r="W64" s="173"/>
      <c r="X64" s="66"/>
      <c r="Y64" s="48"/>
      <c r="Z64" s="48"/>
      <c r="AA64" s="66"/>
      <c r="AB64" s="66"/>
      <c r="AC64" s="48"/>
    </row>
    <row r="65" spans="1:29" s="3" customFormat="1" hidden="1" x14ac:dyDescent="0.35">
      <c r="A65" s="48"/>
      <c r="B65" s="105"/>
      <c r="C65" s="106"/>
      <c r="D65" s="106"/>
      <c r="E65" s="112"/>
      <c r="F65" s="124" t="s">
        <v>153</v>
      </c>
      <c r="G65" s="125" t="s">
        <v>44</v>
      </c>
      <c r="H65" s="126"/>
      <c r="I65" s="127"/>
      <c r="J65" s="67"/>
      <c r="K65" s="139"/>
      <c r="L65" s="139"/>
      <c r="M65" s="172">
        <v>7</v>
      </c>
      <c r="N65" s="173">
        <v>1</v>
      </c>
      <c r="O65" s="173"/>
      <c r="P65" s="173"/>
      <c r="Q65" s="173"/>
      <c r="R65" s="173"/>
      <c r="S65" s="173"/>
      <c r="T65" s="173"/>
      <c r="U65" s="173"/>
      <c r="V65" s="173"/>
      <c r="W65" s="173"/>
      <c r="X65" s="66"/>
      <c r="Y65" s="48"/>
      <c r="Z65" s="48"/>
      <c r="AA65" s="66"/>
      <c r="AB65" s="66"/>
      <c r="AC65" s="48"/>
    </row>
    <row r="66" spans="1:29" s="3" customFormat="1" hidden="1" x14ac:dyDescent="0.35">
      <c r="A66" s="48"/>
      <c r="B66" s="109"/>
      <c r="C66" s="110"/>
      <c r="D66" s="110"/>
      <c r="E66" s="111"/>
      <c r="F66" s="124" t="s">
        <v>121</v>
      </c>
      <c r="G66" s="125" t="s">
        <v>117</v>
      </c>
      <c r="H66" s="126"/>
      <c r="I66" s="127"/>
      <c r="J66" s="67"/>
      <c r="K66" s="139"/>
      <c r="L66" s="139"/>
      <c r="M66" s="172">
        <v>3</v>
      </c>
      <c r="N66" s="173">
        <v>1</v>
      </c>
      <c r="O66" s="173"/>
      <c r="P66" s="173"/>
      <c r="Q66" s="173"/>
      <c r="R66" s="173"/>
      <c r="S66" s="173"/>
      <c r="T66" s="173"/>
      <c r="U66" s="173"/>
      <c r="V66" s="173"/>
      <c r="W66" s="173"/>
      <c r="X66" s="66"/>
      <c r="Y66" s="48"/>
      <c r="Z66" s="48"/>
      <c r="AA66" s="66"/>
      <c r="AB66" s="66"/>
      <c r="AC66" s="48"/>
    </row>
    <row r="67" spans="1:29" s="3" customFormat="1" hidden="1" x14ac:dyDescent="0.35">
      <c r="A67" s="48"/>
      <c r="B67" s="102"/>
      <c r="C67" s="103"/>
      <c r="D67" s="103" t="s">
        <v>154</v>
      </c>
      <c r="E67" s="104"/>
      <c r="F67" s="124" t="s">
        <v>3</v>
      </c>
      <c r="G67" s="125" t="s">
        <v>2</v>
      </c>
      <c r="H67" s="126"/>
      <c r="I67" s="127"/>
      <c r="J67" s="67"/>
      <c r="K67" s="139"/>
      <c r="L67" s="139"/>
      <c r="M67" s="172">
        <v>1</v>
      </c>
      <c r="N67" s="173">
        <v>1</v>
      </c>
      <c r="O67" s="173"/>
      <c r="P67" s="173"/>
      <c r="Q67" s="173"/>
      <c r="R67" s="173"/>
      <c r="S67" s="173"/>
      <c r="T67" s="173"/>
      <c r="U67" s="173"/>
      <c r="V67" s="173"/>
      <c r="W67" s="173"/>
      <c r="X67" s="66"/>
      <c r="Y67" s="48"/>
      <c r="Z67" s="48"/>
      <c r="AA67" s="66"/>
      <c r="AB67" s="66"/>
      <c r="AC67" s="48"/>
    </row>
    <row r="68" spans="1:29" s="3" customFormat="1" hidden="1" x14ac:dyDescent="0.35">
      <c r="A68" s="48"/>
      <c r="B68" s="105"/>
      <c r="C68" s="106"/>
      <c r="D68" s="106"/>
      <c r="E68" s="112"/>
      <c r="F68" s="124" t="s">
        <v>154</v>
      </c>
      <c r="G68" s="125" t="s">
        <v>44</v>
      </c>
      <c r="H68" s="126"/>
      <c r="I68" s="127"/>
      <c r="J68" s="67"/>
      <c r="K68" s="139"/>
      <c r="L68" s="139"/>
      <c r="M68" s="172">
        <v>7</v>
      </c>
      <c r="N68" s="173">
        <v>1</v>
      </c>
      <c r="O68" s="173"/>
      <c r="P68" s="173"/>
      <c r="Q68" s="173"/>
      <c r="R68" s="173"/>
      <c r="S68" s="173"/>
      <c r="T68" s="173"/>
      <c r="U68" s="173"/>
      <c r="V68" s="173"/>
      <c r="W68" s="173"/>
      <c r="X68" s="66"/>
      <c r="Y68" s="48"/>
      <c r="Z68" s="48"/>
      <c r="AA68" s="66"/>
      <c r="AB68" s="66"/>
      <c r="AC68" s="48"/>
    </row>
    <row r="69" spans="1:29" s="3" customFormat="1" hidden="1" x14ac:dyDescent="0.35">
      <c r="A69" s="48"/>
      <c r="B69" s="109"/>
      <c r="C69" s="110"/>
      <c r="D69" s="110"/>
      <c r="E69" s="111"/>
      <c r="F69" s="124" t="s">
        <v>121</v>
      </c>
      <c r="G69" s="125" t="s">
        <v>117</v>
      </c>
      <c r="H69" s="126"/>
      <c r="I69" s="127"/>
      <c r="J69" s="67"/>
      <c r="K69" s="139"/>
      <c r="L69" s="139"/>
      <c r="M69" s="172">
        <v>3</v>
      </c>
      <c r="N69" s="173">
        <v>1</v>
      </c>
      <c r="O69" s="173"/>
      <c r="P69" s="173"/>
      <c r="Q69" s="173"/>
      <c r="R69" s="173"/>
      <c r="S69" s="173"/>
      <c r="T69" s="173"/>
      <c r="U69" s="173"/>
      <c r="V69" s="173"/>
      <c r="W69" s="173"/>
      <c r="X69" s="66"/>
      <c r="Y69" s="48"/>
      <c r="Z69" s="48"/>
      <c r="AA69" s="66"/>
      <c r="AB69" s="66"/>
      <c r="AC69" s="48"/>
    </row>
    <row r="70" spans="1:29" s="3" customFormat="1" x14ac:dyDescent="0.35">
      <c r="A70" s="48"/>
      <c r="B70" s="102"/>
      <c r="C70" s="103"/>
      <c r="D70" s="103" t="s">
        <v>155</v>
      </c>
      <c r="E70" s="104"/>
      <c r="F70" s="124" t="s">
        <v>3</v>
      </c>
      <c r="G70" s="125" t="s">
        <v>2</v>
      </c>
      <c r="H70" s="126"/>
      <c r="I70" s="127"/>
      <c r="J70" s="174" t="s">
        <v>2</v>
      </c>
      <c r="K70" s="166">
        <v>1</v>
      </c>
      <c r="L70" s="417">
        <v>1</v>
      </c>
      <c r="M70" s="173">
        <v>1</v>
      </c>
      <c r="N70" s="173">
        <v>1</v>
      </c>
      <c r="O70" s="92">
        <f>K70*L70*M70*N70</f>
        <v>1</v>
      </c>
      <c r="P70" s="108">
        <f>VLOOKUP($F70,'Master Harga'!$E$5:$L$348,6,FALSE)</f>
        <v>151208.64000000001</v>
      </c>
      <c r="Q70" s="94">
        <f>O70*P70</f>
        <v>151208.64000000001</v>
      </c>
      <c r="R70" s="92"/>
      <c r="S70" s="92"/>
      <c r="T70" s="92"/>
      <c r="U70" s="92"/>
      <c r="V70" s="92"/>
      <c r="W70" s="92"/>
      <c r="X70" s="47"/>
      <c r="Y70" s="44"/>
      <c r="Z70" s="44"/>
      <c r="AA70" s="94">
        <f t="shared" ref="AA70:AA72" si="26">Q70/$E$2</f>
        <v>4852.652118100129</v>
      </c>
      <c r="AB70" s="66"/>
      <c r="AC70" s="48"/>
    </row>
    <row r="71" spans="1:29" s="3" customFormat="1" x14ac:dyDescent="0.35">
      <c r="A71" s="48"/>
      <c r="B71" s="105"/>
      <c r="C71" s="106"/>
      <c r="D71" s="106" t="s">
        <v>686</v>
      </c>
      <c r="E71" s="112"/>
      <c r="F71" s="124" t="s">
        <v>155</v>
      </c>
      <c r="G71" s="125" t="s">
        <v>44</v>
      </c>
      <c r="H71" s="126"/>
      <c r="I71" s="127"/>
      <c r="J71" s="174" t="s">
        <v>44</v>
      </c>
      <c r="K71" s="98">
        <v>1</v>
      </c>
      <c r="L71" s="417">
        <v>1</v>
      </c>
      <c r="M71" s="173">
        <v>6</v>
      </c>
      <c r="N71" s="173">
        <v>1</v>
      </c>
      <c r="O71" s="92">
        <f>K71*L71*M71*N71</f>
        <v>6</v>
      </c>
      <c r="P71" s="108">
        <f>VLOOKUP($F71,'Master Harga'!$E$5:$L$348,6,FALSE)</f>
        <v>740999.99999999988</v>
      </c>
      <c r="Q71" s="94">
        <f>O71*P71</f>
        <v>4445999.9999999991</v>
      </c>
      <c r="R71" s="92"/>
      <c r="S71" s="92"/>
      <c r="T71" s="92"/>
      <c r="U71" s="92"/>
      <c r="V71" s="92"/>
      <c r="W71" s="92"/>
      <c r="X71" s="47"/>
      <c r="Y71" s="44"/>
      <c r="Z71" s="44"/>
      <c r="AA71" s="94">
        <f t="shared" si="26"/>
        <v>142682.92682926828</v>
      </c>
      <c r="AB71" s="66"/>
      <c r="AC71" s="48"/>
    </row>
    <row r="72" spans="1:29" s="3" customFormat="1" x14ac:dyDescent="0.35">
      <c r="A72" s="48"/>
      <c r="B72" s="109"/>
      <c r="C72" s="110"/>
      <c r="D72" s="110"/>
      <c r="E72" s="111"/>
      <c r="F72" s="124" t="s">
        <v>121</v>
      </c>
      <c r="G72" s="125" t="s">
        <v>117</v>
      </c>
      <c r="H72" s="126"/>
      <c r="I72" s="127"/>
      <c r="J72" s="174" t="s">
        <v>117</v>
      </c>
      <c r="K72" s="98">
        <v>1</v>
      </c>
      <c r="L72" s="417">
        <v>1</v>
      </c>
      <c r="M72" s="173">
        <v>3</v>
      </c>
      <c r="N72" s="173">
        <v>1</v>
      </c>
      <c r="O72" s="92">
        <f>K72*L72*M72*N72</f>
        <v>3</v>
      </c>
      <c r="P72" s="108">
        <f>VLOOKUP($F72,'Master Harga'!$E$5:$L$348,6,FALSE)</f>
        <v>680210.06624999992</v>
      </c>
      <c r="Q72" s="94">
        <f>O72*P72</f>
        <v>2040630.1987499997</v>
      </c>
      <c r="R72" s="92"/>
      <c r="S72" s="92"/>
      <c r="T72" s="92"/>
      <c r="U72" s="92"/>
      <c r="V72" s="92"/>
      <c r="W72" s="92"/>
      <c r="X72" s="47"/>
      <c r="Y72" s="44"/>
      <c r="Z72" s="44"/>
      <c r="AA72" s="94">
        <f t="shared" si="26"/>
        <v>65488.774029204105</v>
      </c>
      <c r="AB72" s="66"/>
      <c r="AC72" s="48"/>
    </row>
    <row r="73" spans="1:29" s="3" customFormat="1" x14ac:dyDescent="0.35">
      <c r="A73" s="48"/>
      <c r="B73" s="144"/>
      <c r="C73" s="145"/>
      <c r="D73" s="146" t="s">
        <v>619</v>
      </c>
      <c r="E73" s="147"/>
      <c r="F73" s="148"/>
      <c r="G73" s="149"/>
      <c r="H73" s="150"/>
      <c r="I73" s="151"/>
      <c r="J73" s="152"/>
      <c r="K73" s="153"/>
      <c r="L73" s="153"/>
      <c r="M73" s="155"/>
      <c r="N73" s="155"/>
      <c r="O73" s="155"/>
      <c r="P73" s="155"/>
      <c r="Q73" s="156">
        <f>SUM(Q49:Q72)</f>
        <v>6637838.8387499982</v>
      </c>
      <c r="R73" s="161"/>
      <c r="S73" s="161"/>
      <c r="T73" s="161"/>
      <c r="U73" s="161"/>
      <c r="V73" s="161"/>
      <c r="W73" s="161"/>
      <c r="X73" s="162"/>
      <c r="Y73" s="158"/>
      <c r="Z73" s="158"/>
      <c r="AA73" s="156">
        <f>Q73/$E$2</f>
        <v>213024.3529765725</v>
      </c>
      <c r="AB73" s="157">
        <f>Q73/$Q$209*100</f>
        <v>0.36292391321639894</v>
      </c>
      <c r="AC73" s="78"/>
    </row>
    <row r="74" spans="1:29" s="3" customFormat="1" x14ac:dyDescent="0.35">
      <c r="A74" s="48"/>
      <c r="B74" s="126"/>
      <c r="C74" s="175" t="s">
        <v>211</v>
      </c>
      <c r="D74" s="127"/>
      <c r="E74" s="107"/>
      <c r="F74" s="124"/>
      <c r="G74" s="125"/>
      <c r="H74" s="126"/>
      <c r="I74" s="127"/>
      <c r="J74" s="67"/>
      <c r="K74" s="139"/>
      <c r="L74" s="139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66"/>
      <c r="Y74" s="48"/>
      <c r="Z74" s="48"/>
      <c r="AA74" s="66"/>
      <c r="AB74" s="66"/>
      <c r="AC74" s="48"/>
    </row>
    <row r="75" spans="1:29" x14ac:dyDescent="0.35">
      <c r="B75" s="95"/>
      <c r="C75" s="96"/>
      <c r="D75" s="96" t="s">
        <v>156</v>
      </c>
      <c r="E75" s="97"/>
      <c r="F75" s="85" t="s">
        <v>3</v>
      </c>
      <c r="G75" s="86" t="s">
        <v>2</v>
      </c>
      <c r="H75" s="87"/>
      <c r="I75" s="88"/>
      <c r="J75" s="89"/>
      <c r="K75" s="90"/>
      <c r="L75" s="90"/>
      <c r="M75" s="92"/>
      <c r="N75" s="92">
        <v>1</v>
      </c>
      <c r="O75" s="92"/>
      <c r="P75" s="92"/>
      <c r="Q75" s="92"/>
      <c r="R75" s="92"/>
      <c r="S75" s="92"/>
      <c r="T75" s="92"/>
      <c r="U75" s="92"/>
      <c r="V75" s="92"/>
      <c r="W75" s="92"/>
      <c r="X75" s="47"/>
      <c r="AA75" s="47"/>
      <c r="AB75" s="47"/>
    </row>
    <row r="76" spans="1:29" x14ac:dyDescent="0.35">
      <c r="B76" s="136"/>
      <c r="C76" s="137"/>
      <c r="D76" s="137" t="s">
        <v>687</v>
      </c>
      <c r="E76" s="143"/>
      <c r="F76" s="85" t="s">
        <v>118</v>
      </c>
      <c r="G76" s="86" t="s">
        <v>117</v>
      </c>
      <c r="H76" s="87"/>
      <c r="I76" s="88"/>
      <c r="J76" s="89" t="s">
        <v>117</v>
      </c>
      <c r="K76" s="98">
        <v>1</v>
      </c>
      <c r="L76" s="99">
        <f>L44</f>
        <v>1038.5627999999999</v>
      </c>
      <c r="M76" s="92">
        <f>1/10</f>
        <v>0.1</v>
      </c>
      <c r="N76" s="92">
        <v>1</v>
      </c>
      <c r="O76" s="92">
        <f>K76*L76*M76*N76</f>
        <v>103.85628</v>
      </c>
      <c r="P76" s="108">
        <f>VLOOKUP($F76,'Master Harga'!$E$5:$L$348,6,FALSE)</f>
        <v>720338.0730320001</v>
      </c>
      <c r="Q76" s="94">
        <f>O76*P76</f>
        <v>74811632.607471853</v>
      </c>
      <c r="R76" s="92"/>
      <c r="S76" s="92"/>
      <c r="T76" s="92"/>
      <c r="U76" s="92"/>
      <c r="V76" s="92"/>
      <c r="W76" s="92"/>
      <c r="X76" s="47"/>
      <c r="AA76" s="94">
        <f t="shared" ref="AA76" si="27">Q76/$E$2</f>
        <v>2400886.7974156565</v>
      </c>
      <c r="AB76" s="47"/>
    </row>
    <row r="77" spans="1:29" x14ac:dyDescent="0.35">
      <c r="B77" s="95"/>
      <c r="C77" s="96"/>
      <c r="D77" s="96" t="s">
        <v>157</v>
      </c>
      <c r="E77" s="97"/>
      <c r="F77" s="85" t="s">
        <v>3</v>
      </c>
      <c r="G77" s="86" t="s">
        <v>2</v>
      </c>
      <c r="H77" s="87"/>
      <c r="I77" s="88"/>
      <c r="J77" s="89"/>
      <c r="K77" s="90"/>
      <c r="L77" s="90"/>
      <c r="M77" s="92"/>
      <c r="N77" s="92">
        <v>1</v>
      </c>
      <c r="O77" s="92"/>
      <c r="P77" s="92"/>
      <c r="Q77" s="92"/>
      <c r="R77" s="92"/>
      <c r="S77" s="92"/>
      <c r="T77" s="92"/>
      <c r="U77" s="92"/>
      <c r="V77" s="92"/>
      <c r="W77" s="92"/>
      <c r="X77" s="47"/>
      <c r="AA77" s="47"/>
      <c r="AB77" s="47"/>
    </row>
    <row r="78" spans="1:29" x14ac:dyDescent="0.35">
      <c r="B78" s="136"/>
      <c r="C78" s="137"/>
      <c r="D78" s="137" t="s">
        <v>590</v>
      </c>
      <c r="E78" s="143"/>
      <c r="F78" s="85" t="s">
        <v>118</v>
      </c>
      <c r="G78" s="86" t="s">
        <v>117</v>
      </c>
      <c r="H78" s="87"/>
      <c r="I78" s="88"/>
      <c r="J78" s="89"/>
      <c r="K78" s="98"/>
      <c r="L78" s="90"/>
      <c r="M78" s="92">
        <f>1/30</f>
        <v>3.3333333333333333E-2</v>
      </c>
      <c r="N78" s="92">
        <v>1</v>
      </c>
      <c r="O78" s="92">
        <f>K78*L78*M78*N78</f>
        <v>0</v>
      </c>
      <c r="P78" s="94">
        <v>0</v>
      </c>
      <c r="Q78" s="92">
        <f>P78*$O78</f>
        <v>0</v>
      </c>
      <c r="R78" s="92"/>
      <c r="S78" s="92"/>
      <c r="T78" s="92"/>
      <c r="U78" s="92"/>
      <c r="V78" s="92"/>
      <c r="W78" s="92"/>
      <c r="X78" s="47"/>
      <c r="AA78" s="47"/>
      <c r="AB78" s="47"/>
    </row>
    <row r="79" spans="1:29" ht="19.899999999999999" customHeight="1" x14ac:dyDescent="0.35">
      <c r="B79" s="95"/>
      <c r="C79" s="103"/>
      <c r="D79" s="114" t="s">
        <v>158</v>
      </c>
      <c r="E79" s="115"/>
      <c r="F79" s="165" t="s">
        <v>3</v>
      </c>
      <c r="G79" s="116" t="s">
        <v>2</v>
      </c>
      <c r="H79" s="117"/>
      <c r="I79" s="118"/>
      <c r="J79" s="119"/>
      <c r="K79" s="120"/>
      <c r="L79" s="167"/>
      <c r="M79" s="122">
        <v>1</v>
      </c>
      <c r="N79" s="122">
        <v>1</v>
      </c>
      <c r="O79" s="177">
        <f>K79*L79*M79*N79</f>
        <v>0</v>
      </c>
      <c r="P79" s="122">
        <v>0</v>
      </c>
      <c r="Q79" s="108">
        <f>P79*$O79</f>
        <v>0</v>
      </c>
      <c r="R79" s="122"/>
      <c r="S79" s="122"/>
      <c r="T79" s="122"/>
      <c r="U79" s="122"/>
      <c r="V79" s="122"/>
      <c r="W79" s="122"/>
      <c r="X79" s="170" t="s">
        <v>635</v>
      </c>
      <c r="AA79" s="108">
        <f t="shared" ref="AA79:AA80" si="28">Q79/$E$2</f>
        <v>0</v>
      </c>
      <c r="AB79" s="47"/>
    </row>
    <row r="80" spans="1:29" x14ac:dyDescent="0.35">
      <c r="B80" s="136"/>
      <c r="C80" s="137"/>
      <c r="D80" s="110"/>
      <c r="E80" s="111"/>
      <c r="F80" s="124" t="s">
        <v>118</v>
      </c>
      <c r="G80" s="125" t="s">
        <v>117</v>
      </c>
      <c r="H80" s="126"/>
      <c r="I80" s="127"/>
      <c r="J80" s="67" t="s">
        <v>479</v>
      </c>
      <c r="K80" s="113">
        <v>1</v>
      </c>
      <c r="L80" s="128">
        <f>L76</f>
        <v>1038.5627999999999</v>
      </c>
      <c r="M80" s="92">
        <f>1/60</f>
        <v>1.6666666666666666E-2</v>
      </c>
      <c r="N80" s="92">
        <v>1</v>
      </c>
      <c r="O80" s="94">
        <f>K80*L80*M80*N80</f>
        <v>17.309379999999997</v>
      </c>
      <c r="P80" s="122">
        <f>VLOOKUP($F80,'Master Harga'!$E$5:$L$348,6,FALSE)</f>
        <v>720338.0730320001</v>
      </c>
      <c r="Q80" s="94">
        <f>P80*$O80</f>
        <v>12468605.43457864</v>
      </c>
      <c r="R80" s="92">
        <f>VLOOKUP($F80,'Master Harga'!$E$5:$L$348,6,FALSE)</f>
        <v>720338.0730320001</v>
      </c>
      <c r="S80" s="92">
        <f>R80*$O80</f>
        <v>12468605.43457864</v>
      </c>
      <c r="T80" s="92">
        <f>VLOOKUP($F80,'Master Harga'!$E$5:$L$348,7,FALSE)</f>
        <v>761671.70213055995</v>
      </c>
      <c r="U80" s="92">
        <f>T80*$O80</f>
        <v>13184064.927424669</v>
      </c>
      <c r="V80" s="92">
        <f>W80/O80</f>
        <v>734115.94939818687</v>
      </c>
      <c r="W80" s="101">
        <f>AVERAGEIF($P$4:$U$4,W$4,$P80:$U80)</f>
        <v>12707091.932193985</v>
      </c>
      <c r="X80" s="47"/>
      <c r="AA80" s="108">
        <f t="shared" si="28"/>
        <v>400147.79956927605</v>
      </c>
      <c r="AB80" s="47"/>
    </row>
    <row r="81" spans="2:33" x14ac:dyDescent="0.35">
      <c r="B81" s="510" t="s">
        <v>620</v>
      </c>
      <c r="C81" s="511"/>
      <c r="D81" s="511"/>
      <c r="E81" s="512"/>
      <c r="F81" s="148"/>
      <c r="G81" s="149"/>
      <c r="H81" s="150"/>
      <c r="I81" s="151"/>
      <c r="J81" s="152"/>
      <c r="K81" s="178"/>
      <c r="L81" s="153"/>
      <c r="M81" s="154"/>
      <c r="N81" s="155"/>
      <c r="O81" s="179"/>
      <c r="P81" s="179"/>
      <c r="Q81" s="156">
        <f>SUM(Q75:Q80)</f>
        <v>87280238.042050496</v>
      </c>
      <c r="R81" s="155"/>
      <c r="S81" s="155"/>
      <c r="T81" s="155"/>
      <c r="U81" s="155"/>
      <c r="V81" s="155"/>
      <c r="W81" s="180"/>
      <c r="X81" s="181"/>
      <c r="AA81" s="159">
        <f>Q81/$E$2</f>
        <v>2801034.5969849327</v>
      </c>
      <c r="AB81" s="157">
        <f>Q81/$Q$209*100</f>
        <v>4.7720479972732885</v>
      </c>
      <c r="AC81" s="78"/>
    </row>
    <row r="82" spans="2:33" x14ac:dyDescent="0.35">
      <c r="B82" s="126"/>
      <c r="C82" s="175" t="s">
        <v>212</v>
      </c>
      <c r="D82" s="127"/>
      <c r="E82" s="107"/>
      <c r="F82" s="124"/>
      <c r="G82" s="125"/>
      <c r="H82" s="126"/>
      <c r="I82" s="127"/>
      <c r="J82" s="67"/>
      <c r="K82" s="139"/>
      <c r="L82" s="139"/>
      <c r="M82" s="91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47"/>
      <c r="AA82" s="47"/>
      <c r="AB82" s="47"/>
    </row>
    <row r="83" spans="2:33" s="44" customFormat="1" hidden="1" x14ac:dyDescent="0.35">
      <c r="B83" s="102"/>
      <c r="C83" s="103"/>
      <c r="D83" s="103" t="s">
        <v>204</v>
      </c>
      <c r="E83" s="104"/>
      <c r="F83" s="124" t="s">
        <v>3</v>
      </c>
      <c r="G83" s="125" t="s">
        <v>2</v>
      </c>
      <c r="H83" s="126"/>
      <c r="I83" s="127"/>
      <c r="J83" s="67"/>
      <c r="K83" s="139"/>
      <c r="L83" s="139"/>
      <c r="M83" s="91"/>
      <c r="N83" s="92">
        <v>1</v>
      </c>
      <c r="O83" s="92"/>
      <c r="P83" s="92"/>
      <c r="Q83" s="92"/>
      <c r="R83" s="92"/>
      <c r="S83" s="92"/>
      <c r="T83" s="92"/>
      <c r="U83" s="92"/>
      <c r="V83" s="92"/>
      <c r="W83" s="92"/>
      <c r="X83" s="47"/>
      <c r="AA83" s="47"/>
      <c r="AB83" s="47"/>
      <c r="AD83"/>
      <c r="AE83"/>
      <c r="AF83"/>
      <c r="AG83"/>
    </row>
    <row r="84" spans="2:33" s="44" customFormat="1" hidden="1" x14ac:dyDescent="0.35">
      <c r="B84" s="109"/>
      <c r="C84" s="110"/>
      <c r="D84" s="110"/>
      <c r="E84" s="111"/>
      <c r="F84" s="124" t="s">
        <v>118</v>
      </c>
      <c r="G84" s="125" t="s">
        <v>117</v>
      </c>
      <c r="H84" s="126"/>
      <c r="I84" s="127"/>
      <c r="J84" s="67" t="s">
        <v>479</v>
      </c>
      <c r="K84" s="113">
        <v>1</v>
      </c>
      <c r="L84" s="139"/>
      <c r="M84" s="91">
        <f>1/10</f>
        <v>0.1</v>
      </c>
      <c r="N84" s="92">
        <v>1</v>
      </c>
      <c r="O84" s="173">
        <f>K84*L84*M84*N84</f>
        <v>0</v>
      </c>
      <c r="P84" s="94">
        <v>0</v>
      </c>
      <c r="Q84" s="92">
        <f>P84*$O84</f>
        <v>0</v>
      </c>
      <c r="R84" s="92">
        <f>VLOOKUP($F84,'Master Harga'!$E$5:$L$348,6,FALSE)</f>
        <v>720338.0730320001</v>
      </c>
      <c r="S84" s="92">
        <f>R84*$O84</f>
        <v>0</v>
      </c>
      <c r="T84" s="92">
        <f>VLOOKUP($F84,'Master Harga'!$E$5:$L$348,7,FALSE)</f>
        <v>761671.70213055995</v>
      </c>
      <c r="U84" s="92">
        <f>T84*$O84</f>
        <v>0</v>
      </c>
      <c r="V84" s="92" t="e">
        <f>W84/O84</f>
        <v>#DIV/0!</v>
      </c>
      <c r="W84" s="101">
        <f>AVERAGEIF($P$4:$U$4,W$4,$P84:$U84)</f>
        <v>0</v>
      </c>
      <c r="X84" s="182"/>
      <c r="AA84" s="47"/>
      <c r="AB84" s="47"/>
      <c r="AD84"/>
      <c r="AE84"/>
      <c r="AF84"/>
      <c r="AG84"/>
    </row>
    <row r="85" spans="2:33" s="44" customFormat="1" hidden="1" x14ac:dyDescent="0.35">
      <c r="B85" s="102"/>
      <c r="C85" s="103"/>
      <c r="D85" s="103" t="s">
        <v>628</v>
      </c>
      <c r="E85" s="104"/>
      <c r="F85" s="124" t="s">
        <v>3</v>
      </c>
      <c r="G85" s="125" t="s">
        <v>2</v>
      </c>
      <c r="H85" s="126"/>
      <c r="I85" s="127"/>
      <c r="J85" s="67"/>
      <c r="K85" s="113">
        <v>0</v>
      </c>
      <c r="L85" s="139"/>
      <c r="M85" s="91">
        <v>1</v>
      </c>
      <c r="N85" s="92">
        <v>1</v>
      </c>
      <c r="O85" s="173">
        <f>K85*L85*M85*N85</f>
        <v>0</v>
      </c>
      <c r="P85" s="94">
        <v>0</v>
      </c>
      <c r="Q85" s="92">
        <f>P85*$O85</f>
        <v>0</v>
      </c>
      <c r="R85" s="92"/>
      <c r="S85" s="92"/>
      <c r="T85" s="92"/>
      <c r="U85" s="92"/>
      <c r="V85" s="92"/>
      <c r="W85" s="92"/>
      <c r="X85" s="47"/>
      <c r="AA85" s="140">
        <f>Q85/46.1</f>
        <v>0</v>
      </c>
      <c r="AB85" s="47"/>
      <c r="AD85"/>
      <c r="AE85"/>
      <c r="AF85"/>
      <c r="AG85"/>
    </row>
    <row r="86" spans="2:33" s="44" customFormat="1" hidden="1" x14ac:dyDescent="0.35">
      <c r="B86" s="109"/>
      <c r="C86" s="110"/>
      <c r="D86" s="110"/>
      <c r="E86" s="111"/>
      <c r="F86" s="124" t="s">
        <v>118</v>
      </c>
      <c r="G86" s="125" t="s">
        <v>117</v>
      </c>
      <c r="H86" s="126"/>
      <c r="I86" s="127"/>
      <c r="J86" s="67" t="s">
        <v>479</v>
      </c>
      <c r="K86" s="113">
        <v>0</v>
      </c>
      <c r="L86" s="183"/>
      <c r="M86" s="172">
        <f>1/33</f>
        <v>3.0303030303030304E-2</v>
      </c>
      <c r="N86" s="92">
        <v>1</v>
      </c>
      <c r="O86" s="173">
        <f>K86*L86*M86*N86</f>
        <v>0</v>
      </c>
      <c r="P86" s="94">
        <v>0</v>
      </c>
      <c r="Q86" s="92">
        <f>P86*$O86</f>
        <v>0</v>
      </c>
      <c r="R86" s="92">
        <f>VLOOKUP($F86,'Master Harga'!$E$5:$L$348,6,FALSE)</f>
        <v>720338.0730320001</v>
      </c>
      <c r="S86" s="92">
        <f>R86*$O86</f>
        <v>0</v>
      </c>
      <c r="T86" s="92">
        <f>VLOOKUP($F86,'Master Harga'!$E$5:$L$348,7,FALSE)</f>
        <v>761671.70213055995</v>
      </c>
      <c r="U86" s="92">
        <f>T86*$O86</f>
        <v>0</v>
      </c>
      <c r="V86" s="92" t="e">
        <f>W86/O86</f>
        <v>#DIV/0!</v>
      </c>
      <c r="W86" s="101">
        <f>AVERAGEIF($P$4:$U$4,W$4,$P86:$U86)</f>
        <v>0</v>
      </c>
      <c r="X86" s="92"/>
      <c r="AA86" s="140">
        <f>Q86/46.1</f>
        <v>0</v>
      </c>
      <c r="AB86" s="47"/>
      <c r="AD86"/>
      <c r="AE86"/>
      <c r="AF86"/>
      <c r="AG86"/>
    </row>
    <row r="87" spans="2:33" s="44" customFormat="1" ht="28" hidden="1" x14ac:dyDescent="0.35">
      <c r="B87" s="102"/>
      <c r="C87" s="103"/>
      <c r="D87" s="103" t="s">
        <v>205</v>
      </c>
      <c r="E87" s="115"/>
      <c r="F87" s="165" t="s">
        <v>3</v>
      </c>
      <c r="G87" s="116" t="s">
        <v>2</v>
      </c>
      <c r="H87" s="117"/>
      <c r="I87" s="118"/>
      <c r="J87" s="119"/>
      <c r="K87" s="120">
        <v>1</v>
      </c>
      <c r="L87" s="167"/>
      <c r="M87" s="122">
        <v>1</v>
      </c>
      <c r="N87" s="122">
        <v>1</v>
      </c>
      <c r="O87" s="169">
        <f>K87*L87*M87*N87</f>
        <v>0</v>
      </c>
      <c r="P87" s="122">
        <v>0</v>
      </c>
      <c r="Q87" s="108">
        <f>P87*$O87</f>
        <v>0</v>
      </c>
      <c r="R87" s="122"/>
      <c r="S87" s="122"/>
      <c r="T87" s="122"/>
      <c r="U87" s="122"/>
      <c r="V87" s="122"/>
      <c r="W87" s="122"/>
      <c r="X87" s="170" t="s">
        <v>636</v>
      </c>
      <c r="AA87" s="108">
        <f t="shared" ref="AA87:AA88" si="29">Q87/$E$2</f>
        <v>0</v>
      </c>
      <c r="AB87" s="47"/>
      <c r="AD87"/>
      <c r="AE87"/>
      <c r="AF87"/>
      <c r="AG87"/>
    </row>
    <row r="88" spans="2:33" s="44" customFormat="1" hidden="1" x14ac:dyDescent="0.35">
      <c r="B88" s="109"/>
      <c r="C88" s="110"/>
      <c r="D88" s="110"/>
      <c r="E88" s="111"/>
      <c r="F88" s="124" t="s">
        <v>118</v>
      </c>
      <c r="G88" s="125" t="s">
        <v>117</v>
      </c>
      <c r="H88" s="126"/>
      <c r="I88" s="127"/>
      <c r="J88" s="67" t="s">
        <v>479</v>
      </c>
      <c r="K88" s="113">
        <v>1</v>
      </c>
      <c r="L88" s="183"/>
      <c r="M88" s="184">
        <f>1/60</f>
        <v>1.6666666666666666E-2</v>
      </c>
      <c r="N88" s="92">
        <v>1</v>
      </c>
      <c r="O88" s="185">
        <f>K88*L88*M88*N88</f>
        <v>0</v>
      </c>
      <c r="P88" s="122">
        <v>0</v>
      </c>
      <c r="Q88" s="94">
        <f>P88*$O88</f>
        <v>0</v>
      </c>
      <c r="R88" s="92">
        <f>VLOOKUP($F88,'Master Harga'!$E$5:$L$348,6,FALSE)</f>
        <v>720338.0730320001</v>
      </c>
      <c r="S88" s="92">
        <f>R88*$O88</f>
        <v>0</v>
      </c>
      <c r="T88" s="92">
        <f>VLOOKUP($F88,'Master Harga'!$E$5:$L$348,7,FALSE)</f>
        <v>761671.70213055995</v>
      </c>
      <c r="U88" s="92">
        <f>T88*$O88</f>
        <v>0</v>
      </c>
      <c r="V88" s="92" t="e">
        <f>W88/O88</f>
        <v>#DIV/0!</v>
      </c>
      <c r="W88" s="101">
        <f>AVERAGEIF($P$4:$U$4,W$4,$P88:$U88)</f>
        <v>0</v>
      </c>
      <c r="X88" s="47" t="s">
        <v>617</v>
      </c>
      <c r="AA88" s="108">
        <f t="shared" si="29"/>
        <v>0</v>
      </c>
      <c r="AB88" s="47"/>
      <c r="AD88"/>
      <c r="AE88"/>
      <c r="AF88"/>
      <c r="AG88"/>
    </row>
    <row r="89" spans="2:33" s="44" customFormat="1" x14ac:dyDescent="0.35">
      <c r="B89" s="510" t="s">
        <v>625</v>
      </c>
      <c r="C89" s="511"/>
      <c r="D89" s="511"/>
      <c r="E89" s="512"/>
      <c r="F89" s="148"/>
      <c r="G89" s="149"/>
      <c r="H89" s="150"/>
      <c r="I89" s="151"/>
      <c r="J89" s="152"/>
      <c r="K89" s="178"/>
      <c r="L89" s="186"/>
      <c r="M89" s="187"/>
      <c r="N89" s="155"/>
      <c r="O89" s="155"/>
      <c r="P89" s="179"/>
      <c r="Q89" s="156">
        <f>SUM(Q83:Q88)</f>
        <v>0</v>
      </c>
      <c r="R89" s="155"/>
      <c r="S89" s="155"/>
      <c r="T89" s="155"/>
      <c r="U89" s="155"/>
      <c r="V89" s="155"/>
      <c r="W89" s="180"/>
      <c r="X89" s="181"/>
      <c r="AA89" s="159">
        <f>Q89/E2</f>
        <v>0</v>
      </c>
      <c r="AB89" s="157">
        <f>Q89/$Q$209*100</f>
        <v>0</v>
      </c>
      <c r="AD89"/>
      <c r="AE89"/>
      <c r="AF89"/>
      <c r="AG89"/>
    </row>
    <row r="90" spans="2:33" s="44" customFormat="1" x14ac:dyDescent="0.35">
      <c r="B90" s="105"/>
      <c r="C90" s="188" t="s">
        <v>521</v>
      </c>
      <c r="D90" s="106"/>
      <c r="E90" s="112"/>
      <c r="F90" s="124"/>
      <c r="G90" s="125"/>
      <c r="H90" s="126"/>
      <c r="I90" s="127"/>
      <c r="J90" s="67"/>
      <c r="K90" s="139"/>
      <c r="L90" s="139"/>
      <c r="M90" s="91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47"/>
      <c r="AA90" s="47"/>
      <c r="AB90" s="47"/>
      <c r="AD90"/>
      <c r="AE90"/>
      <c r="AF90"/>
      <c r="AG90"/>
    </row>
    <row r="91" spans="2:33" s="44" customFormat="1" hidden="1" x14ac:dyDescent="0.35">
      <c r="B91" s="105"/>
      <c r="C91" s="188"/>
      <c r="D91" s="106"/>
      <c r="E91" s="112"/>
      <c r="F91" s="124" t="s">
        <v>3</v>
      </c>
      <c r="G91" s="125" t="s">
        <v>2</v>
      </c>
      <c r="H91" s="126"/>
      <c r="I91" s="127"/>
      <c r="J91" s="67" t="s">
        <v>44</v>
      </c>
      <c r="K91" s="139"/>
      <c r="L91" s="139"/>
      <c r="M91" s="91">
        <v>3</v>
      </c>
      <c r="N91" s="92">
        <v>1</v>
      </c>
      <c r="O91" s="92"/>
      <c r="P91" s="92"/>
      <c r="Q91" s="92"/>
      <c r="R91" s="92"/>
      <c r="S91" s="92"/>
      <c r="T91" s="92"/>
      <c r="U91" s="92"/>
      <c r="V91" s="92"/>
      <c r="W91" s="92"/>
      <c r="X91" s="47"/>
      <c r="AA91" s="47"/>
      <c r="AB91" s="47"/>
      <c r="AD91"/>
      <c r="AE91"/>
      <c r="AF91"/>
      <c r="AG91"/>
    </row>
    <row r="92" spans="2:33" s="44" customFormat="1" hidden="1" x14ac:dyDescent="0.35">
      <c r="B92" s="105"/>
      <c r="C92" s="106"/>
      <c r="D92" s="106"/>
      <c r="E92" s="112"/>
      <c r="F92" s="124" t="s">
        <v>94</v>
      </c>
      <c r="G92" s="125" t="s">
        <v>44</v>
      </c>
      <c r="H92" s="126"/>
      <c r="I92" s="127"/>
      <c r="J92" s="67"/>
      <c r="K92" s="139"/>
      <c r="L92" s="139"/>
      <c r="M92" s="91"/>
      <c r="N92" s="92">
        <v>1</v>
      </c>
      <c r="O92" s="92"/>
      <c r="P92" s="92"/>
      <c r="Q92" s="92"/>
      <c r="R92" s="92"/>
      <c r="S92" s="92"/>
      <c r="T92" s="92"/>
      <c r="U92" s="92"/>
      <c r="V92" s="92"/>
      <c r="W92" s="92"/>
      <c r="X92" s="47"/>
      <c r="AA92" s="47"/>
      <c r="AB92" s="47"/>
      <c r="AD92"/>
      <c r="AE92"/>
      <c r="AF92"/>
      <c r="AG92"/>
    </row>
    <row r="93" spans="2:33" s="44" customFormat="1" hidden="1" x14ac:dyDescent="0.35">
      <c r="B93" s="109"/>
      <c r="C93" s="110"/>
      <c r="D93" s="110"/>
      <c r="E93" s="111"/>
      <c r="F93" s="124" t="s">
        <v>118</v>
      </c>
      <c r="G93" s="125" t="s">
        <v>117</v>
      </c>
      <c r="H93" s="126"/>
      <c r="I93" s="127"/>
      <c r="J93" s="67"/>
      <c r="K93" s="139"/>
      <c r="L93" s="139"/>
      <c r="M93" s="91">
        <v>3</v>
      </c>
      <c r="N93" s="92">
        <v>1</v>
      </c>
      <c r="O93" s="92"/>
      <c r="P93" s="92"/>
      <c r="Q93" s="92"/>
      <c r="R93" s="92"/>
      <c r="S93" s="92"/>
      <c r="T93" s="92"/>
      <c r="U93" s="92"/>
      <c r="V93" s="92"/>
      <c r="W93" s="92"/>
      <c r="X93" s="47"/>
      <c r="AA93" s="47"/>
      <c r="AB93" s="47"/>
      <c r="AD93"/>
      <c r="AE93"/>
      <c r="AF93"/>
      <c r="AG93"/>
    </row>
    <row r="94" spans="2:33" s="44" customFormat="1" x14ac:dyDescent="0.35">
      <c r="B94" s="510" t="s">
        <v>622</v>
      </c>
      <c r="C94" s="511"/>
      <c r="D94" s="511"/>
      <c r="E94" s="512"/>
      <c r="F94" s="148"/>
      <c r="G94" s="149"/>
      <c r="H94" s="150"/>
      <c r="I94" s="151"/>
      <c r="J94" s="152"/>
      <c r="K94" s="153"/>
      <c r="L94" s="153"/>
      <c r="M94" s="154"/>
      <c r="N94" s="155"/>
      <c r="O94" s="155"/>
      <c r="P94" s="155"/>
      <c r="Q94" s="155">
        <f>SUM(Q90:Q93)</f>
        <v>0</v>
      </c>
      <c r="R94" s="155"/>
      <c r="S94" s="155"/>
      <c r="T94" s="155"/>
      <c r="U94" s="155"/>
      <c r="V94" s="155"/>
      <c r="W94" s="155"/>
      <c r="X94" s="181"/>
      <c r="AA94" s="181"/>
      <c r="AB94" s="181"/>
      <c r="AD94"/>
      <c r="AE94"/>
      <c r="AF94"/>
      <c r="AG94"/>
    </row>
    <row r="95" spans="2:33" s="44" customFormat="1" x14ac:dyDescent="0.35">
      <c r="B95" s="126"/>
      <c r="C95" s="175" t="s">
        <v>213</v>
      </c>
      <c r="D95" s="127"/>
      <c r="E95" s="107"/>
      <c r="F95" s="124"/>
      <c r="G95" s="125"/>
      <c r="H95" s="126"/>
      <c r="I95" s="127"/>
      <c r="J95" s="67"/>
      <c r="K95" s="139"/>
      <c r="L95" s="139"/>
      <c r="M95" s="91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47"/>
      <c r="AA95" s="47"/>
      <c r="AB95" s="47"/>
      <c r="AD95"/>
      <c r="AE95"/>
      <c r="AF95"/>
      <c r="AG95"/>
    </row>
    <row r="96" spans="2:33" s="44" customFormat="1" hidden="1" x14ac:dyDescent="0.35">
      <c r="B96" s="102"/>
      <c r="C96" s="103"/>
      <c r="D96" s="103" t="s">
        <v>140</v>
      </c>
      <c r="E96" s="104"/>
      <c r="F96" s="124" t="s">
        <v>3</v>
      </c>
      <c r="G96" s="125" t="s">
        <v>2</v>
      </c>
      <c r="H96" s="126"/>
      <c r="I96" s="127"/>
      <c r="J96" s="67"/>
      <c r="K96" s="189">
        <v>0.1</v>
      </c>
      <c r="L96" s="128"/>
      <c r="M96" s="91">
        <f>1/3</f>
        <v>0.33333333333333331</v>
      </c>
      <c r="N96" s="92">
        <v>1</v>
      </c>
      <c r="O96" s="94">
        <f>K96*L96*M96*N96</f>
        <v>0</v>
      </c>
      <c r="P96" s="122">
        <v>0</v>
      </c>
      <c r="Q96" s="94">
        <f>O96*P96</f>
        <v>0</v>
      </c>
      <c r="R96" s="92"/>
      <c r="S96" s="92"/>
      <c r="T96" s="92"/>
      <c r="U96" s="92"/>
      <c r="V96" s="92"/>
      <c r="W96" s="92"/>
      <c r="X96" s="47"/>
      <c r="AA96" s="108">
        <f t="shared" ref="AA96:AA97" si="30">Q96/$E$2</f>
        <v>0</v>
      </c>
      <c r="AB96" s="47"/>
      <c r="AD96"/>
      <c r="AE96"/>
      <c r="AF96"/>
      <c r="AG96"/>
    </row>
    <row r="97" spans="2:33" s="44" customFormat="1" hidden="1" x14ac:dyDescent="0.35">
      <c r="B97" s="109"/>
      <c r="C97" s="110"/>
      <c r="D97" s="110"/>
      <c r="E97" s="111"/>
      <c r="F97" s="124" t="s">
        <v>25</v>
      </c>
      <c r="G97" s="125" t="s">
        <v>19</v>
      </c>
      <c r="H97" s="126"/>
      <c r="I97" s="127"/>
      <c r="J97" s="67"/>
      <c r="K97" s="189">
        <v>1</v>
      </c>
      <c r="L97" s="128"/>
      <c r="M97" s="91">
        <f>1/3</f>
        <v>0.33333333333333331</v>
      </c>
      <c r="N97" s="92">
        <v>1</v>
      </c>
      <c r="O97" s="94">
        <f>K97*L97*M97*N97</f>
        <v>0</v>
      </c>
      <c r="P97" s="122">
        <v>0</v>
      </c>
      <c r="Q97" s="94">
        <f>O97*P97</f>
        <v>0</v>
      </c>
      <c r="R97" s="92"/>
      <c r="S97" s="92"/>
      <c r="T97" s="92"/>
      <c r="U97" s="92"/>
      <c r="V97" s="92"/>
      <c r="W97" s="92"/>
      <c r="X97" s="47"/>
      <c r="AA97" s="108">
        <f t="shared" si="30"/>
        <v>0</v>
      </c>
      <c r="AB97" s="47"/>
      <c r="AD97"/>
      <c r="AE97"/>
      <c r="AF97"/>
      <c r="AG97"/>
    </row>
    <row r="98" spans="2:33" s="44" customFormat="1" hidden="1" x14ac:dyDescent="0.35">
      <c r="B98" s="102"/>
      <c r="C98" s="103"/>
      <c r="D98" s="103" t="s">
        <v>135</v>
      </c>
      <c r="E98" s="104"/>
      <c r="F98" s="124" t="s">
        <v>3</v>
      </c>
      <c r="G98" s="125" t="s">
        <v>2</v>
      </c>
      <c r="H98" s="126"/>
      <c r="I98" s="127"/>
      <c r="J98" s="67"/>
      <c r="K98" s="139"/>
      <c r="L98" s="139"/>
      <c r="M98" s="91"/>
      <c r="N98" s="92"/>
      <c r="O98" s="92"/>
      <c r="P98" s="92">
        <v>0</v>
      </c>
      <c r="Q98" s="94"/>
      <c r="R98" s="92"/>
      <c r="S98" s="92"/>
      <c r="T98" s="92"/>
      <c r="U98" s="92"/>
      <c r="V98" s="92"/>
      <c r="W98" s="92"/>
      <c r="X98" s="47"/>
      <c r="AA98" s="47"/>
      <c r="AB98" s="47"/>
      <c r="AD98"/>
      <c r="AE98"/>
      <c r="AF98"/>
      <c r="AG98"/>
    </row>
    <row r="99" spans="2:33" s="44" customFormat="1" hidden="1" x14ac:dyDescent="0.35">
      <c r="B99" s="109"/>
      <c r="C99" s="110"/>
      <c r="D99" s="110"/>
      <c r="E99" s="111"/>
      <c r="F99" s="124" t="s">
        <v>25</v>
      </c>
      <c r="G99" s="125" t="s">
        <v>19</v>
      </c>
      <c r="H99" s="126"/>
      <c r="I99" s="127"/>
      <c r="J99" s="67"/>
      <c r="K99" s="139"/>
      <c r="L99" s="139"/>
      <c r="M99" s="91"/>
      <c r="N99" s="92"/>
      <c r="O99" s="92"/>
      <c r="P99" s="92">
        <v>0</v>
      </c>
      <c r="Q99" s="94"/>
      <c r="R99" s="92"/>
      <c r="S99" s="92"/>
      <c r="T99" s="92"/>
      <c r="U99" s="92"/>
      <c r="V99" s="92"/>
      <c r="W99" s="92"/>
      <c r="X99" s="47"/>
      <c r="AA99" s="47"/>
      <c r="AB99" s="47"/>
      <c r="AD99"/>
      <c r="AE99"/>
      <c r="AF99"/>
      <c r="AG99"/>
    </row>
    <row r="100" spans="2:33" s="44" customFormat="1" hidden="1" x14ac:dyDescent="0.35">
      <c r="B100" s="102"/>
      <c r="C100" s="103"/>
      <c r="D100" s="103" t="s">
        <v>159</v>
      </c>
      <c r="E100" s="104"/>
      <c r="F100" s="124" t="s">
        <v>3</v>
      </c>
      <c r="G100" s="125" t="s">
        <v>2</v>
      </c>
      <c r="H100" s="126"/>
      <c r="I100" s="127"/>
      <c r="J100" s="67" t="s">
        <v>113</v>
      </c>
      <c r="K100" s="189">
        <v>1</v>
      </c>
      <c r="L100" s="190"/>
      <c r="M100" s="100">
        <v>0.2</v>
      </c>
      <c r="N100" s="92">
        <v>1</v>
      </c>
      <c r="O100" s="94">
        <f>K100*L100*M100*N100</f>
        <v>0</v>
      </c>
      <c r="P100" s="94">
        <v>0</v>
      </c>
      <c r="Q100" s="94">
        <f>O100*P100</f>
        <v>0</v>
      </c>
      <c r="R100" s="92"/>
      <c r="S100" s="92"/>
      <c r="T100" s="92"/>
      <c r="U100" s="92"/>
      <c r="V100" s="92"/>
      <c r="W100" s="92"/>
      <c r="X100" s="47" t="s">
        <v>601</v>
      </c>
      <c r="AA100" s="47"/>
      <c r="AB100" s="47"/>
      <c r="AD100"/>
      <c r="AE100"/>
      <c r="AF100"/>
      <c r="AG100"/>
    </row>
    <row r="101" spans="2:33" s="44" customFormat="1" hidden="1" x14ac:dyDescent="0.35">
      <c r="B101" s="105"/>
      <c r="C101" s="106"/>
      <c r="D101" s="106"/>
      <c r="E101" s="112"/>
      <c r="F101" s="124" t="s">
        <v>118</v>
      </c>
      <c r="G101" s="125" t="s">
        <v>117</v>
      </c>
      <c r="H101" s="126"/>
      <c r="I101" s="127"/>
      <c r="J101" s="67" t="s">
        <v>113</v>
      </c>
      <c r="K101" s="189">
        <v>1</v>
      </c>
      <c r="L101" s="190"/>
      <c r="M101" s="94">
        <v>20</v>
      </c>
      <c r="N101" s="92">
        <v>1</v>
      </c>
      <c r="O101" s="94">
        <f>K101*L101*M101*N101</f>
        <v>0</v>
      </c>
      <c r="P101" s="94">
        <v>0</v>
      </c>
      <c r="Q101" s="94">
        <f>O101*P101</f>
        <v>0</v>
      </c>
      <c r="R101" s="92"/>
      <c r="S101" s="92"/>
      <c r="T101" s="92"/>
      <c r="U101" s="92"/>
      <c r="V101" s="92"/>
      <c r="W101" s="92"/>
      <c r="X101" s="47"/>
      <c r="AA101" s="47"/>
      <c r="AB101" s="47"/>
      <c r="AD101"/>
      <c r="AE101"/>
      <c r="AF101"/>
      <c r="AG101"/>
    </row>
    <row r="102" spans="2:33" s="44" customFormat="1" hidden="1" x14ac:dyDescent="0.35">
      <c r="B102" s="109"/>
      <c r="C102" s="110"/>
      <c r="D102" s="110" t="s">
        <v>217</v>
      </c>
      <c r="E102" s="111"/>
      <c r="F102" s="124" t="s">
        <v>118</v>
      </c>
      <c r="G102" s="125" t="s">
        <v>117</v>
      </c>
      <c r="H102" s="126"/>
      <c r="I102" s="127"/>
      <c r="J102" s="67" t="s">
        <v>611</v>
      </c>
      <c r="K102" s="189">
        <v>1</v>
      </c>
      <c r="L102" s="191"/>
      <c r="M102" s="192">
        <f>1/26</f>
        <v>3.8461538461538464E-2</v>
      </c>
      <c r="N102" s="92">
        <v>1</v>
      </c>
      <c r="O102" s="94">
        <f>K102*L102*M102*N102</f>
        <v>0</v>
      </c>
      <c r="P102" s="94">
        <v>0</v>
      </c>
      <c r="Q102" s="94">
        <f>O102*P102</f>
        <v>0</v>
      </c>
      <c r="R102" s="92"/>
      <c r="S102" s="92"/>
      <c r="T102" s="92"/>
      <c r="U102" s="92"/>
      <c r="V102" s="92"/>
      <c r="W102" s="92"/>
      <c r="X102" s="92"/>
      <c r="AA102" s="47"/>
      <c r="AB102" s="47"/>
      <c r="AD102"/>
      <c r="AE102"/>
      <c r="AF102"/>
      <c r="AG102"/>
    </row>
    <row r="103" spans="2:33" s="44" customFormat="1" hidden="1" x14ac:dyDescent="0.35">
      <c r="B103" s="102"/>
      <c r="C103" s="103"/>
      <c r="D103" s="103" t="s">
        <v>141</v>
      </c>
      <c r="E103" s="104"/>
      <c r="F103" s="124" t="s">
        <v>3</v>
      </c>
      <c r="G103" s="125" t="s">
        <v>2</v>
      </c>
      <c r="H103" s="126"/>
      <c r="I103" s="127"/>
      <c r="J103" s="67"/>
      <c r="K103" s="189">
        <v>0.1</v>
      </c>
      <c r="L103" s="128"/>
      <c r="M103" s="91">
        <f>1/3</f>
        <v>0.33333333333333331</v>
      </c>
      <c r="N103" s="92">
        <v>1</v>
      </c>
      <c r="O103" s="94">
        <f>K103*L103*M103*N103</f>
        <v>0</v>
      </c>
      <c r="P103" s="122">
        <v>0</v>
      </c>
      <c r="Q103" s="94">
        <f>O103*P103</f>
        <v>0</v>
      </c>
      <c r="R103" s="92"/>
      <c r="S103" s="92"/>
      <c r="T103" s="92"/>
      <c r="U103" s="92"/>
      <c r="V103" s="92"/>
      <c r="W103" s="92"/>
      <c r="X103" s="47"/>
      <c r="AA103" s="108">
        <f t="shared" ref="AA103:AA105" si="31">Q103/$E$2</f>
        <v>0</v>
      </c>
      <c r="AB103" s="47"/>
      <c r="AD103"/>
      <c r="AE103"/>
      <c r="AF103"/>
      <c r="AG103"/>
    </row>
    <row r="104" spans="2:33" s="44" customFormat="1" hidden="1" x14ac:dyDescent="0.35">
      <c r="B104" s="109"/>
      <c r="C104" s="110"/>
      <c r="D104" s="110"/>
      <c r="E104" s="111"/>
      <c r="F104" s="124" t="s">
        <v>25</v>
      </c>
      <c r="G104" s="125" t="s">
        <v>19</v>
      </c>
      <c r="H104" s="126"/>
      <c r="I104" s="127"/>
      <c r="J104" s="67"/>
      <c r="K104" s="189">
        <v>1</v>
      </c>
      <c r="L104" s="128"/>
      <c r="M104" s="91">
        <f>1/3</f>
        <v>0.33333333333333331</v>
      </c>
      <c r="N104" s="92">
        <v>1</v>
      </c>
      <c r="O104" s="94">
        <f>K104*L104*M104*N104</f>
        <v>0</v>
      </c>
      <c r="P104" s="122">
        <v>0</v>
      </c>
      <c r="Q104" s="94">
        <f>O104*P104</f>
        <v>0</v>
      </c>
      <c r="R104" s="92"/>
      <c r="S104" s="92"/>
      <c r="T104" s="92"/>
      <c r="U104" s="92"/>
      <c r="V104" s="92"/>
      <c r="W104" s="92"/>
      <c r="X104" s="47"/>
      <c r="AA104" s="108">
        <f t="shared" si="31"/>
        <v>0</v>
      </c>
      <c r="AB104" s="47"/>
      <c r="AD104"/>
      <c r="AE104"/>
      <c r="AF104"/>
      <c r="AG104"/>
    </row>
    <row r="105" spans="2:33" s="44" customFormat="1" x14ac:dyDescent="0.35">
      <c r="B105" s="510" t="s">
        <v>621</v>
      </c>
      <c r="C105" s="511"/>
      <c r="D105" s="511"/>
      <c r="E105" s="512"/>
      <c r="F105" s="148"/>
      <c r="G105" s="149"/>
      <c r="H105" s="150"/>
      <c r="I105" s="151"/>
      <c r="J105" s="152"/>
      <c r="K105" s="153"/>
      <c r="L105" s="153"/>
      <c r="M105" s="154"/>
      <c r="N105" s="155"/>
      <c r="O105" s="155"/>
      <c r="P105" s="155"/>
      <c r="Q105" s="156">
        <f>SUM(Q96:Q104)</f>
        <v>0</v>
      </c>
      <c r="R105" s="155"/>
      <c r="S105" s="155"/>
      <c r="T105" s="155"/>
      <c r="U105" s="155"/>
      <c r="V105" s="155"/>
      <c r="W105" s="155"/>
      <c r="X105" s="181"/>
      <c r="Y105" s="193"/>
      <c r="Z105" s="193"/>
      <c r="AA105" s="194">
        <f t="shared" si="31"/>
        <v>0</v>
      </c>
      <c r="AB105" s="157">
        <f>Q105/$Q$209*100</f>
        <v>0</v>
      </c>
      <c r="AD105"/>
      <c r="AE105"/>
      <c r="AF105"/>
      <c r="AG105"/>
    </row>
    <row r="106" spans="2:33" s="44" customFormat="1" x14ac:dyDescent="0.35">
      <c r="B106" s="126"/>
      <c r="C106" s="175" t="s">
        <v>214</v>
      </c>
      <c r="D106" s="127"/>
      <c r="E106" s="107"/>
      <c r="F106" s="124"/>
      <c r="G106" s="125"/>
      <c r="H106" s="126"/>
      <c r="I106" s="127"/>
      <c r="J106" s="67"/>
      <c r="K106" s="139"/>
      <c r="L106" s="139"/>
      <c r="M106" s="91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47"/>
      <c r="AA106" s="47"/>
      <c r="AB106" s="47"/>
      <c r="AD106"/>
      <c r="AE106"/>
      <c r="AF106"/>
      <c r="AG106"/>
    </row>
    <row r="107" spans="2:33" s="44" customFormat="1" hidden="1" x14ac:dyDescent="0.35">
      <c r="B107" s="102"/>
      <c r="C107" s="103"/>
      <c r="D107" s="103" t="s">
        <v>160</v>
      </c>
      <c r="E107" s="104"/>
      <c r="F107" s="124" t="s">
        <v>3</v>
      </c>
      <c r="G107" s="125" t="s">
        <v>2</v>
      </c>
      <c r="H107" s="126"/>
      <c r="I107" s="127"/>
      <c r="J107" s="67"/>
      <c r="K107" s="139"/>
      <c r="L107" s="139"/>
      <c r="M107" s="91"/>
      <c r="N107" s="92">
        <v>1</v>
      </c>
      <c r="O107" s="92"/>
      <c r="P107" s="92"/>
      <c r="Q107" s="92"/>
      <c r="R107" s="92"/>
      <c r="S107" s="92"/>
      <c r="T107" s="92"/>
      <c r="U107" s="92"/>
      <c r="V107" s="92"/>
      <c r="W107" s="92"/>
      <c r="X107" s="47"/>
      <c r="AA107" s="47"/>
      <c r="AB107" s="47"/>
      <c r="AD107"/>
      <c r="AE107"/>
      <c r="AF107"/>
      <c r="AG107"/>
    </row>
    <row r="108" spans="2:33" s="44" customFormat="1" hidden="1" x14ac:dyDescent="0.35">
      <c r="B108" s="109"/>
      <c r="C108" s="110"/>
      <c r="D108" s="110"/>
      <c r="E108" s="111"/>
      <c r="F108" s="124" t="s">
        <v>123</v>
      </c>
      <c r="G108" s="125" t="s">
        <v>44</v>
      </c>
      <c r="H108" s="126"/>
      <c r="I108" s="127"/>
      <c r="J108" s="67"/>
      <c r="K108" s="139"/>
      <c r="L108" s="139"/>
      <c r="M108" s="91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47"/>
      <c r="AA108" s="47"/>
      <c r="AB108" s="47"/>
      <c r="AD108"/>
      <c r="AE108"/>
      <c r="AF108"/>
      <c r="AG108"/>
    </row>
    <row r="109" spans="2:33" s="44" customFormat="1" hidden="1" x14ac:dyDescent="0.35">
      <c r="B109" s="102"/>
      <c r="C109" s="103"/>
      <c r="D109" s="103" t="s">
        <v>161</v>
      </c>
      <c r="E109" s="104"/>
      <c r="F109" s="124" t="s">
        <v>3</v>
      </c>
      <c r="G109" s="125" t="s">
        <v>2</v>
      </c>
      <c r="H109" s="126"/>
      <c r="I109" s="127"/>
      <c r="J109" s="67"/>
      <c r="K109" s="139"/>
      <c r="L109" s="139"/>
      <c r="M109" s="91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47"/>
      <c r="AA109" s="47"/>
      <c r="AB109" s="47"/>
      <c r="AD109"/>
      <c r="AE109"/>
      <c r="AF109"/>
      <c r="AG109"/>
    </row>
    <row r="110" spans="2:33" s="44" customFormat="1" hidden="1" x14ac:dyDescent="0.35">
      <c r="B110" s="109"/>
      <c r="C110" s="110"/>
      <c r="D110" s="110"/>
      <c r="E110" s="111"/>
      <c r="F110" s="124" t="s">
        <v>124</v>
      </c>
      <c r="G110" s="125" t="s">
        <v>44</v>
      </c>
      <c r="H110" s="126"/>
      <c r="I110" s="127"/>
      <c r="J110" s="67"/>
      <c r="K110" s="139"/>
      <c r="L110" s="139"/>
      <c r="M110" s="91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47"/>
      <c r="AA110" s="47"/>
      <c r="AB110" s="47"/>
      <c r="AD110"/>
      <c r="AE110"/>
      <c r="AF110"/>
      <c r="AG110"/>
    </row>
    <row r="111" spans="2:33" s="44" customFormat="1" hidden="1" x14ac:dyDescent="0.35">
      <c r="B111" s="102"/>
      <c r="C111" s="103"/>
      <c r="D111" s="103" t="s">
        <v>162</v>
      </c>
      <c r="E111" s="104"/>
      <c r="F111" s="124" t="s">
        <v>3</v>
      </c>
      <c r="G111" s="125" t="s">
        <v>2</v>
      </c>
      <c r="H111" s="126"/>
      <c r="I111" s="127"/>
      <c r="J111" s="67"/>
      <c r="K111" s="139"/>
      <c r="L111" s="139"/>
      <c r="M111" s="91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47"/>
      <c r="AA111" s="47"/>
      <c r="AB111" s="47"/>
      <c r="AD111"/>
      <c r="AE111"/>
      <c r="AF111"/>
      <c r="AG111"/>
    </row>
    <row r="112" spans="2:33" s="44" customFormat="1" hidden="1" x14ac:dyDescent="0.35">
      <c r="B112" s="109"/>
      <c r="C112" s="110"/>
      <c r="D112" s="110"/>
      <c r="E112" s="111"/>
      <c r="F112" s="124" t="s">
        <v>125</v>
      </c>
      <c r="G112" s="125" t="s">
        <v>44</v>
      </c>
      <c r="H112" s="126"/>
      <c r="I112" s="127"/>
      <c r="J112" s="67"/>
      <c r="K112" s="139"/>
      <c r="L112" s="139"/>
      <c r="M112" s="91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47"/>
      <c r="AA112" s="47"/>
      <c r="AB112" s="47"/>
      <c r="AD112"/>
      <c r="AE112"/>
      <c r="AF112"/>
      <c r="AG112"/>
    </row>
    <row r="113" spans="1:33" s="44" customFormat="1" x14ac:dyDescent="0.35">
      <c r="B113" s="510" t="s">
        <v>623</v>
      </c>
      <c r="C113" s="511"/>
      <c r="D113" s="511"/>
      <c r="E113" s="512"/>
      <c r="F113" s="195"/>
      <c r="G113" s="196"/>
      <c r="H113" s="197"/>
      <c r="I113" s="198"/>
      <c r="J113" s="199"/>
      <c r="K113" s="200"/>
      <c r="L113" s="200"/>
      <c r="M113" s="201"/>
      <c r="N113" s="161"/>
      <c r="O113" s="161"/>
      <c r="P113" s="161"/>
      <c r="Q113" s="161">
        <f>SUM(Q107:Q112)</f>
        <v>0</v>
      </c>
      <c r="R113" s="161"/>
      <c r="S113" s="161"/>
      <c r="T113" s="161"/>
      <c r="U113" s="161"/>
      <c r="V113" s="161"/>
      <c r="W113" s="161"/>
      <c r="X113" s="162"/>
      <c r="Y113" s="193"/>
      <c r="Z113" s="193"/>
      <c r="AA113" s="181"/>
      <c r="AB113" s="181"/>
      <c r="AD113"/>
      <c r="AE113"/>
      <c r="AF113"/>
      <c r="AG113"/>
    </row>
    <row r="114" spans="1:33" s="44" customFormat="1" x14ac:dyDescent="0.35">
      <c r="B114" s="105"/>
      <c r="C114" s="188" t="s">
        <v>522</v>
      </c>
      <c r="D114" s="106"/>
      <c r="E114" s="112"/>
      <c r="F114" s="124"/>
      <c r="G114" s="125"/>
      <c r="H114" s="126"/>
      <c r="I114" s="127"/>
      <c r="J114" s="67"/>
      <c r="K114" s="139"/>
      <c r="L114" s="139"/>
      <c r="M114" s="91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47"/>
      <c r="AA114" s="47"/>
      <c r="AB114" s="47"/>
      <c r="AD114"/>
      <c r="AE114"/>
      <c r="AF114"/>
      <c r="AG114"/>
    </row>
    <row r="115" spans="1:33" hidden="1" x14ac:dyDescent="0.35">
      <c r="B115" s="105"/>
      <c r="C115" s="188"/>
      <c r="D115" s="106"/>
      <c r="E115" s="112"/>
      <c r="F115" s="124" t="s">
        <v>3</v>
      </c>
      <c r="G115" s="125" t="s">
        <v>2</v>
      </c>
      <c r="H115" s="126"/>
      <c r="I115" s="127"/>
      <c r="J115" s="67"/>
      <c r="K115" s="139"/>
      <c r="L115" s="139"/>
      <c r="M115" s="91"/>
      <c r="N115" s="92">
        <v>1</v>
      </c>
      <c r="O115" s="92"/>
      <c r="P115" s="92"/>
      <c r="Q115" s="92"/>
      <c r="R115" s="92"/>
      <c r="S115" s="92"/>
      <c r="T115" s="92"/>
      <c r="U115" s="92"/>
      <c r="V115" s="92"/>
      <c r="W115" s="92"/>
      <c r="X115" s="47"/>
      <c r="AA115" s="47"/>
      <c r="AB115" s="47"/>
    </row>
    <row r="116" spans="1:33" hidden="1" x14ac:dyDescent="0.35">
      <c r="B116" s="105"/>
      <c r="C116" s="106"/>
      <c r="D116" s="106"/>
      <c r="E116" s="112"/>
      <c r="F116" s="124" t="s">
        <v>309</v>
      </c>
      <c r="G116" s="125" t="s">
        <v>44</v>
      </c>
      <c r="H116" s="126"/>
      <c r="I116" s="127"/>
      <c r="J116" s="67"/>
      <c r="K116" s="139"/>
      <c r="L116" s="139"/>
      <c r="M116" s="91"/>
      <c r="N116" s="92">
        <v>1</v>
      </c>
      <c r="O116" s="92"/>
      <c r="P116" s="92"/>
      <c r="Q116" s="92"/>
      <c r="R116" s="92"/>
      <c r="S116" s="92"/>
      <c r="T116" s="92"/>
      <c r="U116" s="92"/>
      <c r="V116" s="92"/>
      <c r="W116" s="92"/>
      <c r="X116" s="47"/>
      <c r="AA116" s="47"/>
      <c r="AB116" s="47"/>
    </row>
    <row r="117" spans="1:33" hidden="1" x14ac:dyDescent="0.35">
      <c r="B117" s="109"/>
      <c r="C117" s="110"/>
      <c r="D117" s="110"/>
      <c r="E117" s="111"/>
      <c r="F117" s="124" t="s">
        <v>121</v>
      </c>
      <c r="G117" s="125" t="s">
        <v>117</v>
      </c>
      <c r="H117" s="126"/>
      <c r="I117" s="127"/>
      <c r="J117" s="67"/>
      <c r="K117" s="139"/>
      <c r="L117" s="139"/>
      <c r="M117" s="91"/>
      <c r="N117" s="92">
        <v>1</v>
      </c>
      <c r="O117" s="92"/>
      <c r="P117" s="92"/>
      <c r="Q117" s="92"/>
      <c r="R117" s="92"/>
      <c r="S117" s="92"/>
      <c r="T117" s="92"/>
      <c r="U117" s="92"/>
      <c r="V117" s="92"/>
      <c r="W117" s="92"/>
      <c r="X117" s="47"/>
      <c r="AA117" s="47"/>
      <c r="AB117" s="47"/>
    </row>
    <row r="118" spans="1:33" x14ac:dyDescent="0.35">
      <c r="B118" s="109"/>
      <c r="C118" s="202" t="s">
        <v>576</v>
      </c>
      <c r="D118" s="110"/>
      <c r="E118" s="111"/>
      <c r="F118" s="124" t="s">
        <v>118</v>
      </c>
      <c r="G118" s="125"/>
      <c r="H118" s="126"/>
      <c r="I118" s="127"/>
      <c r="J118" s="67"/>
      <c r="K118" s="113"/>
      <c r="L118" s="139"/>
      <c r="M118" s="92">
        <f>1/120</f>
        <v>8.3333333333333332E-3</v>
      </c>
      <c r="N118" s="92">
        <v>1</v>
      </c>
      <c r="O118" s="92">
        <f>K118*M118*N118</f>
        <v>0</v>
      </c>
      <c r="P118" s="94">
        <v>0</v>
      </c>
      <c r="Q118" s="92">
        <f>P118*$O118</f>
        <v>0</v>
      </c>
      <c r="R118" s="92">
        <f>VLOOKUP($F118,'Master Harga'!$E$5:$L$348,6,FALSE)</f>
        <v>720338.0730320001</v>
      </c>
      <c r="S118" s="92">
        <f>R118*$O118</f>
        <v>0</v>
      </c>
      <c r="T118" s="92">
        <f>VLOOKUP($F118,'Master Harga'!$E$5:$L$348,7,FALSE)</f>
        <v>761671.70213055995</v>
      </c>
      <c r="U118" s="92">
        <f>T118*$O118</f>
        <v>0</v>
      </c>
      <c r="V118" s="92" t="e">
        <f>W118/O118</f>
        <v>#DIV/0!</v>
      </c>
      <c r="W118" s="101">
        <f>AVERAGEIF($P$4:$U$4,W$4,$P118:$U118)</f>
        <v>0</v>
      </c>
      <c r="X118" s="47"/>
      <c r="AA118" s="47"/>
      <c r="AB118" s="47"/>
    </row>
    <row r="119" spans="1:33" x14ac:dyDescent="0.35">
      <c r="B119" s="109"/>
      <c r="C119" s="202" t="s">
        <v>577</v>
      </c>
      <c r="D119" s="110"/>
      <c r="E119" s="111"/>
      <c r="F119" s="124" t="s">
        <v>118</v>
      </c>
      <c r="G119" s="125"/>
      <c r="H119" s="126"/>
      <c r="I119" s="127"/>
      <c r="J119" s="67"/>
      <c r="K119" s="113"/>
      <c r="L119" s="139"/>
      <c r="M119" s="92">
        <v>28</v>
      </c>
      <c r="N119" s="92">
        <v>1</v>
      </c>
      <c r="O119" s="92">
        <f>K119*M119*N119</f>
        <v>0</v>
      </c>
      <c r="P119" s="92">
        <v>0</v>
      </c>
      <c r="Q119" s="94">
        <f>P119*$O119</f>
        <v>0</v>
      </c>
      <c r="R119" s="92">
        <f>VLOOKUP($F119,'Master Harga'!$E$5:$L$348,6,FALSE)</f>
        <v>720338.0730320001</v>
      </c>
      <c r="S119" s="92">
        <f>R119*$O119</f>
        <v>0</v>
      </c>
      <c r="T119" s="92">
        <f>VLOOKUP($F119,'Master Harga'!$E$5:$L$348,7,FALSE)</f>
        <v>761671.70213055995</v>
      </c>
      <c r="U119" s="92">
        <f>T119*$O119</f>
        <v>0</v>
      </c>
      <c r="V119" s="92" t="e">
        <f>W119/O119</f>
        <v>#DIV/0!</v>
      </c>
      <c r="W119" s="101">
        <f>AVERAGEIF($P$4:$U$4,W$4,$P119:$U119)</f>
        <v>0</v>
      </c>
      <c r="X119" s="47"/>
      <c r="AA119" s="47"/>
      <c r="AB119" s="47"/>
    </row>
    <row r="120" spans="1:33" x14ac:dyDescent="0.35">
      <c r="B120" s="510" t="s">
        <v>624</v>
      </c>
      <c r="C120" s="511"/>
      <c r="D120" s="511"/>
      <c r="E120" s="512"/>
      <c r="F120" s="148"/>
      <c r="G120" s="149"/>
      <c r="H120" s="150"/>
      <c r="I120" s="151"/>
      <c r="J120" s="152"/>
      <c r="K120" s="153"/>
      <c r="L120" s="153"/>
      <c r="M120" s="154"/>
      <c r="N120" s="155"/>
      <c r="O120" s="155"/>
      <c r="P120" s="155"/>
      <c r="Q120" s="156">
        <f>Q113+Q105+Q94+Q89+Q81+Q73+Q47</f>
        <v>114474242.1474143</v>
      </c>
      <c r="R120" s="155"/>
      <c r="S120" s="155"/>
      <c r="T120" s="155"/>
      <c r="U120" s="155"/>
      <c r="V120" s="155"/>
      <c r="W120" s="155"/>
      <c r="X120" s="203"/>
      <c r="Y120" s="193"/>
      <c r="Z120" s="193"/>
      <c r="AA120" s="159">
        <f>Q120/E2</f>
        <v>3673756.1664767107</v>
      </c>
      <c r="AB120" s="157">
        <f>Q120/$Q$209*100</f>
        <v>6.2588804777979279</v>
      </c>
      <c r="AC120" s="78"/>
    </row>
    <row r="121" spans="1:33" s="19" customFormat="1" x14ac:dyDescent="0.35">
      <c r="A121" s="49"/>
      <c r="B121" s="513" t="s">
        <v>627</v>
      </c>
      <c r="C121" s="514"/>
      <c r="D121" s="514"/>
      <c r="E121" s="515"/>
      <c r="F121" s="204"/>
      <c r="G121" s="205"/>
      <c r="H121" s="206"/>
      <c r="I121" s="207"/>
      <c r="J121" s="208"/>
      <c r="K121" s="209"/>
      <c r="L121" s="209"/>
      <c r="M121" s="210"/>
      <c r="N121" s="211"/>
      <c r="O121" s="211"/>
      <c r="P121" s="211"/>
      <c r="Q121" s="212">
        <f>Q120+Q40</f>
        <v>588279303.46427536</v>
      </c>
      <c r="R121" s="211"/>
      <c r="S121" s="211">
        <f>SUM(S6:S119)-S119-S118-S80</f>
        <v>308907322.77266502</v>
      </c>
      <c r="T121" s="211"/>
      <c r="U121" s="211">
        <f>SUM(U6:U119)-U119-U118-U80</f>
        <v>383562265.67983007</v>
      </c>
      <c r="V121" s="211"/>
      <c r="W121" s="211">
        <f>SUM(W6:W119)-W119-W118-W80</f>
        <v>334142193.47378385</v>
      </c>
      <c r="X121" s="213"/>
      <c r="Y121" s="49"/>
      <c r="Z121" s="49"/>
      <c r="AA121" s="214">
        <f>Q121/E2</f>
        <v>18879310.124013975</v>
      </c>
      <c r="AB121" s="215">
        <f>Q121/$Q$209*100</f>
        <v>32.164177537892371</v>
      </c>
      <c r="AC121" s="78">
        <f>Q121/$AA$2</f>
        <v>15.424272977135601</v>
      </c>
    </row>
    <row r="122" spans="1:33" s="19" customFormat="1" x14ac:dyDescent="0.35">
      <c r="A122" s="49"/>
      <c r="B122" s="513" t="s">
        <v>673</v>
      </c>
      <c r="C122" s="514"/>
      <c r="D122" s="514"/>
      <c r="E122" s="515"/>
      <c r="F122" s="204"/>
      <c r="G122" s="205"/>
      <c r="H122" s="206"/>
      <c r="I122" s="207"/>
      <c r="J122" s="208"/>
      <c r="K122" s="209"/>
      <c r="L122" s="209"/>
      <c r="M122" s="210"/>
      <c r="N122" s="211"/>
      <c r="O122" s="211"/>
      <c r="P122" s="211"/>
      <c r="Q122" s="211"/>
      <c r="R122" s="211"/>
      <c r="S122" s="211" t="e">
        <f>SUM(S6:S120)-#REF!-#REF!-#REF!-S16-#REF!-#REF!-#REF!</f>
        <v>#REF!</v>
      </c>
      <c r="T122" s="211"/>
      <c r="U122" s="211" t="e">
        <f>SUM(U6:U120)-#REF!-#REF!-#REF!-U16-#REF!-#REF!-#REF!</f>
        <v>#REF!</v>
      </c>
      <c r="V122" s="211"/>
      <c r="W122" s="211" t="e">
        <f>SUM(W6:W120)-#REF!-#REF!-#REF!-W16-#REF!-#REF!-#REF!</f>
        <v>#REF!</v>
      </c>
      <c r="X122" s="213"/>
      <c r="Y122" s="49"/>
      <c r="Z122" s="49"/>
      <c r="AA122" s="216"/>
      <c r="AB122" s="216"/>
      <c r="AC122" s="49"/>
    </row>
    <row r="123" spans="1:33" x14ac:dyDescent="0.35">
      <c r="B123" s="82" t="s">
        <v>215</v>
      </c>
      <c r="C123" s="88"/>
      <c r="D123" s="88"/>
      <c r="E123" s="160"/>
      <c r="F123" s="85"/>
      <c r="G123" s="86"/>
      <c r="H123" s="87"/>
      <c r="I123" s="88"/>
      <c r="J123" s="89"/>
      <c r="K123" s="90"/>
      <c r="L123" s="90"/>
      <c r="M123" s="91"/>
      <c r="N123" s="92"/>
      <c r="O123" s="92"/>
      <c r="P123" s="92"/>
      <c r="Q123" s="173"/>
      <c r="R123" s="92"/>
      <c r="S123" s="92"/>
      <c r="T123" s="92"/>
      <c r="U123" s="92"/>
      <c r="V123" s="92"/>
      <c r="W123" s="92"/>
      <c r="X123" s="47"/>
      <c r="AA123" s="47"/>
      <c r="AB123" s="47"/>
    </row>
    <row r="124" spans="1:33" x14ac:dyDescent="0.35">
      <c r="B124" s="87"/>
      <c r="C124" s="83" t="s">
        <v>757</v>
      </c>
      <c r="D124" s="88"/>
      <c r="E124" s="160"/>
      <c r="F124" s="85"/>
      <c r="G124" s="86"/>
      <c r="H124" s="87"/>
      <c r="I124" s="88"/>
      <c r="J124" s="89"/>
      <c r="K124" s="90"/>
      <c r="L124" s="90"/>
      <c r="M124" s="91"/>
      <c r="N124" s="92"/>
      <c r="O124" s="92"/>
      <c r="P124" s="92"/>
      <c r="Q124" s="173"/>
      <c r="R124" s="92"/>
      <c r="S124" s="92"/>
      <c r="T124" s="92"/>
      <c r="U124" s="92"/>
      <c r="V124" s="92"/>
      <c r="W124" s="92"/>
      <c r="X124" s="47"/>
      <c r="AA124" s="47"/>
      <c r="AB124" s="47"/>
    </row>
    <row r="125" spans="1:33" x14ac:dyDescent="0.35">
      <c r="B125" s="95"/>
      <c r="C125" s="96"/>
      <c r="D125" s="96" t="s">
        <v>758</v>
      </c>
      <c r="E125" s="97"/>
      <c r="F125" s="85" t="s">
        <v>3</v>
      </c>
      <c r="G125" s="86" t="s">
        <v>2</v>
      </c>
      <c r="H125" s="87"/>
      <c r="I125" s="88"/>
      <c r="J125" s="217"/>
      <c r="K125" s="98">
        <v>1</v>
      </c>
      <c r="L125" s="128">
        <f>L126</f>
        <v>560879.99999999988</v>
      </c>
      <c r="M125" s="192">
        <f>1/600</f>
        <v>1.6666666666666668E-3</v>
      </c>
      <c r="N125" s="92">
        <v>1</v>
      </c>
      <c r="O125" s="92">
        <f>K125*L125*M125*N125</f>
        <v>934.79999999999984</v>
      </c>
      <c r="P125" s="122">
        <f>VLOOKUP($F125,'Master Harga'!$E$5:$L$348,6,FALSE)</f>
        <v>151208.64000000001</v>
      </c>
      <c r="Q125" s="185">
        <f>P125*$O125</f>
        <v>141349836.67199999</v>
      </c>
      <c r="R125" s="92">
        <f>VLOOKUP($F125,'Master Harga'!$E$5:$L$348,6,FALSE)</f>
        <v>151208.64000000001</v>
      </c>
      <c r="S125" s="92">
        <f>R125*$O125</f>
        <v>141349836.67199999</v>
      </c>
      <c r="T125" s="92">
        <f>VLOOKUP($F125,'Master Harga'!$E$5:$L$348,7,FALSE)</f>
        <v>163305.33120000002</v>
      </c>
      <c r="U125" s="92">
        <f>T125*$O125</f>
        <v>152657823.60575998</v>
      </c>
      <c r="V125" s="92">
        <f>W125/O125</f>
        <v>155240.87040000001</v>
      </c>
      <c r="W125" s="101">
        <f>AVERAGEIF($P$4:$U$4,W$4,$P125:$U125)</f>
        <v>145119165.64991999</v>
      </c>
      <c r="X125" s="47" t="s">
        <v>602</v>
      </c>
      <c r="Z125" s="79" t="e">
        <f>W125+W129+#REF!</f>
        <v>#REF!</v>
      </c>
      <c r="AA125" s="182">
        <f>Q125/$E$2</f>
        <v>4536259.2</v>
      </c>
      <c r="AB125" s="47"/>
    </row>
    <row r="126" spans="1:33" x14ac:dyDescent="0.35">
      <c r="B126" s="129"/>
      <c r="C126" s="130"/>
      <c r="D126" s="130" t="s">
        <v>760</v>
      </c>
      <c r="E126" s="131"/>
      <c r="F126" s="85" t="s">
        <v>95</v>
      </c>
      <c r="G126" s="86" t="s">
        <v>741</v>
      </c>
      <c r="H126" s="87"/>
      <c r="I126" s="88"/>
      <c r="J126" s="86" t="s">
        <v>741</v>
      </c>
      <c r="K126" s="98">
        <v>1</v>
      </c>
      <c r="L126" s="99">
        <f>L127</f>
        <v>560879.99999999988</v>
      </c>
      <c r="M126" s="218">
        <v>1</v>
      </c>
      <c r="N126" s="173">
        <v>1</v>
      </c>
      <c r="O126" s="92">
        <f>K126*L126*M126*N126</f>
        <v>560879.99999999988</v>
      </c>
      <c r="P126" s="92">
        <f>'Master Harga'!J186</f>
        <v>455.99999999999994</v>
      </c>
      <c r="Q126" s="185">
        <f>P126*$O126</f>
        <v>255761279.99999991</v>
      </c>
      <c r="R126" s="92"/>
      <c r="S126" s="92"/>
      <c r="T126" s="92"/>
      <c r="U126" s="92"/>
      <c r="V126" s="92"/>
      <c r="W126" s="92"/>
      <c r="X126" s="47"/>
      <c r="AA126" s="182">
        <f t="shared" ref="AA126" si="32">Q126/192.08</f>
        <v>1331535.193669304</v>
      </c>
      <c r="AB126" s="47"/>
    </row>
    <row r="127" spans="1:33" x14ac:dyDescent="0.35">
      <c r="B127" s="129"/>
      <c r="C127" s="130"/>
      <c r="D127" s="130" t="s">
        <v>761</v>
      </c>
      <c r="E127" s="131"/>
      <c r="F127" s="85" t="s">
        <v>763</v>
      </c>
      <c r="G127" s="86" t="s">
        <v>2</v>
      </c>
      <c r="H127" s="87"/>
      <c r="I127" s="88"/>
      <c r="J127" s="86" t="s">
        <v>741</v>
      </c>
      <c r="K127" s="98">
        <v>1</v>
      </c>
      <c r="L127" s="418">
        <f>E2*18000</f>
        <v>560879.99999999988</v>
      </c>
      <c r="M127" s="172">
        <f>1/5000</f>
        <v>2.0000000000000001E-4</v>
      </c>
      <c r="N127" s="173">
        <v>1</v>
      </c>
      <c r="O127" s="92">
        <f>K127*L127*M127*N127</f>
        <v>112.17599999999999</v>
      </c>
      <c r="P127" s="92">
        <f>P125</f>
        <v>151208.64000000001</v>
      </c>
      <c r="Q127" s="185">
        <f>P127*$O127</f>
        <v>16961980.40064</v>
      </c>
      <c r="R127" s="92"/>
      <c r="S127" s="92"/>
      <c r="T127" s="92"/>
      <c r="U127" s="92"/>
      <c r="V127" s="92"/>
      <c r="W127" s="220"/>
      <c r="X127" s="47" t="s">
        <v>591</v>
      </c>
      <c r="AA127" s="182">
        <f t="shared" ref="AA127" si="33">Q127/$E$2</f>
        <v>544351.10400000005</v>
      </c>
      <c r="AB127" s="47"/>
    </row>
    <row r="128" spans="1:33" x14ac:dyDescent="0.35">
      <c r="B128" s="129"/>
      <c r="C128" s="130"/>
      <c r="D128" s="130" t="s">
        <v>762</v>
      </c>
      <c r="E128" s="131"/>
      <c r="F128" s="85"/>
      <c r="G128" s="86"/>
      <c r="H128" s="87"/>
      <c r="I128" s="88"/>
      <c r="J128" s="86"/>
      <c r="K128" s="221"/>
      <c r="L128" s="219"/>
      <c r="M128" s="218"/>
      <c r="N128" s="173"/>
      <c r="O128" s="185"/>
      <c r="P128" s="94"/>
      <c r="Q128" s="185"/>
      <c r="R128" s="92"/>
      <c r="S128" s="92"/>
      <c r="T128" s="92"/>
      <c r="U128" s="92"/>
      <c r="V128" s="92"/>
      <c r="W128" s="220"/>
      <c r="X128" s="47"/>
      <c r="Y128" s="222"/>
      <c r="AA128" s="182"/>
      <c r="AB128" s="47"/>
    </row>
    <row r="129" spans="2:33" s="44" customFormat="1" x14ac:dyDescent="0.35">
      <c r="B129" s="87"/>
      <c r="C129" s="88"/>
      <c r="D129" s="88" t="s">
        <v>677</v>
      </c>
      <c r="E129" s="160"/>
      <c r="F129" s="85" t="s">
        <v>3</v>
      </c>
      <c r="G129" s="86" t="s">
        <v>2</v>
      </c>
      <c r="H129" s="87"/>
      <c r="I129" s="88"/>
      <c r="J129" s="86" t="s">
        <v>113</v>
      </c>
      <c r="K129" s="98">
        <v>1</v>
      </c>
      <c r="L129" s="99">
        <f>E2</f>
        <v>31.159999999999997</v>
      </c>
      <c r="M129" s="218">
        <v>5</v>
      </c>
      <c r="N129" s="173">
        <v>1</v>
      </c>
      <c r="O129" s="173">
        <f t="shared" ref="O129" si="34">K129*L129*M129*N129</f>
        <v>155.79999999999998</v>
      </c>
      <c r="P129" s="122">
        <f>VLOOKUP($F129,'Master Harga'!$E$5:$L$348,6,FALSE)</f>
        <v>151208.64000000001</v>
      </c>
      <c r="Q129" s="94">
        <f t="shared" ref="Q129" si="35">P129*$O129</f>
        <v>23558306.112</v>
      </c>
      <c r="R129" s="92">
        <f>VLOOKUP($F129,'Master Harga'!$E$5:$L$348,6,FALSE)</f>
        <v>151208.64000000001</v>
      </c>
      <c r="S129" s="92">
        <f>R129*$O129</f>
        <v>23558306.112</v>
      </c>
      <c r="T129" s="92">
        <f>VLOOKUP($F129,'Master Harga'!$E$5:$L$348,7,FALSE)</f>
        <v>163305.33120000002</v>
      </c>
      <c r="U129" s="92">
        <f>T129*$O129</f>
        <v>25442970.600960001</v>
      </c>
      <c r="V129" s="92">
        <f>W129/O129</f>
        <v>155240.87040000001</v>
      </c>
      <c r="W129" s="101">
        <f>AVERAGEIF($P$4:$U$4,W$4,$P129:$U129)</f>
        <v>24186527.608319998</v>
      </c>
      <c r="X129" s="47" t="s">
        <v>584</v>
      </c>
      <c r="AA129" s="240">
        <f>Q129/$E$2</f>
        <v>756043.20000000007</v>
      </c>
      <c r="AB129" s="47"/>
      <c r="AD129"/>
      <c r="AE129"/>
      <c r="AF129"/>
      <c r="AG129"/>
    </row>
    <row r="130" spans="2:33" s="44" customFormat="1" hidden="1" x14ac:dyDescent="0.35">
      <c r="B130" s="95"/>
      <c r="C130" s="96"/>
      <c r="D130" s="96" t="s">
        <v>163</v>
      </c>
      <c r="E130" s="97"/>
      <c r="F130" s="85" t="s">
        <v>3</v>
      </c>
      <c r="G130" s="86" t="s">
        <v>2</v>
      </c>
      <c r="H130" s="87"/>
      <c r="I130" s="88"/>
      <c r="J130" s="89"/>
      <c r="K130" s="90"/>
      <c r="L130" s="90"/>
      <c r="M130" s="91">
        <v>1</v>
      </c>
      <c r="N130" s="92">
        <v>1</v>
      </c>
      <c r="O130" s="92"/>
      <c r="P130" s="92"/>
      <c r="Q130" s="94"/>
      <c r="R130" s="92"/>
      <c r="S130" s="92"/>
      <c r="T130" s="92"/>
      <c r="U130" s="92"/>
      <c r="V130" s="92"/>
      <c r="W130" s="92"/>
      <c r="X130" s="47"/>
      <c r="AA130" s="47"/>
      <c r="AB130" s="47"/>
      <c r="AD130"/>
      <c r="AE130"/>
      <c r="AF130"/>
      <c r="AG130"/>
    </row>
    <row r="131" spans="2:33" s="44" customFormat="1" hidden="1" x14ac:dyDescent="0.35">
      <c r="B131" s="129"/>
      <c r="C131" s="130"/>
      <c r="D131" s="130"/>
      <c r="E131" s="131"/>
      <c r="F131" s="85" t="s">
        <v>62</v>
      </c>
      <c r="G131" s="86" t="s">
        <v>63</v>
      </c>
      <c r="H131" s="87"/>
      <c r="I131" s="88"/>
      <c r="J131" s="89"/>
      <c r="K131" s="90"/>
      <c r="L131" s="90"/>
      <c r="M131" s="91">
        <v>0.6</v>
      </c>
      <c r="N131" s="92">
        <v>1</v>
      </c>
      <c r="O131" s="92"/>
      <c r="P131" s="92"/>
      <c r="Q131" s="94"/>
      <c r="R131" s="92"/>
      <c r="S131" s="92"/>
      <c r="T131" s="92"/>
      <c r="U131" s="92"/>
      <c r="V131" s="92"/>
      <c r="W131" s="92"/>
      <c r="X131" s="47"/>
      <c r="AA131" s="47"/>
      <c r="AB131" s="47"/>
      <c r="AD131"/>
      <c r="AE131"/>
      <c r="AF131"/>
      <c r="AG131"/>
    </row>
    <row r="132" spans="2:33" s="44" customFormat="1" hidden="1" x14ac:dyDescent="0.35">
      <c r="B132" s="129"/>
      <c r="C132" s="130"/>
      <c r="D132" s="130"/>
      <c r="E132" s="131"/>
      <c r="F132" s="85" t="s">
        <v>64</v>
      </c>
      <c r="G132" s="86" t="s">
        <v>7</v>
      </c>
      <c r="H132" s="87"/>
      <c r="I132" s="88"/>
      <c r="J132" s="89"/>
      <c r="K132" s="90"/>
      <c r="L132" s="90"/>
      <c r="M132" s="91">
        <f>24/1000</f>
        <v>2.4E-2</v>
      </c>
      <c r="N132" s="92">
        <v>1</v>
      </c>
      <c r="O132" s="92"/>
      <c r="P132" s="92"/>
      <c r="Q132" s="94"/>
      <c r="R132" s="92"/>
      <c r="S132" s="92"/>
      <c r="T132" s="92"/>
      <c r="U132" s="92"/>
      <c r="V132" s="92"/>
      <c r="W132" s="92"/>
      <c r="X132" s="47"/>
      <c r="AA132" s="47"/>
      <c r="AB132" s="47"/>
      <c r="AD132"/>
      <c r="AE132"/>
      <c r="AF132"/>
      <c r="AG132"/>
    </row>
    <row r="133" spans="2:33" s="44" customFormat="1" hidden="1" x14ac:dyDescent="0.35">
      <c r="B133" s="129"/>
      <c r="C133" s="130"/>
      <c r="D133" s="130"/>
      <c r="E133" s="131"/>
      <c r="F133" s="85" t="s">
        <v>65</v>
      </c>
      <c r="G133" s="86" t="s">
        <v>63</v>
      </c>
      <c r="H133" s="87"/>
      <c r="I133" s="88"/>
      <c r="J133" s="89"/>
      <c r="K133" s="90"/>
      <c r="L133" s="90"/>
      <c r="M133" s="91">
        <v>0.18</v>
      </c>
      <c r="N133" s="92">
        <v>1</v>
      </c>
      <c r="O133" s="92"/>
      <c r="P133" s="92"/>
      <c r="Q133" s="94"/>
      <c r="R133" s="92"/>
      <c r="S133" s="92"/>
      <c r="T133" s="92"/>
      <c r="U133" s="92"/>
      <c r="V133" s="92"/>
      <c r="W133" s="92"/>
      <c r="X133" s="47"/>
      <c r="AA133" s="47"/>
      <c r="AB133" s="47"/>
      <c r="AD133"/>
      <c r="AE133"/>
      <c r="AF133"/>
      <c r="AG133"/>
    </row>
    <row r="134" spans="2:33" s="44" customFormat="1" hidden="1" x14ac:dyDescent="0.35">
      <c r="B134" s="129"/>
      <c r="C134" s="130"/>
      <c r="D134" s="130"/>
      <c r="E134" s="131"/>
      <c r="F134" s="85" t="s">
        <v>287</v>
      </c>
      <c r="G134" s="86" t="s">
        <v>19</v>
      </c>
      <c r="H134" s="87"/>
      <c r="I134" s="88"/>
      <c r="J134" s="89"/>
      <c r="K134" s="90"/>
      <c r="L134" s="90"/>
      <c r="M134" s="91">
        <v>0.01</v>
      </c>
      <c r="N134" s="92">
        <v>1</v>
      </c>
      <c r="O134" s="92"/>
      <c r="P134" s="92"/>
      <c r="Q134" s="94"/>
      <c r="R134" s="92"/>
      <c r="S134" s="92"/>
      <c r="T134" s="92"/>
      <c r="U134" s="92"/>
      <c r="V134" s="92"/>
      <c r="W134" s="92"/>
      <c r="X134" s="47"/>
      <c r="AA134" s="47"/>
      <c r="AB134" s="47"/>
      <c r="AD134"/>
      <c r="AE134"/>
      <c r="AF134"/>
      <c r="AG134"/>
    </row>
    <row r="135" spans="2:33" s="44" customFormat="1" hidden="1" x14ac:dyDescent="0.35">
      <c r="B135" s="129"/>
      <c r="C135" s="130"/>
      <c r="D135" s="130"/>
      <c r="E135" s="131"/>
      <c r="F135" s="85" t="s">
        <v>11</v>
      </c>
      <c r="G135" s="86" t="s">
        <v>2</v>
      </c>
      <c r="H135" s="87"/>
      <c r="I135" s="88"/>
      <c r="J135" s="89"/>
      <c r="K135" s="90"/>
      <c r="L135" s="90"/>
      <c r="M135" s="91">
        <v>1</v>
      </c>
      <c r="N135" s="92">
        <v>1</v>
      </c>
      <c r="O135" s="92"/>
      <c r="P135" s="92"/>
      <c r="Q135" s="94"/>
      <c r="R135" s="92"/>
      <c r="S135" s="92"/>
      <c r="T135" s="92"/>
      <c r="U135" s="92"/>
      <c r="V135" s="92"/>
      <c r="W135" s="92"/>
      <c r="X135" s="47"/>
      <c r="AA135" s="47"/>
      <c r="AB135" s="47"/>
      <c r="AD135"/>
      <c r="AE135"/>
      <c r="AF135"/>
      <c r="AG135"/>
    </row>
    <row r="136" spans="2:33" hidden="1" x14ac:dyDescent="0.35">
      <c r="B136" s="129"/>
      <c r="C136" s="130"/>
      <c r="D136" s="130"/>
      <c r="E136" s="131"/>
      <c r="F136" s="47" t="s">
        <v>27</v>
      </c>
      <c r="G136" s="132" t="s">
        <v>19</v>
      </c>
      <c r="H136" s="133">
        <v>4</v>
      </c>
      <c r="I136" s="134" t="s">
        <v>190</v>
      </c>
      <c r="J136" s="47"/>
      <c r="K136" s="241"/>
      <c r="L136" s="241"/>
      <c r="M136" s="154">
        <f>((M$130*N$130)/240*($H136/N136))</f>
        <v>1.6666666666666666E-2</v>
      </c>
      <c r="N136" s="92">
        <v>1</v>
      </c>
      <c r="O136" s="92"/>
      <c r="P136" s="92"/>
      <c r="Q136" s="94"/>
      <c r="R136" s="92"/>
      <c r="S136" s="92"/>
      <c r="T136" s="92"/>
      <c r="U136" s="92"/>
      <c r="V136" s="92"/>
      <c r="W136" s="92"/>
      <c r="X136" s="47"/>
      <c r="AA136" s="47"/>
      <c r="AB136" s="47"/>
    </row>
    <row r="137" spans="2:33" hidden="1" x14ac:dyDescent="0.35">
      <c r="B137" s="129"/>
      <c r="C137" s="130"/>
      <c r="D137" s="130"/>
      <c r="E137" s="131"/>
      <c r="F137" s="47" t="s">
        <v>193</v>
      </c>
      <c r="G137" s="132" t="s">
        <v>19</v>
      </c>
      <c r="H137" s="133">
        <v>12</v>
      </c>
      <c r="I137" s="134" t="s">
        <v>190</v>
      </c>
      <c r="J137" s="47"/>
      <c r="K137" s="241"/>
      <c r="L137" s="241"/>
      <c r="M137" s="154">
        <f>((M$130*N$130)/240*($H137/N137))</f>
        <v>0.05</v>
      </c>
      <c r="N137" s="92">
        <v>1</v>
      </c>
      <c r="O137" s="92"/>
      <c r="P137" s="92"/>
      <c r="Q137" s="94"/>
      <c r="R137" s="92"/>
      <c r="S137" s="92"/>
      <c r="T137" s="92"/>
      <c r="U137" s="92"/>
      <c r="V137" s="92"/>
      <c r="W137" s="92"/>
      <c r="X137" s="47"/>
      <c r="AA137" s="47"/>
      <c r="AB137" s="47"/>
    </row>
    <row r="138" spans="2:33" hidden="1" x14ac:dyDescent="0.35">
      <c r="B138" s="129"/>
      <c r="C138" s="130"/>
      <c r="D138" s="130"/>
      <c r="E138" s="131"/>
      <c r="F138" s="47" t="s">
        <v>138</v>
      </c>
      <c r="G138" s="132" t="s">
        <v>19</v>
      </c>
      <c r="H138" s="133">
        <v>1</v>
      </c>
      <c r="I138" s="134" t="s">
        <v>190</v>
      </c>
      <c r="J138" s="47"/>
      <c r="K138" s="241"/>
      <c r="L138" s="241"/>
      <c r="M138" s="154">
        <f>((M$130*N$130)/240*($H138/N138))</f>
        <v>4.1666666666666666E-3</v>
      </c>
      <c r="N138" s="92">
        <v>1</v>
      </c>
      <c r="O138" s="92"/>
      <c r="P138" s="92"/>
      <c r="Q138" s="94"/>
      <c r="R138" s="92"/>
      <c r="S138" s="92"/>
      <c r="T138" s="92"/>
      <c r="U138" s="92"/>
      <c r="V138" s="92"/>
      <c r="W138" s="92"/>
      <c r="X138" s="47"/>
      <c r="AA138" s="47"/>
      <c r="AB138" s="47"/>
    </row>
    <row r="139" spans="2:33" hidden="1" x14ac:dyDescent="0.35">
      <c r="B139" s="129"/>
      <c r="C139" s="130"/>
      <c r="D139" s="130"/>
      <c r="E139" s="131"/>
      <c r="F139" s="47" t="s">
        <v>55</v>
      </c>
      <c r="G139" s="132" t="s">
        <v>19</v>
      </c>
      <c r="H139" s="133">
        <v>2</v>
      </c>
      <c r="I139" s="134" t="s">
        <v>190</v>
      </c>
      <c r="J139" s="47"/>
      <c r="K139" s="241"/>
      <c r="L139" s="241"/>
      <c r="M139" s="154">
        <f>((M$130*N$130)/240*($H139/N139))</f>
        <v>8.3333333333333332E-3</v>
      </c>
      <c r="N139" s="92">
        <v>1</v>
      </c>
      <c r="O139" s="92"/>
      <c r="P139" s="92"/>
      <c r="Q139" s="94"/>
      <c r="R139" s="92"/>
      <c r="S139" s="92"/>
      <c r="T139" s="92"/>
      <c r="U139" s="92"/>
      <c r="V139" s="92"/>
      <c r="W139" s="92"/>
      <c r="X139" s="47"/>
      <c r="AA139" s="47"/>
      <c r="AB139" s="47"/>
    </row>
    <row r="140" spans="2:33" hidden="1" x14ac:dyDescent="0.35">
      <c r="B140" s="136"/>
      <c r="C140" s="137"/>
      <c r="D140" s="137"/>
      <c r="E140" s="143"/>
      <c r="F140" s="47" t="s">
        <v>56</v>
      </c>
      <c r="G140" s="132" t="s">
        <v>19</v>
      </c>
      <c r="H140" s="133">
        <v>1</v>
      </c>
      <c r="I140" s="134" t="s">
        <v>190</v>
      </c>
      <c r="J140" s="47"/>
      <c r="K140" s="241"/>
      <c r="L140" s="241"/>
      <c r="M140" s="154">
        <f>((M$130*N$130)/240*($H140/N140))</f>
        <v>4.1666666666666666E-3</v>
      </c>
      <c r="N140" s="92">
        <v>1</v>
      </c>
      <c r="O140" s="92"/>
      <c r="P140" s="92"/>
      <c r="Q140" s="94"/>
      <c r="R140" s="92"/>
      <c r="S140" s="92"/>
      <c r="T140" s="92"/>
      <c r="U140" s="92"/>
      <c r="V140" s="92"/>
      <c r="W140" s="92"/>
      <c r="X140" s="47"/>
      <c r="AA140" s="47"/>
      <c r="AB140" s="47"/>
    </row>
    <row r="141" spans="2:33" hidden="1" x14ac:dyDescent="0.35">
      <c r="B141" s="95"/>
      <c r="C141" s="96"/>
      <c r="D141" s="96" t="s">
        <v>139</v>
      </c>
      <c r="E141" s="97"/>
      <c r="F141" s="85" t="s">
        <v>3</v>
      </c>
      <c r="G141" s="86" t="s">
        <v>2</v>
      </c>
      <c r="H141" s="87"/>
      <c r="I141" s="88"/>
      <c r="J141" s="89"/>
      <c r="K141" s="98"/>
      <c r="L141" s="90">
        <v>1</v>
      </c>
      <c r="M141" s="91">
        <v>1.5</v>
      </c>
      <c r="N141" s="92">
        <v>1</v>
      </c>
      <c r="O141" s="92">
        <f>K141*L141*M141*N141</f>
        <v>0</v>
      </c>
      <c r="P141" s="92">
        <f>VLOOKUP($F141,'Master Harga'!$E$5:$L$348,5,FALSE)</f>
        <v>140008</v>
      </c>
      <c r="Q141" s="94">
        <f>P141*$O141</f>
        <v>0</v>
      </c>
      <c r="R141" s="92">
        <f>VLOOKUP($F141,'Master Harga'!$E$5:$L$348,6,FALSE)</f>
        <v>151208.64000000001</v>
      </c>
      <c r="S141" s="92">
        <f>R141*$O141</f>
        <v>0</v>
      </c>
      <c r="T141" s="92">
        <f>VLOOKUP($F141,'Master Harga'!$E$5:$L$348,7,FALSE)</f>
        <v>163305.33120000002</v>
      </c>
      <c r="U141" s="92">
        <f>T141*$O141</f>
        <v>0</v>
      </c>
      <c r="V141" s="92" t="e">
        <f>W141/O141</f>
        <v>#DIV/0!</v>
      </c>
      <c r="W141" s="101">
        <f>AVERAGEIF($P$4:$U$4,W$4,$P141:$U141)</f>
        <v>0</v>
      </c>
      <c r="X141" s="47"/>
      <c r="AA141" s="47"/>
      <c r="AB141" s="47"/>
    </row>
    <row r="142" spans="2:33" hidden="1" x14ac:dyDescent="0.35">
      <c r="B142" s="129"/>
      <c r="C142" s="130"/>
      <c r="D142" s="130"/>
      <c r="E142" s="131"/>
      <c r="F142" s="85" t="s">
        <v>62</v>
      </c>
      <c r="G142" s="86" t="s">
        <v>63</v>
      </c>
      <c r="H142" s="87"/>
      <c r="I142" s="88"/>
      <c r="J142" s="89"/>
      <c r="K142" s="98"/>
      <c r="L142" s="90">
        <v>1</v>
      </c>
      <c r="M142" s="91">
        <v>1.5</v>
      </c>
      <c r="N142" s="92">
        <v>2</v>
      </c>
      <c r="O142" s="92">
        <f t="shared" ref="O142:O150" si="36">K142*L142*M142*N142</f>
        <v>0</v>
      </c>
      <c r="P142" s="92">
        <f>VLOOKUP($F142,'Master Harga'!$E$5:$L$348,5,FALSE)</f>
        <v>36352.800000000003</v>
      </c>
      <c r="Q142" s="94">
        <f t="shared" ref="Q142:Q150" si="37">P142*$O142</f>
        <v>0</v>
      </c>
      <c r="R142" s="92">
        <f>VLOOKUP($F142,'Master Harga'!$E$5:$L$348,6,FALSE)</f>
        <v>35343</v>
      </c>
      <c r="S142" s="92">
        <f t="shared" ref="S142:S150" si="38">R142*$O142</f>
        <v>0</v>
      </c>
      <c r="T142" s="92">
        <f>VLOOKUP($F142,'Master Harga'!$E$5:$L$348,7,FALSE)</f>
        <v>40291.019999999997</v>
      </c>
      <c r="U142" s="92">
        <f t="shared" ref="U142:U150" si="39">T142*$O142</f>
        <v>0</v>
      </c>
      <c r="V142" s="92" t="e">
        <f t="shared" ref="V142:V150" si="40">W142/O142</f>
        <v>#DIV/0!</v>
      </c>
      <c r="W142" s="101">
        <f t="shared" ref="W142:W150" si="41">AVERAGEIF($P$4:$U$4,W$4,$P142:$U142)</f>
        <v>0</v>
      </c>
      <c r="X142" s="47"/>
      <c r="AA142" s="47"/>
      <c r="AB142" s="47"/>
    </row>
    <row r="143" spans="2:33" hidden="1" x14ac:dyDescent="0.35">
      <c r="B143" s="129"/>
      <c r="C143" s="130"/>
      <c r="D143" s="130"/>
      <c r="E143" s="131"/>
      <c r="F143" s="85" t="s">
        <v>65</v>
      </c>
      <c r="G143" s="86" t="s">
        <v>63</v>
      </c>
      <c r="H143" s="87"/>
      <c r="I143" s="88"/>
      <c r="J143" s="89"/>
      <c r="K143" s="98"/>
      <c r="L143" s="90">
        <v>1</v>
      </c>
      <c r="M143" s="91">
        <v>2.7E-2</v>
      </c>
      <c r="N143" s="92">
        <v>2</v>
      </c>
      <c r="O143" s="92">
        <f t="shared" si="36"/>
        <v>0</v>
      </c>
      <c r="P143" s="92">
        <f>VLOOKUP($F143,'Master Harga'!$E$5:$L$348,5,FALSE)</f>
        <v>46267.199999999997</v>
      </c>
      <c r="Q143" s="94">
        <f t="shared" si="37"/>
        <v>0</v>
      </c>
      <c r="R143" s="92">
        <f>VLOOKUP($F143,'Master Harga'!$E$5:$L$348,6,FALSE)</f>
        <v>44982</v>
      </c>
      <c r="S143" s="92">
        <f t="shared" si="38"/>
        <v>0</v>
      </c>
      <c r="T143" s="92">
        <f>VLOOKUP($F143,'Master Harga'!$E$5:$L$348,7,FALSE)</f>
        <v>51279.479999999996</v>
      </c>
      <c r="U143" s="92">
        <f t="shared" si="39"/>
        <v>0</v>
      </c>
      <c r="V143" s="92" t="e">
        <f t="shared" si="40"/>
        <v>#DIV/0!</v>
      </c>
      <c r="W143" s="101">
        <f t="shared" si="41"/>
        <v>0</v>
      </c>
      <c r="X143" s="47"/>
      <c r="AA143" s="47"/>
      <c r="AB143" s="47"/>
    </row>
    <row r="144" spans="2:33" hidden="1" x14ac:dyDescent="0.35">
      <c r="B144" s="129"/>
      <c r="C144" s="130"/>
      <c r="D144" s="130"/>
      <c r="E144" s="131"/>
      <c r="F144" s="85" t="s">
        <v>287</v>
      </c>
      <c r="G144" s="86" t="s">
        <v>19</v>
      </c>
      <c r="H144" s="87"/>
      <c r="I144" s="88"/>
      <c r="J144" s="89"/>
      <c r="K144" s="98"/>
      <c r="L144" s="90">
        <v>1</v>
      </c>
      <c r="M144" s="91">
        <v>0.01</v>
      </c>
      <c r="N144" s="92">
        <v>1</v>
      </c>
      <c r="O144" s="92">
        <f t="shared" si="36"/>
        <v>0</v>
      </c>
      <c r="P144" s="92">
        <f>VLOOKUP($F144,'Master Harga'!$E$5:$L$348,5,FALSE)</f>
        <v>1366468.5</v>
      </c>
      <c r="Q144" s="94">
        <f t="shared" si="37"/>
        <v>0</v>
      </c>
      <c r="R144" s="92">
        <f>VLOOKUP($F144,'Master Harga'!$E$5:$L$348,6,FALSE)</f>
        <v>1530444.7200000002</v>
      </c>
      <c r="S144" s="92">
        <f t="shared" si="38"/>
        <v>0</v>
      </c>
      <c r="T144" s="92">
        <f>VLOOKUP($F144,'Master Harga'!$E$5:$L$348,7,FALSE)</f>
        <v>1714098.0864000004</v>
      </c>
      <c r="U144" s="92">
        <f t="shared" si="39"/>
        <v>0</v>
      </c>
      <c r="V144" s="92" t="e">
        <f t="shared" si="40"/>
        <v>#DIV/0!</v>
      </c>
      <c r="W144" s="101">
        <f t="shared" si="41"/>
        <v>0</v>
      </c>
      <c r="X144" s="47"/>
      <c r="AA144" s="47"/>
      <c r="AB144" s="47"/>
    </row>
    <row r="145" spans="2:29" hidden="1" x14ac:dyDescent="0.35">
      <c r="B145" s="129"/>
      <c r="C145" s="130"/>
      <c r="D145" s="130"/>
      <c r="E145" s="131"/>
      <c r="F145" s="85" t="s">
        <v>11</v>
      </c>
      <c r="G145" s="86" t="s">
        <v>2</v>
      </c>
      <c r="H145" s="87"/>
      <c r="I145" s="88"/>
      <c r="J145" s="89"/>
      <c r="K145" s="98"/>
      <c r="L145" s="90">
        <v>1</v>
      </c>
      <c r="M145" s="91">
        <v>1</v>
      </c>
      <c r="N145" s="92">
        <v>2</v>
      </c>
      <c r="O145" s="92">
        <f t="shared" si="36"/>
        <v>0</v>
      </c>
      <c r="P145" s="92">
        <f>VLOOKUP($F145,'Master Harga'!$E$5:$L$348,5,FALSE)</f>
        <v>3700</v>
      </c>
      <c r="Q145" s="94">
        <f t="shared" si="37"/>
        <v>0</v>
      </c>
      <c r="R145" s="92">
        <f>VLOOKUP($F145,'Master Harga'!$E$5:$L$348,6,FALSE)</f>
        <v>3996.0000000000005</v>
      </c>
      <c r="S145" s="92">
        <f t="shared" si="38"/>
        <v>0</v>
      </c>
      <c r="T145" s="92">
        <f>VLOOKUP($F145,'Master Harga'!$E$5:$L$348,7,FALSE)</f>
        <v>4315.6800000000012</v>
      </c>
      <c r="U145" s="92">
        <f t="shared" si="39"/>
        <v>0</v>
      </c>
      <c r="V145" s="92" t="e">
        <f t="shared" si="40"/>
        <v>#DIV/0!</v>
      </c>
      <c r="W145" s="101">
        <f t="shared" si="41"/>
        <v>0</v>
      </c>
      <c r="X145" s="47"/>
      <c r="AA145" s="47"/>
      <c r="AB145" s="47"/>
    </row>
    <row r="146" spans="2:29" hidden="1" x14ac:dyDescent="0.35">
      <c r="B146" s="129"/>
      <c r="C146" s="130"/>
      <c r="D146" s="130"/>
      <c r="E146" s="131"/>
      <c r="F146" s="47" t="s">
        <v>27</v>
      </c>
      <c r="G146" s="132" t="s">
        <v>19</v>
      </c>
      <c r="H146" s="133">
        <v>4</v>
      </c>
      <c r="I146" s="134" t="s">
        <v>190</v>
      </c>
      <c r="J146" s="47"/>
      <c r="K146" s="98"/>
      <c r="L146" s="90">
        <v>1</v>
      </c>
      <c r="M146" s="154">
        <f>((M$141*N$141)/240*($H146/N146))</f>
        <v>2.5000000000000001E-2</v>
      </c>
      <c r="N146" s="92">
        <v>1</v>
      </c>
      <c r="O146" s="92">
        <f t="shared" si="36"/>
        <v>0</v>
      </c>
      <c r="P146" s="92">
        <f>VLOOKUP($F146,'Master Harga'!$E$5:$L$348,5,FALSE)</f>
        <v>42840</v>
      </c>
      <c r="Q146" s="94">
        <f t="shared" si="37"/>
        <v>0</v>
      </c>
      <c r="R146" s="92">
        <f>VLOOKUP($F146,'Master Harga'!$E$5:$L$348,6,FALSE)</f>
        <v>47980.800000000003</v>
      </c>
      <c r="S146" s="92">
        <f t="shared" si="38"/>
        <v>0</v>
      </c>
      <c r="T146" s="92">
        <f>VLOOKUP($F146,'Master Harga'!$E$5:$L$348,7,FALSE)</f>
        <v>53738.496000000006</v>
      </c>
      <c r="U146" s="92">
        <f t="shared" si="39"/>
        <v>0</v>
      </c>
      <c r="V146" s="92" t="e">
        <f t="shared" si="40"/>
        <v>#DIV/0!</v>
      </c>
      <c r="W146" s="101">
        <f t="shared" si="41"/>
        <v>0</v>
      </c>
      <c r="X146" s="47"/>
      <c r="AA146" s="47"/>
      <c r="AB146" s="47"/>
    </row>
    <row r="147" spans="2:29" hidden="1" x14ac:dyDescent="0.35">
      <c r="B147" s="129"/>
      <c r="C147" s="130"/>
      <c r="D147" s="130"/>
      <c r="E147" s="131"/>
      <c r="F147" s="47" t="s">
        <v>193</v>
      </c>
      <c r="G147" s="132" t="s">
        <v>19</v>
      </c>
      <c r="H147" s="133">
        <v>12</v>
      </c>
      <c r="I147" s="134" t="s">
        <v>190</v>
      </c>
      <c r="J147" s="47"/>
      <c r="K147" s="98"/>
      <c r="L147" s="90">
        <v>1</v>
      </c>
      <c r="M147" s="154">
        <f>((M$141*N$141)/240*($H147/N147))</f>
        <v>7.5000000000000011E-2</v>
      </c>
      <c r="N147" s="92">
        <v>1</v>
      </c>
      <c r="O147" s="92">
        <f t="shared" si="36"/>
        <v>0</v>
      </c>
      <c r="P147" s="92">
        <f>VLOOKUP($F147,'Master Harga'!$E$5:$L$348,5,FALSE)</f>
        <v>14000</v>
      </c>
      <c r="Q147" s="94">
        <f t="shared" si="37"/>
        <v>0</v>
      </c>
      <c r="R147" s="92">
        <f>VLOOKUP($F147,'Master Harga'!$E$5:$L$348,6,FALSE)</f>
        <v>15680.000000000002</v>
      </c>
      <c r="S147" s="92">
        <f t="shared" si="38"/>
        <v>0</v>
      </c>
      <c r="T147" s="92">
        <f>VLOOKUP($F147,'Master Harga'!$E$5:$L$348,7,FALSE)</f>
        <v>17561.600000000002</v>
      </c>
      <c r="U147" s="92">
        <f t="shared" si="39"/>
        <v>0</v>
      </c>
      <c r="V147" s="92" t="e">
        <f t="shared" si="40"/>
        <v>#DIV/0!</v>
      </c>
      <c r="W147" s="101">
        <f t="shared" si="41"/>
        <v>0</v>
      </c>
      <c r="X147" s="47"/>
      <c r="AA147" s="47"/>
      <c r="AB147" s="47"/>
    </row>
    <row r="148" spans="2:29" hidden="1" x14ac:dyDescent="0.35">
      <c r="B148" s="129"/>
      <c r="C148" s="130"/>
      <c r="D148" s="130"/>
      <c r="E148" s="131"/>
      <c r="F148" s="47" t="s">
        <v>138</v>
      </c>
      <c r="G148" s="132" t="s">
        <v>19</v>
      </c>
      <c r="H148" s="133">
        <v>1</v>
      </c>
      <c r="I148" s="134" t="s">
        <v>190</v>
      </c>
      <c r="J148" s="47"/>
      <c r="K148" s="98"/>
      <c r="L148" s="90">
        <v>1</v>
      </c>
      <c r="M148" s="154">
        <f>((M$141*N$141)/240*($H148/N148))</f>
        <v>6.2500000000000003E-3</v>
      </c>
      <c r="N148" s="92">
        <v>1</v>
      </c>
      <c r="O148" s="92">
        <f t="shared" si="36"/>
        <v>0</v>
      </c>
      <c r="P148" s="92">
        <f>VLOOKUP($F148,'Master Harga'!$E$5:$L$348,5,FALSE)</f>
        <v>37485</v>
      </c>
      <c r="Q148" s="94">
        <f t="shared" si="37"/>
        <v>0</v>
      </c>
      <c r="R148" s="92">
        <f>VLOOKUP($F148,'Master Harga'!$E$5:$L$348,6,FALSE)</f>
        <v>41983.200000000004</v>
      </c>
      <c r="S148" s="92">
        <f t="shared" si="38"/>
        <v>0</v>
      </c>
      <c r="T148" s="92">
        <f>VLOOKUP($F148,'Master Harga'!$E$5:$L$348,7,FALSE)</f>
        <v>47021.184000000008</v>
      </c>
      <c r="U148" s="92">
        <f t="shared" si="39"/>
        <v>0</v>
      </c>
      <c r="V148" s="92" t="e">
        <f t="shared" si="40"/>
        <v>#DIV/0!</v>
      </c>
      <c r="W148" s="101">
        <f t="shared" si="41"/>
        <v>0</v>
      </c>
      <c r="X148" s="47"/>
      <c r="AA148" s="47"/>
      <c r="AB148" s="47"/>
    </row>
    <row r="149" spans="2:29" hidden="1" x14ac:dyDescent="0.35">
      <c r="B149" s="129"/>
      <c r="C149" s="130"/>
      <c r="D149" s="130"/>
      <c r="E149" s="131"/>
      <c r="F149" s="47" t="s">
        <v>55</v>
      </c>
      <c r="G149" s="132" t="s">
        <v>19</v>
      </c>
      <c r="H149" s="133">
        <v>2</v>
      </c>
      <c r="I149" s="134" t="s">
        <v>190</v>
      </c>
      <c r="J149" s="47"/>
      <c r="K149" s="98"/>
      <c r="L149" s="90">
        <v>1</v>
      </c>
      <c r="M149" s="154">
        <f>((M$141*N$141)/240*($H149/N149))</f>
        <v>1.2500000000000001E-2</v>
      </c>
      <c r="N149" s="92">
        <v>1</v>
      </c>
      <c r="O149" s="92">
        <f t="shared" si="36"/>
        <v>0</v>
      </c>
      <c r="P149" s="92">
        <f>VLOOKUP($F149,'Master Harga'!$E$5:$L$348,5,FALSE)</f>
        <v>32130</v>
      </c>
      <c r="Q149" s="94">
        <f t="shared" si="37"/>
        <v>0</v>
      </c>
      <c r="R149" s="92">
        <f>VLOOKUP($F149,'Master Harga'!$E$5:$L$348,6,FALSE)</f>
        <v>35985.600000000006</v>
      </c>
      <c r="S149" s="92">
        <f t="shared" si="38"/>
        <v>0</v>
      </c>
      <c r="T149" s="92">
        <f>VLOOKUP($F149,'Master Harga'!$E$5:$L$348,7,FALSE)</f>
        <v>40303.87200000001</v>
      </c>
      <c r="U149" s="92">
        <f t="shared" si="39"/>
        <v>0</v>
      </c>
      <c r="V149" s="92" t="e">
        <f t="shared" si="40"/>
        <v>#DIV/0!</v>
      </c>
      <c r="W149" s="101">
        <f t="shared" si="41"/>
        <v>0</v>
      </c>
      <c r="X149" s="47"/>
      <c r="AA149" s="47"/>
      <c r="AB149" s="47"/>
    </row>
    <row r="150" spans="2:29" hidden="1" x14ac:dyDescent="0.35">
      <c r="B150" s="136"/>
      <c r="C150" s="137"/>
      <c r="D150" s="137"/>
      <c r="E150" s="143"/>
      <c r="F150" s="47" t="s">
        <v>56</v>
      </c>
      <c r="G150" s="132" t="s">
        <v>19</v>
      </c>
      <c r="H150" s="133">
        <v>1</v>
      </c>
      <c r="I150" s="134" t="s">
        <v>190</v>
      </c>
      <c r="J150" s="47"/>
      <c r="K150" s="98"/>
      <c r="L150" s="90">
        <v>1</v>
      </c>
      <c r="M150" s="154">
        <f>((M$141*N$141)/240*($H150/N150))</f>
        <v>6.2500000000000003E-3</v>
      </c>
      <c r="N150" s="92">
        <v>1</v>
      </c>
      <c r="O150" s="92">
        <f t="shared" si="36"/>
        <v>0</v>
      </c>
      <c r="P150" s="92">
        <f>VLOOKUP($F150,'Master Harga'!$E$5:$L$348,5,FALSE)</f>
        <v>85680</v>
      </c>
      <c r="Q150" s="94">
        <f t="shared" si="37"/>
        <v>0</v>
      </c>
      <c r="R150" s="92">
        <f>VLOOKUP($F150,'Master Harga'!$E$5:$L$348,6,FALSE)</f>
        <v>95961.600000000006</v>
      </c>
      <c r="S150" s="92">
        <f t="shared" si="38"/>
        <v>0</v>
      </c>
      <c r="T150" s="92">
        <f>VLOOKUP($F150,'Master Harga'!$E$5:$L$348,7,FALSE)</f>
        <v>107476.99200000001</v>
      </c>
      <c r="U150" s="92">
        <f t="shared" si="39"/>
        <v>0</v>
      </c>
      <c r="V150" s="92" t="e">
        <f t="shared" si="40"/>
        <v>#DIV/0!</v>
      </c>
      <c r="W150" s="101">
        <f t="shared" si="41"/>
        <v>0</v>
      </c>
      <c r="X150" s="47"/>
      <c r="AA150" s="47"/>
      <c r="AB150" s="47"/>
    </row>
    <row r="151" spans="2:29" x14ac:dyDescent="0.35">
      <c r="B151" s="510" t="s">
        <v>681</v>
      </c>
      <c r="C151" s="511"/>
      <c r="D151" s="511"/>
      <c r="E151" s="512"/>
      <c r="F151" s="181"/>
      <c r="G151" s="242"/>
      <c r="H151" s="243"/>
      <c r="I151" s="244"/>
      <c r="J151" s="181"/>
      <c r="K151" s="178"/>
      <c r="L151" s="153"/>
      <c r="M151" s="154"/>
      <c r="N151" s="155"/>
      <c r="O151" s="155"/>
      <c r="P151" s="155"/>
      <c r="Q151" s="156">
        <f>SUM(Q125:Q129)</f>
        <v>437631403.18463993</v>
      </c>
      <c r="R151" s="156"/>
      <c r="S151" s="156"/>
      <c r="T151" s="156"/>
      <c r="U151" s="156"/>
      <c r="V151" s="156"/>
      <c r="W151" s="156"/>
      <c r="X151" s="156"/>
      <c r="Y151" s="156"/>
      <c r="Z151" s="156"/>
      <c r="AA151" s="156">
        <f>Q151/$E$2</f>
        <v>14044653.503999999</v>
      </c>
      <c r="AB151" s="157">
        <f>Q151/$Q$209*100</f>
        <v>23.927501894586911</v>
      </c>
      <c r="AC151" s="78"/>
    </row>
    <row r="152" spans="2:29" x14ac:dyDescent="0.35">
      <c r="B152" s="87"/>
      <c r="C152" s="83" t="s">
        <v>764</v>
      </c>
      <c r="D152" s="88"/>
      <c r="E152" s="160"/>
      <c r="F152" s="85"/>
      <c r="G152" s="86"/>
      <c r="H152" s="87"/>
      <c r="I152" s="88"/>
      <c r="J152" s="89"/>
      <c r="K152" s="90"/>
      <c r="L152" s="90"/>
      <c r="M152" s="91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47"/>
      <c r="AA152" s="47"/>
      <c r="AB152" s="47"/>
    </row>
    <row r="153" spans="2:29" x14ac:dyDescent="0.35">
      <c r="B153" s="95"/>
      <c r="C153" s="96"/>
      <c r="D153" s="96" t="s">
        <v>164</v>
      </c>
      <c r="E153" s="97"/>
      <c r="F153" s="85" t="s">
        <v>3</v>
      </c>
      <c r="G153" s="86" t="s">
        <v>2</v>
      </c>
      <c r="H153" s="87"/>
      <c r="I153" s="88"/>
      <c r="J153" s="86"/>
      <c r="K153" s="98">
        <v>1</v>
      </c>
      <c r="L153" s="99">
        <f>E2</f>
        <v>31.159999999999997</v>
      </c>
      <c r="M153" s="92">
        <v>0.5</v>
      </c>
      <c r="N153" s="92">
        <v>1</v>
      </c>
      <c r="O153" s="92">
        <f t="shared" ref="O153:O160" si="42">K153*L153*M153*N153</f>
        <v>15.579999999999998</v>
      </c>
      <c r="P153" s="108">
        <f>VLOOKUP($F153,'Master Harga'!$E$5:$L$348,6,FALSE)</f>
        <v>151208.64000000001</v>
      </c>
      <c r="Q153" s="94">
        <f t="shared" ref="Q153:Q156" si="43">P153*$O153</f>
        <v>2355830.6112000002</v>
      </c>
      <c r="R153" s="92">
        <f>VLOOKUP($F153,'Master Harga'!$E$5:$L$348,6,FALSE)</f>
        <v>151208.64000000001</v>
      </c>
      <c r="S153" s="92">
        <f>R153*$O153</f>
        <v>2355830.6112000002</v>
      </c>
      <c r="T153" s="92">
        <f>VLOOKUP($F153,'Master Harga'!$E$5:$L$348,7,FALSE)</f>
        <v>163305.33120000002</v>
      </c>
      <c r="U153" s="92">
        <f>T153*$O153</f>
        <v>2544297.0600959999</v>
      </c>
      <c r="V153" s="92">
        <f>W153/O153</f>
        <v>155240.87040000001</v>
      </c>
      <c r="W153" s="101">
        <f>AVERAGEIF($P$4:$U$4,W$4,$P153:$U153)</f>
        <v>2418652.7608320001</v>
      </c>
      <c r="X153" s="245"/>
      <c r="Y153" s="246">
        <f>Q153/L153</f>
        <v>75604.320000000007</v>
      </c>
      <c r="Z153" s="246">
        <f>Y153/136</f>
        <v>555.9141176470589</v>
      </c>
      <c r="AA153" s="240">
        <f t="shared" ref="AA153:AA160" si="44">Q153/$E$2</f>
        <v>75604.320000000007</v>
      </c>
      <c r="AB153" s="47"/>
      <c r="AC153" s="247"/>
    </row>
    <row r="154" spans="2:29" x14ac:dyDescent="0.35">
      <c r="B154" s="136"/>
      <c r="C154" s="137"/>
      <c r="D154" s="137"/>
      <c r="E154" s="143" t="s">
        <v>723</v>
      </c>
      <c r="F154" s="85" t="s">
        <v>18</v>
      </c>
      <c r="G154" s="86" t="s">
        <v>535</v>
      </c>
      <c r="H154" s="87"/>
      <c r="I154" s="88"/>
      <c r="J154" s="86"/>
      <c r="K154" s="98">
        <v>1</v>
      </c>
      <c r="L154" s="99">
        <f>2700*L153</f>
        <v>84131.999999999985</v>
      </c>
      <c r="M154" s="92">
        <v>1</v>
      </c>
      <c r="N154" s="92">
        <v>1</v>
      </c>
      <c r="O154" s="94">
        <f t="shared" si="42"/>
        <v>84131.999999999985</v>
      </c>
      <c r="P154" s="108">
        <v>50</v>
      </c>
      <c r="Q154" s="94">
        <f t="shared" si="43"/>
        <v>4206599.9999999991</v>
      </c>
      <c r="R154" s="92">
        <f>VLOOKUP($F154,'Master Harga'!$E$5:$L$348,6,FALSE)</f>
        <v>112.00000000000001</v>
      </c>
      <c r="S154" s="92">
        <f>R154*$O154</f>
        <v>9422784</v>
      </c>
      <c r="T154" s="92">
        <f>VLOOKUP($F154,'Master Harga'!$E$5:$L$348,7,FALSE)</f>
        <v>125.44000000000003</v>
      </c>
      <c r="U154" s="92">
        <f>T154*$O154</f>
        <v>10553518.08</v>
      </c>
      <c r="V154" s="92">
        <f>W154/O154</f>
        <v>95.813333333333347</v>
      </c>
      <c r="W154" s="101">
        <f>AVERAGEIF($P$4:$U$4,W$4,$P154:$U154)</f>
        <v>8060967.3599999994</v>
      </c>
      <c r="X154" s="248"/>
      <c r="Y154" s="246">
        <f>Q154/L154</f>
        <v>50</v>
      </c>
      <c r="Z154" s="246">
        <f>Y154/136</f>
        <v>0.36764705882352944</v>
      </c>
      <c r="AA154" s="240">
        <f t="shared" si="44"/>
        <v>134999.99999999997</v>
      </c>
      <c r="AB154" s="47"/>
      <c r="AC154" s="78"/>
    </row>
    <row r="155" spans="2:29" ht="13.5" customHeight="1" x14ac:dyDescent="0.35">
      <c r="B155" s="105"/>
      <c r="C155" s="106"/>
      <c r="D155" s="163" t="s">
        <v>765</v>
      </c>
      <c r="E155" s="164"/>
      <c r="F155" s="85" t="s">
        <v>3</v>
      </c>
      <c r="G155" s="86" t="s">
        <v>2</v>
      </c>
      <c r="H155" s="87"/>
      <c r="I155" s="88"/>
      <c r="J155" s="86"/>
      <c r="K155" s="98">
        <v>1</v>
      </c>
      <c r="L155" s="99">
        <f>E2</f>
        <v>31.159999999999997</v>
      </c>
      <c r="M155" s="92">
        <f>18000/5000</f>
        <v>3.6</v>
      </c>
      <c r="N155" s="92">
        <v>1</v>
      </c>
      <c r="O155" s="92">
        <f t="shared" si="42"/>
        <v>112.17599999999999</v>
      </c>
      <c r="P155" s="92">
        <f>VLOOKUP($F155,'Master Harga'!$E$5:$L$348,6,FALSE)</f>
        <v>151208.64000000001</v>
      </c>
      <c r="Q155" s="94">
        <f t="shared" si="43"/>
        <v>16961980.40064</v>
      </c>
      <c r="R155" s="92"/>
      <c r="S155" s="92"/>
      <c r="T155" s="92"/>
      <c r="U155" s="92"/>
      <c r="V155" s="92"/>
      <c r="W155" s="101"/>
      <c r="X155" s="249" t="s">
        <v>634</v>
      </c>
      <c r="Y155" s="246"/>
      <c r="Z155" s="246"/>
      <c r="AA155" s="240">
        <f t="shared" si="44"/>
        <v>544351.10400000005</v>
      </c>
      <c r="AB155" s="47"/>
      <c r="AC155" s="78"/>
    </row>
    <row r="156" spans="2:29" ht="13.5" customHeight="1" x14ac:dyDescent="0.35">
      <c r="B156" s="105"/>
      <c r="C156" s="106"/>
      <c r="D156" s="250" t="s">
        <v>588</v>
      </c>
      <c r="E156" s="164"/>
      <c r="F156" s="85" t="s">
        <v>3</v>
      </c>
      <c r="G156" s="86" t="s">
        <v>534</v>
      </c>
      <c r="H156" s="87"/>
      <c r="I156" s="88"/>
      <c r="J156" s="86"/>
      <c r="K156" s="98">
        <v>1</v>
      </c>
      <c r="L156" s="99">
        <f>E2</f>
        <v>31.159999999999997</v>
      </c>
      <c r="M156" s="92">
        <f>M155</f>
        <v>3.6</v>
      </c>
      <c r="N156" s="92">
        <v>1</v>
      </c>
      <c r="O156" s="251">
        <f t="shared" si="42"/>
        <v>112.17599999999999</v>
      </c>
      <c r="P156" s="92">
        <f>VLOOKUP($F156,'Master Harga'!$E$5:$L$348,6,FALSE)</f>
        <v>151208.64000000001</v>
      </c>
      <c r="Q156" s="94">
        <f t="shared" si="43"/>
        <v>16961980.40064</v>
      </c>
      <c r="R156" s="92"/>
      <c r="S156" s="92"/>
      <c r="T156" s="92"/>
      <c r="U156" s="92"/>
      <c r="V156" s="92"/>
      <c r="W156" s="101"/>
      <c r="X156" s="249" t="s">
        <v>634</v>
      </c>
      <c r="Y156" s="246"/>
      <c r="Z156" s="246"/>
      <c r="AA156" s="240">
        <f t="shared" si="44"/>
        <v>544351.10400000005</v>
      </c>
      <c r="AB156" s="182"/>
      <c r="AC156" s="78"/>
    </row>
    <row r="157" spans="2:29" ht="13.5" customHeight="1" x14ac:dyDescent="0.35">
      <c r="B157" s="105"/>
      <c r="C157" s="106"/>
      <c r="D157" s="106" t="s">
        <v>732</v>
      </c>
      <c r="E157" s="112"/>
      <c r="F157" s="85" t="s">
        <v>106</v>
      </c>
      <c r="G157" s="86" t="s">
        <v>117</v>
      </c>
      <c r="H157" s="87"/>
      <c r="I157" s="88"/>
      <c r="J157" s="86" t="s">
        <v>8</v>
      </c>
      <c r="K157" s="98">
        <v>1</v>
      </c>
      <c r="L157" s="99">
        <f>O158/1000</f>
        <v>6.2320000000000002</v>
      </c>
      <c r="M157" s="92">
        <v>1</v>
      </c>
      <c r="N157" s="92">
        <v>1</v>
      </c>
      <c r="O157" s="92">
        <f t="shared" si="42"/>
        <v>6.2320000000000002</v>
      </c>
      <c r="P157" s="108">
        <v>75000</v>
      </c>
      <c r="Q157" s="94">
        <f>P157*$O157</f>
        <v>467400</v>
      </c>
      <c r="R157" s="92">
        <f>VLOOKUP($F157,'Master Harga'!$E$5:$L$348,6,FALSE)</f>
        <v>72400</v>
      </c>
      <c r="S157" s="92">
        <f>R157*$O157</f>
        <v>451196.8</v>
      </c>
      <c r="T157" s="92">
        <f>VLOOKUP($F157,'Master Harga'!$E$5:$L$348,7,FALSE)</f>
        <v>82536</v>
      </c>
      <c r="U157" s="92">
        <f>T157*$O157</f>
        <v>514364.35200000001</v>
      </c>
      <c r="V157" s="92">
        <f>W157/O157</f>
        <v>76645.333333333328</v>
      </c>
      <c r="W157" s="101">
        <f>AVERAGEIF($P$4:$U$4,W$4,$P157:$U157)</f>
        <v>477653.71733333333</v>
      </c>
      <c r="X157" s="47"/>
      <c r="Z157" s="79">
        <f>W157</f>
        <v>477653.71733333333</v>
      </c>
      <c r="AA157" s="240">
        <f t="shared" si="44"/>
        <v>15000.000000000002</v>
      </c>
      <c r="AB157" s="47"/>
      <c r="AC157" s="78"/>
    </row>
    <row r="158" spans="2:29" ht="13.5" customHeight="1" x14ac:dyDescent="0.35">
      <c r="B158" s="105"/>
      <c r="C158" s="106"/>
      <c r="D158" s="163"/>
      <c r="E158" s="164"/>
      <c r="F158" s="85" t="s">
        <v>79</v>
      </c>
      <c r="G158" s="86" t="s">
        <v>7</v>
      </c>
      <c r="H158" s="87"/>
      <c r="I158" s="88"/>
      <c r="J158" s="86" t="s">
        <v>7</v>
      </c>
      <c r="K158" s="98">
        <v>1</v>
      </c>
      <c r="L158" s="252">
        <f>8000*E2</f>
        <v>249279.99999999997</v>
      </c>
      <c r="M158" s="92">
        <f>25/1000</f>
        <v>2.5000000000000001E-2</v>
      </c>
      <c r="N158" s="92">
        <v>1</v>
      </c>
      <c r="O158" s="92">
        <f t="shared" si="42"/>
        <v>6232</v>
      </c>
      <c r="P158" s="94">
        <f>VLOOKUP($F158,'Master Harga'!$E$5:$L$348,6,FALSE)</f>
        <v>3220</v>
      </c>
      <c r="Q158" s="94">
        <f t="shared" ref="Q158" si="45">P158*$O158</f>
        <v>20067040</v>
      </c>
      <c r="R158" s="92">
        <f>VLOOKUP($F158,'Master Harga'!$E$5:$L$348,6,FALSE)</f>
        <v>3220</v>
      </c>
      <c r="S158" s="92">
        <f t="shared" ref="S158" si="46">R158*$O158</f>
        <v>20067040</v>
      </c>
      <c r="T158" s="92">
        <f>VLOOKUP($F158,'Master Harga'!$E$5:$L$348,7,FALSE)</f>
        <v>4508</v>
      </c>
      <c r="U158" s="92">
        <f t="shared" ref="U158" si="47">T158*$O158</f>
        <v>28093856</v>
      </c>
      <c r="V158" s="92">
        <f t="shared" ref="V158" si="48">W158/O158</f>
        <v>3649.333333333333</v>
      </c>
      <c r="W158" s="101">
        <f t="shared" ref="W158" si="49">AVERAGEIF($P$4:$U$4,W$4,$P158:$U158)</f>
        <v>22742645.333333332</v>
      </c>
      <c r="X158" s="47" t="s">
        <v>605</v>
      </c>
      <c r="AA158" s="240">
        <f t="shared" si="44"/>
        <v>644000.00000000012</v>
      </c>
      <c r="AB158" s="47"/>
      <c r="AC158" s="78"/>
    </row>
    <row r="159" spans="2:29" x14ac:dyDescent="0.35">
      <c r="B159" s="95"/>
      <c r="C159" s="96"/>
      <c r="D159" s="103" t="s">
        <v>690</v>
      </c>
      <c r="E159" s="104"/>
      <c r="F159" s="85" t="s">
        <v>3</v>
      </c>
      <c r="G159" s="86" t="s">
        <v>2</v>
      </c>
      <c r="H159" s="87"/>
      <c r="I159" s="88"/>
      <c r="J159" s="86" t="s">
        <v>534</v>
      </c>
      <c r="K159" s="98">
        <v>1</v>
      </c>
      <c r="L159" s="86">
        <f>L160</f>
        <v>311.59999999999997</v>
      </c>
      <c r="M159" s="92">
        <v>2.84</v>
      </c>
      <c r="N159" s="92">
        <v>1</v>
      </c>
      <c r="O159" s="92">
        <f t="shared" si="42"/>
        <v>884.94399999999985</v>
      </c>
      <c r="P159" s="108">
        <f>VLOOKUP($F159,'Master Harga'!$E$5:$L$348,6,FALSE)</f>
        <v>151208.64000000001</v>
      </c>
      <c r="Q159" s="94">
        <f>P159*$O159</f>
        <v>133811178.71615998</v>
      </c>
      <c r="R159" s="92">
        <f>VLOOKUP($F159,'Master Harga'!$E$5:$L$348,6,FALSE)</f>
        <v>151208.64000000001</v>
      </c>
      <c r="S159" s="92">
        <f>R159*$O159</f>
        <v>133811178.71615998</v>
      </c>
      <c r="T159" s="92">
        <f>VLOOKUP($F159,'Master Harga'!$E$5:$L$348,7,FALSE)</f>
        <v>163305.33120000002</v>
      </c>
      <c r="U159" s="92">
        <f>T159*$O159</f>
        <v>144516073.0134528</v>
      </c>
      <c r="V159" s="92">
        <f>W159/O159</f>
        <v>155240.87040000001</v>
      </c>
      <c r="W159" s="101">
        <f>AVERAGEIF($P$4:$U$4,W$4,$P159:$U159)</f>
        <v>137379476.81525758</v>
      </c>
      <c r="X159" s="47" t="s">
        <v>598</v>
      </c>
      <c r="Z159" s="79">
        <f>W159</f>
        <v>137379476.81525758</v>
      </c>
      <c r="AA159" s="240">
        <f t="shared" si="44"/>
        <v>4294325.3760000002</v>
      </c>
      <c r="AB159" s="47"/>
      <c r="AC159" s="246"/>
    </row>
    <row r="160" spans="2:29" x14ac:dyDescent="0.35">
      <c r="B160" s="129"/>
      <c r="C160" s="130"/>
      <c r="D160" s="106" t="s">
        <v>733</v>
      </c>
      <c r="E160" s="112"/>
      <c r="F160" s="85" t="s">
        <v>105</v>
      </c>
      <c r="G160" s="89" t="s">
        <v>8</v>
      </c>
      <c r="H160" s="87"/>
      <c r="I160" s="88"/>
      <c r="J160" s="86" t="s">
        <v>8</v>
      </c>
      <c r="K160" s="98">
        <v>1</v>
      </c>
      <c r="L160" s="86">
        <f>10*E2</f>
        <v>311.59999999999997</v>
      </c>
      <c r="M160" s="92">
        <v>1</v>
      </c>
      <c r="N160" s="92">
        <v>1</v>
      </c>
      <c r="O160" s="92">
        <f t="shared" si="42"/>
        <v>311.59999999999997</v>
      </c>
      <c r="P160" s="108">
        <f>VLOOKUP($F160,'Master Harga'!$E$5:$L$348,6,FALSE)</f>
        <v>71700</v>
      </c>
      <c r="Q160" s="94">
        <f>P160*$O160</f>
        <v>22341719.999999996</v>
      </c>
      <c r="R160" s="92">
        <f>VLOOKUP($F160,'Master Harga'!$E$5:$L$348,6,FALSE)</f>
        <v>71700</v>
      </c>
      <c r="S160" s="92">
        <f>R160*$O160</f>
        <v>22341719.999999996</v>
      </c>
      <c r="T160" s="92">
        <f>VLOOKUP($F160,'Master Harga'!$E$5:$L$348,7,FALSE)</f>
        <v>81738</v>
      </c>
      <c r="U160" s="92">
        <f>T160*$O160</f>
        <v>25469560.799999997</v>
      </c>
      <c r="V160" s="92">
        <f>W160/O160</f>
        <v>75045.999999999985</v>
      </c>
      <c r="W160" s="101">
        <f>AVERAGEIF($P$4:$U$4,W$4,$P160:$U160)</f>
        <v>23384333.599999994</v>
      </c>
      <c r="X160" s="47" t="s">
        <v>598</v>
      </c>
      <c r="Z160" s="79">
        <f>W160</f>
        <v>23384333.599999994</v>
      </c>
      <c r="AA160" s="240">
        <f t="shared" si="44"/>
        <v>717000</v>
      </c>
      <c r="AB160" s="47"/>
    </row>
    <row r="161" spans="1:29" s="19" customFormat="1" x14ac:dyDescent="0.35">
      <c r="A161" s="49"/>
      <c r="B161" s="510" t="s">
        <v>766</v>
      </c>
      <c r="C161" s="511"/>
      <c r="D161" s="511"/>
      <c r="E161" s="512"/>
      <c r="F161" s="195"/>
      <c r="G161" s="196"/>
      <c r="H161" s="197"/>
      <c r="I161" s="198"/>
      <c r="J161" s="196"/>
      <c r="K161" s="200"/>
      <c r="L161" s="200"/>
      <c r="M161" s="201"/>
      <c r="N161" s="161"/>
      <c r="O161" s="161"/>
      <c r="P161" s="161"/>
      <c r="Q161" s="156">
        <f>SUM(Q153:Q160)</f>
        <v>217173730.12864</v>
      </c>
      <c r="R161" s="156"/>
      <c r="S161" s="156">
        <f>SUM(S129:S160)</f>
        <v>212008056.23935997</v>
      </c>
      <c r="T161" s="156"/>
      <c r="U161" s="156">
        <f>SUM(U129:U160)</f>
        <v>237134639.9065088</v>
      </c>
      <c r="V161" s="156"/>
      <c r="W161" s="156">
        <f>SUM(W129:W160)</f>
        <v>218650257.19507623</v>
      </c>
      <c r="X161" s="156"/>
      <c r="Y161" s="156"/>
      <c r="Z161" s="156"/>
      <c r="AA161" s="156">
        <f>Q161/$E$2</f>
        <v>6969631.904000001</v>
      </c>
      <c r="AB161" s="157">
        <f>Q161/$Q$209*100</f>
        <v>11.873976139036644</v>
      </c>
      <c r="AC161" s="78"/>
    </row>
    <row r="162" spans="1:29" x14ac:dyDescent="0.35">
      <c r="B162" s="87"/>
      <c r="C162" s="83" t="s">
        <v>767</v>
      </c>
      <c r="D162" s="88"/>
      <c r="E162" s="160"/>
      <c r="F162" s="85"/>
      <c r="G162" s="86"/>
      <c r="H162" s="87"/>
      <c r="I162" s="88"/>
      <c r="J162" s="86"/>
      <c r="K162" s="90"/>
      <c r="L162" s="90"/>
      <c r="M162" s="91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47"/>
      <c r="AA162" s="47"/>
      <c r="AB162" s="47"/>
    </row>
    <row r="163" spans="1:29" hidden="1" x14ac:dyDescent="0.35">
      <c r="B163" s="87"/>
      <c r="C163" s="83"/>
      <c r="D163" s="88" t="s">
        <v>172</v>
      </c>
      <c r="E163" s="160"/>
      <c r="F163" s="85"/>
      <c r="G163" s="86"/>
      <c r="H163" s="87"/>
      <c r="I163" s="88"/>
      <c r="J163" s="86"/>
      <c r="K163" s="90"/>
      <c r="L163" s="90"/>
      <c r="M163" s="91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47"/>
      <c r="AA163" s="47"/>
      <c r="AB163" s="47"/>
    </row>
    <row r="164" spans="1:29" hidden="1" x14ac:dyDescent="0.35">
      <c r="B164" s="95"/>
      <c r="C164" s="96"/>
      <c r="D164" s="96"/>
      <c r="E164" s="97" t="s">
        <v>137</v>
      </c>
      <c r="F164" s="85" t="s">
        <v>3</v>
      </c>
      <c r="G164" s="86" t="s">
        <v>2</v>
      </c>
      <c r="H164" s="87"/>
      <c r="I164" s="88"/>
      <c r="J164" s="86"/>
      <c r="K164" s="90"/>
      <c r="L164" s="90"/>
      <c r="M164" s="91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47"/>
      <c r="AA164" s="47"/>
      <c r="AB164" s="47"/>
    </row>
    <row r="165" spans="1:29" hidden="1" x14ac:dyDescent="0.35">
      <c r="B165" s="129"/>
      <c r="C165" s="130"/>
      <c r="D165" s="130"/>
      <c r="E165" s="131"/>
      <c r="F165" s="85" t="s">
        <v>69</v>
      </c>
      <c r="G165" s="86" t="s">
        <v>63</v>
      </c>
      <c r="H165" s="87"/>
      <c r="I165" s="88"/>
      <c r="J165" s="86"/>
      <c r="K165" s="90"/>
      <c r="L165" s="90"/>
      <c r="M165" s="91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47"/>
      <c r="AA165" s="47"/>
      <c r="AB165" s="47"/>
    </row>
    <row r="166" spans="1:29" hidden="1" x14ac:dyDescent="0.35">
      <c r="B166" s="136"/>
      <c r="C166" s="137"/>
      <c r="D166" s="137"/>
      <c r="E166" s="143"/>
      <c r="F166" s="85" t="s">
        <v>175</v>
      </c>
      <c r="G166" s="86" t="s">
        <v>19</v>
      </c>
      <c r="H166" s="87"/>
      <c r="I166" s="88"/>
      <c r="J166" s="86"/>
      <c r="K166" s="90"/>
      <c r="L166" s="90"/>
      <c r="M166" s="91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47"/>
      <c r="AA166" s="47"/>
      <c r="AB166" s="47"/>
    </row>
    <row r="167" spans="1:29" hidden="1" x14ac:dyDescent="0.35">
      <c r="B167" s="95"/>
      <c r="C167" s="96"/>
      <c r="D167" s="96"/>
      <c r="E167" s="97" t="s">
        <v>136</v>
      </c>
      <c r="F167" s="85" t="s">
        <v>3</v>
      </c>
      <c r="G167" s="86" t="s">
        <v>2</v>
      </c>
      <c r="H167" s="87"/>
      <c r="I167" s="88"/>
      <c r="J167" s="86"/>
      <c r="K167" s="98"/>
      <c r="L167" s="90"/>
      <c r="M167" s="92">
        <v>0.25</v>
      </c>
      <c r="N167" s="92">
        <v>2</v>
      </c>
      <c r="O167" s="92">
        <f>K167*L167*M167*N167</f>
        <v>0</v>
      </c>
      <c r="P167" s="108">
        <f>VLOOKUP($F167,'Master Harga'!$E$5:$L$348,6,FALSE)</f>
        <v>151208.64000000001</v>
      </c>
      <c r="Q167" s="94">
        <f>P167*$O167</f>
        <v>0</v>
      </c>
      <c r="R167" s="92">
        <f>VLOOKUP($F167,'Master Harga'!$E$5:$L$348,6,FALSE)</f>
        <v>151208.64000000001</v>
      </c>
      <c r="S167" s="92">
        <f>R167*$O167</f>
        <v>0</v>
      </c>
      <c r="T167" s="92">
        <f>VLOOKUP($F167,'Master Harga'!$E$5:$L$348,7,FALSE)</f>
        <v>163305.33120000002</v>
      </c>
      <c r="U167" s="92">
        <f>T167*$O167</f>
        <v>0</v>
      </c>
      <c r="V167" s="92" t="e">
        <f>W167/O167</f>
        <v>#DIV/0!</v>
      </c>
      <c r="W167" s="101">
        <f>AVERAGEIF($P$4:$U$4,W$4,$P167:$U167)</f>
        <v>0</v>
      </c>
      <c r="X167" s="47"/>
      <c r="AA167" s="240">
        <f t="shared" ref="AA167:AA170" si="50">Q167/$E$2</f>
        <v>0</v>
      </c>
      <c r="AB167" s="47"/>
    </row>
    <row r="168" spans="1:29" hidden="1" x14ac:dyDescent="0.35">
      <c r="B168" s="136"/>
      <c r="C168" s="137"/>
      <c r="D168" s="137"/>
      <c r="E168" s="143"/>
      <c r="F168" s="85" t="s">
        <v>68</v>
      </c>
      <c r="G168" s="86" t="s">
        <v>7</v>
      </c>
      <c r="H168" s="87"/>
      <c r="I168" s="88"/>
      <c r="J168" s="86"/>
      <c r="K168" s="98"/>
      <c r="L168" s="90"/>
      <c r="M168" s="192">
        <v>1.0880000000000001</v>
      </c>
      <c r="N168" s="92">
        <v>2</v>
      </c>
      <c r="O168" s="92">
        <f>K168*L168*M168*N168</f>
        <v>0</v>
      </c>
      <c r="P168" s="108">
        <f>VLOOKUP($F168,'Master Harga'!$E$5:$L$348,6,FALSE)</f>
        <v>34272</v>
      </c>
      <c r="Q168" s="94">
        <f>P168*$O168</f>
        <v>0</v>
      </c>
      <c r="R168" s="92">
        <f>VLOOKUP($F168,'Master Harga'!$E$5:$L$348,6,FALSE)</f>
        <v>34272</v>
      </c>
      <c r="S168" s="92">
        <f>R168*$O168</f>
        <v>0</v>
      </c>
      <c r="T168" s="92">
        <f>VLOOKUP($F168,'Master Harga'!$E$5:$L$348,7,FALSE)</f>
        <v>39070.079999999994</v>
      </c>
      <c r="U168" s="92">
        <f>T168*$O168</f>
        <v>0</v>
      </c>
      <c r="V168" s="92" t="e">
        <f>W168/O168</f>
        <v>#DIV/0!</v>
      </c>
      <c r="W168" s="101">
        <f>AVERAGEIF($P$4:$U$4,W$4,$P168:$U168)</f>
        <v>0</v>
      </c>
      <c r="X168" s="47"/>
      <c r="AA168" s="240">
        <f t="shared" si="50"/>
        <v>0</v>
      </c>
      <c r="AB168" s="47"/>
    </row>
    <row r="169" spans="1:29" hidden="1" x14ac:dyDescent="0.35">
      <c r="B169" s="95"/>
      <c r="C169" s="96"/>
      <c r="D169" s="103"/>
      <c r="E169" s="104" t="s">
        <v>165</v>
      </c>
      <c r="F169" s="85" t="s">
        <v>3</v>
      </c>
      <c r="G169" s="86" t="s">
        <v>2</v>
      </c>
      <c r="H169" s="87"/>
      <c r="I169" s="88"/>
      <c r="J169" s="86"/>
      <c r="K169" s="98"/>
      <c r="L169" s="90"/>
      <c r="M169" s="92">
        <v>0.25</v>
      </c>
      <c r="N169" s="92">
        <v>3</v>
      </c>
      <c r="O169" s="92">
        <f>K169*L169*M169*N169</f>
        <v>0</v>
      </c>
      <c r="P169" s="108">
        <f>VLOOKUP($F169,'Master Harga'!$E$5:$L$348,6,FALSE)</f>
        <v>151208.64000000001</v>
      </c>
      <c r="Q169" s="94">
        <f>P169*$O169</f>
        <v>0</v>
      </c>
      <c r="R169" s="92"/>
      <c r="S169" s="92"/>
      <c r="T169" s="92"/>
      <c r="U169" s="92"/>
      <c r="V169" s="92"/>
      <c r="W169" s="92"/>
      <c r="X169" s="47"/>
      <c r="AA169" s="240">
        <f t="shared" si="50"/>
        <v>0</v>
      </c>
      <c r="AB169" s="47"/>
    </row>
    <row r="170" spans="1:29" hidden="1" x14ac:dyDescent="0.35">
      <c r="B170" s="129"/>
      <c r="C170" s="130"/>
      <c r="D170" s="130"/>
      <c r="E170" s="131"/>
      <c r="F170" s="85" t="s">
        <v>73</v>
      </c>
      <c r="G170" s="86" t="s">
        <v>604</v>
      </c>
      <c r="H170" s="87"/>
      <c r="I170" s="88"/>
      <c r="J170" s="86"/>
      <c r="K170" s="98"/>
      <c r="L170" s="90"/>
      <c r="M170" s="92">
        <f>5*136/1000</f>
        <v>0.68</v>
      </c>
      <c r="N170" s="92">
        <v>3</v>
      </c>
      <c r="O170" s="92">
        <f>K170*L170*M170*N170</f>
        <v>0</v>
      </c>
      <c r="P170" s="108">
        <f>VLOOKUP($F170,'Master Harga'!$E$5:$L$348,6,FALSE)</f>
        <v>34546.175999999999</v>
      </c>
      <c r="Q170" s="94">
        <f>P170*$O170</f>
        <v>0</v>
      </c>
      <c r="R170" s="92"/>
      <c r="S170" s="92"/>
      <c r="T170" s="92"/>
      <c r="U170" s="92"/>
      <c r="V170" s="92"/>
      <c r="W170" s="92"/>
      <c r="X170" s="47" t="s">
        <v>598</v>
      </c>
      <c r="AA170" s="240">
        <f t="shared" si="50"/>
        <v>0</v>
      </c>
      <c r="AB170" s="47"/>
    </row>
    <row r="171" spans="1:29" hidden="1" x14ac:dyDescent="0.35">
      <c r="B171" s="129"/>
      <c r="C171" s="130"/>
      <c r="D171" s="130"/>
      <c r="E171" s="131"/>
      <c r="F171" s="85" t="s">
        <v>76</v>
      </c>
      <c r="G171" s="86" t="s">
        <v>77</v>
      </c>
      <c r="H171" s="87"/>
      <c r="I171" s="88"/>
      <c r="J171" s="86"/>
      <c r="K171" s="90"/>
      <c r="L171" s="90"/>
      <c r="M171" s="91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47"/>
      <c r="AA171" s="47"/>
      <c r="AB171" s="47"/>
    </row>
    <row r="172" spans="1:29" hidden="1" x14ac:dyDescent="0.35">
      <c r="B172" s="129"/>
      <c r="C172" s="130"/>
      <c r="D172" s="130"/>
      <c r="E172" s="131"/>
      <c r="F172" s="85" t="s">
        <v>71</v>
      </c>
      <c r="G172" s="86" t="s">
        <v>7</v>
      </c>
      <c r="H172" s="87"/>
      <c r="I172" s="88"/>
      <c r="J172" s="86"/>
      <c r="K172" s="90"/>
      <c r="L172" s="90"/>
      <c r="M172" s="91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47"/>
      <c r="AA172" s="47"/>
      <c r="AB172" s="47"/>
    </row>
    <row r="173" spans="1:29" hidden="1" x14ac:dyDescent="0.35">
      <c r="B173" s="136"/>
      <c r="C173" s="137"/>
      <c r="D173" s="137"/>
      <c r="E173" s="143"/>
      <c r="F173" s="85" t="s">
        <v>30</v>
      </c>
      <c r="G173" s="86" t="s">
        <v>19</v>
      </c>
      <c r="H173" s="87"/>
      <c r="I173" s="88"/>
      <c r="J173" s="86"/>
      <c r="K173" s="98"/>
      <c r="L173" s="90"/>
      <c r="M173" s="92">
        <v>1</v>
      </c>
      <c r="N173" s="92">
        <v>1</v>
      </c>
      <c r="O173" s="94">
        <f>K173*L173*M173*N173</f>
        <v>0</v>
      </c>
      <c r="P173" s="94">
        <v>25000</v>
      </c>
      <c r="Q173" s="94">
        <f>P173*$O173</f>
        <v>0</v>
      </c>
      <c r="R173" s="92"/>
      <c r="S173" s="92"/>
      <c r="T173" s="92"/>
      <c r="U173" s="92"/>
      <c r="V173" s="92"/>
      <c r="W173" s="92"/>
      <c r="X173" s="47"/>
      <c r="AA173" s="47"/>
      <c r="AB173" s="47"/>
    </row>
    <row r="174" spans="1:29" hidden="1" x14ac:dyDescent="0.35">
      <c r="B174" s="95"/>
      <c r="C174" s="96"/>
      <c r="D174" s="96"/>
      <c r="E174" s="97" t="s">
        <v>613</v>
      </c>
      <c r="F174" s="85" t="s">
        <v>3</v>
      </c>
      <c r="G174" s="86" t="s">
        <v>2</v>
      </c>
      <c r="H174" s="87"/>
      <c r="I174" s="88"/>
      <c r="J174" s="86"/>
      <c r="K174" s="98"/>
      <c r="L174" s="253"/>
      <c r="M174" s="100">
        <v>3</v>
      </c>
      <c r="N174" s="92">
        <v>1</v>
      </c>
      <c r="O174" s="92">
        <f>K174*L174*M174*N174</f>
        <v>0</v>
      </c>
      <c r="P174" s="92">
        <v>140008</v>
      </c>
      <c r="Q174" s="94">
        <f>P174*$O174</f>
        <v>0</v>
      </c>
      <c r="R174" s="92"/>
      <c r="S174" s="92"/>
      <c r="T174" s="92"/>
      <c r="U174" s="92"/>
      <c r="V174" s="92"/>
      <c r="W174" s="92"/>
      <c r="X174" s="47" t="s">
        <v>616</v>
      </c>
      <c r="AA174" s="94">
        <v>0</v>
      </c>
      <c r="AB174" s="47"/>
    </row>
    <row r="175" spans="1:29" hidden="1" x14ac:dyDescent="0.35">
      <c r="B175" s="129"/>
      <c r="C175" s="130"/>
      <c r="D175" s="130"/>
      <c r="E175" s="131"/>
      <c r="F175" s="85" t="s">
        <v>512</v>
      </c>
      <c r="G175" s="86" t="s">
        <v>7</v>
      </c>
      <c r="H175" s="87"/>
      <c r="I175" s="88"/>
      <c r="J175" s="86"/>
      <c r="K175" s="98"/>
      <c r="L175" s="253"/>
      <c r="M175" s="94">
        <f>0.5*136</f>
        <v>68</v>
      </c>
      <c r="N175" s="94">
        <v>1</v>
      </c>
      <c r="O175" s="92">
        <f>K175*L175*M175*N175</f>
        <v>0</v>
      </c>
      <c r="P175" s="94">
        <f>VLOOKUP($F175,'Master Harga'!$E$5:$L$348,5,FALSE)</f>
        <v>24786</v>
      </c>
      <c r="Q175" s="92">
        <f>P175*$O175</f>
        <v>0</v>
      </c>
      <c r="R175" s="92"/>
      <c r="S175" s="92"/>
      <c r="T175" s="92"/>
      <c r="U175" s="92"/>
      <c r="V175" s="92"/>
      <c r="W175" s="92"/>
      <c r="X175" s="47" t="s">
        <v>614</v>
      </c>
      <c r="AA175" s="94">
        <v>0</v>
      </c>
      <c r="AB175" s="47"/>
    </row>
    <row r="176" spans="1:29" hidden="1" x14ac:dyDescent="0.35">
      <c r="B176" s="136"/>
      <c r="C176" s="137"/>
      <c r="D176" s="137"/>
      <c r="E176" s="143"/>
      <c r="F176" s="85" t="s">
        <v>608</v>
      </c>
      <c r="G176" s="86" t="s">
        <v>7</v>
      </c>
      <c r="H176" s="87"/>
      <c r="I176" s="88"/>
      <c r="J176" s="86"/>
      <c r="K176" s="98"/>
      <c r="L176" s="253"/>
      <c r="M176" s="94">
        <f>0.2*136</f>
        <v>27.200000000000003</v>
      </c>
      <c r="N176" s="94">
        <v>1</v>
      </c>
      <c r="O176" s="92">
        <f>K176*L176*M176*N176</f>
        <v>0</v>
      </c>
      <c r="P176" s="94">
        <f>VLOOKUP($F176,'Master Harga'!$E$5:$L$348,5,FALSE)</f>
        <v>42220</v>
      </c>
      <c r="Q176" s="92">
        <f>P176*$O176</f>
        <v>0</v>
      </c>
      <c r="R176" s="92"/>
      <c r="S176" s="92"/>
      <c r="T176" s="92"/>
      <c r="U176" s="92"/>
      <c r="V176" s="92"/>
      <c r="W176" s="92"/>
      <c r="X176" s="47" t="s">
        <v>615</v>
      </c>
      <c r="AA176" s="94">
        <v>0</v>
      </c>
      <c r="AB176" s="47"/>
    </row>
    <row r="177" spans="1:29" hidden="1" x14ac:dyDescent="0.35">
      <c r="B177" s="95"/>
      <c r="C177" s="96"/>
      <c r="D177" s="96"/>
      <c r="E177" s="97" t="s">
        <v>166</v>
      </c>
      <c r="F177" s="85" t="s">
        <v>3</v>
      </c>
      <c r="G177" s="86" t="s">
        <v>2</v>
      </c>
      <c r="H177" s="87"/>
      <c r="I177" s="88"/>
      <c r="J177" s="86"/>
      <c r="K177" s="90"/>
      <c r="L177" s="90"/>
      <c r="M177" s="100">
        <v>22.5</v>
      </c>
      <c r="N177" s="100">
        <v>1</v>
      </c>
      <c r="O177" s="92"/>
      <c r="P177" s="92"/>
      <c r="Q177" s="92"/>
      <c r="R177" s="92"/>
      <c r="S177" s="92"/>
      <c r="T177" s="92"/>
      <c r="U177" s="92"/>
      <c r="V177" s="92"/>
      <c r="W177" s="92"/>
      <c r="X177" s="47"/>
      <c r="AA177" s="47"/>
      <c r="AB177" s="47"/>
    </row>
    <row r="178" spans="1:29" hidden="1" x14ac:dyDescent="0.35">
      <c r="B178" s="129"/>
      <c r="C178" s="130"/>
      <c r="D178" s="130"/>
      <c r="E178" s="131"/>
      <c r="F178" s="85" t="s">
        <v>179</v>
      </c>
      <c r="G178" s="86" t="s">
        <v>181</v>
      </c>
      <c r="H178" s="87"/>
      <c r="I178" s="88"/>
      <c r="J178" s="86"/>
      <c r="K178" s="90"/>
      <c r="L178" s="90"/>
      <c r="M178" s="100">
        <v>0.27200000000000002</v>
      </c>
      <c r="N178" s="100">
        <v>1</v>
      </c>
      <c r="O178" s="92"/>
      <c r="P178" s="92"/>
      <c r="Q178" s="92"/>
      <c r="R178" s="92"/>
      <c r="S178" s="92"/>
      <c r="T178" s="92"/>
      <c r="U178" s="92"/>
      <c r="V178" s="92"/>
      <c r="W178" s="220"/>
      <c r="X178" s="133"/>
      <c r="AA178" s="47"/>
      <c r="AB178" s="47"/>
    </row>
    <row r="179" spans="1:29" hidden="1" x14ac:dyDescent="0.35">
      <c r="B179" s="129"/>
      <c r="C179" s="130"/>
      <c r="D179" s="130"/>
      <c r="E179" s="131"/>
      <c r="F179" s="85" t="s">
        <v>180</v>
      </c>
      <c r="G179" s="86" t="s">
        <v>7</v>
      </c>
      <c r="H179" s="87"/>
      <c r="I179" s="88"/>
      <c r="J179" s="86"/>
      <c r="K179" s="90"/>
      <c r="L179" s="90"/>
      <c r="M179" s="100">
        <v>0.13600000000000001</v>
      </c>
      <c r="N179" s="100">
        <v>1</v>
      </c>
      <c r="O179" s="92"/>
      <c r="P179" s="92"/>
      <c r="Q179" s="94"/>
      <c r="R179" s="92"/>
      <c r="S179" s="92"/>
      <c r="T179" s="92"/>
      <c r="U179" s="92"/>
      <c r="V179" s="92"/>
      <c r="W179" s="220"/>
      <c r="X179" s="133"/>
      <c r="AA179" s="47"/>
      <c r="AB179" s="47"/>
    </row>
    <row r="180" spans="1:29" x14ac:dyDescent="0.35">
      <c r="B180" s="95"/>
      <c r="C180" s="96"/>
      <c r="D180" s="96" t="s">
        <v>167</v>
      </c>
      <c r="E180" s="97"/>
      <c r="F180" s="85" t="s">
        <v>3</v>
      </c>
      <c r="G180" s="86" t="s">
        <v>2</v>
      </c>
      <c r="H180" s="87"/>
      <c r="I180" s="88"/>
      <c r="J180" s="86" t="s">
        <v>113</v>
      </c>
      <c r="K180" s="98">
        <v>0.2</v>
      </c>
      <c r="L180" s="99">
        <f>E2</f>
        <v>31.159999999999997</v>
      </c>
      <c r="M180" s="92">
        <v>2.5</v>
      </c>
      <c r="N180" s="92">
        <v>3</v>
      </c>
      <c r="O180" s="94">
        <f>K180*L180*M180*N180</f>
        <v>46.739999999999995</v>
      </c>
      <c r="P180" s="108">
        <f>VLOOKUP($F180,'Master Harga'!$E$5:$L$348,6,FALSE)</f>
        <v>151208.64000000001</v>
      </c>
      <c r="Q180" s="94">
        <f>P180*$O180</f>
        <v>7067491.8335999995</v>
      </c>
      <c r="R180" s="92">
        <f>VLOOKUP($F180,'Master Harga'!$E$5:$L$348,6,FALSE)</f>
        <v>151208.64000000001</v>
      </c>
      <c r="S180" s="92">
        <f>R180*$O180</f>
        <v>7067491.8335999995</v>
      </c>
      <c r="T180" s="92">
        <f>VLOOKUP($F180,'Master Harga'!$E$5:$L$348,7,FALSE)</f>
        <v>163305.33120000002</v>
      </c>
      <c r="U180" s="92">
        <f>T180*$O180</f>
        <v>7632891.180288</v>
      </c>
      <c r="V180" s="92">
        <f>W180/O180</f>
        <v>155240.87040000004</v>
      </c>
      <c r="W180" s="101">
        <f>AVERAGEIF($P$4:$U$4,W$4,$P180:$U180)</f>
        <v>7255958.2824960006</v>
      </c>
      <c r="X180" s="254"/>
      <c r="AA180" s="123">
        <f t="shared" ref="AA180:AA183" si="51">Q180/$E$2</f>
        <v>226812.96000000002</v>
      </c>
      <c r="AB180" s="47"/>
      <c r="AC180" s="222"/>
    </row>
    <row r="181" spans="1:29" x14ac:dyDescent="0.35">
      <c r="B181" s="136"/>
      <c r="C181" s="137"/>
      <c r="D181" s="137"/>
      <c r="E181" s="143"/>
      <c r="F181" s="85" t="s">
        <v>25</v>
      </c>
      <c r="G181" s="86" t="s">
        <v>19</v>
      </c>
      <c r="H181" s="87"/>
      <c r="I181" s="88"/>
      <c r="J181" s="86"/>
      <c r="K181" s="98">
        <v>0.2</v>
      </c>
      <c r="L181" s="99">
        <f>E2</f>
        <v>31.159999999999997</v>
      </c>
      <c r="M181" s="92">
        <v>0.1</v>
      </c>
      <c r="N181" s="92">
        <v>3</v>
      </c>
      <c r="O181" s="94">
        <f>K181*L181*M181*N181</f>
        <v>1.8695999999999999</v>
      </c>
      <c r="P181" s="108">
        <f>VLOOKUP($F181,'Master Harga'!$E$5:$L$348,6,FALSE)</f>
        <v>84894.6</v>
      </c>
      <c r="Q181" s="94">
        <f>P181*$O181</f>
        <v>158718.94416000001</v>
      </c>
      <c r="R181" s="255"/>
      <c r="S181" s="255"/>
      <c r="T181" s="255"/>
      <c r="U181" s="255"/>
      <c r="V181" s="255"/>
      <c r="W181" s="255"/>
      <c r="X181" s="254"/>
      <c r="AA181" s="123">
        <f t="shared" si="51"/>
        <v>5093.6760000000013</v>
      </c>
      <c r="AB181" s="47"/>
    </row>
    <row r="182" spans="1:29" x14ac:dyDescent="0.35">
      <c r="B182" s="95"/>
      <c r="C182" s="96"/>
      <c r="D182" s="96" t="s">
        <v>726</v>
      </c>
      <c r="E182" s="97"/>
      <c r="F182" s="85" t="s">
        <v>3</v>
      </c>
      <c r="G182" s="86" t="s">
        <v>2</v>
      </c>
      <c r="H182" s="87"/>
      <c r="I182" s="88"/>
      <c r="J182" s="86" t="s">
        <v>113</v>
      </c>
      <c r="K182" s="98">
        <v>1</v>
      </c>
      <c r="L182" s="99">
        <f>E2</f>
        <v>31.159999999999997</v>
      </c>
      <c r="M182" s="92">
        <v>2.5</v>
      </c>
      <c r="N182" s="92">
        <v>4</v>
      </c>
      <c r="O182" s="94">
        <f>K182*L182*M182*N182</f>
        <v>311.59999999999997</v>
      </c>
      <c r="P182" s="94">
        <f>VLOOKUP($F182,'Master Harga'!$E$5:$L$348,6,FALSE)</f>
        <v>151208.64000000001</v>
      </c>
      <c r="Q182" s="92">
        <f>P182*$O182</f>
        <v>47116612.223999999</v>
      </c>
      <c r="R182" s="92"/>
      <c r="S182" s="92"/>
      <c r="T182" s="92"/>
      <c r="U182" s="92"/>
      <c r="V182" s="92"/>
      <c r="W182" s="92"/>
      <c r="X182" s="47" t="s">
        <v>606</v>
      </c>
      <c r="AA182" s="123">
        <f t="shared" si="51"/>
        <v>1512086.4000000001</v>
      </c>
      <c r="AB182" s="47"/>
    </row>
    <row r="183" spans="1:29" x14ac:dyDescent="0.35">
      <c r="B183" s="136"/>
      <c r="C183" s="137"/>
      <c r="D183" s="137"/>
      <c r="E183" s="143"/>
      <c r="F183" s="85" t="s">
        <v>25</v>
      </c>
      <c r="G183" s="86" t="s">
        <v>19</v>
      </c>
      <c r="H183" s="87"/>
      <c r="I183" s="88"/>
      <c r="J183" s="86"/>
      <c r="K183" s="98">
        <v>1</v>
      </c>
      <c r="L183" s="99">
        <f>E2</f>
        <v>31.159999999999997</v>
      </c>
      <c r="M183" s="92">
        <v>0.1</v>
      </c>
      <c r="N183" s="92">
        <v>4</v>
      </c>
      <c r="O183" s="94">
        <f>K183*L183*M183*N183</f>
        <v>12.463999999999999</v>
      </c>
      <c r="P183" s="94">
        <f>VLOOKUP($F183,'Master Harga'!$E$5:$L$348,6,FALSE)</f>
        <v>84894.6</v>
      </c>
      <c r="Q183" s="92">
        <f>P183*$O183</f>
        <v>1058126.2944</v>
      </c>
      <c r="R183" s="92"/>
      <c r="S183" s="92"/>
      <c r="T183" s="92"/>
      <c r="U183" s="92"/>
      <c r="V183" s="92"/>
      <c r="W183" s="92"/>
      <c r="X183" s="47" t="s">
        <v>606</v>
      </c>
      <c r="AA183" s="123">
        <f t="shared" si="51"/>
        <v>33957.840000000004</v>
      </c>
      <c r="AB183" s="47"/>
    </row>
    <row r="184" spans="1:29" s="19" customFormat="1" x14ac:dyDescent="0.35">
      <c r="A184" s="49"/>
      <c r="B184" s="510" t="s">
        <v>685</v>
      </c>
      <c r="C184" s="511"/>
      <c r="D184" s="511"/>
      <c r="E184" s="512"/>
      <c r="F184" s="195"/>
      <c r="G184" s="196"/>
      <c r="H184" s="197"/>
      <c r="I184" s="198"/>
      <c r="J184" s="196"/>
      <c r="K184" s="200"/>
      <c r="L184" s="200"/>
      <c r="M184" s="201"/>
      <c r="N184" s="161"/>
      <c r="O184" s="161"/>
      <c r="P184" s="161"/>
      <c r="Q184" s="156">
        <f>SUM(Q164:Q183)</f>
        <v>55400949.296159998</v>
      </c>
      <c r="R184" s="156"/>
      <c r="S184" s="156">
        <f>SUM(S142:S183)</f>
        <v>407525298.20031995</v>
      </c>
      <c r="T184" s="156"/>
      <c r="U184" s="156">
        <f>SUM(U142:U183)</f>
        <v>456459200.39234561</v>
      </c>
      <c r="V184" s="156"/>
      <c r="W184" s="156">
        <f>SUM(W142:W183)</f>
        <v>420369945.06432843</v>
      </c>
      <c r="X184" s="156"/>
      <c r="Y184" s="156"/>
      <c r="Z184" s="156"/>
      <c r="AA184" s="156">
        <f>Q184/$E$2</f>
        <v>1777950.8760000002</v>
      </c>
      <c r="AB184" s="157">
        <f>Q184/$Q$209*100</f>
        <v>3.0290475262957735</v>
      </c>
      <c r="AC184" s="78"/>
    </row>
    <row r="185" spans="1:29" x14ac:dyDescent="0.35">
      <c r="B185" s="87"/>
      <c r="C185" s="83" t="s">
        <v>768</v>
      </c>
      <c r="D185" s="88"/>
      <c r="E185" s="160"/>
      <c r="F185" s="85"/>
      <c r="G185" s="86"/>
      <c r="H185" s="87"/>
      <c r="I185" s="88"/>
      <c r="J185" s="86"/>
      <c r="K185" s="90"/>
      <c r="L185" s="139"/>
      <c r="M185" s="172"/>
      <c r="N185" s="173"/>
      <c r="O185" s="173"/>
      <c r="P185" s="92"/>
      <c r="Q185" s="92"/>
      <c r="R185" s="92"/>
      <c r="S185" s="92"/>
      <c r="T185" s="92"/>
      <c r="U185" s="92"/>
      <c r="V185" s="92"/>
      <c r="W185" s="92"/>
      <c r="X185" s="47"/>
      <c r="AA185" s="47"/>
      <c r="AB185" s="47"/>
    </row>
    <row r="186" spans="1:29" ht="16.5" customHeight="1" x14ac:dyDescent="0.35">
      <c r="B186" s="95"/>
      <c r="C186" s="96"/>
      <c r="D186" s="97" t="s">
        <v>189</v>
      </c>
      <c r="E186" s="97"/>
      <c r="F186" s="47" t="s">
        <v>3</v>
      </c>
      <c r="G186" s="86" t="s">
        <v>2</v>
      </c>
      <c r="H186" s="87"/>
      <c r="I186" s="88"/>
      <c r="J186" s="86"/>
      <c r="K186" s="98">
        <v>1</v>
      </c>
      <c r="L186" s="99">
        <f>E2</f>
        <v>31.159999999999997</v>
      </c>
      <c r="M186" s="92">
        <v>0.5</v>
      </c>
      <c r="N186" s="92">
        <f>AF8</f>
        <v>17</v>
      </c>
      <c r="O186" s="92">
        <f t="shared" ref="O186" si="52">K186*L186*M186*N186</f>
        <v>264.85999999999996</v>
      </c>
      <c r="P186" s="92">
        <f>VLOOKUP($F186,'Master Harga'!$E$5:$L$348,6,FALSE)</f>
        <v>151208.64000000001</v>
      </c>
      <c r="Q186" s="94">
        <f t="shared" ref="Q186" si="53">P186*$O186</f>
        <v>40049120.3904</v>
      </c>
      <c r="R186" s="92"/>
      <c r="S186" s="92"/>
      <c r="T186" s="92"/>
      <c r="U186" s="92"/>
      <c r="V186" s="92"/>
      <c r="W186" s="101"/>
      <c r="X186" s="249" t="s">
        <v>634</v>
      </c>
      <c r="Y186" s="246"/>
      <c r="Z186" s="246"/>
      <c r="AA186" s="240">
        <f t="shared" ref="AA186" si="54">Q186/$E$2</f>
        <v>1285273.4400000002</v>
      </c>
      <c r="AB186" s="47"/>
    </row>
    <row r="187" spans="1:29" x14ac:dyDescent="0.35">
      <c r="B187" s="129"/>
      <c r="C187" s="130"/>
      <c r="D187" s="130" t="s">
        <v>727</v>
      </c>
      <c r="E187" s="131"/>
      <c r="F187" s="47" t="s">
        <v>192</v>
      </c>
      <c r="G187" s="46" t="s">
        <v>2</v>
      </c>
      <c r="H187" s="133"/>
      <c r="I187" s="134"/>
      <c r="J187" s="46"/>
      <c r="K187" s="46"/>
      <c r="L187" s="46"/>
      <c r="M187" s="256"/>
      <c r="N187" s="135"/>
      <c r="O187" s="92"/>
      <c r="P187" s="92"/>
      <c r="Q187" s="92"/>
      <c r="R187" s="92"/>
      <c r="S187" s="92"/>
      <c r="T187" s="92"/>
      <c r="U187" s="92"/>
      <c r="V187" s="92"/>
      <c r="W187" s="92"/>
      <c r="X187" s="47"/>
      <c r="AA187" s="47"/>
      <c r="AB187" s="47"/>
    </row>
    <row r="188" spans="1:29" x14ac:dyDescent="0.35">
      <c r="B188" s="129"/>
      <c r="C188" s="130"/>
      <c r="D188" s="130"/>
      <c r="E188" s="131"/>
      <c r="F188" s="47" t="s">
        <v>11</v>
      </c>
      <c r="G188" s="46" t="s">
        <v>2</v>
      </c>
      <c r="H188" s="133"/>
      <c r="I188" s="134"/>
      <c r="J188" s="46"/>
      <c r="K188" s="46"/>
      <c r="L188" s="46"/>
      <c r="M188" s="256"/>
      <c r="N188" s="135"/>
      <c r="O188" s="92"/>
      <c r="P188" s="92"/>
      <c r="Q188" s="92"/>
      <c r="R188" s="92"/>
      <c r="S188" s="92"/>
      <c r="T188" s="92"/>
      <c r="U188" s="92"/>
      <c r="V188" s="92"/>
      <c r="W188" s="92"/>
      <c r="X188" s="47"/>
      <c r="AA188" s="47"/>
      <c r="AB188" s="47"/>
    </row>
    <row r="189" spans="1:29" x14ac:dyDescent="0.35">
      <c r="B189" s="129"/>
      <c r="C189" s="130"/>
      <c r="D189" s="130"/>
      <c r="E189" s="131"/>
      <c r="F189" s="47" t="s">
        <v>58</v>
      </c>
      <c r="G189" s="46" t="s">
        <v>19</v>
      </c>
      <c r="H189" s="133">
        <v>1</v>
      </c>
      <c r="I189" s="134" t="s">
        <v>190</v>
      </c>
      <c r="J189" s="46"/>
      <c r="K189" s="46"/>
      <c r="L189" s="46"/>
      <c r="M189" s="256"/>
      <c r="N189" s="135"/>
      <c r="O189" s="92"/>
      <c r="P189" s="92"/>
      <c r="Q189" s="92"/>
      <c r="R189" s="92"/>
      <c r="S189" s="92"/>
      <c r="T189" s="92"/>
      <c r="U189" s="92"/>
      <c r="V189" s="92"/>
      <c r="W189" s="92"/>
      <c r="X189" s="47"/>
      <c r="AA189" s="47"/>
      <c r="AB189" s="47"/>
    </row>
    <row r="190" spans="1:29" x14ac:dyDescent="0.35">
      <c r="B190" s="129"/>
      <c r="C190" s="130"/>
      <c r="D190" s="130"/>
      <c r="E190" s="131"/>
      <c r="F190" s="47" t="s">
        <v>27</v>
      </c>
      <c r="G190" s="46" t="s">
        <v>19</v>
      </c>
      <c r="H190" s="133">
        <v>4</v>
      </c>
      <c r="I190" s="134" t="s">
        <v>190</v>
      </c>
      <c r="J190" s="46"/>
      <c r="K190" s="46"/>
      <c r="L190" s="46"/>
      <c r="M190" s="256"/>
      <c r="N190" s="135"/>
      <c r="O190" s="92"/>
      <c r="P190" s="92"/>
      <c r="Q190" s="92"/>
      <c r="R190" s="92"/>
      <c r="S190" s="92"/>
      <c r="T190" s="92"/>
      <c r="U190" s="92"/>
      <c r="V190" s="92"/>
      <c r="W190" s="92"/>
      <c r="X190" s="47"/>
      <c r="AA190" s="47"/>
      <c r="AB190" s="47"/>
    </row>
    <row r="191" spans="1:29" x14ac:dyDescent="0.35">
      <c r="B191" s="129"/>
      <c r="C191" s="130"/>
      <c r="D191" s="130"/>
      <c r="E191" s="131"/>
      <c r="F191" s="47" t="s">
        <v>193</v>
      </c>
      <c r="G191" s="46" t="s">
        <v>19</v>
      </c>
      <c r="H191" s="133">
        <v>12</v>
      </c>
      <c r="I191" s="134" t="s">
        <v>190</v>
      </c>
      <c r="J191" s="46"/>
      <c r="K191" s="46"/>
      <c r="L191" s="46"/>
      <c r="M191" s="256"/>
      <c r="N191" s="135"/>
      <c r="O191" s="92"/>
      <c r="P191" s="92"/>
      <c r="Q191" s="92"/>
      <c r="R191" s="92"/>
      <c r="S191" s="92"/>
      <c r="T191" s="92"/>
      <c r="U191" s="92"/>
      <c r="V191" s="92"/>
      <c r="W191" s="92"/>
      <c r="X191" s="47"/>
      <c r="AA191" s="47"/>
      <c r="AB191" s="47"/>
    </row>
    <row r="192" spans="1:29" x14ac:dyDescent="0.35">
      <c r="B192" s="129"/>
      <c r="C192" s="130"/>
      <c r="D192" s="130"/>
      <c r="E192" s="131"/>
      <c r="F192" s="47" t="s">
        <v>55</v>
      </c>
      <c r="G192" s="46" t="s">
        <v>19</v>
      </c>
      <c r="H192" s="133">
        <v>2</v>
      </c>
      <c r="I192" s="134" t="s">
        <v>190</v>
      </c>
      <c r="J192" s="46"/>
      <c r="K192" s="46"/>
      <c r="L192" s="46"/>
      <c r="M192" s="256"/>
      <c r="N192" s="135"/>
      <c r="O192" s="92"/>
      <c r="P192" s="92"/>
      <c r="Q192" s="92"/>
      <c r="R192" s="92"/>
      <c r="S192" s="92"/>
      <c r="T192" s="92"/>
      <c r="U192" s="92"/>
      <c r="V192" s="92"/>
      <c r="W192" s="92"/>
      <c r="X192" s="47"/>
      <c r="AA192" s="47"/>
      <c r="AB192" s="47"/>
    </row>
    <row r="193" spans="1:32" x14ac:dyDescent="0.35">
      <c r="B193" s="129"/>
      <c r="C193" s="130"/>
      <c r="D193" s="130"/>
      <c r="E193" s="131"/>
      <c r="F193" s="47" t="s">
        <v>56</v>
      </c>
      <c r="G193" s="46" t="s">
        <v>19</v>
      </c>
      <c r="H193" s="133">
        <v>1</v>
      </c>
      <c r="I193" s="134" t="s">
        <v>190</v>
      </c>
      <c r="J193" s="46"/>
      <c r="K193" s="46"/>
      <c r="L193" s="46"/>
      <c r="M193" s="256"/>
      <c r="N193" s="135"/>
      <c r="O193" s="92"/>
      <c r="P193" s="92"/>
      <c r="Q193" s="92"/>
      <c r="R193" s="92"/>
      <c r="S193" s="92"/>
      <c r="T193" s="92"/>
      <c r="U193" s="92"/>
      <c r="V193" s="92"/>
      <c r="W193" s="92"/>
      <c r="X193" s="47"/>
      <c r="AA193" s="47"/>
      <c r="AB193" s="47"/>
    </row>
    <row r="194" spans="1:32" ht="18.75" customHeight="1" x14ac:dyDescent="0.35">
      <c r="B194" s="136"/>
      <c r="C194" s="137"/>
      <c r="D194" s="137"/>
      <c r="E194" s="143"/>
      <c r="F194" s="257" t="s">
        <v>574</v>
      </c>
      <c r="G194" s="46" t="s">
        <v>7</v>
      </c>
      <c r="H194" s="133"/>
      <c r="I194" s="134"/>
      <c r="J194" s="46" t="s">
        <v>7</v>
      </c>
      <c r="K194" s="98">
        <v>1</v>
      </c>
      <c r="L194" s="99">
        <f>G2</f>
        <v>155799.99999999997</v>
      </c>
      <c r="M194" s="192">
        <f>5/1000</f>
        <v>5.0000000000000001E-3</v>
      </c>
      <c r="N194" s="92">
        <f>N186</f>
        <v>17</v>
      </c>
      <c r="O194" s="92">
        <f>K194*L194*M194*N194</f>
        <v>13242.999999999998</v>
      </c>
      <c r="P194" s="92">
        <f>VLOOKUP($F194,'Master Harga'!$E$5:$L$348,6,FALSE)</f>
        <v>8338.3159999999989</v>
      </c>
      <c r="Q194" s="94">
        <f t="shared" ref="Q194" si="55">P194*$O194</f>
        <v>110424318.78799997</v>
      </c>
      <c r="R194" s="92"/>
      <c r="S194" s="92"/>
      <c r="T194" s="92"/>
      <c r="U194" s="92"/>
      <c r="V194" s="92"/>
      <c r="W194" s="101"/>
      <c r="X194" s="249" t="s">
        <v>634</v>
      </c>
      <c r="Y194" s="246"/>
      <c r="Z194" s="246"/>
      <c r="AA194" s="240">
        <f t="shared" ref="AA194" si="56">Q194/$E$2</f>
        <v>3543784.2999999993</v>
      </c>
      <c r="AB194" s="47"/>
      <c r="AF194" s="6"/>
    </row>
    <row r="195" spans="1:32" x14ac:dyDescent="0.35">
      <c r="B195" s="87"/>
      <c r="C195" s="88"/>
      <c r="D195" s="88" t="s">
        <v>168</v>
      </c>
      <c r="E195" s="160"/>
      <c r="F195" s="85"/>
      <c r="G195" s="86"/>
      <c r="H195" s="87"/>
      <c r="I195" s="88"/>
      <c r="J195" s="86"/>
      <c r="K195" s="90"/>
      <c r="L195" s="90"/>
      <c r="M195" s="91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47"/>
      <c r="AA195" s="47"/>
      <c r="AB195" s="47"/>
    </row>
    <row r="196" spans="1:32" x14ac:dyDescent="0.35">
      <c r="B196" s="95"/>
      <c r="C196" s="96"/>
      <c r="D196" s="96"/>
      <c r="E196" s="97" t="s">
        <v>169</v>
      </c>
      <c r="F196" s="85" t="s">
        <v>182</v>
      </c>
      <c r="G196" s="86" t="s">
        <v>8</v>
      </c>
      <c r="H196" s="87"/>
      <c r="I196" s="88"/>
      <c r="J196" s="86"/>
      <c r="K196" s="258"/>
      <c r="L196" s="258"/>
      <c r="M196" s="135">
        <v>1</v>
      </c>
      <c r="N196" s="135">
        <f>N194</f>
        <v>17</v>
      </c>
      <c r="O196" s="173"/>
      <c r="P196" s="173"/>
      <c r="Q196" s="173"/>
      <c r="R196" s="173"/>
      <c r="S196" s="173"/>
      <c r="T196" s="173"/>
      <c r="U196" s="173"/>
      <c r="V196" s="173"/>
      <c r="W196" s="173"/>
      <c r="X196" s="47"/>
      <c r="AA196" s="47"/>
      <c r="AB196" s="47"/>
    </row>
    <row r="197" spans="1:32" x14ac:dyDescent="0.35">
      <c r="B197" s="129"/>
      <c r="C197" s="130"/>
      <c r="D197" s="130"/>
      <c r="E197" s="131"/>
      <c r="F197" s="85" t="s">
        <v>116</v>
      </c>
      <c r="G197" s="86" t="s">
        <v>117</v>
      </c>
      <c r="H197" s="87"/>
      <c r="I197" s="88"/>
      <c r="J197" s="86"/>
      <c r="K197" s="258"/>
      <c r="L197" s="258"/>
      <c r="M197" s="135">
        <v>5.0000000000000001E-3</v>
      </c>
      <c r="N197" s="135">
        <f>N196</f>
        <v>17</v>
      </c>
      <c r="O197" s="92"/>
      <c r="P197" s="92"/>
      <c r="Q197" s="92"/>
      <c r="R197" s="92"/>
      <c r="S197" s="92"/>
      <c r="T197" s="92"/>
      <c r="U197" s="92"/>
      <c r="V197" s="92"/>
      <c r="W197" s="92"/>
      <c r="X197" s="47"/>
      <c r="AA197" s="47"/>
      <c r="AB197" s="47"/>
    </row>
    <row r="198" spans="1:32" x14ac:dyDescent="0.35">
      <c r="B198" s="136"/>
      <c r="C198" s="137"/>
      <c r="D198" s="137"/>
      <c r="E198" s="143"/>
      <c r="F198" s="47" t="s">
        <v>106</v>
      </c>
      <c r="G198" s="46" t="s">
        <v>8</v>
      </c>
      <c r="H198" s="133"/>
      <c r="I198" s="134"/>
      <c r="J198" s="46"/>
      <c r="K198" s="258"/>
      <c r="L198" s="258"/>
      <c r="M198" s="135">
        <v>1</v>
      </c>
      <c r="N198" s="135">
        <f>N197</f>
        <v>17</v>
      </c>
      <c r="O198" s="92"/>
      <c r="P198" s="92"/>
      <c r="Q198" s="92"/>
      <c r="R198" s="92"/>
      <c r="S198" s="92"/>
      <c r="T198" s="92"/>
      <c r="U198" s="92"/>
      <c r="V198" s="92"/>
      <c r="W198" s="92"/>
      <c r="X198" s="47"/>
      <c r="AA198" s="47"/>
      <c r="AB198" s="47"/>
    </row>
    <row r="199" spans="1:32" ht="14.25" customHeight="1" x14ac:dyDescent="0.35">
      <c r="B199" s="95"/>
      <c r="C199" s="96"/>
      <c r="D199" s="96"/>
      <c r="E199" s="97" t="s">
        <v>170</v>
      </c>
      <c r="F199" s="85" t="s">
        <v>183</v>
      </c>
      <c r="G199" s="86" t="s">
        <v>8</v>
      </c>
      <c r="H199" s="87"/>
      <c r="I199" s="88"/>
      <c r="J199" s="86" t="s">
        <v>8</v>
      </c>
      <c r="K199" s="259">
        <v>1</v>
      </c>
      <c r="L199" s="260">
        <f>O194</f>
        <v>13242.999999999998</v>
      </c>
      <c r="M199" s="135"/>
      <c r="N199" s="135">
        <f>N198</f>
        <v>17</v>
      </c>
      <c r="O199" s="94">
        <f t="shared" ref="O199:O200" si="57">K199*L199*M199*N199</f>
        <v>0</v>
      </c>
      <c r="P199" s="92">
        <v>17000</v>
      </c>
      <c r="Q199" s="94">
        <f t="shared" ref="Q199:Q200" si="58">P199*$O199</f>
        <v>0</v>
      </c>
      <c r="R199" s="92"/>
      <c r="S199" s="92"/>
      <c r="T199" s="92"/>
      <c r="U199" s="92"/>
      <c r="V199" s="92"/>
      <c r="W199" s="101"/>
      <c r="X199" s="249" t="s">
        <v>634</v>
      </c>
      <c r="Y199" s="246"/>
      <c r="Z199" s="246"/>
      <c r="AA199" s="123">
        <f t="shared" ref="AA199:AA200" si="59">Q199/$E$2</f>
        <v>0</v>
      </c>
      <c r="AB199" s="47"/>
    </row>
    <row r="200" spans="1:32" ht="16.5" customHeight="1" x14ac:dyDescent="0.35">
      <c r="B200" s="136"/>
      <c r="C200" s="137"/>
      <c r="D200" s="137"/>
      <c r="E200" s="143"/>
      <c r="F200" s="85" t="s">
        <v>387</v>
      </c>
      <c r="G200" s="86" t="s">
        <v>7</v>
      </c>
      <c r="H200" s="87"/>
      <c r="I200" s="88"/>
      <c r="J200" s="86"/>
      <c r="K200" s="259"/>
      <c r="L200" s="260"/>
      <c r="M200" s="135">
        <v>1</v>
      </c>
      <c r="N200" s="135">
        <f>N199</f>
        <v>17</v>
      </c>
      <c r="O200" s="94">
        <f t="shared" si="57"/>
        <v>0</v>
      </c>
      <c r="P200" s="92">
        <f>VLOOKUP($F200,'Master Harga'!$E$5:$L$348,7,FALSE)</f>
        <v>0</v>
      </c>
      <c r="Q200" s="94">
        <f t="shared" si="58"/>
        <v>0</v>
      </c>
      <c r="R200" s="92"/>
      <c r="S200" s="92"/>
      <c r="T200" s="92"/>
      <c r="U200" s="92"/>
      <c r="V200" s="92"/>
      <c r="W200" s="101"/>
      <c r="X200" s="249" t="s">
        <v>634</v>
      </c>
      <c r="Y200" s="246"/>
      <c r="Z200" s="246"/>
      <c r="AA200" s="123">
        <f t="shared" si="59"/>
        <v>0</v>
      </c>
      <c r="AB200" s="47"/>
    </row>
    <row r="201" spans="1:32" s="19" customFormat="1" x14ac:dyDescent="0.35">
      <c r="A201" s="49"/>
      <c r="B201" s="510" t="s">
        <v>769</v>
      </c>
      <c r="C201" s="511"/>
      <c r="D201" s="511"/>
      <c r="E201" s="512"/>
      <c r="F201" s="195"/>
      <c r="G201" s="196"/>
      <c r="H201" s="197"/>
      <c r="I201" s="198"/>
      <c r="J201" s="196"/>
      <c r="K201" s="200"/>
      <c r="L201" s="200"/>
      <c r="M201" s="201"/>
      <c r="N201" s="161"/>
      <c r="O201" s="161"/>
      <c r="P201" s="161"/>
      <c r="Q201" s="156">
        <f>SUM(Q186:Q200)</f>
        <v>150473439.17839998</v>
      </c>
      <c r="R201" s="161"/>
      <c r="S201" s="161">
        <f>SUM(S161:S200)</f>
        <v>626600846.27327991</v>
      </c>
      <c r="T201" s="161"/>
      <c r="U201" s="161">
        <f>SUM(U161:U200)</f>
        <v>701226731.47914243</v>
      </c>
      <c r="V201" s="161"/>
      <c r="W201" s="161">
        <f>SUM(W161:W200)</f>
        <v>646276160.54190063</v>
      </c>
      <c r="X201" s="162"/>
      <c r="Y201" s="49"/>
      <c r="Z201" s="49"/>
      <c r="AA201" s="156">
        <f>Q201/E2</f>
        <v>4829057.74</v>
      </c>
      <c r="AB201" s="157">
        <f>Q201/$Q$209*100</f>
        <v>8.2271369806318848</v>
      </c>
      <c r="AC201" s="78"/>
    </row>
    <row r="202" spans="1:32" s="19" customFormat="1" x14ac:dyDescent="0.35">
      <c r="A202" s="49"/>
      <c r="B202" s="513" t="s">
        <v>529</v>
      </c>
      <c r="C202" s="514"/>
      <c r="D202" s="514"/>
      <c r="E202" s="515"/>
      <c r="F202" s="204"/>
      <c r="G202" s="205"/>
      <c r="H202" s="206"/>
      <c r="I202" s="207"/>
      <c r="J202" s="205"/>
      <c r="K202" s="209"/>
      <c r="L202" s="209"/>
      <c r="M202" s="210"/>
      <c r="N202" s="211"/>
      <c r="O202" s="211"/>
      <c r="P202" s="211"/>
      <c r="Q202" s="212">
        <f>Q151+Q161+Q184+Q201</f>
        <v>860679521.78783989</v>
      </c>
      <c r="R202" s="211"/>
      <c r="S202" s="211">
        <f>SUM(S153:S200)</f>
        <v>815050596.40063989</v>
      </c>
      <c r="T202" s="211"/>
      <c r="U202" s="211">
        <f>SUM(U153:U200)</f>
        <v>912918400.78469121</v>
      </c>
      <c r="V202" s="211"/>
      <c r="W202" s="211">
        <f>SUM(W153:W200)</f>
        <v>840739890.12865686</v>
      </c>
      <c r="X202" s="216"/>
      <c r="Y202" s="261"/>
      <c r="Z202" s="261"/>
      <c r="AA202" s="262">
        <f>Q202/E2</f>
        <v>27621294.024</v>
      </c>
      <c r="AB202" s="215">
        <f>Q202/$Q$209*100</f>
        <v>47.057662540551213</v>
      </c>
      <c r="AC202" s="78">
        <f>Q202/$AA$2</f>
        <v>22.566416686274511</v>
      </c>
    </row>
    <row r="203" spans="1:32" x14ac:dyDescent="0.35">
      <c r="B203" s="87"/>
      <c r="C203" s="83" t="s">
        <v>770</v>
      </c>
      <c r="D203" s="88"/>
      <c r="E203" s="160"/>
      <c r="F203" s="85"/>
      <c r="G203" s="86" t="s">
        <v>113</v>
      </c>
      <c r="H203" s="87"/>
      <c r="I203" s="88"/>
      <c r="J203" s="86"/>
      <c r="K203" s="90"/>
      <c r="L203" s="90"/>
      <c r="M203" s="91"/>
      <c r="N203" s="92"/>
      <c r="O203" s="92"/>
      <c r="P203" s="92"/>
      <c r="Q203" s="94"/>
      <c r="R203" s="92"/>
      <c r="S203" s="92"/>
      <c r="T203" s="92"/>
      <c r="U203" s="92"/>
      <c r="V203" s="92"/>
      <c r="W203" s="92"/>
      <c r="X203" s="47"/>
      <c r="AA203" s="47"/>
      <c r="AB203" s="47"/>
    </row>
    <row r="204" spans="1:32" x14ac:dyDescent="0.35">
      <c r="B204" s="95"/>
      <c r="C204" s="96"/>
      <c r="D204" s="96" t="s">
        <v>772</v>
      </c>
      <c r="E204" s="104"/>
      <c r="F204" s="124" t="s">
        <v>3</v>
      </c>
      <c r="G204" s="125" t="s">
        <v>2</v>
      </c>
      <c r="H204" s="126"/>
      <c r="I204" s="127"/>
      <c r="J204" s="125" t="s">
        <v>534</v>
      </c>
      <c r="K204" s="113">
        <v>1</v>
      </c>
      <c r="L204" s="99">
        <f>E2</f>
        <v>31.159999999999997</v>
      </c>
      <c r="M204" s="92">
        <v>2</v>
      </c>
      <c r="N204" s="92">
        <f>N186</f>
        <v>17</v>
      </c>
      <c r="O204" s="92">
        <f>K204*M204*L204*N204</f>
        <v>1059.4399999999998</v>
      </c>
      <c r="P204" s="108">
        <f>VLOOKUP($F204,'Master Harga'!$E$5:$L$348,6,FALSE)</f>
        <v>151208.64000000001</v>
      </c>
      <c r="Q204" s="94">
        <f>O204*P204</f>
        <v>160196481.5616</v>
      </c>
      <c r="R204" s="92">
        <f>VLOOKUP($F204,'Master Harga'!$E$5:$L$348,6,FALSE)</f>
        <v>151208.64000000001</v>
      </c>
      <c r="S204" s="92">
        <f>R204*O204</f>
        <v>160196481.5616</v>
      </c>
      <c r="T204" s="92">
        <f>VLOOKUP($F204,'Master Harga'!$E$5:$L$348,7,FALSE)</f>
        <v>163305.33120000002</v>
      </c>
      <c r="U204" s="92">
        <f>T204*O204</f>
        <v>173012200.08652797</v>
      </c>
      <c r="V204" s="92">
        <f>W204/O204</f>
        <v>155240.87040000001</v>
      </c>
      <c r="W204" s="92">
        <f>(Q204+S204+U204)/3</f>
        <v>164468387.73657599</v>
      </c>
      <c r="X204" s="251"/>
      <c r="Z204" s="79">
        <f>W204*1000</f>
        <v>164468387736.57599</v>
      </c>
      <c r="AA204" s="123">
        <f t="shared" ref="AA204:AA207" si="60">Q204/$E$2</f>
        <v>5141093.7600000007</v>
      </c>
      <c r="AB204" s="47"/>
    </row>
    <row r="205" spans="1:32" x14ac:dyDescent="0.35">
      <c r="B205" s="129"/>
      <c r="C205" s="130"/>
      <c r="D205" s="130" t="s">
        <v>729</v>
      </c>
      <c r="E205" s="112"/>
      <c r="F205" s="124" t="s">
        <v>629</v>
      </c>
      <c r="G205" s="125" t="s">
        <v>8</v>
      </c>
      <c r="H205" s="126"/>
      <c r="I205" s="127"/>
      <c r="J205" s="125" t="s">
        <v>8</v>
      </c>
      <c r="K205" s="113">
        <v>1</v>
      </c>
      <c r="L205" s="99">
        <f>12*E2</f>
        <v>373.91999999999996</v>
      </c>
      <c r="M205" s="92">
        <v>6</v>
      </c>
      <c r="N205" s="92">
        <f>N186</f>
        <v>17</v>
      </c>
      <c r="O205" s="92">
        <f>K205*L205*N205/M205</f>
        <v>1059.4399999999998</v>
      </c>
      <c r="P205" s="108">
        <f>VLOOKUP($F205,'Master Harga'!$E$5:$L$348,6,FALSE)</f>
        <v>207500</v>
      </c>
      <c r="Q205" s="94">
        <f>O205*P205</f>
        <v>219833799.99999997</v>
      </c>
      <c r="R205" s="92">
        <f>VLOOKUP($F205,'Master Harga'!$E$5:$L$348,6,FALSE)</f>
        <v>207500</v>
      </c>
      <c r="S205" s="92">
        <f>R205*O205</f>
        <v>219833799.99999997</v>
      </c>
      <c r="T205" s="92">
        <f>VLOOKUP($F205,'Master Harga'!$E$5:$L$348,7,FALSE)</f>
        <v>236549.99999999997</v>
      </c>
      <c r="U205" s="92">
        <f>T205*O205</f>
        <v>250610531.99999994</v>
      </c>
      <c r="V205" s="92">
        <f>W205/O205</f>
        <v>217183.33333333334</v>
      </c>
      <c r="W205" s="92">
        <f>(Q205+S205+U205)/3</f>
        <v>230092710.66666663</v>
      </c>
      <c r="X205" s="47"/>
      <c r="AA205" s="123">
        <f t="shared" si="60"/>
        <v>7055000</v>
      </c>
      <c r="AB205" s="47"/>
    </row>
    <row r="206" spans="1:32" x14ac:dyDescent="0.35">
      <c r="B206" s="129"/>
      <c r="C206" s="130"/>
      <c r="D206" s="130" t="s">
        <v>730</v>
      </c>
      <c r="E206" s="112"/>
      <c r="F206" s="124" t="s">
        <v>645</v>
      </c>
      <c r="G206" s="125"/>
      <c r="H206" s="126"/>
      <c r="I206" s="127"/>
      <c r="J206" s="125"/>
      <c r="K206" s="113"/>
      <c r="L206" s="90"/>
      <c r="M206" s="92">
        <v>1</v>
      </c>
      <c r="N206" s="92">
        <v>1</v>
      </c>
      <c r="O206" s="92">
        <f>K206*M206*L206*N206</f>
        <v>0</v>
      </c>
      <c r="P206" s="108">
        <v>350000</v>
      </c>
      <c r="Q206" s="94">
        <f>O206*P206</f>
        <v>0</v>
      </c>
      <c r="R206" s="92"/>
      <c r="S206" s="92"/>
      <c r="T206" s="92"/>
      <c r="U206" s="92"/>
      <c r="V206" s="92"/>
      <c r="W206" s="92"/>
      <c r="X206" s="47"/>
      <c r="AA206" s="123">
        <f t="shared" si="60"/>
        <v>0</v>
      </c>
      <c r="AB206" s="47"/>
    </row>
    <row r="207" spans="1:32" x14ac:dyDescent="0.35">
      <c r="B207" s="136"/>
      <c r="C207" s="137"/>
      <c r="D207" s="137"/>
      <c r="E207" s="111"/>
      <c r="F207" s="124" t="s">
        <v>109</v>
      </c>
      <c r="G207" s="125" t="s">
        <v>108</v>
      </c>
      <c r="H207" s="126"/>
      <c r="I207" s="127"/>
      <c r="J207" s="125"/>
      <c r="K207" s="113"/>
      <c r="L207" s="90"/>
      <c r="M207" s="92">
        <v>12</v>
      </c>
      <c r="N207" s="92">
        <v>12</v>
      </c>
      <c r="O207" s="92">
        <f>K207*M207*L207*N207</f>
        <v>0</v>
      </c>
      <c r="P207" s="108">
        <f>VLOOKUP($F207,'Master Harga'!$E$5:$L$348,6,FALSE)</f>
        <v>1382.8541999999998</v>
      </c>
      <c r="Q207" s="94">
        <f>O207*P207</f>
        <v>0</v>
      </c>
      <c r="R207" s="92">
        <f>VLOOKUP($F207,'Master Harga'!$E$5:$L$348,6,FALSE)</f>
        <v>1382.8541999999998</v>
      </c>
      <c r="S207" s="92">
        <f>R207*O207</f>
        <v>0</v>
      </c>
      <c r="T207" s="92">
        <f>VLOOKUP($F207,'Master Harga'!$E$5:$L$348,7,FALSE)</f>
        <v>1576.4537879999996</v>
      </c>
      <c r="U207" s="92">
        <f>T207*O207</f>
        <v>0</v>
      </c>
      <c r="V207" s="92" t="e">
        <f>W207/O207</f>
        <v>#DIV/0!</v>
      </c>
      <c r="W207" s="92">
        <f>(Q207+S207+U207)/3</f>
        <v>0</v>
      </c>
      <c r="X207" s="47"/>
      <c r="AA207" s="123">
        <f t="shared" si="60"/>
        <v>0</v>
      </c>
      <c r="AB207" s="47"/>
    </row>
    <row r="208" spans="1:32" x14ac:dyDescent="0.35">
      <c r="B208" s="513" t="s">
        <v>712</v>
      </c>
      <c r="C208" s="514"/>
      <c r="D208" s="514"/>
      <c r="E208" s="515"/>
      <c r="F208" s="263"/>
      <c r="G208" s="264"/>
      <c r="H208" s="265"/>
      <c r="I208" s="266"/>
      <c r="J208" s="264"/>
      <c r="K208" s="268"/>
      <c r="L208" s="268"/>
      <c r="M208" s="269"/>
      <c r="N208" s="270"/>
      <c r="O208" s="270"/>
      <c r="P208" s="270"/>
      <c r="Q208" s="212">
        <f>SUM(Q204:Q207)</f>
        <v>380030281.56159997</v>
      </c>
      <c r="R208" s="270"/>
      <c r="S208" s="211">
        <f>SUM(S204:S207)</f>
        <v>380030281.56159997</v>
      </c>
      <c r="T208" s="270"/>
      <c r="U208" s="211">
        <f>SUM(U204:U207)</f>
        <v>423622732.08652794</v>
      </c>
      <c r="V208" s="270"/>
      <c r="W208" s="211">
        <f>SUM(W204:W207)</f>
        <v>394561098.40324259</v>
      </c>
      <c r="X208" s="271"/>
      <c r="Y208" s="272"/>
      <c r="Z208" s="272"/>
      <c r="AA208" s="215">
        <f>Q208/E2</f>
        <v>12196093.76</v>
      </c>
      <c r="AB208" s="215">
        <f>Q208/$Q$209*100</f>
        <v>20.778159921556412</v>
      </c>
      <c r="AC208" s="78">
        <f>Q208/$AA$2</f>
        <v>9.9641288888888901</v>
      </c>
    </row>
    <row r="209" spans="2:33" ht="14.25" customHeight="1" x14ac:dyDescent="0.35">
      <c r="B209" s="516" t="s">
        <v>771</v>
      </c>
      <c r="C209" s="517"/>
      <c r="D209" s="517"/>
      <c r="E209" s="518"/>
      <c r="F209" s="273"/>
      <c r="G209" s="274"/>
      <c r="H209" s="275"/>
      <c r="I209" s="276"/>
      <c r="J209" s="274"/>
      <c r="K209" s="278"/>
      <c r="L209" s="278"/>
      <c r="M209" s="279"/>
      <c r="N209" s="280"/>
      <c r="O209" s="280"/>
      <c r="P209" s="280"/>
      <c r="Q209" s="281">
        <f>Q121+Q202+Q208</f>
        <v>1828989106.8137152</v>
      </c>
      <c r="R209" s="92"/>
      <c r="S209" s="282" t="e">
        <f>S121+#REF!+S202+S208</f>
        <v>#REF!</v>
      </c>
      <c r="T209" s="92"/>
      <c r="U209" s="282" t="e">
        <f>U121+#REF!+U202+U208</f>
        <v>#REF!</v>
      </c>
      <c r="V209" s="92"/>
      <c r="W209" s="282" t="e">
        <f>W121+#REF!+W202+W208</f>
        <v>#REF!</v>
      </c>
      <c r="X209" s="271"/>
      <c r="Y209" s="272"/>
      <c r="Z209" s="272"/>
      <c r="AA209" s="215">
        <f>Q209/E2</f>
        <v>58696697.908013977</v>
      </c>
      <c r="AB209" s="262">
        <f>Q209/Q209*100</f>
        <v>100</v>
      </c>
    </row>
    <row r="210" spans="2:33" ht="14.25" customHeight="1" x14ac:dyDescent="0.35">
      <c r="B210" s="507" t="s">
        <v>731</v>
      </c>
      <c r="C210" s="508"/>
      <c r="D210" s="508"/>
      <c r="E210" s="509"/>
      <c r="F210" s="287"/>
      <c r="G210" s="288"/>
      <c r="H210" s="289"/>
      <c r="I210" s="290"/>
      <c r="J210" s="288"/>
      <c r="K210" s="292"/>
      <c r="L210" s="292"/>
      <c r="M210" s="293"/>
      <c r="N210" s="294"/>
      <c r="O210" s="294"/>
      <c r="P210" s="294"/>
      <c r="Q210" s="295">
        <f>Q209</f>
        <v>1828989106.8137152</v>
      </c>
      <c r="R210" s="294"/>
      <c r="S210" s="296"/>
      <c r="T210" s="294"/>
      <c r="U210" s="296"/>
      <c r="V210" s="294"/>
      <c r="W210" s="296"/>
      <c r="X210" s="297"/>
      <c r="Y210" s="298"/>
      <c r="Z210" s="298"/>
      <c r="AA210" s="299">
        <f>Q210/AA2</f>
        <v>47.954818552299002</v>
      </c>
      <c r="AB210" s="300"/>
      <c r="AC210" s="78">
        <f>Q210/$AA$2</f>
        <v>47.954818552299002</v>
      </c>
    </row>
    <row r="212" spans="2:33" hidden="1" x14ac:dyDescent="0.35">
      <c r="B212" s="71" t="s">
        <v>578</v>
      </c>
      <c r="E212" s="71" t="s">
        <v>502</v>
      </c>
      <c r="Q212" s="79">
        <f>Q121</f>
        <v>588279303.46427536</v>
      </c>
      <c r="S212" s="79">
        <f>S121</f>
        <v>308907322.77266502</v>
      </c>
      <c r="U212" s="79">
        <f>U121</f>
        <v>383562265.67983007</v>
      </c>
      <c r="W212" s="79">
        <f>W121</f>
        <v>334142193.47378385</v>
      </c>
      <c r="X212" s="283">
        <v>4403451913</v>
      </c>
    </row>
    <row r="213" spans="2:33" hidden="1" x14ac:dyDescent="0.35">
      <c r="E213" s="71" t="s">
        <v>530</v>
      </c>
      <c r="Q213" s="79" t="e">
        <f>#REF!</f>
        <v>#REF!</v>
      </c>
      <c r="S213" s="79" t="e">
        <f>#REF!</f>
        <v>#REF!</v>
      </c>
      <c r="U213" s="79" t="e">
        <f>#REF!</f>
        <v>#REF!</v>
      </c>
      <c r="W213" s="79" t="e">
        <f>#REF!</f>
        <v>#REF!</v>
      </c>
      <c r="X213" s="44">
        <v>192.08</v>
      </c>
    </row>
    <row r="214" spans="2:33" hidden="1" x14ac:dyDescent="0.35">
      <c r="E214" s="71" t="s">
        <v>505</v>
      </c>
      <c r="Q214" s="79">
        <f>Q202+Q208</f>
        <v>1240709803.3494399</v>
      </c>
      <c r="S214" s="79">
        <f>S202+S208</f>
        <v>1195080877.9622397</v>
      </c>
      <c r="U214" s="79">
        <f>U202+U208</f>
        <v>1336541132.8712192</v>
      </c>
      <c r="W214" s="79">
        <f>W202+W208</f>
        <v>1235300988.5318995</v>
      </c>
      <c r="X214" s="284">
        <f>X212/X213</f>
        <v>22925093.258017492</v>
      </c>
    </row>
    <row r="215" spans="2:33" hidden="1" x14ac:dyDescent="0.35">
      <c r="D215" s="285"/>
      <c r="E215" s="285" t="s">
        <v>531</v>
      </c>
      <c r="Q215" s="286" t="e">
        <f>SUM(Q212:Q214)</f>
        <v>#REF!</v>
      </c>
      <c r="S215" s="286" t="e">
        <f>SUM(S212:S214)</f>
        <v>#REF!</v>
      </c>
      <c r="U215" s="286" t="e">
        <f>SUM(U212:U214)</f>
        <v>#REF!</v>
      </c>
      <c r="W215" s="286" t="e">
        <f>SUM(W212:W214)</f>
        <v>#REF!</v>
      </c>
    </row>
    <row r="216" spans="2:33" s="44" customFormat="1" hidden="1" x14ac:dyDescent="0.35">
      <c r="B216" s="71"/>
      <c r="C216" s="71"/>
      <c r="D216" s="71"/>
      <c r="E216" s="71" t="s">
        <v>506</v>
      </c>
      <c r="F216" s="71"/>
      <c r="G216" s="76"/>
      <c r="H216" s="71"/>
      <c r="I216" s="71"/>
      <c r="J216" s="71"/>
      <c r="K216" s="75"/>
      <c r="L216" s="75"/>
      <c r="M216" s="77"/>
      <c r="O216" s="78"/>
      <c r="Q216" s="79" t="e">
        <f>#REF!</f>
        <v>#REF!</v>
      </c>
      <c r="S216" s="79" t="e">
        <f>#REF!</f>
        <v>#REF!</v>
      </c>
      <c r="U216" s="79" t="e">
        <f>#REF!</f>
        <v>#REF!</v>
      </c>
      <c r="W216" s="79" t="e">
        <f>#REF!</f>
        <v>#REF!</v>
      </c>
      <c r="AD216"/>
      <c r="AE216"/>
      <c r="AF216"/>
      <c r="AG216"/>
    </row>
    <row r="217" spans="2:33" s="44" customFormat="1" hidden="1" x14ac:dyDescent="0.35">
      <c r="B217" s="71"/>
      <c r="C217" s="71"/>
      <c r="D217" s="71"/>
      <c r="E217" s="71" t="s">
        <v>507</v>
      </c>
      <c r="F217" s="71"/>
      <c r="G217" s="76"/>
      <c r="H217" s="71"/>
      <c r="I217" s="71"/>
      <c r="J217" s="71"/>
      <c r="K217" s="75"/>
      <c r="L217" s="75"/>
      <c r="M217" s="77"/>
      <c r="O217" s="78"/>
      <c r="Q217" s="79" t="e">
        <f>#REF!</f>
        <v>#REF!</v>
      </c>
      <c r="S217" s="79" t="e">
        <f>#REF!</f>
        <v>#REF!</v>
      </c>
      <c r="U217" s="79" t="e">
        <f>#REF!</f>
        <v>#REF!</v>
      </c>
      <c r="W217" s="79" t="e">
        <f>#REF!</f>
        <v>#REF!</v>
      </c>
      <c r="AD217"/>
      <c r="AE217"/>
      <c r="AF217"/>
      <c r="AG217"/>
    </row>
    <row r="218" spans="2:33" s="44" customFormat="1" hidden="1" x14ac:dyDescent="0.35">
      <c r="B218" s="71"/>
      <c r="C218" s="71"/>
      <c r="D218" s="71"/>
      <c r="E218" s="71" t="s">
        <v>532</v>
      </c>
      <c r="F218" s="71"/>
      <c r="G218" s="76"/>
      <c r="H218" s="71"/>
      <c r="I218" s="71"/>
      <c r="J218" s="71"/>
      <c r="K218" s="75"/>
      <c r="L218" s="75"/>
      <c r="M218" s="77"/>
      <c r="O218" s="78"/>
      <c r="Q218" s="79" t="e">
        <f>#REF!</f>
        <v>#REF!</v>
      </c>
      <c r="S218" s="79" t="e">
        <f>#REF!</f>
        <v>#REF!</v>
      </c>
      <c r="U218" s="79" t="e">
        <f>#REF!</f>
        <v>#REF!</v>
      </c>
      <c r="W218" s="79" t="e">
        <f>#REF!</f>
        <v>#REF!</v>
      </c>
      <c r="AD218"/>
      <c r="AE218"/>
      <c r="AF218"/>
      <c r="AG218"/>
    </row>
    <row r="219" spans="2:33" s="44" customFormat="1" hidden="1" x14ac:dyDescent="0.35">
      <c r="B219" s="71"/>
      <c r="C219" s="71"/>
      <c r="D219" s="71"/>
      <c r="E219" s="71"/>
      <c r="F219" s="71"/>
      <c r="G219" s="76"/>
      <c r="H219" s="71"/>
      <c r="I219" s="71"/>
      <c r="J219" s="71"/>
      <c r="K219" s="75"/>
      <c r="L219" s="75"/>
      <c r="M219" s="77"/>
      <c r="O219" s="78"/>
      <c r="Q219" s="286" t="e">
        <f>SUM(Q216:Q218)</f>
        <v>#REF!</v>
      </c>
      <c r="S219" s="286" t="e">
        <f>SUM(S216:S218)</f>
        <v>#REF!</v>
      </c>
      <c r="U219" s="286" t="e">
        <f>SUM(U216:U218)</f>
        <v>#REF!</v>
      </c>
      <c r="W219" s="286" t="e">
        <f>SUM(W216:W218)</f>
        <v>#REF!</v>
      </c>
      <c r="AD219"/>
      <c r="AE219"/>
      <c r="AF219"/>
      <c r="AG219"/>
    </row>
    <row r="220" spans="2:33" s="44" customFormat="1" hidden="1" x14ac:dyDescent="0.35">
      <c r="B220" s="71"/>
      <c r="C220" s="71"/>
      <c r="D220" s="71"/>
      <c r="E220" s="285" t="s">
        <v>580</v>
      </c>
      <c r="F220" s="71"/>
      <c r="G220" s="76"/>
      <c r="H220" s="71"/>
      <c r="I220" s="71"/>
      <c r="J220" s="71"/>
      <c r="K220" s="75"/>
      <c r="L220" s="75"/>
      <c r="M220" s="77"/>
      <c r="O220" s="78"/>
      <c r="Q220" s="286" t="e">
        <f>Q219+Q215</f>
        <v>#REF!</v>
      </c>
      <c r="S220" s="286" t="e">
        <f>S219+S215</f>
        <v>#REF!</v>
      </c>
      <c r="U220" s="286" t="e">
        <f>U219+U215</f>
        <v>#REF!</v>
      </c>
      <c r="W220" s="286" t="e">
        <f>W219+W215</f>
        <v>#REF!</v>
      </c>
      <c r="AD220"/>
      <c r="AE220"/>
      <c r="AF220"/>
      <c r="AG220"/>
    </row>
    <row r="221" spans="2:33" s="44" customFormat="1" hidden="1" x14ac:dyDescent="0.35">
      <c r="B221" s="71"/>
      <c r="C221" s="71"/>
      <c r="D221" s="71"/>
      <c r="E221" s="71"/>
      <c r="F221" s="71"/>
      <c r="G221" s="76"/>
      <c r="H221" s="71"/>
      <c r="I221" s="71"/>
      <c r="J221" s="71"/>
      <c r="K221" s="75"/>
      <c r="L221" s="75"/>
      <c r="M221" s="77"/>
      <c r="O221" s="78"/>
      <c r="AD221"/>
      <c r="AE221"/>
      <c r="AF221"/>
      <c r="AG221"/>
    </row>
    <row r="222" spans="2:33" s="44" customFormat="1" hidden="1" x14ac:dyDescent="0.35">
      <c r="B222" s="71" t="s">
        <v>579</v>
      </c>
      <c r="C222" s="71"/>
      <c r="D222" s="71"/>
      <c r="E222" s="71" t="s">
        <v>502</v>
      </c>
      <c r="F222" s="71"/>
      <c r="G222" s="76"/>
      <c r="H222" s="71"/>
      <c r="I222" s="71"/>
      <c r="J222" s="71"/>
      <c r="K222" s="75"/>
      <c r="L222" s="75"/>
      <c r="M222" s="77"/>
      <c r="O222" s="78"/>
      <c r="Q222" s="79">
        <f>Q122</f>
        <v>0</v>
      </c>
      <c r="S222" s="79" t="e">
        <f>S122</f>
        <v>#REF!</v>
      </c>
      <c r="U222" s="79" t="e">
        <f>U122</f>
        <v>#REF!</v>
      </c>
      <c r="W222" s="79" t="e">
        <f>W122</f>
        <v>#REF!</v>
      </c>
      <c r="AD222"/>
      <c r="AE222"/>
      <c r="AF222"/>
      <c r="AG222"/>
    </row>
    <row r="223" spans="2:33" s="44" customFormat="1" hidden="1" x14ac:dyDescent="0.35">
      <c r="B223" s="71"/>
      <c r="C223" s="71"/>
      <c r="D223" s="71"/>
      <c r="E223" s="71" t="s">
        <v>530</v>
      </c>
      <c r="F223" s="71"/>
      <c r="G223" s="76"/>
      <c r="H223" s="71"/>
      <c r="I223" s="71"/>
      <c r="J223" s="71"/>
      <c r="K223" s="75"/>
      <c r="L223" s="75"/>
      <c r="M223" s="77"/>
      <c r="O223" s="78"/>
      <c r="Q223" s="79" t="e">
        <f>#REF!</f>
        <v>#REF!</v>
      </c>
      <c r="S223" s="79" t="e">
        <f>#REF!</f>
        <v>#REF!</v>
      </c>
      <c r="U223" s="79" t="e">
        <f>#REF!</f>
        <v>#REF!</v>
      </c>
      <c r="W223" s="79" t="e">
        <f>#REF!</f>
        <v>#REF!</v>
      </c>
      <c r="AD223"/>
      <c r="AE223"/>
      <c r="AF223"/>
      <c r="AG223"/>
    </row>
    <row r="224" spans="2:33" s="44" customFormat="1" hidden="1" x14ac:dyDescent="0.35">
      <c r="B224" s="71"/>
      <c r="C224" s="71"/>
      <c r="D224" s="71"/>
      <c r="E224" s="71" t="s">
        <v>505</v>
      </c>
      <c r="F224" s="71"/>
      <c r="G224" s="76"/>
      <c r="H224" s="71"/>
      <c r="I224" s="71"/>
      <c r="J224" s="71"/>
      <c r="K224" s="75"/>
      <c r="L224" s="75"/>
      <c r="M224" s="77"/>
      <c r="O224" s="78"/>
      <c r="Q224" s="79">
        <f>Q202+Q208</f>
        <v>1240709803.3494399</v>
      </c>
      <c r="S224" s="79">
        <f>S202+S208</f>
        <v>1195080877.9622397</v>
      </c>
      <c r="U224" s="79">
        <f>U202+U208</f>
        <v>1336541132.8712192</v>
      </c>
      <c r="W224" s="79">
        <f>W202+W208</f>
        <v>1235300988.5318995</v>
      </c>
      <c r="AD224"/>
      <c r="AE224"/>
      <c r="AF224"/>
      <c r="AG224"/>
    </row>
    <row r="225" spans="2:33" s="44" customFormat="1" hidden="1" x14ac:dyDescent="0.35">
      <c r="B225" s="71"/>
      <c r="C225" s="71"/>
      <c r="D225" s="71"/>
      <c r="E225" s="285" t="s">
        <v>531</v>
      </c>
      <c r="F225" s="71"/>
      <c r="G225" s="76"/>
      <c r="H225" s="71"/>
      <c r="I225" s="71"/>
      <c r="J225" s="71"/>
      <c r="K225" s="75"/>
      <c r="L225" s="75"/>
      <c r="M225" s="77"/>
      <c r="O225" s="78"/>
      <c r="Q225" s="286" t="e">
        <f>SUM(Q222:Q224)</f>
        <v>#REF!</v>
      </c>
      <c r="S225" s="286" t="e">
        <f>SUM(S222:S224)</f>
        <v>#REF!</v>
      </c>
      <c r="U225" s="286" t="e">
        <f>SUM(U222:U224)</f>
        <v>#REF!</v>
      </c>
      <c r="W225" s="286" t="e">
        <f>SUM(W222:W224)</f>
        <v>#REF!</v>
      </c>
      <c r="AD225"/>
      <c r="AE225"/>
      <c r="AF225"/>
      <c r="AG225"/>
    </row>
    <row r="226" spans="2:33" s="44" customFormat="1" hidden="1" x14ac:dyDescent="0.35">
      <c r="B226" s="71"/>
      <c r="C226" s="71"/>
      <c r="D226" s="71"/>
      <c r="E226" s="71" t="s">
        <v>506</v>
      </c>
      <c r="F226" s="71"/>
      <c r="G226" s="76"/>
      <c r="H226" s="71"/>
      <c r="I226" s="71"/>
      <c r="J226" s="71"/>
      <c r="K226" s="75"/>
      <c r="L226" s="75"/>
      <c r="M226" s="77"/>
      <c r="O226" s="78"/>
      <c r="Q226" s="79" t="e">
        <f>Q216</f>
        <v>#REF!</v>
      </c>
      <c r="S226" s="79" t="e">
        <f>S216</f>
        <v>#REF!</v>
      </c>
      <c r="U226" s="79" t="e">
        <f>U216</f>
        <v>#REF!</v>
      </c>
      <c r="W226" s="79" t="e">
        <f>W216</f>
        <v>#REF!</v>
      </c>
      <c r="AD226"/>
      <c r="AE226"/>
      <c r="AF226"/>
      <c r="AG226"/>
    </row>
    <row r="227" spans="2:33" s="44" customFormat="1" hidden="1" x14ac:dyDescent="0.35">
      <c r="B227" s="71"/>
      <c r="C227" s="71"/>
      <c r="D227" s="71"/>
      <c r="E227" s="71" t="s">
        <v>507</v>
      </c>
      <c r="F227" s="71"/>
      <c r="G227" s="76"/>
      <c r="H227" s="71"/>
      <c r="I227" s="71"/>
      <c r="J227" s="71"/>
      <c r="K227" s="75"/>
      <c r="L227" s="75"/>
      <c r="M227" s="77"/>
      <c r="O227" s="78"/>
      <c r="Q227" s="79" t="e">
        <f>Q217</f>
        <v>#REF!</v>
      </c>
      <c r="S227" s="79" t="e">
        <f>S217</f>
        <v>#REF!</v>
      </c>
      <c r="U227" s="79" t="e">
        <f t="shared" ref="U227:W228" si="61">U217</f>
        <v>#REF!</v>
      </c>
      <c r="W227" s="79" t="e">
        <f t="shared" si="61"/>
        <v>#REF!</v>
      </c>
      <c r="AD227"/>
      <c r="AE227"/>
      <c r="AF227"/>
      <c r="AG227"/>
    </row>
    <row r="228" spans="2:33" s="44" customFormat="1" hidden="1" x14ac:dyDescent="0.35">
      <c r="B228" s="71"/>
      <c r="C228" s="71"/>
      <c r="D228" s="71"/>
      <c r="E228" s="71" t="s">
        <v>532</v>
      </c>
      <c r="F228" s="71"/>
      <c r="G228" s="76"/>
      <c r="H228" s="71"/>
      <c r="I228" s="71"/>
      <c r="J228" s="71"/>
      <c r="K228" s="75"/>
      <c r="L228" s="75"/>
      <c r="M228" s="77"/>
      <c r="O228" s="78"/>
      <c r="Q228" s="79" t="e">
        <f>Q218</f>
        <v>#REF!</v>
      </c>
      <c r="S228" s="79" t="e">
        <f>S218</f>
        <v>#REF!</v>
      </c>
      <c r="U228" s="79" t="e">
        <f t="shared" si="61"/>
        <v>#REF!</v>
      </c>
      <c r="W228" s="79" t="e">
        <f t="shared" si="61"/>
        <v>#REF!</v>
      </c>
      <c r="AD228"/>
      <c r="AE228"/>
      <c r="AF228"/>
      <c r="AG228"/>
    </row>
    <row r="229" spans="2:33" s="44" customFormat="1" hidden="1" x14ac:dyDescent="0.35">
      <c r="B229" s="71"/>
      <c r="C229" s="71"/>
      <c r="D229" s="71"/>
      <c r="E229" s="71"/>
      <c r="F229" s="71"/>
      <c r="G229" s="76"/>
      <c r="H229" s="71"/>
      <c r="I229" s="71"/>
      <c r="J229" s="71"/>
      <c r="K229" s="75"/>
      <c r="L229" s="75"/>
      <c r="M229" s="77"/>
      <c r="O229" s="78"/>
      <c r="Q229" s="286" t="e">
        <f>SUM(Q226:Q228)</f>
        <v>#REF!</v>
      </c>
      <c r="S229" s="286" t="e">
        <f>SUM(S226:S228)</f>
        <v>#REF!</v>
      </c>
      <c r="U229" s="286" t="e">
        <f>SUM(U226:U228)</f>
        <v>#REF!</v>
      </c>
      <c r="W229" s="286" t="e">
        <f>SUM(W226:W228)</f>
        <v>#REF!</v>
      </c>
      <c r="AD229"/>
      <c r="AE229"/>
      <c r="AF229"/>
      <c r="AG229"/>
    </row>
    <row r="230" spans="2:33" s="44" customFormat="1" hidden="1" x14ac:dyDescent="0.35">
      <c r="B230" s="71"/>
      <c r="C230" s="71"/>
      <c r="D230" s="71"/>
      <c r="E230" s="285" t="s">
        <v>581</v>
      </c>
      <c r="F230" s="71"/>
      <c r="G230" s="76"/>
      <c r="H230" s="71"/>
      <c r="I230" s="71"/>
      <c r="J230" s="71"/>
      <c r="K230" s="75"/>
      <c r="L230" s="75"/>
      <c r="M230" s="77"/>
      <c r="O230" s="78"/>
      <c r="Q230" s="286" t="e">
        <f>Q229+Q225</f>
        <v>#REF!</v>
      </c>
      <c r="S230" s="286" t="e">
        <f>S229+S225</f>
        <v>#REF!</v>
      </c>
      <c r="U230" s="286" t="e">
        <f>U229+U225</f>
        <v>#REF!</v>
      </c>
      <c r="W230" s="286" t="e">
        <f>W229+W225</f>
        <v>#REF!</v>
      </c>
      <c r="AD230"/>
      <c r="AE230"/>
      <c r="AF230"/>
      <c r="AG230"/>
    </row>
  </sheetData>
  <mergeCells count="45">
    <mergeCell ref="B210:E210"/>
    <mergeCell ref="B161:E161"/>
    <mergeCell ref="B184:E184"/>
    <mergeCell ref="B201:E201"/>
    <mergeCell ref="B202:E202"/>
    <mergeCell ref="B208:E208"/>
    <mergeCell ref="B209:E209"/>
    <mergeCell ref="W4:W5"/>
    <mergeCell ref="D21:E21"/>
    <mergeCell ref="B47:E47"/>
    <mergeCell ref="B81:E81"/>
    <mergeCell ref="B89:E89"/>
    <mergeCell ref="Q4:Q5"/>
    <mergeCell ref="R4:R5"/>
    <mergeCell ref="S4:S5"/>
    <mergeCell ref="T4:T5"/>
    <mergeCell ref="U4:U5"/>
    <mergeCell ref="V4:V5"/>
    <mergeCell ref="M4:M5"/>
    <mergeCell ref="N4:N5"/>
    <mergeCell ref="O4:O5"/>
    <mergeCell ref="P4:P5"/>
    <mergeCell ref="B151:E151"/>
    <mergeCell ref="B94:E94"/>
    <mergeCell ref="B105:E105"/>
    <mergeCell ref="B113:E113"/>
    <mergeCell ref="B120:E120"/>
    <mergeCell ref="B121:E121"/>
    <mergeCell ref="B122:E122"/>
    <mergeCell ref="B1:AB1"/>
    <mergeCell ref="B3:E5"/>
    <mergeCell ref="F3:G3"/>
    <mergeCell ref="H3:I5"/>
    <mergeCell ref="J3:O3"/>
    <mergeCell ref="P3:Q3"/>
    <mergeCell ref="R3:S3"/>
    <mergeCell ref="T3:U3"/>
    <mergeCell ref="V3:W3"/>
    <mergeCell ref="X3:X5"/>
    <mergeCell ref="AA3:AA5"/>
    <mergeCell ref="AB3:AB5"/>
    <mergeCell ref="F4:F5"/>
    <mergeCell ref="G4:G5"/>
    <mergeCell ref="J4:J5"/>
    <mergeCell ref="K4:L4"/>
  </mergeCells>
  <printOptions horizontalCentered="1"/>
  <pageMargins left="0.25" right="0.25" top="0.75" bottom="0.75" header="0.3" footer="0.3"/>
  <pageSetup paperSize="9" scale="60" orientation="landscape" r:id="rId1"/>
  <rowBreaks count="2" manualBreakCount="2">
    <brk id="47" min="1" max="27" man="1"/>
    <brk id="184" min="1" max="27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48DBB-3786-4CB4-A793-49D7E962652F}">
  <sheetPr>
    <pageSetUpPr fitToPage="1"/>
  </sheetPr>
  <dimension ref="B1:P21"/>
  <sheetViews>
    <sheetView showGridLines="0" workbookViewId="0"/>
  </sheetViews>
  <sheetFormatPr defaultRowHeight="14.5" x14ac:dyDescent="0.35"/>
  <cols>
    <col min="1" max="1" width="1.81640625" customWidth="1"/>
    <col min="2" max="2" width="4.81640625" style="44" customWidth="1"/>
    <col min="3" max="3" width="30.26953125" style="44" customWidth="1"/>
    <col min="4" max="4" width="16" style="44" bestFit="1" customWidth="1"/>
    <col min="5" max="5" width="11.26953125" style="44" customWidth="1"/>
    <col min="6" max="6" width="11.81640625" style="44" bestFit="1" customWidth="1"/>
    <col min="7" max="7" width="14.1796875" style="44" customWidth="1"/>
    <col min="8" max="8" width="19.7265625" style="44" customWidth="1"/>
    <col min="9" max="10" width="17" style="44" bestFit="1" customWidth="1"/>
    <col min="11" max="11" width="13.08984375" style="44" bestFit="1" customWidth="1"/>
    <col min="14" max="14" width="9.7265625" customWidth="1"/>
    <col min="15" max="16" width="16.6328125" customWidth="1"/>
  </cols>
  <sheetData>
    <row r="1" spans="2:16" ht="6" customHeight="1" x14ac:dyDescent="0.35"/>
    <row r="2" spans="2:16" x14ac:dyDescent="0.35">
      <c r="B2" s="580" t="s">
        <v>828</v>
      </c>
      <c r="C2" s="580"/>
      <c r="D2" s="49" t="s">
        <v>829</v>
      </c>
    </row>
    <row r="3" spans="2:16" x14ac:dyDescent="0.35">
      <c r="B3" s="580" t="s">
        <v>830</v>
      </c>
      <c r="C3" s="580"/>
      <c r="D3" s="49" t="s">
        <v>882</v>
      </c>
    </row>
    <row r="4" spans="2:16" x14ac:dyDescent="0.35">
      <c r="B4" s="580"/>
      <c r="C4" s="580"/>
      <c r="D4" s="49"/>
    </row>
    <row r="5" spans="2:16" ht="22.25" customHeight="1" thickBot="1" x14ac:dyDescent="0.4">
      <c r="B5" s="498" t="s">
        <v>881</v>
      </c>
      <c r="C5" s="498"/>
      <c r="D5" s="498"/>
      <c r="E5" s="498"/>
      <c r="F5" s="498"/>
      <c r="G5" s="498"/>
      <c r="H5" s="498"/>
      <c r="I5" s="498"/>
      <c r="J5" s="498"/>
      <c r="K5" s="498"/>
      <c r="O5" s="372" t="s">
        <v>804</v>
      </c>
      <c r="P5" s="372" t="s">
        <v>805</v>
      </c>
    </row>
    <row r="6" spans="2:16" ht="14.65" customHeight="1" x14ac:dyDescent="0.35">
      <c r="B6" s="581" t="s">
        <v>500</v>
      </c>
      <c r="C6" s="584" t="s">
        <v>833</v>
      </c>
      <c r="D6" s="586"/>
      <c r="E6" s="586"/>
      <c r="F6" s="586"/>
      <c r="G6" s="587" t="s">
        <v>826</v>
      </c>
      <c r="H6" s="587" t="s">
        <v>825</v>
      </c>
      <c r="I6" s="590" t="s">
        <v>831</v>
      </c>
      <c r="J6" s="590"/>
      <c r="K6" s="573" t="s">
        <v>5</v>
      </c>
      <c r="N6" t="s">
        <v>129</v>
      </c>
      <c r="O6" s="392" t="e">
        <f>#REF!</f>
        <v>#REF!</v>
      </c>
      <c r="P6" s="393" t="e">
        <f>#REF!</f>
        <v>#REF!</v>
      </c>
    </row>
    <row r="7" spans="2:16" x14ac:dyDescent="0.35">
      <c r="B7" s="582"/>
      <c r="C7" s="585"/>
      <c r="D7" s="372" t="s">
        <v>804</v>
      </c>
      <c r="E7" s="372" t="s">
        <v>805</v>
      </c>
      <c r="F7" s="576" t="s">
        <v>501</v>
      </c>
      <c r="G7" s="588"/>
      <c r="H7" s="588"/>
      <c r="I7" s="372" t="s">
        <v>804</v>
      </c>
      <c r="J7" s="372" t="s">
        <v>805</v>
      </c>
      <c r="K7" s="574"/>
      <c r="N7" t="s">
        <v>2</v>
      </c>
      <c r="O7" s="392">
        <f>I9+I10+I11+I12</f>
        <v>1211975347.4568961</v>
      </c>
      <c r="P7" s="393">
        <f>J9+J10+J11+J12</f>
        <v>739646437.49567986</v>
      </c>
    </row>
    <row r="8" spans="2:16" ht="15" thickBot="1" x14ac:dyDescent="0.4">
      <c r="B8" s="583"/>
      <c r="C8" s="577"/>
      <c r="D8" s="371" t="s">
        <v>2</v>
      </c>
      <c r="E8" s="371" t="s">
        <v>2</v>
      </c>
      <c r="F8" s="577"/>
      <c r="G8" s="589"/>
      <c r="H8" s="589"/>
      <c r="I8" s="370" t="s">
        <v>832</v>
      </c>
      <c r="J8" s="370" t="s">
        <v>832</v>
      </c>
      <c r="K8" s="575"/>
      <c r="N8" t="s">
        <v>872</v>
      </c>
      <c r="O8" t="e">
        <f>#REF!</f>
        <v>#REF!</v>
      </c>
      <c r="P8" s="393" t="e">
        <f>#REF!</f>
        <v>#REF!</v>
      </c>
    </row>
    <row r="9" spans="2:16" x14ac:dyDescent="0.35">
      <c r="B9" s="61">
        <v>1</v>
      </c>
      <c r="C9" s="62" t="s">
        <v>485</v>
      </c>
      <c r="D9" s="363">
        <f>'SI TB LC Indigofera (FFD)'!O8+'SI TB LC Indigofera (FFD)'!O11+'SI TB LC Indigofera (FFD)'!O14+'SI TB LC Indigofera (FFD)'!O17+'SI TB LC Indigofera (FFD)'!O21</f>
        <v>682.49</v>
      </c>
      <c r="E9" s="364">
        <f>'SI TB LC Pakchong (FFD)'!O8+'SI TB LC Pakchong (FFD)'!O11+'SI TB LC Pakchong (FFD)'!O14+'SI TB LC Pakchong (FFD)'!O17+'SI TB LC Pakchong (FFD)'!O21+'SI TB LC Pakchong (FFD)'!O27</f>
        <v>864.68999999999983</v>
      </c>
      <c r="F9" s="364">
        <f>D9+E9</f>
        <v>1547.1799999999998</v>
      </c>
      <c r="G9" s="373">
        <f>'Master Harga'!$J$8</f>
        <v>151208.64000000001</v>
      </c>
      <c r="H9" s="373">
        <f>G9*F9</f>
        <v>233946983.63519999</v>
      </c>
      <c r="I9" s="373">
        <f>D9*G9</f>
        <v>103198384.71360001</v>
      </c>
      <c r="J9" s="373">
        <f>G9*E9</f>
        <v>130748598.92159998</v>
      </c>
      <c r="K9" s="373">
        <f>H9/'Areal Stmt'!$G$25</f>
        <v>3967893.2095522392</v>
      </c>
      <c r="N9" t="s">
        <v>873</v>
      </c>
      <c r="O9" s="4" t="e">
        <f>O10-(O6+O7+O8)</f>
        <v>#REF!</v>
      </c>
      <c r="P9" s="393" t="e">
        <f>#REF!-(P6+P7+P8)</f>
        <v>#REF!</v>
      </c>
    </row>
    <row r="10" spans="2:16" x14ac:dyDescent="0.35">
      <c r="B10" s="50">
        <v>2</v>
      </c>
      <c r="C10" s="365" t="s">
        <v>834</v>
      </c>
      <c r="D10" s="366">
        <f>'SI TB LC Indigofera (FFD)'!O37+'SI TB LC Indigofera (FFD)'!O39+'SI TB LC Indigofera (FFD)'!O64+'SI TB LC Indigofera (FFD)'!O69+'SI TB LC Indigofera (FFD)'!O71+'SI TB LC Indigofera (FFD)'!O73</f>
        <v>14.9</v>
      </c>
      <c r="E10" s="367">
        <f>'SI TB LC Pakchong (FFD)'!O43+'SI TB LC Pakchong (FFD)'!O45+'SI TB LC Pakchong (FFD)'!O70</f>
        <v>16.579999999999998</v>
      </c>
      <c r="F10" s="364">
        <f>D10+E10</f>
        <v>31.479999999999997</v>
      </c>
      <c r="G10" s="373">
        <f>'Master Harga'!$J$8</f>
        <v>151208.64000000001</v>
      </c>
      <c r="H10" s="373">
        <f t="shared" ref="H10:H12" si="0">G10*F10</f>
        <v>4760047.9872000003</v>
      </c>
      <c r="I10" s="373">
        <f>D10*G10</f>
        <v>2253008.736</v>
      </c>
      <c r="J10" s="373">
        <f t="shared" ref="J10:J12" si="1">G10*E10</f>
        <v>2507039.2511999998</v>
      </c>
      <c r="K10" s="373">
        <f>H10/'Areal Stmt'!$G$25</f>
        <v>80733.514029850761</v>
      </c>
      <c r="O10" s="4" t="e">
        <f>#REF!</f>
        <v>#REF!</v>
      </c>
      <c r="P10" s="4" t="e">
        <f>#REF!</f>
        <v>#REF!</v>
      </c>
    </row>
    <row r="11" spans="2:16" x14ac:dyDescent="0.35">
      <c r="B11" s="61">
        <v>3</v>
      </c>
      <c r="C11" s="365" t="s">
        <v>835</v>
      </c>
      <c r="D11" s="366">
        <f>'SI TB LC Indigofera (FFD)'!O119+'SI TB LC Indigofera (FFD)'!O121+'SI TB LC Indigofera (FFD)'!O128+'SI TB LC Indigofera (FFD)'!O130+'SI TB LC Indigofera (FFD)'!O131+'SI TB LC Indigofera (FFD)'!O132+'SI TB LC Indigofera (FFD)'!O134+'SI TB LC Indigofera (FFD)'!O158+'SI TB LC Indigofera (FFD)'!O160+'SI TB LC Indigofera (FFD)'!O161+'SI TB LC Indigofera (FFD)'!O164+'SI TB LC Indigofera (FFD)'!O185+'SI TB LC Indigofera (FFD)'!O187+'SI TB LC Indigofera (FFD)'!O191</f>
        <v>3981.8619555555556</v>
      </c>
      <c r="E11" s="367">
        <f>'SI TB LC Pakchong (FFD)'!O125+'SI TB LC Pakchong (FFD)'!O127+'SI TB LC Pakchong (FFD)'!O129+'SI TB LC Pakchong (FFD)'!O153+'SI TB LC Pakchong (FFD)'!O155+'SI TB LC Pakchong (FFD)'!O156+'SI TB LC Pakchong (FFD)'!O159+'SI TB LC Pakchong (FFD)'!O180+'SI TB LC Pakchong (FFD)'!O182+'SI TB LC Pakchong (FFD)'!O186</f>
        <v>2950.8519999999994</v>
      </c>
      <c r="F11" s="364">
        <f>D11+E11</f>
        <v>6932.713955555555</v>
      </c>
      <c r="G11" s="373">
        <f>'Master Harga'!$J$8</f>
        <v>151208.64000000001</v>
      </c>
      <c r="H11" s="373">
        <f t="shared" si="0"/>
        <v>1048286248.7285761</v>
      </c>
      <c r="I11" s="373">
        <f>D11*G11</f>
        <v>602091930.967296</v>
      </c>
      <c r="J11" s="373">
        <f t="shared" si="1"/>
        <v>446194317.76127994</v>
      </c>
      <c r="K11" s="373">
        <f>H11/'Areal Stmt'!$G$25</f>
        <v>17779617.515749257</v>
      </c>
    </row>
    <row r="12" spans="2:16" x14ac:dyDescent="0.35">
      <c r="B12" s="50">
        <v>4</v>
      </c>
      <c r="C12" s="365" t="s">
        <v>524</v>
      </c>
      <c r="D12" s="366">
        <f>'SI TB LC Indigofera (FFD)'!O209</f>
        <v>3336</v>
      </c>
      <c r="E12" s="367">
        <f>'SI TB LC Pakchong (FFD)'!O204</f>
        <v>1059.4399999999998</v>
      </c>
      <c r="F12" s="364">
        <f>D12+E12</f>
        <v>4395.4399999999996</v>
      </c>
      <c r="G12" s="373">
        <f>'Master Harga'!$J$8</f>
        <v>151208.64000000001</v>
      </c>
      <c r="H12" s="373">
        <f t="shared" si="0"/>
        <v>664628504.60160005</v>
      </c>
      <c r="I12" s="373">
        <f>D12*G12</f>
        <v>504432023.04000002</v>
      </c>
      <c r="J12" s="373">
        <f t="shared" si="1"/>
        <v>160196481.5616</v>
      </c>
      <c r="K12" s="373">
        <f>H12/'Areal Stmt'!$G$25</f>
        <v>11272532.303283583</v>
      </c>
    </row>
    <row r="13" spans="2:16" x14ac:dyDescent="0.35">
      <c r="B13" s="50">
        <v>5</v>
      </c>
      <c r="C13" s="365" t="s">
        <v>874</v>
      </c>
      <c r="D13" s="366"/>
      <c r="E13" s="367"/>
      <c r="F13" s="364"/>
      <c r="G13" s="373"/>
      <c r="H13" s="373">
        <f>I13+J13</f>
        <v>669583773.8635509</v>
      </c>
      <c r="I13" s="373">
        <f>'RKP FFD'!E21-('Kebutuhan TK FFD'!I9+'Kebutuhan TK FFD'!I10+'Kebutuhan TK FFD'!I11+'Kebutuhan TK FFD'!I12+'Kebutuhan Material FFD'!J40+'KeB.HM Alat Berat (FFD)'!K13)</f>
        <v>445934812.44181967</v>
      </c>
      <c r="J13" s="373">
        <f>'RKP FFD'!E22-('Kebutuhan TK FFD'!J9+'Kebutuhan TK FFD'!J10+'Kebutuhan TK FFD'!J11+'Kebutuhan TK FFD'!J12+'Kebutuhan Material FFD'!K40+'KeB.HM Alat Berat (FFD)'!L13)</f>
        <v>223648961.42173123</v>
      </c>
      <c r="K13" s="373">
        <f>H13/'Areal Stmt'!$G$25</f>
        <v>11356576.89727868</v>
      </c>
    </row>
    <row r="14" spans="2:16" s="19" customFormat="1" x14ac:dyDescent="0.35">
      <c r="B14" s="578" t="s">
        <v>501</v>
      </c>
      <c r="C14" s="579"/>
      <c r="D14" s="369">
        <f>SUM(D9:D12)</f>
        <v>8015.2519555555555</v>
      </c>
      <c r="E14" s="369">
        <f>SUM(E9:E12)</f>
        <v>4891.561999999999</v>
      </c>
      <c r="F14" s="369">
        <f>SUM(F9:F12)</f>
        <v>12906.813955555554</v>
      </c>
      <c r="G14" s="374"/>
      <c r="H14" s="375">
        <f>SUM(H9:H13)</f>
        <v>2621205558.8161268</v>
      </c>
      <c r="I14" s="375">
        <f>SUM(I9:I13)</f>
        <v>1657910159.8987157</v>
      </c>
      <c r="J14" s="375">
        <f>SUM(J9:J13)</f>
        <v>963295398.91741109</v>
      </c>
      <c r="K14" s="375">
        <f>H14/'Areal Stmt'!$G$25</f>
        <v>44457353.439893611</v>
      </c>
    </row>
    <row r="16" spans="2:16" x14ac:dyDescent="0.35">
      <c r="I16" s="222"/>
      <c r="J16" s="222"/>
    </row>
    <row r="19" spans="9:10" x14ac:dyDescent="0.35">
      <c r="I19" s="222"/>
      <c r="J19" s="222"/>
    </row>
    <row r="20" spans="9:10" x14ac:dyDescent="0.35">
      <c r="I20" s="79"/>
      <c r="J20" s="79"/>
    </row>
    <row r="21" spans="9:10" x14ac:dyDescent="0.35">
      <c r="I21" s="79"/>
      <c r="J21" s="79"/>
    </row>
  </sheetData>
  <mergeCells count="13">
    <mergeCell ref="K6:K8"/>
    <mergeCell ref="F7:F8"/>
    <mergeCell ref="B14:C14"/>
    <mergeCell ref="B2:C2"/>
    <mergeCell ref="B3:C3"/>
    <mergeCell ref="B4:C4"/>
    <mergeCell ref="B5:K5"/>
    <mergeCell ref="B6:B8"/>
    <mergeCell ref="C6:C8"/>
    <mergeCell ref="D6:F6"/>
    <mergeCell ref="G6:G8"/>
    <mergeCell ref="H6:H8"/>
    <mergeCell ref="I6:J6"/>
  </mergeCells>
  <printOptions horizontalCentered="1"/>
  <pageMargins left="0.25" right="0.25" top="0.75" bottom="0.75" header="0.3" footer="0.3"/>
  <pageSetup paperSize="9" scale="94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187E0-F379-4325-81D6-E520119C2659}">
  <sheetPr>
    <pageSetUpPr fitToPage="1"/>
  </sheetPr>
  <dimension ref="B1:L40"/>
  <sheetViews>
    <sheetView showGridLines="0" workbookViewId="0"/>
  </sheetViews>
  <sheetFormatPr defaultRowHeight="14.5" x14ac:dyDescent="0.35"/>
  <cols>
    <col min="1" max="1" width="1.81640625" customWidth="1"/>
    <col min="2" max="2" width="4.81640625" style="44" customWidth="1"/>
    <col min="3" max="3" width="28.54296875" style="44" customWidth="1"/>
    <col min="4" max="4" width="4.90625" style="384" customWidth="1"/>
    <col min="5" max="6" width="11.26953125" style="44" customWidth="1"/>
    <col min="7" max="7" width="11.36328125" style="44" customWidth="1"/>
    <col min="8" max="8" width="14.1796875" style="44" customWidth="1"/>
    <col min="9" max="11" width="15.7265625" style="44" customWidth="1"/>
    <col min="12" max="12" width="15.90625" style="44" bestFit="1" customWidth="1"/>
  </cols>
  <sheetData>
    <row r="1" spans="2:12" ht="6" customHeight="1" x14ac:dyDescent="0.35"/>
    <row r="2" spans="2:12" x14ac:dyDescent="0.35">
      <c r="B2" s="580" t="s">
        <v>828</v>
      </c>
      <c r="C2" s="580"/>
      <c r="D2" s="385" t="s">
        <v>878</v>
      </c>
      <c r="E2" s="49" t="s">
        <v>877</v>
      </c>
    </row>
    <row r="3" spans="2:12" x14ac:dyDescent="0.35">
      <c r="B3" s="580" t="s">
        <v>830</v>
      </c>
      <c r="C3" s="580"/>
      <c r="D3" s="385" t="s">
        <v>878</v>
      </c>
      <c r="E3" s="49" t="s">
        <v>883</v>
      </c>
    </row>
    <row r="4" spans="2:12" x14ac:dyDescent="0.35">
      <c r="B4" s="580" t="s">
        <v>836</v>
      </c>
      <c r="C4" s="580"/>
      <c r="D4" s="385" t="s">
        <v>878</v>
      </c>
      <c r="E4" s="419">
        <f>'Areal Stmt'!G32+'Areal Stmt'!G35</f>
        <v>58.959999999999994</v>
      </c>
      <c r="F4" s="49" t="s">
        <v>113</v>
      </c>
    </row>
    <row r="5" spans="2:12" ht="18" thickBot="1" x14ac:dyDescent="0.4">
      <c r="B5" s="498" t="s">
        <v>837</v>
      </c>
      <c r="C5" s="498"/>
      <c r="D5" s="498"/>
      <c r="E5" s="498"/>
      <c r="F5" s="498"/>
      <c r="G5" s="498"/>
      <c r="H5" s="498"/>
      <c r="I5" s="498"/>
      <c r="J5" s="498"/>
      <c r="K5" s="498"/>
      <c r="L5" s="498"/>
    </row>
    <row r="6" spans="2:12" x14ac:dyDescent="0.35">
      <c r="B6" s="581" t="s">
        <v>500</v>
      </c>
      <c r="C6" s="584" t="s">
        <v>833</v>
      </c>
      <c r="D6" s="587" t="s">
        <v>478</v>
      </c>
      <c r="E6" s="586" t="s">
        <v>843</v>
      </c>
      <c r="F6" s="586"/>
      <c r="G6" s="586"/>
      <c r="H6" s="587" t="s">
        <v>826</v>
      </c>
      <c r="I6" s="587" t="s">
        <v>825</v>
      </c>
      <c r="J6" s="590" t="s">
        <v>831</v>
      </c>
      <c r="K6" s="590"/>
      <c r="L6" s="573" t="s">
        <v>5</v>
      </c>
    </row>
    <row r="7" spans="2:12" ht="15" thickBot="1" x14ac:dyDescent="0.4">
      <c r="B7" s="583"/>
      <c r="C7" s="577"/>
      <c r="D7" s="589"/>
      <c r="E7" s="371" t="s">
        <v>804</v>
      </c>
      <c r="F7" s="371" t="s">
        <v>805</v>
      </c>
      <c r="G7" s="371" t="s">
        <v>501</v>
      </c>
      <c r="H7" s="589"/>
      <c r="I7" s="589"/>
      <c r="J7" s="371" t="s">
        <v>804</v>
      </c>
      <c r="K7" s="371" t="s">
        <v>805</v>
      </c>
      <c r="L7" s="575"/>
    </row>
    <row r="8" spans="2:12" x14ac:dyDescent="0.35">
      <c r="B8" s="61">
        <v>1</v>
      </c>
      <c r="C8" s="62" t="s">
        <v>842</v>
      </c>
      <c r="D8" s="61"/>
      <c r="E8" s="363"/>
      <c r="F8" s="364"/>
      <c r="G8" s="364"/>
      <c r="H8" s="373"/>
      <c r="I8" s="373"/>
      <c r="J8" s="373"/>
      <c r="K8" s="373"/>
      <c r="L8" s="373"/>
    </row>
    <row r="9" spans="2:12" x14ac:dyDescent="0.35">
      <c r="B9" s="61"/>
      <c r="C9" s="377" t="s">
        <v>844</v>
      </c>
      <c r="D9" s="386" t="s">
        <v>7</v>
      </c>
      <c r="E9" s="382">
        <f>'SI TB LC Indigofera (FFD)'!O120</f>
        <v>3.1784666666666666</v>
      </c>
      <c r="F9" s="383"/>
      <c r="G9" s="383">
        <f>SUM(E9:F9)</f>
        <v>3.1784666666666666</v>
      </c>
      <c r="H9" s="383">
        <f>'Master Harga'!J185</f>
        <v>28499.999999999996</v>
      </c>
      <c r="I9" s="383">
        <f>H9*G9</f>
        <v>90586.299999999988</v>
      </c>
      <c r="J9" s="383">
        <f>E9*H9</f>
        <v>90586.299999999988</v>
      </c>
      <c r="K9" s="383">
        <f>F9*H9</f>
        <v>0</v>
      </c>
      <c r="L9" s="383">
        <f>I9/75.9</f>
        <v>1193.4953886693015</v>
      </c>
    </row>
    <row r="10" spans="2:12" x14ac:dyDescent="0.35">
      <c r="B10" s="61"/>
      <c r="C10" s="377" t="s">
        <v>845</v>
      </c>
      <c r="D10" s="386" t="s">
        <v>741</v>
      </c>
      <c r="E10" s="382"/>
      <c r="F10" s="383">
        <f>'SI TB LC Pakchong (FFD)'!O126</f>
        <v>560879.99999999988</v>
      </c>
      <c r="G10" s="383">
        <f>SUM(E10:F10)</f>
        <v>560879.99999999988</v>
      </c>
      <c r="H10" s="383">
        <f>'Master Harga'!J186</f>
        <v>455.99999999999994</v>
      </c>
      <c r="I10" s="383">
        <f>H10*G10</f>
        <v>255761279.99999991</v>
      </c>
      <c r="J10" s="383">
        <f>E10*H10</f>
        <v>0</v>
      </c>
      <c r="K10" s="383">
        <f>F10*H10</f>
        <v>255761279.99999991</v>
      </c>
      <c r="L10" s="383">
        <f>I10/75.9</f>
        <v>3369713.8339920933</v>
      </c>
    </row>
    <row r="11" spans="2:12" x14ac:dyDescent="0.35">
      <c r="B11" s="61">
        <v>2</v>
      </c>
      <c r="C11" s="62" t="s">
        <v>838</v>
      </c>
      <c r="D11" s="61"/>
      <c r="E11" s="382"/>
      <c r="F11" s="383"/>
      <c r="G11" s="383"/>
      <c r="H11" s="383"/>
      <c r="I11" s="383"/>
      <c r="J11" s="383"/>
      <c r="K11" s="383"/>
      <c r="L11" s="383"/>
    </row>
    <row r="12" spans="2:12" x14ac:dyDescent="0.35">
      <c r="B12" s="61"/>
      <c r="C12" s="377" t="s">
        <v>846</v>
      </c>
      <c r="D12" s="386" t="s">
        <v>8</v>
      </c>
      <c r="E12" s="382">
        <f>'SI TB LC Indigofera (FFD)'!O15</f>
        <v>139</v>
      </c>
      <c r="F12" s="383">
        <f>'SI TB LC Pakchong (FFD)'!O15</f>
        <v>155.79999999999998</v>
      </c>
      <c r="G12" s="383">
        <f>SUM(E12:F12)</f>
        <v>294.79999999999995</v>
      </c>
      <c r="H12" s="383">
        <f>'SI TB LC Indigofera (FFD)'!P15</f>
        <v>71700</v>
      </c>
      <c r="I12" s="383">
        <f t="shared" ref="I12:I14" si="0">H12*G12</f>
        <v>21137159.999999996</v>
      </c>
      <c r="J12" s="383">
        <f t="shared" ref="J12:J14" si="1">E12*H12</f>
        <v>9966300</v>
      </c>
      <c r="K12" s="383">
        <f t="shared" ref="K12:K14" si="2">F12*H12</f>
        <v>11170859.999999998</v>
      </c>
      <c r="L12" s="383">
        <f t="shared" ref="L12:L14" si="3">I12/75.9</f>
        <v>278486.95652173908</v>
      </c>
    </row>
    <row r="13" spans="2:12" x14ac:dyDescent="0.35">
      <c r="B13" s="50"/>
      <c r="C13" s="378" t="s">
        <v>848</v>
      </c>
      <c r="D13" s="387" t="s">
        <v>8</v>
      </c>
      <c r="E13" s="390">
        <f>'SI TB LC Indigofera (FFD)'!O165</f>
        <v>278</v>
      </c>
      <c r="F13" s="391">
        <f>'SI TB LC Pakchong (FFD)'!O160</f>
        <v>311.59999999999997</v>
      </c>
      <c r="G13" s="383">
        <f>SUM(E13:F13)</f>
        <v>589.59999999999991</v>
      </c>
      <c r="H13" s="383">
        <f>'SI TB LC Indigofera (FFD)'!P165</f>
        <v>71700</v>
      </c>
      <c r="I13" s="383">
        <f t="shared" si="0"/>
        <v>42274319.999999993</v>
      </c>
      <c r="J13" s="383">
        <f t="shared" si="1"/>
        <v>19932600</v>
      </c>
      <c r="K13" s="383">
        <f t="shared" si="2"/>
        <v>22341719.999999996</v>
      </c>
      <c r="L13" s="383">
        <f t="shared" si="3"/>
        <v>556973.91304347815</v>
      </c>
    </row>
    <row r="14" spans="2:12" x14ac:dyDescent="0.35">
      <c r="B14" s="61"/>
      <c r="C14" s="378" t="s">
        <v>847</v>
      </c>
      <c r="D14" s="387" t="s">
        <v>8</v>
      </c>
      <c r="E14" s="390">
        <f>'SI TB LC Indigofera (FFD)'!O18</f>
        <v>139</v>
      </c>
      <c r="F14" s="391">
        <f>'SI TB LC Pakchong (FFD)'!O18</f>
        <v>155.79999999999998</v>
      </c>
      <c r="G14" s="383">
        <f>SUM(E14:F14)</f>
        <v>294.79999999999995</v>
      </c>
      <c r="H14" s="383">
        <f>'Master Harga'!J148</f>
        <v>979999.99999999988</v>
      </c>
      <c r="I14" s="383">
        <f t="shared" si="0"/>
        <v>288903999.99999994</v>
      </c>
      <c r="J14" s="383">
        <f t="shared" si="1"/>
        <v>136219999.99999997</v>
      </c>
      <c r="K14" s="383">
        <f t="shared" si="2"/>
        <v>152683999.99999997</v>
      </c>
      <c r="L14" s="383">
        <f t="shared" si="3"/>
        <v>3806376.8115942017</v>
      </c>
    </row>
    <row r="15" spans="2:12" x14ac:dyDescent="0.35">
      <c r="B15" s="61">
        <v>3</v>
      </c>
      <c r="C15" s="365" t="s">
        <v>839</v>
      </c>
      <c r="D15" s="50"/>
      <c r="E15" s="390"/>
      <c r="F15" s="391"/>
      <c r="G15" s="383"/>
      <c r="H15" s="383"/>
      <c r="I15" s="383"/>
      <c r="J15" s="383"/>
      <c r="K15" s="383"/>
      <c r="L15" s="383"/>
    </row>
    <row r="16" spans="2:12" x14ac:dyDescent="0.35">
      <c r="B16" s="61"/>
      <c r="C16" s="379" t="s">
        <v>849</v>
      </c>
      <c r="D16" s="388" t="s">
        <v>7</v>
      </c>
      <c r="E16" s="390">
        <f>'SI TB LC Indigofera (FFD)'!O199</f>
        <v>6950</v>
      </c>
      <c r="F16" s="391">
        <f>'SI TB LC Pakchong (FFD)'!O194</f>
        <v>13242.999999999998</v>
      </c>
      <c r="G16" s="383">
        <f>SUM(E16:F16)</f>
        <v>20193</v>
      </c>
      <c r="H16" s="383">
        <f>'Master Harga'!J139</f>
        <v>8338.3159999999989</v>
      </c>
      <c r="I16" s="383">
        <f t="shared" ref="I16:I17" si="4">H16*G16</f>
        <v>168375614.98799998</v>
      </c>
      <c r="J16" s="383">
        <f t="shared" ref="J16:J17" si="5">E16*H16</f>
        <v>57951296.199999996</v>
      </c>
      <c r="K16" s="383">
        <f t="shared" ref="K16:K17" si="6">F16*H16</f>
        <v>110424318.78799997</v>
      </c>
      <c r="L16" s="383">
        <f t="shared" ref="L16:L17" si="7">I16/75.9</f>
        <v>2218387.5492490116</v>
      </c>
    </row>
    <row r="17" spans="2:12" x14ac:dyDescent="0.35">
      <c r="B17" s="61"/>
      <c r="C17" s="379" t="s">
        <v>860</v>
      </c>
      <c r="D17" s="388" t="s">
        <v>7</v>
      </c>
      <c r="E17" s="390">
        <f>'SI TB LC Indigofera (FFD)'!O123</f>
        <v>1362.2</v>
      </c>
      <c r="F17" s="391">
        <f>'SI TB LC Pakchong (FFD)'!O158</f>
        <v>6232</v>
      </c>
      <c r="G17" s="383">
        <f>SUM(E17:F17)</f>
        <v>7594.2</v>
      </c>
      <c r="H17" s="383">
        <f>'Master Harga'!J131</f>
        <v>3220</v>
      </c>
      <c r="I17" s="383">
        <f t="shared" si="4"/>
        <v>24453324</v>
      </c>
      <c r="J17" s="383">
        <f t="shared" si="5"/>
        <v>4386284</v>
      </c>
      <c r="K17" s="383">
        <f t="shared" si="6"/>
        <v>20067040</v>
      </c>
      <c r="L17" s="383">
        <f t="shared" si="7"/>
        <v>322178.18181818177</v>
      </c>
    </row>
    <row r="18" spans="2:12" x14ac:dyDescent="0.35">
      <c r="B18" s="61">
        <v>4</v>
      </c>
      <c r="C18" s="68" t="s">
        <v>841</v>
      </c>
      <c r="D18" s="46"/>
      <c r="E18" s="390"/>
      <c r="F18" s="391"/>
      <c r="G18" s="383"/>
      <c r="H18" s="383"/>
      <c r="I18" s="383"/>
      <c r="J18" s="383"/>
      <c r="K18" s="383"/>
      <c r="L18" s="383"/>
    </row>
    <row r="19" spans="2:12" x14ac:dyDescent="0.35">
      <c r="B19" s="61"/>
      <c r="C19" s="380" t="s">
        <v>850</v>
      </c>
      <c r="D19" s="389" t="s">
        <v>181</v>
      </c>
      <c r="E19" s="390">
        <f>'SI TB LC Indigofera (FFD)'!O23</f>
        <v>5.8796999999999997</v>
      </c>
      <c r="F19" s="391">
        <f>'SI TB LC Pakchong (FFD)'!O29</f>
        <v>6.5903399999999985</v>
      </c>
      <c r="G19" s="383">
        <f>SUM(E19:F19)</f>
        <v>12.470039999999997</v>
      </c>
      <c r="H19" s="383">
        <f>'Master Harga'!J103</f>
        <v>35343</v>
      </c>
      <c r="I19" s="383">
        <f t="shared" ref="I19:I22" si="8">H19*G19</f>
        <v>440728.62371999992</v>
      </c>
      <c r="J19" s="383">
        <f t="shared" ref="J19:J22" si="9">E19*H19</f>
        <v>207806.2371</v>
      </c>
      <c r="K19" s="383">
        <f t="shared" ref="K19:K22" si="10">F19*H19</f>
        <v>232922.38661999995</v>
      </c>
      <c r="L19" s="383">
        <f t="shared" ref="L19:L22" si="11">I19/75.9</f>
        <v>5806.7012347826076</v>
      </c>
    </row>
    <row r="20" spans="2:12" x14ac:dyDescent="0.35">
      <c r="B20" s="61"/>
      <c r="C20" s="380" t="s">
        <v>851</v>
      </c>
      <c r="D20" s="389" t="s">
        <v>7</v>
      </c>
      <c r="E20" s="390">
        <f>'SI TB LC Indigofera (FFD)'!O24</f>
        <v>0.74059199999999992</v>
      </c>
      <c r="F20" s="391">
        <f>'SI TB LC Pakchong (FFD)'!O30</f>
        <v>0.83010239999999991</v>
      </c>
      <c r="G20" s="383">
        <f>SUM(E20:F20)</f>
        <v>1.5706943999999998</v>
      </c>
      <c r="H20" s="383">
        <f>'Master Harga'!J104</f>
        <v>96390</v>
      </c>
      <c r="I20" s="383">
        <f t="shared" si="8"/>
        <v>151399.23321599999</v>
      </c>
      <c r="J20" s="383">
        <f t="shared" si="9"/>
        <v>71385.662879999989</v>
      </c>
      <c r="K20" s="383">
        <f t="shared" si="10"/>
        <v>80013.57033599999</v>
      </c>
      <c r="L20" s="383">
        <f t="shared" si="11"/>
        <v>1994.719805217391</v>
      </c>
    </row>
    <row r="21" spans="2:12" x14ac:dyDescent="0.35">
      <c r="B21" s="61"/>
      <c r="C21" s="380" t="s">
        <v>852</v>
      </c>
      <c r="D21" s="389" t="s">
        <v>181</v>
      </c>
      <c r="E21" s="390">
        <f>'SI TB LC Indigofera (FFD)'!O25</f>
        <v>12.51</v>
      </c>
      <c r="F21" s="391">
        <f>'SI TB LC Pakchong (FFD)'!O31</f>
        <v>14.021999999999998</v>
      </c>
      <c r="G21" s="383">
        <f>SUM(E21:F21)</f>
        <v>26.531999999999996</v>
      </c>
      <c r="H21" s="383">
        <f>'Master Harga'!J106</f>
        <v>28381.5</v>
      </c>
      <c r="I21" s="383">
        <f t="shared" si="8"/>
        <v>753017.95799999987</v>
      </c>
      <c r="J21" s="383">
        <f t="shared" si="9"/>
        <v>355052.565</v>
      </c>
      <c r="K21" s="383">
        <f t="shared" si="10"/>
        <v>397965.39299999998</v>
      </c>
      <c r="L21" s="383">
        <f t="shared" si="11"/>
        <v>9921.1852173913012</v>
      </c>
    </row>
    <row r="22" spans="2:12" x14ac:dyDescent="0.35">
      <c r="B22" s="61"/>
      <c r="C22" s="380" t="s">
        <v>853</v>
      </c>
      <c r="D22" s="389" t="s">
        <v>181</v>
      </c>
      <c r="E22" s="390">
        <f>'SI TB LC Indigofera (FFD)'!O26</f>
        <v>5.5544400000000005</v>
      </c>
      <c r="F22" s="391">
        <f>'SI TB LC Pakchong (FFD)'!O32</f>
        <v>6.2257680000000004</v>
      </c>
      <c r="G22" s="383">
        <f>SUM(E22:F22)</f>
        <v>11.780208000000002</v>
      </c>
      <c r="H22" s="383">
        <f>'Master Harga'!J105</f>
        <v>44982</v>
      </c>
      <c r="I22" s="383">
        <f t="shared" si="8"/>
        <v>529897.31625600008</v>
      </c>
      <c r="J22" s="383">
        <f t="shared" si="9"/>
        <v>249849.82008000003</v>
      </c>
      <c r="K22" s="383">
        <f t="shared" si="10"/>
        <v>280047.49617600004</v>
      </c>
      <c r="L22" s="383">
        <f t="shared" si="11"/>
        <v>6981.51931826087</v>
      </c>
    </row>
    <row r="23" spans="2:12" x14ac:dyDescent="0.35">
      <c r="B23" s="61">
        <v>4</v>
      </c>
      <c r="C23" s="365" t="s">
        <v>840</v>
      </c>
      <c r="D23" s="50"/>
      <c r="E23" s="390"/>
      <c r="F23" s="391"/>
      <c r="G23" s="383"/>
      <c r="H23" s="383"/>
      <c r="I23" s="383"/>
      <c r="J23" s="383"/>
      <c r="K23" s="383"/>
      <c r="L23" s="383"/>
    </row>
    <row r="24" spans="2:12" x14ac:dyDescent="0.35">
      <c r="B24" s="61"/>
      <c r="C24" s="380" t="s">
        <v>864</v>
      </c>
      <c r="D24" s="389" t="s">
        <v>866</v>
      </c>
      <c r="E24" s="390">
        <f>'SI TB LC Indigofera (FFD)'!O159</f>
        <v>222400</v>
      </c>
      <c r="F24" s="391">
        <f>'SI TB LC Pakchong (FFD)'!O154</f>
        <v>84131.999999999985</v>
      </c>
      <c r="G24" s="383">
        <f t="shared" ref="G24:G39" si="12">SUM(E24:F24)</f>
        <v>306532</v>
      </c>
      <c r="H24" s="383">
        <f>'SI TB LC Pakchong (FFD)'!P154</f>
        <v>50</v>
      </c>
      <c r="I24" s="383">
        <f t="shared" ref="I24:I39" si="13">H24*G24</f>
        <v>15326600</v>
      </c>
      <c r="J24" s="383">
        <f t="shared" ref="J24:J39" si="14">E24*H24</f>
        <v>11120000</v>
      </c>
      <c r="K24" s="383">
        <f t="shared" ref="K24:K39" si="15">F24*H24</f>
        <v>4206599.9999999991</v>
      </c>
      <c r="L24" s="383">
        <f t="shared" ref="L24:L39" si="16">I24/75.9</f>
        <v>201931.48880105402</v>
      </c>
    </row>
    <row r="25" spans="2:12" x14ac:dyDescent="0.35">
      <c r="B25" s="50"/>
      <c r="C25" s="380" t="s">
        <v>861</v>
      </c>
      <c r="D25" s="389" t="s">
        <v>7</v>
      </c>
      <c r="E25" s="390">
        <f>'SI TB LC Indigofera (FFD)'!O124</f>
        <v>272.44</v>
      </c>
      <c r="F25" s="391"/>
      <c r="G25" s="383">
        <f t="shared" si="12"/>
        <v>272.44</v>
      </c>
      <c r="H25" s="383">
        <f>'Master Harga'!J47</f>
        <v>26345.760000000002</v>
      </c>
      <c r="I25" s="383">
        <f t="shared" si="13"/>
        <v>7177638.8544000005</v>
      </c>
      <c r="J25" s="383">
        <f t="shared" si="14"/>
        <v>7177638.8544000005</v>
      </c>
      <c r="K25" s="383">
        <f t="shared" si="15"/>
        <v>0</v>
      </c>
      <c r="L25" s="383">
        <f t="shared" si="16"/>
        <v>94567.04683003953</v>
      </c>
    </row>
    <row r="26" spans="2:12" x14ac:dyDescent="0.35">
      <c r="B26" s="61"/>
      <c r="C26" s="380" t="s">
        <v>865</v>
      </c>
      <c r="D26" s="389" t="s">
        <v>866</v>
      </c>
      <c r="E26" s="390">
        <f>'SI TB LC Indigofera (FFD)'!O186+'SI TB LC Indigofera (FFD)'!O188</f>
        <v>12.788</v>
      </c>
      <c r="F26" s="391">
        <f>'SI TB LC Pakchong (FFD)'!O181+'SI TB LC Pakchong (FFD)'!O183</f>
        <v>14.333599999999999</v>
      </c>
      <c r="G26" s="383">
        <f t="shared" si="12"/>
        <v>27.121600000000001</v>
      </c>
      <c r="H26" s="383">
        <f>'Master Harga'!J50</f>
        <v>84894.6</v>
      </c>
      <c r="I26" s="383">
        <f t="shared" si="13"/>
        <v>2302477.3833600003</v>
      </c>
      <c r="J26" s="383">
        <f t="shared" si="14"/>
        <v>1085632.1448000001</v>
      </c>
      <c r="K26" s="383">
        <f t="shared" si="15"/>
        <v>1216845.23856</v>
      </c>
      <c r="L26" s="383">
        <f t="shared" si="16"/>
        <v>30335.670400000003</v>
      </c>
    </row>
    <row r="27" spans="2:12" x14ac:dyDescent="0.35">
      <c r="B27" s="50"/>
      <c r="C27" s="379" t="s">
        <v>855</v>
      </c>
      <c r="D27" s="389" t="s">
        <v>866</v>
      </c>
      <c r="E27" s="390">
        <f>'SI TB LC Indigofera (FFD)'!O28</f>
        <v>0.69500000000000006</v>
      </c>
      <c r="F27" s="391">
        <f>'SI TB LC Pakchong (FFD)'!O34</f>
        <v>0.77899999999999991</v>
      </c>
      <c r="G27" s="383">
        <f t="shared" si="12"/>
        <v>1.474</v>
      </c>
      <c r="H27" s="383">
        <f>'Master Harga'!J52</f>
        <v>47980.800000000003</v>
      </c>
      <c r="I27" s="383">
        <f t="shared" si="13"/>
        <v>70723.699200000003</v>
      </c>
      <c r="J27" s="383">
        <f t="shared" si="14"/>
        <v>33346.656000000003</v>
      </c>
      <c r="K27" s="383">
        <f t="shared" si="15"/>
        <v>37377.0432</v>
      </c>
      <c r="L27" s="383">
        <f t="shared" si="16"/>
        <v>931.80104347826079</v>
      </c>
    </row>
    <row r="28" spans="2:12" x14ac:dyDescent="0.35">
      <c r="B28" s="61"/>
      <c r="C28" s="381" t="s">
        <v>859</v>
      </c>
      <c r="D28" s="389" t="s">
        <v>866</v>
      </c>
      <c r="E28" s="390">
        <f>'SI TB LC Indigofera (FFD)'!O65</f>
        <v>6</v>
      </c>
      <c r="F28" s="391">
        <f>'SI TB LC Pakchong (FFD)'!O71</f>
        <v>6</v>
      </c>
      <c r="G28" s="383">
        <f t="shared" si="12"/>
        <v>12</v>
      </c>
      <c r="H28" s="383">
        <f>'Master Harga'!J177</f>
        <v>740999.99999999988</v>
      </c>
      <c r="I28" s="383">
        <f t="shared" si="13"/>
        <v>8891999.9999999981</v>
      </c>
      <c r="J28" s="383">
        <f t="shared" si="14"/>
        <v>4445999.9999999991</v>
      </c>
      <c r="K28" s="383">
        <f t="shared" si="15"/>
        <v>4445999.9999999991</v>
      </c>
      <c r="L28" s="383">
        <f t="shared" si="16"/>
        <v>117154.15019762842</v>
      </c>
    </row>
    <row r="29" spans="2:12" x14ac:dyDescent="0.35">
      <c r="B29" s="50"/>
      <c r="C29" s="379" t="s">
        <v>856</v>
      </c>
      <c r="D29" s="389" t="s">
        <v>866</v>
      </c>
      <c r="E29" s="390">
        <f>'SI TB LC Indigofera (FFD)'!O30</f>
        <v>0.17375000000000002</v>
      </c>
      <c r="F29" s="391">
        <f>'SI TB LC Pakchong (FFD)'!O36</f>
        <v>0.19474999999999998</v>
      </c>
      <c r="G29" s="383">
        <f t="shared" si="12"/>
        <v>0.36849999999999999</v>
      </c>
      <c r="H29" s="383">
        <f>'Master Harga'!J65</f>
        <v>41983.200000000004</v>
      </c>
      <c r="I29" s="383">
        <f t="shared" si="13"/>
        <v>15470.809200000002</v>
      </c>
      <c r="J29" s="383">
        <f t="shared" si="14"/>
        <v>7294.581000000001</v>
      </c>
      <c r="K29" s="383">
        <f t="shared" si="15"/>
        <v>8176.2281999999996</v>
      </c>
      <c r="L29" s="383">
        <f t="shared" si="16"/>
        <v>203.83147826086957</v>
      </c>
    </row>
    <row r="30" spans="2:12" x14ac:dyDescent="0.35">
      <c r="B30" s="61"/>
      <c r="C30" s="380" t="s">
        <v>869</v>
      </c>
      <c r="D30" s="389" t="s">
        <v>49</v>
      </c>
      <c r="E30" s="390"/>
      <c r="F30" s="391">
        <f>'SI TB LC Pakchong (FFD)'!O24</f>
        <v>0</v>
      </c>
      <c r="G30" s="383">
        <f t="shared" si="12"/>
        <v>0</v>
      </c>
      <c r="H30" s="383">
        <f>'Master Harga'!J95</f>
        <v>178071.6</v>
      </c>
      <c r="I30" s="383">
        <f t="shared" si="13"/>
        <v>0</v>
      </c>
      <c r="J30" s="383">
        <f t="shared" si="14"/>
        <v>0</v>
      </c>
      <c r="K30" s="383">
        <f t="shared" si="15"/>
        <v>0</v>
      </c>
      <c r="L30" s="383">
        <f t="shared" si="16"/>
        <v>0</v>
      </c>
    </row>
    <row r="31" spans="2:12" x14ac:dyDescent="0.35">
      <c r="B31" s="376"/>
      <c r="C31" s="379" t="s">
        <v>854</v>
      </c>
      <c r="D31" s="389" t="s">
        <v>866</v>
      </c>
      <c r="E31" s="390">
        <f>'SI TB LC Indigofera (FFD)'!O29</f>
        <v>2.0850000000000004</v>
      </c>
      <c r="F31" s="391">
        <f>'SI TB LC Pakchong (FFD)'!O35</f>
        <v>2.3370000000000002</v>
      </c>
      <c r="G31" s="383">
        <f t="shared" si="12"/>
        <v>4.4220000000000006</v>
      </c>
      <c r="H31" s="383">
        <f>'Master Harga'!J70</f>
        <v>15680.000000000002</v>
      </c>
      <c r="I31" s="383">
        <f t="shared" si="13"/>
        <v>69336.960000000021</v>
      </c>
      <c r="J31" s="383">
        <f t="shared" si="14"/>
        <v>32692.80000000001</v>
      </c>
      <c r="K31" s="383">
        <f t="shared" si="15"/>
        <v>36644.160000000011</v>
      </c>
      <c r="L31" s="383">
        <f t="shared" si="16"/>
        <v>913.53043478260895</v>
      </c>
    </row>
    <row r="32" spans="2:12" x14ac:dyDescent="0.35">
      <c r="B32" s="376"/>
      <c r="C32" s="380" t="s">
        <v>870</v>
      </c>
      <c r="D32" s="389" t="s">
        <v>7</v>
      </c>
      <c r="E32" s="390"/>
      <c r="F32" s="391">
        <f>'SI TB LC Pakchong (FFD)'!O25</f>
        <v>0</v>
      </c>
      <c r="G32" s="383">
        <f t="shared" si="12"/>
        <v>0</v>
      </c>
      <c r="H32" s="383">
        <f>'Master Harga'!J96</f>
        <v>20263.320000000003</v>
      </c>
      <c r="I32" s="383">
        <f t="shared" si="13"/>
        <v>0</v>
      </c>
      <c r="J32" s="383">
        <f t="shared" si="14"/>
        <v>0</v>
      </c>
      <c r="K32" s="383">
        <f t="shared" si="15"/>
        <v>0</v>
      </c>
      <c r="L32" s="383">
        <f t="shared" si="16"/>
        <v>0</v>
      </c>
    </row>
    <row r="33" spans="2:12" x14ac:dyDescent="0.35">
      <c r="B33" s="376"/>
      <c r="C33" s="380" t="s">
        <v>871</v>
      </c>
      <c r="D33" s="389" t="s">
        <v>7</v>
      </c>
      <c r="E33" s="390"/>
      <c r="F33" s="391">
        <f>'SI TB LC Pakchong (FFD)'!O26</f>
        <v>0</v>
      </c>
      <c r="G33" s="383">
        <f t="shared" si="12"/>
        <v>0</v>
      </c>
      <c r="H33" s="383">
        <f>'Master Harga'!J97</f>
        <v>18421.2</v>
      </c>
      <c r="I33" s="383">
        <f t="shared" si="13"/>
        <v>0</v>
      </c>
      <c r="J33" s="383">
        <f t="shared" si="14"/>
        <v>0</v>
      </c>
      <c r="K33" s="383">
        <f t="shared" si="15"/>
        <v>0</v>
      </c>
      <c r="L33" s="383">
        <f t="shared" si="16"/>
        <v>0</v>
      </c>
    </row>
    <row r="34" spans="2:12" x14ac:dyDescent="0.35">
      <c r="B34" s="376"/>
      <c r="C34" s="380" t="s">
        <v>863</v>
      </c>
      <c r="D34" s="389" t="s">
        <v>866</v>
      </c>
      <c r="E34" s="390">
        <f>'SI TB LC Indigofera (FFD)'!O129</f>
        <v>5.2730322580645161</v>
      </c>
      <c r="F34" s="391"/>
      <c r="G34" s="383">
        <f t="shared" si="12"/>
        <v>5.2730322580645161</v>
      </c>
      <c r="H34" s="383">
        <f>'Master Harga'!J76</f>
        <v>2268000</v>
      </c>
      <c r="I34" s="383">
        <f t="shared" si="13"/>
        <v>11959237.161290323</v>
      </c>
      <c r="J34" s="383">
        <f t="shared" si="14"/>
        <v>11959237.161290323</v>
      </c>
      <c r="K34" s="383">
        <f t="shared" si="15"/>
        <v>0</v>
      </c>
      <c r="L34" s="383">
        <f t="shared" si="16"/>
        <v>157565.70699987249</v>
      </c>
    </row>
    <row r="35" spans="2:12" x14ac:dyDescent="0.35">
      <c r="B35" s="376"/>
      <c r="C35" s="380" t="s">
        <v>868</v>
      </c>
      <c r="D35" s="389" t="s">
        <v>866</v>
      </c>
      <c r="E35" s="390"/>
      <c r="F35" s="391">
        <f>'SI TB LC Pakchong (FFD)'!O23</f>
        <v>0</v>
      </c>
      <c r="G35" s="383">
        <f t="shared" si="12"/>
        <v>0</v>
      </c>
      <c r="H35" s="383">
        <f>'SI TB LC Pakchong (FFD)'!P23</f>
        <v>22400.000000000004</v>
      </c>
      <c r="I35" s="383">
        <f t="shared" si="13"/>
        <v>0</v>
      </c>
      <c r="J35" s="383">
        <f t="shared" si="14"/>
        <v>0</v>
      </c>
      <c r="K35" s="383">
        <f t="shared" si="15"/>
        <v>0</v>
      </c>
      <c r="L35" s="383">
        <f t="shared" si="16"/>
        <v>0</v>
      </c>
    </row>
    <row r="36" spans="2:12" x14ac:dyDescent="0.35">
      <c r="B36" s="376"/>
      <c r="C36" s="380" t="s">
        <v>867</v>
      </c>
      <c r="D36" s="389" t="s">
        <v>479</v>
      </c>
      <c r="E36" s="390"/>
      <c r="F36" s="391">
        <f>'SI TB LC Pakchong (FFD)'!O22</f>
        <v>60.761999999999993</v>
      </c>
      <c r="G36" s="383">
        <f t="shared" si="12"/>
        <v>60.761999999999993</v>
      </c>
      <c r="H36" s="383">
        <f>'Master Harga'!J93</f>
        <v>3360.0000000000005</v>
      </c>
      <c r="I36" s="383">
        <f t="shared" si="13"/>
        <v>204160.32</v>
      </c>
      <c r="J36" s="383">
        <f t="shared" si="14"/>
        <v>0</v>
      </c>
      <c r="K36" s="383">
        <f t="shared" si="15"/>
        <v>204160.32</v>
      </c>
      <c r="L36" s="383">
        <f t="shared" si="16"/>
        <v>2689.8592885375492</v>
      </c>
    </row>
    <row r="37" spans="2:12" x14ac:dyDescent="0.35">
      <c r="B37" s="376"/>
      <c r="C37" s="379" t="s">
        <v>857</v>
      </c>
      <c r="D37" s="389" t="s">
        <v>866</v>
      </c>
      <c r="E37" s="390">
        <f>'SI TB LC Indigofera (FFD)'!O31</f>
        <v>0.34750000000000003</v>
      </c>
      <c r="F37" s="391">
        <f>'SI TB LC Pakchong (FFD)'!O37</f>
        <v>0.38949999999999996</v>
      </c>
      <c r="G37" s="383">
        <f t="shared" si="12"/>
        <v>0.73699999999999999</v>
      </c>
      <c r="H37" s="383">
        <f>'Master Harga'!J83</f>
        <v>35985.600000000006</v>
      </c>
      <c r="I37" s="383">
        <f t="shared" si="13"/>
        <v>26521.387200000005</v>
      </c>
      <c r="J37" s="383">
        <f t="shared" si="14"/>
        <v>12504.996000000003</v>
      </c>
      <c r="K37" s="383">
        <f t="shared" si="15"/>
        <v>14016.3912</v>
      </c>
      <c r="L37" s="383">
        <f t="shared" si="16"/>
        <v>349.42539130434784</v>
      </c>
    </row>
    <row r="38" spans="2:12" x14ac:dyDescent="0.35">
      <c r="B38" s="376"/>
      <c r="C38" s="379" t="s">
        <v>858</v>
      </c>
      <c r="D38" s="389" t="s">
        <v>866</v>
      </c>
      <c r="E38" s="390">
        <f>'SI TB LC Indigofera (FFD)'!O32</f>
        <v>0.17375000000000002</v>
      </c>
      <c r="F38" s="391">
        <f>'SI TB LC Pakchong (FFD)'!O38</f>
        <v>0.19474999999999998</v>
      </c>
      <c r="G38" s="383">
        <f t="shared" si="12"/>
        <v>0.36849999999999999</v>
      </c>
      <c r="H38" s="383">
        <f>'Master Harga'!J84</f>
        <v>95961.600000000006</v>
      </c>
      <c r="I38" s="383">
        <f t="shared" si="13"/>
        <v>35361.849600000001</v>
      </c>
      <c r="J38" s="383">
        <f t="shared" si="14"/>
        <v>16673.328000000001</v>
      </c>
      <c r="K38" s="383">
        <f t="shared" si="15"/>
        <v>18688.5216</v>
      </c>
      <c r="L38" s="383">
        <f t="shared" si="16"/>
        <v>465.9005217391304</v>
      </c>
    </row>
    <row r="39" spans="2:12" x14ac:dyDescent="0.35">
      <c r="B39" s="376"/>
      <c r="C39" s="380" t="s">
        <v>862</v>
      </c>
      <c r="D39" s="389" t="s">
        <v>509</v>
      </c>
      <c r="E39" s="390">
        <f>'SI TB LC Indigofera (FFD)'!O126</f>
        <v>77.84</v>
      </c>
      <c r="F39" s="391"/>
      <c r="G39" s="383">
        <f t="shared" si="12"/>
        <v>77.84</v>
      </c>
      <c r="H39" s="383">
        <f>'SI TB LC Indigofera (FFD)'!P126</f>
        <v>84360</v>
      </c>
      <c r="I39" s="383">
        <f t="shared" si="13"/>
        <v>6566582.4000000004</v>
      </c>
      <c r="J39" s="383">
        <f t="shared" si="14"/>
        <v>6566582.4000000004</v>
      </c>
      <c r="K39" s="383">
        <f t="shared" si="15"/>
        <v>0</v>
      </c>
      <c r="L39" s="383">
        <f t="shared" si="16"/>
        <v>86516.237154150193</v>
      </c>
    </row>
    <row r="40" spans="2:12" x14ac:dyDescent="0.35">
      <c r="B40" s="578" t="s">
        <v>501</v>
      </c>
      <c r="C40" s="579"/>
      <c r="D40" s="368"/>
      <c r="E40" s="369"/>
      <c r="F40" s="369"/>
      <c r="G40" s="369"/>
      <c r="H40" s="374"/>
      <c r="I40" s="375">
        <f>SUM(I9:I39)</f>
        <v>855517439.24344242</v>
      </c>
      <c r="J40" s="375">
        <f t="shared" ref="J40:K40" si="17">SUM(J9:J39)</f>
        <v>271888763.7065503</v>
      </c>
      <c r="K40" s="375">
        <f t="shared" si="17"/>
        <v>583628675.53689182</v>
      </c>
      <c r="L40" s="375">
        <f>I40/E4</f>
        <v>14510132.958674397</v>
      </c>
    </row>
  </sheetData>
  <mergeCells count="13">
    <mergeCell ref="J6:K6"/>
    <mergeCell ref="L6:L7"/>
    <mergeCell ref="B40:C40"/>
    <mergeCell ref="B2:C2"/>
    <mergeCell ref="B3:C3"/>
    <mergeCell ref="B4:C4"/>
    <mergeCell ref="B5:L5"/>
    <mergeCell ref="B6:B7"/>
    <mergeCell ref="C6:C7"/>
    <mergeCell ref="D6:D7"/>
    <mergeCell ref="E6:G6"/>
    <mergeCell ref="H6:H7"/>
    <mergeCell ref="I6:I7"/>
  </mergeCells>
  <printOptions horizontalCentered="1"/>
  <pageMargins left="0.25" right="0.25" top="0.75" bottom="0.75" header="0.3" footer="0.3"/>
  <pageSetup paperSize="9" scale="84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B1F0D-E2EF-4052-B8AB-023209594653}">
  <sheetPr>
    <pageSetUpPr fitToPage="1"/>
  </sheetPr>
  <dimension ref="A1:M13"/>
  <sheetViews>
    <sheetView workbookViewId="0"/>
  </sheetViews>
  <sheetFormatPr defaultRowHeight="14.5" x14ac:dyDescent="0.35"/>
  <cols>
    <col min="1" max="1" width="1.81640625" customWidth="1"/>
    <col min="2" max="2" width="4.81640625" style="44" customWidth="1"/>
    <col min="3" max="3" width="17.453125" style="44" customWidth="1"/>
    <col min="4" max="8" width="11.36328125" style="44" customWidth="1"/>
    <col min="9" max="9" width="14.1796875" style="44" customWidth="1"/>
    <col min="10" max="10" width="19.7265625" style="44" customWidth="1"/>
    <col min="11" max="12" width="13.90625" style="44" bestFit="1" customWidth="1"/>
    <col min="13" max="13" width="12.7265625" style="44" customWidth="1"/>
  </cols>
  <sheetData>
    <row r="1" spans="1:13" ht="6" customHeight="1" x14ac:dyDescent="0.35">
      <c r="A1" t="s">
        <v>573</v>
      </c>
    </row>
    <row r="2" spans="1:13" x14ac:dyDescent="0.35">
      <c r="B2" s="580" t="s">
        <v>828</v>
      </c>
      <c r="C2" s="580"/>
      <c r="D2" s="580"/>
      <c r="E2" s="49" t="s">
        <v>829</v>
      </c>
    </row>
    <row r="3" spans="1:13" x14ac:dyDescent="0.35">
      <c r="B3" s="580" t="s">
        <v>830</v>
      </c>
      <c r="C3" s="580"/>
      <c r="D3" s="580"/>
      <c r="E3" s="49" t="s">
        <v>882</v>
      </c>
    </row>
    <row r="4" spans="1:13" ht="34.25" customHeight="1" x14ac:dyDescent="0.35">
      <c r="B4" s="591" t="s">
        <v>827</v>
      </c>
      <c r="C4" s="592"/>
      <c r="D4" s="592"/>
      <c r="E4" s="592"/>
      <c r="F4" s="592"/>
      <c r="G4" s="592"/>
      <c r="H4" s="592"/>
      <c r="I4" s="592"/>
      <c r="J4" s="592"/>
      <c r="K4" s="592"/>
      <c r="L4" s="592"/>
      <c r="M4" s="593"/>
    </row>
    <row r="5" spans="1:13" ht="14.65" customHeight="1" x14ac:dyDescent="0.35">
      <c r="B5" s="582" t="s">
        <v>500</v>
      </c>
      <c r="C5" s="585" t="s">
        <v>820</v>
      </c>
      <c r="D5" s="594" t="s">
        <v>823</v>
      </c>
      <c r="E5" s="594"/>
      <c r="F5" s="594"/>
      <c r="G5" s="594"/>
      <c r="H5" s="594"/>
      <c r="I5" s="588" t="s">
        <v>826</v>
      </c>
      <c r="J5" s="588" t="s">
        <v>825</v>
      </c>
      <c r="K5" s="595" t="s">
        <v>831</v>
      </c>
      <c r="L5" s="595"/>
      <c r="M5" s="574" t="s">
        <v>5</v>
      </c>
    </row>
    <row r="6" spans="1:13" x14ac:dyDescent="0.35">
      <c r="B6" s="582"/>
      <c r="C6" s="585"/>
      <c r="D6" s="596" t="s">
        <v>804</v>
      </c>
      <c r="E6" s="596"/>
      <c r="F6" s="596" t="s">
        <v>805</v>
      </c>
      <c r="G6" s="596"/>
      <c r="H6" s="576" t="s">
        <v>501</v>
      </c>
      <c r="I6" s="588"/>
      <c r="J6" s="588"/>
      <c r="K6" s="372" t="s">
        <v>804</v>
      </c>
      <c r="L6" s="372" t="s">
        <v>805</v>
      </c>
      <c r="M6" s="574"/>
    </row>
    <row r="7" spans="1:13" ht="15" thickBot="1" x14ac:dyDescent="0.4">
      <c r="B7" s="583"/>
      <c r="C7" s="577"/>
      <c r="D7" s="371" t="s">
        <v>809</v>
      </c>
      <c r="E7" s="371" t="s">
        <v>117</v>
      </c>
      <c r="F7" s="371" t="s">
        <v>809</v>
      </c>
      <c r="G7" s="371" t="s">
        <v>117</v>
      </c>
      <c r="H7" s="577"/>
      <c r="I7" s="589"/>
      <c r="J7" s="589"/>
      <c r="K7" s="370" t="s">
        <v>832</v>
      </c>
      <c r="L7" s="370" t="s">
        <v>832</v>
      </c>
      <c r="M7" s="575"/>
    </row>
    <row r="8" spans="1:13" x14ac:dyDescent="0.35">
      <c r="B8" s="61">
        <v>1</v>
      </c>
      <c r="C8" s="62" t="s">
        <v>821</v>
      </c>
      <c r="D8" s="597">
        <f>'Areal Stmt'!D33</f>
        <v>27.8</v>
      </c>
      <c r="E8" s="363">
        <f>'SI TB LC Indigofera (FFD)'!O12</f>
        <v>197.49120000000002</v>
      </c>
      <c r="F8" s="600">
        <f>'Areal Stmt'!D36</f>
        <v>31.159999999999997</v>
      </c>
      <c r="G8" s="364">
        <f>'SI TB LC Pakchong (FFD)'!O12</f>
        <v>44.870399999999997</v>
      </c>
      <c r="H8" s="364">
        <f>E8+G8</f>
        <v>242.36160000000001</v>
      </c>
      <c r="I8" s="373">
        <f>'Master Harga'!J344</f>
        <v>1051433.6840914285</v>
      </c>
      <c r="J8" s="373">
        <f>I8*H8</f>
        <v>254827149.97029316</v>
      </c>
      <c r="K8" s="373">
        <f>E8*I8</f>
        <v>207648899.99163714</v>
      </c>
      <c r="L8" s="373">
        <f>I8*G8</f>
        <v>47178249.978656031</v>
      </c>
      <c r="M8" s="373">
        <f>J8/($D$8+$F$8)</f>
        <v>4322034.4296182701</v>
      </c>
    </row>
    <row r="9" spans="1:13" x14ac:dyDescent="0.35">
      <c r="B9" s="50">
        <v>2</v>
      </c>
      <c r="C9" s="365" t="s">
        <v>822</v>
      </c>
      <c r="D9" s="598"/>
      <c r="E9" s="366">
        <f>'SI TB LC Indigofera (FFD)'!O13+'SI TB LC Indigofera (FFD)'!O70+'SI TB LC Indigofera (FFD)'!O74+'SI TB LC Indigofera (FFD)'!O112+'SI TB LC Indigofera (FFD)'!O113</f>
        <v>241.5403</v>
      </c>
      <c r="F9" s="601"/>
      <c r="G9" s="367">
        <f>'SI TB LC Pakchong (FFD)'!O13+'SI TB LC Pakchong (FFD)'!O76+'SI TB LC Pakchong (FFD)'!O80+'SI TB LC Pakchong (FFD)'!O118+'SI TB LC Pakchong (FFD)'!O119</f>
        <v>146.09366</v>
      </c>
      <c r="H9" s="364">
        <f t="shared" ref="H9:H12" si="0">E9+G9</f>
        <v>387.63396</v>
      </c>
      <c r="I9" s="142">
        <f>'Master Harga'!J312</f>
        <v>720338.0730320001</v>
      </c>
      <c r="J9" s="373">
        <f t="shared" ref="J9:J12" si="1">I9*H9</f>
        <v>279227499.78816342</v>
      </c>
      <c r="K9" s="373">
        <f t="shared" ref="K9:K12" si="2">E9*I9</f>
        <v>173990674.26157123</v>
      </c>
      <c r="L9" s="373">
        <f t="shared" ref="L9:L12" si="3">I9*G9</f>
        <v>105236825.5265922</v>
      </c>
      <c r="M9" s="373">
        <f t="shared" ref="M9:M13" si="4">J9/($D$8+$F$8)</f>
        <v>4735880.2542090137</v>
      </c>
    </row>
    <row r="10" spans="1:13" x14ac:dyDescent="0.35">
      <c r="B10" s="61">
        <v>3</v>
      </c>
      <c r="C10" s="365" t="s">
        <v>442</v>
      </c>
      <c r="D10" s="598"/>
      <c r="E10" s="366">
        <f>'SI TB LC Indigofera (FFD)'!O38</f>
        <v>8.3391659999999987</v>
      </c>
      <c r="F10" s="601"/>
      <c r="G10" s="367">
        <f>'SI TB LC Pakchong (FFD)'!O44</f>
        <v>9.3470651999999994</v>
      </c>
      <c r="H10" s="364">
        <f t="shared" si="0"/>
        <v>17.686231199999998</v>
      </c>
      <c r="I10" s="142">
        <f>'Master Harga'!J331</f>
        <v>715047.82649999985</v>
      </c>
      <c r="J10" s="373">
        <f t="shared" si="1"/>
        <v>12646501.178536482</v>
      </c>
      <c r="K10" s="373">
        <f t="shared" si="2"/>
        <v>5962902.5231226971</v>
      </c>
      <c r="L10" s="373">
        <f t="shared" si="3"/>
        <v>6683598.6554137859</v>
      </c>
      <c r="M10" s="373">
        <f t="shared" si="4"/>
        <v>214492.89651520495</v>
      </c>
    </row>
    <row r="11" spans="1:13" x14ac:dyDescent="0.35">
      <c r="B11" s="50">
        <v>4</v>
      </c>
      <c r="C11" s="365" t="s">
        <v>824</v>
      </c>
      <c r="D11" s="598"/>
      <c r="E11" s="366">
        <f>'SI TB LC Indigofera (FFD)'!O66</f>
        <v>3</v>
      </c>
      <c r="F11" s="601"/>
      <c r="G11" s="367">
        <f>'SI TB LC Pakchong (FFD)'!O72</f>
        <v>3</v>
      </c>
      <c r="H11" s="364">
        <f t="shared" si="0"/>
        <v>6</v>
      </c>
      <c r="I11" s="142">
        <f>'Master Harga'!J338</f>
        <v>680210.06624999992</v>
      </c>
      <c r="J11" s="373">
        <f t="shared" si="1"/>
        <v>4081260.3974999995</v>
      </c>
      <c r="K11" s="373">
        <f t="shared" si="2"/>
        <v>2040630.1987499997</v>
      </c>
      <c r="L11" s="373">
        <f t="shared" si="3"/>
        <v>2040630.1987499997</v>
      </c>
      <c r="M11" s="373">
        <f t="shared" si="4"/>
        <v>69220.83442164179</v>
      </c>
    </row>
    <row r="12" spans="1:13" x14ac:dyDescent="0.35">
      <c r="B12" s="61">
        <v>5</v>
      </c>
      <c r="C12" s="365" t="s">
        <v>199</v>
      </c>
      <c r="D12" s="599"/>
      <c r="E12" s="366">
        <f>'SI TB LC Indigofera (FFD)'!O16+'SI TB LC Indigofera (FFD)'!O19+'SI TB LC Indigofera (FFD)'!O20+'SI TB LC Indigofera (FFD)'!O40+'SI TB LC Indigofera (FFD)'!O202</f>
        <v>319.70000000000005</v>
      </c>
      <c r="F12" s="602"/>
      <c r="G12" s="367">
        <f>'SI TB LC Pakchong (FFD)'!O16+'SI TB LC Pakchong (FFD)'!O19+'SI TB LC Pakchong (FFD)'!O20+'SI TB LC Pakchong (FFD)'!O46</f>
        <v>327.17999999999995</v>
      </c>
      <c r="H12" s="364">
        <f t="shared" si="0"/>
        <v>646.88</v>
      </c>
      <c r="I12" s="142">
        <f>'Master Harga'!J294</f>
        <v>369600.00000000006</v>
      </c>
      <c r="J12" s="373">
        <f t="shared" si="1"/>
        <v>239086848.00000003</v>
      </c>
      <c r="K12" s="373">
        <f t="shared" si="2"/>
        <v>118161120.00000003</v>
      </c>
      <c r="L12" s="373">
        <f t="shared" si="3"/>
        <v>120925728</v>
      </c>
      <c r="M12" s="373">
        <f t="shared" si="4"/>
        <v>4055068.6567164189</v>
      </c>
    </row>
    <row r="13" spans="1:13" s="19" customFormat="1" x14ac:dyDescent="0.35">
      <c r="B13" s="578" t="s">
        <v>501</v>
      </c>
      <c r="C13" s="579"/>
      <c r="D13" s="368"/>
      <c r="E13" s="369">
        <f>SUM(E8:E12)</f>
        <v>770.07066600000007</v>
      </c>
      <c r="F13" s="369"/>
      <c r="G13" s="369">
        <f>SUM(G8:G12)</f>
        <v>530.49112519999994</v>
      </c>
      <c r="H13" s="369">
        <f>SUM(H8:H12)</f>
        <v>1300.5617912</v>
      </c>
      <c r="I13" s="374"/>
      <c r="J13" s="375">
        <f>SUM(J8:J12)</f>
        <v>789869259.33449316</v>
      </c>
      <c r="K13" s="375">
        <f>SUM(K8:K12)</f>
        <v>507804226.97508109</v>
      </c>
      <c r="L13" s="375">
        <f>SUM(L8:L12)</f>
        <v>282065032.35941195</v>
      </c>
      <c r="M13" s="375">
        <f t="shared" si="4"/>
        <v>13396697.07148055</v>
      </c>
    </row>
  </sheetData>
  <mergeCells count="16">
    <mergeCell ref="B13:C13"/>
    <mergeCell ref="B2:D2"/>
    <mergeCell ref="B3:D3"/>
    <mergeCell ref="B4:M4"/>
    <mergeCell ref="B5:B7"/>
    <mergeCell ref="C5:C7"/>
    <mergeCell ref="D5:H5"/>
    <mergeCell ref="I5:I7"/>
    <mergeCell ref="J5:J7"/>
    <mergeCell ref="K5:L5"/>
    <mergeCell ref="M5:M7"/>
    <mergeCell ref="D6:E6"/>
    <mergeCell ref="F6:G6"/>
    <mergeCell ref="H6:H7"/>
    <mergeCell ref="D8:D12"/>
    <mergeCell ref="F8:F12"/>
  </mergeCells>
  <printOptions horizontalCentered="1"/>
  <pageMargins left="0.25" right="0.25" top="0.75" bottom="0.75" header="0.3" footer="0.3"/>
  <pageSetup paperSize="9" scale="9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Y368"/>
  <sheetViews>
    <sheetView zoomScale="90" zoomScaleNormal="90" workbookViewId="0">
      <pane xSplit="6" ySplit="4" topLeftCell="I179" activePane="bottomRight" state="frozen"/>
      <selection pane="topRight" activeCell="G1" sqref="G1"/>
      <selection pane="bottomLeft" activeCell="A5" sqref="A5"/>
      <selection pane="bottomRight"/>
    </sheetView>
  </sheetViews>
  <sheetFormatPr defaultRowHeight="14.5" x14ac:dyDescent="0.35"/>
  <cols>
    <col min="2" max="2" width="7.81640625" customWidth="1"/>
    <col min="4" max="4" width="6.1796875" customWidth="1"/>
    <col min="5" max="5" width="32" bestFit="1" customWidth="1"/>
    <col min="6" max="6" width="9" customWidth="1"/>
    <col min="7" max="8" width="15.26953125" style="1" customWidth="1"/>
    <col min="9" max="13" width="15.26953125" style="1" bestFit="1" customWidth="1"/>
    <col min="14" max="17" width="15.26953125" style="1" customWidth="1"/>
    <col min="18" max="18" width="9.36328125" bestFit="1" customWidth="1"/>
    <col min="19" max="19" width="15.26953125" style="22" bestFit="1" customWidth="1"/>
    <col min="20" max="22" width="15.26953125" customWidth="1"/>
    <col min="24" max="25" width="10.54296875" bestFit="1" customWidth="1"/>
  </cols>
  <sheetData>
    <row r="1" spans="1:22" ht="15" thickBot="1" x14ac:dyDescent="0.4">
      <c r="E1" s="6"/>
    </row>
    <row r="2" spans="1:22" ht="15" thickBot="1" x14ac:dyDescent="0.4">
      <c r="A2" s="606" t="s">
        <v>218</v>
      </c>
      <c r="B2" s="607"/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8"/>
    </row>
    <row r="3" spans="1:22" ht="15" customHeight="1" x14ac:dyDescent="0.35">
      <c r="A3" s="7"/>
      <c r="B3" s="7" t="s">
        <v>219</v>
      </c>
      <c r="C3" s="7"/>
      <c r="D3" s="7"/>
      <c r="E3" s="604" t="s">
        <v>220</v>
      </c>
      <c r="F3" s="604" t="s">
        <v>0</v>
      </c>
      <c r="G3" s="20" t="s">
        <v>221</v>
      </c>
      <c r="H3" s="20"/>
      <c r="I3" s="20"/>
      <c r="J3" s="15"/>
      <c r="K3" s="20"/>
      <c r="L3" s="20"/>
      <c r="M3" s="17"/>
      <c r="N3" s="17"/>
      <c r="O3" s="17"/>
      <c r="P3" s="17"/>
      <c r="Q3" s="17"/>
      <c r="R3" s="7" t="s">
        <v>222</v>
      </c>
      <c r="S3" s="603" t="s">
        <v>536</v>
      </c>
      <c r="T3" s="603" t="s">
        <v>537</v>
      </c>
      <c r="U3" s="603" t="s">
        <v>561</v>
      </c>
      <c r="V3" s="603" t="s">
        <v>564</v>
      </c>
    </row>
    <row r="4" spans="1:22" x14ac:dyDescent="0.35">
      <c r="A4" s="7"/>
      <c r="B4" s="7"/>
      <c r="C4" s="7"/>
      <c r="D4" s="7"/>
      <c r="E4" s="605"/>
      <c r="F4" s="605"/>
      <c r="G4" s="15">
        <v>2023</v>
      </c>
      <c r="H4" s="15">
        <v>2024</v>
      </c>
      <c r="I4" s="15">
        <v>2025</v>
      </c>
      <c r="J4" s="15">
        <v>2026</v>
      </c>
      <c r="K4" s="15">
        <v>2027</v>
      </c>
      <c r="L4" s="15">
        <v>2028</v>
      </c>
      <c r="M4" s="15">
        <v>2029</v>
      </c>
      <c r="N4" s="15">
        <v>2030</v>
      </c>
      <c r="O4" s="15">
        <v>2031</v>
      </c>
      <c r="P4" s="15">
        <v>2032</v>
      </c>
      <c r="Q4" s="15">
        <v>2033</v>
      </c>
      <c r="R4" s="7"/>
      <c r="S4" s="603"/>
      <c r="T4" s="603"/>
      <c r="U4" s="603"/>
      <c r="V4" s="603"/>
    </row>
    <row r="5" spans="1:22" x14ac:dyDescent="0.35">
      <c r="A5" s="7"/>
      <c r="B5" s="7"/>
      <c r="C5" s="7"/>
      <c r="D5" s="7"/>
      <c r="E5" s="52"/>
      <c r="F5" s="52"/>
      <c r="G5" s="15"/>
      <c r="H5" s="15"/>
      <c r="I5" s="15"/>
      <c r="J5" s="15" t="s">
        <v>647</v>
      </c>
      <c r="K5" s="15"/>
      <c r="L5" s="15"/>
      <c r="M5" s="15"/>
      <c r="N5" s="15"/>
      <c r="O5" s="15"/>
      <c r="P5" s="15"/>
      <c r="Q5" s="15"/>
      <c r="R5" s="7"/>
      <c r="S5" s="51"/>
      <c r="T5" s="51"/>
      <c r="U5" s="51"/>
      <c r="V5" s="51"/>
    </row>
    <row r="6" spans="1:22" x14ac:dyDescent="0.35">
      <c r="A6" s="53" t="s">
        <v>648</v>
      </c>
      <c r="B6" s="53"/>
      <c r="C6" s="53"/>
      <c r="D6" s="7"/>
      <c r="E6" s="52"/>
      <c r="F6" s="52"/>
      <c r="G6" s="15"/>
      <c r="H6" s="15"/>
      <c r="I6" s="15" t="s">
        <v>646</v>
      </c>
      <c r="J6" s="54">
        <v>1.08</v>
      </c>
      <c r="K6" s="54">
        <f>J6</f>
        <v>1.08</v>
      </c>
      <c r="L6" s="54">
        <f t="shared" ref="L6:Q6" si="0">K6</f>
        <v>1.08</v>
      </c>
      <c r="M6" s="54">
        <f t="shared" si="0"/>
        <v>1.08</v>
      </c>
      <c r="N6" s="54">
        <f t="shared" si="0"/>
        <v>1.08</v>
      </c>
      <c r="O6" s="54">
        <f t="shared" si="0"/>
        <v>1.08</v>
      </c>
      <c r="P6" s="54">
        <f t="shared" si="0"/>
        <v>1.08</v>
      </c>
      <c r="Q6" s="54">
        <f t="shared" si="0"/>
        <v>1.08</v>
      </c>
      <c r="R6" s="7"/>
      <c r="S6" s="51"/>
      <c r="T6" s="51"/>
      <c r="U6" s="51"/>
      <c r="V6" s="51"/>
    </row>
    <row r="7" spans="1:22" x14ac:dyDescent="0.35">
      <c r="A7" s="9">
        <v>1</v>
      </c>
      <c r="B7" s="9" t="s">
        <v>223</v>
      </c>
      <c r="C7" s="10" t="s">
        <v>224</v>
      </c>
      <c r="D7" s="9"/>
      <c r="E7" s="11" t="s">
        <v>1</v>
      </c>
      <c r="F7" s="11" t="s">
        <v>2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1" t="str">
        <f>A7&amp;"."&amp;B7&amp;"."&amp;C7</f>
        <v>1.TK.001</v>
      </c>
    </row>
    <row r="8" spans="1:22" x14ac:dyDescent="0.35">
      <c r="A8" s="9">
        <v>1</v>
      </c>
      <c r="B8" s="9" t="s">
        <v>223</v>
      </c>
      <c r="C8" s="10" t="s">
        <v>225</v>
      </c>
      <c r="D8" s="9"/>
      <c r="E8" s="11" t="s">
        <v>3</v>
      </c>
      <c r="F8" s="11" t="s">
        <v>2</v>
      </c>
      <c r="G8" s="12"/>
      <c r="H8" s="18"/>
      <c r="I8" s="18">
        <v>140008</v>
      </c>
      <c r="J8" s="18">
        <f>I8*J6</f>
        <v>151208.64000000001</v>
      </c>
      <c r="K8" s="18">
        <f>J8*K6</f>
        <v>163305.33120000002</v>
      </c>
      <c r="L8" s="18">
        <f t="shared" ref="L8:Q8" si="1">K8*L6</f>
        <v>176369.75769600002</v>
      </c>
      <c r="M8" s="18">
        <f t="shared" si="1"/>
        <v>190479.33831168004</v>
      </c>
      <c r="N8" s="18">
        <f t="shared" si="1"/>
        <v>205717.68537661445</v>
      </c>
      <c r="O8" s="18">
        <f t="shared" si="1"/>
        <v>222175.10020674361</v>
      </c>
      <c r="P8" s="18">
        <f t="shared" si="1"/>
        <v>239949.10822328311</v>
      </c>
      <c r="Q8" s="18">
        <f t="shared" si="1"/>
        <v>259145.03688114579</v>
      </c>
      <c r="R8" s="11" t="str">
        <f t="shared" ref="R8:R87" si="2">A8&amp;"."&amp;B8&amp;"."&amp;C8</f>
        <v>1.TK.002</v>
      </c>
      <c r="S8" s="22">
        <f>AVERAGE(H8:J8)</f>
        <v>145608.32000000001</v>
      </c>
      <c r="T8" s="22">
        <f>AVERAGE(I8:K8)</f>
        <v>151507.32373333335</v>
      </c>
      <c r="U8" s="22">
        <f>AVERAGE(J8:L8)</f>
        <v>163627.90963200002</v>
      </c>
      <c r="V8" s="22">
        <f>AVERAGE(K8:M8)</f>
        <v>176718.14240256001</v>
      </c>
    </row>
    <row r="9" spans="1:22" x14ac:dyDescent="0.35">
      <c r="A9" s="9">
        <v>1</v>
      </c>
      <c r="B9" s="9" t="s">
        <v>223</v>
      </c>
      <c r="C9" s="10" t="s">
        <v>226</v>
      </c>
      <c r="D9" s="9"/>
      <c r="E9" s="11" t="s">
        <v>4</v>
      </c>
      <c r="F9" s="11" t="s">
        <v>5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1" t="str">
        <f t="shared" si="2"/>
        <v>1.TK.003</v>
      </c>
    </row>
    <row r="10" spans="1:22" x14ac:dyDescent="0.35">
      <c r="A10" s="9">
        <v>1</v>
      </c>
      <c r="B10" s="9" t="s">
        <v>223</v>
      </c>
      <c r="C10" s="10" t="s">
        <v>227</v>
      </c>
      <c r="D10" s="9"/>
      <c r="E10" s="11" t="s">
        <v>6</v>
      </c>
      <c r="F10" s="11" t="s">
        <v>7</v>
      </c>
      <c r="G10" s="12"/>
      <c r="H10" s="12"/>
      <c r="I10" s="12"/>
      <c r="J10" s="12"/>
      <c r="K10" s="12" t="s">
        <v>573</v>
      </c>
      <c r="L10" s="12"/>
      <c r="M10" s="12"/>
      <c r="N10" s="12"/>
      <c r="O10" s="12"/>
      <c r="P10" s="12"/>
      <c r="Q10" s="12"/>
      <c r="R10" s="11" t="str">
        <f t="shared" si="2"/>
        <v>1.TK.004</v>
      </c>
    </row>
    <row r="11" spans="1:22" x14ac:dyDescent="0.35">
      <c r="A11" s="9">
        <v>1</v>
      </c>
      <c r="B11" s="9" t="s">
        <v>223</v>
      </c>
      <c r="C11" s="10" t="s">
        <v>228</v>
      </c>
      <c r="D11" s="9"/>
      <c r="E11" s="11" t="s">
        <v>182</v>
      </c>
      <c r="F11" s="11" t="s">
        <v>8</v>
      </c>
      <c r="G11" s="12"/>
      <c r="H11" s="12"/>
      <c r="I11" s="18">
        <v>19500</v>
      </c>
      <c r="J11" s="18">
        <f>I11*J6</f>
        <v>21060</v>
      </c>
      <c r="K11" s="18">
        <f t="shared" ref="K11:Q11" si="3">J11*K6</f>
        <v>22744.800000000003</v>
      </c>
      <c r="L11" s="18">
        <f t="shared" si="3"/>
        <v>24564.384000000005</v>
      </c>
      <c r="M11" s="18">
        <f t="shared" si="3"/>
        <v>26529.534720000007</v>
      </c>
      <c r="N11" s="18">
        <f t="shared" si="3"/>
        <v>28651.89749760001</v>
      </c>
      <c r="O11" s="18">
        <f t="shared" si="3"/>
        <v>30944.049297408012</v>
      </c>
      <c r="P11" s="18">
        <f t="shared" si="3"/>
        <v>33419.573241200655</v>
      </c>
      <c r="Q11" s="18">
        <f t="shared" si="3"/>
        <v>36093.139100496708</v>
      </c>
      <c r="R11" s="11" t="str">
        <f t="shared" si="2"/>
        <v>1.TK.005</v>
      </c>
      <c r="S11" s="22">
        <f t="shared" ref="S11:V15" si="4">AVERAGE(H11:J11)</f>
        <v>20280</v>
      </c>
      <c r="T11" s="22">
        <f t="shared" si="4"/>
        <v>21101.600000000002</v>
      </c>
      <c r="U11" s="22">
        <f t="shared" si="4"/>
        <v>22789.728000000003</v>
      </c>
      <c r="V11" s="22">
        <f t="shared" si="4"/>
        <v>24612.906240000008</v>
      </c>
    </row>
    <row r="12" spans="1:22" x14ac:dyDescent="0.35">
      <c r="A12" s="9">
        <v>1</v>
      </c>
      <c r="B12" s="9" t="s">
        <v>223</v>
      </c>
      <c r="C12" s="10" t="s">
        <v>229</v>
      </c>
      <c r="D12" s="9"/>
      <c r="E12" s="11" t="s">
        <v>183</v>
      </c>
      <c r="F12" s="11" t="s">
        <v>8</v>
      </c>
      <c r="G12" s="12"/>
      <c r="H12" s="12"/>
      <c r="I12" s="18">
        <v>32000</v>
      </c>
      <c r="J12" s="18">
        <f>I12*J6</f>
        <v>34560</v>
      </c>
      <c r="K12" s="18">
        <f t="shared" ref="K12:Q12" si="5">J12*K6</f>
        <v>37324.800000000003</v>
      </c>
      <c r="L12" s="18">
        <f t="shared" si="5"/>
        <v>40310.784000000007</v>
      </c>
      <c r="M12" s="18">
        <f t="shared" si="5"/>
        <v>43535.646720000012</v>
      </c>
      <c r="N12" s="18">
        <f t="shared" si="5"/>
        <v>47018.498457600013</v>
      </c>
      <c r="O12" s="18">
        <f t="shared" si="5"/>
        <v>50779.978334208019</v>
      </c>
      <c r="P12" s="18">
        <f t="shared" si="5"/>
        <v>54842.376600944663</v>
      </c>
      <c r="Q12" s="18">
        <f t="shared" si="5"/>
        <v>59229.766729020237</v>
      </c>
      <c r="R12" s="11" t="str">
        <f t="shared" si="2"/>
        <v>1.TK.006</v>
      </c>
      <c r="S12" s="22">
        <f t="shared" si="4"/>
        <v>33280</v>
      </c>
      <c r="T12" s="22">
        <f t="shared" si="4"/>
        <v>34628.26666666667</v>
      </c>
      <c r="U12" s="22">
        <f t="shared" si="4"/>
        <v>37398.527999999998</v>
      </c>
      <c r="V12" s="22">
        <f t="shared" si="4"/>
        <v>40390.410240000005</v>
      </c>
    </row>
    <row r="13" spans="1:22" x14ac:dyDescent="0.35">
      <c r="A13" s="9">
        <v>1</v>
      </c>
      <c r="B13" s="9" t="s">
        <v>223</v>
      </c>
      <c r="C13" s="10" t="s">
        <v>230</v>
      </c>
      <c r="D13" s="9"/>
      <c r="E13" s="11" t="s">
        <v>483</v>
      </c>
      <c r="F13" s="11" t="s">
        <v>2</v>
      </c>
      <c r="G13" s="12"/>
      <c r="H13" s="12"/>
      <c r="I13" s="18">
        <v>10000</v>
      </c>
      <c r="J13" s="18">
        <f>I13*J6</f>
        <v>10800</v>
      </c>
      <c r="K13" s="18">
        <f t="shared" ref="K13:Q13" si="6">J13*K6</f>
        <v>11664</v>
      </c>
      <c r="L13" s="18">
        <f t="shared" si="6"/>
        <v>12597.12</v>
      </c>
      <c r="M13" s="18">
        <f t="shared" si="6"/>
        <v>13604.889600000002</v>
      </c>
      <c r="N13" s="18">
        <f t="shared" si="6"/>
        <v>14693.280768000004</v>
      </c>
      <c r="O13" s="18">
        <f t="shared" si="6"/>
        <v>15868.743229440006</v>
      </c>
      <c r="P13" s="18">
        <f t="shared" si="6"/>
        <v>17138.242687795209</v>
      </c>
      <c r="Q13" s="18">
        <f t="shared" si="6"/>
        <v>18509.302102818827</v>
      </c>
      <c r="R13" s="11" t="str">
        <f t="shared" si="2"/>
        <v>1.TK.007</v>
      </c>
      <c r="S13" s="22">
        <f t="shared" si="4"/>
        <v>10400</v>
      </c>
      <c r="T13" s="22">
        <f t="shared" si="4"/>
        <v>10821.333333333334</v>
      </c>
      <c r="U13" s="22">
        <f t="shared" si="4"/>
        <v>11687.04</v>
      </c>
      <c r="V13" s="22">
        <f t="shared" si="4"/>
        <v>12622.003200000001</v>
      </c>
    </row>
    <row r="14" spans="1:22" x14ac:dyDescent="0.35">
      <c r="A14" s="9">
        <v>1</v>
      </c>
      <c r="B14" s="9" t="s">
        <v>223</v>
      </c>
      <c r="C14" s="10" t="s">
        <v>231</v>
      </c>
      <c r="D14" s="9"/>
      <c r="E14" s="11" t="s">
        <v>484</v>
      </c>
      <c r="F14" s="11" t="s">
        <v>2</v>
      </c>
      <c r="G14" s="12"/>
      <c r="H14" s="12"/>
      <c r="I14" s="18">
        <v>350000</v>
      </c>
      <c r="J14" s="18">
        <f>I14*J6</f>
        <v>378000</v>
      </c>
      <c r="K14" s="18">
        <f t="shared" ref="K14:Q14" si="7">J14*K6</f>
        <v>408240</v>
      </c>
      <c r="L14" s="18">
        <f t="shared" si="7"/>
        <v>440899.2</v>
      </c>
      <c r="M14" s="18">
        <f t="shared" si="7"/>
        <v>476171.13600000006</v>
      </c>
      <c r="N14" s="18">
        <f t="shared" si="7"/>
        <v>514264.82688000012</v>
      </c>
      <c r="O14" s="18">
        <f t="shared" si="7"/>
        <v>555406.01303040015</v>
      </c>
      <c r="P14" s="18">
        <f t="shared" si="7"/>
        <v>599838.49407283217</v>
      </c>
      <c r="Q14" s="18">
        <f t="shared" si="7"/>
        <v>647825.57359865878</v>
      </c>
      <c r="R14" s="11" t="str">
        <f t="shared" si="2"/>
        <v>1.TK.008</v>
      </c>
      <c r="S14" s="22">
        <f t="shared" si="4"/>
        <v>364000</v>
      </c>
      <c r="T14" s="22">
        <f t="shared" si="4"/>
        <v>378746.66666666669</v>
      </c>
      <c r="U14" s="22">
        <f t="shared" si="4"/>
        <v>409046.39999999997</v>
      </c>
      <c r="V14" s="22">
        <f t="shared" si="4"/>
        <v>441770.11200000002</v>
      </c>
    </row>
    <row r="15" spans="1:22" x14ac:dyDescent="0.35">
      <c r="A15" s="9"/>
      <c r="B15" s="9"/>
      <c r="C15" s="10"/>
      <c r="D15" s="9"/>
      <c r="E15" s="11" t="s">
        <v>587</v>
      </c>
      <c r="F15" s="11"/>
      <c r="G15" s="12"/>
      <c r="H15" s="12"/>
      <c r="I15" s="18">
        <v>19500</v>
      </c>
      <c r="J15" s="18">
        <f>I15*J6</f>
        <v>21060</v>
      </c>
      <c r="K15" s="18">
        <f t="shared" ref="K15:Q15" si="8">J15*K6</f>
        <v>22744.800000000003</v>
      </c>
      <c r="L15" s="18">
        <f t="shared" si="8"/>
        <v>24564.384000000005</v>
      </c>
      <c r="M15" s="18">
        <f t="shared" si="8"/>
        <v>26529.534720000007</v>
      </c>
      <c r="N15" s="18">
        <f t="shared" si="8"/>
        <v>28651.89749760001</v>
      </c>
      <c r="O15" s="18">
        <f t="shared" si="8"/>
        <v>30944.049297408012</v>
      </c>
      <c r="P15" s="18">
        <f t="shared" si="8"/>
        <v>33419.573241200655</v>
      </c>
      <c r="Q15" s="18">
        <f t="shared" si="8"/>
        <v>36093.139100496708</v>
      </c>
      <c r="R15" s="11"/>
      <c r="T15" s="22">
        <f t="shared" si="4"/>
        <v>21101.600000000002</v>
      </c>
      <c r="U15" s="22">
        <f t="shared" si="4"/>
        <v>22789.728000000003</v>
      </c>
      <c r="V15" s="22">
        <f t="shared" si="4"/>
        <v>24612.906240000008</v>
      </c>
    </row>
    <row r="16" spans="1:22" x14ac:dyDescent="0.35">
      <c r="A16" s="9">
        <v>1</v>
      </c>
      <c r="B16" s="9" t="s">
        <v>223</v>
      </c>
      <c r="C16" s="10" t="s">
        <v>232</v>
      </c>
      <c r="D16" s="9"/>
      <c r="E16" s="11" t="s">
        <v>233</v>
      </c>
      <c r="F16" s="11" t="s">
        <v>2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1" t="str">
        <f t="shared" si="2"/>
        <v>1.TK.009</v>
      </c>
    </row>
    <row r="17" spans="1:18" x14ac:dyDescent="0.35">
      <c r="A17" s="9">
        <v>1</v>
      </c>
      <c r="B17" s="9" t="s">
        <v>223</v>
      </c>
      <c r="C17" s="10" t="s">
        <v>234</v>
      </c>
      <c r="D17" s="9"/>
      <c r="E17" s="11" t="s">
        <v>235</v>
      </c>
      <c r="F17" s="11" t="s">
        <v>2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1" t="str">
        <f t="shared" si="2"/>
        <v>1.TK.010</v>
      </c>
    </row>
    <row r="18" spans="1:18" x14ac:dyDescent="0.35">
      <c r="A18" s="9">
        <v>1</v>
      </c>
      <c r="B18" s="9" t="s">
        <v>223</v>
      </c>
      <c r="C18" s="10" t="s">
        <v>236</v>
      </c>
      <c r="D18" s="9"/>
      <c r="E18" s="11" t="s">
        <v>237</v>
      </c>
      <c r="F18" s="11" t="s">
        <v>2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1" t="str">
        <f t="shared" si="2"/>
        <v>1.TK.011</v>
      </c>
    </row>
    <row r="19" spans="1:18" x14ac:dyDescent="0.35">
      <c r="A19" s="9">
        <v>1</v>
      </c>
      <c r="B19" s="9" t="s">
        <v>223</v>
      </c>
      <c r="C19" s="10" t="s">
        <v>238</v>
      </c>
      <c r="D19" s="9"/>
      <c r="E19" s="11" t="s">
        <v>239</v>
      </c>
      <c r="F19" s="11" t="s">
        <v>2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1" t="str">
        <f t="shared" si="2"/>
        <v>1.TK.012</v>
      </c>
    </row>
    <row r="20" spans="1:18" x14ac:dyDescent="0.35">
      <c r="A20" s="9">
        <v>1</v>
      </c>
      <c r="B20" s="9" t="s">
        <v>223</v>
      </c>
      <c r="C20" s="10" t="s">
        <v>240</v>
      </c>
      <c r="D20" s="9"/>
      <c r="E20" s="11" t="s">
        <v>241</v>
      </c>
      <c r="F20" s="11" t="s">
        <v>2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1" t="str">
        <f t="shared" si="2"/>
        <v>1.TK.013</v>
      </c>
    </row>
    <row r="21" spans="1:18" x14ac:dyDescent="0.35">
      <c r="A21" s="9">
        <v>1</v>
      </c>
      <c r="B21" s="9" t="s">
        <v>223</v>
      </c>
      <c r="C21" s="10" t="s">
        <v>242</v>
      </c>
      <c r="D21" s="9"/>
      <c r="E21" s="11" t="s">
        <v>243</v>
      </c>
      <c r="F21" s="11" t="s">
        <v>2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1" t="str">
        <f t="shared" si="2"/>
        <v>1.TK.014</v>
      </c>
    </row>
    <row r="22" spans="1:18" x14ac:dyDescent="0.35">
      <c r="A22" s="9">
        <v>1</v>
      </c>
      <c r="B22" s="9" t="s">
        <v>223</v>
      </c>
      <c r="C22" s="10" t="s">
        <v>244</v>
      </c>
      <c r="D22" s="9"/>
      <c r="E22" s="11" t="s">
        <v>9</v>
      </c>
      <c r="F22" s="11" t="s">
        <v>2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1" t="str">
        <f t="shared" si="2"/>
        <v>1.TK.015</v>
      </c>
    </row>
    <row r="23" spans="1:18" x14ac:dyDescent="0.35">
      <c r="A23" s="9">
        <v>1</v>
      </c>
      <c r="B23" s="9" t="s">
        <v>223</v>
      </c>
      <c r="C23" s="10" t="s">
        <v>245</v>
      </c>
      <c r="D23" s="9"/>
      <c r="E23" s="11" t="s">
        <v>246</v>
      </c>
      <c r="F23" s="11" t="s">
        <v>2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1" t="str">
        <f t="shared" si="2"/>
        <v>1.TK.016</v>
      </c>
    </row>
    <row r="24" spans="1:18" x14ac:dyDescent="0.35">
      <c r="A24" s="9">
        <v>1</v>
      </c>
      <c r="B24" s="9" t="s">
        <v>223</v>
      </c>
      <c r="C24" s="10" t="s">
        <v>247</v>
      </c>
      <c r="D24" s="9"/>
      <c r="E24" s="11" t="s">
        <v>248</v>
      </c>
      <c r="F24" s="11" t="s">
        <v>2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1" t="str">
        <f t="shared" si="2"/>
        <v>1.TK.017</v>
      </c>
    </row>
    <row r="25" spans="1:18" x14ac:dyDescent="0.35">
      <c r="A25" s="9">
        <v>1</v>
      </c>
      <c r="B25" s="9" t="s">
        <v>223</v>
      </c>
      <c r="C25" s="10" t="s">
        <v>249</v>
      </c>
      <c r="D25" s="9"/>
      <c r="E25" s="11" t="s">
        <v>520</v>
      </c>
      <c r="F25" s="11" t="s">
        <v>44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1" t="str">
        <f t="shared" si="2"/>
        <v>1.TK.018</v>
      </c>
    </row>
    <row r="26" spans="1:18" x14ac:dyDescent="0.35">
      <c r="A26" s="9">
        <v>1</v>
      </c>
      <c r="B26" s="9" t="s">
        <v>223</v>
      </c>
      <c r="C26" s="10" t="s">
        <v>259</v>
      </c>
      <c r="D26" s="9"/>
      <c r="E26" s="11" t="s">
        <v>186</v>
      </c>
      <c r="F26" s="11" t="s">
        <v>44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1" t="str">
        <f t="shared" si="2"/>
        <v>1.TK.019</v>
      </c>
    </row>
    <row r="27" spans="1:18" x14ac:dyDescent="0.35">
      <c r="A27" s="9">
        <v>1</v>
      </c>
      <c r="B27" s="9" t="s">
        <v>223</v>
      </c>
      <c r="C27" s="10" t="s">
        <v>260</v>
      </c>
      <c r="D27" s="9"/>
      <c r="E27" s="11" t="s">
        <v>187</v>
      </c>
      <c r="F27" s="11" t="s">
        <v>44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1" t="str">
        <f t="shared" si="2"/>
        <v>1.TK.020</v>
      </c>
    </row>
    <row r="28" spans="1:18" x14ac:dyDescent="0.35">
      <c r="A28" s="9">
        <v>1</v>
      </c>
      <c r="B28" s="9" t="s">
        <v>223</v>
      </c>
      <c r="C28" s="10" t="s">
        <v>261</v>
      </c>
      <c r="D28" s="9"/>
      <c r="E28" s="11" t="s">
        <v>188</v>
      </c>
      <c r="F28" s="11" t="s">
        <v>44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1" t="str">
        <f t="shared" si="2"/>
        <v>1.TK.021</v>
      </c>
    </row>
    <row r="29" spans="1:18" x14ac:dyDescent="0.35">
      <c r="A29" s="7"/>
      <c r="B29" s="7" t="s">
        <v>250</v>
      </c>
      <c r="C29" s="13"/>
      <c r="D29" s="7"/>
      <c r="E29" s="7"/>
      <c r="F29" s="7"/>
      <c r="G29" s="8"/>
      <c r="H29" s="8"/>
      <c r="I29" s="15"/>
      <c r="J29" s="15" t="s">
        <v>647</v>
      </c>
      <c r="K29" s="8"/>
      <c r="L29" s="8"/>
      <c r="M29" s="8"/>
      <c r="N29" s="8"/>
      <c r="O29" s="8"/>
      <c r="P29" s="8"/>
      <c r="Q29" s="8"/>
      <c r="R29" s="7"/>
    </row>
    <row r="30" spans="1:18" x14ac:dyDescent="0.35">
      <c r="A30" s="7"/>
      <c r="B30" s="7"/>
      <c r="C30" s="13"/>
      <c r="D30" s="7"/>
      <c r="E30" s="7"/>
      <c r="F30" s="7"/>
      <c r="G30" s="8"/>
      <c r="H30" s="8"/>
      <c r="I30" s="15" t="s">
        <v>646</v>
      </c>
      <c r="J30" s="54">
        <v>1.08</v>
      </c>
      <c r="K30" s="54">
        <f>J30</f>
        <v>1.08</v>
      </c>
      <c r="L30" s="54">
        <f t="shared" ref="L30:Q30" si="9">K30</f>
        <v>1.08</v>
      </c>
      <c r="M30" s="54">
        <f t="shared" si="9"/>
        <v>1.08</v>
      </c>
      <c r="N30" s="54">
        <f t="shared" si="9"/>
        <v>1.08</v>
      </c>
      <c r="O30" s="54">
        <f t="shared" si="9"/>
        <v>1.08</v>
      </c>
      <c r="P30" s="54">
        <f t="shared" si="9"/>
        <v>1.08</v>
      </c>
      <c r="Q30" s="54">
        <f t="shared" si="9"/>
        <v>1.08</v>
      </c>
      <c r="R30" s="7"/>
    </row>
    <row r="31" spans="1:18" x14ac:dyDescent="0.35">
      <c r="A31" s="9">
        <v>2</v>
      </c>
      <c r="B31" s="9" t="s">
        <v>223</v>
      </c>
      <c r="C31" s="10" t="s">
        <v>224</v>
      </c>
      <c r="D31" s="9"/>
      <c r="E31" s="11" t="s">
        <v>10</v>
      </c>
      <c r="F31" s="11" t="s">
        <v>2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1" t="str">
        <f t="shared" si="2"/>
        <v>2.TK.001</v>
      </c>
    </row>
    <row r="32" spans="1:18" x14ac:dyDescent="0.35">
      <c r="A32" s="9">
        <v>2</v>
      </c>
      <c r="B32" s="9" t="s">
        <v>223</v>
      </c>
      <c r="C32" s="10" t="s">
        <v>225</v>
      </c>
      <c r="D32" s="9"/>
      <c r="E32" s="11" t="s">
        <v>251</v>
      </c>
      <c r="F32" s="11" t="s">
        <v>2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1" t="str">
        <f t="shared" si="2"/>
        <v>2.TK.002</v>
      </c>
    </row>
    <row r="33" spans="1:22" x14ac:dyDescent="0.35">
      <c r="A33" s="9">
        <v>2</v>
      </c>
      <c r="B33" s="9" t="s">
        <v>223</v>
      </c>
      <c r="C33" s="10" t="s">
        <v>226</v>
      </c>
      <c r="D33" s="9"/>
      <c r="E33" s="11" t="s">
        <v>252</v>
      </c>
      <c r="F33" s="11" t="s">
        <v>2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1" t="str">
        <f t="shared" si="2"/>
        <v>2.TK.003</v>
      </c>
    </row>
    <row r="34" spans="1:22" x14ac:dyDescent="0.35">
      <c r="A34" s="9">
        <v>2</v>
      </c>
      <c r="B34" s="9" t="s">
        <v>223</v>
      </c>
      <c r="C34" s="10" t="s">
        <v>227</v>
      </c>
      <c r="D34" s="9"/>
      <c r="E34" s="11" t="s">
        <v>253</v>
      </c>
      <c r="F34" s="11" t="s">
        <v>2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1" t="str">
        <f t="shared" si="2"/>
        <v>2.TK.004</v>
      </c>
    </row>
    <row r="35" spans="1:22" x14ac:dyDescent="0.35">
      <c r="A35" s="9">
        <v>2</v>
      </c>
      <c r="B35" s="9" t="s">
        <v>223</v>
      </c>
      <c r="C35" s="10" t="s">
        <v>228</v>
      </c>
      <c r="D35" s="9"/>
      <c r="E35" s="11" t="s">
        <v>11</v>
      </c>
      <c r="F35" s="11" t="s">
        <v>2</v>
      </c>
      <c r="G35" s="12"/>
      <c r="H35" s="12"/>
      <c r="I35" s="12">
        <v>3700</v>
      </c>
      <c r="J35" s="18">
        <f>I35*J30</f>
        <v>3996.0000000000005</v>
      </c>
      <c r="K35" s="18">
        <f t="shared" ref="K35:Q35" si="10">J35*K30</f>
        <v>4315.6800000000012</v>
      </c>
      <c r="L35" s="18">
        <f t="shared" si="10"/>
        <v>4660.9344000000019</v>
      </c>
      <c r="M35" s="18">
        <f t="shared" si="10"/>
        <v>5033.8091520000025</v>
      </c>
      <c r="N35" s="18">
        <f t="shared" si="10"/>
        <v>5436.5138841600028</v>
      </c>
      <c r="O35" s="18">
        <f t="shared" si="10"/>
        <v>5871.4349948928038</v>
      </c>
      <c r="P35" s="18">
        <f t="shared" si="10"/>
        <v>6341.1497944842286</v>
      </c>
      <c r="Q35" s="18">
        <f t="shared" si="10"/>
        <v>6848.4417780429676</v>
      </c>
      <c r="R35" s="11" t="str">
        <f t="shared" si="2"/>
        <v>2.TK.005</v>
      </c>
      <c r="S35" s="22">
        <f>AVERAGE(H35:J35)</f>
        <v>3848</v>
      </c>
      <c r="T35" s="22">
        <f>AVERAGE(I35:K35)</f>
        <v>4003.8933333333334</v>
      </c>
      <c r="U35" s="22">
        <f>AVERAGE(J35:L35)</f>
        <v>4324.2048000000013</v>
      </c>
      <c r="V35" s="22">
        <f>AVERAGE(K35:M35)</f>
        <v>4670.141184000001</v>
      </c>
    </row>
    <row r="36" spans="1:22" x14ac:dyDescent="0.35">
      <c r="A36" s="9">
        <v>2</v>
      </c>
      <c r="B36" s="9" t="s">
        <v>223</v>
      </c>
      <c r="C36" s="10" t="s">
        <v>229</v>
      </c>
      <c r="D36" s="9"/>
      <c r="E36" s="11" t="s">
        <v>12</v>
      </c>
      <c r="F36" s="11" t="s">
        <v>2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1" t="str">
        <f t="shared" si="2"/>
        <v>2.TK.006</v>
      </c>
    </row>
    <row r="37" spans="1:22" x14ac:dyDescent="0.35">
      <c r="A37" s="9">
        <v>2</v>
      </c>
      <c r="B37" s="9" t="s">
        <v>223</v>
      </c>
      <c r="C37" s="10" t="s">
        <v>230</v>
      </c>
      <c r="D37" s="9"/>
      <c r="E37" s="11" t="s">
        <v>13</v>
      </c>
      <c r="F37" s="11" t="s">
        <v>2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1" t="str">
        <f t="shared" si="2"/>
        <v>2.TK.007</v>
      </c>
    </row>
    <row r="38" spans="1:22" x14ac:dyDescent="0.35">
      <c r="A38" s="9">
        <v>2</v>
      </c>
      <c r="B38" s="9" t="s">
        <v>223</v>
      </c>
      <c r="C38" s="10" t="s">
        <v>231</v>
      </c>
      <c r="D38" s="9"/>
      <c r="E38" s="11" t="s">
        <v>14</v>
      </c>
      <c r="F38" s="11" t="s">
        <v>2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1" t="str">
        <f t="shared" si="2"/>
        <v>2.TK.008</v>
      </c>
    </row>
    <row r="39" spans="1:22" x14ac:dyDescent="0.35">
      <c r="A39" s="9">
        <v>2</v>
      </c>
      <c r="B39" s="9" t="s">
        <v>223</v>
      </c>
      <c r="C39" s="10" t="s">
        <v>232</v>
      </c>
      <c r="D39" s="9"/>
      <c r="E39" s="11" t="s">
        <v>15</v>
      </c>
      <c r="F39" s="11" t="s">
        <v>2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1" t="str">
        <f t="shared" si="2"/>
        <v>2.TK.009</v>
      </c>
    </row>
    <row r="40" spans="1:22" x14ac:dyDescent="0.35">
      <c r="A40" s="9">
        <v>2</v>
      </c>
      <c r="B40" s="9" t="s">
        <v>223</v>
      </c>
      <c r="C40" s="10" t="s">
        <v>234</v>
      </c>
      <c r="D40" s="9"/>
      <c r="E40" s="11" t="s">
        <v>192</v>
      </c>
      <c r="F40" s="11" t="s">
        <v>2</v>
      </c>
      <c r="G40" s="12"/>
      <c r="H40" s="18"/>
      <c r="I40" s="18">
        <v>140008</v>
      </c>
      <c r="J40" s="18">
        <f>I40*J30</f>
        <v>151208.64000000001</v>
      </c>
      <c r="K40" s="18">
        <f t="shared" ref="K40:Q40" si="11">J40*K30</f>
        <v>163305.33120000002</v>
      </c>
      <c r="L40" s="18">
        <f t="shared" si="11"/>
        <v>176369.75769600002</v>
      </c>
      <c r="M40" s="18">
        <f t="shared" si="11"/>
        <v>190479.33831168004</v>
      </c>
      <c r="N40" s="18">
        <f t="shared" si="11"/>
        <v>205717.68537661445</v>
      </c>
      <c r="O40" s="18">
        <f t="shared" si="11"/>
        <v>222175.10020674361</v>
      </c>
      <c r="P40" s="18">
        <f t="shared" si="11"/>
        <v>239949.10822328311</v>
      </c>
      <c r="Q40" s="18">
        <f t="shared" si="11"/>
        <v>259145.03688114579</v>
      </c>
      <c r="R40" s="11" t="str">
        <f t="shared" si="2"/>
        <v>2.TK.010</v>
      </c>
      <c r="S40" s="22">
        <f>AVERAGE(H40:J40)</f>
        <v>145608.32000000001</v>
      </c>
      <c r="T40" s="22">
        <f>AVERAGE(I40:K40)</f>
        <v>151507.32373333335</v>
      </c>
      <c r="U40" s="22">
        <f>AVERAGE(J40:L40)</f>
        <v>163627.90963200002</v>
      </c>
      <c r="V40" s="22">
        <f>AVERAGE(K40:M40)</f>
        <v>176718.14240256001</v>
      </c>
    </row>
    <row r="41" spans="1:22" x14ac:dyDescent="0.35">
      <c r="A41" s="7"/>
      <c r="B41" s="7" t="s">
        <v>254</v>
      </c>
      <c r="C41" s="13"/>
      <c r="D41" s="7"/>
      <c r="E41" s="7"/>
      <c r="F41" s="7"/>
      <c r="G41" s="8"/>
      <c r="H41" s="8"/>
      <c r="I41" s="15"/>
      <c r="J41" s="15" t="s">
        <v>647</v>
      </c>
      <c r="K41" s="8"/>
      <c r="L41" s="8"/>
      <c r="M41" s="8"/>
      <c r="N41" s="8"/>
      <c r="O41" s="8"/>
      <c r="P41" s="8"/>
      <c r="Q41" s="8"/>
      <c r="R41" s="7"/>
    </row>
    <row r="42" spans="1:22" x14ac:dyDescent="0.35">
      <c r="A42" s="7" t="s">
        <v>649</v>
      </c>
      <c r="B42" s="7"/>
      <c r="C42" s="13"/>
      <c r="D42" s="7"/>
      <c r="E42" s="7"/>
      <c r="F42" s="7"/>
      <c r="G42" s="8"/>
      <c r="H42" s="8"/>
      <c r="I42" s="15" t="s">
        <v>646</v>
      </c>
      <c r="J42" s="55">
        <v>1.1200000000000001</v>
      </c>
      <c r="K42" s="55">
        <f>J42</f>
        <v>1.1200000000000001</v>
      </c>
      <c r="L42" s="55">
        <f t="shared" ref="L42:Q42" si="12">K42</f>
        <v>1.1200000000000001</v>
      </c>
      <c r="M42" s="55">
        <f t="shared" si="12"/>
        <v>1.1200000000000001</v>
      </c>
      <c r="N42" s="55">
        <f t="shared" si="12"/>
        <v>1.1200000000000001</v>
      </c>
      <c r="O42" s="55">
        <f t="shared" si="12"/>
        <v>1.1200000000000001</v>
      </c>
      <c r="P42" s="55">
        <f t="shared" si="12"/>
        <v>1.1200000000000001</v>
      </c>
      <c r="Q42" s="55">
        <f t="shared" si="12"/>
        <v>1.1200000000000001</v>
      </c>
      <c r="R42" s="7"/>
    </row>
    <row r="43" spans="1:22" x14ac:dyDescent="0.35">
      <c r="A43" s="9">
        <v>3</v>
      </c>
      <c r="B43" s="9" t="s">
        <v>255</v>
      </c>
      <c r="C43" s="10" t="s">
        <v>224</v>
      </c>
      <c r="D43" s="9"/>
      <c r="E43" s="11" t="s">
        <v>16</v>
      </c>
      <c r="F43" s="11" t="s">
        <v>17</v>
      </c>
      <c r="G43" s="12"/>
      <c r="H43" s="12"/>
      <c r="I43" s="18">
        <v>30250</v>
      </c>
      <c r="J43" s="18">
        <f>I43*J42</f>
        <v>33880</v>
      </c>
      <c r="K43" s="18">
        <f t="shared" ref="K43:Q43" si="13">J43*K42</f>
        <v>37945.600000000006</v>
      </c>
      <c r="L43" s="18">
        <f t="shared" si="13"/>
        <v>42499.072000000007</v>
      </c>
      <c r="M43" s="18">
        <f t="shared" si="13"/>
        <v>47598.960640000012</v>
      </c>
      <c r="N43" s="18">
        <f t="shared" si="13"/>
        <v>53310.835916800017</v>
      </c>
      <c r="O43" s="18">
        <f t="shared" si="13"/>
        <v>59708.136226816023</v>
      </c>
      <c r="P43" s="18">
        <f t="shared" si="13"/>
        <v>66873.112574033948</v>
      </c>
      <c r="Q43" s="18">
        <f t="shared" si="13"/>
        <v>74897.886082918034</v>
      </c>
      <c r="R43" s="11" t="str">
        <f t="shared" si="2"/>
        <v>3.AK.001</v>
      </c>
    </row>
    <row r="44" spans="1:22" x14ac:dyDescent="0.35">
      <c r="A44" s="9">
        <v>3</v>
      </c>
      <c r="B44" s="9" t="s">
        <v>255</v>
      </c>
      <c r="C44" s="10" t="s">
        <v>225</v>
      </c>
      <c r="D44" s="9"/>
      <c r="E44" s="11" t="s">
        <v>18</v>
      </c>
      <c r="F44" s="11" t="s">
        <v>19</v>
      </c>
      <c r="G44" s="12"/>
      <c r="H44" s="12"/>
      <c r="I44" s="18">
        <v>100</v>
      </c>
      <c r="J44" s="18">
        <f>I44*J42</f>
        <v>112.00000000000001</v>
      </c>
      <c r="K44" s="18">
        <f t="shared" ref="K44:Q44" si="14">J44*K42</f>
        <v>125.44000000000003</v>
      </c>
      <c r="L44" s="18">
        <f t="shared" si="14"/>
        <v>140.49280000000005</v>
      </c>
      <c r="M44" s="18">
        <f t="shared" si="14"/>
        <v>157.35193600000005</v>
      </c>
      <c r="N44" s="18">
        <f t="shared" si="14"/>
        <v>176.23416832000007</v>
      </c>
      <c r="O44" s="18">
        <f t="shared" si="14"/>
        <v>197.38226851840008</v>
      </c>
      <c r="P44" s="18">
        <f t="shared" si="14"/>
        <v>221.0681407406081</v>
      </c>
      <c r="Q44" s="18">
        <f t="shared" si="14"/>
        <v>247.59631762948109</v>
      </c>
      <c r="R44" s="11" t="str">
        <f t="shared" si="2"/>
        <v>3.AK.002</v>
      </c>
      <c r="S44" s="22">
        <f t="shared" ref="S44:V59" si="15">AVERAGE(H44:J44)</f>
        <v>106</v>
      </c>
      <c r="T44" s="22">
        <f t="shared" si="15"/>
        <v>112.48000000000002</v>
      </c>
      <c r="U44" s="22">
        <f t="shared" si="15"/>
        <v>125.97760000000004</v>
      </c>
      <c r="V44" s="22">
        <f t="shared" si="15"/>
        <v>141.09491200000002</v>
      </c>
    </row>
    <row r="45" spans="1:22" x14ac:dyDescent="0.35">
      <c r="A45" s="9">
        <v>3</v>
      </c>
      <c r="B45" s="9" t="s">
        <v>255</v>
      </c>
      <c r="C45" s="10" t="s">
        <v>226</v>
      </c>
      <c r="D45" s="9"/>
      <c r="E45" s="11" t="s">
        <v>20</v>
      </c>
      <c r="F45" s="11" t="s">
        <v>19</v>
      </c>
      <c r="G45" s="12"/>
      <c r="H45" s="12"/>
      <c r="I45" s="18">
        <v>537481</v>
      </c>
      <c r="J45" s="18">
        <f>I45*J42</f>
        <v>601978.72000000009</v>
      </c>
      <c r="K45" s="18">
        <f t="shared" ref="K45:Q45" si="16">J45*K42</f>
        <v>674216.16640000022</v>
      </c>
      <c r="L45" s="18">
        <f t="shared" si="16"/>
        <v>755122.10636800027</v>
      </c>
      <c r="M45" s="18">
        <f t="shared" si="16"/>
        <v>845736.75913216034</v>
      </c>
      <c r="N45" s="18">
        <f t="shared" si="16"/>
        <v>947225.17022801971</v>
      </c>
      <c r="O45" s="18">
        <f t="shared" si="16"/>
        <v>1060892.1906553821</v>
      </c>
      <c r="P45" s="18">
        <f t="shared" si="16"/>
        <v>1188199.2535340281</v>
      </c>
      <c r="Q45" s="18">
        <f t="shared" si="16"/>
        <v>1330783.1639581115</v>
      </c>
      <c r="R45" s="11" t="str">
        <f t="shared" si="2"/>
        <v>3.AK.003</v>
      </c>
      <c r="S45" s="22">
        <f t="shared" si="15"/>
        <v>569729.8600000001</v>
      </c>
      <c r="T45" s="22">
        <f t="shared" si="15"/>
        <v>604558.62880000018</v>
      </c>
      <c r="U45" s="22">
        <f t="shared" si="15"/>
        <v>677105.66425600008</v>
      </c>
      <c r="V45" s="22">
        <f t="shared" si="15"/>
        <v>758358.34396672028</v>
      </c>
    </row>
    <row r="46" spans="1:22" x14ac:dyDescent="0.35">
      <c r="A46" s="9">
        <v>3</v>
      </c>
      <c r="B46" s="9" t="s">
        <v>255</v>
      </c>
      <c r="C46" s="10" t="s">
        <v>227</v>
      </c>
      <c r="D46" s="9"/>
      <c r="E46" s="11" t="s">
        <v>21</v>
      </c>
      <c r="F46" s="11" t="s">
        <v>17</v>
      </c>
      <c r="G46" s="12"/>
      <c r="H46" s="12"/>
      <c r="I46" s="18">
        <v>20000</v>
      </c>
      <c r="J46" s="18">
        <f>I46*J42</f>
        <v>22400.000000000004</v>
      </c>
      <c r="K46" s="18">
        <f t="shared" ref="K46:Q46" si="17">J46*K42</f>
        <v>25088.000000000007</v>
      </c>
      <c r="L46" s="18">
        <f t="shared" si="17"/>
        <v>28098.560000000012</v>
      </c>
      <c r="M46" s="18">
        <f t="shared" si="17"/>
        <v>31470.387200000016</v>
      </c>
      <c r="N46" s="18">
        <f t="shared" si="17"/>
        <v>35246.83366400002</v>
      </c>
      <c r="O46" s="18">
        <f t="shared" si="17"/>
        <v>39476.453703680025</v>
      </c>
      <c r="P46" s="18">
        <f t="shared" si="17"/>
        <v>44213.628148121628</v>
      </c>
      <c r="Q46" s="18">
        <f t="shared" si="17"/>
        <v>49519.263525896225</v>
      </c>
      <c r="R46" s="11" t="str">
        <f t="shared" si="2"/>
        <v>3.AK.004</v>
      </c>
      <c r="S46" s="22">
        <f t="shared" si="15"/>
        <v>21200</v>
      </c>
      <c r="T46" s="22">
        <f t="shared" si="15"/>
        <v>22496</v>
      </c>
      <c r="U46" s="22">
        <f t="shared" si="15"/>
        <v>25195.520000000008</v>
      </c>
      <c r="V46" s="22">
        <f t="shared" si="15"/>
        <v>28218.982400000012</v>
      </c>
    </row>
    <row r="47" spans="1:22" x14ac:dyDescent="0.35">
      <c r="A47" s="9">
        <v>3</v>
      </c>
      <c r="B47" s="9" t="s">
        <v>255</v>
      </c>
      <c r="C47" s="10" t="s">
        <v>228</v>
      </c>
      <c r="D47" s="9"/>
      <c r="E47" s="11" t="s">
        <v>22</v>
      </c>
      <c r="F47" s="11" t="s">
        <v>7</v>
      </c>
      <c r="G47" s="12"/>
      <c r="H47" s="12"/>
      <c r="I47" s="18">
        <v>23523</v>
      </c>
      <c r="J47" s="18">
        <f>I47*J42</f>
        <v>26345.760000000002</v>
      </c>
      <c r="K47" s="18">
        <f t="shared" ref="K47:Q47" si="18">J47*K42</f>
        <v>29507.251200000006</v>
      </c>
      <c r="L47" s="18">
        <f t="shared" si="18"/>
        <v>33048.121344000007</v>
      </c>
      <c r="M47" s="18">
        <f t="shared" si="18"/>
        <v>37013.895905280013</v>
      </c>
      <c r="N47" s="18">
        <f t="shared" si="18"/>
        <v>41455.563413913616</v>
      </c>
      <c r="O47" s="18">
        <f t="shared" si="18"/>
        <v>46430.231023583256</v>
      </c>
      <c r="P47" s="18">
        <f t="shared" si="18"/>
        <v>52001.858746413251</v>
      </c>
      <c r="Q47" s="18">
        <f t="shared" si="18"/>
        <v>58242.081795982849</v>
      </c>
      <c r="R47" s="11" t="str">
        <f t="shared" si="2"/>
        <v>3.AK.005</v>
      </c>
      <c r="S47" s="22">
        <f t="shared" si="15"/>
        <v>24934.38</v>
      </c>
      <c r="T47" s="22">
        <f t="shared" si="15"/>
        <v>26458.670400000003</v>
      </c>
      <c r="U47" s="22">
        <f t="shared" si="15"/>
        <v>29633.710848000006</v>
      </c>
      <c r="V47" s="22">
        <f t="shared" si="15"/>
        <v>33189.756149760011</v>
      </c>
    </row>
    <row r="48" spans="1:22" x14ac:dyDescent="0.35">
      <c r="A48" s="9">
        <v>3</v>
      </c>
      <c r="B48" s="9" t="s">
        <v>255</v>
      </c>
      <c r="C48" s="10" t="s">
        <v>229</v>
      </c>
      <c r="D48" s="9"/>
      <c r="E48" s="11" t="s">
        <v>23</v>
      </c>
      <c r="F48" s="11" t="s">
        <v>19</v>
      </c>
      <c r="G48" s="12"/>
      <c r="H48" s="12"/>
      <c r="I48" s="18">
        <v>7841.25</v>
      </c>
      <c r="J48" s="18">
        <f>I48*J42</f>
        <v>8782.2000000000007</v>
      </c>
      <c r="K48" s="18">
        <f t="shared" ref="K48:Q48" si="19">J48*K42</f>
        <v>9836.0640000000021</v>
      </c>
      <c r="L48" s="18">
        <f t="shared" si="19"/>
        <v>11016.391680000004</v>
      </c>
      <c r="M48" s="18">
        <f t="shared" si="19"/>
        <v>12338.358681600006</v>
      </c>
      <c r="N48" s="18">
        <f t="shared" si="19"/>
        <v>13818.961723392009</v>
      </c>
      <c r="O48" s="18">
        <f t="shared" si="19"/>
        <v>15477.237130199052</v>
      </c>
      <c r="P48" s="18">
        <f t="shared" si="19"/>
        <v>17334.505585822939</v>
      </c>
      <c r="Q48" s="18">
        <f t="shared" si="19"/>
        <v>19414.646256121694</v>
      </c>
      <c r="R48" s="11" t="str">
        <f t="shared" si="2"/>
        <v>3.AK.006</v>
      </c>
      <c r="S48" s="22">
        <f t="shared" si="15"/>
        <v>8311.7250000000004</v>
      </c>
      <c r="T48" s="22">
        <f t="shared" si="15"/>
        <v>8819.8380000000016</v>
      </c>
      <c r="U48" s="22">
        <f t="shared" si="15"/>
        <v>9878.218560000003</v>
      </c>
      <c r="V48" s="22">
        <f t="shared" si="15"/>
        <v>11063.604787200005</v>
      </c>
    </row>
    <row r="49" spans="1:22" x14ac:dyDescent="0.35">
      <c r="A49" s="9">
        <v>3</v>
      </c>
      <c r="B49" s="9" t="s">
        <v>255</v>
      </c>
      <c r="C49" s="10" t="s">
        <v>230</v>
      </c>
      <c r="D49" s="9"/>
      <c r="E49" s="11" t="s">
        <v>24</v>
      </c>
      <c r="F49" s="11" t="s">
        <v>19</v>
      </c>
      <c r="G49" s="12"/>
      <c r="H49" s="12"/>
      <c r="I49" s="18">
        <v>0</v>
      </c>
      <c r="J49" s="18">
        <f t="shared" ref="J49:Q49" si="20">I49</f>
        <v>0</v>
      </c>
      <c r="K49" s="18">
        <f t="shared" si="20"/>
        <v>0</v>
      </c>
      <c r="L49" s="18">
        <f t="shared" si="20"/>
        <v>0</v>
      </c>
      <c r="M49" s="18">
        <f t="shared" si="20"/>
        <v>0</v>
      </c>
      <c r="N49" s="18">
        <f t="shared" si="20"/>
        <v>0</v>
      </c>
      <c r="O49" s="18">
        <f t="shared" si="20"/>
        <v>0</v>
      </c>
      <c r="P49" s="18">
        <f t="shared" si="20"/>
        <v>0</v>
      </c>
      <c r="Q49" s="18">
        <f t="shared" si="20"/>
        <v>0</v>
      </c>
      <c r="R49" s="11" t="str">
        <f t="shared" si="2"/>
        <v>3.AK.007</v>
      </c>
      <c r="S49" s="22">
        <f t="shared" si="15"/>
        <v>0</v>
      </c>
    </row>
    <row r="50" spans="1:22" x14ac:dyDescent="0.35">
      <c r="A50" s="9">
        <v>3</v>
      </c>
      <c r="B50" s="9" t="s">
        <v>255</v>
      </c>
      <c r="C50" s="10" t="s">
        <v>231</v>
      </c>
      <c r="D50" s="9"/>
      <c r="E50" s="11" t="s">
        <v>25</v>
      </c>
      <c r="F50" s="11" t="s">
        <v>19</v>
      </c>
      <c r="G50" s="12"/>
      <c r="H50" s="12"/>
      <c r="I50" s="18">
        <v>75798.75</v>
      </c>
      <c r="J50" s="18">
        <f>I50*J42</f>
        <v>84894.6</v>
      </c>
      <c r="K50" s="18">
        <f t="shared" ref="K50:Q50" si="21">J50*K42</f>
        <v>95081.952000000019</v>
      </c>
      <c r="L50" s="18">
        <f t="shared" si="21"/>
        <v>106491.78624000003</v>
      </c>
      <c r="M50" s="18">
        <f t="shared" si="21"/>
        <v>119270.80058880005</v>
      </c>
      <c r="N50" s="18">
        <f t="shared" si="21"/>
        <v>133583.29665945607</v>
      </c>
      <c r="O50" s="18">
        <f t="shared" si="21"/>
        <v>149613.29225859081</v>
      </c>
      <c r="P50" s="18">
        <f t="shared" si="21"/>
        <v>167566.88732962174</v>
      </c>
      <c r="Q50" s="18">
        <f t="shared" si="21"/>
        <v>187674.91380917636</v>
      </c>
      <c r="R50" s="11" t="str">
        <f t="shared" si="2"/>
        <v>3.AK.008</v>
      </c>
      <c r="S50" s="22">
        <f t="shared" si="15"/>
        <v>80346.675000000003</v>
      </c>
      <c r="T50" s="22">
        <f t="shared" si="15"/>
        <v>85258.434000000008</v>
      </c>
      <c r="U50" s="22">
        <f t="shared" si="15"/>
        <v>95489.446080000023</v>
      </c>
      <c r="V50" s="22">
        <f t="shared" si="15"/>
        <v>106948.17960960003</v>
      </c>
    </row>
    <row r="51" spans="1:22" x14ac:dyDescent="0.35">
      <c r="A51" s="9">
        <v>3</v>
      </c>
      <c r="B51" s="9" t="s">
        <v>255</v>
      </c>
      <c r="C51" s="10" t="s">
        <v>232</v>
      </c>
      <c r="D51" s="9"/>
      <c r="E51" s="11" t="s">
        <v>26</v>
      </c>
      <c r="F51" s="11" t="s">
        <v>7</v>
      </c>
      <c r="G51" s="12"/>
      <c r="H51" s="12"/>
      <c r="I51" s="18">
        <v>65790</v>
      </c>
      <c r="J51" s="18">
        <f>I51*J42</f>
        <v>73684.800000000003</v>
      </c>
      <c r="K51" s="18">
        <f t="shared" ref="K51:Q51" si="22">J51*K42</f>
        <v>82526.97600000001</v>
      </c>
      <c r="L51" s="18">
        <f t="shared" si="22"/>
        <v>92430.213120000015</v>
      </c>
      <c r="M51" s="18">
        <f t="shared" si="22"/>
        <v>103521.83869440002</v>
      </c>
      <c r="N51" s="18">
        <f t="shared" si="22"/>
        <v>115944.45933772804</v>
      </c>
      <c r="O51" s="18">
        <f t="shared" si="22"/>
        <v>129857.79445825542</v>
      </c>
      <c r="P51" s="18">
        <f t="shared" si="22"/>
        <v>145440.72979324608</v>
      </c>
      <c r="Q51" s="18">
        <f t="shared" si="22"/>
        <v>162893.61736843563</v>
      </c>
      <c r="R51" s="11" t="str">
        <f t="shared" si="2"/>
        <v>3.AK.009</v>
      </c>
      <c r="S51" s="22">
        <f t="shared" si="15"/>
        <v>69737.399999999994</v>
      </c>
      <c r="T51" s="22">
        <f t="shared" si="15"/>
        <v>74000.592000000004</v>
      </c>
      <c r="U51" s="22">
        <f t="shared" si="15"/>
        <v>82880.663040000014</v>
      </c>
      <c r="V51" s="22">
        <f t="shared" si="15"/>
        <v>92826.342604800011</v>
      </c>
    </row>
    <row r="52" spans="1:22" x14ac:dyDescent="0.35">
      <c r="A52" s="9">
        <v>3</v>
      </c>
      <c r="B52" s="9" t="s">
        <v>255</v>
      </c>
      <c r="C52" s="10" t="s">
        <v>234</v>
      </c>
      <c r="D52" s="9"/>
      <c r="E52" s="11" t="s">
        <v>27</v>
      </c>
      <c r="F52" s="11" t="s">
        <v>19</v>
      </c>
      <c r="G52" s="12"/>
      <c r="H52" s="12"/>
      <c r="I52" s="18">
        <v>42840</v>
      </c>
      <c r="J52" s="18">
        <f>I52*J42</f>
        <v>47980.800000000003</v>
      </c>
      <c r="K52" s="18">
        <f t="shared" ref="K52:Q52" si="23">J52*K42</f>
        <v>53738.496000000006</v>
      </c>
      <c r="L52" s="18">
        <f t="shared" si="23"/>
        <v>60187.115520000014</v>
      </c>
      <c r="M52" s="18">
        <f t="shared" si="23"/>
        <v>67409.569382400019</v>
      </c>
      <c r="N52" s="18">
        <f t="shared" si="23"/>
        <v>75498.717708288023</v>
      </c>
      <c r="O52" s="18">
        <f t="shared" si="23"/>
        <v>84558.563833282591</v>
      </c>
      <c r="P52" s="18">
        <f t="shared" si="23"/>
        <v>94705.591493276515</v>
      </c>
      <c r="Q52" s="18">
        <f t="shared" si="23"/>
        <v>106070.26247246971</v>
      </c>
      <c r="R52" s="11" t="str">
        <f t="shared" si="2"/>
        <v>3.AK.010</v>
      </c>
      <c r="S52" s="22">
        <f t="shared" si="15"/>
        <v>45410.400000000001</v>
      </c>
      <c r="T52" s="22">
        <f t="shared" si="15"/>
        <v>48186.432000000001</v>
      </c>
      <c r="U52" s="22">
        <f t="shared" si="15"/>
        <v>53968.803840000008</v>
      </c>
      <c r="V52" s="22">
        <f t="shared" si="15"/>
        <v>60445.060300800018</v>
      </c>
    </row>
    <row r="53" spans="1:22" x14ac:dyDescent="0.35">
      <c r="A53" s="9">
        <v>3</v>
      </c>
      <c r="B53" s="9" t="s">
        <v>255</v>
      </c>
      <c r="C53" s="10" t="s">
        <v>236</v>
      </c>
      <c r="D53" s="9"/>
      <c r="E53" s="11" t="s">
        <v>256</v>
      </c>
      <c r="F53" s="11" t="s">
        <v>19</v>
      </c>
      <c r="G53" s="12"/>
      <c r="H53" s="12"/>
      <c r="I53" s="18">
        <v>66380.89</v>
      </c>
      <c r="J53" s="18">
        <f>I53*J42</f>
        <v>74346.596799999999</v>
      </c>
      <c r="K53" s="18">
        <f t="shared" ref="K53:Q53" si="24">J53*K42</f>
        <v>83268.188416000005</v>
      </c>
      <c r="L53" s="18">
        <f t="shared" si="24"/>
        <v>93260.371025920016</v>
      </c>
      <c r="M53" s="18">
        <f t="shared" si="24"/>
        <v>104451.61554903042</v>
      </c>
      <c r="N53" s="18">
        <f t="shared" si="24"/>
        <v>116985.80941491408</v>
      </c>
      <c r="O53" s="18">
        <f t="shared" si="24"/>
        <v>131024.10654470378</v>
      </c>
      <c r="P53" s="18">
        <f t="shared" si="24"/>
        <v>146746.99933006824</v>
      </c>
      <c r="Q53" s="18">
        <f t="shared" si="24"/>
        <v>164356.63924967643</v>
      </c>
      <c r="R53" s="11" t="str">
        <f t="shared" si="2"/>
        <v>3.AK.011</v>
      </c>
      <c r="S53" s="22">
        <f t="shared" si="15"/>
        <v>70363.743400000007</v>
      </c>
      <c r="T53" s="22">
        <f t="shared" si="15"/>
        <v>74665.225072000001</v>
      </c>
      <c r="U53" s="22">
        <f t="shared" si="15"/>
        <v>83625.052080640002</v>
      </c>
      <c r="V53" s="22">
        <f t="shared" si="15"/>
        <v>93660.05833031681</v>
      </c>
    </row>
    <row r="54" spans="1:22" x14ac:dyDescent="0.35">
      <c r="A54" s="9">
        <v>3</v>
      </c>
      <c r="B54" s="9" t="s">
        <v>255</v>
      </c>
      <c r="C54" s="10" t="s">
        <v>238</v>
      </c>
      <c r="D54" s="9"/>
      <c r="E54" s="11" t="s">
        <v>28</v>
      </c>
      <c r="F54" s="11" t="s">
        <v>19</v>
      </c>
      <c r="G54" s="12"/>
      <c r="H54" s="12"/>
      <c r="I54" s="18">
        <v>94513.2</v>
      </c>
      <c r="J54" s="18">
        <f>I54*J42</f>
        <v>105854.784</v>
      </c>
      <c r="K54" s="18">
        <f t="shared" ref="K54:Q54" si="25">J54*K42</f>
        <v>118557.35808000001</v>
      </c>
      <c r="L54" s="18">
        <f t="shared" si="25"/>
        <v>132784.24104960001</v>
      </c>
      <c r="M54" s="18">
        <f t="shared" si="25"/>
        <v>148718.34997555203</v>
      </c>
      <c r="N54" s="18">
        <f t="shared" si="25"/>
        <v>166564.5519726183</v>
      </c>
      <c r="O54" s="18">
        <f t="shared" si="25"/>
        <v>186552.29820933251</v>
      </c>
      <c r="P54" s="18">
        <f t="shared" si="25"/>
        <v>208938.57399445242</v>
      </c>
      <c r="Q54" s="18">
        <f t="shared" si="25"/>
        <v>234011.20287378674</v>
      </c>
      <c r="R54" s="11" t="str">
        <f t="shared" si="2"/>
        <v>3.AK.012</v>
      </c>
      <c r="S54" s="22">
        <f t="shared" si="15"/>
        <v>100183.992</v>
      </c>
      <c r="T54" s="22">
        <f t="shared" si="15"/>
        <v>106308.44735999999</v>
      </c>
      <c r="U54" s="22">
        <f t="shared" si="15"/>
        <v>119065.4610432</v>
      </c>
      <c r="V54" s="22">
        <f t="shared" si="15"/>
        <v>133353.31636838402</v>
      </c>
    </row>
    <row r="55" spans="1:22" x14ac:dyDescent="0.35">
      <c r="A55" s="9">
        <v>3</v>
      </c>
      <c r="B55" s="9" t="s">
        <v>255</v>
      </c>
      <c r="C55" s="10" t="s">
        <v>240</v>
      </c>
      <c r="D55" s="9"/>
      <c r="E55" s="11" t="s">
        <v>257</v>
      </c>
      <c r="F55" s="11" t="s">
        <v>19</v>
      </c>
      <c r="G55" s="12"/>
      <c r="H55" s="12"/>
      <c r="I55" s="18">
        <v>107163.75</v>
      </c>
      <c r="J55" s="18">
        <f>I55*J42</f>
        <v>120023.40000000001</v>
      </c>
      <c r="K55" s="18">
        <f t="shared" ref="K55:Q55" si="26">J55*K42</f>
        <v>134426.20800000001</v>
      </c>
      <c r="L55" s="18">
        <f t="shared" si="26"/>
        <v>150557.35296000002</v>
      </c>
      <c r="M55" s="18">
        <f t="shared" si="26"/>
        <v>168624.23531520003</v>
      </c>
      <c r="N55" s="18">
        <f t="shared" si="26"/>
        <v>188859.14355302404</v>
      </c>
      <c r="O55" s="18">
        <f t="shared" si="26"/>
        <v>211522.24077938695</v>
      </c>
      <c r="P55" s="18">
        <f t="shared" si="26"/>
        <v>236904.9096729134</v>
      </c>
      <c r="Q55" s="18">
        <f t="shared" si="26"/>
        <v>265333.49883366306</v>
      </c>
      <c r="R55" s="11" t="str">
        <f t="shared" si="2"/>
        <v>3.AK.013</v>
      </c>
      <c r="S55" s="22">
        <f t="shared" si="15"/>
        <v>113593.57500000001</v>
      </c>
      <c r="T55" s="22">
        <f t="shared" si="15"/>
        <v>120537.78600000001</v>
      </c>
      <c r="U55" s="22">
        <f t="shared" si="15"/>
        <v>135002.32032000003</v>
      </c>
      <c r="V55" s="22">
        <f t="shared" si="15"/>
        <v>151202.59875840004</v>
      </c>
    </row>
    <row r="56" spans="1:22" x14ac:dyDescent="0.35">
      <c r="A56" s="9">
        <v>3</v>
      </c>
      <c r="B56" s="9" t="s">
        <v>255</v>
      </c>
      <c r="C56" s="10" t="s">
        <v>242</v>
      </c>
      <c r="D56" s="9"/>
      <c r="E56" s="11" t="s">
        <v>29</v>
      </c>
      <c r="F56" s="11" t="s">
        <v>17</v>
      </c>
      <c r="G56" s="12"/>
      <c r="H56" s="12"/>
      <c r="I56" s="18">
        <v>0</v>
      </c>
      <c r="J56" s="18">
        <f>I56*J42</f>
        <v>0</v>
      </c>
      <c r="K56" s="18">
        <f t="shared" ref="K56:Q56" si="27">J56*K42</f>
        <v>0</v>
      </c>
      <c r="L56" s="18">
        <f t="shared" si="27"/>
        <v>0</v>
      </c>
      <c r="M56" s="18">
        <f t="shared" si="27"/>
        <v>0</v>
      </c>
      <c r="N56" s="18">
        <f t="shared" si="27"/>
        <v>0</v>
      </c>
      <c r="O56" s="18">
        <f t="shared" si="27"/>
        <v>0</v>
      </c>
      <c r="P56" s="18">
        <f t="shared" si="27"/>
        <v>0</v>
      </c>
      <c r="Q56" s="18">
        <f t="shared" si="27"/>
        <v>0</v>
      </c>
      <c r="R56" s="11" t="str">
        <f t="shared" si="2"/>
        <v>3.AK.014</v>
      </c>
      <c r="S56" s="22">
        <f t="shared" si="15"/>
        <v>0</v>
      </c>
    </row>
    <row r="57" spans="1:22" x14ac:dyDescent="0.35">
      <c r="A57" s="9">
        <v>3</v>
      </c>
      <c r="B57" s="9" t="s">
        <v>255</v>
      </c>
      <c r="C57" s="10" t="s">
        <v>244</v>
      </c>
      <c r="D57" s="9"/>
      <c r="E57" s="11" t="s">
        <v>258</v>
      </c>
      <c r="F57" s="11" t="s">
        <v>19</v>
      </c>
      <c r="G57" s="12"/>
      <c r="H57" s="12"/>
      <c r="I57" s="18">
        <v>0</v>
      </c>
      <c r="J57" s="18">
        <f>I57*J42</f>
        <v>0</v>
      </c>
      <c r="K57" s="18">
        <f t="shared" ref="K57:Q57" si="28">J57*K42</f>
        <v>0</v>
      </c>
      <c r="L57" s="18">
        <f t="shared" si="28"/>
        <v>0</v>
      </c>
      <c r="M57" s="18">
        <f t="shared" si="28"/>
        <v>0</v>
      </c>
      <c r="N57" s="18">
        <f t="shared" si="28"/>
        <v>0</v>
      </c>
      <c r="O57" s="18">
        <f t="shared" si="28"/>
        <v>0</v>
      </c>
      <c r="P57" s="18">
        <f t="shared" si="28"/>
        <v>0</v>
      </c>
      <c r="Q57" s="18">
        <f t="shared" si="28"/>
        <v>0</v>
      </c>
      <c r="R57" s="11" t="str">
        <f t="shared" si="2"/>
        <v>3.AK.015</v>
      </c>
      <c r="S57" s="22">
        <f t="shared" si="15"/>
        <v>0</v>
      </c>
    </row>
    <row r="58" spans="1:22" x14ac:dyDescent="0.35">
      <c r="A58" s="9">
        <v>3</v>
      </c>
      <c r="B58" s="9" t="s">
        <v>255</v>
      </c>
      <c r="C58" s="10" t="s">
        <v>245</v>
      </c>
      <c r="D58" s="9"/>
      <c r="E58" s="11" t="s">
        <v>30</v>
      </c>
      <c r="F58" s="11" t="s">
        <v>19</v>
      </c>
      <c r="G58" s="12"/>
      <c r="H58" s="12"/>
      <c r="I58" s="18">
        <v>7675.5</v>
      </c>
      <c r="J58" s="18">
        <f>I58*J42</f>
        <v>8596.5600000000013</v>
      </c>
      <c r="K58" s="18">
        <f t="shared" ref="K58:Q58" si="29">J58*K42</f>
        <v>9628.1472000000031</v>
      </c>
      <c r="L58" s="18">
        <f t="shared" si="29"/>
        <v>10783.524864000005</v>
      </c>
      <c r="M58" s="18">
        <f t="shared" si="29"/>
        <v>12077.547847680005</v>
      </c>
      <c r="N58" s="18">
        <f t="shared" si="29"/>
        <v>13526.853589401608</v>
      </c>
      <c r="O58" s="18">
        <f t="shared" si="29"/>
        <v>15150.076020129802</v>
      </c>
      <c r="P58" s="18">
        <f t="shared" si="29"/>
        <v>16968.08514254538</v>
      </c>
      <c r="Q58" s="18">
        <f t="shared" si="29"/>
        <v>19004.255359650826</v>
      </c>
      <c r="R58" s="11" t="str">
        <f t="shared" si="2"/>
        <v>3.AK.016</v>
      </c>
      <c r="S58" s="22">
        <f t="shared" si="15"/>
        <v>8136.0300000000007</v>
      </c>
      <c r="T58" s="22">
        <f>AVERAGE(I58:K58)</f>
        <v>8633.4024000000009</v>
      </c>
      <c r="U58" s="22">
        <f>AVERAGE(J58:L58)</f>
        <v>9669.4106880000036</v>
      </c>
      <c r="V58" s="22">
        <f>AVERAGE(K58:M58)</f>
        <v>10829.739970560004</v>
      </c>
    </row>
    <row r="59" spans="1:22" x14ac:dyDescent="0.35">
      <c r="A59" s="9">
        <v>3</v>
      </c>
      <c r="B59" s="9" t="s">
        <v>255</v>
      </c>
      <c r="C59" s="10" t="s">
        <v>247</v>
      </c>
      <c r="D59" s="9"/>
      <c r="E59" s="11" t="s">
        <v>31</v>
      </c>
      <c r="F59" s="11" t="s">
        <v>19</v>
      </c>
      <c r="G59" s="12"/>
      <c r="H59" s="12"/>
      <c r="I59" s="18">
        <v>0</v>
      </c>
      <c r="J59" s="18">
        <f>I59*J42</f>
        <v>0</v>
      </c>
      <c r="K59" s="18">
        <f t="shared" ref="K59:Q59" si="30">J59*K42</f>
        <v>0</v>
      </c>
      <c r="L59" s="18">
        <f t="shared" si="30"/>
        <v>0</v>
      </c>
      <c r="M59" s="18">
        <f t="shared" si="30"/>
        <v>0</v>
      </c>
      <c r="N59" s="18">
        <f t="shared" si="30"/>
        <v>0</v>
      </c>
      <c r="O59" s="18">
        <f t="shared" si="30"/>
        <v>0</v>
      </c>
      <c r="P59" s="18">
        <f t="shared" si="30"/>
        <v>0</v>
      </c>
      <c r="Q59" s="18">
        <f t="shared" si="30"/>
        <v>0</v>
      </c>
      <c r="R59" s="11" t="str">
        <f t="shared" si="2"/>
        <v>3.AK.017</v>
      </c>
      <c r="S59" s="22">
        <f t="shared" si="15"/>
        <v>0</v>
      </c>
    </row>
    <row r="60" spans="1:22" x14ac:dyDescent="0.35">
      <c r="A60" s="9">
        <v>3</v>
      </c>
      <c r="B60" s="9" t="s">
        <v>255</v>
      </c>
      <c r="C60" s="10" t="s">
        <v>249</v>
      </c>
      <c r="D60" s="9"/>
      <c r="E60" s="11" t="s">
        <v>32</v>
      </c>
      <c r="F60" s="11" t="s">
        <v>19</v>
      </c>
      <c r="G60" s="12"/>
      <c r="H60" s="12"/>
      <c r="I60" s="18">
        <v>0</v>
      </c>
      <c r="J60" s="18">
        <f>I60*J42</f>
        <v>0</v>
      </c>
      <c r="K60" s="18">
        <f t="shared" ref="K60:Q60" si="31">J60*K42</f>
        <v>0</v>
      </c>
      <c r="L60" s="18">
        <f t="shared" si="31"/>
        <v>0</v>
      </c>
      <c r="M60" s="18">
        <f t="shared" si="31"/>
        <v>0</v>
      </c>
      <c r="N60" s="18">
        <f t="shared" si="31"/>
        <v>0</v>
      </c>
      <c r="O60" s="18">
        <f t="shared" si="31"/>
        <v>0</v>
      </c>
      <c r="P60" s="18">
        <f t="shared" si="31"/>
        <v>0</v>
      </c>
      <c r="Q60" s="18">
        <f t="shared" si="31"/>
        <v>0</v>
      </c>
      <c r="R60" s="11" t="str">
        <f t="shared" si="2"/>
        <v>3.AK.018</v>
      </c>
      <c r="S60" s="22">
        <f t="shared" ref="S60:V86" si="32">AVERAGE(H60:J60)</f>
        <v>0</v>
      </c>
    </row>
    <row r="61" spans="1:22" x14ac:dyDescent="0.35">
      <c r="A61" s="9">
        <v>3</v>
      </c>
      <c r="B61" s="9" t="s">
        <v>255</v>
      </c>
      <c r="C61" s="10" t="s">
        <v>259</v>
      </c>
      <c r="D61" s="9"/>
      <c r="E61" s="11" t="s">
        <v>33</v>
      </c>
      <c r="F61" s="11" t="s">
        <v>19</v>
      </c>
      <c r="G61" s="12"/>
      <c r="H61" s="12"/>
      <c r="I61" s="18">
        <v>0</v>
      </c>
      <c r="J61" s="18">
        <f>I61*J42</f>
        <v>0</v>
      </c>
      <c r="K61" s="18">
        <f t="shared" ref="K61:Q61" si="33">J61*K42</f>
        <v>0</v>
      </c>
      <c r="L61" s="18">
        <f t="shared" si="33"/>
        <v>0</v>
      </c>
      <c r="M61" s="18">
        <f t="shared" si="33"/>
        <v>0</v>
      </c>
      <c r="N61" s="18">
        <f t="shared" si="33"/>
        <v>0</v>
      </c>
      <c r="O61" s="18">
        <f t="shared" si="33"/>
        <v>0</v>
      </c>
      <c r="P61" s="18">
        <f t="shared" si="33"/>
        <v>0</v>
      </c>
      <c r="Q61" s="18">
        <f t="shared" si="33"/>
        <v>0</v>
      </c>
      <c r="R61" s="11" t="str">
        <f t="shared" si="2"/>
        <v>3.AK.019</v>
      </c>
      <c r="S61" s="22">
        <f t="shared" si="32"/>
        <v>0</v>
      </c>
    </row>
    <row r="62" spans="1:22" x14ac:dyDescent="0.35">
      <c r="A62" s="9">
        <v>3</v>
      </c>
      <c r="B62" s="9" t="s">
        <v>255</v>
      </c>
      <c r="C62" s="10" t="s">
        <v>260</v>
      </c>
      <c r="D62" s="9"/>
      <c r="E62" s="11" t="s">
        <v>34</v>
      </c>
      <c r="F62" s="11" t="s">
        <v>19</v>
      </c>
      <c r="G62" s="12"/>
      <c r="H62" s="12"/>
      <c r="I62" s="18">
        <v>0</v>
      </c>
      <c r="J62" s="18">
        <f>I62*J42</f>
        <v>0</v>
      </c>
      <c r="K62" s="18">
        <f t="shared" ref="K62:Q62" si="34">J62*K42</f>
        <v>0</v>
      </c>
      <c r="L62" s="18">
        <f t="shared" si="34"/>
        <v>0</v>
      </c>
      <c r="M62" s="18">
        <f t="shared" si="34"/>
        <v>0</v>
      </c>
      <c r="N62" s="18">
        <f t="shared" si="34"/>
        <v>0</v>
      </c>
      <c r="O62" s="18">
        <f t="shared" si="34"/>
        <v>0</v>
      </c>
      <c r="P62" s="18">
        <f t="shared" si="34"/>
        <v>0</v>
      </c>
      <c r="Q62" s="18">
        <f t="shared" si="34"/>
        <v>0</v>
      </c>
      <c r="R62" s="11" t="str">
        <f t="shared" si="2"/>
        <v>3.AK.020</v>
      </c>
      <c r="S62" s="22">
        <f t="shared" si="32"/>
        <v>0</v>
      </c>
    </row>
    <row r="63" spans="1:22" x14ac:dyDescent="0.35">
      <c r="A63" s="9">
        <v>3</v>
      </c>
      <c r="B63" s="9" t="s">
        <v>255</v>
      </c>
      <c r="C63" s="10" t="s">
        <v>261</v>
      </c>
      <c r="D63" s="9"/>
      <c r="E63" s="11" t="s">
        <v>35</v>
      </c>
      <c r="F63" s="11" t="s">
        <v>19</v>
      </c>
      <c r="G63" s="12"/>
      <c r="H63" s="12"/>
      <c r="I63" s="18">
        <v>47124</v>
      </c>
      <c r="J63" s="18">
        <f>I63*J42</f>
        <v>52778.880000000005</v>
      </c>
      <c r="K63" s="18">
        <f t="shared" ref="K63:Q63" si="35">J63*K42</f>
        <v>59112.345600000008</v>
      </c>
      <c r="L63" s="18">
        <f t="shared" si="35"/>
        <v>66205.827072000015</v>
      </c>
      <c r="M63" s="18">
        <f t="shared" si="35"/>
        <v>74150.526320640027</v>
      </c>
      <c r="N63" s="18">
        <f t="shared" si="35"/>
        <v>83048.589479116839</v>
      </c>
      <c r="O63" s="18">
        <f t="shared" si="35"/>
        <v>93014.420216610873</v>
      </c>
      <c r="P63" s="18">
        <f t="shared" si="35"/>
        <v>104176.15064260419</v>
      </c>
      <c r="Q63" s="18">
        <f t="shared" si="35"/>
        <v>116677.2887197167</v>
      </c>
      <c r="R63" s="11" t="str">
        <f t="shared" si="2"/>
        <v>3.AK.021</v>
      </c>
      <c r="S63" s="22">
        <f t="shared" si="32"/>
        <v>49951.44</v>
      </c>
      <c r="T63" s="22">
        <f>AVERAGE(I63:K63)</f>
        <v>53005.075199999999</v>
      </c>
      <c r="U63" s="22">
        <f>AVERAGE(J63:L63)</f>
        <v>59365.684224000004</v>
      </c>
      <c r="V63" s="22">
        <f>AVERAGE(K63:M63)</f>
        <v>66489.566330880014</v>
      </c>
    </row>
    <row r="64" spans="1:22" x14ac:dyDescent="0.35">
      <c r="A64" s="9">
        <v>3</v>
      </c>
      <c r="B64" s="9" t="s">
        <v>255</v>
      </c>
      <c r="C64" s="10" t="s">
        <v>262</v>
      </c>
      <c r="D64" s="9"/>
      <c r="E64" s="11" t="s">
        <v>36</v>
      </c>
      <c r="F64" s="11" t="s">
        <v>19</v>
      </c>
      <c r="G64" s="12"/>
      <c r="H64" s="12"/>
      <c r="I64" s="18">
        <v>283815</v>
      </c>
      <c r="J64" s="18">
        <f>I64*J42</f>
        <v>317872.80000000005</v>
      </c>
      <c r="K64" s="18">
        <f t="shared" ref="K64:Q64" si="36">J64*K42</f>
        <v>356017.53600000008</v>
      </c>
      <c r="L64" s="18">
        <f t="shared" si="36"/>
        <v>398739.64032000012</v>
      </c>
      <c r="M64" s="18">
        <f t="shared" si="36"/>
        <v>446588.39715840016</v>
      </c>
      <c r="N64" s="18">
        <f t="shared" si="36"/>
        <v>500179.00481740822</v>
      </c>
      <c r="O64" s="18">
        <f t="shared" si="36"/>
        <v>560200.48539549729</v>
      </c>
      <c r="P64" s="18">
        <f t="shared" si="36"/>
        <v>627424.543642957</v>
      </c>
      <c r="Q64" s="18">
        <f t="shared" si="36"/>
        <v>702715.48888011195</v>
      </c>
      <c r="R64" s="11" t="str">
        <f t="shared" si="2"/>
        <v>3.AK.022</v>
      </c>
      <c r="S64" s="22">
        <f t="shared" si="32"/>
        <v>300843.90000000002</v>
      </c>
    </row>
    <row r="65" spans="1:22" x14ac:dyDescent="0.35">
      <c r="A65" s="9">
        <v>3</v>
      </c>
      <c r="B65" s="9" t="s">
        <v>255</v>
      </c>
      <c r="C65" s="10" t="s">
        <v>263</v>
      </c>
      <c r="D65" s="9"/>
      <c r="E65" s="11" t="s">
        <v>37</v>
      </c>
      <c r="F65" s="11" t="s">
        <v>19</v>
      </c>
      <c r="G65" s="12"/>
      <c r="H65" s="12"/>
      <c r="I65" s="18">
        <v>37485</v>
      </c>
      <c r="J65" s="18">
        <f>I65*J42</f>
        <v>41983.200000000004</v>
      </c>
      <c r="K65" s="18">
        <f t="shared" ref="K65:Q65" si="37">J65*K42</f>
        <v>47021.184000000008</v>
      </c>
      <c r="L65" s="18">
        <f t="shared" si="37"/>
        <v>52663.726080000015</v>
      </c>
      <c r="M65" s="18">
        <f t="shared" si="37"/>
        <v>58983.373209600024</v>
      </c>
      <c r="N65" s="18">
        <f t="shared" si="37"/>
        <v>66061.377994752038</v>
      </c>
      <c r="O65" s="18">
        <f t="shared" si="37"/>
        <v>73988.743354122285</v>
      </c>
      <c r="P65" s="18">
        <f t="shared" si="37"/>
        <v>82867.392556616964</v>
      </c>
      <c r="Q65" s="18">
        <f t="shared" si="37"/>
        <v>92811.47966341101</v>
      </c>
      <c r="R65" s="11" t="str">
        <f t="shared" si="2"/>
        <v>3.AK.023</v>
      </c>
      <c r="S65" s="22">
        <f t="shared" si="32"/>
        <v>39734.100000000006</v>
      </c>
      <c r="T65" s="22">
        <f>AVERAGE(I65:K65)</f>
        <v>42163.128000000004</v>
      </c>
      <c r="U65" s="22">
        <f>AVERAGE(J65:L65)</f>
        <v>47222.703360000014</v>
      </c>
      <c r="V65" s="22">
        <f>AVERAGE(K65:M65)</f>
        <v>52889.427763200016</v>
      </c>
    </row>
    <row r="66" spans="1:22" x14ac:dyDescent="0.35">
      <c r="A66" s="9">
        <v>3</v>
      </c>
      <c r="B66" s="9" t="s">
        <v>255</v>
      </c>
      <c r="C66" s="10" t="s">
        <v>264</v>
      </c>
      <c r="D66" s="9"/>
      <c r="E66" s="11" t="s">
        <v>38</v>
      </c>
      <c r="F66" s="11" t="s">
        <v>19</v>
      </c>
      <c r="G66" s="12"/>
      <c r="H66" s="12"/>
      <c r="I66" s="18">
        <v>0</v>
      </c>
      <c r="J66" s="18">
        <f>I66*J42</f>
        <v>0</v>
      </c>
      <c r="K66" s="18">
        <f t="shared" ref="K66:Q66" si="38">J66*K42</f>
        <v>0</v>
      </c>
      <c r="L66" s="18">
        <f t="shared" si="38"/>
        <v>0</v>
      </c>
      <c r="M66" s="18">
        <f t="shared" si="38"/>
        <v>0</v>
      </c>
      <c r="N66" s="18">
        <f t="shared" si="38"/>
        <v>0</v>
      </c>
      <c r="O66" s="18">
        <f t="shared" si="38"/>
        <v>0</v>
      </c>
      <c r="P66" s="18">
        <f t="shared" si="38"/>
        <v>0</v>
      </c>
      <c r="Q66" s="18">
        <f t="shared" si="38"/>
        <v>0</v>
      </c>
      <c r="R66" s="11" t="str">
        <f t="shared" si="2"/>
        <v>3.AK.024</v>
      </c>
      <c r="S66" s="22">
        <f t="shared" si="32"/>
        <v>0</v>
      </c>
    </row>
    <row r="67" spans="1:22" x14ac:dyDescent="0.35">
      <c r="A67" s="9">
        <v>3</v>
      </c>
      <c r="B67" s="9" t="s">
        <v>255</v>
      </c>
      <c r="C67" s="10" t="s">
        <v>265</v>
      </c>
      <c r="D67" s="9"/>
      <c r="E67" s="11" t="s">
        <v>39</v>
      </c>
      <c r="F67" s="11" t="s">
        <v>19</v>
      </c>
      <c r="G67" s="12"/>
      <c r="H67" s="12"/>
      <c r="I67" s="18">
        <v>0</v>
      </c>
      <c r="J67" s="18">
        <f>I67*J42</f>
        <v>0</v>
      </c>
      <c r="K67" s="18">
        <f t="shared" ref="K67:Q67" si="39">J67*K42</f>
        <v>0</v>
      </c>
      <c r="L67" s="18">
        <f t="shared" si="39"/>
        <v>0</v>
      </c>
      <c r="M67" s="18">
        <f t="shared" si="39"/>
        <v>0</v>
      </c>
      <c r="N67" s="18">
        <f t="shared" si="39"/>
        <v>0</v>
      </c>
      <c r="O67" s="18">
        <f t="shared" si="39"/>
        <v>0</v>
      </c>
      <c r="P67" s="18">
        <f t="shared" si="39"/>
        <v>0</v>
      </c>
      <c r="Q67" s="18">
        <f t="shared" si="39"/>
        <v>0</v>
      </c>
      <c r="R67" s="11" t="str">
        <f t="shared" si="2"/>
        <v>3.AK.025</v>
      </c>
      <c r="S67" s="22">
        <f t="shared" si="32"/>
        <v>0</v>
      </c>
    </row>
    <row r="68" spans="1:22" x14ac:dyDescent="0.35">
      <c r="A68" s="9">
        <v>3</v>
      </c>
      <c r="B68" s="9" t="s">
        <v>255</v>
      </c>
      <c r="C68" s="10" t="s">
        <v>266</v>
      </c>
      <c r="D68" s="9"/>
      <c r="E68" s="11" t="s">
        <v>40</v>
      </c>
      <c r="F68" s="11" t="s">
        <v>19</v>
      </c>
      <c r="G68" s="12"/>
      <c r="H68" s="12"/>
      <c r="I68" s="18">
        <v>0</v>
      </c>
      <c r="J68" s="18">
        <f>I68*J42</f>
        <v>0</v>
      </c>
      <c r="K68" s="18">
        <f t="shared" ref="K68:Q68" si="40">J68*K42</f>
        <v>0</v>
      </c>
      <c r="L68" s="18">
        <f t="shared" si="40"/>
        <v>0</v>
      </c>
      <c r="M68" s="18">
        <f t="shared" si="40"/>
        <v>0</v>
      </c>
      <c r="N68" s="18">
        <f t="shared" si="40"/>
        <v>0</v>
      </c>
      <c r="O68" s="18">
        <f t="shared" si="40"/>
        <v>0</v>
      </c>
      <c r="P68" s="18">
        <f t="shared" si="40"/>
        <v>0</v>
      </c>
      <c r="Q68" s="18">
        <f t="shared" si="40"/>
        <v>0</v>
      </c>
      <c r="R68" s="11" t="str">
        <f t="shared" si="2"/>
        <v>3.AK.026</v>
      </c>
      <c r="S68" s="22">
        <f t="shared" si="32"/>
        <v>0</v>
      </c>
    </row>
    <row r="69" spans="1:22" x14ac:dyDescent="0.35">
      <c r="A69" s="9">
        <v>3</v>
      </c>
      <c r="B69" s="9" t="s">
        <v>255</v>
      </c>
      <c r="C69" s="10" t="s">
        <v>267</v>
      </c>
      <c r="D69" s="9"/>
      <c r="E69" s="11" t="s">
        <v>41</v>
      </c>
      <c r="F69" s="11" t="s">
        <v>7</v>
      </c>
      <c r="G69" s="12"/>
      <c r="H69" s="12"/>
      <c r="I69" s="18">
        <v>22478.25</v>
      </c>
      <c r="J69" s="18">
        <f>I69*J42</f>
        <v>25175.640000000003</v>
      </c>
      <c r="K69" s="18">
        <f t="shared" ref="K69:Q69" si="41">J69*K42</f>
        <v>28196.716800000006</v>
      </c>
      <c r="L69" s="18">
        <f t="shared" si="41"/>
        <v>31580.322816000011</v>
      </c>
      <c r="M69" s="18">
        <f t="shared" si="41"/>
        <v>35369.961553920017</v>
      </c>
      <c r="N69" s="18">
        <f t="shared" si="41"/>
        <v>39614.356940390426</v>
      </c>
      <c r="O69" s="18">
        <f t="shared" si="41"/>
        <v>44368.079773237281</v>
      </c>
      <c r="P69" s="18">
        <f t="shared" si="41"/>
        <v>49692.249346025761</v>
      </c>
      <c r="Q69" s="18">
        <f t="shared" si="41"/>
        <v>55655.319267548861</v>
      </c>
      <c r="R69" s="11" t="str">
        <f t="shared" si="2"/>
        <v>3.AK.027</v>
      </c>
      <c r="S69" s="22">
        <f t="shared" si="32"/>
        <v>23826.945</v>
      </c>
      <c r="T69" s="22">
        <f t="shared" si="32"/>
        <v>25283.535600000003</v>
      </c>
      <c r="U69" s="22">
        <f t="shared" si="32"/>
        <v>28317.559872000009</v>
      </c>
      <c r="V69" s="22">
        <f t="shared" si="32"/>
        <v>31715.66705664001</v>
      </c>
    </row>
    <row r="70" spans="1:22" x14ac:dyDescent="0.35">
      <c r="A70" s="9">
        <v>3</v>
      </c>
      <c r="B70" s="9" t="s">
        <v>255</v>
      </c>
      <c r="C70" s="10" t="s">
        <v>268</v>
      </c>
      <c r="D70" s="9"/>
      <c r="E70" s="11" t="s">
        <v>193</v>
      </c>
      <c r="F70" s="11" t="s">
        <v>19</v>
      </c>
      <c r="G70" s="12"/>
      <c r="H70" s="12"/>
      <c r="I70" s="18">
        <v>14000</v>
      </c>
      <c r="J70" s="18">
        <f>I70*J42</f>
        <v>15680.000000000002</v>
      </c>
      <c r="K70" s="18">
        <f t="shared" ref="K70:Q70" si="42">J70*K42</f>
        <v>17561.600000000002</v>
      </c>
      <c r="L70" s="18">
        <f t="shared" si="42"/>
        <v>19668.992000000006</v>
      </c>
      <c r="M70" s="18">
        <f t="shared" si="42"/>
        <v>22029.271040000007</v>
      </c>
      <c r="N70" s="18">
        <f t="shared" si="42"/>
        <v>24672.783564800011</v>
      </c>
      <c r="O70" s="18">
        <f t="shared" si="42"/>
        <v>27633.517592576016</v>
      </c>
      <c r="P70" s="18">
        <f t="shared" si="42"/>
        <v>30949.539703685139</v>
      </c>
      <c r="Q70" s="18">
        <f t="shared" si="42"/>
        <v>34663.484468127361</v>
      </c>
      <c r="R70" s="11" t="str">
        <f t="shared" si="2"/>
        <v>3.AK.028</v>
      </c>
      <c r="S70" s="22">
        <f t="shared" si="32"/>
        <v>14840</v>
      </c>
      <c r="T70" s="22">
        <f t="shared" si="32"/>
        <v>15747.200000000003</v>
      </c>
      <c r="U70" s="22">
        <f t="shared" si="32"/>
        <v>17636.864000000005</v>
      </c>
      <c r="V70" s="22">
        <f t="shared" si="32"/>
        <v>19753.287680000005</v>
      </c>
    </row>
    <row r="71" spans="1:22" x14ac:dyDescent="0.35">
      <c r="A71" s="9">
        <v>3</v>
      </c>
      <c r="B71" s="9" t="s">
        <v>255</v>
      </c>
      <c r="C71" s="10" t="s">
        <v>269</v>
      </c>
      <c r="D71" s="9"/>
      <c r="E71" s="11" t="s">
        <v>42</v>
      </c>
      <c r="F71" s="11" t="s">
        <v>17</v>
      </c>
      <c r="G71" s="12"/>
      <c r="H71" s="12"/>
      <c r="I71" s="18">
        <v>40436631.571428575</v>
      </c>
      <c r="J71" s="18">
        <f>I71*J42</f>
        <v>45289027.360000007</v>
      </c>
      <c r="K71" s="18">
        <f t="shared" ref="K71:Q71" si="43">J71*K42</f>
        <v>50723710.64320001</v>
      </c>
      <c r="L71" s="18">
        <f t="shared" si="43"/>
        <v>56810555.92038402</v>
      </c>
      <c r="M71" s="18">
        <f t="shared" si="43"/>
        <v>63627822.630830109</v>
      </c>
      <c r="N71" s="18">
        <f t="shared" si="43"/>
        <v>71263161.346529722</v>
      </c>
      <c r="O71" s="18">
        <f t="shared" si="43"/>
        <v>79814740.708113298</v>
      </c>
      <c r="P71" s="18">
        <f t="shared" si="43"/>
        <v>89392509.593086898</v>
      </c>
      <c r="Q71" s="18">
        <f t="shared" si="43"/>
        <v>100119610.74425733</v>
      </c>
      <c r="R71" s="11" t="str">
        <f t="shared" si="2"/>
        <v>3.AK.029</v>
      </c>
      <c r="S71" s="22">
        <f t="shared" si="32"/>
        <v>42862829.465714291</v>
      </c>
      <c r="T71" s="22">
        <f t="shared" si="32"/>
        <v>45483123.191542864</v>
      </c>
      <c r="U71" s="22">
        <f t="shared" si="32"/>
        <v>50941097.974528015</v>
      </c>
      <c r="V71" s="22">
        <f t="shared" si="32"/>
        <v>57054029.731471382</v>
      </c>
    </row>
    <row r="72" spans="1:22" x14ac:dyDescent="0.35">
      <c r="A72" s="9">
        <v>3</v>
      </c>
      <c r="B72" s="9" t="s">
        <v>255</v>
      </c>
      <c r="C72" s="10" t="s">
        <v>270</v>
      </c>
      <c r="D72" s="9"/>
      <c r="E72" s="11" t="s">
        <v>43</v>
      </c>
      <c r="F72" s="11" t="s">
        <v>44</v>
      </c>
      <c r="G72" s="12"/>
      <c r="H72" s="12"/>
      <c r="I72" s="18">
        <v>0</v>
      </c>
      <c r="J72" s="18">
        <f>I72*J42</f>
        <v>0</v>
      </c>
      <c r="K72" s="18">
        <f t="shared" ref="K72:Q72" si="44">J72*K42</f>
        <v>0</v>
      </c>
      <c r="L72" s="18">
        <f t="shared" si="44"/>
        <v>0</v>
      </c>
      <c r="M72" s="18">
        <f t="shared" si="44"/>
        <v>0</v>
      </c>
      <c r="N72" s="18">
        <f t="shared" si="44"/>
        <v>0</v>
      </c>
      <c r="O72" s="18">
        <f t="shared" si="44"/>
        <v>0</v>
      </c>
      <c r="P72" s="18">
        <f t="shared" si="44"/>
        <v>0</v>
      </c>
      <c r="Q72" s="18">
        <f t="shared" si="44"/>
        <v>0</v>
      </c>
      <c r="R72" s="11" t="str">
        <f t="shared" si="2"/>
        <v>3.AK.030</v>
      </c>
      <c r="S72" s="22">
        <f t="shared" si="32"/>
        <v>0</v>
      </c>
    </row>
    <row r="73" spans="1:22" x14ac:dyDescent="0.35">
      <c r="A73" s="9">
        <v>3</v>
      </c>
      <c r="B73" s="9" t="s">
        <v>255</v>
      </c>
      <c r="C73" s="10" t="s">
        <v>271</v>
      </c>
      <c r="D73" s="9"/>
      <c r="E73" s="11" t="s">
        <v>45</v>
      </c>
      <c r="F73" s="11" t="s">
        <v>19</v>
      </c>
      <c r="G73" s="12"/>
      <c r="H73" s="12"/>
      <c r="I73" s="18">
        <v>0</v>
      </c>
      <c r="J73" s="18">
        <f>I73*J42</f>
        <v>0</v>
      </c>
      <c r="K73" s="18">
        <f t="shared" ref="K73:Q73" si="45">J73*K42</f>
        <v>0</v>
      </c>
      <c r="L73" s="18">
        <f t="shared" si="45"/>
        <v>0</v>
      </c>
      <c r="M73" s="18">
        <f t="shared" si="45"/>
        <v>0</v>
      </c>
      <c r="N73" s="18">
        <f t="shared" si="45"/>
        <v>0</v>
      </c>
      <c r="O73" s="18">
        <f t="shared" si="45"/>
        <v>0</v>
      </c>
      <c r="P73" s="18">
        <f t="shared" si="45"/>
        <v>0</v>
      </c>
      <c r="Q73" s="18">
        <f t="shared" si="45"/>
        <v>0</v>
      </c>
      <c r="R73" s="11" t="str">
        <f t="shared" si="2"/>
        <v>3.AK.031</v>
      </c>
      <c r="S73" s="22">
        <f t="shared" si="32"/>
        <v>0</v>
      </c>
    </row>
    <row r="74" spans="1:22" x14ac:dyDescent="0.35">
      <c r="A74" s="9">
        <v>3</v>
      </c>
      <c r="B74" s="9" t="s">
        <v>255</v>
      </c>
      <c r="C74" s="10" t="s">
        <v>272</v>
      </c>
      <c r="D74" s="9"/>
      <c r="E74" s="11" t="s">
        <v>273</v>
      </c>
      <c r="F74" s="11" t="s">
        <v>19</v>
      </c>
      <c r="G74" s="12"/>
      <c r="H74" s="12"/>
      <c r="I74" s="18">
        <v>0</v>
      </c>
      <c r="J74" s="18">
        <f>I74*J42</f>
        <v>0</v>
      </c>
      <c r="K74" s="18">
        <f t="shared" ref="K74:Q74" si="46">J74*K42</f>
        <v>0</v>
      </c>
      <c r="L74" s="18">
        <f t="shared" si="46"/>
        <v>0</v>
      </c>
      <c r="M74" s="18">
        <f t="shared" si="46"/>
        <v>0</v>
      </c>
      <c r="N74" s="18">
        <f t="shared" si="46"/>
        <v>0</v>
      </c>
      <c r="O74" s="18">
        <f t="shared" si="46"/>
        <v>0</v>
      </c>
      <c r="P74" s="18">
        <f t="shared" si="46"/>
        <v>0</v>
      </c>
      <c r="Q74" s="18">
        <f t="shared" si="46"/>
        <v>0</v>
      </c>
      <c r="R74" s="11" t="str">
        <f t="shared" si="2"/>
        <v>3.AK.032</v>
      </c>
      <c r="S74" s="22">
        <f t="shared" si="32"/>
        <v>0</v>
      </c>
    </row>
    <row r="75" spans="1:22" x14ac:dyDescent="0.35">
      <c r="A75" s="9">
        <v>3</v>
      </c>
      <c r="B75" s="9" t="s">
        <v>255</v>
      </c>
      <c r="C75" s="10" t="s">
        <v>274</v>
      </c>
      <c r="D75" s="9"/>
      <c r="E75" s="11" t="s">
        <v>46</v>
      </c>
      <c r="F75" s="11" t="s">
        <v>7</v>
      </c>
      <c r="G75" s="12"/>
      <c r="H75" s="12"/>
      <c r="I75" s="18">
        <v>0</v>
      </c>
      <c r="J75" s="18">
        <f>I75*J42</f>
        <v>0</v>
      </c>
      <c r="K75" s="18">
        <f t="shared" ref="K75:Q75" si="47">J75*K42</f>
        <v>0</v>
      </c>
      <c r="L75" s="18">
        <f t="shared" si="47"/>
        <v>0</v>
      </c>
      <c r="M75" s="18">
        <f t="shared" si="47"/>
        <v>0</v>
      </c>
      <c r="N75" s="18">
        <f t="shared" si="47"/>
        <v>0</v>
      </c>
      <c r="O75" s="18">
        <f t="shared" si="47"/>
        <v>0</v>
      </c>
      <c r="P75" s="18">
        <f t="shared" si="47"/>
        <v>0</v>
      </c>
      <c r="Q75" s="18">
        <f t="shared" si="47"/>
        <v>0</v>
      </c>
      <c r="R75" s="11" t="str">
        <f t="shared" si="2"/>
        <v>3.AK.033</v>
      </c>
      <c r="S75" s="22">
        <f t="shared" si="32"/>
        <v>0</v>
      </c>
    </row>
    <row r="76" spans="1:22" x14ac:dyDescent="0.35">
      <c r="A76" s="9">
        <v>3</v>
      </c>
      <c r="B76" s="9" t="s">
        <v>255</v>
      </c>
      <c r="C76" s="10" t="s">
        <v>275</v>
      </c>
      <c r="D76" s="9"/>
      <c r="E76" s="11" t="s">
        <v>47</v>
      </c>
      <c r="F76" s="11" t="s">
        <v>104</v>
      </c>
      <c r="G76" s="12"/>
      <c r="H76" s="12"/>
      <c r="I76" s="18">
        <v>2025000</v>
      </c>
      <c r="J76" s="18">
        <f>I76*J42</f>
        <v>2268000</v>
      </c>
      <c r="K76" s="18">
        <f t="shared" ref="K76:Q76" si="48">J76*K42</f>
        <v>2540160.0000000005</v>
      </c>
      <c r="L76" s="18">
        <f t="shared" si="48"/>
        <v>2844979.2000000007</v>
      </c>
      <c r="M76" s="18">
        <f t="shared" si="48"/>
        <v>3186376.7040000008</v>
      </c>
      <c r="N76" s="18">
        <f t="shared" si="48"/>
        <v>3568741.9084800011</v>
      </c>
      <c r="O76" s="18">
        <f t="shared" si="48"/>
        <v>3996990.9374976018</v>
      </c>
      <c r="P76" s="18">
        <f t="shared" si="48"/>
        <v>4476629.8499973146</v>
      </c>
      <c r="Q76" s="18">
        <f t="shared" si="48"/>
        <v>5013825.4319969928</v>
      </c>
      <c r="R76" s="11" t="str">
        <f t="shared" si="2"/>
        <v>3.AK.034</v>
      </c>
      <c r="S76" s="22">
        <f t="shared" si="32"/>
        <v>2146500</v>
      </c>
      <c r="T76" s="22">
        <f>AVERAGE(I76:K76)</f>
        <v>2277720</v>
      </c>
      <c r="U76" s="22">
        <f>AVERAGE(J76:L76)</f>
        <v>2551046.4000000004</v>
      </c>
      <c r="V76" s="22">
        <f>AVERAGE(K76:M76)</f>
        <v>2857171.9680000008</v>
      </c>
    </row>
    <row r="77" spans="1:22" x14ac:dyDescent="0.35">
      <c r="A77" s="9">
        <v>3</v>
      </c>
      <c r="B77" s="9" t="s">
        <v>255</v>
      </c>
      <c r="C77" s="10" t="s">
        <v>276</v>
      </c>
      <c r="D77" s="9"/>
      <c r="E77" s="11" t="s">
        <v>48</v>
      </c>
      <c r="F77" s="11" t="s">
        <v>49</v>
      </c>
      <c r="G77" s="12"/>
      <c r="H77" s="12"/>
      <c r="I77" s="18">
        <v>0</v>
      </c>
      <c r="J77" s="18">
        <f>I77*J42</f>
        <v>0</v>
      </c>
      <c r="K77" s="18">
        <f t="shared" ref="K77:Q77" si="49">J77*K42</f>
        <v>0</v>
      </c>
      <c r="L77" s="18">
        <f t="shared" si="49"/>
        <v>0</v>
      </c>
      <c r="M77" s="18">
        <f t="shared" si="49"/>
        <v>0</v>
      </c>
      <c r="N77" s="18">
        <f t="shared" si="49"/>
        <v>0</v>
      </c>
      <c r="O77" s="18">
        <f t="shared" si="49"/>
        <v>0</v>
      </c>
      <c r="P77" s="18">
        <f t="shared" si="49"/>
        <v>0</v>
      </c>
      <c r="Q77" s="18">
        <f t="shared" si="49"/>
        <v>0</v>
      </c>
      <c r="R77" s="11" t="str">
        <f t="shared" si="2"/>
        <v>3.AK.035</v>
      </c>
      <c r="S77" s="22">
        <f t="shared" si="32"/>
        <v>0</v>
      </c>
    </row>
    <row r="78" spans="1:22" x14ac:dyDescent="0.35">
      <c r="A78" s="9">
        <v>3</v>
      </c>
      <c r="B78" s="9" t="s">
        <v>255</v>
      </c>
      <c r="C78" s="10" t="s">
        <v>277</v>
      </c>
      <c r="D78" s="9"/>
      <c r="E78" s="11" t="s">
        <v>50</v>
      </c>
      <c r="F78" s="11" t="s">
        <v>19</v>
      </c>
      <c r="G78" s="12"/>
      <c r="H78" s="12"/>
      <c r="I78" s="18">
        <v>120232.5</v>
      </c>
      <c r="J78" s="18">
        <f>I78*J42</f>
        <v>134660.40000000002</v>
      </c>
      <c r="K78" s="18">
        <f t="shared" ref="K78:Q78" si="50">J78*K42</f>
        <v>150819.64800000004</v>
      </c>
      <c r="L78" s="18">
        <f t="shared" si="50"/>
        <v>168918.00576000006</v>
      </c>
      <c r="M78" s="18">
        <f t="shared" si="50"/>
        <v>189188.16645120009</v>
      </c>
      <c r="N78" s="18">
        <f t="shared" si="50"/>
        <v>211890.74642534411</v>
      </c>
      <c r="O78" s="18">
        <f t="shared" si="50"/>
        <v>237317.63599638542</v>
      </c>
      <c r="P78" s="18">
        <f t="shared" si="50"/>
        <v>265795.75231595169</v>
      </c>
      <c r="Q78" s="18">
        <f t="shared" si="50"/>
        <v>297691.2425938659</v>
      </c>
      <c r="R78" s="11" t="str">
        <f t="shared" si="2"/>
        <v>3.AK.036</v>
      </c>
      <c r="S78" s="22">
        <f t="shared" si="32"/>
        <v>127446.45000000001</v>
      </c>
    </row>
    <row r="79" spans="1:22" x14ac:dyDescent="0.35">
      <c r="A79" s="9">
        <v>3</v>
      </c>
      <c r="B79" s="9" t="s">
        <v>255</v>
      </c>
      <c r="C79" s="10" t="s">
        <v>278</v>
      </c>
      <c r="D79" s="9"/>
      <c r="E79" s="11" t="s">
        <v>51</v>
      </c>
      <c r="F79" s="11" t="s">
        <v>19</v>
      </c>
      <c r="G79" s="12"/>
      <c r="H79" s="12"/>
      <c r="I79" s="18">
        <v>0</v>
      </c>
      <c r="J79" s="18">
        <f>I79*J42</f>
        <v>0</v>
      </c>
      <c r="K79" s="18">
        <f t="shared" ref="K79:Q79" si="51">J79*K42</f>
        <v>0</v>
      </c>
      <c r="L79" s="18">
        <f t="shared" si="51"/>
        <v>0</v>
      </c>
      <c r="M79" s="18">
        <f t="shared" si="51"/>
        <v>0</v>
      </c>
      <c r="N79" s="18">
        <f t="shared" si="51"/>
        <v>0</v>
      </c>
      <c r="O79" s="18">
        <f t="shared" si="51"/>
        <v>0</v>
      </c>
      <c r="P79" s="18">
        <f t="shared" si="51"/>
        <v>0</v>
      </c>
      <c r="Q79" s="18">
        <f t="shared" si="51"/>
        <v>0</v>
      </c>
      <c r="R79" s="11" t="str">
        <f t="shared" si="2"/>
        <v>3.AK.037</v>
      </c>
      <c r="S79" s="22">
        <f t="shared" si="32"/>
        <v>0</v>
      </c>
    </row>
    <row r="80" spans="1:22" x14ac:dyDescent="0.35">
      <c r="A80" s="9">
        <v>3</v>
      </c>
      <c r="B80" s="9" t="s">
        <v>255</v>
      </c>
      <c r="C80" s="10" t="s">
        <v>279</v>
      </c>
      <c r="D80" s="9"/>
      <c r="E80" s="11" t="s">
        <v>52</v>
      </c>
      <c r="F80" s="11" t="s">
        <v>19</v>
      </c>
      <c r="G80" s="12"/>
      <c r="H80" s="12"/>
      <c r="I80" s="18">
        <v>51229.5</v>
      </c>
      <c r="J80" s="18">
        <f>I80*J42</f>
        <v>57377.040000000008</v>
      </c>
      <c r="K80" s="18">
        <f t="shared" ref="K80:Q80" si="52">J80*K42</f>
        <v>64262.284800000016</v>
      </c>
      <c r="L80" s="18">
        <f t="shared" si="52"/>
        <v>71973.758976000026</v>
      </c>
      <c r="M80" s="18">
        <f t="shared" si="52"/>
        <v>80610.610053120035</v>
      </c>
      <c r="N80" s="18">
        <f t="shared" si="52"/>
        <v>90283.883259494454</v>
      </c>
      <c r="O80" s="18">
        <f t="shared" si="52"/>
        <v>101117.9492506338</v>
      </c>
      <c r="P80" s="18">
        <f t="shared" si="52"/>
        <v>113252.10316070987</v>
      </c>
      <c r="Q80" s="18">
        <f t="shared" si="52"/>
        <v>126842.35553999507</v>
      </c>
      <c r="R80" s="11" t="str">
        <f t="shared" si="2"/>
        <v>3.AK.038</v>
      </c>
      <c r="S80" s="22">
        <f t="shared" si="32"/>
        <v>54303.270000000004</v>
      </c>
      <c r="T80" s="22">
        <f>AVERAGE(I80:K80)</f>
        <v>57622.941600000013</v>
      </c>
      <c r="U80" s="22">
        <f>AVERAGE(J80:L80)</f>
        <v>64537.694592000022</v>
      </c>
      <c r="V80" s="22">
        <f>AVERAGE(K80:M80)</f>
        <v>72282.217943040028</v>
      </c>
    </row>
    <row r="81" spans="1:22" x14ac:dyDescent="0.35">
      <c r="A81" s="9">
        <v>3</v>
      </c>
      <c r="B81" s="9" t="s">
        <v>255</v>
      </c>
      <c r="C81" s="10" t="s">
        <v>280</v>
      </c>
      <c r="D81" s="9"/>
      <c r="E81" s="11" t="s">
        <v>53</v>
      </c>
      <c r="F81" s="11" t="s">
        <v>19</v>
      </c>
      <c r="G81" s="12"/>
      <c r="H81" s="12"/>
      <c r="I81" s="18">
        <v>0</v>
      </c>
      <c r="J81" s="18">
        <f>I81*J42</f>
        <v>0</v>
      </c>
      <c r="K81" s="18">
        <f t="shared" ref="K81:Q81" si="53">J81*K42</f>
        <v>0</v>
      </c>
      <c r="L81" s="18">
        <f t="shared" si="53"/>
        <v>0</v>
      </c>
      <c r="M81" s="18">
        <f t="shared" si="53"/>
        <v>0</v>
      </c>
      <c r="N81" s="18">
        <f t="shared" si="53"/>
        <v>0</v>
      </c>
      <c r="O81" s="18">
        <f t="shared" si="53"/>
        <v>0</v>
      </c>
      <c r="P81" s="18">
        <f t="shared" si="53"/>
        <v>0</v>
      </c>
      <c r="Q81" s="18">
        <f t="shared" si="53"/>
        <v>0</v>
      </c>
      <c r="R81" s="11" t="str">
        <f t="shared" si="2"/>
        <v>3.AK.039</v>
      </c>
      <c r="S81" s="22">
        <f t="shared" si="32"/>
        <v>0</v>
      </c>
    </row>
    <row r="82" spans="1:22" x14ac:dyDescent="0.35">
      <c r="A82" s="9">
        <v>3</v>
      </c>
      <c r="B82" s="9" t="s">
        <v>255</v>
      </c>
      <c r="C82" s="10" t="s">
        <v>281</v>
      </c>
      <c r="D82" s="9"/>
      <c r="E82" s="11" t="s">
        <v>54</v>
      </c>
      <c r="F82" s="11" t="s">
        <v>19</v>
      </c>
      <c r="G82" s="12"/>
      <c r="H82" s="12"/>
      <c r="I82" s="18">
        <v>2677.5</v>
      </c>
      <c r="J82" s="18">
        <f>I82*J42</f>
        <v>2998.8</v>
      </c>
      <c r="K82" s="18">
        <f t="shared" ref="K82:Q82" si="54">J82*K42</f>
        <v>3358.6560000000004</v>
      </c>
      <c r="L82" s="18">
        <f t="shared" si="54"/>
        <v>3761.6947200000009</v>
      </c>
      <c r="M82" s="18">
        <f t="shared" si="54"/>
        <v>4213.0980864000012</v>
      </c>
      <c r="N82" s="18">
        <f t="shared" si="54"/>
        <v>4718.6698567680014</v>
      </c>
      <c r="O82" s="18">
        <f t="shared" si="54"/>
        <v>5284.9102395801619</v>
      </c>
      <c r="P82" s="18">
        <f t="shared" si="54"/>
        <v>5919.0994683297822</v>
      </c>
      <c r="Q82" s="18">
        <f t="shared" si="54"/>
        <v>6629.3914045293568</v>
      </c>
      <c r="R82" s="11" t="str">
        <f t="shared" si="2"/>
        <v>3.AK.040</v>
      </c>
      <c r="S82" s="22">
        <f t="shared" si="32"/>
        <v>2838.15</v>
      </c>
    </row>
    <row r="83" spans="1:22" x14ac:dyDescent="0.35">
      <c r="A83" s="9">
        <v>3</v>
      </c>
      <c r="B83" s="9" t="s">
        <v>255</v>
      </c>
      <c r="C83" s="10" t="s">
        <v>282</v>
      </c>
      <c r="D83" s="9"/>
      <c r="E83" s="11" t="s">
        <v>55</v>
      </c>
      <c r="F83" s="11" t="s">
        <v>19</v>
      </c>
      <c r="G83" s="12"/>
      <c r="H83" s="12"/>
      <c r="I83" s="18">
        <v>32130</v>
      </c>
      <c r="J83" s="18">
        <f>I83*J42</f>
        <v>35985.600000000006</v>
      </c>
      <c r="K83" s="18">
        <f t="shared" ref="K83:Q83" si="55">J83*K42</f>
        <v>40303.87200000001</v>
      </c>
      <c r="L83" s="18">
        <f t="shared" si="55"/>
        <v>45140.336640000016</v>
      </c>
      <c r="M83" s="18">
        <f t="shared" si="55"/>
        <v>50557.177036800022</v>
      </c>
      <c r="N83" s="18">
        <f t="shared" si="55"/>
        <v>56624.038281216031</v>
      </c>
      <c r="O83" s="18">
        <f t="shared" si="55"/>
        <v>63418.922874961958</v>
      </c>
      <c r="P83" s="18">
        <f t="shared" si="55"/>
        <v>71029.193619957397</v>
      </c>
      <c r="Q83" s="18">
        <f t="shared" si="55"/>
        <v>79552.696854352296</v>
      </c>
      <c r="R83" s="11" t="str">
        <f t="shared" si="2"/>
        <v>3.AK.041</v>
      </c>
      <c r="S83" s="22">
        <f t="shared" si="32"/>
        <v>34057.800000000003</v>
      </c>
      <c r="T83" s="22">
        <f t="shared" si="32"/>
        <v>36139.824000000001</v>
      </c>
      <c r="U83" s="22">
        <f t="shared" si="32"/>
        <v>40476.602880000013</v>
      </c>
      <c r="V83" s="22">
        <f t="shared" si="32"/>
        <v>45333.795225600014</v>
      </c>
    </row>
    <row r="84" spans="1:22" x14ac:dyDescent="0.35">
      <c r="A84" s="9">
        <v>3</v>
      </c>
      <c r="B84" s="9" t="s">
        <v>255</v>
      </c>
      <c r="C84" s="10" t="s">
        <v>283</v>
      </c>
      <c r="D84" s="9"/>
      <c r="E84" s="11" t="s">
        <v>56</v>
      </c>
      <c r="F84" s="11" t="s">
        <v>19</v>
      </c>
      <c r="G84" s="12"/>
      <c r="H84" s="12"/>
      <c r="I84" s="18">
        <v>85680</v>
      </c>
      <c r="J84" s="18">
        <f>I84*J42</f>
        <v>95961.600000000006</v>
      </c>
      <c r="K84" s="18">
        <f t="shared" ref="K84:Q84" si="56">J84*K42</f>
        <v>107476.99200000001</v>
      </c>
      <c r="L84" s="18">
        <f t="shared" si="56"/>
        <v>120374.23104000003</v>
      </c>
      <c r="M84" s="18">
        <f t="shared" si="56"/>
        <v>134819.13876480004</v>
      </c>
      <c r="N84" s="18">
        <f t="shared" si="56"/>
        <v>150997.43541657605</v>
      </c>
      <c r="O84" s="18">
        <f t="shared" si="56"/>
        <v>169117.12766656518</v>
      </c>
      <c r="P84" s="18">
        <f t="shared" si="56"/>
        <v>189411.18298655303</v>
      </c>
      <c r="Q84" s="18">
        <f t="shared" si="56"/>
        <v>212140.52494493942</v>
      </c>
      <c r="R84" s="11" t="str">
        <f t="shared" si="2"/>
        <v>3.AK.042</v>
      </c>
      <c r="S84" s="22">
        <f t="shared" si="32"/>
        <v>90820.800000000003</v>
      </c>
      <c r="T84" s="22">
        <f t="shared" si="32"/>
        <v>96372.864000000001</v>
      </c>
      <c r="U84" s="22">
        <f t="shared" si="32"/>
        <v>107937.60768000002</v>
      </c>
      <c r="V84" s="22">
        <f t="shared" si="32"/>
        <v>120890.12060160004</v>
      </c>
    </row>
    <row r="85" spans="1:22" x14ac:dyDescent="0.35">
      <c r="A85" s="9">
        <v>3</v>
      </c>
      <c r="B85" s="9" t="s">
        <v>255</v>
      </c>
      <c r="C85" s="10" t="s">
        <v>284</v>
      </c>
      <c r="D85" s="9"/>
      <c r="E85" s="11" t="s">
        <v>285</v>
      </c>
      <c r="F85" s="11" t="s">
        <v>19</v>
      </c>
      <c r="G85" s="12"/>
      <c r="H85" s="12"/>
      <c r="I85" s="18">
        <v>0</v>
      </c>
      <c r="J85" s="18">
        <f>I85*J42</f>
        <v>0</v>
      </c>
      <c r="K85" s="18">
        <f t="shared" ref="K85:Q85" si="57">J85*K42</f>
        <v>0</v>
      </c>
      <c r="L85" s="18">
        <f t="shared" si="57"/>
        <v>0</v>
      </c>
      <c r="M85" s="18">
        <f t="shared" si="57"/>
        <v>0</v>
      </c>
      <c r="N85" s="18">
        <f t="shared" si="57"/>
        <v>0</v>
      </c>
      <c r="O85" s="18">
        <f t="shared" si="57"/>
        <v>0</v>
      </c>
      <c r="P85" s="18">
        <f t="shared" si="57"/>
        <v>0</v>
      </c>
      <c r="Q85" s="18">
        <f t="shared" si="57"/>
        <v>0</v>
      </c>
      <c r="R85" s="11" t="str">
        <f t="shared" si="2"/>
        <v>3.AK.043</v>
      </c>
      <c r="S85" s="22">
        <f t="shared" si="32"/>
        <v>0</v>
      </c>
    </row>
    <row r="86" spans="1:22" x14ac:dyDescent="0.35">
      <c r="A86" s="9">
        <v>3</v>
      </c>
      <c r="B86" s="9" t="s">
        <v>255</v>
      </c>
      <c r="C86" s="10" t="s">
        <v>286</v>
      </c>
      <c r="D86" s="9"/>
      <c r="E86" s="11" t="s">
        <v>287</v>
      </c>
      <c r="F86" s="11" t="s">
        <v>19</v>
      </c>
      <c r="G86" s="12"/>
      <c r="H86" s="12"/>
      <c r="I86" s="18">
        <v>1366468.5</v>
      </c>
      <c r="J86" s="18">
        <f>I86*J42</f>
        <v>1530444.7200000002</v>
      </c>
      <c r="K86" s="18">
        <f t="shared" ref="K86:Q86" si="58">J86*K42</f>
        <v>1714098.0864000004</v>
      </c>
      <c r="L86" s="18">
        <f t="shared" si="58"/>
        <v>1919789.8567680006</v>
      </c>
      <c r="M86" s="18">
        <f t="shared" si="58"/>
        <v>2150164.6395801608</v>
      </c>
      <c r="N86" s="18">
        <f t="shared" si="58"/>
        <v>2408184.3963297806</v>
      </c>
      <c r="O86" s="18">
        <f t="shared" si="58"/>
        <v>2697166.5238893544</v>
      </c>
      <c r="P86" s="18">
        <f t="shared" si="58"/>
        <v>3020826.5067560771</v>
      </c>
      <c r="Q86" s="18">
        <f t="shared" si="58"/>
        <v>3383325.6875668066</v>
      </c>
      <c r="R86" s="11" t="str">
        <f t="shared" si="2"/>
        <v>3.AK.044</v>
      </c>
      <c r="S86" s="22">
        <f t="shared" si="32"/>
        <v>1448456.61</v>
      </c>
      <c r="T86" s="22">
        <f>AVERAGE(I86:K86)</f>
        <v>1537003.7688000004</v>
      </c>
      <c r="U86" s="22">
        <f>AVERAGE(J86:L86)</f>
        <v>1721444.2210560003</v>
      </c>
      <c r="V86" s="22">
        <f>AVERAGE(K86:M86)</f>
        <v>1928017.5275827206</v>
      </c>
    </row>
    <row r="87" spans="1:22" x14ac:dyDescent="0.35">
      <c r="A87" s="9">
        <v>3</v>
      </c>
      <c r="B87" s="9" t="s">
        <v>255</v>
      </c>
      <c r="C87" s="10" t="s">
        <v>288</v>
      </c>
      <c r="D87" s="9"/>
      <c r="E87" s="11" t="s">
        <v>57</v>
      </c>
      <c r="F87" s="11" t="s">
        <v>19</v>
      </c>
      <c r="G87" s="12"/>
      <c r="H87" s="12"/>
      <c r="I87" s="18">
        <v>0</v>
      </c>
      <c r="J87" s="18">
        <f>I87*J42</f>
        <v>0</v>
      </c>
      <c r="K87" s="18">
        <f t="shared" ref="K87:Q87" si="59">J87*K42</f>
        <v>0</v>
      </c>
      <c r="L87" s="18">
        <f t="shared" si="59"/>
        <v>0</v>
      </c>
      <c r="M87" s="18">
        <f t="shared" si="59"/>
        <v>0</v>
      </c>
      <c r="N87" s="18">
        <f t="shared" si="59"/>
        <v>0</v>
      </c>
      <c r="O87" s="18">
        <f t="shared" si="59"/>
        <v>0</v>
      </c>
      <c r="P87" s="18">
        <f t="shared" si="59"/>
        <v>0</v>
      </c>
      <c r="Q87" s="18">
        <f t="shared" si="59"/>
        <v>0</v>
      </c>
      <c r="R87" s="11" t="str">
        <f t="shared" si="2"/>
        <v>3.AK.045</v>
      </c>
      <c r="S87" s="22">
        <f t="shared" ref="S87:V148" si="60">AVERAGE(H87:J87)</f>
        <v>0</v>
      </c>
    </row>
    <row r="88" spans="1:22" x14ac:dyDescent="0.35">
      <c r="A88" s="9">
        <v>3</v>
      </c>
      <c r="B88" s="9" t="s">
        <v>255</v>
      </c>
      <c r="C88" s="10" t="s">
        <v>289</v>
      </c>
      <c r="D88" s="9"/>
      <c r="E88" s="11" t="s">
        <v>58</v>
      </c>
      <c r="F88" s="11" t="s">
        <v>19</v>
      </c>
      <c r="G88" s="12"/>
      <c r="H88" s="12"/>
      <c r="I88" s="18">
        <v>5000</v>
      </c>
      <c r="J88" s="18">
        <f>I88*J42</f>
        <v>5600.0000000000009</v>
      </c>
      <c r="K88" s="18">
        <f t="shared" ref="K88:Q88" si="61">J88*K42</f>
        <v>6272.0000000000018</v>
      </c>
      <c r="L88" s="18">
        <f t="shared" si="61"/>
        <v>7024.6400000000031</v>
      </c>
      <c r="M88" s="18">
        <f t="shared" si="61"/>
        <v>7867.5968000000039</v>
      </c>
      <c r="N88" s="18">
        <f t="shared" si="61"/>
        <v>8811.7084160000049</v>
      </c>
      <c r="O88" s="18">
        <f t="shared" si="61"/>
        <v>9869.1134259200062</v>
      </c>
      <c r="P88" s="18">
        <f t="shared" si="61"/>
        <v>11053.407037030407</v>
      </c>
      <c r="Q88" s="18">
        <f t="shared" si="61"/>
        <v>12379.815881474056</v>
      </c>
      <c r="R88" s="11" t="str">
        <f t="shared" ref="R88:R368" si="62">A88&amp;"."&amp;B88&amp;"."&amp;C88</f>
        <v>3.AK.046</v>
      </c>
      <c r="S88" s="22">
        <f t="shared" si="60"/>
        <v>5300</v>
      </c>
      <c r="T88" s="22">
        <f>AVERAGE(I88:K88)</f>
        <v>5624</v>
      </c>
      <c r="U88" s="22">
        <f>AVERAGE(J88:L88)</f>
        <v>6298.8800000000019</v>
      </c>
      <c r="V88" s="22">
        <f>AVERAGE(K88:M88)</f>
        <v>7054.7456000000029</v>
      </c>
    </row>
    <row r="89" spans="1:22" x14ac:dyDescent="0.35">
      <c r="A89" s="9">
        <v>3</v>
      </c>
      <c r="B89" s="9" t="s">
        <v>255</v>
      </c>
      <c r="C89" s="10" t="s">
        <v>290</v>
      </c>
      <c r="D89" s="9"/>
      <c r="E89" s="11" t="s">
        <v>59</v>
      </c>
      <c r="F89" s="11" t="s">
        <v>60</v>
      </c>
      <c r="G89" s="12"/>
      <c r="H89" s="12"/>
      <c r="I89" s="18">
        <v>30000</v>
      </c>
      <c r="J89" s="18">
        <f>I89*J42</f>
        <v>33600</v>
      </c>
      <c r="K89" s="18">
        <f t="shared" ref="K89:Q89" si="63">J89*K42</f>
        <v>37632</v>
      </c>
      <c r="L89" s="18">
        <f t="shared" si="63"/>
        <v>42147.840000000004</v>
      </c>
      <c r="M89" s="18">
        <f t="shared" si="63"/>
        <v>47205.580800000011</v>
      </c>
      <c r="N89" s="18">
        <f t="shared" si="63"/>
        <v>52870.250496000015</v>
      </c>
      <c r="O89" s="18">
        <f t="shared" si="63"/>
        <v>59214.680555520019</v>
      </c>
      <c r="P89" s="18">
        <f t="shared" si="63"/>
        <v>66320.442222182421</v>
      </c>
      <c r="Q89" s="18">
        <f t="shared" si="63"/>
        <v>74278.895288844316</v>
      </c>
      <c r="R89" s="11" t="str">
        <f t="shared" si="62"/>
        <v>3.AK.047</v>
      </c>
      <c r="S89" s="22">
        <f t="shared" si="60"/>
        <v>31800</v>
      </c>
    </row>
    <row r="90" spans="1:22" x14ac:dyDescent="0.35">
      <c r="A90" s="9">
        <v>3</v>
      </c>
      <c r="B90" s="9" t="s">
        <v>255</v>
      </c>
      <c r="C90" s="10" t="s">
        <v>291</v>
      </c>
      <c r="D90" s="9"/>
      <c r="E90" s="11" t="s">
        <v>61</v>
      </c>
      <c r="F90" s="11" t="s">
        <v>19</v>
      </c>
      <c r="G90" s="12"/>
      <c r="H90" s="12"/>
      <c r="I90" s="18">
        <v>0</v>
      </c>
      <c r="J90" s="18">
        <f>I90*J42</f>
        <v>0</v>
      </c>
      <c r="K90" s="18">
        <f t="shared" ref="K90:Q90" si="64">J90*K42</f>
        <v>0</v>
      </c>
      <c r="L90" s="18">
        <f t="shared" si="64"/>
        <v>0</v>
      </c>
      <c r="M90" s="18">
        <f t="shared" si="64"/>
        <v>0</v>
      </c>
      <c r="N90" s="18">
        <f t="shared" si="64"/>
        <v>0</v>
      </c>
      <c r="O90" s="18">
        <f t="shared" si="64"/>
        <v>0</v>
      </c>
      <c r="P90" s="18">
        <f t="shared" si="64"/>
        <v>0</v>
      </c>
      <c r="Q90" s="18">
        <f t="shared" si="64"/>
        <v>0</v>
      </c>
      <c r="R90" s="11" t="str">
        <f t="shared" si="62"/>
        <v>3.AK.048</v>
      </c>
      <c r="S90" s="22">
        <f t="shared" si="60"/>
        <v>0</v>
      </c>
    </row>
    <row r="91" spans="1:22" x14ac:dyDescent="0.35">
      <c r="A91" s="9">
        <v>3</v>
      </c>
      <c r="B91" s="9" t="s">
        <v>255</v>
      </c>
      <c r="C91" s="10" t="s">
        <v>292</v>
      </c>
      <c r="D91" s="9"/>
      <c r="E91" s="11" t="s">
        <v>73</v>
      </c>
      <c r="F91" s="11"/>
      <c r="G91" s="12"/>
      <c r="H91" s="12"/>
      <c r="I91" s="18">
        <v>30844.799999999999</v>
      </c>
      <c r="J91" s="18">
        <f>I91*J42</f>
        <v>34546.175999999999</v>
      </c>
      <c r="K91" s="18">
        <f t="shared" ref="K91:Q91" si="65">J91*K42</f>
        <v>38691.717120000001</v>
      </c>
      <c r="L91" s="18">
        <f t="shared" si="65"/>
        <v>43334.723174400002</v>
      </c>
      <c r="M91" s="18">
        <f t="shared" si="65"/>
        <v>48534.889955328006</v>
      </c>
      <c r="N91" s="18">
        <f t="shared" si="65"/>
        <v>54359.076749967375</v>
      </c>
      <c r="O91" s="18">
        <f t="shared" si="65"/>
        <v>60882.165959963466</v>
      </c>
      <c r="P91" s="18">
        <f t="shared" si="65"/>
        <v>68188.025875159088</v>
      </c>
      <c r="Q91" s="18">
        <f t="shared" si="65"/>
        <v>76370.588980178189</v>
      </c>
      <c r="R91" s="11" t="str">
        <f t="shared" si="62"/>
        <v>3.AK.049</v>
      </c>
      <c r="S91" s="22">
        <f t="shared" si="60"/>
        <v>32695.487999999998</v>
      </c>
    </row>
    <row r="92" spans="1:22" x14ac:dyDescent="0.35">
      <c r="A92" s="9">
        <v>3</v>
      </c>
      <c r="B92" s="9" t="s">
        <v>255</v>
      </c>
      <c r="C92" s="10" t="s">
        <v>293</v>
      </c>
      <c r="D92" s="9"/>
      <c r="E92" s="11" t="s">
        <v>476</v>
      </c>
      <c r="F92" s="11" t="s">
        <v>19</v>
      </c>
      <c r="G92" s="12"/>
      <c r="H92" s="12"/>
      <c r="I92" s="18">
        <v>50000</v>
      </c>
      <c r="J92" s="18">
        <f>I92*J42</f>
        <v>56000.000000000007</v>
      </c>
      <c r="K92" s="18">
        <f t="shared" ref="K92:Q92" si="66">J92*K42</f>
        <v>62720.000000000015</v>
      </c>
      <c r="L92" s="18">
        <f t="shared" si="66"/>
        <v>70246.400000000023</v>
      </c>
      <c r="M92" s="18">
        <f t="shared" si="66"/>
        <v>78675.968000000037</v>
      </c>
      <c r="N92" s="18">
        <f t="shared" si="66"/>
        <v>88117.084160000057</v>
      </c>
      <c r="O92" s="18">
        <f t="shared" si="66"/>
        <v>98691.134259200073</v>
      </c>
      <c r="P92" s="18">
        <f t="shared" si="66"/>
        <v>110534.07037030409</v>
      </c>
      <c r="Q92" s="18">
        <f t="shared" si="66"/>
        <v>123798.1588147406</v>
      </c>
      <c r="R92" s="11" t="str">
        <f t="shared" si="62"/>
        <v>3.AK.050</v>
      </c>
      <c r="S92" s="22">
        <f t="shared" si="60"/>
        <v>53000</v>
      </c>
      <c r="T92" s="22">
        <f t="shared" si="60"/>
        <v>56240</v>
      </c>
      <c r="U92" s="22">
        <f t="shared" si="60"/>
        <v>62988.800000000017</v>
      </c>
      <c r="V92" s="22">
        <f t="shared" si="60"/>
        <v>70547.45600000002</v>
      </c>
    </row>
    <row r="93" spans="1:22" x14ac:dyDescent="0.35">
      <c r="A93" s="9">
        <v>3</v>
      </c>
      <c r="B93" s="9" t="s">
        <v>255</v>
      </c>
      <c r="C93" s="10" t="s">
        <v>495</v>
      </c>
      <c r="D93" s="9"/>
      <c r="E93" s="11" t="s">
        <v>489</v>
      </c>
      <c r="F93" s="11" t="s">
        <v>479</v>
      </c>
      <c r="G93" s="12"/>
      <c r="H93" s="12"/>
      <c r="I93" s="18">
        <v>3000</v>
      </c>
      <c r="J93" s="18">
        <f>I93*J42</f>
        <v>3360.0000000000005</v>
      </c>
      <c r="K93" s="18">
        <f t="shared" ref="K93:Q93" si="67">J93*K42</f>
        <v>3763.2000000000007</v>
      </c>
      <c r="L93" s="18">
        <f t="shared" si="67"/>
        <v>4214.7840000000015</v>
      </c>
      <c r="M93" s="18">
        <f t="shared" si="67"/>
        <v>4720.5580800000025</v>
      </c>
      <c r="N93" s="18">
        <f t="shared" si="67"/>
        <v>5287.0250496000035</v>
      </c>
      <c r="O93" s="18">
        <f t="shared" si="67"/>
        <v>5921.4680555520044</v>
      </c>
      <c r="P93" s="18">
        <f t="shared" si="67"/>
        <v>6632.0442222182455</v>
      </c>
      <c r="Q93" s="18">
        <f t="shared" si="67"/>
        <v>7427.889528884436</v>
      </c>
      <c r="R93" s="11" t="str">
        <f t="shared" si="62"/>
        <v>3.AK.051</v>
      </c>
      <c r="S93" s="22">
        <f t="shared" si="60"/>
        <v>3180</v>
      </c>
      <c r="T93" s="22">
        <f t="shared" si="60"/>
        <v>3374.4</v>
      </c>
      <c r="U93" s="22">
        <f t="shared" si="60"/>
        <v>3779.3280000000009</v>
      </c>
      <c r="V93" s="22">
        <f t="shared" si="60"/>
        <v>4232.8473600000016</v>
      </c>
    </row>
    <row r="94" spans="1:22" x14ac:dyDescent="0.35">
      <c r="A94" s="9">
        <v>3</v>
      </c>
      <c r="B94" s="9" t="s">
        <v>255</v>
      </c>
      <c r="C94" s="10" t="s">
        <v>496</v>
      </c>
      <c r="D94" s="9"/>
      <c r="E94" s="11" t="s">
        <v>490</v>
      </c>
      <c r="F94" s="11" t="s">
        <v>494</v>
      </c>
      <c r="G94" s="12"/>
      <c r="H94" s="12"/>
      <c r="I94" s="18">
        <v>20000</v>
      </c>
      <c r="J94" s="18">
        <f>I94*J42</f>
        <v>22400.000000000004</v>
      </c>
      <c r="K94" s="18">
        <f t="shared" ref="K94:Q94" si="68">J94*K42</f>
        <v>25088.000000000007</v>
      </c>
      <c r="L94" s="18">
        <f t="shared" si="68"/>
        <v>28098.560000000012</v>
      </c>
      <c r="M94" s="18">
        <f t="shared" si="68"/>
        <v>31470.387200000016</v>
      </c>
      <c r="N94" s="18">
        <f t="shared" si="68"/>
        <v>35246.83366400002</v>
      </c>
      <c r="O94" s="18">
        <f t="shared" si="68"/>
        <v>39476.453703680025</v>
      </c>
      <c r="P94" s="18">
        <f t="shared" si="68"/>
        <v>44213.628148121628</v>
      </c>
      <c r="Q94" s="18">
        <f t="shared" si="68"/>
        <v>49519.263525896225</v>
      </c>
      <c r="R94" s="11" t="str">
        <f t="shared" si="62"/>
        <v>3.AK.052</v>
      </c>
      <c r="S94" s="22">
        <f t="shared" si="60"/>
        <v>21200</v>
      </c>
      <c r="T94" s="22">
        <f t="shared" si="60"/>
        <v>22496</v>
      </c>
      <c r="U94" s="22">
        <f t="shared" si="60"/>
        <v>25195.520000000008</v>
      </c>
      <c r="V94" s="22">
        <f t="shared" si="60"/>
        <v>28218.982400000012</v>
      </c>
    </row>
    <row r="95" spans="1:22" x14ac:dyDescent="0.35">
      <c r="A95" s="9">
        <v>3</v>
      </c>
      <c r="B95" s="9" t="s">
        <v>255</v>
      </c>
      <c r="C95" s="10" t="s">
        <v>497</v>
      </c>
      <c r="D95" s="9"/>
      <c r="E95" s="11" t="s">
        <v>491</v>
      </c>
      <c r="F95" s="11" t="s">
        <v>479</v>
      </c>
      <c r="G95" s="12"/>
      <c r="H95" s="12"/>
      <c r="I95" s="18">
        <v>158992.5</v>
      </c>
      <c r="J95" s="18">
        <f>I95*J42</f>
        <v>178071.6</v>
      </c>
      <c r="K95" s="18">
        <f t="shared" ref="K95:Q95" si="69">J95*K42</f>
        <v>199440.19200000004</v>
      </c>
      <c r="L95" s="18">
        <f t="shared" si="69"/>
        <v>223373.01504000006</v>
      </c>
      <c r="M95" s="18">
        <f t="shared" si="69"/>
        <v>250177.7768448001</v>
      </c>
      <c r="N95" s="18">
        <f t="shared" si="69"/>
        <v>280199.11006617616</v>
      </c>
      <c r="O95" s="18">
        <f t="shared" si="69"/>
        <v>313823.00327411731</v>
      </c>
      <c r="P95" s="18">
        <f t="shared" si="69"/>
        <v>351481.7636670114</v>
      </c>
      <c r="Q95" s="18">
        <f t="shared" si="69"/>
        <v>393659.57530705282</v>
      </c>
      <c r="R95" s="11" t="str">
        <f t="shared" si="62"/>
        <v>3.AK.053</v>
      </c>
      <c r="S95" s="22">
        <f t="shared" si="60"/>
        <v>168532.05</v>
      </c>
      <c r="T95" s="22">
        <f t="shared" si="60"/>
        <v>178834.764</v>
      </c>
      <c r="U95" s="22">
        <f t="shared" si="60"/>
        <v>200294.93568000002</v>
      </c>
      <c r="V95" s="22">
        <f t="shared" si="60"/>
        <v>224330.32796160007</v>
      </c>
    </row>
    <row r="96" spans="1:22" x14ac:dyDescent="0.35">
      <c r="A96" s="9">
        <v>3</v>
      </c>
      <c r="B96" s="9" t="s">
        <v>255</v>
      </c>
      <c r="C96" s="10" t="s">
        <v>498</v>
      </c>
      <c r="D96" s="9"/>
      <c r="E96" s="11" t="s">
        <v>492</v>
      </c>
      <c r="F96" s="11" t="s">
        <v>7</v>
      </c>
      <c r="G96" s="12"/>
      <c r="H96" s="12"/>
      <c r="I96" s="18">
        <v>18092.25</v>
      </c>
      <c r="J96" s="18">
        <f>I96*J42</f>
        <v>20263.320000000003</v>
      </c>
      <c r="K96" s="18">
        <f t="shared" ref="K96:Q96" si="70">J96*K42</f>
        <v>22694.918400000006</v>
      </c>
      <c r="L96" s="18">
        <f t="shared" si="70"/>
        <v>25418.30860800001</v>
      </c>
      <c r="M96" s="18">
        <f t="shared" si="70"/>
        <v>28468.505640960015</v>
      </c>
      <c r="N96" s="18">
        <f t="shared" si="70"/>
        <v>31884.726317875218</v>
      </c>
      <c r="O96" s="18">
        <f t="shared" si="70"/>
        <v>35710.893476020246</v>
      </c>
      <c r="P96" s="18">
        <f t="shared" si="70"/>
        <v>39996.20069314268</v>
      </c>
      <c r="Q96" s="18">
        <f t="shared" si="70"/>
        <v>44795.744776319807</v>
      </c>
      <c r="R96" s="11" t="str">
        <f t="shared" si="62"/>
        <v>3.AK.054</v>
      </c>
      <c r="S96" s="22">
        <f t="shared" si="60"/>
        <v>19177.785000000003</v>
      </c>
      <c r="T96" s="22">
        <f t="shared" si="60"/>
        <v>20350.162800000006</v>
      </c>
      <c r="U96" s="22">
        <f t="shared" si="60"/>
        <v>22792.182336000009</v>
      </c>
      <c r="V96" s="22">
        <f t="shared" si="60"/>
        <v>25527.244216320007</v>
      </c>
    </row>
    <row r="97" spans="1:22" x14ac:dyDescent="0.35">
      <c r="A97" s="9">
        <v>3</v>
      </c>
      <c r="B97" s="9" t="s">
        <v>255</v>
      </c>
      <c r="C97" s="10" t="s">
        <v>499</v>
      </c>
      <c r="D97" s="9"/>
      <c r="E97" s="11" t="s">
        <v>493</v>
      </c>
      <c r="F97" s="11" t="s">
        <v>7</v>
      </c>
      <c r="G97" s="12"/>
      <c r="H97" s="12"/>
      <c r="I97" s="18">
        <v>16447.5</v>
      </c>
      <c r="J97" s="18">
        <f>I97*J42</f>
        <v>18421.2</v>
      </c>
      <c r="K97" s="18">
        <f t="shared" ref="K97:Q97" si="71">J97*K42</f>
        <v>20631.744000000002</v>
      </c>
      <c r="L97" s="18">
        <f t="shared" si="71"/>
        <v>23107.553280000004</v>
      </c>
      <c r="M97" s="18">
        <f t="shared" si="71"/>
        <v>25880.459673600006</v>
      </c>
      <c r="N97" s="18">
        <f t="shared" si="71"/>
        <v>28986.11483443201</v>
      </c>
      <c r="O97" s="18">
        <f t="shared" si="71"/>
        <v>32464.448614563855</v>
      </c>
      <c r="P97" s="18">
        <f t="shared" si="71"/>
        <v>36360.18244831152</v>
      </c>
      <c r="Q97" s="18">
        <f t="shared" si="71"/>
        <v>40723.404342108908</v>
      </c>
      <c r="R97" s="11" t="str">
        <f t="shared" si="62"/>
        <v>3.AK.055</v>
      </c>
      <c r="S97" s="22">
        <f t="shared" si="60"/>
        <v>17434.349999999999</v>
      </c>
      <c r="T97" s="22">
        <f t="shared" si="60"/>
        <v>18500.148000000001</v>
      </c>
      <c r="U97" s="22">
        <f t="shared" si="60"/>
        <v>20720.165760000004</v>
      </c>
      <c r="V97" s="22">
        <f t="shared" si="60"/>
        <v>23206.585651200003</v>
      </c>
    </row>
    <row r="98" spans="1:22" x14ac:dyDescent="0.35">
      <c r="A98" s="9">
        <v>3</v>
      </c>
      <c r="B98" s="9" t="s">
        <v>255</v>
      </c>
      <c r="C98" s="10" t="s">
        <v>582</v>
      </c>
      <c r="D98" s="9"/>
      <c r="E98" s="11" t="s">
        <v>48</v>
      </c>
      <c r="F98" s="11" t="s">
        <v>49</v>
      </c>
      <c r="G98" s="12"/>
      <c r="H98" s="12"/>
      <c r="I98" s="18">
        <v>1130270.29</v>
      </c>
      <c r="J98" s="18">
        <f>I98*J42</f>
        <v>1265902.7248000002</v>
      </c>
      <c r="K98" s="18">
        <f t="shared" ref="K98:Q98" si="72">J98*K42</f>
        <v>1417811.0517760003</v>
      </c>
      <c r="L98" s="18">
        <f t="shared" si="72"/>
        <v>1587948.3779891205</v>
      </c>
      <c r="M98" s="18">
        <f t="shared" si="72"/>
        <v>1778502.1833478152</v>
      </c>
      <c r="N98" s="18">
        <f t="shared" si="72"/>
        <v>1991922.4453495531</v>
      </c>
      <c r="O98" s="18">
        <f t="shared" si="72"/>
        <v>2230953.1387914997</v>
      </c>
      <c r="P98" s="18">
        <f t="shared" si="72"/>
        <v>2498667.5154464799</v>
      </c>
      <c r="Q98" s="18">
        <f t="shared" si="72"/>
        <v>2798507.6173000578</v>
      </c>
      <c r="R98" s="11" t="str">
        <f t="shared" si="62"/>
        <v>3.AK.056</v>
      </c>
      <c r="S98" s="22">
        <f t="shared" si="60"/>
        <v>1198086.5074</v>
      </c>
      <c r="V98" s="22">
        <f t="shared" si="60"/>
        <v>1594753.8710376453</v>
      </c>
    </row>
    <row r="99" spans="1:22" x14ac:dyDescent="0.35">
      <c r="A99" s="9"/>
      <c r="B99" s="9"/>
      <c r="C99" s="10"/>
      <c r="D99" s="9"/>
      <c r="E99" s="11"/>
      <c r="F99" s="11"/>
      <c r="G99" s="12"/>
      <c r="H99" s="12"/>
      <c r="I99" s="18"/>
      <c r="J99" s="18"/>
      <c r="K99" s="18"/>
      <c r="L99" s="18"/>
      <c r="M99" s="18"/>
      <c r="N99" s="18"/>
      <c r="O99" s="18"/>
      <c r="P99" s="18"/>
      <c r="Q99" s="18"/>
      <c r="R99" s="11"/>
    </row>
    <row r="100" spans="1:22" x14ac:dyDescent="0.35">
      <c r="A100" s="9"/>
      <c r="B100" s="9"/>
      <c r="C100" s="10"/>
      <c r="D100" s="9"/>
      <c r="E100" s="11"/>
      <c r="F100" s="11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1"/>
    </row>
    <row r="101" spans="1:22" x14ac:dyDescent="0.35">
      <c r="A101" s="7"/>
      <c r="B101" s="7" t="s">
        <v>294</v>
      </c>
      <c r="C101" s="13"/>
      <c r="D101" s="7"/>
      <c r="E101" s="7"/>
      <c r="F101" s="7"/>
      <c r="G101" s="8"/>
      <c r="H101" s="8"/>
      <c r="I101" s="15"/>
      <c r="J101" s="15" t="s">
        <v>647</v>
      </c>
      <c r="K101" s="15"/>
      <c r="L101" s="8"/>
      <c r="M101" s="8"/>
      <c r="N101" s="8"/>
      <c r="O101" s="8"/>
      <c r="P101" s="8"/>
      <c r="Q101" s="8"/>
      <c r="R101" s="7"/>
    </row>
    <row r="102" spans="1:22" x14ac:dyDescent="0.35">
      <c r="A102" s="7"/>
      <c r="B102" s="7"/>
      <c r="C102" s="13"/>
      <c r="D102" s="7"/>
      <c r="E102" s="7"/>
      <c r="F102" s="7"/>
      <c r="G102" s="8"/>
      <c r="H102" s="8"/>
      <c r="I102" s="15" t="s">
        <v>646</v>
      </c>
      <c r="J102" s="55">
        <v>1.1399999999999999</v>
      </c>
      <c r="K102" s="55">
        <f>J102</f>
        <v>1.1399999999999999</v>
      </c>
      <c r="L102" s="55">
        <f t="shared" ref="L102:Q102" si="73">K102</f>
        <v>1.1399999999999999</v>
      </c>
      <c r="M102" s="55">
        <f t="shared" si="73"/>
        <v>1.1399999999999999</v>
      </c>
      <c r="N102" s="55">
        <f t="shared" si="73"/>
        <v>1.1399999999999999</v>
      </c>
      <c r="O102" s="55">
        <f t="shared" si="73"/>
        <v>1.1399999999999999</v>
      </c>
      <c r="P102" s="55">
        <f t="shared" si="73"/>
        <v>1.1399999999999999</v>
      </c>
      <c r="Q102" s="55">
        <f t="shared" si="73"/>
        <v>1.1399999999999999</v>
      </c>
      <c r="R102" s="7"/>
    </row>
    <row r="103" spans="1:22" x14ac:dyDescent="0.35">
      <c r="A103" s="9">
        <v>3</v>
      </c>
      <c r="B103" s="9" t="s">
        <v>295</v>
      </c>
      <c r="C103" s="10" t="s">
        <v>224</v>
      </c>
      <c r="D103" s="9"/>
      <c r="E103" s="11" t="s">
        <v>62</v>
      </c>
      <c r="F103" s="11" t="s">
        <v>63</v>
      </c>
      <c r="G103" s="12"/>
      <c r="H103" s="12"/>
      <c r="I103" s="18">
        <v>36352.800000000003</v>
      </c>
      <c r="J103" s="18">
        <v>35343</v>
      </c>
      <c r="K103" s="18">
        <f>J103*J102</f>
        <v>40291.019999999997</v>
      </c>
      <c r="L103" s="18">
        <f t="shared" ref="L103:Q103" si="74">K103*K102</f>
        <v>45931.76279999999</v>
      </c>
      <c r="M103" s="18">
        <f t="shared" si="74"/>
        <v>52362.209591999985</v>
      </c>
      <c r="N103" s="18">
        <f t="shared" si="74"/>
        <v>59692.918934879977</v>
      </c>
      <c r="O103" s="18">
        <f t="shared" si="74"/>
        <v>68049.927585763173</v>
      </c>
      <c r="P103" s="18">
        <f t="shared" si="74"/>
        <v>77576.917447770014</v>
      </c>
      <c r="Q103" s="18">
        <f t="shared" si="74"/>
        <v>88437.685890457811</v>
      </c>
      <c r="R103" s="11" t="str">
        <f t="shared" si="62"/>
        <v>3.OB.001</v>
      </c>
      <c r="S103" s="22">
        <f t="shared" si="60"/>
        <v>35847.9</v>
      </c>
      <c r="T103" s="22">
        <f t="shared" si="60"/>
        <v>37328.94</v>
      </c>
      <c r="U103" s="22">
        <f t="shared" si="60"/>
        <v>40521.927599999995</v>
      </c>
      <c r="V103" s="22">
        <f t="shared" si="60"/>
        <v>46194.997463999993</v>
      </c>
    </row>
    <row r="104" spans="1:22" x14ac:dyDescent="0.35">
      <c r="A104" s="9">
        <v>3</v>
      </c>
      <c r="B104" s="9" t="s">
        <v>295</v>
      </c>
      <c r="C104" s="10" t="s">
        <v>225</v>
      </c>
      <c r="D104" s="9"/>
      <c r="E104" s="11" t="s">
        <v>64</v>
      </c>
      <c r="F104" s="11" t="s">
        <v>7</v>
      </c>
      <c r="G104" s="12"/>
      <c r="H104" s="12"/>
      <c r="I104" s="18">
        <v>99144</v>
      </c>
      <c r="J104" s="18">
        <v>96390</v>
      </c>
      <c r="K104" s="18">
        <f>J104*J102</f>
        <v>109884.59999999999</v>
      </c>
      <c r="L104" s="18">
        <f t="shared" ref="L104:Q104" si="75">K104*K102</f>
        <v>125268.44399999997</v>
      </c>
      <c r="M104" s="18">
        <f t="shared" si="75"/>
        <v>142806.02615999995</v>
      </c>
      <c r="N104" s="18">
        <f t="shared" si="75"/>
        <v>162798.86982239992</v>
      </c>
      <c r="O104" s="18">
        <f t="shared" si="75"/>
        <v>185590.7115975359</v>
      </c>
      <c r="P104" s="18">
        <f t="shared" si="75"/>
        <v>211573.41122119091</v>
      </c>
      <c r="Q104" s="18">
        <f t="shared" si="75"/>
        <v>241193.68879215763</v>
      </c>
      <c r="R104" s="11" t="str">
        <f t="shared" si="62"/>
        <v>3.OB.002</v>
      </c>
      <c r="S104" s="22">
        <f t="shared" si="60"/>
        <v>97767</v>
      </c>
      <c r="T104" s="22">
        <f t="shared" si="60"/>
        <v>101806.2</v>
      </c>
      <c r="U104" s="22">
        <f t="shared" si="60"/>
        <v>110514.34799999998</v>
      </c>
      <c r="V104" s="22">
        <f t="shared" si="60"/>
        <v>125986.35671999997</v>
      </c>
    </row>
    <row r="105" spans="1:22" x14ac:dyDescent="0.35">
      <c r="A105" s="9">
        <v>3</v>
      </c>
      <c r="B105" s="9" t="s">
        <v>295</v>
      </c>
      <c r="C105" s="10" t="s">
        <v>226</v>
      </c>
      <c r="D105" s="9"/>
      <c r="E105" s="11" t="s">
        <v>65</v>
      </c>
      <c r="F105" s="11" t="s">
        <v>63</v>
      </c>
      <c r="G105" s="12"/>
      <c r="H105" s="12"/>
      <c r="I105" s="18">
        <v>46267.199999999997</v>
      </c>
      <c r="J105" s="18">
        <v>44982</v>
      </c>
      <c r="K105" s="18">
        <f>J105*J102</f>
        <v>51279.479999999996</v>
      </c>
      <c r="L105" s="18">
        <f t="shared" ref="L105:Q105" si="76">K105*K102</f>
        <v>58458.607199999991</v>
      </c>
      <c r="M105" s="18">
        <f t="shared" si="76"/>
        <v>66642.812207999988</v>
      </c>
      <c r="N105" s="18">
        <f t="shared" si="76"/>
        <v>75972.805917119986</v>
      </c>
      <c r="O105" s="18">
        <f t="shared" si="76"/>
        <v>86608.998745516772</v>
      </c>
      <c r="P105" s="18">
        <f t="shared" si="76"/>
        <v>98734.258569889105</v>
      </c>
      <c r="Q105" s="18">
        <f t="shared" si="76"/>
        <v>112557.05476967357</v>
      </c>
      <c r="R105" s="11" t="str">
        <f t="shared" si="62"/>
        <v>3.OB.003</v>
      </c>
      <c r="S105" s="22">
        <f t="shared" si="60"/>
        <v>45624.6</v>
      </c>
      <c r="T105" s="22">
        <f t="shared" si="60"/>
        <v>47509.56</v>
      </c>
      <c r="U105" s="22">
        <f t="shared" si="60"/>
        <v>51573.362399999991</v>
      </c>
      <c r="V105" s="22">
        <f t="shared" si="60"/>
        <v>58793.633135999989</v>
      </c>
    </row>
    <row r="106" spans="1:22" x14ac:dyDescent="0.35">
      <c r="A106" s="9">
        <v>3</v>
      </c>
      <c r="B106" s="9" t="s">
        <v>295</v>
      </c>
      <c r="C106" s="10" t="s">
        <v>227</v>
      </c>
      <c r="D106" s="9"/>
      <c r="E106" s="11" t="s">
        <v>66</v>
      </c>
      <c r="F106" s="11" t="s">
        <v>63</v>
      </c>
      <c r="G106" s="12"/>
      <c r="H106" s="12"/>
      <c r="I106" s="18">
        <v>29192.400000000001</v>
      </c>
      <c r="J106" s="18">
        <v>28381.5</v>
      </c>
      <c r="K106" s="18">
        <f>J106*J102</f>
        <v>32354.909999999996</v>
      </c>
      <c r="L106" s="18">
        <f t="shared" ref="L106:Q106" si="77">K106*K102</f>
        <v>36884.597399999991</v>
      </c>
      <c r="M106" s="18">
        <f t="shared" si="77"/>
        <v>42048.441035999989</v>
      </c>
      <c r="N106" s="18">
        <f t="shared" si="77"/>
        <v>47935.222781039985</v>
      </c>
      <c r="O106" s="18">
        <f t="shared" si="77"/>
        <v>54646.153970385581</v>
      </c>
      <c r="P106" s="18">
        <f t="shared" si="77"/>
        <v>62296.615526239555</v>
      </c>
      <c r="Q106" s="18">
        <f t="shared" si="77"/>
        <v>71018.141699913089</v>
      </c>
      <c r="R106" s="11" t="str">
        <f t="shared" si="62"/>
        <v>3.OB.004</v>
      </c>
      <c r="S106" s="22">
        <f t="shared" si="60"/>
        <v>28786.95</v>
      </c>
      <c r="T106" s="22">
        <f t="shared" si="60"/>
        <v>29976.27</v>
      </c>
      <c r="U106" s="22">
        <f t="shared" si="60"/>
        <v>32540.335799999997</v>
      </c>
      <c r="V106" s="22">
        <f t="shared" si="60"/>
        <v>37095.982811999995</v>
      </c>
    </row>
    <row r="107" spans="1:22" x14ac:dyDescent="0.35">
      <c r="A107" s="9">
        <v>3</v>
      </c>
      <c r="B107" s="9" t="s">
        <v>295</v>
      </c>
      <c r="C107" s="10" t="s">
        <v>228</v>
      </c>
      <c r="D107" s="9"/>
      <c r="E107" s="11" t="s">
        <v>67</v>
      </c>
      <c r="F107" s="11" t="s">
        <v>63</v>
      </c>
      <c r="G107" s="12"/>
      <c r="H107" s="12"/>
      <c r="I107" s="18">
        <v>194983.2</v>
      </c>
      <c r="J107" s="18">
        <v>189567</v>
      </c>
      <c r="K107" s="18">
        <f>J107*J102</f>
        <v>216106.37999999998</v>
      </c>
      <c r="L107" s="18">
        <f t="shared" ref="L107:Q107" si="78">K107*K102</f>
        <v>246361.27319999994</v>
      </c>
      <c r="M107" s="18">
        <f t="shared" si="78"/>
        <v>280851.85144799988</v>
      </c>
      <c r="N107" s="18">
        <f t="shared" si="78"/>
        <v>320171.11065071984</v>
      </c>
      <c r="O107" s="18">
        <f t="shared" si="78"/>
        <v>364995.06614182057</v>
      </c>
      <c r="P107" s="18">
        <f t="shared" si="78"/>
        <v>416094.37540167541</v>
      </c>
      <c r="Q107" s="18">
        <f t="shared" si="78"/>
        <v>474347.58795790991</v>
      </c>
      <c r="R107" s="11" t="str">
        <f t="shared" si="62"/>
        <v>3.OB.005</v>
      </c>
      <c r="S107" s="22">
        <f t="shared" si="60"/>
        <v>192275.1</v>
      </c>
      <c r="T107" s="22">
        <f t="shared" si="60"/>
        <v>200218.86</v>
      </c>
      <c r="U107" s="22">
        <f t="shared" si="60"/>
        <v>217344.88439999998</v>
      </c>
      <c r="V107" s="22">
        <f t="shared" si="60"/>
        <v>247773.16821599993</v>
      </c>
    </row>
    <row r="108" spans="1:22" x14ac:dyDescent="0.35">
      <c r="A108" s="9">
        <v>3</v>
      </c>
      <c r="B108" s="9" t="s">
        <v>295</v>
      </c>
      <c r="C108" s="10" t="s">
        <v>229</v>
      </c>
      <c r="D108" s="9"/>
      <c r="E108" s="11" t="s">
        <v>68</v>
      </c>
      <c r="F108" s="11" t="s">
        <v>7</v>
      </c>
      <c r="G108" s="12"/>
      <c r="H108" s="12"/>
      <c r="I108" s="18">
        <v>35251.199999999997</v>
      </c>
      <c r="J108" s="18">
        <v>34272</v>
      </c>
      <c r="K108" s="18">
        <f>J108*J102</f>
        <v>39070.079999999994</v>
      </c>
      <c r="L108" s="18">
        <f t="shared" ref="L108:Q108" si="79">K108*K102</f>
        <v>44539.891199999991</v>
      </c>
      <c r="M108" s="18">
        <f t="shared" si="79"/>
        <v>50775.475967999984</v>
      </c>
      <c r="N108" s="18">
        <f t="shared" si="79"/>
        <v>57884.042603519978</v>
      </c>
      <c r="O108" s="18">
        <f t="shared" si="79"/>
        <v>65987.80856801277</v>
      </c>
      <c r="P108" s="18">
        <f t="shared" si="79"/>
        <v>75226.10176753455</v>
      </c>
      <c r="Q108" s="18">
        <f t="shared" si="79"/>
        <v>85757.756014989383</v>
      </c>
      <c r="R108" s="11" t="str">
        <f t="shared" si="62"/>
        <v>3.OB.006</v>
      </c>
      <c r="S108" s="22">
        <f t="shared" si="60"/>
        <v>34761.599999999999</v>
      </c>
      <c r="T108" s="22">
        <f t="shared" si="60"/>
        <v>36197.760000000002</v>
      </c>
      <c r="U108" s="22">
        <f t="shared" si="60"/>
        <v>39293.990399999988</v>
      </c>
      <c r="V108" s="22">
        <f t="shared" si="60"/>
        <v>44795.149055999995</v>
      </c>
    </row>
    <row r="109" spans="1:22" x14ac:dyDescent="0.35">
      <c r="A109" s="9">
        <v>3</v>
      </c>
      <c r="B109" s="9" t="s">
        <v>295</v>
      </c>
      <c r="C109" s="10" t="s">
        <v>230</v>
      </c>
      <c r="D109" s="9"/>
      <c r="E109" s="11" t="s">
        <v>69</v>
      </c>
      <c r="F109" s="11" t="s">
        <v>63</v>
      </c>
      <c r="G109" s="12"/>
      <c r="H109" s="12"/>
      <c r="I109" s="18">
        <v>107100</v>
      </c>
      <c r="J109" s="18">
        <f t="shared" ref="J109" si="80">I109*1.05</f>
        <v>112455</v>
      </c>
      <c r="K109" s="18">
        <f>J109*J102</f>
        <v>128198.69999999998</v>
      </c>
      <c r="L109" s="18">
        <f t="shared" ref="L109:Q109" si="81">K109*K102</f>
        <v>146146.51799999998</v>
      </c>
      <c r="M109" s="18">
        <f t="shared" si="81"/>
        <v>166607.03051999997</v>
      </c>
      <c r="N109" s="18">
        <f t="shared" si="81"/>
        <v>189932.01479279995</v>
      </c>
      <c r="O109" s="18">
        <f t="shared" si="81"/>
        <v>216522.49686379192</v>
      </c>
      <c r="P109" s="18">
        <f t="shared" si="81"/>
        <v>246835.64642472277</v>
      </c>
      <c r="Q109" s="18">
        <f t="shared" si="81"/>
        <v>281392.63692418393</v>
      </c>
      <c r="R109" s="11" t="str">
        <f t="shared" si="62"/>
        <v>3.OB.007</v>
      </c>
      <c r="S109" s="22">
        <f t="shared" si="60"/>
        <v>109777.5</v>
      </c>
      <c r="T109" s="22">
        <f t="shared" si="60"/>
        <v>115917.89999999998</v>
      </c>
      <c r="U109" s="22">
        <f t="shared" si="60"/>
        <v>128933.406</v>
      </c>
      <c r="V109" s="22">
        <f t="shared" si="60"/>
        <v>146984.08283999999</v>
      </c>
    </row>
    <row r="110" spans="1:22" x14ac:dyDescent="0.35">
      <c r="A110" s="9">
        <v>3</v>
      </c>
      <c r="B110" s="9" t="s">
        <v>295</v>
      </c>
      <c r="C110" s="10" t="s">
        <v>231</v>
      </c>
      <c r="D110" s="9"/>
      <c r="E110" s="11" t="s">
        <v>70</v>
      </c>
      <c r="F110" s="11" t="s">
        <v>63</v>
      </c>
      <c r="G110" s="12"/>
      <c r="H110" s="12"/>
      <c r="I110" s="18">
        <v>1652400</v>
      </c>
      <c r="J110" s="18">
        <v>1606500</v>
      </c>
      <c r="K110" s="18">
        <f>J110*K102</f>
        <v>1831409.9999999998</v>
      </c>
      <c r="L110" s="18">
        <f t="shared" ref="L110:Q110" si="82">K110*L102</f>
        <v>2087807.3999999994</v>
      </c>
      <c r="M110" s="18">
        <f t="shared" si="82"/>
        <v>2380100.4359999993</v>
      </c>
      <c r="N110" s="18">
        <f t="shared" si="82"/>
        <v>2713314.4970399989</v>
      </c>
      <c r="O110" s="18">
        <f t="shared" si="82"/>
        <v>3093178.5266255983</v>
      </c>
      <c r="P110" s="18">
        <f t="shared" si="82"/>
        <v>3526223.5203531818</v>
      </c>
      <c r="Q110" s="18">
        <f t="shared" si="82"/>
        <v>4019894.813202627</v>
      </c>
      <c r="R110" s="11" t="str">
        <f t="shared" si="62"/>
        <v>3.OB.008</v>
      </c>
      <c r="S110" s="22">
        <f t="shared" si="60"/>
        <v>1629450</v>
      </c>
      <c r="T110" s="22">
        <f t="shared" si="60"/>
        <v>1696770</v>
      </c>
      <c r="U110" s="22">
        <f t="shared" si="60"/>
        <v>1841905.7999999998</v>
      </c>
      <c r="V110" s="22">
        <f t="shared" si="60"/>
        <v>2099772.6119999997</v>
      </c>
    </row>
    <row r="111" spans="1:22" x14ac:dyDescent="0.35">
      <c r="A111" s="9">
        <v>3</v>
      </c>
      <c r="B111" s="9" t="s">
        <v>295</v>
      </c>
      <c r="C111" s="10" t="s">
        <v>232</v>
      </c>
      <c r="D111" s="9"/>
      <c r="E111" t="s">
        <v>71</v>
      </c>
      <c r="F111" s="11" t="s">
        <v>7</v>
      </c>
      <c r="G111" s="12"/>
      <c r="H111" s="12"/>
      <c r="I111" s="18">
        <v>21398.58</v>
      </c>
      <c r="J111" s="18">
        <v>20804.174999999999</v>
      </c>
      <c r="K111" s="18">
        <f>J111*K102</f>
        <v>23716.759499999996</v>
      </c>
      <c r="L111" s="18">
        <f t="shared" ref="L111:Q111" si="83">K111*L102</f>
        <v>27037.105829999993</v>
      </c>
      <c r="M111" s="18">
        <f t="shared" si="83"/>
        <v>30822.30064619999</v>
      </c>
      <c r="N111" s="18">
        <f t="shared" si="83"/>
        <v>35137.422736667984</v>
      </c>
      <c r="O111" s="18">
        <f t="shared" si="83"/>
        <v>40056.661919801496</v>
      </c>
      <c r="P111" s="18">
        <f t="shared" si="83"/>
        <v>45664.594588573702</v>
      </c>
      <c r="Q111" s="18">
        <f t="shared" si="83"/>
        <v>52057.637830974018</v>
      </c>
      <c r="R111" s="11" t="str">
        <f t="shared" si="62"/>
        <v>3.OB.009</v>
      </c>
      <c r="S111" s="22">
        <f t="shared" si="60"/>
        <v>21101.377500000002</v>
      </c>
      <c r="T111" s="22">
        <f t="shared" si="60"/>
        <v>21973.1715</v>
      </c>
      <c r="U111" s="22">
        <f t="shared" si="60"/>
        <v>23852.680109999998</v>
      </c>
      <c r="V111" s="22">
        <f t="shared" si="60"/>
        <v>27192.055325399993</v>
      </c>
    </row>
    <row r="112" spans="1:22" x14ac:dyDescent="0.35">
      <c r="A112" s="9">
        <v>3</v>
      </c>
      <c r="B112" s="9" t="s">
        <v>295</v>
      </c>
      <c r="C112" s="10" t="s">
        <v>234</v>
      </c>
      <c r="D112" s="9"/>
      <c r="E112" s="11" t="s">
        <v>72</v>
      </c>
      <c r="F112" s="11" t="s">
        <v>63</v>
      </c>
      <c r="G112" s="12"/>
      <c r="H112" s="12"/>
      <c r="I112" s="18">
        <v>0</v>
      </c>
      <c r="J112" s="18">
        <f t="shared" ref="J112:J122" si="84">I112*1.07</f>
        <v>0</v>
      </c>
      <c r="K112" s="18">
        <f>J112*K102</f>
        <v>0</v>
      </c>
      <c r="L112" s="18">
        <f t="shared" ref="L112:Q112" si="85">K112*L102</f>
        <v>0</v>
      </c>
      <c r="M112" s="18">
        <f t="shared" si="85"/>
        <v>0</v>
      </c>
      <c r="N112" s="18">
        <f t="shared" si="85"/>
        <v>0</v>
      </c>
      <c r="O112" s="18">
        <f t="shared" si="85"/>
        <v>0</v>
      </c>
      <c r="P112" s="18">
        <f t="shared" si="85"/>
        <v>0</v>
      </c>
      <c r="Q112" s="18">
        <f t="shared" si="85"/>
        <v>0</v>
      </c>
      <c r="R112" s="11" t="str">
        <f t="shared" si="62"/>
        <v>3.OB.010</v>
      </c>
      <c r="S112" s="22">
        <f t="shared" si="60"/>
        <v>0</v>
      </c>
    </row>
    <row r="113" spans="1:22" x14ac:dyDescent="0.35">
      <c r="A113" s="9">
        <v>3</v>
      </c>
      <c r="B113" s="9" t="s">
        <v>295</v>
      </c>
      <c r="C113" s="10" t="s">
        <v>236</v>
      </c>
      <c r="D113" s="9"/>
      <c r="E113" t="s">
        <v>296</v>
      </c>
      <c r="F113" s="11" t="s">
        <v>7</v>
      </c>
      <c r="G113" s="12"/>
      <c r="H113" s="12"/>
      <c r="I113" s="18">
        <v>140619.24</v>
      </c>
      <c r="J113" s="18">
        <v>136713.15</v>
      </c>
      <c r="K113" s="18">
        <f>J113*K102</f>
        <v>155852.99099999998</v>
      </c>
      <c r="L113" s="18">
        <f t="shared" ref="L113:Q113" si="86">K113*L102</f>
        <v>177672.40973999997</v>
      </c>
      <c r="M113" s="18">
        <f t="shared" si="86"/>
        <v>202546.54710359997</v>
      </c>
      <c r="N113" s="18">
        <f t="shared" si="86"/>
        <v>230903.06369810394</v>
      </c>
      <c r="O113" s="18">
        <f t="shared" si="86"/>
        <v>263229.49261583848</v>
      </c>
      <c r="P113" s="18">
        <f t="shared" si="86"/>
        <v>300081.62158205581</v>
      </c>
      <c r="Q113" s="18">
        <f t="shared" si="86"/>
        <v>342093.0486035436</v>
      </c>
      <c r="R113" s="11" t="str">
        <f t="shared" si="62"/>
        <v>3.OB.011</v>
      </c>
      <c r="S113" s="22">
        <f t="shared" si="60"/>
        <v>138666.19500000001</v>
      </c>
      <c r="T113" s="22">
        <f t="shared" si="60"/>
        <v>144395.12700000001</v>
      </c>
      <c r="U113" s="22">
        <f t="shared" si="60"/>
        <v>156746.18357999998</v>
      </c>
      <c r="V113" s="22">
        <f t="shared" si="60"/>
        <v>178690.64928119999</v>
      </c>
    </row>
    <row r="114" spans="1:22" x14ac:dyDescent="0.35">
      <c r="A114" s="9">
        <v>3</v>
      </c>
      <c r="B114" s="9" t="s">
        <v>295</v>
      </c>
      <c r="C114" s="10" t="s">
        <v>238</v>
      </c>
      <c r="D114" s="9"/>
      <c r="E114" t="s">
        <v>74</v>
      </c>
      <c r="F114" s="11" t="s">
        <v>181</v>
      </c>
      <c r="G114" s="12"/>
      <c r="H114" s="12"/>
      <c r="I114" s="18">
        <v>92000</v>
      </c>
      <c r="J114" s="18">
        <f t="shared" ref="J114" si="87">I114*1.05</f>
        <v>96600</v>
      </c>
      <c r="K114" s="18">
        <f>J114*K102</f>
        <v>110123.99999999999</v>
      </c>
      <c r="L114" s="18">
        <f t="shared" ref="L114:Q114" si="88">K114*L102</f>
        <v>125541.35999999997</v>
      </c>
      <c r="M114" s="18">
        <f t="shared" si="88"/>
        <v>143117.15039999995</v>
      </c>
      <c r="N114" s="18">
        <f t="shared" si="88"/>
        <v>163153.55145599993</v>
      </c>
      <c r="O114" s="18">
        <f t="shared" si="88"/>
        <v>185995.0486598399</v>
      </c>
      <c r="P114" s="18">
        <f t="shared" si="88"/>
        <v>212034.35547221746</v>
      </c>
      <c r="Q114" s="18">
        <f t="shared" si="88"/>
        <v>241719.16523832787</v>
      </c>
      <c r="R114" s="11" t="str">
        <f t="shared" si="62"/>
        <v>3.OB.012</v>
      </c>
      <c r="S114" s="22">
        <f t="shared" si="60"/>
        <v>94300</v>
      </c>
      <c r="T114" s="22">
        <f t="shared" si="60"/>
        <v>99574.666666666672</v>
      </c>
      <c r="U114" s="22">
        <f t="shared" si="60"/>
        <v>110755.12</v>
      </c>
      <c r="V114" s="22">
        <f t="shared" si="60"/>
        <v>126260.83679999998</v>
      </c>
    </row>
    <row r="115" spans="1:22" x14ac:dyDescent="0.35">
      <c r="A115" s="9">
        <v>3</v>
      </c>
      <c r="B115" s="9" t="s">
        <v>295</v>
      </c>
      <c r="C115" s="10" t="s">
        <v>240</v>
      </c>
      <c r="D115" s="9"/>
      <c r="E115" s="11" t="s">
        <v>75</v>
      </c>
      <c r="F115" s="11" t="s">
        <v>63</v>
      </c>
      <c r="G115" s="12"/>
      <c r="H115" s="12"/>
      <c r="I115" s="18">
        <v>0</v>
      </c>
      <c r="J115" s="18">
        <f t="shared" si="84"/>
        <v>0</v>
      </c>
      <c r="K115" s="18">
        <f>J115*K102</f>
        <v>0</v>
      </c>
      <c r="L115" s="18">
        <f t="shared" ref="L115:Q115" si="89">K115*L102</f>
        <v>0</v>
      </c>
      <c r="M115" s="18">
        <f t="shared" si="89"/>
        <v>0</v>
      </c>
      <c r="N115" s="18">
        <f t="shared" si="89"/>
        <v>0</v>
      </c>
      <c r="O115" s="18">
        <f t="shared" si="89"/>
        <v>0</v>
      </c>
      <c r="P115" s="18">
        <f t="shared" si="89"/>
        <v>0</v>
      </c>
      <c r="Q115" s="18">
        <f t="shared" si="89"/>
        <v>0</v>
      </c>
      <c r="R115" s="11" t="str">
        <f t="shared" si="62"/>
        <v>3.OB.013</v>
      </c>
      <c r="S115" s="22">
        <f t="shared" si="60"/>
        <v>0</v>
      </c>
    </row>
    <row r="116" spans="1:22" x14ac:dyDescent="0.35">
      <c r="A116" s="9">
        <v>3</v>
      </c>
      <c r="B116" s="9" t="s">
        <v>295</v>
      </c>
      <c r="C116" s="10" t="s">
        <v>242</v>
      </c>
      <c r="D116" s="9"/>
      <c r="E116" s="11" t="s">
        <v>297</v>
      </c>
      <c r="F116" s="11" t="s">
        <v>475</v>
      </c>
      <c r="G116" s="12"/>
      <c r="H116" s="12"/>
      <c r="I116" s="18">
        <v>73807.199999999997</v>
      </c>
      <c r="J116" s="18">
        <f t="shared" ref="J116" si="90">I116*1.05</f>
        <v>77497.56</v>
      </c>
      <c r="K116" s="18">
        <f>J116*K102</f>
        <v>88347.218399999983</v>
      </c>
      <c r="L116" s="18">
        <f t="shared" ref="L116:Q116" si="91">K116*L102</f>
        <v>100715.82897599998</v>
      </c>
      <c r="M116" s="18">
        <f t="shared" si="91"/>
        <v>114816.04503263996</v>
      </c>
      <c r="N116" s="18">
        <f t="shared" si="91"/>
        <v>130890.29133720954</v>
      </c>
      <c r="O116" s="18">
        <f t="shared" si="91"/>
        <v>149214.93212441885</v>
      </c>
      <c r="P116" s="18">
        <f t="shared" si="91"/>
        <v>170105.02262183747</v>
      </c>
      <c r="Q116" s="18">
        <f t="shared" si="91"/>
        <v>193919.72578889469</v>
      </c>
      <c r="R116" s="11" t="str">
        <f t="shared" si="62"/>
        <v>3.OB.014</v>
      </c>
      <c r="S116" s="22">
        <f t="shared" si="60"/>
        <v>75652.38</v>
      </c>
      <c r="T116" s="22">
        <f>AVERAGE(I116:K116)</f>
        <v>79883.992799999993</v>
      </c>
      <c r="U116" s="22">
        <f>AVERAGE(J116:L116)</f>
        <v>88853.535791999995</v>
      </c>
      <c r="V116" s="22">
        <f>AVERAGE(K116:M116)</f>
        <v>101293.03080287999</v>
      </c>
    </row>
    <row r="117" spans="1:22" x14ac:dyDescent="0.35">
      <c r="A117" s="9">
        <v>3</v>
      </c>
      <c r="B117" s="9" t="s">
        <v>295</v>
      </c>
      <c r="C117" s="10" t="s">
        <v>244</v>
      </c>
      <c r="D117" s="9"/>
      <c r="E117" s="11" t="s">
        <v>610</v>
      </c>
      <c r="F117" s="11" t="s">
        <v>63</v>
      </c>
      <c r="G117" s="12"/>
      <c r="H117" s="12"/>
      <c r="I117" s="18">
        <v>55024.92</v>
      </c>
      <c r="J117" s="18">
        <v>53496.45</v>
      </c>
      <c r="K117" s="18">
        <f>J117*K102</f>
        <v>60985.952999999994</v>
      </c>
      <c r="L117" s="18">
        <f t="shared" ref="L117:Q117" si="92">K117*L102</f>
        <v>69523.986419999987</v>
      </c>
      <c r="M117" s="18">
        <f t="shared" si="92"/>
        <v>79257.344518799975</v>
      </c>
      <c r="N117" s="18">
        <f t="shared" si="92"/>
        <v>90353.372751431962</v>
      </c>
      <c r="O117" s="18">
        <f t="shared" si="92"/>
        <v>103002.84493663242</v>
      </c>
      <c r="P117" s="18">
        <f t="shared" si="92"/>
        <v>117423.24322776095</v>
      </c>
      <c r="Q117" s="18">
        <f t="shared" si="92"/>
        <v>133862.49727964748</v>
      </c>
      <c r="R117" s="11" t="str">
        <f t="shared" si="62"/>
        <v>3.OB.015</v>
      </c>
      <c r="S117" s="22">
        <f t="shared" si="60"/>
        <v>54260.684999999998</v>
      </c>
    </row>
    <row r="118" spans="1:22" x14ac:dyDescent="0.35">
      <c r="A118" s="9"/>
      <c r="B118" s="9"/>
      <c r="C118" s="10"/>
      <c r="D118" s="9"/>
      <c r="E118" s="11" t="s">
        <v>633</v>
      </c>
      <c r="F118" s="11" t="s">
        <v>63</v>
      </c>
      <c r="G118" s="12"/>
      <c r="H118" s="12"/>
      <c r="I118" s="18"/>
      <c r="J118" s="18">
        <v>148601.25</v>
      </c>
      <c r="K118" s="18">
        <f>J118*K102</f>
        <v>169405.42499999999</v>
      </c>
      <c r="L118" s="18">
        <f t="shared" ref="L118:Q118" si="93">K118*L102</f>
        <v>193122.18449999997</v>
      </c>
      <c r="M118" s="18">
        <f t="shared" si="93"/>
        <v>220159.29032999996</v>
      </c>
      <c r="N118" s="18">
        <f t="shared" si="93"/>
        <v>250981.59097619992</v>
      </c>
      <c r="O118" s="18">
        <f t="shared" si="93"/>
        <v>286119.01371286786</v>
      </c>
      <c r="P118" s="18">
        <f t="shared" si="93"/>
        <v>326175.67563266936</v>
      </c>
      <c r="Q118" s="18">
        <f t="shared" si="93"/>
        <v>371840.27022124303</v>
      </c>
      <c r="R118" s="11"/>
    </row>
    <row r="119" spans="1:22" x14ac:dyDescent="0.35">
      <c r="A119" s="9">
        <v>3</v>
      </c>
      <c r="B119" s="9" t="s">
        <v>295</v>
      </c>
      <c r="C119" s="10" t="s">
        <v>245</v>
      </c>
      <c r="D119" s="9"/>
      <c r="E119" s="11" t="s">
        <v>298</v>
      </c>
      <c r="F119" s="11" t="s">
        <v>63</v>
      </c>
      <c r="G119" s="12"/>
      <c r="H119" s="12"/>
      <c r="I119" s="18">
        <v>0</v>
      </c>
      <c r="J119" s="18">
        <f t="shared" si="84"/>
        <v>0</v>
      </c>
      <c r="K119" s="18">
        <f>J119*K102</f>
        <v>0</v>
      </c>
      <c r="L119" s="18">
        <f t="shared" ref="L119:Q119" si="94">K119*L102</f>
        <v>0</v>
      </c>
      <c r="M119" s="18">
        <f t="shared" si="94"/>
        <v>0</v>
      </c>
      <c r="N119" s="18">
        <f t="shared" si="94"/>
        <v>0</v>
      </c>
      <c r="O119" s="18">
        <f t="shared" si="94"/>
        <v>0</v>
      </c>
      <c r="P119" s="18">
        <f t="shared" si="94"/>
        <v>0</v>
      </c>
      <c r="Q119" s="18">
        <f t="shared" si="94"/>
        <v>0</v>
      </c>
      <c r="R119" s="11" t="str">
        <f>A119&amp;"."&amp;B119&amp;"."&amp;C119</f>
        <v>3.OB.016</v>
      </c>
      <c r="S119" s="22">
        <f t="shared" si="60"/>
        <v>0</v>
      </c>
    </row>
    <row r="120" spans="1:22" x14ac:dyDescent="0.35">
      <c r="A120" s="9">
        <v>3</v>
      </c>
      <c r="B120" s="9" t="s">
        <v>295</v>
      </c>
      <c r="C120" s="10" t="s">
        <v>247</v>
      </c>
      <c r="D120" s="9"/>
      <c r="E120" s="11" t="s">
        <v>299</v>
      </c>
      <c r="F120" s="11" t="s">
        <v>63</v>
      </c>
      <c r="G120" s="12"/>
      <c r="H120" s="12"/>
      <c r="I120" s="18">
        <v>0</v>
      </c>
      <c r="J120" s="18">
        <f t="shared" si="84"/>
        <v>0</v>
      </c>
      <c r="K120" s="18">
        <f>J120*K102</f>
        <v>0</v>
      </c>
      <c r="L120" s="18">
        <f t="shared" ref="L120:Q120" si="95">K120*L102</f>
        <v>0</v>
      </c>
      <c r="M120" s="18">
        <f t="shared" si="95"/>
        <v>0</v>
      </c>
      <c r="N120" s="18">
        <f t="shared" si="95"/>
        <v>0</v>
      </c>
      <c r="O120" s="18">
        <f t="shared" si="95"/>
        <v>0</v>
      </c>
      <c r="P120" s="18">
        <f t="shared" si="95"/>
        <v>0</v>
      </c>
      <c r="Q120" s="18">
        <f t="shared" si="95"/>
        <v>0</v>
      </c>
      <c r="R120" s="11" t="str">
        <f>A120&amp;"."&amp;B120&amp;"."&amp;C120</f>
        <v>3.OB.017</v>
      </c>
      <c r="S120" s="22">
        <f t="shared" si="60"/>
        <v>0</v>
      </c>
    </row>
    <row r="121" spans="1:22" x14ac:dyDescent="0.35">
      <c r="A121" s="9">
        <v>3</v>
      </c>
      <c r="B121" s="9" t="s">
        <v>295</v>
      </c>
      <c r="C121" s="10" t="s">
        <v>249</v>
      </c>
      <c r="D121" s="9"/>
      <c r="E121" s="11" t="s">
        <v>76</v>
      </c>
      <c r="F121" s="11" t="s">
        <v>77</v>
      </c>
      <c r="G121" s="12"/>
      <c r="H121" s="12"/>
      <c r="I121" s="18">
        <v>0</v>
      </c>
      <c r="J121" s="18">
        <f t="shared" si="84"/>
        <v>0</v>
      </c>
      <c r="K121" s="18">
        <f>J121*K102</f>
        <v>0</v>
      </c>
      <c r="L121" s="18">
        <f t="shared" ref="L121:Q121" si="96">K121*L102</f>
        <v>0</v>
      </c>
      <c r="M121" s="18">
        <f t="shared" si="96"/>
        <v>0</v>
      </c>
      <c r="N121" s="18">
        <f t="shared" si="96"/>
        <v>0</v>
      </c>
      <c r="O121" s="18">
        <f t="shared" si="96"/>
        <v>0</v>
      </c>
      <c r="P121" s="18">
        <f t="shared" si="96"/>
        <v>0</v>
      </c>
      <c r="Q121" s="18">
        <f t="shared" si="96"/>
        <v>0</v>
      </c>
      <c r="R121" s="11" t="str">
        <f t="shared" si="62"/>
        <v>3.OB.018</v>
      </c>
      <c r="S121" s="22">
        <f t="shared" si="60"/>
        <v>0</v>
      </c>
    </row>
    <row r="122" spans="1:22" x14ac:dyDescent="0.35">
      <c r="A122" s="9">
        <v>3</v>
      </c>
      <c r="B122" s="9" t="s">
        <v>295</v>
      </c>
      <c r="C122" s="10" t="s">
        <v>259</v>
      </c>
      <c r="D122" s="9"/>
      <c r="E122" s="11" t="s">
        <v>474</v>
      </c>
      <c r="F122" s="11" t="s">
        <v>63</v>
      </c>
      <c r="G122" s="12"/>
      <c r="H122" s="12"/>
      <c r="I122" s="18">
        <v>0</v>
      </c>
      <c r="J122" s="18">
        <f t="shared" si="84"/>
        <v>0</v>
      </c>
      <c r="K122" s="18">
        <f>J122*K102</f>
        <v>0</v>
      </c>
      <c r="L122" s="18">
        <f t="shared" ref="L122:Q122" si="97">K122*L102</f>
        <v>0</v>
      </c>
      <c r="M122" s="18">
        <f t="shared" si="97"/>
        <v>0</v>
      </c>
      <c r="N122" s="18">
        <f t="shared" si="97"/>
        <v>0</v>
      </c>
      <c r="O122" s="18">
        <f t="shared" si="97"/>
        <v>0</v>
      </c>
      <c r="P122" s="18">
        <f t="shared" si="97"/>
        <v>0</v>
      </c>
      <c r="Q122" s="18">
        <f t="shared" si="97"/>
        <v>0</v>
      </c>
      <c r="R122" s="11" t="str">
        <f>A122&amp;"."&amp;B122&amp;"."&amp;C122</f>
        <v>3.OB.019</v>
      </c>
      <c r="S122" s="22">
        <f t="shared" si="60"/>
        <v>0</v>
      </c>
    </row>
    <row r="123" spans="1:22" x14ac:dyDescent="0.35">
      <c r="A123" s="9">
        <v>3</v>
      </c>
      <c r="B123" s="9" t="s">
        <v>295</v>
      </c>
      <c r="C123" s="10" t="s">
        <v>260</v>
      </c>
      <c r="D123" s="9"/>
      <c r="E123" s="11" t="s">
        <v>503</v>
      </c>
      <c r="F123" s="11" t="s">
        <v>7</v>
      </c>
      <c r="G123" s="12"/>
      <c r="H123" s="12"/>
      <c r="I123" s="18">
        <v>150000</v>
      </c>
      <c r="J123" s="18">
        <f t="shared" ref="J123:J124" si="98">I123*1.05</f>
        <v>157500</v>
      </c>
      <c r="K123" s="18">
        <f>J123*K102</f>
        <v>179549.99999999997</v>
      </c>
      <c r="L123" s="18">
        <f t="shared" ref="L123:Q123" si="99">K123*L102</f>
        <v>204686.99999999994</v>
      </c>
      <c r="M123" s="18">
        <f t="shared" si="99"/>
        <v>233343.17999999991</v>
      </c>
      <c r="N123" s="18">
        <f t="shared" si="99"/>
        <v>266011.22519999987</v>
      </c>
      <c r="O123" s="18">
        <f t="shared" si="99"/>
        <v>303252.79672799981</v>
      </c>
      <c r="P123" s="18">
        <f t="shared" si="99"/>
        <v>345708.18826991977</v>
      </c>
      <c r="Q123" s="18">
        <f t="shared" si="99"/>
        <v>394107.33462770854</v>
      </c>
      <c r="R123" s="11" t="str">
        <f t="shared" si="62"/>
        <v>3.OB.020</v>
      </c>
      <c r="S123" s="22">
        <f t="shared" si="60"/>
        <v>153750</v>
      </c>
      <c r="T123" s="22">
        <f t="shared" si="60"/>
        <v>162350</v>
      </c>
      <c r="U123" s="22">
        <f t="shared" si="60"/>
        <v>180579</v>
      </c>
      <c r="V123" s="22">
        <f t="shared" si="60"/>
        <v>205860.05999999994</v>
      </c>
    </row>
    <row r="124" spans="1:22" x14ac:dyDescent="0.35">
      <c r="A124" s="9">
        <v>3</v>
      </c>
      <c r="B124" s="9" t="s">
        <v>295</v>
      </c>
      <c r="C124" s="10" t="s">
        <v>261</v>
      </c>
      <c r="D124" s="9"/>
      <c r="E124" s="11" t="s">
        <v>504</v>
      </c>
      <c r="F124" s="11" t="s">
        <v>63</v>
      </c>
      <c r="G124" s="12"/>
      <c r="H124" s="12"/>
      <c r="I124" s="18">
        <v>135000</v>
      </c>
      <c r="J124" s="18">
        <f t="shared" si="98"/>
        <v>141750</v>
      </c>
      <c r="K124" s="18">
        <f>J124*K102</f>
        <v>161595</v>
      </c>
      <c r="L124" s="18">
        <f t="shared" ref="L124:Q124" si="100">K124*L102</f>
        <v>184218.3</v>
      </c>
      <c r="M124" s="18">
        <f t="shared" si="100"/>
        <v>210008.86199999996</v>
      </c>
      <c r="N124" s="18">
        <f t="shared" si="100"/>
        <v>239410.10267999995</v>
      </c>
      <c r="O124" s="18">
        <f t="shared" si="100"/>
        <v>272927.51705519995</v>
      </c>
      <c r="P124" s="18">
        <f t="shared" si="100"/>
        <v>311137.36944292794</v>
      </c>
      <c r="Q124" s="18">
        <f t="shared" si="100"/>
        <v>354696.60116493783</v>
      </c>
      <c r="R124" s="11" t="str">
        <f>A124&amp;"."&amp;B124&amp;"."&amp;C124</f>
        <v>3.OB.021</v>
      </c>
      <c r="S124" s="22">
        <f t="shared" si="60"/>
        <v>138375</v>
      </c>
      <c r="T124" s="22">
        <f t="shared" si="60"/>
        <v>146115</v>
      </c>
      <c r="U124" s="22">
        <f t="shared" si="60"/>
        <v>162521.1</v>
      </c>
      <c r="V124" s="22">
        <f t="shared" si="60"/>
        <v>185274.054</v>
      </c>
    </row>
    <row r="125" spans="1:22" x14ac:dyDescent="0.35">
      <c r="A125" s="9">
        <v>3</v>
      </c>
      <c r="B125" s="9" t="s">
        <v>295</v>
      </c>
      <c r="C125" s="10" t="s">
        <v>262</v>
      </c>
      <c r="D125" s="9"/>
      <c r="E125" s="11" t="s">
        <v>512</v>
      </c>
      <c r="F125" s="11" t="s">
        <v>7</v>
      </c>
      <c r="G125" s="12"/>
      <c r="H125" s="12"/>
      <c r="I125" s="18">
        <v>24786</v>
      </c>
      <c r="J125" s="18">
        <v>24097.5</v>
      </c>
      <c r="K125" s="18">
        <f>J125*K102</f>
        <v>27471.149999999998</v>
      </c>
      <c r="L125" s="18">
        <f t="shared" ref="L125:Q125" si="101">K125*L102</f>
        <v>31317.110999999994</v>
      </c>
      <c r="M125" s="18">
        <f t="shared" si="101"/>
        <v>35701.506539999988</v>
      </c>
      <c r="N125" s="18">
        <f t="shared" si="101"/>
        <v>40699.717455599981</v>
      </c>
      <c r="O125" s="18">
        <f t="shared" si="101"/>
        <v>46397.677899383976</v>
      </c>
      <c r="P125" s="18">
        <f t="shared" si="101"/>
        <v>52893.352805297727</v>
      </c>
      <c r="Q125" s="18">
        <f t="shared" si="101"/>
        <v>60298.422198039407</v>
      </c>
      <c r="R125" s="11" t="str">
        <f>A125&amp;"."&amp;B125&amp;"."&amp;C125</f>
        <v>3.OB.022</v>
      </c>
      <c r="S125" s="22">
        <f t="shared" si="60"/>
        <v>24441.75</v>
      </c>
      <c r="T125" s="22">
        <f t="shared" si="60"/>
        <v>25451.55</v>
      </c>
      <c r="U125" s="22">
        <f t="shared" si="60"/>
        <v>27628.586999999996</v>
      </c>
      <c r="V125" s="22">
        <f t="shared" si="60"/>
        <v>31496.589179999992</v>
      </c>
    </row>
    <row r="126" spans="1:22" x14ac:dyDescent="0.35">
      <c r="A126" s="9">
        <v>3</v>
      </c>
      <c r="B126" s="9" t="s">
        <v>295</v>
      </c>
      <c r="C126" s="10" t="s">
        <v>263</v>
      </c>
      <c r="D126" s="9"/>
      <c r="E126" s="11" t="s">
        <v>513</v>
      </c>
      <c r="F126" s="11" t="s">
        <v>7</v>
      </c>
      <c r="G126" s="12"/>
      <c r="H126" s="12"/>
      <c r="I126" s="18">
        <v>67000</v>
      </c>
      <c r="J126" s="18">
        <f t="shared" ref="J126" si="102">I126*1.05</f>
        <v>70350</v>
      </c>
      <c r="K126" s="18">
        <f>J126*K102</f>
        <v>80199</v>
      </c>
      <c r="L126" s="18">
        <f t="shared" ref="L126:Q126" si="103">K126*L102</f>
        <v>91426.859999999986</v>
      </c>
      <c r="M126" s="18">
        <f t="shared" si="103"/>
        <v>104226.62039999997</v>
      </c>
      <c r="N126" s="18">
        <f t="shared" si="103"/>
        <v>118818.34725599995</v>
      </c>
      <c r="O126" s="18">
        <f t="shared" si="103"/>
        <v>135452.91587183994</v>
      </c>
      <c r="P126" s="18">
        <f t="shared" si="103"/>
        <v>154416.32409389751</v>
      </c>
      <c r="Q126" s="18">
        <f t="shared" si="103"/>
        <v>176034.60946704313</v>
      </c>
      <c r="R126" s="11" t="str">
        <f>A126&amp;"."&amp;B126&amp;"."&amp;C126</f>
        <v>3.OB.023</v>
      </c>
      <c r="S126" s="22">
        <f t="shared" si="60"/>
        <v>68675</v>
      </c>
      <c r="T126" s="22">
        <f t="shared" si="60"/>
        <v>72516.333333333328</v>
      </c>
      <c r="U126" s="22">
        <f t="shared" si="60"/>
        <v>80658.62</v>
      </c>
      <c r="V126" s="22">
        <f t="shared" si="60"/>
        <v>91950.826799999981</v>
      </c>
    </row>
    <row r="127" spans="1:22" x14ac:dyDescent="0.35">
      <c r="A127" s="9">
        <v>3</v>
      </c>
      <c r="B127" s="9" t="s">
        <v>295</v>
      </c>
      <c r="C127" s="10" t="s">
        <v>264</v>
      </c>
      <c r="D127" s="9"/>
      <c r="E127" s="11" t="s">
        <v>180</v>
      </c>
      <c r="F127" s="11" t="s">
        <v>7</v>
      </c>
      <c r="G127" s="12"/>
      <c r="H127" s="12"/>
      <c r="I127" s="18"/>
      <c r="J127" s="18"/>
      <c r="K127" s="18"/>
      <c r="L127" s="18"/>
      <c r="M127" s="18"/>
      <c r="N127" s="18"/>
      <c r="O127" s="18"/>
      <c r="P127" s="18"/>
      <c r="Q127" s="18"/>
      <c r="R127" s="11" t="str">
        <f>A127&amp;"."&amp;B127&amp;"."&amp;C127</f>
        <v>3.OB.024</v>
      </c>
    </row>
    <row r="128" spans="1:22" x14ac:dyDescent="0.35">
      <c r="A128" s="7"/>
      <c r="B128" s="7" t="s">
        <v>300</v>
      </c>
      <c r="C128" s="13"/>
      <c r="D128" s="7"/>
      <c r="E128" s="7"/>
      <c r="F128" s="7"/>
      <c r="G128" s="8"/>
      <c r="H128" s="8"/>
      <c r="I128" s="15"/>
      <c r="J128" s="15" t="s">
        <v>647</v>
      </c>
      <c r="K128" s="15"/>
      <c r="L128" s="8"/>
      <c r="M128" s="8"/>
      <c r="N128" s="8"/>
      <c r="O128" s="8"/>
      <c r="P128" s="8"/>
      <c r="Q128" s="8"/>
      <c r="R128" s="7"/>
    </row>
    <row r="129" spans="1:25" x14ac:dyDescent="0.35">
      <c r="A129" s="7"/>
      <c r="B129" s="7"/>
      <c r="C129" s="13"/>
      <c r="D129" s="7"/>
      <c r="E129" s="7"/>
      <c r="F129" s="7"/>
      <c r="G129" s="8"/>
      <c r="H129" s="8"/>
      <c r="I129" s="15" t="s">
        <v>646</v>
      </c>
      <c r="J129" s="55">
        <v>1.4</v>
      </c>
      <c r="K129" s="55">
        <f>J129</f>
        <v>1.4</v>
      </c>
      <c r="L129" s="55">
        <f t="shared" ref="L129:Q129" si="104">K129</f>
        <v>1.4</v>
      </c>
      <c r="M129" s="55">
        <f t="shared" si="104"/>
        <v>1.4</v>
      </c>
      <c r="N129" s="55">
        <f t="shared" si="104"/>
        <v>1.4</v>
      </c>
      <c r="O129" s="55">
        <f t="shared" si="104"/>
        <v>1.4</v>
      </c>
      <c r="P129" s="55">
        <f t="shared" si="104"/>
        <v>1.4</v>
      </c>
      <c r="Q129" s="55">
        <f t="shared" si="104"/>
        <v>1.4</v>
      </c>
      <c r="R129" s="7"/>
    </row>
    <row r="130" spans="1:25" x14ac:dyDescent="0.35">
      <c r="A130" s="9">
        <v>3</v>
      </c>
      <c r="B130" s="9" t="s">
        <v>301</v>
      </c>
      <c r="C130" s="10" t="s">
        <v>224</v>
      </c>
      <c r="D130" s="9"/>
      <c r="E130" t="s">
        <v>78</v>
      </c>
      <c r="F130" s="11" t="s">
        <v>7</v>
      </c>
      <c r="G130" s="12"/>
      <c r="H130" s="12"/>
      <c r="I130" s="18">
        <v>5820</v>
      </c>
      <c r="J130" s="18">
        <v>5820</v>
      </c>
      <c r="K130" s="18">
        <f>J130*K129</f>
        <v>8147.9999999999991</v>
      </c>
      <c r="L130" s="18">
        <f t="shared" ref="L130:Q130" si="105">K130*L129</f>
        <v>11407.199999999999</v>
      </c>
      <c r="M130" s="18">
        <f t="shared" si="105"/>
        <v>15970.079999999998</v>
      </c>
      <c r="N130" s="18">
        <f t="shared" si="105"/>
        <v>22358.111999999997</v>
      </c>
      <c r="O130" s="18">
        <f t="shared" si="105"/>
        <v>31301.356799999994</v>
      </c>
      <c r="P130" s="18">
        <f t="shared" si="105"/>
        <v>43821.899519999992</v>
      </c>
      <c r="Q130" s="18">
        <f t="shared" si="105"/>
        <v>61350.659327999987</v>
      </c>
      <c r="R130" s="11" t="str">
        <f t="shared" si="62"/>
        <v>3.PP.001</v>
      </c>
      <c r="S130" s="22">
        <f t="shared" si="60"/>
        <v>5820</v>
      </c>
      <c r="T130" s="22">
        <f t="shared" si="60"/>
        <v>6596</v>
      </c>
      <c r="U130" s="22">
        <f t="shared" si="60"/>
        <v>8458.4</v>
      </c>
      <c r="V130" s="22">
        <f t="shared" si="60"/>
        <v>11841.76</v>
      </c>
    </row>
    <row r="131" spans="1:25" x14ac:dyDescent="0.35">
      <c r="A131" s="9">
        <v>3</v>
      </c>
      <c r="B131" s="9" t="s">
        <v>301</v>
      </c>
      <c r="C131" s="10" t="s">
        <v>225</v>
      </c>
      <c r="D131" s="9"/>
      <c r="E131" s="11" t="s">
        <v>79</v>
      </c>
      <c r="F131" s="11" t="s">
        <v>7</v>
      </c>
      <c r="G131" s="12"/>
      <c r="H131" s="12"/>
      <c r="I131" s="18">
        <v>2300</v>
      </c>
      <c r="J131" s="18">
        <f>I131*J129</f>
        <v>3220</v>
      </c>
      <c r="K131" s="18">
        <f>J131*K129</f>
        <v>4508</v>
      </c>
      <c r="L131" s="18">
        <f t="shared" ref="L131:Q131" si="106">K131*L129</f>
        <v>6311.2</v>
      </c>
      <c r="M131" s="18">
        <f t="shared" si="106"/>
        <v>8835.6799999999985</v>
      </c>
      <c r="N131" s="18">
        <f t="shared" si="106"/>
        <v>12369.951999999997</v>
      </c>
      <c r="O131" s="18">
        <f t="shared" si="106"/>
        <v>17317.932799999995</v>
      </c>
      <c r="P131" s="18">
        <f t="shared" si="106"/>
        <v>24245.105919999991</v>
      </c>
      <c r="Q131" s="18">
        <f t="shared" si="106"/>
        <v>33943.148287999982</v>
      </c>
      <c r="R131" s="11" t="str">
        <f t="shared" si="62"/>
        <v>3.PP.002</v>
      </c>
      <c r="S131" s="22">
        <f t="shared" si="60"/>
        <v>2760</v>
      </c>
      <c r="T131" s="22">
        <f t="shared" si="60"/>
        <v>3342.6666666666665</v>
      </c>
      <c r="U131" s="22">
        <f t="shared" si="60"/>
        <v>4679.7333333333336</v>
      </c>
      <c r="V131" s="22">
        <f t="shared" si="60"/>
        <v>6551.6266666666661</v>
      </c>
    </row>
    <row r="132" spans="1:25" x14ac:dyDescent="0.35">
      <c r="A132" s="9">
        <v>3</v>
      </c>
      <c r="B132" s="9" t="s">
        <v>301</v>
      </c>
      <c r="C132" s="10" t="s">
        <v>226</v>
      </c>
      <c r="D132" s="9"/>
      <c r="E132" s="11" t="s">
        <v>80</v>
      </c>
      <c r="F132" s="11" t="s">
        <v>7</v>
      </c>
      <c r="G132" s="12"/>
      <c r="H132" s="12"/>
      <c r="I132" s="18"/>
      <c r="J132" s="18"/>
      <c r="K132" s="18"/>
      <c r="L132" s="18"/>
      <c r="M132" s="18"/>
      <c r="N132" s="18"/>
      <c r="O132" s="18"/>
      <c r="P132" s="18"/>
      <c r="Q132" s="18"/>
      <c r="R132" s="11" t="str">
        <f t="shared" si="62"/>
        <v>3.PP.003</v>
      </c>
    </row>
    <row r="133" spans="1:25" x14ac:dyDescent="0.35">
      <c r="A133" s="9">
        <v>3</v>
      </c>
      <c r="B133" s="9" t="s">
        <v>301</v>
      </c>
      <c r="C133" s="10" t="s">
        <v>227</v>
      </c>
      <c r="D133" s="9"/>
      <c r="E133" t="s">
        <v>81</v>
      </c>
      <c r="F133" s="11" t="s">
        <v>7</v>
      </c>
      <c r="G133" s="12"/>
      <c r="H133" s="12"/>
      <c r="I133" s="18">
        <v>3328.6680000000001</v>
      </c>
      <c r="J133" s="18">
        <f>I133*J129</f>
        <v>4660.1351999999997</v>
      </c>
      <c r="K133" s="18">
        <f>J133*K129</f>
        <v>6524.1892799999996</v>
      </c>
      <c r="L133" s="18">
        <f t="shared" ref="L133:Q133" si="107">K133*L129</f>
        <v>9133.8649919999989</v>
      </c>
      <c r="M133" s="18">
        <f t="shared" si="107"/>
        <v>12787.410988799998</v>
      </c>
      <c r="N133" s="18">
        <f t="shared" si="107"/>
        <v>17902.375384319996</v>
      </c>
      <c r="O133" s="18">
        <f t="shared" si="107"/>
        <v>25063.325538047993</v>
      </c>
      <c r="P133" s="18">
        <f t="shared" si="107"/>
        <v>35088.655753267187</v>
      </c>
      <c r="Q133" s="18">
        <f t="shared" si="107"/>
        <v>49124.118054574057</v>
      </c>
      <c r="R133" s="11" t="str">
        <f t="shared" si="62"/>
        <v>3.PP.004</v>
      </c>
      <c r="S133" s="22">
        <f t="shared" si="60"/>
        <v>3994.4016000000001</v>
      </c>
      <c r="T133" s="22">
        <f>AVERAGE(I133:K133)</f>
        <v>4837.6641600000003</v>
      </c>
      <c r="U133" s="22">
        <f>AVERAGE(J133:L133)</f>
        <v>6772.7298239999991</v>
      </c>
      <c r="V133" s="22">
        <f>AVERAGE(K133:M133)</f>
        <v>9481.8217535999993</v>
      </c>
    </row>
    <row r="134" spans="1:25" x14ac:dyDescent="0.35">
      <c r="A134" s="9">
        <v>3</v>
      </c>
      <c r="B134" s="9" t="s">
        <v>301</v>
      </c>
      <c r="C134" s="10" t="s">
        <v>228</v>
      </c>
      <c r="D134" s="9"/>
      <c r="E134" s="11" t="s">
        <v>607</v>
      </c>
      <c r="F134" s="11" t="s">
        <v>7</v>
      </c>
      <c r="G134" s="12"/>
      <c r="H134" s="12"/>
      <c r="I134" s="18">
        <v>5354.5</v>
      </c>
      <c r="J134" s="18">
        <v>5040</v>
      </c>
      <c r="K134" s="18">
        <f>J134*K129</f>
        <v>7056</v>
      </c>
      <c r="L134" s="18">
        <f t="shared" ref="L134:Q134" si="108">K134*L129</f>
        <v>9878.4</v>
      </c>
      <c r="M134" s="18">
        <f t="shared" si="108"/>
        <v>13829.759999999998</v>
      </c>
      <c r="N134" s="18">
        <f t="shared" si="108"/>
        <v>19361.663999999997</v>
      </c>
      <c r="O134" s="18">
        <f t="shared" si="108"/>
        <v>27106.329599999994</v>
      </c>
      <c r="P134" s="18">
        <f t="shared" si="108"/>
        <v>37948.861439999986</v>
      </c>
      <c r="Q134" s="18">
        <f t="shared" si="108"/>
        <v>53128.406015999979</v>
      </c>
      <c r="R134" s="11" t="str">
        <f t="shared" si="62"/>
        <v>3.PP.005</v>
      </c>
    </row>
    <row r="135" spans="1:25" x14ac:dyDescent="0.35">
      <c r="A135" s="9">
        <v>3</v>
      </c>
      <c r="B135" s="9" t="s">
        <v>301</v>
      </c>
      <c r="C135" s="10" t="s">
        <v>229</v>
      </c>
      <c r="D135" s="9"/>
      <c r="E135" s="11" t="s">
        <v>83</v>
      </c>
      <c r="F135" s="11" t="s">
        <v>7</v>
      </c>
      <c r="G135" s="12"/>
      <c r="H135" s="12"/>
      <c r="I135" s="18"/>
      <c r="J135" s="18"/>
      <c r="K135" s="18"/>
      <c r="L135" s="18"/>
      <c r="M135" s="18"/>
      <c r="N135" s="18"/>
      <c r="O135" s="18"/>
      <c r="P135" s="18"/>
      <c r="Q135" s="18"/>
      <c r="R135" s="11" t="str">
        <f t="shared" si="62"/>
        <v>3.PP.006</v>
      </c>
    </row>
    <row r="136" spans="1:25" x14ac:dyDescent="0.35">
      <c r="A136" s="9">
        <v>3</v>
      </c>
      <c r="B136" s="9" t="s">
        <v>301</v>
      </c>
      <c r="C136" s="10" t="s">
        <v>230</v>
      </c>
      <c r="D136" s="9"/>
      <c r="E136" s="11" t="s">
        <v>302</v>
      </c>
      <c r="F136" s="11" t="s">
        <v>7</v>
      </c>
      <c r="G136" s="12"/>
      <c r="H136" s="12"/>
      <c r="I136" s="18">
        <v>0</v>
      </c>
      <c r="J136" s="18">
        <f>I136*J129</f>
        <v>0</v>
      </c>
      <c r="K136" s="18">
        <f t="shared" ref="K136:Q136" si="109">J136*1.1</f>
        <v>0</v>
      </c>
      <c r="L136" s="18">
        <f t="shared" si="109"/>
        <v>0</v>
      </c>
      <c r="M136" s="18">
        <f t="shared" si="109"/>
        <v>0</v>
      </c>
      <c r="N136" s="18">
        <f t="shared" si="109"/>
        <v>0</v>
      </c>
      <c r="O136" s="18">
        <f t="shared" si="109"/>
        <v>0</v>
      </c>
      <c r="P136" s="18">
        <f t="shared" si="109"/>
        <v>0</v>
      </c>
      <c r="Q136" s="18">
        <f t="shared" si="109"/>
        <v>0</v>
      </c>
      <c r="R136" s="11" t="str">
        <f t="shared" si="62"/>
        <v>3.PP.007</v>
      </c>
      <c r="S136" s="22">
        <f t="shared" si="60"/>
        <v>0</v>
      </c>
      <c r="T136" s="22">
        <f t="shared" si="60"/>
        <v>0</v>
      </c>
      <c r="U136" s="22">
        <f t="shared" si="60"/>
        <v>0</v>
      </c>
      <c r="V136" s="22">
        <f t="shared" si="60"/>
        <v>0</v>
      </c>
    </row>
    <row r="137" spans="1:25" x14ac:dyDescent="0.35">
      <c r="A137" s="9">
        <v>3</v>
      </c>
      <c r="B137" s="9" t="s">
        <v>301</v>
      </c>
      <c r="C137" s="10" t="s">
        <v>231</v>
      </c>
      <c r="D137" s="9" t="s">
        <v>510</v>
      </c>
      <c r="E137" s="11" t="s">
        <v>84</v>
      </c>
      <c r="F137" s="11" t="s">
        <v>7</v>
      </c>
      <c r="G137" s="12"/>
      <c r="H137" s="12"/>
      <c r="I137" s="18">
        <v>6152.5</v>
      </c>
      <c r="J137" s="18">
        <f>I137*J129</f>
        <v>8613.5</v>
      </c>
      <c r="K137" s="18">
        <f>J137*K129</f>
        <v>12058.9</v>
      </c>
      <c r="L137" s="18">
        <f t="shared" ref="L137:Q137" si="110">K137*L129</f>
        <v>16882.46</v>
      </c>
      <c r="M137" s="18">
        <f t="shared" si="110"/>
        <v>23635.443999999996</v>
      </c>
      <c r="N137" s="18">
        <f t="shared" si="110"/>
        <v>33089.621599999991</v>
      </c>
      <c r="O137" s="18">
        <f t="shared" si="110"/>
        <v>46325.470239999988</v>
      </c>
      <c r="P137" s="18">
        <f t="shared" si="110"/>
        <v>64855.658335999979</v>
      </c>
      <c r="Q137" s="18">
        <f t="shared" si="110"/>
        <v>90797.92167039997</v>
      </c>
      <c r="R137" s="11" t="str">
        <f t="shared" si="62"/>
        <v>3.PP.008</v>
      </c>
      <c r="S137" s="22">
        <f t="shared" si="60"/>
        <v>7383</v>
      </c>
      <c r="T137" s="22">
        <f t="shared" si="60"/>
        <v>8941.6333333333332</v>
      </c>
      <c r="U137" s="22">
        <f t="shared" si="60"/>
        <v>12518.286666666667</v>
      </c>
      <c r="V137" s="22">
        <f t="shared" si="60"/>
        <v>17525.601333333332</v>
      </c>
      <c r="X137" s="22">
        <f>12500*1.11</f>
        <v>13875.000000000002</v>
      </c>
      <c r="Y137" s="4">
        <f>X137+232</f>
        <v>14107.000000000002</v>
      </c>
    </row>
    <row r="138" spans="1:25" x14ac:dyDescent="0.35">
      <c r="A138" s="9">
        <v>3</v>
      </c>
      <c r="B138" s="9" t="s">
        <v>301</v>
      </c>
      <c r="C138" s="10" t="s">
        <v>232</v>
      </c>
      <c r="D138" s="9" t="s">
        <v>510</v>
      </c>
      <c r="E138" s="11" t="s">
        <v>303</v>
      </c>
      <c r="F138" s="11" t="s">
        <v>7</v>
      </c>
      <c r="G138" s="12"/>
      <c r="H138" s="12"/>
      <c r="I138" s="18">
        <v>0</v>
      </c>
      <c r="J138" s="18">
        <f>I138*J129</f>
        <v>0</v>
      </c>
      <c r="K138" s="18">
        <f>J138*K129</f>
        <v>0</v>
      </c>
      <c r="L138" s="18">
        <f t="shared" ref="L138:Q138" si="111">K138*L129</f>
        <v>0</v>
      </c>
      <c r="M138" s="18">
        <f t="shared" si="111"/>
        <v>0</v>
      </c>
      <c r="N138" s="18">
        <f t="shared" si="111"/>
        <v>0</v>
      </c>
      <c r="O138" s="18">
        <f t="shared" si="111"/>
        <v>0</v>
      </c>
      <c r="P138" s="18">
        <f t="shared" si="111"/>
        <v>0</v>
      </c>
      <c r="Q138" s="18">
        <f t="shared" si="111"/>
        <v>0</v>
      </c>
      <c r="R138" s="11" t="str">
        <f t="shared" si="62"/>
        <v>3.PP.009</v>
      </c>
      <c r="S138" s="22">
        <f t="shared" si="60"/>
        <v>0</v>
      </c>
      <c r="T138" s="22">
        <f t="shared" si="60"/>
        <v>0</v>
      </c>
      <c r="U138" s="22">
        <f t="shared" si="60"/>
        <v>0</v>
      </c>
      <c r="V138" s="22">
        <f t="shared" si="60"/>
        <v>0</v>
      </c>
    </row>
    <row r="139" spans="1:25" x14ac:dyDescent="0.35">
      <c r="A139" s="9">
        <v>3</v>
      </c>
      <c r="B139" s="9" t="s">
        <v>301</v>
      </c>
      <c r="C139" s="10" t="s">
        <v>234</v>
      </c>
      <c r="D139" s="9" t="s">
        <v>510</v>
      </c>
      <c r="E139" s="11" t="s">
        <v>574</v>
      </c>
      <c r="F139" s="11" t="s">
        <v>7</v>
      </c>
      <c r="G139" s="12"/>
      <c r="H139" s="12"/>
      <c r="I139" s="18">
        <v>5955.94</v>
      </c>
      <c r="J139" s="18">
        <f>I139*J129</f>
        <v>8338.3159999999989</v>
      </c>
      <c r="K139" s="18">
        <f>J139*K129</f>
        <v>11673.642399999997</v>
      </c>
      <c r="L139" s="18">
        <f t="shared" ref="L139:Q139" si="112">K139*L129</f>
        <v>16343.099359999995</v>
      </c>
      <c r="M139" s="18">
        <f t="shared" si="112"/>
        <v>22880.339103999991</v>
      </c>
      <c r="N139" s="18">
        <f t="shared" si="112"/>
        <v>32032.474745599986</v>
      </c>
      <c r="O139" s="18">
        <f t="shared" si="112"/>
        <v>44845.46464383998</v>
      </c>
      <c r="P139" s="18">
        <f t="shared" si="112"/>
        <v>62783.650501375967</v>
      </c>
      <c r="Q139" s="18">
        <f t="shared" si="112"/>
        <v>87897.110701926344</v>
      </c>
      <c r="R139" s="11" t="str">
        <f t="shared" si="62"/>
        <v>3.PP.010</v>
      </c>
      <c r="S139" s="22">
        <f t="shared" si="60"/>
        <v>7147.1279999999988</v>
      </c>
      <c r="T139" s="22">
        <f t="shared" si="60"/>
        <v>8655.9661333333315</v>
      </c>
      <c r="U139" s="22">
        <f t="shared" si="60"/>
        <v>12118.352586666662</v>
      </c>
      <c r="V139" s="22">
        <f t="shared" si="60"/>
        <v>16965.693621333328</v>
      </c>
      <c r="X139" s="22">
        <f>12000*1.11</f>
        <v>13320.000000000002</v>
      </c>
      <c r="Y139" s="4">
        <f>X139+232</f>
        <v>13552.000000000002</v>
      </c>
    </row>
    <row r="140" spans="1:25" x14ac:dyDescent="0.35">
      <c r="A140" s="9">
        <v>3</v>
      </c>
      <c r="B140" s="9" t="s">
        <v>301</v>
      </c>
      <c r="C140" s="10" t="s">
        <v>236</v>
      </c>
      <c r="D140" s="9"/>
      <c r="E140" s="11" t="s">
        <v>304</v>
      </c>
      <c r="F140" s="11" t="s">
        <v>7</v>
      </c>
      <c r="G140" s="12"/>
      <c r="H140" s="12"/>
      <c r="I140" s="18">
        <v>0</v>
      </c>
      <c r="J140" s="18">
        <f>I140*J129</f>
        <v>0</v>
      </c>
      <c r="K140" s="18">
        <f>J140*K129</f>
        <v>0</v>
      </c>
      <c r="L140" s="18">
        <f t="shared" ref="L140:Q140" si="113">K140*L129</f>
        <v>0</v>
      </c>
      <c r="M140" s="18">
        <f t="shared" si="113"/>
        <v>0</v>
      </c>
      <c r="N140" s="18">
        <f t="shared" si="113"/>
        <v>0</v>
      </c>
      <c r="O140" s="18">
        <f t="shared" si="113"/>
        <v>0</v>
      </c>
      <c r="P140" s="18">
        <f t="shared" si="113"/>
        <v>0</v>
      </c>
      <c r="Q140" s="18">
        <f t="shared" si="113"/>
        <v>0</v>
      </c>
      <c r="R140" s="11" t="str">
        <f>A140&amp;"."&amp;B140&amp;"."&amp;C140</f>
        <v>3.PP.011</v>
      </c>
      <c r="S140" s="22">
        <f t="shared" si="60"/>
        <v>0</v>
      </c>
    </row>
    <row r="141" spans="1:25" x14ac:dyDescent="0.35">
      <c r="A141" s="9">
        <v>3</v>
      </c>
      <c r="B141" s="9" t="s">
        <v>301</v>
      </c>
      <c r="C141" s="10" t="s">
        <v>238</v>
      </c>
      <c r="D141" s="9"/>
      <c r="E141" s="11" t="s">
        <v>85</v>
      </c>
      <c r="F141" s="11" t="s">
        <v>63</v>
      </c>
      <c r="G141" s="12"/>
      <c r="H141" s="12"/>
      <c r="I141" s="18">
        <v>0</v>
      </c>
      <c r="J141" s="18">
        <f>I141*J129</f>
        <v>0</v>
      </c>
      <c r="K141" s="18">
        <f>J141*K129</f>
        <v>0</v>
      </c>
      <c r="L141" s="18">
        <f t="shared" ref="L141:Q141" si="114">K141*L129</f>
        <v>0</v>
      </c>
      <c r="M141" s="18">
        <f t="shared" si="114"/>
        <v>0</v>
      </c>
      <c r="N141" s="18">
        <f t="shared" si="114"/>
        <v>0</v>
      </c>
      <c r="O141" s="18">
        <f t="shared" si="114"/>
        <v>0</v>
      </c>
      <c r="P141" s="18">
        <f t="shared" si="114"/>
        <v>0</v>
      </c>
      <c r="Q141" s="18">
        <f t="shared" si="114"/>
        <v>0</v>
      </c>
      <c r="R141" s="11" t="str">
        <f>A141&amp;"."&amp;B141&amp;"."&amp;C141</f>
        <v>3.PP.012</v>
      </c>
      <c r="S141" s="22">
        <f t="shared" si="60"/>
        <v>0</v>
      </c>
    </row>
    <row r="142" spans="1:25" x14ac:dyDescent="0.35">
      <c r="A142" s="9">
        <v>3</v>
      </c>
      <c r="B142" s="9" t="s">
        <v>301</v>
      </c>
      <c r="C142" s="10" t="s">
        <v>240</v>
      </c>
      <c r="D142" s="9"/>
      <c r="E142" s="11" t="s">
        <v>608</v>
      </c>
      <c r="F142" s="11" t="s">
        <v>7</v>
      </c>
      <c r="G142" s="12"/>
      <c r="H142" s="12"/>
      <c r="I142" s="18">
        <v>42220</v>
      </c>
      <c r="J142" s="18">
        <f>I142*J129</f>
        <v>59107.999999999993</v>
      </c>
      <c r="K142" s="18">
        <f>J142*K129</f>
        <v>82751.199999999983</v>
      </c>
      <c r="L142" s="18">
        <f t="shared" ref="L142:Q142" si="115">K142*L129</f>
        <v>115851.67999999996</v>
      </c>
      <c r="M142" s="18">
        <f t="shared" si="115"/>
        <v>162192.35199999993</v>
      </c>
      <c r="N142" s="18">
        <f t="shared" si="115"/>
        <v>227069.29279999988</v>
      </c>
      <c r="O142" s="18">
        <f t="shared" si="115"/>
        <v>317897.00991999981</v>
      </c>
      <c r="P142" s="18">
        <f t="shared" si="115"/>
        <v>445055.81388799968</v>
      </c>
      <c r="Q142" s="18">
        <f t="shared" si="115"/>
        <v>623078.1394431995</v>
      </c>
      <c r="R142" s="11" t="str">
        <f>A142&amp;"."&amp;B142&amp;"."&amp;C142</f>
        <v>3.PP.013</v>
      </c>
      <c r="S142" s="22">
        <f t="shared" si="60"/>
        <v>50664</v>
      </c>
    </row>
    <row r="143" spans="1:25" x14ac:dyDescent="0.35">
      <c r="A143" s="9">
        <v>3</v>
      </c>
      <c r="B143" s="9" t="s">
        <v>301</v>
      </c>
      <c r="C143" s="10" t="s">
        <v>242</v>
      </c>
      <c r="D143" s="9"/>
      <c r="E143" s="11" t="s">
        <v>82</v>
      </c>
      <c r="F143" s="11" t="s">
        <v>7</v>
      </c>
      <c r="G143" s="12"/>
      <c r="H143" s="12"/>
      <c r="I143" s="18">
        <v>11120</v>
      </c>
      <c r="J143" s="18">
        <f>I143*J129</f>
        <v>15567.999999999998</v>
      </c>
      <c r="K143" s="18">
        <f>J143*K129</f>
        <v>21795.199999999997</v>
      </c>
      <c r="L143" s="18">
        <f t="shared" ref="L143:Q143" si="116">K143*L129</f>
        <v>30513.279999999995</v>
      </c>
      <c r="M143" s="18">
        <f t="shared" si="116"/>
        <v>42718.59199999999</v>
      </c>
      <c r="N143" s="18">
        <f t="shared" si="116"/>
        <v>59806.028799999978</v>
      </c>
      <c r="O143" s="18">
        <f t="shared" si="116"/>
        <v>83728.440319999965</v>
      </c>
      <c r="P143" s="18">
        <f t="shared" si="116"/>
        <v>117219.81644799994</v>
      </c>
      <c r="Q143" s="18">
        <f t="shared" si="116"/>
        <v>164107.7430271999</v>
      </c>
      <c r="R143" s="11" t="str">
        <f>A143&amp;"."&amp;B143&amp;"."&amp;C143</f>
        <v>3.PP.014</v>
      </c>
      <c r="S143" s="22">
        <f t="shared" si="60"/>
        <v>13344</v>
      </c>
    </row>
    <row r="144" spans="1:25" x14ac:dyDescent="0.35">
      <c r="A144" s="9">
        <v>3</v>
      </c>
      <c r="B144" s="9" t="s">
        <v>301</v>
      </c>
      <c r="C144" s="10" t="s">
        <v>244</v>
      </c>
      <c r="D144" s="9"/>
      <c r="E144" s="11" t="s">
        <v>305</v>
      </c>
      <c r="F144" s="11" t="s">
        <v>7</v>
      </c>
      <c r="G144" s="12"/>
      <c r="H144" s="12"/>
      <c r="I144" s="18">
        <v>0</v>
      </c>
      <c r="J144" s="18">
        <f>I144*J129</f>
        <v>0</v>
      </c>
      <c r="K144" s="18">
        <f>J144*K129</f>
        <v>0</v>
      </c>
      <c r="L144" s="18">
        <f t="shared" ref="L144:Q144" si="117">K144*L129</f>
        <v>0</v>
      </c>
      <c r="M144" s="18">
        <f t="shared" si="117"/>
        <v>0</v>
      </c>
      <c r="N144" s="18">
        <f t="shared" si="117"/>
        <v>0</v>
      </c>
      <c r="O144" s="18">
        <f t="shared" si="117"/>
        <v>0</v>
      </c>
      <c r="P144" s="18">
        <f t="shared" si="117"/>
        <v>0</v>
      </c>
      <c r="Q144" s="18">
        <f t="shared" si="117"/>
        <v>0</v>
      </c>
      <c r="R144" s="11" t="str">
        <f>A144&amp;"."&amp;B144&amp;"."&amp;C144</f>
        <v>3.PP.015</v>
      </c>
      <c r="S144" s="22">
        <f t="shared" si="60"/>
        <v>0</v>
      </c>
    </row>
    <row r="145" spans="1:22" x14ac:dyDescent="0.35">
      <c r="A145" s="9">
        <v>3</v>
      </c>
      <c r="B145" s="9" t="s">
        <v>301</v>
      </c>
      <c r="C145" s="10" t="s">
        <v>245</v>
      </c>
      <c r="D145" s="9"/>
      <c r="E145" s="11" t="s">
        <v>306</v>
      </c>
      <c r="F145" s="11" t="s">
        <v>7</v>
      </c>
      <c r="G145" s="12"/>
      <c r="H145" s="12"/>
      <c r="I145" s="18">
        <v>870</v>
      </c>
      <c r="J145" s="18">
        <f>I145*J129</f>
        <v>1218</v>
      </c>
      <c r="K145" s="18">
        <f>J145*K129</f>
        <v>1705.1999999999998</v>
      </c>
      <c r="L145" s="18">
        <f t="shared" ref="L145:Q145" si="118">K145*L129</f>
        <v>2387.2799999999997</v>
      </c>
      <c r="M145" s="18">
        <f t="shared" si="118"/>
        <v>3342.1919999999996</v>
      </c>
      <c r="N145" s="18">
        <f t="shared" si="118"/>
        <v>4679.0687999999991</v>
      </c>
      <c r="O145" s="18">
        <f t="shared" si="118"/>
        <v>6550.6963199999982</v>
      </c>
      <c r="P145" s="18">
        <f t="shared" si="118"/>
        <v>9170.9748479999962</v>
      </c>
      <c r="Q145" s="18">
        <f t="shared" si="118"/>
        <v>12839.364787199995</v>
      </c>
      <c r="R145" s="11" t="str">
        <f t="shared" si="62"/>
        <v>3.PP.016</v>
      </c>
      <c r="S145" s="22">
        <f t="shared" si="60"/>
        <v>1044</v>
      </c>
      <c r="T145" s="22">
        <f t="shared" si="60"/>
        <v>1264.3999999999999</v>
      </c>
      <c r="U145" s="22">
        <f t="shared" si="60"/>
        <v>1770.1599999999999</v>
      </c>
      <c r="V145" s="22">
        <f t="shared" si="60"/>
        <v>2478.2239999999997</v>
      </c>
    </row>
    <row r="146" spans="1:22" x14ac:dyDescent="0.35">
      <c r="A146" s="9">
        <v>3</v>
      </c>
      <c r="B146" s="9" t="s">
        <v>301</v>
      </c>
      <c r="C146" s="10" t="s">
        <v>247</v>
      </c>
      <c r="D146" s="9"/>
      <c r="E146" s="11" t="s">
        <v>523</v>
      </c>
      <c r="F146" s="11" t="s">
        <v>7</v>
      </c>
      <c r="G146" s="12"/>
      <c r="H146" s="12"/>
      <c r="I146" s="18">
        <v>5955.94</v>
      </c>
      <c r="J146" s="18">
        <f>I146*J129</f>
        <v>8338.3159999999989</v>
      </c>
      <c r="K146" s="18">
        <f>J146*K129</f>
        <v>11673.642399999997</v>
      </c>
      <c r="L146" s="18">
        <f t="shared" ref="L146:Q146" si="119">K146*L129</f>
        <v>16343.099359999995</v>
      </c>
      <c r="M146" s="18">
        <f t="shared" si="119"/>
        <v>22880.339103999991</v>
      </c>
      <c r="N146" s="18">
        <f t="shared" si="119"/>
        <v>32032.474745599986</v>
      </c>
      <c r="O146" s="18">
        <f t="shared" si="119"/>
        <v>44845.46464383998</v>
      </c>
      <c r="P146" s="18">
        <f t="shared" si="119"/>
        <v>62783.650501375967</v>
      </c>
      <c r="Q146" s="18">
        <f t="shared" si="119"/>
        <v>87897.110701926344</v>
      </c>
      <c r="R146" s="11" t="str">
        <f t="shared" si="62"/>
        <v>3.PP.017</v>
      </c>
      <c r="S146" s="22">
        <f t="shared" si="60"/>
        <v>7147.1279999999988</v>
      </c>
      <c r="T146" s="22">
        <f t="shared" si="60"/>
        <v>8655.9661333333315</v>
      </c>
      <c r="U146" s="22">
        <f t="shared" si="60"/>
        <v>12118.352586666662</v>
      </c>
      <c r="V146" s="22">
        <f t="shared" si="60"/>
        <v>16965.693621333328</v>
      </c>
    </row>
    <row r="147" spans="1:22" x14ac:dyDescent="0.35">
      <c r="A147" s="9">
        <v>3</v>
      </c>
      <c r="B147" s="9" t="s">
        <v>301</v>
      </c>
      <c r="C147" s="10" t="s">
        <v>249</v>
      </c>
      <c r="D147" s="9"/>
      <c r="E147" s="11" t="s">
        <v>194</v>
      </c>
      <c r="F147" s="11" t="s">
        <v>7</v>
      </c>
      <c r="G147" s="12"/>
      <c r="H147" s="12"/>
      <c r="I147" s="18">
        <v>27310</v>
      </c>
      <c r="J147" s="18">
        <f>I147*J129</f>
        <v>38234</v>
      </c>
      <c r="K147" s="18">
        <f>J147*K129</f>
        <v>53527.6</v>
      </c>
      <c r="L147" s="18">
        <f t="shared" ref="L147:Q147" si="120">K147*L129</f>
        <v>74938.64</v>
      </c>
      <c r="M147" s="18">
        <f t="shared" si="120"/>
        <v>104914.09599999999</v>
      </c>
      <c r="N147" s="18">
        <f t="shared" si="120"/>
        <v>146879.73439999999</v>
      </c>
      <c r="O147" s="18">
        <f t="shared" si="120"/>
        <v>205631.62815999996</v>
      </c>
      <c r="P147" s="18">
        <f t="shared" si="120"/>
        <v>287884.27942399995</v>
      </c>
      <c r="Q147" s="18">
        <f t="shared" si="120"/>
        <v>403037.99119359988</v>
      </c>
      <c r="R147" s="11" t="str">
        <f t="shared" si="62"/>
        <v>3.PP.018</v>
      </c>
      <c r="S147" s="22">
        <f t="shared" si="60"/>
        <v>32772</v>
      </c>
      <c r="T147" s="22">
        <f t="shared" si="60"/>
        <v>39690.533333333333</v>
      </c>
      <c r="U147" s="22">
        <f t="shared" si="60"/>
        <v>55566.746666666666</v>
      </c>
      <c r="V147" s="22">
        <f t="shared" si="60"/>
        <v>77793.445333333322</v>
      </c>
    </row>
    <row r="148" spans="1:22" x14ac:dyDescent="0.35">
      <c r="A148" s="9">
        <v>3</v>
      </c>
      <c r="B148" s="9" t="s">
        <v>301</v>
      </c>
      <c r="C148" s="10" t="s">
        <v>259</v>
      </c>
      <c r="D148" s="9"/>
      <c r="E148" s="11" t="s">
        <v>749</v>
      </c>
      <c r="F148" s="11" t="s">
        <v>8</v>
      </c>
      <c r="G148" s="12"/>
      <c r="H148" s="12"/>
      <c r="I148" s="18">
        <v>700000</v>
      </c>
      <c r="J148" s="18">
        <f>I148*J129</f>
        <v>979999.99999999988</v>
      </c>
      <c r="K148" s="18">
        <f>J148*K129</f>
        <v>1371999.9999999998</v>
      </c>
      <c r="L148" s="18">
        <f t="shared" ref="L148:Q148" si="121">K148*L129</f>
        <v>1920799.9999999995</v>
      </c>
      <c r="M148" s="18">
        <f t="shared" si="121"/>
        <v>2689119.9999999991</v>
      </c>
      <c r="N148" s="18">
        <f t="shared" si="121"/>
        <v>3764767.9999999986</v>
      </c>
      <c r="O148" s="18">
        <f t="shared" si="121"/>
        <v>5270675.1999999974</v>
      </c>
      <c r="P148" s="18">
        <f t="shared" si="121"/>
        <v>7378945.2799999956</v>
      </c>
      <c r="Q148" s="18">
        <f t="shared" si="121"/>
        <v>10330523.391999993</v>
      </c>
      <c r="R148" s="11" t="str">
        <f t="shared" si="62"/>
        <v>3.PP.019</v>
      </c>
      <c r="S148" s="22">
        <f t="shared" si="60"/>
        <v>840000</v>
      </c>
      <c r="T148" s="22">
        <f t="shared" si="60"/>
        <v>1017333.3333333334</v>
      </c>
      <c r="U148" s="22">
        <f t="shared" si="60"/>
        <v>1424266.6666666663</v>
      </c>
      <c r="V148" s="22">
        <f t="shared" si="60"/>
        <v>1993973.3333333328</v>
      </c>
    </row>
    <row r="149" spans="1:22" x14ac:dyDescent="0.35">
      <c r="A149" s="7"/>
      <c r="B149" s="7" t="s">
        <v>86</v>
      </c>
      <c r="C149" s="13"/>
      <c r="D149" s="7"/>
      <c r="E149" s="7"/>
      <c r="F149" s="7"/>
      <c r="G149" s="8"/>
      <c r="H149" s="8"/>
      <c r="I149" s="15"/>
      <c r="J149" s="15" t="s">
        <v>647</v>
      </c>
      <c r="K149" s="15"/>
      <c r="L149" s="8"/>
      <c r="M149" s="8"/>
      <c r="N149" s="8"/>
      <c r="O149" s="8"/>
      <c r="P149" s="8"/>
      <c r="Q149" s="8"/>
      <c r="R149" s="7"/>
    </row>
    <row r="150" spans="1:22" x14ac:dyDescent="0.35">
      <c r="A150" s="7"/>
      <c r="B150" s="7"/>
      <c r="C150" s="13"/>
      <c r="D150" s="7"/>
      <c r="E150" s="7"/>
      <c r="F150" s="7"/>
      <c r="G150" s="8"/>
      <c r="H150" s="8"/>
      <c r="I150" s="15" t="s">
        <v>646</v>
      </c>
      <c r="J150" s="55">
        <v>1.1200000000000001</v>
      </c>
      <c r="K150" s="55">
        <f>J150</f>
        <v>1.1200000000000001</v>
      </c>
      <c r="L150" s="55">
        <f t="shared" ref="L150:Q150" si="122">K150</f>
        <v>1.1200000000000001</v>
      </c>
      <c r="M150" s="55">
        <f t="shared" si="122"/>
        <v>1.1200000000000001</v>
      </c>
      <c r="N150" s="55">
        <f t="shared" si="122"/>
        <v>1.1200000000000001</v>
      </c>
      <c r="O150" s="55">
        <f t="shared" si="122"/>
        <v>1.1200000000000001</v>
      </c>
      <c r="P150" s="55">
        <f t="shared" si="122"/>
        <v>1.1200000000000001</v>
      </c>
      <c r="Q150" s="55">
        <f t="shared" si="122"/>
        <v>1.1200000000000001</v>
      </c>
      <c r="R150" s="7"/>
    </row>
    <row r="151" spans="1:22" x14ac:dyDescent="0.35">
      <c r="A151" s="9">
        <v>3</v>
      </c>
      <c r="B151" s="9" t="s">
        <v>307</v>
      </c>
      <c r="C151" s="10" t="s">
        <v>224</v>
      </c>
      <c r="D151" s="9"/>
      <c r="E151" s="11" t="s">
        <v>87</v>
      </c>
      <c r="F151" s="11" t="s">
        <v>19</v>
      </c>
      <c r="G151" s="12"/>
      <c r="H151" s="12"/>
      <c r="I151" s="18">
        <v>300000</v>
      </c>
      <c r="J151" s="18">
        <f>I151*J150</f>
        <v>336000.00000000006</v>
      </c>
      <c r="K151" s="18">
        <f t="shared" ref="K151:Q151" si="123">J151*K150</f>
        <v>376320.00000000012</v>
      </c>
      <c r="L151" s="18">
        <f t="shared" si="123"/>
        <v>421478.4000000002</v>
      </c>
      <c r="M151" s="18">
        <f t="shared" si="123"/>
        <v>472055.80800000025</v>
      </c>
      <c r="N151" s="18">
        <f t="shared" si="123"/>
        <v>528702.50496000028</v>
      </c>
      <c r="O151" s="18">
        <f t="shared" si="123"/>
        <v>592146.80555520032</v>
      </c>
      <c r="P151" s="18">
        <f t="shared" si="123"/>
        <v>663204.42222182441</v>
      </c>
      <c r="Q151" s="18">
        <f t="shared" si="123"/>
        <v>742788.95288844337</v>
      </c>
      <c r="R151" s="11" t="str">
        <f t="shared" si="62"/>
        <v>3.TP.001</v>
      </c>
    </row>
    <row r="152" spans="1:22" x14ac:dyDescent="0.35">
      <c r="A152" s="9">
        <v>3</v>
      </c>
      <c r="B152" s="9" t="s">
        <v>307</v>
      </c>
      <c r="C152" s="10" t="s">
        <v>225</v>
      </c>
      <c r="D152" s="9"/>
      <c r="E152" s="11" t="s">
        <v>308</v>
      </c>
      <c r="F152" s="11" t="s">
        <v>19</v>
      </c>
      <c r="G152" s="12"/>
      <c r="H152" s="12"/>
      <c r="I152" s="18">
        <v>450000</v>
      </c>
      <c r="J152" s="18">
        <f>I152*J150</f>
        <v>504000.00000000006</v>
      </c>
      <c r="K152" s="18">
        <f t="shared" ref="K152:Q152" si="124">J152*K150</f>
        <v>564480.00000000012</v>
      </c>
      <c r="L152" s="18">
        <f t="shared" si="124"/>
        <v>632217.60000000021</v>
      </c>
      <c r="M152" s="18">
        <f t="shared" si="124"/>
        <v>708083.71200000029</v>
      </c>
      <c r="N152" s="18">
        <f t="shared" si="124"/>
        <v>793053.75744000042</v>
      </c>
      <c r="O152" s="18">
        <f t="shared" si="124"/>
        <v>888220.20833280054</v>
      </c>
      <c r="P152" s="18">
        <f t="shared" si="124"/>
        <v>994806.63333273667</v>
      </c>
      <c r="Q152" s="18">
        <f t="shared" si="124"/>
        <v>1114183.4293326652</v>
      </c>
      <c r="R152" s="11" t="str">
        <f t="shared" si="62"/>
        <v>3.TP.002</v>
      </c>
    </row>
    <row r="153" spans="1:22" x14ac:dyDescent="0.35">
      <c r="A153" s="9">
        <v>3</v>
      </c>
      <c r="B153" s="9" t="s">
        <v>307</v>
      </c>
      <c r="C153" s="10" t="s">
        <v>226</v>
      </c>
      <c r="D153" s="9"/>
      <c r="E153" s="11" t="s">
        <v>309</v>
      </c>
      <c r="F153" s="11" t="s">
        <v>19</v>
      </c>
      <c r="G153" s="12"/>
      <c r="H153" s="12"/>
      <c r="I153" s="18"/>
      <c r="J153" s="18"/>
      <c r="K153" s="18"/>
      <c r="L153" s="18"/>
      <c r="M153" s="18"/>
      <c r="N153" s="18"/>
      <c r="O153" s="18"/>
      <c r="P153" s="18"/>
      <c r="Q153" s="18"/>
      <c r="R153" s="11" t="str">
        <f t="shared" si="62"/>
        <v>3.TP.003</v>
      </c>
    </row>
    <row r="154" spans="1:22" x14ac:dyDescent="0.35">
      <c r="A154" s="9">
        <v>3</v>
      </c>
      <c r="B154" s="9" t="s">
        <v>307</v>
      </c>
      <c r="C154" s="10" t="s">
        <v>227</v>
      </c>
      <c r="D154" s="9"/>
      <c r="E154" s="11" t="s">
        <v>310</v>
      </c>
      <c r="F154" s="11" t="s">
        <v>19</v>
      </c>
      <c r="G154" s="12"/>
      <c r="H154" s="12"/>
      <c r="I154" s="18"/>
      <c r="J154" s="18"/>
      <c r="K154" s="18"/>
      <c r="L154" s="18"/>
      <c r="M154" s="18"/>
      <c r="N154" s="18"/>
      <c r="O154" s="18"/>
      <c r="P154" s="18"/>
      <c r="Q154" s="18"/>
      <c r="R154" s="11" t="str">
        <f t="shared" si="62"/>
        <v>3.TP.004</v>
      </c>
    </row>
    <row r="155" spans="1:22" x14ac:dyDescent="0.35">
      <c r="A155" s="9">
        <v>3</v>
      </c>
      <c r="B155" s="9" t="s">
        <v>307</v>
      </c>
      <c r="C155" s="10" t="s">
        <v>228</v>
      </c>
      <c r="D155" s="9"/>
      <c r="E155" s="11" t="s">
        <v>311</v>
      </c>
      <c r="F155" s="11" t="s">
        <v>19</v>
      </c>
      <c r="G155" s="12"/>
      <c r="H155" s="12"/>
      <c r="I155" s="18"/>
      <c r="J155" s="18"/>
      <c r="K155" s="18"/>
      <c r="L155" s="18"/>
      <c r="M155" s="18"/>
      <c r="N155" s="18"/>
      <c r="O155" s="18"/>
      <c r="P155" s="18"/>
      <c r="Q155" s="18"/>
      <c r="R155" s="11" t="str">
        <f t="shared" si="62"/>
        <v>3.TP.005</v>
      </c>
    </row>
    <row r="156" spans="1:22" x14ac:dyDescent="0.35">
      <c r="A156" s="9">
        <v>3</v>
      </c>
      <c r="B156" s="9" t="s">
        <v>307</v>
      </c>
      <c r="C156" s="10" t="s">
        <v>229</v>
      </c>
      <c r="D156" s="9"/>
      <c r="E156" s="11" t="s">
        <v>312</v>
      </c>
      <c r="F156" s="11" t="s">
        <v>19</v>
      </c>
      <c r="G156" s="12"/>
      <c r="H156" s="12"/>
      <c r="I156" s="18"/>
      <c r="J156" s="18"/>
      <c r="K156" s="18"/>
      <c r="L156" s="18"/>
      <c r="M156" s="18"/>
      <c r="N156" s="18"/>
      <c r="O156" s="18"/>
      <c r="P156" s="18"/>
      <c r="Q156" s="18"/>
      <c r="R156" s="11" t="str">
        <f t="shared" si="62"/>
        <v>3.TP.006</v>
      </c>
    </row>
    <row r="157" spans="1:22" x14ac:dyDescent="0.35">
      <c r="A157" s="9">
        <v>3</v>
      </c>
      <c r="B157" s="9" t="s">
        <v>307</v>
      </c>
      <c r="C157" s="10" t="s">
        <v>230</v>
      </c>
      <c r="D157" s="9"/>
      <c r="E157" s="11" t="s">
        <v>88</v>
      </c>
      <c r="F157" s="11" t="s">
        <v>19</v>
      </c>
      <c r="G157" s="12"/>
      <c r="H157" s="12"/>
      <c r="I157" s="18">
        <v>450000</v>
      </c>
      <c r="J157" s="18">
        <f>I157*J150</f>
        <v>504000.00000000006</v>
      </c>
      <c r="K157" s="18">
        <f t="shared" ref="K157:Q157" si="125">J157*K150</f>
        <v>564480.00000000012</v>
      </c>
      <c r="L157" s="18">
        <f t="shared" si="125"/>
        <v>632217.60000000021</v>
      </c>
      <c r="M157" s="18">
        <f t="shared" si="125"/>
        <v>708083.71200000029</v>
      </c>
      <c r="N157" s="18">
        <f t="shared" si="125"/>
        <v>793053.75744000042</v>
      </c>
      <c r="O157" s="18">
        <f t="shared" si="125"/>
        <v>888220.20833280054</v>
      </c>
      <c r="P157" s="18">
        <f t="shared" si="125"/>
        <v>994806.63333273667</v>
      </c>
      <c r="Q157" s="18">
        <f t="shared" si="125"/>
        <v>1114183.4293326652</v>
      </c>
      <c r="R157" s="11" t="str">
        <f t="shared" si="62"/>
        <v>3.TP.007</v>
      </c>
      <c r="S157" s="22">
        <f>AVERAGE(H157:J157)</f>
        <v>477000</v>
      </c>
      <c r="T157" s="22">
        <f>AVERAGE(I157:K157)</f>
        <v>506160</v>
      </c>
      <c r="U157" s="22">
        <f>AVERAGE(J157:L157)</f>
        <v>566899.20000000019</v>
      </c>
      <c r="V157" s="22">
        <f>AVERAGE(K157:M157)</f>
        <v>634927.10400000017</v>
      </c>
    </row>
    <row r="158" spans="1:22" x14ac:dyDescent="0.35">
      <c r="A158" s="9">
        <v>3</v>
      </c>
      <c r="B158" s="9" t="s">
        <v>307</v>
      </c>
      <c r="C158" s="10" t="s">
        <v>231</v>
      </c>
      <c r="D158" s="9"/>
      <c r="E158" s="11" t="s">
        <v>313</v>
      </c>
      <c r="F158" s="11" t="s">
        <v>19</v>
      </c>
      <c r="G158" s="12"/>
      <c r="H158" s="12"/>
      <c r="I158" s="18"/>
      <c r="J158" s="18"/>
      <c r="K158" s="18"/>
      <c r="L158" s="18"/>
      <c r="M158" s="18"/>
      <c r="N158" s="18"/>
      <c r="O158" s="18"/>
      <c r="P158" s="18"/>
      <c r="Q158" s="18"/>
      <c r="R158" s="11" t="str">
        <f t="shared" si="62"/>
        <v>3.TP.008</v>
      </c>
    </row>
    <row r="159" spans="1:22" x14ac:dyDescent="0.35">
      <c r="A159" s="9">
        <v>3</v>
      </c>
      <c r="B159" s="9" t="s">
        <v>307</v>
      </c>
      <c r="C159" s="10" t="s">
        <v>232</v>
      </c>
      <c r="D159" s="9"/>
      <c r="E159" s="11" t="s">
        <v>314</v>
      </c>
      <c r="F159" s="11" t="s">
        <v>19</v>
      </c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1" t="str">
        <f t="shared" si="62"/>
        <v>3.TP.009</v>
      </c>
    </row>
    <row r="160" spans="1:22" x14ac:dyDescent="0.35">
      <c r="A160" s="9">
        <v>3</v>
      </c>
      <c r="B160" s="9" t="s">
        <v>307</v>
      </c>
      <c r="C160" s="10" t="s">
        <v>234</v>
      </c>
      <c r="D160" s="9"/>
      <c r="E160" s="11" t="s">
        <v>315</v>
      </c>
      <c r="F160" s="11" t="s">
        <v>19</v>
      </c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1" t="str">
        <f t="shared" si="62"/>
        <v>3.TP.010</v>
      </c>
    </row>
    <row r="161" spans="1:22" x14ac:dyDescent="0.35">
      <c r="A161" s="9">
        <v>3</v>
      </c>
      <c r="B161" s="9" t="s">
        <v>307</v>
      </c>
      <c r="C161" s="10" t="s">
        <v>236</v>
      </c>
      <c r="D161" s="9"/>
      <c r="E161" s="11" t="s">
        <v>316</v>
      </c>
      <c r="F161" s="11" t="s">
        <v>19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1" t="str">
        <f t="shared" si="62"/>
        <v>3.TP.011</v>
      </c>
    </row>
    <row r="162" spans="1:22" x14ac:dyDescent="0.35">
      <c r="A162" s="7"/>
      <c r="B162" s="7" t="s">
        <v>317</v>
      </c>
      <c r="C162" s="13"/>
      <c r="D162" s="7"/>
      <c r="E162" s="7"/>
      <c r="F162" s="7"/>
      <c r="G162" s="8"/>
      <c r="H162" s="8"/>
      <c r="I162" s="15"/>
      <c r="J162" s="15" t="s">
        <v>647</v>
      </c>
      <c r="K162" s="15"/>
      <c r="L162" s="8"/>
      <c r="M162" s="8"/>
      <c r="N162" s="8"/>
      <c r="O162" s="8"/>
      <c r="P162" s="8"/>
      <c r="Q162" s="8"/>
      <c r="R162" s="7"/>
    </row>
    <row r="163" spans="1:22" x14ac:dyDescent="0.35">
      <c r="A163" s="7"/>
      <c r="B163" s="7"/>
      <c r="C163" s="13"/>
      <c r="D163" s="7"/>
      <c r="E163" s="7"/>
      <c r="F163" s="7"/>
      <c r="G163" s="8"/>
      <c r="H163" s="8"/>
      <c r="I163" s="15" t="s">
        <v>646</v>
      </c>
      <c r="J163" s="55">
        <v>1.1399999999999999</v>
      </c>
      <c r="K163" s="55">
        <f>J163</f>
        <v>1.1399999999999999</v>
      </c>
      <c r="L163" s="55">
        <f t="shared" ref="L163:Q163" si="126">K163</f>
        <v>1.1399999999999999</v>
      </c>
      <c r="M163" s="55">
        <f t="shared" si="126"/>
        <v>1.1399999999999999</v>
      </c>
      <c r="N163" s="55">
        <f t="shared" si="126"/>
        <v>1.1399999999999999</v>
      </c>
      <c r="O163" s="55">
        <f t="shared" si="126"/>
        <v>1.1399999999999999</v>
      </c>
      <c r="P163" s="55">
        <f t="shared" si="126"/>
        <v>1.1399999999999999</v>
      </c>
      <c r="Q163" s="55">
        <f t="shared" si="126"/>
        <v>1.1399999999999999</v>
      </c>
      <c r="R163" s="7"/>
    </row>
    <row r="164" spans="1:22" x14ac:dyDescent="0.35">
      <c r="A164" s="9">
        <v>3</v>
      </c>
      <c r="B164" s="9" t="s">
        <v>318</v>
      </c>
      <c r="C164" s="10" t="s">
        <v>224</v>
      </c>
      <c r="D164" s="9"/>
      <c r="E164" s="11" t="s">
        <v>642</v>
      </c>
      <c r="F164" s="11" t="s">
        <v>44</v>
      </c>
      <c r="G164" s="12"/>
      <c r="H164" s="12"/>
      <c r="I164" s="18">
        <v>14802750</v>
      </c>
      <c r="J164" s="18">
        <v>15147000</v>
      </c>
      <c r="K164" s="18">
        <f>J164*K163</f>
        <v>17267580</v>
      </c>
      <c r="L164" s="18">
        <f t="shared" ref="L164:Q164" si="127">K164*L163</f>
        <v>19685041.199999999</v>
      </c>
      <c r="M164" s="18">
        <f t="shared" si="127"/>
        <v>22440946.967999998</v>
      </c>
      <c r="N164" s="18">
        <f t="shared" si="127"/>
        <v>25582679.543519996</v>
      </c>
      <c r="O164" s="18">
        <f t="shared" si="127"/>
        <v>29164254.679612793</v>
      </c>
      <c r="P164" s="18">
        <f t="shared" si="127"/>
        <v>33247250.33475858</v>
      </c>
      <c r="Q164" s="18">
        <f t="shared" si="127"/>
        <v>37901865.381624781</v>
      </c>
      <c r="R164" s="11" t="str">
        <f t="shared" ref="R164:R177" si="128">A164&amp;"."&amp;B164&amp;"."&amp;C164</f>
        <v>3.BJ.001</v>
      </c>
      <c r="S164" s="22">
        <f t="shared" ref="S164:V167" si="129">AVERAGE(H164:J164)</f>
        <v>14974875</v>
      </c>
      <c r="T164" s="22">
        <f t="shared" si="129"/>
        <v>15739110</v>
      </c>
      <c r="U164" s="22">
        <f t="shared" si="129"/>
        <v>17366540.400000002</v>
      </c>
      <c r="V164" s="22">
        <f t="shared" si="129"/>
        <v>19797856.055999998</v>
      </c>
    </row>
    <row r="165" spans="1:22" x14ac:dyDescent="0.35">
      <c r="A165" s="9">
        <v>3</v>
      </c>
      <c r="B165" s="9" t="s">
        <v>318</v>
      </c>
      <c r="C165" s="10" t="s">
        <v>224</v>
      </c>
      <c r="D165" s="9"/>
      <c r="E165" s="11" t="s">
        <v>176</v>
      </c>
      <c r="F165" s="11" t="s">
        <v>44</v>
      </c>
      <c r="G165" s="12"/>
      <c r="H165" s="12"/>
      <c r="I165" s="18">
        <v>49342500</v>
      </c>
      <c r="J165" s="18">
        <v>50490000</v>
      </c>
      <c r="K165" s="18">
        <f>J165*K163</f>
        <v>57558599.999999993</v>
      </c>
      <c r="L165" s="18">
        <f t="shared" ref="L165:Q165" si="130">K165*L163</f>
        <v>65616803.999999985</v>
      </c>
      <c r="M165" s="18">
        <f t="shared" si="130"/>
        <v>74803156.559999973</v>
      </c>
      <c r="N165" s="18">
        <f t="shared" si="130"/>
        <v>85275598.478399962</v>
      </c>
      <c r="O165" s="18">
        <f t="shared" si="130"/>
        <v>97214182.265375942</v>
      </c>
      <c r="P165" s="18">
        <f t="shared" si="130"/>
        <v>110824167.78252856</v>
      </c>
      <c r="Q165" s="18">
        <f t="shared" si="130"/>
        <v>126339551.27208255</v>
      </c>
      <c r="R165" s="11" t="str">
        <f t="shared" si="128"/>
        <v>3.BJ.001</v>
      </c>
      <c r="S165" s="22">
        <f t="shared" si="129"/>
        <v>49916250</v>
      </c>
      <c r="T165" s="22">
        <f t="shared" si="129"/>
        <v>52463700</v>
      </c>
      <c r="U165" s="22">
        <f t="shared" si="129"/>
        <v>57888468</v>
      </c>
      <c r="V165" s="22">
        <f t="shared" si="129"/>
        <v>65992853.519999981</v>
      </c>
    </row>
    <row r="166" spans="1:22" x14ac:dyDescent="0.35">
      <c r="A166" s="9">
        <v>3</v>
      </c>
      <c r="B166" s="9" t="s">
        <v>318</v>
      </c>
      <c r="C166" s="10" t="s">
        <v>225</v>
      </c>
      <c r="D166" s="9"/>
      <c r="E166" s="11" t="s">
        <v>177</v>
      </c>
      <c r="F166" s="11" t="s">
        <v>44</v>
      </c>
      <c r="G166" s="12"/>
      <c r="H166" s="12"/>
      <c r="I166" s="18">
        <v>78948000</v>
      </c>
      <c r="J166" s="18">
        <v>80784000</v>
      </c>
      <c r="K166" s="18">
        <f>J166*K163</f>
        <v>92093759.999999985</v>
      </c>
      <c r="L166" s="18">
        <f t="shared" ref="L166:Q166" si="131">K166*L163</f>
        <v>104986886.39999998</v>
      </c>
      <c r="M166" s="18">
        <f t="shared" si="131"/>
        <v>119685050.49599996</v>
      </c>
      <c r="N166" s="18">
        <f t="shared" si="131"/>
        <v>136440957.56543994</v>
      </c>
      <c r="O166" s="18">
        <f t="shared" si="131"/>
        <v>155542691.62460151</v>
      </c>
      <c r="P166" s="18">
        <f t="shared" si="131"/>
        <v>177318668.45204571</v>
      </c>
      <c r="Q166" s="18">
        <f t="shared" si="131"/>
        <v>202143282.03533208</v>
      </c>
      <c r="R166" s="11" t="str">
        <f t="shared" si="128"/>
        <v>3.BJ.002</v>
      </c>
      <c r="S166" s="22">
        <f t="shared" si="129"/>
        <v>79866000</v>
      </c>
      <c r="T166" s="22">
        <f t="shared" si="129"/>
        <v>83941920</v>
      </c>
      <c r="U166" s="22">
        <f t="shared" si="129"/>
        <v>92621548.799999997</v>
      </c>
      <c r="V166" s="22">
        <f t="shared" si="129"/>
        <v>105588565.63199997</v>
      </c>
    </row>
    <row r="167" spans="1:22" x14ac:dyDescent="0.35">
      <c r="A167" s="9">
        <v>3</v>
      </c>
      <c r="B167" s="9" t="s">
        <v>318</v>
      </c>
      <c r="C167" s="10" t="s">
        <v>226</v>
      </c>
      <c r="D167" s="9"/>
      <c r="E167" s="11" t="s">
        <v>178</v>
      </c>
      <c r="F167" s="11" t="s">
        <v>44</v>
      </c>
      <c r="G167" s="12"/>
      <c r="H167" s="12"/>
      <c r="I167" s="18">
        <v>101974500</v>
      </c>
      <c r="J167" s="18">
        <v>104346000</v>
      </c>
      <c r="K167" s="18">
        <f>J167*K163</f>
        <v>118954439.99999999</v>
      </c>
      <c r="L167" s="18">
        <f t="shared" ref="L167:Q167" si="132">K167*L163</f>
        <v>135608061.59999996</v>
      </c>
      <c r="M167" s="18">
        <f t="shared" si="132"/>
        <v>154593190.22399995</v>
      </c>
      <c r="N167" s="18">
        <f t="shared" si="132"/>
        <v>176236236.85535991</v>
      </c>
      <c r="O167" s="18">
        <f t="shared" si="132"/>
        <v>200909310.01511028</v>
      </c>
      <c r="P167" s="18">
        <f t="shared" si="132"/>
        <v>229036613.41722572</v>
      </c>
      <c r="Q167" s="18">
        <f t="shared" si="132"/>
        <v>261101739.29563731</v>
      </c>
      <c r="R167" s="11" t="str">
        <f t="shared" si="128"/>
        <v>3.BJ.003</v>
      </c>
      <c r="S167" s="22">
        <f t="shared" si="129"/>
        <v>103160250</v>
      </c>
      <c r="T167" s="22">
        <f t="shared" si="129"/>
        <v>108424980</v>
      </c>
      <c r="U167" s="22">
        <f t="shared" si="129"/>
        <v>119636167.19999999</v>
      </c>
      <c r="V167" s="22">
        <f t="shared" si="129"/>
        <v>136385230.60799995</v>
      </c>
    </row>
    <row r="168" spans="1:22" x14ac:dyDescent="0.35">
      <c r="A168" s="9">
        <v>3</v>
      </c>
      <c r="B168" s="9" t="s">
        <v>318</v>
      </c>
      <c r="C168" s="10" t="s">
        <v>227</v>
      </c>
      <c r="D168" s="9"/>
      <c r="E168" s="11" t="s">
        <v>89</v>
      </c>
      <c r="F168" s="11" t="s">
        <v>44</v>
      </c>
      <c r="G168" s="12"/>
      <c r="H168" s="12"/>
      <c r="I168" s="18">
        <v>60500000</v>
      </c>
      <c r="J168" s="18">
        <f>I168*J163</f>
        <v>68970000</v>
      </c>
      <c r="K168" s="18">
        <f>J168*K163</f>
        <v>78625800</v>
      </c>
      <c r="L168" s="18">
        <f t="shared" ref="L168:Q168" si="133">K168*L163</f>
        <v>89633411.999999985</v>
      </c>
      <c r="M168" s="18">
        <f t="shared" si="133"/>
        <v>102182089.67999998</v>
      </c>
      <c r="N168" s="18">
        <f t="shared" si="133"/>
        <v>116487582.23519996</v>
      </c>
      <c r="O168" s="18">
        <f t="shared" si="133"/>
        <v>132795843.74812794</v>
      </c>
      <c r="P168" s="18">
        <f t="shared" si="133"/>
        <v>151387261.87286583</v>
      </c>
      <c r="Q168" s="18">
        <f t="shared" si="133"/>
        <v>172581478.53506702</v>
      </c>
      <c r="R168" s="11" t="str">
        <f t="shared" si="128"/>
        <v>3.BJ.004</v>
      </c>
    </row>
    <row r="169" spans="1:22" x14ac:dyDescent="0.35">
      <c r="A169" s="9">
        <v>3</v>
      </c>
      <c r="B169" s="9" t="s">
        <v>318</v>
      </c>
      <c r="C169" s="10" t="s">
        <v>228</v>
      </c>
      <c r="D169" s="9"/>
      <c r="E169" s="11" t="s">
        <v>90</v>
      </c>
      <c r="F169" s="11" t="s">
        <v>44</v>
      </c>
      <c r="G169" s="12"/>
      <c r="H169" s="12"/>
      <c r="I169" s="18">
        <v>72600000</v>
      </c>
      <c r="J169" s="18">
        <f>I169*J163</f>
        <v>82764000</v>
      </c>
      <c r="K169" s="18">
        <f>J169*K163</f>
        <v>94350959.999999985</v>
      </c>
      <c r="L169" s="18">
        <f t="shared" ref="L169:Q169" si="134">K169*L163</f>
        <v>107560094.39999998</v>
      </c>
      <c r="M169" s="18">
        <f t="shared" si="134"/>
        <v>122618507.61599997</v>
      </c>
      <c r="N169" s="18">
        <f t="shared" si="134"/>
        <v>139785098.68223995</v>
      </c>
      <c r="O169" s="18">
        <f t="shared" si="134"/>
        <v>159355012.49775353</v>
      </c>
      <c r="P169" s="18">
        <f t="shared" si="134"/>
        <v>181664714.247439</v>
      </c>
      <c r="Q169" s="18">
        <f t="shared" si="134"/>
        <v>207097774.24208045</v>
      </c>
      <c r="R169" s="11" t="str">
        <f t="shared" si="128"/>
        <v>3.BJ.005</v>
      </c>
    </row>
    <row r="170" spans="1:22" x14ac:dyDescent="0.35">
      <c r="A170" s="9">
        <v>3</v>
      </c>
      <c r="B170" s="9" t="s">
        <v>318</v>
      </c>
      <c r="C170" s="10" t="s">
        <v>229</v>
      </c>
      <c r="D170" s="9"/>
      <c r="E170" s="11" t="s">
        <v>91</v>
      </c>
      <c r="F170" s="11" t="s">
        <v>44</v>
      </c>
      <c r="G170" s="12"/>
      <c r="H170" s="12"/>
      <c r="I170" s="18">
        <v>0</v>
      </c>
      <c r="J170" s="18"/>
      <c r="K170" s="18"/>
      <c r="L170" s="18"/>
      <c r="M170" s="18"/>
      <c r="N170" s="18"/>
      <c r="O170" s="18"/>
      <c r="P170" s="18"/>
      <c r="Q170" s="18"/>
      <c r="R170" s="11" t="str">
        <f t="shared" si="128"/>
        <v>3.BJ.006</v>
      </c>
    </row>
    <row r="171" spans="1:22" x14ac:dyDescent="0.35">
      <c r="A171" s="9">
        <v>3</v>
      </c>
      <c r="B171" s="9" t="s">
        <v>318</v>
      </c>
      <c r="C171" s="10" t="s">
        <v>230</v>
      </c>
      <c r="D171" s="9"/>
      <c r="E171" s="11" t="s">
        <v>92</v>
      </c>
      <c r="F171" s="11" t="s">
        <v>44</v>
      </c>
      <c r="G171" s="12"/>
      <c r="H171" s="12"/>
      <c r="I171" s="18"/>
      <c r="J171" s="18"/>
      <c r="K171" s="18"/>
      <c r="L171" s="18"/>
      <c r="M171" s="18"/>
      <c r="N171" s="18"/>
      <c r="O171" s="18"/>
      <c r="P171" s="18"/>
      <c r="Q171" s="18"/>
      <c r="R171" s="11" t="str">
        <f t="shared" si="128"/>
        <v>3.BJ.007</v>
      </c>
    </row>
    <row r="172" spans="1:22" x14ac:dyDescent="0.35">
      <c r="A172" s="9">
        <v>3</v>
      </c>
      <c r="B172" s="9" t="s">
        <v>318</v>
      </c>
      <c r="C172" s="10" t="s">
        <v>231</v>
      </c>
      <c r="D172" s="9"/>
      <c r="E172" s="11" t="s">
        <v>319</v>
      </c>
      <c r="F172" s="11" t="s">
        <v>44</v>
      </c>
      <c r="G172" s="12"/>
      <c r="H172" s="12"/>
      <c r="I172" s="18"/>
      <c r="J172" s="18"/>
      <c r="K172" s="18"/>
      <c r="L172" s="18"/>
      <c r="M172" s="18"/>
      <c r="N172" s="18"/>
      <c r="O172" s="18"/>
      <c r="P172" s="18"/>
      <c r="Q172" s="18"/>
      <c r="R172" s="11" t="str">
        <f t="shared" si="128"/>
        <v>3.BJ.008</v>
      </c>
    </row>
    <row r="173" spans="1:22" x14ac:dyDescent="0.35">
      <c r="A173" s="9">
        <v>3</v>
      </c>
      <c r="B173" s="9" t="s">
        <v>318</v>
      </c>
      <c r="C173" s="10" t="s">
        <v>232</v>
      </c>
      <c r="D173" s="9"/>
      <c r="E173" s="11" t="s">
        <v>320</v>
      </c>
      <c r="F173" s="11" t="s">
        <v>44</v>
      </c>
      <c r="G173" s="12"/>
      <c r="H173" s="12"/>
      <c r="I173" s="18"/>
      <c r="J173" s="18"/>
      <c r="K173" s="18"/>
      <c r="L173" s="18"/>
      <c r="M173" s="18"/>
      <c r="N173" s="18"/>
      <c r="O173" s="18"/>
      <c r="P173" s="18"/>
      <c r="Q173" s="18"/>
      <c r="R173" s="11" t="str">
        <f t="shared" si="128"/>
        <v>3.BJ.009</v>
      </c>
    </row>
    <row r="174" spans="1:22" x14ac:dyDescent="0.35">
      <c r="A174" s="9">
        <v>3</v>
      </c>
      <c r="B174" s="9" t="s">
        <v>318</v>
      </c>
      <c r="C174" s="10" t="s">
        <v>234</v>
      </c>
      <c r="D174" s="9"/>
      <c r="E174" s="11" t="s">
        <v>93</v>
      </c>
      <c r="F174" s="11" t="s">
        <v>44</v>
      </c>
      <c r="G174" s="12"/>
      <c r="H174" s="12"/>
      <c r="I174" s="18"/>
      <c r="J174" s="18"/>
      <c r="K174" s="18"/>
      <c r="L174" s="18"/>
      <c r="M174" s="18"/>
      <c r="N174" s="18"/>
      <c r="O174" s="18"/>
      <c r="P174" s="18"/>
      <c r="Q174" s="18"/>
      <c r="R174" s="11" t="str">
        <f t="shared" si="128"/>
        <v>3.BJ.010</v>
      </c>
    </row>
    <row r="175" spans="1:22" x14ac:dyDescent="0.35">
      <c r="A175" s="9">
        <v>3</v>
      </c>
      <c r="B175" s="9" t="s">
        <v>318</v>
      </c>
      <c r="C175" s="10" t="s">
        <v>236</v>
      </c>
      <c r="D175" s="9"/>
      <c r="E175" s="11" t="s">
        <v>321</v>
      </c>
      <c r="F175" s="11" t="s">
        <v>44</v>
      </c>
      <c r="G175" s="12"/>
      <c r="H175" s="12"/>
      <c r="I175" s="18">
        <v>400000</v>
      </c>
      <c r="J175" s="18">
        <f>I175*J163</f>
        <v>455999.99999999994</v>
      </c>
      <c r="K175" s="18">
        <f>J175*K163</f>
        <v>519839.99999999988</v>
      </c>
      <c r="L175" s="18">
        <f t="shared" ref="L175:Q175" si="135">K175*L163</f>
        <v>592617.59999999986</v>
      </c>
      <c r="M175" s="18">
        <f t="shared" si="135"/>
        <v>675584.06399999978</v>
      </c>
      <c r="N175" s="18">
        <f t="shared" si="135"/>
        <v>770165.83295999968</v>
      </c>
      <c r="O175" s="18">
        <f t="shared" si="135"/>
        <v>877989.0495743996</v>
      </c>
      <c r="P175" s="18">
        <f t="shared" si="135"/>
        <v>1000907.5165148155</v>
      </c>
      <c r="Q175" s="18">
        <f t="shared" si="135"/>
        <v>1141034.5688268896</v>
      </c>
      <c r="R175" s="11" t="str">
        <f t="shared" si="128"/>
        <v>3.BJ.011</v>
      </c>
    </row>
    <row r="176" spans="1:22" x14ac:dyDescent="0.35">
      <c r="A176" s="9">
        <v>3</v>
      </c>
      <c r="B176" s="9" t="s">
        <v>318</v>
      </c>
      <c r="C176" s="10" t="s">
        <v>238</v>
      </c>
      <c r="D176" s="9"/>
      <c r="E176" s="11" t="s">
        <v>322</v>
      </c>
      <c r="F176" s="11" t="s">
        <v>44</v>
      </c>
      <c r="G176" s="12"/>
      <c r="H176" s="12"/>
      <c r="I176" s="18">
        <v>550000</v>
      </c>
      <c r="J176" s="18">
        <f>I176*J163</f>
        <v>627000</v>
      </c>
      <c r="K176" s="18">
        <f>J176*K163</f>
        <v>714779.99999999988</v>
      </c>
      <c r="L176" s="18">
        <f t="shared" ref="L176:Q176" si="136">K176*L163</f>
        <v>814849.19999999984</v>
      </c>
      <c r="M176" s="18">
        <f t="shared" si="136"/>
        <v>928928.08799999976</v>
      </c>
      <c r="N176" s="18">
        <f t="shared" si="136"/>
        <v>1058978.0203199997</v>
      </c>
      <c r="O176" s="18">
        <f t="shared" si="136"/>
        <v>1207234.9431647996</v>
      </c>
      <c r="P176" s="18">
        <f t="shared" si="136"/>
        <v>1376247.8352078714</v>
      </c>
      <c r="Q176" s="18">
        <f t="shared" si="136"/>
        <v>1568922.5321369732</v>
      </c>
      <c r="R176" s="11" t="str">
        <f t="shared" si="128"/>
        <v>3.BJ.012</v>
      </c>
    </row>
    <row r="177" spans="1:22" x14ac:dyDescent="0.35">
      <c r="A177" s="9">
        <v>3</v>
      </c>
      <c r="B177" s="9" t="s">
        <v>318</v>
      </c>
      <c r="C177" s="10" t="s">
        <v>240</v>
      </c>
      <c r="D177" s="9"/>
      <c r="E177" s="11" t="s">
        <v>323</v>
      </c>
      <c r="F177" s="11" t="s">
        <v>44</v>
      </c>
      <c r="G177" s="12"/>
      <c r="H177" s="12"/>
      <c r="I177" s="18">
        <v>650000</v>
      </c>
      <c r="J177" s="18">
        <f>I177*J163</f>
        <v>740999.99999999988</v>
      </c>
      <c r="K177" s="18">
        <f>J177*K163</f>
        <v>844739.99999999977</v>
      </c>
      <c r="L177" s="18">
        <f t="shared" ref="L177:Q177" si="137">K177*L163</f>
        <v>963003.59999999963</v>
      </c>
      <c r="M177" s="18">
        <f t="shared" si="137"/>
        <v>1097824.1039999996</v>
      </c>
      <c r="N177" s="18">
        <f t="shared" si="137"/>
        <v>1251519.4785599995</v>
      </c>
      <c r="O177" s="18">
        <f t="shared" si="137"/>
        <v>1426732.2055583992</v>
      </c>
      <c r="P177" s="18">
        <f t="shared" si="137"/>
        <v>1626474.714336575</v>
      </c>
      <c r="Q177" s="18">
        <f t="shared" si="137"/>
        <v>1854181.1743436954</v>
      </c>
      <c r="R177" s="11" t="str">
        <f t="shared" si="128"/>
        <v>3.BJ.013</v>
      </c>
      <c r="S177" s="22">
        <f>AVERAGE(H177:J177)</f>
        <v>695500</v>
      </c>
      <c r="T177" s="22">
        <f>AVERAGE(I177:K177)</f>
        <v>745246.66666666663</v>
      </c>
      <c r="U177" s="22">
        <f>AVERAGE(J177:L177)</f>
        <v>849581.19999999972</v>
      </c>
      <c r="V177" s="22">
        <f>AVERAGE(K177:M177)</f>
        <v>968522.56799999962</v>
      </c>
    </row>
    <row r="178" spans="1:22" x14ac:dyDescent="0.35">
      <c r="A178" s="9">
        <v>3</v>
      </c>
      <c r="B178" s="9" t="s">
        <v>318</v>
      </c>
      <c r="C178" s="10" t="s">
        <v>242</v>
      </c>
      <c r="D178" s="9"/>
      <c r="E178" s="11" t="s">
        <v>324</v>
      </c>
      <c r="F178" s="11" t="s">
        <v>44</v>
      </c>
      <c r="G178" s="12"/>
      <c r="H178" s="12"/>
      <c r="I178" s="12">
        <v>0</v>
      </c>
      <c r="J178" s="12"/>
      <c r="K178" s="12"/>
      <c r="L178" s="12"/>
      <c r="M178" s="12"/>
      <c r="N178" s="12"/>
      <c r="O178" s="12"/>
      <c r="P178" s="12"/>
      <c r="Q178" s="12"/>
      <c r="R178" s="11" t="str">
        <f>A178&amp;"."&amp;B178&amp;"."&amp;C178</f>
        <v>3.BJ.014</v>
      </c>
    </row>
    <row r="179" spans="1:22" x14ac:dyDescent="0.35">
      <c r="A179" s="9">
        <v>3</v>
      </c>
      <c r="B179" s="9" t="s">
        <v>318</v>
      </c>
      <c r="C179" s="10" t="s">
        <v>244</v>
      </c>
      <c r="D179" s="9"/>
      <c r="E179" s="11" t="s">
        <v>94</v>
      </c>
      <c r="F179" s="11" t="s">
        <v>44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1" t="str">
        <f>A179&amp;"."&amp;B179&amp;"."&amp;C179</f>
        <v>3.BJ.015</v>
      </c>
    </row>
    <row r="180" spans="1:22" x14ac:dyDescent="0.35">
      <c r="A180" s="9">
        <v>3</v>
      </c>
      <c r="B180" s="9" t="s">
        <v>318</v>
      </c>
      <c r="C180" s="10" t="s">
        <v>245</v>
      </c>
      <c r="D180" s="9"/>
      <c r="E180" s="11" t="s">
        <v>325</v>
      </c>
      <c r="F180" s="11" t="s">
        <v>44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1" t="str">
        <f>A180&amp;"."&amp;B180&amp;"."&amp;C180</f>
        <v>3.BJ.016</v>
      </c>
    </row>
    <row r="181" spans="1:22" x14ac:dyDescent="0.35">
      <c r="A181" s="9">
        <v>3</v>
      </c>
      <c r="B181" s="9" t="s">
        <v>318</v>
      </c>
      <c r="C181" s="10" t="s">
        <v>247</v>
      </c>
      <c r="D181" s="9"/>
      <c r="E181" s="11" t="s">
        <v>326</v>
      </c>
      <c r="F181" s="11" t="s">
        <v>44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1" t="str">
        <f>A181&amp;"."&amp;B181&amp;"."&amp;C181</f>
        <v>3.BJ.017</v>
      </c>
    </row>
    <row r="182" spans="1:22" x14ac:dyDescent="0.35">
      <c r="A182" s="9">
        <v>3</v>
      </c>
      <c r="B182" s="9" t="s">
        <v>318</v>
      </c>
      <c r="C182" s="10" t="s">
        <v>249</v>
      </c>
      <c r="D182" s="9"/>
      <c r="E182" s="11" t="s">
        <v>327</v>
      </c>
      <c r="F182" s="11" t="s">
        <v>44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1" t="str">
        <f>A182&amp;"."&amp;B182&amp;"."&amp;C182</f>
        <v>3.BJ.018</v>
      </c>
    </row>
    <row r="183" spans="1:22" x14ac:dyDescent="0.35">
      <c r="A183" s="7"/>
      <c r="B183" s="7" t="s">
        <v>95</v>
      </c>
      <c r="C183" s="13"/>
      <c r="D183" s="7"/>
      <c r="E183" s="7"/>
      <c r="F183" s="7"/>
      <c r="G183" s="8"/>
      <c r="H183" s="8"/>
      <c r="I183" s="15"/>
      <c r="J183" s="15" t="s">
        <v>647</v>
      </c>
      <c r="K183" s="15"/>
      <c r="L183" s="8"/>
      <c r="M183" s="8"/>
      <c r="N183" s="8"/>
      <c r="O183" s="8"/>
      <c r="P183" s="8"/>
      <c r="Q183" s="8"/>
      <c r="R183" s="7"/>
    </row>
    <row r="184" spans="1:22" x14ac:dyDescent="0.35">
      <c r="A184" s="7"/>
      <c r="B184" s="7"/>
      <c r="C184" s="13"/>
      <c r="D184" s="7"/>
      <c r="E184" s="7"/>
      <c r="F184" s="7"/>
      <c r="G184" s="8"/>
      <c r="H184" s="8"/>
      <c r="I184" s="15" t="s">
        <v>646</v>
      </c>
      <c r="J184" s="55">
        <v>1.1399999999999999</v>
      </c>
      <c r="K184" s="55">
        <f>J184</f>
        <v>1.1399999999999999</v>
      </c>
      <c r="L184" s="55">
        <f t="shared" ref="L184:Q184" si="138">K184</f>
        <v>1.1399999999999999</v>
      </c>
      <c r="M184" s="55">
        <f t="shared" si="138"/>
        <v>1.1399999999999999</v>
      </c>
      <c r="N184" s="55">
        <f t="shared" si="138"/>
        <v>1.1399999999999999</v>
      </c>
      <c r="O184" s="55">
        <f t="shared" si="138"/>
        <v>1.1399999999999999</v>
      </c>
      <c r="P184" s="55">
        <f t="shared" si="138"/>
        <v>1.1399999999999999</v>
      </c>
      <c r="Q184" s="55">
        <f t="shared" si="138"/>
        <v>1.1399999999999999</v>
      </c>
      <c r="R184" s="7"/>
    </row>
    <row r="185" spans="1:22" x14ac:dyDescent="0.35">
      <c r="A185" s="9">
        <v>3</v>
      </c>
      <c r="B185" s="9" t="s">
        <v>328</v>
      </c>
      <c r="C185" s="10" t="s">
        <v>224</v>
      </c>
      <c r="D185" s="9"/>
      <c r="E185" s="11" t="s">
        <v>746</v>
      </c>
      <c r="F185" s="11" t="s">
        <v>7</v>
      </c>
      <c r="G185" s="12"/>
      <c r="H185" s="12"/>
      <c r="I185" s="18">
        <v>25000</v>
      </c>
      <c r="J185" s="18">
        <f>I185*J184</f>
        <v>28499.999999999996</v>
      </c>
      <c r="K185" s="18">
        <f t="shared" ref="K185:Q185" si="139">J185*K184</f>
        <v>32489.999999999993</v>
      </c>
      <c r="L185" s="18">
        <f t="shared" si="139"/>
        <v>37038.599999999991</v>
      </c>
      <c r="M185" s="18">
        <f t="shared" si="139"/>
        <v>42224.003999999986</v>
      </c>
      <c r="N185" s="18">
        <f t="shared" si="139"/>
        <v>48135.36455999998</v>
      </c>
      <c r="O185" s="18">
        <f t="shared" si="139"/>
        <v>54874.315598399975</v>
      </c>
      <c r="P185" s="18">
        <f t="shared" si="139"/>
        <v>62556.719782175969</v>
      </c>
      <c r="Q185" s="18">
        <f t="shared" si="139"/>
        <v>71314.660551680601</v>
      </c>
      <c r="R185" s="11" t="str">
        <f t="shared" si="62"/>
        <v>3.BB.001</v>
      </c>
      <c r="S185" s="22">
        <f>AVERAGE(H185:J185)</f>
        <v>26750</v>
      </c>
      <c r="T185" s="22">
        <f>AVERAGE(I185:K185)</f>
        <v>28663.333333333332</v>
      </c>
      <c r="U185" s="22">
        <f>AVERAGE(J185:L185)</f>
        <v>32676.199999999993</v>
      </c>
      <c r="V185" s="22">
        <f>AVERAGE(K185:M185)</f>
        <v>37250.867999999988</v>
      </c>
    </row>
    <row r="186" spans="1:22" x14ac:dyDescent="0.35">
      <c r="A186" s="9">
        <v>3</v>
      </c>
      <c r="B186" s="9" t="s">
        <v>328</v>
      </c>
      <c r="C186" s="10" t="s">
        <v>225</v>
      </c>
      <c r="D186" s="9"/>
      <c r="E186" s="11" t="s">
        <v>747</v>
      </c>
      <c r="F186" s="11" t="s">
        <v>96</v>
      </c>
      <c r="G186" s="12"/>
      <c r="H186" s="12"/>
      <c r="I186" s="18">
        <v>400</v>
      </c>
      <c r="J186" s="18">
        <f>I186*J184</f>
        <v>455.99999999999994</v>
      </c>
      <c r="K186" s="18">
        <f t="shared" ref="K186:Q186" si="140">J186*K184</f>
        <v>519.83999999999992</v>
      </c>
      <c r="L186" s="18">
        <f t="shared" si="140"/>
        <v>592.61759999999981</v>
      </c>
      <c r="M186" s="18">
        <f t="shared" si="140"/>
        <v>675.58406399999967</v>
      </c>
      <c r="N186" s="18">
        <f t="shared" si="140"/>
        <v>770.16583295999953</v>
      </c>
      <c r="O186" s="18">
        <f t="shared" si="140"/>
        <v>877.98904957439936</v>
      </c>
      <c r="P186" s="18">
        <f t="shared" si="140"/>
        <v>1000.9075165148151</v>
      </c>
      <c r="Q186" s="18">
        <f t="shared" si="140"/>
        <v>1141.0345688268892</v>
      </c>
      <c r="R186" s="11" t="str">
        <f t="shared" ref="R186" si="141">A186&amp;"."&amp;B186&amp;"."&amp;C186</f>
        <v>3.BB.002</v>
      </c>
      <c r="S186" s="22">
        <f>AVERAGE(H186:J186)</f>
        <v>428</v>
      </c>
    </row>
    <row r="187" spans="1:22" x14ac:dyDescent="0.35">
      <c r="A187" s="9">
        <v>3</v>
      </c>
      <c r="B187" s="9" t="s">
        <v>328</v>
      </c>
      <c r="C187" s="10" t="s">
        <v>226</v>
      </c>
      <c r="D187" s="9"/>
      <c r="E187" s="11" t="s">
        <v>97</v>
      </c>
      <c r="F187" s="11" t="s">
        <v>7</v>
      </c>
      <c r="G187" s="12"/>
      <c r="H187" s="12"/>
      <c r="I187" s="18"/>
      <c r="J187" s="18"/>
      <c r="K187" s="18"/>
      <c r="L187" s="18"/>
      <c r="M187" s="18"/>
      <c r="N187" s="18"/>
      <c r="O187" s="18"/>
      <c r="P187" s="18"/>
      <c r="Q187" s="18"/>
      <c r="R187" s="11" t="str">
        <f t="shared" si="62"/>
        <v>3.BB.003</v>
      </c>
    </row>
    <row r="188" spans="1:22" x14ac:dyDescent="0.35">
      <c r="A188" s="9">
        <v>3</v>
      </c>
      <c r="B188" s="9" t="s">
        <v>328</v>
      </c>
      <c r="C188" s="10" t="s">
        <v>227</v>
      </c>
      <c r="D188" s="9"/>
      <c r="E188" s="11" t="s">
        <v>98</v>
      </c>
      <c r="F188" s="11" t="s">
        <v>7</v>
      </c>
      <c r="G188" s="12"/>
      <c r="H188" s="12"/>
      <c r="I188" s="18"/>
      <c r="J188" s="18"/>
      <c r="K188" s="18"/>
      <c r="L188" s="18"/>
      <c r="M188" s="18"/>
      <c r="N188" s="18"/>
      <c r="O188" s="18"/>
      <c r="P188" s="18"/>
      <c r="Q188" s="18"/>
      <c r="R188" s="11" t="str">
        <f t="shared" si="62"/>
        <v>3.BB.004</v>
      </c>
    </row>
    <row r="189" spans="1:22" x14ac:dyDescent="0.35">
      <c r="A189" s="9">
        <v>3</v>
      </c>
      <c r="B189" s="9" t="s">
        <v>328</v>
      </c>
      <c r="C189" s="10" t="s">
        <v>228</v>
      </c>
      <c r="D189" s="9"/>
      <c r="E189" s="11" t="s">
        <v>201</v>
      </c>
      <c r="F189" s="11" t="s">
        <v>7</v>
      </c>
      <c r="G189" s="12"/>
      <c r="H189" s="12"/>
      <c r="I189" s="18">
        <v>535500</v>
      </c>
      <c r="J189" s="18">
        <f>I189*J184</f>
        <v>610470</v>
      </c>
      <c r="K189" s="18">
        <f t="shared" ref="K189:Q189" si="142">J189*K184</f>
        <v>695935.79999999993</v>
      </c>
      <c r="L189" s="18">
        <f t="shared" si="142"/>
        <v>793366.8119999998</v>
      </c>
      <c r="M189" s="18">
        <f t="shared" si="142"/>
        <v>904438.16567999974</v>
      </c>
      <c r="N189" s="18">
        <f t="shared" si="142"/>
        <v>1031059.5088751996</v>
      </c>
      <c r="O189" s="18">
        <f t="shared" si="142"/>
        <v>1175407.8401177274</v>
      </c>
      <c r="P189" s="18">
        <f t="shared" si="142"/>
        <v>1339964.9377342092</v>
      </c>
      <c r="Q189" s="18">
        <f t="shared" si="142"/>
        <v>1527560.0290169984</v>
      </c>
      <c r="R189" s="11" t="str">
        <f t="shared" si="62"/>
        <v>3.BB.005</v>
      </c>
      <c r="S189" s="22">
        <f>AVERAGE(H189:J189)</f>
        <v>572985</v>
      </c>
      <c r="T189" s="22">
        <f>AVERAGE(I189:K189)</f>
        <v>613968.6</v>
      </c>
      <c r="U189" s="22">
        <f>AVERAGE(J189:L189)</f>
        <v>699924.20399999991</v>
      </c>
      <c r="V189" s="22">
        <f>AVERAGE(K189:M189)</f>
        <v>797913.59255999979</v>
      </c>
    </row>
    <row r="190" spans="1:22" x14ac:dyDescent="0.35">
      <c r="A190" s="9">
        <v>3</v>
      </c>
      <c r="B190" s="9" t="s">
        <v>328</v>
      </c>
      <c r="C190" s="10" t="s">
        <v>229</v>
      </c>
      <c r="D190" s="9"/>
      <c r="E190" s="11" t="s">
        <v>99</v>
      </c>
      <c r="F190" s="11" t="s">
        <v>95</v>
      </c>
      <c r="G190" s="12"/>
      <c r="H190" s="12"/>
      <c r="I190" s="18"/>
      <c r="J190" s="18"/>
      <c r="K190" s="18"/>
      <c r="L190" s="18"/>
      <c r="M190" s="18"/>
      <c r="N190" s="18"/>
      <c r="O190" s="18"/>
      <c r="P190" s="18"/>
      <c r="Q190" s="18"/>
      <c r="R190" s="11" t="str">
        <f t="shared" si="62"/>
        <v>3.BB.006</v>
      </c>
    </row>
    <row r="191" spans="1:22" x14ac:dyDescent="0.35">
      <c r="A191" s="9">
        <v>3</v>
      </c>
      <c r="B191" s="9" t="s">
        <v>328</v>
      </c>
      <c r="C191" s="10" t="s">
        <v>230</v>
      </c>
      <c r="D191" s="9"/>
      <c r="E191" s="11" t="s">
        <v>100</v>
      </c>
      <c r="F191" s="11" t="s">
        <v>7</v>
      </c>
      <c r="G191" s="12"/>
      <c r="H191" s="12"/>
      <c r="I191" s="18"/>
      <c r="J191" s="18"/>
      <c r="K191" s="18"/>
      <c r="L191" s="18"/>
      <c r="M191" s="18"/>
      <c r="N191" s="18"/>
      <c r="O191" s="18"/>
      <c r="P191" s="18"/>
      <c r="Q191" s="18"/>
      <c r="R191" s="11" t="str">
        <f t="shared" si="62"/>
        <v>3.BB.007</v>
      </c>
    </row>
    <row r="192" spans="1:22" x14ac:dyDescent="0.35">
      <c r="A192" s="9">
        <v>3</v>
      </c>
      <c r="B192" s="9" t="s">
        <v>328</v>
      </c>
      <c r="C192" s="10" t="s">
        <v>231</v>
      </c>
      <c r="D192" s="9"/>
      <c r="E192" s="11" t="s">
        <v>101</v>
      </c>
      <c r="F192" s="11" t="s">
        <v>102</v>
      </c>
      <c r="G192" s="12"/>
      <c r="H192" s="12"/>
      <c r="I192" s="18">
        <v>10335.15</v>
      </c>
      <c r="J192" s="18">
        <f>I192*J184</f>
        <v>11782.070999999998</v>
      </c>
      <c r="K192" s="18">
        <f t="shared" ref="K192:Q192" si="143">J192*K184</f>
        <v>13431.560939999998</v>
      </c>
      <c r="L192" s="18">
        <f t="shared" si="143"/>
        <v>15311.979471599996</v>
      </c>
      <c r="M192" s="18">
        <f t="shared" si="143"/>
        <v>17455.656597623994</v>
      </c>
      <c r="N192" s="18">
        <f t="shared" si="143"/>
        <v>19899.448521291353</v>
      </c>
      <c r="O192" s="18">
        <f t="shared" si="143"/>
        <v>22685.371314272139</v>
      </c>
      <c r="P192" s="18">
        <f t="shared" si="143"/>
        <v>25861.323298270236</v>
      </c>
      <c r="Q192" s="18">
        <f t="shared" si="143"/>
        <v>29481.908560028067</v>
      </c>
      <c r="R192" s="11" t="s">
        <v>329</v>
      </c>
      <c r="S192" s="22">
        <f>AVERAGE(H192:J192)</f>
        <v>11058.610499999999</v>
      </c>
      <c r="T192" s="22">
        <f>AVERAGE(I192:K192)</f>
        <v>11849.593979999998</v>
      </c>
      <c r="U192" s="22">
        <f>AVERAGE(J192:L192)</f>
        <v>13508.537137199999</v>
      </c>
      <c r="V192" s="22">
        <f>AVERAGE(K192:M192)</f>
        <v>15399.732336407995</v>
      </c>
    </row>
    <row r="193" spans="1:22" x14ac:dyDescent="0.35">
      <c r="A193" s="9">
        <v>3</v>
      </c>
      <c r="B193" s="9" t="s">
        <v>328</v>
      </c>
      <c r="C193" s="10" t="s">
        <v>232</v>
      </c>
      <c r="D193" s="9"/>
      <c r="E193" s="11"/>
      <c r="F193" s="11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1" t="str">
        <f t="shared" si="62"/>
        <v>3.BB.009</v>
      </c>
    </row>
    <row r="194" spans="1:22" x14ac:dyDescent="0.35">
      <c r="A194" s="9">
        <v>3</v>
      </c>
      <c r="B194" s="9" t="s">
        <v>328</v>
      </c>
      <c r="C194" s="10" t="s">
        <v>234</v>
      </c>
      <c r="D194" s="9"/>
      <c r="E194" s="11"/>
      <c r="F194" s="11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1" t="str">
        <f t="shared" si="62"/>
        <v>3.BB.010</v>
      </c>
    </row>
    <row r="195" spans="1:22" x14ac:dyDescent="0.35">
      <c r="A195" s="7"/>
      <c r="B195" s="7" t="s">
        <v>330</v>
      </c>
      <c r="C195" s="13"/>
      <c r="D195" s="7"/>
      <c r="E195" s="7"/>
      <c r="F195" s="7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7"/>
    </row>
    <row r="196" spans="1:22" x14ac:dyDescent="0.35">
      <c r="A196" s="9">
        <v>3</v>
      </c>
      <c r="B196" s="9" t="s">
        <v>331</v>
      </c>
      <c r="C196" s="10" t="s">
        <v>224</v>
      </c>
      <c r="D196" s="9"/>
      <c r="E196" s="11" t="s">
        <v>103</v>
      </c>
      <c r="F196" s="11" t="s">
        <v>104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1" t="str">
        <f t="shared" si="62"/>
        <v>3.BT.001</v>
      </c>
    </row>
    <row r="197" spans="1:22" x14ac:dyDescent="0.35">
      <c r="A197" s="9">
        <v>3</v>
      </c>
      <c r="B197" s="9" t="s">
        <v>331</v>
      </c>
      <c r="C197" s="10" t="s">
        <v>225</v>
      </c>
      <c r="D197" s="9"/>
      <c r="E197" s="11" t="s">
        <v>332</v>
      </c>
      <c r="F197" s="11" t="s">
        <v>104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1" t="str">
        <f t="shared" si="62"/>
        <v>3.BT.002</v>
      </c>
    </row>
    <row r="198" spans="1:22" x14ac:dyDescent="0.35">
      <c r="A198" s="9">
        <v>3</v>
      </c>
      <c r="B198" s="9" t="s">
        <v>331</v>
      </c>
      <c r="C198" s="10" t="s">
        <v>226</v>
      </c>
      <c r="D198" s="9"/>
      <c r="E198" s="11" t="s">
        <v>333</v>
      </c>
      <c r="F198" s="11" t="s">
        <v>104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1" t="str">
        <f t="shared" si="62"/>
        <v>3.BT.003</v>
      </c>
    </row>
    <row r="199" spans="1:22" x14ac:dyDescent="0.35">
      <c r="A199" s="9">
        <v>3</v>
      </c>
      <c r="B199" s="9" t="s">
        <v>331</v>
      </c>
      <c r="C199" s="10" t="s">
        <v>227</v>
      </c>
      <c r="D199" s="9"/>
      <c r="E199" s="11" t="s">
        <v>334</v>
      </c>
      <c r="F199" s="11" t="s">
        <v>104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1" t="str">
        <f t="shared" si="62"/>
        <v>3.BT.004</v>
      </c>
    </row>
    <row r="200" spans="1:22" x14ac:dyDescent="0.35">
      <c r="A200" s="9">
        <v>3</v>
      </c>
      <c r="B200" s="9" t="s">
        <v>331</v>
      </c>
      <c r="C200" s="10" t="s">
        <v>228</v>
      </c>
      <c r="D200" s="9"/>
      <c r="E200" s="11"/>
      <c r="F200" s="11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1" t="str">
        <f t="shared" si="62"/>
        <v>3.BT.005</v>
      </c>
    </row>
    <row r="201" spans="1:22" x14ac:dyDescent="0.35">
      <c r="A201" s="7"/>
      <c r="B201" s="7" t="s">
        <v>335</v>
      </c>
      <c r="C201" s="13"/>
      <c r="D201" s="7"/>
      <c r="E201" s="7"/>
      <c r="F201" s="7"/>
      <c r="G201" s="8"/>
      <c r="H201" s="8"/>
      <c r="I201" s="15"/>
      <c r="J201" s="15" t="s">
        <v>650</v>
      </c>
      <c r="K201" s="15"/>
      <c r="L201" s="8"/>
      <c r="M201" s="8"/>
      <c r="N201" s="8"/>
      <c r="O201" s="8"/>
      <c r="P201" s="8"/>
      <c r="Q201" s="8"/>
      <c r="R201" s="7"/>
    </row>
    <row r="202" spans="1:22" x14ac:dyDescent="0.35">
      <c r="A202" s="7"/>
      <c r="B202" s="7"/>
      <c r="C202" s="13"/>
      <c r="D202" s="7"/>
      <c r="E202" s="7"/>
      <c r="F202" s="7"/>
      <c r="G202" s="8"/>
      <c r="H202" s="8"/>
      <c r="I202" s="15" t="s">
        <v>646</v>
      </c>
      <c r="J202" s="55">
        <v>1.1399999999999999</v>
      </c>
      <c r="K202" s="55">
        <f>J202</f>
        <v>1.1399999999999999</v>
      </c>
      <c r="L202" s="55">
        <f t="shared" ref="L202:Q202" si="144">K202</f>
        <v>1.1399999999999999</v>
      </c>
      <c r="M202" s="55">
        <f t="shared" si="144"/>
        <v>1.1399999999999999</v>
      </c>
      <c r="N202" s="55">
        <f t="shared" si="144"/>
        <v>1.1399999999999999</v>
      </c>
      <c r="O202" s="55">
        <f t="shared" si="144"/>
        <v>1.1399999999999999</v>
      </c>
      <c r="P202" s="55">
        <f t="shared" si="144"/>
        <v>1.1399999999999999</v>
      </c>
      <c r="Q202" s="55">
        <f t="shared" si="144"/>
        <v>1.1399999999999999</v>
      </c>
      <c r="R202" s="7"/>
    </row>
    <row r="203" spans="1:22" x14ac:dyDescent="0.35">
      <c r="A203" s="9">
        <v>3</v>
      </c>
      <c r="B203" s="9" t="s">
        <v>336</v>
      </c>
      <c r="C203" s="10" t="s">
        <v>224</v>
      </c>
      <c r="D203" s="9"/>
      <c r="E203" s="11" t="s">
        <v>563</v>
      </c>
      <c r="F203" s="11" t="s">
        <v>104</v>
      </c>
      <c r="G203" s="12"/>
      <c r="H203" s="12"/>
      <c r="I203" s="18">
        <v>110590</v>
      </c>
      <c r="J203" s="18">
        <v>110910</v>
      </c>
      <c r="K203" s="18">
        <f>J203*K202</f>
        <v>126437.4</v>
      </c>
      <c r="L203" s="18">
        <f t="shared" ref="L203:Q203" si="145">K203*L202</f>
        <v>144138.63599999997</v>
      </c>
      <c r="M203" s="18">
        <f t="shared" si="145"/>
        <v>164318.04503999994</v>
      </c>
      <c r="N203" s="18">
        <f t="shared" si="145"/>
        <v>187322.57134559992</v>
      </c>
      <c r="O203" s="18">
        <f t="shared" si="145"/>
        <v>213547.73133398389</v>
      </c>
      <c r="P203" s="18">
        <f t="shared" si="145"/>
        <v>243444.41372074161</v>
      </c>
      <c r="Q203" s="18">
        <f t="shared" si="145"/>
        <v>277526.63164164539</v>
      </c>
      <c r="R203" s="11" t="str">
        <f t="shared" si="62"/>
        <v>3.LT.001</v>
      </c>
      <c r="S203" s="22">
        <f>AVERAGE(H203:J203)</f>
        <v>110750</v>
      </c>
      <c r="T203" s="22">
        <f>AVERAGE(I203:K203)</f>
        <v>115979.13333333335</v>
      </c>
      <c r="U203" s="22">
        <f>AVERAGE(J203:L203)</f>
        <v>127162.01199999999</v>
      </c>
      <c r="V203" s="22">
        <f>AVERAGE(K203:M203)</f>
        <v>144964.69367999997</v>
      </c>
    </row>
    <row r="204" spans="1:22" x14ac:dyDescent="0.35">
      <c r="A204" s="9">
        <v>3</v>
      </c>
      <c r="B204" s="9" t="s">
        <v>336</v>
      </c>
      <c r="C204" s="10" t="s">
        <v>225</v>
      </c>
      <c r="D204" s="9"/>
      <c r="E204" s="11" t="s">
        <v>337</v>
      </c>
      <c r="F204" s="11" t="s">
        <v>104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1" t="str">
        <f t="shared" si="62"/>
        <v>3.LT.002</v>
      </c>
    </row>
    <row r="205" spans="1:22" x14ac:dyDescent="0.35">
      <c r="A205" s="9">
        <v>3</v>
      </c>
      <c r="B205" s="9" t="s">
        <v>336</v>
      </c>
      <c r="C205" s="10" t="s">
        <v>226</v>
      </c>
      <c r="D205" s="9"/>
      <c r="E205" s="11" t="s">
        <v>338</v>
      </c>
      <c r="F205" s="11" t="s">
        <v>104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1" t="str">
        <f t="shared" si="62"/>
        <v>3.LT.003</v>
      </c>
    </row>
    <row r="206" spans="1:22" x14ac:dyDescent="0.35">
      <c r="A206" s="9">
        <v>3</v>
      </c>
      <c r="B206" s="9" t="s">
        <v>336</v>
      </c>
      <c r="C206" s="10" t="s">
        <v>227</v>
      </c>
      <c r="D206" s="9"/>
      <c r="E206" s="11" t="s">
        <v>339</v>
      </c>
      <c r="F206" s="11" t="s">
        <v>104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1" t="str">
        <f t="shared" si="62"/>
        <v>3.LT.004</v>
      </c>
    </row>
    <row r="207" spans="1:22" x14ac:dyDescent="0.35">
      <c r="A207" s="9">
        <v>3</v>
      </c>
      <c r="B207" s="9" t="s">
        <v>336</v>
      </c>
      <c r="C207" s="10" t="s">
        <v>228</v>
      </c>
      <c r="D207" s="9"/>
      <c r="E207" s="11" t="s">
        <v>340</v>
      </c>
      <c r="F207" s="11" t="s">
        <v>104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1" t="str">
        <f t="shared" si="62"/>
        <v>3.LT.005</v>
      </c>
    </row>
    <row r="208" spans="1:22" x14ac:dyDescent="0.35">
      <c r="A208" s="9">
        <v>3</v>
      </c>
      <c r="B208" s="9" t="s">
        <v>336</v>
      </c>
      <c r="C208" s="10" t="s">
        <v>229</v>
      </c>
      <c r="D208" s="9"/>
      <c r="E208" s="11" t="s">
        <v>341</v>
      </c>
      <c r="F208" s="11" t="s">
        <v>104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1" t="str">
        <f t="shared" si="62"/>
        <v>3.LT.006</v>
      </c>
    </row>
    <row r="209" spans="1:22" x14ac:dyDescent="0.35">
      <c r="A209" s="9">
        <v>3</v>
      </c>
      <c r="B209" s="9" t="s">
        <v>336</v>
      </c>
      <c r="C209" s="10" t="s">
        <v>230</v>
      </c>
      <c r="D209" s="9"/>
      <c r="E209" s="11" t="s">
        <v>342</v>
      </c>
      <c r="F209" s="11" t="s">
        <v>104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1" t="str">
        <f t="shared" si="62"/>
        <v>3.LT.007</v>
      </c>
    </row>
    <row r="210" spans="1:22" x14ac:dyDescent="0.35">
      <c r="A210" s="9">
        <v>3</v>
      </c>
      <c r="B210" s="9" t="s">
        <v>336</v>
      </c>
      <c r="C210" s="10" t="s">
        <v>231</v>
      </c>
      <c r="D210" s="9"/>
      <c r="E210" s="11" t="s">
        <v>343</v>
      </c>
      <c r="F210" s="11" t="s">
        <v>104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1" t="str">
        <f t="shared" si="62"/>
        <v>3.LT.008</v>
      </c>
    </row>
    <row r="211" spans="1:22" x14ac:dyDescent="0.35">
      <c r="A211" s="9">
        <v>3</v>
      </c>
      <c r="B211" s="9" t="s">
        <v>336</v>
      </c>
      <c r="C211" s="10" t="s">
        <v>232</v>
      </c>
      <c r="D211" s="9"/>
      <c r="E211" s="11" t="s">
        <v>344</v>
      </c>
      <c r="F211" s="11" t="s">
        <v>104</v>
      </c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1" t="str">
        <f t="shared" si="62"/>
        <v>3.LT.009</v>
      </c>
    </row>
    <row r="212" spans="1:22" x14ac:dyDescent="0.35">
      <c r="A212" s="9">
        <v>3</v>
      </c>
      <c r="B212" s="9" t="s">
        <v>336</v>
      </c>
      <c r="C212" s="10" t="s">
        <v>234</v>
      </c>
      <c r="D212" s="9"/>
      <c r="E212" s="11" t="s">
        <v>345</v>
      </c>
      <c r="F212" s="11" t="s">
        <v>104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1" t="str">
        <f t="shared" si="62"/>
        <v>3.LT.010</v>
      </c>
    </row>
    <row r="213" spans="1:22" x14ac:dyDescent="0.35">
      <c r="A213" s="7"/>
      <c r="B213" s="7" t="s">
        <v>346</v>
      </c>
      <c r="C213" s="13"/>
      <c r="D213" s="7"/>
      <c r="E213" s="7"/>
      <c r="F213" s="7"/>
      <c r="G213" s="8"/>
      <c r="H213" s="8"/>
      <c r="I213" s="15"/>
      <c r="J213" s="15" t="s">
        <v>650</v>
      </c>
      <c r="K213" s="15"/>
      <c r="L213" s="8"/>
      <c r="M213" s="8"/>
      <c r="N213" s="8"/>
      <c r="O213" s="8"/>
      <c r="P213" s="8"/>
      <c r="Q213" s="8"/>
      <c r="R213" s="7"/>
    </row>
    <row r="214" spans="1:22" x14ac:dyDescent="0.35">
      <c r="A214" s="7"/>
      <c r="B214" s="7"/>
      <c r="C214" s="13"/>
      <c r="D214" s="7"/>
      <c r="E214" s="7"/>
      <c r="F214" s="7"/>
      <c r="G214" s="8"/>
      <c r="H214" s="8"/>
      <c r="I214" s="15" t="s">
        <v>646</v>
      </c>
      <c r="J214" s="55">
        <v>1.1399999999999999</v>
      </c>
      <c r="K214" s="55">
        <f>J214</f>
        <v>1.1399999999999999</v>
      </c>
      <c r="L214" s="55">
        <f t="shared" ref="L214:Q214" si="146">K214</f>
        <v>1.1399999999999999</v>
      </c>
      <c r="M214" s="55">
        <f t="shared" si="146"/>
        <v>1.1399999999999999</v>
      </c>
      <c r="N214" s="55">
        <f t="shared" si="146"/>
        <v>1.1399999999999999</v>
      </c>
      <c r="O214" s="55">
        <f t="shared" si="146"/>
        <v>1.1399999999999999</v>
      </c>
      <c r="P214" s="55">
        <f t="shared" si="146"/>
        <v>1.1399999999999999</v>
      </c>
      <c r="Q214" s="55">
        <f t="shared" si="146"/>
        <v>1.1399999999999999</v>
      </c>
      <c r="R214" s="7"/>
    </row>
    <row r="215" spans="1:22" x14ac:dyDescent="0.35">
      <c r="A215" s="9">
        <v>6</v>
      </c>
      <c r="B215" s="9" t="s">
        <v>347</v>
      </c>
      <c r="C215" s="10" t="s">
        <v>224</v>
      </c>
      <c r="D215" s="9"/>
      <c r="E215" s="11" t="s">
        <v>629</v>
      </c>
      <c r="F215" s="11" t="s">
        <v>509</v>
      </c>
      <c r="G215" s="12"/>
      <c r="H215" s="12"/>
      <c r="I215" s="18">
        <v>198400</v>
      </c>
      <c r="J215" s="18">
        <v>207500</v>
      </c>
      <c r="K215" s="18">
        <f>J215*K214</f>
        <v>236549.99999999997</v>
      </c>
      <c r="L215" s="18">
        <f t="shared" ref="L215:Q215" si="147">K215*L214</f>
        <v>269666.99999999994</v>
      </c>
      <c r="M215" s="18">
        <f t="shared" si="147"/>
        <v>307420.37999999989</v>
      </c>
      <c r="N215" s="18">
        <f t="shared" si="147"/>
        <v>350459.23319999984</v>
      </c>
      <c r="O215" s="18">
        <f t="shared" si="147"/>
        <v>399523.52584799979</v>
      </c>
      <c r="P215" s="18">
        <f t="shared" si="147"/>
        <v>455456.81946671969</v>
      </c>
      <c r="Q215" s="18">
        <f t="shared" si="147"/>
        <v>519220.7741920604</v>
      </c>
      <c r="R215" s="11" t="str">
        <f t="shared" si="62"/>
        <v>6.AB.001</v>
      </c>
      <c r="S215" s="22">
        <f>AVERAGE(H215:J215)</f>
        <v>202950</v>
      </c>
      <c r="T215" s="22">
        <f>AVERAGE(I215:K215)</f>
        <v>214150</v>
      </c>
      <c r="U215" s="22">
        <f>AVERAGE(J215:L215)</f>
        <v>237905.66666666666</v>
      </c>
      <c r="V215" s="22">
        <f>AVERAGE(K215:M215)</f>
        <v>271212.4599999999</v>
      </c>
    </row>
    <row r="216" spans="1:22" x14ac:dyDescent="0.35">
      <c r="A216" s="9">
        <v>6</v>
      </c>
      <c r="B216" s="9" t="s">
        <v>347</v>
      </c>
      <c r="C216" s="10" t="s">
        <v>225</v>
      </c>
      <c r="D216" s="9"/>
      <c r="E216" s="11" t="s">
        <v>348</v>
      </c>
      <c r="F216" s="11" t="s">
        <v>8</v>
      </c>
      <c r="G216" s="12"/>
      <c r="H216" s="12"/>
      <c r="I216" s="18"/>
      <c r="J216" s="18"/>
      <c r="K216" s="18"/>
      <c r="L216" s="18"/>
      <c r="M216" s="18"/>
      <c r="N216" s="18"/>
      <c r="O216" s="18"/>
      <c r="P216" s="18"/>
      <c r="Q216" s="18"/>
      <c r="R216" s="11" t="str">
        <f t="shared" si="62"/>
        <v>6.AB.002</v>
      </c>
    </row>
    <row r="217" spans="1:22" x14ac:dyDescent="0.35">
      <c r="A217" s="9">
        <v>6</v>
      </c>
      <c r="B217" s="9" t="s">
        <v>347</v>
      </c>
      <c r="C217" s="10" t="s">
        <v>226</v>
      </c>
      <c r="D217" s="9"/>
      <c r="E217" s="11" t="s">
        <v>349</v>
      </c>
      <c r="F217" s="11" t="s">
        <v>8</v>
      </c>
      <c r="G217" s="12"/>
      <c r="H217" s="12"/>
      <c r="I217" s="18"/>
      <c r="J217" s="18"/>
      <c r="K217" s="18"/>
      <c r="L217" s="18"/>
      <c r="M217" s="18"/>
      <c r="N217" s="18"/>
      <c r="O217" s="18"/>
      <c r="P217" s="18"/>
      <c r="Q217" s="18"/>
      <c r="R217" s="11" t="str">
        <f t="shared" si="62"/>
        <v>6.AB.003</v>
      </c>
    </row>
    <row r="218" spans="1:22" x14ac:dyDescent="0.35">
      <c r="A218" s="9">
        <v>6</v>
      </c>
      <c r="B218" s="9" t="s">
        <v>347</v>
      </c>
      <c r="C218" s="10" t="s">
        <v>227</v>
      </c>
      <c r="D218" s="9"/>
      <c r="E218" s="11" t="s">
        <v>350</v>
      </c>
      <c r="F218" s="11" t="s">
        <v>8</v>
      </c>
      <c r="G218" s="12"/>
      <c r="H218" s="12"/>
      <c r="I218" s="18"/>
      <c r="J218" s="18"/>
      <c r="K218" s="18"/>
      <c r="L218" s="18"/>
      <c r="M218" s="18"/>
      <c r="N218" s="18"/>
      <c r="O218" s="18"/>
      <c r="P218" s="18"/>
      <c r="Q218" s="18"/>
      <c r="R218" s="11" t="str">
        <f t="shared" si="62"/>
        <v>6.AB.004</v>
      </c>
    </row>
    <row r="219" spans="1:22" x14ac:dyDescent="0.35">
      <c r="A219" s="9">
        <v>6</v>
      </c>
      <c r="B219" s="9" t="s">
        <v>347</v>
      </c>
      <c r="C219" s="10" t="s">
        <v>228</v>
      </c>
      <c r="D219" s="9"/>
      <c r="E219" s="11" t="s">
        <v>351</v>
      </c>
      <c r="F219" s="11" t="s">
        <v>8</v>
      </c>
      <c r="G219" s="12"/>
      <c r="H219" s="12"/>
      <c r="I219" s="18"/>
      <c r="J219" s="18"/>
      <c r="K219" s="18"/>
      <c r="L219" s="18"/>
      <c r="M219" s="18"/>
      <c r="N219" s="18"/>
      <c r="O219" s="18"/>
      <c r="P219" s="18"/>
      <c r="Q219" s="18"/>
      <c r="R219" s="11" t="str">
        <f t="shared" si="62"/>
        <v>6.AB.005</v>
      </c>
    </row>
    <row r="220" spans="1:22" x14ac:dyDescent="0.35">
      <c r="A220" s="9">
        <v>6</v>
      </c>
      <c r="B220" s="9" t="s">
        <v>347</v>
      </c>
      <c r="C220" s="10" t="s">
        <v>229</v>
      </c>
      <c r="D220" s="9"/>
      <c r="E220" s="11" t="s">
        <v>352</v>
      </c>
      <c r="F220" s="11" t="s">
        <v>8</v>
      </c>
      <c r="G220" s="12"/>
      <c r="H220" s="12"/>
      <c r="I220" s="18"/>
      <c r="J220" s="18"/>
      <c r="K220" s="18"/>
      <c r="L220" s="18"/>
      <c r="M220" s="18"/>
      <c r="N220" s="18"/>
      <c r="O220" s="18"/>
      <c r="P220" s="18"/>
      <c r="Q220" s="18"/>
      <c r="R220" s="11" t="str">
        <f t="shared" si="62"/>
        <v>6.AB.006</v>
      </c>
    </row>
    <row r="221" spans="1:22" x14ac:dyDescent="0.35">
      <c r="A221" s="9">
        <v>6</v>
      </c>
      <c r="B221" s="9" t="s">
        <v>347</v>
      </c>
      <c r="C221" s="10" t="s">
        <v>230</v>
      </c>
      <c r="D221" s="9"/>
      <c r="E221" s="11" t="s">
        <v>353</v>
      </c>
      <c r="F221" s="11" t="s">
        <v>8</v>
      </c>
      <c r="G221" s="12"/>
      <c r="H221" s="12"/>
      <c r="I221" s="18"/>
      <c r="J221" s="18"/>
      <c r="K221" s="18"/>
      <c r="L221" s="18"/>
      <c r="M221" s="18"/>
      <c r="N221" s="18"/>
      <c r="O221" s="18"/>
      <c r="P221" s="18"/>
      <c r="Q221" s="18"/>
      <c r="R221" s="11" t="str">
        <f t="shared" si="62"/>
        <v>6.AB.007</v>
      </c>
    </row>
    <row r="222" spans="1:22" x14ac:dyDescent="0.35">
      <c r="A222" s="9">
        <v>6</v>
      </c>
      <c r="B222" s="9" t="s">
        <v>347</v>
      </c>
      <c r="C222" s="10" t="s">
        <v>231</v>
      </c>
      <c r="D222" s="9"/>
      <c r="E222" s="11" t="s">
        <v>354</v>
      </c>
      <c r="F222" s="11" t="s">
        <v>8</v>
      </c>
      <c r="G222" s="12"/>
      <c r="H222" s="12"/>
      <c r="I222" s="18"/>
      <c r="J222" s="18"/>
      <c r="K222" s="18"/>
      <c r="L222" s="18"/>
      <c r="M222" s="18"/>
      <c r="N222" s="18"/>
      <c r="O222" s="18"/>
      <c r="P222" s="18"/>
      <c r="Q222" s="18"/>
      <c r="R222" s="11" t="str">
        <f t="shared" si="62"/>
        <v>6.AB.008</v>
      </c>
    </row>
    <row r="223" spans="1:22" x14ac:dyDescent="0.35">
      <c r="A223" s="9">
        <v>6</v>
      </c>
      <c r="B223" s="9" t="s">
        <v>347</v>
      </c>
      <c r="C223" s="10" t="s">
        <v>232</v>
      </c>
      <c r="D223" s="9"/>
      <c r="E223" s="11" t="s">
        <v>355</v>
      </c>
      <c r="F223" s="11" t="s">
        <v>8</v>
      </c>
      <c r="G223" s="12"/>
      <c r="H223" s="12"/>
      <c r="I223" s="18"/>
      <c r="J223" s="18"/>
      <c r="K223" s="18"/>
      <c r="L223" s="18"/>
      <c r="M223" s="18"/>
      <c r="N223" s="18"/>
      <c r="O223" s="18"/>
      <c r="P223" s="18"/>
      <c r="Q223" s="18"/>
      <c r="R223" s="11" t="str">
        <f t="shared" si="62"/>
        <v>6.AB.009</v>
      </c>
    </row>
    <row r="224" spans="1:22" x14ac:dyDescent="0.35">
      <c r="A224" s="9">
        <v>6</v>
      </c>
      <c r="B224" s="9" t="s">
        <v>347</v>
      </c>
      <c r="C224" s="10" t="s">
        <v>234</v>
      </c>
      <c r="D224" s="9"/>
      <c r="E224" s="11" t="s">
        <v>356</v>
      </c>
      <c r="F224" s="11" t="s">
        <v>8</v>
      </c>
      <c r="G224" s="12"/>
      <c r="H224" s="12"/>
      <c r="I224" s="18"/>
      <c r="J224" s="18"/>
      <c r="K224" s="18"/>
      <c r="L224" s="18"/>
      <c r="M224" s="18"/>
      <c r="N224" s="18"/>
      <c r="O224" s="18"/>
      <c r="P224" s="18"/>
      <c r="Q224" s="18"/>
      <c r="R224" s="11" t="str">
        <f t="shared" si="62"/>
        <v>6.AB.010</v>
      </c>
    </row>
    <row r="225" spans="1:22" x14ac:dyDescent="0.35">
      <c r="A225" s="9">
        <v>6</v>
      </c>
      <c r="B225" s="9" t="s">
        <v>347</v>
      </c>
      <c r="C225" s="10" t="s">
        <v>236</v>
      </c>
      <c r="D225" s="9"/>
      <c r="E225" s="11" t="s">
        <v>357</v>
      </c>
      <c r="F225" s="11" t="s">
        <v>8</v>
      </c>
      <c r="G225" s="12"/>
      <c r="H225" s="12"/>
      <c r="I225" s="18"/>
      <c r="J225" s="18"/>
      <c r="K225" s="18"/>
      <c r="L225" s="18"/>
      <c r="M225" s="18"/>
      <c r="N225" s="18"/>
      <c r="O225" s="18"/>
      <c r="P225" s="18"/>
      <c r="Q225" s="18"/>
      <c r="R225" s="11" t="str">
        <f t="shared" si="62"/>
        <v>6.AB.011</v>
      </c>
    </row>
    <row r="226" spans="1:22" x14ac:dyDescent="0.35">
      <c r="A226" s="9">
        <v>6</v>
      </c>
      <c r="B226" s="9" t="s">
        <v>347</v>
      </c>
      <c r="C226" s="10" t="s">
        <v>238</v>
      </c>
      <c r="D226" s="9"/>
      <c r="E226" s="11" t="s">
        <v>358</v>
      </c>
      <c r="F226" s="11" t="s">
        <v>8</v>
      </c>
      <c r="G226" s="12"/>
      <c r="H226" s="12"/>
      <c r="I226" s="18"/>
      <c r="J226" s="18"/>
      <c r="K226" s="18"/>
      <c r="L226" s="18"/>
      <c r="M226" s="18"/>
      <c r="N226" s="18"/>
      <c r="O226" s="18"/>
      <c r="P226" s="18"/>
      <c r="Q226" s="18"/>
      <c r="R226" s="11" t="str">
        <f t="shared" si="62"/>
        <v>6.AB.012</v>
      </c>
    </row>
    <row r="227" spans="1:22" x14ac:dyDescent="0.35">
      <c r="A227" s="9">
        <v>6</v>
      </c>
      <c r="B227" s="9" t="s">
        <v>347</v>
      </c>
      <c r="C227" s="10" t="s">
        <v>240</v>
      </c>
      <c r="D227" s="9"/>
      <c r="E227" s="11" t="s">
        <v>359</v>
      </c>
      <c r="F227" s="11" t="s">
        <v>8</v>
      </c>
      <c r="G227" s="12"/>
      <c r="H227" s="12"/>
      <c r="I227" s="18"/>
      <c r="J227" s="18"/>
      <c r="K227" s="18"/>
      <c r="L227" s="18"/>
      <c r="M227" s="18"/>
      <c r="N227" s="18"/>
      <c r="O227" s="18"/>
      <c r="P227" s="18"/>
      <c r="Q227" s="18"/>
      <c r="R227" s="11" t="str">
        <f t="shared" si="62"/>
        <v>6.AB.013</v>
      </c>
    </row>
    <row r="228" spans="1:22" x14ac:dyDescent="0.35">
      <c r="A228" s="9">
        <v>6</v>
      </c>
      <c r="B228" s="9" t="s">
        <v>347</v>
      </c>
      <c r="C228" s="10" t="s">
        <v>242</v>
      </c>
      <c r="D228" s="9"/>
      <c r="E228" s="11" t="s">
        <v>360</v>
      </c>
      <c r="F228" s="11" t="s">
        <v>8</v>
      </c>
      <c r="G228" s="12"/>
      <c r="H228" s="12"/>
      <c r="I228" s="18"/>
      <c r="J228" s="18"/>
      <c r="K228" s="18"/>
      <c r="L228" s="18"/>
      <c r="M228" s="18"/>
      <c r="N228" s="18"/>
      <c r="O228" s="18"/>
      <c r="P228" s="18"/>
      <c r="Q228" s="18"/>
      <c r="R228" s="11" t="str">
        <f t="shared" si="62"/>
        <v>6.AB.014</v>
      </c>
    </row>
    <row r="229" spans="1:22" x14ac:dyDescent="0.35">
      <c r="A229" s="9">
        <v>6</v>
      </c>
      <c r="B229" s="9" t="s">
        <v>347</v>
      </c>
      <c r="C229" s="10" t="s">
        <v>244</v>
      </c>
      <c r="D229" s="9"/>
      <c r="E229" s="11" t="s">
        <v>361</v>
      </c>
      <c r="F229" s="11" t="s">
        <v>8</v>
      </c>
      <c r="G229" s="12"/>
      <c r="H229" s="12"/>
      <c r="I229" s="18"/>
      <c r="J229" s="18"/>
      <c r="K229" s="18"/>
      <c r="L229" s="18"/>
      <c r="M229" s="18"/>
      <c r="N229" s="18"/>
      <c r="O229" s="18"/>
      <c r="P229" s="18"/>
      <c r="Q229" s="18"/>
      <c r="R229" s="11" t="str">
        <f t="shared" si="62"/>
        <v>6.AB.015</v>
      </c>
    </row>
    <row r="230" spans="1:22" x14ac:dyDescent="0.35">
      <c r="A230" s="9">
        <v>6</v>
      </c>
      <c r="B230" s="9" t="s">
        <v>347</v>
      </c>
      <c r="C230" s="10" t="s">
        <v>245</v>
      </c>
      <c r="D230" s="9"/>
      <c r="E230" s="11" t="s">
        <v>362</v>
      </c>
      <c r="F230" s="11" t="s">
        <v>8</v>
      </c>
      <c r="G230" s="12"/>
      <c r="H230" s="12"/>
      <c r="I230" s="18"/>
      <c r="J230" s="18"/>
      <c r="K230" s="18"/>
      <c r="L230" s="18"/>
      <c r="M230" s="18"/>
      <c r="N230" s="18"/>
      <c r="O230" s="18"/>
      <c r="P230" s="18"/>
      <c r="Q230" s="18"/>
      <c r="R230" s="11" t="str">
        <f t="shared" si="62"/>
        <v>6.AB.016</v>
      </c>
    </row>
    <row r="231" spans="1:22" x14ac:dyDescent="0.35">
      <c r="A231" s="9">
        <v>6</v>
      </c>
      <c r="B231" s="9" t="s">
        <v>347</v>
      </c>
      <c r="C231" s="10" t="s">
        <v>247</v>
      </c>
      <c r="D231" s="9"/>
      <c r="E231" s="11" t="s">
        <v>363</v>
      </c>
      <c r="F231" s="11" t="s">
        <v>8</v>
      </c>
      <c r="G231" s="12"/>
      <c r="H231" s="12"/>
      <c r="I231" s="18"/>
      <c r="J231" s="18"/>
      <c r="K231" s="18"/>
      <c r="L231" s="18"/>
      <c r="M231" s="18"/>
      <c r="N231" s="18"/>
      <c r="O231" s="18"/>
      <c r="P231" s="18"/>
      <c r="Q231" s="18"/>
      <c r="R231" s="11" t="str">
        <f t="shared" si="62"/>
        <v>6.AB.017</v>
      </c>
    </row>
    <row r="232" spans="1:22" x14ac:dyDescent="0.35">
      <c r="A232" s="9">
        <v>6</v>
      </c>
      <c r="B232" s="9" t="s">
        <v>347</v>
      </c>
      <c r="C232" s="10" t="s">
        <v>249</v>
      </c>
      <c r="D232" s="9"/>
      <c r="E232" s="11" t="s">
        <v>364</v>
      </c>
      <c r="F232" s="11" t="s">
        <v>8</v>
      </c>
      <c r="G232" s="12"/>
      <c r="H232" s="12"/>
      <c r="I232" s="18"/>
      <c r="J232" s="18"/>
      <c r="K232" s="18"/>
      <c r="L232" s="18"/>
      <c r="M232" s="18"/>
      <c r="N232" s="18"/>
      <c r="O232" s="18"/>
      <c r="P232" s="18"/>
      <c r="Q232" s="18"/>
      <c r="R232" s="11" t="str">
        <f t="shared" si="62"/>
        <v>6.AB.018</v>
      </c>
    </row>
    <row r="233" spans="1:22" x14ac:dyDescent="0.35">
      <c r="A233" s="9">
        <v>6</v>
      </c>
      <c r="B233" s="9" t="s">
        <v>347</v>
      </c>
      <c r="C233" s="10" t="s">
        <v>259</v>
      </c>
      <c r="D233" s="9"/>
      <c r="E233" s="11" t="s">
        <v>571</v>
      </c>
      <c r="F233" s="11" t="s">
        <v>508</v>
      </c>
      <c r="G233" s="12"/>
      <c r="H233" s="12"/>
      <c r="I233" s="18">
        <v>50</v>
      </c>
      <c r="J233" s="18">
        <f>I233*J214</f>
        <v>56.999999999999993</v>
      </c>
      <c r="K233" s="18">
        <f t="shared" ref="K233:Q233" si="148">J233*K214</f>
        <v>64.97999999999999</v>
      </c>
      <c r="L233" s="18">
        <f t="shared" si="148"/>
        <v>74.077199999999976</v>
      </c>
      <c r="M233" s="18">
        <f t="shared" si="148"/>
        <v>84.448007999999959</v>
      </c>
      <c r="N233" s="18">
        <f t="shared" si="148"/>
        <v>96.270729119999942</v>
      </c>
      <c r="O233" s="18">
        <f t="shared" si="148"/>
        <v>109.74863119679992</v>
      </c>
      <c r="P233" s="18">
        <f t="shared" si="148"/>
        <v>125.11343956435189</v>
      </c>
      <c r="Q233" s="18">
        <f t="shared" si="148"/>
        <v>142.62932110336115</v>
      </c>
      <c r="R233" s="11" t="str">
        <f t="shared" si="62"/>
        <v>6.AB.019</v>
      </c>
      <c r="S233" s="22">
        <f t="shared" ref="S233:V235" si="149">AVERAGE(H233:J233)</f>
        <v>53.5</v>
      </c>
      <c r="T233" s="22">
        <f t="shared" si="149"/>
        <v>57.326666666666661</v>
      </c>
      <c r="U233" s="22">
        <f t="shared" si="149"/>
        <v>65.352399999999989</v>
      </c>
      <c r="V233" s="22">
        <f t="shared" si="149"/>
        <v>74.50173599999998</v>
      </c>
    </row>
    <row r="234" spans="1:22" x14ac:dyDescent="0.35">
      <c r="A234" s="9">
        <v>6</v>
      </c>
      <c r="B234" s="9" t="s">
        <v>347</v>
      </c>
      <c r="C234" s="10" t="s">
        <v>260</v>
      </c>
      <c r="D234" s="9"/>
      <c r="E234" s="11" t="s">
        <v>526</v>
      </c>
      <c r="F234" s="11" t="s">
        <v>509</v>
      </c>
      <c r="G234" s="12"/>
      <c r="H234" s="12"/>
      <c r="I234" s="18">
        <v>74000</v>
      </c>
      <c r="J234" s="18">
        <f>I234*J214</f>
        <v>84360</v>
      </c>
      <c r="K234" s="18">
        <f t="shared" ref="K234:Q234" si="150">J234*K214</f>
        <v>96170.4</v>
      </c>
      <c r="L234" s="18">
        <f t="shared" si="150"/>
        <v>109634.25599999998</v>
      </c>
      <c r="M234" s="18">
        <f t="shared" si="150"/>
        <v>124983.05183999997</v>
      </c>
      <c r="N234" s="18">
        <f t="shared" si="150"/>
        <v>142480.67909759996</v>
      </c>
      <c r="O234" s="18">
        <f t="shared" si="150"/>
        <v>162427.97417126395</v>
      </c>
      <c r="P234" s="18">
        <f t="shared" si="150"/>
        <v>185167.89055524088</v>
      </c>
      <c r="Q234" s="18">
        <f t="shared" si="150"/>
        <v>211091.39523297458</v>
      </c>
      <c r="R234" s="11" t="str">
        <f t="shared" si="62"/>
        <v>6.AB.020</v>
      </c>
      <c r="S234" s="22">
        <f t="shared" si="149"/>
        <v>79180</v>
      </c>
      <c r="T234" s="22">
        <f t="shared" si="149"/>
        <v>84843.46666666666</v>
      </c>
      <c r="U234" s="22">
        <f t="shared" si="149"/>
        <v>96721.551999999981</v>
      </c>
      <c r="V234" s="22">
        <f t="shared" si="149"/>
        <v>110262.56927999998</v>
      </c>
    </row>
    <row r="235" spans="1:22" x14ac:dyDescent="0.35">
      <c r="A235" s="9">
        <v>6</v>
      </c>
      <c r="B235" s="9" t="s">
        <v>347</v>
      </c>
      <c r="C235" s="10" t="s">
        <v>261</v>
      </c>
      <c r="D235" s="9"/>
      <c r="E235" s="11" t="s">
        <v>200</v>
      </c>
      <c r="F235" s="11" t="s">
        <v>508</v>
      </c>
      <c r="G235" s="12"/>
      <c r="H235" s="12"/>
      <c r="I235" s="18">
        <v>4500</v>
      </c>
      <c r="J235" s="18">
        <f>I235*J214</f>
        <v>5130</v>
      </c>
      <c r="K235" s="18">
        <f t="shared" ref="K235:Q235" si="151">J235*K214</f>
        <v>5848.2</v>
      </c>
      <c r="L235" s="18">
        <f t="shared" si="151"/>
        <v>6666.9479999999994</v>
      </c>
      <c r="M235" s="18">
        <f t="shared" si="151"/>
        <v>7600.3207199999988</v>
      </c>
      <c r="N235" s="18">
        <f t="shared" si="151"/>
        <v>8664.3656207999975</v>
      </c>
      <c r="O235" s="18">
        <f t="shared" si="151"/>
        <v>9877.3768077119967</v>
      </c>
      <c r="P235" s="18">
        <f t="shared" si="151"/>
        <v>11260.209560791674</v>
      </c>
      <c r="Q235" s="18">
        <f t="shared" si="151"/>
        <v>12836.638899302508</v>
      </c>
      <c r="R235" s="11" t="str">
        <f t="shared" si="62"/>
        <v>6.AB.021</v>
      </c>
      <c r="S235" s="22">
        <f t="shared" si="149"/>
        <v>4815</v>
      </c>
      <c r="T235" s="22">
        <f t="shared" si="149"/>
        <v>5159.4000000000005</v>
      </c>
      <c r="U235" s="22">
        <f t="shared" si="149"/>
        <v>5881.7160000000003</v>
      </c>
      <c r="V235" s="22">
        <f t="shared" si="149"/>
        <v>6705.1562399999993</v>
      </c>
    </row>
    <row r="236" spans="1:22" x14ac:dyDescent="0.35">
      <c r="A236" s="7"/>
      <c r="B236" s="7" t="s">
        <v>365</v>
      </c>
      <c r="C236" s="13"/>
      <c r="D236" s="7"/>
      <c r="E236" s="7"/>
      <c r="F236" s="7"/>
      <c r="G236" s="8"/>
      <c r="H236" s="8"/>
      <c r="I236" s="15"/>
      <c r="J236" s="15" t="s">
        <v>650</v>
      </c>
      <c r="K236" s="15"/>
      <c r="L236" s="8"/>
      <c r="M236" s="8"/>
      <c r="N236" s="8"/>
      <c r="O236" s="8"/>
      <c r="P236" s="8"/>
      <c r="Q236" s="8"/>
      <c r="R236" s="7"/>
    </row>
    <row r="237" spans="1:22" x14ac:dyDescent="0.35">
      <c r="A237" s="7"/>
      <c r="B237" s="7"/>
      <c r="C237" s="13"/>
      <c r="D237" s="7"/>
      <c r="E237" s="7"/>
      <c r="F237" s="7"/>
      <c r="G237" s="8"/>
      <c r="H237" s="8"/>
      <c r="I237" s="15" t="s">
        <v>646</v>
      </c>
      <c r="J237" s="55">
        <v>1.1399999999999999</v>
      </c>
      <c r="K237" s="55">
        <f>J237</f>
        <v>1.1399999999999999</v>
      </c>
      <c r="L237" s="55">
        <f t="shared" ref="L237:Q237" si="152">K237</f>
        <v>1.1399999999999999</v>
      </c>
      <c r="M237" s="55">
        <f t="shared" si="152"/>
        <v>1.1399999999999999</v>
      </c>
      <c r="N237" s="55">
        <f t="shared" si="152"/>
        <v>1.1399999999999999</v>
      </c>
      <c r="O237" s="55">
        <f t="shared" si="152"/>
        <v>1.1399999999999999</v>
      </c>
      <c r="P237" s="55">
        <f t="shared" si="152"/>
        <v>1.1399999999999999</v>
      </c>
      <c r="Q237" s="55">
        <f t="shared" si="152"/>
        <v>1.1399999999999999</v>
      </c>
      <c r="R237" s="7"/>
    </row>
    <row r="238" spans="1:22" x14ac:dyDescent="0.35">
      <c r="A238" s="9">
        <v>6</v>
      </c>
      <c r="B238" s="9" t="s">
        <v>366</v>
      </c>
      <c r="C238" s="10" t="s">
        <v>224</v>
      </c>
      <c r="D238" s="9"/>
      <c r="E238" s="11" t="s">
        <v>105</v>
      </c>
      <c r="F238" s="11" t="s">
        <v>8</v>
      </c>
      <c r="G238" s="12"/>
      <c r="H238" s="12"/>
      <c r="I238" s="57">
        <v>58900</v>
      </c>
      <c r="J238" s="57">
        <v>71700</v>
      </c>
      <c r="K238" s="57">
        <f>J238*K237</f>
        <v>81738</v>
      </c>
      <c r="L238" s="57">
        <f t="shared" ref="L238:Q238" si="153">K238*L237</f>
        <v>93181.319999999992</v>
      </c>
      <c r="M238" s="57">
        <f t="shared" si="153"/>
        <v>106226.70479999998</v>
      </c>
      <c r="N238" s="57">
        <f t="shared" si="153"/>
        <v>121098.44347199997</v>
      </c>
      <c r="O238" s="57">
        <f t="shared" si="153"/>
        <v>138052.22555807995</v>
      </c>
      <c r="P238" s="57">
        <f t="shared" si="153"/>
        <v>157379.53713621115</v>
      </c>
      <c r="Q238" s="57">
        <f t="shared" si="153"/>
        <v>179412.67233528069</v>
      </c>
      <c r="R238" s="11" t="str">
        <f t="shared" si="62"/>
        <v>6.AJ.001</v>
      </c>
      <c r="S238" s="22">
        <f>AVERAGE(H238:J238)</f>
        <v>65300</v>
      </c>
      <c r="T238" s="22">
        <f>AVERAGE(I238:K238)</f>
        <v>70779.333333333328</v>
      </c>
      <c r="U238" s="22">
        <f>AVERAGE(J238:L238)</f>
        <v>82206.44</v>
      </c>
      <c r="V238" s="22">
        <f>AVERAGE(K238:M238)</f>
        <v>93715.3416</v>
      </c>
    </row>
    <row r="239" spans="1:22" x14ac:dyDescent="0.35">
      <c r="A239" s="9">
        <v>6</v>
      </c>
      <c r="B239" s="9" t="s">
        <v>366</v>
      </c>
      <c r="C239" s="10" t="s">
        <v>225</v>
      </c>
      <c r="D239" s="9"/>
      <c r="E239" s="11" t="s">
        <v>643</v>
      </c>
      <c r="F239" s="11" t="s">
        <v>8</v>
      </c>
      <c r="G239" s="12"/>
      <c r="H239" s="12"/>
      <c r="I239" s="57">
        <v>58900</v>
      </c>
      <c r="J239" s="57">
        <v>71700</v>
      </c>
      <c r="K239" s="57">
        <f>J239*K237</f>
        <v>81738</v>
      </c>
      <c r="L239" s="57">
        <f t="shared" ref="L239:Q239" si="154">K239*L237</f>
        <v>93181.319999999992</v>
      </c>
      <c r="M239" s="57">
        <f t="shared" si="154"/>
        <v>106226.70479999998</v>
      </c>
      <c r="N239" s="57">
        <f t="shared" si="154"/>
        <v>121098.44347199997</v>
      </c>
      <c r="O239" s="57">
        <f t="shared" si="154"/>
        <v>138052.22555807995</v>
      </c>
      <c r="P239" s="57">
        <f t="shared" si="154"/>
        <v>157379.53713621115</v>
      </c>
      <c r="Q239" s="57">
        <f t="shared" si="154"/>
        <v>179412.67233528069</v>
      </c>
      <c r="R239" s="11" t="str">
        <f t="shared" si="62"/>
        <v>6.AJ.002</v>
      </c>
    </row>
    <row r="240" spans="1:22" x14ac:dyDescent="0.35">
      <c r="A240" s="9">
        <v>6</v>
      </c>
      <c r="B240" s="9" t="s">
        <v>366</v>
      </c>
      <c r="C240" s="10" t="s">
        <v>226</v>
      </c>
      <c r="D240" s="9"/>
      <c r="E240" s="11" t="s">
        <v>367</v>
      </c>
      <c r="F240" s="11" t="s">
        <v>8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1" t="str">
        <f t="shared" si="62"/>
        <v>6.AJ.003</v>
      </c>
    </row>
    <row r="241" spans="1:18" x14ac:dyDescent="0.35">
      <c r="A241" s="9">
        <v>6</v>
      </c>
      <c r="B241" s="9" t="s">
        <v>366</v>
      </c>
      <c r="C241" s="10" t="s">
        <v>227</v>
      </c>
      <c r="D241" s="9"/>
      <c r="E241" s="11" t="s">
        <v>368</v>
      </c>
      <c r="F241" s="11" t="s">
        <v>8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1" t="str">
        <f t="shared" si="62"/>
        <v>6.AJ.004</v>
      </c>
    </row>
    <row r="242" spans="1:18" x14ac:dyDescent="0.35">
      <c r="A242" s="9">
        <v>6</v>
      </c>
      <c r="B242" s="9" t="s">
        <v>366</v>
      </c>
      <c r="C242" s="10" t="s">
        <v>228</v>
      </c>
      <c r="D242" s="9"/>
      <c r="E242" s="11" t="s">
        <v>369</v>
      </c>
      <c r="F242" s="11" t="s">
        <v>8</v>
      </c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1" t="str">
        <f t="shared" si="62"/>
        <v>6.AJ.005</v>
      </c>
    </row>
    <row r="243" spans="1:18" x14ac:dyDescent="0.35">
      <c r="A243" s="9">
        <v>6</v>
      </c>
      <c r="B243" s="9" t="s">
        <v>366</v>
      </c>
      <c r="C243" s="10" t="s">
        <v>229</v>
      </c>
      <c r="D243" s="9"/>
      <c r="E243" s="11" t="s">
        <v>370</v>
      </c>
      <c r="F243" s="11" t="s">
        <v>8</v>
      </c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1" t="str">
        <f t="shared" si="62"/>
        <v>6.AJ.006</v>
      </c>
    </row>
    <row r="244" spans="1:18" x14ac:dyDescent="0.35">
      <c r="A244" s="9">
        <v>6</v>
      </c>
      <c r="B244" s="9" t="s">
        <v>366</v>
      </c>
      <c r="C244" s="10" t="s">
        <v>230</v>
      </c>
      <c r="D244" s="9"/>
      <c r="E244" s="11" t="s">
        <v>371</v>
      </c>
      <c r="F244" s="11" t="s">
        <v>8</v>
      </c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1" t="str">
        <f t="shared" si="62"/>
        <v>6.AJ.007</v>
      </c>
    </row>
    <row r="245" spans="1:18" x14ac:dyDescent="0.35">
      <c r="A245" s="9">
        <v>6</v>
      </c>
      <c r="B245" s="9" t="s">
        <v>366</v>
      </c>
      <c r="C245" s="10" t="s">
        <v>231</v>
      </c>
      <c r="D245" s="9"/>
      <c r="E245" s="11" t="s">
        <v>372</v>
      </c>
      <c r="F245" s="11" t="s">
        <v>8</v>
      </c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1" t="str">
        <f t="shared" si="62"/>
        <v>6.AJ.008</v>
      </c>
    </row>
    <row r="246" spans="1:18" x14ac:dyDescent="0.35">
      <c r="A246" s="9">
        <v>6</v>
      </c>
      <c r="B246" s="9" t="s">
        <v>366</v>
      </c>
      <c r="C246" s="10" t="s">
        <v>232</v>
      </c>
      <c r="D246" s="9"/>
      <c r="E246" s="11" t="s">
        <v>373</v>
      </c>
      <c r="F246" s="11" t="s">
        <v>8</v>
      </c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1" t="str">
        <f t="shared" si="62"/>
        <v>6.AJ.009</v>
      </c>
    </row>
    <row r="247" spans="1:18" x14ac:dyDescent="0.35">
      <c r="A247" s="9">
        <v>6</v>
      </c>
      <c r="B247" s="9" t="s">
        <v>366</v>
      </c>
      <c r="C247" s="10" t="s">
        <v>234</v>
      </c>
      <c r="D247" s="9"/>
      <c r="E247" s="11" t="s">
        <v>374</v>
      </c>
      <c r="F247" s="11" t="s">
        <v>8</v>
      </c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1" t="str">
        <f t="shared" si="62"/>
        <v>6.AJ.010</v>
      </c>
    </row>
    <row r="248" spans="1:18" x14ac:dyDescent="0.35">
      <c r="A248" s="9">
        <v>6</v>
      </c>
      <c r="B248" s="9" t="s">
        <v>366</v>
      </c>
      <c r="C248" s="10" t="s">
        <v>236</v>
      </c>
      <c r="D248" s="9"/>
      <c r="E248" s="11" t="s">
        <v>375</v>
      </c>
      <c r="F248" s="11" t="s">
        <v>8</v>
      </c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1" t="str">
        <f t="shared" si="62"/>
        <v>6.AJ.011</v>
      </c>
    </row>
    <row r="249" spans="1:18" x14ac:dyDescent="0.35">
      <c r="A249" s="9">
        <v>6</v>
      </c>
      <c r="B249" s="9" t="s">
        <v>366</v>
      </c>
      <c r="C249" s="10" t="s">
        <v>238</v>
      </c>
      <c r="D249" s="9"/>
      <c r="E249" s="11" t="s">
        <v>376</v>
      </c>
      <c r="F249" s="11" t="s">
        <v>8</v>
      </c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1" t="str">
        <f t="shared" si="62"/>
        <v>6.AJ.012</v>
      </c>
    </row>
    <row r="250" spans="1:18" x14ac:dyDescent="0.35">
      <c r="A250" s="9">
        <v>6</v>
      </c>
      <c r="B250" s="9" t="s">
        <v>366</v>
      </c>
      <c r="C250" s="10" t="s">
        <v>240</v>
      </c>
      <c r="D250" s="9"/>
      <c r="E250" s="11" t="s">
        <v>377</v>
      </c>
      <c r="F250" s="11" t="s">
        <v>8</v>
      </c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1" t="str">
        <f t="shared" si="62"/>
        <v>6.AJ.013</v>
      </c>
    </row>
    <row r="251" spans="1:18" x14ac:dyDescent="0.35">
      <c r="A251" s="9">
        <v>6</v>
      </c>
      <c r="B251" s="9" t="s">
        <v>366</v>
      </c>
      <c r="C251" s="10" t="s">
        <v>242</v>
      </c>
      <c r="D251" s="9"/>
      <c r="E251" s="11" t="s">
        <v>378</v>
      </c>
      <c r="F251" s="11" t="s">
        <v>8</v>
      </c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1" t="str">
        <f t="shared" si="62"/>
        <v>6.AJ.014</v>
      </c>
    </row>
    <row r="252" spans="1:18" x14ac:dyDescent="0.35">
      <c r="A252" s="9">
        <v>6</v>
      </c>
      <c r="B252" s="9" t="s">
        <v>366</v>
      </c>
      <c r="C252" s="10" t="s">
        <v>244</v>
      </c>
      <c r="D252" s="9"/>
      <c r="E252" s="11" t="s">
        <v>379</v>
      </c>
      <c r="F252" s="11" t="s">
        <v>8</v>
      </c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1" t="str">
        <f t="shared" si="62"/>
        <v>6.AJ.015</v>
      </c>
    </row>
    <row r="253" spans="1:18" x14ac:dyDescent="0.35">
      <c r="A253" s="9">
        <v>6</v>
      </c>
      <c r="B253" s="9" t="s">
        <v>366</v>
      </c>
      <c r="C253" s="10" t="s">
        <v>245</v>
      </c>
      <c r="D253" s="9"/>
      <c r="E253" s="11" t="s">
        <v>380</v>
      </c>
      <c r="F253" s="11" t="s">
        <v>8</v>
      </c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1" t="str">
        <f t="shared" si="62"/>
        <v>6.AJ.016</v>
      </c>
    </row>
    <row r="254" spans="1:18" x14ac:dyDescent="0.35">
      <c r="A254" s="9">
        <v>6</v>
      </c>
      <c r="B254" s="9" t="s">
        <v>366</v>
      </c>
      <c r="C254" s="10" t="s">
        <v>247</v>
      </c>
      <c r="D254" s="9"/>
      <c r="E254" s="11" t="s">
        <v>381</v>
      </c>
      <c r="F254" s="11" t="s">
        <v>8</v>
      </c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1" t="str">
        <f t="shared" si="62"/>
        <v>6.AJ.017</v>
      </c>
    </row>
    <row r="255" spans="1:18" x14ac:dyDescent="0.35">
      <c r="A255" s="9">
        <v>6</v>
      </c>
      <c r="B255" s="9" t="s">
        <v>366</v>
      </c>
      <c r="C255" s="10" t="s">
        <v>249</v>
      </c>
      <c r="D255" s="9"/>
      <c r="E255" s="11" t="s">
        <v>382</v>
      </c>
      <c r="F255" s="11" t="s">
        <v>8</v>
      </c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1" t="str">
        <f t="shared" si="62"/>
        <v>6.AJ.018</v>
      </c>
    </row>
    <row r="256" spans="1:18" x14ac:dyDescent="0.35">
      <c r="A256" s="9">
        <v>6</v>
      </c>
      <c r="B256" s="9" t="s">
        <v>366</v>
      </c>
      <c r="C256" s="10" t="s">
        <v>259</v>
      </c>
      <c r="D256" s="9"/>
      <c r="E256" s="11" t="s">
        <v>383</v>
      </c>
      <c r="F256" s="11" t="s">
        <v>8</v>
      </c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1" t="str">
        <f t="shared" si="62"/>
        <v>6.AJ.019</v>
      </c>
    </row>
    <row r="257" spans="1:22" x14ac:dyDescent="0.35">
      <c r="A257" s="9">
        <v>6</v>
      </c>
      <c r="B257" s="9" t="s">
        <v>366</v>
      </c>
      <c r="C257" s="10" t="s">
        <v>260</v>
      </c>
      <c r="D257" s="9"/>
      <c r="E257" s="11" t="s">
        <v>384</v>
      </c>
      <c r="F257" s="11" t="s">
        <v>8</v>
      </c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1" t="str">
        <f t="shared" si="62"/>
        <v>6.AJ.020</v>
      </c>
    </row>
    <row r="258" spans="1:22" x14ac:dyDescent="0.35">
      <c r="A258" s="7"/>
      <c r="B258" s="7" t="s">
        <v>385</v>
      </c>
      <c r="C258" s="13"/>
      <c r="D258" s="7"/>
      <c r="E258" s="7"/>
      <c r="F258" s="7"/>
      <c r="G258" s="8"/>
      <c r="H258" s="8"/>
      <c r="I258" s="15"/>
      <c r="J258" s="15" t="s">
        <v>650</v>
      </c>
      <c r="K258" s="15"/>
      <c r="L258" s="8"/>
      <c r="M258" s="8"/>
      <c r="N258" s="8"/>
      <c r="O258" s="8"/>
      <c r="P258" s="8"/>
      <c r="Q258" s="8"/>
      <c r="R258" s="7"/>
    </row>
    <row r="259" spans="1:22" x14ac:dyDescent="0.35">
      <c r="A259" s="7"/>
      <c r="B259" s="7"/>
      <c r="C259" s="13"/>
      <c r="D259" s="7"/>
      <c r="E259" s="7"/>
      <c r="F259" s="7"/>
      <c r="G259" s="8"/>
      <c r="H259" s="8"/>
      <c r="I259" s="15" t="s">
        <v>646</v>
      </c>
      <c r="J259" s="55">
        <v>1.1399999999999999</v>
      </c>
      <c r="K259" s="55">
        <f>J259</f>
        <v>1.1399999999999999</v>
      </c>
      <c r="L259" s="55">
        <f t="shared" ref="L259:Q259" si="155">K259</f>
        <v>1.1399999999999999</v>
      </c>
      <c r="M259" s="55">
        <f t="shared" si="155"/>
        <v>1.1399999999999999</v>
      </c>
      <c r="N259" s="55">
        <f t="shared" si="155"/>
        <v>1.1399999999999999</v>
      </c>
      <c r="O259" s="55">
        <f t="shared" si="155"/>
        <v>1.1399999999999999</v>
      </c>
      <c r="P259" s="55">
        <f t="shared" si="155"/>
        <v>1.1399999999999999</v>
      </c>
      <c r="Q259" s="55">
        <f t="shared" si="155"/>
        <v>1.1399999999999999</v>
      </c>
      <c r="R259" s="7"/>
    </row>
    <row r="260" spans="1:22" x14ac:dyDescent="0.35">
      <c r="A260" s="9">
        <v>6</v>
      </c>
      <c r="B260" s="9" t="s">
        <v>386</v>
      </c>
      <c r="C260" s="10" t="s">
        <v>224</v>
      </c>
      <c r="D260" s="9"/>
      <c r="E260" s="11" t="s">
        <v>106</v>
      </c>
      <c r="F260" s="11" t="s">
        <v>8</v>
      </c>
      <c r="G260" s="16"/>
      <c r="H260" s="16"/>
      <c r="I260" s="57">
        <v>59500</v>
      </c>
      <c r="J260" s="57">
        <v>72400</v>
      </c>
      <c r="K260" s="57">
        <f>J260*K259</f>
        <v>82536</v>
      </c>
      <c r="L260" s="57">
        <f t="shared" ref="L260:Q260" si="156">K260*L259</f>
        <v>94091.04</v>
      </c>
      <c r="M260" s="57">
        <f t="shared" si="156"/>
        <v>107263.78559999999</v>
      </c>
      <c r="N260" s="57">
        <f t="shared" si="156"/>
        <v>122280.71558399998</v>
      </c>
      <c r="O260" s="57">
        <f t="shared" si="156"/>
        <v>139400.01576575995</v>
      </c>
      <c r="P260" s="57">
        <f t="shared" si="156"/>
        <v>158916.01797296634</v>
      </c>
      <c r="Q260" s="57">
        <f t="shared" si="156"/>
        <v>181164.26048918162</v>
      </c>
      <c r="R260" s="11" t="str">
        <f t="shared" si="62"/>
        <v>6.AP.001</v>
      </c>
      <c r="S260" s="22">
        <f>AVERAGE(H260:J260)</f>
        <v>65950</v>
      </c>
      <c r="T260" s="22">
        <f>AVERAGE(I260:K260)</f>
        <v>71478.666666666672</v>
      </c>
      <c r="U260" s="22">
        <f>AVERAGE(J260:L260)</f>
        <v>83009.013333333321</v>
      </c>
      <c r="V260" s="22">
        <f>AVERAGE(K260:M260)</f>
        <v>94630.275199999989</v>
      </c>
    </row>
    <row r="261" spans="1:22" x14ac:dyDescent="0.35">
      <c r="A261" s="9">
        <v>6</v>
      </c>
      <c r="B261" s="9" t="s">
        <v>386</v>
      </c>
      <c r="C261" s="10" t="s">
        <v>225</v>
      </c>
      <c r="D261" s="9"/>
      <c r="E261" s="11" t="s">
        <v>387</v>
      </c>
      <c r="F261" s="11" t="s">
        <v>8</v>
      </c>
      <c r="G261" s="12">
        <v>0</v>
      </c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1" t="str">
        <f t="shared" si="62"/>
        <v>6.AP.002</v>
      </c>
    </row>
    <row r="262" spans="1:22" x14ac:dyDescent="0.35">
      <c r="A262" s="9">
        <v>6</v>
      </c>
      <c r="B262" s="9" t="s">
        <v>386</v>
      </c>
      <c r="C262" s="10" t="s">
        <v>226</v>
      </c>
      <c r="D262" s="9"/>
      <c r="E262" s="11" t="s">
        <v>388</v>
      </c>
      <c r="F262" s="11" t="s">
        <v>8</v>
      </c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1" t="str">
        <f t="shared" si="62"/>
        <v>6.AP.003</v>
      </c>
    </row>
    <row r="263" spans="1:22" x14ac:dyDescent="0.35">
      <c r="A263" s="9">
        <v>6</v>
      </c>
      <c r="B263" s="9" t="s">
        <v>386</v>
      </c>
      <c r="C263" s="10" t="s">
        <v>227</v>
      </c>
      <c r="D263" s="9"/>
      <c r="E263" s="11" t="s">
        <v>389</v>
      </c>
      <c r="F263" s="11" t="s">
        <v>8</v>
      </c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1" t="str">
        <f t="shared" si="62"/>
        <v>6.AP.004</v>
      </c>
    </row>
    <row r="264" spans="1:22" x14ac:dyDescent="0.35">
      <c r="A264" s="9">
        <v>6</v>
      </c>
      <c r="B264" s="9" t="s">
        <v>386</v>
      </c>
      <c r="C264" s="10" t="s">
        <v>228</v>
      </c>
      <c r="D264" s="9"/>
      <c r="E264" s="11" t="s">
        <v>390</v>
      </c>
      <c r="F264" s="11" t="s">
        <v>8</v>
      </c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1" t="str">
        <f t="shared" si="62"/>
        <v>6.AP.005</v>
      </c>
    </row>
    <row r="265" spans="1:22" x14ac:dyDescent="0.35">
      <c r="A265" s="9">
        <v>6</v>
      </c>
      <c r="B265" s="9" t="s">
        <v>386</v>
      </c>
      <c r="C265" s="10" t="s">
        <v>229</v>
      </c>
      <c r="D265" s="9"/>
      <c r="E265" s="11" t="s">
        <v>391</v>
      </c>
      <c r="F265" s="11" t="s">
        <v>8</v>
      </c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1" t="str">
        <f t="shared" si="62"/>
        <v>6.AP.006</v>
      </c>
    </row>
    <row r="266" spans="1:22" x14ac:dyDescent="0.35">
      <c r="A266" s="9">
        <v>6</v>
      </c>
      <c r="B266" s="9" t="s">
        <v>386</v>
      </c>
      <c r="C266" s="10" t="s">
        <v>230</v>
      </c>
      <c r="D266" s="9"/>
      <c r="E266" s="11" t="s">
        <v>392</v>
      </c>
      <c r="F266" s="11" t="s">
        <v>8</v>
      </c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1" t="str">
        <f t="shared" si="62"/>
        <v>6.AP.007</v>
      </c>
    </row>
    <row r="267" spans="1:22" x14ac:dyDescent="0.35">
      <c r="A267" s="9">
        <v>6</v>
      </c>
      <c r="B267" s="9" t="s">
        <v>386</v>
      </c>
      <c r="C267" s="10" t="s">
        <v>231</v>
      </c>
      <c r="D267" s="9"/>
      <c r="E267" s="11" t="s">
        <v>393</v>
      </c>
      <c r="F267" s="11" t="s">
        <v>8</v>
      </c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1" t="str">
        <f t="shared" si="62"/>
        <v>6.AP.008</v>
      </c>
    </row>
    <row r="268" spans="1:22" x14ac:dyDescent="0.35">
      <c r="A268" s="9">
        <v>6</v>
      </c>
      <c r="B268" s="9" t="s">
        <v>386</v>
      </c>
      <c r="C268" s="10" t="s">
        <v>232</v>
      </c>
      <c r="D268" s="9"/>
      <c r="E268" s="11" t="s">
        <v>394</v>
      </c>
      <c r="F268" s="11" t="s">
        <v>8</v>
      </c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1" t="str">
        <f t="shared" si="62"/>
        <v>6.AP.009</v>
      </c>
    </row>
    <row r="269" spans="1:22" x14ac:dyDescent="0.35">
      <c r="A269" s="9">
        <v>6</v>
      </c>
      <c r="B269" s="9" t="s">
        <v>386</v>
      </c>
      <c r="C269" s="10" t="s">
        <v>234</v>
      </c>
      <c r="D269" s="9"/>
      <c r="E269" s="11" t="s">
        <v>395</v>
      </c>
      <c r="F269" s="11" t="s">
        <v>8</v>
      </c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1" t="str">
        <f t="shared" si="62"/>
        <v>6.AP.010</v>
      </c>
    </row>
    <row r="270" spans="1:22" x14ac:dyDescent="0.35">
      <c r="A270" s="7"/>
      <c r="B270" s="7" t="s">
        <v>396</v>
      </c>
      <c r="C270" s="13"/>
      <c r="D270" s="7"/>
      <c r="E270" s="7"/>
      <c r="F270" s="7"/>
      <c r="G270" s="8"/>
      <c r="H270" s="8"/>
      <c r="I270" s="15"/>
      <c r="J270" s="15" t="s">
        <v>651</v>
      </c>
      <c r="K270" s="15"/>
      <c r="L270" s="8"/>
      <c r="M270" s="8"/>
      <c r="N270" s="8"/>
      <c r="O270" s="8"/>
      <c r="P270" s="8"/>
      <c r="Q270" s="8"/>
      <c r="R270" s="7"/>
    </row>
    <row r="271" spans="1:22" x14ac:dyDescent="0.35">
      <c r="A271" s="7"/>
      <c r="B271" s="7"/>
      <c r="C271" s="13"/>
      <c r="D271" s="7"/>
      <c r="E271" s="7"/>
      <c r="F271" s="7"/>
      <c r="G271" s="8"/>
      <c r="H271" s="8"/>
      <c r="I271" s="15" t="s">
        <v>646</v>
      </c>
      <c r="J271" s="55">
        <v>1.1399999999999999</v>
      </c>
      <c r="K271" s="55">
        <f>J271</f>
        <v>1.1399999999999999</v>
      </c>
      <c r="L271" s="55">
        <f t="shared" ref="L271:Q271" si="157">K271</f>
        <v>1.1399999999999999</v>
      </c>
      <c r="M271" s="55">
        <f t="shared" si="157"/>
        <v>1.1399999999999999</v>
      </c>
      <c r="N271" s="55">
        <f t="shared" si="157"/>
        <v>1.1399999999999999</v>
      </c>
      <c r="O271" s="55">
        <f t="shared" si="157"/>
        <v>1.1399999999999999</v>
      </c>
      <c r="P271" s="55">
        <f t="shared" si="157"/>
        <v>1.1399999999999999</v>
      </c>
      <c r="Q271" s="55">
        <f t="shared" si="157"/>
        <v>1.1399999999999999</v>
      </c>
      <c r="R271" s="7"/>
    </row>
    <row r="272" spans="1:22" x14ac:dyDescent="0.35">
      <c r="A272" s="9">
        <v>6</v>
      </c>
      <c r="B272" s="9" t="s">
        <v>397</v>
      </c>
      <c r="C272" s="10" t="s">
        <v>224</v>
      </c>
      <c r="D272" s="9"/>
      <c r="E272" s="11" t="s">
        <v>107</v>
      </c>
      <c r="F272" s="11" t="s">
        <v>108</v>
      </c>
      <c r="G272" s="12"/>
      <c r="H272" s="12"/>
      <c r="I272" s="18">
        <v>2498.34</v>
      </c>
      <c r="J272" s="18">
        <f>I272*J271</f>
        <v>2848.1075999999998</v>
      </c>
      <c r="K272" s="18">
        <f t="shared" ref="K272:Q272" si="158">J272*K271</f>
        <v>3246.8426639999993</v>
      </c>
      <c r="L272" s="18">
        <f t="shared" si="158"/>
        <v>3701.4006369599988</v>
      </c>
      <c r="M272" s="18">
        <f t="shared" si="158"/>
        <v>4219.5967261343985</v>
      </c>
      <c r="N272" s="18">
        <f t="shared" si="158"/>
        <v>4810.3402677932136</v>
      </c>
      <c r="O272" s="18">
        <f t="shared" si="158"/>
        <v>5483.7879052842627</v>
      </c>
      <c r="P272" s="18">
        <f t="shared" si="158"/>
        <v>6251.5182120240588</v>
      </c>
      <c r="Q272" s="18">
        <f t="shared" si="158"/>
        <v>7126.7307617074266</v>
      </c>
      <c r="R272" s="11" t="str">
        <f t="shared" si="62"/>
        <v>6.AU.001</v>
      </c>
      <c r="S272" s="22">
        <f>AVERAGE(H272:J272)</f>
        <v>2673.2237999999998</v>
      </c>
      <c r="T272" s="22">
        <f>AVERAGE(I272:K272)</f>
        <v>2864.4300879999996</v>
      </c>
      <c r="U272" s="22">
        <f>AVERAGE(J272:L272)</f>
        <v>3265.4503003199993</v>
      </c>
      <c r="V272" s="22">
        <f>AVERAGE(K272:M272)</f>
        <v>3722.6133423647989</v>
      </c>
    </row>
    <row r="273" spans="1:22" x14ac:dyDescent="0.35">
      <c r="A273" s="9">
        <v>6</v>
      </c>
      <c r="B273" s="9" t="s">
        <v>397</v>
      </c>
      <c r="C273" s="10" t="s">
        <v>225</v>
      </c>
      <c r="D273" s="9"/>
      <c r="E273" s="11" t="s">
        <v>398</v>
      </c>
      <c r="F273" s="11" t="s">
        <v>108</v>
      </c>
      <c r="G273" s="12"/>
      <c r="H273" s="12"/>
      <c r="I273" s="18"/>
      <c r="J273" s="18"/>
      <c r="K273" s="18"/>
      <c r="L273" s="18"/>
      <c r="M273" s="18"/>
      <c r="N273" s="18"/>
      <c r="O273" s="18"/>
      <c r="P273" s="18"/>
      <c r="Q273" s="18"/>
      <c r="R273" s="11" t="str">
        <f t="shared" si="62"/>
        <v>6.AU.002</v>
      </c>
    </row>
    <row r="274" spans="1:22" x14ac:dyDescent="0.35">
      <c r="A274" s="9">
        <v>6</v>
      </c>
      <c r="B274" s="9" t="s">
        <v>397</v>
      </c>
      <c r="C274" s="10" t="s">
        <v>226</v>
      </c>
      <c r="D274" s="9"/>
      <c r="E274" s="11" t="s">
        <v>399</v>
      </c>
      <c r="F274" s="11" t="s">
        <v>108</v>
      </c>
      <c r="G274" s="12"/>
      <c r="H274" s="12"/>
      <c r="I274" s="18"/>
      <c r="J274" s="18"/>
      <c r="K274" s="18"/>
      <c r="L274" s="18"/>
      <c r="M274" s="18"/>
      <c r="N274" s="18"/>
      <c r="O274" s="18"/>
      <c r="P274" s="18"/>
      <c r="Q274" s="18"/>
      <c r="R274" s="11" t="str">
        <f t="shared" si="62"/>
        <v>6.AU.003</v>
      </c>
    </row>
    <row r="275" spans="1:22" x14ac:dyDescent="0.35">
      <c r="A275" s="9">
        <v>6</v>
      </c>
      <c r="B275" s="9" t="s">
        <v>397</v>
      </c>
      <c r="C275" s="10" t="s">
        <v>227</v>
      </c>
      <c r="D275" s="9"/>
      <c r="E275" s="11" t="s">
        <v>400</v>
      </c>
      <c r="F275" s="11" t="s">
        <v>108</v>
      </c>
      <c r="G275" s="12"/>
      <c r="H275" s="12"/>
      <c r="I275" s="18"/>
      <c r="J275" s="18"/>
      <c r="K275" s="18"/>
      <c r="L275" s="18"/>
      <c r="M275" s="18"/>
      <c r="N275" s="18"/>
      <c r="O275" s="18"/>
      <c r="P275" s="18"/>
      <c r="Q275" s="18"/>
      <c r="R275" s="11" t="str">
        <f t="shared" si="62"/>
        <v>6.AU.004</v>
      </c>
    </row>
    <row r="276" spans="1:22" x14ac:dyDescent="0.35">
      <c r="A276" s="9">
        <v>6</v>
      </c>
      <c r="B276" s="9" t="s">
        <v>397</v>
      </c>
      <c r="C276" s="10" t="s">
        <v>228</v>
      </c>
      <c r="D276" s="9"/>
      <c r="E276" s="11" t="s">
        <v>109</v>
      </c>
      <c r="F276" s="11" t="s">
        <v>108</v>
      </c>
      <c r="G276" s="12"/>
      <c r="H276" s="12"/>
      <c r="I276" s="18">
        <v>1213.03</v>
      </c>
      <c r="J276" s="18">
        <f>I276*J271</f>
        <v>1382.8541999999998</v>
      </c>
      <c r="K276" s="18">
        <f t="shared" ref="K276:Q276" si="159">J276*K271</f>
        <v>1576.4537879999996</v>
      </c>
      <c r="L276" s="18">
        <f t="shared" si="159"/>
        <v>1797.1573183199994</v>
      </c>
      <c r="M276" s="18">
        <f t="shared" si="159"/>
        <v>2048.759342884799</v>
      </c>
      <c r="N276" s="18">
        <f t="shared" si="159"/>
        <v>2335.5856508886709</v>
      </c>
      <c r="O276" s="18">
        <f t="shared" si="159"/>
        <v>2662.5676420130844</v>
      </c>
      <c r="P276" s="18">
        <f t="shared" si="159"/>
        <v>3035.327111894916</v>
      </c>
      <c r="Q276" s="18">
        <f t="shared" si="159"/>
        <v>3460.2729075602037</v>
      </c>
      <c r="R276" s="11" t="str">
        <f t="shared" si="62"/>
        <v>6.AU.005</v>
      </c>
      <c r="S276" s="22">
        <f>AVERAGE(H276:J276)</f>
        <v>1297.9420999999998</v>
      </c>
      <c r="T276" s="22">
        <f>AVERAGE(I276:K276)</f>
        <v>1390.7793293333332</v>
      </c>
      <c r="U276" s="22">
        <f>AVERAGE(J276:L276)</f>
        <v>1585.4884354399994</v>
      </c>
      <c r="V276" s="22">
        <f>AVERAGE(K276:M276)</f>
        <v>1807.4568164015993</v>
      </c>
    </row>
    <row r="277" spans="1:22" x14ac:dyDescent="0.35">
      <c r="A277" s="9">
        <v>6</v>
      </c>
      <c r="B277" s="9" t="s">
        <v>397</v>
      </c>
      <c r="C277" s="10" t="s">
        <v>229</v>
      </c>
      <c r="D277" s="9"/>
      <c r="E277" s="11" t="s">
        <v>110</v>
      </c>
      <c r="F277" s="11" t="s">
        <v>108</v>
      </c>
      <c r="G277" s="12"/>
      <c r="H277" s="12"/>
      <c r="I277" s="18"/>
      <c r="J277" s="18"/>
      <c r="K277" s="18"/>
      <c r="L277" s="18"/>
      <c r="M277" s="18"/>
      <c r="N277" s="18"/>
      <c r="O277" s="18"/>
      <c r="P277" s="18"/>
      <c r="Q277" s="18"/>
      <c r="R277" s="11" t="str">
        <f t="shared" si="62"/>
        <v>6.AU.006</v>
      </c>
    </row>
    <row r="278" spans="1:22" x14ac:dyDescent="0.35">
      <c r="A278" s="9">
        <v>6</v>
      </c>
      <c r="B278" s="9" t="s">
        <v>397</v>
      </c>
      <c r="C278" s="10" t="s">
        <v>230</v>
      </c>
      <c r="D278" s="9"/>
      <c r="E278" s="11" t="s">
        <v>401</v>
      </c>
      <c r="F278" s="11" t="s">
        <v>108</v>
      </c>
      <c r="G278" s="12"/>
      <c r="H278" s="12"/>
      <c r="I278" s="18"/>
      <c r="J278" s="18"/>
      <c r="K278" s="18"/>
      <c r="L278" s="18"/>
      <c r="M278" s="18"/>
      <c r="N278" s="18"/>
      <c r="O278" s="18"/>
      <c r="P278" s="18"/>
      <c r="Q278" s="18"/>
      <c r="R278" s="11" t="str">
        <f t="shared" si="62"/>
        <v>6.AU.007</v>
      </c>
    </row>
    <row r="279" spans="1:22" x14ac:dyDescent="0.35">
      <c r="A279" s="9">
        <v>6</v>
      </c>
      <c r="B279" s="9" t="s">
        <v>397</v>
      </c>
      <c r="C279" s="10" t="s">
        <v>231</v>
      </c>
      <c r="D279" s="9"/>
      <c r="E279" s="11" t="s">
        <v>402</v>
      </c>
      <c r="F279" s="11" t="s">
        <v>108</v>
      </c>
      <c r="G279" s="12"/>
      <c r="H279" s="12"/>
      <c r="I279" s="18"/>
      <c r="J279" s="18"/>
      <c r="K279" s="18"/>
      <c r="L279" s="18"/>
      <c r="M279" s="18"/>
      <c r="N279" s="18"/>
      <c r="O279" s="18"/>
      <c r="P279" s="18"/>
      <c r="Q279" s="18"/>
      <c r="R279" s="11" t="str">
        <f t="shared" si="62"/>
        <v>6.AU.008</v>
      </c>
    </row>
    <row r="280" spans="1:22" x14ac:dyDescent="0.35">
      <c r="A280" s="9">
        <v>6</v>
      </c>
      <c r="B280" s="9" t="s">
        <v>397</v>
      </c>
      <c r="C280" s="10" t="s">
        <v>232</v>
      </c>
      <c r="D280" s="9"/>
      <c r="E280" s="11" t="s">
        <v>403</v>
      </c>
      <c r="F280" s="11" t="s">
        <v>111</v>
      </c>
      <c r="G280" s="12"/>
      <c r="H280" s="12"/>
      <c r="I280" s="18"/>
      <c r="J280" s="18"/>
      <c r="K280" s="18"/>
      <c r="L280" s="18"/>
      <c r="M280" s="18"/>
      <c r="N280" s="18"/>
      <c r="O280" s="18"/>
      <c r="P280" s="18"/>
      <c r="Q280" s="18"/>
      <c r="R280" s="11" t="str">
        <f t="shared" si="62"/>
        <v>6.AU.009</v>
      </c>
    </row>
    <row r="281" spans="1:22" x14ac:dyDescent="0.35">
      <c r="A281" s="9">
        <v>6</v>
      </c>
      <c r="B281" s="9" t="s">
        <v>397</v>
      </c>
      <c r="C281" s="10" t="s">
        <v>234</v>
      </c>
      <c r="D281" s="9"/>
      <c r="E281" s="11" t="s">
        <v>404</v>
      </c>
      <c r="F281" s="11" t="s">
        <v>111</v>
      </c>
      <c r="G281" s="12"/>
      <c r="H281" s="12"/>
      <c r="I281" s="18"/>
      <c r="J281" s="18"/>
      <c r="K281" s="18"/>
      <c r="L281" s="18"/>
      <c r="M281" s="18"/>
      <c r="N281" s="18"/>
      <c r="O281" s="18"/>
      <c r="P281" s="18"/>
      <c r="Q281" s="18"/>
      <c r="R281" s="11" t="str">
        <f t="shared" si="62"/>
        <v>6.AU.010</v>
      </c>
    </row>
    <row r="282" spans="1:22" x14ac:dyDescent="0.35">
      <c r="A282" s="9">
        <v>6</v>
      </c>
      <c r="B282" s="9" t="s">
        <v>397</v>
      </c>
      <c r="C282" s="10" t="s">
        <v>236</v>
      </c>
      <c r="D282" s="9"/>
      <c r="E282" s="11" t="s">
        <v>112</v>
      </c>
      <c r="F282" s="11" t="s">
        <v>111</v>
      </c>
      <c r="G282" s="12"/>
      <c r="H282" s="12"/>
      <c r="I282" s="18">
        <v>65996</v>
      </c>
      <c r="J282" s="18">
        <f>I282*J271</f>
        <v>75235.439999999988</v>
      </c>
      <c r="K282" s="18">
        <f t="shared" ref="K282:Q282" si="160">J282*K271</f>
        <v>85768.401599999983</v>
      </c>
      <c r="L282" s="18">
        <f t="shared" si="160"/>
        <v>97775.977823999972</v>
      </c>
      <c r="M282" s="18">
        <f t="shared" si="160"/>
        <v>111464.61471935996</v>
      </c>
      <c r="N282" s="18">
        <f t="shared" si="160"/>
        <v>127069.66078007035</v>
      </c>
      <c r="O282" s="18">
        <f t="shared" si="160"/>
        <v>144859.41328928017</v>
      </c>
      <c r="P282" s="18">
        <f t="shared" si="160"/>
        <v>165139.73114977937</v>
      </c>
      <c r="Q282" s="18">
        <f t="shared" si="160"/>
        <v>188259.29351074848</v>
      </c>
      <c r="R282" s="11" t="str">
        <f t="shared" si="62"/>
        <v>6.AU.011</v>
      </c>
      <c r="S282" s="22">
        <f>AVERAGE(H282:J282)</f>
        <v>70615.72</v>
      </c>
      <c r="T282" s="22">
        <f>AVERAGE(I282:K282)</f>
        <v>75666.613866666667</v>
      </c>
      <c r="U282" s="22">
        <f>AVERAGE(J282:L282)</f>
        <v>86259.939807999981</v>
      </c>
      <c r="V282" s="22">
        <f>AVERAGE(K282:M282)</f>
        <v>98336.331381119977</v>
      </c>
    </row>
    <row r="283" spans="1:22" x14ac:dyDescent="0.35">
      <c r="A283" s="9">
        <v>6</v>
      </c>
      <c r="B283" s="9" t="s">
        <v>397</v>
      </c>
      <c r="C283" s="10" t="s">
        <v>238</v>
      </c>
      <c r="D283" s="9"/>
      <c r="E283" s="11" t="s">
        <v>185</v>
      </c>
      <c r="F283" s="11" t="s">
        <v>111</v>
      </c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1" t="str">
        <f t="shared" si="62"/>
        <v>6.AU.012</v>
      </c>
    </row>
    <row r="284" spans="1:22" x14ac:dyDescent="0.35">
      <c r="A284" s="9">
        <v>6</v>
      </c>
      <c r="B284" s="9" t="s">
        <v>397</v>
      </c>
      <c r="C284" s="10" t="s">
        <v>240</v>
      </c>
      <c r="D284" s="9"/>
      <c r="E284" s="11" t="s">
        <v>405</v>
      </c>
      <c r="F284" s="11" t="s">
        <v>111</v>
      </c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1" t="str">
        <f t="shared" si="62"/>
        <v>6.AU.013</v>
      </c>
    </row>
    <row r="285" spans="1:22" x14ac:dyDescent="0.35">
      <c r="A285" s="9">
        <v>6</v>
      </c>
      <c r="B285" s="9" t="s">
        <v>397</v>
      </c>
      <c r="C285" s="10" t="s">
        <v>242</v>
      </c>
      <c r="D285" s="9"/>
      <c r="E285" s="11" t="s">
        <v>114</v>
      </c>
      <c r="F285" s="11" t="s">
        <v>111</v>
      </c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1" t="str">
        <f t="shared" si="62"/>
        <v>6.AU.014</v>
      </c>
    </row>
    <row r="286" spans="1:22" x14ac:dyDescent="0.35">
      <c r="A286" s="9">
        <v>6</v>
      </c>
      <c r="B286" s="9" t="s">
        <v>397</v>
      </c>
      <c r="C286" s="10" t="s">
        <v>244</v>
      </c>
      <c r="D286" s="9"/>
      <c r="E286" s="11" t="s">
        <v>115</v>
      </c>
      <c r="F286" s="11" t="s">
        <v>111</v>
      </c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1" t="str">
        <f t="shared" si="62"/>
        <v>6.AU.015</v>
      </c>
    </row>
    <row r="287" spans="1:22" x14ac:dyDescent="0.35">
      <c r="A287" s="9">
        <v>6</v>
      </c>
      <c r="B287" s="9" t="s">
        <v>397</v>
      </c>
      <c r="C287" s="10" t="s">
        <v>245</v>
      </c>
      <c r="D287" s="9"/>
      <c r="E287" s="11" t="s">
        <v>406</v>
      </c>
      <c r="F287" s="11" t="s">
        <v>111</v>
      </c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1" t="str">
        <f>A287&amp;"."&amp;B287&amp;"."&amp;C287</f>
        <v>6.AU.016</v>
      </c>
    </row>
    <row r="288" spans="1:22" x14ac:dyDescent="0.35">
      <c r="A288" s="9">
        <v>6</v>
      </c>
      <c r="B288" s="9" t="s">
        <v>397</v>
      </c>
      <c r="C288" s="10" t="s">
        <v>247</v>
      </c>
      <c r="D288" s="9"/>
      <c r="E288" s="11" t="s">
        <v>407</v>
      </c>
      <c r="F288" s="11" t="s">
        <v>111</v>
      </c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1" t="str">
        <f>A288&amp;"."&amp;B288&amp;"."&amp;C288</f>
        <v>6.AU.017</v>
      </c>
    </row>
    <row r="289" spans="1:22" x14ac:dyDescent="0.35">
      <c r="A289" s="9">
        <v>6</v>
      </c>
      <c r="B289" s="9" t="s">
        <v>397</v>
      </c>
      <c r="C289" s="10" t="s">
        <v>249</v>
      </c>
      <c r="D289" s="9"/>
      <c r="E289" s="11" t="s">
        <v>408</v>
      </c>
      <c r="F289" s="11" t="s">
        <v>111</v>
      </c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1" t="str">
        <f>A289&amp;"."&amp;B289&amp;"."&amp;C289</f>
        <v>6.AU.018</v>
      </c>
    </row>
    <row r="290" spans="1:22" x14ac:dyDescent="0.35">
      <c r="A290" s="9">
        <v>6</v>
      </c>
      <c r="B290" s="9" t="s">
        <v>397</v>
      </c>
      <c r="C290" s="10" t="s">
        <v>259</v>
      </c>
      <c r="D290" s="9"/>
      <c r="E290" s="11"/>
      <c r="F290" s="11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1" t="str">
        <f>A290&amp;"."&amp;B290&amp;"."&amp;C290</f>
        <v>6.AU.019</v>
      </c>
    </row>
    <row r="291" spans="1:22" x14ac:dyDescent="0.35">
      <c r="A291" s="9">
        <v>6</v>
      </c>
      <c r="B291" s="9" t="s">
        <v>397</v>
      </c>
      <c r="C291" s="10" t="s">
        <v>260</v>
      </c>
      <c r="D291" s="9"/>
      <c r="E291" s="11"/>
      <c r="F291" s="11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1" t="str">
        <f>A291&amp;"."&amp;B291&amp;"."&amp;C291</f>
        <v>6.AU.020</v>
      </c>
    </row>
    <row r="292" spans="1:22" x14ac:dyDescent="0.35">
      <c r="A292" s="7"/>
      <c r="B292" s="7" t="s">
        <v>199</v>
      </c>
      <c r="C292" s="13"/>
      <c r="D292" s="7"/>
      <c r="E292" s="7"/>
      <c r="F292" s="7"/>
      <c r="G292" s="8"/>
      <c r="H292" s="8"/>
      <c r="I292" s="15"/>
      <c r="J292" s="15" t="s">
        <v>651</v>
      </c>
      <c r="K292" s="15"/>
      <c r="L292" s="8"/>
      <c r="M292" s="8"/>
      <c r="N292" s="8"/>
      <c r="O292" s="8"/>
      <c r="P292" s="8"/>
      <c r="Q292" s="8"/>
      <c r="R292" s="7"/>
    </row>
    <row r="293" spans="1:22" x14ac:dyDescent="0.35">
      <c r="A293" s="7"/>
      <c r="B293" s="7"/>
      <c r="C293" s="13"/>
      <c r="D293" s="7"/>
      <c r="E293" s="7"/>
      <c r="F293" s="7"/>
      <c r="G293" s="8"/>
      <c r="H293" s="8"/>
      <c r="I293" s="15" t="s">
        <v>646</v>
      </c>
      <c r="J293" s="55">
        <v>1.1200000000000001</v>
      </c>
      <c r="K293" s="55">
        <f>J293</f>
        <v>1.1200000000000001</v>
      </c>
      <c r="L293" s="55">
        <f t="shared" ref="L293:Q293" si="161">K293</f>
        <v>1.1200000000000001</v>
      </c>
      <c r="M293" s="55">
        <f t="shared" si="161"/>
        <v>1.1200000000000001</v>
      </c>
      <c r="N293" s="55">
        <f t="shared" si="161"/>
        <v>1.1200000000000001</v>
      </c>
      <c r="O293" s="55">
        <f t="shared" si="161"/>
        <v>1.1200000000000001</v>
      </c>
      <c r="P293" s="55">
        <f t="shared" si="161"/>
        <v>1.1200000000000001</v>
      </c>
      <c r="Q293" s="55">
        <f t="shared" si="161"/>
        <v>1.1200000000000001</v>
      </c>
      <c r="R293" s="7"/>
    </row>
    <row r="294" spans="1:22" x14ac:dyDescent="0.35">
      <c r="A294" s="9">
        <v>7</v>
      </c>
      <c r="B294" s="9" t="s">
        <v>409</v>
      </c>
      <c r="C294" s="10" t="s">
        <v>224</v>
      </c>
      <c r="D294" s="9"/>
      <c r="E294" s="11" t="s">
        <v>116</v>
      </c>
      <c r="F294" s="11" t="s">
        <v>117</v>
      </c>
      <c r="G294" s="12"/>
      <c r="H294" s="12"/>
      <c r="I294" s="18">
        <v>330000</v>
      </c>
      <c r="J294" s="18">
        <f>I294*J293</f>
        <v>369600.00000000006</v>
      </c>
      <c r="K294" s="18">
        <f t="shared" ref="K294:Q294" si="162">J294*K293</f>
        <v>413952.00000000012</v>
      </c>
      <c r="L294" s="18">
        <f t="shared" si="162"/>
        <v>463626.24000000017</v>
      </c>
      <c r="M294" s="18">
        <f t="shared" si="162"/>
        <v>519261.38880000025</v>
      </c>
      <c r="N294" s="18">
        <f t="shared" si="162"/>
        <v>581572.75545600033</v>
      </c>
      <c r="O294" s="18">
        <f t="shared" si="162"/>
        <v>651361.48611072043</v>
      </c>
      <c r="P294" s="18">
        <f t="shared" si="162"/>
        <v>729524.86444400693</v>
      </c>
      <c r="Q294" s="18">
        <f t="shared" si="162"/>
        <v>817067.84817728784</v>
      </c>
      <c r="R294" s="11" t="str">
        <f t="shared" si="62"/>
        <v>7.FT.001</v>
      </c>
      <c r="S294" s="22">
        <f>AVERAGE(H294:J294)</f>
        <v>349800</v>
      </c>
      <c r="T294" s="22">
        <f>AVERAGE(I294:K294)</f>
        <v>371184</v>
      </c>
      <c r="U294" s="22">
        <f>AVERAGE(J294:L294)</f>
        <v>415726.08000000013</v>
      </c>
      <c r="V294" s="22">
        <f>AVERAGE(K294:M294)</f>
        <v>465613.20960000018</v>
      </c>
    </row>
    <row r="295" spans="1:22" x14ac:dyDescent="0.35">
      <c r="A295" s="9">
        <v>7</v>
      </c>
      <c r="B295" s="9" t="s">
        <v>409</v>
      </c>
      <c r="C295" s="10" t="s">
        <v>225</v>
      </c>
      <c r="D295" s="9"/>
      <c r="E295" s="11" t="s">
        <v>410</v>
      </c>
      <c r="F295" s="11" t="s">
        <v>117</v>
      </c>
      <c r="G295" s="12"/>
      <c r="H295" s="12">
        <f t="shared" ref="H295" si="163">G295*1.1</f>
        <v>0</v>
      </c>
      <c r="I295" s="12">
        <v>0</v>
      </c>
      <c r="J295" s="12">
        <f t="shared" ref="J295:M295" si="164">I295*1.1</f>
        <v>0</v>
      </c>
      <c r="K295" s="12">
        <f t="shared" si="164"/>
        <v>0</v>
      </c>
      <c r="L295" s="12">
        <f t="shared" si="164"/>
        <v>0</v>
      </c>
      <c r="M295" s="12">
        <f t="shared" si="164"/>
        <v>0</v>
      </c>
      <c r="N295" s="12"/>
      <c r="O295" s="12"/>
      <c r="P295" s="12"/>
      <c r="Q295" s="12"/>
      <c r="R295" s="11" t="str">
        <f t="shared" si="62"/>
        <v>7.FT.002</v>
      </c>
      <c r="S295" s="22">
        <f>AVERAGE(H295:J295)</f>
        <v>0</v>
      </c>
    </row>
    <row r="296" spans="1:22" x14ac:dyDescent="0.35">
      <c r="A296" s="9">
        <v>7</v>
      </c>
      <c r="B296" s="9" t="s">
        <v>409</v>
      </c>
      <c r="C296" s="10" t="s">
        <v>226</v>
      </c>
      <c r="D296" s="9"/>
      <c r="E296" s="11" t="s">
        <v>411</v>
      </c>
      <c r="F296" s="11" t="s">
        <v>117</v>
      </c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1" t="str">
        <f t="shared" si="62"/>
        <v>7.FT.003</v>
      </c>
    </row>
    <row r="297" spans="1:22" x14ac:dyDescent="0.35">
      <c r="A297" s="9">
        <v>7</v>
      </c>
      <c r="B297" s="9" t="s">
        <v>409</v>
      </c>
      <c r="C297" s="10" t="s">
        <v>227</v>
      </c>
      <c r="D297" s="9"/>
      <c r="E297" s="11" t="s">
        <v>412</v>
      </c>
      <c r="F297" s="11" t="s">
        <v>117</v>
      </c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1" t="str">
        <f t="shared" si="62"/>
        <v>7.FT.004</v>
      </c>
    </row>
    <row r="298" spans="1:22" x14ac:dyDescent="0.35">
      <c r="A298" s="9">
        <v>7</v>
      </c>
      <c r="B298" s="9" t="s">
        <v>409</v>
      </c>
      <c r="C298" s="10" t="s">
        <v>228</v>
      </c>
      <c r="D298" s="9"/>
      <c r="E298" s="11" t="s">
        <v>413</v>
      </c>
      <c r="F298" s="11" t="s">
        <v>117</v>
      </c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1" t="str">
        <f t="shared" si="62"/>
        <v>7.FT.005</v>
      </c>
    </row>
    <row r="299" spans="1:22" x14ac:dyDescent="0.35">
      <c r="A299" s="9">
        <v>7</v>
      </c>
      <c r="B299" s="9" t="s">
        <v>409</v>
      </c>
      <c r="C299" s="10" t="s">
        <v>229</v>
      </c>
      <c r="D299" s="9"/>
      <c r="E299" s="11" t="s">
        <v>414</v>
      </c>
      <c r="F299" s="11" t="s">
        <v>117</v>
      </c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1" t="str">
        <f t="shared" si="62"/>
        <v>7.FT.006</v>
      </c>
    </row>
    <row r="300" spans="1:22" x14ac:dyDescent="0.35">
      <c r="A300" s="9">
        <v>7</v>
      </c>
      <c r="B300" s="9" t="s">
        <v>409</v>
      </c>
      <c r="C300" s="10" t="s">
        <v>230</v>
      </c>
      <c r="D300" s="9"/>
      <c r="E300" s="11" t="s">
        <v>415</v>
      </c>
      <c r="F300" s="11" t="s">
        <v>117</v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1" t="str">
        <f t="shared" si="62"/>
        <v>7.FT.007</v>
      </c>
    </row>
    <row r="301" spans="1:22" x14ac:dyDescent="0.35">
      <c r="A301" s="9">
        <v>7</v>
      </c>
      <c r="B301" s="9" t="s">
        <v>409</v>
      </c>
      <c r="C301" s="10" t="s">
        <v>231</v>
      </c>
      <c r="D301" s="9"/>
      <c r="E301" s="11" t="s">
        <v>416</v>
      </c>
      <c r="F301" s="11" t="s">
        <v>117</v>
      </c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1" t="str">
        <f t="shared" si="62"/>
        <v>7.FT.008</v>
      </c>
    </row>
    <row r="302" spans="1:22" x14ac:dyDescent="0.35">
      <c r="A302" s="9">
        <v>7</v>
      </c>
      <c r="B302" s="9" t="s">
        <v>409</v>
      </c>
      <c r="C302" s="10" t="s">
        <v>232</v>
      </c>
      <c r="D302" s="9"/>
      <c r="E302" s="11" t="s">
        <v>417</v>
      </c>
      <c r="F302" s="11" t="s">
        <v>117</v>
      </c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1" t="str">
        <f t="shared" si="62"/>
        <v>7.FT.009</v>
      </c>
    </row>
    <row r="303" spans="1:22" x14ac:dyDescent="0.35">
      <c r="A303" s="9">
        <v>7</v>
      </c>
      <c r="B303" s="9" t="s">
        <v>409</v>
      </c>
      <c r="C303" s="10" t="s">
        <v>234</v>
      </c>
      <c r="D303" s="9"/>
      <c r="E303" s="11" t="s">
        <v>418</v>
      </c>
      <c r="F303" s="11" t="s">
        <v>117</v>
      </c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1" t="str">
        <f t="shared" si="62"/>
        <v>7.FT.010</v>
      </c>
    </row>
    <row r="304" spans="1:22" x14ac:dyDescent="0.35">
      <c r="A304" s="9">
        <v>7</v>
      </c>
      <c r="B304" s="9" t="s">
        <v>409</v>
      </c>
      <c r="C304" s="10" t="s">
        <v>236</v>
      </c>
      <c r="D304" s="9"/>
      <c r="E304" s="11" t="s">
        <v>419</v>
      </c>
      <c r="F304" s="11" t="s">
        <v>117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1" t="str">
        <f t="shared" si="62"/>
        <v>7.FT.011</v>
      </c>
    </row>
    <row r="305" spans="1:22" x14ac:dyDescent="0.35">
      <c r="A305" s="9">
        <v>7</v>
      </c>
      <c r="B305" s="9" t="s">
        <v>409</v>
      </c>
      <c r="C305" s="10" t="s">
        <v>238</v>
      </c>
      <c r="D305" s="9"/>
      <c r="E305" s="11" t="s">
        <v>420</v>
      </c>
      <c r="F305" s="11" t="s">
        <v>117</v>
      </c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1" t="str">
        <f t="shared" si="62"/>
        <v>7.FT.012</v>
      </c>
    </row>
    <row r="306" spans="1:22" x14ac:dyDescent="0.35">
      <c r="A306" s="9">
        <v>7</v>
      </c>
      <c r="B306" s="9" t="s">
        <v>409</v>
      </c>
      <c r="C306" s="10" t="s">
        <v>240</v>
      </c>
      <c r="D306" s="9"/>
      <c r="E306" s="11" t="s">
        <v>421</v>
      </c>
      <c r="F306" s="11" t="s">
        <v>117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1" t="str">
        <f t="shared" si="62"/>
        <v>7.FT.013</v>
      </c>
    </row>
    <row r="307" spans="1:22" x14ac:dyDescent="0.35">
      <c r="A307" s="9">
        <v>7</v>
      </c>
      <c r="B307" s="9" t="s">
        <v>409</v>
      </c>
      <c r="C307" s="10" t="s">
        <v>242</v>
      </c>
      <c r="D307" s="9"/>
      <c r="E307" s="11" t="s">
        <v>422</v>
      </c>
      <c r="F307" s="11" t="s">
        <v>117</v>
      </c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1" t="str">
        <f t="shared" si="62"/>
        <v>7.FT.014</v>
      </c>
    </row>
    <row r="308" spans="1:22" x14ac:dyDescent="0.35">
      <c r="A308" s="9">
        <v>7</v>
      </c>
      <c r="B308" s="9" t="s">
        <v>409</v>
      </c>
      <c r="C308" s="10" t="s">
        <v>244</v>
      </c>
      <c r="D308" s="9"/>
      <c r="E308" s="11" t="s">
        <v>423</v>
      </c>
      <c r="F308" s="11" t="s">
        <v>117</v>
      </c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1" t="str">
        <f t="shared" si="62"/>
        <v>7.FT.015</v>
      </c>
    </row>
    <row r="309" spans="1:22" x14ac:dyDescent="0.35">
      <c r="A309" s="9">
        <v>7</v>
      </c>
      <c r="B309" s="9" t="s">
        <v>409</v>
      </c>
      <c r="C309" s="10" t="s">
        <v>245</v>
      </c>
      <c r="D309" s="9"/>
      <c r="E309" s="11" t="s">
        <v>424</v>
      </c>
      <c r="F309" s="11" t="s">
        <v>117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1" t="str">
        <f t="shared" si="62"/>
        <v>7.FT.016</v>
      </c>
    </row>
    <row r="310" spans="1:22" x14ac:dyDescent="0.35">
      <c r="A310" s="9">
        <v>7</v>
      </c>
      <c r="B310" s="9" t="s">
        <v>409</v>
      </c>
      <c r="C310" s="10" t="s">
        <v>247</v>
      </c>
      <c r="D310" s="9"/>
      <c r="E310" s="11" t="s">
        <v>425</v>
      </c>
      <c r="F310" s="11" t="s">
        <v>117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1" t="str">
        <f t="shared" si="62"/>
        <v>7.FT.017</v>
      </c>
    </row>
    <row r="311" spans="1:22" x14ac:dyDescent="0.35">
      <c r="A311" s="7"/>
      <c r="B311" s="7" t="s">
        <v>197</v>
      </c>
      <c r="C311" s="13"/>
      <c r="D311" s="7"/>
      <c r="E311" s="7"/>
      <c r="F311" s="7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7"/>
    </row>
    <row r="312" spans="1:22" x14ac:dyDescent="0.35">
      <c r="A312" s="9">
        <v>7</v>
      </c>
      <c r="B312" s="9" t="s">
        <v>426</v>
      </c>
      <c r="C312" s="10" t="s">
        <v>224</v>
      </c>
      <c r="D312" s="9"/>
      <c r="E312" s="11" t="s">
        <v>118</v>
      </c>
      <c r="F312" s="11" t="s">
        <v>117</v>
      </c>
      <c r="G312" s="12"/>
      <c r="H312" s="12"/>
      <c r="I312" s="18">
        <f>'[21]ASUMSI SEWA AB'!D34</f>
        <v>681487.17873333325</v>
      </c>
      <c r="J312" s="18">
        <f>'[21]ASUMSI SEWA AB'!E34</f>
        <v>720338.0730320001</v>
      </c>
      <c r="K312" s="18">
        <f>'[21]ASUMSI SEWA AB'!F34</f>
        <v>761671.70213055995</v>
      </c>
      <c r="L312" s="18">
        <f>'[21]ASUMSI SEWA AB'!G34</f>
        <v>805655.39686222153</v>
      </c>
      <c r="M312" s="18">
        <f>'[21]ASUMSI SEWA AB'!H34</f>
        <v>852474.70050243323</v>
      </c>
      <c r="N312" s="18">
        <f>'[21]ASUMSI SEWA AB'!I34</f>
        <v>902328.93337107846</v>
      </c>
      <c r="O312" s="18">
        <f>'[21]ASUMSI SEWA AB'!J34</f>
        <v>955432.25201940176</v>
      </c>
      <c r="P312" s="18">
        <f>'[21]ASUMSI SEWA AB'!K34</f>
        <v>1012014.7914199303</v>
      </c>
      <c r="Q312" s="18">
        <f>'[21]ASUMSI SEWA AB'!L34</f>
        <v>1072323.8967298316</v>
      </c>
      <c r="R312" s="11" t="str">
        <f t="shared" si="62"/>
        <v>7.EX.001</v>
      </c>
      <c r="S312" s="22">
        <f t="shared" ref="S312:V317" si="165">AVERAGE(H312:J312)</f>
        <v>700912.62588266667</v>
      </c>
      <c r="T312" s="22">
        <f t="shared" si="165"/>
        <v>721165.6512986311</v>
      </c>
      <c r="U312" s="22">
        <f t="shared" si="165"/>
        <v>762555.05734159378</v>
      </c>
      <c r="V312" s="22">
        <f t="shared" si="165"/>
        <v>806600.59983173816</v>
      </c>
    </row>
    <row r="313" spans="1:22" x14ac:dyDescent="0.35">
      <c r="A313" s="9">
        <v>7</v>
      </c>
      <c r="B313" s="9" t="s">
        <v>426</v>
      </c>
      <c r="C313" s="10" t="s">
        <v>225</v>
      </c>
      <c r="D313" s="9" t="s">
        <v>486</v>
      </c>
      <c r="E313" s="11" t="s">
        <v>527</v>
      </c>
      <c r="F313" s="11" t="s">
        <v>117</v>
      </c>
      <c r="G313" s="12"/>
      <c r="H313" s="12"/>
      <c r="I313" s="18"/>
      <c r="J313" s="18"/>
      <c r="K313" s="18"/>
      <c r="L313" s="18"/>
      <c r="M313" s="18"/>
      <c r="N313" s="18"/>
      <c r="O313" s="18"/>
      <c r="P313" s="18"/>
      <c r="Q313" s="18"/>
      <c r="R313" s="11" t="str">
        <f t="shared" si="62"/>
        <v>7.EX.002</v>
      </c>
      <c r="S313" s="22" t="e">
        <f t="shared" si="165"/>
        <v>#DIV/0!</v>
      </c>
      <c r="T313" s="22" t="e">
        <f t="shared" si="165"/>
        <v>#DIV/0!</v>
      </c>
      <c r="U313" s="22" t="e">
        <f t="shared" si="165"/>
        <v>#DIV/0!</v>
      </c>
      <c r="V313" s="22" t="e">
        <f t="shared" si="165"/>
        <v>#DIV/0!</v>
      </c>
    </row>
    <row r="314" spans="1:22" x14ac:dyDescent="0.35">
      <c r="A314" s="9">
        <v>7</v>
      </c>
      <c r="B314" s="9" t="s">
        <v>426</v>
      </c>
      <c r="C314" s="10" t="s">
        <v>226</v>
      </c>
      <c r="D314" s="9" t="s">
        <v>198</v>
      </c>
      <c r="E314" s="11" t="s">
        <v>427</v>
      </c>
      <c r="F314" s="11" t="s">
        <v>117</v>
      </c>
      <c r="G314" s="12"/>
      <c r="H314" s="12"/>
      <c r="I314" s="18"/>
      <c r="J314" s="18"/>
      <c r="K314" s="18"/>
      <c r="L314" s="18"/>
      <c r="M314" s="18"/>
      <c r="N314" s="18"/>
      <c r="O314" s="18"/>
      <c r="P314" s="18"/>
      <c r="Q314" s="18"/>
      <c r="R314" s="11" t="str">
        <f t="shared" si="62"/>
        <v>7.EX.003</v>
      </c>
      <c r="S314" s="22" t="e">
        <f t="shared" si="165"/>
        <v>#DIV/0!</v>
      </c>
      <c r="T314" s="22" t="e">
        <f t="shared" si="165"/>
        <v>#DIV/0!</v>
      </c>
      <c r="U314" s="22" t="e">
        <f t="shared" si="165"/>
        <v>#DIV/0!</v>
      </c>
      <c r="V314" s="22" t="e">
        <f t="shared" si="165"/>
        <v>#DIV/0!</v>
      </c>
    </row>
    <row r="315" spans="1:22" x14ac:dyDescent="0.35">
      <c r="A315" s="9">
        <v>7</v>
      </c>
      <c r="B315" s="9" t="s">
        <v>426</v>
      </c>
      <c r="C315" s="10" t="s">
        <v>227</v>
      </c>
      <c r="D315" s="9" t="s">
        <v>487</v>
      </c>
      <c r="E315" s="11" t="s">
        <v>428</v>
      </c>
      <c r="F315" s="11" t="s">
        <v>117</v>
      </c>
      <c r="G315" s="12"/>
      <c r="H315" s="12"/>
      <c r="I315" s="18"/>
      <c r="J315" s="18"/>
      <c r="K315" s="18"/>
      <c r="L315" s="18"/>
      <c r="M315" s="18"/>
      <c r="N315" s="18"/>
      <c r="O315" s="18"/>
      <c r="P315" s="18"/>
      <c r="Q315" s="18"/>
      <c r="R315" s="11" t="str">
        <f t="shared" si="62"/>
        <v>7.EX.004</v>
      </c>
      <c r="S315" s="22" t="e">
        <f t="shared" si="165"/>
        <v>#DIV/0!</v>
      </c>
      <c r="T315" s="22" t="e">
        <f t="shared" si="165"/>
        <v>#DIV/0!</v>
      </c>
      <c r="U315" s="22" t="e">
        <f t="shared" si="165"/>
        <v>#DIV/0!</v>
      </c>
      <c r="V315" s="22" t="e">
        <f t="shared" si="165"/>
        <v>#DIV/0!</v>
      </c>
    </row>
    <row r="316" spans="1:22" x14ac:dyDescent="0.35">
      <c r="A316" s="9">
        <v>7</v>
      </c>
      <c r="B316" s="9" t="s">
        <v>426</v>
      </c>
      <c r="C316" s="14" t="s">
        <v>228</v>
      </c>
      <c r="D316" s="9" t="s">
        <v>485</v>
      </c>
      <c r="E316" s="11" t="s">
        <v>429</v>
      </c>
      <c r="F316" s="11" t="s">
        <v>117</v>
      </c>
      <c r="G316" s="12"/>
      <c r="H316" s="12"/>
      <c r="I316" s="18"/>
      <c r="J316" s="18"/>
      <c r="K316" s="18"/>
      <c r="L316" s="18"/>
      <c r="M316" s="18"/>
      <c r="N316" s="18"/>
      <c r="O316" s="18"/>
      <c r="P316" s="18"/>
      <c r="Q316" s="18"/>
      <c r="R316" s="11" t="str">
        <f t="shared" si="62"/>
        <v>7.EX.005</v>
      </c>
      <c r="S316" s="22" t="e">
        <f t="shared" si="165"/>
        <v>#DIV/0!</v>
      </c>
      <c r="T316" s="22" t="e">
        <f t="shared" si="165"/>
        <v>#DIV/0!</v>
      </c>
      <c r="U316" s="22" t="e">
        <f t="shared" si="165"/>
        <v>#DIV/0!</v>
      </c>
      <c r="V316" s="22" t="e">
        <f t="shared" si="165"/>
        <v>#DIV/0!</v>
      </c>
    </row>
    <row r="317" spans="1:22" x14ac:dyDescent="0.35">
      <c r="A317" s="9">
        <v>7</v>
      </c>
      <c r="B317" s="9" t="s">
        <v>426</v>
      </c>
      <c r="C317" s="14" t="s">
        <v>229</v>
      </c>
      <c r="D317" s="9" t="s">
        <v>488</v>
      </c>
      <c r="E317" s="11" t="s">
        <v>430</v>
      </c>
      <c r="F317" s="11" t="s">
        <v>117</v>
      </c>
      <c r="G317" s="12"/>
      <c r="H317" s="12"/>
      <c r="I317" s="18"/>
      <c r="J317" s="18"/>
      <c r="K317" s="18"/>
      <c r="L317" s="18"/>
      <c r="M317" s="18"/>
      <c r="N317" s="18"/>
      <c r="O317" s="18"/>
      <c r="P317" s="18"/>
      <c r="Q317" s="18"/>
      <c r="R317" s="11" t="str">
        <f t="shared" si="62"/>
        <v>7.EX.006</v>
      </c>
      <c r="S317" s="22" t="e">
        <f t="shared" si="165"/>
        <v>#DIV/0!</v>
      </c>
      <c r="T317" s="22" t="e">
        <f t="shared" si="165"/>
        <v>#DIV/0!</v>
      </c>
      <c r="U317" s="22" t="e">
        <f t="shared" si="165"/>
        <v>#DIV/0!</v>
      </c>
      <c r="V317" s="22" t="e">
        <f t="shared" si="165"/>
        <v>#DIV/0!</v>
      </c>
    </row>
    <row r="318" spans="1:22" x14ac:dyDescent="0.35">
      <c r="A318" s="9">
        <v>7</v>
      </c>
      <c r="B318" s="9" t="s">
        <v>426</v>
      </c>
      <c r="C318" s="14" t="s">
        <v>230</v>
      </c>
      <c r="D318" s="9"/>
      <c r="E318" s="11" t="s">
        <v>431</v>
      </c>
      <c r="F318" s="11" t="s">
        <v>117</v>
      </c>
      <c r="G318" s="12"/>
      <c r="H318" s="12"/>
      <c r="I318" s="18"/>
      <c r="J318" s="18"/>
      <c r="K318" s="18"/>
      <c r="L318" s="18"/>
      <c r="M318" s="18"/>
      <c r="N318" s="18"/>
      <c r="O318" s="18"/>
      <c r="P318" s="18"/>
      <c r="Q318" s="18"/>
      <c r="R318" s="11" t="str">
        <f t="shared" si="62"/>
        <v>7.EX.007</v>
      </c>
    </row>
    <row r="319" spans="1:22" x14ac:dyDescent="0.35">
      <c r="A319" s="9">
        <v>7</v>
      </c>
      <c r="B319" s="9" t="s">
        <v>426</v>
      </c>
      <c r="C319" s="14" t="s">
        <v>231</v>
      </c>
      <c r="D319" s="9"/>
      <c r="E319" s="11" t="s">
        <v>432</v>
      </c>
      <c r="F319" s="11" t="s">
        <v>117</v>
      </c>
      <c r="G319" s="12"/>
      <c r="H319" s="12"/>
      <c r="I319" s="18"/>
      <c r="J319" s="18"/>
      <c r="K319" s="18"/>
      <c r="L319" s="18"/>
      <c r="M319" s="18"/>
      <c r="N319" s="18"/>
      <c r="O319" s="18"/>
      <c r="P319" s="18"/>
      <c r="Q319" s="18"/>
      <c r="R319" s="11" t="str">
        <f t="shared" si="62"/>
        <v>7.EX.008</v>
      </c>
    </row>
    <row r="320" spans="1:22" x14ac:dyDescent="0.35">
      <c r="A320" s="9">
        <v>7</v>
      </c>
      <c r="B320" s="9" t="s">
        <v>426</v>
      </c>
      <c r="C320" s="14" t="s">
        <v>232</v>
      </c>
      <c r="D320" s="9"/>
      <c r="E320" s="11" t="s">
        <v>433</v>
      </c>
      <c r="F320" s="11" t="s">
        <v>117</v>
      </c>
      <c r="G320" s="12"/>
      <c r="H320" s="12"/>
      <c r="I320" s="18"/>
      <c r="J320" s="18"/>
      <c r="K320" s="18"/>
      <c r="L320" s="18"/>
      <c r="M320" s="18"/>
      <c r="N320" s="18"/>
      <c r="O320" s="18"/>
      <c r="P320" s="18"/>
      <c r="Q320" s="18"/>
      <c r="R320" s="11" t="str">
        <f t="shared" si="62"/>
        <v>7.EX.009</v>
      </c>
    </row>
    <row r="321" spans="1:22" x14ac:dyDescent="0.35">
      <c r="A321" s="9">
        <v>7</v>
      </c>
      <c r="B321" s="9" t="s">
        <v>426</v>
      </c>
      <c r="C321" s="14" t="s">
        <v>234</v>
      </c>
      <c r="D321" s="9"/>
      <c r="E321" s="11" t="s">
        <v>434</v>
      </c>
      <c r="F321" s="11" t="s">
        <v>117</v>
      </c>
      <c r="G321" s="12"/>
      <c r="H321" s="12"/>
      <c r="I321" s="18"/>
      <c r="J321" s="18"/>
      <c r="K321" s="18"/>
      <c r="L321" s="18"/>
      <c r="M321" s="18"/>
      <c r="N321" s="18"/>
      <c r="O321" s="18"/>
      <c r="P321" s="18"/>
      <c r="Q321" s="18"/>
      <c r="R321" s="11" t="str">
        <f t="shared" si="62"/>
        <v>7.EX.010</v>
      </c>
    </row>
    <row r="322" spans="1:22" x14ac:dyDescent="0.35">
      <c r="A322" s="9">
        <v>7</v>
      </c>
      <c r="B322" s="9" t="s">
        <v>426</v>
      </c>
      <c r="C322" s="14" t="s">
        <v>236</v>
      </c>
      <c r="D322" s="9"/>
      <c r="E322" s="11" t="s">
        <v>435</v>
      </c>
      <c r="F322" s="11" t="s">
        <v>117</v>
      </c>
      <c r="G322" s="12"/>
      <c r="H322" s="12"/>
      <c r="I322" s="18"/>
      <c r="J322" s="18"/>
      <c r="K322" s="18"/>
      <c r="L322" s="18"/>
      <c r="M322" s="18"/>
      <c r="N322" s="18"/>
      <c r="O322" s="18"/>
      <c r="P322" s="18"/>
      <c r="Q322" s="18"/>
      <c r="R322" s="11" t="str">
        <f t="shared" si="62"/>
        <v>7.EX.011</v>
      </c>
    </row>
    <row r="323" spans="1:22" x14ac:dyDescent="0.35">
      <c r="A323" s="9">
        <v>7</v>
      </c>
      <c r="B323" s="9" t="s">
        <v>426</v>
      </c>
      <c r="C323" s="14" t="s">
        <v>238</v>
      </c>
      <c r="D323" s="9"/>
      <c r="E323" s="11" t="s">
        <v>184</v>
      </c>
      <c r="F323" s="11" t="s">
        <v>117</v>
      </c>
      <c r="G323" s="16"/>
      <c r="H323" s="16"/>
      <c r="I323" s="18">
        <v>283290</v>
      </c>
      <c r="J323" s="18">
        <f>I323*1.05</f>
        <v>297454.5</v>
      </c>
      <c r="K323" s="18">
        <f t="shared" ref="K323" si="166">J323*1.05</f>
        <v>312327.22500000003</v>
      </c>
      <c r="L323" s="18">
        <f>K323*1.04</f>
        <v>324820.31400000007</v>
      </c>
      <c r="M323" s="18">
        <f t="shared" ref="M323:Q323" si="167">L323*1.04</f>
        <v>337813.12656000006</v>
      </c>
      <c r="N323" s="18">
        <f t="shared" si="167"/>
        <v>351325.6516224001</v>
      </c>
      <c r="O323" s="18">
        <f t="shared" si="167"/>
        <v>365378.67768729612</v>
      </c>
      <c r="P323" s="18">
        <f t="shared" si="167"/>
        <v>379993.82479478797</v>
      </c>
      <c r="Q323" s="18">
        <f t="shared" si="167"/>
        <v>395193.5777865795</v>
      </c>
      <c r="R323" s="11" t="str">
        <f t="shared" si="62"/>
        <v>7.EX.012</v>
      </c>
      <c r="S323" s="22">
        <f>AVERAGE(H323:J323)</f>
        <v>290372.25</v>
      </c>
      <c r="T323" s="22">
        <f>AVERAGE(I323:K323)</f>
        <v>297690.57500000001</v>
      </c>
      <c r="U323" s="22">
        <f>AVERAGE(J323:L323)</f>
        <v>311534.01300000004</v>
      </c>
      <c r="V323" s="22">
        <f>AVERAGE(K323:M323)</f>
        <v>324986.88852000004</v>
      </c>
    </row>
    <row r="324" spans="1:22" x14ac:dyDescent="0.35">
      <c r="A324" s="7"/>
      <c r="B324" s="7" t="s">
        <v>436</v>
      </c>
      <c r="C324" s="13"/>
      <c r="D324" s="7"/>
      <c r="E324" s="7"/>
      <c r="F324" s="7"/>
      <c r="G324" s="8"/>
      <c r="H324" s="8"/>
      <c r="I324" s="56"/>
      <c r="J324" s="56"/>
      <c r="K324" s="56"/>
      <c r="L324" s="56"/>
      <c r="M324" s="56"/>
      <c r="N324" s="56"/>
      <c r="O324" s="56"/>
      <c r="P324" s="56"/>
      <c r="Q324" s="56"/>
      <c r="R324" s="7"/>
    </row>
    <row r="325" spans="1:22" x14ac:dyDescent="0.35">
      <c r="A325" s="9">
        <v>7</v>
      </c>
      <c r="B325" s="9" t="s">
        <v>437</v>
      </c>
      <c r="C325" s="10" t="s">
        <v>224</v>
      </c>
      <c r="D325" s="9"/>
      <c r="E325" s="11" t="s">
        <v>119</v>
      </c>
      <c r="F325" s="11" t="s">
        <v>117</v>
      </c>
      <c r="G325" s="12"/>
      <c r="H325" s="12"/>
      <c r="I325" s="18">
        <f>'[21]ASUMSI SEWA AB'!D93</f>
        <v>630976.61249999993</v>
      </c>
      <c r="J325" s="18">
        <f>'[21]ASUMSI SEWA AB'!E93</f>
        <v>662748.2415</v>
      </c>
      <c r="K325" s="18">
        <f>'[21]ASUMSI SEWA AB'!F93</f>
        <v>696305.06082000001</v>
      </c>
      <c r="L325" s="18">
        <f>'[21]ASUMSI SEWA AB'!G93</f>
        <v>731761.67591280001</v>
      </c>
      <c r="M325" s="18">
        <f>'[21]ASUMSI SEWA AB'!H93</f>
        <v>769238.4293293847</v>
      </c>
      <c r="N325" s="18">
        <f>'[21]ASUMSI SEWA AB'!I93</f>
        <v>808864.01525522838</v>
      </c>
      <c r="O325" s="18">
        <f>'[21]ASUMSI SEWA AB'!J93</f>
        <v>850776.09620202484</v>
      </c>
      <c r="P325" s="18">
        <f>'[21]ASUMSI SEWA AB'!K93</f>
        <v>895121.96696073259</v>
      </c>
      <c r="Q325" s="18">
        <f>'[21]ASUMSI SEWA AB'!L93</f>
        <v>942059.26951321901</v>
      </c>
      <c r="R325" s="11" t="str">
        <f t="shared" si="62"/>
        <v>7.KP.001</v>
      </c>
      <c r="S325" s="22">
        <f>AVERAGE(H325:J325)</f>
        <v>646862.42699999991</v>
      </c>
      <c r="T325" s="22">
        <f>AVERAGE(I325:K325)</f>
        <v>663343.30493999994</v>
      </c>
      <c r="U325" s="22">
        <f>AVERAGE(J325:L325)</f>
        <v>696938.32607760001</v>
      </c>
      <c r="V325" s="22">
        <f>AVERAGE(K325:M325)</f>
        <v>732435.05535406154</v>
      </c>
    </row>
    <row r="326" spans="1:22" x14ac:dyDescent="0.35">
      <c r="A326" s="9">
        <v>7</v>
      </c>
      <c r="B326" s="9" t="s">
        <v>437</v>
      </c>
      <c r="C326" s="10" t="s">
        <v>225</v>
      </c>
      <c r="D326" s="9"/>
      <c r="E326" s="11" t="s">
        <v>438</v>
      </c>
      <c r="F326" s="11" t="s">
        <v>117</v>
      </c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1" t="str">
        <f t="shared" si="62"/>
        <v>7.KP.002</v>
      </c>
    </row>
    <row r="327" spans="1:22" x14ac:dyDescent="0.35">
      <c r="A327" s="9">
        <v>7</v>
      </c>
      <c r="B327" s="9" t="s">
        <v>437</v>
      </c>
      <c r="C327" s="10" t="s">
        <v>226</v>
      </c>
      <c r="D327" s="9"/>
      <c r="E327" s="11" t="s">
        <v>439</v>
      </c>
      <c r="F327" s="11" t="s">
        <v>117</v>
      </c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1" t="str">
        <f t="shared" si="62"/>
        <v>7.KP.003</v>
      </c>
    </row>
    <row r="328" spans="1:22" x14ac:dyDescent="0.35">
      <c r="A328" s="9">
        <v>7</v>
      </c>
      <c r="B328" s="9" t="s">
        <v>437</v>
      </c>
      <c r="C328" s="10" t="s">
        <v>227</v>
      </c>
      <c r="D328" s="9"/>
      <c r="E328" s="11" t="s">
        <v>440</v>
      </c>
      <c r="F328" s="11" t="s">
        <v>117</v>
      </c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1" t="str">
        <f t="shared" si="62"/>
        <v>7.KP.004</v>
      </c>
    </row>
    <row r="329" spans="1:22" x14ac:dyDescent="0.35">
      <c r="A329" s="9">
        <v>7</v>
      </c>
      <c r="B329" s="9" t="s">
        <v>437</v>
      </c>
      <c r="C329" s="10" t="s">
        <v>228</v>
      </c>
      <c r="D329" s="9"/>
      <c r="E329" s="11" t="s">
        <v>441</v>
      </c>
      <c r="F329" s="11" t="s">
        <v>117</v>
      </c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1" t="str">
        <f t="shared" si="62"/>
        <v>7.KP.005</v>
      </c>
    </row>
    <row r="330" spans="1:22" x14ac:dyDescent="0.35">
      <c r="A330" s="7"/>
      <c r="B330" s="7" t="s">
        <v>442</v>
      </c>
      <c r="C330" s="13"/>
      <c r="D330" s="7"/>
      <c r="E330" s="7"/>
      <c r="F330" s="7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7"/>
    </row>
    <row r="331" spans="1:22" x14ac:dyDescent="0.35">
      <c r="A331" s="9">
        <v>7</v>
      </c>
      <c r="B331" s="9" t="s">
        <v>443</v>
      </c>
      <c r="C331" s="10" t="s">
        <v>224</v>
      </c>
      <c r="D331" s="9"/>
      <c r="E331" s="11" t="s">
        <v>120</v>
      </c>
      <c r="F331" s="11" t="s">
        <v>117</v>
      </c>
      <c r="G331" s="12"/>
      <c r="H331" s="12"/>
      <c r="I331" s="18">
        <f>'[21]ASUMSI SEWA AB'!D112</f>
        <v>680610.48749999993</v>
      </c>
      <c r="J331" s="18">
        <f>'[21]ASUMSI SEWA AB'!E112</f>
        <v>715047.82649999985</v>
      </c>
      <c r="K331" s="18">
        <f>'[21]ASUMSI SEWA AB'!F112</f>
        <v>751428.66536999994</v>
      </c>
      <c r="L331" s="18">
        <f>'[21]ASUMSI SEWA AB'!G112</f>
        <v>789879.97204393509</v>
      </c>
      <c r="M331" s="18">
        <f>'[21]ASUMSI SEWA AB'!H112</f>
        <v>830533.49837412941</v>
      </c>
      <c r="N331" s="18">
        <f>'[21]ASUMSI SEWA AB'!I112</f>
        <v>873530.16941711912</v>
      </c>
      <c r="O331" s="18">
        <f>'[21]ASUMSI SEWA AB'!J112</f>
        <v>919020.76214746921</v>
      </c>
      <c r="P331" s="18">
        <f>'[21]ASUMSI SEWA AB'!K112</f>
        <v>967166.63624424662</v>
      </c>
      <c r="Q331" s="18">
        <f>'[21]ASUMSI SEWA AB'!L112</f>
        <v>1018140.5210262281</v>
      </c>
      <c r="R331" s="11" t="str">
        <f t="shared" si="62"/>
        <v>7.GD.001</v>
      </c>
      <c r="S331" s="22">
        <f>AVERAGE(H331:J331)</f>
        <v>697829.15699999989</v>
      </c>
      <c r="T331" s="22">
        <f>AVERAGE(I331:K331)</f>
        <v>715695.65978999995</v>
      </c>
      <c r="U331" s="22">
        <f>AVERAGE(J331:L331)</f>
        <v>752118.82130464492</v>
      </c>
      <c r="V331" s="22">
        <f>AVERAGE(K331:M331)</f>
        <v>790614.04526268819</v>
      </c>
    </row>
    <row r="332" spans="1:22" x14ac:dyDescent="0.35">
      <c r="A332" s="9">
        <v>7</v>
      </c>
      <c r="B332" s="9" t="s">
        <v>443</v>
      </c>
      <c r="C332" s="10" t="s">
        <v>225</v>
      </c>
      <c r="D332" s="9"/>
      <c r="E332" s="11" t="s">
        <v>444</v>
      </c>
      <c r="F332" s="11" t="s">
        <v>117</v>
      </c>
      <c r="G332" s="12"/>
      <c r="H332" s="12"/>
      <c r="I332" s="18"/>
      <c r="J332" s="18"/>
      <c r="K332" s="18"/>
      <c r="L332" s="18"/>
      <c r="M332" s="18"/>
      <c r="N332" s="18"/>
      <c r="O332" s="18"/>
      <c r="P332" s="18"/>
      <c r="Q332" s="18"/>
      <c r="R332" s="11" t="str">
        <f t="shared" si="62"/>
        <v>7.GD.002</v>
      </c>
    </row>
    <row r="333" spans="1:22" x14ac:dyDescent="0.35">
      <c r="A333" s="9">
        <v>7</v>
      </c>
      <c r="B333" s="9" t="s">
        <v>443</v>
      </c>
      <c r="C333" s="10" t="s">
        <v>226</v>
      </c>
      <c r="D333" s="9"/>
      <c r="E333" s="11" t="s">
        <v>445</v>
      </c>
      <c r="F333" s="11" t="s">
        <v>117</v>
      </c>
      <c r="G333" s="12"/>
      <c r="H333" s="12"/>
      <c r="I333" s="18"/>
      <c r="J333" s="18"/>
      <c r="K333" s="18"/>
      <c r="L333" s="18"/>
      <c r="M333" s="18"/>
      <c r="N333" s="18"/>
      <c r="O333" s="18"/>
      <c r="P333" s="18"/>
      <c r="Q333" s="18"/>
      <c r="R333" s="11" t="str">
        <f t="shared" si="62"/>
        <v>7.GD.003</v>
      </c>
    </row>
    <row r="334" spans="1:22" x14ac:dyDescent="0.35">
      <c r="A334" s="9">
        <v>7</v>
      </c>
      <c r="B334" s="9" t="s">
        <v>443</v>
      </c>
      <c r="C334" s="10" t="s">
        <v>227</v>
      </c>
      <c r="D334" s="9"/>
      <c r="E334" s="11" t="s">
        <v>446</v>
      </c>
      <c r="F334" s="11" t="s">
        <v>117</v>
      </c>
      <c r="G334" s="12"/>
      <c r="H334" s="12"/>
      <c r="I334" s="18"/>
      <c r="J334" s="18"/>
      <c r="K334" s="18"/>
      <c r="L334" s="18"/>
      <c r="M334" s="18"/>
      <c r="N334" s="18"/>
      <c r="O334" s="18"/>
      <c r="P334" s="18"/>
      <c r="Q334" s="18"/>
      <c r="R334" s="11" t="str">
        <f t="shared" si="62"/>
        <v>7.GD.004</v>
      </c>
    </row>
    <row r="335" spans="1:22" x14ac:dyDescent="0.35">
      <c r="A335" s="9">
        <v>7</v>
      </c>
      <c r="B335" s="9" t="s">
        <v>443</v>
      </c>
      <c r="C335" s="10" t="s">
        <v>228</v>
      </c>
      <c r="D335" s="9"/>
      <c r="E335" s="11" t="s">
        <v>447</v>
      </c>
      <c r="F335" s="11" t="s">
        <v>117</v>
      </c>
      <c r="G335" s="12"/>
      <c r="H335" s="12"/>
      <c r="I335" s="18"/>
      <c r="J335" s="18"/>
      <c r="K335" s="18"/>
      <c r="L335" s="18"/>
      <c r="M335" s="18"/>
      <c r="N335" s="18"/>
      <c r="O335" s="18"/>
      <c r="P335" s="18"/>
      <c r="Q335" s="18"/>
      <c r="R335" s="11" t="str">
        <f t="shared" si="62"/>
        <v>7.GD.005</v>
      </c>
    </row>
    <row r="336" spans="1:22" x14ac:dyDescent="0.35">
      <c r="A336" s="9">
        <v>7</v>
      </c>
      <c r="B336" s="9" t="s">
        <v>443</v>
      </c>
      <c r="C336" s="10" t="s">
        <v>229</v>
      </c>
      <c r="D336" s="9"/>
      <c r="E336" s="11" t="s">
        <v>448</v>
      </c>
      <c r="F336" s="11" t="s">
        <v>117</v>
      </c>
      <c r="G336" s="12"/>
      <c r="H336" s="12"/>
      <c r="I336" s="18"/>
      <c r="J336" s="18"/>
      <c r="K336" s="18"/>
      <c r="L336" s="18"/>
      <c r="M336" s="18"/>
      <c r="N336" s="18"/>
      <c r="O336" s="18"/>
      <c r="P336" s="18"/>
      <c r="Q336" s="18"/>
      <c r="R336" s="11" t="str">
        <f t="shared" si="62"/>
        <v>7.GD.006</v>
      </c>
    </row>
    <row r="337" spans="1:23" x14ac:dyDescent="0.35">
      <c r="A337" s="7"/>
      <c r="B337" s="7" t="s">
        <v>449</v>
      </c>
      <c r="C337" s="13"/>
      <c r="D337" s="7"/>
      <c r="E337" s="7"/>
      <c r="F337" s="7"/>
      <c r="G337" s="8"/>
      <c r="H337" s="8"/>
      <c r="I337" s="56"/>
      <c r="J337" s="56"/>
      <c r="K337" s="56"/>
      <c r="L337" s="56"/>
      <c r="M337" s="56"/>
      <c r="N337" s="56"/>
      <c r="O337" s="56"/>
      <c r="P337" s="56"/>
      <c r="Q337" s="56"/>
      <c r="R337" s="7"/>
    </row>
    <row r="338" spans="1:23" x14ac:dyDescent="0.35">
      <c r="A338" s="9">
        <v>7</v>
      </c>
      <c r="B338" s="9" t="s">
        <v>450</v>
      </c>
      <c r="C338" s="10" t="s">
        <v>224</v>
      </c>
      <c r="D338" s="9"/>
      <c r="E338" s="11" t="s">
        <v>121</v>
      </c>
      <c r="F338" s="11" t="s">
        <v>117</v>
      </c>
      <c r="G338" s="12"/>
      <c r="H338" s="12"/>
      <c r="I338" s="18">
        <f>'[21]ASUMSI SEWA AB'!D73</f>
        <v>647269.96874999988</v>
      </c>
      <c r="J338" s="18">
        <f>'[21]ASUMSI SEWA AB'!E73</f>
        <v>680210.06624999992</v>
      </c>
      <c r="K338" s="18">
        <f>'[21]ASUMSI SEWA AB'!F73</f>
        <v>715015.96154999989</v>
      </c>
      <c r="L338" s="18">
        <f>'[21]ASUMSI SEWA AB'!G73</f>
        <v>751814.04771000007</v>
      </c>
      <c r="M338" s="18">
        <f>'[21]ASUMSI SEWA AB'!H73</f>
        <v>790731.69185593445</v>
      </c>
      <c r="N338" s="18">
        <f>'[21]ASUMSI SEWA AB'!I73</f>
        <v>831905.15735484066</v>
      </c>
      <c r="O338" s="18">
        <f>'[21]ASUMSI SEWA AB'!J73</f>
        <v>875480.26327173668</v>
      </c>
      <c r="P338" s="18">
        <f>'[21]ASUMSI SEWA AB'!K73</f>
        <v>921613.09447245637</v>
      </c>
      <c r="Q338" s="18">
        <f>'[21]ASUMSI SEWA AB'!L73</f>
        <v>970470.76633884839</v>
      </c>
      <c r="R338" s="11" t="str">
        <f t="shared" si="62"/>
        <v>7.BL.001</v>
      </c>
      <c r="S338" s="22">
        <f>AVERAGE(H338:J338)</f>
        <v>663740.01749999984</v>
      </c>
      <c r="T338" s="22">
        <f>AVERAGE(I338:K338)</f>
        <v>680831.99884999986</v>
      </c>
      <c r="U338" s="22">
        <f>AVERAGE(J338:L338)</f>
        <v>715680.02516999992</v>
      </c>
      <c r="V338" s="22">
        <f>AVERAGE(K338:M338)</f>
        <v>752520.56703864469</v>
      </c>
    </row>
    <row r="339" spans="1:23" x14ac:dyDescent="0.35">
      <c r="A339" s="9">
        <v>7</v>
      </c>
      <c r="B339" s="9" t="s">
        <v>450</v>
      </c>
      <c r="C339" s="10" t="s">
        <v>225</v>
      </c>
      <c r="D339" s="9"/>
      <c r="E339" s="11" t="s">
        <v>451</v>
      </c>
      <c r="F339" s="11" t="s">
        <v>117</v>
      </c>
      <c r="G339" s="12"/>
      <c r="H339" s="12"/>
      <c r="I339" s="18"/>
      <c r="J339" s="18"/>
      <c r="K339" s="18"/>
      <c r="L339" s="18"/>
      <c r="M339" s="18"/>
      <c r="N339" s="18"/>
      <c r="O339" s="18"/>
      <c r="P339" s="18"/>
      <c r="Q339" s="18"/>
      <c r="R339" s="11" t="str">
        <f t="shared" si="62"/>
        <v>7.BL.002</v>
      </c>
    </row>
    <row r="340" spans="1:23" x14ac:dyDescent="0.35">
      <c r="A340" s="9">
        <v>7</v>
      </c>
      <c r="B340" s="9" t="s">
        <v>450</v>
      </c>
      <c r="C340" s="10" t="s">
        <v>226</v>
      </c>
      <c r="D340" s="9"/>
      <c r="E340" s="11" t="s">
        <v>452</v>
      </c>
      <c r="F340" s="11" t="s">
        <v>117</v>
      </c>
      <c r="G340" s="12"/>
      <c r="H340" s="12"/>
      <c r="I340" s="18"/>
      <c r="J340" s="18"/>
      <c r="K340" s="18"/>
      <c r="L340" s="18"/>
      <c r="M340" s="18"/>
      <c r="N340" s="18"/>
      <c r="O340" s="18"/>
      <c r="P340" s="18"/>
      <c r="Q340" s="18"/>
      <c r="R340" s="11" t="str">
        <f t="shared" si="62"/>
        <v>7.BL.003</v>
      </c>
    </row>
    <row r="341" spans="1:23" x14ac:dyDescent="0.35">
      <c r="A341" s="9">
        <v>7</v>
      </c>
      <c r="B341" s="9" t="s">
        <v>450</v>
      </c>
      <c r="C341" s="10" t="s">
        <v>227</v>
      </c>
      <c r="D341" s="9"/>
      <c r="E341" s="11" t="s">
        <v>453</v>
      </c>
      <c r="F341" s="11" t="s">
        <v>117</v>
      </c>
      <c r="G341" s="12"/>
      <c r="H341" s="12"/>
      <c r="I341" s="18"/>
      <c r="J341" s="18"/>
      <c r="K341" s="18"/>
      <c r="L341" s="18"/>
      <c r="M341" s="18"/>
      <c r="N341" s="18"/>
      <c r="O341" s="18"/>
      <c r="P341" s="18"/>
      <c r="Q341" s="18"/>
      <c r="R341" s="11" t="str">
        <f t="shared" si="62"/>
        <v>7.BL.004</v>
      </c>
    </row>
    <row r="342" spans="1:23" x14ac:dyDescent="0.35">
      <c r="A342" s="9">
        <v>7</v>
      </c>
      <c r="B342" s="9" t="s">
        <v>450</v>
      </c>
      <c r="C342" s="10" t="s">
        <v>228</v>
      </c>
      <c r="D342" s="9"/>
      <c r="E342" s="11" t="s">
        <v>454</v>
      </c>
      <c r="F342" s="11" t="s">
        <v>117</v>
      </c>
      <c r="G342" s="12"/>
      <c r="H342" s="12"/>
      <c r="I342" s="18"/>
      <c r="J342" s="18"/>
      <c r="K342" s="18"/>
      <c r="L342" s="18"/>
      <c r="M342" s="18"/>
      <c r="N342" s="18"/>
      <c r="O342" s="18"/>
      <c r="P342" s="18"/>
      <c r="Q342" s="18"/>
      <c r="R342" s="11" t="str">
        <f t="shared" si="62"/>
        <v>7.BL.005</v>
      </c>
    </row>
    <row r="343" spans="1:23" x14ac:dyDescent="0.35">
      <c r="A343" s="7"/>
      <c r="B343" s="7" t="s">
        <v>455</v>
      </c>
      <c r="C343" s="13"/>
      <c r="D343" s="7"/>
      <c r="E343" s="7"/>
      <c r="F343" s="7"/>
      <c r="G343" s="8"/>
      <c r="H343" s="8"/>
      <c r="I343" s="56"/>
      <c r="J343" s="56"/>
      <c r="K343" s="56"/>
      <c r="L343" s="56"/>
      <c r="M343" s="56"/>
      <c r="N343" s="56"/>
      <c r="O343" s="56"/>
      <c r="P343" s="56"/>
      <c r="Q343" s="56"/>
      <c r="R343" s="7"/>
    </row>
    <row r="344" spans="1:23" x14ac:dyDescent="0.35">
      <c r="A344" s="9">
        <v>7</v>
      </c>
      <c r="B344" s="9" t="s">
        <v>456</v>
      </c>
      <c r="C344" s="10" t="s">
        <v>224</v>
      </c>
      <c r="D344" s="9"/>
      <c r="E344" s="11" t="s">
        <v>122</v>
      </c>
      <c r="F344" s="11" t="s">
        <v>117</v>
      </c>
      <c r="G344" s="12"/>
      <c r="H344" s="12"/>
      <c r="I344" s="18">
        <f>'[21]ASUMSI SEWA AB'!D54</f>
        <v>993170.32971428568</v>
      </c>
      <c r="J344" s="18">
        <f>'[21]ASUMSI SEWA AB'!E54</f>
        <v>1051433.6840914285</v>
      </c>
      <c r="K344" s="18">
        <f>'[21]ASUMSI SEWA AB'!F54</f>
        <v>1113470.7641787431</v>
      </c>
      <c r="L344" s="18">
        <f>'[21]ASUMSI SEWA AB'!G54</f>
        <v>1179581.0828030505</v>
      </c>
      <c r="M344" s="18">
        <f>'[21]ASUMSI SEWA AB'!H54</f>
        <v>1250054.6430141497</v>
      </c>
      <c r="N344" s="18">
        <f>'[21]ASUMSI SEWA AB'!I54</f>
        <v>1325203.2031076876</v>
      </c>
      <c r="O344" s="18">
        <f>'[21]ASUMSI SEWA AB'!J54</f>
        <v>1405361.9588114</v>
      </c>
      <c r="P344" s="18">
        <f>'[21]ASUMSI SEWA AB'!K54</f>
        <v>1490891.3576994499</v>
      </c>
      <c r="Q344" s="18">
        <f>'[21]ASUMSI SEWA AB'!L54</f>
        <v>1582179.0563185243</v>
      </c>
      <c r="R344" s="11" t="str">
        <f t="shared" si="62"/>
        <v>7.DZ.001</v>
      </c>
      <c r="S344" s="22">
        <f>AVERAGE(H344:J344)</f>
        <v>1022302.0069028571</v>
      </c>
      <c r="T344" s="22">
        <f>AVERAGE(I344:K344)</f>
        <v>1052691.5926614858</v>
      </c>
      <c r="U344" s="22">
        <f>AVERAGE(J344:L344)</f>
        <v>1114828.5103577408</v>
      </c>
      <c r="V344" s="22">
        <f>AVERAGE(K344:M344)</f>
        <v>1181035.4966653145</v>
      </c>
      <c r="W344">
        <f>V344+U344</f>
        <v>2295864.0070230551</v>
      </c>
    </row>
    <row r="345" spans="1:23" x14ac:dyDescent="0.35">
      <c r="A345" s="9">
        <v>7</v>
      </c>
      <c r="B345" s="9" t="s">
        <v>456</v>
      </c>
      <c r="C345" s="10" t="s">
        <v>225</v>
      </c>
      <c r="D345" s="9"/>
      <c r="E345" s="11" t="s">
        <v>457</v>
      </c>
      <c r="F345" s="11" t="s">
        <v>117</v>
      </c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1" t="str">
        <f t="shared" si="62"/>
        <v>7.DZ.002</v>
      </c>
    </row>
    <row r="346" spans="1:23" x14ac:dyDescent="0.35">
      <c r="A346" s="9">
        <v>7</v>
      </c>
      <c r="B346" s="9" t="s">
        <v>456</v>
      </c>
      <c r="C346" s="10" t="s">
        <v>226</v>
      </c>
      <c r="D346" s="9"/>
      <c r="E346" s="11" t="s">
        <v>458</v>
      </c>
      <c r="F346" s="11" t="s">
        <v>117</v>
      </c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1" t="str">
        <f t="shared" si="62"/>
        <v>7.DZ.003</v>
      </c>
    </row>
    <row r="347" spans="1:23" x14ac:dyDescent="0.35">
      <c r="A347" s="9">
        <v>7</v>
      </c>
      <c r="B347" s="9" t="s">
        <v>456</v>
      </c>
      <c r="C347" s="10" t="s">
        <v>227</v>
      </c>
      <c r="D347" s="9"/>
      <c r="E347" s="11" t="s">
        <v>459</v>
      </c>
      <c r="F347" s="11" t="s">
        <v>117</v>
      </c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1" t="str">
        <f t="shared" si="62"/>
        <v>7.DZ.004</v>
      </c>
    </row>
    <row r="348" spans="1:23" x14ac:dyDescent="0.35">
      <c r="A348" s="9">
        <v>7</v>
      </c>
      <c r="B348" s="9" t="s">
        <v>456</v>
      </c>
      <c r="C348" s="10" t="s">
        <v>228</v>
      </c>
      <c r="D348" s="9"/>
      <c r="E348" s="11" t="s">
        <v>460</v>
      </c>
      <c r="F348" s="11" t="s">
        <v>117</v>
      </c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1" t="str">
        <f t="shared" si="62"/>
        <v>7.DZ.005</v>
      </c>
    </row>
    <row r="349" spans="1:23" x14ac:dyDescent="0.35">
      <c r="A349" s="7"/>
      <c r="B349" s="7" t="s">
        <v>461</v>
      </c>
      <c r="C349" s="13"/>
      <c r="D349" s="7"/>
      <c r="E349" s="7"/>
      <c r="F349" s="7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7"/>
    </row>
    <row r="350" spans="1:23" x14ac:dyDescent="0.35">
      <c r="A350" s="9">
        <v>3</v>
      </c>
      <c r="B350" s="9" t="s">
        <v>462</v>
      </c>
      <c r="C350" s="10" t="s">
        <v>224</v>
      </c>
      <c r="D350" s="9"/>
      <c r="E350" s="11" t="s">
        <v>123</v>
      </c>
      <c r="F350" s="11" t="s">
        <v>44</v>
      </c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1" t="str">
        <f>A350&amp;"."&amp;B350&amp;"."&amp;C350</f>
        <v>3.BR.001</v>
      </c>
    </row>
    <row r="351" spans="1:23" x14ac:dyDescent="0.35">
      <c r="A351" s="9">
        <v>3</v>
      </c>
      <c r="B351" s="9" t="s">
        <v>462</v>
      </c>
      <c r="C351" s="10" t="s">
        <v>225</v>
      </c>
      <c r="D351" s="9"/>
      <c r="E351" s="11" t="s">
        <v>124</v>
      </c>
      <c r="F351" s="11" t="s">
        <v>44</v>
      </c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1" t="str">
        <f>A351&amp;"."&amp;B351&amp;"."&amp;C351</f>
        <v>3.BR.002</v>
      </c>
    </row>
    <row r="352" spans="1:23" x14ac:dyDescent="0.35">
      <c r="A352" s="9">
        <v>3</v>
      </c>
      <c r="B352" s="9" t="s">
        <v>462</v>
      </c>
      <c r="C352" s="10" t="s">
        <v>226</v>
      </c>
      <c r="D352" s="9"/>
      <c r="E352" s="11" t="s">
        <v>125</v>
      </c>
      <c r="F352" s="11" t="s">
        <v>44</v>
      </c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1" t="str">
        <f>A352&amp;"."&amp;B352&amp;"."&amp;C352</f>
        <v>3.BR.003</v>
      </c>
    </row>
    <row r="353" spans="1:22" x14ac:dyDescent="0.35">
      <c r="A353" s="9">
        <v>3</v>
      </c>
      <c r="B353" s="9" t="s">
        <v>462</v>
      </c>
      <c r="C353" s="10" t="s">
        <v>227</v>
      </c>
      <c r="D353" s="9"/>
      <c r="E353" s="11"/>
      <c r="F353" s="11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1" t="str">
        <f>A353&amp;"."&amp;B353&amp;"."&amp;C353</f>
        <v>3.BR.004</v>
      </c>
    </row>
    <row r="354" spans="1:22" x14ac:dyDescent="0.35">
      <c r="A354" s="9">
        <v>3</v>
      </c>
      <c r="B354" s="9" t="s">
        <v>462</v>
      </c>
      <c r="C354" s="10" t="s">
        <v>228</v>
      </c>
      <c r="D354" s="9"/>
      <c r="E354" s="11"/>
      <c r="F354" s="11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1" t="str">
        <f>A354&amp;"."&amp;B354&amp;"."&amp;C354</f>
        <v>3.BR.005</v>
      </c>
    </row>
    <row r="355" spans="1:22" x14ac:dyDescent="0.35">
      <c r="A355" s="7"/>
      <c r="B355" s="7" t="s">
        <v>463</v>
      </c>
      <c r="C355" s="13"/>
      <c r="D355" s="7"/>
      <c r="E355" s="7"/>
      <c r="F355" s="7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7"/>
    </row>
    <row r="356" spans="1:22" x14ac:dyDescent="0.35">
      <c r="A356" s="9">
        <v>3</v>
      </c>
      <c r="B356" s="9" t="s">
        <v>464</v>
      </c>
      <c r="C356" s="10" t="s">
        <v>224</v>
      </c>
      <c r="D356" s="9"/>
      <c r="E356" s="11" t="s">
        <v>465</v>
      </c>
      <c r="F356" s="11" t="s">
        <v>44</v>
      </c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1" t="str">
        <f>A356&amp;"."&amp;B356&amp;"."&amp;C356</f>
        <v>3.CS.001</v>
      </c>
    </row>
    <row r="357" spans="1:22" x14ac:dyDescent="0.35">
      <c r="A357" s="9">
        <v>3</v>
      </c>
      <c r="B357" s="9" t="s">
        <v>464</v>
      </c>
      <c r="C357" s="10" t="s">
        <v>225</v>
      </c>
      <c r="D357" s="9"/>
      <c r="E357" s="11" t="s">
        <v>466</v>
      </c>
      <c r="F357" s="11" t="s">
        <v>44</v>
      </c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1" t="str">
        <f>A357&amp;"."&amp;B357&amp;"."&amp;C357</f>
        <v>3.CS.002</v>
      </c>
    </row>
    <row r="358" spans="1:22" x14ac:dyDescent="0.35">
      <c r="A358" s="9">
        <v>3</v>
      </c>
      <c r="B358" s="9" t="s">
        <v>464</v>
      </c>
      <c r="C358" s="10" t="s">
        <v>226</v>
      </c>
      <c r="D358" s="9"/>
      <c r="E358" s="11" t="s">
        <v>467</v>
      </c>
      <c r="F358" s="11" t="s">
        <v>44</v>
      </c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1" t="str">
        <f>A358&amp;"."&amp;B358&amp;"."&amp;C358</f>
        <v>3.CS.003</v>
      </c>
    </row>
    <row r="359" spans="1:22" x14ac:dyDescent="0.35">
      <c r="A359" s="9">
        <v>3</v>
      </c>
      <c r="B359" s="9" t="s">
        <v>464</v>
      </c>
      <c r="C359" s="10" t="s">
        <v>227</v>
      </c>
      <c r="D359" s="9"/>
      <c r="E359" s="11" t="s">
        <v>468</v>
      </c>
      <c r="F359" s="11" t="s">
        <v>44</v>
      </c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1" t="str">
        <f>A359&amp;"."&amp;B359&amp;"."&amp;C359</f>
        <v>3.CS.004</v>
      </c>
    </row>
    <row r="360" spans="1:22" x14ac:dyDescent="0.35">
      <c r="A360" s="9">
        <v>3</v>
      </c>
      <c r="B360" s="9" t="s">
        <v>464</v>
      </c>
      <c r="C360" s="10" t="s">
        <v>228</v>
      </c>
      <c r="D360" s="9"/>
      <c r="E360" s="11"/>
      <c r="F360" s="11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1" t="str">
        <f>A360&amp;"."&amp;B360&amp;"."&amp;C360</f>
        <v>3.CS.005</v>
      </c>
    </row>
    <row r="361" spans="1:22" x14ac:dyDescent="0.35">
      <c r="A361" s="7"/>
      <c r="B361" s="7" t="s">
        <v>469</v>
      </c>
      <c r="C361" s="13"/>
      <c r="D361" s="7"/>
      <c r="E361" s="7"/>
      <c r="F361" s="7"/>
      <c r="G361" s="8"/>
      <c r="H361" s="8"/>
      <c r="I361" s="15"/>
      <c r="J361" s="15" t="s">
        <v>651</v>
      </c>
      <c r="K361" s="15"/>
      <c r="L361" s="8"/>
      <c r="M361" s="8"/>
      <c r="N361" s="8"/>
      <c r="O361" s="8"/>
      <c r="P361" s="8"/>
      <c r="Q361" s="8"/>
      <c r="R361" s="7"/>
    </row>
    <row r="362" spans="1:22" x14ac:dyDescent="0.35">
      <c r="A362" s="7"/>
      <c r="B362" s="7"/>
      <c r="C362" s="13"/>
      <c r="D362" s="7"/>
      <c r="E362" s="7"/>
      <c r="F362" s="7"/>
      <c r="G362" s="8"/>
      <c r="H362" s="8"/>
      <c r="I362" s="15" t="s">
        <v>646</v>
      </c>
      <c r="J362" s="55">
        <v>1.1399999999999999</v>
      </c>
      <c r="K362" s="55">
        <f>J362</f>
        <v>1.1399999999999999</v>
      </c>
      <c r="L362" s="55">
        <f t="shared" ref="L362:Q362" si="168">K362</f>
        <v>1.1399999999999999</v>
      </c>
      <c r="M362" s="55">
        <f t="shared" si="168"/>
        <v>1.1399999999999999</v>
      </c>
      <c r="N362" s="55">
        <f t="shared" si="168"/>
        <v>1.1399999999999999</v>
      </c>
      <c r="O362" s="55">
        <f t="shared" si="168"/>
        <v>1.1399999999999999</v>
      </c>
      <c r="P362" s="55">
        <f t="shared" si="168"/>
        <v>1.1399999999999999</v>
      </c>
      <c r="Q362" s="55">
        <f t="shared" si="168"/>
        <v>1.1399999999999999</v>
      </c>
      <c r="R362" s="7"/>
    </row>
    <row r="363" spans="1:22" x14ac:dyDescent="0.35">
      <c r="A363" s="9">
        <v>3</v>
      </c>
      <c r="B363" s="9" t="s">
        <v>470</v>
      </c>
      <c r="C363" s="10" t="s">
        <v>224</v>
      </c>
      <c r="D363" s="9"/>
      <c r="E363" s="11" t="s">
        <v>126</v>
      </c>
      <c r="F363" s="11" t="s">
        <v>117</v>
      </c>
      <c r="G363" s="12"/>
      <c r="H363" s="12"/>
      <c r="I363" s="18">
        <v>50000</v>
      </c>
      <c r="J363" s="18">
        <f>I363*J362</f>
        <v>56999.999999999993</v>
      </c>
      <c r="K363" s="18">
        <f t="shared" ref="K363:Q363" si="169">J363*1.1</f>
        <v>62700</v>
      </c>
      <c r="L363" s="18">
        <f t="shared" si="169"/>
        <v>68970</v>
      </c>
      <c r="M363" s="18">
        <f t="shared" si="169"/>
        <v>75867</v>
      </c>
      <c r="N363" s="18">
        <f t="shared" si="169"/>
        <v>83453.700000000012</v>
      </c>
      <c r="O363" s="18">
        <f t="shared" si="169"/>
        <v>91799.070000000022</v>
      </c>
      <c r="P363" s="18">
        <f t="shared" si="169"/>
        <v>100978.97700000003</v>
      </c>
      <c r="Q363" s="18">
        <f t="shared" si="169"/>
        <v>111076.87470000004</v>
      </c>
      <c r="R363" s="11" t="str">
        <f>A363&amp;"."&amp;B363&amp;"."&amp;C363</f>
        <v>3.WP.001</v>
      </c>
      <c r="S363" s="22">
        <f>AVERAGE(H363:J363)</f>
        <v>53500</v>
      </c>
      <c r="T363" s="22">
        <f>AVERAGE(I363:K363)</f>
        <v>56566.666666666664</v>
      </c>
      <c r="U363" s="22">
        <f>AVERAGE(J363:L363)</f>
        <v>62890</v>
      </c>
      <c r="V363" s="22">
        <f>AVERAGE(K363:M363)</f>
        <v>69179</v>
      </c>
    </row>
    <row r="364" spans="1:22" x14ac:dyDescent="0.35">
      <c r="A364" s="9">
        <v>3</v>
      </c>
      <c r="B364" s="9" t="s">
        <v>470</v>
      </c>
      <c r="C364" s="10" t="s">
        <v>225</v>
      </c>
      <c r="D364" s="9"/>
      <c r="E364" s="11" t="s">
        <v>471</v>
      </c>
      <c r="F364" s="11" t="s">
        <v>117</v>
      </c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1" t="str">
        <f>A364&amp;"."&amp;B364&amp;"."&amp;C364</f>
        <v>3.WP.002</v>
      </c>
    </row>
    <row r="365" spans="1:22" x14ac:dyDescent="0.35">
      <c r="A365" s="9">
        <v>3</v>
      </c>
      <c r="B365" s="9" t="s">
        <v>470</v>
      </c>
      <c r="C365" s="10" t="s">
        <v>226</v>
      </c>
      <c r="D365" s="9"/>
      <c r="E365" s="11" t="s">
        <v>472</v>
      </c>
      <c r="F365" s="11" t="s">
        <v>117</v>
      </c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1" t="str">
        <f>A365&amp;"."&amp;B365&amp;"."&amp;C365</f>
        <v>3.WP.003</v>
      </c>
    </row>
    <row r="366" spans="1:22" x14ac:dyDescent="0.35">
      <c r="A366" s="9">
        <v>3</v>
      </c>
      <c r="B366" s="9" t="s">
        <v>470</v>
      </c>
      <c r="C366" s="10" t="s">
        <v>227</v>
      </c>
      <c r="D366" s="9"/>
      <c r="E366" s="11" t="s">
        <v>473</v>
      </c>
      <c r="F366" s="11" t="s">
        <v>117</v>
      </c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1" t="str">
        <f>A366&amp;"."&amp;B366&amp;"."&amp;C366</f>
        <v>3.WP.004</v>
      </c>
    </row>
    <row r="367" spans="1:22" x14ac:dyDescent="0.35">
      <c r="A367" s="9">
        <v>3</v>
      </c>
      <c r="B367" s="9" t="s">
        <v>470</v>
      </c>
      <c r="C367" s="10" t="s">
        <v>228</v>
      </c>
      <c r="D367" s="9"/>
      <c r="E367" s="11"/>
      <c r="F367" s="11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1" t="str">
        <f>A367&amp;"."&amp;B367&amp;"."&amp;C367</f>
        <v>3.WP.005</v>
      </c>
    </row>
    <row r="368" spans="1:22" x14ac:dyDescent="0.35">
      <c r="A368" s="9">
        <v>3</v>
      </c>
      <c r="B368" s="9" t="s">
        <v>470</v>
      </c>
      <c r="C368" s="10" t="s">
        <v>229</v>
      </c>
      <c r="D368" s="9"/>
      <c r="E368" s="11"/>
      <c r="F368" s="11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1" t="str">
        <f t="shared" si="62"/>
        <v>3.WP.006</v>
      </c>
    </row>
  </sheetData>
  <autoFilter ref="A2:R93" xr:uid="{00000000-0009-0000-0000-00000A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7">
    <mergeCell ref="V3:V4"/>
    <mergeCell ref="F3:F4"/>
    <mergeCell ref="E3:E4"/>
    <mergeCell ref="A2:R2"/>
    <mergeCell ref="S3:S4"/>
    <mergeCell ref="T3:T4"/>
    <mergeCell ref="U3:U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COVER</vt:lpstr>
      <vt:lpstr>Instalasi Air</vt:lpstr>
      <vt:lpstr>RKP FFD</vt:lpstr>
      <vt:lpstr>Areal Stmt</vt:lpstr>
      <vt:lpstr>SCHEDULE-Indigofera</vt:lpstr>
      <vt:lpstr>SCHEDULE-Pakchong</vt:lpstr>
      <vt:lpstr>SI TB LC Indigofera (FFD)</vt:lpstr>
      <vt:lpstr>SI TB LC Pakchong (FFD)</vt:lpstr>
      <vt:lpstr>Kebutuhan TK FFD</vt:lpstr>
      <vt:lpstr>Kebutuhan Material FFD</vt:lpstr>
      <vt:lpstr>KeB.HM Alat Berat (FFD)</vt:lpstr>
      <vt:lpstr>Master Harga</vt:lpstr>
      <vt:lpstr>'Areal Stmt'!Print_Area</vt:lpstr>
      <vt:lpstr>COVER!Print_Area</vt:lpstr>
      <vt:lpstr>'KeB.HM Alat Berat (FFD)'!Print_Area</vt:lpstr>
      <vt:lpstr>'Kebutuhan Material FFD'!Print_Area</vt:lpstr>
      <vt:lpstr>'Kebutuhan TK FFD'!Print_Area</vt:lpstr>
      <vt:lpstr>'RKP FFD'!Print_Area</vt:lpstr>
      <vt:lpstr>'SCHEDULE-Indigofera'!Print_Area</vt:lpstr>
      <vt:lpstr>'SCHEDULE-Pakchong'!Print_Area</vt:lpstr>
      <vt:lpstr>'SI TB LC Indigofera (FFD)'!Print_Area</vt:lpstr>
      <vt:lpstr>'SI TB LC Pakchong (FFD)'!Print_Area</vt:lpstr>
      <vt:lpstr>'SI TB LC Indigofera (FFD)'!Print_Titles</vt:lpstr>
      <vt:lpstr>'SI TB LC Pakchong (FFD)'!Print_Titles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KTU_Agronomi</dc:creator>
  <cp:lastModifiedBy>LENOVO INTEL i5</cp:lastModifiedBy>
  <cp:lastPrinted>2026-09-22T06:51:21Z</cp:lastPrinted>
  <dcterms:created xsi:type="dcterms:W3CDTF">2015-06-30T14:27:02Z</dcterms:created>
  <dcterms:modified xsi:type="dcterms:W3CDTF">2026-09-23T00:09:13Z</dcterms:modified>
</cp:coreProperties>
</file>